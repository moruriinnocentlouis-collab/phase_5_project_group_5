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1/PATNAS- 5932/Audited Accounts 2021 and 2022/"/>
    </mc:Choice>
  </mc:AlternateContent>
  <xr:revisionPtr revIDLastSave="2" documentId="11_C3FF6C343E988B45228928D7458477BC4EF6718E" xr6:coauthVersionLast="47" xr6:coauthVersionMax="47" xr10:uidLastSave="{1966ACF0-209D-4BE7-8B90-7D2749EFC3B1}"/>
  <bookViews>
    <workbookView xWindow="28680" yWindow="-120" windowWidth="29040" windowHeight="15720" firstSheet="1" activeTab="2" xr2:uid="{00000000-000D-0000-FFFF-FFFF00000000}"/>
  </bookViews>
  <sheets>
    <sheet name="CAELS (2)" sheetId="6" r:id="rId1"/>
    <sheet name="Evolutive SFP" sheetId="1" r:id="rId2"/>
    <sheet name="Evolutitve SCI" sheetId="2" r:id="rId3"/>
    <sheet name="FORM 4" sheetId="4" r:id="rId4"/>
    <sheet name="Financials" sheetId="5" r:id="rId5"/>
    <sheet name="Investments" sheetId="7" r:id="rId6"/>
  </sheets>
  <externalReferences>
    <externalReference r:id="rId7"/>
  </externalReferences>
  <definedNames>
    <definedName name="_xlnm.Print_Area" localSheetId="0">'CAELS (2)'!$A$1:$P$41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28" i="2" l="1"/>
  <c r="CV44" i="1" l="1"/>
  <c r="CU36" i="1"/>
  <c r="CR11" i="1"/>
  <c r="CR12" i="1"/>
  <c r="CR40" i="1"/>
  <c r="CR22" i="1"/>
  <c r="CR6" i="1"/>
  <c r="CL30" i="2" l="1"/>
  <c r="CM30" i="2"/>
  <c r="CN30" i="2"/>
  <c r="CO30" i="2"/>
  <c r="CP30" i="2"/>
  <c r="CQ30" i="2"/>
  <c r="CR30" i="2"/>
  <c r="CS30" i="2"/>
  <c r="CR11" i="2"/>
  <c r="CR10" i="2"/>
  <c r="CR46" i="1"/>
  <c r="CR38" i="1"/>
  <c r="CR21" i="1"/>
  <c r="CU25" i="1"/>
  <c r="CU27" i="1" s="1"/>
  <c r="CR25" i="1"/>
  <c r="CV13" i="1" l="1"/>
  <c r="CR5" i="1"/>
  <c r="CN23" i="2"/>
  <c r="CO23" i="2"/>
  <c r="CP23" i="2"/>
  <c r="CQ23" i="2"/>
  <c r="CR23" i="2"/>
  <c r="CS23" i="2"/>
  <c r="CO20" i="2"/>
  <c r="CP20" i="2"/>
  <c r="CQ20" i="2"/>
  <c r="CR20" i="2"/>
  <c r="CS20" i="2"/>
  <c r="CN12" i="2"/>
  <c r="CO12" i="2"/>
  <c r="CP12" i="2"/>
  <c r="CQ12" i="2"/>
  <c r="CS12" i="2"/>
  <c r="CN7" i="2"/>
  <c r="CO7" i="2"/>
  <c r="CP7" i="2"/>
  <c r="CQ7" i="2"/>
  <c r="CR7" i="2"/>
  <c r="CS7" i="2"/>
  <c r="CN4" i="2"/>
  <c r="CO4" i="2"/>
  <c r="CP4" i="2"/>
  <c r="CP3" i="2" s="1"/>
  <c r="CP19" i="2" s="1"/>
  <c r="CP29" i="2" s="1"/>
  <c r="CP33" i="2" s="1"/>
  <c r="CP35" i="2" s="1"/>
  <c r="CP37" i="2" s="1"/>
  <c r="CQ4" i="2"/>
  <c r="CR4" i="2"/>
  <c r="CS4" i="2"/>
  <c r="CS3" i="2" s="1"/>
  <c r="CS19" i="2" s="1"/>
  <c r="CS29" i="2" s="1"/>
  <c r="CS33" i="2" s="1"/>
  <c r="CS35" i="2" s="1"/>
  <c r="CS37" i="2" s="1"/>
  <c r="CO3" i="2"/>
  <c r="CO19" i="2" s="1"/>
  <c r="CO29" i="2" s="1"/>
  <c r="CO33" i="2" s="1"/>
  <c r="CO35" i="2" s="1"/>
  <c r="CO37" i="2" s="1"/>
  <c r="CQ3" i="2"/>
  <c r="CQ19" i="2" s="1"/>
  <c r="CQ29" i="2" s="1"/>
  <c r="CQ33" i="2" s="1"/>
  <c r="CQ35" i="2" s="1"/>
  <c r="CQ37" i="2" s="1"/>
  <c r="CS48" i="1"/>
  <c r="CU48" i="1"/>
  <c r="CO20" i="1"/>
  <c r="CP20" i="1"/>
  <c r="CQ20" i="1"/>
  <c r="CR20" i="1"/>
  <c r="CV20" i="1" s="1"/>
  <c r="CS20" i="1"/>
  <c r="CO16" i="1"/>
  <c r="CP16" i="1"/>
  <c r="CQ16" i="1"/>
  <c r="CR16" i="1"/>
  <c r="CS16" i="1"/>
  <c r="CP8" i="1"/>
  <c r="CQ8" i="1"/>
  <c r="CR8" i="1"/>
  <c r="CS8" i="1"/>
  <c r="CO30" i="1"/>
  <c r="CO37" i="1" s="1"/>
  <c r="CP30" i="1"/>
  <c r="CP37" i="1" s="1"/>
  <c r="CQ30" i="1"/>
  <c r="CQ37" i="1" s="1"/>
  <c r="CR30" i="1"/>
  <c r="CR37" i="1" s="1"/>
  <c r="CS30" i="1"/>
  <c r="CS37" i="1" s="1"/>
  <c r="CO13" i="1"/>
  <c r="CP13" i="1"/>
  <c r="CQ13" i="1"/>
  <c r="CR13" i="1"/>
  <c r="CS13" i="1"/>
  <c r="CO8" i="1"/>
  <c r="CO4" i="1"/>
  <c r="CP4" i="1"/>
  <c r="CQ4" i="1"/>
  <c r="CS4" i="1"/>
  <c r="CS26" i="1" l="1"/>
  <c r="CQ26" i="1"/>
  <c r="CP26" i="1"/>
  <c r="CO26" i="1"/>
  <c r="CR4" i="1"/>
  <c r="CR26" i="1" s="1"/>
  <c r="CN3" i="2"/>
  <c r="CN19" i="2" s="1"/>
  <c r="CR3" i="2"/>
  <c r="CU20" i="6"/>
  <c r="CS49" i="1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N56" i="1"/>
  <c r="CQ53" i="1"/>
  <c r="CO3" i="6"/>
  <c r="CP3" i="6"/>
  <c r="CQ3" i="6"/>
  <c r="CR3" i="6"/>
  <c r="CR5" i="6" s="1"/>
  <c r="CS3" i="6"/>
  <c r="CS19" i="6" s="1"/>
  <c r="CU3" i="6"/>
  <c r="CU19" i="6" s="1"/>
  <c r="CQ5" i="6"/>
  <c r="CU10" i="6"/>
  <c r="CQ12" i="6"/>
  <c r="CR12" i="6"/>
  <c r="CS12" i="6"/>
  <c r="CT12" i="6"/>
  <c r="CU12" i="6"/>
  <c r="CU13" i="6"/>
  <c r="CQ18" i="6"/>
  <c r="CR18" i="6"/>
  <c r="CS18" i="6"/>
  <c r="CT18" i="6"/>
  <c r="CU18" i="6"/>
  <c r="CQ19" i="6"/>
  <c r="CO32" i="6"/>
  <c r="CP32" i="6"/>
  <c r="CQ32" i="6"/>
  <c r="CR32" i="6"/>
  <c r="CS32" i="6"/>
  <c r="CT32" i="6"/>
  <c r="CU32" i="6"/>
  <c r="CP5" i="5"/>
  <c r="CQ5" i="5"/>
  <c r="CR5" i="5"/>
  <c r="CR25" i="6" s="1"/>
  <c r="CS5" i="5"/>
  <c r="CT5" i="5"/>
  <c r="CU25" i="6" s="1"/>
  <c r="CP6" i="5"/>
  <c r="CQ6" i="5"/>
  <c r="CR6" i="5"/>
  <c r="CS26" i="6" s="1"/>
  <c r="CS6" i="5"/>
  <c r="CT26" i="6" s="1"/>
  <c r="CT6" i="5"/>
  <c r="CU26" i="6" s="1"/>
  <c r="CP7" i="5"/>
  <c r="CQ7" i="5"/>
  <c r="CR7" i="5"/>
  <c r="CS7" i="5"/>
  <c r="CT7" i="5"/>
  <c r="CP8" i="5"/>
  <c r="CQ8" i="5"/>
  <c r="CR8" i="5"/>
  <c r="CS8" i="5"/>
  <c r="CT8" i="5"/>
  <c r="CP15" i="5"/>
  <c r="CQ15" i="5"/>
  <c r="CR15" i="5"/>
  <c r="CS15" i="5"/>
  <c r="CT15" i="5"/>
  <c r="CT17" i="5"/>
  <c r="CP18" i="5"/>
  <c r="CQ18" i="5"/>
  <c r="CR18" i="5"/>
  <c r="CS18" i="5"/>
  <c r="CT18" i="5"/>
  <c r="CP19" i="5"/>
  <c r="CQ19" i="5"/>
  <c r="CR19" i="5"/>
  <c r="CS19" i="5"/>
  <c r="CT19" i="5"/>
  <c r="CP20" i="5"/>
  <c r="CQ20" i="5"/>
  <c r="CR20" i="5"/>
  <c r="CS20" i="5"/>
  <c r="CT20" i="5"/>
  <c r="CP22" i="5"/>
  <c r="CP21" i="5" s="1"/>
  <c r="CQ22" i="5"/>
  <c r="CQ21" i="5" s="1"/>
  <c r="CR22" i="5"/>
  <c r="CR21" i="5" s="1"/>
  <c r="CS22" i="5"/>
  <c r="CS21" i="5" s="1"/>
  <c r="CT22" i="5"/>
  <c r="CT21" i="5" s="1"/>
  <c r="CP27" i="5"/>
  <c r="CQ27" i="5"/>
  <c r="CQ25" i="5" s="1"/>
  <c r="CR27" i="5"/>
  <c r="CS27" i="5"/>
  <c r="CT27" i="5"/>
  <c r="CT28" i="5"/>
  <c r="CP30" i="5"/>
  <c r="CQ30" i="5"/>
  <c r="CR30" i="5"/>
  <c r="CS30" i="5"/>
  <c r="CT30" i="5"/>
  <c r="CP31" i="5"/>
  <c r="CQ31" i="5"/>
  <c r="CR31" i="5"/>
  <c r="CS31" i="5"/>
  <c r="CT31" i="5"/>
  <c r="CU28" i="6" s="1"/>
  <c r="CP32" i="5"/>
  <c r="CQ32" i="5"/>
  <c r="CR32" i="5"/>
  <c r="CS32" i="5"/>
  <c r="CT32" i="5"/>
  <c r="CP34" i="5"/>
  <c r="CQ34" i="5"/>
  <c r="CR34" i="5"/>
  <c r="CS34" i="5"/>
  <c r="CT34" i="5"/>
  <c r="CP35" i="5"/>
  <c r="CQ35" i="5"/>
  <c r="CR35" i="5"/>
  <c r="CS35" i="5"/>
  <c r="CT35" i="5"/>
  <c r="CP38" i="5"/>
  <c r="CQ38" i="5"/>
  <c r="CR38" i="6" s="1"/>
  <c r="CR38" i="5"/>
  <c r="CS38" i="6" s="1"/>
  <c r="CS38" i="5"/>
  <c r="CT38" i="6" s="1"/>
  <c r="CT38" i="5"/>
  <c r="CP39" i="5"/>
  <c r="CQ39" i="5"/>
  <c r="CR39" i="5"/>
  <c r="CS39" i="5"/>
  <c r="CT39" i="5"/>
  <c r="CP40" i="5"/>
  <c r="CQ40" i="5"/>
  <c r="CR40" i="5"/>
  <c r="CS40" i="5"/>
  <c r="CT40" i="5"/>
  <c r="CP44" i="5"/>
  <c r="CQ44" i="5"/>
  <c r="CR33" i="6" s="1"/>
  <c r="CR44" i="5"/>
  <c r="CS44" i="5"/>
  <c r="CT33" i="6" s="1"/>
  <c r="CT44" i="5"/>
  <c r="CP45" i="5"/>
  <c r="CQ34" i="6" s="1"/>
  <c r="CQ45" i="5"/>
  <c r="CR34" i="6" s="1"/>
  <c r="CR45" i="5"/>
  <c r="CS34" i="6" s="1"/>
  <c r="CT45" i="5"/>
  <c r="CU34" i="6" s="1"/>
  <c r="CP46" i="5"/>
  <c r="CQ46" i="5"/>
  <c r="CR46" i="5"/>
  <c r="CS46" i="5"/>
  <c r="CT46" i="5"/>
  <c r="CP47" i="5"/>
  <c r="CQ47" i="5"/>
  <c r="CR47" i="5"/>
  <c r="CS47" i="5"/>
  <c r="CT47" i="5"/>
  <c r="CK40" i="1"/>
  <c r="CK48" i="1" s="1"/>
  <c r="CL40" i="1"/>
  <c r="CL48" i="1" s="1"/>
  <c r="CM40" i="1"/>
  <c r="CM48" i="1" s="1"/>
  <c r="CN40" i="1"/>
  <c r="CO40" i="1"/>
  <c r="CP40" i="1"/>
  <c r="CQ40" i="1"/>
  <c r="CR23" i="6"/>
  <c r="CK30" i="1"/>
  <c r="CK37" i="1" s="1"/>
  <c r="CK49" i="1" s="1"/>
  <c r="CL30" i="1"/>
  <c r="CL37" i="1" s="1"/>
  <c r="CM30" i="1"/>
  <c r="CN30" i="1"/>
  <c r="CN20" i="1"/>
  <c r="CK13" i="1"/>
  <c r="CL13" i="1"/>
  <c r="CM13" i="1"/>
  <c r="CN13" i="1"/>
  <c r="CL8" i="1"/>
  <c r="CM8" i="1"/>
  <c r="CN8" i="1"/>
  <c r="CQ13" i="6"/>
  <c r="CR13" i="6"/>
  <c r="CK4" i="1"/>
  <c r="CL4" i="1"/>
  <c r="CM4" i="1"/>
  <c r="CN4" i="1"/>
  <c r="CP12" i="6" s="1"/>
  <c r="CJ30" i="2"/>
  <c r="CK30" i="2"/>
  <c r="CJ23" i="2"/>
  <c r="CK23" i="2"/>
  <c r="CL23" i="2"/>
  <c r="CM23" i="2"/>
  <c r="CJ20" i="2"/>
  <c r="CK20" i="2"/>
  <c r="CL20" i="2"/>
  <c r="CM20" i="2"/>
  <c r="CN20" i="2"/>
  <c r="CP10" i="6"/>
  <c r="CQ10" i="6"/>
  <c r="CR10" i="6"/>
  <c r="CJ12" i="2"/>
  <c r="CK12" i="2"/>
  <c r="CL12" i="2"/>
  <c r="CM12" i="2"/>
  <c r="CJ7" i="2"/>
  <c r="CK7" i="2"/>
  <c r="CL7" i="2"/>
  <c r="CM7" i="2"/>
  <c r="CJ4" i="2"/>
  <c r="CK4" i="2"/>
  <c r="CL4" i="2"/>
  <c r="CL3" i="2" s="1"/>
  <c r="CL19" i="2" s="1"/>
  <c r="CL29" i="2" s="1"/>
  <c r="CL33" i="2" s="1"/>
  <c r="CL35" i="2" s="1"/>
  <c r="CL37" i="2" s="1"/>
  <c r="CM4" i="2"/>
  <c r="CM3" i="2" s="1"/>
  <c r="CM19" i="2" s="1"/>
  <c r="CK3" i="2"/>
  <c r="CK19" i="2" s="1"/>
  <c r="CK29" i="2" s="1"/>
  <c r="CK33" i="2" s="1"/>
  <c r="CK35" i="2" s="1"/>
  <c r="CK37" i="2" s="1"/>
  <c r="CO10" i="6" l="1"/>
  <c r="CM29" i="2"/>
  <c r="CM33" i="2" s="1"/>
  <c r="CM35" i="2" s="1"/>
  <c r="CM37" i="2" s="1"/>
  <c r="CO12" i="6"/>
  <c r="CO13" i="6"/>
  <c r="CP13" i="6"/>
  <c r="CP18" i="6"/>
  <c r="CN37" i="1"/>
  <c r="CO18" i="6"/>
  <c r="CM37" i="1"/>
  <c r="CM49" i="1" s="1"/>
  <c r="CQ48" i="1"/>
  <c r="CR11" i="5"/>
  <c r="CR12" i="5" s="1"/>
  <c r="CR17" i="5"/>
  <c r="CR14" i="5" s="1"/>
  <c r="CP48" i="1"/>
  <c r="CP49" i="1" s="1"/>
  <c r="CQ11" i="5"/>
  <c r="CQ17" i="5"/>
  <c r="CO48" i="1"/>
  <c r="CO49" i="1" s="1"/>
  <c r="CP11" i="5"/>
  <c r="CP12" i="5" s="1"/>
  <c r="CP17" i="5"/>
  <c r="CN48" i="1"/>
  <c r="CN49" i="1" s="1"/>
  <c r="CO11" i="5"/>
  <c r="CL49" i="1"/>
  <c r="CS33" i="6"/>
  <c r="CR43" i="5"/>
  <c r="CP43" i="5"/>
  <c r="CQ33" i="6"/>
  <c r="CQ38" i="6"/>
  <c r="CQ12" i="5"/>
  <c r="CP14" i="5"/>
  <c r="CP5" i="6"/>
  <c r="CO5" i="6"/>
  <c r="CR25" i="5"/>
  <c r="CP25" i="5"/>
  <c r="CN29" i="2"/>
  <c r="CN33" i="2" s="1"/>
  <c r="CN35" i="2" s="1"/>
  <c r="CN37" i="2" s="1"/>
  <c r="CQ26" i="6"/>
  <c r="CQ43" i="5"/>
  <c r="CT43" i="5"/>
  <c r="CT37" i="5"/>
  <c r="CU37" i="6" s="1"/>
  <c r="CS37" i="5"/>
  <c r="CR37" i="5"/>
  <c r="CQ37" i="5"/>
  <c r="CP37" i="5"/>
  <c r="CS10" i="6"/>
  <c r="CU30" i="6"/>
  <c r="CU33" i="6"/>
  <c r="CU38" i="6"/>
  <c r="CT25" i="5"/>
  <c r="CU16" i="6"/>
  <c r="CU23" i="6"/>
  <c r="CU15" i="6"/>
  <c r="CU14" i="6"/>
  <c r="CU17" i="6"/>
  <c r="CU22" i="6"/>
  <c r="CU21" i="6"/>
  <c r="CU11" i="6"/>
  <c r="CT4" i="5"/>
  <c r="CQ25" i="6"/>
  <c r="CS5" i="6"/>
  <c r="CS25" i="5"/>
  <c r="CQ27" i="6"/>
  <c r="CS25" i="6"/>
  <c r="CT14" i="5"/>
  <c r="CP19" i="6"/>
  <c r="CU35" i="6"/>
  <c r="CQ28" i="6"/>
  <c r="CT28" i="6"/>
  <c r="CR16" i="6"/>
  <c r="CR22" i="6"/>
  <c r="CR15" i="6"/>
  <c r="CR21" i="6"/>
  <c r="CR14" i="6"/>
  <c r="CR20" i="6"/>
  <c r="CQ4" i="5"/>
  <c r="CQ4" i="6"/>
  <c r="CQ15" i="6"/>
  <c r="CQ21" i="6"/>
  <c r="CQ6" i="6"/>
  <c r="CQ14" i="6"/>
  <c r="CQ20" i="6"/>
  <c r="CQ11" i="6"/>
  <c r="CQ17" i="6"/>
  <c r="CQ23" i="6"/>
  <c r="CQ16" i="6"/>
  <c r="CS35" i="6"/>
  <c r="CT25" i="6"/>
  <c r="CQ22" i="6"/>
  <c r="CT13" i="6"/>
  <c r="CS28" i="6"/>
  <c r="CS4" i="5"/>
  <c r="CT17" i="6"/>
  <c r="CT23" i="6"/>
  <c r="CT20" i="6"/>
  <c r="CU9" i="6"/>
  <c r="CT16" i="6"/>
  <c r="CT22" i="6"/>
  <c r="CT15" i="6"/>
  <c r="CT21" i="6"/>
  <c r="CT14" i="6"/>
  <c r="CR27" i="6"/>
  <c r="CS4" i="6"/>
  <c r="CS13" i="6"/>
  <c r="CQ14" i="5"/>
  <c r="CP4" i="5"/>
  <c r="CT35" i="6"/>
  <c r="CT27" i="6"/>
  <c r="CR17" i="6"/>
  <c r="CR28" i="6"/>
  <c r="CR35" i="6"/>
  <c r="CU27" i="6"/>
  <c r="CR6" i="6"/>
  <c r="CO19" i="6"/>
  <c r="CS27" i="6"/>
  <c r="CR26" i="6"/>
  <c r="CR19" i="6"/>
  <c r="CU4" i="6"/>
  <c r="CU5" i="6"/>
  <c r="CU6" i="6"/>
  <c r="CR4" i="6"/>
  <c r="CJ3" i="2"/>
  <c r="CJ19" i="2" s="1"/>
  <c r="CJ29" i="2" s="1"/>
  <c r="CJ33" i="2" s="1"/>
  <c r="CJ35" i="2" s="1"/>
  <c r="CJ37" i="2" s="1"/>
  <c r="CF20" i="1"/>
  <c r="CG20" i="1"/>
  <c r="CH20" i="1"/>
  <c r="CI20" i="1"/>
  <c r="CJ20" i="1"/>
  <c r="CK20" i="1"/>
  <c r="CL20" i="1"/>
  <c r="CM20" i="1"/>
  <c r="CF13" i="1"/>
  <c r="CG13" i="1"/>
  <c r="CH13" i="1"/>
  <c r="CI13" i="1"/>
  <c r="CJ13" i="1"/>
  <c r="CF8" i="1"/>
  <c r="CG8" i="1"/>
  <c r="CH8" i="1"/>
  <c r="CI8" i="1"/>
  <c r="CJ8" i="1"/>
  <c r="CK8" i="1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Q49" i="1" l="1"/>
  <c r="CT44" i="1"/>
  <c r="CQ39" i="6"/>
  <c r="CQ37" i="6"/>
  <c r="CR39" i="6"/>
  <c r="CR37" i="6"/>
  <c r="CS30" i="6"/>
  <c r="CS37" i="6"/>
  <c r="CS39" i="6"/>
  <c r="CT37" i="6"/>
  <c r="CQ30" i="6"/>
  <c r="CT39" i="6"/>
  <c r="CT30" i="6"/>
  <c r="CR30" i="6"/>
  <c r="CU39" i="6"/>
  <c r="CR9" i="6"/>
  <c r="CT11" i="5"/>
  <c r="CT12" i="5" s="1"/>
  <c r="CU24" i="6"/>
  <c r="CS17" i="6"/>
  <c r="CS23" i="6"/>
  <c r="CS16" i="6"/>
  <c r="CS22" i="6"/>
  <c r="CS14" i="6"/>
  <c r="CS15" i="6"/>
  <c r="CS21" i="6"/>
  <c r="CS20" i="6"/>
  <c r="CS11" i="6"/>
  <c r="CR4" i="5"/>
  <c r="CS36" i="6" s="1"/>
  <c r="CS9" i="6"/>
  <c r="CR24" i="6"/>
  <c r="CU36" i="6"/>
  <c r="CR11" i="6"/>
  <c r="CR36" i="6"/>
  <c r="CS6" i="6"/>
  <c r="CS29" i="6"/>
  <c r="AF13" i="1"/>
  <c r="AG13" i="1"/>
  <c r="AH13" i="1"/>
  <c r="AI13" i="1"/>
  <c r="AJ13" i="1"/>
  <c r="AK13" i="1"/>
  <c r="AL13" i="1"/>
  <c r="AM13" i="1"/>
  <c r="AN13" i="1"/>
  <c r="AO13" i="1"/>
  <c r="AP13" i="1"/>
  <c r="AQ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AH3" i="6"/>
  <c r="AI3" i="6"/>
  <c r="AJ3" i="6"/>
  <c r="AJ19" i="6" s="1"/>
  <c r="AK3" i="6"/>
  <c r="AK19" i="6" s="1"/>
  <c r="AL3" i="6"/>
  <c r="AL19" i="6" s="1"/>
  <c r="AM3" i="6"/>
  <c r="AN3" i="6"/>
  <c r="AO3" i="6"/>
  <c r="AP3" i="6"/>
  <c r="AQ3" i="6"/>
  <c r="AR3" i="6"/>
  <c r="AR19" i="6" s="1"/>
  <c r="AS3" i="6"/>
  <c r="AS19" i="6" s="1"/>
  <c r="AU3" i="6"/>
  <c r="AV3" i="6"/>
  <c r="AW3" i="6"/>
  <c r="AX3" i="6"/>
  <c r="AY3" i="6"/>
  <c r="AZ3" i="6"/>
  <c r="AZ19" i="6" s="1"/>
  <c r="BA3" i="6"/>
  <c r="BA19" i="6" s="1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P19" i="6" s="1"/>
  <c r="BQ3" i="6"/>
  <c r="BR3" i="6"/>
  <c r="BR19" i="6" s="1"/>
  <c r="BS3" i="6"/>
  <c r="BU3" i="6"/>
  <c r="BV3" i="6"/>
  <c r="BW3" i="6"/>
  <c r="BX3" i="6"/>
  <c r="BX19" i="6" s="1"/>
  <c r="BY3" i="6"/>
  <c r="BY19" i="6" s="1"/>
  <c r="BZ3" i="6"/>
  <c r="CA3" i="6"/>
  <c r="CB3" i="6"/>
  <c r="CC3" i="6"/>
  <c r="CD3" i="6"/>
  <c r="CE3" i="6"/>
  <c r="CF3" i="6"/>
  <c r="CF19" i="6" s="1"/>
  <c r="CH3" i="6"/>
  <c r="CI3" i="6"/>
  <c r="CJ3" i="6"/>
  <c r="CK3" i="6"/>
  <c r="CL3" i="6"/>
  <c r="CM3" i="6"/>
  <c r="CN3" i="6"/>
  <c r="CM5" i="6"/>
  <c r="CN5" i="6"/>
  <c r="CM12" i="6"/>
  <c r="CN12" i="6"/>
  <c r="CM13" i="6"/>
  <c r="CN13" i="6"/>
  <c r="CM18" i="6"/>
  <c r="CN18" i="6"/>
  <c r="AH19" i="6"/>
  <c r="AI19" i="6"/>
  <c r="AO19" i="6"/>
  <c r="AP19" i="6"/>
  <c r="AQ19" i="6"/>
  <c r="AW19" i="6"/>
  <c r="AX19" i="6"/>
  <c r="AY19" i="6"/>
  <c r="BE19" i="6"/>
  <c r="BF19" i="6"/>
  <c r="BG19" i="6"/>
  <c r="BH19" i="6"/>
  <c r="BM19" i="6"/>
  <c r="BN19" i="6"/>
  <c r="BO19" i="6"/>
  <c r="BU19" i="6"/>
  <c r="BV19" i="6"/>
  <c r="BW19" i="6"/>
  <c r="CC19" i="6"/>
  <c r="CD19" i="6"/>
  <c r="CE19" i="6"/>
  <c r="CK19" i="6"/>
  <c r="CL19" i="6"/>
  <c r="CM19" i="6"/>
  <c r="CN19" i="6"/>
  <c r="AT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M47" i="5"/>
  <c r="CN47" i="5"/>
  <c r="CO47" i="5"/>
  <c r="CN5" i="5"/>
  <c r="CO5" i="5"/>
  <c r="CN6" i="5"/>
  <c r="CO26" i="6" s="1"/>
  <c r="CO6" i="5"/>
  <c r="CP26" i="6" s="1"/>
  <c r="CN7" i="5"/>
  <c r="CO27" i="6" s="1"/>
  <c r="CO7" i="5"/>
  <c r="CP27" i="6" s="1"/>
  <c r="CN8" i="5"/>
  <c r="CO8" i="5"/>
  <c r="CN15" i="5"/>
  <c r="CO15" i="5"/>
  <c r="CO12" i="5" s="1"/>
  <c r="CN17" i="5"/>
  <c r="CO17" i="5"/>
  <c r="CN18" i="5"/>
  <c r="CO18" i="5"/>
  <c r="CN19" i="5"/>
  <c r="CO19" i="5"/>
  <c r="CN20" i="5"/>
  <c r="CO20" i="5"/>
  <c r="CN22" i="5"/>
  <c r="CN21" i="5" s="1"/>
  <c r="CO22" i="5"/>
  <c r="CO21" i="5" s="1"/>
  <c r="CN27" i="5"/>
  <c r="CN25" i="5" s="1"/>
  <c r="CO27" i="5"/>
  <c r="CO25" i="5" s="1"/>
  <c r="CN30" i="5"/>
  <c r="CO30" i="5"/>
  <c r="CN31" i="5"/>
  <c r="CO31" i="5"/>
  <c r="CN32" i="5"/>
  <c r="CO32" i="5"/>
  <c r="CN34" i="5"/>
  <c r="CO34" i="5"/>
  <c r="CN35" i="5"/>
  <c r="CO35" i="5"/>
  <c r="CN38" i="5"/>
  <c r="CO38" i="6" s="1"/>
  <c r="CO38" i="5"/>
  <c r="CP38" i="6" s="1"/>
  <c r="CN39" i="5"/>
  <c r="CO39" i="5"/>
  <c r="CN40" i="5"/>
  <c r="CO40" i="5"/>
  <c r="CN44" i="5"/>
  <c r="CO33" i="6" s="1"/>
  <c r="CO44" i="5"/>
  <c r="CP33" i="6" s="1"/>
  <c r="CN45" i="5"/>
  <c r="CO34" i="6" s="1"/>
  <c r="CO45" i="5"/>
  <c r="CP34" i="6" s="1"/>
  <c r="CN46" i="5"/>
  <c r="CO46" i="5"/>
  <c r="CF30" i="2"/>
  <c r="CG30" i="2"/>
  <c r="CH30" i="2"/>
  <c r="CI30" i="2"/>
  <c r="CF23" i="2"/>
  <c r="CG23" i="2"/>
  <c r="CH23" i="2"/>
  <c r="CI23" i="2"/>
  <c r="CF20" i="2"/>
  <c r="CG20" i="2"/>
  <c r="CH20" i="2"/>
  <c r="CI20" i="2"/>
  <c r="CL10" i="6"/>
  <c r="CM10" i="6"/>
  <c r="CF12" i="2"/>
  <c r="CG12" i="2"/>
  <c r="CH12" i="2"/>
  <c r="CI12" i="2"/>
  <c r="CF7" i="2"/>
  <c r="CG7" i="2"/>
  <c r="CH7" i="2"/>
  <c r="CI7" i="2"/>
  <c r="CF4" i="2"/>
  <c r="CG4" i="2"/>
  <c r="CH4" i="2"/>
  <c r="CI4" i="2"/>
  <c r="CF3" i="2"/>
  <c r="CF19" i="2" s="1"/>
  <c r="CF29" i="2" s="1"/>
  <c r="CF33" i="2" s="1"/>
  <c r="CF35" i="2" s="1"/>
  <c r="CF37" i="2" s="1"/>
  <c r="CG3" i="2"/>
  <c r="CG19" i="2" s="1"/>
  <c r="CG29" i="2" s="1"/>
  <c r="CG33" i="2" s="1"/>
  <c r="CG35" i="2" s="1"/>
  <c r="CG37" i="2" s="1"/>
  <c r="CH3" i="2"/>
  <c r="CH19" i="2" s="1"/>
  <c r="CH29" i="2" s="1"/>
  <c r="CH33" i="2" s="1"/>
  <c r="CH35" i="2" s="1"/>
  <c r="CH37" i="2" s="1"/>
  <c r="CI3" i="2"/>
  <c r="CI19" i="2" s="1"/>
  <c r="CI29" i="2" s="1"/>
  <c r="CI33" i="2" s="1"/>
  <c r="CI35" i="2" s="1"/>
  <c r="CI37" i="2" s="1"/>
  <c r="CI30" i="1"/>
  <c r="CJ30" i="1"/>
  <c r="CI16" i="1"/>
  <c r="CJ16" i="1"/>
  <c r="CK16" i="1"/>
  <c r="CK26" i="1" s="1"/>
  <c r="CL16" i="1"/>
  <c r="CL26" i="1" s="1"/>
  <c r="CM16" i="1"/>
  <c r="CM26" i="1" s="1"/>
  <c r="CN16" i="1"/>
  <c r="CN26" i="1" s="1"/>
  <c r="CI4" i="1"/>
  <c r="CJ4" i="1"/>
  <c r="CL12" i="6" l="1"/>
  <c r="CL13" i="6"/>
  <c r="CK12" i="6"/>
  <c r="CK13" i="6"/>
  <c r="CP23" i="6"/>
  <c r="CP6" i="6"/>
  <c r="CP14" i="6"/>
  <c r="CP20" i="6"/>
  <c r="CP11" i="6"/>
  <c r="CP16" i="6"/>
  <c r="CP22" i="6"/>
  <c r="CP15" i="6"/>
  <c r="CP17" i="6"/>
  <c r="CP21" i="6"/>
  <c r="CP4" i="6"/>
  <c r="CQ9" i="6"/>
  <c r="CO20" i="6"/>
  <c r="CO23" i="6"/>
  <c r="CO11" i="6"/>
  <c r="CO15" i="6"/>
  <c r="CO21" i="6"/>
  <c r="CO4" i="6"/>
  <c r="CO14" i="6"/>
  <c r="CO22" i="6"/>
  <c r="CO6" i="6"/>
  <c r="CO17" i="6"/>
  <c r="CO16" i="6"/>
  <c r="CP9" i="6"/>
  <c r="CO9" i="6"/>
  <c r="CN16" i="6"/>
  <c r="CJ26" i="1"/>
  <c r="CI26" i="1"/>
  <c r="CK20" i="6" s="1"/>
  <c r="CJ37" i="1"/>
  <c r="CL5" i="6"/>
  <c r="CL18" i="6"/>
  <c r="CI37" i="1"/>
  <c r="CK5" i="6"/>
  <c r="CK18" i="6"/>
  <c r="CK10" i="6"/>
  <c r="CJ10" i="6"/>
  <c r="CI10" i="6"/>
  <c r="CH10" i="6"/>
  <c r="CO43" i="5"/>
  <c r="CN6" i="6"/>
  <c r="CR29" i="6"/>
  <c r="CU29" i="6"/>
  <c r="BB19" i="6"/>
  <c r="CH19" i="6"/>
  <c r="BZ19" i="6"/>
  <c r="BJ19" i="6"/>
  <c r="CT24" i="6"/>
  <c r="CQ35" i="6"/>
  <c r="CP28" i="6"/>
  <c r="CO14" i="5"/>
  <c r="CP25" i="6"/>
  <c r="CO25" i="6"/>
  <c r="CT36" i="6"/>
  <c r="CS24" i="6"/>
  <c r="CP35" i="6"/>
  <c r="CO28" i="6"/>
  <c r="CN14" i="5"/>
  <c r="CN11" i="5" s="1"/>
  <c r="CN12" i="5" s="1"/>
  <c r="BI19" i="6"/>
  <c r="CL4" i="6"/>
  <c r="BQ19" i="6"/>
  <c r="CN10" i="6"/>
  <c r="CN4" i="5"/>
  <c r="CN21" i="6"/>
  <c r="CL21" i="6"/>
  <c r="CK23" i="6"/>
  <c r="CN14" i="6"/>
  <c r="CN22" i="6"/>
  <c r="CN17" i="6"/>
  <c r="CN37" i="5"/>
  <c r="CO37" i="5"/>
  <c r="CN43" i="5"/>
  <c r="CK6" i="6"/>
  <c r="CK16" i="6"/>
  <c r="CK17" i="6"/>
  <c r="CK22" i="6"/>
  <c r="CK14" i="6"/>
  <c r="CK15" i="6"/>
  <c r="CK21" i="6"/>
  <c r="CK4" i="6"/>
  <c r="CM11" i="6"/>
  <c r="CM17" i="6"/>
  <c r="CL20" i="6"/>
  <c r="CM16" i="6"/>
  <c r="CK11" i="6"/>
  <c r="CL6" i="6"/>
  <c r="CM20" i="6"/>
  <c r="CL15" i="6"/>
  <c r="CL11" i="6"/>
  <c r="CM6" i="6"/>
  <c r="CM21" i="6"/>
  <c r="CL16" i="6"/>
  <c r="CN9" i="6"/>
  <c r="CL17" i="6"/>
  <c r="CO4" i="5"/>
  <c r="CN23" i="6"/>
  <c r="CL22" i="6"/>
  <c r="CM14" i="6"/>
  <c r="CN4" i="6"/>
  <c r="CM22" i="6"/>
  <c r="CM23" i="6"/>
  <c r="CN15" i="6"/>
  <c r="CL14" i="6"/>
  <c r="CN11" i="6"/>
  <c r="CM4" i="6"/>
  <c r="CL23" i="6"/>
  <c r="CN20" i="6"/>
  <c r="CM15" i="6"/>
  <c r="CJ19" i="6"/>
  <c r="CB19" i="6"/>
  <c r="BL19" i="6"/>
  <c r="BD19" i="6"/>
  <c r="AV19" i="6"/>
  <c r="AN19" i="6"/>
  <c r="CI19" i="6"/>
  <c r="CA19" i="6"/>
  <c r="BS19" i="6"/>
  <c r="BK19" i="6"/>
  <c r="BC19" i="6"/>
  <c r="AU19" i="6"/>
  <c r="AM19" i="6"/>
  <c r="AF4" i="1"/>
  <c r="AG4" i="1"/>
  <c r="AH4" i="1"/>
  <c r="AI4" i="1"/>
  <c r="AJ4" i="1"/>
  <c r="AK4" i="1"/>
  <c r="AL4" i="1"/>
  <c r="AM4" i="1"/>
  <c r="AN4" i="1"/>
  <c r="AO4" i="1"/>
  <c r="AP4" i="1"/>
  <c r="AQ4" i="1"/>
  <c r="AS4" i="1"/>
  <c r="AT4" i="1"/>
  <c r="AU4" i="1"/>
  <c r="AV4" i="1"/>
  <c r="AW4" i="1"/>
  <c r="AX4" i="1"/>
  <c r="AY4" i="1"/>
  <c r="AZ4" i="1"/>
  <c r="BB12" i="6" s="1"/>
  <c r="BA4" i="1"/>
  <c r="BC12" i="6" s="1"/>
  <c r="BB4" i="1"/>
  <c r="BD12" i="6" s="1"/>
  <c r="BC4" i="1"/>
  <c r="BE12" i="6" s="1"/>
  <c r="BD4" i="1"/>
  <c r="BF12" i="6" s="1"/>
  <c r="BE4" i="1"/>
  <c r="BG12" i="6" s="1"/>
  <c r="BF4" i="1"/>
  <c r="BH12" i="6" s="1"/>
  <c r="BG4" i="1"/>
  <c r="BI12" i="6" s="1"/>
  <c r="BH4" i="1"/>
  <c r="BJ12" i="6" s="1"/>
  <c r="BI4" i="1"/>
  <c r="BK12" i="6" s="1"/>
  <c r="BJ4" i="1"/>
  <c r="BL12" i="6" s="1"/>
  <c r="BK4" i="1"/>
  <c r="BM12" i="6" s="1"/>
  <c r="BL4" i="1"/>
  <c r="BN12" i="6" s="1"/>
  <c r="BM4" i="1"/>
  <c r="BO12" i="6" s="1"/>
  <c r="BN4" i="1"/>
  <c r="BP12" i="6" s="1"/>
  <c r="BO4" i="1"/>
  <c r="BQ12" i="6" s="1"/>
  <c r="BP4" i="1"/>
  <c r="BR12" i="6" s="1"/>
  <c r="BQ4" i="1"/>
  <c r="BS12" i="6" s="1"/>
  <c r="BS4" i="1"/>
  <c r="BU12" i="6" s="1"/>
  <c r="BT4" i="1"/>
  <c r="BV12" i="6" s="1"/>
  <c r="BU4" i="1"/>
  <c r="BW12" i="6" s="1"/>
  <c r="BV4" i="1"/>
  <c r="BX12" i="6" s="1"/>
  <c r="BW4" i="1"/>
  <c r="BY12" i="6" s="1"/>
  <c r="BX4" i="1"/>
  <c r="BZ12" i="6" s="1"/>
  <c r="BY4" i="1"/>
  <c r="CA12" i="6" s="1"/>
  <c r="BZ4" i="1"/>
  <c r="CB12" i="6" s="1"/>
  <c r="CA4" i="1"/>
  <c r="CC12" i="6" s="1"/>
  <c r="CB4" i="1"/>
  <c r="CD12" i="6" s="1"/>
  <c r="CC4" i="1"/>
  <c r="CE12" i="6" s="1"/>
  <c r="CD4" i="1"/>
  <c r="CF12" i="6" s="1"/>
  <c r="CF4" i="1"/>
  <c r="CG4" i="1"/>
  <c r="CH4" i="1"/>
  <c r="CI113" i="1"/>
  <c r="CJ79" i="1"/>
  <c r="CI79" i="1"/>
  <c r="A114" i="1"/>
  <c r="B80" i="1"/>
  <c r="A80" i="1"/>
  <c r="CJ12" i="6" l="1"/>
  <c r="CI12" i="6"/>
  <c r="CH12" i="6"/>
  <c r="BA12" i="6"/>
  <c r="AZ12" i="6"/>
  <c r="AY12" i="6"/>
  <c r="AX12" i="6"/>
  <c r="AW12" i="6"/>
  <c r="AV12" i="6"/>
  <c r="AU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CO39" i="6"/>
  <c r="CO30" i="6"/>
  <c r="CO37" i="6"/>
  <c r="CP39" i="6"/>
  <c r="CP37" i="6"/>
  <c r="CP30" i="6"/>
  <c r="CQ36" i="6"/>
  <c r="CP24" i="6"/>
  <c r="CQ24" i="6"/>
  <c r="CP36" i="6"/>
  <c r="CO29" i="6"/>
  <c r="CP29" i="6"/>
  <c r="CL9" i="6"/>
  <c r="CM9" i="6"/>
  <c r="CR15" i="2"/>
  <c r="CR12" i="2" l="1"/>
  <c r="CS45" i="5"/>
  <c r="CP55" i="1"/>
  <c r="CP57" i="1" s="1"/>
  <c r="CP59" i="1" s="1"/>
  <c r="CK22" i="5"/>
  <c r="CA15" i="5"/>
  <c r="CB15" i="5"/>
  <c r="CC15" i="5"/>
  <c r="CD15" i="5"/>
  <c r="CE15" i="5"/>
  <c r="CG15" i="5"/>
  <c r="CH15" i="5"/>
  <c r="CI15" i="5"/>
  <c r="CJ15" i="5"/>
  <c r="CK15" i="5"/>
  <c r="CL15" i="5"/>
  <c r="CM15" i="5"/>
  <c r="C17" i="7"/>
  <c r="CT34" i="6" l="1"/>
  <c r="CS43" i="5"/>
  <c r="CR19" i="2"/>
  <c r="CT11" i="6"/>
  <c r="C11" i="7"/>
  <c r="C7" i="7"/>
  <c r="C13" i="7" s="1"/>
  <c r="C18" i="7" s="1"/>
  <c r="BN30" i="1"/>
  <c r="BO30" i="1"/>
  <c r="BP30" i="1"/>
  <c r="BQ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F30" i="1"/>
  <c r="BM30" i="1"/>
  <c r="BM37" i="1"/>
  <c r="BM40" i="1"/>
  <c r="BM48" i="1"/>
  <c r="BM49" i="1" s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BO8" i="1"/>
  <c r="BQ13" i="6" s="1"/>
  <c r="BP8" i="1"/>
  <c r="BR13" i="6" s="1"/>
  <c r="BQ8" i="1"/>
  <c r="BS13" i="6" s="1"/>
  <c r="BS8" i="1"/>
  <c r="BU13" i="6" s="1"/>
  <c r="BT8" i="1"/>
  <c r="BU8" i="1"/>
  <c r="BV8" i="1"/>
  <c r="BW8" i="1"/>
  <c r="BX8" i="1"/>
  <c r="BZ13" i="6" s="1"/>
  <c r="BY8" i="1"/>
  <c r="CA13" i="6" s="1"/>
  <c r="BZ8" i="1"/>
  <c r="CB13" i="6" s="1"/>
  <c r="CA8" i="1"/>
  <c r="CC13" i="6" s="1"/>
  <c r="CB8" i="1"/>
  <c r="CC8" i="1"/>
  <c r="CD8" i="1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BO26" i="1" l="1"/>
  <c r="BO5" i="6"/>
  <c r="BO18" i="6"/>
  <c r="CH18" i="6"/>
  <c r="CH5" i="6"/>
  <c r="CH13" i="6"/>
  <c r="CF18" i="6"/>
  <c r="CF5" i="6"/>
  <c r="CD37" i="1"/>
  <c r="CE5" i="6"/>
  <c r="CE18" i="6"/>
  <c r="CC37" i="1"/>
  <c r="CD5" i="6"/>
  <c r="CD18" i="6"/>
  <c r="CB37" i="1"/>
  <c r="CC5" i="6"/>
  <c r="CC18" i="6"/>
  <c r="CA37" i="1"/>
  <c r="CB18" i="6"/>
  <c r="CB5" i="6"/>
  <c r="BZ37" i="1"/>
  <c r="CA18" i="6"/>
  <c r="CA5" i="6"/>
  <c r="BY37" i="1"/>
  <c r="BZ18" i="6"/>
  <c r="BZ5" i="6"/>
  <c r="BX37" i="1"/>
  <c r="BY18" i="6"/>
  <c r="BY5" i="6"/>
  <c r="BW37" i="1"/>
  <c r="BX18" i="6"/>
  <c r="BX5" i="6"/>
  <c r="BV37" i="1"/>
  <c r="BW5" i="6"/>
  <c r="BW18" i="6"/>
  <c r="BU37" i="1"/>
  <c r="BV5" i="6"/>
  <c r="BV18" i="6"/>
  <c r="BT37" i="1"/>
  <c r="BU5" i="6"/>
  <c r="BU18" i="6"/>
  <c r="BS37" i="1"/>
  <c r="BS18" i="6"/>
  <c r="BS5" i="6"/>
  <c r="BQ37" i="1"/>
  <c r="BR18" i="6"/>
  <c r="BR5" i="6"/>
  <c r="BP37" i="1"/>
  <c r="BQ18" i="6"/>
  <c r="BQ5" i="6"/>
  <c r="BO37" i="1"/>
  <c r="BP18" i="6"/>
  <c r="BP5" i="6"/>
  <c r="BN37" i="1"/>
  <c r="CR29" i="2"/>
  <c r="CR33" i="2" s="1"/>
  <c r="CT10" i="6"/>
  <c r="BQ26" i="1"/>
  <c r="BW26" i="1"/>
  <c r="BY13" i="6"/>
  <c r="BS26" i="1"/>
  <c r="CD26" i="1"/>
  <c r="CF13" i="6"/>
  <c r="BV26" i="1"/>
  <c r="BX6" i="6" s="1"/>
  <c r="BX13" i="6"/>
  <c r="CA26" i="1"/>
  <c r="CC26" i="1"/>
  <c r="CE13" i="6"/>
  <c r="BU26" i="1"/>
  <c r="BW13" i="6"/>
  <c r="BZ26" i="1"/>
  <c r="CB16" i="6" s="1"/>
  <c r="CB26" i="1"/>
  <c r="CD13" i="6"/>
  <c r="BT26" i="1"/>
  <c r="BV13" i="6"/>
  <c r="BX26" i="1"/>
  <c r="BX11" i="6"/>
  <c r="BX15" i="6"/>
  <c r="BX21" i="6"/>
  <c r="BX4" i="6"/>
  <c r="BX16" i="6"/>
  <c r="BX14" i="6"/>
  <c r="BX23" i="6"/>
  <c r="BX17" i="6"/>
  <c r="BX22" i="6"/>
  <c r="BW11" i="6"/>
  <c r="BW15" i="6"/>
  <c r="BW21" i="6"/>
  <c r="BW4" i="6"/>
  <c r="BW16" i="6"/>
  <c r="BW20" i="6"/>
  <c r="BW17" i="6"/>
  <c r="BW23" i="6"/>
  <c r="BW22" i="6"/>
  <c r="BW6" i="6"/>
  <c r="BW14" i="6"/>
  <c r="CC16" i="6"/>
  <c r="CC6" i="6"/>
  <c r="CC17" i="6"/>
  <c r="CC22" i="6"/>
  <c r="CC14" i="6"/>
  <c r="CC4" i="6"/>
  <c r="CC11" i="6"/>
  <c r="CC15" i="6"/>
  <c r="CC21" i="6"/>
  <c r="CC20" i="6"/>
  <c r="CC23" i="6"/>
  <c r="CD4" i="6"/>
  <c r="CD11" i="6"/>
  <c r="CD15" i="6"/>
  <c r="CD21" i="6"/>
  <c r="CD16" i="6"/>
  <c r="CD6" i="6"/>
  <c r="CD17" i="6"/>
  <c r="CD22" i="6"/>
  <c r="CD14" i="6"/>
  <c r="CD23" i="6"/>
  <c r="CD20" i="6"/>
  <c r="BV11" i="6"/>
  <c r="BV15" i="6"/>
  <c r="BV21" i="6"/>
  <c r="BV4" i="6"/>
  <c r="BV16" i="6"/>
  <c r="BV17" i="6"/>
  <c r="BV22" i="6"/>
  <c r="BV6" i="6"/>
  <c r="BV14" i="6"/>
  <c r="BV20" i="6"/>
  <c r="BV23" i="6"/>
  <c r="CB15" i="6"/>
  <c r="CB21" i="6"/>
  <c r="BZ17" i="6"/>
  <c r="BZ22" i="6"/>
  <c r="BZ6" i="6"/>
  <c r="BZ14" i="6"/>
  <c r="BZ20" i="6"/>
  <c r="BZ15" i="6"/>
  <c r="BZ21" i="6"/>
  <c r="BZ23" i="6"/>
  <c r="BZ4" i="6"/>
  <c r="BZ16" i="6"/>
  <c r="BU4" i="6"/>
  <c r="BU16" i="6"/>
  <c r="BU17" i="6"/>
  <c r="BU22" i="6"/>
  <c r="BU6" i="6"/>
  <c r="BU14" i="6"/>
  <c r="BU11" i="6"/>
  <c r="BU15" i="6"/>
  <c r="BU21" i="6"/>
  <c r="BU20" i="6"/>
  <c r="BU23" i="6"/>
  <c r="BS17" i="6"/>
  <c r="BS22" i="6"/>
  <c r="BS14" i="6"/>
  <c r="BS20" i="6"/>
  <c r="BS16" i="6"/>
  <c r="BS23" i="6"/>
  <c r="BS21" i="6"/>
  <c r="BS15" i="6"/>
  <c r="BS4" i="6"/>
  <c r="BS6" i="6"/>
  <c r="BQ14" i="6"/>
  <c r="BQ20" i="6"/>
  <c r="BQ6" i="6"/>
  <c r="BQ15" i="6"/>
  <c r="BQ21" i="6"/>
  <c r="BQ4" i="6"/>
  <c r="BQ17" i="6"/>
  <c r="BQ22" i="6"/>
  <c r="BQ16" i="6"/>
  <c r="BQ23" i="6"/>
  <c r="CF20" i="6"/>
  <c r="CF4" i="6"/>
  <c r="CF15" i="6"/>
  <c r="CF21" i="6"/>
  <c r="CF16" i="6"/>
  <c r="CF14" i="6"/>
  <c r="CF17" i="6"/>
  <c r="CF22" i="6"/>
  <c r="CF23" i="6"/>
  <c r="CF6" i="6"/>
  <c r="CE4" i="6"/>
  <c r="CE11" i="6"/>
  <c r="CE15" i="6"/>
  <c r="CE21" i="6"/>
  <c r="CE16" i="6"/>
  <c r="CE6" i="6"/>
  <c r="CE20" i="6"/>
  <c r="CE17" i="6"/>
  <c r="CE22" i="6"/>
  <c r="CE14" i="6"/>
  <c r="CE23" i="6"/>
  <c r="BY6" i="6"/>
  <c r="BY14" i="6"/>
  <c r="BY20" i="6"/>
  <c r="BY11" i="6"/>
  <c r="BY15" i="6"/>
  <c r="BY21" i="6"/>
  <c r="BY17" i="6"/>
  <c r="BY22" i="6"/>
  <c r="BY4" i="6"/>
  <c r="BY16" i="6"/>
  <c r="BY23" i="6"/>
  <c r="CE4" i="5"/>
  <c r="CC4" i="5"/>
  <c r="BY26" i="1"/>
  <c r="BZ11" i="6" s="1"/>
  <c r="BP26" i="1"/>
  <c r="CD4" i="5"/>
  <c r="CB4" i="5"/>
  <c r="CA4" i="5"/>
  <c r="CL64" i="1"/>
  <c r="CR35" i="2" l="1"/>
  <c r="CR37" i="2" s="1"/>
  <c r="CT9" i="6"/>
  <c r="CB23" i="6"/>
  <c r="CB20" i="6"/>
  <c r="CB14" i="6"/>
  <c r="BX20" i="6"/>
  <c r="CB6" i="6"/>
  <c r="CB22" i="6"/>
  <c r="CB4" i="6"/>
  <c r="CB17" i="6"/>
  <c r="CB11" i="6"/>
  <c r="BR4" i="6"/>
  <c r="BR17" i="6"/>
  <c r="BR22" i="6"/>
  <c r="BR14" i="6"/>
  <c r="BR20" i="6"/>
  <c r="BR6" i="6"/>
  <c r="BR11" i="6"/>
  <c r="BR15" i="6"/>
  <c r="BR21" i="6"/>
  <c r="BR23" i="6"/>
  <c r="BR16" i="6"/>
  <c r="BQ11" i="6"/>
  <c r="CF24" i="6"/>
  <c r="CA17" i="6"/>
  <c r="CA22" i="6"/>
  <c r="CA14" i="6"/>
  <c r="CA20" i="6"/>
  <c r="CA16" i="6"/>
  <c r="CA23" i="6"/>
  <c r="CA11" i="6"/>
  <c r="CA21" i="6"/>
  <c r="CA15" i="6"/>
  <c r="CA4" i="6"/>
  <c r="CA6" i="6"/>
  <c r="CD24" i="6"/>
  <c r="CC24" i="6"/>
  <c r="CE24" i="6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M26" i="6" s="1"/>
  <c r="AP6" i="5"/>
  <c r="AQ6" i="5"/>
  <c r="AR6" i="5"/>
  <c r="AS6" i="5"/>
  <c r="AT6" i="5"/>
  <c r="AU6" i="5"/>
  <c r="AV6" i="5"/>
  <c r="AW6" i="5"/>
  <c r="AU26" i="6" s="1"/>
  <c r="AX6" i="5"/>
  <c r="AY6" i="5"/>
  <c r="AZ6" i="5"/>
  <c r="BA6" i="5"/>
  <c r="BB6" i="5"/>
  <c r="BC6" i="5"/>
  <c r="BD6" i="5"/>
  <c r="BE6" i="5"/>
  <c r="BC26" i="6" s="1"/>
  <c r="BF6" i="5"/>
  <c r="BG6" i="5"/>
  <c r="BH6" i="5"/>
  <c r="BI6" i="5"/>
  <c r="BJ6" i="5"/>
  <c r="BK6" i="5"/>
  <c r="BL6" i="5"/>
  <c r="BM6" i="5"/>
  <c r="BK26" i="6" s="1"/>
  <c r="BN6" i="5"/>
  <c r="BO6" i="5"/>
  <c r="BP6" i="5"/>
  <c r="BQ6" i="5"/>
  <c r="BR6" i="5"/>
  <c r="BS6" i="5"/>
  <c r="BT6" i="5"/>
  <c r="BU6" i="5"/>
  <c r="BS26" i="6" s="1"/>
  <c r="BV6" i="5"/>
  <c r="BW6" i="5"/>
  <c r="BX6" i="5"/>
  <c r="BY6" i="5"/>
  <c r="BZ6" i="5"/>
  <c r="CA6" i="5"/>
  <c r="CB6" i="5"/>
  <c r="CC6" i="5"/>
  <c r="CA26" i="6" s="1"/>
  <c r="CD6" i="5"/>
  <c r="CE6" i="5"/>
  <c r="CF6" i="5"/>
  <c r="CG6" i="5"/>
  <c r="CH6" i="5"/>
  <c r="CI6" i="5"/>
  <c r="CJ6" i="5"/>
  <c r="CK6" i="5"/>
  <c r="CL6" i="5"/>
  <c r="CM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G7" i="5"/>
  <c r="AH7" i="5"/>
  <c r="AI7" i="5"/>
  <c r="AJ7" i="5"/>
  <c r="AK7" i="5"/>
  <c r="AL7" i="5"/>
  <c r="AM7" i="5"/>
  <c r="AN7" i="5"/>
  <c r="AO7" i="5"/>
  <c r="AP7" i="5"/>
  <c r="AQ7" i="5"/>
  <c r="AO27" i="6" s="1"/>
  <c r="AR7" i="5"/>
  <c r="AT7" i="5"/>
  <c r="AR27" i="6" s="1"/>
  <c r="AU7" i="5"/>
  <c r="AV7" i="5"/>
  <c r="AW7" i="5"/>
  <c r="AX7" i="5"/>
  <c r="AY7" i="5"/>
  <c r="AZ7" i="5"/>
  <c r="AX27" i="6" s="1"/>
  <c r="BA7" i="5"/>
  <c r="BB7" i="5"/>
  <c r="BC7" i="5"/>
  <c r="BD7" i="5"/>
  <c r="BE7" i="5"/>
  <c r="BF7" i="5"/>
  <c r="BG7" i="5"/>
  <c r="BH7" i="5"/>
  <c r="BF27" i="6" s="1"/>
  <c r="BI7" i="5"/>
  <c r="BJ7" i="5"/>
  <c r="BK7" i="5"/>
  <c r="BL7" i="5"/>
  <c r="BM7" i="5"/>
  <c r="BN7" i="5"/>
  <c r="BO7" i="5"/>
  <c r="BP7" i="5"/>
  <c r="BN27" i="6" s="1"/>
  <c r="BQ7" i="5"/>
  <c r="BR7" i="5"/>
  <c r="BT7" i="5"/>
  <c r="BU7" i="5"/>
  <c r="BV7" i="5"/>
  <c r="BW7" i="5"/>
  <c r="BX7" i="5"/>
  <c r="BY7" i="5"/>
  <c r="BW27" i="6" s="1"/>
  <c r="BZ7" i="5"/>
  <c r="CA7" i="5"/>
  <c r="CB7" i="5"/>
  <c r="CC7" i="5"/>
  <c r="CD7" i="5"/>
  <c r="CE7" i="5"/>
  <c r="CG7" i="5"/>
  <c r="CE27" i="6" s="1"/>
  <c r="CH7" i="5"/>
  <c r="CI7" i="5"/>
  <c r="CJ7" i="5"/>
  <c r="CK7" i="5"/>
  <c r="CL7" i="5"/>
  <c r="CM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T15" i="5"/>
  <c r="BU15" i="5"/>
  <c r="BV15" i="5"/>
  <c r="BW15" i="5"/>
  <c r="BX15" i="5"/>
  <c r="BY15" i="5"/>
  <c r="BZ15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CA17" i="5"/>
  <c r="CB17" i="5"/>
  <c r="CC17" i="5"/>
  <c r="CD17" i="5"/>
  <c r="CE17" i="5"/>
  <c r="CF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D22" i="5"/>
  <c r="D21" i="5" s="1"/>
  <c r="E22" i="5"/>
  <c r="E21" i="5" s="1"/>
  <c r="F22" i="5"/>
  <c r="F21" i="5" s="1"/>
  <c r="G22" i="5"/>
  <c r="G21" i="5" s="1"/>
  <c r="H22" i="5"/>
  <c r="H21" i="5" s="1"/>
  <c r="I22" i="5"/>
  <c r="I21" i="5" s="1"/>
  <c r="J22" i="5"/>
  <c r="J21" i="5" s="1"/>
  <c r="K22" i="5"/>
  <c r="K21" i="5" s="1"/>
  <c r="L22" i="5"/>
  <c r="L21" i="5" s="1"/>
  <c r="M22" i="5"/>
  <c r="M21" i="5" s="1"/>
  <c r="N22" i="5"/>
  <c r="N21" i="5" s="1"/>
  <c r="O22" i="5"/>
  <c r="O21" i="5" s="1"/>
  <c r="P22" i="5"/>
  <c r="P21" i="5" s="1"/>
  <c r="Q22" i="5"/>
  <c r="Q21" i="5" s="1"/>
  <c r="R22" i="5"/>
  <c r="R21" i="5" s="1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AB22" i="5"/>
  <c r="AB21" i="5" s="1"/>
  <c r="AC22" i="5"/>
  <c r="AC21" i="5" s="1"/>
  <c r="AD22" i="5"/>
  <c r="AD21" i="5" s="1"/>
  <c r="AE22" i="5"/>
  <c r="AE21" i="5" s="1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Q22" i="5"/>
  <c r="AQ21" i="5" s="1"/>
  <c r="AR22" i="5"/>
  <c r="AR21" i="5" s="1"/>
  <c r="AS22" i="5"/>
  <c r="AS21" i="5" s="1"/>
  <c r="AT22" i="5"/>
  <c r="AT21" i="5" s="1"/>
  <c r="AU22" i="5"/>
  <c r="AU21" i="5" s="1"/>
  <c r="AV22" i="5"/>
  <c r="AV21" i="5" s="1"/>
  <c r="AW22" i="5"/>
  <c r="AW21" i="5" s="1"/>
  <c r="AX22" i="5"/>
  <c r="AX21" i="5" s="1"/>
  <c r="AY22" i="5"/>
  <c r="AY21" i="5" s="1"/>
  <c r="AZ22" i="5"/>
  <c r="AZ21" i="5" s="1"/>
  <c r="BA22" i="5"/>
  <c r="BA21" i="5" s="1"/>
  <c r="BB22" i="5"/>
  <c r="BB21" i="5" s="1"/>
  <c r="BC22" i="5"/>
  <c r="BC21" i="5" s="1"/>
  <c r="BD22" i="5"/>
  <c r="BD21" i="5" s="1"/>
  <c r="BE22" i="5"/>
  <c r="BE21" i="5" s="1"/>
  <c r="BF22" i="5"/>
  <c r="BF21" i="5" s="1"/>
  <c r="BG22" i="5"/>
  <c r="BG21" i="5" s="1"/>
  <c r="BH22" i="5"/>
  <c r="BH21" i="5" s="1"/>
  <c r="BI22" i="5"/>
  <c r="BI21" i="5" s="1"/>
  <c r="BJ22" i="5"/>
  <c r="BJ21" i="5" s="1"/>
  <c r="BK22" i="5"/>
  <c r="BK21" i="5" s="1"/>
  <c r="BL22" i="5"/>
  <c r="BL21" i="5" s="1"/>
  <c r="BM22" i="5"/>
  <c r="BM21" i="5" s="1"/>
  <c r="BN22" i="5"/>
  <c r="BN21" i="5" s="1"/>
  <c r="BO22" i="5"/>
  <c r="BO21" i="5" s="1"/>
  <c r="BP22" i="5"/>
  <c r="BP21" i="5" s="1"/>
  <c r="BQ22" i="5"/>
  <c r="BQ21" i="5" s="1"/>
  <c r="BR22" i="5"/>
  <c r="BR21" i="5" s="1"/>
  <c r="BS22" i="5"/>
  <c r="BS21" i="5" s="1"/>
  <c r="BT22" i="5"/>
  <c r="BT21" i="5" s="1"/>
  <c r="BU22" i="5"/>
  <c r="BU21" i="5" s="1"/>
  <c r="BV22" i="5"/>
  <c r="BV21" i="5" s="1"/>
  <c r="BW22" i="5"/>
  <c r="BW21" i="5" s="1"/>
  <c r="BX22" i="5"/>
  <c r="BX21" i="5" s="1"/>
  <c r="BY22" i="5"/>
  <c r="BY21" i="5" s="1"/>
  <c r="BZ22" i="5"/>
  <c r="BZ21" i="5" s="1"/>
  <c r="CA22" i="5"/>
  <c r="CA21" i="5" s="1"/>
  <c r="CB22" i="5"/>
  <c r="CB21" i="5" s="1"/>
  <c r="CC22" i="5"/>
  <c r="CC21" i="5" s="1"/>
  <c r="CD22" i="5"/>
  <c r="CD21" i="5" s="1"/>
  <c r="CE22" i="5"/>
  <c r="CE21" i="5" s="1"/>
  <c r="CF22" i="5"/>
  <c r="CF21" i="5" s="1"/>
  <c r="CG22" i="5"/>
  <c r="CG21" i="5" s="1"/>
  <c r="CH22" i="5"/>
  <c r="CH21" i="5" s="1"/>
  <c r="CI22" i="5"/>
  <c r="CI21" i="5" s="1"/>
  <c r="CJ22" i="5"/>
  <c r="CJ21" i="5" s="1"/>
  <c r="CK21" i="5"/>
  <c r="CL22" i="5"/>
  <c r="CL21" i="5" s="1"/>
  <c r="CM22" i="5"/>
  <c r="CM21" i="5" s="1"/>
  <c r="D27" i="5"/>
  <c r="D25" i="5" s="1"/>
  <c r="E27" i="5"/>
  <c r="E25" i="5" s="1"/>
  <c r="F27" i="5"/>
  <c r="F25" i="5" s="1"/>
  <c r="G27" i="5"/>
  <c r="G25" i="5" s="1"/>
  <c r="H27" i="5"/>
  <c r="H25" i="5" s="1"/>
  <c r="I27" i="5"/>
  <c r="I25" i="5" s="1"/>
  <c r="J27" i="5"/>
  <c r="J25" i="5" s="1"/>
  <c r="K27" i="5"/>
  <c r="K25" i="5" s="1"/>
  <c r="L27" i="5"/>
  <c r="L25" i="5" s="1"/>
  <c r="M27" i="5"/>
  <c r="M25" i="5" s="1"/>
  <c r="N27" i="5"/>
  <c r="N25" i="5" s="1"/>
  <c r="O27" i="5"/>
  <c r="O25" i="5" s="1"/>
  <c r="P27" i="5"/>
  <c r="P25" i="5" s="1"/>
  <c r="Q27" i="5"/>
  <c r="Q25" i="5" s="1"/>
  <c r="R27" i="5"/>
  <c r="R25" i="5" s="1"/>
  <c r="S27" i="5"/>
  <c r="S25" i="5" s="1"/>
  <c r="T27" i="5"/>
  <c r="T25" i="5" s="1"/>
  <c r="U27" i="5"/>
  <c r="U25" i="5" s="1"/>
  <c r="V27" i="5"/>
  <c r="V25" i="5" s="1"/>
  <c r="W27" i="5"/>
  <c r="W25" i="5" s="1"/>
  <c r="X27" i="5"/>
  <c r="X25" i="5" s="1"/>
  <c r="Y27" i="5"/>
  <c r="Y25" i="5" s="1"/>
  <c r="Z27" i="5"/>
  <c r="Z25" i="5" s="1"/>
  <c r="AA27" i="5"/>
  <c r="AA25" i="5" s="1"/>
  <c r="AB27" i="5"/>
  <c r="AB25" i="5" s="1"/>
  <c r="AC27" i="5"/>
  <c r="AC25" i="5" s="1"/>
  <c r="AD27" i="5"/>
  <c r="AD25" i="5" s="1"/>
  <c r="AE27" i="5"/>
  <c r="AE25" i="5" s="1"/>
  <c r="AF27" i="5"/>
  <c r="AG27" i="5"/>
  <c r="AG25" i="5" s="1"/>
  <c r="AH27" i="5"/>
  <c r="AH25" i="5" s="1"/>
  <c r="AI27" i="5"/>
  <c r="AI25" i="5" s="1"/>
  <c r="AJ27" i="5"/>
  <c r="AJ25" i="5" s="1"/>
  <c r="AK27" i="5"/>
  <c r="AK25" i="5" s="1"/>
  <c r="AL27" i="5"/>
  <c r="AL25" i="5" s="1"/>
  <c r="AM27" i="5"/>
  <c r="AM25" i="5" s="1"/>
  <c r="AN27" i="5"/>
  <c r="AN25" i="5" s="1"/>
  <c r="AO27" i="5"/>
  <c r="AO25" i="5" s="1"/>
  <c r="AP27" i="5"/>
  <c r="AP25" i="5" s="1"/>
  <c r="AQ27" i="5"/>
  <c r="AQ25" i="5" s="1"/>
  <c r="AR27" i="5"/>
  <c r="AR25" i="5" s="1"/>
  <c r="AS27" i="5"/>
  <c r="AT27" i="5"/>
  <c r="AT25" i="5" s="1"/>
  <c r="AU27" i="5"/>
  <c r="AU25" i="5" s="1"/>
  <c r="AV27" i="5"/>
  <c r="AV25" i="5" s="1"/>
  <c r="AW27" i="5"/>
  <c r="AW25" i="5" s="1"/>
  <c r="AX27" i="5"/>
  <c r="AX25" i="5" s="1"/>
  <c r="AY27" i="5"/>
  <c r="AY25" i="5" s="1"/>
  <c r="AZ27" i="5"/>
  <c r="AZ25" i="5" s="1"/>
  <c r="BA27" i="5"/>
  <c r="BA25" i="5" s="1"/>
  <c r="BB27" i="5"/>
  <c r="BB25" i="5" s="1"/>
  <c r="BC27" i="5"/>
  <c r="BC25" i="5" s="1"/>
  <c r="BD27" i="5"/>
  <c r="BD25" i="5" s="1"/>
  <c r="BE27" i="5"/>
  <c r="BE25" i="5" s="1"/>
  <c r="BF27" i="5"/>
  <c r="BF25" i="5" s="1"/>
  <c r="BG27" i="5"/>
  <c r="BG25" i="5" s="1"/>
  <c r="BH27" i="5"/>
  <c r="BH25" i="5" s="1"/>
  <c r="BI27" i="5"/>
  <c r="BI25" i="5" s="1"/>
  <c r="BJ27" i="5"/>
  <c r="BJ25" i="5" s="1"/>
  <c r="BK27" i="5"/>
  <c r="BK25" i="5" s="1"/>
  <c r="BL27" i="5"/>
  <c r="BL25" i="5" s="1"/>
  <c r="BM27" i="5"/>
  <c r="BM25" i="5" s="1"/>
  <c r="BN27" i="5"/>
  <c r="BN25" i="5" s="1"/>
  <c r="BO27" i="5"/>
  <c r="BO25" i="5" s="1"/>
  <c r="BP27" i="5"/>
  <c r="BP25" i="5" s="1"/>
  <c r="BQ27" i="5"/>
  <c r="BQ25" i="5" s="1"/>
  <c r="BR27" i="5"/>
  <c r="BR25" i="5" s="1"/>
  <c r="BS27" i="5"/>
  <c r="BT27" i="5"/>
  <c r="BT25" i="5" s="1"/>
  <c r="BU27" i="5"/>
  <c r="BU25" i="5" s="1"/>
  <c r="BV27" i="5"/>
  <c r="BV25" i="5" s="1"/>
  <c r="BW27" i="5"/>
  <c r="BW25" i="5" s="1"/>
  <c r="BX27" i="5"/>
  <c r="BX25" i="5" s="1"/>
  <c r="BY27" i="5"/>
  <c r="BY25" i="5" s="1"/>
  <c r="BZ27" i="5"/>
  <c r="BZ25" i="5" s="1"/>
  <c r="CA27" i="5"/>
  <c r="CA25" i="5" s="1"/>
  <c r="CB27" i="5"/>
  <c r="CB25" i="5" s="1"/>
  <c r="CC27" i="5"/>
  <c r="CC25" i="5" s="1"/>
  <c r="CD27" i="5"/>
  <c r="CD25" i="5" s="1"/>
  <c r="CE27" i="5"/>
  <c r="CE25" i="5" s="1"/>
  <c r="CF27" i="5"/>
  <c r="CG27" i="5"/>
  <c r="CG25" i="5" s="1"/>
  <c r="CH27" i="5"/>
  <c r="CH25" i="5" s="1"/>
  <c r="CI27" i="5"/>
  <c r="CI25" i="5" s="1"/>
  <c r="CJ27" i="5"/>
  <c r="CJ25" i="5" s="1"/>
  <c r="CK27" i="5"/>
  <c r="CK25" i="5" s="1"/>
  <c r="CL27" i="5"/>
  <c r="CL25" i="5" s="1"/>
  <c r="CM27" i="5"/>
  <c r="CM25" i="5" s="1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N28" i="6" s="1"/>
  <c r="AQ31" i="5"/>
  <c r="AR31" i="5"/>
  <c r="AT31" i="5"/>
  <c r="AU31" i="5"/>
  <c r="AV31" i="5"/>
  <c r="AW31" i="5"/>
  <c r="AX31" i="5"/>
  <c r="AY31" i="5"/>
  <c r="AW28" i="6" s="1"/>
  <c r="AZ31" i="5"/>
  <c r="BA31" i="5"/>
  <c r="BB31" i="5"/>
  <c r="BC31" i="5"/>
  <c r="BD31" i="5"/>
  <c r="BE31" i="5"/>
  <c r="BF31" i="5"/>
  <c r="BG31" i="5"/>
  <c r="BE28" i="6" s="1"/>
  <c r="BH31" i="5"/>
  <c r="BI31" i="5"/>
  <c r="BJ31" i="5"/>
  <c r="BK31" i="5"/>
  <c r="BL31" i="5"/>
  <c r="BM31" i="5"/>
  <c r="BN31" i="5"/>
  <c r="BO31" i="5"/>
  <c r="BM28" i="6" s="1"/>
  <c r="BP31" i="5"/>
  <c r="BQ31" i="5"/>
  <c r="BR31" i="5"/>
  <c r="BS31" i="5"/>
  <c r="BT31" i="5"/>
  <c r="BU31" i="5"/>
  <c r="BV31" i="5"/>
  <c r="BW31" i="5"/>
  <c r="BU28" i="6" s="1"/>
  <c r="BX31" i="5"/>
  <c r="BY31" i="5"/>
  <c r="BZ31" i="5"/>
  <c r="CA31" i="5"/>
  <c r="CB31" i="5"/>
  <c r="CC31" i="5"/>
  <c r="CD31" i="5"/>
  <c r="CE31" i="5"/>
  <c r="CC28" i="6" s="1"/>
  <c r="CF31" i="5"/>
  <c r="CG31" i="5"/>
  <c r="CH31" i="5"/>
  <c r="CI31" i="5"/>
  <c r="CJ31" i="5"/>
  <c r="CK31" i="5"/>
  <c r="CL31" i="5"/>
  <c r="CM31" i="5"/>
  <c r="CO35" i="6" s="1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6" s="1"/>
  <c r="AJ38" i="5"/>
  <c r="AK38" i="5"/>
  <c r="AL38" i="6" s="1"/>
  <c r="AL38" i="5"/>
  <c r="AM38" i="5"/>
  <c r="AN38" i="5"/>
  <c r="AO38" i="6" s="1"/>
  <c r="AO38" i="5"/>
  <c r="AP38" i="5"/>
  <c r="AQ38" i="5"/>
  <c r="AR38" i="6" s="1"/>
  <c r="AR38" i="5"/>
  <c r="AS38" i="5"/>
  <c r="AT38" i="5"/>
  <c r="AU38" i="5"/>
  <c r="AV38" i="5"/>
  <c r="AW38" i="6" s="1"/>
  <c r="AW38" i="5"/>
  <c r="AX38" i="5"/>
  <c r="AY38" i="5"/>
  <c r="AZ38" i="5"/>
  <c r="BA38" i="5"/>
  <c r="BB38" i="6" s="1"/>
  <c r="BB38" i="5"/>
  <c r="BC38" i="5"/>
  <c r="BD38" i="5"/>
  <c r="BE38" i="6" s="1"/>
  <c r="BE38" i="5"/>
  <c r="BF38" i="6" s="1"/>
  <c r="BF38" i="5"/>
  <c r="BG38" i="5"/>
  <c r="BH38" i="6" s="1"/>
  <c r="BH38" i="5"/>
  <c r="BI38" i="5"/>
  <c r="BJ38" i="6" s="1"/>
  <c r="BJ38" i="5"/>
  <c r="BK38" i="5"/>
  <c r="BL38" i="5"/>
  <c r="BM38" i="6" s="1"/>
  <c r="BM38" i="5"/>
  <c r="BN38" i="5"/>
  <c r="BO38" i="5"/>
  <c r="BP38" i="6" s="1"/>
  <c r="BP38" i="5"/>
  <c r="BQ38" i="5"/>
  <c r="BR38" i="6" s="1"/>
  <c r="BR38" i="5"/>
  <c r="BS38" i="5"/>
  <c r="BT38" i="5"/>
  <c r="BU38" i="5"/>
  <c r="BV38" i="6" s="1"/>
  <c r="BV38" i="5"/>
  <c r="BW38" i="5"/>
  <c r="BX38" i="5"/>
  <c r="BY38" i="5"/>
  <c r="BZ38" i="6" s="1"/>
  <c r="BZ38" i="5"/>
  <c r="CA38" i="5"/>
  <c r="CB38" i="5"/>
  <c r="CC38" i="6" s="1"/>
  <c r="CC38" i="5"/>
  <c r="CD38" i="5"/>
  <c r="CE38" i="5"/>
  <c r="CF38" i="6" s="1"/>
  <c r="CF38" i="5"/>
  <c r="CG38" i="5"/>
  <c r="CH38" i="6" s="1"/>
  <c r="CH38" i="5"/>
  <c r="CI38" i="6" s="1"/>
  <c r="CI38" i="5"/>
  <c r="CJ38" i="6" s="1"/>
  <c r="CJ38" i="5"/>
  <c r="CK38" i="6" s="1"/>
  <c r="CK38" i="5"/>
  <c r="CL38" i="6" s="1"/>
  <c r="CL38" i="5"/>
  <c r="CM38" i="6" s="1"/>
  <c r="CM38" i="5"/>
  <c r="CN38" i="6" s="1"/>
  <c r="E39" i="5"/>
  <c r="CG39" i="5"/>
  <c r="CH39" i="5"/>
  <c r="CI39" i="5"/>
  <c r="CJ39" i="5"/>
  <c r="CK39" i="5"/>
  <c r="CL39" i="5"/>
  <c r="CM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33" i="6" s="1"/>
  <c r="AH44" i="5"/>
  <c r="AI44" i="5"/>
  <c r="AJ44" i="5"/>
  <c r="AK44" i="5"/>
  <c r="AL33" i="6" s="1"/>
  <c r="AL44" i="5"/>
  <c r="AM44" i="5"/>
  <c r="AN33" i="6" s="1"/>
  <c r="AN44" i="5"/>
  <c r="AO33" i="6" s="1"/>
  <c r="AO44" i="5"/>
  <c r="AP33" i="6" s="1"/>
  <c r="AP44" i="5"/>
  <c r="AQ44" i="5"/>
  <c r="AR44" i="5"/>
  <c r="AS44" i="5"/>
  <c r="AT33" i="6" s="1"/>
  <c r="AT44" i="5"/>
  <c r="AU44" i="5"/>
  <c r="AV33" i="6" s="1"/>
  <c r="AV44" i="5"/>
  <c r="AW33" i="6" s="1"/>
  <c r="AW44" i="5"/>
  <c r="AX44" i="5"/>
  <c r="AY44" i="5"/>
  <c r="AZ44" i="5"/>
  <c r="BA44" i="5"/>
  <c r="BB33" i="6" s="1"/>
  <c r="BB44" i="5"/>
  <c r="BC44" i="5"/>
  <c r="BD33" i="6" s="1"/>
  <c r="BD44" i="5"/>
  <c r="BE33" i="6" s="1"/>
  <c r="BE44" i="5"/>
  <c r="BF44" i="5"/>
  <c r="BG44" i="5"/>
  <c r="BH44" i="5"/>
  <c r="BI44" i="5"/>
  <c r="BJ33" i="6" s="1"/>
  <c r="BJ44" i="5"/>
  <c r="BK44" i="5"/>
  <c r="BL33" i="6" s="1"/>
  <c r="BL44" i="5"/>
  <c r="BM33" i="6" s="1"/>
  <c r="BM44" i="5"/>
  <c r="BN33" i="6" s="1"/>
  <c r="BN44" i="5"/>
  <c r="BO44" i="5"/>
  <c r="BP44" i="5"/>
  <c r="BQ33" i="6" s="1"/>
  <c r="BQ44" i="5"/>
  <c r="BR44" i="5"/>
  <c r="BS44" i="5"/>
  <c r="BT33" i="6" s="1"/>
  <c r="BT44" i="5"/>
  <c r="BU33" i="6" s="1"/>
  <c r="BU44" i="5"/>
  <c r="BV33" i="6" s="1"/>
  <c r="BV44" i="5"/>
  <c r="BW44" i="5"/>
  <c r="BX33" i="6" s="1"/>
  <c r="BX44" i="5"/>
  <c r="BY33" i="6" s="1"/>
  <c r="BY44" i="5"/>
  <c r="BZ33" i="6" s="1"/>
  <c r="BZ44" i="5"/>
  <c r="CA44" i="5"/>
  <c r="CB33" i="6" s="1"/>
  <c r="CB44" i="5"/>
  <c r="CC33" i="6" s="1"/>
  <c r="CC44" i="5"/>
  <c r="CD33" i="6" s="1"/>
  <c r="CD44" i="5"/>
  <c r="CE44" i="5"/>
  <c r="CF44" i="5"/>
  <c r="CG33" i="6" s="1"/>
  <c r="CG44" i="5"/>
  <c r="CH33" i="6" s="1"/>
  <c r="CH44" i="5"/>
  <c r="CI33" i="6" s="1"/>
  <c r="CI44" i="5"/>
  <c r="CJ33" i="6" s="1"/>
  <c r="CJ44" i="5"/>
  <c r="CK33" i="6" s="1"/>
  <c r="CK44" i="5"/>
  <c r="CL33" i="6" s="1"/>
  <c r="CL44" i="5"/>
  <c r="CM44" i="5"/>
  <c r="CN33" i="6" s="1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34" i="6" s="1"/>
  <c r="AI45" i="5"/>
  <c r="AJ34" i="6" s="1"/>
  <c r="AJ45" i="5"/>
  <c r="AK34" i="6" s="1"/>
  <c r="AK45" i="5"/>
  <c r="AL34" i="6" s="1"/>
  <c r="AL45" i="5"/>
  <c r="AM34" i="6" s="1"/>
  <c r="AM45" i="5"/>
  <c r="AN34" i="6" s="1"/>
  <c r="AN45" i="5"/>
  <c r="AO34" i="6" s="1"/>
  <c r="AO45" i="5"/>
  <c r="AP45" i="5"/>
  <c r="AQ34" i="6" s="1"/>
  <c r="AQ45" i="5"/>
  <c r="AR34" i="6" s="1"/>
  <c r="AR45" i="5"/>
  <c r="AS34" i="6" s="1"/>
  <c r="AS45" i="5"/>
  <c r="AT45" i="5"/>
  <c r="AU45" i="5"/>
  <c r="AV34" i="6" s="1"/>
  <c r="AV45" i="5"/>
  <c r="AW34" i="6" s="1"/>
  <c r="AW45" i="5"/>
  <c r="AX34" i="6" s="1"/>
  <c r="AX45" i="5"/>
  <c r="AY34" i="6" s="1"/>
  <c r="AY45" i="5"/>
  <c r="AZ34" i="6" s="1"/>
  <c r="AZ45" i="5"/>
  <c r="BA34" i="6" s="1"/>
  <c r="BA45" i="5"/>
  <c r="BB34" i="6" s="1"/>
  <c r="BB45" i="5"/>
  <c r="BC34" i="6" s="1"/>
  <c r="BC45" i="5"/>
  <c r="BD34" i="6" s="1"/>
  <c r="BD45" i="5"/>
  <c r="BE34" i="6" s="1"/>
  <c r="BE45" i="5"/>
  <c r="BF34" i="6" s="1"/>
  <c r="BF45" i="5"/>
  <c r="BG34" i="6" s="1"/>
  <c r="BG45" i="5"/>
  <c r="BH34" i="6" s="1"/>
  <c r="BH45" i="5"/>
  <c r="BI34" i="6" s="1"/>
  <c r="BI45" i="5"/>
  <c r="BJ45" i="5"/>
  <c r="BK34" i="6" s="1"/>
  <c r="BK45" i="5"/>
  <c r="BL34" i="6" s="1"/>
  <c r="BL45" i="5"/>
  <c r="BM34" i="6" s="1"/>
  <c r="BM45" i="5"/>
  <c r="BN45" i="5"/>
  <c r="BO34" i="6" s="1"/>
  <c r="BO45" i="5"/>
  <c r="BP34" i="6" s="1"/>
  <c r="BP45" i="5"/>
  <c r="BQ34" i="6" s="1"/>
  <c r="BQ45" i="5"/>
  <c r="BR34" i="6" s="1"/>
  <c r="BR45" i="5"/>
  <c r="BS34" i="6" s="1"/>
  <c r="BS45" i="5"/>
  <c r="BT45" i="5"/>
  <c r="BU45" i="5"/>
  <c r="BV45" i="5"/>
  <c r="BW34" i="6" s="1"/>
  <c r="BW45" i="5"/>
  <c r="BX34" i="6" s="1"/>
  <c r="BX45" i="5"/>
  <c r="BY34" i="6" s="1"/>
  <c r="BY45" i="5"/>
  <c r="BZ34" i="6" s="1"/>
  <c r="BZ45" i="5"/>
  <c r="CA34" i="6" s="1"/>
  <c r="CA45" i="5"/>
  <c r="CB34" i="6" s="1"/>
  <c r="CB45" i="5"/>
  <c r="CC34" i="6" s="1"/>
  <c r="CC45" i="5"/>
  <c r="CD45" i="5"/>
  <c r="CE34" i="6" s="1"/>
  <c r="CE45" i="5"/>
  <c r="CF34" i="6" s="1"/>
  <c r="CF45" i="5"/>
  <c r="CG45" i="5"/>
  <c r="CH45" i="5"/>
  <c r="CI34" i="6" s="1"/>
  <c r="CI45" i="5"/>
  <c r="CJ34" i="6" s="1"/>
  <c r="CJ45" i="5"/>
  <c r="CK34" i="6" s="1"/>
  <c r="CK45" i="5"/>
  <c r="CL34" i="6" s="1"/>
  <c r="CL45" i="5"/>
  <c r="CM34" i="6" s="1"/>
  <c r="CM45" i="5"/>
  <c r="CN34" i="6" s="1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35" i="6" s="1"/>
  <c r="AI46" i="5"/>
  <c r="AJ46" i="5"/>
  <c r="AK35" i="6" s="1"/>
  <c r="AK46" i="5"/>
  <c r="AL46" i="5"/>
  <c r="AM46" i="5"/>
  <c r="AN46" i="5"/>
  <c r="AO35" i="6" s="1"/>
  <c r="AO46" i="5"/>
  <c r="AP46" i="5"/>
  <c r="AQ35" i="6" s="1"/>
  <c r="AQ46" i="5"/>
  <c r="AR46" i="5"/>
  <c r="AS35" i="6" s="1"/>
  <c r="AS46" i="5"/>
  <c r="AT46" i="5"/>
  <c r="AU46" i="5"/>
  <c r="AV46" i="5"/>
  <c r="AW35" i="6" s="1"/>
  <c r="AW46" i="5"/>
  <c r="AX46" i="5"/>
  <c r="AY46" i="5"/>
  <c r="AZ46" i="5"/>
  <c r="BA35" i="6" s="1"/>
  <c r="BA46" i="5"/>
  <c r="BB46" i="5"/>
  <c r="BC46" i="5"/>
  <c r="BD46" i="5"/>
  <c r="BE35" i="6" s="1"/>
  <c r="BE46" i="5"/>
  <c r="BF46" i="5"/>
  <c r="BG46" i="5"/>
  <c r="BH46" i="5"/>
  <c r="BI35" i="6" s="1"/>
  <c r="BI46" i="5"/>
  <c r="BJ46" i="5"/>
  <c r="BK46" i="5"/>
  <c r="BL46" i="5"/>
  <c r="BM35" i="6" s="1"/>
  <c r="BM46" i="5"/>
  <c r="BN46" i="5"/>
  <c r="BO46" i="5"/>
  <c r="BP46" i="5"/>
  <c r="BQ35" i="6" s="1"/>
  <c r="BQ46" i="5"/>
  <c r="BR46" i="5"/>
  <c r="BS46" i="5"/>
  <c r="BT46" i="5"/>
  <c r="BU35" i="6" s="1"/>
  <c r="BU46" i="5"/>
  <c r="BV46" i="5"/>
  <c r="BW46" i="5"/>
  <c r="BX46" i="5"/>
  <c r="BY35" i="6" s="1"/>
  <c r="BY46" i="5"/>
  <c r="BZ46" i="5"/>
  <c r="CA46" i="5"/>
  <c r="CB46" i="5"/>
  <c r="CC35" i="6" s="1"/>
  <c r="CC46" i="5"/>
  <c r="CD46" i="5"/>
  <c r="CE46" i="5"/>
  <c r="CG46" i="5"/>
  <c r="CH46" i="5"/>
  <c r="CI46" i="5"/>
  <c r="CJ46" i="5"/>
  <c r="CK35" i="6" s="1"/>
  <c r="CK46" i="5"/>
  <c r="CL46" i="5"/>
  <c r="CM46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36" i="6" s="1"/>
  <c r="CE47" i="5"/>
  <c r="CF47" i="5"/>
  <c r="CG47" i="5"/>
  <c r="CH47" i="5"/>
  <c r="CI47" i="5"/>
  <c r="CJ47" i="5"/>
  <c r="CK47" i="5"/>
  <c r="CL47" i="5"/>
  <c r="CM43" i="5"/>
  <c r="CL58" i="1"/>
  <c r="CM59" i="1" s="1"/>
  <c r="CN52" i="1"/>
  <c r="CL60" i="1"/>
  <c r="CJ40" i="1"/>
  <c r="CI40" i="1"/>
  <c r="CI48" i="1" s="1"/>
  <c r="CI49" i="1" s="1"/>
  <c r="CH40" i="1"/>
  <c r="CG40" i="1"/>
  <c r="CG48" i="1" s="1"/>
  <c r="CF40" i="1"/>
  <c r="BZ48" i="1"/>
  <c r="BZ49" i="1" s="1"/>
  <c r="CA48" i="1"/>
  <c r="CA49" i="1" s="1"/>
  <c r="CB48" i="1"/>
  <c r="CB49" i="1" s="1"/>
  <c r="CC48" i="1"/>
  <c r="CC49" i="1" s="1"/>
  <c r="CD48" i="1"/>
  <c r="CD49" i="1" s="1"/>
  <c r="CE42" i="1"/>
  <c r="CF48" i="1" l="1"/>
  <c r="CG17" i="5"/>
  <c r="CI17" i="5"/>
  <c r="CH48" i="1"/>
  <c r="CK17" i="5"/>
  <c r="CK14" i="5" s="1"/>
  <c r="CK11" i="5" s="1"/>
  <c r="CK12" i="5" s="1"/>
  <c r="CJ48" i="1"/>
  <c r="CJ49" i="1" s="1"/>
  <c r="BR33" i="6"/>
  <c r="BQ43" i="5"/>
  <c r="AX33" i="6"/>
  <c r="CD38" i="6"/>
  <c r="BX38" i="6"/>
  <c r="BU38" i="6"/>
  <c r="AZ38" i="6"/>
  <c r="AX38" i="6"/>
  <c r="AP38" i="6"/>
  <c r="CB14" i="5"/>
  <c r="CB11" i="5" s="1"/>
  <c r="CB12" i="5" s="1"/>
  <c r="P14" i="5"/>
  <c r="P11" i="5" s="1"/>
  <c r="P12" i="5" s="1"/>
  <c r="H14" i="5"/>
  <c r="H11" i="5" s="1"/>
  <c r="H12" i="5" s="1"/>
  <c r="CN35" i="6"/>
  <c r="CF35" i="6"/>
  <c r="BX35" i="6"/>
  <c r="BP35" i="6"/>
  <c r="BH35" i="6"/>
  <c r="AZ35" i="6"/>
  <c r="AR35" i="6"/>
  <c r="AJ35" i="6"/>
  <c r="X14" i="5"/>
  <c r="X11" i="5" s="1"/>
  <c r="X12" i="5" s="1"/>
  <c r="O14" i="5"/>
  <c r="O11" i="5" s="1"/>
  <c r="O12" i="5" s="1"/>
  <c r="AE14" i="5"/>
  <c r="AE11" i="5" s="1"/>
  <c r="AE12" i="5" s="1"/>
  <c r="W14" i="5"/>
  <c r="W11" i="5" s="1"/>
  <c r="W12" i="5" s="1"/>
  <c r="N14" i="5"/>
  <c r="N11" i="5" s="1"/>
  <c r="N12" i="5" s="1"/>
  <c r="F14" i="5"/>
  <c r="F11" i="5" s="1"/>
  <c r="F12" i="5" s="1"/>
  <c r="CI14" i="5"/>
  <c r="CI11" i="5" s="1"/>
  <c r="CI12" i="5" s="1"/>
  <c r="CG14" i="5"/>
  <c r="CG11" i="5" s="1"/>
  <c r="CG12" i="5" s="1"/>
  <c r="AD14" i="5"/>
  <c r="AD11" i="5" s="1"/>
  <c r="AD12" i="5" s="1"/>
  <c r="V14" i="5"/>
  <c r="V11" i="5" s="1"/>
  <c r="V12" i="5" s="1"/>
  <c r="M14" i="5"/>
  <c r="M11" i="5" s="1"/>
  <c r="M12" i="5" s="1"/>
  <c r="E14" i="5"/>
  <c r="E11" i="5" s="1"/>
  <c r="E12" i="5" s="1"/>
  <c r="G14" i="5"/>
  <c r="G11" i="5" s="1"/>
  <c r="G12" i="5" s="1"/>
  <c r="AC14" i="5"/>
  <c r="AC11" i="5" s="1"/>
  <c r="AC12" i="5" s="1"/>
  <c r="U14" i="5"/>
  <c r="U11" i="5" s="1"/>
  <c r="U12" i="5" s="1"/>
  <c r="L14" i="5"/>
  <c r="L11" i="5" s="1"/>
  <c r="L12" i="5" s="1"/>
  <c r="D14" i="5"/>
  <c r="D11" i="5" s="1"/>
  <c r="D12" i="5" s="1"/>
  <c r="CA14" i="5"/>
  <c r="CA11" i="5" s="1"/>
  <c r="CA12" i="5" s="1"/>
  <c r="CE14" i="5"/>
  <c r="CE11" i="5" s="1"/>
  <c r="CE12" i="5" s="1"/>
  <c r="AB14" i="5"/>
  <c r="AB11" i="5" s="1"/>
  <c r="AB12" i="5" s="1"/>
  <c r="T14" i="5"/>
  <c r="T11" i="5" s="1"/>
  <c r="T12" i="5" s="1"/>
  <c r="K14" i="5"/>
  <c r="K11" i="5" s="1"/>
  <c r="K12" i="5" s="1"/>
  <c r="CI35" i="6"/>
  <c r="CA35" i="6"/>
  <c r="BS35" i="6"/>
  <c r="BK35" i="6"/>
  <c r="BC35" i="6"/>
  <c r="CG28" i="6"/>
  <c r="BY28" i="6"/>
  <c r="BQ28" i="6"/>
  <c r="BI28" i="6"/>
  <c r="BA28" i="6"/>
  <c r="AS28" i="6"/>
  <c r="AJ28" i="6"/>
  <c r="CD14" i="5"/>
  <c r="CD11" i="5" s="1"/>
  <c r="CD12" i="5" s="1"/>
  <c r="AA14" i="5"/>
  <c r="AA11" i="5" s="1"/>
  <c r="AA12" i="5" s="1"/>
  <c r="R14" i="5"/>
  <c r="R11" i="5" s="1"/>
  <c r="R12" i="5" s="1"/>
  <c r="J14" i="5"/>
  <c r="J11" i="5" s="1"/>
  <c r="J12" i="5" s="1"/>
  <c r="Y14" i="5"/>
  <c r="Y11" i="5" s="1"/>
  <c r="Y12" i="5" s="1"/>
  <c r="CH35" i="6"/>
  <c r="BZ35" i="6"/>
  <c r="BR35" i="6"/>
  <c r="BJ35" i="6"/>
  <c r="BB35" i="6"/>
  <c r="AL35" i="6"/>
  <c r="CC14" i="5"/>
  <c r="CC11" i="5" s="1"/>
  <c r="CC12" i="5" s="1"/>
  <c r="Z14" i="5"/>
  <c r="Z11" i="5" s="1"/>
  <c r="Z12" i="5" s="1"/>
  <c r="Q14" i="5"/>
  <c r="Q11" i="5" s="1"/>
  <c r="Q12" i="5" s="1"/>
  <c r="I14" i="5"/>
  <c r="I11" i="5" s="1"/>
  <c r="I12" i="5" s="1"/>
  <c r="BZ27" i="6"/>
  <c r="BI27" i="6"/>
  <c r="BA27" i="6"/>
  <c r="AS27" i="6"/>
  <c r="AJ27" i="6"/>
  <c r="CD26" i="6"/>
  <c r="BV26" i="6"/>
  <c r="BN26" i="6"/>
  <c r="BF26" i="6"/>
  <c r="AX26" i="6"/>
  <c r="AP26" i="6"/>
  <c r="AH26" i="6"/>
  <c r="BX27" i="6"/>
  <c r="BO27" i="6"/>
  <c r="BG27" i="6"/>
  <c r="AY27" i="6"/>
  <c r="AP27" i="6"/>
  <c r="AH27" i="6"/>
  <c r="CB26" i="6"/>
  <c r="BT26" i="6"/>
  <c r="BL26" i="6"/>
  <c r="BD26" i="6"/>
  <c r="AV26" i="6"/>
  <c r="AN26" i="6"/>
  <c r="CM35" i="6"/>
  <c r="CE35" i="6"/>
  <c r="BW35" i="6"/>
  <c r="BO35" i="6"/>
  <c r="BG35" i="6"/>
  <c r="AY35" i="6"/>
  <c r="CF27" i="6"/>
  <c r="CL35" i="6"/>
  <c r="CD35" i="6"/>
  <c r="BV35" i="6"/>
  <c r="BN35" i="6"/>
  <c r="BF35" i="6"/>
  <c r="AX35" i="6"/>
  <c r="AP35" i="6"/>
  <c r="AH35" i="6"/>
  <c r="BV27" i="6"/>
  <c r="BM27" i="6"/>
  <c r="BE27" i="6"/>
  <c r="AW27" i="6"/>
  <c r="AN27" i="6"/>
  <c r="CH26" i="6"/>
  <c r="BZ26" i="6"/>
  <c r="BR26" i="6"/>
  <c r="BJ26" i="6"/>
  <c r="BB26" i="6"/>
  <c r="AT26" i="6"/>
  <c r="AL26" i="6"/>
  <c r="CA28" i="6"/>
  <c r="BS28" i="6"/>
  <c r="BK28" i="6"/>
  <c r="BC28" i="6"/>
  <c r="AU28" i="6"/>
  <c r="AL28" i="6"/>
  <c r="CH28" i="6"/>
  <c r="BZ28" i="6"/>
  <c r="BR28" i="6"/>
  <c r="BJ28" i="6"/>
  <c r="BB28" i="6"/>
  <c r="AK28" i="6"/>
  <c r="CB43" i="5"/>
  <c r="CA38" i="6"/>
  <c r="BC38" i="6"/>
  <c r="CJ35" i="6"/>
  <c r="CB35" i="6"/>
  <c r="BT35" i="6"/>
  <c r="BL35" i="6"/>
  <c r="BD35" i="6"/>
  <c r="AV35" i="6"/>
  <c r="AN35" i="6"/>
  <c r="CG37" i="5"/>
  <c r="E37" i="5"/>
  <c r="CF28" i="6"/>
  <c r="BX28" i="6"/>
  <c r="BP28" i="6"/>
  <c r="BH28" i="6"/>
  <c r="AZ28" i="6"/>
  <c r="AR28" i="6"/>
  <c r="AI28" i="6"/>
  <c r="CC27" i="6"/>
  <c r="BU27" i="6"/>
  <c r="BL27" i="6"/>
  <c r="BD27" i="6"/>
  <c r="AV27" i="6"/>
  <c r="AM27" i="6"/>
  <c r="CG26" i="6"/>
  <c r="BY26" i="6"/>
  <c r="BQ26" i="6"/>
  <c r="BI26" i="6"/>
  <c r="BA26" i="6"/>
  <c r="AS26" i="6"/>
  <c r="AK26" i="6"/>
  <c r="CD36" i="6"/>
  <c r="BT43" i="5"/>
  <c r="BS38" i="6"/>
  <c r="AM38" i="6"/>
  <c r="AM35" i="6"/>
  <c r="BZ43" i="5"/>
  <c r="CA33" i="6"/>
  <c r="BR43" i="5"/>
  <c r="BS33" i="6"/>
  <c r="BK33" i="6"/>
  <c r="BC33" i="6"/>
  <c r="AU33" i="6"/>
  <c r="AM33" i="6"/>
  <c r="CG38" i="6"/>
  <c r="BY38" i="6"/>
  <c r="BQ38" i="6"/>
  <c r="BI38" i="6"/>
  <c r="BA38" i="6"/>
  <c r="AS38" i="6"/>
  <c r="AK38" i="6"/>
  <c r="CE28" i="6"/>
  <c r="BW28" i="6"/>
  <c r="BO28" i="6"/>
  <c r="BG28" i="6"/>
  <c r="AY28" i="6"/>
  <c r="AP28" i="6"/>
  <c r="AH28" i="6"/>
  <c r="CK27" i="6"/>
  <c r="CN27" i="6"/>
  <c r="CB27" i="6"/>
  <c r="BK27" i="6"/>
  <c r="BC27" i="6"/>
  <c r="AU27" i="6"/>
  <c r="AL27" i="6"/>
  <c r="CF26" i="6"/>
  <c r="BX26" i="6"/>
  <c r="BP26" i="6"/>
  <c r="BH26" i="6"/>
  <c r="AZ26" i="6"/>
  <c r="AR26" i="6"/>
  <c r="AJ26" i="6"/>
  <c r="CC36" i="6"/>
  <c r="BK38" i="6"/>
  <c r="CG43" i="5"/>
  <c r="CH37" i="6"/>
  <c r="BJ34" i="6"/>
  <c r="CD28" i="6"/>
  <c r="BV28" i="6"/>
  <c r="BN28" i="6"/>
  <c r="BF28" i="6"/>
  <c r="AX28" i="6"/>
  <c r="AO28" i="6"/>
  <c r="CJ27" i="6"/>
  <c r="CM27" i="6"/>
  <c r="CA27" i="6"/>
  <c r="BS27" i="6"/>
  <c r="BJ27" i="6"/>
  <c r="BB27" i="6"/>
  <c r="AK27" i="6"/>
  <c r="CE26" i="6"/>
  <c r="BW26" i="6"/>
  <c r="BO26" i="6"/>
  <c r="BG26" i="6"/>
  <c r="AY26" i="6"/>
  <c r="AQ26" i="6"/>
  <c r="AI26" i="6"/>
  <c r="BA33" i="6"/>
  <c r="AS33" i="6"/>
  <c r="AK33" i="6"/>
  <c r="CE38" i="6"/>
  <c r="BW38" i="6"/>
  <c r="BO38" i="6"/>
  <c r="BG38" i="6"/>
  <c r="AY38" i="6"/>
  <c r="AQ38" i="6"/>
  <c r="AI38" i="6"/>
  <c r="CK28" i="6"/>
  <c r="CN28" i="6"/>
  <c r="CI27" i="6"/>
  <c r="CL27" i="6"/>
  <c r="BR27" i="6"/>
  <c r="CJ43" i="5"/>
  <c r="BI33" i="6"/>
  <c r="CE43" i="5"/>
  <c r="CF33" i="6"/>
  <c r="BP33" i="6"/>
  <c r="BH33" i="6"/>
  <c r="AZ33" i="6"/>
  <c r="AR33" i="6"/>
  <c r="AJ33" i="6"/>
  <c r="BW43" i="5"/>
  <c r="CK37" i="5"/>
  <c r="CL37" i="6" s="1"/>
  <c r="BN38" i="6"/>
  <c r="CJ28" i="6"/>
  <c r="CM28" i="6"/>
  <c r="CB28" i="6"/>
  <c r="BT28" i="6"/>
  <c r="BL28" i="6"/>
  <c r="BD28" i="6"/>
  <c r="AV28" i="6"/>
  <c r="AM28" i="6"/>
  <c r="CH27" i="6"/>
  <c r="BY27" i="6"/>
  <c r="BP27" i="6"/>
  <c r="BH27" i="6"/>
  <c r="AZ27" i="6"/>
  <c r="AI27" i="6"/>
  <c r="CK26" i="6"/>
  <c r="CN26" i="6"/>
  <c r="CC26" i="6"/>
  <c r="BU26" i="6"/>
  <c r="BM26" i="6"/>
  <c r="BE26" i="6"/>
  <c r="AW26" i="6"/>
  <c r="AO26" i="6"/>
  <c r="CF36" i="6"/>
  <c r="CD43" i="5"/>
  <c r="CE33" i="6"/>
  <c r="BO33" i="6"/>
  <c r="AY33" i="6"/>
  <c r="CJ37" i="5"/>
  <c r="CK37" i="6" s="1"/>
  <c r="CI28" i="6"/>
  <c r="CL28" i="6"/>
  <c r="CJ26" i="6"/>
  <c r="CM26" i="6"/>
  <c r="CL43" i="5"/>
  <c r="CM33" i="6"/>
  <c r="BV43" i="5"/>
  <c r="BW33" i="6"/>
  <c r="BG33" i="6"/>
  <c r="AQ33" i="6"/>
  <c r="AI33" i="6"/>
  <c r="CC43" i="5"/>
  <c r="CD34" i="6"/>
  <c r="BU43" i="5"/>
  <c r="BV34" i="6"/>
  <c r="BN34" i="6"/>
  <c r="AP34" i="6"/>
  <c r="BF33" i="6"/>
  <c r="CB38" i="6"/>
  <c r="BT38" i="6"/>
  <c r="BL38" i="6"/>
  <c r="BD38" i="6"/>
  <c r="AV38" i="6"/>
  <c r="AN38" i="6"/>
  <c r="CI26" i="6"/>
  <c r="CL26" i="6"/>
  <c r="CH43" i="5"/>
  <c r="CM37" i="5"/>
  <c r="CI37" i="5"/>
  <c r="CH37" i="5"/>
  <c r="CK43" i="5"/>
  <c r="CL37" i="5"/>
  <c r="CM17" i="5"/>
  <c r="CN53" i="1"/>
  <c r="CN54" i="1" s="1"/>
  <c r="CL17" i="5"/>
  <c r="CO64" i="1"/>
  <c r="CL65" i="1"/>
  <c r="CJ17" i="5"/>
  <c r="CH17" i="5"/>
  <c r="BY43" i="5"/>
  <c r="BX43" i="5"/>
  <c r="BP43" i="5"/>
  <c r="CI43" i="5"/>
  <c r="CA43" i="5"/>
  <c r="BS43" i="5"/>
  <c r="CL14" i="5" l="1"/>
  <c r="CL11" i="5" s="1"/>
  <c r="CL12" i="5" s="1"/>
  <c r="CJ14" i="5"/>
  <c r="CJ11" i="5" s="1"/>
  <c r="CJ12" i="5" s="1"/>
  <c r="CM14" i="5"/>
  <c r="CM11" i="5" s="1"/>
  <c r="CM12" i="5" s="1"/>
  <c r="CH14" i="5"/>
  <c r="CN39" i="6"/>
  <c r="CK30" i="6"/>
  <c r="CN37" i="6"/>
  <c r="CH39" i="6"/>
  <c r="CM39" i="6"/>
  <c r="CJ30" i="6"/>
  <c r="CM30" i="6"/>
  <c r="CK39" i="6"/>
  <c r="CH30" i="6"/>
  <c r="CI39" i="6"/>
  <c r="CL39" i="6"/>
  <c r="CI30" i="6"/>
  <c r="CL30" i="6"/>
  <c r="CI37" i="6"/>
  <c r="CJ39" i="6"/>
  <c r="CM37" i="6"/>
  <c r="CJ37" i="6"/>
  <c r="CJ29" i="6"/>
  <c r="CM29" i="6"/>
  <c r="CL29" i="6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BO7" i="2"/>
  <c r="BP7" i="2"/>
  <c r="BQ7" i="2"/>
  <c r="BS7" i="2"/>
  <c r="BT39" i="5" s="1"/>
  <c r="BT37" i="5" s="1"/>
  <c r="BT7" i="2"/>
  <c r="BU39" i="5" s="1"/>
  <c r="BU37" i="5" s="1"/>
  <c r="BU7" i="2"/>
  <c r="BV7" i="2"/>
  <c r="BW39" i="5" s="1"/>
  <c r="BW37" i="5" s="1"/>
  <c r="BW7" i="2"/>
  <c r="BX39" i="5" s="1"/>
  <c r="BX37" i="5" s="1"/>
  <c r="BX7" i="2"/>
  <c r="BY7" i="2"/>
  <c r="BZ39" i="5" s="1"/>
  <c r="BZ37" i="5" s="1"/>
  <c r="BZ7" i="2"/>
  <c r="CA39" i="5" s="1"/>
  <c r="CA37" i="5" s="1"/>
  <c r="CA7" i="2"/>
  <c r="CB7" i="2"/>
  <c r="CC39" i="5" s="1"/>
  <c r="CC37" i="5" s="1"/>
  <c r="CC7" i="2"/>
  <c r="CD39" i="5" s="1"/>
  <c r="CD37" i="5" s="1"/>
  <c r="CD7" i="2"/>
  <c r="CE39" i="5" s="1"/>
  <c r="CE37" i="5" s="1"/>
  <c r="BS3" i="2"/>
  <c r="BS19" i="2" s="1"/>
  <c r="BT3" i="2"/>
  <c r="BT19" i="2" s="1"/>
  <c r="BW3" i="2"/>
  <c r="BW19" i="2" s="1"/>
  <c r="BY3" i="2"/>
  <c r="BY19" i="2" s="1"/>
  <c r="BZ3" i="2"/>
  <c r="BZ19" i="2" s="1"/>
  <c r="CB3" i="2"/>
  <c r="CB19" i="2" s="1"/>
  <c r="CC3" i="2"/>
  <c r="CC19" i="2" s="1"/>
  <c r="CG30" i="1"/>
  <c r="CH30" i="1"/>
  <c r="BR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16" i="1"/>
  <c r="CG26" i="1" s="1"/>
  <c r="CH16" i="1"/>
  <c r="CH26" i="1" s="1"/>
  <c r="CG30" i="5"/>
  <c r="CH30" i="5"/>
  <c r="CI30" i="5"/>
  <c r="CJ30" i="5"/>
  <c r="CK30" i="5"/>
  <c r="CJ11" i="6" l="1"/>
  <c r="CK9" i="6"/>
  <c r="CJ16" i="6"/>
  <c r="CJ17" i="6"/>
  <c r="CJ22" i="6"/>
  <c r="CJ14" i="6"/>
  <c r="CJ20" i="6"/>
  <c r="CJ23" i="6"/>
  <c r="CJ6" i="6"/>
  <c r="CJ4" i="6"/>
  <c r="CJ15" i="6"/>
  <c r="CI21" i="6"/>
  <c r="CI17" i="6"/>
  <c r="CI22" i="6"/>
  <c r="CI14" i="6"/>
  <c r="CI20" i="6"/>
  <c r="CJ9" i="6"/>
  <c r="CI16" i="6"/>
  <c r="CI11" i="6"/>
  <c r="CI23" i="6"/>
  <c r="CI6" i="6"/>
  <c r="CI4" i="6"/>
  <c r="CI15" i="6"/>
  <c r="CH37" i="1"/>
  <c r="CH49" i="1" s="1"/>
  <c r="CJ18" i="6"/>
  <c r="CJ21" i="6"/>
  <c r="CJ5" i="6"/>
  <c r="CJ13" i="6"/>
  <c r="CG37" i="1"/>
  <c r="CG49" i="1" s="1"/>
  <c r="CI18" i="6"/>
  <c r="CI5" i="6"/>
  <c r="CI13" i="6"/>
  <c r="CC29" i="2"/>
  <c r="CE10" i="6"/>
  <c r="CB29" i="2"/>
  <c r="CD10" i="6"/>
  <c r="BZ29" i="2"/>
  <c r="CB10" i="6"/>
  <c r="BY29" i="2"/>
  <c r="CA10" i="6"/>
  <c r="BW29" i="2"/>
  <c r="BY10" i="6"/>
  <c r="BT29" i="2"/>
  <c r="BV10" i="6"/>
  <c r="BS29" i="2"/>
  <c r="BU10" i="6"/>
  <c r="CF37" i="6"/>
  <c r="CF39" i="6"/>
  <c r="CF30" i="6"/>
  <c r="CE37" i="6"/>
  <c r="CE30" i="6"/>
  <c r="CB30" i="6"/>
  <c r="CE39" i="6"/>
  <c r="CD37" i="6"/>
  <c r="CD39" i="6"/>
  <c r="CA30" i="6"/>
  <c r="CA3" i="2"/>
  <c r="CA19" i="2" s="1"/>
  <c r="CB39" i="5"/>
  <c r="CB37" i="5" s="1"/>
  <c r="CB37" i="6"/>
  <c r="BY30" i="6"/>
  <c r="CB39" i="6"/>
  <c r="CA37" i="6"/>
  <c r="BX30" i="6"/>
  <c r="CA39" i="6"/>
  <c r="BX3" i="2"/>
  <c r="BX19" i="2" s="1"/>
  <c r="BY39" i="5"/>
  <c r="BY37" i="5" s="1"/>
  <c r="BY37" i="6"/>
  <c r="BV30" i="6"/>
  <c r="BY39" i="6"/>
  <c r="BX37" i="6"/>
  <c r="BX39" i="6"/>
  <c r="BU30" i="6"/>
  <c r="BU3" i="2"/>
  <c r="BU19" i="2" s="1"/>
  <c r="BV39" i="5"/>
  <c r="BV37" i="5" s="1"/>
  <c r="BV37" i="6"/>
  <c r="BV39" i="6"/>
  <c r="BU37" i="6"/>
  <c r="BU39" i="6"/>
  <c r="BQ3" i="2"/>
  <c r="BQ19" i="2" s="1"/>
  <c r="BR39" i="5"/>
  <c r="BR37" i="5" s="1"/>
  <c r="BP3" i="2"/>
  <c r="BP19" i="2" s="1"/>
  <c r="BQ39" i="5"/>
  <c r="BQ37" i="5" s="1"/>
  <c r="BO3" i="2"/>
  <c r="BO19" i="2" s="1"/>
  <c r="BP39" i="5"/>
  <c r="BP37" i="5" s="1"/>
  <c r="CH11" i="5"/>
  <c r="CH12" i="5" s="1"/>
  <c r="CH29" i="6"/>
  <c r="CK29" i="6"/>
  <c r="CF29" i="6"/>
  <c r="CN29" i="6"/>
  <c r="CC29" i="6"/>
  <c r="CB29" i="6"/>
  <c r="CE29" i="6"/>
  <c r="CF26" i="1"/>
  <c r="CH5" i="5"/>
  <c r="CM30" i="5"/>
  <c r="CG5" i="5"/>
  <c r="CF37" i="1"/>
  <c r="CF49" i="1" s="1"/>
  <c r="BY5" i="5"/>
  <c r="BX5" i="5"/>
  <c r="CL30" i="5"/>
  <c r="CM49" i="5"/>
  <c r="CM5" i="5"/>
  <c r="CE5" i="5"/>
  <c r="BW5" i="5"/>
  <c r="BZ5" i="5"/>
  <c r="CL5" i="5"/>
  <c r="CD5" i="5"/>
  <c r="BV5" i="5"/>
  <c r="CA5" i="5"/>
  <c r="BR5" i="5"/>
  <c r="CK5" i="5"/>
  <c r="CC5" i="5"/>
  <c r="BU5" i="5"/>
  <c r="CI5" i="5"/>
  <c r="CI25" i="6" s="1"/>
  <c r="CJ5" i="5"/>
  <c r="CJ25" i="6" s="1"/>
  <c r="CB5" i="5"/>
  <c r="CB25" i="6" s="1"/>
  <c r="BT5" i="5"/>
  <c r="BT4" i="5"/>
  <c r="BZ4" i="5"/>
  <c r="BX4" i="5"/>
  <c r="BV4" i="5"/>
  <c r="BU4" i="5"/>
  <c r="BR4" i="5"/>
  <c r="BT33" i="2"/>
  <c r="BS33" i="2"/>
  <c r="BS35" i="2" s="1"/>
  <c r="BS37" i="2" s="1"/>
  <c r="CB33" i="2"/>
  <c r="CD9" i="6" s="1"/>
  <c r="CC33" i="2"/>
  <c r="CE9" i="6" s="1"/>
  <c r="BY33" i="2"/>
  <c r="BW33" i="2"/>
  <c r="BZ33" i="2"/>
  <c r="CD3" i="2"/>
  <c r="CD19" i="2" s="1"/>
  <c r="BV3" i="2"/>
  <c r="BV19" i="2" s="1"/>
  <c r="BM20" i="1"/>
  <c r="BN34" i="5" s="1"/>
  <c r="BO34" i="5"/>
  <c r="BP34" i="5"/>
  <c r="BQ34" i="5"/>
  <c r="BN8" i="1"/>
  <c r="BP13" i="6" s="1"/>
  <c r="BV29" i="2" l="1"/>
  <c r="BX10" i="6"/>
  <c r="CD29" i="2"/>
  <c r="CF10" i="6"/>
  <c r="BZ35" i="2"/>
  <c r="BZ37" i="2" s="1"/>
  <c r="CB9" i="6"/>
  <c r="BW35" i="2"/>
  <c r="BW37" i="2" s="1"/>
  <c r="BY9" i="6"/>
  <c r="BY35" i="2"/>
  <c r="BY37" i="2" s="1"/>
  <c r="CA9" i="6"/>
  <c r="BT35" i="2"/>
  <c r="BT37" i="2" s="1"/>
  <c r="BV9" i="6"/>
  <c r="BQ37" i="6"/>
  <c r="BQ39" i="6"/>
  <c r="BO29" i="2"/>
  <c r="BO33" i="2" s="1"/>
  <c r="BQ10" i="6"/>
  <c r="BR37" i="6"/>
  <c r="BR39" i="6"/>
  <c r="BR30" i="6"/>
  <c r="BP29" i="2"/>
  <c r="BP33" i="2" s="1"/>
  <c r="BR10" i="6"/>
  <c r="BS37" i="6"/>
  <c r="BS39" i="6"/>
  <c r="BS30" i="6"/>
  <c r="BQ29" i="2"/>
  <c r="BQ33" i="2" s="1"/>
  <c r="BS10" i="6"/>
  <c r="BW37" i="6"/>
  <c r="BW39" i="6"/>
  <c r="BU29" i="2"/>
  <c r="BU33" i="2" s="1"/>
  <c r="BW10" i="6"/>
  <c r="BZ37" i="6"/>
  <c r="BW30" i="6"/>
  <c r="BZ39" i="6"/>
  <c r="BX29" i="2"/>
  <c r="BX33" i="2" s="1"/>
  <c r="BZ10" i="6"/>
  <c r="CC37" i="6"/>
  <c r="CC39" i="6"/>
  <c r="BZ30" i="6"/>
  <c r="CC30" i="6"/>
  <c r="CA29" i="2"/>
  <c r="CA33" i="2" s="1"/>
  <c r="CC10" i="6"/>
  <c r="CI29" i="6"/>
  <c r="BW25" i="6"/>
  <c r="BU25" i="6"/>
  <c r="CC25" i="6"/>
  <c r="CD25" i="6"/>
  <c r="BX25" i="6"/>
  <c r="CL25" i="6"/>
  <c r="BZ25" i="6"/>
  <c r="CK25" i="6"/>
  <c r="CE25" i="6"/>
  <c r="CM25" i="6"/>
  <c r="CN25" i="6"/>
  <c r="BY25" i="6"/>
  <c r="CA25" i="6"/>
  <c r="BV25" i="6"/>
  <c r="CH25" i="6"/>
  <c r="BW24" i="6"/>
  <c r="CB36" i="6"/>
  <c r="CB24" i="6"/>
  <c r="BV36" i="6"/>
  <c r="BV24" i="6"/>
  <c r="BW36" i="6"/>
  <c r="CH17" i="6"/>
  <c r="CH22" i="6"/>
  <c r="CH14" i="6"/>
  <c r="CH20" i="6"/>
  <c r="CH4" i="6"/>
  <c r="CH11" i="6"/>
  <c r="CH15" i="6"/>
  <c r="CH21" i="6"/>
  <c r="CH6" i="6"/>
  <c r="CH23" i="6"/>
  <c r="CH16" i="6"/>
  <c r="CI9" i="6"/>
  <c r="CF51" i="1"/>
  <c r="BN26" i="1"/>
  <c r="BY4" i="5"/>
  <c r="BZ36" i="6" s="1"/>
  <c r="BW4" i="5"/>
  <c r="BX36" i="6" s="1"/>
  <c r="BP5" i="5"/>
  <c r="BO5" i="5"/>
  <c r="BN5" i="5"/>
  <c r="BQ5" i="5"/>
  <c r="BQ25" i="6" s="1"/>
  <c r="CB35" i="2"/>
  <c r="CB37" i="2" s="1"/>
  <c r="CD33" i="2"/>
  <c r="CF9" i="6" s="1"/>
  <c r="CC35" i="2"/>
  <c r="CC37" i="2" s="1"/>
  <c r="BV33" i="2"/>
  <c r="BV35" i="2" l="1"/>
  <c r="BV37" i="2" s="1"/>
  <c r="BX9" i="6"/>
  <c r="CA35" i="2"/>
  <c r="CA37" i="2" s="1"/>
  <c r="CC9" i="6"/>
  <c r="BX35" i="2"/>
  <c r="BX37" i="2" s="1"/>
  <c r="BZ9" i="6"/>
  <c r="BU35" i="2"/>
  <c r="BU37" i="2" s="1"/>
  <c r="BW9" i="6"/>
  <c r="BQ35" i="2"/>
  <c r="BQ37" i="2" s="1"/>
  <c r="BS9" i="6"/>
  <c r="BP35" i="2"/>
  <c r="BP37" i="2" s="1"/>
  <c r="BR9" i="6"/>
  <c r="BO25" i="6"/>
  <c r="BP25" i="6"/>
  <c r="BR25" i="6"/>
  <c r="CA24" i="6"/>
  <c r="CN30" i="6"/>
  <c r="BP20" i="6"/>
  <c r="BP6" i="6"/>
  <c r="BP15" i="6"/>
  <c r="BP21" i="6"/>
  <c r="BQ9" i="6"/>
  <c r="BP16" i="6"/>
  <c r="BP14" i="6"/>
  <c r="BP4" i="6"/>
  <c r="BP23" i="6"/>
  <c r="BP22" i="6"/>
  <c r="BP17" i="6"/>
  <c r="BY24" i="6"/>
  <c r="BZ24" i="6"/>
  <c r="CA36" i="6"/>
  <c r="BX24" i="6"/>
  <c r="BY36" i="6"/>
  <c r="CD35" i="2"/>
  <c r="CD37" i="2" s="1"/>
  <c r="CE11" i="2"/>
  <c r="CE10" i="2"/>
  <c r="CE7" i="2" s="1"/>
  <c r="BO35" i="2"/>
  <c r="BO37" i="2" s="1"/>
  <c r="CE14" i="2"/>
  <c r="CE27" i="1"/>
  <c r="CE30" i="1" s="1"/>
  <c r="CE38" i="1"/>
  <c r="CE11" i="1"/>
  <c r="CF28" i="5" s="1"/>
  <c r="CF25" i="5" s="1"/>
  <c r="CE6" i="1"/>
  <c r="CE4" i="1" s="1"/>
  <c r="CG12" i="6" s="1"/>
  <c r="CG3" i="6" l="1"/>
  <c r="CF15" i="5"/>
  <c r="CF14" i="5" s="1"/>
  <c r="CF11" i="5" s="1"/>
  <c r="CF12" i="5" s="1"/>
  <c r="CH34" i="6"/>
  <c r="CG34" i="6"/>
  <c r="CG18" i="6"/>
  <c r="CE37" i="1"/>
  <c r="CE12" i="2"/>
  <c r="CF46" i="5"/>
  <c r="CF39" i="5"/>
  <c r="CF37" i="5" s="1"/>
  <c r="CE3" i="2"/>
  <c r="CE19" i="2" s="1"/>
  <c r="CE48" i="1"/>
  <c r="CE49" i="1" s="1"/>
  <c r="CF7" i="5"/>
  <c r="CE8" i="1"/>
  <c r="CG13" i="6" s="1"/>
  <c r="BX40" i="1"/>
  <c r="BY40" i="1"/>
  <c r="BW40" i="1"/>
  <c r="C18" i="5"/>
  <c r="C17" i="5"/>
  <c r="AF40" i="1"/>
  <c r="AG40" i="1"/>
  <c r="AH40" i="1"/>
  <c r="AI40" i="1"/>
  <c r="AJ40" i="1"/>
  <c r="AK40" i="1"/>
  <c r="AL40" i="1"/>
  <c r="AM40" i="1"/>
  <c r="AN40" i="1"/>
  <c r="AO40" i="1"/>
  <c r="AP40" i="1"/>
  <c r="AQ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N40" i="1"/>
  <c r="BN48" i="1" s="1"/>
  <c r="BN49" i="1" s="1"/>
  <c r="BO40" i="1"/>
  <c r="BO48" i="1" s="1"/>
  <c r="BO49" i="1" s="1"/>
  <c r="BP40" i="1"/>
  <c r="BP48" i="1" s="1"/>
  <c r="BP49" i="1" s="1"/>
  <c r="BQ40" i="1"/>
  <c r="BQ48" i="1" s="1"/>
  <c r="BQ49" i="1" s="1"/>
  <c r="BS40" i="1"/>
  <c r="BT40" i="1"/>
  <c r="BU40" i="1"/>
  <c r="BV40" i="1"/>
  <c r="AE40" i="1"/>
  <c r="AF17" i="5" s="1"/>
  <c r="BR11" i="2"/>
  <c r="BR7" i="2" s="1"/>
  <c r="BR42" i="1"/>
  <c r="BR38" i="1"/>
  <c r="BR27" i="1"/>
  <c r="BR30" i="1" s="1"/>
  <c r="BR11" i="1"/>
  <c r="BS28" i="5" s="1"/>
  <c r="BS25" i="5" s="1"/>
  <c r="BR7" i="1"/>
  <c r="BR6" i="1"/>
  <c r="BR5" i="1"/>
  <c r="BR4" i="1" s="1"/>
  <c r="BT12" i="6" s="1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AZ7" i="2"/>
  <c r="BA39" i="5" s="1"/>
  <c r="BA37" i="5" s="1"/>
  <c r="BA7" i="2"/>
  <c r="BB39" i="5" s="1"/>
  <c r="BB37" i="5" s="1"/>
  <c r="BB7" i="2"/>
  <c r="BC39" i="5" s="1"/>
  <c r="BC37" i="5" s="1"/>
  <c r="BC7" i="2"/>
  <c r="BD39" i="5" s="1"/>
  <c r="BD37" i="5" s="1"/>
  <c r="BD7" i="2"/>
  <c r="BE39" i="5" s="1"/>
  <c r="BE37" i="5" s="1"/>
  <c r="BE7" i="2"/>
  <c r="BF39" i="5" s="1"/>
  <c r="BF37" i="5" s="1"/>
  <c r="BF7" i="2"/>
  <c r="BG39" i="5" s="1"/>
  <c r="BG37" i="5" s="1"/>
  <c r="BG7" i="2"/>
  <c r="BH39" i="5" s="1"/>
  <c r="BH37" i="5" s="1"/>
  <c r="BH7" i="2"/>
  <c r="BI39" i="5" s="1"/>
  <c r="BI37" i="5" s="1"/>
  <c r="BI7" i="2"/>
  <c r="BJ39" i="5" s="1"/>
  <c r="BJ37" i="5" s="1"/>
  <c r="BJ7" i="2"/>
  <c r="BK39" i="5" s="1"/>
  <c r="BK37" i="5" s="1"/>
  <c r="BK7" i="2"/>
  <c r="BL39" i="5" s="1"/>
  <c r="BL37" i="5" s="1"/>
  <c r="BL7" i="2"/>
  <c r="BM39" i="5" s="1"/>
  <c r="BM37" i="5" s="1"/>
  <c r="BM7" i="2"/>
  <c r="BN39" i="5" s="1"/>
  <c r="BN37" i="5" s="1"/>
  <c r="BN7" i="2"/>
  <c r="BO39" i="5" s="1"/>
  <c r="BO37" i="5" s="1"/>
  <c r="AZ4" i="2"/>
  <c r="BA4" i="2"/>
  <c r="BB4" i="2"/>
  <c r="BC4" i="2"/>
  <c r="BD4" i="2"/>
  <c r="BE4" i="2"/>
  <c r="BF4" i="2"/>
  <c r="BG4" i="2"/>
  <c r="BH4" i="2"/>
  <c r="BI4" i="2"/>
  <c r="BJ4" i="2"/>
  <c r="BJ3" i="2" s="1"/>
  <c r="BK4" i="2"/>
  <c r="BK3" i="2" s="1"/>
  <c r="BK19" i="2" s="1"/>
  <c r="BL4" i="2"/>
  <c r="BL3" i="2" s="1"/>
  <c r="BL19" i="2" s="1"/>
  <c r="BM4" i="2"/>
  <c r="BN4" i="2"/>
  <c r="BB3" i="2"/>
  <c r="BB19" i="2"/>
  <c r="BH3" i="2"/>
  <c r="BI3" i="2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AZ20" i="1"/>
  <c r="BA34" i="5" s="1"/>
  <c r="BA20" i="1"/>
  <c r="BB34" i="5" s="1"/>
  <c r="BB20" i="1"/>
  <c r="BC34" i="5" s="1"/>
  <c r="BC20" i="1"/>
  <c r="BD34" i="5" s="1"/>
  <c r="BD20" i="1"/>
  <c r="BE34" i="5" s="1"/>
  <c r="BE20" i="1"/>
  <c r="BF34" i="5" s="1"/>
  <c r="BF20" i="1"/>
  <c r="BG34" i="5" s="1"/>
  <c r="BG20" i="1"/>
  <c r="BH34" i="5" s="1"/>
  <c r="BH20" i="1"/>
  <c r="BI34" i="5" s="1"/>
  <c r="BI20" i="1"/>
  <c r="BJ34" i="5" s="1"/>
  <c r="BJ20" i="1"/>
  <c r="BK34" i="5" s="1"/>
  <c r="BK20" i="1"/>
  <c r="BL34" i="5" s="1"/>
  <c r="BL20" i="1"/>
  <c r="BM34" i="5" s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AZ8" i="1"/>
  <c r="BB13" i="6" s="1"/>
  <c r="BA8" i="1"/>
  <c r="BC13" i="6" s="1"/>
  <c r="BB8" i="1"/>
  <c r="BD13" i="6" s="1"/>
  <c r="BC8" i="1"/>
  <c r="BE13" i="6" s="1"/>
  <c r="BD8" i="1"/>
  <c r="BF13" i="6" s="1"/>
  <c r="BE8" i="1"/>
  <c r="BG13" i="6" s="1"/>
  <c r="BF8" i="1"/>
  <c r="BH13" i="6" s="1"/>
  <c r="BG8" i="1"/>
  <c r="BI13" i="6" s="1"/>
  <c r="BH8" i="1"/>
  <c r="BJ13" i="6" s="1"/>
  <c r="BI8" i="1"/>
  <c r="BK13" i="6" s="1"/>
  <c r="BJ8" i="1"/>
  <c r="BL13" i="6" s="1"/>
  <c r="BK8" i="1"/>
  <c r="BM13" i="6" s="1"/>
  <c r="BL8" i="1"/>
  <c r="BN13" i="6" s="1"/>
  <c r="BM8" i="1"/>
  <c r="BO13" i="6" s="1"/>
  <c r="AV4" i="2"/>
  <c r="AW4" i="2"/>
  <c r="AX4" i="2"/>
  <c r="AY4" i="2"/>
  <c r="AV7" i="2"/>
  <c r="AW39" i="5" s="1"/>
  <c r="AW37" i="5" s="1"/>
  <c r="AW7" i="2"/>
  <c r="AX39" i="5" s="1"/>
  <c r="AX37" i="5" s="1"/>
  <c r="AX7" i="2"/>
  <c r="AY7" i="2"/>
  <c r="AZ39" i="5" s="1"/>
  <c r="AZ37" i="5" s="1"/>
  <c r="AV12" i="2"/>
  <c r="AW12" i="2"/>
  <c r="AX12" i="2"/>
  <c r="AY12" i="2"/>
  <c r="AV20" i="2"/>
  <c r="AW20" i="2"/>
  <c r="AX20" i="2"/>
  <c r="AY20" i="2"/>
  <c r="AV23" i="2"/>
  <c r="AW23" i="2"/>
  <c r="AX23" i="2"/>
  <c r="AY23" i="2"/>
  <c r="AV30" i="2"/>
  <c r="AW30" i="2"/>
  <c r="AX30" i="2"/>
  <c r="AY30" i="2"/>
  <c r="AV8" i="1"/>
  <c r="AW8" i="1"/>
  <c r="AX8" i="1"/>
  <c r="AY8" i="1"/>
  <c r="AW30" i="5"/>
  <c r="AX30" i="5"/>
  <c r="AY30" i="5"/>
  <c r="AZ30" i="5"/>
  <c r="AV16" i="1"/>
  <c r="AW16" i="1"/>
  <c r="AX16" i="1"/>
  <c r="AY16" i="1"/>
  <c r="AV20" i="1"/>
  <c r="AW34" i="5" s="1"/>
  <c r="AW20" i="1"/>
  <c r="AX20" i="1"/>
  <c r="AY34" i="5" s="1"/>
  <c r="AY20" i="1"/>
  <c r="AZ34" i="5" s="1"/>
  <c r="AV30" i="1"/>
  <c r="AW30" i="1"/>
  <c r="AX30" i="1"/>
  <c r="AY30" i="1"/>
  <c r="AS20" i="1"/>
  <c r="AT34" i="5" s="1"/>
  <c r="AT20" i="1"/>
  <c r="AU34" i="5" s="1"/>
  <c r="AU20" i="1"/>
  <c r="AV34" i="5" s="1"/>
  <c r="AS30" i="2"/>
  <c r="AT30" i="2"/>
  <c r="AU30" i="2"/>
  <c r="AS23" i="2"/>
  <c r="AT23" i="2"/>
  <c r="AU23" i="2"/>
  <c r="AS20" i="2"/>
  <c r="AT20" i="2"/>
  <c r="AU20" i="2"/>
  <c r="AS12" i="2"/>
  <c r="AT12" i="2"/>
  <c r="AU12" i="2"/>
  <c r="AS7" i="2"/>
  <c r="AT39" i="5" s="1"/>
  <c r="AT37" i="5" s="1"/>
  <c r="AT7" i="2"/>
  <c r="AU39" i="5" s="1"/>
  <c r="AU37" i="5" s="1"/>
  <c r="AU7" i="2"/>
  <c r="AV39" i="5" s="1"/>
  <c r="AV37" i="5" s="1"/>
  <c r="AS4" i="2"/>
  <c r="AT4" i="2"/>
  <c r="AT3" i="2" s="1"/>
  <c r="AU4" i="2"/>
  <c r="AU3" i="2" s="1"/>
  <c r="AU19" i="2" s="1"/>
  <c r="AU29" i="2" s="1"/>
  <c r="AU33" i="2" s="1"/>
  <c r="AS30" i="1"/>
  <c r="AT30" i="1"/>
  <c r="AU30" i="1"/>
  <c r="AS16" i="1"/>
  <c r="AT16" i="1"/>
  <c r="AU16" i="1"/>
  <c r="AT30" i="5"/>
  <c r="AU30" i="5"/>
  <c r="AV30" i="5"/>
  <c r="AS8" i="1"/>
  <c r="AU13" i="6" s="1"/>
  <c r="AT8" i="1"/>
  <c r="AV13" i="6" s="1"/>
  <c r="AU8" i="1"/>
  <c r="AW13" i="6" s="1"/>
  <c r="AR42" i="1"/>
  <c r="AR7" i="1"/>
  <c r="AR11" i="2"/>
  <c r="AR7" i="2"/>
  <c r="AS39" i="5" s="1"/>
  <c r="AS37" i="5" s="1"/>
  <c r="AR38" i="1"/>
  <c r="AR41" i="1"/>
  <c r="AR27" i="1"/>
  <c r="AR12" i="1"/>
  <c r="AR11" i="1"/>
  <c r="AS28" i="5" s="1"/>
  <c r="AR25" i="1"/>
  <c r="AR20" i="1" s="1"/>
  <c r="AS34" i="5" s="1"/>
  <c r="AR14" i="1"/>
  <c r="AR6" i="1"/>
  <c r="AR4" i="1" s="1"/>
  <c r="AR16" i="1"/>
  <c r="AP30" i="2"/>
  <c r="AQ30" i="2"/>
  <c r="AR30" i="2"/>
  <c r="AP20" i="2"/>
  <c r="AQ20" i="2"/>
  <c r="AR20" i="2"/>
  <c r="AR23" i="2"/>
  <c r="AR12" i="2"/>
  <c r="AR4" i="2"/>
  <c r="AP30" i="1"/>
  <c r="AQ30" i="1"/>
  <c r="AP20" i="1"/>
  <c r="AQ34" i="5" s="1"/>
  <c r="AQ20" i="1"/>
  <c r="AR34" i="5" s="1"/>
  <c r="AP16" i="1"/>
  <c r="AQ16" i="1"/>
  <c r="AQ30" i="5"/>
  <c r="AR30" i="5"/>
  <c r="AP8" i="1"/>
  <c r="AR13" i="6" s="1"/>
  <c r="AQ8" i="1"/>
  <c r="AS13" i="6" s="1"/>
  <c r="AP23" i="2"/>
  <c r="AQ23" i="2"/>
  <c r="AP12" i="2"/>
  <c r="AQ12" i="2"/>
  <c r="AP7" i="2"/>
  <c r="AQ39" i="5" s="1"/>
  <c r="AQ37" i="5" s="1"/>
  <c r="AR39" i="6" s="1"/>
  <c r="AQ7" i="2"/>
  <c r="AR39" i="5" s="1"/>
  <c r="AR37" i="5" s="1"/>
  <c r="AP4" i="2"/>
  <c r="AQ4" i="2"/>
  <c r="G34" i="6"/>
  <c r="F34" i="6"/>
  <c r="F19" i="6"/>
  <c r="AF7" i="6"/>
  <c r="AE7" i="6"/>
  <c r="AD7" i="6"/>
  <c r="AC7" i="6"/>
  <c r="AB7" i="6"/>
  <c r="AA7" i="6"/>
  <c r="Z7" i="6"/>
  <c r="Y7" i="6"/>
  <c r="X7" i="6"/>
  <c r="W7" i="6"/>
  <c r="U7" i="6"/>
  <c r="T7" i="6"/>
  <c r="S7" i="6"/>
  <c r="P7" i="6"/>
  <c r="M7" i="6"/>
  <c r="AF3" i="6"/>
  <c r="AE3" i="6"/>
  <c r="AD3" i="6"/>
  <c r="AD19" i="6" s="1"/>
  <c r="AC3" i="6"/>
  <c r="AC19" i="6" s="1"/>
  <c r="AB3" i="6"/>
  <c r="AB19" i="6" s="1"/>
  <c r="AA3" i="6"/>
  <c r="Z3" i="6"/>
  <c r="Z19" i="6" s="1"/>
  <c r="Y3" i="6"/>
  <c r="X3" i="6"/>
  <c r="W3" i="6"/>
  <c r="V3" i="6"/>
  <c r="U3" i="6"/>
  <c r="U19" i="6" s="1"/>
  <c r="S3" i="6"/>
  <c r="R3" i="6"/>
  <c r="Q3" i="6"/>
  <c r="P3" i="6"/>
  <c r="P19" i="6" s="1"/>
  <c r="O3" i="6"/>
  <c r="N3" i="6"/>
  <c r="N19" i="6" s="1"/>
  <c r="M3" i="6"/>
  <c r="L3" i="6"/>
  <c r="K3" i="6"/>
  <c r="J3" i="6"/>
  <c r="J19" i="6" s="1"/>
  <c r="I3" i="6"/>
  <c r="I19" i="6" s="1"/>
  <c r="H3" i="6"/>
  <c r="H19" i="6" s="1"/>
  <c r="G3" i="6"/>
  <c r="G19" i="6" s="1"/>
  <c r="E3" i="6"/>
  <c r="D3" i="6"/>
  <c r="D19" i="6" s="1"/>
  <c r="L80" i="4"/>
  <c r="L77" i="4"/>
  <c r="K77" i="4"/>
  <c r="N76" i="4"/>
  <c r="N75" i="4"/>
  <c r="N74" i="4"/>
  <c r="N73" i="4"/>
  <c r="N72" i="4"/>
  <c r="L70" i="4"/>
  <c r="L78" i="4"/>
  <c r="K70" i="4"/>
  <c r="K78" i="4" s="1"/>
  <c r="N69" i="4"/>
  <c r="N68" i="4"/>
  <c r="N67" i="4"/>
  <c r="N66" i="4"/>
  <c r="N65" i="4"/>
  <c r="N70" i="4" s="1"/>
  <c r="AN30" i="2"/>
  <c r="AO30" i="2"/>
  <c r="AN23" i="2"/>
  <c r="AO23" i="2"/>
  <c r="AN20" i="2"/>
  <c r="AO20" i="2"/>
  <c r="AN12" i="2"/>
  <c r="AO12" i="2"/>
  <c r="AO38" i="2"/>
  <c r="AN7" i="2"/>
  <c r="AO39" i="5" s="1"/>
  <c r="AO37" i="5" s="1"/>
  <c r="AO7" i="2"/>
  <c r="AP39" i="5" s="1"/>
  <c r="AP37" i="5" s="1"/>
  <c r="AN4" i="2"/>
  <c r="AO4" i="2"/>
  <c r="AN30" i="1"/>
  <c r="AO30" i="1"/>
  <c r="AN20" i="1"/>
  <c r="AO34" i="5" s="1"/>
  <c r="AO20" i="1"/>
  <c r="AP34" i="5" s="1"/>
  <c r="AN16" i="1"/>
  <c r="AO16" i="1"/>
  <c r="AO30" i="5"/>
  <c r="AP30" i="5"/>
  <c r="AN8" i="1"/>
  <c r="AP13" i="6" s="1"/>
  <c r="AO8" i="1"/>
  <c r="AQ13" i="6" s="1"/>
  <c r="AL30" i="2"/>
  <c r="AM30" i="2"/>
  <c r="AL23" i="2"/>
  <c r="AM23" i="2"/>
  <c r="AL20" i="2"/>
  <c r="AM20" i="2"/>
  <c r="AL12" i="2"/>
  <c r="AM12" i="2"/>
  <c r="AL7" i="2"/>
  <c r="AM39" i="5" s="1"/>
  <c r="AM37" i="5" s="1"/>
  <c r="AM7" i="2"/>
  <c r="AN39" i="5" s="1"/>
  <c r="AN37" i="5" s="1"/>
  <c r="AL4" i="2"/>
  <c r="AL3" i="2"/>
  <c r="AL19" i="2"/>
  <c r="AL29" i="2"/>
  <c r="AL33" i="2"/>
  <c r="AL35" i="2" s="1"/>
  <c r="AM4" i="2"/>
  <c r="AM3" i="2"/>
  <c r="AM19" i="2"/>
  <c r="AL30" i="1"/>
  <c r="AM30" i="1"/>
  <c r="AL20" i="1"/>
  <c r="AM34" i="5" s="1"/>
  <c r="AM20" i="1"/>
  <c r="AN34" i="5" s="1"/>
  <c r="AL16" i="1"/>
  <c r="AM16" i="1"/>
  <c r="AM30" i="5"/>
  <c r="AN30" i="5"/>
  <c r="AL8" i="1"/>
  <c r="AN13" i="6" s="1"/>
  <c r="AM8" i="1"/>
  <c r="AO13" i="6" s="1"/>
  <c r="H80" i="4"/>
  <c r="D80" i="4"/>
  <c r="H77" i="4"/>
  <c r="G77" i="4"/>
  <c r="J76" i="4"/>
  <c r="J75" i="4"/>
  <c r="J74" i="4"/>
  <c r="J73" i="4"/>
  <c r="J72" i="4"/>
  <c r="J77" i="4" s="1"/>
  <c r="H70" i="4"/>
  <c r="H78" i="4"/>
  <c r="G70" i="4"/>
  <c r="G78" i="4" s="1"/>
  <c r="J69" i="4"/>
  <c r="J68" i="4"/>
  <c r="J67" i="4"/>
  <c r="J66" i="4"/>
  <c r="J65" i="4"/>
  <c r="J70" i="4" s="1"/>
  <c r="AJ30" i="2"/>
  <c r="AK30" i="2"/>
  <c r="AJ23" i="2"/>
  <c r="AK23" i="2"/>
  <c r="AJ20" i="2"/>
  <c r="AK20" i="2"/>
  <c r="AJ12" i="2"/>
  <c r="AJ38" i="2"/>
  <c r="AK12" i="2"/>
  <c r="AJ7" i="2"/>
  <c r="AK39" i="5" s="1"/>
  <c r="AK37" i="5" s="1"/>
  <c r="AK7" i="2"/>
  <c r="AL39" i="5" s="1"/>
  <c r="AL37" i="5" s="1"/>
  <c r="AJ4" i="2"/>
  <c r="AJ3" i="2"/>
  <c r="AJ19" i="2"/>
  <c r="AK4" i="2"/>
  <c r="AK3" i="2" s="1"/>
  <c r="AJ30" i="1"/>
  <c r="AK30" i="1"/>
  <c r="AJ20" i="1"/>
  <c r="AK34" i="5" s="1"/>
  <c r="AK20" i="1"/>
  <c r="AL34" i="5" s="1"/>
  <c r="AJ16" i="1"/>
  <c r="AK16" i="1"/>
  <c r="AK30" i="5"/>
  <c r="AL30" i="5"/>
  <c r="AJ8" i="1"/>
  <c r="AL13" i="6" s="1"/>
  <c r="AK8" i="1"/>
  <c r="AM13" i="6" s="1"/>
  <c r="D77" i="4"/>
  <c r="C77" i="4"/>
  <c r="F76" i="4"/>
  <c r="F75" i="4"/>
  <c r="F74" i="4"/>
  <c r="F73" i="4"/>
  <c r="F72" i="4"/>
  <c r="D70" i="4"/>
  <c r="D78" i="4"/>
  <c r="E80" i="4"/>
  <c r="C70" i="4"/>
  <c r="C78" i="4"/>
  <c r="F69" i="4"/>
  <c r="F68" i="4"/>
  <c r="F67" i="4"/>
  <c r="F66" i="4"/>
  <c r="F65" i="4"/>
  <c r="F70" i="4" s="1"/>
  <c r="AF8" i="1"/>
  <c r="AG8" i="1"/>
  <c r="AH8" i="1"/>
  <c r="AI8" i="1"/>
  <c r="AF30" i="2"/>
  <c r="AG30" i="2"/>
  <c r="AH30" i="2"/>
  <c r="AI30" i="2"/>
  <c r="AF23" i="2"/>
  <c r="AG23" i="2"/>
  <c r="AH23" i="2"/>
  <c r="AI23" i="2"/>
  <c r="AF20" i="2"/>
  <c r="AG20" i="2"/>
  <c r="AH20" i="2"/>
  <c r="AI20" i="2"/>
  <c r="AF12" i="2"/>
  <c r="AG12" i="2"/>
  <c r="AG38" i="2"/>
  <c r="AH12" i="2"/>
  <c r="AI12" i="2"/>
  <c r="AF7" i="2"/>
  <c r="AG39" i="5" s="1"/>
  <c r="AG37" i="5" s="1"/>
  <c r="AH39" i="6" s="1"/>
  <c r="AG7" i="2"/>
  <c r="AH39" i="5" s="1"/>
  <c r="AH37" i="5" s="1"/>
  <c r="AI39" i="6" s="1"/>
  <c r="AH7" i="2"/>
  <c r="AI39" i="5" s="1"/>
  <c r="AI37" i="5" s="1"/>
  <c r="AJ39" i="6" s="1"/>
  <c r="AI7" i="2"/>
  <c r="AJ39" i="5" s="1"/>
  <c r="AJ37" i="5" s="1"/>
  <c r="AF4" i="2"/>
  <c r="AG4" i="2"/>
  <c r="AG3" i="2"/>
  <c r="AG19" i="2"/>
  <c r="AG29" i="2"/>
  <c r="AG33" i="2"/>
  <c r="AG35" i="2" s="1"/>
  <c r="AH4" i="2"/>
  <c r="AI4" i="2"/>
  <c r="AI3" i="2"/>
  <c r="AF30" i="1"/>
  <c r="AG30" i="1"/>
  <c r="AH30" i="1"/>
  <c r="AI30" i="1"/>
  <c r="AI37" i="1"/>
  <c r="AF20" i="1"/>
  <c r="AG34" i="5" s="1"/>
  <c r="AG20" i="1"/>
  <c r="AH34" i="5" s="1"/>
  <c r="AH20" i="1"/>
  <c r="AI34" i="5" s="1"/>
  <c r="AI20" i="1"/>
  <c r="AJ34" i="5" s="1"/>
  <c r="AF16" i="1"/>
  <c r="AG16" i="1"/>
  <c r="AH16" i="1"/>
  <c r="AI16" i="1"/>
  <c r="AG30" i="5"/>
  <c r="AH30" i="5"/>
  <c r="AI30" i="5"/>
  <c r="AJ30" i="5"/>
  <c r="D60" i="4"/>
  <c r="C60" i="4"/>
  <c r="F59" i="4"/>
  <c r="F58" i="4"/>
  <c r="F57" i="4"/>
  <c r="F56" i="4"/>
  <c r="F55" i="4"/>
  <c r="F60" i="4" s="1"/>
  <c r="D53" i="4"/>
  <c r="D61" i="4"/>
  <c r="C53" i="4"/>
  <c r="C61" i="4"/>
  <c r="F52" i="4"/>
  <c r="F51" i="4"/>
  <c r="F50" i="4"/>
  <c r="F49" i="4"/>
  <c r="F48" i="4"/>
  <c r="F53" i="4" s="1"/>
  <c r="F61" i="4" s="1"/>
  <c r="AE38" i="1"/>
  <c r="AE20" i="2"/>
  <c r="AE12" i="2"/>
  <c r="AE7" i="2"/>
  <c r="AF39" i="5" s="1"/>
  <c r="AF37" i="5" s="1"/>
  <c r="AE4" i="2"/>
  <c r="AE27" i="1"/>
  <c r="AE28" i="1"/>
  <c r="AE22" i="1"/>
  <c r="AF35" i="5" s="1"/>
  <c r="AE35" i="1"/>
  <c r="AE11" i="1"/>
  <c r="AF28" i="5" s="1"/>
  <c r="AE7" i="1"/>
  <c r="AE6" i="1"/>
  <c r="AE4" i="1" s="1"/>
  <c r="AE30" i="2"/>
  <c r="AE23" i="2"/>
  <c r="AF47" i="5" s="1"/>
  <c r="AF43" i="5" s="1"/>
  <c r="AE16" i="1"/>
  <c r="AE13" i="1"/>
  <c r="AD28" i="6"/>
  <c r="AD33" i="6"/>
  <c r="AE33" i="6"/>
  <c r="AF33" i="6"/>
  <c r="AD34" i="6"/>
  <c r="AF34" i="6"/>
  <c r="AB30" i="2"/>
  <c r="AC30" i="2"/>
  <c r="AD30" i="2"/>
  <c r="AB23" i="2"/>
  <c r="AC47" i="5" s="1"/>
  <c r="AC43" i="5" s="1"/>
  <c r="AC23" i="2"/>
  <c r="AD47" i="5" s="1"/>
  <c r="AD43" i="5" s="1"/>
  <c r="AD23" i="2"/>
  <c r="AE47" i="5" s="1"/>
  <c r="AE43" i="5" s="1"/>
  <c r="AB20" i="2"/>
  <c r="AC20" i="2"/>
  <c r="AD20" i="2"/>
  <c r="AB12" i="2"/>
  <c r="AC12" i="2"/>
  <c r="AD12" i="2"/>
  <c r="AB7" i="2"/>
  <c r="AC39" i="5" s="1"/>
  <c r="AC37" i="5" s="1"/>
  <c r="AC7" i="2"/>
  <c r="AD39" i="5" s="1"/>
  <c r="AD37" i="5" s="1"/>
  <c r="AD7" i="2"/>
  <c r="AE39" i="5" s="1"/>
  <c r="AE37" i="5" s="1"/>
  <c r="AB4" i="2"/>
  <c r="AB3" i="2"/>
  <c r="AB19" i="2"/>
  <c r="AB29" i="2"/>
  <c r="AB33" i="2"/>
  <c r="AC4" i="2"/>
  <c r="AD4" i="2"/>
  <c r="AB48" i="1"/>
  <c r="AC48" i="1"/>
  <c r="AD48" i="1"/>
  <c r="AB30" i="1"/>
  <c r="AC5" i="5" s="1"/>
  <c r="AC30" i="1"/>
  <c r="AD30" i="1"/>
  <c r="AB20" i="1"/>
  <c r="AC34" i="5" s="1"/>
  <c r="AC20" i="1"/>
  <c r="AD34" i="5" s="1"/>
  <c r="AD20" i="1"/>
  <c r="AE34" i="5" s="1"/>
  <c r="AB16" i="1"/>
  <c r="AC16" i="1"/>
  <c r="AD16" i="1"/>
  <c r="AB13" i="1"/>
  <c r="AC30" i="5" s="1"/>
  <c r="AC13" i="1"/>
  <c r="AD30" i="5" s="1"/>
  <c r="AD13" i="1"/>
  <c r="AE30" i="5" s="1"/>
  <c r="AB8" i="1"/>
  <c r="AC8" i="1"/>
  <c r="AD8" i="1"/>
  <c r="AB4" i="1"/>
  <c r="AC4" i="1"/>
  <c r="AE13" i="6" s="1"/>
  <c r="AD4" i="1"/>
  <c r="AC34" i="6"/>
  <c r="Y23" i="2"/>
  <c r="Z47" i="5" s="1"/>
  <c r="Z43" i="5" s="1"/>
  <c r="Z23" i="2"/>
  <c r="AA47" i="5" s="1"/>
  <c r="AA43" i="5" s="1"/>
  <c r="AA23" i="2"/>
  <c r="AB47" i="5" s="1"/>
  <c r="AB43" i="5" s="1"/>
  <c r="AA30" i="2"/>
  <c r="AA20" i="2"/>
  <c r="AA12" i="2"/>
  <c r="AA7" i="2"/>
  <c r="AB39" i="5" s="1"/>
  <c r="AB37" i="5" s="1"/>
  <c r="AA4" i="2"/>
  <c r="AA3" i="2"/>
  <c r="AA19" i="2"/>
  <c r="AA48" i="1"/>
  <c r="AA30" i="1"/>
  <c r="AB5" i="5" s="1"/>
  <c r="Z20" i="1"/>
  <c r="AA34" i="5" s="1"/>
  <c r="AA20" i="1"/>
  <c r="AB34" i="5" s="1"/>
  <c r="AA16" i="1"/>
  <c r="AA13" i="1"/>
  <c r="AA8" i="1"/>
  <c r="AA4" i="1"/>
  <c r="AB33" i="6"/>
  <c r="AB34" i="6"/>
  <c r="Z30" i="2"/>
  <c r="Z20" i="2"/>
  <c r="Z12" i="2"/>
  <c r="Z38" i="2" s="1"/>
  <c r="Z7" i="2"/>
  <c r="AA39" i="5" s="1"/>
  <c r="AA37" i="5" s="1"/>
  <c r="Z4" i="2"/>
  <c r="Z3" i="2"/>
  <c r="Z19" i="2"/>
  <c r="Z48" i="1"/>
  <c r="Z30" i="1"/>
  <c r="AA5" i="5" s="1"/>
  <c r="Z16" i="1"/>
  <c r="Z13" i="1"/>
  <c r="AA30" i="5" s="1"/>
  <c r="Z8" i="1"/>
  <c r="Z4" i="1"/>
  <c r="Y48" i="1"/>
  <c r="Y30" i="2"/>
  <c r="Y20" i="2"/>
  <c r="Y12" i="2"/>
  <c r="Y7" i="2"/>
  <c r="Z39" i="5" s="1"/>
  <c r="Z37" i="5" s="1"/>
  <c r="Y4" i="2"/>
  <c r="Y3" i="2"/>
  <c r="Y19" i="2"/>
  <c r="Y30" i="1"/>
  <c r="Z5" i="5" s="1"/>
  <c r="Y20" i="1"/>
  <c r="Z34" i="5" s="1"/>
  <c r="Y16" i="1"/>
  <c r="Y13" i="1"/>
  <c r="Z30" i="5" s="1"/>
  <c r="Y8" i="1"/>
  <c r="Y4" i="1"/>
  <c r="X4" i="1"/>
  <c r="X8" i="1"/>
  <c r="X13" i="1"/>
  <c r="Y30" i="5" s="1"/>
  <c r="X16" i="1"/>
  <c r="X20" i="1"/>
  <c r="Y34" i="5" s="1"/>
  <c r="Z27" i="6"/>
  <c r="V35" i="6"/>
  <c r="U33" i="6"/>
  <c r="V33" i="6"/>
  <c r="Y33" i="6"/>
  <c r="Z33" i="6"/>
  <c r="W34" i="6"/>
  <c r="Y34" i="6"/>
  <c r="Z34" i="6"/>
  <c r="S30" i="2"/>
  <c r="T30" i="2"/>
  <c r="U30" i="2"/>
  <c r="V30" i="2"/>
  <c r="W30" i="2"/>
  <c r="X30" i="2"/>
  <c r="S23" i="2"/>
  <c r="T47" i="5" s="1"/>
  <c r="T43" i="5" s="1"/>
  <c r="T23" i="2"/>
  <c r="U47" i="5" s="1"/>
  <c r="U43" i="5" s="1"/>
  <c r="U23" i="2"/>
  <c r="V47" i="5" s="1"/>
  <c r="V43" i="5" s="1"/>
  <c r="V23" i="2"/>
  <c r="W47" i="5" s="1"/>
  <c r="W43" i="5" s="1"/>
  <c r="W23" i="2"/>
  <c r="X47" i="5" s="1"/>
  <c r="X43" i="5" s="1"/>
  <c r="X23" i="2"/>
  <c r="Y47" i="5" s="1"/>
  <c r="Y43" i="5" s="1"/>
  <c r="S20" i="2"/>
  <c r="T20" i="2"/>
  <c r="U20" i="2"/>
  <c r="V20" i="2"/>
  <c r="W20" i="2"/>
  <c r="X20" i="2"/>
  <c r="U12" i="2"/>
  <c r="U38" i="2" s="1"/>
  <c r="V12" i="2"/>
  <c r="W12" i="2"/>
  <c r="X12" i="2"/>
  <c r="S12" i="2"/>
  <c r="T12" i="2"/>
  <c r="S7" i="2"/>
  <c r="T39" i="5" s="1"/>
  <c r="T37" i="5" s="1"/>
  <c r="T7" i="2"/>
  <c r="U39" i="5" s="1"/>
  <c r="U37" i="5" s="1"/>
  <c r="U7" i="2"/>
  <c r="V39" i="5" s="1"/>
  <c r="V37" i="5" s="1"/>
  <c r="V7" i="2"/>
  <c r="W39" i="5" s="1"/>
  <c r="W37" i="5" s="1"/>
  <c r="W7" i="2"/>
  <c r="X39" i="5" s="1"/>
  <c r="X37" i="5" s="1"/>
  <c r="X7" i="2"/>
  <c r="Y39" i="5" s="1"/>
  <c r="Y37" i="5" s="1"/>
  <c r="S4" i="2"/>
  <c r="S3" i="2"/>
  <c r="S19" i="2"/>
  <c r="S29" i="2" s="1"/>
  <c r="S33" i="2" s="1"/>
  <c r="T4" i="2"/>
  <c r="T3" i="2"/>
  <c r="T19" i="2"/>
  <c r="U4" i="2"/>
  <c r="V4" i="2"/>
  <c r="W4" i="2"/>
  <c r="W3" i="2"/>
  <c r="W19" i="2"/>
  <c r="X4" i="2"/>
  <c r="S48" i="1"/>
  <c r="T48" i="1"/>
  <c r="U48" i="1"/>
  <c r="V48" i="1"/>
  <c r="W48" i="1"/>
  <c r="X48" i="1"/>
  <c r="S30" i="1"/>
  <c r="T5" i="5" s="1"/>
  <c r="T30" i="1"/>
  <c r="U5" i="5" s="1"/>
  <c r="U30" i="1"/>
  <c r="V5" i="5" s="1"/>
  <c r="V30" i="1"/>
  <c r="W30" i="1"/>
  <c r="X5" i="5" s="1"/>
  <c r="X30" i="1"/>
  <c r="Y5" i="5" s="1"/>
  <c r="S20" i="1"/>
  <c r="T34" i="5" s="1"/>
  <c r="T20" i="1"/>
  <c r="U34" i="5" s="1"/>
  <c r="U20" i="1"/>
  <c r="V34" i="5" s="1"/>
  <c r="V20" i="1"/>
  <c r="W34" i="5" s="1"/>
  <c r="W20" i="1"/>
  <c r="X34" i="5" s="1"/>
  <c r="S16" i="1"/>
  <c r="T16" i="1"/>
  <c r="U16" i="1"/>
  <c r="V16" i="1"/>
  <c r="W16" i="1"/>
  <c r="S13" i="1"/>
  <c r="T30" i="5" s="1"/>
  <c r="T13" i="1"/>
  <c r="U30" i="5" s="1"/>
  <c r="U13" i="1"/>
  <c r="V30" i="5" s="1"/>
  <c r="V13" i="1"/>
  <c r="W30" i="5" s="1"/>
  <c r="W13" i="1"/>
  <c r="S8" i="1"/>
  <c r="T8" i="1"/>
  <c r="U8" i="1"/>
  <c r="V8" i="1"/>
  <c r="W8" i="1"/>
  <c r="S4" i="1"/>
  <c r="T4" i="1"/>
  <c r="V12" i="6" s="1"/>
  <c r="U4" i="1"/>
  <c r="V4" i="1"/>
  <c r="W4" i="1"/>
  <c r="R7" i="1"/>
  <c r="R34" i="6"/>
  <c r="S33" i="6"/>
  <c r="T33" i="6"/>
  <c r="R26" i="6"/>
  <c r="Q30" i="2"/>
  <c r="R30" i="2"/>
  <c r="P30" i="2"/>
  <c r="P23" i="2"/>
  <c r="Q47" i="5" s="1"/>
  <c r="Q43" i="5" s="1"/>
  <c r="Q23" i="2"/>
  <c r="R47" i="5" s="1"/>
  <c r="R43" i="5" s="1"/>
  <c r="R23" i="2"/>
  <c r="S47" i="5" s="1"/>
  <c r="S43" i="5" s="1"/>
  <c r="P20" i="2"/>
  <c r="Q20" i="2"/>
  <c r="R20" i="2"/>
  <c r="P12" i="2"/>
  <c r="Q12" i="2"/>
  <c r="R12" i="2"/>
  <c r="R4" i="2"/>
  <c r="R7" i="2"/>
  <c r="S39" i="5" s="1"/>
  <c r="S37" i="5" s="1"/>
  <c r="D44" i="4"/>
  <c r="H40" i="4"/>
  <c r="D35" i="4"/>
  <c r="H32" i="4"/>
  <c r="C44" i="4"/>
  <c r="F43" i="4"/>
  <c r="F42" i="4"/>
  <c r="F41" i="4"/>
  <c r="F40" i="4"/>
  <c r="F39" i="4"/>
  <c r="R38" i="1"/>
  <c r="S15" i="5" s="1"/>
  <c r="S14" i="5" s="1"/>
  <c r="S11" i="5" s="1"/>
  <c r="S12" i="5" s="1"/>
  <c r="R35" i="1"/>
  <c r="R20" i="1"/>
  <c r="S34" i="5" s="1"/>
  <c r="O8" i="1"/>
  <c r="P8" i="1"/>
  <c r="Q8" i="1"/>
  <c r="R8" i="1"/>
  <c r="P13" i="1"/>
  <c r="Q30" i="5" s="1"/>
  <c r="Q13" i="1"/>
  <c r="R30" i="5" s="1"/>
  <c r="R13" i="1"/>
  <c r="S30" i="5" s="1"/>
  <c r="P16" i="1"/>
  <c r="Q16" i="1"/>
  <c r="R16" i="1"/>
  <c r="P20" i="1"/>
  <c r="Q34" i="5" s="1"/>
  <c r="Q20" i="1"/>
  <c r="R34" i="5" s="1"/>
  <c r="G52" i="1"/>
  <c r="R28" i="1"/>
  <c r="R27" i="1"/>
  <c r="S7" i="5" s="1"/>
  <c r="R6" i="1"/>
  <c r="R4" i="1" s="1"/>
  <c r="T12" i="6" s="1"/>
  <c r="P7" i="2"/>
  <c r="Q39" i="5" s="1"/>
  <c r="Q37" i="5" s="1"/>
  <c r="Q7" i="2"/>
  <c r="R39" i="5" s="1"/>
  <c r="R37" i="5" s="1"/>
  <c r="O4" i="2"/>
  <c r="P4" i="2"/>
  <c r="Q4" i="2"/>
  <c r="Q3" i="2"/>
  <c r="Q19" i="2"/>
  <c r="Q29" i="2"/>
  <c r="Q33" i="2"/>
  <c r="P48" i="1"/>
  <c r="Q48" i="1"/>
  <c r="P30" i="1"/>
  <c r="Q5" i="5" s="1"/>
  <c r="Q30" i="1"/>
  <c r="P4" i="1"/>
  <c r="R12" i="6" s="1"/>
  <c r="Q4" i="1"/>
  <c r="N30" i="2"/>
  <c r="O30" i="2"/>
  <c r="N23" i="2"/>
  <c r="O47" i="5" s="1"/>
  <c r="O43" i="5" s="1"/>
  <c r="O23" i="2"/>
  <c r="P47" i="5" s="1"/>
  <c r="P43" i="5" s="1"/>
  <c r="N20" i="2"/>
  <c r="O20" i="2"/>
  <c r="N12" i="2"/>
  <c r="O12" i="2"/>
  <c r="O38" i="2" s="1"/>
  <c r="N7" i="2"/>
  <c r="O39" i="5" s="1"/>
  <c r="O37" i="5" s="1"/>
  <c r="O7" i="2"/>
  <c r="P39" i="5" s="1"/>
  <c r="P37" i="5" s="1"/>
  <c r="N4" i="2"/>
  <c r="O48" i="1"/>
  <c r="N48" i="1"/>
  <c r="O30" i="1"/>
  <c r="P5" i="5" s="1"/>
  <c r="N20" i="1"/>
  <c r="O34" i="5" s="1"/>
  <c r="O20" i="1"/>
  <c r="P34" i="5" s="1"/>
  <c r="L16" i="1"/>
  <c r="M16" i="1"/>
  <c r="N16" i="1"/>
  <c r="O16" i="1"/>
  <c r="O13" i="1"/>
  <c r="P30" i="5" s="1"/>
  <c r="O4" i="1"/>
  <c r="Q12" i="6" s="1"/>
  <c r="L30" i="2"/>
  <c r="M30" i="2"/>
  <c r="M23" i="2"/>
  <c r="N47" i="5" s="1"/>
  <c r="N43" i="5" s="1"/>
  <c r="M20" i="2"/>
  <c r="M12" i="2"/>
  <c r="M7" i="2"/>
  <c r="N39" i="5" s="1"/>
  <c r="N37" i="5" s="1"/>
  <c r="M4" i="2"/>
  <c r="M3" i="2"/>
  <c r="M19" i="2"/>
  <c r="M48" i="1"/>
  <c r="M30" i="1"/>
  <c r="N5" i="5" s="1"/>
  <c r="N30" i="1"/>
  <c r="O5" i="5" s="1"/>
  <c r="L30" i="1"/>
  <c r="M5" i="5" s="1"/>
  <c r="L48" i="1"/>
  <c r="M20" i="1"/>
  <c r="N34" i="5" s="1"/>
  <c r="M13" i="1"/>
  <c r="N30" i="5" s="1"/>
  <c r="N13" i="1"/>
  <c r="M8" i="1"/>
  <c r="N8" i="1"/>
  <c r="M4" i="1"/>
  <c r="N4" i="1"/>
  <c r="L23" i="2"/>
  <c r="M47" i="5" s="1"/>
  <c r="M43" i="5" s="1"/>
  <c r="L20" i="2"/>
  <c r="L12" i="2"/>
  <c r="L7" i="2"/>
  <c r="M39" i="5" s="1"/>
  <c r="M37" i="5" s="1"/>
  <c r="L4" i="2"/>
  <c r="L20" i="1"/>
  <c r="M34" i="5" s="1"/>
  <c r="K16" i="1"/>
  <c r="L13" i="1"/>
  <c r="M30" i="5" s="1"/>
  <c r="L8" i="1"/>
  <c r="L4" i="1"/>
  <c r="D30" i="2"/>
  <c r="E30" i="2"/>
  <c r="F30" i="2"/>
  <c r="G30" i="2"/>
  <c r="H30" i="2"/>
  <c r="I30" i="2"/>
  <c r="J30" i="2"/>
  <c r="K30" i="2"/>
  <c r="K23" i="2"/>
  <c r="L47" i="5" s="1"/>
  <c r="L43" i="5" s="1"/>
  <c r="K20" i="2"/>
  <c r="K12" i="2"/>
  <c r="K7" i="2"/>
  <c r="L39" i="5" s="1"/>
  <c r="L37" i="5" s="1"/>
  <c r="K4" i="2"/>
  <c r="K3" i="2"/>
  <c r="K19" i="2"/>
  <c r="K48" i="1"/>
  <c r="K30" i="1"/>
  <c r="L5" i="5" s="1"/>
  <c r="K20" i="1"/>
  <c r="L34" i="5" s="1"/>
  <c r="J16" i="1"/>
  <c r="K13" i="1"/>
  <c r="L30" i="5" s="1"/>
  <c r="K8" i="1"/>
  <c r="K4" i="1"/>
  <c r="I23" i="2"/>
  <c r="J47" i="5" s="1"/>
  <c r="J43" i="5" s="1"/>
  <c r="J23" i="2"/>
  <c r="K47" i="5" s="1"/>
  <c r="K43" i="5" s="1"/>
  <c r="H20" i="2"/>
  <c r="J7" i="6"/>
  <c r="I20" i="2"/>
  <c r="J20" i="2"/>
  <c r="J12" i="2"/>
  <c r="J7" i="2"/>
  <c r="K39" i="5" s="1"/>
  <c r="K37" i="5" s="1"/>
  <c r="J4" i="2"/>
  <c r="J3" i="2"/>
  <c r="J19" i="2"/>
  <c r="J48" i="1"/>
  <c r="J30" i="1"/>
  <c r="K5" i="5" s="1"/>
  <c r="J37" i="1"/>
  <c r="J49" i="1" s="1"/>
  <c r="J20" i="1"/>
  <c r="K34" i="5" s="1"/>
  <c r="J13" i="1"/>
  <c r="K30" i="5" s="1"/>
  <c r="I8" i="1"/>
  <c r="J8" i="1"/>
  <c r="J4" i="1"/>
  <c r="E33" i="6"/>
  <c r="G33" i="6"/>
  <c r="I33" i="6"/>
  <c r="J33" i="6"/>
  <c r="K33" i="6"/>
  <c r="I35" i="6"/>
  <c r="J35" i="6"/>
  <c r="G27" i="6"/>
  <c r="I12" i="2"/>
  <c r="I38" i="2" s="1"/>
  <c r="I7" i="2"/>
  <c r="J39" i="5" s="1"/>
  <c r="J37" i="5" s="1"/>
  <c r="I4" i="2"/>
  <c r="I3" i="2"/>
  <c r="I19" i="2"/>
  <c r="I48" i="1"/>
  <c r="I30" i="1"/>
  <c r="J5" i="5" s="1"/>
  <c r="I20" i="1"/>
  <c r="J34" i="5" s="1"/>
  <c r="I16" i="1"/>
  <c r="I13" i="1"/>
  <c r="I4" i="1"/>
  <c r="I26" i="1" s="1"/>
  <c r="G13" i="1"/>
  <c r="H30" i="5" s="1"/>
  <c r="H13" i="1"/>
  <c r="I30" i="5" s="1"/>
  <c r="D23" i="2"/>
  <c r="E47" i="5" s="1"/>
  <c r="E43" i="5" s="1"/>
  <c r="E23" i="2"/>
  <c r="F47" i="5" s="1"/>
  <c r="F43" i="5" s="1"/>
  <c r="F23" i="2"/>
  <c r="G47" i="5" s="1"/>
  <c r="G43" i="5" s="1"/>
  <c r="G23" i="2"/>
  <c r="H47" i="5" s="1"/>
  <c r="H43" i="5" s="1"/>
  <c r="H23" i="2"/>
  <c r="I47" i="5" s="1"/>
  <c r="I43" i="5" s="1"/>
  <c r="D12" i="2"/>
  <c r="D19" i="2"/>
  <c r="E12" i="2"/>
  <c r="F12" i="2"/>
  <c r="G12" i="2"/>
  <c r="H12" i="2"/>
  <c r="D20" i="2"/>
  <c r="D29" i="2" s="1"/>
  <c r="D33" i="2" s="1"/>
  <c r="E20" i="2"/>
  <c r="F20" i="2"/>
  <c r="G20" i="2"/>
  <c r="G7" i="2"/>
  <c r="H39" i="5" s="1"/>
  <c r="H37" i="5" s="1"/>
  <c r="H7" i="2"/>
  <c r="I39" i="5" s="1"/>
  <c r="I37" i="5" s="1"/>
  <c r="G4" i="2"/>
  <c r="H4" i="2"/>
  <c r="G4" i="1"/>
  <c r="H4" i="1"/>
  <c r="G8" i="1"/>
  <c r="H8" i="1"/>
  <c r="G16" i="1"/>
  <c r="H16" i="1"/>
  <c r="F16" i="1"/>
  <c r="G20" i="1"/>
  <c r="H20" i="1"/>
  <c r="I34" i="5" s="1"/>
  <c r="G30" i="1"/>
  <c r="H5" i="5" s="1"/>
  <c r="H30" i="1"/>
  <c r="I5" i="5" s="1"/>
  <c r="G48" i="1"/>
  <c r="H48" i="1"/>
  <c r="D48" i="1"/>
  <c r="E48" i="1"/>
  <c r="F48" i="1"/>
  <c r="D30" i="1"/>
  <c r="E5" i="5" s="1"/>
  <c r="E30" i="1"/>
  <c r="F5" i="5" s="1"/>
  <c r="D20" i="1"/>
  <c r="E34" i="5" s="1"/>
  <c r="D16" i="1"/>
  <c r="E16" i="1"/>
  <c r="C20" i="1"/>
  <c r="D34" i="5" s="1"/>
  <c r="D13" i="1"/>
  <c r="E30" i="5" s="1"/>
  <c r="E13" i="1"/>
  <c r="F13" i="1"/>
  <c r="G30" i="5" s="1"/>
  <c r="D8" i="1"/>
  <c r="E8" i="1"/>
  <c r="F8" i="1"/>
  <c r="D4" i="1"/>
  <c r="E4" i="1"/>
  <c r="F4" i="1"/>
  <c r="F30" i="1"/>
  <c r="G5" i="5" s="1"/>
  <c r="F20" i="1"/>
  <c r="G34" i="5" s="1"/>
  <c r="F7" i="2"/>
  <c r="G39" i="5" s="1"/>
  <c r="G37" i="5" s="1"/>
  <c r="F4" i="2"/>
  <c r="F3" i="2"/>
  <c r="F19" i="2" s="1"/>
  <c r="C30" i="2"/>
  <c r="C23" i="2"/>
  <c r="D47" i="5" s="1"/>
  <c r="D43" i="5" s="1"/>
  <c r="C20" i="2"/>
  <c r="C12" i="2"/>
  <c r="C7" i="2"/>
  <c r="D39" i="5" s="1"/>
  <c r="D37" i="5" s="1"/>
  <c r="E7" i="2"/>
  <c r="F39" i="5" s="1"/>
  <c r="F37" i="5" s="1"/>
  <c r="C4" i="2"/>
  <c r="E4" i="2"/>
  <c r="C48" i="1"/>
  <c r="C30" i="1"/>
  <c r="D5" i="5" s="1"/>
  <c r="E20" i="1"/>
  <c r="F34" i="5" s="1"/>
  <c r="C16" i="1"/>
  <c r="C13" i="1"/>
  <c r="D30" i="5" s="1"/>
  <c r="C8" i="1"/>
  <c r="C4" i="1"/>
  <c r="B30" i="2"/>
  <c r="B23" i="2"/>
  <c r="C47" i="5"/>
  <c r="B20" i="2"/>
  <c r="B12" i="2"/>
  <c r="B7" i="2"/>
  <c r="B4" i="2"/>
  <c r="B48" i="1"/>
  <c r="B30" i="1"/>
  <c r="B20" i="1"/>
  <c r="C34" i="5" s="1"/>
  <c r="B16" i="1"/>
  <c r="B13" i="1"/>
  <c r="B8" i="1"/>
  <c r="B4" i="1"/>
  <c r="C20" i="5"/>
  <c r="N33" i="6"/>
  <c r="O33" i="6"/>
  <c r="P33" i="6"/>
  <c r="Q33" i="6"/>
  <c r="N34" i="6"/>
  <c r="P34" i="6"/>
  <c r="M26" i="6"/>
  <c r="M33" i="6"/>
  <c r="M34" i="6"/>
  <c r="E34" i="6"/>
  <c r="H34" i="6"/>
  <c r="I34" i="6"/>
  <c r="L34" i="6"/>
  <c r="L28" i="6"/>
  <c r="C46" i="5"/>
  <c r="C45" i="5"/>
  <c r="C44" i="5"/>
  <c r="C43" i="5"/>
  <c r="C40" i="5"/>
  <c r="C38" i="5"/>
  <c r="C35" i="5"/>
  <c r="C32" i="5"/>
  <c r="C31" i="5"/>
  <c r="C28" i="5"/>
  <c r="C27" i="5"/>
  <c r="C26" i="5"/>
  <c r="C22" i="5"/>
  <c r="C21" i="5" s="1"/>
  <c r="C19" i="5"/>
  <c r="C15" i="5"/>
  <c r="C8" i="5"/>
  <c r="C6" i="5"/>
  <c r="C7" i="5"/>
  <c r="D27" i="6" s="1"/>
  <c r="C8" i="4"/>
  <c r="C35" i="4"/>
  <c r="F34" i="4"/>
  <c r="F33" i="4"/>
  <c r="F32" i="4"/>
  <c r="F31" i="4"/>
  <c r="F30" i="4"/>
  <c r="F35" i="4"/>
  <c r="D8" i="4"/>
  <c r="G5" i="4"/>
  <c r="E8" i="4"/>
  <c r="F4" i="4"/>
  <c r="F5" i="4"/>
  <c r="F6" i="4"/>
  <c r="F7" i="4"/>
  <c r="F3" i="4"/>
  <c r="F8" i="4" s="1"/>
  <c r="F22" i="4"/>
  <c r="F23" i="4"/>
  <c r="F24" i="4"/>
  <c r="F25" i="4"/>
  <c r="F21" i="4"/>
  <c r="F26" i="4"/>
  <c r="D26" i="4"/>
  <c r="G22" i="4" s="1"/>
  <c r="C26" i="4"/>
  <c r="C17" i="4"/>
  <c r="D17" i="4"/>
  <c r="G15" i="4"/>
  <c r="F13" i="4"/>
  <c r="F14" i="4"/>
  <c r="F15" i="4"/>
  <c r="F16" i="4"/>
  <c r="F12" i="4"/>
  <c r="F17" i="4" s="1"/>
  <c r="J34" i="6"/>
  <c r="P37" i="1"/>
  <c r="C39" i="5"/>
  <c r="H3" i="2"/>
  <c r="H19" i="2"/>
  <c r="X3" i="2"/>
  <c r="X19" i="2"/>
  <c r="T29" i="2"/>
  <c r="T33" i="2"/>
  <c r="V3" i="2"/>
  <c r="V19" i="2"/>
  <c r="N37" i="1"/>
  <c r="N49" i="1" s="1"/>
  <c r="L37" i="1"/>
  <c r="L49" i="1" s="1"/>
  <c r="U37" i="1"/>
  <c r="Z37" i="1"/>
  <c r="Z49" i="1" s="1"/>
  <c r="AD38" i="2"/>
  <c r="AC38" i="2"/>
  <c r="AD3" i="2"/>
  <c r="AD19" i="2"/>
  <c r="AC3" i="2"/>
  <c r="AC19" i="2"/>
  <c r="AC29" i="2"/>
  <c r="AC33" i="2"/>
  <c r="AE38" i="2"/>
  <c r="AE3" i="2"/>
  <c r="AE19" i="2"/>
  <c r="AI19" i="2"/>
  <c r="AI29" i="2"/>
  <c r="AI33" i="2"/>
  <c r="AI35" i="2" s="1"/>
  <c r="AK38" i="2"/>
  <c r="AK19" i="2"/>
  <c r="AK29" i="2" s="1"/>
  <c r="AK33" i="2" s="1"/>
  <c r="J78" i="4"/>
  <c r="AN3" i="2"/>
  <c r="AN19" i="2"/>
  <c r="AN29" i="2"/>
  <c r="AN33" i="2"/>
  <c r="AN35" i="2" s="1"/>
  <c r="AR3" i="2"/>
  <c r="AR19" i="2"/>
  <c r="AS3" i="2"/>
  <c r="AS19" i="2"/>
  <c r="AS29" i="2"/>
  <c r="AS33" i="2"/>
  <c r="AS35" i="2" s="1"/>
  <c r="AS37" i="2"/>
  <c r="AR43" i="1"/>
  <c r="AW3" i="2"/>
  <c r="AV3" i="2"/>
  <c r="AV19" i="2"/>
  <c r="AY3" i="2"/>
  <c r="AY19" i="2"/>
  <c r="AW19" i="2"/>
  <c r="Y29" i="2"/>
  <c r="Y33" i="2"/>
  <c r="AD29" i="2"/>
  <c r="AD33" i="2"/>
  <c r="L3" i="2"/>
  <c r="L19" i="2"/>
  <c r="B3" i="2"/>
  <c r="B19" i="2"/>
  <c r="E3" i="2"/>
  <c r="O3" i="2"/>
  <c r="O19" i="2"/>
  <c r="O29" i="2"/>
  <c r="O33" i="2"/>
  <c r="O35" i="2"/>
  <c r="O37" i="2"/>
  <c r="AT19" i="2"/>
  <c r="AT29" i="2"/>
  <c r="AT33" i="2"/>
  <c r="AT35" i="2" s="1"/>
  <c r="AT37" i="2"/>
  <c r="AE32" i="6"/>
  <c r="U3" i="2"/>
  <c r="U19" i="2"/>
  <c r="U29" i="2"/>
  <c r="U33" i="2"/>
  <c r="M29" i="2"/>
  <c r="M33" i="2"/>
  <c r="M35" i="2"/>
  <c r="M37" i="2"/>
  <c r="V29" i="2"/>
  <c r="V33" i="2"/>
  <c r="J29" i="2"/>
  <c r="J33" i="2"/>
  <c r="J35" i="2"/>
  <c r="J37" i="2"/>
  <c r="P3" i="2"/>
  <c r="P19" i="2"/>
  <c r="AN38" i="2"/>
  <c r="T38" i="2"/>
  <c r="AQ3" i="2"/>
  <c r="AQ19" i="2"/>
  <c r="AQ29" i="2"/>
  <c r="AQ33" i="2"/>
  <c r="AQ35" i="2" s="1"/>
  <c r="N3" i="2"/>
  <c r="N19" i="2"/>
  <c r="P10" i="6"/>
  <c r="AH3" i="2"/>
  <c r="AH19" i="2"/>
  <c r="AH29" i="2"/>
  <c r="AH33" i="2"/>
  <c r="AH35" i="2" s="1"/>
  <c r="AP3" i="2"/>
  <c r="AP19" i="2"/>
  <c r="AP38" i="2"/>
  <c r="AB37" i="6"/>
  <c r="AO3" i="2"/>
  <c r="AO19" i="2"/>
  <c r="AI37" i="2"/>
  <c r="K29" i="2"/>
  <c r="K33" i="2"/>
  <c r="D35" i="2"/>
  <c r="P29" i="2"/>
  <c r="P33" i="2"/>
  <c r="AB35" i="2"/>
  <c r="AB37" i="2"/>
  <c r="AE29" i="2"/>
  <c r="AE33" i="2"/>
  <c r="AN37" i="2"/>
  <c r="AL37" i="2"/>
  <c r="AC35" i="2"/>
  <c r="AC37" i="2"/>
  <c r="AM29" i="2"/>
  <c r="AM33" i="2"/>
  <c r="AM35" i="2" s="1"/>
  <c r="T35" i="2"/>
  <c r="T37" i="2"/>
  <c r="F29" i="2"/>
  <c r="F33" i="2"/>
  <c r="Y35" i="2"/>
  <c r="Y37" i="2"/>
  <c r="AR29" i="2"/>
  <c r="AR33" i="2"/>
  <c r="AR35" i="2" s="1"/>
  <c r="AA29" i="2"/>
  <c r="AA33" i="2"/>
  <c r="X29" i="2"/>
  <c r="X33" i="2"/>
  <c r="Y39" i="6"/>
  <c r="W29" i="2"/>
  <c r="W33" i="2"/>
  <c r="I29" i="2"/>
  <c r="I33" i="2"/>
  <c r="L29" i="2"/>
  <c r="L33" i="2"/>
  <c r="K34" i="6"/>
  <c r="V7" i="6"/>
  <c r="Q34" i="6"/>
  <c r="P13" i="6"/>
  <c r="V35" i="2"/>
  <c r="V37" i="2"/>
  <c r="E19" i="2"/>
  <c r="G10" i="6"/>
  <c r="R3" i="2"/>
  <c r="R19" i="2"/>
  <c r="AD39" i="6"/>
  <c r="H29" i="2"/>
  <c r="H33" i="2"/>
  <c r="C37" i="5"/>
  <c r="O34" i="6"/>
  <c r="H18" i="6"/>
  <c r="G3" i="2"/>
  <c r="G19" i="2"/>
  <c r="Q37" i="1"/>
  <c r="V10" i="6"/>
  <c r="AD37" i="6"/>
  <c r="AD10" i="6"/>
  <c r="AB38" i="2"/>
  <c r="Z29" i="2"/>
  <c r="Z33" i="2"/>
  <c r="S35" i="2"/>
  <c r="S37" i="2"/>
  <c r="H13" i="6"/>
  <c r="H12" i="6"/>
  <c r="G37" i="6"/>
  <c r="J39" i="6"/>
  <c r="N38" i="2"/>
  <c r="U10" i="6"/>
  <c r="S38" i="2"/>
  <c r="U32" i="6" s="1"/>
  <c r="D10" i="6"/>
  <c r="B38" i="2"/>
  <c r="Q35" i="2"/>
  <c r="Q37" i="2"/>
  <c r="T10" i="6"/>
  <c r="R38" i="2"/>
  <c r="O39" i="6"/>
  <c r="C3" i="2"/>
  <c r="C19" i="2"/>
  <c r="C29" i="2"/>
  <c r="C33" i="2"/>
  <c r="E38" i="2"/>
  <c r="I37" i="6"/>
  <c r="F44" i="4"/>
  <c r="AG37" i="2"/>
  <c r="AF3" i="2"/>
  <c r="AF19" i="2"/>
  <c r="AF29" i="2"/>
  <c r="AF33" i="2"/>
  <c r="AF35" i="2" s="1"/>
  <c r="J12" i="6"/>
  <c r="F10" i="6"/>
  <c r="R18" i="6"/>
  <c r="O27" i="6"/>
  <c r="W33" i="6"/>
  <c r="U27" i="6"/>
  <c r="AD18" i="6"/>
  <c r="D12" i="6"/>
  <c r="G38" i="6"/>
  <c r="N10" i="6"/>
  <c r="L38" i="2"/>
  <c r="S10" i="6"/>
  <c r="Q38" i="2"/>
  <c r="N27" i="6"/>
  <c r="T34" i="6"/>
  <c r="X34" i="6"/>
  <c r="AC33" i="6"/>
  <c r="D38" i="2"/>
  <c r="AG32" i="6"/>
  <c r="AH38" i="2"/>
  <c r="AJ29" i="2"/>
  <c r="AJ33" i="2"/>
  <c r="AJ35" i="2" s="1"/>
  <c r="C38" i="2"/>
  <c r="I12" i="6"/>
  <c r="J10" i="6"/>
  <c r="H38" i="2"/>
  <c r="H26" i="6"/>
  <c r="L12" i="6"/>
  <c r="O18" i="6"/>
  <c r="Y13" i="6"/>
  <c r="Z10" i="6"/>
  <c r="X38" i="2"/>
  <c r="Z32" i="6"/>
  <c r="AB39" i="6"/>
  <c r="Y30" i="6"/>
  <c r="L10" i="6"/>
  <c r="O10" i="6"/>
  <c r="M38" i="2"/>
  <c r="O32" i="6"/>
  <c r="R10" i="6"/>
  <c r="P38" i="2"/>
  <c r="X18" i="6"/>
  <c r="Y10" i="6"/>
  <c r="W38" i="2"/>
  <c r="G38" i="2"/>
  <c r="I10" i="6"/>
  <c r="K12" i="6"/>
  <c r="K18" i="6"/>
  <c r="K10" i="6"/>
  <c r="M10" i="6"/>
  <c r="K38" i="2"/>
  <c r="X10" i="6"/>
  <c r="V38" i="2"/>
  <c r="AA10" i="6"/>
  <c r="J38" i="2"/>
  <c r="AG34" i="6"/>
  <c r="F77" i="4"/>
  <c r="F78" i="4"/>
  <c r="F5" i="6"/>
  <c r="H10" i="6"/>
  <c r="F38" i="2"/>
  <c r="F26" i="6"/>
  <c r="M18" i="6"/>
  <c r="Q10" i="6"/>
  <c r="S38" i="6"/>
  <c r="W18" i="6"/>
  <c r="W10" i="6"/>
  <c r="AA34" i="6"/>
  <c r="Y38" i="2"/>
  <c r="T26" i="6"/>
  <c r="AA18" i="6"/>
  <c r="AC37" i="1"/>
  <c r="AI38" i="2"/>
  <c r="AI32" i="6" s="1"/>
  <c r="AF38" i="2"/>
  <c r="AD13" i="6"/>
  <c r="R27" i="6"/>
  <c r="AA12" i="6"/>
  <c r="AG26" i="6"/>
  <c r="I80" i="4"/>
  <c r="AQ37" i="2"/>
  <c r="V38" i="6"/>
  <c r="AB18" i="6"/>
  <c r="AC12" i="6"/>
  <c r="AC10" i="6"/>
  <c r="AE12" i="6"/>
  <c r="AF10" i="6"/>
  <c r="AA38" i="2"/>
  <c r="AC32" i="6"/>
  <c r="AA27" i="6"/>
  <c r="AG10" i="6"/>
  <c r="AB13" i="6"/>
  <c r="X27" i="6"/>
  <c r="AB10" i="6"/>
  <c r="AD12" i="6"/>
  <c r="AE10" i="6"/>
  <c r="AC26" i="6"/>
  <c r="N77" i="4"/>
  <c r="N78" i="4"/>
  <c r="L81" i="4"/>
  <c r="AD26" i="6"/>
  <c r="AK37" i="1"/>
  <c r="AM38" i="2"/>
  <c r="AM32" i="6" s="1"/>
  <c r="AL38" i="2"/>
  <c r="AL32" i="6" s="1"/>
  <c r="AQ38" i="2"/>
  <c r="AQ32" i="6" s="1"/>
  <c r="AP29" i="2"/>
  <c r="AP33" i="2"/>
  <c r="AP35" i="2" s="1"/>
  <c r="AQ37" i="1"/>
  <c r="AY29" i="2"/>
  <c r="AY33" i="2"/>
  <c r="AY35" i="2" s="1"/>
  <c r="AY37" i="2"/>
  <c r="AV29" i="2"/>
  <c r="AV33" i="2"/>
  <c r="AV35" i="2" s="1"/>
  <c r="AV37" i="2"/>
  <c r="AW29" i="2"/>
  <c r="AW33" i="2"/>
  <c r="AW35" i="2" s="1"/>
  <c r="AO29" i="2"/>
  <c r="AO33" i="2"/>
  <c r="AO35" i="2" s="1"/>
  <c r="AH37" i="2"/>
  <c r="AD35" i="2"/>
  <c r="AD37" i="2"/>
  <c r="B29" i="2"/>
  <c r="B33" i="2"/>
  <c r="B35" i="2"/>
  <c r="B37" i="2"/>
  <c r="N29" i="2"/>
  <c r="N33" i="2"/>
  <c r="Y37" i="6"/>
  <c r="V32" i="6"/>
  <c r="E32" i="6"/>
  <c r="U37" i="6"/>
  <c r="H35" i="2"/>
  <c r="H37" i="2"/>
  <c r="R29" i="2"/>
  <c r="R33" i="2"/>
  <c r="Y32" i="6"/>
  <c r="K32" i="6"/>
  <c r="G30" i="6"/>
  <c r="F32" i="6"/>
  <c r="H32" i="6"/>
  <c r="E10" i="6"/>
  <c r="K35" i="2"/>
  <c r="K37" i="2"/>
  <c r="G32" i="6"/>
  <c r="L32" i="6"/>
  <c r="R32" i="6"/>
  <c r="N32" i="6"/>
  <c r="AB32" i="6"/>
  <c r="G29" i="2"/>
  <c r="G33" i="2"/>
  <c r="E29" i="2"/>
  <c r="E33" i="2"/>
  <c r="L35" i="2"/>
  <c r="L37" i="2"/>
  <c r="X35" i="2"/>
  <c r="X37" i="2"/>
  <c r="AF37" i="2"/>
  <c r="C35" i="2"/>
  <c r="C37" i="2"/>
  <c r="AA35" i="2"/>
  <c r="AA37" i="2"/>
  <c r="P35" i="2"/>
  <c r="P37" i="2"/>
  <c r="J37" i="6"/>
  <c r="P32" i="6"/>
  <c r="Z37" i="6"/>
  <c r="D32" i="6"/>
  <c r="Q32" i="6"/>
  <c r="AA32" i="6"/>
  <c r="W32" i="6"/>
  <c r="AJ37" i="2"/>
  <c r="AD32" i="6"/>
  <c r="I32" i="6"/>
  <c r="I35" i="2"/>
  <c r="I37" i="2"/>
  <c r="U35" i="2"/>
  <c r="U37" i="2"/>
  <c r="AF32" i="6"/>
  <c r="I39" i="6"/>
  <c r="AR37" i="2"/>
  <c r="AS38" i="2"/>
  <c r="F35" i="2"/>
  <c r="F37" i="2"/>
  <c r="T32" i="6"/>
  <c r="AP37" i="2"/>
  <c r="J32" i="6"/>
  <c r="M32" i="6"/>
  <c r="X32" i="6"/>
  <c r="S32" i="6"/>
  <c r="Z35" i="2"/>
  <c r="Z37" i="2"/>
  <c r="AO37" i="2"/>
  <c r="W35" i="2"/>
  <c r="W37" i="2"/>
  <c r="AM37" i="2"/>
  <c r="AE35" i="2"/>
  <c r="AE37" i="2"/>
  <c r="AW37" i="2"/>
  <c r="N35" i="2"/>
  <c r="N37" i="2"/>
  <c r="R35" i="2"/>
  <c r="R37" i="2"/>
  <c r="E35" i="2"/>
  <c r="E37" i="2"/>
  <c r="G35" i="2"/>
  <c r="G37" i="2"/>
  <c r="BA3" i="2"/>
  <c r="BA19" i="2"/>
  <c r="BA29" i="2"/>
  <c r="BA33" i="2"/>
  <c r="BA35" i="2" s="1"/>
  <c r="BA37" i="2"/>
  <c r="AZ3" i="2"/>
  <c r="AZ19" i="2"/>
  <c r="AZ29" i="2"/>
  <c r="AZ33" i="2"/>
  <c r="AZ35" i="2" s="1"/>
  <c r="AZ37" i="2"/>
  <c r="BC3" i="2"/>
  <c r="BC19" i="2"/>
  <c r="BB29" i="2"/>
  <c r="BB33" i="2"/>
  <c r="BB35" i="2" s="1"/>
  <c r="BB37" i="2"/>
  <c r="BD3" i="2"/>
  <c r="BD19" i="2"/>
  <c r="BA37" i="1"/>
  <c r="AZ37" i="1"/>
  <c r="Z39" i="6"/>
  <c r="K38" i="6"/>
  <c r="L37" i="6"/>
  <c r="L39" i="6"/>
  <c r="L30" i="6"/>
  <c r="I30" i="6"/>
  <c r="AE37" i="6"/>
  <c r="AE39" i="6"/>
  <c r="AB30" i="6"/>
  <c r="V39" i="6"/>
  <c r="V37" i="6"/>
  <c r="AA38" i="6"/>
  <c r="AE34" i="6"/>
  <c r="O37" i="6"/>
  <c r="X33" i="6"/>
  <c r="AD30" i="6"/>
  <c r="AG39" i="6"/>
  <c r="AG37" i="6"/>
  <c r="W26" i="6"/>
  <c r="R33" i="6"/>
  <c r="AG30" i="6"/>
  <c r="R30" i="6"/>
  <c r="U39" i="6"/>
  <c r="V34" i="6"/>
  <c r="AG33" i="6"/>
  <c r="AE27" i="6"/>
  <c r="AA33" i="6"/>
  <c r="H33" i="6"/>
  <c r="AC38" i="6"/>
  <c r="S34" i="6"/>
  <c r="L33" i="6"/>
  <c r="Z26" i="6"/>
  <c r="AF26" i="6"/>
  <c r="R37" i="6"/>
  <c r="G39" i="6"/>
  <c r="F33" i="6"/>
  <c r="O30" i="6"/>
  <c r="R39" i="6"/>
  <c r="V30" i="6"/>
  <c r="W38" i="6"/>
  <c r="J27" i="6"/>
  <c r="BL29" i="2"/>
  <c r="BL33" i="2"/>
  <c r="BL35" i="2" s="1"/>
  <c r="BL37" i="2"/>
  <c r="BK29" i="2"/>
  <c r="BK33" i="2"/>
  <c r="BK35" i="2" s="1"/>
  <c r="BK37" i="2"/>
  <c r="BI19" i="2"/>
  <c r="BI29" i="2"/>
  <c r="BI33" i="2"/>
  <c r="BI35" i="2" s="1"/>
  <c r="BI37" i="2"/>
  <c r="BH19" i="2"/>
  <c r="BH29" i="2"/>
  <c r="BH33" i="2"/>
  <c r="BH35" i="2" s="1"/>
  <c r="BH37" i="2"/>
  <c r="BJ19" i="2"/>
  <c r="BJ29" i="2"/>
  <c r="BJ33" i="2"/>
  <c r="BJ35" i="2" s="1"/>
  <c r="BJ37" i="2"/>
  <c r="BG3" i="2"/>
  <c r="BG19" i="2"/>
  <c r="BG29" i="2"/>
  <c r="BG33" i="2"/>
  <c r="BG35" i="2" s="1"/>
  <c r="BG37" i="2"/>
  <c r="BN3" i="2"/>
  <c r="BN19" i="2"/>
  <c r="BN29" i="2" s="1"/>
  <c r="BN33" i="2"/>
  <c r="BN35" i="2" s="1"/>
  <c r="BN37" i="2"/>
  <c r="BF3" i="2"/>
  <c r="BF19" i="2"/>
  <c r="BF29" i="2"/>
  <c r="BF33" i="2"/>
  <c r="BF35" i="2" s="1"/>
  <c r="BF37" i="2"/>
  <c r="BM3" i="2"/>
  <c r="BM19" i="2"/>
  <c r="BM29" i="2"/>
  <c r="BM33" i="2"/>
  <c r="BM35" i="2" s="1"/>
  <c r="BM37" i="2"/>
  <c r="BE3" i="2"/>
  <c r="BE19" i="2" s="1"/>
  <c r="BE29" i="2" s="1"/>
  <c r="BE33" i="2" s="1"/>
  <c r="U12" i="6"/>
  <c r="AP26" i="1"/>
  <c r="M37" i="1"/>
  <c r="M49" i="1" s="1"/>
  <c r="AV37" i="1"/>
  <c r="C5" i="5"/>
  <c r="R48" i="1"/>
  <c r="T3" i="6"/>
  <c r="AP37" i="1"/>
  <c r="Q26" i="6"/>
  <c r="AA37" i="1"/>
  <c r="E27" i="6"/>
  <c r="C26" i="1"/>
  <c r="D4" i="5" s="1"/>
  <c r="BC29" i="2"/>
  <c r="BC33" i="2"/>
  <c r="BC35" i="2" s="1"/>
  <c r="BC37" i="2"/>
  <c r="BD29" i="2"/>
  <c r="BD33" i="2"/>
  <c r="BD35" i="2" s="1"/>
  <c r="BD37" i="2"/>
  <c r="AA39" i="6"/>
  <c r="AA37" i="6"/>
  <c r="AA30" i="6"/>
  <c r="X30" i="6"/>
  <c r="Q39" i="6"/>
  <c r="N30" i="6"/>
  <c r="Q37" i="6"/>
  <c r="U30" i="6"/>
  <c r="X39" i="6"/>
  <c r="K30" i="6"/>
  <c r="N39" i="6"/>
  <c r="N37" i="6"/>
  <c r="X37" i="6"/>
  <c r="F37" i="6"/>
  <c r="F39" i="6"/>
  <c r="F30" i="6"/>
  <c r="AE30" i="6"/>
  <c r="H37" i="6"/>
  <c r="H39" i="6"/>
  <c r="E30" i="6"/>
  <c r="D30" i="6"/>
  <c r="E37" i="6"/>
  <c r="E39" i="6"/>
  <c r="K39" i="6"/>
  <c r="K37" i="6"/>
  <c r="H30" i="6"/>
  <c r="W39" i="6"/>
  <c r="W37" i="6"/>
  <c r="AC39" i="6"/>
  <c r="Z30" i="6"/>
  <c r="M37" i="6"/>
  <c r="J30" i="6"/>
  <c r="M39" i="6"/>
  <c r="AF39" i="6"/>
  <c r="AC30" i="6"/>
  <c r="AF37" i="6"/>
  <c r="AF30" i="6"/>
  <c r="AC37" i="6"/>
  <c r="E22" i="6"/>
  <c r="O26" i="6"/>
  <c r="Y26" i="6"/>
  <c r="E26" i="6"/>
  <c r="K27" i="6"/>
  <c r="H27" i="6"/>
  <c r="Y27" i="6"/>
  <c r="AB27" i="6"/>
  <c r="M27" i="6"/>
  <c r="S27" i="6"/>
  <c r="P26" i="6"/>
  <c r="AA26" i="6"/>
  <c r="X26" i="6"/>
  <c r="AF27" i="6"/>
  <c r="AC27" i="6"/>
  <c r="AE26" i="6"/>
  <c r="AB26" i="6"/>
  <c r="V27" i="6"/>
  <c r="L26" i="6"/>
  <c r="W27" i="6"/>
  <c r="G26" i="6"/>
  <c r="E16" i="6"/>
  <c r="J26" i="6"/>
  <c r="F18" i="6"/>
  <c r="D37" i="1"/>
  <c r="D49" i="1" s="1"/>
  <c r="E15" i="6"/>
  <c r="V26" i="6"/>
  <c r="S26" i="6"/>
  <c r="AC18" i="6"/>
  <c r="D5" i="6"/>
  <c r="D18" i="6"/>
  <c r="F37" i="1"/>
  <c r="P27" i="6"/>
  <c r="AG3" i="6"/>
  <c r="AS37" i="1"/>
  <c r="I18" i="6"/>
  <c r="G37" i="1"/>
  <c r="O12" i="6"/>
  <c r="AB37" i="1"/>
  <c r="AB49" i="1" s="1"/>
  <c r="F27" i="6"/>
  <c r="AM37" i="1"/>
  <c r="BF37" i="1"/>
  <c r="J5" i="6"/>
  <c r="BL37" i="1"/>
  <c r="L27" i="6"/>
  <c r="N26" i="6"/>
  <c r="U26" i="6"/>
  <c r="K26" i="6"/>
  <c r="I27" i="6"/>
  <c r="I26" i="6"/>
  <c r="AS32" i="6" l="1"/>
  <c r="AU32" i="6"/>
  <c r="AH32" i="6"/>
  <c r="AP32" i="6"/>
  <c r="AR32" i="6"/>
  <c r="AN32" i="6"/>
  <c r="AK32" i="6"/>
  <c r="O13" i="6"/>
  <c r="Z26" i="1"/>
  <c r="AF30" i="5"/>
  <c r="AH38" i="6"/>
  <c r="AF7" i="5"/>
  <c r="AF15" i="5"/>
  <c r="AF14" i="5" s="1"/>
  <c r="AH34" i="6"/>
  <c r="AJ5" i="5"/>
  <c r="AK18" i="6"/>
  <c r="AK5" i="6"/>
  <c r="AI5" i="5"/>
  <c r="AJ18" i="6"/>
  <c r="AJ5" i="6"/>
  <c r="AH5" i="5"/>
  <c r="AI5" i="6"/>
  <c r="AI18" i="6"/>
  <c r="AH5" i="6"/>
  <c r="AH18" i="6"/>
  <c r="AH30" i="6"/>
  <c r="AK39" i="6"/>
  <c r="AK10" i="6"/>
  <c r="AJ47" i="5"/>
  <c r="AJ10" i="6"/>
  <c r="AI47" i="5"/>
  <c r="AI10" i="6"/>
  <c r="AH47" i="5"/>
  <c r="AH10" i="6"/>
  <c r="AG47" i="5"/>
  <c r="AK13" i="6"/>
  <c r="AJ13" i="6"/>
  <c r="AI13" i="6"/>
  <c r="AH13" i="6"/>
  <c r="AJ26" i="1"/>
  <c r="AL5" i="5"/>
  <c r="AM18" i="6"/>
  <c r="AM5" i="6"/>
  <c r="AL18" i="6"/>
  <c r="AL5" i="6"/>
  <c r="AJ30" i="6"/>
  <c r="AM39" i="6"/>
  <c r="AI30" i="6"/>
  <c r="AL39" i="6"/>
  <c r="AJ32" i="6"/>
  <c r="AM10" i="6"/>
  <c r="AL47" i="5"/>
  <c r="AL10" i="6"/>
  <c r="AK47" i="5"/>
  <c r="AN5" i="5"/>
  <c r="AO5" i="6"/>
  <c r="AO18" i="6"/>
  <c r="AM5" i="5"/>
  <c r="AN18" i="6"/>
  <c r="AN5" i="6"/>
  <c r="AO30" i="6"/>
  <c r="AO39" i="6"/>
  <c r="AL30" i="6"/>
  <c r="AK30" i="6"/>
  <c r="AN39" i="6"/>
  <c r="AO10" i="6"/>
  <c r="AN47" i="5"/>
  <c r="AN10" i="6"/>
  <c r="AM47" i="5"/>
  <c r="AP5" i="5"/>
  <c r="AQ5" i="6"/>
  <c r="AQ18" i="6"/>
  <c r="AO5" i="5"/>
  <c r="AP5" i="6"/>
  <c r="AP18" i="6"/>
  <c r="AN30" i="6"/>
  <c r="AQ39" i="6"/>
  <c r="AP39" i="6"/>
  <c r="AM30" i="6"/>
  <c r="AO32" i="6"/>
  <c r="AQ10" i="6"/>
  <c r="AP47" i="5"/>
  <c r="AP10" i="6"/>
  <c r="AO47" i="5"/>
  <c r="AP30" i="6"/>
  <c r="AS39" i="6"/>
  <c r="AS10" i="6"/>
  <c r="AR47" i="5"/>
  <c r="AR10" i="6"/>
  <c r="AQ47" i="5"/>
  <c r="AR5" i="5"/>
  <c r="AS18" i="6"/>
  <c r="AS5" i="6"/>
  <c r="AQ5" i="5"/>
  <c r="AR18" i="6"/>
  <c r="AR5" i="6"/>
  <c r="AT10" i="6"/>
  <c r="AS47" i="5"/>
  <c r="AS43" i="5" s="1"/>
  <c r="AT12" i="6"/>
  <c r="AS31" i="5"/>
  <c r="AR13" i="1"/>
  <c r="AS26" i="5"/>
  <c r="AS25" i="5" s="1"/>
  <c r="AS15" i="5"/>
  <c r="AT3" i="6"/>
  <c r="AU34" i="6"/>
  <c r="AT34" i="6"/>
  <c r="AT37" i="6"/>
  <c r="AQ30" i="6"/>
  <c r="AT39" i="6"/>
  <c r="AV5" i="5"/>
  <c r="AW5" i="6"/>
  <c r="AW18" i="6"/>
  <c r="AU5" i="5"/>
  <c r="AV18" i="6"/>
  <c r="AV5" i="6"/>
  <c r="AT5" i="5"/>
  <c r="AU18" i="6"/>
  <c r="AU5" i="6"/>
  <c r="AW39" i="6"/>
  <c r="AT30" i="6"/>
  <c r="AS30" i="6"/>
  <c r="AV39" i="6"/>
  <c r="AR30" i="6"/>
  <c r="AU39" i="6"/>
  <c r="AW10" i="6"/>
  <c r="AV47" i="5"/>
  <c r="AV10" i="6"/>
  <c r="AU47" i="5"/>
  <c r="AU10" i="6"/>
  <c r="AT47" i="5"/>
  <c r="BA18" i="6"/>
  <c r="BA5" i="6"/>
  <c r="AZ18" i="6"/>
  <c r="AZ5" i="6"/>
  <c r="AX5" i="5"/>
  <c r="AY5" i="6"/>
  <c r="AY18" i="6"/>
  <c r="AX5" i="6"/>
  <c r="AX18" i="6"/>
  <c r="BA13" i="6"/>
  <c r="AZ13" i="6"/>
  <c r="AY13" i="6"/>
  <c r="AX13" i="6"/>
  <c r="BA10" i="6"/>
  <c r="AZ47" i="5"/>
  <c r="AY47" i="5"/>
  <c r="AY10" i="6"/>
  <c r="AX47" i="5"/>
  <c r="AX10" i="6"/>
  <c r="AW47" i="5"/>
  <c r="AX30" i="6"/>
  <c r="BA39" i="6"/>
  <c r="AX3" i="2"/>
  <c r="AX19" i="2" s="1"/>
  <c r="AY39" i="5"/>
  <c r="AY37" i="5" s="1"/>
  <c r="AV30" i="6"/>
  <c r="AY39" i="6"/>
  <c r="AX39" i="6"/>
  <c r="AU30" i="6"/>
  <c r="BM5" i="5"/>
  <c r="BN5" i="6"/>
  <c r="BN18" i="6"/>
  <c r="BM5" i="6"/>
  <c r="BM18" i="6"/>
  <c r="BK5" i="5"/>
  <c r="BL18" i="6"/>
  <c r="BL5" i="6"/>
  <c r="BJ5" i="5"/>
  <c r="BK18" i="6"/>
  <c r="BK5" i="6"/>
  <c r="BI5" i="5"/>
  <c r="BJ18" i="6"/>
  <c r="BJ5" i="6"/>
  <c r="BH5" i="5"/>
  <c r="BI18" i="6"/>
  <c r="BI5" i="6"/>
  <c r="BG5" i="5"/>
  <c r="BH5" i="6"/>
  <c r="BH18" i="6"/>
  <c r="BG5" i="6"/>
  <c r="BG18" i="6"/>
  <c r="BE5" i="5"/>
  <c r="BF5" i="6"/>
  <c r="BF18" i="6"/>
  <c r="BD5" i="5"/>
  <c r="BE5" i="6"/>
  <c r="BE18" i="6"/>
  <c r="BC5" i="5"/>
  <c r="BD18" i="6"/>
  <c r="BD5" i="6"/>
  <c r="BB5" i="5"/>
  <c r="BC18" i="6"/>
  <c r="BC5" i="6"/>
  <c r="BA5" i="5"/>
  <c r="BB18" i="6"/>
  <c r="BB5" i="6"/>
  <c r="BP39" i="6"/>
  <c r="BM30" i="6"/>
  <c r="BP30" i="6"/>
  <c r="BL30" i="6"/>
  <c r="BO39" i="6"/>
  <c r="BO30" i="6"/>
  <c r="BN39" i="6"/>
  <c r="BK30" i="6"/>
  <c r="BN30" i="6"/>
  <c r="BM39" i="6"/>
  <c r="BJ30" i="6"/>
  <c r="BI30" i="6"/>
  <c r="BL39" i="6"/>
  <c r="BH30" i="6"/>
  <c r="BK39" i="6"/>
  <c r="BG30" i="6"/>
  <c r="BJ39" i="6"/>
  <c r="BF30" i="6"/>
  <c r="BI39" i="6"/>
  <c r="BH39" i="6"/>
  <c r="BE30" i="6"/>
  <c r="BG39" i="6"/>
  <c r="BD30" i="6"/>
  <c r="BF39" i="6"/>
  <c r="BC30" i="6"/>
  <c r="BE39" i="6"/>
  <c r="BB30" i="6"/>
  <c r="BA30" i="6"/>
  <c r="BD39" i="6"/>
  <c r="AZ30" i="6"/>
  <c r="BC39" i="6"/>
  <c r="AY30" i="6"/>
  <c r="BB39" i="6"/>
  <c r="BP10" i="6"/>
  <c r="BO47" i="5"/>
  <c r="BP11" i="6"/>
  <c r="BO10" i="6"/>
  <c r="BN47" i="5"/>
  <c r="BN10" i="6"/>
  <c r="BM47" i="5"/>
  <c r="BM10" i="6"/>
  <c r="BL47" i="5"/>
  <c r="BL10" i="6"/>
  <c r="BK47" i="5"/>
  <c r="BK10" i="6"/>
  <c r="BJ47" i="5"/>
  <c r="BJ10" i="6"/>
  <c r="BI47" i="5"/>
  <c r="BI10" i="6"/>
  <c r="BH47" i="5"/>
  <c r="BH10" i="6"/>
  <c r="BG47" i="5"/>
  <c r="BG10" i="6"/>
  <c r="BF47" i="5"/>
  <c r="BF10" i="6"/>
  <c r="BE47" i="5"/>
  <c r="BE10" i="6"/>
  <c r="BD47" i="5"/>
  <c r="BD10" i="6"/>
  <c r="BC47" i="5"/>
  <c r="BC10" i="6"/>
  <c r="BB47" i="5"/>
  <c r="BB10" i="6"/>
  <c r="BA47" i="5"/>
  <c r="BT18" i="6"/>
  <c r="BR37" i="1"/>
  <c r="BT3" i="6"/>
  <c r="BU34" i="6"/>
  <c r="BT34" i="6"/>
  <c r="BR3" i="2"/>
  <c r="BR19" i="2" s="1"/>
  <c r="BS39" i="5"/>
  <c r="BS37" i="5" s="1"/>
  <c r="CE29" i="2"/>
  <c r="CE33" i="2" s="1"/>
  <c r="CE35" i="2" s="1"/>
  <c r="CE37" i="2" s="1"/>
  <c r="CE40" i="2" s="1"/>
  <c r="CG10" i="6"/>
  <c r="CG37" i="6"/>
  <c r="CD30" i="6"/>
  <c r="CG39" i="6"/>
  <c r="CG30" i="6"/>
  <c r="CG35" i="6"/>
  <c r="CF43" i="5"/>
  <c r="CG19" i="6"/>
  <c r="CG5" i="6"/>
  <c r="AO25" i="6"/>
  <c r="BG26" i="1"/>
  <c r="AP25" i="6"/>
  <c r="BE25" i="6"/>
  <c r="AB5" i="6"/>
  <c r="H25" i="6"/>
  <c r="AI25" i="6"/>
  <c r="AN25" i="6"/>
  <c r="AR25" i="6"/>
  <c r="BI25" i="6"/>
  <c r="BN25" i="6"/>
  <c r="AQ28" i="6"/>
  <c r="AU35" i="6"/>
  <c r="AT35" i="6"/>
  <c r="AT28" i="6"/>
  <c r="BD25" i="6"/>
  <c r="CD27" i="6"/>
  <c r="CG27" i="6"/>
  <c r="AM25" i="6"/>
  <c r="AQ25" i="6"/>
  <c r="AU25" i="6"/>
  <c r="CD29" i="6"/>
  <c r="CG29" i="6"/>
  <c r="BI14" i="6"/>
  <c r="BI4" i="6"/>
  <c r="BI20" i="6"/>
  <c r="BI15" i="6"/>
  <c r="BI21" i="6"/>
  <c r="BI6" i="6"/>
  <c r="BI17" i="6"/>
  <c r="BI22" i="6"/>
  <c r="BI23" i="6"/>
  <c r="BI16" i="6"/>
  <c r="AR20" i="6"/>
  <c r="AR23" i="6"/>
  <c r="AR15" i="6"/>
  <c r="AR21" i="6"/>
  <c r="AR4" i="6"/>
  <c r="AR16" i="6"/>
  <c r="AR6" i="6"/>
  <c r="AR14" i="6"/>
  <c r="AR17" i="6"/>
  <c r="AR22" i="6"/>
  <c r="AL4" i="6"/>
  <c r="AL17" i="6"/>
  <c r="AL22" i="6"/>
  <c r="AL14" i="6"/>
  <c r="AL20" i="6"/>
  <c r="AL6" i="6"/>
  <c r="AL23" i="6"/>
  <c r="AL15" i="6"/>
  <c r="AL21" i="6"/>
  <c r="AL16" i="6"/>
  <c r="CE26" i="1"/>
  <c r="AB25" i="6"/>
  <c r="AK4" i="5"/>
  <c r="AQ4" i="5"/>
  <c r="BS34" i="5"/>
  <c r="K23" i="6"/>
  <c r="J4" i="5"/>
  <c r="BH4" i="5"/>
  <c r="AB15" i="6"/>
  <c r="AA4" i="5"/>
  <c r="AB23" i="6"/>
  <c r="AB21" i="6"/>
  <c r="AB17" i="6"/>
  <c r="AB14" i="6"/>
  <c r="AB16" i="6"/>
  <c r="AB6" i="6"/>
  <c r="AB22" i="6"/>
  <c r="Z50" i="1"/>
  <c r="AB4" i="6"/>
  <c r="AB20" i="6"/>
  <c r="Q38" i="6"/>
  <c r="O30" i="5"/>
  <c r="AE5" i="5"/>
  <c r="BK37" i="1"/>
  <c r="BL5" i="5"/>
  <c r="BL25" i="6" s="1"/>
  <c r="AF18" i="6"/>
  <c r="BU48" i="1"/>
  <c r="BU49" i="1" s="1"/>
  <c r="BV17" i="5"/>
  <c r="BV14" i="5" s="1"/>
  <c r="BV11" i="5" s="1"/>
  <c r="BV12" i="5" s="1"/>
  <c r="BM17" i="5"/>
  <c r="BM14" i="5" s="1"/>
  <c r="BM11" i="5" s="1"/>
  <c r="BM12" i="5" s="1"/>
  <c r="BL48" i="1"/>
  <c r="BL49" i="1" s="1"/>
  <c r="BE17" i="5"/>
  <c r="BE14" i="5" s="1"/>
  <c r="BE11" i="5" s="1"/>
  <c r="BE12" i="5" s="1"/>
  <c r="BD48" i="1"/>
  <c r="AW17" i="5"/>
  <c r="AW14" i="5" s="1"/>
  <c r="AW11" i="5" s="1"/>
  <c r="AW12" i="5" s="1"/>
  <c r="AV48" i="1"/>
  <c r="AV49" i="1" s="1"/>
  <c r="BA26" i="1"/>
  <c r="G49" i="1"/>
  <c r="D13" i="6"/>
  <c r="X38" i="6"/>
  <c r="J30" i="5"/>
  <c r="R5" i="5"/>
  <c r="AB30" i="5"/>
  <c r="AY37" i="1"/>
  <c r="AZ5" i="5"/>
  <c r="BU17" i="5"/>
  <c r="BU14" i="5" s="1"/>
  <c r="BU11" i="5" s="1"/>
  <c r="BU12" i="5" s="1"/>
  <c r="BT48" i="1"/>
  <c r="BT49" i="1" s="1"/>
  <c r="BL17" i="5"/>
  <c r="BL14" i="5" s="1"/>
  <c r="BL11" i="5" s="1"/>
  <c r="BL12" i="5" s="1"/>
  <c r="BK48" i="1"/>
  <c r="BD17" i="5"/>
  <c r="BD14" i="5" s="1"/>
  <c r="BD11" i="5" s="1"/>
  <c r="BD12" i="5" s="1"/>
  <c r="BC48" i="1"/>
  <c r="AV17" i="5"/>
  <c r="AV14" i="5" s="1"/>
  <c r="AV11" i="5" s="1"/>
  <c r="AV12" i="5" s="1"/>
  <c r="AU48" i="1"/>
  <c r="AM17" i="5"/>
  <c r="AM14" i="5" s="1"/>
  <c r="AM11" i="5" s="1"/>
  <c r="AM12" i="5" s="1"/>
  <c r="AL48" i="1"/>
  <c r="CE52" i="1"/>
  <c r="CF5" i="5"/>
  <c r="Z38" i="6"/>
  <c r="X30" i="5"/>
  <c r="BC37" i="1"/>
  <c r="BC49" i="1" s="1"/>
  <c r="AN17" i="5"/>
  <c r="AN14" i="5" s="1"/>
  <c r="AN11" i="5" s="1"/>
  <c r="AN12" i="5" s="1"/>
  <c r="AM48" i="1"/>
  <c r="AM49" i="1" s="1"/>
  <c r="B37" i="1"/>
  <c r="W12" i="6"/>
  <c r="AY5" i="5"/>
  <c r="AY25" i="6" s="1"/>
  <c r="BT17" i="5"/>
  <c r="BT14" i="5" s="1"/>
  <c r="BT11" i="5" s="1"/>
  <c r="BT12" i="5" s="1"/>
  <c r="BS48" i="1"/>
  <c r="BS49" i="1" s="1"/>
  <c r="BK17" i="5"/>
  <c r="BK14" i="5" s="1"/>
  <c r="BK11" i="5" s="1"/>
  <c r="BK12" i="5" s="1"/>
  <c r="BJ48" i="1"/>
  <c r="BC17" i="5"/>
  <c r="BC14" i="5" s="1"/>
  <c r="BC11" i="5" s="1"/>
  <c r="BC12" i="5" s="1"/>
  <c r="BB48" i="1"/>
  <c r="AU17" i="5"/>
  <c r="AU14" i="5" s="1"/>
  <c r="AU11" i="5" s="1"/>
  <c r="AU12" i="5" s="1"/>
  <c r="AT48" i="1"/>
  <c r="AL17" i="5"/>
  <c r="AL14" i="5" s="1"/>
  <c r="AL11" i="5" s="1"/>
  <c r="AL12" i="5" s="1"/>
  <c r="AK48" i="1"/>
  <c r="AK49" i="1" s="1"/>
  <c r="BW48" i="1"/>
  <c r="BW49" i="1" s="1"/>
  <c r="BX17" i="5"/>
  <c r="BX14" i="5" s="1"/>
  <c r="BX11" i="5" s="1"/>
  <c r="BX12" i="5" s="1"/>
  <c r="AS30" i="5"/>
  <c r="AD38" i="6"/>
  <c r="R13" i="6"/>
  <c r="AE12" i="1"/>
  <c r="AF26" i="5" s="1"/>
  <c r="AF25" i="5" s="1"/>
  <c r="AJ37" i="1"/>
  <c r="AK5" i="5"/>
  <c r="AK25" i="6" s="1"/>
  <c r="AR30" i="1"/>
  <c r="AT18" i="6" s="1"/>
  <c r="AS7" i="5"/>
  <c r="BL26" i="1"/>
  <c r="BR17" i="5"/>
  <c r="BR14" i="5" s="1"/>
  <c r="BR11" i="5" s="1"/>
  <c r="BR12" i="5" s="1"/>
  <c r="BJ17" i="5"/>
  <c r="BJ14" i="5" s="1"/>
  <c r="BJ11" i="5" s="1"/>
  <c r="BJ12" i="5" s="1"/>
  <c r="BI48" i="1"/>
  <c r="BB17" i="5"/>
  <c r="BB14" i="5" s="1"/>
  <c r="BB11" i="5" s="1"/>
  <c r="BB12" i="5" s="1"/>
  <c r="BA48" i="1"/>
  <c r="BA49" i="1" s="1"/>
  <c r="AT17" i="5"/>
  <c r="AT14" i="5" s="1"/>
  <c r="AT11" i="5" s="1"/>
  <c r="AT12" i="5" s="1"/>
  <c r="AS48" i="1"/>
  <c r="AS49" i="1" s="1"/>
  <c r="AK17" i="5"/>
  <c r="AK14" i="5" s="1"/>
  <c r="AK11" i="5" s="1"/>
  <c r="AK12" i="5" s="1"/>
  <c r="AJ48" i="1"/>
  <c r="AJ49" i="1" s="1"/>
  <c r="BZ17" i="5"/>
  <c r="BZ14" i="5" s="1"/>
  <c r="BZ11" i="5" s="1"/>
  <c r="BZ12" i="5" s="1"/>
  <c r="BY48" i="1"/>
  <c r="BY49" i="1" s="1"/>
  <c r="BS15" i="5"/>
  <c r="BB37" i="1"/>
  <c r="AT26" i="1"/>
  <c r="F30" i="5"/>
  <c r="G26" i="1"/>
  <c r="H34" i="5"/>
  <c r="P49" i="1"/>
  <c r="AF37" i="1"/>
  <c r="AG5" i="5"/>
  <c r="AH25" i="6" s="1"/>
  <c r="Q5" i="6"/>
  <c r="AW5" i="5"/>
  <c r="AW25" i="6" s="1"/>
  <c r="BQ17" i="5"/>
  <c r="BQ14" i="5" s="1"/>
  <c r="BQ11" i="5" s="1"/>
  <c r="BQ12" i="5" s="1"/>
  <c r="BI17" i="5"/>
  <c r="BI14" i="5" s="1"/>
  <c r="BI11" i="5" s="1"/>
  <c r="BI12" i="5" s="1"/>
  <c r="BH48" i="1"/>
  <c r="BA17" i="5"/>
  <c r="BA14" i="5" s="1"/>
  <c r="BA11" i="5" s="1"/>
  <c r="BA12" i="5" s="1"/>
  <c r="AZ48" i="1"/>
  <c r="AR17" i="5"/>
  <c r="AR14" i="5" s="1"/>
  <c r="AR11" i="5" s="1"/>
  <c r="AR12" i="5" s="1"/>
  <c r="AQ48" i="1"/>
  <c r="AQ49" i="1" s="1"/>
  <c r="AJ17" i="5"/>
  <c r="AJ14" i="5" s="1"/>
  <c r="AJ11" i="5" s="1"/>
  <c r="AJ12" i="5" s="1"/>
  <c r="AI48" i="1"/>
  <c r="AI49" i="1" s="1"/>
  <c r="BY17" i="5"/>
  <c r="BY14" i="5" s="1"/>
  <c r="BY11" i="5" s="1"/>
  <c r="BY12" i="5" s="1"/>
  <c r="BX48" i="1"/>
  <c r="BX49" i="1" s="1"/>
  <c r="BJ37" i="1"/>
  <c r="BJ49" i="1" s="1"/>
  <c r="M13" i="6"/>
  <c r="AS19" i="5"/>
  <c r="U49" i="1"/>
  <c r="AQ26" i="1"/>
  <c r="AV26" i="1"/>
  <c r="BF5" i="5"/>
  <c r="BF25" i="6" s="1"/>
  <c r="BO50" i="1"/>
  <c r="BP17" i="5"/>
  <c r="BP14" i="5" s="1"/>
  <c r="BP11" i="5" s="1"/>
  <c r="BP12" i="5" s="1"/>
  <c r="BH17" i="5"/>
  <c r="BH14" i="5" s="1"/>
  <c r="BH11" i="5" s="1"/>
  <c r="BH12" i="5" s="1"/>
  <c r="BG48" i="1"/>
  <c r="AZ17" i="5"/>
  <c r="AZ14" i="5" s="1"/>
  <c r="AZ11" i="5" s="1"/>
  <c r="AZ12" i="5" s="1"/>
  <c r="AY48" i="1"/>
  <c r="AQ17" i="5"/>
  <c r="AQ14" i="5" s="1"/>
  <c r="AQ11" i="5" s="1"/>
  <c r="AQ12" i="5" s="1"/>
  <c r="AP48" i="1"/>
  <c r="AP49" i="1" s="1"/>
  <c r="AI17" i="5"/>
  <c r="AI14" i="5" s="1"/>
  <c r="AI11" i="5" s="1"/>
  <c r="AI12" i="5" s="1"/>
  <c r="AH48" i="1"/>
  <c r="AW26" i="1"/>
  <c r="AX34" i="5"/>
  <c r="W5" i="5"/>
  <c r="W25" i="6" s="1"/>
  <c r="AD5" i="5"/>
  <c r="AD25" i="6" s="1"/>
  <c r="M12" i="6"/>
  <c r="AO26" i="1"/>
  <c r="AZ49" i="1"/>
  <c r="AE18" i="6"/>
  <c r="Y38" i="6"/>
  <c r="S26" i="1"/>
  <c r="AD37" i="1"/>
  <c r="AD49" i="1" s="1"/>
  <c r="BR8" i="1"/>
  <c r="BT13" i="6" s="1"/>
  <c r="BO17" i="5"/>
  <c r="BO14" i="5" s="1"/>
  <c r="BO11" i="5" s="1"/>
  <c r="BO12" i="5" s="1"/>
  <c r="BN50" i="1"/>
  <c r="BG17" i="5"/>
  <c r="BG14" i="5" s="1"/>
  <c r="BG11" i="5" s="1"/>
  <c r="BG12" i="5" s="1"/>
  <c r="BF48" i="1"/>
  <c r="BF49" i="1" s="1"/>
  <c r="AY17" i="5"/>
  <c r="AY14" i="5" s="1"/>
  <c r="AY11" i="5" s="1"/>
  <c r="AY12" i="5" s="1"/>
  <c r="AX48" i="1"/>
  <c r="AP17" i="5"/>
  <c r="AP14" i="5" s="1"/>
  <c r="AP11" i="5" s="1"/>
  <c r="AP12" i="5" s="1"/>
  <c r="AO48" i="1"/>
  <c r="AH17" i="5"/>
  <c r="AH14" i="5" s="1"/>
  <c r="AH11" i="5" s="1"/>
  <c r="AH12" i="5" s="1"/>
  <c r="AG48" i="1"/>
  <c r="BS7" i="5"/>
  <c r="BV48" i="1"/>
  <c r="BV49" i="1" s="1"/>
  <c r="BW17" i="5"/>
  <c r="BW14" i="5" s="1"/>
  <c r="BW11" i="5" s="1"/>
  <c r="BW12" i="5" s="1"/>
  <c r="BN17" i="5"/>
  <c r="BN14" i="5" s="1"/>
  <c r="BN11" i="5" s="1"/>
  <c r="BN12" i="5" s="1"/>
  <c r="BF17" i="5"/>
  <c r="BF14" i="5" s="1"/>
  <c r="BF11" i="5" s="1"/>
  <c r="BF12" i="5" s="1"/>
  <c r="BE48" i="1"/>
  <c r="AX17" i="5"/>
  <c r="AX14" i="5" s="1"/>
  <c r="AX11" i="5" s="1"/>
  <c r="AX12" i="5" s="1"/>
  <c r="AW48" i="1"/>
  <c r="AO17" i="5"/>
  <c r="AO14" i="5" s="1"/>
  <c r="AO11" i="5" s="1"/>
  <c r="AO12" i="5" s="1"/>
  <c r="AN48" i="1"/>
  <c r="AG17" i="5"/>
  <c r="AG14" i="5" s="1"/>
  <c r="AG11" i="5" s="1"/>
  <c r="AG12" i="5" s="1"/>
  <c r="AF48" i="1"/>
  <c r="H5" i="6"/>
  <c r="BO4" i="5"/>
  <c r="BQ4" i="5"/>
  <c r="BP4" i="5"/>
  <c r="Q19" i="6"/>
  <c r="AF35" i="6"/>
  <c r="AC5" i="6"/>
  <c r="AE28" i="6"/>
  <c r="AE35" i="6"/>
  <c r="O28" i="6"/>
  <c r="AG28" i="6"/>
  <c r="W35" i="6"/>
  <c r="K35" i="6"/>
  <c r="L35" i="6"/>
  <c r="H28" i="6"/>
  <c r="P5" i="6"/>
  <c r="M38" i="6"/>
  <c r="Z12" i="6"/>
  <c r="C37" i="1"/>
  <c r="C49" i="1" s="1"/>
  <c r="E18" i="6"/>
  <c r="F13" i="6"/>
  <c r="F12" i="6"/>
  <c r="T37" i="1"/>
  <c r="T49" i="1" s="1"/>
  <c r="V18" i="6"/>
  <c r="W28" i="6"/>
  <c r="Z35" i="6"/>
  <c r="AI26" i="1"/>
  <c r="AU37" i="1"/>
  <c r="W26" i="1"/>
  <c r="U5" i="6"/>
  <c r="AR40" i="1"/>
  <c r="AS17" i="5" s="1"/>
  <c r="V26" i="1"/>
  <c r="T26" i="1"/>
  <c r="W19" i="6"/>
  <c r="AE19" i="6"/>
  <c r="AE5" i="6"/>
  <c r="BC26" i="1"/>
  <c r="X12" i="6"/>
  <c r="X13" i="6"/>
  <c r="U20" i="6"/>
  <c r="U4" i="6"/>
  <c r="U17" i="6"/>
  <c r="U23" i="6"/>
  <c r="AO37" i="1"/>
  <c r="O19" i="6"/>
  <c r="O5" i="6"/>
  <c r="BJ26" i="1"/>
  <c r="BH37" i="1"/>
  <c r="BH49" i="1" s="1"/>
  <c r="AC13" i="6"/>
  <c r="AA26" i="1"/>
  <c r="AB4" i="5" s="1"/>
  <c r="BR40" i="1"/>
  <c r="K22" i="6"/>
  <c r="K26" i="1"/>
  <c r="Q13" i="6"/>
  <c r="W13" i="6"/>
  <c r="U26" i="1"/>
  <c r="AD26" i="1"/>
  <c r="AE4" i="5" s="1"/>
  <c r="BI26" i="1"/>
  <c r="F38" i="6"/>
  <c r="X26" i="1"/>
  <c r="N12" i="6"/>
  <c r="R30" i="1"/>
  <c r="S5" i="5" s="1"/>
  <c r="AF13" i="6"/>
  <c r="AF15" i="6"/>
  <c r="AF12" i="6"/>
  <c r="AG35" i="6"/>
  <c r="AC28" i="6"/>
  <c r="AL26" i="1"/>
  <c r="K20" i="6"/>
  <c r="K21" i="6"/>
  <c r="K16" i="6"/>
  <c r="K14" i="6"/>
  <c r="K15" i="6"/>
  <c r="E26" i="1"/>
  <c r="O26" i="1"/>
  <c r="K6" i="6"/>
  <c r="I14" i="6"/>
  <c r="I15" i="6"/>
  <c r="J38" i="6"/>
  <c r="E28" i="6"/>
  <c r="D28" i="6"/>
  <c r="E35" i="6"/>
  <c r="K13" i="6"/>
  <c r="U38" i="6"/>
  <c r="Y37" i="1"/>
  <c r="Y49" i="1" s="1"/>
  <c r="AA13" i="6"/>
  <c r="Y28" i="6"/>
  <c r="M26" i="1"/>
  <c r="N4" i="5" s="1"/>
  <c r="AB28" i="6"/>
  <c r="AA49" i="1"/>
  <c r="T38" i="6"/>
  <c r="AY26" i="1"/>
  <c r="B49" i="1"/>
  <c r="D26" i="1"/>
  <c r="E4" i="5" s="1"/>
  <c r="H26" i="1"/>
  <c r="I11" i="6" s="1"/>
  <c r="AE48" i="1"/>
  <c r="F49" i="1"/>
  <c r="Q49" i="1"/>
  <c r="V37" i="1"/>
  <c r="V49" i="1" s="1"/>
  <c r="AE20" i="1"/>
  <c r="AF34" i="5" s="1"/>
  <c r="AR8" i="1"/>
  <c r="AT13" i="6" s="1"/>
  <c r="H38" i="6"/>
  <c r="AC49" i="1"/>
  <c r="AU26" i="1"/>
  <c r="E5" i="6"/>
  <c r="M4" i="6"/>
  <c r="V6" i="6"/>
  <c r="AD5" i="6"/>
  <c r="AC25" i="6"/>
  <c r="V19" i="6"/>
  <c r="BF26" i="1"/>
  <c r="M5" i="6"/>
  <c r="N5" i="6"/>
  <c r="C25" i="5"/>
  <c r="E19" i="6"/>
  <c r="M19" i="6"/>
  <c r="BE26" i="1"/>
  <c r="W5" i="6"/>
  <c r="AZ26" i="1"/>
  <c r="AR26" i="1"/>
  <c r="Q14" i="6"/>
  <c r="Q23" i="6"/>
  <c r="Q17" i="6"/>
  <c r="Q4" i="6"/>
  <c r="R26" i="1"/>
  <c r="AH26" i="1"/>
  <c r="AG26" i="1"/>
  <c r="AF28" i="6"/>
  <c r="BK26" i="1"/>
  <c r="AC17" i="6"/>
  <c r="F21" i="6"/>
  <c r="F22" i="6"/>
  <c r="F20" i="6"/>
  <c r="O20" i="6"/>
  <c r="O15" i="6"/>
  <c r="O16" i="6"/>
  <c r="O22" i="6"/>
  <c r="O4" i="6"/>
  <c r="O6" i="6"/>
  <c r="O21" i="6"/>
  <c r="O23" i="6"/>
  <c r="AC14" i="6"/>
  <c r="Q21" i="6"/>
  <c r="AC16" i="6"/>
  <c r="AC15" i="6"/>
  <c r="AC20" i="6"/>
  <c r="AB11" i="6"/>
  <c r="AC6" i="6"/>
  <c r="AC21" i="6"/>
  <c r="AC4" i="6"/>
  <c r="AC22" i="6"/>
  <c r="AC23" i="6"/>
  <c r="U16" i="6"/>
  <c r="U22" i="6"/>
  <c r="U11" i="6"/>
  <c r="U6" i="6"/>
  <c r="V9" i="6"/>
  <c r="U15" i="6"/>
  <c r="U14" i="6"/>
  <c r="AA50" i="1"/>
  <c r="E21" i="6"/>
  <c r="E23" i="6"/>
  <c r="E17" i="6"/>
  <c r="E14" i="6"/>
  <c r="F9" i="6"/>
  <c r="E20" i="6"/>
  <c r="E11" i="6"/>
  <c r="E4" i="6"/>
  <c r="Q35" i="6"/>
  <c r="F26" i="1"/>
  <c r="H16" i="6" s="1"/>
  <c r="J18" i="6"/>
  <c r="H37" i="1"/>
  <c r="H49" i="1" s="1"/>
  <c r="J21" i="6"/>
  <c r="O17" i="6"/>
  <c r="N28" i="6"/>
  <c r="E13" i="6"/>
  <c r="E12" i="6"/>
  <c r="J23" i="6"/>
  <c r="J22" i="6"/>
  <c r="L26" i="1"/>
  <c r="M4" i="5" s="1"/>
  <c r="N38" i="6"/>
  <c r="O38" i="6"/>
  <c r="P38" i="6"/>
  <c r="S13" i="6"/>
  <c r="S12" i="6"/>
  <c r="AA28" i="6"/>
  <c r="X28" i="6"/>
  <c r="AA35" i="6"/>
  <c r="AE38" i="6"/>
  <c r="AX37" i="1"/>
  <c r="AB35" i="6"/>
  <c r="W9" i="6"/>
  <c r="W14" i="6"/>
  <c r="X9" i="6"/>
  <c r="J15" i="6"/>
  <c r="T19" i="6"/>
  <c r="T5" i="6"/>
  <c r="X11" i="6"/>
  <c r="X4" i="6"/>
  <c r="X20" i="6"/>
  <c r="X15" i="6"/>
  <c r="K17" i="6"/>
  <c r="I22" i="6"/>
  <c r="I6" i="6"/>
  <c r="I23" i="6"/>
  <c r="I4" i="6"/>
  <c r="I20" i="6"/>
  <c r="AF38" i="6"/>
  <c r="AH37" i="1"/>
  <c r="AF26" i="1"/>
  <c r="AG19" i="6"/>
  <c r="W15" i="6"/>
  <c r="Y9" i="6"/>
  <c r="X16" i="6"/>
  <c r="AC26" i="1"/>
  <c r="AD4" i="5" s="1"/>
  <c r="G18" i="6"/>
  <c r="G5" i="6"/>
  <c r="Z5" i="6"/>
  <c r="Z18" i="6"/>
  <c r="X37" i="1"/>
  <c r="X49" i="1" s="1"/>
  <c r="X50" i="1" s="1"/>
  <c r="X35" i="6"/>
  <c r="S19" i="6"/>
  <c r="S5" i="6"/>
  <c r="I38" i="6"/>
  <c r="P12" i="6"/>
  <c r="N13" i="6"/>
  <c r="N18" i="6"/>
  <c r="N21" i="6"/>
  <c r="BB26" i="1"/>
  <c r="C30" i="5"/>
  <c r="E38" i="6"/>
  <c r="G13" i="6"/>
  <c r="G12" i="6"/>
  <c r="I17" i="6"/>
  <c r="I16" i="6"/>
  <c r="AE8" i="1"/>
  <c r="I5" i="6"/>
  <c r="E37" i="1"/>
  <c r="E49" i="1" s="1"/>
  <c r="Y35" i="6"/>
  <c r="Z13" i="6"/>
  <c r="I13" i="6"/>
  <c r="AM26" i="1"/>
  <c r="X5" i="6"/>
  <c r="X19" i="6"/>
  <c r="AS26" i="1"/>
  <c r="BD26" i="1"/>
  <c r="L38" i="6"/>
  <c r="U13" i="6"/>
  <c r="V5" i="6"/>
  <c r="Q25" i="6"/>
  <c r="Q18" i="6"/>
  <c r="O37" i="1"/>
  <c r="O49" i="1" s="1"/>
  <c r="U18" i="6"/>
  <c r="S37" i="1"/>
  <c r="S49" i="1" s="1"/>
  <c r="S50" i="1" s="1"/>
  <c r="AN26" i="1"/>
  <c r="AG37" i="1"/>
  <c r="K28" i="6"/>
  <c r="L18" i="6"/>
  <c r="K37" i="1"/>
  <c r="K49" i="1" s="1"/>
  <c r="U34" i="6"/>
  <c r="AG38" i="6"/>
  <c r="BH26" i="1"/>
  <c r="BI11" i="6" s="1"/>
  <c r="P18" i="6"/>
  <c r="S18" i="6"/>
  <c r="Y18" i="6"/>
  <c r="W37" i="1"/>
  <c r="W49" i="1" s="1"/>
  <c r="W50" i="1" s="1"/>
  <c r="AB12" i="6"/>
  <c r="BD37" i="1"/>
  <c r="BD49" i="1" s="1"/>
  <c r="Q26" i="1"/>
  <c r="Y12" i="6"/>
  <c r="L13" i="6"/>
  <c r="AG12" i="6"/>
  <c r="AA19" i="6"/>
  <c r="AA5" i="6"/>
  <c r="AR37" i="1"/>
  <c r="AB38" i="6"/>
  <c r="R38" i="6"/>
  <c r="AN37" i="1"/>
  <c r="AW37" i="1"/>
  <c r="E6" i="6"/>
  <c r="AT37" i="1"/>
  <c r="V13" i="6"/>
  <c r="I37" i="1"/>
  <c r="I49" i="1" s="1"/>
  <c r="I28" i="6"/>
  <c r="BE37" i="1"/>
  <c r="C14" i="5"/>
  <c r="O35" i="6"/>
  <c r="AE30" i="1"/>
  <c r="AG5" i="6" s="1"/>
  <c r="AX26" i="1"/>
  <c r="K19" i="6"/>
  <c r="K4" i="6"/>
  <c r="R19" i="6"/>
  <c r="R5" i="6"/>
  <c r="U35" i="6"/>
  <c r="Q28" i="6"/>
  <c r="T28" i="6"/>
  <c r="L5" i="6"/>
  <c r="L19" i="6"/>
  <c r="P28" i="6"/>
  <c r="S35" i="6"/>
  <c r="S28" i="6"/>
  <c r="V28" i="6"/>
  <c r="R35" i="6"/>
  <c r="U28" i="6"/>
  <c r="R28" i="6"/>
  <c r="AD35" i="6"/>
  <c r="AC35" i="6"/>
  <c r="Z28" i="6"/>
  <c r="T35" i="6"/>
  <c r="K5" i="6"/>
  <c r="M35" i="6"/>
  <c r="N35" i="6"/>
  <c r="J28" i="6"/>
  <c r="F28" i="6"/>
  <c r="F35" i="6"/>
  <c r="P35" i="6"/>
  <c r="M28" i="6"/>
  <c r="G28" i="6"/>
  <c r="H35" i="6"/>
  <c r="G35" i="6"/>
  <c r="D26" i="6"/>
  <c r="Y5" i="6"/>
  <c r="Y6" i="6"/>
  <c r="Y19" i="6"/>
  <c r="AF5" i="6"/>
  <c r="AF6" i="6"/>
  <c r="AF19" i="6"/>
  <c r="BE35" i="2"/>
  <c r="BE37" i="2" s="1"/>
  <c r="AK35" i="2"/>
  <c r="AK37" i="2" s="1"/>
  <c r="J13" i="6"/>
  <c r="AL37" i="1"/>
  <c r="AU35" i="2"/>
  <c r="AU37" i="2" s="1"/>
  <c r="BM26" i="1"/>
  <c r="BG37" i="1"/>
  <c r="BC50" i="1"/>
  <c r="AZ50" i="1"/>
  <c r="AR52" i="1"/>
  <c r="CC1" i="5"/>
  <c r="W30" i="6"/>
  <c r="B26" i="1"/>
  <c r="J26" i="1"/>
  <c r="K4" i="5" s="1"/>
  <c r="N26" i="1"/>
  <c r="O4" i="5" s="1"/>
  <c r="P26" i="1"/>
  <c r="Q4" i="5" s="1"/>
  <c r="Y26" i="1"/>
  <c r="Z4" i="5" s="1"/>
  <c r="AB26" i="1"/>
  <c r="AC4" i="5" s="1"/>
  <c r="AK26" i="1"/>
  <c r="BP50" i="1"/>
  <c r="BI37" i="1"/>
  <c r="BQ50" i="1"/>
  <c r="AJ50" i="1"/>
  <c r="AM9" i="6" l="1"/>
  <c r="AL11" i="6"/>
  <c r="V4" i="5"/>
  <c r="W4" i="6"/>
  <c r="BS17" i="5"/>
  <c r="BR48" i="1"/>
  <c r="BR49" i="1" s="1"/>
  <c r="AW49" i="1"/>
  <c r="AO49" i="1"/>
  <c r="AD50" i="1"/>
  <c r="AS9" i="6"/>
  <c r="AR11" i="6"/>
  <c r="BT37" i="6"/>
  <c r="BQ30" i="6"/>
  <c r="BT39" i="6"/>
  <c r="BT30" i="6"/>
  <c r="BR29" i="2"/>
  <c r="BR33" i="2" s="1"/>
  <c r="BR35" i="2" s="1"/>
  <c r="BR37" i="2" s="1"/>
  <c r="BT10" i="6"/>
  <c r="BT19" i="6"/>
  <c r="BT5" i="6"/>
  <c r="BB37" i="6"/>
  <c r="BA43" i="5"/>
  <c r="BC37" i="6"/>
  <c r="BB43" i="5"/>
  <c r="BC43" i="5"/>
  <c r="BD37" i="6"/>
  <c r="BD43" i="5"/>
  <c r="BE37" i="6"/>
  <c r="BF37" i="6"/>
  <c r="BE43" i="5"/>
  <c r="BG37" i="6"/>
  <c r="BF43" i="5"/>
  <c r="BH37" i="6"/>
  <c r="BG43" i="5"/>
  <c r="BI37" i="6"/>
  <c r="BH43" i="5"/>
  <c r="BJ37" i="6"/>
  <c r="BI43" i="5"/>
  <c r="BJ43" i="5"/>
  <c r="BK37" i="6"/>
  <c r="BK43" i="5"/>
  <c r="BL37" i="6"/>
  <c r="BL43" i="5"/>
  <c r="BM37" i="6"/>
  <c r="BN37" i="6"/>
  <c r="BM43" i="5"/>
  <c r="BO37" i="6"/>
  <c r="BN43" i="5"/>
  <c r="BP37" i="6"/>
  <c r="BO43" i="5"/>
  <c r="BB25" i="6"/>
  <c r="BC25" i="6"/>
  <c r="BH25" i="6"/>
  <c r="BJ25" i="6"/>
  <c r="BK25" i="6"/>
  <c r="AZ39" i="6"/>
  <c r="AW30" i="6"/>
  <c r="AX29" i="2"/>
  <c r="AX33" i="2" s="1"/>
  <c r="AX35" i="2" s="1"/>
  <c r="AX37" i="2" s="1"/>
  <c r="AZ10" i="6"/>
  <c r="AW43" i="5"/>
  <c r="AX37" i="6"/>
  <c r="AX43" i="5"/>
  <c r="AY37" i="6"/>
  <c r="AZ37" i="6"/>
  <c r="AY43" i="5"/>
  <c r="AZ43" i="5"/>
  <c r="BA37" i="6"/>
  <c r="AT43" i="5"/>
  <c r="AU37" i="6"/>
  <c r="AU43" i="5"/>
  <c r="AV37" i="6"/>
  <c r="AV43" i="5"/>
  <c r="AW37" i="6"/>
  <c r="AV25" i="6"/>
  <c r="AT5" i="6"/>
  <c r="AT19" i="6"/>
  <c r="AT38" i="6"/>
  <c r="AU38" i="6"/>
  <c r="AR37" i="6"/>
  <c r="AQ43" i="5"/>
  <c r="AR43" i="5"/>
  <c r="AS37" i="6"/>
  <c r="AP37" i="6"/>
  <c r="AO43" i="5"/>
  <c r="AQ37" i="6"/>
  <c r="AP43" i="5"/>
  <c r="AM43" i="5"/>
  <c r="AN37" i="6"/>
  <c r="AN43" i="5"/>
  <c r="AO37" i="6"/>
  <c r="AK43" i="5"/>
  <c r="AL37" i="6"/>
  <c r="AM37" i="6"/>
  <c r="AL43" i="5"/>
  <c r="AG43" i="5"/>
  <c r="AH37" i="6"/>
  <c r="AI37" i="6"/>
  <c r="AH43" i="5"/>
  <c r="AJ37" i="6"/>
  <c r="AI43" i="5"/>
  <c r="AK37" i="6"/>
  <c r="AJ43" i="5"/>
  <c r="AJ25" i="6"/>
  <c r="AF11" i="5"/>
  <c r="AF12" i="5" s="1"/>
  <c r="BS14" i="5"/>
  <c r="BS11" i="5" s="1"/>
  <c r="BS12" i="5" s="1"/>
  <c r="BL50" i="1"/>
  <c r="AS14" i="5"/>
  <c r="AS11" i="5" s="1"/>
  <c r="AS12" i="5" s="1"/>
  <c r="AZ25" i="6"/>
  <c r="AQ27" i="6"/>
  <c r="AT27" i="6"/>
  <c r="AX25" i="6"/>
  <c r="BA25" i="6"/>
  <c r="CF25" i="6"/>
  <c r="CG25" i="6"/>
  <c r="BG25" i="6"/>
  <c r="AL25" i="6"/>
  <c r="BM25" i="6"/>
  <c r="BQ27" i="6"/>
  <c r="BT27" i="6"/>
  <c r="AP11" i="6"/>
  <c r="AP15" i="6"/>
  <c r="AP21" i="6"/>
  <c r="AP4" i="6"/>
  <c r="AQ9" i="6"/>
  <c r="AP16" i="6"/>
  <c r="AP17" i="6"/>
  <c r="AP22" i="6"/>
  <c r="AP23" i="6"/>
  <c r="AP6" i="6"/>
  <c r="AP20" i="6"/>
  <c r="AP14" i="6"/>
  <c r="AT17" i="6"/>
  <c r="AT22" i="6"/>
  <c r="AT6" i="6"/>
  <c r="AT14" i="6"/>
  <c r="AT20" i="6"/>
  <c r="AT23" i="6"/>
  <c r="AT11" i="6"/>
  <c r="AT15" i="6"/>
  <c r="AT21" i="6"/>
  <c r="AU9" i="6"/>
  <c r="AT4" i="6"/>
  <c r="AT16" i="6"/>
  <c r="AX9" i="6"/>
  <c r="AW16" i="6"/>
  <c r="AW6" i="6"/>
  <c r="AW17" i="6"/>
  <c r="AW22" i="6"/>
  <c r="AW14" i="6"/>
  <c r="AW4" i="6"/>
  <c r="AW11" i="6"/>
  <c r="AW15" i="6"/>
  <c r="AW21" i="6"/>
  <c r="AW23" i="6"/>
  <c r="AW20" i="6"/>
  <c r="BQ36" i="6"/>
  <c r="AX4" i="6"/>
  <c r="AX11" i="6"/>
  <c r="AX15" i="6"/>
  <c r="AX21" i="6"/>
  <c r="AY9" i="6"/>
  <c r="AX16" i="6"/>
  <c r="AX6" i="6"/>
  <c r="AX17" i="6"/>
  <c r="AX22" i="6"/>
  <c r="AX23" i="6"/>
  <c r="AX14" i="6"/>
  <c r="AX20" i="6"/>
  <c r="CF4" i="5"/>
  <c r="CG14" i="6"/>
  <c r="CG20" i="6"/>
  <c r="CG4" i="6"/>
  <c r="CG11" i="6"/>
  <c r="CG15" i="6"/>
  <c r="CG21" i="6"/>
  <c r="CG17" i="6"/>
  <c r="CG22" i="6"/>
  <c r="CG16" i="6"/>
  <c r="CH9" i="6"/>
  <c r="CG23" i="6"/>
  <c r="CG6" i="6"/>
  <c r="CF11" i="6"/>
  <c r="CG9" i="6"/>
  <c r="AZ20" i="6"/>
  <c r="AZ4" i="6"/>
  <c r="AZ11" i="6"/>
  <c r="AZ15" i="6"/>
  <c r="AZ21" i="6"/>
  <c r="BA9" i="6"/>
  <c r="AZ16" i="6"/>
  <c r="AZ14" i="6"/>
  <c r="AZ6" i="6"/>
  <c r="AZ17" i="6"/>
  <c r="AZ22" i="6"/>
  <c r="AZ23" i="6"/>
  <c r="AK14" i="6"/>
  <c r="AK20" i="6"/>
  <c r="AK6" i="6"/>
  <c r="AK23" i="6"/>
  <c r="AK11" i="6"/>
  <c r="AK15" i="6"/>
  <c r="AK21" i="6"/>
  <c r="AK4" i="6"/>
  <c r="AK17" i="6"/>
  <c r="AK22" i="6"/>
  <c r="AK16" i="6"/>
  <c r="AL9" i="6"/>
  <c r="BQ24" i="6"/>
  <c r="BR36" i="6"/>
  <c r="AQ23" i="6"/>
  <c r="AQ11" i="6"/>
  <c r="AQ15" i="6"/>
  <c r="AQ21" i="6"/>
  <c r="AQ4" i="6"/>
  <c r="AR9" i="6"/>
  <c r="AQ16" i="6"/>
  <c r="AQ20" i="6"/>
  <c r="AQ22" i="6"/>
  <c r="AQ6" i="6"/>
  <c r="AQ14" i="6"/>
  <c r="AQ17" i="6"/>
  <c r="BF11" i="6"/>
  <c r="BF15" i="6"/>
  <c r="BF21" i="6"/>
  <c r="BF6" i="6"/>
  <c r="BG9" i="6"/>
  <c r="BF16" i="6"/>
  <c r="BF17" i="6"/>
  <c r="BF22" i="6"/>
  <c r="BF23" i="6"/>
  <c r="BF20" i="6"/>
  <c r="BF14" i="6"/>
  <c r="BF4" i="6"/>
  <c r="BB17" i="6"/>
  <c r="BB22" i="6"/>
  <c r="BB14" i="6"/>
  <c r="BB20" i="6"/>
  <c r="BB4" i="6"/>
  <c r="BB11" i="6"/>
  <c r="BB15" i="6"/>
  <c r="BB21" i="6"/>
  <c r="BB6" i="6"/>
  <c r="BB16" i="6"/>
  <c r="BC9" i="6"/>
  <c r="BB23" i="6"/>
  <c r="AW9" i="6"/>
  <c r="AV16" i="6"/>
  <c r="AV17" i="6"/>
  <c r="AV22" i="6"/>
  <c r="AV14" i="6"/>
  <c r="AV20" i="6"/>
  <c r="AV15" i="6"/>
  <c r="AV11" i="6"/>
  <c r="AV21" i="6"/>
  <c r="AV23" i="6"/>
  <c r="AV4" i="6"/>
  <c r="AV6" i="6"/>
  <c r="BO6" i="6"/>
  <c r="BO11" i="6"/>
  <c r="BO15" i="6"/>
  <c r="BO21" i="6"/>
  <c r="BP9" i="6"/>
  <c r="BO16" i="6"/>
  <c r="BO20" i="6"/>
  <c r="BO14" i="6"/>
  <c r="BO17" i="6"/>
  <c r="BO22" i="6"/>
  <c r="BO4" i="6"/>
  <c r="BO23" i="6"/>
  <c r="AU17" i="6"/>
  <c r="AU22" i="6"/>
  <c r="AU14" i="6"/>
  <c r="AU20" i="6"/>
  <c r="AU23" i="6"/>
  <c r="AV9" i="6"/>
  <c r="AU16" i="6"/>
  <c r="AU11" i="6"/>
  <c r="AU21" i="6"/>
  <c r="AU15" i="6"/>
  <c r="AU4" i="6"/>
  <c r="AU6" i="6"/>
  <c r="BE9" i="6"/>
  <c r="BD16" i="6"/>
  <c r="BD17" i="6"/>
  <c r="BD22" i="6"/>
  <c r="BD14" i="6"/>
  <c r="BD20" i="6"/>
  <c r="BD15" i="6"/>
  <c r="BD23" i="6"/>
  <c r="BD21" i="6"/>
  <c r="BD11" i="6"/>
  <c r="BD4" i="6"/>
  <c r="BD6" i="6"/>
  <c r="AJ20" i="6"/>
  <c r="AJ6" i="6"/>
  <c r="AJ23" i="6"/>
  <c r="AJ11" i="6"/>
  <c r="AJ15" i="6"/>
  <c r="AJ21" i="6"/>
  <c r="AK9" i="6"/>
  <c r="AJ16" i="6"/>
  <c r="AJ14" i="6"/>
  <c r="AJ4" i="6"/>
  <c r="AJ17" i="6"/>
  <c r="AJ22" i="6"/>
  <c r="BJ9" i="6"/>
  <c r="BR24" i="6"/>
  <c r="BS36" i="6"/>
  <c r="BS24" i="6"/>
  <c r="AI6" i="6"/>
  <c r="AI23" i="6"/>
  <c r="AI11" i="6"/>
  <c r="AI15" i="6"/>
  <c r="AI21" i="6"/>
  <c r="AJ9" i="6"/>
  <c r="AI16" i="6"/>
  <c r="AI20" i="6"/>
  <c r="AI4" i="6"/>
  <c r="AI17" i="6"/>
  <c r="AI22" i="6"/>
  <c r="AI14" i="6"/>
  <c r="BG11" i="6"/>
  <c r="BG15" i="6"/>
  <c r="BG21" i="6"/>
  <c r="BG6" i="6"/>
  <c r="BH9" i="6"/>
  <c r="BG16" i="6"/>
  <c r="BG4" i="6"/>
  <c r="BG20" i="6"/>
  <c r="BG17" i="6"/>
  <c r="BG22" i="6"/>
  <c r="BG14" i="6"/>
  <c r="BG23" i="6"/>
  <c r="BE6" i="6"/>
  <c r="BF9" i="6"/>
  <c r="BE16" i="6"/>
  <c r="BE17" i="6"/>
  <c r="BE22" i="6"/>
  <c r="BE14" i="6"/>
  <c r="BE11" i="6"/>
  <c r="BE15" i="6"/>
  <c r="BE21" i="6"/>
  <c r="BE4" i="6"/>
  <c r="BE23" i="6"/>
  <c r="BE20" i="6"/>
  <c r="AO50" i="1"/>
  <c r="BM9" i="6"/>
  <c r="BL16" i="6"/>
  <c r="BL17" i="6"/>
  <c r="BL22" i="6"/>
  <c r="BL14" i="6"/>
  <c r="BL20" i="6"/>
  <c r="BL11" i="6"/>
  <c r="BL21" i="6"/>
  <c r="BL23" i="6"/>
  <c r="BL15" i="6"/>
  <c r="BL4" i="6"/>
  <c r="BL6" i="6"/>
  <c r="BA14" i="6"/>
  <c r="BA20" i="6"/>
  <c r="BA4" i="6"/>
  <c r="BA11" i="6"/>
  <c r="BA15" i="6"/>
  <c r="BA21" i="6"/>
  <c r="BA17" i="6"/>
  <c r="BA22" i="6"/>
  <c r="BA16" i="6"/>
  <c r="BB9" i="6"/>
  <c r="BA23" i="6"/>
  <c r="BA6" i="6"/>
  <c r="AO9" i="6"/>
  <c r="AN16" i="6"/>
  <c r="AN17" i="6"/>
  <c r="AN22" i="6"/>
  <c r="AN14" i="6"/>
  <c r="AN20" i="6"/>
  <c r="AN23" i="6"/>
  <c r="AN15" i="6"/>
  <c r="AN11" i="6"/>
  <c r="AN21" i="6"/>
  <c r="AN6" i="6"/>
  <c r="AN4" i="6"/>
  <c r="AY23" i="6"/>
  <c r="AY4" i="6"/>
  <c r="AY11" i="6"/>
  <c r="AY15" i="6"/>
  <c r="AY21" i="6"/>
  <c r="AZ9" i="6"/>
  <c r="AY16" i="6"/>
  <c r="AY6" i="6"/>
  <c r="AY20" i="6"/>
  <c r="AY17" i="6"/>
  <c r="AY22" i="6"/>
  <c r="AY14" i="6"/>
  <c r="BK17" i="6"/>
  <c r="BK22" i="6"/>
  <c r="BK14" i="6"/>
  <c r="BK20" i="6"/>
  <c r="BL9" i="6"/>
  <c r="BK16" i="6"/>
  <c r="BK21" i="6"/>
  <c r="BK23" i="6"/>
  <c r="BK15" i="6"/>
  <c r="BK11" i="6"/>
  <c r="BK4" i="6"/>
  <c r="BK6" i="6"/>
  <c r="BN9" i="6"/>
  <c r="BM16" i="6"/>
  <c r="BM4" i="6"/>
  <c r="BM17" i="6"/>
  <c r="BM22" i="6"/>
  <c r="BM14" i="6"/>
  <c r="BM11" i="6"/>
  <c r="BM15" i="6"/>
  <c r="BM21" i="6"/>
  <c r="BM6" i="6"/>
  <c r="BM20" i="6"/>
  <c r="BM23" i="6"/>
  <c r="BN11" i="6"/>
  <c r="BN15" i="6"/>
  <c r="BN21" i="6"/>
  <c r="BO9" i="6"/>
  <c r="BN16" i="6"/>
  <c r="BN4" i="6"/>
  <c r="BN17" i="6"/>
  <c r="BN22" i="6"/>
  <c r="BN6" i="6"/>
  <c r="BN23" i="6"/>
  <c r="BN20" i="6"/>
  <c r="BN14" i="6"/>
  <c r="BJ17" i="6"/>
  <c r="BJ22" i="6"/>
  <c r="BJ14" i="6"/>
  <c r="BJ4" i="6"/>
  <c r="BJ20" i="6"/>
  <c r="BJ11" i="6"/>
  <c r="BJ15" i="6"/>
  <c r="BJ21" i="6"/>
  <c r="BJ6" i="6"/>
  <c r="BJ23" i="6"/>
  <c r="BJ16" i="6"/>
  <c r="BK9" i="6"/>
  <c r="BH4" i="6"/>
  <c r="BH20" i="6"/>
  <c r="BH11" i="6"/>
  <c r="BH15" i="6"/>
  <c r="BH21" i="6"/>
  <c r="BH6" i="6"/>
  <c r="BI9" i="6"/>
  <c r="BH16" i="6"/>
  <c r="BH14" i="6"/>
  <c r="BH17" i="6"/>
  <c r="BH22" i="6"/>
  <c r="BH23" i="6"/>
  <c r="AS6" i="6"/>
  <c r="AS14" i="6"/>
  <c r="AS20" i="6"/>
  <c r="AS23" i="6"/>
  <c r="AS11" i="6"/>
  <c r="AS15" i="6"/>
  <c r="AS21" i="6"/>
  <c r="AS17" i="6"/>
  <c r="AS22" i="6"/>
  <c r="AT9" i="6"/>
  <c r="AS4" i="6"/>
  <c r="AS16" i="6"/>
  <c r="BC17" i="6"/>
  <c r="BC22" i="6"/>
  <c r="BC14" i="6"/>
  <c r="BC20" i="6"/>
  <c r="BC23" i="6"/>
  <c r="BD9" i="6"/>
  <c r="BC16" i="6"/>
  <c r="BC11" i="6"/>
  <c r="BC15" i="6"/>
  <c r="BC21" i="6"/>
  <c r="BC4" i="6"/>
  <c r="BC6" i="6"/>
  <c r="AM17" i="6"/>
  <c r="AM22" i="6"/>
  <c r="AM14" i="6"/>
  <c r="AM20" i="6"/>
  <c r="AM23" i="6"/>
  <c r="AN9" i="6"/>
  <c r="AM16" i="6"/>
  <c r="AM11" i="6"/>
  <c r="AM15" i="6"/>
  <c r="AM21" i="6"/>
  <c r="AM4" i="6"/>
  <c r="AM6" i="6"/>
  <c r="AO4" i="6"/>
  <c r="AP9" i="6"/>
  <c r="AO16" i="6"/>
  <c r="AO17" i="6"/>
  <c r="AO22" i="6"/>
  <c r="AO6" i="6"/>
  <c r="AO14" i="6"/>
  <c r="AO11" i="6"/>
  <c r="AO15" i="6"/>
  <c r="AO21" i="6"/>
  <c r="AO20" i="6"/>
  <c r="AO23" i="6"/>
  <c r="AH11" i="6"/>
  <c r="AH15" i="6"/>
  <c r="AH21" i="6"/>
  <c r="AI9" i="6"/>
  <c r="AH16" i="6"/>
  <c r="AH4" i="6"/>
  <c r="AH17" i="6"/>
  <c r="AH22" i="6"/>
  <c r="AH6" i="6"/>
  <c r="AH23" i="6"/>
  <c r="AH20" i="6"/>
  <c r="AH14" i="6"/>
  <c r="BJ50" i="1"/>
  <c r="BA50" i="1"/>
  <c r="BH50" i="1"/>
  <c r="AC24" i="6"/>
  <c r="AE25" i="6"/>
  <c r="AJ4" i="5"/>
  <c r="AL24" i="6" s="1"/>
  <c r="BG4" i="5"/>
  <c r="BI24" i="6" s="1"/>
  <c r="BM50" i="1"/>
  <c r="AT4" i="5"/>
  <c r="BM4" i="5"/>
  <c r="AR4" i="5"/>
  <c r="AS36" i="6" s="1"/>
  <c r="AL4" i="5"/>
  <c r="AM36" i="6" s="1"/>
  <c r="BD4" i="5"/>
  <c r="BB4" i="5"/>
  <c r="AP4" i="5"/>
  <c r="BI4" i="5"/>
  <c r="BJ36" i="6" s="1"/>
  <c r="AW4" i="5"/>
  <c r="AZ4" i="5"/>
  <c r="AM4" i="5"/>
  <c r="AV50" i="1"/>
  <c r="AS50" i="1"/>
  <c r="AN4" i="5"/>
  <c r="AG4" i="5"/>
  <c r="BR26" i="1"/>
  <c r="T4" i="5"/>
  <c r="U21" i="6"/>
  <c r="AL49" i="1"/>
  <c r="AL50" i="1" s="1"/>
  <c r="G17" i="6"/>
  <c r="F4" i="5"/>
  <c r="G24" i="6" s="1"/>
  <c r="BS5" i="5"/>
  <c r="BI49" i="1"/>
  <c r="F11" i="6"/>
  <c r="AH4" i="5"/>
  <c r="AV4" i="5"/>
  <c r="V21" i="6"/>
  <c r="U4" i="5"/>
  <c r="W36" i="6" s="1"/>
  <c r="X4" i="5"/>
  <c r="AG49" i="1"/>
  <c r="AG50" i="1" s="1"/>
  <c r="AW50" i="1"/>
  <c r="G14" i="6"/>
  <c r="X6" i="6"/>
  <c r="W4" i="5"/>
  <c r="X36" i="6" s="1"/>
  <c r="AY49" i="1"/>
  <c r="AY50" i="1" s="1"/>
  <c r="AR48" i="1"/>
  <c r="AR49" i="1" s="1"/>
  <c r="H4" i="5"/>
  <c r="I21" i="6"/>
  <c r="BB49" i="1"/>
  <c r="AU49" i="1"/>
  <c r="I4" i="5"/>
  <c r="K24" i="6" s="1"/>
  <c r="AI50" i="1"/>
  <c r="G20" i="6"/>
  <c r="J9" i="6"/>
  <c r="T16" i="6"/>
  <c r="S4" i="5"/>
  <c r="AF49" i="1"/>
  <c r="AT49" i="1"/>
  <c r="AT50" i="1" s="1"/>
  <c r="AK50" i="1"/>
  <c r="AY4" i="5"/>
  <c r="AO4" i="5"/>
  <c r="H9" i="6"/>
  <c r="J16" i="6"/>
  <c r="K9" i="6"/>
  <c r="J6" i="6"/>
  <c r="H17" i="6"/>
  <c r="G4" i="5"/>
  <c r="Q16" i="6"/>
  <c r="P4" i="5"/>
  <c r="AX4" i="5"/>
  <c r="BK49" i="1"/>
  <c r="AF5" i="5"/>
  <c r="R4" i="5"/>
  <c r="G22" i="6"/>
  <c r="J20" i="6"/>
  <c r="J4" i="6"/>
  <c r="AI4" i="5"/>
  <c r="AS4" i="5"/>
  <c r="Z15" i="6"/>
  <c r="Y4" i="5"/>
  <c r="AN49" i="1"/>
  <c r="AN50" i="1" s="1"/>
  <c r="AX49" i="1"/>
  <c r="AX50" i="1" s="1"/>
  <c r="AU4" i="5"/>
  <c r="M6" i="6"/>
  <c r="L4" i="5"/>
  <c r="N36" i="6" s="1"/>
  <c r="AH49" i="1"/>
  <c r="AH50" i="1" s="1"/>
  <c r="AS5" i="5"/>
  <c r="BF4" i="5"/>
  <c r="BN4" i="5"/>
  <c r="BP24" i="6" s="1"/>
  <c r="BA4" i="5"/>
  <c r="BK4" i="5"/>
  <c r="BE4" i="5"/>
  <c r="BC4" i="5"/>
  <c r="BJ4" i="5"/>
  <c r="BD50" i="1"/>
  <c r="BL4" i="5"/>
  <c r="BG49" i="1"/>
  <c r="BG50" i="1" s="1"/>
  <c r="BE49" i="1"/>
  <c r="BE50" i="1" s="1"/>
  <c r="U29" i="6"/>
  <c r="W29" i="6"/>
  <c r="Y25" i="6"/>
  <c r="X25" i="6"/>
  <c r="G29" i="6"/>
  <c r="AC36" i="6"/>
  <c r="C11" i="5"/>
  <c r="C12" i="5" s="1"/>
  <c r="Q29" i="6"/>
  <c r="J29" i="6"/>
  <c r="M25" i="6"/>
  <c r="F15" i="6"/>
  <c r="Q15" i="6"/>
  <c r="Q20" i="6"/>
  <c r="G15" i="6"/>
  <c r="AF14" i="6"/>
  <c r="AF23" i="6"/>
  <c r="AF17" i="6"/>
  <c r="AF16" i="6"/>
  <c r="AF22" i="6"/>
  <c r="AF20" i="6"/>
  <c r="AF21" i="6"/>
  <c r="AF4" i="6"/>
  <c r="G6" i="6"/>
  <c r="T50" i="1"/>
  <c r="H29" i="6"/>
  <c r="F17" i="6"/>
  <c r="S25" i="6"/>
  <c r="T18" i="6"/>
  <c r="R37" i="1"/>
  <c r="R49" i="1" s="1"/>
  <c r="T13" i="6"/>
  <c r="V16" i="6"/>
  <c r="L25" i="6"/>
  <c r="F14" i="6"/>
  <c r="F6" i="6"/>
  <c r="Q22" i="6"/>
  <c r="V4" i="6"/>
  <c r="G16" i="6"/>
  <c r="W20" i="6"/>
  <c r="W16" i="6"/>
  <c r="W21" i="6"/>
  <c r="W11" i="6"/>
  <c r="W17" i="6"/>
  <c r="W6" i="6"/>
  <c r="W23" i="6"/>
  <c r="U50" i="1"/>
  <c r="W22" i="6"/>
  <c r="F16" i="6"/>
  <c r="Q6" i="6"/>
  <c r="V50" i="1"/>
  <c r="O14" i="6"/>
  <c r="V17" i="6"/>
  <c r="AU50" i="1"/>
  <c r="J17" i="6"/>
  <c r="J14" i="6"/>
  <c r="J11" i="6"/>
  <c r="G23" i="6"/>
  <c r="G21" i="6"/>
  <c r="Z22" i="6"/>
  <c r="Z4" i="6"/>
  <c r="Z6" i="6"/>
  <c r="Z21" i="6"/>
  <c r="Z16" i="6"/>
  <c r="Z17" i="6"/>
  <c r="Z14" i="6"/>
  <c r="Z23" i="6"/>
  <c r="Z20" i="6"/>
  <c r="V11" i="6"/>
  <c r="V14" i="6"/>
  <c r="V22" i="6"/>
  <c r="V15" i="6"/>
  <c r="V20" i="6"/>
  <c r="V23" i="6"/>
  <c r="Y14" i="6"/>
  <c r="Y20" i="6"/>
  <c r="Y21" i="6"/>
  <c r="Y23" i="6"/>
  <c r="Y16" i="6"/>
  <c r="Y15" i="6"/>
  <c r="Y11" i="6"/>
  <c r="Z9" i="6"/>
  <c r="Y22" i="6"/>
  <c r="Y17" i="6"/>
  <c r="Y4" i="6"/>
  <c r="AR50" i="1"/>
  <c r="G9" i="6"/>
  <c r="F4" i="6"/>
  <c r="F23" i="6"/>
  <c r="AA25" i="6"/>
  <c r="X23" i="6"/>
  <c r="X22" i="6"/>
  <c r="X21" i="6"/>
  <c r="X14" i="6"/>
  <c r="X17" i="6"/>
  <c r="M22" i="6"/>
  <c r="M20" i="6"/>
  <c r="M14" i="6"/>
  <c r="M21" i="6"/>
  <c r="M23" i="6"/>
  <c r="M15" i="6"/>
  <c r="M17" i="6"/>
  <c r="M16" i="6"/>
  <c r="AC9" i="6"/>
  <c r="G4" i="6"/>
  <c r="BF50" i="1"/>
  <c r="P25" i="6"/>
  <c r="L29" i="6"/>
  <c r="N29" i="6"/>
  <c r="AM50" i="1"/>
  <c r="S29" i="6"/>
  <c r="O25" i="6"/>
  <c r="S17" i="6"/>
  <c r="S11" i="6"/>
  <c r="S20" i="6"/>
  <c r="S14" i="6"/>
  <c r="S21" i="6"/>
  <c r="T9" i="6"/>
  <c r="S23" i="6"/>
  <c r="S6" i="6"/>
  <c r="S16" i="6"/>
  <c r="S22" i="6"/>
  <c r="S4" i="6"/>
  <c r="AG18" i="6"/>
  <c r="I29" i="6"/>
  <c r="AC50" i="1"/>
  <c r="AF9" i="6"/>
  <c r="AE14" i="6"/>
  <c r="AE21" i="6"/>
  <c r="AE4" i="6"/>
  <c r="AE6" i="6"/>
  <c r="AE16" i="6"/>
  <c r="AE11" i="6"/>
  <c r="AE23" i="6"/>
  <c r="AE20" i="6"/>
  <c r="AE17" i="6"/>
  <c r="AE22" i="6"/>
  <c r="AE15" i="6"/>
  <c r="F24" i="6"/>
  <c r="AE26" i="1"/>
  <c r="AG13" i="6"/>
  <c r="Z25" i="6"/>
  <c r="N11" i="6"/>
  <c r="O9" i="6"/>
  <c r="N17" i="6"/>
  <c r="N22" i="6"/>
  <c r="N23" i="6"/>
  <c r="N14" i="6"/>
  <c r="N9" i="6"/>
  <c r="N6" i="6"/>
  <c r="N4" i="6"/>
  <c r="M11" i="6"/>
  <c r="N20" i="6"/>
  <c r="N15" i="6"/>
  <c r="N16" i="6"/>
  <c r="F36" i="6"/>
  <c r="X29" i="6"/>
  <c r="T17" i="6"/>
  <c r="F25" i="6"/>
  <c r="K29" i="6"/>
  <c r="S15" i="6"/>
  <c r="AE37" i="1"/>
  <c r="AE49" i="1" s="1"/>
  <c r="BB50" i="1"/>
  <c r="G25" i="6"/>
  <c r="K25" i="6"/>
  <c r="V25" i="6"/>
  <c r="U25" i="6"/>
  <c r="T4" i="6"/>
  <c r="T15" i="6"/>
  <c r="T14" i="6"/>
  <c r="T23" i="6"/>
  <c r="T22" i="6"/>
  <c r="T21" i="6"/>
  <c r="R51" i="1"/>
  <c r="T11" i="6"/>
  <c r="U9" i="6"/>
  <c r="T20" i="6"/>
  <c r="BK50" i="1"/>
  <c r="T27" i="6"/>
  <c r="Q27" i="6"/>
  <c r="R25" i="6"/>
  <c r="N25" i="6"/>
  <c r="T6" i="6"/>
  <c r="H20" i="6"/>
  <c r="H11" i="6"/>
  <c r="H22" i="6"/>
  <c r="H23" i="6"/>
  <c r="H4" i="6"/>
  <c r="H6" i="6"/>
  <c r="H21" i="6"/>
  <c r="H14" i="6"/>
  <c r="I9" i="6"/>
  <c r="H15" i="6"/>
  <c r="G11" i="6"/>
  <c r="V29" i="6"/>
  <c r="O29" i="6"/>
  <c r="Z29" i="6"/>
  <c r="F29" i="6"/>
  <c r="AA29" i="6"/>
  <c r="E29" i="6"/>
  <c r="T29" i="6"/>
  <c r="Y29" i="6"/>
  <c r="R29" i="6"/>
  <c r="BI50" i="1"/>
  <c r="AD27" i="6"/>
  <c r="AG27" i="6"/>
  <c r="J25" i="6"/>
  <c r="I25" i="6"/>
  <c r="D25" i="6"/>
  <c r="E25" i="6"/>
  <c r="AB29" i="6"/>
  <c r="AC29" i="6"/>
  <c r="AD22" i="6"/>
  <c r="AD16" i="6"/>
  <c r="AD23" i="6"/>
  <c r="AD4" i="6"/>
  <c r="AD14" i="6"/>
  <c r="AD11" i="6"/>
  <c r="AD6" i="6"/>
  <c r="AD15" i="6"/>
  <c r="AD20" i="6"/>
  <c r="AD21" i="6"/>
  <c r="AE9" i="6"/>
  <c r="AD17" i="6"/>
  <c r="AB50" i="1"/>
  <c r="AC11" i="6"/>
  <c r="AD9" i="6"/>
  <c r="AA15" i="6"/>
  <c r="AA4" i="6"/>
  <c r="AA6" i="6"/>
  <c r="AA22" i="6"/>
  <c r="AA20" i="6"/>
  <c r="AA14" i="6"/>
  <c r="AA21" i="6"/>
  <c r="AA16" i="6"/>
  <c r="Y50" i="1"/>
  <c r="AA23" i="6"/>
  <c r="AA17" i="6"/>
  <c r="AB9" i="6"/>
  <c r="AA11" i="6"/>
  <c r="AA9" i="6"/>
  <c r="Z11" i="6"/>
  <c r="S39" i="6"/>
  <c r="S30" i="6"/>
  <c r="S37" i="6"/>
  <c r="P30" i="6"/>
  <c r="Q30" i="6"/>
  <c r="T39" i="6"/>
  <c r="T30" i="6"/>
  <c r="T37" i="6"/>
  <c r="R20" i="6"/>
  <c r="R6" i="6"/>
  <c r="S9" i="6"/>
  <c r="R11" i="6"/>
  <c r="R14" i="6"/>
  <c r="R4" i="6"/>
  <c r="R21" i="6"/>
  <c r="R15" i="6"/>
  <c r="R23" i="6"/>
  <c r="R17" i="6"/>
  <c r="R22" i="6"/>
  <c r="R16" i="6"/>
  <c r="Q11" i="6"/>
  <c r="R9" i="6"/>
  <c r="P4" i="6"/>
  <c r="O11" i="6"/>
  <c r="P9" i="6"/>
  <c r="P23" i="6"/>
  <c r="P22" i="6"/>
  <c r="P21" i="6"/>
  <c r="P15" i="6"/>
  <c r="P16" i="6"/>
  <c r="P17" i="6"/>
  <c r="P14" i="6"/>
  <c r="P20" i="6"/>
  <c r="P6" i="6"/>
  <c r="Q9" i="6"/>
  <c r="P11" i="6"/>
  <c r="L14" i="6"/>
  <c r="L17" i="6"/>
  <c r="M9" i="6"/>
  <c r="L22" i="6"/>
  <c r="L6" i="6"/>
  <c r="L21" i="6"/>
  <c r="L11" i="6"/>
  <c r="L23" i="6"/>
  <c r="L15" i="6"/>
  <c r="L4" i="6"/>
  <c r="L16" i="6"/>
  <c r="L20" i="6"/>
  <c r="K11" i="6"/>
  <c r="L9" i="6"/>
  <c r="D14" i="6"/>
  <c r="D6" i="6"/>
  <c r="D15" i="6"/>
  <c r="D16" i="6"/>
  <c r="D17" i="6"/>
  <c r="D4" i="6"/>
  <c r="E9" i="6"/>
  <c r="D11" i="6"/>
  <c r="D21" i="6"/>
  <c r="D23" i="6"/>
  <c r="C4" i="5"/>
  <c r="D20" i="6"/>
  <c r="D22" i="6"/>
  <c r="M29" i="6"/>
  <c r="P29" i="6"/>
  <c r="M30" i="6"/>
  <c r="P37" i="6"/>
  <c r="P39" i="6"/>
  <c r="AG4" i="6" l="1"/>
  <c r="AG6" i="6"/>
  <c r="AH9" i="6"/>
  <c r="Y24" i="6"/>
  <c r="BS25" i="6"/>
  <c r="BT25" i="6"/>
  <c r="AS25" i="6"/>
  <c r="AT25" i="6"/>
  <c r="J36" i="6"/>
  <c r="BW29" i="6"/>
  <c r="BZ29" i="6"/>
  <c r="BP29" i="6"/>
  <c r="BN29" i="6"/>
  <c r="BS29" i="6"/>
  <c r="BG29" i="6"/>
  <c r="AS29" i="6"/>
  <c r="BT29" i="6"/>
  <c r="BJ29" i="6"/>
  <c r="BE29" i="6"/>
  <c r="AK29" i="6"/>
  <c r="BK29" i="6"/>
  <c r="AO29" i="6"/>
  <c r="AI29" i="6"/>
  <c r="AZ29" i="6"/>
  <c r="AU29" i="6"/>
  <c r="AM29" i="6"/>
  <c r="BA29" i="6"/>
  <c r="AH29" i="6"/>
  <c r="BB29" i="6"/>
  <c r="BO29" i="6"/>
  <c r="AY29" i="6"/>
  <c r="AL29" i="6"/>
  <c r="AR29" i="6"/>
  <c r="AX29" i="6"/>
  <c r="BR29" i="6"/>
  <c r="AN29" i="6"/>
  <c r="BQ29" i="6"/>
  <c r="BV29" i="6"/>
  <c r="BY29" i="6"/>
  <c r="AW29" i="6"/>
  <c r="BL29" i="6"/>
  <c r="AJ29" i="6"/>
  <c r="BD29" i="6"/>
  <c r="AT29" i="6"/>
  <c r="AP29" i="6"/>
  <c r="BU29" i="6"/>
  <c r="BC29" i="6"/>
  <c r="BH29" i="6"/>
  <c r="BX29" i="6"/>
  <c r="CA29" i="6"/>
  <c r="AQ29" i="6"/>
  <c r="BI29" i="6"/>
  <c r="BF29" i="6"/>
  <c r="BM29" i="6"/>
  <c r="AV29" i="6"/>
  <c r="BM24" i="6"/>
  <c r="BN36" i="6"/>
  <c r="BA24" i="6"/>
  <c r="BB36" i="6"/>
  <c r="BN24" i="6"/>
  <c r="BO36" i="6"/>
  <c r="BK24" i="6"/>
  <c r="BL36" i="6"/>
  <c r="AT24" i="6"/>
  <c r="AU36" i="6"/>
  <c r="AY24" i="6"/>
  <c r="AZ36" i="6"/>
  <c r="AX24" i="6"/>
  <c r="AY36" i="6"/>
  <c r="AU24" i="6"/>
  <c r="AV36" i="6"/>
  <c r="AM24" i="6"/>
  <c r="AN36" i="6"/>
  <c r="BD24" i="6"/>
  <c r="BE36" i="6"/>
  <c r="AJ24" i="6"/>
  <c r="AK36" i="6"/>
  <c r="AP24" i="6"/>
  <c r="AQ36" i="6"/>
  <c r="BJ24" i="6"/>
  <c r="BK36" i="6"/>
  <c r="AN24" i="6"/>
  <c r="AO36" i="6"/>
  <c r="BF24" i="6"/>
  <c r="BG36" i="6"/>
  <c r="AZ24" i="6"/>
  <c r="BA36" i="6"/>
  <c r="AX36" i="6"/>
  <c r="AW24" i="6"/>
  <c r="AI36" i="6"/>
  <c r="AQ24" i="6"/>
  <c r="AR36" i="6"/>
  <c r="BH24" i="6"/>
  <c r="BI36" i="6"/>
  <c r="AR24" i="6"/>
  <c r="CG24" i="6"/>
  <c r="CG36" i="6"/>
  <c r="BO24" i="6"/>
  <c r="BP36" i="6"/>
  <c r="BG24" i="6"/>
  <c r="BH36" i="6"/>
  <c r="AS24" i="6"/>
  <c r="AT36" i="6"/>
  <c r="BM36" i="6"/>
  <c r="BL24" i="6"/>
  <c r="AV24" i="6"/>
  <c r="AW36" i="6"/>
  <c r="AI24" i="6"/>
  <c r="AJ36" i="6"/>
  <c r="AO24" i="6"/>
  <c r="AP36" i="6"/>
  <c r="BC24" i="6"/>
  <c r="BD36" i="6"/>
  <c r="AK24" i="6"/>
  <c r="AL36" i="6"/>
  <c r="BB24" i="6"/>
  <c r="BC36" i="6"/>
  <c r="BU9" i="6"/>
  <c r="BT16" i="6"/>
  <c r="BT17" i="6"/>
  <c r="BT22" i="6"/>
  <c r="BT14" i="6"/>
  <c r="BT20" i="6"/>
  <c r="BT11" i="6"/>
  <c r="BT23" i="6"/>
  <c r="BT21" i="6"/>
  <c r="BT15" i="6"/>
  <c r="BT4" i="6"/>
  <c r="BT6" i="6"/>
  <c r="BT9" i="6"/>
  <c r="BS11" i="6"/>
  <c r="BE24" i="6"/>
  <c r="BF36" i="6"/>
  <c r="G36" i="6"/>
  <c r="D29" i="6"/>
  <c r="K36" i="6"/>
  <c r="I36" i="6"/>
  <c r="AE29" i="6"/>
  <c r="AF29" i="6"/>
  <c r="X24" i="6"/>
  <c r="J24" i="6"/>
  <c r="BR50" i="1"/>
  <c r="AE50" i="1"/>
  <c r="I24" i="6"/>
  <c r="Y36" i="6"/>
  <c r="AG21" i="6"/>
  <c r="AF4" i="5"/>
  <c r="AH24" i="6" s="1"/>
  <c r="BS4" i="5"/>
  <c r="T25" i="6"/>
  <c r="O24" i="6"/>
  <c r="Z36" i="6"/>
  <c r="V36" i="6"/>
  <c r="W24" i="6"/>
  <c r="V24" i="6"/>
  <c r="AG25" i="6"/>
  <c r="Z24" i="6"/>
  <c r="AF36" i="6"/>
  <c r="AF24" i="6"/>
  <c r="H24" i="6"/>
  <c r="H36" i="6"/>
  <c r="AG20" i="6"/>
  <c r="AG11" i="6"/>
  <c r="AG16" i="6"/>
  <c r="AG22" i="6"/>
  <c r="AG15" i="6"/>
  <c r="AG23" i="6"/>
  <c r="AF11" i="6"/>
  <c r="AG17" i="6"/>
  <c r="AG9" i="6"/>
  <c r="AG14" i="6"/>
  <c r="AF25" i="6"/>
  <c r="U36" i="6"/>
  <c r="T24" i="6"/>
  <c r="U24" i="6"/>
  <c r="N24" i="6"/>
  <c r="O36" i="6"/>
  <c r="T36" i="6"/>
  <c r="E36" i="6"/>
  <c r="E24" i="6"/>
  <c r="M24" i="6"/>
  <c r="M36" i="6"/>
  <c r="L24" i="6"/>
  <c r="L36" i="6"/>
  <c r="P36" i="6"/>
  <c r="P24" i="6"/>
  <c r="Q36" i="6"/>
  <c r="Q24" i="6"/>
  <c r="S24" i="6"/>
  <c r="S36" i="6"/>
  <c r="R36" i="6"/>
  <c r="R24" i="6"/>
  <c r="AB36" i="6"/>
  <c r="AA24" i="6"/>
  <c r="AA36" i="6"/>
  <c r="AB24" i="6"/>
  <c r="AD24" i="6"/>
  <c r="AD36" i="6"/>
  <c r="AE24" i="6"/>
  <c r="AE36" i="6"/>
  <c r="AH36" i="6" l="1"/>
  <c r="BU36" i="6"/>
  <c r="BT24" i="6"/>
  <c r="BT36" i="6"/>
  <c r="BU24" i="6"/>
  <c r="AD29" i="6"/>
  <c r="AG29" i="6"/>
  <c r="AG36" i="6"/>
  <c r="AG24" i="6"/>
  <c r="CJ34" i="5"/>
  <c r="CH34" i="5"/>
  <c r="CG34" i="5"/>
  <c r="CL34" i="5"/>
  <c r="CI34" i="5"/>
  <c r="CM34" i="5"/>
  <c r="CK34" i="5"/>
  <c r="CL4" i="5" l="1"/>
  <c r="CM4" i="5"/>
  <c r="CM51" i="1"/>
  <c r="CK4" i="5"/>
  <c r="CJ4" i="5"/>
  <c r="CH4" i="5"/>
  <c r="CI4" i="5"/>
  <c r="CG4" i="5"/>
  <c r="CO36" i="6" l="1"/>
  <c r="CO24" i="6"/>
  <c r="CH24" i="6"/>
  <c r="CH36" i="6"/>
  <c r="CJ24" i="6"/>
  <c r="CK36" i="6"/>
  <c r="CL36" i="6"/>
  <c r="CK24" i="6"/>
  <c r="CN24" i="6"/>
  <c r="CI24" i="6"/>
  <c r="CI36" i="6"/>
  <c r="CJ36" i="6"/>
  <c r="CM36" i="6"/>
  <c r="CL24" i="6"/>
  <c r="CN36" i="6"/>
  <c r="CM24" i="6"/>
  <c r="CS17" i="5"/>
  <c r="CS14" i="5" s="1"/>
  <c r="CS11" i="5"/>
  <c r="CS12" i="5" s="1"/>
  <c r="CR48" i="1"/>
  <c r="CR49" i="1" s="1"/>
  <c r="CU32" i="1" s="1"/>
  <c r="CT3" i="6" l="1"/>
  <c r="CT4" i="6" s="1"/>
  <c r="CQ29" i="6"/>
  <c r="CT29" i="6"/>
  <c r="CT19" i="6" l="1"/>
  <c r="CT6" i="6"/>
  <c r="CT5" i="6"/>
</calcChain>
</file>

<file path=xl/sharedStrings.xml><?xml version="1.0" encoding="utf-8"?>
<sst xmlns="http://schemas.openxmlformats.org/spreadsheetml/2006/main" count="388" uniqueCount="241">
  <si>
    <t>PATNAS SACCO CAELS</t>
  </si>
  <si>
    <t>2013 Audited</t>
  </si>
  <si>
    <t>2014 Audited</t>
  </si>
  <si>
    <t>2015 Audited</t>
  </si>
  <si>
    <t>Audited 2016</t>
  </si>
  <si>
    <t>Audited 2017</t>
  </si>
  <si>
    <t>Audited 2018</t>
  </si>
  <si>
    <t>Audited</t>
  </si>
  <si>
    <t>Audited 2020</t>
  </si>
  <si>
    <t>Audited 2021</t>
  </si>
  <si>
    <t>Audited 2022</t>
  </si>
  <si>
    <t>CAPITAL ADEQUACY</t>
  </si>
  <si>
    <t>Core Capital</t>
  </si>
  <si>
    <t>Ksh10 M</t>
  </si>
  <si>
    <t>CCA</t>
  </si>
  <si>
    <t>Min 10%</t>
  </si>
  <si>
    <t>CCD</t>
  </si>
  <si>
    <t>Min 8%</t>
  </si>
  <si>
    <t>ICA</t>
  </si>
  <si>
    <t>ASSET QUALITY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</si>
  <si>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</si>
  <si>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</si>
  <si>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</si>
  <si>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</si>
  <si>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</si>
  <si>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</si>
  <si>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</si>
  <si>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</si>
  <si>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</si>
  <si>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</si>
  <si>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</si>
  <si>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</si>
  <si>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</si>
  <si>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</si>
  <si>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</si>
  <si>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</si>
  <si>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</si>
  <si>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</si>
  <si>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</si>
  <si>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</si>
  <si>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</si>
  <si>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</si>
  <si>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</si>
  <si>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</si>
  <si>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</si>
  <si>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</si>
  <si>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Assets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</si>
  <si>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</si>
  <si>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</si>
  <si>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</si>
  <si>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</si>
  <si>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</si>
  <si>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</si>
  <si>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</si>
  <si>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</si>
  <si>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</si>
  <si>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</si>
  <si>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</si>
  <si>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</si>
  <si>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</si>
  <si>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</si>
  <si>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</si>
  <si>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</si>
  <si>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</si>
  <si>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2016 Audited</t>
  </si>
  <si>
    <t>Audited2019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</si>
  <si>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</si>
  <si>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</si>
  <si>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</si>
  <si>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</si>
  <si>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</si>
  <si>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</si>
  <si>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</si>
  <si>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</si>
  <si>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</si>
  <si>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</si>
  <si>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</si>
  <si>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</si>
  <si>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</si>
  <si>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</si>
  <si>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</si>
  <si>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</si>
  <si>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</si>
  <si>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</si>
  <si>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</si>
  <si>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</si>
  <si>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</si>
  <si>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</si>
  <si>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</si>
  <si>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</si>
  <si>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</si>
  <si>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</si>
  <si>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</si>
  <si>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</si>
  <si>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</si>
  <si>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</si>
  <si>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</si>
  <si>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</si>
  <si>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</si>
  <si>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</si>
  <si>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</si>
  <si>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Retained Earnings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</si>
  <si>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</si>
  <si>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</si>
  <si>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</si>
  <si>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</si>
  <si>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</si>
  <si>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</si>
  <si>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</si>
  <si>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</si>
  <si>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</si>
  <si>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share capital</t>
  </si>
  <si>
    <t>capital grants</t>
  </si>
  <si>
    <t>retained earnings</t>
  </si>
  <si>
    <t>prior year surplus</t>
  </si>
  <si>
    <t>ica</t>
  </si>
  <si>
    <t>CYS</t>
  </si>
  <si>
    <t>l</t>
  </si>
  <si>
    <t>statutory reserve</t>
  </si>
  <si>
    <t>other reserves</t>
  </si>
  <si>
    <t>less investments in Co..</t>
  </si>
  <si>
    <t>less shares and stocks</t>
  </si>
  <si>
    <t>what are these investments</t>
  </si>
  <si>
    <t xml:space="preserve">revaluation reserves wehat was revalued </t>
  </si>
  <si>
    <t>loan products</t>
  </si>
  <si>
    <t>to what extent was this income was realised</t>
  </si>
  <si>
    <t>what level of dividend income did the sacco make</t>
  </si>
  <si>
    <t>intest on deposits</t>
  </si>
  <si>
    <t xml:space="preserve">any b oard member who sits in Cic </t>
  </si>
  <si>
    <t>verify the acuracy of income from loans and investments</t>
  </si>
  <si>
    <t>did the money come in..</t>
  </si>
  <si>
    <t>dividend checks</t>
  </si>
  <si>
    <t>Audited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</si>
  <si>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</si>
  <si>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</si>
  <si>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</si>
  <si>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</si>
  <si>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</si>
  <si>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</si>
  <si>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</si>
  <si>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</si>
  <si>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</si>
  <si>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</si>
  <si>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</si>
  <si>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</si>
  <si>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</si>
  <si>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</si>
  <si>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</si>
  <si>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</si>
  <si>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</si>
  <si>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</si>
  <si>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</si>
  <si>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</si>
  <si>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</si>
  <si>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</si>
  <si>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</si>
  <si>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</si>
  <si>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</si>
  <si>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</si>
  <si>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</si>
  <si>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</si>
  <si>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</si>
  <si>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</si>
  <si>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</si>
  <si>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</si>
  <si>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</si>
  <si>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</si>
  <si>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</si>
  <si>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</si>
  <si>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</si>
  <si>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</si>
  <si>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</si>
  <si>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</si>
  <si>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</si>
  <si>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</si>
  <si>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</si>
  <si>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</si>
  <si>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</si>
  <si>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</si>
  <si>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</si>
  <si>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</si>
  <si>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</si>
  <si>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A</t>
  </si>
  <si>
    <t>B</t>
  </si>
  <si>
    <t>C</t>
  </si>
  <si>
    <t>D</t>
  </si>
  <si>
    <t>NO.</t>
  </si>
  <si>
    <t>Financial Performance</t>
  </si>
  <si>
    <t>Year</t>
  </si>
  <si>
    <t>2012 Audited</t>
  </si>
  <si>
    <t>2014 Audted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</si>
  <si>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</si>
  <si>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</si>
  <si>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</si>
  <si>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</si>
  <si>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</si>
  <si>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</si>
  <si>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</si>
  <si>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</si>
  <si>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</si>
  <si>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</si>
  <si>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</si>
  <si>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</si>
  <si>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</si>
  <si>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</si>
  <si>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</si>
  <si>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</si>
  <si>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</si>
  <si>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</si>
  <si>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</si>
  <si>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</si>
  <si>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</si>
  <si>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</si>
  <si>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</si>
  <si>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</si>
  <si>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</si>
  <si>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</si>
  <si>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</si>
  <si>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</si>
  <si>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</si>
  <si>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</si>
  <si>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</si>
  <si>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</si>
  <si>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</si>
  <si>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</si>
  <si>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</si>
  <si>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</si>
  <si>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</si>
  <si>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</si>
  <si>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INVESTMENTS</t>
  </si>
  <si>
    <t>Qourteed Shares</t>
  </si>
  <si>
    <t>11,356,700@10- co-operative Bank</t>
  </si>
  <si>
    <t>1011.25@45 shares in KCB</t>
  </si>
  <si>
    <t>1406@2 shares Kenya Airways</t>
  </si>
  <si>
    <t>160985@2.29 shares Cooperative Insurance Co..</t>
  </si>
  <si>
    <t>Total</t>
  </si>
  <si>
    <t>Unquorted</t>
  </si>
  <si>
    <t>510@100 Shares KUSCCO Ltd.</t>
  </si>
  <si>
    <t>5750 @20 Shares in KERUSSU Ltd.</t>
  </si>
  <si>
    <t>250@50 Shares in NACCHU Ltd.</t>
  </si>
  <si>
    <t>Both Quorted  &amp; Unquorted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</si>
</sst>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_(* #,##0.0_);_(* \(#,##0.0\);_(* \-??_);_(@_)"/>
    <numFmt numFmtId="171" formatCode="#,##0.00_);\-#,##0.00"/>
    <numFmt numFmtId="172" formatCode="0.0"/>
    <numFmt numFmtId="173" formatCode="_(* #,##0_);_(* \(#,##0\);_(* &quot;-&quot;??_);_(@_)"/>
    <numFmt numFmtId="174" formatCode="#,##0.0"/>
  </numFmts>
  <fonts count="6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0"/>
      <color theme="1"/>
      <name val="Calibri"/>
      <family val="2"/>
      <scheme val="minor"/>
    </font>
    <font>
      <sz val="10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u/>
      <sz val="10"/>
      <color indexed="11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u/>
      <sz val="1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FF0000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  <scheme val="major"/>
    </font>
    <font>
      <sz val="12"/>
      <name val="Cambria"/>
      <family val="1"/>
      <scheme val="major"/>
    </font>
    <font>
      <sz val="12"/>
      <color indexed="8"/>
      <name val="Arial"/>
      <family val="2"/>
    </font>
    <font>
      <sz val="12"/>
      <color theme="1"/>
      <name val="Cambria"/>
      <family val="1"/>
      <scheme val="major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51"/>
      </patternFill>
    </fill>
    <fill>
      <patternFill patternType="solid">
        <fgColor rgb="FFDAA520"/>
        <bgColor rgb="FF000000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0">
    <xf numFmtId="0" fontId="0" fillId="0" borderId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2" applyNumberFormat="0" applyAlignment="0" applyProtection="0"/>
    <xf numFmtId="43" fontId="23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19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1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7" borderId="3" applyNumberFormat="0" applyAlignment="0" applyProtection="0"/>
    <xf numFmtId="9" fontId="23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48" fillId="0" borderId="0" applyNumberFormat="0" applyFill="0" applyBorder="0" applyAlignment="0" applyProtection="0"/>
  </cellStyleXfs>
  <cellXfs count="241">
    <xf numFmtId="0" fontId="0" fillId="0" borderId="0" xfId="0"/>
    <xf numFmtId="0" fontId="16" fillId="0" borderId="5" xfId="283" applyFont="1" applyBorder="1" applyAlignment="1">
      <alignment horizontal="left" vertical="top" wrapText="1"/>
    </xf>
    <xf numFmtId="0" fontId="0" fillId="0" borderId="6" xfId="0" applyBorder="1"/>
    <xf numFmtId="17" fontId="24" fillId="0" borderId="0" xfId="0" applyNumberFormat="1" applyFont="1"/>
    <xf numFmtId="0" fontId="15" fillId="0" borderId="5" xfId="240" applyFont="1" applyBorder="1" applyAlignment="1">
      <alignment wrapText="1"/>
    </xf>
    <xf numFmtId="0" fontId="16" fillId="0" borderId="5" xfId="240" applyFont="1" applyBorder="1" applyAlignment="1">
      <alignment wrapText="1"/>
    </xf>
    <xf numFmtId="43" fontId="2" fillId="0" borderId="5" xfId="92" applyBorder="1" applyAlignment="1">
      <alignment wrapText="1"/>
    </xf>
    <xf numFmtId="43" fontId="2" fillId="0" borderId="5" xfId="92" applyBorder="1" applyAlignment="1">
      <alignment horizontal="center" wrapText="1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8" borderId="7" xfId="0" applyFont="1" applyFill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164" fontId="5" fillId="9" borderId="7" xfId="0" applyNumberFormat="1" applyFont="1" applyFill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0" fontId="4" fillId="10" borderId="7" xfId="0" applyFont="1" applyFill="1" applyBorder="1" applyAlignment="1" applyProtection="1">
      <alignment vertical="top" wrapText="1" readingOrder="1"/>
      <protection locked="0"/>
    </xf>
    <xf numFmtId="1" fontId="15" fillId="0" borderId="5" xfId="0" applyNumberFormat="1" applyFont="1" applyBorder="1" applyAlignment="1">
      <alignment wrapText="1"/>
    </xf>
    <xf numFmtId="1" fontId="15" fillId="0" borderId="5" xfId="240" applyNumberFormat="1" applyFont="1" applyBorder="1" applyAlignment="1">
      <alignment wrapText="1"/>
    </xf>
    <xf numFmtId="43" fontId="4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24" fillId="0" borderId="0" xfId="0" applyFont="1"/>
    <xf numFmtId="43" fontId="15" fillId="0" borderId="5" xfId="27" applyFont="1" applyBorder="1" applyAlignment="1">
      <alignment wrapText="1"/>
    </xf>
    <xf numFmtId="17" fontId="4" fillId="8" borderId="7" xfId="0" applyNumberFormat="1" applyFont="1" applyFill="1" applyBorder="1" applyAlignment="1" applyProtection="1">
      <alignment vertical="top" wrapText="1" readingOrder="1"/>
      <protection locked="0"/>
    </xf>
    <xf numFmtId="164" fontId="4" fillId="9" borderId="7" xfId="0" applyNumberFormat="1" applyFont="1" applyFill="1" applyBorder="1" applyAlignment="1" applyProtection="1">
      <alignment vertical="top" wrapText="1" readingOrder="1"/>
      <protection locked="0"/>
    </xf>
    <xf numFmtId="0" fontId="26" fillId="0" borderId="6" xfId="0" applyFont="1" applyBorder="1"/>
    <xf numFmtId="43" fontId="26" fillId="0" borderId="6" xfId="27" applyFont="1" applyBorder="1"/>
    <xf numFmtId="0" fontId="27" fillId="0" borderId="6" xfId="0" applyFont="1" applyBorder="1"/>
    <xf numFmtId="0" fontId="28" fillId="0" borderId="6" xfId="0" applyFont="1" applyBorder="1"/>
    <xf numFmtId="172" fontId="27" fillId="0" borderId="6" xfId="0" applyNumberFormat="1" applyFont="1" applyBorder="1"/>
    <xf numFmtId="9" fontId="28" fillId="0" borderId="6" xfId="444" applyFont="1" applyBorder="1"/>
    <xf numFmtId="0" fontId="29" fillId="0" borderId="6" xfId="0" applyFont="1" applyBorder="1"/>
    <xf numFmtId="0" fontId="30" fillId="0" borderId="6" xfId="0" applyFont="1" applyBorder="1"/>
    <xf numFmtId="172" fontId="27" fillId="0" borderId="6" xfId="0" applyNumberFormat="1" applyFont="1" applyBorder="1" applyAlignment="1">
      <alignment horizontal="right"/>
    </xf>
    <xf numFmtId="173" fontId="28" fillId="0" borderId="6" xfId="0" applyNumberFormat="1" applyFont="1" applyBorder="1"/>
    <xf numFmtId="0" fontId="31" fillId="0" borderId="6" xfId="0" applyFont="1" applyBorder="1"/>
    <xf numFmtId="43" fontId="0" fillId="0" borderId="0" xfId="0" applyNumberFormat="1"/>
    <xf numFmtId="172" fontId="31" fillId="0" borderId="6" xfId="0" applyNumberFormat="1" applyFont="1" applyBorder="1"/>
    <xf numFmtId="0" fontId="26" fillId="0" borderId="8" xfId="0" applyFont="1" applyBorder="1"/>
    <xf numFmtId="0" fontId="20" fillId="11" borderId="6" xfId="0" applyFont="1" applyFill="1" applyBorder="1" applyAlignment="1" applyProtection="1">
      <alignment horizontal="center" vertical="top" readingOrder="1"/>
      <protection locked="0"/>
    </xf>
    <xf numFmtId="0" fontId="20" fillId="11" borderId="6" xfId="0" applyFont="1" applyFill="1" applyBorder="1" applyAlignment="1" applyProtection="1">
      <alignment vertical="top" readingOrder="1"/>
      <protection locked="0"/>
    </xf>
    <xf numFmtId="17" fontId="7" fillId="8" borderId="6" xfId="0" applyNumberFormat="1" applyFont="1" applyFill="1" applyBorder="1" applyAlignment="1" applyProtection="1">
      <alignment vertical="top" wrapText="1" readingOrder="1"/>
      <protection locked="0"/>
    </xf>
    <xf numFmtId="43" fontId="24" fillId="0" borderId="0" xfId="0" applyNumberFormat="1" applyFont="1"/>
    <xf numFmtId="0" fontId="15" fillId="0" borderId="5" xfId="0" applyFont="1" applyBorder="1" applyAlignment="1" applyProtection="1">
      <alignment wrapText="1"/>
      <protection locked="0"/>
    </xf>
    <xf numFmtId="164" fontId="6" fillId="0" borderId="0" xfId="0" applyNumberFormat="1" applyFont="1" applyAlignment="1" applyProtection="1">
      <alignment vertical="top" wrapText="1" readingOrder="1"/>
      <protection locked="0"/>
    </xf>
    <xf numFmtId="43" fontId="4" fillId="12" borderId="9" xfId="27" applyFont="1" applyFill="1" applyBorder="1" applyAlignment="1" applyProtection="1">
      <alignment vertical="top" wrapText="1" readingOrder="1"/>
      <protection locked="0"/>
    </xf>
    <xf numFmtId="173" fontId="5" fillId="0" borderId="6" xfId="27" applyNumberFormat="1" applyFont="1" applyFill="1" applyBorder="1" applyAlignment="1" applyProtection="1">
      <alignment vertical="top" wrapText="1" readingOrder="1"/>
      <protection locked="0"/>
    </xf>
    <xf numFmtId="164" fontId="5" fillId="0" borderId="6" xfId="0" applyNumberFormat="1" applyFont="1" applyBorder="1" applyAlignment="1" applyProtection="1">
      <alignment vertical="top" wrapText="1" readingOrder="1"/>
      <protection locked="0"/>
    </xf>
    <xf numFmtId="173" fontId="23" fillId="0" borderId="6" xfId="27" applyNumberFormat="1" applyFont="1" applyBorder="1"/>
    <xf numFmtId="173" fontId="24" fillId="0" borderId="6" xfId="27" applyNumberFormat="1" applyFont="1" applyBorder="1"/>
    <xf numFmtId="173" fontId="0" fillId="0" borderId="6" xfId="0" applyNumberFormat="1" applyBorder="1"/>
    <xf numFmtId="173" fontId="24" fillId="0" borderId="6" xfId="0" applyNumberFormat="1" applyFont="1" applyBorder="1"/>
    <xf numFmtId="43" fontId="4" fillId="12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0" fontId="32" fillId="0" borderId="0" xfId="0" applyFont="1"/>
    <xf numFmtId="9" fontId="32" fillId="0" borderId="6" xfId="444" applyFont="1" applyBorder="1"/>
    <xf numFmtId="0" fontId="32" fillId="0" borderId="6" xfId="0" applyFont="1" applyBorder="1"/>
    <xf numFmtId="0" fontId="33" fillId="0" borderId="6" xfId="240" applyFont="1" applyBorder="1"/>
    <xf numFmtId="0" fontId="34" fillId="0" borderId="6" xfId="240" applyFont="1" applyBorder="1"/>
    <xf numFmtId="0" fontId="32" fillId="0" borderId="12" xfId="0" applyFont="1" applyBorder="1"/>
    <xf numFmtId="0" fontId="35" fillId="0" borderId="13" xfId="240" applyFont="1" applyBorder="1"/>
    <xf numFmtId="0" fontId="32" fillId="0" borderId="13" xfId="0" applyFont="1" applyBorder="1"/>
    <xf numFmtId="0" fontId="33" fillId="0" borderId="13" xfId="240" applyFont="1" applyBorder="1"/>
    <xf numFmtId="0" fontId="35" fillId="0" borderId="14" xfId="240" applyFont="1" applyBorder="1"/>
    <xf numFmtId="0" fontId="32" fillId="0" borderId="15" xfId="0" applyFont="1" applyBorder="1"/>
    <xf numFmtId="0" fontId="32" fillId="0" borderId="16" xfId="0" applyFont="1" applyBorder="1"/>
    <xf numFmtId="43" fontId="15" fillId="0" borderId="5" xfId="27" applyFont="1" applyBorder="1" applyAlignment="1" applyProtection="1">
      <alignment wrapText="1"/>
      <protection locked="0"/>
    </xf>
    <xf numFmtId="17" fontId="4" fillId="8" borderId="9" xfId="0" applyNumberFormat="1" applyFont="1" applyFill="1" applyBorder="1" applyAlignment="1" applyProtection="1">
      <alignment vertical="top" wrapText="1" readingOrder="1"/>
      <protection locked="0"/>
    </xf>
    <xf numFmtId="164" fontId="5" fillId="0" borderId="9" xfId="0" applyNumberFormat="1" applyFont="1" applyBorder="1" applyAlignment="1" applyProtection="1">
      <alignment vertical="top" wrapText="1" readingOrder="1"/>
      <protection locked="0"/>
    </xf>
    <xf numFmtId="164" fontId="4" fillId="9" borderId="9" xfId="0" applyNumberFormat="1" applyFont="1" applyFill="1" applyBorder="1" applyAlignment="1" applyProtection="1">
      <alignment vertical="top" wrapText="1" readingOrder="1"/>
      <protection locked="0"/>
    </xf>
    <xf numFmtId="43" fontId="4" fillId="13" borderId="9" xfId="27" applyFont="1" applyFill="1" applyBorder="1" applyAlignment="1" applyProtection="1">
      <alignment vertical="top" wrapText="1" readingOrder="1"/>
      <protection locked="0"/>
    </xf>
    <xf numFmtId="17" fontId="4" fillId="8" borderId="6" xfId="0" applyNumberFormat="1" applyFont="1" applyFill="1" applyBorder="1" applyAlignment="1" applyProtection="1">
      <alignment vertical="top" wrapText="1" readingOrder="1"/>
      <protection locked="0"/>
    </xf>
    <xf numFmtId="43" fontId="4" fillId="12" borderId="6" xfId="27" applyFont="1" applyFill="1" applyBorder="1" applyAlignment="1" applyProtection="1">
      <alignment vertical="top" wrapText="1" readingOrder="1"/>
      <protection locked="0"/>
    </xf>
    <xf numFmtId="43" fontId="4" fillId="13" borderId="6" xfId="27" applyFont="1" applyFill="1" applyBorder="1" applyAlignment="1" applyProtection="1">
      <alignment vertical="top" wrapText="1" readingOrder="1"/>
      <protection locked="0"/>
    </xf>
    <xf numFmtId="0" fontId="24" fillId="11" borderId="0" xfId="0" applyFont="1" applyFill="1"/>
    <xf numFmtId="43" fontId="24" fillId="0" borderId="0" xfId="27" applyFont="1"/>
    <xf numFmtId="173" fontId="23" fillId="0" borderId="8" xfId="27" applyNumberFormat="1" applyFont="1" applyBorder="1"/>
    <xf numFmtId="173" fontId="23" fillId="0" borderId="0" xfId="27" applyNumberFormat="1" applyFont="1" applyBorder="1"/>
    <xf numFmtId="43" fontId="0" fillId="0" borderId="6" xfId="0" applyNumberFormat="1" applyBorder="1"/>
    <xf numFmtId="9" fontId="23" fillId="0" borderId="6" xfId="444" applyFont="1" applyBorder="1"/>
    <xf numFmtId="171" fontId="36" fillId="0" borderId="6" xfId="0" applyNumberFormat="1" applyFont="1" applyBorder="1" applyAlignment="1" applyProtection="1">
      <alignment horizontal="right" vertical="center"/>
      <protection locked="0"/>
    </xf>
    <xf numFmtId="164" fontId="5" fillId="0" borderId="17" xfId="0" applyNumberFormat="1" applyFont="1" applyBorder="1" applyAlignment="1" applyProtection="1">
      <alignment vertical="top" wrapText="1" readingOrder="1"/>
      <protection locked="0"/>
    </xf>
    <xf numFmtId="0" fontId="16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43" fontId="2" fillId="0" borderId="5" xfId="92" applyBorder="1" applyAlignment="1" applyProtection="1">
      <alignment wrapText="1"/>
      <protection locked="0"/>
    </xf>
    <xf numFmtId="2" fontId="15" fillId="0" borderId="5" xfId="0" applyNumberFormat="1" applyFont="1" applyBorder="1" applyAlignment="1" applyProtection="1">
      <alignment horizontal="center" wrapText="1"/>
      <protection locked="0"/>
    </xf>
    <xf numFmtId="2" fontId="16" fillId="0" borderId="5" xfId="0" applyNumberFormat="1" applyFont="1" applyBorder="1" applyAlignment="1">
      <alignment wrapText="1"/>
    </xf>
    <xf numFmtId="43" fontId="2" fillId="0" borderId="5" xfId="92" applyBorder="1" applyAlignment="1" applyProtection="1">
      <alignment wrapText="1"/>
    </xf>
    <xf numFmtId="17" fontId="0" fillId="0" borderId="0" xfId="0" applyNumberFormat="1"/>
    <xf numFmtId="170" fontId="27" fillId="0" borderId="6" xfId="28" applyNumberFormat="1" applyFont="1" applyBorder="1" applyAlignment="1" applyProtection="1">
      <alignment horizontal="right" vertical="center"/>
      <protection locked="0"/>
    </xf>
    <xf numFmtId="170" fontId="27" fillId="0" borderId="6" xfId="28" applyNumberFormat="1" applyFont="1" applyFill="1" applyBorder="1" applyAlignment="1" applyProtection="1">
      <protection locked="0"/>
    </xf>
    <xf numFmtId="43" fontId="16" fillId="0" borderId="5" xfId="27" applyFont="1" applyBorder="1" applyAlignment="1" applyProtection="1">
      <alignment wrapText="1"/>
    </xf>
    <xf numFmtId="43" fontId="20" fillId="0" borderId="5" xfId="92" applyFont="1" applyBorder="1" applyAlignment="1" applyProtection="1">
      <alignment wrapText="1"/>
    </xf>
    <xf numFmtId="16" fontId="0" fillId="0" borderId="0" xfId="0" applyNumberFormat="1"/>
    <xf numFmtId="0" fontId="0" fillId="11" borderId="0" xfId="0" applyFill="1"/>
    <xf numFmtId="171" fontId="36" fillId="0" borderId="0" xfId="0" applyNumberFormat="1" applyFont="1" applyAlignment="1" applyProtection="1">
      <alignment horizontal="right" vertical="center"/>
      <protection locked="0"/>
    </xf>
    <xf numFmtId="170" fontId="27" fillId="0" borderId="0" xfId="28" applyNumberFormat="1" applyFont="1" applyFill="1" applyBorder="1" applyAlignment="1" applyProtection="1">
      <alignment horizontal="right" vertical="center"/>
      <protection locked="0"/>
    </xf>
    <xf numFmtId="174" fontId="24" fillId="0" borderId="0" xfId="0" applyNumberFormat="1" applyFont="1"/>
    <xf numFmtId="170" fontId="27" fillId="0" borderId="0" xfId="28" applyNumberFormat="1" applyFont="1" applyFill="1" applyBorder="1" applyAlignment="1" applyProtection="1">
      <protection locked="0"/>
    </xf>
    <xf numFmtId="17" fontId="14" fillId="8" borderId="7" xfId="0" applyNumberFormat="1" applyFont="1" applyFill="1" applyBorder="1" applyAlignment="1" applyProtection="1">
      <alignment vertical="top" wrapText="1" readingOrder="1"/>
      <protection locked="0"/>
    </xf>
    <xf numFmtId="9" fontId="23" fillId="0" borderId="0" xfId="444" applyFont="1"/>
    <xf numFmtId="43" fontId="25" fillId="0" borderId="0" xfId="0" applyNumberFormat="1" applyFont="1"/>
    <xf numFmtId="43" fontId="23" fillId="0" borderId="0" xfId="27" applyFont="1"/>
    <xf numFmtId="43" fontId="37" fillId="0" borderId="0" xfId="27" applyFont="1"/>
    <xf numFmtId="43" fontId="37" fillId="0" borderId="0" xfId="0" applyNumberFormat="1" applyFont="1"/>
    <xf numFmtId="17" fontId="24" fillId="11" borderId="0" xfId="0" applyNumberFormat="1" applyFont="1" applyFill="1"/>
    <xf numFmtId="0" fontId="39" fillId="0" borderId="0" xfId="0" applyFont="1"/>
    <xf numFmtId="0" fontId="38" fillId="0" borderId="0" xfId="0" applyFont="1"/>
    <xf numFmtId="0" fontId="39" fillId="0" borderId="6" xfId="0" applyFont="1" applyBorder="1"/>
    <xf numFmtId="0" fontId="40" fillId="0" borderId="7" xfId="0" applyFont="1" applyBorder="1" applyAlignment="1" applyProtection="1">
      <alignment vertical="top" wrapText="1" readingOrder="1"/>
      <protection locked="0"/>
    </xf>
    <xf numFmtId="0" fontId="35" fillId="11" borderId="7" xfId="0" applyFont="1" applyFill="1" applyBorder="1" applyAlignment="1" applyProtection="1">
      <alignment vertical="top" wrapText="1" readingOrder="1"/>
      <protection locked="0"/>
    </xf>
    <xf numFmtId="17" fontId="35" fillId="11" borderId="7" xfId="0" applyNumberFormat="1" applyFont="1" applyFill="1" applyBorder="1" applyAlignment="1" applyProtection="1">
      <alignment vertical="top" wrapText="1" readingOrder="1"/>
      <protection locked="0"/>
    </xf>
    <xf numFmtId="17" fontId="41" fillId="8" borderId="7" xfId="0" applyNumberFormat="1" applyFont="1" applyFill="1" applyBorder="1" applyAlignment="1" applyProtection="1">
      <alignment vertical="top" wrapText="1" readingOrder="1"/>
      <protection locked="0"/>
    </xf>
    <xf numFmtId="17" fontId="41" fillId="8" borderId="9" xfId="0" applyNumberFormat="1" applyFont="1" applyFill="1" applyBorder="1" applyAlignment="1" applyProtection="1">
      <alignment vertical="top" wrapText="1" readingOrder="1"/>
      <protection locked="0"/>
    </xf>
    <xf numFmtId="173" fontId="39" fillId="11" borderId="19" xfId="27" applyNumberFormat="1" applyFont="1" applyFill="1" applyBorder="1"/>
    <xf numFmtId="0" fontId="38" fillId="11" borderId="0" xfId="0" applyFont="1" applyFill="1"/>
    <xf numFmtId="0" fontId="41" fillId="0" borderId="7" xfId="0" applyFont="1" applyBorder="1" applyAlignment="1" applyProtection="1">
      <alignment vertical="top" wrapText="1" readingOrder="1"/>
      <protection locked="0"/>
    </xf>
    <xf numFmtId="43" fontId="41" fillId="12" borderId="7" xfId="27" applyFont="1" applyFill="1" applyBorder="1" applyAlignment="1" applyProtection="1">
      <alignment vertical="top" wrapText="1" readingOrder="1"/>
      <protection locked="0"/>
    </xf>
    <xf numFmtId="43" fontId="41" fillId="12" borderId="9" xfId="27" applyFont="1" applyFill="1" applyBorder="1" applyAlignment="1" applyProtection="1">
      <alignment vertical="top" wrapText="1" readingOrder="1"/>
      <protection locked="0"/>
    </xf>
    <xf numFmtId="43" fontId="41" fillId="12" borderId="19" xfId="27" applyFont="1" applyFill="1" applyBorder="1" applyAlignment="1" applyProtection="1">
      <alignment vertical="top" wrapText="1" readingOrder="1"/>
      <protection locked="0"/>
    </xf>
    <xf numFmtId="0" fontId="42" fillId="0" borderId="7" xfId="0" applyFont="1" applyBorder="1" applyAlignment="1" applyProtection="1">
      <alignment vertical="top" wrapText="1" readingOrder="1"/>
      <protection locked="0"/>
    </xf>
    <xf numFmtId="43" fontId="42" fillId="0" borderId="7" xfId="27" applyFont="1" applyBorder="1" applyAlignment="1" applyProtection="1">
      <alignment vertical="top" wrapText="1" readingOrder="1"/>
      <protection locked="0"/>
    </xf>
    <xf numFmtId="173" fontId="39" fillId="0" borderId="6" xfId="27" applyNumberFormat="1" applyFont="1" applyBorder="1"/>
    <xf numFmtId="164" fontId="42" fillId="0" borderId="7" xfId="0" applyNumberFormat="1" applyFont="1" applyBorder="1" applyAlignment="1" applyProtection="1">
      <alignment vertical="top" wrapText="1" readingOrder="1"/>
      <protection locked="0"/>
    </xf>
    <xf numFmtId="164" fontId="42" fillId="0" borderId="9" xfId="0" applyNumberFormat="1" applyFont="1" applyBorder="1" applyAlignment="1" applyProtection="1">
      <alignment vertical="top" wrapText="1" readingOrder="1"/>
      <protection locked="0"/>
    </xf>
    <xf numFmtId="173" fontId="39" fillId="0" borderId="19" xfId="27" applyNumberFormat="1" applyFont="1" applyBorder="1"/>
    <xf numFmtId="43" fontId="39" fillId="0" borderId="0" xfId="27" applyFont="1" applyAlignment="1">
      <alignment wrapText="1"/>
    </xf>
    <xf numFmtId="166" fontId="33" fillId="0" borderId="5" xfId="28" applyFont="1" applyFill="1" applyBorder="1" applyAlignment="1" applyProtection="1">
      <protection locked="0"/>
    </xf>
    <xf numFmtId="43" fontId="39" fillId="0" borderId="0" xfId="27" applyFont="1"/>
    <xf numFmtId="173" fontId="39" fillId="0" borderId="0" xfId="27" applyNumberFormat="1" applyFont="1"/>
    <xf numFmtId="173" fontId="42" fillId="0" borderId="7" xfId="0" applyNumberFormat="1" applyFont="1" applyBorder="1" applyAlignment="1" applyProtection="1">
      <alignment vertical="top" wrapText="1" readingOrder="1"/>
      <protection locked="0"/>
    </xf>
    <xf numFmtId="43" fontId="41" fillId="0" borderId="7" xfId="27" applyFont="1" applyBorder="1" applyAlignment="1" applyProtection="1">
      <alignment vertical="top" wrapText="1" readingOrder="1"/>
      <protection locked="0"/>
    </xf>
    <xf numFmtId="173" fontId="38" fillId="0" borderId="6" xfId="27" applyNumberFormat="1" applyFont="1" applyBorder="1"/>
    <xf numFmtId="164" fontId="41" fillId="14" borderId="7" xfId="0" applyNumberFormat="1" applyFont="1" applyFill="1" applyBorder="1" applyAlignment="1" applyProtection="1">
      <alignment vertical="top" wrapText="1" readingOrder="1"/>
      <protection locked="0"/>
    </xf>
    <xf numFmtId="164" fontId="41" fillId="14" borderId="9" xfId="0" applyNumberFormat="1" applyFont="1" applyFill="1" applyBorder="1" applyAlignment="1" applyProtection="1">
      <alignment vertical="top" wrapText="1" readingOrder="1"/>
      <protection locked="0"/>
    </xf>
    <xf numFmtId="173" fontId="38" fillId="14" borderId="19" xfId="27" applyNumberFormat="1" applyFont="1" applyFill="1" applyBorder="1"/>
    <xf numFmtId="43" fontId="38" fillId="14" borderId="0" xfId="27" applyFont="1" applyFill="1"/>
    <xf numFmtId="43" fontId="38" fillId="14" borderId="0" xfId="27" applyFont="1" applyFill="1" applyAlignment="1">
      <alignment wrapText="1"/>
    </xf>
    <xf numFmtId="166" fontId="35" fillId="15" borderId="5" xfId="28" applyFont="1" applyFill="1" applyBorder="1" applyAlignment="1" applyProtection="1">
      <protection locked="0"/>
    </xf>
    <xf numFmtId="43" fontId="35" fillId="15" borderId="5" xfId="27" applyFont="1" applyFill="1" applyBorder="1" applyAlignment="1" applyProtection="1">
      <protection locked="0"/>
    </xf>
    <xf numFmtId="173" fontId="35" fillId="15" borderId="5" xfId="27" applyNumberFormat="1" applyFont="1" applyFill="1" applyBorder="1" applyAlignment="1" applyProtection="1">
      <protection locked="0"/>
    </xf>
    <xf numFmtId="173" fontId="33" fillId="14" borderId="7" xfId="0" applyNumberFormat="1" applyFont="1" applyFill="1" applyBorder="1" applyAlignment="1" applyProtection="1">
      <alignment vertical="top" wrapText="1" readingOrder="1"/>
      <protection locked="0"/>
    </xf>
    <xf numFmtId="173" fontId="41" fillId="12" borderId="9" xfId="27" applyNumberFormat="1" applyFont="1" applyFill="1" applyBorder="1" applyAlignment="1" applyProtection="1">
      <alignment vertical="top" wrapText="1" readingOrder="1"/>
      <protection locked="0"/>
    </xf>
    <xf numFmtId="173" fontId="42" fillId="0" borderId="6" xfId="27" applyNumberFormat="1" applyFont="1" applyFill="1" applyBorder="1" applyAlignment="1" applyProtection="1">
      <alignment vertical="top" wrapText="1" readingOrder="1"/>
      <protection locked="0"/>
    </xf>
    <xf numFmtId="173" fontId="42" fillId="0" borderId="19" xfId="27" applyNumberFormat="1" applyFont="1" applyFill="1" applyBorder="1" applyAlignment="1" applyProtection="1">
      <alignment vertical="top" wrapText="1" readingOrder="1"/>
      <protection locked="0"/>
    </xf>
    <xf numFmtId="43" fontId="41" fillId="12" borderId="20" xfId="27" applyFont="1" applyFill="1" applyBorder="1" applyAlignment="1" applyProtection="1">
      <alignment vertical="top" wrapText="1" readingOrder="1"/>
      <protection locked="0"/>
    </xf>
    <xf numFmtId="173" fontId="41" fillId="12" borderId="20" xfId="27" applyNumberFormat="1" applyFont="1" applyFill="1" applyBorder="1" applyAlignment="1" applyProtection="1">
      <alignment vertical="top" wrapText="1" readingOrder="1"/>
      <protection locked="0"/>
    </xf>
    <xf numFmtId="173" fontId="39" fillId="0" borderId="0" xfId="0" applyNumberFormat="1" applyFont="1"/>
    <xf numFmtId="43" fontId="41" fillId="12" borderId="21" xfId="27" applyFont="1" applyFill="1" applyBorder="1" applyAlignment="1" applyProtection="1">
      <alignment vertical="top" wrapText="1" readingOrder="1"/>
      <protection locked="0"/>
    </xf>
    <xf numFmtId="173" fontId="41" fillId="12" borderId="21" xfId="27" applyNumberFormat="1" applyFont="1" applyFill="1" applyBorder="1" applyAlignment="1" applyProtection="1">
      <alignment vertical="top" wrapText="1" readingOrder="1"/>
      <protection locked="0"/>
    </xf>
    <xf numFmtId="165" fontId="42" fillId="0" borderId="7" xfId="0" applyNumberFormat="1" applyFont="1" applyBorder="1" applyAlignment="1" applyProtection="1">
      <alignment vertical="top" wrapText="1" readingOrder="1"/>
      <protection locked="0"/>
    </xf>
    <xf numFmtId="165" fontId="42" fillId="0" borderId="9" xfId="0" applyNumberFormat="1" applyFont="1" applyBorder="1" applyAlignment="1" applyProtection="1">
      <alignment vertical="top" wrapText="1" readingOrder="1"/>
      <protection locked="0"/>
    </xf>
    <xf numFmtId="43" fontId="39" fillId="0" borderId="0" xfId="0" applyNumberFormat="1" applyFont="1"/>
    <xf numFmtId="164" fontId="39" fillId="0" borderId="0" xfId="0" applyNumberFormat="1" applyFont="1"/>
    <xf numFmtId="17" fontId="38" fillId="11" borderId="0" xfId="0" applyNumberFormat="1" applyFont="1" applyFill="1"/>
    <xf numFmtId="164" fontId="42" fillId="0" borderId="7" xfId="0" applyNumberFormat="1" applyFont="1" applyBorder="1" applyAlignment="1" applyProtection="1">
      <alignment vertical="top" readingOrder="1"/>
      <protection locked="0"/>
    </xf>
    <xf numFmtId="0" fontId="39" fillId="0" borderId="22" xfId="0" applyFont="1" applyBorder="1" applyAlignment="1" applyProtection="1">
      <alignment vertical="top" readingOrder="1"/>
      <protection locked="0"/>
    </xf>
    <xf numFmtId="0" fontId="39" fillId="0" borderId="22" xfId="0" applyFont="1" applyBorder="1" applyAlignment="1" applyProtection="1">
      <alignment vertical="top" wrapText="1"/>
      <protection locked="0"/>
    </xf>
    <xf numFmtId="164" fontId="42" fillId="0" borderId="17" xfId="0" applyNumberFormat="1" applyFont="1" applyBorder="1" applyAlignment="1" applyProtection="1">
      <alignment vertical="top" wrapText="1" readingOrder="1"/>
      <protection locked="0"/>
    </xf>
    <xf numFmtId="10" fontId="39" fillId="0" borderId="0" xfId="444" applyNumberFormat="1" applyFont="1"/>
    <xf numFmtId="164" fontId="5" fillId="0" borderId="7" xfId="281" applyNumberFormat="1" applyFont="1" applyBorder="1" applyAlignment="1" applyProtection="1">
      <alignment vertical="top" wrapText="1" readingOrder="1"/>
      <protection locked="0"/>
    </xf>
    <xf numFmtId="164" fontId="5" fillId="0" borderId="0" xfId="0" applyNumberFormat="1" applyFont="1" applyAlignment="1" applyProtection="1">
      <alignment vertical="top" wrapText="1" readingOrder="1"/>
      <protection locked="0"/>
    </xf>
    <xf numFmtId="164" fontId="5" fillId="9" borderId="7" xfId="281" applyNumberFormat="1" applyFont="1" applyFill="1" applyBorder="1" applyAlignment="1" applyProtection="1">
      <alignment vertical="top" wrapText="1" readingOrder="1"/>
      <protection locked="0"/>
    </xf>
    <xf numFmtId="0" fontId="45" fillId="0" borderId="23" xfId="0" applyFont="1" applyBorder="1" applyAlignment="1">
      <alignment wrapText="1" readingOrder="1"/>
    </xf>
    <xf numFmtId="4" fontId="45" fillId="0" borderId="23" xfId="0" applyNumberFormat="1" applyFont="1" applyBorder="1" applyAlignment="1">
      <alignment wrapText="1" readingOrder="1"/>
    </xf>
    <xf numFmtId="0" fontId="45" fillId="0" borderId="24" xfId="0" applyFont="1" applyBorder="1" applyAlignment="1">
      <alignment wrapText="1" readingOrder="1"/>
    </xf>
    <xf numFmtId="4" fontId="45" fillId="0" borderId="24" xfId="0" applyNumberFormat="1" applyFont="1" applyBorder="1" applyAlignment="1">
      <alignment wrapText="1" readingOrder="1"/>
    </xf>
    <xf numFmtId="0" fontId="45" fillId="0" borderId="25" xfId="0" applyFont="1" applyBorder="1" applyAlignment="1">
      <alignment wrapText="1" readingOrder="1"/>
    </xf>
    <xf numFmtId="4" fontId="45" fillId="0" borderId="25" xfId="0" applyNumberFormat="1" applyFont="1" applyBorder="1" applyAlignment="1">
      <alignment wrapText="1" readingOrder="1"/>
    </xf>
    <xf numFmtId="0" fontId="45" fillId="0" borderId="26" xfId="0" applyFont="1" applyBorder="1" applyAlignment="1">
      <alignment wrapText="1" readingOrder="1"/>
    </xf>
    <xf numFmtId="4" fontId="45" fillId="0" borderId="26" xfId="0" applyNumberFormat="1" applyFont="1" applyBorder="1" applyAlignment="1">
      <alignment wrapText="1" readingOrder="1"/>
    </xf>
    <xf numFmtId="4" fontId="46" fillId="16" borderId="25" xfId="0" applyNumberFormat="1" applyFont="1" applyFill="1" applyBorder="1" applyAlignment="1">
      <alignment wrapText="1" readingOrder="1"/>
    </xf>
    <xf numFmtId="4" fontId="46" fillId="16" borderId="26" xfId="0" applyNumberFormat="1" applyFont="1" applyFill="1" applyBorder="1" applyAlignment="1">
      <alignment wrapText="1" readingOrder="1"/>
    </xf>
    <xf numFmtId="0" fontId="46" fillId="0" borderId="25" xfId="0" applyFont="1" applyBorder="1" applyAlignment="1">
      <alignment wrapText="1" readingOrder="1"/>
    </xf>
    <xf numFmtId="4" fontId="46" fillId="0" borderId="25" xfId="0" applyNumberFormat="1" applyFont="1" applyBorder="1" applyAlignment="1">
      <alignment wrapText="1" readingOrder="1"/>
    </xf>
    <xf numFmtId="0" fontId="46" fillId="0" borderId="26" xfId="0" applyFont="1" applyBorder="1" applyAlignment="1">
      <alignment wrapText="1" readingOrder="1"/>
    </xf>
    <xf numFmtId="4" fontId="46" fillId="0" borderId="26" xfId="0" applyNumberFormat="1" applyFont="1" applyBorder="1" applyAlignment="1">
      <alignment wrapText="1" readingOrder="1"/>
    </xf>
    <xf numFmtId="43" fontId="38" fillId="11" borderId="0" xfId="27" applyFont="1" applyFill="1"/>
    <xf numFmtId="43" fontId="0" fillId="0" borderId="0" xfId="27" applyFont="1"/>
    <xf numFmtId="43" fontId="24" fillId="11" borderId="0" xfId="27" applyFont="1" applyFill="1"/>
    <xf numFmtId="43" fontId="46" fillId="0" borderId="25" xfId="27" applyFont="1" applyBorder="1" applyAlignment="1">
      <alignment wrapText="1" readingOrder="1"/>
    </xf>
    <xf numFmtId="17" fontId="39" fillId="11" borderId="0" xfId="0" applyNumberFormat="1" applyFont="1" applyFill="1"/>
    <xf numFmtId="4" fontId="39" fillId="0" borderId="0" xfId="0" applyNumberFormat="1" applyFont="1"/>
    <xf numFmtId="164" fontId="6" fillId="0" borderId="7" xfId="0" applyNumberFormat="1" applyFont="1" applyBorder="1" applyAlignment="1" applyProtection="1">
      <alignment vertical="top" wrapText="1" readingOrder="1"/>
      <protection locked="0"/>
    </xf>
    <xf numFmtId="9" fontId="39" fillId="0" borderId="0" xfId="444" applyFont="1"/>
    <xf numFmtId="164" fontId="6" fillId="9" borderId="7" xfId="0" applyNumberFormat="1" applyFont="1" applyFill="1" applyBorder="1" applyAlignment="1" applyProtection="1">
      <alignment vertical="top" wrapText="1" readingOrder="1"/>
      <protection locked="0"/>
    </xf>
    <xf numFmtId="0" fontId="47" fillId="0" borderId="0" xfId="0" applyFont="1"/>
    <xf numFmtId="4" fontId="47" fillId="0" borderId="0" xfId="0" applyNumberFormat="1" applyFont="1"/>
    <xf numFmtId="0" fontId="49" fillId="0" borderId="10" xfId="0" applyFont="1" applyBorder="1"/>
    <xf numFmtId="0" fontId="49" fillId="0" borderId="11" xfId="0" applyFont="1" applyBorder="1"/>
    <xf numFmtId="43" fontId="49" fillId="0" borderId="27" xfId="27" applyFont="1" applyBorder="1"/>
    <xf numFmtId="0" fontId="49" fillId="0" borderId="13" xfId="0" applyFont="1" applyBorder="1"/>
    <xf numFmtId="0" fontId="50" fillId="0" borderId="6" xfId="449" applyFont="1" applyBorder="1"/>
    <xf numFmtId="43" fontId="49" fillId="0" borderId="12" xfId="27" applyFont="1" applyBorder="1"/>
    <xf numFmtId="0" fontId="49" fillId="0" borderId="6" xfId="0" applyFont="1" applyBorder="1"/>
    <xf numFmtId="0" fontId="49" fillId="0" borderId="28" xfId="0" applyFont="1" applyBorder="1"/>
    <xf numFmtId="0" fontId="49" fillId="0" borderId="0" xfId="0" applyFont="1"/>
    <xf numFmtId="0" fontId="49" fillId="0" borderId="29" xfId="0" applyFont="1" applyBorder="1"/>
    <xf numFmtId="0" fontId="49" fillId="0" borderId="30" xfId="0" applyFont="1" applyBorder="1"/>
    <xf numFmtId="0" fontId="49" fillId="0" borderId="31" xfId="0" applyFont="1" applyBorder="1"/>
    <xf numFmtId="43" fontId="51" fillId="0" borderId="32" xfId="0" applyNumberFormat="1" applyFont="1" applyBorder="1"/>
    <xf numFmtId="17" fontId="49" fillId="0" borderId="0" xfId="0" applyNumberFormat="1" applyFont="1"/>
    <xf numFmtId="0" fontId="52" fillId="0" borderId="6" xfId="0" applyFont="1" applyBorder="1" applyAlignment="1">
      <alignment horizontal="left" vertical="top" wrapText="1"/>
    </xf>
    <xf numFmtId="0" fontId="52" fillId="0" borderId="6" xfId="0" applyFont="1" applyBorder="1" applyAlignment="1">
      <alignment horizontal="center" vertical="center" wrapText="1"/>
    </xf>
    <xf numFmtId="43" fontId="49" fillId="0" borderId="6" xfId="27" applyFont="1" applyBorder="1"/>
    <xf numFmtId="9" fontId="49" fillId="0" borderId="6" xfId="444" applyFont="1" applyBorder="1"/>
    <xf numFmtId="9" fontId="49" fillId="11" borderId="6" xfId="444" applyFont="1" applyFill="1" applyBorder="1"/>
    <xf numFmtId="10" fontId="49" fillId="0" borderId="6" xfId="444" applyNumberFormat="1" applyFont="1" applyBorder="1"/>
    <xf numFmtId="0" fontId="49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 wrapText="1"/>
    </xf>
    <xf numFmtId="0" fontId="53" fillId="0" borderId="6" xfId="0" applyFont="1" applyBorder="1" applyAlignment="1">
      <alignment vertical="top" wrapText="1"/>
    </xf>
    <xf numFmtId="0" fontId="53" fillId="0" borderId="6" xfId="0" applyFont="1" applyBorder="1" applyAlignment="1">
      <alignment horizontal="left" vertical="top" wrapText="1"/>
    </xf>
    <xf numFmtId="0" fontId="54" fillId="0" borderId="6" xfId="240" applyFont="1" applyBorder="1"/>
    <xf numFmtId="17" fontId="49" fillId="0" borderId="11" xfId="0" applyNumberFormat="1" applyFont="1" applyBorder="1"/>
    <xf numFmtId="17" fontId="55" fillId="0" borderId="9" xfId="0" applyNumberFormat="1" applyFont="1" applyBorder="1" applyAlignment="1" applyProtection="1">
      <alignment vertical="top" wrapText="1" readingOrder="1"/>
      <protection locked="0"/>
    </xf>
    <xf numFmtId="164" fontId="42" fillId="14" borderId="7" xfId="0" applyNumberFormat="1" applyFont="1" applyFill="1" applyBorder="1" applyAlignment="1" applyProtection="1">
      <alignment vertical="top" wrapText="1" readingOrder="1"/>
      <protection locked="0"/>
    </xf>
    <xf numFmtId="0" fontId="39" fillId="14" borderId="22" xfId="0" applyFont="1" applyFill="1" applyBorder="1" applyAlignment="1" applyProtection="1">
      <alignment vertical="top" wrapText="1"/>
      <protection locked="0"/>
    </xf>
    <xf numFmtId="43" fontId="44" fillId="14" borderId="0" xfId="0" applyNumberFormat="1" applyFont="1" applyFill="1"/>
    <xf numFmtId="0" fontId="39" fillId="14" borderId="0" xfId="0" applyFont="1" applyFill="1"/>
    <xf numFmtId="0" fontId="38" fillId="14" borderId="0" xfId="0" applyFont="1" applyFill="1"/>
    <xf numFmtId="4" fontId="45" fillId="14" borderId="25" xfId="0" applyNumberFormat="1" applyFont="1" applyFill="1" applyBorder="1" applyAlignment="1">
      <alignment wrapText="1" readingOrder="1"/>
    </xf>
    <xf numFmtId="4" fontId="45" fillId="14" borderId="26" xfId="0" applyNumberFormat="1" applyFont="1" applyFill="1" applyBorder="1" applyAlignment="1">
      <alignment wrapText="1" readingOrder="1"/>
    </xf>
    <xf numFmtId="165" fontId="6" fillId="0" borderId="7" xfId="0" applyNumberFormat="1" applyFont="1" applyBorder="1" applyAlignment="1" applyProtection="1">
      <alignment vertical="top" wrapText="1" readingOrder="1"/>
      <protection locked="0"/>
    </xf>
    <xf numFmtId="174" fontId="39" fillId="0" borderId="0" xfId="0" applyNumberFormat="1" applyFont="1"/>
    <xf numFmtId="164" fontId="57" fillId="0" borderId="7" xfId="0" applyNumberFormat="1" applyFont="1" applyBorder="1" applyAlignment="1" applyProtection="1">
      <alignment vertical="top" wrapText="1" readingOrder="1"/>
      <protection locked="0"/>
    </xf>
    <xf numFmtId="165" fontId="57" fillId="0" borderId="7" xfId="0" applyNumberFormat="1" applyFont="1" applyBorder="1" applyAlignment="1" applyProtection="1">
      <alignment vertical="top" wrapText="1" readingOrder="1"/>
      <protection locked="0"/>
    </xf>
    <xf numFmtId="164" fontId="58" fillId="9" borderId="7" xfId="0" applyNumberFormat="1" applyFont="1" applyFill="1" applyBorder="1" applyAlignment="1" applyProtection="1">
      <alignment vertical="top" wrapText="1" readingOrder="1"/>
      <protection locked="0"/>
    </xf>
    <xf numFmtId="164" fontId="58" fillId="0" borderId="7" xfId="0" applyNumberFormat="1" applyFont="1" applyBorder="1" applyAlignment="1" applyProtection="1">
      <alignment vertical="top" wrapText="1" readingOrder="1"/>
      <protection locked="0"/>
    </xf>
    <xf numFmtId="43" fontId="39" fillId="11" borderId="0" xfId="27" applyFont="1" applyFill="1"/>
    <xf numFmtId="43" fontId="0" fillId="0" borderId="22" xfId="27" applyFont="1" applyBorder="1" applyAlignment="1" applyProtection="1">
      <alignment vertical="top" wrapText="1"/>
      <protection locked="0"/>
    </xf>
    <xf numFmtId="164" fontId="59" fillId="0" borderId="7" xfId="0" applyNumberFormat="1" applyFont="1" applyBorder="1" applyAlignment="1" applyProtection="1">
      <alignment vertical="top" wrapText="1" readingOrder="1"/>
      <protection locked="0"/>
    </xf>
    <xf numFmtId="0" fontId="56" fillId="0" borderId="13" xfId="240" applyFont="1" applyBorder="1" applyAlignment="1">
      <alignment horizontal="left" vertical="top" wrapText="1"/>
    </xf>
    <xf numFmtId="0" fontId="38" fillId="0" borderId="13" xfId="240" applyFont="1" applyBorder="1" applyAlignment="1">
      <alignment horizontal="left" vertical="top"/>
    </xf>
    <xf numFmtId="0" fontId="49" fillId="0" borderId="0" xfId="0" applyFont="1" applyAlignment="1">
      <alignment horizontal="center"/>
    </xf>
    <xf numFmtId="0" fontId="52" fillId="0" borderId="13" xfId="0" applyFont="1" applyBorder="1" applyAlignment="1">
      <alignment horizontal="center" vertical="top"/>
    </xf>
    <xf numFmtId="0" fontId="52" fillId="0" borderId="13" xfId="0" applyFont="1" applyBorder="1" applyAlignment="1">
      <alignment horizontal="center" vertical="top" wrapText="1"/>
    </xf>
    <xf numFmtId="0" fontId="43" fillId="0" borderId="0" xfId="0" applyFont="1" applyAlignment="1" applyProtection="1">
      <alignment vertical="top" wrapText="1" readingOrder="1"/>
      <protection locked="0"/>
    </xf>
    <xf numFmtId="0" fontId="33" fillId="0" borderId="0" xfId="0" applyFont="1"/>
    <xf numFmtId="0" fontId="17" fillId="0" borderId="0" xfId="0" applyFont="1" applyAlignment="1" applyProtection="1">
      <alignment vertical="top" wrapText="1" readingOrder="1"/>
      <protection locked="0"/>
    </xf>
    <xf numFmtId="0" fontId="0" fillId="0" borderId="0" xfId="0"/>
    <xf numFmtId="17" fontId="24" fillId="0" borderId="18" xfId="0" applyNumberFormat="1" applyFont="1" applyBorder="1" applyAlignment="1">
      <alignment horizontal="center" wrapText="1"/>
    </xf>
    <xf numFmtId="0" fontId="24" fillId="0" borderId="18" xfId="0" applyFont="1" applyBorder="1" applyAlignment="1">
      <alignment horizontal="center" wrapText="1"/>
    </xf>
    <xf numFmtId="164" fontId="5" fillId="0" borderId="17" xfId="0" applyNumberFormat="1" applyFont="1" applyFill="1" applyBorder="1" applyAlignment="1" applyProtection="1">
      <alignment vertical="top" wrapText="1" readingOrder="1"/>
      <protection locked="0"/>
    </xf>
  </cellXfs>
  <cellStyles count="450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1" xfId="30" xr:uid="{00000000-0005-0000-0000-00001D000000}"/>
    <cellStyle name="Comma 10 12" xfId="31" xr:uid="{00000000-0005-0000-0000-00001E000000}"/>
    <cellStyle name="Comma 10 13" xfId="32" xr:uid="{00000000-0005-0000-0000-00001F000000}"/>
    <cellStyle name="Comma 10 14" xfId="33" xr:uid="{00000000-0005-0000-0000-000020000000}"/>
    <cellStyle name="Comma 10 15" xfId="34" xr:uid="{00000000-0005-0000-0000-000021000000}"/>
    <cellStyle name="Comma 10 16" xfId="35" xr:uid="{00000000-0005-0000-0000-000022000000}"/>
    <cellStyle name="Comma 10 2" xfId="36" xr:uid="{00000000-0005-0000-0000-000023000000}"/>
    <cellStyle name="Comma 10 3" xfId="37" xr:uid="{00000000-0005-0000-0000-000024000000}"/>
    <cellStyle name="Comma 10 4" xfId="38" xr:uid="{00000000-0005-0000-0000-000025000000}"/>
    <cellStyle name="Comma 10 5" xfId="39" xr:uid="{00000000-0005-0000-0000-000026000000}"/>
    <cellStyle name="Comma 10 6" xfId="40" xr:uid="{00000000-0005-0000-0000-000027000000}"/>
    <cellStyle name="Comma 10 7" xfId="41" xr:uid="{00000000-0005-0000-0000-000028000000}"/>
    <cellStyle name="Comma 10 8" xfId="42" xr:uid="{00000000-0005-0000-0000-000029000000}"/>
    <cellStyle name="Comma 10 9" xfId="43" xr:uid="{00000000-0005-0000-0000-00002A000000}"/>
    <cellStyle name="Comma 11" xfId="44" xr:uid="{00000000-0005-0000-0000-00002B000000}"/>
    <cellStyle name="Comma 11 10" xfId="45" xr:uid="{00000000-0005-0000-0000-00002C000000}"/>
    <cellStyle name="Comma 11 11" xfId="46" xr:uid="{00000000-0005-0000-0000-00002D000000}"/>
    <cellStyle name="Comma 11 12" xfId="47" xr:uid="{00000000-0005-0000-0000-00002E000000}"/>
    <cellStyle name="Comma 11 13" xfId="48" xr:uid="{00000000-0005-0000-0000-00002F000000}"/>
    <cellStyle name="Comma 11 14" xfId="49" xr:uid="{00000000-0005-0000-0000-000030000000}"/>
    <cellStyle name="Comma 11 15" xfId="50" xr:uid="{00000000-0005-0000-0000-000031000000}"/>
    <cellStyle name="Comma 11 16" xfId="51" xr:uid="{00000000-0005-0000-0000-000032000000}"/>
    <cellStyle name="Comma 11 17" xfId="52" xr:uid="{00000000-0005-0000-0000-000033000000}"/>
    <cellStyle name="Comma 11 2" xfId="53" xr:uid="{00000000-0005-0000-0000-000034000000}"/>
    <cellStyle name="Comma 11 2 2" xfId="54" xr:uid="{00000000-0005-0000-0000-000035000000}"/>
    <cellStyle name="Comma 11 3" xfId="55" xr:uid="{00000000-0005-0000-0000-000036000000}"/>
    <cellStyle name="Comma 11 4" xfId="56" xr:uid="{00000000-0005-0000-0000-000037000000}"/>
    <cellStyle name="Comma 11 5" xfId="57" xr:uid="{00000000-0005-0000-0000-000038000000}"/>
    <cellStyle name="Comma 11 6" xfId="58" xr:uid="{00000000-0005-0000-0000-000039000000}"/>
    <cellStyle name="Comma 11 7" xfId="59" xr:uid="{00000000-0005-0000-0000-00003A000000}"/>
    <cellStyle name="Comma 11 8" xfId="60" xr:uid="{00000000-0005-0000-0000-00003B000000}"/>
    <cellStyle name="Comma 11 9" xfId="61" xr:uid="{00000000-0005-0000-0000-00003C000000}"/>
    <cellStyle name="Comma 12" xfId="62" xr:uid="{00000000-0005-0000-0000-00003D000000}"/>
    <cellStyle name="Comma 13" xfId="63" xr:uid="{00000000-0005-0000-0000-00003E000000}"/>
    <cellStyle name="Comma 14" xfId="64" xr:uid="{00000000-0005-0000-0000-00003F000000}"/>
    <cellStyle name="Comma 15" xfId="65" xr:uid="{00000000-0005-0000-0000-000040000000}"/>
    <cellStyle name="Comma 16" xfId="66" xr:uid="{00000000-0005-0000-0000-000041000000}"/>
    <cellStyle name="Comma 16 10" xfId="67" xr:uid="{00000000-0005-0000-0000-000042000000}"/>
    <cellStyle name="Comma 16 11" xfId="68" xr:uid="{00000000-0005-0000-0000-000043000000}"/>
    <cellStyle name="Comma 16 12" xfId="69" xr:uid="{00000000-0005-0000-0000-000044000000}"/>
    <cellStyle name="Comma 16 13" xfId="70" xr:uid="{00000000-0005-0000-0000-000045000000}"/>
    <cellStyle name="Comma 16 14" xfId="71" xr:uid="{00000000-0005-0000-0000-000046000000}"/>
    <cellStyle name="Comma 16 15" xfId="72" xr:uid="{00000000-0005-0000-0000-000047000000}"/>
    <cellStyle name="Comma 16 16" xfId="73" xr:uid="{00000000-0005-0000-0000-000048000000}"/>
    <cellStyle name="Comma 16 2" xfId="74" xr:uid="{00000000-0005-0000-0000-000049000000}"/>
    <cellStyle name="Comma 16 3" xfId="75" xr:uid="{00000000-0005-0000-0000-00004A000000}"/>
    <cellStyle name="Comma 16 4" xfId="76" xr:uid="{00000000-0005-0000-0000-00004B000000}"/>
    <cellStyle name="Comma 16 5" xfId="77" xr:uid="{00000000-0005-0000-0000-00004C000000}"/>
    <cellStyle name="Comma 16 6" xfId="78" xr:uid="{00000000-0005-0000-0000-00004D000000}"/>
    <cellStyle name="Comma 16 7" xfId="79" xr:uid="{00000000-0005-0000-0000-00004E000000}"/>
    <cellStyle name="Comma 16 8" xfId="80" xr:uid="{00000000-0005-0000-0000-00004F000000}"/>
    <cellStyle name="Comma 16 9" xfId="81" xr:uid="{00000000-0005-0000-0000-000050000000}"/>
    <cellStyle name="Comma 17" xfId="82" xr:uid="{00000000-0005-0000-0000-000051000000}"/>
    <cellStyle name="Comma 17 10" xfId="83" xr:uid="{00000000-0005-0000-0000-000052000000}"/>
    <cellStyle name="Comma 17 2" xfId="84" xr:uid="{00000000-0005-0000-0000-000053000000}"/>
    <cellStyle name="Comma 17 3" xfId="85" xr:uid="{00000000-0005-0000-0000-000054000000}"/>
    <cellStyle name="Comma 17 4" xfId="86" xr:uid="{00000000-0005-0000-0000-000055000000}"/>
    <cellStyle name="Comma 17 5" xfId="87" xr:uid="{00000000-0005-0000-0000-000056000000}"/>
    <cellStyle name="Comma 17 6" xfId="88" xr:uid="{00000000-0005-0000-0000-000057000000}"/>
    <cellStyle name="Comma 17 7" xfId="89" xr:uid="{00000000-0005-0000-0000-000058000000}"/>
    <cellStyle name="Comma 17 8" xfId="90" xr:uid="{00000000-0005-0000-0000-000059000000}"/>
    <cellStyle name="Comma 17 9" xfId="91" xr:uid="{00000000-0005-0000-0000-00005A000000}"/>
    <cellStyle name="Comma 18" xfId="92" xr:uid="{00000000-0005-0000-0000-00005B000000}"/>
    <cellStyle name="Comma 18 2" xfId="93" xr:uid="{00000000-0005-0000-0000-00005C000000}"/>
    <cellStyle name="Comma 18 3" xfId="94" xr:uid="{00000000-0005-0000-0000-00005D000000}"/>
    <cellStyle name="Comma 2" xfId="95" xr:uid="{00000000-0005-0000-0000-00005E000000}"/>
    <cellStyle name="Comma 2 10" xfId="96" xr:uid="{00000000-0005-0000-0000-00005F000000}"/>
    <cellStyle name="Comma 2 11" xfId="97" xr:uid="{00000000-0005-0000-0000-000060000000}"/>
    <cellStyle name="Comma 2 12" xfId="98" xr:uid="{00000000-0005-0000-0000-000061000000}"/>
    <cellStyle name="Comma 2 13" xfId="99" xr:uid="{00000000-0005-0000-0000-000062000000}"/>
    <cellStyle name="Comma 2 14" xfId="100" xr:uid="{00000000-0005-0000-0000-000063000000}"/>
    <cellStyle name="Comma 2 15" xfId="101" xr:uid="{00000000-0005-0000-0000-000064000000}"/>
    <cellStyle name="Comma 2 16" xfId="102" xr:uid="{00000000-0005-0000-0000-000065000000}"/>
    <cellStyle name="Comma 2 17" xfId="103" xr:uid="{00000000-0005-0000-0000-000066000000}"/>
    <cellStyle name="Comma 2 18" xfId="104" xr:uid="{00000000-0005-0000-0000-000067000000}"/>
    <cellStyle name="Comma 2 19" xfId="105" xr:uid="{00000000-0005-0000-0000-000068000000}"/>
    <cellStyle name="Comma 2 2" xfId="106" xr:uid="{00000000-0005-0000-0000-000069000000}"/>
    <cellStyle name="Comma 2 20" xfId="107" xr:uid="{00000000-0005-0000-0000-00006A000000}"/>
    <cellStyle name="Comma 2 21" xfId="108" xr:uid="{00000000-0005-0000-0000-00006B000000}"/>
    <cellStyle name="Comma 2 22" xfId="109" xr:uid="{00000000-0005-0000-0000-00006C000000}"/>
    <cellStyle name="Comma 2 23" xfId="110" xr:uid="{00000000-0005-0000-0000-00006D000000}"/>
    <cellStyle name="Comma 2 24" xfId="111" xr:uid="{00000000-0005-0000-0000-00006E000000}"/>
    <cellStyle name="Comma 2 25" xfId="112" xr:uid="{00000000-0005-0000-0000-00006F000000}"/>
    <cellStyle name="Comma 2 26" xfId="113" xr:uid="{00000000-0005-0000-0000-000070000000}"/>
    <cellStyle name="Comma 2 3" xfId="114" xr:uid="{00000000-0005-0000-0000-000071000000}"/>
    <cellStyle name="Comma 2 4" xfId="115" xr:uid="{00000000-0005-0000-0000-000072000000}"/>
    <cellStyle name="Comma 2 5" xfId="116" xr:uid="{00000000-0005-0000-0000-000073000000}"/>
    <cellStyle name="Comma 2 6" xfId="117" xr:uid="{00000000-0005-0000-0000-000074000000}"/>
    <cellStyle name="Comma 2 7" xfId="118" xr:uid="{00000000-0005-0000-0000-000075000000}"/>
    <cellStyle name="Comma 2 8" xfId="119" xr:uid="{00000000-0005-0000-0000-000076000000}"/>
    <cellStyle name="Comma 2 9" xfId="120" xr:uid="{00000000-0005-0000-0000-000077000000}"/>
    <cellStyle name="Comma 24" xfId="121" xr:uid="{00000000-0005-0000-0000-000078000000}"/>
    <cellStyle name="Comma 3" xfId="122" xr:uid="{00000000-0005-0000-0000-000079000000}"/>
    <cellStyle name="Comma 3 10" xfId="123" xr:uid="{00000000-0005-0000-0000-00007A000000}"/>
    <cellStyle name="Comma 3 11" xfId="124" xr:uid="{00000000-0005-0000-0000-00007B000000}"/>
    <cellStyle name="Comma 3 12" xfId="125" xr:uid="{00000000-0005-0000-0000-00007C000000}"/>
    <cellStyle name="Comma 3 13" xfId="126" xr:uid="{00000000-0005-0000-0000-00007D000000}"/>
    <cellStyle name="Comma 3 14" xfId="127" xr:uid="{00000000-0005-0000-0000-00007E000000}"/>
    <cellStyle name="Comma 3 15" xfId="128" xr:uid="{00000000-0005-0000-0000-00007F000000}"/>
    <cellStyle name="Comma 3 16" xfId="129" xr:uid="{00000000-0005-0000-0000-000080000000}"/>
    <cellStyle name="Comma 3 17" xfId="130" xr:uid="{00000000-0005-0000-0000-000081000000}"/>
    <cellStyle name="Comma 3 18" xfId="131" xr:uid="{00000000-0005-0000-0000-000082000000}"/>
    <cellStyle name="Comma 3 19" xfId="132" xr:uid="{00000000-0005-0000-0000-000083000000}"/>
    <cellStyle name="Comma 3 2" xfId="133" xr:uid="{00000000-0005-0000-0000-000084000000}"/>
    <cellStyle name="Comma 3 20" xfId="134" xr:uid="{00000000-0005-0000-0000-000085000000}"/>
    <cellStyle name="Comma 3 3" xfId="135" xr:uid="{00000000-0005-0000-0000-000086000000}"/>
    <cellStyle name="Comma 3 4" xfId="136" xr:uid="{00000000-0005-0000-0000-000087000000}"/>
    <cellStyle name="Comma 3 5" xfId="137" xr:uid="{00000000-0005-0000-0000-000088000000}"/>
    <cellStyle name="Comma 3 6" xfId="138" xr:uid="{00000000-0005-0000-0000-000089000000}"/>
    <cellStyle name="Comma 3 7" xfId="139" xr:uid="{00000000-0005-0000-0000-00008A000000}"/>
    <cellStyle name="Comma 3 8" xfId="140" xr:uid="{00000000-0005-0000-0000-00008B000000}"/>
    <cellStyle name="Comma 3 9" xfId="141" xr:uid="{00000000-0005-0000-0000-00008C000000}"/>
    <cellStyle name="Comma 4" xfId="142" xr:uid="{00000000-0005-0000-0000-00008D000000}"/>
    <cellStyle name="Comma 5" xfId="143" xr:uid="{00000000-0005-0000-0000-00008E000000}"/>
    <cellStyle name="Comma 5 10" xfId="144" xr:uid="{00000000-0005-0000-0000-00008F000000}"/>
    <cellStyle name="Comma 5 11" xfId="145" xr:uid="{00000000-0005-0000-0000-000090000000}"/>
    <cellStyle name="Comma 5 12" xfId="146" xr:uid="{00000000-0005-0000-0000-000091000000}"/>
    <cellStyle name="Comma 5 13" xfId="147" xr:uid="{00000000-0005-0000-0000-000092000000}"/>
    <cellStyle name="Comma 5 14" xfId="148" xr:uid="{00000000-0005-0000-0000-000093000000}"/>
    <cellStyle name="Comma 5 15" xfId="149" xr:uid="{00000000-0005-0000-0000-000094000000}"/>
    <cellStyle name="Comma 5 16" xfId="150" xr:uid="{00000000-0005-0000-0000-000095000000}"/>
    <cellStyle name="Comma 5 17" xfId="151" xr:uid="{00000000-0005-0000-0000-000096000000}"/>
    <cellStyle name="Comma 5 18" xfId="152" xr:uid="{00000000-0005-0000-0000-000097000000}"/>
    <cellStyle name="Comma 5 19" xfId="153" xr:uid="{00000000-0005-0000-0000-000098000000}"/>
    <cellStyle name="Comma 5 2" xfId="154" xr:uid="{00000000-0005-0000-0000-000099000000}"/>
    <cellStyle name="Comma 5 20" xfId="155" xr:uid="{00000000-0005-0000-0000-00009A000000}"/>
    <cellStyle name="Comma 5 3" xfId="156" xr:uid="{00000000-0005-0000-0000-00009B000000}"/>
    <cellStyle name="Comma 5 4" xfId="157" xr:uid="{00000000-0005-0000-0000-00009C000000}"/>
    <cellStyle name="Comma 5 5" xfId="158" xr:uid="{00000000-0005-0000-0000-00009D000000}"/>
    <cellStyle name="Comma 5 6" xfId="159" xr:uid="{00000000-0005-0000-0000-00009E000000}"/>
    <cellStyle name="Comma 5 7" xfId="160" xr:uid="{00000000-0005-0000-0000-00009F000000}"/>
    <cellStyle name="Comma 5 8" xfId="161" xr:uid="{00000000-0005-0000-0000-0000A0000000}"/>
    <cellStyle name="Comma 5 9" xfId="162" xr:uid="{00000000-0005-0000-0000-0000A1000000}"/>
    <cellStyle name="Comma 6" xfId="163" xr:uid="{00000000-0005-0000-0000-0000A2000000}"/>
    <cellStyle name="Comma 6 10" xfId="164" xr:uid="{00000000-0005-0000-0000-0000A3000000}"/>
    <cellStyle name="Comma 6 11" xfId="165" xr:uid="{00000000-0005-0000-0000-0000A4000000}"/>
    <cellStyle name="Comma 6 12" xfId="166" xr:uid="{00000000-0005-0000-0000-0000A5000000}"/>
    <cellStyle name="Comma 6 13" xfId="167" xr:uid="{00000000-0005-0000-0000-0000A6000000}"/>
    <cellStyle name="Comma 6 14" xfId="168" xr:uid="{00000000-0005-0000-0000-0000A7000000}"/>
    <cellStyle name="Comma 6 15" xfId="169" xr:uid="{00000000-0005-0000-0000-0000A8000000}"/>
    <cellStyle name="Comma 6 16" xfId="170" xr:uid="{00000000-0005-0000-0000-0000A9000000}"/>
    <cellStyle name="Comma 6 17" xfId="171" xr:uid="{00000000-0005-0000-0000-0000AA000000}"/>
    <cellStyle name="Comma 6 18" xfId="172" xr:uid="{00000000-0005-0000-0000-0000AB000000}"/>
    <cellStyle name="Comma 6 19" xfId="173" xr:uid="{00000000-0005-0000-0000-0000AC000000}"/>
    <cellStyle name="Comma 6 2" xfId="174" xr:uid="{00000000-0005-0000-0000-0000AD000000}"/>
    <cellStyle name="Comma 6 3" xfId="175" xr:uid="{00000000-0005-0000-0000-0000AE000000}"/>
    <cellStyle name="Comma 6 4" xfId="176" xr:uid="{00000000-0005-0000-0000-0000AF000000}"/>
    <cellStyle name="Comma 6 5" xfId="177" xr:uid="{00000000-0005-0000-0000-0000B0000000}"/>
    <cellStyle name="Comma 6 6" xfId="178" xr:uid="{00000000-0005-0000-0000-0000B1000000}"/>
    <cellStyle name="Comma 6 7" xfId="179" xr:uid="{00000000-0005-0000-0000-0000B2000000}"/>
    <cellStyle name="Comma 6 8" xfId="180" xr:uid="{00000000-0005-0000-0000-0000B3000000}"/>
    <cellStyle name="Comma 6 9" xfId="181" xr:uid="{00000000-0005-0000-0000-0000B4000000}"/>
    <cellStyle name="Comma 7" xfId="182" xr:uid="{00000000-0005-0000-0000-0000B5000000}"/>
    <cellStyle name="Comma 7 10" xfId="183" xr:uid="{00000000-0005-0000-0000-0000B6000000}"/>
    <cellStyle name="Comma 7 11" xfId="184" xr:uid="{00000000-0005-0000-0000-0000B7000000}"/>
    <cellStyle name="Comma 7 12" xfId="185" xr:uid="{00000000-0005-0000-0000-0000B8000000}"/>
    <cellStyle name="Comma 7 13" xfId="186" xr:uid="{00000000-0005-0000-0000-0000B9000000}"/>
    <cellStyle name="Comma 7 14" xfId="187" xr:uid="{00000000-0005-0000-0000-0000BA000000}"/>
    <cellStyle name="Comma 7 15" xfId="188" xr:uid="{00000000-0005-0000-0000-0000BB000000}"/>
    <cellStyle name="Comma 7 16" xfId="189" xr:uid="{00000000-0005-0000-0000-0000BC000000}"/>
    <cellStyle name="Comma 7 17" xfId="190" xr:uid="{00000000-0005-0000-0000-0000BD000000}"/>
    <cellStyle name="Comma 7 18" xfId="191" xr:uid="{00000000-0005-0000-0000-0000BE000000}"/>
    <cellStyle name="Comma 7 19" xfId="192" xr:uid="{00000000-0005-0000-0000-0000BF000000}"/>
    <cellStyle name="Comma 7 2" xfId="193" xr:uid="{00000000-0005-0000-0000-0000C0000000}"/>
    <cellStyle name="Comma 7 3" xfId="194" xr:uid="{00000000-0005-0000-0000-0000C1000000}"/>
    <cellStyle name="Comma 7 4" xfId="195" xr:uid="{00000000-0005-0000-0000-0000C2000000}"/>
    <cellStyle name="Comma 7 5" xfId="196" xr:uid="{00000000-0005-0000-0000-0000C3000000}"/>
    <cellStyle name="Comma 7 6" xfId="197" xr:uid="{00000000-0005-0000-0000-0000C4000000}"/>
    <cellStyle name="Comma 7 7" xfId="198" xr:uid="{00000000-0005-0000-0000-0000C5000000}"/>
    <cellStyle name="Comma 7 8" xfId="199" xr:uid="{00000000-0005-0000-0000-0000C6000000}"/>
    <cellStyle name="Comma 7 9" xfId="200" xr:uid="{00000000-0005-0000-0000-0000C7000000}"/>
    <cellStyle name="Comma 8" xfId="201" xr:uid="{00000000-0005-0000-0000-0000C8000000}"/>
    <cellStyle name="Comma 8 10" xfId="202" xr:uid="{00000000-0005-0000-0000-0000C9000000}"/>
    <cellStyle name="Comma 8 11" xfId="203" xr:uid="{00000000-0005-0000-0000-0000CA000000}"/>
    <cellStyle name="Comma 8 12" xfId="204" xr:uid="{00000000-0005-0000-0000-0000CB000000}"/>
    <cellStyle name="Comma 8 13" xfId="205" xr:uid="{00000000-0005-0000-0000-0000CC000000}"/>
    <cellStyle name="Comma 8 14" xfId="206" xr:uid="{00000000-0005-0000-0000-0000CD000000}"/>
    <cellStyle name="Comma 8 15" xfId="207" xr:uid="{00000000-0005-0000-0000-0000CE000000}"/>
    <cellStyle name="Comma 8 16" xfId="208" xr:uid="{00000000-0005-0000-0000-0000CF000000}"/>
    <cellStyle name="Comma 8 17" xfId="209" xr:uid="{00000000-0005-0000-0000-0000D0000000}"/>
    <cellStyle name="Comma 8 18" xfId="210" xr:uid="{00000000-0005-0000-0000-0000D1000000}"/>
    <cellStyle name="Comma 8 19" xfId="211" xr:uid="{00000000-0005-0000-0000-0000D2000000}"/>
    <cellStyle name="Comma 8 2" xfId="212" xr:uid="{00000000-0005-0000-0000-0000D3000000}"/>
    <cellStyle name="Comma 8 3" xfId="213" xr:uid="{00000000-0005-0000-0000-0000D4000000}"/>
    <cellStyle name="Comma 8 4" xfId="214" xr:uid="{00000000-0005-0000-0000-0000D5000000}"/>
    <cellStyle name="Comma 8 5" xfId="215" xr:uid="{00000000-0005-0000-0000-0000D6000000}"/>
    <cellStyle name="Comma 8 6" xfId="216" xr:uid="{00000000-0005-0000-0000-0000D7000000}"/>
    <cellStyle name="Comma 8 7" xfId="217" xr:uid="{00000000-0005-0000-0000-0000D8000000}"/>
    <cellStyle name="Comma 8 8" xfId="218" xr:uid="{00000000-0005-0000-0000-0000D9000000}"/>
    <cellStyle name="Comma 8 9" xfId="219" xr:uid="{00000000-0005-0000-0000-0000DA000000}"/>
    <cellStyle name="Comma 9" xfId="220" xr:uid="{00000000-0005-0000-0000-0000DB000000}"/>
    <cellStyle name="Comma 9 10" xfId="221" xr:uid="{00000000-0005-0000-0000-0000DC000000}"/>
    <cellStyle name="Comma 9 11" xfId="222" xr:uid="{00000000-0005-0000-0000-0000DD000000}"/>
    <cellStyle name="Comma 9 12" xfId="223" xr:uid="{00000000-0005-0000-0000-0000DE000000}"/>
    <cellStyle name="Comma 9 13" xfId="224" xr:uid="{00000000-0005-0000-0000-0000DF000000}"/>
    <cellStyle name="Comma 9 14" xfId="225" xr:uid="{00000000-0005-0000-0000-0000E0000000}"/>
    <cellStyle name="Comma 9 15" xfId="226" xr:uid="{00000000-0005-0000-0000-0000E1000000}"/>
    <cellStyle name="Comma 9 16" xfId="227" xr:uid="{00000000-0005-0000-0000-0000E2000000}"/>
    <cellStyle name="Comma 9 17" xfId="228" xr:uid="{00000000-0005-0000-0000-0000E3000000}"/>
    <cellStyle name="Comma 9 18" xfId="229" xr:uid="{00000000-0005-0000-0000-0000E4000000}"/>
    <cellStyle name="Comma 9 19" xfId="230" xr:uid="{00000000-0005-0000-0000-0000E5000000}"/>
    <cellStyle name="Comma 9 2" xfId="231" xr:uid="{00000000-0005-0000-0000-0000E6000000}"/>
    <cellStyle name="Comma 9 3" xfId="232" xr:uid="{00000000-0005-0000-0000-0000E7000000}"/>
    <cellStyle name="Comma 9 4" xfId="233" xr:uid="{00000000-0005-0000-0000-0000E8000000}"/>
    <cellStyle name="Comma 9 5" xfId="234" xr:uid="{00000000-0005-0000-0000-0000E9000000}"/>
    <cellStyle name="Comma 9 6" xfId="235" xr:uid="{00000000-0005-0000-0000-0000EA000000}"/>
    <cellStyle name="Comma 9 7" xfId="236" xr:uid="{00000000-0005-0000-0000-0000EB000000}"/>
    <cellStyle name="Comma 9 8" xfId="237" xr:uid="{00000000-0005-0000-0000-0000EC000000}"/>
    <cellStyle name="Comma 9 9" xfId="238" xr:uid="{00000000-0005-0000-0000-0000ED000000}"/>
    <cellStyle name="Hyperlink" xfId="449" builtinId="8"/>
    <cellStyle name="Input 2" xfId="239" xr:uid="{00000000-0005-0000-0000-0000EF000000}"/>
    <cellStyle name="Normal" xfId="0" builtinId="0"/>
    <cellStyle name="Normal 10" xfId="240" xr:uid="{00000000-0005-0000-0000-0000F1000000}"/>
    <cellStyle name="Normal 10 2" xfId="241" xr:uid="{00000000-0005-0000-0000-0000F2000000}"/>
    <cellStyle name="Normal 10 3" xfId="242" xr:uid="{00000000-0005-0000-0000-0000F3000000}"/>
    <cellStyle name="Normal 10 4" xfId="243" xr:uid="{00000000-0005-0000-0000-0000F4000000}"/>
    <cellStyle name="Normal 10 5" xfId="244" xr:uid="{00000000-0005-0000-0000-0000F5000000}"/>
    <cellStyle name="Normal 11" xfId="245" xr:uid="{00000000-0005-0000-0000-0000F6000000}"/>
    <cellStyle name="Normal 12" xfId="246" xr:uid="{00000000-0005-0000-0000-0000F7000000}"/>
    <cellStyle name="Normal 12 2" xfId="247" xr:uid="{00000000-0005-0000-0000-0000F8000000}"/>
    <cellStyle name="Normal 12 3" xfId="248" xr:uid="{00000000-0005-0000-0000-0000F9000000}"/>
    <cellStyle name="Normal 12 4" xfId="249" xr:uid="{00000000-0005-0000-0000-0000FA000000}"/>
    <cellStyle name="Normal 12 5" xfId="250" xr:uid="{00000000-0005-0000-0000-0000FB000000}"/>
    <cellStyle name="Normal 13" xfId="251" xr:uid="{00000000-0005-0000-0000-0000FC000000}"/>
    <cellStyle name="Normal 13 2" xfId="252" xr:uid="{00000000-0005-0000-0000-0000FD000000}"/>
    <cellStyle name="Normal 13 3" xfId="253" xr:uid="{00000000-0005-0000-0000-0000FE000000}"/>
    <cellStyle name="Normal 13 4" xfId="254" xr:uid="{00000000-0005-0000-0000-0000FF000000}"/>
    <cellStyle name="Normal 13 5" xfId="255" xr:uid="{00000000-0005-0000-0000-000000010000}"/>
    <cellStyle name="Normal 14" xfId="256" xr:uid="{00000000-0005-0000-0000-000001010000}"/>
    <cellStyle name="Normal 14 10" xfId="257" xr:uid="{00000000-0005-0000-0000-000002010000}"/>
    <cellStyle name="Normal 14 11" xfId="258" xr:uid="{00000000-0005-0000-0000-000003010000}"/>
    <cellStyle name="Normal 14 12" xfId="259" xr:uid="{00000000-0005-0000-0000-000004010000}"/>
    <cellStyle name="Normal 14 2" xfId="260" xr:uid="{00000000-0005-0000-0000-000005010000}"/>
    <cellStyle name="Normal 14 3" xfId="261" xr:uid="{00000000-0005-0000-0000-000006010000}"/>
    <cellStyle name="Normal 14 4" xfId="262" xr:uid="{00000000-0005-0000-0000-000007010000}"/>
    <cellStyle name="Normal 14 5" xfId="263" xr:uid="{00000000-0005-0000-0000-000008010000}"/>
    <cellStyle name="Normal 14 6" xfId="264" xr:uid="{00000000-0005-0000-0000-000009010000}"/>
    <cellStyle name="Normal 14 7" xfId="265" xr:uid="{00000000-0005-0000-0000-00000A010000}"/>
    <cellStyle name="Normal 14 8" xfId="266" xr:uid="{00000000-0005-0000-0000-00000B010000}"/>
    <cellStyle name="Normal 14 9" xfId="267" xr:uid="{00000000-0005-0000-0000-00000C010000}"/>
    <cellStyle name="Normal 15" xfId="268" xr:uid="{00000000-0005-0000-0000-00000D010000}"/>
    <cellStyle name="Normal 15 2" xfId="269" xr:uid="{00000000-0005-0000-0000-00000E010000}"/>
    <cellStyle name="Normal 16" xfId="270" xr:uid="{00000000-0005-0000-0000-00000F010000}"/>
    <cellStyle name="Normal 17" xfId="271" xr:uid="{00000000-0005-0000-0000-000010010000}"/>
    <cellStyle name="Normal 17 2" xfId="272" xr:uid="{00000000-0005-0000-0000-000011010000}"/>
    <cellStyle name="Normal 17 2 2" xfId="273" xr:uid="{00000000-0005-0000-0000-000012010000}"/>
    <cellStyle name="Normal 17 3" xfId="274" xr:uid="{00000000-0005-0000-0000-000013010000}"/>
    <cellStyle name="Normal 17 3 2" xfId="275" xr:uid="{00000000-0005-0000-0000-000014010000}"/>
    <cellStyle name="Normal 17 4" xfId="276" xr:uid="{00000000-0005-0000-0000-000015010000}"/>
    <cellStyle name="Normal 17 4 2" xfId="277" xr:uid="{00000000-0005-0000-0000-000016010000}"/>
    <cellStyle name="Normal 17 5" xfId="278" xr:uid="{00000000-0005-0000-0000-000017010000}"/>
    <cellStyle name="Normal 17 5 2" xfId="279" xr:uid="{00000000-0005-0000-0000-000018010000}"/>
    <cellStyle name="Normal 17 6" xfId="280" xr:uid="{00000000-0005-0000-0000-000019010000}"/>
    <cellStyle name="Normal 18" xfId="281" xr:uid="{00000000-0005-0000-0000-00001A010000}"/>
    <cellStyle name="Normal 18 2" xfId="282" xr:uid="{00000000-0005-0000-0000-00001B010000}"/>
    <cellStyle name="Normal 2" xfId="283" xr:uid="{00000000-0005-0000-0000-00001C010000}"/>
    <cellStyle name="Normal 2 10" xfId="284" xr:uid="{00000000-0005-0000-0000-00001D010000}"/>
    <cellStyle name="Normal 2 11" xfId="285" xr:uid="{00000000-0005-0000-0000-00001E010000}"/>
    <cellStyle name="Normal 2 12" xfId="286" xr:uid="{00000000-0005-0000-0000-00001F010000}"/>
    <cellStyle name="Normal 2 13" xfId="287" xr:uid="{00000000-0005-0000-0000-000020010000}"/>
    <cellStyle name="Normal 2 14" xfId="288" xr:uid="{00000000-0005-0000-0000-000021010000}"/>
    <cellStyle name="Normal 2 15" xfId="289" xr:uid="{00000000-0005-0000-0000-000022010000}"/>
    <cellStyle name="Normal 2 16" xfId="290" xr:uid="{00000000-0005-0000-0000-000023010000}"/>
    <cellStyle name="Normal 2 17" xfId="291" xr:uid="{00000000-0005-0000-0000-000024010000}"/>
    <cellStyle name="Normal 2 18" xfId="292" xr:uid="{00000000-0005-0000-0000-000025010000}"/>
    <cellStyle name="Normal 2 19" xfId="293" xr:uid="{00000000-0005-0000-0000-000026010000}"/>
    <cellStyle name="Normal 2 2" xfId="294" xr:uid="{00000000-0005-0000-0000-000027010000}"/>
    <cellStyle name="Normal 2 20" xfId="295" xr:uid="{00000000-0005-0000-0000-000028010000}"/>
    <cellStyle name="Normal 2 3" xfId="296" xr:uid="{00000000-0005-0000-0000-000029010000}"/>
    <cellStyle name="Normal 2 4" xfId="297" xr:uid="{00000000-0005-0000-0000-00002A010000}"/>
    <cellStyle name="Normal 2 5" xfId="298" xr:uid="{00000000-0005-0000-0000-00002B010000}"/>
    <cellStyle name="Normal 2 6" xfId="299" xr:uid="{00000000-0005-0000-0000-00002C010000}"/>
    <cellStyle name="Normal 2 7" xfId="300" xr:uid="{00000000-0005-0000-0000-00002D010000}"/>
    <cellStyle name="Normal 2 8" xfId="301" xr:uid="{00000000-0005-0000-0000-00002E010000}"/>
    <cellStyle name="Normal 2 9" xfId="302" xr:uid="{00000000-0005-0000-0000-00002F010000}"/>
    <cellStyle name="Normal 2_deposits mobilized" xfId="303" xr:uid="{00000000-0005-0000-0000-000030010000}"/>
    <cellStyle name="Normal 21" xfId="304" xr:uid="{00000000-0005-0000-0000-000031010000}"/>
    <cellStyle name="Normal 21 10" xfId="305" xr:uid="{00000000-0005-0000-0000-000032010000}"/>
    <cellStyle name="Normal 21 10 2" xfId="306" xr:uid="{00000000-0005-0000-0000-000033010000}"/>
    <cellStyle name="Normal 21 11" xfId="307" xr:uid="{00000000-0005-0000-0000-000034010000}"/>
    <cellStyle name="Normal 21 11 2" xfId="308" xr:uid="{00000000-0005-0000-0000-000035010000}"/>
    <cellStyle name="Normal 21 12" xfId="309" xr:uid="{00000000-0005-0000-0000-000036010000}"/>
    <cellStyle name="Normal 21 12 2" xfId="310" xr:uid="{00000000-0005-0000-0000-000037010000}"/>
    <cellStyle name="Normal 21 13" xfId="311" xr:uid="{00000000-0005-0000-0000-000038010000}"/>
    <cellStyle name="Normal 21 13 2" xfId="312" xr:uid="{00000000-0005-0000-0000-000039010000}"/>
    <cellStyle name="Normal 21 14" xfId="313" xr:uid="{00000000-0005-0000-0000-00003A010000}"/>
    <cellStyle name="Normal 21 14 2" xfId="314" xr:uid="{00000000-0005-0000-0000-00003B010000}"/>
    <cellStyle name="Normal 21 15" xfId="315" xr:uid="{00000000-0005-0000-0000-00003C010000}"/>
    <cellStyle name="Normal 21 15 2" xfId="316" xr:uid="{00000000-0005-0000-0000-00003D010000}"/>
    <cellStyle name="Normal 21 16" xfId="317" xr:uid="{00000000-0005-0000-0000-00003E010000}"/>
    <cellStyle name="Normal 21 16 2" xfId="318" xr:uid="{00000000-0005-0000-0000-00003F010000}"/>
    <cellStyle name="Normal 21 17" xfId="319" xr:uid="{00000000-0005-0000-0000-000040010000}"/>
    <cellStyle name="Normal 21 2" xfId="320" xr:uid="{00000000-0005-0000-0000-000041010000}"/>
    <cellStyle name="Normal 21 2 2" xfId="321" xr:uid="{00000000-0005-0000-0000-000042010000}"/>
    <cellStyle name="Normal 21 3" xfId="322" xr:uid="{00000000-0005-0000-0000-000043010000}"/>
    <cellStyle name="Normal 21 3 2" xfId="323" xr:uid="{00000000-0005-0000-0000-000044010000}"/>
    <cellStyle name="Normal 21 4" xfId="324" xr:uid="{00000000-0005-0000-0000-000045010000}"/>
    <cellStyle name="Normal 21 4 2" xfId="325" xr:uid="{00000000-0005-0000-0000-000046010000}"/>
    <cellStyle name="Normal 21 5" xfId="326" xr:uid="{00000000-0005-0000-0000-000047010000}"/>
    <cellStyle name="Normal 21 5 2" xfId="327" xr:uid="{00000000-0005-0000-0000-000048010000}"/>
    <cellStyle name="Normal 21 6" xfId="328" xr:uid="{00000000-0005-0000-0000-000049010000}"/>
    <cellStyle name="Normal 21 6 2" xfId="329" xr:uid="{00000000-0005-0000-0000-00004A010000}"/>
    <cellStyle name="Normal 21 7" xfId="330" xr:uid="{00000000-0005-0000-0000-00004B010000}"/>
    <cellStyle name="Normal 21 7 2" xfId="331" xr:uid="{00000000-0005-0000-0000-00004C010000}"/>
    <cellStyle name="Normal 21 8" xfId="332" xr:uid="{00000000-0005-0000-0000-00004D010000}"/>
    <cellStyle name="Normal 21 8 2" xfId="333" xr:uid="{00000000-0005-0000-0000-00004E010000}"/>
    <cellStyle name="Normal 21 9" xfId="334" xr:uid="{00000000-0005-0000-0000-00004F010000}"/>
    <cellStyle name="Normal 21 9 2" xfId="335" xr:uid="{00000000-0005-0000-0000-000050010000}"/>
    <cellStyle name="Normal 22" xfId="336" xr:uid="{00000000-0005-0000-0000-000051010000}"/>
    <cellStyle name="Normal 26" xfId="337" xr:uid="{00000000-0005-0000-0000-000052010000}"/>
    <cellStyle name="Normal 27" xfId="338" xr:uid="{00000000-0005-0000-0000-000053010000}"/>
    <cellStyle name="Normal 3" xfId="339" xr:uid="{00000000-0005-0000-0000-000054010000}"/>
    <cellStyle name="Normal 3 10" xfId="340" xr:uid="{00000000-0005-0000-0000-000055010000}"/>
    <cellStyle name="Normal 3 11" xfId="341" xr:uid="{00000000-0005-0000-0000-000056010000}"/>
    <cellStyle name="Normal 3 12" xfId="342" xr:uid="{00000000-0005-0000-0000-000057010000}"/>
    <cellStyle name="Normal 3 13" xfId="343" xr:uid="{00000000-0005-0000-0000-000058010000}"/>
    <cellStyle name="Normal 3 14" xfId="344" xr:uid="{00000000-0005-0000-0000-000059010000}"/>
    <cellStyle name="Normal 3 15" xfId="345" xr:uid="{00000000-0005-0000-0000-00005A010000}"/>
    <cellStyle name="Normal 3 16" xfId="346" xr:uid="{00000000-0005-0000-0000-00005B010000}"/>
    <cellStyle name="Normal 3 17" xfId="347" xr:uid="{00000000-0005-0000-0000-00005C010000}"/>
    <cellStyle name="Normal 3 18" xfId="348" xr:uid="{00000000-0005-0000-0000-00005D010000}"/>
    <cellStyle name="Normal 3 19" xfId="349" xr:uid="{00000000-0005-0000-0000-00005E010000}"/>
    <cellStyle name="Normal 3 2" xfId="350" xr:uid="{00000000-0005-0000-0000-00005F010000}"/>
    <cellStyle name="Normal 3 20" xfId="351" xr:uid="{00000000-0005-0000-0000-000060010000}"/>
    <cellStyle name="Normal 3 21" xfId="352" xr:uid="{00000000-0005-0000-0000-000061010000}"/>
    <cellStyle name="Normal 3 22" xfId="353" xr:uid="{00000000-0005-0000-0000-000062010000}"/>
    <cellStyle name="Normal 3 23" xfId="354" xr:uid="{00000000-0005-0000-0000-000063010000}"/>
    <cellStyle name="Normal 3 24" xfId="355" xr:uid="{00000000-0005-0000-0000-000064010000}"/>
    <cellStyle name="Normal 3 25" xfId="356" xr:uid="{00000000-0005-0000-0000-000065010000}"/>
    <cellStyle name="Normal 3 26" xfId="357" xr:uid="{00000000-0005-0000-0000-000066010000}"/>
    <cellStyle name="Normal 3 27" xfId="358" xr:uid="{00000000-0005-0000-0000-000067010000}"/>
    <cellStyle name="Normal 3 28" xfId="359" xr:uid="{00000000-0005-0000-0000-000068010000}"/>
    <cellStyle name="Normal 3 29" xfId="360" xr:uid="{00000000-0005-0000-0000-000069010000}"/>
    <cellStyle name="Normal 3 3" xfId="361" xr:uid="{00000000-0005-0000-0000-00006A010000}"/>
    <cellStyle name="Normal 3 30" xfId="362" xr:uid="{00000000-0005-0000-0000-00006B010000}"/>
    <cellStyle name="Normal 3 4" xfId="363" xr:uid="{00000000-0005-0000-0000-00006C010000}"/>
    <cellStyle name="Normal 3 5" xfId="364" xr:uid="{00000000-0005-0000-0000-00006D010000}"/>
    <cellStyle name="Normal 3 6" xfId="365" xr:uid="{00000000-0005-0000-0000-00006E010000}"/>
    <cellStyle name="Normal 3 7" xfId="366" xr:uid="{00000000-0005-0000-0000-00006F010000}"/>
    <cellStyle name="Normal 3 8" xfId="367" xr:uid="{00000000-0005-0000-0000-000070010000}"/>
    <cellStyle name="Normal 3 9" xfId="368" xr:uid="{00000000-0005-0000-0000-000071010000}"/>
    <cellStyle name="Normal 3_deposits mobilized" xfId="369" xr:uid="{00000000-0005-0000-0000-000072010000}"/>
    <cellStyle name="Normal 4" xfId="370" xr:uid="{00000000-0005-0000-0000-000073010000}"/>
    <cellStyle name="Normal 4 10" xfId="371" xr:uid="{00000000-0005-0000-0000-000074010000}"/>
    <cellStyle name="Normal 4 11" xfId="372" xr:uid="{00000000-0005-0000-0000-000075010000}"/>
    <cellStyle name="Normal 4 12" xfId="373" xr:uid="{00000000-0005-0000-0000-000076010000}"/>
    <cellStyle name="Normal 4 13" xfId="374" xr:uid="{00000000-0005-0000-0000-000077010000}"/>
    <cellStyle name="Normal 4 14" xfId="375" xr:uid="{00000000-0005-0000-0000-000078010000}"/>
    <cellStyle name="Normal 4 15" xfId="376" xr:uid="{00000000-0005-0000-0000-000079010000}"/>
    <cellStyle name="Normal 4 16" xfId="377" xr:uid="{00000000-0005-0000-0000-00007A010000}"/>
    <cellStyle name="Normal 4 17" xfId="378" xr:uid="{00000000-0005-0000-0000-00007B010000}"/>
    <cellStyle name="Normal 4 18" xfId="379" xr:uid="{00000000-0005-0000-0000-00007C010000}"/>
    <cellStyle name="Normal 4 19" xfId="380" xr:uid="{00000000-0005-0000-0000-00007D010000}"/>
    <cellStyle name="Normal 4 2" xfId="381" xr:uid="{00000000-0005-0000-0000-00007E010000}"/>
    <cellStyle name="Normal 4 20" xfId="382" xr:uid="{00000000-0005-0000-0000-00007F010000}"/>
    <cellStyle name="Normal 4 21" xfId="383" xr:uid="{00000000-0005-0000-0000-000080010000}"/>
    <cellStyle name="Normal 4 22" xfId="384" xr:uid="{00000000-0005-0000-0000-000081010000}"/>
    <cellStyle name="Normal 4 23" xfId="385" xr:uid="{00000000-0005-0000-0000-000082010000}"/>
    <cellStyle name="Normal 4 24" xfId="386" xr:uid="{00000000-0005-0000-0000-000083010000}"/>
    <cellStyle name="Normal 4 25" xfId="387" xr:uid="{00000000-0005-0000-0000-000084010000}"/>
    <cellStyle name="Normal 4 26" xfId="388" xr:uid="{00000000-0005-0000-0000-000085010000}"/>
    <cellStyle name="Normal 4 27" xfId="389" xr:uid="{00000000-0005-0000-0000-000086010000}"/>
    <cellStyle name="Normal 4 28" xfId="390" xr:uid="{00000000-0005-0000-0000-000087010000}"/>
    <cellStyle name="Normal 4 29" xfId="391" xr:uid="{00000000-0005-0000-0000-000088010000}"/>
    <cellStyle name="Normal 4 3" xfId="392" xr:uid="{00000000-0005-0000-0000-000089010000}"/>
    <cellStyle name="Normal 4 30" xfId="393" xr:uid="{00000000-0005-0000-0000-00008A010000}"/>
    <cellStyle name="Normal 4 4" xfId="394" xr:uid="{00000000-0005-0000-0000-00008B010000}"/>
    <cellStyle name="Normal 4 5" xfId="395" xr:uid="{00000000-0005-0000-0000-00008C010000}"/>
    <cellStyle name="Normal 4 6" xfId="396" xr:uid="{00000000-0005-0000-0000-00008D010000}"/>
    <cellStyle name="Normal 4 7" xfId="397" xr:uid="{00000000-0005-0000-0000-00008E010000}"/>
    <cellStyle name="Normal 4 8" xfId="398" xr:uid="{00000000-0005-0000-0000-00008F010000}"/>
    <cellStyle name="Normal 4 9" xfId="399" xr:uid="{00000000-0005-0000-0000-000090010000}"/>
    <cellStyle name="Normal 5" xfId="400" xr:uid="{00000000-0005-0000-0000-000091010000}"/>
    <cellStyle name="Normal 5 10" xfId="401" xr:uid="{00000000-0005-0000-0000-000092010000}"/>
    <cellStyle name="Normal 5 11" xfId="402" xr:uid="{00000000-0005-0000-0000-000093010000}"/>
    <cellStyle name="Normal 5 12" xfId="403" xr:uid="{00000000-0005-0000-0000-000094010000}"/>
    <cellStyle name="Normal 5 13" xfId="404" xr:uid="{00000000-0005-0000-0000-000095010000}"/>
    <cellStyle name="Normal 5 14" xfId="405" xr:uid="{00000000-0005-0000-0000-000096010000}"/>
    <cellStyle name="Normal 5 15" xfId="406" xr:uid="{00000000-0005-0000-0000-000097010000}"/>
    <cellStyle name="Normal 5 2" xfId="407" xr:uid="{00000000-0005-0000-0000-000098010000}"/>
    <cellStyle name="Normal 5 3" xfId="408" xr:uid="{00000000-0005-0000-0000-000099010000}"/>
    <cellStyle name="Normal 5 4" xfId="409" xr:uid="{00000000-0005-0000-0000-00009A010000}"/>
    <cellStyle name="Normal 5 5" xfId="410" xr:uid="{00000000-0005-0000-0000-00009B010000}"/>
    <cellStyle name="Normal 5 6" xfId="411" xr:uid="{00000000-0005-0000-0000-00009C010000}"/>
    <cellStyle name="Normal 5 7" xfId="412" xr:uid="{00000000-0005-0000-0000-00009D010000}"/>
    <cellStyle name="Normal 5 8" xfId="413" xr:uid="{00000000-0005-0000-0000-00009E010000}"/>
    <cellStyle name="Normal 5 9" xfId="414" xr:uid="{00000000-0005-0000-0000-00009F010000}"/>
    <cellStyle name="Normal 6" xfId="415" xr:uid="{00000000-0005-0000-0000-0000A0010000}"/>
    <cellStyle name="Normal 6 2" xfId="416" xr:uid="{00000000-0005-0000-0000-0000A1010000}"/>
    <cellStyle name="Normal 6 3" xfId="417" xr:uid="{00000000-0005-0000-0000-0000A2010000}"/>
    <cellStyle name="Normal 6 4" xfId="418" xr:uid="{00000000-0005-0000-0000-0000A3010000}"/>
    <cellStyle name="Normal 6 5" xfId="419" xr:uid="{00000000-0005-0000-0000-0000A4010000}"/>
    <cellStyle name="Normal 7" xfId="420" xr:uid="{00000000-0005-0000-0000-0000A5010000}"/>
    <cellStyle name="Normal 7 2" xfId="421" xr:uid="{00000000-0005-0000-0000-0000A6010000}"/>
    <cellStyle name="Normal 7 3" xfId="422" xr:uid="{00000000-0005-0000-0000-0000A7010000}"/>
    <cellStyle name="Normal 7 4" xfId="423" xr:uid="{00000000-0005-0000-0000-0000A8010000}"/>
    <cellStyle name="Normal 7 5" xfId="424" xr:uid="{00000000-0005-0000-0000-0000A9010000}"/>
    <cellStyle name="Normal 8" xfId="425" xr:uid="{00000000-0005-0000-0000-0000AA010000}"/>
    <cellStyle name="Normal 9" xfId="426" xr:uid="{00000000-0005-0000-0000-0000AB010000}"/>
    <cellStyle name="Normal 9 10" xfId="427" xr:uid="{00000000-0005-0000-0000-0000AC010000}"/>
    <cellStyle name="Normal 9 11" xfId="428" xr:uid="{00000000-0005-0000-0000-0000AD010000}"/>
    <cellStyle name="Normal 9 12" xfId="429" xr:uid="{00000000-0005-0000-0000-0000AE010000}"/>
    <cellStyle name="Normal 9 13" xfId="430" xr:uid="{00000000-0005-0000-0000-0000AF010000}"/>
    <cellStyle name="Normal 9 14" xfId="431" xr:uid="{00000000-0005-0000-0000-0000B0010000}"/>
    <cellStyle name="Normal 9 2" xfId="432" xr:uid="{00000000-0005-0000-0000-0000B1010000}"/>
    <cellStyle name="Normal 9 2 2" xfId="433" xr:uid="{00000000-0005-0000-0000-0000B2010000}"/>
    <cellStyle name="Normal 9 2 3" xfId="434" xr:uid="{00000000-0005-0000-0000-0000B3010000}"/>
    <cellStyle name="Normal 9 2 4" xfId="435" xr:uid="{00000000-0005-0000-0000-0000B4010000}"/>
    <cellStyle name="Normal 9 3" xfId="436" xr:uid="{00000000-0005-0000-0000-0000B5010000}"/>
    <cellStyle name="Normal 9 4" xfId="437" xr:uid="{00000000-0005-0000-0000-0000B6010000}"/>
    <cellStyle name="Normal 9 5" xfId="438" xr:uid="{00000000-0005-0000-0000-0000B7010000}"/>
    <cellStyle name="Normal 9 6" xfId="439" xr:uid="{00000000-0005-0000-0000-0000B8010000}"/>
    <cellStyle name="Normal 9 7" xfId="440" xr:uid="{00000000-0005-0000-0000-0000B9010000}"/>
    <cellStyle name="Normal 9 8" xfId="441" xr:uid="{00000000-0005-0000-0000-0000BA010000}"/>
    <cellStyle name="Normal 9 9" xfId="442" xr:uid="{00000000-0005-0000-0000-0000BB010000}"/>
    <cellStyle name="Note 2" xfId="443" xr:uid="{00000000-0005-0000-0000-0000BC010000}"/>
    <cellStyle name="Percent" xfId="444" builtinId="5"/>
    <cellStyle name="Percent 2" xfId="445" xr:uid="{00000000-0005-0000-0000-0000BE010000}"/>
    <cellStyle name="Percent 3" xfId="446" xr:uid="{00000000-0005-0000-0000-0000BF010000}"/>
    <cellStyle name="Total 2" xfId="447" xr:uid="{00000000-0005-0000-0000-0000C0010000}"/>
    <cellStyle name="Total 2 2" xfId="448" xr:uid="{00000000-0005-0000-0000-0000C1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kwamboka/Downloads/Copy%20of%20Draft%20audited%20accounts%202020-Patnas%20draft%20accou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IGN POL"/>
      <sheetName val="NOTES"/>
      <sheetName val="Sheet3"/>
      <sheetName val="OPENING BALANCE"/>
      <sheetName val="Draft accounts 2020"/>
      <sheetName val="ppe 2020"/>
      <sheetName val="insider lending Loans "/>
      <sheetName val="Insider Lending Advces"/>
      <sheetName val="cover"/>
      <sheetName val="equity 2020"/>
      <sheetName val="Sheet1"/>
    </sheetNames>
    <sheetDataSet>
      <sheetData sheetId="0"/>
      <sheetData sheetId="1"/>
      <sheetData sheetId="2"/>
      <sheetData sheetId="3"/>
      <sheetData sheetId="4"/>
      <sheetData sheetId="5">
        <row r="666">
          <cell r="D666">
            <v>12623076.199999999</v>
          </cell>
        </row>
        <row r="672">
          <cell r="D672">
            <v>81167284.710000008</v>
          </cell>
        </row>
        <row r="744">
          <cell r="D744">
            <v>44279559.790000007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160985@2.29%20shares%20Cooperative%20Insurance%20Co.." TargetMode="External"/><Relationship Id="rId2" Type="http://schemas.openxmlformats.org/officeDocument/2006/relationships/hyperlink" Target="mailto:1406@2%20shares%20Kenya%20Airways" TargetMode="External"/><Relationship Id="rId1" Type="http://schemas.openxmlformats.org/officeDocument/2006/relationships/hyperlink" Target="mailto:1011.25@45%20shares%20in%20KCB" TargetMode="External"/><Relationship Id="rId5" Type="http://schemas.openxmlformats.org/officeDocument/2006/relationships/hyperlink" Target="mailto:250@50%20Shares%20in%20NACCHU%20Ltd." TargetMode="External"/><Relationship Id="rId4" Type="http://schemas.openxmlformats.org/officeDocument/2006/relationships/hyperlink" Target="mailto:510@100%20Shares%20KUSCCO%20Ltd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1"/>
  <sheetViews>
    <sheetView zoomScaleNormal="100" workbookViewId="0">
      <pane xSplit="3" ySplit="2" topLeftCell="CH3" activePane="bottomRight" state="frozen"/>
      <selection pane="topRight" activeCell="D1" sqref="D1"/>
      <selection pane="bottomLeft" activeCell="A3" sqref="A3"/>
      <selection pane="bottomRight" activeCell="CW6" sqref="CW6"/>
    </sheetView>
  </sheetViews>
  <sheetFormatPr defaultColWidth="9.109375" defaultRowHeight="13.8" x14ac:dyDescent="0.3"/>
  <cols>
    <col min="1" max="1" width="24.6640625" style="52" customWidth="1"/>
    <col min="2" max="2" width="16" style="52" customWidth="1"/>
    <col min="3" max="3" width="8.6640625" style="52" customWidth="1"/>
    <col min="4" max="4" width="9.6640625" style="52" hidden="1" customWidth="1"/>
    <col min="5" max="5" width="13.44140625" style="52" hidden="1" customWidth="1"/>
    <col min="6" max="6" width="11.6640625" style="52" hidden="1" customWidth="1"/>
    <col min="7" max="7" width="6.5546875" style="52" hidden="1" customWidth="1"/>
    <col min="8" max="8" width="7" style="52" hidden="1" customWidth="1"/>
    <col min="9" max="9" width="7.6640625" style="52" hidden="1" customWidth="1"/>
    <col min="10" max="10" width="7.33203125" style="52" hidden="1" customWidth="1"/>
    <col min="11" max="11" width="8" style="52" hidden="1" customWidth="1"/>
    <col min="12" max="12" width="7.33203125" style="52" hidden="1" customWidth="1"/>
    <col min="13" max="13" width="7.6640625" style="52" hidden="1" customWidth="1"/>
    <col min="14" max="14" width="6.88671875" style="52" hidden="1" customWidth="1"/>
    <col min="15" max="15" width="8" style="52" hidden="1" customWidth="1"/>
    <col min="16" max="16" width="6.88671875" style="52" hidden="1" customWidth="1"/>
    <col min="17" max="19" width="8" style="52" hidden="1" customWidth="1"/>
    <col min="20" max="20" width="12.5546875" style="52" hidden="1" customWidth="1"/>
    <col min="21" max="21" width="11.33203125" style="52" hidden="1" customWidth="1"/>
    <col min="22" max="32" width="0" style="52" hidden="1" customWidth="1"/>
    <col min="33" max="33" width="8.33203125" style="52" bestFit="1" customWidth="1"/>
    <col min="34" max="34" width="0.109375" style="52" customWidth="1"/>
    <col min="35" max="35" width="8" style="52" hidden="1" customWidth="1"/>
    <col min="36" max="36" width="8.109375" style="52" hidden="1" customWidth="1"/>
    <col min="37" max="37" width="7.6640625" style="52" hidden="1" customWidth="1"/>
    <col min="38" max="38" width="8.44140625" style="52" hidden="1" customWidth="1"/>
    <col min="39" max="39" width="7.5546875" style="52" hidden="1" customWidth="1"/>
    <col min="40" max="40" width="7.33203125" style="52" hidden="1" customWidth="1"/>
    <col min="41" max="41" width="8" style="52" hidden="1" customWidth="1"/>
    <col min="42" max="42" width="8.109375" style="52" hidden="1" customWidth="1"/>
    <col min="43" max="45" width="8.44140625" style="52" hidden="1" customWidth="1"/>
    <col min="46" max="46" width="8.33203125" style="52" hidden="1" customWidth="1"/>
    <col min="47" max="47" width="8.44140625" style="52" hidden="1" customWidth="1"/>
    <col min="48" max="48" width="8" style="52" hidden="1" customWidth="1"/>
    <col min="49" max="49" width="8.109375" style="52" hidden="1" customWidth="1"/>
    <col min="50" max="50" width="7.6640625" style="52" hidden="1" customWidth="1"/>
    <col min="51" max="52" width="8.44140625" style="52" hidden="1" customWidth="1"/>
    <col min="53" max="58" width="8.44140625" style="52" bestFit="1" customWidth="1"/>
    <col min="59" max="59" width="8.33203125" style="52" bestFit="1" customWidth="1"/>
    <col min="60" max="60" width="0.109375" style="52" customWidth="1"/>
    <col min="61" max="65" width="8.44140625" style="52" hidden="1" customWidth="1"/>
    <col min="66" max="66" width="8" style="52" hidden="1" customWidth="1"/>
    <col min="67" max="70" width="8.44140625" style="52" hidden="1" customWidth="1"/>
    <col min="71" max="71" width="8.44140625" style="52" bestFit="1" customWidth="1"/>
    <col min="72" max="72" width="13.33203125" style="52" customWidth="1"/>
    <col min="73" max="82" width="9.109375" style="52" hidden="1" customWidth="1"/>
    <col min="83" max="83" width="8.6640625" style="52" hidden="1" customWidth="1"/>
    <col min="84" max="84" width="12.88671875" style="52" hidden="1" customWidth="1"/>
    <col min="85" max="85" width="13.33203125" style="52" customWidth="1"/>
    <col min="86" max="97" width="9.109375" style="52"/>
    <col min="98" max="98" width="13.5546875" style="52" bestFit="1" customWidth="1"/>
    <col min="99" max="16384" width="9.109375" style="52"/>
  </cols>
  <sheetData>
    <row r="1" spans="1:102" ht="16.2" thickBot="1" x14ac:dyDescent="0.35">
      <c r="A1" s="231" t="s">
        <v>0</v>
      </c>
      <c r="B1" s="231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</row>
    <row r="2" spans="1:102" ht="30" x14ac:dyDescent="0.3">
      <c r="A2" s="186"/>
      <c r="B2" s="187"/>
      <c r="C2" s="187"/>
      <c r="D2" s="211" t="s">
        <v>1</v>
      </c>
      <c r="E2" s="211" t="s">
        <v>2</v>
      </c>
      <c r="F2" s="211" t="s">
        <v>3</v>
      </c>
      <c r="G2" s="211">
        <v>42370</v>
      </c>
      <c r="H2" s="211">
        <v>42370</v>
      </c>
      <c r="I2" s="211">
        <v>42401</v>
      </c>
      <c r="J2" s="211">
        <v>42430</v>
      </c>
      <c r="K2" s="211">
        <v>42461</v>
      </c>
      <c r="L2" s="211">
        <v>42491</v>
      </c>
      <c r="M2" s="211">
        <v>42522</v>
      </c>
      <c r="N2" s="211">
        <v>42552</v>
      </c>
      <c r="O2" s="211">
        <v>42583</v>
      </c>
      <c r="P2" s="211">
        <v>42614</v>
      </c>
      <c r="Q2" s="211">
        <v>42644</v>
      </c>
      <c r="R2" s="211">
        <v>42675</v>
      </c>
      <c r="S2" s="211">
        <v>42705</v>
      </c>
      <c r="T2" s="211" t="s">
        <v>4</v>
      </c>
      <c r="U2" s="212">
        <v>42736</v>
      </c>
      <c r="V2" s="212">
        <v>42767</v>
      </c>
      <c r="W2" s="212">
        <v>42795</v>
      </c>
      <c r="X2" s="212">
        <v>42826</v>
      </c>
      <c r="Y2" s="212">
        <v>42856</v>
      </c>
      <c r="Z2" s="212">
        <v>42887</v>
      </c>
      <c r="AA2" s="212">
        <v>42917</v>
      </c>
      <c r="AB2" s="212">
        <v>42948</v>
      </c>
      <c r="AC2" s="212">
        <v>42979</v>
      </c>
      <c r="AD2" s="212">
        <v>43009</v>
      </c>
      <c r="AE2" s="212">
        <v>43040</v>
      </c>
      <c r="AF2" s="212">
        <v>43070</v>
      </c>
      <c r="AG2" s="212" t="s">
        <v>5</v>
      </c>
      <c r="AH2" s="212">
        <v>43101</v>
      </c>
      <c r="AI2" s="212">
        <v>43132</v>
      </c>
      <c r="AJ2" s="212">
        <v>43160</v>
      </c>
      <c r="AK2" s="212">
        <v>43191</v>
      </c>
      <c r="AL2" s="212">
        <v>43221</v>
      </c>
      <c r="AM2" s="212">
        <v>43252</v>
      </c>
      <c r="AN2" s="212">
        <v>43282</v>
      </c>
      <c r="AO2" s="212">
        <v>43313</v>
      </c>
      <c r="AP2" s="212">
        <v>43344</v>
      </c>
      <c r="AQ2" s="212">
        <v>43374</v>
      </c>
      <c r="AR2" s="212">
        <v>43405</v>
      </c>
      <c r="AS2" s="212">
        <v>43435</v>
      </c>
      <c r="AT2" s="212" t="s">
        <v>6</v>
      </c>
      <c r="AU2" s="212">
        <v>43466</v>
      </c>
      <c r="AV2" s="212">
        <v>43497</v>
      </c>
      <c r="AW2" s="212">
        <v>43525</v>
      </c>
      <c r="AX2" s="212">
        <v>43556</v>
      </c>
      <c r="AY2" s="212">
        <v>43586</v>
      </c>
      <c r="AZ2" s="212">
        <v>43617</v>
      </c>
      <c r="BA2" s="212">
        <v>43647</v>
      </c>
      <c r="BB2" s="212">
        <v>43678</v>
      </c>
      <c r="BC2" s="212">
        <v>43709</v>
      </c>
      <c r="BD2" s="212">
        <v>43739</v>
      </c>
      <c r="BE2" s="212">
        <v>43770</v>
      </c>
      <c r="BF2" s="212">
        <v>43800</v>
      </c>
      <c r="BG2" s="212" t="s">
        <v>7</v>
      </c>
      <c r="BH2" s="199">
        <v>43831</v>
      </c>
      <c r="BI2" s="199">
        <v>43862</v>
      </c>
      <c r="BJ2" s="199">
        <v>43891</v>
      </c>
      <c r="BK2" s="199">
        <v>43922</v>
      </c>
      <c r="BL2" s="199">
        <v>43952</v>
      </c>
      <c r="BM2" s="199">
        <v>43983</v>
      </c>
      <c r="BN2" s="199">
        <v>44013</v>
      </c>
      <c r="BO2" s="199">
        <v>44044</v>
      </c>
      <c r="BP2" s="199">
        <v>44075</v>
      </c>
      <c r="BQ2" s="199">
        <v>44105</v>
      </c>
      <c r="BR2" s="199">
        <v>44136</v>
      </c>
      <c r="BS2" s="199">
        <v>44166</v>
      </c>
      <c r="BT2" s="199" t="s">
        <v>8</v>
      </c>
      <c r="BU2" s="199">
        <v>44197</v>
      </c>
      <c r="BV2" s="199">
        <v>44228</v>
      </c>
      <c r="BW2" s="199">
        <v>44256</v>
      </c>
      <c r="BX2" s="199">
        <v>44287</v>
      </c>
      <c r="BY2" s="199">
        <v>44317</v>
      </c>
      <c r="BZ2" s="199">
        <v>44348</v>
      </c>
      <c r="CA2" s="199">
        <v>44378</v>
      </c>
      <c r="CB2" s="199">
        <v>44409</v>
      </c>
      <c r="CC2" s="199">
        <v>44440</v>
      </c>
      <c r="CD2" s="199">
        <v>44470</v>
      </c>
      <c r="CE2" s="199">
        <v>44501</v>
      </c>
      <c r="CF2" s="199">
        <v>44531</v>
      </c>
      <c r="CG2" s="199" t="s">
        <v>9</v>
      </c>
      <c r="CH2" s="199">
        <v>44562</v>
      </c>
      <c r="CI2" s="199">
        <v>44593</v>
      </c>
      <c r="CJ2" s="199">
        <v>44621</v>
      </c>
      <c r="CK2" s="199">
        <v>44652</v>
      </c>
      <c r="CL2" s="199">
        <v>44682</v>
      </c>
      <c r="CM2" s="199">
        <v>44713</v>
      </c>
      <c r="CN2" s="199">
        <v>44743</v>
      </c>
      <c r="CO2" s="199">
        <v>44774</v>
      </c>
      <c r="CP2" s="199">
        <v>44805</v>
      </c>
      <c r="CQ2" s="199">
        <v>44835</v>
      </c>
      <c r="CR2" s="199">
        <v>44866</v>
      </c>
      <c r="CS2" s="199">
        <v>44896</v>
      </c>
      <c r="CT2" s="199" t="s">
        <v>10</v>
      </c>
      <c r="CU2" s="199">
        <v>44927</v>
      </c>
      <c r="CV2" s="199">
        <v>44958</v>
      </c>
      <c r="CW2" s="199">
        <v>44986</v>
      </c>
      <c r="CX2" s="199">
        <v>45017</v>
      </c>
    </row>
    <row r="3" spans="1:102" ht="30" x14ac:dyDescent="0.3">
      <c r="A3" s="232" t="s">
        <v>11</v>
      </c>
      <c r="B3" s="200" t="s">
        <v>12</v>
      </c>
      <c r="C3" s="201" t="s">
        <v>13</v>
      </c>
      <c r="D3" s="202">
        <f>(('Evolutive SFP'!B38+'Evolutive SFP'!B39+'Evolutive SFP'!B41+'Evolutive SFP'!B42+'Evolutive SFP'!B43+'Evolutive SFP'!B44)-'Evolutive SFP'!B12)/1000000</f>
        <v>38.667178280000002</v>
      </c>
      <c r="E3" s="202">
        <f>('Evolutive SFP'!C38+'Evolutive SFP'!C39+'Evolutive SFP'!C41+'Evolutive SFP'!C42+'Evolutive SFP'!C43+'Evolutive SFP'!C44)/1000000</f>
        <v>64.157782749999996</v>
      </c>
      <c r="F3" s="202"/>
      <c r="G3" s="202">
        <f>('Evolutive SFP'!E38+'Evolutive SFP'!E39+'Evolutive SFP'!E41+'Evolutive SFP'!E42+'Evolutive SFP'!E43+'Evolutive SFP'!E44)/1000000</f>
        <v>63.857154549999997</v>
      </c>
      <c r="H3" s="202">
        <f>('Evolutive SFP'!F38+'Evolutive SFP'!F39+'Evolutive SFP'!F41+'Evolutive SFP'!F42+'Evolutive SFP'!F43+'Evolutive SFP'!F44)/1000000</f>
        <v>65.035173299999997</v>
      </c>
      <c r="I3" s="202">
        <f>('Evolutive SFP'!G38+'Evolutive SFP'!G39+'Evolutive SFP'!G41+'Evolutive SFP'!G42+'Evolutive SFP'!G43+'Evolutive SFP'!G44)/1000000</f>
        <v>61.475773600000004</v>
      </c>
      <c r="J3" s="202">
        <f>('Evolutive SFP'!H38+'Evolutive SFP'!H39+'Evolutive SFP'!H41+'Evolutive SFP'!H42+'Evolutive SFP'!H43+'Evolutive SFP'!H44)/1000000</f>
        <v>61.650703499999999</v>
      </c>
      <c r="K3" s="202">
        <f>('Evolutive SFP'!I38+'Evolutive SFP'!I39+'Evolutive SFP'!I41+'Evolutive SFP'!I42+'Evolutive SFP'!I43+'Evolutive SFP'!I44)/1000000</f>
        <v>115.2410496</v>
      </c>
      <c r="L3" s="202">
        <f>('Evolutive SFP'!J38+'Evolutive SFP'!J39+'Evolutive SFP'!J41+'Evolutive SFP'!J42+'Evolutive SFP'!J43+'Evolutive SFP'!J44)/1000000</f>
        <v>59.101828500000003</v>
      </c>
      <c r="M3" s="202">
        <f>('Evolutive SFP'!K38+'Evolutive SFP'!K39+'Evolutive SFP'!K41+'Evolutive SFP'!K42+'Evolutive SFP'!K43+'Evolutive SFP'!K44)/1000000</f>
        <v>56.103922820000001</v>
      </c>
      <c r="N3" s="202">
        <f>('Evolutive SFP'!L38+'Evolutive SFP'!L39+'Evolutive SFP'!L41+'Evolutive SFP'!L42+'Evolutive SFP'!L43+'Evolutive SFP'!L44)/1000000</f>
        <v>64.761451800000003</v>
      </c>
      <c r="O3" s="202">
        <f>('Evolutive SFP'!M38+'Evolutive SFP'!M39+'Evolutive SFP'!M41+'Evolutive SFP'!M42+'Evolutive SFP'!M43+'Evolutive SFP'!M44)/1000000</f>
        <v>64.42800170000001</v>
      </c>
      <c r="P3" s="202">
        <f>('Evolutive SFP'!N38+'Evolutive SFP'!N39+'Evolutive SFP'!N41+'Evolutive SFP'!N42+'Evolutive SFP'!N43+'Evolutive SFP'!N44)/1000000</f>
        <v>60.024552799999995</v>
      </c>
      <c r="Q3" s="202">
        <f>('Evolutive SFP'!O38+'Evolutive SFP'!O39+'Evolutive SFP'!O41+'Evolutive SFP'!O42+'Evolutive SFP'!O43+'Evolutive SFP'!O44)/1000000</f>
        <v>69.071058199999996</v>
      </c>
      <c r="R3" s="202">
        <f>('Evolutive SFP'!P38+'Evolutive SFP'!P39+'Evolutive SFP'!P41+'Evolutive SFP'!P42+'Evolutive SFP'!P43+'Evolutive SFP'!P44)/1000000</f>
        <v>141.05220580000002</v>
      </c>
      <c r="S3" s="202">
        <f>('Evolutive SFP'!Q38+'Evolutive SFP'!Q39+'Evolutive SFP'!Q41+'Evolutive SFP'!Q42+'Evolutive SFP'!Q43+'Evolutive SFP'!Q44)/1000000</f>
        <v>70.256297340000003</v>
      </c>
      <c r="T3" s="202">
        <f>('Evolutive SFP'!R38+'Evolutive SFP'!R39+'Evolutive SFP'!R41+'Evolutive SFP'!R42+'Evolutive SFP'!R43+'Evolutive SFP'!R44)/1000000</f>
        <v>50.289067340000003</v>
      </c>
      <c r="U3" s="202">
        <f>('Evolutive SFP'!S38+'Evolutive SFP'!S39+'Evolutive SFP'!S41+'Evolutive SFP'!S42+'Evolutive SFP'!S43+'Evolutive SFP'!S44)/1000000</f>
        <v>134.57112148000002</v>
      </c>
      <c r="V3" s="202">
        <f>('Evolutive SFP'!T38+'Evolutive SFP'!T39+'Evolutive SFP'!T41+'Evolutive SFP'!T42+'Evolutive SFP'!T43+'Evolutive SFP'!T44)/1000000</f>
        <v>65.159251339999997</v>
      </c>
      <c r="W3" s="202">
        <f>('Evolutive SFP'!U38+'Evolutive SFP'!U39+'Evolutive SFP'!U41+'Evolutive SFP'!U42+'Evolutive SFP'!U43+'Evolutive SFP'!U44)/1000000</f>
        <v>49.128744640000001</v>
      </c>
      <c r="X3" s="202">
        <f>('Evolutive SFP'!V38+'Evolutive SFP'!V39+'Evolutive SFP'!V41+'Evolutive SFP'!V42+'Evolutive SFP'!V43+'Evolutive SFP'!V44)/1000000</f>
        <v>48.916336940000001</v>
      </c>
      <c r="Y3" s="202">
        <f>('Evolutive SFP'!W38+'Evolutive SFP'!W39+'Evolutive SFP'!W41+'Evolutive SFP'!W42+'Evolutive SFP'!W43+'Evolutive SFP'!W44)/1000000</f>
        <v>48.916336940000001</v>
      </c>
      <c r="Z3" s="202">
        <f>('Evolutive SFP'!X38+'Evolutive SFP'!X39+'Evolutive SFP'!X41+'Evolutive SFP'!X42+'Evolutive SFP'!X43+'Evolutive SFP'!X44)/1000000</f>
        <v>51.377447240000002</v>
      </c>
      <c r="AA3" s="202">
        <f>('Evolutive SFP'!Y38+'Evolutive SFP'!Y39+'Evolutive SFP'!Y41+'Evolutive SFP'!Y42+'Evolutive SFP'!Y43+'Evolutive SFP'!Y44)/1000000</f>
        <v>133.21587293999997</v>
      </c>
      <c r="AB3" s="202">
        <f>('Evolutive SFP'!Z38+'Evolutive SFP'!Z39+'Evolutive SFP'!Z41+'Evolutive SFP'!Z42+'Evolutive SFP'!Z43+'Evolutive SFP'!Z44)/1000000</f>
        <v>97.714886879999995</v>
      </c>
      <c r="AC3" s="202">
        <f>('Evolutive SFP'!AA38+'Evolutive SFP'!AA39+'Evolutive SFP'!AA41+'Evolutive SFP'!AA42+'Evolutive SFP'!AA43+'Evolutive SFP'!AA44)/1000000</f>
        <v>240.18765919999998</v>
      </c>
      <c r="AD3" s="202">
        <f>('Evolutive SFP'!AB38+'Evolutive SFP'!AB39+'Evolutive SFP'!AB41+'Evolutive SFP'!AB42+'Evolutive SFP'!AB43+'Evolutive SFP'!AB44)/1000000</f>
        <v>127.27192648</v>
      </c>
      <c r="AE3" s="202">
        <f>('Evolutive SFP'!AC38+'Evolutive SFP'!AC39+'Evolutive SFP'!AC41+'Evolutive SFP'!AC42+'Evolutive SFP'!AC43+'Evolutive SFP'!AC44)/1000000</f>
        <v>188.75040233999999</v>
      </c>
      <c r="AF3" s="202">
        <f>('Evolutive SFP'!AD38+'Evolutive SFP'!AD39+'Evolutive SFP'!AD41+'Evolutive SFP'!AD42+'Evolutive SFP'!AD43+'Evolutive SFP'!AD44)/1000000</f>
        <v>70.87796634</v>
      </c>
      <c r="AG3" s="202">
        <f>('Evolutive SFP'!AE38+'Evolutive SFP'!AE39+'Evolutive SFP'!AE41+'Evolutive SFP'!AE42+'Evolutive SFP'!AE43+'Evolutive SFP'!AE44)/1000000</f>
        <v>70.264643140000004</v>
      </c>
      <c r="AH3" s="202">
        <f>('Evolutive SFP'!AF38+'Evolutive SFP'!AF39+'Evolutive SFP'!AF41+'Evolutive SFP'!AF42+'Evolutive SFP'!AF43+'Evolutive SFP'!AF44)/1000000</f>
        <v>64.994662140000003</v>
      </c>
      <c r="AI3" s="202">
        <f>('Evolutive SFP'!AG38+'Evolutive SFP'!AG39+'Evolutive SFP'!AG41+'Evolutive SFP'!AG42+'Evolutive SFP'!AG43+'Evolutive SFP'!AG44)/1000000</f>
        <v>74.507237740000008</v>
      </c>
      <c r="AJ3" s="202">
        <f>('Evolutive SFP'!AH38+'Evolutive SFP'!AH39+'Evolutive SFP'!AH41+'Evolutive SFP'!AH42+'Evolutive SFP'!AH43+'Evolutive SFP'!AH44)/1000000</f>
        <v>70.273904270000017</v>
      </c>
      <c r="AK3" s="202">
        <f>('Evolutive SFP'!AI38+'Evolutive SFP'!AI39+'Evolutive SFP'!AI41+'Evolutive SFP'!AI42+'Evolutive SFP'!AI43+'Evolutive SFP'!AI44)/1000000</f>
        <v>64.470570940000002</v>
      </c>
      <c r="AL3" s="202">
        <f>('Evolutive SFP'!AJ38+'Evolutive SFP'!AJ39+'Evolutive SFP'!AJ41+'Evolutive SFP'!AJ42+'Evolutive SFP'!AJ43+'Evolutive SFP'!AJ44)/1000000</f>
        <v>64.285634420000008</v>
      </c>
      <c r="AM3" s="202">
        <f>('Evolutive SFP'!AK38+'Evolutive SFP'!AK39+'Evolutive SFP'!AK41+'Evolutive SFP'!AK42+'Evolutive SFP'!AK43+'Evolutive SFP'!AK44)/1000000</f>
        <v>81.501570700000002</v>
      </c>
      <c r="AN3" s="202">
        <f>('Evolutive SFP'!AL38+'Evolutive SFP'!AL39+'Evolutive SFP'!AL41+'Evolutive SFP'!AL42+'Evolutive SFP'!AL43+'Evolutive SFP'!AL44)/1000000</f>
        <v>92.263913579999993</v>
      </c>
      <c r="AO3" s="202">
        <f>('Evolutive SFP'!AM38+'Evolutive SFP'!AM39+'Evolutive SFP'!AM41+'Evolutive SFP'!AM42+'Evolutive SFP'!AM43+'Evolutive SFP'!AM44)/1000000</f>
        <v>88.712346820000008</v>
      </c>
      <c r="AP3" s="202">
        <f>('Evolutive SFP'!AN38+'Evolutive SFP'!AN39+'Evolutive SFP'!AN41+'Evolutive SFP'!AN42+'Evolutive SFP'!AN43+'Evolutive SFP'!AN44)/1000000</f>
        <v>88.107124179999985</v>
      </c>
      <c r="AQ3" s="202">
        <f>('Evolutive SFP'!AO38+'Evolutive SFP'!AO39+'Evolutive SFP'!AO41+'Evolutive SFP'!AO42+'Evolutive SFP'!AO43+'Evolutive SFP'!AO44)/1000000</f>
        <v>106.29989807999999</v>
      </c>
      <c r="AR3" s="202">
        <f>('Evolutive SFP'!AP38+'Evolutive SFP'!AP39+'Evolutive SFP'!AP41+'Evolutive SFP'!AP42+'Evolutive SFP'!AP43+'Evolutive SFP'!AP44)/1000000</f>
        <v>103.30869068</v>
      </c>
      <c r="AS3" s="202">
        <f>('Evolutive SFP'!AQ38+'Evolutive SFP'!AQ39+'Evolutive SFP'!AQ41+'Evolutive SFP'!AQ42+'Evolutive SFP'!AQ43+'Evolutive SFP'!AQ44)/1000000</f>
        <v>102.64102593999999</v>
      </c>
      <c r="AT3" s="202">
        <f>('Evolutive SFP'!AR38+'Evolutive SFP'!AR39+'Evolutive SFP'!AR41+'Evolutive SFP'!AR42+'Evolutive SFP'!AR43+'Evolutive SFP'!AR44)/1000000</f>
        <v>93.008251979999997</v>
      </c>
      <c r="AU3" s="202">
        <f>('Evolutive SFP'!AS38+'Evolutive SFP'!AS39+'Evolutive SFP'!AS41+'Evolutive SFP'!AS42+'Evolutive SFP'!AS43+'Evolutive SFP'!AS44)/1000000</f>
        <v>101.62148748</v>
      </c>
      <c r="AV3" s="202">
        <f>('Evolutive SFP'!AT38+'Evolutive SFP'!AT39+'Evolutive SFP'!AT41+'Evolutive SFP'!AT42+'Evolutive SFP'!AT43+'Evolutive SFP'!AT44)/1000000</f>
        <v>97.263519670000008</v>
      </c>
      <c r="AW3" s="202">
        <f>('Evolutive SFP'!AU38+'Evolutive SFP'!AU39+'Evolutive SFP'!AU41+'Evolutive SFP'!AU42+'Evolutive SFP'!AU43+'Evolutive SFP'!AU44)/1000000</f>
        <v>90.836034709999993</v>
      </c>
      <c r="AX3" s="202">
        <f>('Evolutive SFP'!AV38+'Evolutive SFP'!AV39+'Evolutive SFP'!AV41+'Evolutive SFP'!AV42+'Evolutive SFP'!AV43+'Evolutive SFP'!AV44)/1000000</f>
        <v>89.344932040000003</v>
      </c>
      <c r="AY3" s="202">
        <f>('Evolutive SFP'!AW38+'Evolutive SFP'!AW39+'Evolutive SFP'!AW41+'Evolutive SFP'!AW42+'Evolutive SFP'!AW43+'Evolutive SFP'!AW44)/1000000</f>
        <v>87.170571140000007</v>
      </c>
      <c r="AZ3" s="202">
        <f>('Evolutive SFP'!AX38+'Evolutive SFP'!AX39+'Evolutive SFP'!AX41+'Evolutive SFP'!AX42+'Evolutive SFP'!AX43+'Evolutive SFP'!AX44)/1000000</f>
        <v>108.43341423999999</v>
      </c>
      <c r="BA3" s="202">
        <f>('Evolutive SFP'!AY38+'Evolutive SFP'!AY39+'Evolutive SFP'!AY41+'Evolutive SFP'!AY42+'Evolutive SFP'!AY43+'Evolutive SFP'!AY44)/1000000</f>
        <v>107.94980514</v>
      </c>
      <c r="BB3" s="202">
        <f>('Evolutive SFP'!AZ38+'Evolutive SFP'!AZ39+'Evolutive SFP'!AZ41+'Evolutive SFP'!AZ42+'Evolutive SFP'!AZ43+'Evolutive SFP'!AZ44)/1000000</f>
        <v>262.61665524</v>
      </c>
      <c r="BC3" s="202">
        <f>('Evolutive SFP'!BA38+'Evolutive SFP'!BA39+'Evolutive SFP'!BA41+'Evolutive SFP'!BA42+'Evolutive SFP'!BA43+'Evolutive SFP'!BA44)/1000000</f>
        <v>258.63585545000001</v>
      </c>
      <c r="BD3" s="202">
        <f>('Evolutive SFP'!BB38+'Evolutive SFP'!BB39+'Evolutive SFP'!BB41+'Evolutive SFP'!BB42+'Evolutive SFP'!BB43+'Evolutive SFP'!BB44)/1000000</f>
        <v>263.05602620999997</v>
      </c>
      <c r="BE3" s="202">
        <f>('Evolutive SFP'!BC38+'Evolutive SFP'!BC39+'Evolutive SFP'!BC41+'Evolutive SFP'!BC42+'Evolutive SFP'!BC43+'Evolutive SFP'!BC44)/1000000</f>
        <v>256.14569444</v>
      </c>
      <c r="BF3" s="202">
        <f>('Evolutive SFP'!BD38+'Evolutive SFP'!BD39+'Evolutive SFP'!BD41+'Evolutive SFP'!BD42+'Evolutive SFP'!BD43+'Evolutive SFP'!BD44)/1000000</f>
        <v>247.35524854000002</v>
      </c>
      <c r="BG3" s="202">
        <f>('Evolutive SFP'!BE38+'Evolutive SFP'!BE39+'Evolutive SFP'!BE41+'Evolutive SFP'!BE42+'Evolutive SFP'!BE43+'Evolutive SFP'!BE44)/1000000</f>
        <v>0</v>
      </c>
      <c r="BH3" s="202">
        <f>('Evolutive SFP'!BF38+'Evolutive SFP'!BF39+'Evolutive SFP'!BF41+'Evolutive SFP'!BF42+'Evolutive SFP'!BF43+'Evolutive SFP'!BF44)/1000000</f>
        <v>251.55005743000001</v>
      </c>
      <c r="BI3" s="202">
        <f>('Evolutive SFP'!BG38+'Evolutive SFP'!BG39+'Evolutive SFP'!BG41+'Evolutive SFP'!BG42+'Evolutive SFP'!BG43+'Evolutive SFP'!BG44)/1000000</f>
        <v>253.24404562999999</v>
      </c>
      <c r="BJ3" s="202">
        <f>('Evolutive SFP'!BH38+'Evolutive SFP'!BH39+'Evolutive SFP'!BH41+'Evolutive SFP'!BH42+'Evolutive SFP'!BH43+'Evolutive SFP'!BH44)/1000000</f>
        <v>251.38389262999999</v>
      </c>
      <c r="BK3" s="202">
        <f>('Evolutive SFP'!BI38+'Evolutive SFP'!BI39+'Evolutive SFP'!BI41+'Evolutive SFP'!BI42+'Evolutive SFP'!BI43+'Evolutive SFP'!BI44)/1000000</f>
        <v>253.64442002999999</v>
      </c>
      <c r="BL3" s="202">
        <f>('Evolutive SFP'!BJ38+'Evolutive SFP'!BJ39+'Evolutive SFP'!BJ41+'Evolutive SFP'!BJ42+'Evolutive SFP'!BJ43+'Evolutive SFP'!BJ44)/1000000</f>
        <v>266.28993252999999</v>
      </c>
      <c r="BM3" s="202">
        <f>('Evolutive SFP'!BK38+'Evolutive SFP'!BK39+'Evolutive SFP'!BK41+'Evolutive SFP'!BK42+'Evolutive SFP'!BK43+'Evolutive SFP'!BK44)/1000000</f>
        <v>266.92929813000001</v>
      </c>
      <c r="BN3" s="202">
        <f>('Evolutive SFP'!BL38+'Evolutive SFP'!BL39+'Evolutive SFP'!BL41+'Evolutive SFP'!BL42+'Evolutive SFP'!BL43+'Evolutive SFP'!BL44)/1000000</f>
        <v>0</v>
      </c>
      <c r="BO3" s="202">
        <f>('Evolutive SFP'!BM38+'Evolutive SFP'!BM39+'Evolutive SFP'!BM41+'Evolutive SFP'!BM42+'Evolutive SFP'!BM43+'Evolutive SFP'!BM44)/1000000</f>
        <v>795.17594780999991</v>
      </c>
      <c r="BP3" s="202">
        <f>('Evolutive SFP'!BN38+'Evolutive SFP'!BN39+'Evolutive SFP'!BN41+'Evolutive SFP'!BN42+'Evolutive SFP'!BN43+'Evolutive SFP'!BN44)/1000000</f>
        <v>259.64870930000001</v>
      </c>
      <c r="BQ3" s="202">
        <f>('Evolutive SFP'!BO38+'Evolutive SFP'!BO39+'Evolutive SFP'!BO41+'Evolutive SFP'!BO42+'Evolutive SFP'!BO43+'Evolutive SFP'!BO44)/1000000</f>
        <v>277.53395181999997</v>
      </c>
      <c r="BR3" s="202">
        <f>('Evolutive SFP'!BP38+'Evolutive SFP'!BP39+'Evolutive SFP'!BP41+'Evolutive SFP'!BP42+'Evolutive SFP'!BP43+'Evolutive SFP'!BP44)/1000000</f>
        <v>539.62184583999999</v>
      </c>
      <c r="BS3" s="202">
        <f>('Evolutive SFP'!BQ38+'Evolutive SFP'!BQ39+'Evolutive SFP'!BQ41+'Evolutive SFP'!BQ42+'Evolutive SFP'!BQ43+'Evolutive SFP'!BQ44)/1000000</f>
        <v>269.49802088000001</v>
      </c>
      <c r="BT3" s="202">
        <f>('Evolutive SFP'!BR38+'Evolutive SFP'!BR39+'Evolutive SFP'!BR41+'Evolutive SFP'!BR42+'Evolutive SFP'!BR43+'Evolutive SFP'!BR44)/1000000</f>
        <v>103.42131941999999</v>
      </c>
      <c r="BU3" s="202">
        <f>('Evolutive SFP'!BS38+'Evolutive SFP'!BS39+'Evolutive SFP'!BS41+'Evolutive SFP'!BS42+'Evolutive SFP'!BS43+'Evolutive SFP'!BS44)/1000000</f>
        <v>273.46962506</v>
      </c>
      <c r="BV3" s="202">
        <f>('Evolutive SFP'!BT38+'Evolutive SFP'!BT39+'Evolutive SFP'!BT41+'Evolutive SFP'!BT42+'Evolutive SFP'!BT43+'Evolutive SFP'!BT44)/1000000</f>
        <v>269.89341996000002</v>
      </c>
      <c r="BW3" s="202">
        <f>('Evolutive SFP'!BU38+'Evolutive SFP'!BU39+'Evolutive SFP'!BU41+'Evolutive SFP'!BU42+'Evolutive SFP'!BU43+'Evolutive SFP'!BU44)/1000000</f>
        <v>270.34536036000003</v>
      </c>
      <c r="BX3" s="202">
        <f>('Evolutive SFP'!BV38+'Evolutive SFP'!BV39+'Evolutive SFP'!BV41+'Evolutive SFP'!BV42+'Evolutive SFP'!BV43+'Evolutive SFP'!BV44)/1000000</f>
        <v>273.31168554000004</v>
      </c>
      <c r="BY3" s="202">
        <f>('Evolutive SFP'!BW38+'Evolutive SFP'!BW39+'Evolutive SFP'!BW41+'Evolutive SFP'!BW42+'Evolutive SFP'!BW43+'Evolutive SFP'!BW44)/1000000</f>
        <v>272.39291234000001</v>
      </c>
      <c r="BZ3" s="202">
        <f>('Evolutive SFP'!BX38+'Evolutive SFP'!BX39+'Evolutive SFP'!BX41+'Evolutive SFP'!BX42+'Evolutive SFP'!BX43+'Evolutive SFP'!BX44)/1000000</f>
        <v>107.25914001000002</v>
      </c>
      <c r="CA3" s="202">
        <f>('Evolutive SFP'!BY38+'Evolutive SFP'!BY39+'Evolutive SFP'!BY41+'Evolutive SFP'!BY42+'Evolutive SFP'!BY43+'Evolutive SFP'!BY44)/1000000</f>
        <v>106.83987661000002</v>
      </c>
      <c r="CB3" s="202">
        <f>('Evolutive SFP'!BZ38+'Evolutive SFP'!BZ39+'Evolutive SFP'!BZ41+'Evolutive SFP'!BZ42+'Evolutive SFP'!BZ43+'Evolutive SFP'!BZ44)/1000000</f>
        <v>101.55887131</v>
      </c>
      <c r="CC3" s="202">
        <f>('Evolutive SFP'!CA38+'Evolutive SFP'!CA39+'Evolutive SFP'!CA41+'Evolutive SFP'!CA42+'Evolutive SFP'!CA43+'Evolutive SFP'!CA44)/1000000</f>
        <v>102.18269717000001</v>
      </c>
      <c r="CD3" s="202">
        <f>('Evolutive SFP'!CB38+'Evolutive SFP'!CB39+'Evolutive SFP'!CB41+'Evolutive SFP'!CB42+'Evolutive SFP'!CB43+'Evolutive SFP'!CB44)/1000000</f>
        <v>111.30739301000003</v>
      </c>
      <c r="CE3" s="202">
        <f>('Evolutive SFP'!CC38+'Evolutive SFP'!CC39+'Evolutive SFP'!CC41+'Evolutive SFP'!CC42+'Evolutive SFP'!CC43+'Evolutive SFP'!CC44)/1000000</f>
        <v>0</v>
      </c>
      <c r="CF3" s="202">
        <f>('Evolutive SFP'!CD38+'Evolutive SFP'!CD39+'Evolutive SFP'!CD41+'Evolutive SFP'!CD42+'Evolutive SFP'!CD43+'Evolutive SFP'!CD44)/1000000</f>
        <v>0</v>
      </c>
      <c r="CG3" s="202">
        <f>('Evolutive SFP'!CE38+'Evolutive SFP'!CE39+'Evolutive SFP'!CE41+'Evolutive SFP'!CE42+'Evolutive SFP'!CE43+'Evolutive SFP'!CE44)/1000000</f>
        <v>82.243821210000007</v>
      </c>
      <c r="CH3" s="202">
        <f>('Evolutive SFP'!CF38+'Evolutive SFP'!CF39+'Evolutive SFP'!CF41+'Evolutive SFP'!CF42+'Evolutive SFP'!CF43+'Evolutive SFP'!CF44)/1000000</f>
        <v>105.57402496</v>
      </c>
      <c r="CI3" s="202">
        <f>('Evolutive SFP'!CG38+'Evolutive SFP'!CG39+'Evolutive SFP'!CG41+'Evolutive SFP'!CG42+'Evolutive SFP'!CG43+'Evolutive SFP'!CG44)/1000000</f>
        <v>103.52676256999999</v>
      </c>
      <c r="CJ3" s="202">
        <f>('Evolutive SFP'!CH38+'Evolutive SFP'!CH39+'Evolutive SFP'!CH41+'Evolutive SFP'!CH42+'Evolutive SFP'!CH43+'Evolutive SFP'!CH44)/1000000</f>
        <v>80.176044379999993</v>
      </c>
      <c r="CK3" s="202">
        <f>('Evolutive SFP'!CI38+'Evolutive SFP'!CI39+'Evolutive SFP'!CI41+'Evolutive SFP'!CI42+'Evolutive SFP'!CI43+'Evolutive SFP'!CI44)/1000000</f>
        <v>82.817660469999993</v>
      </c>
      <c r="CL3" s="202">
        <f>('Evolutive SFP'!CJ38+'Evolutive SFP'!CJ39+'Evolutive SFP'!CJ41+'Evolutive SFP'!CJ42+'Evolutive SFP'!CJ43+'Evolutive SFP'!CJ44)/1000000</f>
        <v>82.565957300000008</v>
      </c>
      <c r="CM3" s="202">
        <f>('Evolutive SFP'!CK38+'Evolutive SFP'!CK39+'Evolutive SFP'!CK41+'Evolutive SFP'!CK42+'Evolutive SFP'!CK43+'Evolutive SFP'!CK44)/1000000</f>
        <v>93.332775390000009</v>
      </c>
      <c r="CN3" s="202">
        <f>('Evolutive SFP'!CL38+'Evolutive SFP'!CL39+'Evolutive SFP'!CL41+'Evolutive SFP'!CL42+'Evolutive SFP'!CL43+'Evolutive SFP'!CL44)/1000000</f>
        <v>108.83929559000001</v>
      </c>
      <c r="CO3" s="202">
        <f>('Evolutive SFP'!CM38+'Evolutive SFP'!CM39+'Evolutive SFP'!CM41+'Evolutive SFP'!CM42+'Evolutive SFP'!CM43+'Evolutive SFP'!CM44)/1000000</f>
        <v>106.66885139000001</v>
      </c>
      <c r="CP3" s="202">
        <f>('Evolutive SFP'!CN38+'Evolutive SFP'!CN39+'Evolutive SFP'!CN41+'Evolutive SFP'!CN42+'Evolutive SFP'!CN43+'Evolutive SFP'!CN44)/1000000</f>
        <v>108.42236809000001</v>
      </c>
      <c r="CQ3" s="202">
        <f>('Evolutive SFP'!CO38+'Evolutive SFP'!CO39+'Evolutive SFP'!CO41+'Evolutive SFP'!CO42+'Evolutive SFP'!CO43+'Evolutive SFP'!CO44)/1000000</f>
        <v>106.55058369</v>
      </c>
      <c r="CR3" s="202">
        <f>('Evolutive SFP'!CP38+'Evolutive SFP'!CP39+'Evolutive SFP'!CP41+'Evolutive SFP'!CP42+'Evolutive SFP'!CP43+'Evolutive SFP'!CP44)/1000000</f>
        <v>97.982753729999985</v>
      </c>
      <c r="CS3" s="202">
        <f>('Evolutive SFP'!CQ38+'Evolutive SFP'!CQ39+'Evolutive SFP'!CQ41+'Evolutive SFP'!CQ42+'Evolutive SFP'!CQ43+'Evolutive SFP'!CQ44)/1000000</f>
        <v>101.22614494999999</v>
      </c>
      <c r="CT3" s="202">
        <f>('Evolutive SFP'!CR38+'Evolutive SFP'!CR39+'Evolutive SFP'!CR41+'Evolutive SFP'!CR42+'Evolutive SFP'!CR43+'Evolutive SFP'!CR44)/1000000</f>
        <v>96.970144529999999</v>
      </c>
      <c r="CU3" s="202">
        <f>('Evolutive SFP'!CS38+'Evolutive SFP'!CS39+'Evolutive SFP'!CS41+'Evolutive SFP'!CS42+'Evolutive SFP'!CS43+'Evolutive SFP'!CS45)/1000000</f>
        <v>269.66135821000006</v>
      </c>
    </row>
    <row r="4" spans="1:102" ht="30" x14ac:dyDescent="0.3">
      <c r="A4" s="232"/>
      <c r="B4" s="200" t="s">
        <v>14</v>
      </c>
      <c r="C4" s="201" t="s">
        <v>15</v>
      </c>
      <c r="D4" s="203">
        <f>D3/(('Evolutive SFP'!B26)/1000000)</f>
        <v>0.11699640274842957</v>
      </c>
      <c r="E4" s="203">
        <f>E3/(('Evolutive SFP'!C26)/1000000)</f>
        <v>0.1842325897530267</v>
      </c>
      <c r="F4" s="203">
        <f>F3/(('Evolutive SFP'!D26)/1000000)</f>
        <v>0</v>
      </c>
      <c r="G4" s="203">
        <f>G3/(('Evolutive SFP'!E26)/1000000)</f>
        <v>0.1611158210915469</v>
      </c>
      <c r="H4" s="203">
        <f>H3/(('Evolutive SFP'!F26)/1000000)</f>
        <v>0.17156386572694757</v>
      </c>
      <c r="I4" s="203">
        <f>I3/(('Evolutive SFP'!G26)/1000000)</f>
        <v>0.15983438346759871</v>
      </c>
      <c r="J4" s="203">
        <f>J3/(('Evolutive SFP'!H26)/1000000)</f>
        <v>0.16246825263505421</v>
      </c>
      <c r="K4" s="203">
        <f>K3/(('Evolutive SFP'!I26)/1000000)</f>
        <v>0.15593274301555676</v>
      </c>
      <c r="L4" s="203">
        <f>L3/(('Evolutive SFP'!J26)/1000000)</f>
        <v>0.16398767988456162</v>
      </c>
      <c r="M4" s="203">
        <f>M3/(('Evolutive SFP'!K26)/1000000)</f>
        <v>0.15841278210725124</v>
      </c>
      <c r="N4" s="203">
        <f>N3/(('Evolutive SFP'!L26)/1000000)</f>
        <v>0.17979187902519778</v>
      </c>
      <c r="O4" s="203">
        <f>O3/(('Evolutive SFP'!M26)/1000000)</f>
        <v>0.17920607177961206</v>
      </c>
      <c r="P4" s="203">
        <f>P3/(('Evolutive SFP'!N26)/1000000)</f>
        <v>0.16892370987190677</v>
      </c>
      <c r="Q4" s="203">
        <f>Q3/(('Evolutive SFP'!O26)/1000000)</f>
        <v>0.13238572395962253</v>
      </c>
      <c r="R4" s="203">
        <f>R3/(('Evolutive SFP'!P26)/1000000)</f>
        <v>0.1978813900929744</v>
      </c>
      <c r="S4" s="203">
        <f>S3/(('Evolutive SFP'!Q26)/1000000)</f>
        <v>0.20299117475832462</v>
      </c>
      <c r="T4" s="203">
        <f>T3/(('Evolutive SFP'!R26)/1000000)</f>
        <v>0.15349556468600428</v>
      </c>
      <c r="U4" s="203">
        <f>U3/(('Evolutive SFP'!S26)/1000000)</f>
        <v>0.19958353163581083</v>
      </c>
      <c r="V4" s="203">
        <f>V3/(('Evolutive SFP'!T26)/1000000)</f>
        <v>0.18277428674980334</v>
      </c>
      <c r="W4" s="203">
        <f>W3/(('Evolutive SFP'!U26)/1000000)</f>
        <v>0.15388999483795349</v>
      </c>
      <c r="X4" s="203">
        <f>X3/(('Evolutive SFP'!V26)/1000000)</f>
        <v>0.1564602556070423</v>
      </c>
      <c r="Y4" s="203">
        <f>Y3/(('Evolutive SFP'!W26)/1000000)</f>
        <v>0.16305716940641601</v>
      </c>
      <c r="Z4" s="203">
        <f>Z3/(('Evolutive SFP'!X26)/1000000)</f>
        <v>0.17478195211023251</v>
      </c>
      <c r="AA4" s="203">
        <f>AA3/(('Evolutive SFP'!Y26)/1000000)</f>
        <v>0.14945112575735436</v>
      </c>
      <c r="AB4" s="203">
        <f>AB3/(('Evolutive SFP'!Z26)/1000000)</f>
        <v>0.16327091493081822</v>
      </c>
      <c r="AC4" s="203">
        <f>AC3/(('Evolutive SFP'!AA26)/1000000)</f>
        <v>0.1575914518082924</v>
      </c>
      <c r="AD4" s="203">
        <f>AD3/(('Evolutive SFP'!AB26)/1000000)</f>
        <v>0.10239443794821836</v>
      </c>
      <c r="AE4" s="203">
        <f>AE3/(('Evolutive SFP'!AC26)/1000000)</f>
        <v>0.18883244385636971</v>
      </c>
      <c r="AF4" s="203">
        <f>AF3/(('Evolutive SFP'!AD26)/1000000)</f>
        <v>0.24027498691038776</v>
      </c>
      <c r="AG4" s="203">
        <f>AG3/(('Evolutive SFP'!AE26)/1000000)</f>
        <v>0.23818953493068523</v>
      </c>
      <c r="AH4" s="203">
        <f>AH3/(('Evolutive SFP'!AF26)/1000000)</f>
        <v>0.20000892314314642</v>
      </c>
      <c r="AI4" s="203">
        <f>AI3/(('Evolutive SFP'!AG26)/1000000)</f>
        <v>0.20546680552249269</v>
      </c>
      <c r="AJ4" s="203">
        <f>AJ3/(('Evolutive SFP'!AH26)/1000000)</f>
        <v>0.20536244672743043</v>
      </c>
      <c r="AK4" s="203">
        <f>AK3/(('Evolutive SFP'!AI26)/1000000)</f>
        <v>0.19218797693490364</v>
      </c>
      <c r="AL4" s="203">
        <f>AL3/(('Evolutive SFP'!AJ26)/1000000)</f>
        <v>0.19149436967924582</v>
      </c>
      <c r="AM4" s="203">
        <f>AM3/(('Evolutive SFP'!AK26)/1000000)</f>
        <v>0.221302365828976</v>
      </c>
      <c r="AN4" s="203">
        <f>AN3/(('Evolutive SFP'!AL26)/1000000)</f>
        <v>0.26671820535776763</v>
      </c>
      <c r="AO4" s="203">
        <f>AO3/(('Evolutive SFP'!AM26)/1000000)</f>
        <v>0.26114972853397411</v>
      </c>
      <c r="AP4" s="203">
        <f>AP3/(('Evolutive SFP'!AN26)/1000000)</f>
        <v>0.2602819499387708</v>
      </c>
      <c r="AQ4" s="203">
        <f>AQ3/(('Evolutive SFP'!AO26)/1000000)</f>
        <v>0.19519198189356804</v>
      </c>
      <c r="AR4" s="203">
        <f>AR3/(('Evolutive SFP'!AP26)/1000000)</f>
        <v>0.29678908437166962</v>
      </c>
      <c r="AS4" s="203">
        <f>AS3/(('Evolutive SFP'!AQ26)/1000000)</f>
        <v>0.29211902644104659</v>
      </c>
      <c r="AT4" s="203">
        <f>AT3/(('Evolutive SFP'!AR26)/1000000)</f>
        <v>0.18490002707811692</v>
      </c>
      <c r="AU4" s="203">
        <f>AU3/(('Evolutive SFP'!AS26)/1000000)</f>
        <v>0.26800025479156564</v>
      </c>
      <c r="AV4" s="203">
        <f>AV3/(('Evolutive SFP'!AT26)/1000000)</f>
        <v>0.26463238257225452</v>
      </c>
      <c r="AW4" s="203">
        <f>AW3/(('Evolutive SFP'!AU26)/1000000)</f>
        <v>0.23525432984784403</v>
      </c>
      <c r="AX4" s="203">
        <f>AX3/(('Evolutive SFP'!AV26)/1000000)</f>
        <v>0.24082384699798537</v>
      </c>
      <c r="AY4" s="203">
        <f>AY3/(('Evolutive SFP'!AW26)/1000000)</f>
        <v>0.24320953537008105</v>
      </c>
      <c r="AZ4" s="203">
        <f>AZ3/(('Evolutive SFP'!AX26)/1000000)</f>
        <v>0.28459410438824206</v>
      </c>
      <c r="BA4" s="203">
        <f>BA3/(('Evolutive SFP'!AY26)/1000000)</f>
        <v>0.2915841932747768</v>
      </c>
      <c r="BB4" s="203">
        <f>BB3/(('Evolutive SFP'!AZ26)/1000000)</f>
        <v>0.50403156848855557</v>
      </c>
      <c r="BC4" s="203">
        <f>BC3/(('Evolutive SFP'!BA26)/1000000)</f>
        <v>0.50305342016992005</v>
      </c>
      <c r="BD4" s="203">
        <f>BD3/(('Evolutive SFP'!BB26)/1000000)</f>
        <v>0.50437438679830948</v>
      </c>
      <c r="BE4" s="203">
        <f>BE3/(('Evolutive SFP'!BC26)/1000000)</f>
        <v>0.49146379311533778</v>
      </c>
      <c r="BF4" s="203">
        <f>BF3/(('Evolutive SFP'!BD26)/1000000)</f>
        <v>0.46913744696700804</v>
      </c>
      <c r="BG4" s="203" t="e">
        <f>BG3/(('Evolutive SFP'!BE26)/1000000)</f>
        <v>#DIV/0!</v>
      </c>
      <c r="BH4" s="203">
        <f>BH3/(('Evolutive SFP'!BF26)/1000000)</f>
        <v>0.46109135705689147</v>
      </c>
      <c r="BI4" s="203">
        <f>BI3/(('Evolutive SFP'!BG26)/1000000)</f>
        <v>0.45346582715003941</v>
      </c>
      <c r="BJ4" s="203">
        <f>BJ3/(('Evolutive SFP'!BH26)/1000000)</f>
        <v>0.41110354475671046</v>
      </c>
      <c r="BK4" s="203">
        <f>BK3/(('Evolutive SFP'!BI26)/1000000)</f>
        <v>0.41194885662862007</v>
      </c>
      <c r="BL4" s="203">
        <f>BL3/(('Evolutive SFP'!BJ26)/1000000)</f>
        <v>0.42118751775418672</v>
      </c>
      <c r="BM4" s="203">
        <f>BM3/(('Evolutive SFP'!BK26)/1000000)</f>
        <v>0.42448096520293765</v>
      </c>
      <c r="BN4" s="203" t="e">
        <f>BN3/(('Evolutive SFP'!BL26)/1000000)</f>
        <v>#DIV/0!</v>
      </c>
      <c r="BO4" s="203">
        <f>BO3/(('Evolutive SFP'!BM26)/1000000)</f>
        <v>0.44121279795890073</v>
      </c>
      <c r="BP4" s="203">
        <f>BP3/(('Evolutive SFP'!BN26)/1000000)</f>
        <v>0.43736908702773131</v>
      </c>
      <c r="BQ4" s="203">
        <f>BQ3/(('Evolutive SFP'!BO26)/1000000)</f>
        <v>0.41188497480332631</v>
      </c>
      <c r="BR4" s="203">
        <f>BR3/(('Evolutive SFP'!BP26)/1000000)</f>
        <v>0.50413698269648255</v>
      </c>
      <c r="BS4" s="203">
        <f>BS3/(('Evolutive SFP'!BQ26)/1000000)</f>
        <v>0.48100685585650238</v>
      </c>
      <c r="BT4" s="203">
        <f>BT3/(('Evolutive SFP'!BR26)/1000000)</f>
        <v>0.20399265938728062</v>
      </c>
      <c r="BU4" s="203">
        <f>BU3/(('Evolutive SFP'!BS26)/1000000)</f>
        <v>0.49221600995790904</v>
      </c>
      <c r="BV4" s="203">
        <f>BV3/(('Evolutive SFP'!BT26)/1000000)</f>
        <v>0.44848902786316952</v>
      </c>
      <c r="BW4" s="203">
        <f>BW3/(('Evolutive SFP'!BU26)/1000000)</f>
        <v>0.46522938092357474</v>
      </c>
      <c r="BX4" s="203">
        <f>BX3/(('Evolutive SFP'!BV26)/1000000)</f>
        <v>0.45634961209376945</v>
      </c>
      <c r="BY4" s="203">
        <f>BY3/(('Evolutive SFP'!BW26)/1000000)</f>
        <v>0.46799066345727319</v>
      </c>
      <c r="BZ4" s="203">
        <f>BZ3/(('Evolutive SFP'!BX26)/1000000)</f>
        <v>0.20219926301229788</v>
      </c>
      <c r="CA4" s="203">
        <f>CA3/(('Evolutive SFP'!BY26)/1000000)</f>
        <v>0.20032133328688118</v>
      </c>
      <c r="CB4" s="203">
        <f>CB3/(('Evolutive SFP'!BZ26)/1000000)</f>
        <v>0.193437120574215</v>
      </c>
      <c r="CC4" s="203">
        <f>CC3/(('Evolutive SFP'!CA26)/1000000)</f>
        <v>0.1954882687372507</v>
      </c>
      <c r="CD4" s="203">
        <f>CD3/(('Evolutive SFP'!CB26)/1000000)</f>
        <v>0.1808979724043849</v>
      </c>
      <c r="CE4" s="203" t="e">
        <f>CE3/(('Evolutive SFP'!CC26)/1000000)</f>
        <v>#DIV/0!</v>
      </c>
      <c r="CF4" s="203" t="e">
        <f>CF3/(('Evolutive SFP'!CD26)/1000000)</f>
        <v>#DIV/0!</v>
      </c>
      <c r="CG4" s="203">
        <f>CG3/(('Evolutive SFP'!CE26)/1000000)</f>
        <v>0.16630863495677267</v>
      </c>
      <c r="CH4" s="203">
        <f>CH3/(('Evolutive SFP'!CF26)/1000000)</f>
        <v>0.23220300129159888</v>
      </c>
      <c r="CI4" s="203">
        <f>CI3/(('Evolutive SFP'!CG26)/1000000)</f>
        <v>0.2304923451870784</v>
      </c>
      <c r="CJ4" s="203">
        <f>CJ3/(('Evolutive SFP'!CH26)/1000000)</f>
        <v>0.18838360111753041</v>
      </c>
      <c r="CK4" s="203">
        <f>CK3/(('Evolutive SFP'!CI26)/1000000)</f>
        <v>0.19079837941919303</v>
      </c>
      <c r="CL4" s="203">
        <f>CL3/(('Evolutive SFP'!CJ26)/1000000)</f>
        <v>0.19398752663144003</v>
      </c>
      <c r="CM4" s="203">
        <f>CM3/(('Evolutive SFP'!CK26)/1000000)</f>
        <v>0.19030323708245023</v>
      </c>
      <c r="CN4" s="203">
        <f>CN3/(('Evolutive SFP'!CL26)/1000000)</f>
        <v>0.17805923852592234</v>
      </c>
      <c r="CO4" s="203">
        <f>CO3/(('Evolutive SFP'!CM26)/1000000)</f>
        <v>0.18523898448743756</v>
      </c>
      <c r="CP4" s="203">
        <f>CP3/(('Evolutive SFP'!CN26)/1000000)</f>
        <v>0.19968761904430177</v>
      </c>
      <c r="CQ4" s="203">
        <f>CQ3/(('Evolutive SFP'!CO26)/1000000)</f>
        <v>0.20182772136727942</v>
      </c>
      <c r="CR4" s="203">
        <f>CR3/(('Evolutive SFP'!CP26)/1000000)</f>
        <v>0.1894590221582452</v>
      </c>
      <c r="CS4" s="203">
        <f>CS3/(('Evolutive SFP'!CQ26)/1000000)</f>
        <v>0.1970157892162212</v>
      </c>
      <c r="CT4" s="203">
        <f>CT3/(('Evolutive SFP'!CR26)/1000000)</f>
        <v>0.18748724901061958</v>
      </c>
      <c r="CU4" s="203">
        <f>CU3/(('Evolutive SFP'!CS26)/1000000)</f>
        <v>0.51918438939570899</v>
      </c>
    </row>
    <row r="5" spans="1:102" ht="15.6" x14ac:dyDescent="0.3">
      <c r="A5" s="232"/>
      <c r="B5" s="200" t="s">
        <v>16</v>
      </c>
      <c r="C5" s="201" t="s">
        <v>17</v>
      </c>
      <c r="D5" s="203">
        <f>D3/('Evolutive SFP'!B30/1000000)</f>
        <v>0.23615493675733293</v>
      </c>
      <c r="E5" s="203">
        <f>E3/('Evolutive SFP'!C30/1000000)</f>
        <v>0.51041170876809605</v>
      </c>
      <c r="F5" s="203">
        <f>F3/('Evolutive SFP'!D30/1000000)</f>
        <v>0</v>
      </c>
      <c r="G5" s="203">
        <f>G3/('Evolutive SFP'!E30/1000000)</f>
        <v>0.49271519405080505</v>
      </c>
      <c r="H5" s="203">
        <f>H3/('Evolutive SFP'!F30/1000000)</f>
        <v>0.44298292681685869</v>
      </c>
      <c r="I5" s="203">
        <f>I3/('Evolutive SFP'!G30/1000000)</f>
        <v>0.40910939088363762</v>
      </c>
      <c r="J5" s="203">
        <f>J3/('Evolutive SFP'!H30/1000000)</f>
        <v>0.4254860621735832</v>
      </c>
      <c r="K5" s="203">
        <f>K3/('Evolutive SFP'!I30/1000000)</f>
        <v>0.41387063024347587</v>
      </c>
      <c r="L5" s="203">
        <f>L3/('Evolutive SFP'!J30/1000000)</f>
        <v>0.45877736538474706</v>
      </c>
      <c r="M5" s="203">
        <f>M3/('Evolutive SFP'!K30/1000000)</f>
        <v>0.44675372804287711</v>
      </c>
      <c r="N5" s="203">
        <f>N3/('Evolutive SFP'!L30/1000000)</f>
        <v>0.52233138097730247</v>
      </c>
      <c r="O5" s="203">
        <f>O3/('Evolutive SFP'!M30/1000000)</f>
        <v>0.52115427677061965</v>
      </c>
      <c r="P5" s="203">
        <f>P3/('Evolutive SFP'!N30/1000000)</f>
        <v>0.48467392127733522</v>
      </c>
      <c r="Q5" s="203">
        <f>Q3/('Evolutive SFP'!O30/1000000)</f>
        <v>0.19540086173362367</v>
      </c>
      <c r="R5" s="203">
        <f>R3/('Evolutive SFP'!P30/1000000)</f>
        <v>0.33025805777458189</v>
      </c>
      <c r="S5" s="203">
        <f>S3/('Evolutive SFP'!Q30/1000000)</f>
        <v>0.34585531319932061</v>
      </c>
      <c r="T5" s="203">
        <f>T3/('Evolutive SFP'!R30/1000000)</f>
        <v>0.24756137282322144</v>
      </c>
      <c r="U5" s="203">
        <f>U3/('Evolutive SFP'!S30/1000000)</f>
        <v>0.35107945904224741</v>
      </c>
      <c r="V5" s="203">
        <f>V3/('Evolutive SFP'!T30/1000000)</f>
        <v>0.39937991407632489</v>
      </c>
      <c r="W5" s="203">
        <f>W3/('Evolutive SFP'!U30/1000000)</f>
        <v>0.33666836844780429</v>
      </c>
      <c r="X5" s="203">
        <f>X3/('Evolutive SFP'!V30/1000000)</f>
        <v>0.34849804011134805</v>
      </c>
      <c r="Y5" s="203">
        <f>Y3/('Evolutive SFP'!W30/1000000)</f>
        <v>0.37744893875182778</v>
      </c>
      <c r="Z5" s="203">
        <f>Z3/('Evolutive SFP'!X30/1000000)</f>
        <v>0.43098263575296847</v>
      </c>
      <c r="AA5" s="203">
        <f>AA3/('Evolutive SFP'!Y30/1000000)</f>
        <v>0.34374551862279396</v>
      </c>
      <c r="AB5" s="203">
        <f>AB3/('Evolutive SFP'!Z30/1000000)</f>
        <v>0.38529548488114684</v>
      </c>
      <c r="AC5" s="203">
        <f>AC3/('Evolutive SFP'!AA30/1000000)</f>
        <v>0.36062402733401994</v>
      </c>
      <c r="AD5" s="203">
        <f>AD3/('Evolutive SFP'!AB30/1000000)</f>
        <v>0.12797225256669911</v>
      </c>
      <c r="AE5" s="203">
        <f>AE3/('Evolutive SFP'!AC30/1000000)</f>
        <v>0.32549041234845816</v>
      </c>
      <c r="AF5" s="203">
        <f>AF3/('Evolutive SFP'!AD30/1000000)</f>
        <v>0.46444138735083795</v>
      </c>
      <c r="AG5" s="203">
        <f>AG3/('Evolutive SFP'!AE30/1000000)</f>
        <v>0.46042246985086405</v>
      </c>
      <c r="AH5" s="203">
        <f>AH3/('Evolutive SFP'!AF30/1000000)</f>
        <v>0.41015330898365776</v>
      </c>
      <c r="AI5" s="203">
        <f>AI3/('Evolutive SFP'!AG30/1000000)</f>
        <v>0.50817898545771123</v>
      </c>
      <c r="AJ5" s="203">
        <f>AJ3/('Evolutive SFP'!AH30/1000000)</f>
        <v>0.48374470323076241</v>
      </c>
      <c r="AK5" s="203">
        <f>AK3/('Evolutive SFP'!AI30/1000000)</f>
        <v>0.44667238424194922</v>
      </c>
      <c r="AL5" s="203">
        <f>AL3/('Evolutive SFP'!AJ30/1000000)</f>
        <v>0.44207985635252761</v>
      </c>
      <c r="AM5" s="203">
        <f>AM3/('Evolutive SFP'!AK30/1000000)</f>
        <v>0.6002612587146009</v>
      </c>
      <c r="AN5" s="203">
        <f>AN3/('Evolutive SFP'!AL30/1000000)</f>
        <v>0.89876970366194897</v>
      </c>
      <c r="AO5" s="203">
        <f>AO3/('Evolutive SFP'!AM30/1000000)</f>
        <v>0.88726799546123436</v>
      </c>
      <c r="AP5" s="203">
        <f>AP3/('Evolutive SFP'!AN30/1000000)</f>
        <v>0.88642319040978979</v>
      </c>
      <c r="AQ5" s="203">
        <f>AQ3/('Evolutive SFP'!AO30/1000000)</f>
        <v>0.26689170372028609</v>
      </c>
      <c r="AR5" s="203">
        <f>AR3/('Evolutive SFP'!AP30/1000000)</f>
        <v>0.50449584080165832</v>
      </c>
      <c r="AS5" s="203">
        <f>AS3/('Evolutive SFP'!AQ30/1000000)</f>
        <v>0.64520724352966785</v>
      </c>
      <c r="AT5" s="203">
        <f>AT3/('Evolutive SFP'!AR30/1000000)</f>
        <v>0.58465508636486041</v>
      </c>
      <c r="AU5" s="203">
        <f>AU3/('Evolutive SFP'!AS30/1000000)</f>
        <v>0.54067828935315654</v>
      </c>
      <c r="AV5" s="203">
        <f>AV3/('Evolutive SFP'!AT30/1000000)</f>
        <v>0.53835634571048607</v>
      </c>
      <c r="AW5" s="203">
        <f>AW3/('Evolutive SFP'!AU30/1000000)</f>
        <v>0.44165601684157885</v>
      </c>
      <c r="AX5" s="203">
        <f>AX3/('Evolutive SFP'!AV30/1000000)</f>
        <v>0.46523848506556542</v>
      </c>
      <c r="AY5" s="203">
        <f>AY3/('Evolutive SFP'!AW30/1000000)</f>
        <v>0.47991889047534664</v>
      </c>
      <c r="AZ5" s="203">
        <f>AZ3/('Evolutive SFP'!AX30/1000000)</f>
        <v>0.59264117046869291</v>
      </c>
      <c r="BA5" s="203">
        <f>BA3/('Evolutive SFP'!AY30/1000000)</f>
        <v>0.6252249480093921</v>
      </c>
      <c r="BB5" s="203">
        <f>BB3/('Evolutive SFP'!AZ30/1000000)</f>
        <v>1.5557439385241933</v>
      </c>
      <c r="BC5" s="203">
        <f>BC3/('Evolutive SFP'!BA30/1000000)</f>
        <v>1.5591257321572065</v>
      </c>
      <c r="BD5" s="203">
        <f>BD3/('Evolutive SFP'!BB30/1000000)</f>
        <v>1.1693646087020748</v>
      </c>
      <c r="BE5" s="203">
        <f>BE3/('Evolutive SFP'!BC30/1000000)</f>
        <v>1.4112172297182948</v>
      </c>
      <c r="BF5" s="203">
        <f>BF3/('Evolutive SFP'!BD30/1000000)</f>
        <v>1.2662928617170273</v>
      </c>
      <c r="BG5" s="203" t="e">
        <f>BG3/('Evolutive SFP'!BE30/1000000)</f>
        <v>#DIV/0!</v>
      </c>
      <c r="BH5" s="203">
        <f>BH3/('Evolutive SFP'!BF30/1000000)</f>
        <v>1.4087794515800256</v>
      </c>
      <c r="BI5" s="203">
        <f>BI3/('Evolutive SFP'!BG30/1000000)</f>
        <v>1.3359126541225073</v>
      </c>
      <c r="BJ5" s="203">
        <f>BJ3/('Evolutive SFP'!BH30/1000000)</f>
        <v>1.5331828065914501</v>
      </c>
      <c r="BK5" s="203">
        <f>BK3/('Evolutive SFP'!BI30/1000000)</f>
        <v>1.531882889364661</v>
      </c>
      <c r="BL5" s="203">
        <f>BL3/('Evolutive SFP'!BJ30/1000000)</f>
        <v>1.5740999151530317</v>
      </c>
      <c r="BM5" s="203">
        <f>BM3/('Evolutive SFP'!BK30/1000000)</f>
        <v>1.5908360764134872</v>
      </c>
      <c r="BN5" s="203" t="e">
        <f>BN3/('Evolutive SFP'!BL30/1000000)</f>
        <v>#DIV/0!</v>
      </c>
      <c r="BO5" s="203">
        <f>BO3/('Evolutive SFP'!BM30/1000000)</f>
        <v>1.8196310517227765</v>
      </c>
      <c r="BP5" s="203">
        <f>BP3/('Evolutive SFP'!BN30/1000000)</f>
        <v>1.8072265282378672</v>
      </c>
      <c r="BQ5" s="203">
        <f>BQ3/('Evolutive SFP'!BO30/1000000)</f>
        <v>1.3073049936016248</v>
      </c>
      <c r="BR5" s="203">
        <f>BR3/('Evolutive SFP'!BP30/1000000)</f>
        <v>1.4095809271882445</v>
      </c>
      <c r="BS5" s="203">
        <f>BS3/('Evolutive SFP'!BQ30/1000000)</f>
        <v>1.610797030373083</v>
      </c>
      <c r="BT5" s="203">
        <f>BT3/('Evolutive SFP'!BR30/1000000)</f>
        <v>0.61421091919577508</v>
      </c>
      <c r="BU5" s="203">
        <f>BU3/('Evolutive SFP'!BS30/1000000)</f>
        <v>1.710451603107489</v>
      </c>
      <c r="BV5" s="203">
        <f>BV3/('Evolutive SFP'!BT30/1000000)</f>
        <v>1.6905015254733304</v>
      </c>
      <c r="BW5" s="203">
        <f>BW3/('Evolutive SFP'!BU30/1000000)</f>
        <v>1.858208742546122</v>
      </c>
      <c r="BX5" s="203">
        <f>BX3/('Evolutive SFP'!BV30/1000000)</f>
        <v>1.7272471751673109</v>
      </c>
      <c r="BY5" s="203">
        <f>BY3/('Evolutive SFP'!BW30/1000000)</f>
        <v>1.8748439845391522</v>
      </c>
      <c r="BZ5" s="203">
        <f>BZ3/('Evolutive SFP'!BX30/1000000)</f>
        <v>0.74254763526064249</v>
      </c>
      <c r="CA5" s="203">
        <f>CA3/('Evolutive SFP'!BY30/1000000)</f>
        <v>0.74654543938973383</v>
      </c>
      <c r="CB5" s="203">
        <f>CB3/('Evolutive SFP'!BZ30/1000000)</f>
        <v>0.70802189538124727</v>
      </c>
      <c r="CC5" s="203">
        <f>CC3/('Evolutive SFP'!CA30/1000000)</f>
        <v>0.72362515792721693</v>
      </c>
      <c r="CD5" s="203">
        <f>CD3/('Evolutive SFP'!CB30/1000000)</f>
        <v>0.48761041941223476</v>
      </c>
      <c r="CE5" s="203" t="e">
        <f>CE3/('Evolutive SFP'!CC30/1000000)</f>
        <v>#DIV/0!</v>
      </c>
      <c r="CF5" s="203" t="e">
        <f>CF3/('Evolutive SFP'!CD30/1000000)</f>
        <v>#DIV/0!</v>
      </c>
      <c r="CG5" s="203">
        <f>CG3/('Evolutive SFP'!CE30/1000000)</f>
        <v>0.53630939709479442</v>
      </c>
      <c r="CH5" s="203">
        <f>CH3/('Evolutive SFP'!CF30/1000000)</f>
        <v>0.69624920773849153</v>
      </c>
      <c r="CI5" s="203">
        <f>CI3/('Evolutive SFP'!CG30/1000000)</f>
        <v>0.69575794345805198</v>
      </c>
      <c r="CJ5" s="203">
        <f>CJ3/('Evolutive SFP'!CH30/1000000)</f>
        <v>0.52077045900730323</v>
      </c>
      <c r="CK5" s="203">
        <f>CK3/('Evolutive SFP'!CI30/1000000)</f>
        <v>0.50794605502215195</v>
      </c>
      <c r="CL5" s="203">
        <f>CL3/('Evolutive SFP'!CJ30/1000000)</f>
        <v>0.52938556362165701</v>
      </c>
      <c r="CM5" s="203">
        <f>CM3/('Evolutive SFP'!CK30/1000000)</f>
        <v>0.58546081858671273</v>
      </c>
      <c r="CN5" s="203">
        <f>CN3/('Evolutive SFP'!CL30/1000000)</f>
        <v>0.40420855350296975</v>
      </c>
      <c r="CO5" s="203">
        <f>CO3/('Evolutive SFP'!CM30/1000000)</f>
        <v>0.44382980419720675</v>
      </c>
      <c r="CP5" s="203">
        <f>CP3/('Evolutive SFP'!CN30/1000000)</f>
        <v>0.5185938516180294</v>
      </c>
      <c r="CQ5" s="203">
        <f>CQ3/('Evolutive SFP'!CO30/1000000)</f>
        <v>0.53455100900758412</v>
      </c>
      <c r="CR5" s="203">
        <f>CR3/('Evolutive SFP'!CP30/1000000)</f>
        <v>0.49709076148527082</v>
      </c>
      <c r="CS5" s="203">
        <f>CS3/('Evolutive SFP'!CQ30/1000000)</f>
        <v>0.52953387292342702</v>
      </c>
      <c r="CT5" s="203">
        <f>CT3/('Evolutive SFP'!CR30/1000000)</f>
        <v>0.51209724161529169</v>
      </c>
      <c r="CU5" s="203">
        <f>CU3/('Evolutive SFP'!CS30/1000000)</f>
        <v>1.3813627710105523</v>
      </c>
    </row>
    <row r="6" spans="1:102" ht="15.6" x14ac:dyDescent="0.3">
      <c r="A6" s="232"/>
      <c r="B6" s="200" t="s">
        <v>18</v>
      </c>
      <c r="C6" s="201" t="s">
        <v>17</v>
      </c>
      <c r="D6" s="203">
        <f>((D3*1000000)-'Evolutive SFP'!B38)/'Evolutive SFP'!B26</f>
        <v>-4.4330440693603416E-2</v>
      </c>
      <c r="E6" s="203">
        <f>((E3*1000000)-'Evolutive SFP'!C38)/'Evolutive SFP'!C26</f>
        <v>3.0380073577379124E-2</v>
      </c>
      <c r="F6" s="203">
        <f>((F3*1000000)-'Evolutive SFP'!D38)/'Evolutive SFP'!D26</f>
        <v>-0.14086839644321761</v>
      </c>
      <c r="G6" s="203">
        <f>((G3*1000000)-'Evolutive SFP'!E38)/'Evolutive SFP'!E26</f>
        <v>2.589683055595448E-2</v>
      </c>
      <c r="H6" s="203">
        <f>((H3*1000000)-'Evolutive SFP'!F38)/'Evolutive SFP'!F26</f>
        <v>2.7997070311112073E-2</v>
      </c>
      <c r="I6" s="203">
        <f>((I3*1000000)-'Evolutive SFP'!G38)/'Evolutive SFP'!G26</f>
        <v>1.8338862444417306E-2</v>
      </c>
      <c r="J6" s="203">
        <f>((J3*1000000)-'Evolutive SFP'!H38)/'Evolutive SFP'!H26</f>
        <v>1.9048637104627158E-2</v>
      </c>
      <c r="K6" s="203">
        <f>((K3*1000000)-'Evolutive SFP'!I38)/'Evolutive SFP'!I26</f>
        <v>8.1133968301267418E-3</v>
      </c>
      <c r="L6" s="203">
        <f>((L3*1000000)-'Evolutive SFP'!J38)/'Evolutive SFP'!J26</f>
        <v>1.2428770313383243E-2</v>
      </c>
      <c r="M6" s="203">
        <f>((M3*1000000)-'Evolutive SFP'!K38)/'Evolutive SFP'!K26</f>
        <v>4.1830299495848548E-3</v>
      </c>
      <c r="N6" s="203">
        <f>((N3*1000000)-'Evolutive SFP'!L38)/'Evolutive SFP'!L26</f>
        <v>2.8147558356194303E-2</v>
      </c>
      <c r="O6" s="203">
        <f>((O3*1000000)-'Evolutive SFP'!M38)/'Evolutive SFP'!M26</f>
        <v>2.7273005244320529E-2</v>
      </c>
      <c r="P6" s="203">
        <f>((P3*1000000)-'Evolutive SFP'!N38)/'Evolutive SFP'!N26</f>
        <v>1.5184861140259472E-2</v>
      </c>
      <c r="Q6" s="203">
        <f>((Q3*1000000)-'Evolutive SFP'!O38)/'Evolutive SFP'!O26</f>
        <v>2.768082741684031E-2</v>
      </c>
      <c r="R6" s="203">
        <f>((R3*1000000)-'Evolutive SFP'!P38)/'Evolutive SFP'!P26</f>
        <v>4.4604382540624266E-2</v>
      </c>
      <c r="S6" s="203">
        <f>((S3*1000000)-'Evolutive SFP'!Q38)/'Evolutive SFP'!Q26</f>
        <v>4.6942207393268591E-2</v>
      </c>
      <c r="T6" s="203">
        <f>((T3*1000000)-'Evolutive SFP'!R38)/'Evolutive SFP'!R26</f>
        <v>-1.1355305098201457E-2</v>
      </c>
      <c r="U6" s="203">
        <f>((U3*1000000)-'Evolutive SFP'!S38)/'Evolutive SFP'!S26</f>
        <v>3.9353399449768428E-2</v>
      </c>
      <c r="V6" s="203">
        <f>((V3*1000000)-'Evolutive SFP'!T38)/'Evolutive SFP'!T26</f>
        <v>3.122540795837141E-2</v>
      </c>
      <c r="W6" s="203">
        <f>((W3*1000000)-'Evolutive SFP'!U38)/'Evolutive SFP'!U26</f>
        <v>-1.5344322432256221E-2</v>
      </c>
      <c r="X6" s="203">
        <f>((X3*1000000)-'Evolutive SFP'!V38)/'Evolutive SFP'!V26</f>
        <v>-1.6347736164818827E-2</v>
      </c>
      <c r="Y6" s="203">
        <f>((Y3*1000000)-'Evolutive SFP'!W38)/'Evolutive SFP'!W26</f>
        <v>-1.7037014127939835E-2</v>
      </c>
      <c r="Z6" s="203">
        <f>((Z3*1000000)-'Evolutive SFP'!X38)/'Evolutive SFP'!X26</f>
        <v>-9.0219214354977373E-3</v>
      </c>
      <c r="AA6" s="203">
        <f>((AA3*1000000)-'Evolutive SFP'!Y38)/'Evolutive SFP'!Y26</f>
        <v>-3.2391237302882098E-2</v>
      </c>
      <c r="AB6" s="203">
        <f>((AB3*1000000)-'Evolutive SFP'!Z38)/'Evolutive SFP'!Z26</f>
        <v>-4.7707239111957574E-2</v>
      </c>
      <c r="AC6" s="203">
        <f>((AC3*1000000)-'Evolutive SFP'!AA38)/'Evolutive SFP'!AA26</f>
        <v>-4.952411732651997E-2</v>
      </c>
      <c r="AD6" s="203">
        <f>((AD3*1000000)-'Evolutive SFP'!AB38)/'Evolutive SFP'!AB26</f>
        <v>8.0828368157832918E-4</v>
      </c>
      <c r="AE6" s="203">
        <f>((AE3*1000000)-'Evolutive SFP'!AC38)/'Evolutive SFP'!AC26</f>
        <v>-6.9999652557948394E-4</v>
      </c>
      <c r="AF6" s="203">
        <f>((AF3*1000000)-'Evolutive SFP'!AD38)/'Evolutive SFP'!AD26</f>
        <v>2.4131061151275817E-2</v>
      </c>
      <c r="AG6" s="204">
        <f>((AG3*1000000)-'Evolutive SFP'!AE38)/'Evolutive SFP'!AE26</f>
        <v>2.2051323878443753E-2</v>
      </c>
      <c r="AH6" s="204">
        <f>((AH3*1000000)-'Evolutive SFP'!AF38)/'Evolutive SFP'!AF26</f>
        <v>3.8006108859289442E-3</v>
      </c>
      <c r="AI6" s="204">
        <f>((AI3*1000000)-'Evolutive SFP'!AG38)/'Evolutive SFP'!AG26</f>
        <v>2.9627138360030673E-2</v>
      </c>
      <c r="AJ6" s="204">
        <f>((AJ3*1000000)-'Evolutive SFP'!AH38)/'Evolutive SFP'!AH26</f>
        <v>1.9024805231344373E-2</v>
      </c>
      <c r="AK6" s="204">
        <f>((AK3*1000000)-'Evolutive SFP'!AI38)/'Evolutive SFP'!AI26</f>
        <v>2.1071354459269048E-3</v>
      </c>
      <c r="AL6" s="204">
        <f>((AL3*1000000)-'Evolutive SFP'!AJ38)/'Evolutive SFP'!AJ26</f>
        <v>1.5473844662779697E-3</v>
      </c>
      <c r="AM6" s="204">
        <f>((AM3*1000000)-'Evolutive SFP'!AK38)/'Evolutive SFP'!AK26</f>
        <v>4.8157185325092888E-2</v>
      </c>
      <c r="AN6" s="204">
        <f>((AN3*1000000)-'Evolutive SFP'!AL38)/'Evolutive SFP'!AL26</f>
        <v>8.2379485835168326E-2</v>
      </c>
      <c r="AO6" s="204">
        <f>((AO3*1000000)-'Evolutive SFP'!AM38)/'Evolutive SFP'!AM26</f>
        <v>7.3433729842483295E-2</v>
      </c>
      <c r="AP6" s="204">
        <f>((AP3*1000000)-'Evolutive SFP'!AN38)/'Evolutive SFP'!AN26</f>
        <v>7.1904547561401772E-2</v>
      </c>
      <c r="AQ6" s="204">
        <f>((AQ3*1000000)-'Evolutive SFP'!AO38)/'Evolutive SFP'!AO26</f>
        <v>7.8100607428657889E-2</v>
      </c>
      <c r="AR6" s="204">
        <f>((AR3*1000000)-'Evolutive SFP'!AP38)/'Evolutive SFP'!AP26</f>
        <v>0.11358257498663836</v>
      </c>
      <c r="AS6" s="204">
        <f>((AS3*1000000)-'Evolutive SFP'!AQ38)/'Evolutive SFP'!AQ26</f>
        <v>8.8958640469964587E-2</v>
      </c>
      <c r="AT6" s="204">
        <f>((AT3*1000000)-'Evolutive SFP'!AR38)/'Evolutive SFP'!AR26</f>
        <v>4.2989157402108492E-2</v>
      </c>
      <c r="AU6" s="204">
        <f>((AU3*1000000)-'Evolutive SFP'!AS38)/'Evolutive SFP'!AS26</f>
        <v>7.9743820765086168E-2</v>
      </c>
      <c r="AV6" s="204">
        <f>((AV3*1000000)-'Evolutive SFP'!AT38)/'Evolutive SFP'!AT26</f>
        <v>7.0412729262938234E-2</v>
      </c>
      <c r="AW6" s="204">
        <f>((AW3*1000000)-'Evolutive SFP'!AU38)/'Evolutive SFP'!AU26</f>
        <v>5.0378716952020897E-2</v>
      </c>
      <c r="AX6" s="204">
        <f>((AX3*1000000)-'Evolutive SFP'!AV38)/'Evolutive SFP'!AV26</f>
        <v>4.8412918264691476E-2</v>
      </c>
      <c r="AY6" s="204">
        <f>((AY3*1000000)-'Evolutive SFP'!AW38)/'Evolutive SFP'!AW26</f>
        <v>4.404551907026124E-2</v>
      </c>
      <c r="AZ6" s="204">
        <f>((AZ3*1000000)-'Evolutive SFP'!AX38)/'Evolutive SFP'!AX26</f>
        <v>9.7240119158022567E-2</v>
      </c>
      <c r="BA6" s="204">
        <f>((BA3*1000000)-'Evolutive SFP'!AY38)/'Evolutive SFP'!AY26</f>
        <v>9.8768542044988569E-2</v>
      </c>
      <c r="BB6" s="204">
        <f>((BB3*1000000)-'Evolutive SFP'!AZ38)/'Evolutive SFP'!AZ26</f>
        <v>0.36702681320760511</v>
      </c>
      <c r="BC6" s="204">
        <f>((BC3*1000000)-'Evolutive SFP'!BA38)/'Evolutive SFP'!BA26</f>
        <v>0.36420992338894265</v>
      </c>
      <c r="BD6" s="204">
        <f>((BD3*1000000)-'Evolutive SFP'!BB38)/'Evolutive SFP'!BB26</f>
        <v>0.36750543614311343</v>
      </c>
      <c r="BE6" s="204">
        <f>((BE3*1000000)-'Evolutive SFP'!BC38)/'Evolutive SFP'!BC26</f>
        <v>0.35450035887926401</v>
      </c>
      <c r="BF6" s="204">
        <f>((BF3*1000000)-'Evolutive SFP'!BD38)/'Evolutive SFP'!BD26</f>
        <v>0.33101105843886591</v>
      </c>
      <c r="BG6" s="204" t="e">
        <f>((BG3*1000000)-'Evolutive SFP'!BE38)/'Evolutive SFP'!BE26</f>
        <v>#DIV/0!</v>
      </c>
      <c r="BH6" s="204">
        <f>((BH3*1000000)-'Evolutive SFP'!BF38)/'Evolutive SFP'!BF26</f>
        <v>0.3275978178103861</v>
      </c>
      <c r="BI6" s="204">
        <f>((BI3*1000000)-'Evolutive SFP'!BG38)/'Evolutive SFP'!BG26</f>
        <v>0.32305819533000968</v>
      </c>
      <c r="BJ6" s="204">
        <f>((BJ3*1000000)-'Evolutive SFP'!BH38)/'Evolutive SFP'!BH26</f>
        <v>0.29200362710233074</v>
      </c>
      <c r="BK6" s="204">
        <f>((BK3*1000000)-'Evolutive SFP'!BI38)/'Evolutive SFP'!BI26</f>
        <v>0.29366766919884008</v>
      </c>
      <c r="BL6" s="204">
        <f>((BL3*1000000)-'Evolutive SFP'!BJ38)/'Evolutive SFP'!BJ26</f>
        <v>0.3059965489203913</v>
      </c>
      <c r="BM6" s="204">
        <f>((BM3*1000000)-'Evolutive SFP'!BK38)/'Evolutive SFP'!BK26</f>
        <v>0.30866733836886356</v>
      </c>
      <c r="BN6" s="204" t="e">
        <f>((BN3*1000000)-'Evolutive SFP'!BL38)/'Evolutive SFP'!BL26</f>
        <v>#DIV/0!</v>
      </c>
      <c r="BO6" s="204">
        <f>((BO3*1000000)-'Evolutive SFP'!BM38)/'Evolutive SFP'!BM26</f>
        <v>0.31998455593130515</v>
      </c>
      <c r="BP6" s="204">
        <f>((BP3*1000000)-'Evolutive SFP'!BN38)/'Evolutive SFP'!BN26</f>
        <v>0.31469308826200459</v>
      </c>
      <c r="BQ6" s="204">
        <f>((BQ3*1000000)-'Evolutive SFP'!BO38)/'Evolutive SFP'!BO26</f>
        <v>0.30380194349436512</v>
      </c>
      <c r="BR6" s="204">
        <f>((BR3*1000000)-'Evolutive SFP'!BP38)/'Evolutive SFP'!BP26</f>
        <v>0.3680593589481842</v>
      </c>
      <c r="BS6" s="204">
        <f>((BS3*1000000)-'Evolutive SFP'!BQ38)/'Evolutive SFP'!BQ26</f>
        <v>0.35102181561958579</v>
      </c>
      <c r="BT6" s="204">
        <f>((BT3*1000000)-'Evolutive SFP'!BR38)/'Evolutive SFP'!BR26</f>
        <v>6.0343810058805028E-2</v>
      </c>
      <c r="BU6" s="204">
        <f>((BU3*1000000)-'Evolutive SFP'!BS38)/'Evolutive SFP'!BS26</f>
        <v>0.36113362724360676</v>
      </c>
      <c r="BV6" s="204">
        <f>((BV3*1000000)-'Evolutive SFP'!BT38)/'Evolutive SFP'!BT26</f>
        <v>0.32746900997747264</v>
      </c>
      <c r="BW6" s="204">
        <f>((BW3*1000000)-'Evolutive SFP'!BU38)/'Evolutive SFP'!BU26</f>
        <v>0.33990201838967071</v>
      </c>
      <c r="BX6" s="204">
        <f>((BX3*1000000)-'Evolutive SFP'!BV38)/'Evolutive SFP'!BV26</f>
        <v>0.33474860496930336</v>
      </c>
      <c r="BY6" s="204">
        <f>((BY3*1000000)-'Evolutive SFP'!BW38)/'Evolutive SFP'!BW26</f>
        <v>0.34286710919116464</v>
      </c>
      <c r="BZ6" s="204">
        <f>((BZ3*1000000)-'Evolutive SFP'!BX38)/'Evolutive SFP'!BX26</f>
        <v>6.4907986051837077E-2</v>
      </c>
      <c r="CA6" s="204">
        <f>((CA3*1000000)-'Evolutive SFP'!BY38)/'Evolutive SFP'!BY26</f>
        <v>6.3771394125865022E-2</v>
      </c>
      <c r="CB6" s="204">
        <f>((CB3*1000000)-'Evolutive SFP'!BZ38)/'Evolutive SFP'!BZ26</f>
        <v>5.4723329938281842E-2</v>
      </c>
      <c r="CC6" s="204">
        <f>((CC3*1000000)-'Evolutive SFP'!CA38)/'Evolutive SFP'!CA26</f>
        <v>5.6159427503479929E-2</v>
      </c>
      <c r="CD6" s="204">
        <f>((CD3*1000000)-'Evolutive SFP'!CB38)/'Evolutive SFP'!CB26</f>
        <v>6.2537313347839754E-2</v>
      </c>
      <c r="CE6" s="204" t="e">
        <f>((CE3*1000000)-'Evolutive SFP'!CC38)/'Evolutive SFP'!CC26</f>
        <v>#DIV/0!</v>
      </c>
      <c r="CF6" s="204" t="e">
        <f>((CF3*1000000)-'Evolutive SFP'!CD38)/'Evolutive SFP'!CD26</f>
        <v>#DIV/0!</v>
      </c>
      <c r="CG6" s="204">
        <f>((CG3*1000000)-'Evolutive SFP'!CE38)/'Evolutive SFP'!CE26</f>
        <v>1.6500548512798162E-2</v>
      </c>
      <c r="CH6" s="204">
        <f>((CH3*1000000)-'Evolutive SFP'!CF38)/'Evolutive SFP'!CF26</f>
        <v>6.9260459115303027E-2</v>
      </c>
      <c r="CI6" s="204">
        <f>((CI3*1000000)-'Evolutive SFP'!CG38)/'Evolutive SFP'!CG26</f>
        <v>6.5551729408978118E-2</v>
      </c>
      <c r="CJ6" s="204">
        <f>((CJ3*1000000)-'Evolutive SFP'!CH38)/'Evolutive SFP'!CH26</f>
        <v>1.4314291506532434E-2</v>
      </c>
      <c r="CK6" s="204">
        <f>((CK3*1000000)-'Evolutive SFP'!CI38)/'Evolutive SFP'!CI26</f>
        <v>2.0121198176900175E-2</v>
      </c>
      <c r="CL6" s="204">
        <f>((CL3*1000000)-'Evolutive SFP'!CJ38)/'Evolutive SFP'!CJ26</f>
        <v>1.9928510961054101E-2</v>
      </c>
      <c r="CM6" s="204">
        <f>((CM3*1000000)-'Evolutive SFP'!CK38)/'Evolutive SFP'!CK26</f>
        <v>3.9248018589574031E-2</v>
      </c>
      <c r="CN6" s="204">
        <f>((CN3*1000000)-'Evolutive SFP'!CL38)/'Evolutive SFP'!CL26</f>
        <v>5.6859264295802375E-2</v>
      </c>
      <c r="CO6" s="204">
        <f>((CO3*1000000)-'Evolutive SFP'!CM38)/'Evolutive SFP'!CM26</f>
        <v>5.6586401256579676E-2</v>
      </c>
      <c r="CP6" s="204">
        <f>((CP3*1000000)-'Evolutive SFP'!CN38)/'Evolutive SFP'!CN26</f>
        <v>6.3243133497742188E-2</v>
      </c>
      <c r="CQ6" s="204">
        <f>((CQ3*1000000)-'Evolutive SFP'!CO38)/'Evolutive SFP'!CO26</f>
        <v>6.1498304029628713E-2</v>
      </c>
      <c r="CR6" s="204">
        <f>((CR3*1000000)-'Evolutive SFP'!CP38)/'Evolutive SFP'!CP26</f>
        <v>4.6210751161884618E-2</v>
      </c>
      <c r="CS6" s="204">
        <f>((CS3*1000000)-'Evolutive SFP'!CQ38)/'Evolutive SFP'!CQ26</f>
        <v>5.2826808076626736E-2</v>
      </c>
      <c r="CT6" s="204">
        <f>((CT3*1000000)-'Evolutive SFP'!CR38)/'Evolutive SFP'!CR26</f>
        <v>4.0765435429550786E-2</v>
      </c>
      <c r="CU6" s="204">
        <f>((CU3*1000000)-'Evolutive SFP'!CS38)/'Evolutive SFP'!CS26</f>
        <v>0.37307978555589311</v>
      </c>
    </row>
    <row r="7" spans="1:102" ht="15.6" x14ac:dyDescent="0.3">
      <c r="A7" s="232" t="s">
        <v>19</v>
      </c>
      <c r="B7" s="200" t="s">
        <v>20</v>
      </c>
      <c r="C7" s="201"/>
      <c r="D7" s="201"/>
      <c r="E7" s="201"/>
      <c r="F7" s="201"/>
      <c r="G7" s="192"/>
      <c r="H7" s="192"/>
      <c r="I7" s="192"/>
      <c r="J7" s="203">
        <f>'Evolutitve SCI'!H20/('FORM 4'!D14+'FORM 4'!D15+'FORM 4'!D16)</f>
        <v>9.9616100114066006E-2</v>
      </c>
      <c r="K7" s="203"/>
      <c r="L7" s="203"/>
      <c r="M7" s="203">
        <f>'Evolutive SFP'!K15/('FORM 4'!D14+'FORM 4'!D15+'FORM 4'!D16)</f>
        <v>0.65295388037784619</v>
      </c>
      <c r="N7" s="203"/>
      <c r="O7" s="203"/>
      <c r="P7" s="203">
        <f>'Evolutive SFP'!N15/('FORM 4'!D23+'FORM 4'!D24+'FORM 4'!D25)</f>
        <v>0.66699907612650788</v>
      </c>
      <c r="Q7" s="203"/>
      <c r="R7" s="203"/>
      <c r="S7" s="203">
        <f>'Evolutive SFP'!K15/('FORM 4'!D14+'FORM 4'!D15+'FORM 4'!D16)</f>
        <v>0.65295388037784619</v>
      </c>
      <c r="T7" s="203">
        <f>'Evolutive SFP'!L15/('FORM 4'!D41+'FORM 4'!D42+'FORM 4'!D43)</f>
        <v>0.7212588815796338</v>
      </c>
      <c r="U7" s="203">
        <f>'Evolutive SFP'!M15/('FORM 4'!E41+'FORM 4'!E42+'FORM 4'!E43)</f>
        <v>9420494.348571429</v>
      </c>
      <c r="V7" s="203">
        <f>'Evolutive SFP'!N15/('FORM 4'!F41+'FORM 4'!F42+'FORM 4'!F43)</f>
        <v>0.91879889179160767</v>
      </c>
      <c r="W7" s="203" t="e">
        <f>'Evolutive SFP'!O15/('FORM 4'!G41+'FORM 4'!G42+'FORM 4'!G43)</f>
        <v>#DIV/0!</v>
      </c>
      <c r="X7" s="203" t="e">
        <f>'Evolutive SFP'!P15/('FORM 4'!H41+'FORM 4'!H42+'FORM 4'!H43)</f>
        <v>#DIV/0!</v>
      </c>
      <c r="Y7" s="203" t="e">
        <f>'Evolutive SFP'!Q15/('FORM 4'!I41+'FORM 4'!I42+'FORM 4'!I43)</f>
        <v>#DIV/0!</v>
      </c>
      <c r="Z7" s="203" t="e">
        <f>'Evolutive SFP'!R15/('FORM 4'!J41+'FORM 4'!J42+'FORM 4'!J43)</f>
        <v>#DIV/0!</v>
      </c>
      <c r="AA7" s="203" t="e">
        <f>'Evolutive SFP'!S15/('FORM 4'!K41+'FORM 4'!K42+'FORM 4'!K43)</f>
        <v>#DIV/0!</v>
      </c>
      <c r="AB7" s="203" t="e">
        <f>'Evolutive SFP'!T15/('FORM 4'!L41+'FORM 4'!L42+'FORM 4'!L43)</f>
        <v>#DIV/0!</v>
      </c>
      <c r="AC7" s="203" t="e">
        <f>'Evolutive SFP'!U15/('FORM 4'!M41+'FORM 4'!M42+'FORM 4'!M43)</f>
        <v>#DIV/0!</v>
      </c>
      <c r="AD7" s="203" t="e">
        <f>'Evolutive SFP'!V15/('FORM 4'!N41+'FORM 4'!N42+'FORM 4'!N43)</f>
        <v>#DIV/0!</v>
      </c>
      <c r="AE7" s="203" t="e">
        <f>'Evolutive SFP'!W15/('FORM 4'!O41+'FORM 4'!O42+'FORM 4'!O43)</f>
        <v>#DIV/0!</v>
      </c>
      <c r="AF7" s="203" t="e">
        <f>'Evolutive SFP'!X15/('FORM 4'!P41+'FORM 4'!P42+'FORM 4'!P43)</f>
        <v>#DIV/0!</v>
      </c>
      <c r="AG7" s="203">
        <v>0</v>
      </c>
      <c r="AH7" s="203">
        <v>1</v>
      </c>
      <c r="AI7" s="203">
        <v>2</v>
      </c>
      <c r="AJ7" s="203">
        <v>3</v>
      </c>
      <c r="AK7" s="203">
        <v>4</v>
      </c>
      <c r="AL7" s="203">
        <v>5</v>
      </c>
      <c r="AM7" s="203">
        <v>6</v>
      </c>
      <c r="AN7" s="203">
        <v>7</v>
      </c>
      <c r="AO7" s="203">
        <v>8</v>
      </c>
      <c r="AP7" s="203">
        <v>9</v>
      </c>
      <c r="AQ7" s="203">
        <v>10</v>
      </c>
      <c r="AR7" s="203">
        <v>11</v>
      </c>
      <c r="AS7" s="203">
        <v>12</v>
      </c>
      <c r="AT7" s="203">
        <v>13</v>
      </c>
      <c r="AU7" s="203">
        <v>14</v>
      </c>
      <c r="AV7" s="203">
        <v>15</v>
      </c>
      <c r="AW7" s="203">
        <v>16</v>
      </c>
      <c r="AX7" s="203">
        <v>17</v>
      </c>
      <c r="AY7" s="203">
        <v>18</v>
      </c>
      <c r="AZ7" s="203">
        <v>19</v>
      </c>
      <c r="BA7" s="203">
        <v>20</v>
      </c>
      <c r="BB7" s="203">
        <v>21</v>
      </c>
      <c r="BC7" s="203">
        <v>22</v>
      </c>
      <c r="BD7" s="203">
        <v>23</v>
      </c>
      <c r="BE7" s="203">
        <v>24</v>
      </c>
      <c r="BF7" s="203">
        <v>25</v>
      </c>
      <c r="BG7" s="203">
        <v>26</v>
      </c>
      <c r="BH7" s="203">
        <v>27</v>
      </c>
      <c r="BI7" s="203">
        <v>28</v>
      </c>
      <c r="BJ7" s="203">
        <v>29</v>
      </c>
      <c r="BK7" s="203">
        <v>30</v>
      </c>
      <c r="BL7" s="203">
        <v>31</v>
      </c>
      <c r="BM7" s="203">
        <v>32</v>
      </c>
      <c r="BN7" s="203">
        <v>33</v>
      </c>
      <c r="BO7" s="203">
        <v>34</v>
      </c>
      <c r="BP7" s="203">
        <v>35</v>
      </c>
      <c r="BQ7" s="203">
        <v>36</v>
      </c>
      <c r="BR7" s="203">
        <v>37</v>
      </c>
      <c r="BS7" s="203">
        <v>38</v>
      </c>
      <c r="BT7" s="203">
        <v>39</v>
      </c>
      <c r="BU7" s="203">
        <v>40</v>
      </c>
      <c r="BV7" s="203">
        <v>41</v>
      </c>
      <c r="BW7" s="203">
        <v>42</v>
      </c>
      <c r="BX7" s="203">
        <v>43</v>
      </c>
      <c r="BY7" s="203">
        <v>44</v>
      </c>
      <c r="BZ7" s="203">
        <v>45</v>
      </c>
      <c r="CA7" s="203">
        <v>46</v>
      </c>
      <c r="CB7" s="203">
        <v>47</v>
      </c>
      <c r="CC7" s="203">
        <v>48</v>
      </c>
      <c r="CD7" s="203">
        <v>49</v>
      </c>
      <c r="CE7" s="203">
        <v>50</v>
      </c>
      <c r="CF7" s="203">
        <v>51</v>
      </c>
      <c r="CG7" s="203">
        <v>52</v>
      </c>
      <c r="CH7" s="203">
        <v>53</v>
      </c>
      <c r="CI7" s="203">
        <v>54</v>
      </c>
      <c r="CJ7" s="203">
        <v>55</v>
      </c>
      <c r="CK7" s="203">
        <v>56</v>
      </c>
      <c r="CL7" s="203">
        <v>57</v>
      </c>
      <c r="CM7" s="203">
        <v>58</v>
      </c>
      <c r="CN7" s="203">
        <v>59</v>
      </c>
      <c r="CO7" s="203">
        <v>60</v>
      </c>
      <c r="CP7" s="203">
        <v>61</v>
      </c>
      <c r="CQ7" s="203">
        <v>62</v>
      </c>
      <c r="CR7" s="203">
        <v>63</v>
      </c>
      <c r="CS7" s="203">
        <v>64</v>
      </c>
      <c r="CT7" s="203">
        <v>65</v>
      </c>
      <c r="CU7" s="203">
        <v>66</v>
      </c>
    </row>
    <row r="8" spans="1:102" ht="15.6" x14ac:dyDescent="0.3">
      <c r="A8" s="232"/>
      <c r="B8" s="200"/>
      <c r="C8" s="201"/>
      <c r="D8" s="201"/>
      <c r="E8" s="201"/>
      <c r="F8" s="201"/>
      <c r="G8" s="192"/>
      <c r="H8" s="192"/>
      <c r="I8" s="192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</row>
    <row r="9" spans="1:102" ht="15.6" x14ac:dyDescent="0.3">
      <c r="A9" s="233" t="s">
        <v>21</v>
      </c>
      <c r="B9" s="200" t="s">
        <v>22</v>
      </c>
      <c r="C9" s="201"/>
      <c r="D9" s="201"/>
      <c r="E9" s="205">
        <f>'Evolutitve SCI'!C33/(('Evolutive SFP'!B26+'Evolutive SFP'!C26)/2)</f>
        <v>2.7471150794818561E-2</v>
      </c>
      <c r="F9" s="205">
        <f>'Evolutitve SCI'!D33/(('Evolutive SFP'!C26+'Evolutive SFP'!D26)/2)</f>
        <v>1.2565004482852363E-2</v>
      </c>
      <c r="G9" s="205">
        <f>'Evolutitve SCI'!E33/(('Evolutive SFP'!D26+'Evolutive SFP'!E26)/2)</f>
        <v>-8.0671347758268837E-4</v>
      </c>
      <c r="H9" s="205">
        <f>'Evolutitve SCI'!F33/(('Evolutive SFP'!E26+'Evolutive SFP'!F26)/2)</f>
        <v>8.5797318843674545E-5</v>
      </c>
      <c r="I9" s="205">
        <f>'Evolutitve SCI'!G33/(('Evolutive SFP'!F26+'Evolutive SFP'!G26)/2)</f>
        <v>-8.4523794497915992E-3</v>
      </c>
      <c r="J9" s="205">
        <f>'Evolutitve SCI'!H33/(('Evolutive SFP'!G26+'Evolutive SFP'!H26)/2)</f>
        <v>-7.9907036451028722E-3</v>
      </c>
      <c r="K9" s="205">
        <f>'Evolutitve SCI'!I33/(('Evolutive SFP'!H26+'Evolutive SFP'!I26)/2)</f>
        <v>-2.6045327469094839E-2</v>
      </c>
      <c r="L9" s="205">
        <f>'Evolutitve SCI'!J33/(('Evolutive SFP'!I26+'Evolutive SFP'!J26)/2)</f>
        <v>-1.0553779393731515E-2</v>
      </c>
      <c r="M9" s="205">
        <f>'Evolutitve SCI'!K33/(('Evolutive SFP'!J26+'Evolutive SFP'!K26)/2)</f>
        <v>-2.4629094426266776E-2</v>
      </c>
      <c r="N9" s="205">
        <f>'Evolutitve SCI'!L33/(('Evolutive SFP'!K26+'Evolutive SFP'!L26)/2)</f>
        <v>-3.9818906516328576E-4</v>
      </c>
      <c r="O9" s="205">
        <f>'Evolutitve SCI'!M33/(('Evolutive SFP'!L26+'Evolutive SFP'!M26)/2)</f>
        <v>-3.9671709233999675E-3</v>
      </c>
      <c r="P9" s="205">
        <f>'Evolutitve SCI'!N33/(('Evolutive SFP'!M26+'Evolutive SFP'!N26)/2)</f>
        <v>-1.0147284374145657E-2</v>
      </c>
      <c r="Q9" s="205">
        <f>'Evolutitve SCI'!O33/(('Evolutive SFP'!N26+'Evolutive SFP'!O26)/2)</f>
        <v>1.2358310017972787E-2</v>
      </c>
      <c r="R9" s="205">
        <f>'Evolutitve SCI'!P33/(('Evolutive SFP'!O26+'Evolutive SFP'!P26)/2)</f>
        <v>2.2274088260295782E-2</v>
      </c>
      <c r="S9" s="205">
        <f>'Evolutitve SCI'!Q33/(('Evolutive SFP'!P26+'Evolutive SFP'!Q26)/2)</f>
        <v>1.3702565557542564E-2</v>
      </c>
      <c r="T9" s="205">
        <f>'Evolutitve SCI'!R33/(('Evolutive SFP'!Q26+'Evolutive SFP'!R26)/2)</f>
        <v>2.4619418180411634E-2</v>
      </c>
      <c r="U9" s="205">
        <f>'Evolutitve SCI'!S33/(('Evolutive SFP'!R26+'Evolutive SFP'!S26)/2)</f>
        <v>9.9813936471532024E-3</v>
      </c>
      <c r="V9" s="205">
        <f>'Evolutitve SCI'!T33/(('Evolutive SFP'!S26+'Evolutive SFP'!T26)/2)</f>
        <v>7.0771625368933034E-4</v>
      </c>
      <c r="W9" s="205">
        <f>'Evolutitve SCI'!U33/(('Evolutive SFP'!T26+'Evolutive SFP'!U26)/2)</f>
        <v>-6.9749384716948576E-3</v>
      </c>
      <c r="X9" s="205">
        <f>'Evolutitve SCI'!V33/(('Evolutive SFP'!U26+'Evolutive SFP'!V26)/2)</f>
        <v>-4.4018164614430984E-3</v>
      </c>
      <c r="Y9" s="205">
        <f>'Evolutitve SCI'!W33/(('Evolutive SFP'!V26+'Evolutive SFP'!W26)/2)</f>
        <v>-8.678195695776195E-3</v>
      </c>
      <c r="Z9" s="205">
        <f>'Evolutitve SCI'!X33/(('Evolutive SFP'!W26+'Evolutive SFP'!X26)/2)</f>
        <v>3.5972221177573865E-3</v>
      </c>
      <c r="AA9" s="205">
        <f>'Evolutitve SCI'!Y33/(('Evolutive SFP'!X26+'Evolutive SFP'!Y26)/2)</f>
        <v>-2.988499992684204E-2</v>
      </c>
      <c r="AB9" s="205">
        <f>'Evolutitve SCI'!Z33/(('Evolutive SFP'!Y26+'Evolutive SFP'!Z26)/2)</f>
        <v>-2.8340292982647168E-2</v>
      </c>
      <c r="AC9" s="205">
        <f>'Evolutitve SCI'!AA33/(('Evolutive SFP'!Z26+'Evolutive SFP'!AA26)/2)</f>
        <v>-5.3593784843650447E-2</v>
      </c>
      <c r="AD9" s="205">
        <f>'Evolutitve SCI'!AB33/(('Evolutive SFP'!AA26+'Evolutive SFP'!AB26)/2)</f>
        <v>6.1040940512184262E-3</v>
      </c>
      <c r="AE9" s="205">
        <f>'Evolutitve SCI'!AC33/(('Evolutive SFP'!AB26+'Evolutive SFP'!AC26)/2)</f>
        <v>9.32982332624889E-3</v>
      </c>
      <c r="AF9" s="205">
        <f>'Evolutitve SCI'!AD33/(('Evolutive SFP'!AC26+'Evolutive SFP'!AD26)/2)</f>
        <v>1.3598175077499452E-2</v>
      </c>
      <c r="AG9" s="205">
        <f>'Evolutitve SCI'!AE33/(('Evolutive SFP'!AD26+'Evolutive SFP'!AE26)/2)</f>
        <v>4.4851895127576924E-2</v>
      </c>
      <c r="AH9" s="205">
        <f>'Evolutitve SCI'!AF33/(('Evolutive SFP'!AE26+'Evolutive SFP'!AF26)/2)</f>
        <v>1.5986135006173421E-2</v>
      </c>
      <c r="AI9" s="205">
        <f>'Evolutitve SCI'!AG33/(('Evolutive SFP'!AF26+'Evolutive SFP'!AG26)/2)</f>
        <v>1.232867738309088E-2</v>
      </c>
      <c r="AJ9" s="205">
        <f>'Evolutitve SCI'!AH33/(('Evolutive SFP'!AG26+'Evolutive SFP'!AH26)/2)</f>
        <v>1.4645269136658079E-5</v>
      </c>
      <c r="AK9" s="205">
        <f>'Evolutitve SCI'!AI33/(('Evolutive SFP'!AH26+'Evolutive SFP'!AI26)/2)</f>
        <v>-1.7112578567685877E-2</v>
      </c>
      <c r="AL9" s="205">
        <f>'Evolutitve SCI'!AJ33/(('Evolutive SFP'!AI26+'Evolutive SFP'!AJ26)/2)</f>
        <v>-1.7836433220025573E-2</v>
      </c>
      <c r="AM9" s="205">
        <f>'Evolutitve SCI'!AK33/(('Evolutive SFP'!AJ26+'Evolutive SFP'!AK26)/2)</f>
        <v>3.1905090454337218E-2</v>
      </c>
      <c r="AN9" s="205">
        <f>'Evolutitve SCI'!AL33/(('Evolutive SFP'!AK26+'Evolutive SFP'!AL26)/2)</f>
        <v>3.1448641794327686E-2</v>
      </c>
      <c r="AO9" s="205">
        <f>'Evolutitve SCI'!AM33/(('Evolutive SFP'!AL26+'Evolutive SFP'!AM26)/2)</f>
        <v>-1.373519242981011E-4</v>
      </c>
      <c r="AP9" s="205">
        <f>'Evolutitve SCI'!AN33/(('Evolutive SFP'!AM26+'Evolutive SFP'!AN26)/2)</f>
        <v>-1.9236299677796672E-3</v>
      </c>
      <c r="AQ9" s="205">
        <f>'Evolutitve SCI'!AO33/(('Evolutive SFP'!AN26+'Evolutive SFP'!AO26)/2)</f>
        <v>3.9724845179257284E-2</v>
      </c>
      <c r="AR9" s="205">
        <f>'Evolutitve SCI'!AP33/(('Evolutive SFP'!AO26+'Evolutive SFP'!AP26)/2)</f>
        <v>3.2585622993458484E-2</v>
      </c>
      <c r="AS9" s="205">
        <f>'Evolutitve SCI'!AQ33/(('Evolutive SFP'!AP26+'Evolutive SFP'!AQ26)/2)</f>
        <v>1.480329536107575E-2</v>
      </c>
      <c r="AT9" s="205">
        <f>'Evolutitve SCI'!AR33/(('Evolutive SFP'!AQ26+'Evolutive SFP'!AR26)/2)</f>
        <v>5.8901528715109952E-2</v>
      </c>
      <c r="AU9" s="205">
        <f>'Evolutitve SCI'!AS33/(('Evolutive SFP'!AR26+'Evolutive SFP'!AS26)/2)</f>
        <v>9.4254482456629669E-3</v>
      </c>
      <c r="AV9" s="205">
        <f>'Evolutitve SCI'!AT33/(('Evolutive SFP'!AS26+'Evolutive SFP'!AT26)/2)</f>
        <v>1.318396948184869E-2</v>
      </c>
      <c r="AW9" s="205">
        <f>'Evolutitve SCI'!AU33/(('Evolutive SFP'!AT26+'Evolutive SFP'!AU26)/2)</f>
        <v>-3.9940438881709301E-3</v>
      </c>
      <c r="AX9" s="205">
        <f>'Evolutitve SCI'!AV33/(('Evolutive SFP'!AU26+'Evolutive SFP'!AV26)/2)</f>
        <v>-7.914721836088363E-3</v>
      </c>
      <c r="AY9" s="205">
        <f>'Evolutitve SCI'!AW33/(('Evolutive SFP'!AV26+'Evolutive SFP'!AW26)/2)</f>
        <v>-1.4177231864455343E-2</v>
      </c>
      <c r="AZ9" s="205">
        <f>'Evolutitve SCI'!AX33/(('Evolutive SFP'!AW26+'Evolutive SFP'!AX26)/2)</f>
        <v>4.3526336548969105E-2</v>
      </c>
      <c r="BA9" s="205">
        <f>'Evolutitve SCI'!AY33/(('Evolutive SFP'!AX26+'Evolutive SFP'!AY26)/2)</f>
        <v>4.1555085746790218E-2</v>
      </c>
      <c r="BB9" s="205">
        <f>'Evolutitve SCI'!AZ33/(('Evolutive SFP'!AY26+'Evolutive SFP'!AZ26)/2)</f>
        <v>3.1963168101752433E-2</v>
      </c>
      <c r="BC9" s="205">
        <f>'Evolutitve SCI'!BA33/(('Evolutive SFP'!AZ26+'Evolutive SFP'!BA26)/2)</f>
        <v>1.9828341856769467E-2</v>
      </c>
      <c r="BD9" s="205">
        <f>'Evolutitve SCI'!BB33/(('Evolutive SFP'!BA26+'Evolutive SFP'!BB26)/2)</f>
        <v>2.8354219693629328E-2</v>
      </c>
      <c r="BE9" s="205">
        <f>'Evolutitve SCI'!BC33/(('Evolutive SFP'!BB26+'Evolutive SFP'!BC26)/2)</f>
        <v>1.490811637407847E-2</v>
      </c>
      <c r="BF9" s="205">
        <f>'Evolutitve SCI'!BD33/(('Evolutive SFP'!BC26+'Evolutive SFP'!BD26)/2)</f>
        <v>-4.6961230350190796E-3</v>
      </c>
      <c r="BG9" s="205">
        <f>'Evolutitve SCI'!BE33/(('Evolutive SFP'!BD26+'Evolutive SFP'!BE26)/2)</f>
        <v>0</v>
      </c>
      <c r="BH9" s="205">
        <f>'Evolutitve SCI'!BF33/(('Evolutive SFP'!BE26+'Evolutive SFP'!BF26)/2)</f>
        <v>6.3531659482659701E-3</v>
      </c>
      <c r="BI9" s="205">
        <f>'Evolutitve SCI'!BG33/(('Evolutive SFP'!BF26+'Evolutive SFP'!BG26)/2)</f>
        <v>6.2082098354062001E-3</v>
      </c>
      <c r="BJ9" s="205">
        <f>'Evolutitve SCI'!BH33/(('Evolutive SFP'!BG26+'Evolutive SFP'!BH26)/2)</f>
        <v>-1.8996915383945975E-2</v>
      </c>
      <c r="BK9" s="205">
        <f>'Evolutitve SCI'!BI33/(('Evolutive SFP'!BH26+'Evolutive SFP'!BI26)/2)</f>
        <v>-1.4426589858135384E-2</v>
      </c>
      <c r="BL9" s="205">
        <f>'Evolutitve SCI'!BJ33/(('Evolutive SFP'!BI26+'Evolutive SFP'!BJ26)/2)</f>
        <v>6.0792762954579973E-3</v>
      </c>
      <c r="BM9" s="205">
        <f>'Evolutitve SCI'!BK33/(('Evolutive SFP'!BJ26+'Evolutive SFP'!BK26)/2)</f>
        <v>7.0300373472422508E-3</v>
      </c>
      <c r="BN9" s="205">
        <f>'Evolutitve SCI'!BL33/(('Evolutive SFP'!BK26+'Evolutive SFP'!BL26)/2)</f>
        <v>0</v>
      </c>
      <c r="BO9" s="205">
        <f>'Evolutitve SCI'!BM33/(('Evolutive SFP'!BL26+'Evolutive SFP'!BM26)/2)</f>
        <v>8.529489842296829E-3</v>
      </c>
      <c r="BP9" s="205">
        <f>'Evolutitve SCI'!BN33/(('Evolutive SFP'!BM26+'Evolutive SFP'!BN26)/2)</f>
        <v>-2.1268686462172534E-3</v>
      </c>
      <c r="BQ9" s="205">
        <f>'Evolutitve SCI'!BO33/(('Evolutive SFP'!BN26+'Evolutive SFP'!BO26)/2)</f>
        <v>2.4896338524478902E-2</v>
      </c>
      <c r="BR9" s="205">
        <f>'Evolutitve SCI'!BP33/(('Evolutive SFP'!BO26+'Evolutive SFP'!BP26)/2)</f>
        <v>1.8471970167937758E-2</v>
      </c>
      <c r="BS9" s="205">
        <f>'Evolutitve SCI'!BQ33/(('Evolutive SFP'!BP26+'Evolutive SFP'!BQ26)/2)</f>
        <v>8.5871866048334352E-3</v>
      </c>
      <c r="BT9" s="205">
        <f>'Evolutitve SCI'!BR33/(('Evolutive SFP'!BQ26+'Evolutive SFP'!BR26)/2)</f>
        <v>-2.2303726025151216E-3</v>
      </c>
      <c r="BU9" s="205">
        <f>'Evolutitve SCI'!BS33/(('Evolutive SFP'!BR26+'Evolutive SFP'!BS26)/2)</f>
        <v>7.4754373503680988E-3</v>
      </c>
      <c r="BV9" s="205">
        <f>'Evolutitve SCI'!BT33/(('Evolutive SFP'!BS26+'Evolutive SFP'!BT26)/2)</f>
        <v>6.8326853835791901E-4</v>
      </c>
      <c r="BW9" s="205">
        <f>'Evolutitve SCI'!BU33/(('Evolutive SFP'!BT26+'Evolutive SFP'!BU26)/2)</f>
        <v>1.4326641977018566E-3</v>
      </c>
      <c r="BX9" s="205">
        <f>'Evolutitve SCI'!BV33/(('Evolutive SFP'!BU26+'Evolutive SFP'!BV26)/2)</f>
        <v>6.4637832036490879E-3</v>
      </c>
      <c r="BY9" s="205">
        <f>'Evolutitve SCI'!BW33/(('Evolutive SFP'!BV26+'Evolutive SFP'!BW26)/2)</f>
        <v>4.9026207761928182E-3</v>
      </c>
      <c r="BZ9" s="205">
        <f>'Evolutitve SCI'!BX33/(('Evolutive SFP'!BW26+'Evolutive SFP'!BX26)/2)</f>
        <v>6.8927573534325439E-3</v>
      </c>
      <c r="CA9" s="205">
        <f>'Evolutitve SCI'!BY33/(('Evolutive SFP'!BX26+'Evolutive SFP'!BY26)/2)</f>
        <v>6.4201021087893929E-3</v>
      </c>
      <c r="CB9" s="205">
        <f>'Evolutitve SCI'!BZ33/(('Evolutive SFP'!BY26+'Evolutive SFP'!BZ26)/2)</f>
        <v>0</v>
      </c>
      <c r="CC9" s="205">
        <f>'Evolutitve SCI'!CA33/(('Evolutive SFP'!BZ26+'Evolutive SFP'!CA26)/2)</f>
        <v>0</v>
      </c>
      <c r="CD9" s="205">
        <f>'Evolutitve SCI'!CB33/(('Evolutive SFP'!CA26+'Evolutive SFP'!CB26)/2)</f>
        <v>0</v>
      </c>
      <c r="CE9" s="205">
        <f>'Evolutitve SCI'!CC33/(('Evolutive SFP'!CB26+'Evolutive SFP'!CC26)/2)</f>
        <v>0</v>
      </c>
      <c r="CF9" s="205" t="e">
        <f>'Evolutitve SCI'!CD33/(('Evolutive SFP'!CC26+'Evolutive SFP'!CD26)/2)</f>
        <v>#DIV/0!</v>
      </c>
      <c r="CG9" s="205">
        <f>'Evolutitve SCI'!CE33/(('Evolutive SFP'!CD26+'Evolutive SFP'!CE26)/2)</f>
        <v>1.3188269894983383E-2</v>
      </c>
      <c r="CH9" s="205">
        <f>'Evolutitve SCI'!CF33/(('Evolutive SFP'!CE26+'Evolutive SFP'!CF26)/2)</f>
        <v>-2.7990054353008499E-3</v>
      </c>
      <c r="CI9" s="205">
        <f>'Evolutitve SCI'!CG33/(('Evolutive SFP'!CF26+'Evolutive SFP'!CG26)/2)</f>
        <v>-7.4676387094828349E-3</v>
      </c>
      <c r="CJ9" s="205">
        <f>'Evolutitve SCI'!CH33/(('Evolutive SFP'!CG26+'Evolutive SFP'!CH26)/2)</f>
        <v>-1.5901905809602108E-2</v>
      </c>
      <c r="CK9" s="205">
        <f>'Evolutitve SCI'!CI33/(('Evolutive SFP'!CH26+'Evolutive SFP'!CI26)/2)</f>
        <v>-1.0035032813190311E-2</v>
      </c>
      <c r="CL9" s="205">
        <f>'Evolutitve SCI'!CJ33/(('Evolutive SFP'!CI26+'Evolutive SFP'!CJ26)/2)</f>
        <v>-1.1515538971232244E-2</v>
      </c>
      <c r="CM9" s="205">
        <f>'Evolutitve SCI'!CK33/(('Evolutive SFP'!CJ26+'Evolutive SFP'!CK26)/2)</f>
        <v>1.127594826438242E-2</v>
      </c>
      <c r="CN9" s="205">
        <f>'Evolutitve SCI'!CL33/(('Evolutive SFP'!CK26+'Evolutive SFP'!CL26)/2)</f>
        <v>4.6060360721933237E-2</v>
      </c>
      <c r="CO9" s="205">
        <f>'Evolutitve SCI'!CM33/(('Evolutive SFP'!CL26+'Evolutive SFP'!CM26)/2)</f>
        <v>3.1169867727812786E-2</v>
      </c>
      <c r="CP9" s="205">
        <f>'Evolutitve SCI'!CN33/(('Evolutive SFP'!CM26+'Evolutive SFP'!CN26)/2)</f>
        <v>3.6207146551311707E-2</v>
      </c>
      <c r="CQ9" s="205">
        <f>'Evolutitve SCI'!CO33/(('Evolutive SFP'!CN26+'Evolutive SFP'!CO26)/2)</f>
        <v>3.4331449159599611E-2</v>
      </c>
      <c r="CR9" s="205">
        <f>'Evolutitve SCI'!CP33/(('Evolutive SFP'!CO26+'Evolutive SFP'!CP26)/2)</f>
        <v>1.8782406433758416E-2</v>
      </c>
      <c r="CS9" s="205">
        <f>'Evolutitve SCI'!CQ33/(('Evolutive SFP'!CP26+'Evolutive SFP'!CQ26)/2)</f>
        <v>2.53317844319704E-2</v>
      </c>
      <c r="CT9" s="205">
        <f>'Evolutitve SCI'!CR33/(('Evolutive SFP'!CQ26+'Evolutive SFP'!CR26)/2)</f>
        <v>2.5218325198812525E-2</v>
      </c>
      <c r="CU9" s="205">
        <f>'Evolutitve SCI'!CS33/(('Evolutive SFP'!CR26+'Evolutive SFP'!CS26)/2)</f>
        <v>4.1488780173776175E-3</v>
      </c>
    </row>
    <row r="10" spans="1:102" ht="30" x14ac:dyDescent="0.3">
      <c r="A10" s="233"/>
      <c r="B10" s="200" t="s">
        <v>23</v>
      </c>
      <c r="C10" s="201"/>
      <c r="D10" s="203">
        <f>'Evolutitve SCI'!B23/'Evolutitve SCI'!B19</f>
        <v>0.85142685871657697</v>
      </c>
      <c r="E10" s="203">
        <f>'Evolutitve SCI'!C23/'Evolutitve SCI'!C19</f>
        <v>0.82980359611574683</v>
      </c>
      <c r="F10" s="203">
        <f>'Evolutitve SCI'!D23/'Evolutitve SCI'!D19</f>
        <v>0.90824194956772697</v>
      </c>
      <c r="G10" s="203">
        <f>'Evolutitve SCI'!E23/'Evolutitve SCI'!E19</f>
        <v>0.88951045655328875</v>
      </c>
      <c r="H10" s="203">
        <f>'Evolutitve SCI'!F23/'Evolutitve SCI'!F19</f>
        <v>0.64141686049651481</v>
      </c>
      <c r="I10" s="203">
        <f>'Evolutitve SCI'!G23/'Evolutitve SCI'!G19</f>
        <v>1.0851038345882378</v>
      </c>
      <c r="J10" s="203">
        <f>'Evolutitve SCI'!H23/'Evolutitve SCI'!H19</f>
        <v>1.0525411843968087</v>
      </c>
      <c r="K10" s="203">
        <f>'Evolutitve SCI'!I23/'Evolutitve SCI'!I19</f>
        <v>1.5009165981979962</v>
      </c>
      <c r="L10" s="203">
        <f>'Evolutitve SCI'!J23/'Evolutitve SCI'!J19</f>
        <v>1.2964591675538457</v>
      </c>
      <c r="M10" s="203">
        <f>'Evolutitve SCI'!K23/'Evolutitve SCI'!K19</f>
        <v>1.324610793146425</v>
      </c>
      <c r="N10" s="203">
        <f>'Evolutitve SCI'!L23/'Evolutitve SCI'!L19</f>
        <v>0.88494833118499339</v>
      </c>
      <c r="O10" s="203">
        <f>'Evolutitve SCI'!M23/'Evolutitve SCI'!M19</f>
        <v>0.90478030060723702</v>
      </c>
      <c r="P10" s="203">
        <f>'Evolutitve SCI'!N23/'Evolutitve SCI'!N19</f>
        <v>1.010054536409942</v>
      </c>
      <c r="Q10" s="203">
        <f>'Evolutitve SCI'!O23/'Evolutitve SCI'!O19</f>
        <v>0.86241634731048133</v>
      </c>
      <c r="R10" s="203">
        <f>'Evolutitve SCI'!P23/'Evolutitve SCI'!P19</f>
        <v>0.86037997378421649</v>
      </c>
      <c r="S10" s="203">
        <f>'Evolutitve SCI'!Q23/'Evolutitve SCI'!Q19</f>
        <v>0.82985697391960334</v>
      </c>
      <c r="T10" s="203">
        <f>'Evolutitve SCI'!R23/'Evolutitve SCI'!R19</f>
        <v>0.81827991897611962</v>
      </c>
      <c r="U10" s="203">
        <f>'Evolutitve SCI'!S23/'Evolutitve SCI'!S19</f>
        <v>0.60689921145770609</v>
      </c>
      <c r="V10" s="203">
        <f>'Evolutitve SCI'!T23/'Evolutitve SCI'!T19</f>
        <v>0.90159730100542135</v>
      </c>
      <c r="W10" s="203">
        <f>'Evolutitve SCI'!U23/'Evolutitve SCI'!U19</f>
        <v>1.1601914447752422</v>
      </c>
      <c r="X10" s="203">
        <f>'Evolutitve SCI'!V23/'Evolutitve SCI'!V19</f>
        <v>1.133816700082531</v>
      </c>
      <c r="Y10" s="203">
        <f>'Evolutitve SCI'!W23/'Evolutitve SCI'!W19</f>
        <v>1.2232626135530216</v>
      </c>
      <c r="Z10" s="203">
        <f>'Evolutitve SCI'!X23/'Evolutitve SCI'!X19</f>
        <v>1.0103088271307523</v>
      </c>
      <c r="AA10" s="203">
        <f>'Evolutitve SCI'!Y23/'Evolutitve SCI'!Y19</f>
        <v>1.2069824457047973</v>
      </c>
      <c r="AB10" s="203">
        <f>'Evolutitve SCI'!Z23/'Evolutitve SCI'!Z19</f>
        <v>1.3154372835733994</v>
      </c>
      <c r="AC10" s="203">
        <f>'Evolutitve SCI'!AA23/'Evolutitve SCI'!AA19</f>
        <v>1.2950136667449175</v>
      </c>
      <c r="AD10" s="203">
        <f>'Evolutitve SCI'!AB23/'Evolutitve SCI'!AB19</f>
        <v>0.94356057222350387</v>
      </c>
      <c r="AE10" s="203">
        <f>'Evolutitve SCI'!AC23/'Evolutitve SCI'!AC19</f>
        <v>0.95809396866449259</v>
      </c>
      <c r="AF10" s="203">
        <f>'Evolutitve SCI'!AD23/'Evolutitve SCI'!AD19</f>
        <v>0.87580690121026228</v>
      </c>
      <c r="AG10" s="204">
        <f>'Evolutitve SCI'!AE23/'Evolutitve SCI'!AE19</f>
        <v>0.81113085506972293</v>
      </c>
      <c r="AH10" s="204">
        <f>'Evolutitve SCI'!AF23/'Evolutitve SCI'!AF19</f>
        <v>0.5497862365726961</v>
      </c>
      <c r="AI10" s="204">
        <f>'Evolutitve SCI'!AG23/'Evolutitve SCI'!AG19</f>
        <v>0.81820947630209162</v>
      </c>
      <c r="AJ10" s="204">
        <f>'Evolutitve SCI'!AH23/'Evolutitve SCI'!AH19</f>
        <v>1.1897804086931927</v>
      </c>
      <c r="AK10" s="204">
        <f>'Evolutitve SCI'!AI23/'Evolutitve SCI'!AI19</f>
        <v>1.6501318857747096</v>
      </c>
      <c r="AL10" s="204">
        <f>'Evolutitve SCI'!AJ23/'Evolutitve SCI'!AJ19</f>
        <v>1.6132332701941341</v>
      </c>
      <c r="AM10" s="204">
        <f>'Evolutitve SCI'!AK23/'Evolutitve SCI'!AK19</f>
        <v>0.79787957207745752</v>
      </c>
      <c r="AN10" s="204">
        <f>'Evolutitve SCI'!AL23/'Evolutitve SCI'!AL19</f>
        <v>0.79787957207745752</v>
      </c>
      <c r="AO10" s="204">
        <f>'Evolutitve SCI'!AM23/'Evolutitve SCI'!AM19</f>
        <v>1.0443859726312601</v>
      </c>
      <c r="AP10" s="204">
        <f>'Evolutitve SCI'!AN23/'Evolutitve SCI'!AN19</f>
        <v>1.0526388380626959</v>
      </c>
      <c r="AQ10" s="204">
        <f>'Evolutitve SCI'!AO23/'Evolutitve SCI'!AO19</f>
        <v>0.80756195289749977</v>
      </c>
      <c r="AR10" s="204">
        <f>'Evolutitve SCI'!AP23/'Evolutitve SCI'!AP19</f>
        <v>0.82339621801849006</v>
      </c>
      <c r="AS10" s="204">
        <f>'Evolutitve SCI'!AQ23/'Evolutitve SCI'!AQ19</f>
        <v>0.85303731159721463</v>
      </c>
      <c r="AT10" s="204">
        <f>'Evolutitve SCI'!AR23/'Evolutitve SCI'!AR19</f>
        <v>0.73565854888090665</v>
      </c>
      <c r="AU10" s="204">
        <f>'Evolutitve SCI'!AS23/'Evolutitve SCI'!AS19</f>
        <v>0.76445472036567508</v>
      </c>
      <c r="AV10" s="204">
        <f>'Evolutitve SCI'!AT23/'Evolutitve SCI'!AT19</f>
        <v>0.87181803264878499</v>
      </c>
      <c r="AW10" s="204">
        <f>'Evolutitve SCI'!AU23/'Evolutitve SCI'!AU19</f>
        <v>1.271992567343579</v>
      </c>
      <c r="AX10" s="204">
        <f>'Evolutitve SCI'!AV23/'Evolutitve SCI'!AV19</f>
        <v>1.2881177874202399</v>
      </c>
      <c r="AY10" s="204">
        <f>'Evolutitve SCI'!AW23/'Evolutitve SCI'!AW19</f>
        <v>1.3307762561495671</v>
      </c>
      <c r="AZ10" s="204">
        <f>'Evolutitve SCI'!AX23/'Evolutitve SCI'!AX19</f>
        <v>0.71766829670373067</v>
      </c>
      <c r="BA10" s="204">
        <f>'Evolutitve SCI'!AY23/'Evolutitve SCI'!AY19</f>
        <v>0.75655093049434774</v>
      </c>
      <c r="BB10" s="204">
        <f>'Evolutitve SCI'!AZ23/'Evolutitve SCI'!AZ19</f>
        <v>0.79570605066694078</v>
      </c>
      <c r="BC10" s="204">
        <f>'Evolutitve SCI'!BA23/'Evolutitve SCI'!BA19</f>
        <v>0.86987906138869153</v>
      </c>
      <c r="BD10" s="204">
        <f>'Evolutitve SCI'!BB23/'Evolutitve SCI'!BB19</f>
        <v>0.79879596056351865</v>
      </c>
      <c r="BE10" s="204">
        <f>'Evolutitve SCI'!BC23/'Evolutitve SCI'!BC19</f>
        <v>0.84320907891010788</v>
      </c>
      <c r="BF10" s="204">
        <f>'Evolutitve SCI'!BD23/'Evolutitve SCI'!BD19</f>
        <v>0.94287324009212781</v>
      </c>
      <c r="BG10" s="204" t="e">
        <f>'Evolutitve SCI'!BE23/'Evolutitve SCI'!BE19</f>
        <v>#DIV/0!</v>
      </c>
      <c r="BH10" s="204">
        <f>'Evolutitve SCI'!BF23/'Evolutitve SCI'!BF19</f>
        <v>0.65079584002032753</v>
      </c>
      <c r="BI10" s="204">
        <f>'Evolutitve SCI'!BG23/'Evolutitve SCI'!BG19</f>
        <v>0.88716030598359696</v>
      </c>
      <c r="BJ10" s="204">
        <f>'Evolutitve SCI'!BH23/'Evolutitve SCI'!BH19</f>
        <v>1.4495375097672683</v>
      </c>
      <c r="BK10" s="204">
        <f>'Evolutitve SCI'!BI23/'Evolutitve SCI'!BI19</f>
        <v>1.278105854145954</v>
      </c>
      <c r="BL10" s="204">
        <f>'Evolutitve SCI'!BJ23/'Evolutitve SCI'!BJ19</f>
        <v>0.8430312269826804</v>
      </c>
      <c r="BM10" s="204">
        <f>'Evolutitve SCI'!BK23/'Evolutitve SCI'!BK19</f>
        <v>0.87578488231910923</v>
      </c>
      <c r="BN10" s="204" t="e">
        <f>'Evolutitve SCI'!BL23/'Evolutitve SCI'!BL19</f>
        <v>#DIV/0!</v>
      </c>
      <c r="BO10" s="204">
        <f>'Evolutitve SCI'!BM23/'Evolutitve SCI'!BM19</f>
        <v>0.94358280885285328</v>
      </c>
      <c r="BP10" s="204">
        <f>'Evolutitve SCI'!BN23/'Evolutitve SCI'!BN19</f>
        <v>1.0609297925231433</v>
      </c>
      <c r="BQ10" s="204">
        <f>'Evolutitve SCI'!BO23/'Evolutitve SCI'!BO19</f>
        <v>0.84548208383088097</v>
      </c>
      <c r="BR10" s="204">
        <f>'Evolutitve SCI'!BP23/'Evolutitve SCI'!BP19</f>
        <v>0.92266426568684679</v>
      </c>
      <c r="BS10" s="204">
        <f>'Evolutitve SCI'!BQ23/'Evolutitve SCI'!BQ19</f>
        <v>0.98275662383908924</v>
      </c>
      <c r="BT10" s="204">
        <f>'Evolutitve SCI'!BR23/'Evolutitve SCI'!BR19</f>
        <v>1.0147227499885376</v>
      </c>
      <c r="BU10" s="204">
        <f>'Evolutitve SCI'!BS23/'Evolutitve SCI'!BS19</f>
        <v>0.572408175304149</v>
      </c>
      <c r="BV10" s="204">
        <f>'Evolutitve SCI'!BT23/'Evolutitve SCI'!BT19</f>
        <v>1.0951726819835397</v>
      </c>
      <c r="BW10" s="204">
        <f>'Evolutitve SCI'!BU23/'Evolutitve SCI'!BU19</f>
        <v>1.0431436935658327</v>
      </c>
      <c r="BX10" s="204">
        <f>'Evolutitve SCI'!BV23/'Evolutitve SCI'!BV19</f>
        <v>0.9269553692391872</v>
      </c>
      <c r="BY10" s="204">
        <f>'Evolutitve SCI'!BW23/'Evolutitve SCI'!BW19</f>
        <v>0.94380634647389838</v>
      </c>
      <c r="BZ10" s="204">
        <f>'Evolutitve SCI'!BX23/'Evolutitve SCI'!BX19</f>
        <v>0.94759421348511574</v>
      </c>
      <c r="CA10" s="204">
        <f>'Evolutitve SCI'!BY23/'Evolutitve SCI'!BY19</f>
        <v>0.95455802288285097</v>
      </c>
      <c r="CB10" s="204" t="e">
        <f>'Evolutitve SCI'!BZ23/'Evolutitve SCI'!BZ19</f>
        <v>#DIV/0!</v>
      </c>
      <c r="CC10" s="204" t="e">
        <f>'Evolutitve SCI'!CA23/'Evolutitve SCI'!CA19</f>
        <v>#DIV/0!</v>
      </c>
      <c r="CD10" s="204" t="e">
        <f>'Evolutitve SCI'!CB23/'Evolutitve SCI'!CB19</f>
        <v>#DIV/0!</v>
      </c>
      <c r="CE10" s="204" t="e">
        <f>'Evolutitve SCI'!CC23/'Evolutitve SCI'!CC19</f>
        <v>#DIV/0!</v>
      </c>
      <c r="CF10" s="204" t="e">
        <f>'Evolutitve SCI'!CD23/'Evolutitve SCI'!CD19</f>
        <v>#DIV/0!</v>
      </c>
      <c r="CG10" s="204">
        <f>'Evolutitve SCI'!CE23/'Evolutitve SCI'!CE19</f>
        <v>0.95925705131957317</v>
      </c>
      <c r="CH10" s="204">
        <f>'Evolutitve SCI'!CF23/'Evolutitve SCI'!CF19</f>
        <v>0.96695204838548099</v>
      </c>
      <c r="CI10" s="204">
        <f>'Evolutitve SCI'!CG23/'Evolutitve SCI'!CG19</f>
        <v>1.1307225154841125</v>
      </c>
      <c r="CJ10" s="204">
        <f>'Evolutitve SCI'!CH23/'Evolutitve SCI'!CH19</f>
        <v>1.350918591065952</v>
      </c>
      <c r="CK10" s="204">
        <f>'Evolutitve SCI'!CI23/'Evolutitve SCI'!CI19</f>
        <v>1.1035121599276856</v>
      </c>
      <c r="CL10" s="204">
        <f>'Evolutitve SCI'!CJ23/'Evolutitve SCI'!CJ19</f>
        <v>1.0964662260664977</v>
      </c>
      <c r="CM10" s="204">
        <f>'Evolutitve SCI'!CK23/'Evolutitve SCI'!CK19</f>
        <v>0.79709243950887065</v>
      </c>
      <c r="CN10" s="204">
        <f>'Evolutitve SCI'!CL23/'Evolutitve SCI'!CL19</f>
        <v>0.66023827064122642</v>
      </c>
      <c r="CO10" s="204">
        <f>'Evolutitve SCI'!CM23/'Evolutitve SCI'!CM19</f>
        <v>0.70160070435490784</v>
      </c>
      <c r="CP10" s="204">
        <f>'Evolutitve SCI'!CN23/'Evolutitve SCI'!CN19</f>
        <v>0.7020992788776661</v>
      </c>
      <c r="CQ10" s="204">
        <f>'Evolutitve SCI'!CO23/'Evolutitve SCI'!CO19</f>
        <v>0.73435626333414239</v>
      </c>
      <c r="CR10" s="204">
        <f>'Evolutitve SCI'!CP23/'Evolutitve SCI'!CP19</f>
        <v>0.81601222182574262</v>
      </c>
      <c r="CS10" s="204">
        <f>'Evolutitve SCI'!CQ23/'Evolutitve SCI'!CQ19</f>
        <v>0.82221840879598995</v>
      </c>
      <c r="CT10" s="204">
        <f>'Evolutitve SCI'!CR23/'Evolutitve SCI'!CR19</f>
        <v>0.81855281988212492</v>
      </c>
      <c r="CU10" s="204">
        <f>'Evolutitve SCI'!CS23/'Evolutitve SCI'!CS19</f>
        <v>0.59601910885551834</v>
      </c>
    </row>
    <row r="11" spans="1:102" ht="18.75" customHeight="1" x14ac:dyDescent="0.3">
      <c r="A11" s="233"/>
      <c r="B11" s="200" t="s">
        <v>24</v>
      </c>
      <c r="C11" s="201"/>
      <c r="D11" s="203">
        <f>('Evolutitve SCI'!B23+'Evolutitve SCI'!B12)/(('Evolutive SFP'!B26+'Evolutive SFP'!C26)/2)</f>
        <v>0.16569148853480503</v>
      </c>
      <c r="E11" s="203">
        <f>('Evolutitve SCI'!C23+'Evolutitve SCI'!C12)/(('Evolutive SFP'!C26+'Evolutive SFP'!D26)/2)</f>
        <v>0.19354258972568075</v>
      </c>
      <c r="F11" s="203">
        <f>('Evolutitve SCI'!D23+'Evolutitve SCI'!D12)/(('Evolutive SFP'!D26+'Evolutive SFP'!E26)/2)</f>
        <v>0.18151854700993228</v>
      </c>
      <c r="G11" s="203">
        <f>('Evolutitve SCI'!E23+'Evolutitve SCI'!E12)/(('Evolutive SFP'!E26+'Evolutive SFP'!F26)/2)</f>
        <v>1.3349020171522166E-2</v>
      </c>
      <c r="H11" s="203">
        <f>('Evolutitve SCI'!F23+'Evolutitve SCI'!F12)/(('Evolutive SFP'!F26+'Evolutive SFP'!G26)/2)</f>
        <v>1.0920594935628089E-2</v>
      </c>
      <c r="I11" s="203">
        <f>('Evolutitve SCI'!G23+'Evolutitve SCI'!G12)/(('Evolutive SFP'!G26+'Evolutive SFP'!H26)/2)</f>
        <v>2.7479629658846667E-2</v>
      </c>
      <c r="J11" s="203">
        <f>('Evolutitve SCI'!H23+'Evolutitve SCI'!H12)/(('Evolutive SFP'!H26+'Evolutive SFP'!I26)/2)</f>
        <v>2.586247233033237E-2</v>
      </c>
      <c r="K11" s="203">
        <f>('Evolutitve SCI'!I23+'Evolutitve SCI'!I12)/(('Evolutive SFP'!I26+'Evolutive SFP'!J26)/2)</f>
        <v>8.1807289506097711E-2</v>
      </c>
      <c r="L11" s="203">
        <f>('Evolutitve SCI'!J23+'Evolutitve SCI'!J12)/(('Evolutive SFP'!J26+'Evolutive SFP'!K26)/2)</f>
        <v>7.2404933571446645E-2</v>
      </c>
      <c r="M11" s="203">
        <f>('Evolutitve SCI'!K23+'Evolutitve SCI'!K12)/(('Evolutive SFP'!K26+'Evolutive SFP'!L26)/2)</f>
        <v>8.8728270203693088E-2</v>
      </c>
      <c r="N11" s="203">
        <f>('Evolutitve SCI'!L23+'Evolutitve SCI'!L12)/(('Evolutive SFP'!L26+'Evolutive SFP'!M26)/2)</f>
        <v>0.11335113880887265</v>
      </c>
      <c r="O11" s="203">
        <f>('Evolutitve SCI'!M23+'Evolutitve SCI'!M12)/(('Evolutive SFP'!M26+'Evolutive SFP'!N26)/2)</f>
        <v>0.38108258707748077</v>
      </c>
      <c r="P11" s="203">
        <f>('Evolutitve SCI'!N23+'Evolutitve SCI'!N12)/(('Evolutive SFP'!N26+'Evolutive SFP'!O26)/2)</f>
        <v>0.12146882633269428</v>
      </c>
      <c r="Q11" s="203">
        <f>('Evolutitve SCI'!O23+'Evolutitve SCI'!O12)/(('Evolutive SFP'!O26+'Evolutive SFP'!P26)/2)</f>
        <v>0.10788401852016589</v>
      </c>
      <c r="R11" s="203">
        <f>('Evolutitve SCI'!P23+'Evolutitve SCI'!P12)/(('Evolutive SFP'!P26+'Evolutive SFP'!Q26)/2)</f>
        <v>0.27939789626499539</v>
      </c>
      <c r="S11" s="203">
        <f>('Evolutitve SCI'!Q23+'Evolutitve SCI'!Q12)/(('Evolutive SFP'!Q26+'Evolutive SFP'!R26)/2)</f>
        <v>0.25055295320217374</v>
      </c>
      <c r="T11" s="203">
        <f>('Evolutitve SCI'!R23+'Evolutitve SCI'!R12)/(('Evolutive SFP'!R26+'Evolutive SFP'!S26)/2)</f>
        <v>0.16651433535133803</v>
      </c>
      <c r="U11" s="203">
        <f>('Evolutitve SCI'!S23+'Evolutitve SCI'!S12)/(('Evolutive SFP'!S26+'Evolutive SFP'!T26)/2)</f>
        <v>1.6378043041596173E-2</v>
      </c>
      <c r="V11" s="203">
        <f>('Evolutitve SCI'!T23+'Evolutitve SCI'!T12)/(('Evolutive SFP'!T26+'Evolutive SFP'!U26)/2)</f>
        <v>3.0631348845286344E-2</v>
      </c>
      <c r="W11" s="203">
        <f>('Evolutitve SCI'!U23+'Evolutitve SCI'!U12)/(('Evolutive SFP'!U26+'Evolutive SFP'!V26)/2)</f>
        <v>0.10582637032293193</v>
      </c>
      <c r="X11" s="203">
        <f>('Evolutitve SCI'!V23+'Evolutitve SCI'!V12)/(('Evolutive SFP'!V26+'Evolutive SFP'!W26)/2)</f>
        <v>6.8425419346689664E-2</v>
      </c>
      <c r="Y11" s="203">
        <f>('Evolutitve SCI'!W23+'Evolutitve SCI'!W12)/(('Evolutive SFP'!W26+'Evolutive SFP'!X26)/2)</f>
        <v>9.1296901885805817E-2</v>
      </c>
      <c r="Z11" s="203">
        <f>('Evolutitve SCI'!X23+'Evolutitve SCI'!X12)/(('Evolutive SFP'!X26+'Evolutive SFP'!Y26)/2)</f>
        <v>7.4921450056319075E-2</v>
      </c>
      <c r="AA11" s="203">
        <f>('Evolutitve SCI'!Y23+'Evolutitve SCI'!Y12)/(('Evolutive SFP'!Y26+'Evolutive SFP'!Z26)/2)</f>
        <v>0.22718468005810707</v>
      </c>
      <c r="AB11" s="203">
        <f>('Evolutitve SCI'!Z23+'Evolutitve SCI'!Z12)/(('Evolutive SFP'!Z26+'Evolutive SFP'!AA26)/2)</f>
        <v>0.12201249706423034</v>
      </c>
      <c r="AC11" s="203">
        <f>('Evolutitve SCI'!AA23+'Evolutitve SCI'!AA12)/(('Evolutive SFP'!AA26+'Evolutive SFP'!AB26)/2)</f>
        <v>0.25167537375996374</v>
      </c>
      <c r="AD11" s="203">
        <f>('Evolutitve SCI'!AB23+'Evolutitve SCI'!AB12)/(('Evolutive SFP'!AB26+'Evolutive SFP'!AC26)/2)</f>
        <v>0.13467270475254356</v>
      </c>
      <c r="AE11" s="203">
        <f>('Evolutitve SCI'!AC23+'Evolutitve SCI'!AC12)/(('Evolutive SFP'!AC26+'Evolutive SFP'!AD26)/2)</f>
        <v>0.38225142972763482</v>
      </c>
      <c r="AF11" s="203">
        <f>('Evolutitve SCI'!AD23+'Evolutitve SCI'!AD12)/(('Evolutive SFP'!AD26+'Evolutive SFP'!AE26)/2)</f>
        <v>0.27665639707805473</v>
      </c>
      <c r="AG11" s="203">
        <f>('Evolutitve SCI'!AE23+'Evolutitve SCI'!AE12)/(('Evolutive SFP'!AE26+'Evolutive SFP'!AF26)/2)</f>
        <v>0.2555637637224823</v>
      </c>
      <c r="AH11" s="203">
        <f>('Evolutitve SCI'!AF23+'Evolutitve SCI'!AF12)/(('Evolutive SFP'!AF26+'Evolutive SFP'!AG26)/2)</f>
        <v>1.4765321699239574E-2</v>
      </c>
      <c r="AI11" s="203">
        <f>('Evolutitve SCI'!AG23+'Evolutitve SCI'!AG12)/(('Evolutive SFP'!AG26+'Evolutive SFP'!AH26)/2)</f>
        <v>3.1992076154961954E-2</v>
      </c>
      <c r="AJ11" s="203">
        <f>('Evolutitve SCI'!AH23+'Evolutitve SCI'!AH12)/(('Evolutive SFP'!AH26+'Evolutive SFP'!AI26)/2)</f>
        <v>6.052699253398177E-2</v>
      </c>
      <c r="AK11" s="203">
        <f>('Evolutitve SCI'!AI23+'Evolutitve SCI'!AI12)/(('Evolutive SFP'!AI26+'Evolutive SFP'!AJ26)/2)</f>
        <v>8.6970627330009542E-2</v>
      </c>
      <c r="AL11" s="203">
        <f>('Evolutitve SCI'!AJ23+'Evolutitve SCI'!AJ12)/(('Evolutive SFP'!AJ26+'Evolutive SFP'!AK26)/2)</f>
        <v>0.10159430137958095</v>
      </c>
      <c r="AM11" s="203">
        <f>('Evolutitve SCI'!AK23+'Evolutitve SCI'!AK12)/(('Evolutive SFP'!AK26+'Evolutive SFP'!AL26)/2)</f>
        <v>0.13440260241113203</v>
      </c>
      <c r="AN11" s="203">
        <f>('Evolutitve SCI'!AL23+'Evolutitve SCI'!AL12)/(('Evolutive SFP'!AL26+'Evolutive SFP'!AM26)/2)</f>
        <v>0.1400056041685396</v>
      </c>
      <c r="AO11" s="203">
        <f>('Evolutitve SCI'!AM23+'Evolutitve SCI'!AM12)/(('Evolutive SFP'!AM26+'Evolutive SFP'!AN26)/2)</f>
        <v>0.20095007483681609</v>
      </c>
      <c r="AP11" s="203">
        <f>('Evolutitve SCI'!AN23+'Evolutitve SCI'!AN12)/(('Evolutive SFP'!AN26+'Evolutive SFP'!AO26)/2)</f>
        <v>0.16720072566527283</v>
      </c>
      <c r="AQ11" s="203">
        <f>('Evolutitve SCI'!AO23+'Evolutitve SCI'!AO12)/(('Evolutive SFP'!AO26+'Evolutive SFP'!AP26)/2)</f>
        <v>0.18458360993745038</v>
      </c>
      <c r="AR11" s="203">
        <f>('Evolutitve SCI'!AP23+'Evolutitve SCI'!AP12)/(('Evolutive SFP'!AP26+'Evolutive SFP'!AQ26)/2)</f>
        <v>0.25515608589248601</v>
      </c>
      <c r="AS11" s="203">
        <f>('Evolutitve SCI'!AQ23+'Evolutitve SCI'!AQ12)/(('Evolutive SFP'!AQ26+'Evolutive SFP'!AR26)/2)</f>
        <v>0.22688102730746323</v>
      </c>
      <c r="AT11" s="203">
        <f>('Evolutitve SCI'!AR23+'Evolutitve SCI'!AR12)/(('Evolutive SFP'!AR26+'Evolutive SFP'!AS26)/2)</f>
        <v>0.21969000846491371</v>
      </c>
      <c r="AU11" s="203">
        <f>('Evolutitve SCI'!AS23+'Evolutitve SCI'!AS12)/(('Evolutive SFP'!AS26+'Evolutive SFP'!AT26)/2)</f>
        <v>2.2530300010199723E-2</v>
      </c>
      <c r="AV11" s="203">
        <f>('Evolutitve SCI'!AT23+'Evolutitve SCI'!AT12)/(('Evolutive SFP'!AT26+'Evolutive SFP'!AU26)/2)</f>
        <v>3.7805757108045984E-2</v>
      </c>
      <c r="AW11" s="203">
        <f>('Evolutitve SCI'!AU23+'Evolutitve SCI'!AU12)/(('Evolutive SFP'!AU26+'Evolutive SFP'!AV26)/2)</f>
        <v>6.6179522159050097E-2</v>
      </c>
      <c r="AX11" s="203">
        <f>('Evolutitve SCI'!AV23+'Evolutitve SCI'!AV12)/(('Evolutive SFP'!AV26+'Evolutive SFP'!AW26)/2)</f>
        <v>8.5206656703616407E-2</v>
      </c>
      <c r="AY11" s="203">
        <f>('Evolutitve SCI'!AW23+'Evolutitve SCI'!AW12)/(('Evolutive SFP'!AW26+'Evolutive SFP'!AX26)/2)</f>
        <v>0.1054878887983348</v>
      </c>
      <c r="AZ11" s="203">
        <f>('Evolutitve SCI'!AX23+'Evolutitve SCI'!AX12)/(('Evolutive SFP'!AX26+'Evolutive SFP'!AY26)/2)</f>
        <v>0.12355426376543228</v>
      </c>
      <c r="BA11" s="203">
        <f>('Evolutitve SCI'!AY23+'Evolutitve SCI'!AY12)/(('Evolutive SFP'!AY26+'Evolutive SFP'!AZ26)/2)</f>
        <v>0.12435294030981119</v>
      </c>
      <c r="BB11" s="203">
        <f>('Evolutitve SCI'!AZ23+'Evolutitve SCI'!AZ12)/(('Evolutive SFP'!AZ26+'Evolutive SFP'!BA26)/2)</f>
        <v>0.12226886095158915</v>
      </c>
      <c r="BC11" s="203">
        <f>('Evolutitve SCI'!BA23+'Evolutitve SCI'!BA12)/(('Evolutive SFP'!BA26+'Evolutive SFP'!BB26)/2)</f>
        <v>0.14256745574382804</v>
      </c>
      <c r="BD11" s="203">
        <f>('Evolutitve SCI'!BB23+'Evolutitve SCI'!BB12)/(('Evolutive SFP'!BB26+'Evolutive SFP'!BC26)/2)</f>
        <v>0.16297655936658761</v>
      </c>
      <c r="BE11" s="203">
        <f>('Evolutitve SCI'!BC23+'Evolutitve SCI'!BC12)/(('Evolutive SFP'!BC26+'Evolutive SFP'!BD26)/2)</f>
        <v>0.18037554042872767</v>
      </c>
      <c r="BF11" s="203">
        <f>('Evolutitve SCI'!BD23+'Evolutitve SCI'!BD12)/(('Evolutive SFP'!BD26+'Evolutive SFP'!BE26)/2)</f>
        <v>0.42700759290829482</v>
      </c>
      <c r="BG11" s="203">
        <f>('Evolutitve SCI'!BE23+'Evolutitve SCI'!BE12)/(('Evolutive SFP'!BE26+'Evolutive SFP'!BF26)/2)</f>
        <v>0</v>
      </c>
      <c r="BH11" s="203">
        <f>('Evolutitve SCI'!BF23+'Evolutitve SCI'!BF12)/(('Evolutive SFP'!BF26+'Evolutive SFP'!BG26)/2)</f>
        <v>9.5802386243347745E-3</v>
      </c>
      <c r="BI11" s="203">
        <f>('Evolutitve SCI'!BG23+'Evolutitve SCI'!BG12)/(('Evolutive SFP'!BG26+'Evolutive SFP'!BH26)/2)</f>
        <v>2.0424677694031432E-2</v>
      </c>
      <c r="BJ11" s="203">
        <f>('Evolutitve SCI'!BH23+'Evolutitve SCI'!BH12)/(('Evolutive SFP'!BH26+'Evolutive SFP'!BI26)/2)</f>
        <v>3.8195694475642243E-2</v>
      </c>
      <c r="BK11" s="203">
        <f>('Evolutitve SCI'!BI23+'Evolutitve SCI'!BI12)/(('Evolutive SFP'!BI26+'Evolutive SFP'!BJ26)/2)</f>
        <v>4.8275838772742892E-2</v>
      </c>
      <c r="BL11" s="203">
        <f>('Evolutitve SCI'!BJ23+'Evolutitve SCI'!BJ12)/(('Evolutive SFP'!BJ26+'Evolutive SFP'!BK26)/2)</f>
        <v>7.6553350735284603E-2</v>
      </c>
      <c r="BM11" s="203">
        <f>('Evolutitve SCI'!BK23+'Evolutitve SCI'!BK12)/(('Evolutive SFP'!BK26+'Evolutive SFP'!BL26)/2)</f>
        <v>0.17703307676282831</v>
      </c>
      <c r="BN11" s="203">
        <f>('Evolutitve SCI'!BL23+'Evolutitve SCI'!BL12)/(('Evolutive SFP'!BL26+'Evolutive SFP'!BM26)/2)</f>
        <v>0</v>
      </c>
      <c r="BO11" s="203">
        <f>('Evolutitve SCI'!BM23+'Evolutitve SCI'!BM12)/(('Evolutive SFP'!BM26+'Evolutive SFP'!BN26)/2)</f>
        <v>0.17975322160995369</v>
      </c>
      <c r="BP11" s="203">
        <f>('Evolutitve SCI'!BN23+'Evolutitve SCI'!BN12)/(('Evolutive SFP'!BN26+'Evolutive SFP'!BO26)/2)</f>
        <v>0.13152020869624198</v>
      </c>
      <c r="BQ11" s="203">
        <f>('Evolutitve SCI'!BO23+'Evolutitve SCI'!BO12)/(('Evolutive SFP'!BO26+'Evolutive SFP'!BP26)/2)</f>
        <v>0.10445060744295515</v>
      </c>
      <c r="BR11" s="203">
        <f>('Evolutitve SCI'!BP23+'Evolutitve SCI'!BP12)/(('Evolutive SFP'!BP26+'Evolutive SFP'!BQ26)/2)</f>
        <v>0.25358658792682814</v>
      </c>
      <c r="BS11" s="203">
        <f>('Evolutitve SCI'!BQ23+'Evolutitve SCI'!BQ12)/(('Evolutive SFP'!BQ26+'Evolutive SFP'!BR26)/2)</f>
        <v>0.21885184277676878</v>
      </c>
      <c r="BT11" s="203">
        <f>('Evolutitve SCI'!BR23+'Evolutitve SCI'!BR12)/(('Evolutive SFP'!BR26+'Evolutive SFP'!BS26)/2)</f>
        <v>0.22466232508864653</v>
      </c>
      <c r="BU11" s="203">
        <f>('Evolutitve SCI'!BS23+'Evolutitve SCI'!BS12)/(('Evolutive SFP'!BS26+'Evolutive SFP'!BT26)/2)</f>
        <v>9.7699000335699591E-3</v>
      </c>
      <c r="BV11" s="203">
        <f>('Evolutitve SCI'!BT23+'Evolutitve SCI'!BT12)/(('Evolutive SFP'!BT26+'Evolutive SFP'!BU26)/2)</f>
        <v>2.6381444109029175E-2</v>
      </c>
      <c r="BW11" s="203">
        <f>('Evolutitve SCI'!BU23+'Evolutitve SCI'!BU12)/(('Evolutive SFP'!BU26+'Evolutive SFP'!BV26)/2)</f>
        <v>3.509862345772765E-2</v>
      </c>
      <c r="BX11" s="203">
        <f>('Evolutitve SCI'!BV23+'Evolutitve SCI'!BV12)/(('Evolutive SFP'!BV26+'Evolutive SFP'!BW26)/2)</f>
        <v>7.7702074103569024E-2</v>
      </c>
      <c r="BY11" s="203">
        <f>('Evolutitve SCI'!BW23+'Evolutitve SCI'!BW12)/(('Evolutive SFP'!BW26+'Evolutive SFP'!BX26)/2)</f>
        <v>9.2339646060835223E-2</v>
      </c>
      <c r="BZ11" s="203">
        <f>('Evolutitve SCI'!BX23+'Evolutitve SCI'!BX12)/(('Evolutive SFP'!BX26+'Evolutive SFP'!BY26)/2)</f>
        <v>0.1125398234531121</v>
      </c>
      <c r="CA11" s="203">
        <f>('Evolutitve SCI'!BY23+'Evolutitve SCI'!BY12)/(('Evolutive SFP'!BY26+'Evolutive SFP'!BZ26)/2)</f>
        <v>0.12504489062260932</v>
      </c>
      <c r="CB11" s="203">
        <f>('Evolutitve SCI'!BZ23+'Evolutitve SCI'!BZ12)/(('Evolutive SFP'!BZ26+'Evolutive SFP'!CA26)/2)</f>
        <v>0</v>
      </c>
      <c r="CC11" s="203">
        <f>('Evolutitve SCI'!CA23+'Evolutitve SCI'!CA12)/(('Evolutive SFP'!CA26+'Evolutive SFP'!CB26)/2)</f>
        <v>0</v>
      </c>
      <c r="CD11" s="203">
        <f>('Evolutitve SCI'!CB23+'Evolutitve SCI'!CB12)/(('Evolutive SFP'!CB26+'Evolutive SFP'!CC26)/2)</f>
        <v>0</v>
      </c>
      <c r="CE11" s="203" t="e">
        <f>('Evolutitve SCI'!CC23+'Evolutitve SCI'!CC12)/(('Evolutive SFP'!CC26+'Evolutive SFP'!CD26)/2)</f>
        <v>#DIV/0!</v>
      </c>
      <c r="CF11" s="203">
        <f>('Evolutitve SCI'!CD23+'Evolutitve SCI'!CD12)/(('Evolutive SFP'!CD26+'Evolutive SFP'!CE26)/2)</f>
        <v>0</v>
      </c>
      <c r="CG11" s="203">
        <f>('Evolutitve SCI'!CE23+'Evolutitve SCI'!CE12)/(('Evolutive SFP'!CE26+'Evolutive SFP'!CF26)/2)</f>
        <v>0.2322977318095274</v>
      </c>
      <c r="CH11" s="203">
        <f>('Evolutitve SCI'!CF23+'Evolutitve SCI'!CF12)/(('Evolutive SFP'!CF26+'Evolutive SFP'!CG26)/2)</f>
        <v>1.2038460320276969E-2</v>
      </c>
      <c r="CI11" s="203">
        <f>('Evolutitve SCI'!CG23+'Evolutitve SCI'!CG12)/(('Evolutive SFP'!CG26+'Evolutive SFP'!CH26)/2)</f>
        <v>3.0115565011317836E-2</v>
      </c>
      <c r="CJ11" s="203">
        <f>('Evolutitve SCI'!CH23+'Evolutitve SCI'!CH12)/(('Evolutive SFP'!CH26+'Evolutive SFP'!CI26)/2)</f>
        <v>5.3356266724201393E-2</v>
      </c>
      <c r="CK11" s="203">
        <f>('Evolutitve SCI'!CI23+'Evolutitve SCI'!CI12)/(('Evolutive SFP'!CI26+'Evolutive SFP'!CJ26)/2)</f>
        <v>6.5693336100672406E-2</v>
      </c>
      <c r="CL11" s="203">
        <f>('Evolutitve SCI'!CJ23+'Evolutitve SCI'!CJ12)/(('Evolutive SFP'!CJ26+'Evolutive SFP'!CK26)/2)</f>
        <v>8.016597388585861E-2</v>
      </c>
      <c r="CM11" s="203">
        <f>('Evolutitve SCI'!CK23+'Evolutitve SCI'!CK12)/(('Evolutive SFP'!CK26+'Evolutive SFP'!CL26)/2)</f>
        <v>9.9529640259637037E-2</v>
      </c>
      <c r="CN11" s="203">
        <f>('Evolutitve SCI'!CL23+'Evolutitve SCI'!CL12)/(('Evolutive SFP'!CL26+'Evolutive SFP'!CM26)/2)</f>
        <v>0.10135628933404761</v>
      </c>
      <c r="CO11" s="203">
        <f>('Evolutitve SCI'!CM23+'Evolutitve SCI'!CM12)/(('Evolutive SFP'!CM26+'Evolutive SFP'!CN26)/2)</f>
        <v>0.1222477118200256</v>
      </c>
      <c r="CP11" s="203">
        <f>('Evolutitve SCI'!CN23+'Evolutitve SCI'!CN12)/(('Evolutive SFP'!CN26+'Evolutive SFP'!CO26)/2)</f>
        <v>0.13794211280505658</v>
      </c>
      <c r="CQ11" s="203">
        <f>('Evolutitve SCI'!CO23+'Evolutitve SCI'!CO12)/(('Evolutive SFP'!CO26+'Evolutive SFP'!CP26)/2)</f>
        <v>0.15609640112304357</v>
      </c>
      <c r="CR11" s="203">
        <f>('Evolutitve SCI'!CP23+'Evolutitve SCI'!CP12)/(('Evolutive SFP'!CP26+'Evolutive SFP'!CQ26)/2)</f>
        <v>0.18424819159514602</v>
      </c>
      <c r="CS11" s="203">
        <f>('Evolutitve SCI'!CQ23+'Evolutitve SCI'!CQ12)/(('Evolutive SFP'!CQ26+'Evolutive SFP'!CR26)/2)</f>
        <v>0.20301839062579666</v>
      </c>
      <c r="CT11" s="203">
        <f>('Evolutitve SCI'!CR23+'Evolutitve SCI'!CR12)/(('Evolutive SFP'!CR26+'Evolutive SFP'!CS26)/2)</f>
        <v>0.20203412382228872</v>
      </c>
      <c r="CU11" s="203">
        <f>('Evolutitve SCI'!CS23+'Evolutitve SCI'!CS12)/(('Evolutive SFP'!CS26+'Evolutive SFP'!CT26)/2)</f>
        <v>2.5259837702148884E-2</v>
      </c>
    </row>
    <row r="12" spans="1:102" ht="30" x14ac:dyDescent="0.3">
      <c r="A12" s="233" t="s">
        <v>25</v>
      </c>
      <c r="B12" s="200" t="s">
        <v>26</v>
      </c>
      <c r="C12" s="201" t="s">
        <v>27</v>
      </c>
      <c r="D12" s="203">
        <f>('Evolutive SFP'!B4)/('Evolutive SFP'!B27+'Evolutive SFP'!B28+'Evolutive SFP'!B31+'Evolutive SFP'!B32+'Evolutive SFP'!B33+'Evolutive SFP'!B34+'Evolutive SFP'!B35)</f>
        <v>0.38095275173517851</v>
      </c>
      <c r="E12" s="203">
        <f>('Evolutive SFP'!C4)/('Evolutive SFP'!C27+'Evolutive SFP'!C28+'Evolutive SFP'!C31+'Evolutive SFP'!C32+'Evolutive SFP'!C33+'Evolutive SFP'!C34+'Evolutive SFP'!C35)</f>
        <v>0.5036040497704779</v>
      </c>
      <c r="F12" s="203">
        <f>('Evolutive SFP'!D4)/('Evolutive SFP'!D27+'Evolutive SFP'!D28+'Evolutive SFP'!D31+'Evolutive SFP'!D32+'Evolutive SFP'!D33+'Evolutive SFP'!D34+'Evolutive SFP'!D35)</f>
        <v>0.77961975496238745</v>
      </c>
      <c r="G12" s="203">
        <f>('Evolutive SFP'!E4)/('Evolutive SFP'!E27+'Evolutive SFP'!E28+'Evolutive SFP'!E31+'Evolutive SFP'!E32+'Evolutive SFP'!E33+'Evolutive SFP'!E34+'Evolutive SFP'!E35)</f>
        <v>0.40199439749448207</v>
      </c>
      <c r="H12" s="203">
        <f>('Evolutive SFP'!F4)/('Evolutive SFP'!F27+'Evolutive SFP'!F28+'Evolutive SFP'!F31+'Evolutive SFP'!F32+'Evolutive SFP'!F33+'Evolutive SFP'!F34+'Evolutive SFP'!F35)</f>
        <v>0.23629837567123346</v>
      </c>
      <c r="I12" s="203">
        <f>('Evolutive SFP'!G4)/('Evolutive SFP'!G27+'Evolutive SFP'!G28+'Evolutive SFP'!G31+'Evolutive SFP'!G32+'Evolutive SFP'!G33+'Evolutive SFP'!G34+'Evolutive SFP'!G35)</f>
        <v>0.19872112285036625</v>
      </c>
      <c r="J12" s="203">
        <f>('Evolutive SFP'!H4)/('Evolutive SFP'!H27+'Evolutive SFP'!H28+'Evolutive SFP'!H31+'Evolutive SFP'!H32+'Evolutive SFP'!H33+'Evolutive SFP'!H34+'Evolutive SFP'!H35)</f>
        <v>0.18594944335899827</v>
      </c>
      <c r="K12" s="203">
        <f>('Evolutive SFP'!I4)/('Evolutive SFP'!I27+'Evolutive SFP'!I28+'Evolutive SFP'!I31+'Evolutive SFP'!I32+'Evolutive SFP'!I33+'Evolutive SFP'!I34+'Evolutive SFP'!I35)</f>
        <v>0.12341427520193672</v>
      </c>
      <c r="L12" s="203">
        <f>('Evolutive SFP'!J4)/('Evolutive SFP'!J27+'Evolutive SFP'!J28+'Evolutive SFP'!J31+'Evolutive SFP'!J32+'Evolutive SFP'!J33+'Evolutive SFP'!J34+'Evolutive SFP'!J35)</f>
        <v>6.5227601068702956E-2</v>
      </c>
      <c r="M12" s="203">
        <f>('Evolutive SFP'!K4)/('Evolutive SFP'!K27+'Evolutive SFP'!K28+'Evolutive SFP'!K31+'Evolutive SFP'!K32+'Evolutive SFP'!K33+'Evolutive SFP'!K34+'Evolutive SFP'!K35)</f>
        <v>6.5487520350752448E-2</v>
      </c>
      <c r="N12" s="203">
        <f>('Evolutive SFP'!L4)/('Evolutive SFP'!L27+'Evolutive SFP'!L28+'Evolutive SFP'!L31+'Evolutive SFP'!L32+'Evolutive SFP'!L33+'Evolutive SFP'!L34+'Evolutive SFP'!L35)</f>
        <v>0.13553262833247631</v>
      </c>
      <c r="O12" s="203">
        <f>('Evolutive SFP'!M4)/('Evolutive SFP'!M27+'Evolutive SFP'!M28+'Evolutive SFP'!M31+'Evolutive SFP'!M32+'Evolutive SFP'!M33+'Evolutive SFP'!M34+'Evolutive SFP'!M35)</f>
        <v>9.1863939768590488E-2</v>
      </c>
      <c r="P12" s="203">
        <f>('Evolutive SFP'!N4)/('Evolutive SFP'!N27+'Evolutive SFP'!N28+'Evolutive SFP'!N31+'Evolutive SFP'!N32+'Evolutive SFP'!N33+'Evolutive SFP'!N34+'Evolutive SFP'!N35)</f>
        <v>7.6190663653064081E-2</v>
      </c>
      <c r="Q12" s="203">
        <f>('Evolutive SFP'!O4)/('Evolutive SFP'!O27+'Evolutive SFP'!O28+'Evolutive SFP'!O31+'Evolutive SFP'!O32+'Evolutive SFP'!O33+'Evolutive SFP'!O34+'Evolutive SFP'!O35)</f>
        <v>0.76302648298644415</v>
      </c>
      <c r="R12" s="203">
        <f>('Evolutive SFP'!P4)/('Evolutive SFP'!P27+'Evolutive SFP'!P28+'Evolutive SFP'!P31+'Evolutive SFP'!P32+'Evolutive SFP'!P33+'Evolutive SFP'!P34+'Evolutive SFP'!P35)</f>
        <v>0.5158123631271303</v>
      </c>
      <c r="S12" s="203">
        <f>('Evolutive SFP'!Q4)/('Evolutive SFP'!Q27+'Evolutive SFP'!Q28+'Evolutive SFP'!Q31+'Evolutive SFP'!Q32+'Evolutive SFP'!Q33+'Evolutive SFP'!Q34+'Evolutive SFP'!Q35)</f>
        <v>0.70998855427854579</v>
      </c>
      <c r="T12" s="203">
        <f>('Evolutive SFP'!R4)/('Evolutive SFP'!R27+'Evolutive SFP'!R28+'Evolutive SFP'!R31+'Evolutive SFP'!R32+'Evolutive SFP'!R33+'Evolutive SFP'!R34+'Evolutive SFP'!R35)</f>
        <v>0.70274724262258192</v>
      </c>
      <c r="U12" s="203">
        <f>('Evolutive SFP'!S4)/('Evolutive SFP'!S27+'Evolutive SFP'!S28+'Evolutive SFP'!S31+'Evolutive SFP'!S32+'Evolutive SFP'!S33+'Evolutive SFP'!S34+'Evolutive SFP'!S35)</f>
        <v>0.22426188548704548</v>
      </c>
      <c r="V12" s="203">
        <f>('Evolutive SFP'!T4)/('Evolutive SFP'!T27+'Evolutive SFP'!T28+'Evolutive SFP'!T31+'Evolutive SFP'!T32+'Evolutive SFP'!T33+'Evolutive SFP'!T34+'Evolutive SFP'!T35)</f>
        <v>0.26445857173146914</v>
      </c>
      <c r="W12" s="203">
        <f>('Evolutive SFP'!U4)/('Evolutive SFP'!U27+'Evolutive SFP'!U28+'Evolutive SFP'!U31+'Evolutive SFP'!U32+'Evolutive SFP'!U33+'Evolutive SFP'!U34+'Evolutive SFP'!U35)</f>
        <v>0.19158964448043822</v>
      </c>
      <c r="X12" s="203">
        <f>('Evolutive SFP'!V4)/('Evolutive SFP'!V27+'Evolutive SFP'!V28+'Evolutive SFP'!V31+'Evolutive SFP'!V32+'Evolutive SFP'!V33+'Evolutive SFP'!V34+'Evolutive SFP'!V35)</f>
        <v>0.16298364370857432</v>
      </c>
      <c r="Y12" s="203">
        <f>('Evolutive SFP'!W4)/('Evolutive SFP'!W27+'Evolutive SFP'!W28+'Evolutive SFP'!W31+'Evolutive SFP'!W32+'Evolutive SFP'!W33+'Evolutive SFP'!W34+'Evolutive SFP'!W35)</f>
        <v>0.15691874983970414</v>
      </c>
      <c r="Z12" s="203">
        <f>('Evolutive SFP'!X4)/('Evolutive SFP'!X27+'Evolutive SFP'!X28+'Evolutive SFP'!X31+'Evolutive SFP'!X32+'Evolutive SFP'!X33+'Evolutive SFP'!X34+'Evolutive SFP'!X35)</f>
        <v>0.31260444072215604</v>
      </c>
      <c r="AA12" s="203">
        <f>('Evolutive SFP'!Y4)/('Evolutive SFP'!Y27+'Evolutive SFP'!Y28+'Evolutive SFP'!Y31+'Evolutive SFP'!Y32+'Evolutive SFP'!Y33+'Evolutive SFP'!Y34+'Evolutive SFP'!Y35)</f>
        <v>0.33463506171865481</v>
      </c>
      <c r="AB12" s="203">
        <f>('Evolutive SFP'!Z4)/('Evolutive SFP'!Z27+'Evolutive SFP'!Z28+'Evolutive SFP'!Z31+'Evolutive SFP'!Z32+'Evolutive SFP'!Z33+'Evolutive SFP'!Z34+'Evolutive SFP'!Z35)</f>
        <v>0.19418643444929917</v>
      </c>
      <c r="AC12" s="203">
        <f>('Evolutive SFP'!AA4)/('Evolutive SFP'!AA27+'Evolutive SFP'!AA28+'Evolutive SFP'!AA31+'Evolutive SFP'!AA32+'Evolutive SFP'!AA33+'Evolutive SFP'!AA34+'Evolutive SFP'!AA35)</f>
        <v>0.29864927938586328</v>
      </c>
      <c r="AD12" s="203">
        <f>('Evolutive SFP'!AB4)/('Evolutive SFP'!AB27+'Evolutive SFP'!AB28+'Evolutive SFP'!AB31+'Evolutive SFP'!AB32+'Evolutive SFP'!AB33+'Evolutive SFP'!AB34+'Evolutive SFP'!AB35)</f>
        <v>0.90382384789491987</v>
      </c>
      <c r="AE12" s="203">
        <f>('Evolutive SFP'!AC4)/('Evolutive SFP'!AC27+'Evolutive SFP'!AC28+'Evolutive SFP'!AC31+'Evolutive SFP'!AC32+'Evolutive SFP'!AC33+'Evolutive SFP'!AC34+'Evolutive SFP'!AC35)</f>
        <v>0.69635463908320749</v>
      </c>
      <c r="AF12" s="203">
        <f>('Evolutive SFP'!AD4)/('Evolutive SFP'!AD27+'Evolutive SFP'!AD28+'Evolutive SFP'!AD31+'Evolutive SFP'!AD32+'Evolutive SFP'!AD33+'Evolutive SFP'!AD34+'Evolutive SFP'!AD35)</f>
        <v>0.82840628272888794</v>
      </c>
      <c r="AG12" s="203">
        <f>('Evolutive SFP'!AE4)/('Evolutive SFP'!AE27+'Evolutive SFP'!AE28+'Evolutive SFP'!AE31+'Evolutive SFP'!AE32+'Evolutive SFP'!AE33+'Evolutive SFP'!AE34+'Evolutive SFP'!AE35)</f>
        <v>0.82300632859189327</v>
      </c>
      <c r="AH12" s="203">
        <f>('Evolutive SFP'!AF4)/('Evolutive SFP'!AF27+'Evolutive SFP'!AF28+'Evolutive SFP'!AF31+'Evolutive SFP'!AF32+'Evolutive SFP'!AF33+'Evolutive SFP'!AF34+'Evolutive SFP'!AF35)</f>
        <v>0.35221312896801077</v>
      </c>
      <c r="AI12" s="203">
        <f>('Evolutive SFP'!AG4)/('Evolutive SFP'!AG27+'Evolutive SFP'!AG28+'Evolutive SFP'!AG31+'Evolutive SFP'!AG32+'Evolutive SFP'!AG33+'Evolutive SFP'!AG34+'Evolutive SFP'!AG35)</f>
        <v>0.79896983668764021</v>
      </c>
      <c r="AJ12" s="203">
        <f>('Evolutive SFP'!AH4)/('Evolutive SFP'!AH27+'Evolutive SFP'!AH28+'Evolutive SFP'!AH31+'Evolutive SFP'!AH32+'Evolutive SFP'!AH33+'Evolutive SFP'!AH34+'Evolutive SFP'!AH35)</f>
        <v>0.58001300087317154</v>
      </c>
      <c r="AK12" s="203">
        <f>('Evolutive SFP'!AI4)/('Evolutive SFP'!AI27+'Evolutive SFP'!AI28+'Evolutive SFP'!AI31+'Evolutive SFP'!AI32+'Evolutive SFP'!AI33+'Evolutive SFP'!AI34+'Evolutive SFP'!AI35)</f>
        <v>0.51831917708777309</v>
      </c>
      <c r="AL12" s="203">
        <f>('Evolutive SFP'!AJ4)/('Evolutive SFP'!AJ27+'Evolutive SFP'!AJ28+'Evolutive SFP'!AJ31+'Evolutive SFP'!AJ32+'Evolutive SFP'!AJ33+'Evolutive SFP'!AJ34+'Evolutive SFP'!AJ35)</f>
        <v>0.54974767310502803</v>
      </c>
      <c r="AM12" s="203">
        <f>('Evolutive SFP'!AK4)/('Evolutive SFP'!AK27+'Evolutive SFP'!AK28+'Evolutive SFP'!AK31+'Evolutive SFP'!AK32+'Evolutive SFP'!AK33+'Evolutive SFP'!AK34+'Evolutive SFP'!AK35)</f>
        <v>0.88709143830123494</v>
      </c>
      <c r="AN12" s="203">
        <f>('Evolutive SFP'!AL4)/('Evolutive SFP'!AL27+'Evolutive SFP'!AL28+'Evolutive SFP'!AL31+'Evolutive SFP'!AL32+'Evolutive SFP'!AL33+'Evolutive SFP'!AL34+'Evolutive SFP'!AL35)</f>
        <v>1.5306975706524881</v>
      </c>
      <c r="AO12" s="203">
        <f>('Evolutive SFP'!AM4)/('Evolutive SFP'!AM27+'Evolutive SFP'!AM28+'Evolutive SFP'!AM31+'Evolutive SFP'!AM32+'Evolutive SFP'!AM33+'Evolutive SFP'!AM34+'Evolutive SFP'!AM35)</f>
        <v>1.400141159061618</v>
      </c>
      <c r="AP12" s="203">
        <f>('Evolutive SFP'!AN4)/('Evolutive SFP'!AN27+'Evolutive SFP'!AN28+'Evolutive SFP'!AN31+'Evolutive SFP'!AN32+'Evolutive SFP'!AN33+'Evolutive SFP'!AN34+'Evolutive SFP'!AN35)</f>
        <v>1.4187474636410906</v>
      </c>
      <c r="AQ12" s="203">
        <f>('Evolutive SFP'!AO4)/('Evolutive SFP'!AO27+'Evolutive SFP'!AO28+'Evolutive SFP'!AO31+'Evolutive SFP'!AO32+'Evolutive SFP'!AO33+'Evolutive SFP'!AO34+'Evolutive SFP'!AO35)</f>
        <v>0.99785123619521243</v>
      </c>
      <c r="AR12" s="203">
        <f>('Evolutive SFP'!AP4)/('Evolutive SFP'!AP27+'Evolutive SFP'!AP28+'Evolutive SFP'!AP31+'Evolutive SFP'!AP32+'Evolutive SFP'!AP33+'Evolutive SFP'!AP34+'Evolutive SFP'!AP35)</f>
        <v>1.0129577913882579</v>
      </c>
      <c r="AS12" s="203">
        <f>('Evolutive SFP'!AQ4)/('Evolutive SFP'!AQ27+'Evolutive SFP'!AQ28+'Evolutive SFP'!AQ31+'Evolutive SFP'!AQ32+'Evolutive SFP'!AQ33+'Evolutive SFP'!AQ34+'Evolutive SFP'!AQ35)</f>
        <v>1.5751685572886556</v>
      </c>
      <c r="AT12" s="203">
        <f>('Evolutive SFP'!AR4)/('Evolutive SFP'!AR27+'Evolutive SFP'!AR28+'Evolutive SFP'!AR31+'Evolutive SFP'!AR32+'Evolutive SFP'!AR33+'Evolutive SFP'!AR34+'Evolutive SFP'!AR35)</f>
        <v>1.4820570488346918</v>
      </c>
      <c r="AU12" s="203">
        <f>('Evolutive SFP'!AS4)/('Evolutive SFP'!AS27+'Evolutive SFP'!AS28+'Evolutive SFP'!AS31+'Evolutive SFP'!AS32+'Evolutive SFP'!AS33+'Evolutive SFP'!AS34+'Evolutive SFP'!AS35)</f>
        <v>0.39465549675900158</v>
      </c>
      <c r="AV12" s="203">
        <f>('Evolutive SFP'!AT4)/('Evolutive SFP'!AT27+'Evolutive SFP'!AT28+'Evolutive SFP'!AT31+'Evolutive SFP'!AT32+'Evolutive SFP'!AT33+'Evolutive SFP'!AT34+'Evolutive SFP'!AT35)</f>
        <v>0.29536511697254253</v>
      </c>
      <c r="AW12" s="203">
        <f>('Evolutive SFP'!AU4)/('Evolutive SFP'!AU27+'Evolutive SFP'!AU28+'Evolutive SFP'!AU31+'Evolutive SFP'!AU32+'Evolutive SFP'!AU33+'Evolutive SFP'!AU34+'Evolutive SFP'!AU35)</f>
        <v>0.39076223572070073</v>
      </c>
      <c r="AX12" s="203">
        <f>('Evolutive SFP'!AV4)/('Evolutive SFP'!AV27+'Evolutive SFP'!AV28+'Evolutive SFP'!AV31+'Evolutive SFP'!AV32+'Evolutive SFP'!AV33+'Evolutive SFP'!AV34+'Evolutive SFP'!AV35)</f>
        <v>0.30789813407878347</v>
      </c>
      <c r="AY12" s="203">
        <f>('Evolutive SFP'!AW4)/('Evolutive SFP'!AW27+'Evolutive SFP'!AW28+'Evolutive SFP'!AW31+'Evolutive SFP'!AW32+'Evolutive SFP'!AW33+'Evolutive SFP'!AW34+'Evolutive SFP'!AW35)</f>
        <v>0.20047480164687786</v>
      </c>
      <c r="AZ12" s="203">
        <f>('Evolutive SFP'!AX4)/('Evolutive SFP'!AX27+'Evolutive SFP'!AX28+'Evolutive SFP'!AX31+'Evolutive SFP'!AX32+'Evolutive SFP'!AX33+'Evolutive SFP'!AX34+'Evolutive SFP'!AX35)</f>
        <v>0.42178477373109841</v>
      </c>
      <c r="BA12" s="203">
        <f>('Evolutive SFP'!AY4)/('Evolutive SFP'!AY27+'Evolutive SFP'!AY28+'Evolutive SFP'!AY31+'Evolutive SFP'!AY32+'Evolutive SFP'!AY33+'Evolutive SFP'!AY34+'Evolutive SFP'!AY35)</f>
        <v>0.37623279028072093</v>
      </c>
      <c r="BB12" s="203">
        <f>('Evolutive SFP'!AZ4)/('Evolutive SFP'!AZ27+'Evolutive SFP'!AZ28+'Evolutive SFP'!AZ31+'Evolutive SFP'!AZ32+'Evolutive SFP'!AZ33+'Evolutive SFP'!AZ34+'Evolutive SFP'!AZ35)</f>
        <v>0.34866988004823052</v>
      </c>
      <c r="BC12" s="203">
        <f>('Evolutive SFP'!BA4)/('Evolutive SFP'!BA27+'Evolutive SFP'!BA28+'Evolutive SFP'!BA31+'Evolutive SFP'!BA32+'Evolutive SFP'!BA33+'Evolutive SFP'!BA34+'Evolutive SFP'!BA35)</f>
        <v>0.35046316752338152</v>
      </c>
      <c r="BD12" s="203">
        <f>('Evolutive SFP'!BB4)/('Evolutive SFP'!BB27+'Evolutive SFP'!BB28+'Evolutive SFP'!BB31+'Evolutive SFP'!BB32+'Evolutive SFP'!BB33+'Evolutive SFP'!BB34+'Evolutive SFP'!BB35)</f>
        <v>0.55013081175664402</v>
      </c>
      <c r="BE12" s="203">
        <f>('Evolutive SFP'!BC4)/('Evolutive SFP'!BC27+'Evolutive SFP'!BC28+'Evolutive SFP'!BC31+'Evolutive SFP'!BC32+'Evolutive SFP'!BC33+'Evolutive SFP'!BC34+'Evolutive SFP'!BC35)</f>
        <v>0.35204257171837694</v>
      </c>
      <c r="BF12" s="203">
        <f>('Evolutive SFP'!BD4)/('Evolutive SFP'!BD27+'Evolutive SFP'!BD28+'Evolutive SFP'!BD31+'Evolutive SFP'!BD32+'Evolutive SFP'!BD33+'Evolutive SFP'!BD34+'Evolutive SFP'!BD35)</f>
        <v>0.18472368966900563</v>
      </c>
      <c r="BG12" s="203" t="e">
        <f>('Evolutive SFP'!BE4)/('Evolutive SFP'!BE27+'Evolutive SFP'!BE28+'Evolutive SFP'!BE31+'Evolutive SFP'!BE32+'Evolutive SFP'!BE33+'Evolutive SFP'!BE34+'Evolutive SFP'!BE35)</f>
        <v>#DIV/0!</v>
      </c>
      <c r="BH12" s="203">
        <f>('Evolutive SFP'!BF4)/('Evolutive SFP'!BF27+'Evolutive SFP'!BF28+'Evolutive SFP'!BF31+'Evolutive SFP'!BF32+'Evolutive SFP'!BF33+'Evolutive SFP'!BF34+'Evolutive SFP'!BF35)</f>
        <v>0.23999827468281051</v>
      </c>
      <c r="BI12" s="203">
        <f>('Evolutive SFP'!BG4)/('Evolutive SFP'!BG27+'Evolutive SFP'!BG28+'Evolutive SFP'!BG31+'Evolutive SFP'!BG32+'Evolutive SFP'!BG33+'Evolutive SFP'!BG34+'Evolutive SFP'!BG35)</f>
        <v>0.38810738430108083</v>
      </c>
      <c r="BJ12" s="203">
        <f>('Evolutive SFP'!BH4)/('Evolutive SFP'!BH27+'Evolutive SFP'!BH28+'Evolutive SFP'!BH31+'Evolutive SFP'!BH32+'Evolutive SFP'!BH33+'Evolutive SFP'!BH34+'Evolutive SFP'!BH35)</f>
        <v>1.0430338718603653</v>
      </c>
      <c r="BK12" s="203">
        <f>('Evolutive SFP'!BI4)/('Evolutive SFP'!BI27+'Evolutive SFP'!BI28+'Evolutive SFP'!BI31+'Evolutive SFP'!BI32+'Evolutive SFP'!BI33+'Evolutive SFP'!BI34+'Evolutive SFP'!BI35)</f>
        <v>1.192095918693989</v>
      </c>
      <c r="BL12" s="203">
        <f>('Evolutive SFP'!BJ4)/('Evolutive SFP'!BJ27+'Evolutive SFP'!BJ28+'Evolutive SFP'!BJ31+'Evolutive SFP'!BJ32+'Evolutive SFP'!BJ33+'Evolutive SFP'!BJ34+'Evolutive SFP'!BJ35)</f>
        <v>1.3081795958257423</v>
      </c>
      <c r="BM12" s="203">
        <f>('Evolutive SFP'!BK4)/('Evolutive SFP'!BK27+'Evolutive SFP'!BK28+'Evolutive SFP'!BK31+'Evolutive SFP'!BK32+'Evolutive SFP'!BK33+'Evolutive SFP'!BK34+'Evolutive SFP'!BK35)</f>
        <v>1.2709138493615746</v>
      </c>
      <c r="BN12" s="203" t="e">
        <f>('Evolutive SFP'!BL4)/('Evolutive SFP'!BL27+'Evolutive SFP'!BL28+'Evolutive SFP'!BL31+'Evolutive SFP'!BL32+'Evolutive SFP'!BL33+'Evolutive SFP'!BL34+'Evolutive SFP'!BL35)</f>
        <v>#DIV/0!</v>
      </c>
      <c r="BO12" s="203">
        <f>('Evolutive SFP'!BM4)/('Evolutive SFP'!BM27+'Evolutive SFP'!BM28+'Evolutive SFP'!BM31+'Evolutive SFP'!BM32+'Evolutive SFP'!BM33+'Evolutive SFP'!BM34+'Evolutive SFP'!BM35)</f>
        <v>1.3450640487976888</v>
      </c>
      <c r="BP12" s="203">
        <f>('Evolutive SFP'!BN4)/('Evolutive SFP'!BN27+'Evolutive SFP'!BN28+'Evolutive SFP'!BN31+'Evolutive SFP'!BN32+'Evolutive SFP'!BN33+'Evolutive SFP'!BN34+'Evolutive SFP'!BN35)</f>
        <v>1.3125524530443549</v>
      </c>
      <c r="BQ12" s="203">
        <f>('Evolutive SFP'!BO4)/('Evolutive SFP'!BO27+'Evolutive SFP'!BO28+'Evolutive SFP'!BO31+'Evolutive SFP'!BO32+'Evolutive SFP'!BO33+'Evolutive SFP'!BO34+'Evolutive SFP'!BO35)</f>
        <v>1.5678205223747901</v>
      </c>
      <c r="BR12" s="203">
        <f>('Evolutive SFP'!BP4)/('Evolutive SFP'!BP27+'Evolutive SFP'!BP28+'Evolutive SFP'!BP31+'Evolutive SFP'!BP32+'Evolutive SFP'!BP33+'Evolutive SFP'!BP34+'Evolutive SFP'!BP35)</f>
        <v>0.5672017951999031</v>
      </c>
      <c r="BS12" s="203">
        <f>('Evolutive SFP'!BQ4)/('Evolutive SFP'!BQ27+'Evolutive SFP'!BQ28+'Evolutive SFP'!BQ31+'Evolutive SFP'!BQ32+'Evolutive SFP'!BQ33+'Evolutive SFP'!BQ34+'Evolutive SFP'!BQ35)</f>
        <v>0.69233603456909232</v>
      </c>
      <c r="BT12" s="203">
        <f>('Evolutive SFP'!BR4)/('Evolutive SFP'!BR27+'Evolutive SFP'!BR28+'Evolutive SFP'!BR31+'Evolutive SFP'!BR32+'Evolutive SFP'!BR33+'Evolutive SFP'!BR34+'Evolutive SFP'!BR35)</f>
        <v>0.68583908941586791</v>
      </c>
      <c r="BU12" s="203">
        <f>('Evolutive SFP'!BS4)/('Evolutive SFP'!BS27+'Evolutive SFP'!BS28+'Evolutive SFP'!BS31+'Evolutive SFP'!BS32+'Evolutive SFP'!BS33+'Evolutive SFP'!BS34+'Evolutive SFP'!BS35)</f>
        <v>0.54011558553621397</v>
      </c>
      <c r="BV12" s="203">
        <f>('Evolutive SFP'!BT4)/('Evolutive SFP'!BT27+'Evolutive SFP'!BT28+'Evolutive SFP'!BT31+'Evolutive SFP'!BT32+'Evolutive SFP'!BT33+'Evolutive SFP'!BT34+'Evolutive SFP'!BT35)</f>
        <v>0.96576611257401201</v>
      </c>
      <c r="BW12" s="203">
        <f>('Evolutive SFP'!BU4)/('Evolutive SFP'!BU27+'Evolutive SFP'!BU28+'Evolutive SFP'!BU31+'Evolutive SFP'!BU32+'Evolutive SFP'!BU33+'Evolutive SFP'!BU34+'Evolutive SFP'!BU35)</f>
        <v>0.90690164411029595</v>
      </c>
      <c r="BX12" s="203">
        <f>('Evolutive SFP'!BV4)/('Evolutive SFP'!BV27+'Evolutive SFP'!BV28+'Evolutive SFP'!BV31+'Evolutive SFP'!BV32+'Evolutive SFP'!BV33+'Evolutive SFP'!BV34+'Evolutive SFP'!BV35)</f>
        <v>1.030197538342378</v>
      </c>
      <c r="BY12" s="203">
        <f>('Evolutive SFP'!BW4)/('Evolutive SFP'!BW27+'Evolutive SFP'!BW28+'Evolutive SFP'!BW31+'Evolutive SFP'!BW32+'Evolutive SFP'!BW33+'Evolutive SFP'!BW34+'Evolutive SFP'!BW35)</f>
        <v>1.0348637116872033</v>
      </c>
      <c r="BZ12" s="203">
        <f>('Evolutive SFP'!BX4)/('Evolutive SFP'!BX27+'Evolutive SFP'!BX28+'Evolutive SFP'!BX31+'Evolutive SFP'!BX32+'Evolutive SFP'!BX33+'Evolutive SFP'!BX34+'Evolutive SFP'!BX35)</f>
        <v>0.8740069401940942</v>
      </c>
      <c r="CA12" s="203">
        <f>('Evolutive SFP'!BY4)/('Evolutive SFP'!BY27+'Evolutive SFP'!BY28+'Evolutive SFP'!BY31+'Evolutive SFP'!BY32+'Evolutive SFP'!BY33+'Evolutive SFP'!BY34+'Evolutive SFP'!BY35)</f>
        <v>0.87059865800056513</v>
      </c>
      <c r="CB12" s="203">
        <f>('Evolutive SFP'!BZ4)/('Evolutive SFP'!BZ27+'Evolutive SFP'!BZ28+'Evolutive SFP'!BZ31+'Evolutive SFP'!BZ32+'Evolutive SFP'!BZ33+'Evolutive SFP'!BZ34+'Evolutive SFP'!BZ35)</f>
        <v>0.75218170731847478</v>
      </c>
      <c r="CC12" s="203">
        <f>('Evolutive SFP'!CA4)/('Evolutive SFP'!CA27+'Evolutive SFP'!CA28+'Evolutive SFP'!CA31+'Evolutive SFP'!CA32+'Evolutive SFP'!CA33+'Evolutive SFP'!CA34+'Evolutive SFP'!CA35)</f>
        <v>0.79017149145662968</v>
      </c>
      <c r="CD12" s="203">
        <f>('Evolutive SFP'!CB4)/('Evolutive SFP'!CB27+'Evolutive SFP'!CB28+'Evolutive SFP'!CB31+'Evolutive SFP'!CB32+'Evolutive SFP'!CB33+'Evolutive SFP'!CB34+'Evolutive SFP'!CB35)</f>
        <v>1.1313306349518308</v>
      </c>
      <c r="CE12" s="203" t="e">
        <f>('Evolutive SFP'!CC4)/('Evolutive SFP'!CC27+'Evolutive SFP'!CC28+'Evolutive SFP'!CC31+'Evolutive SFP'!CC32+'Evolutive SFP'!CC33+'Evolutive SFP'!CC34+'Evolutive SFP'!CC35)</f>
        <v>#DIV/0!</v>
      </c>
      <c r="CF12" s="203" t="e">
        <f>('Evolutive SFP'!CD4)/('Evolutive SFP'!CD27+'Evolutive SFP'!CD28+'Evolutive SFP'!CD31+'Evolutive SFP'!CD32+'Evolutive SFP'!CD33+'Evolutive SFP'!CD34+'Evolutive SFP'!CD35)</f>
        <v>#DIV/0!</v>
      </c>
      <c r="CG12" s="203">
        <f>('Evolutive SFP'!CE4)/('Evolutive SFP'!CE27+'Evolutive SFP'!CE28+'Evolutive SFP'!CE31+'Evolutive SFP'!CE32+'Evolutive SFP'!CE33+'Evolutive SFP'!CE34+'Evolutive SFP'!CE35)</f>
        <v>9.0319692147743061E-2</v>
      </c>
      <c r="CH12" s="203">
        <f>('Evolutive SFP'!CF4)/('Evolutive SFP'!CF27+'Evolutive SFP'!CF28+'Evolutive SFP'!CF31+'Evolutive SFP'!CF32+'Evolutive SFP'!CF33+'Evolutive SFP'!CF34+'Evolutive SFP'!CF35)</f>
        <v>7.5426734225781097E-2</v>
      </c>
      <c r="CI12" s="203">
        <f>('Evolutive SFP'!CG4)/('Evolutive SFP'!CG27+'Evolutive SFP'!CG28+'Evolutive SFP'!CG31+'Evolutive SFP'!CG32+'Evolutive SFP'!CG33+'Evolutive SFP'!CG34+'Evolutive SFP'!CG35)</f>
        <v>-5.0043754799155613E-2</v>
      </c>
      <c r="CJ12" s="203">
        <f>('Evolutive SFP'!CH4)/('Evolutive SFP'!CH27+'Evolutive SFP'!CH28+'Evolutive SFP'!CH31+'Evolutive SFP'!CH32+'Evolutive SFP'!CH33+'Evolutive SFP'!CH34+'Evolutive SFP'!CH35)</f>
        <v>-7.3764269999389093E-2</v>
      </c>
      <c r="CK12" s="203">
        <f>('Evolutive SFP'!CI4)/('Evolutive SFP'!CI27+'Evolutive SFP'!CI28+'Evolutive SFP'!CI31+'Evolutive SFP'!CI32+'Evolutive SFP'!CI33+'Evolutive SFP'!CI34+'Evolutive SFP'!CI35)</f>
        <v>-4.6352497603764815E-4</v>
      </c>
      <c r="CL12" s="203">
        <f>('Evolutive SFP'!CJ4)/('Evolutive SFP'!CJ27+'Evolutive SFP'!CJ28+'Evolutive SFP'!CJ31+'Evolutive SFP'!CJ32+'Evolutive SFP'!CJ33+'Evolutive SFP'!CJ34+'Evolutive SFP'!CJ35)</f>
        <v>-0.17548089101644587</v>
      </c>
      <c r="CM12" s="203">
        <f>('Evolutive SFP'!CK4)/('Evolutive SFP'!CK27+'Evolutive SFP'!CK28+'Evolutive SFP'!CK31+'Evolutive SFP'!CK32+'Evolutive SFP'!CK33+'Evolutive SFP'!CK34+'Evolutive SFP'!CK35)</f>
        <v>-1.8494414245979002E-2</v>
      </c>
      <c r="CN12" s="203">
        <f>('Evolutive SFP'!CL4)/('Evolutive SFP'!CL27+'Evolutive SFP'!CL28+'Evolutive SFP'!CL31+'Evolutive SFP'!CL32+'Evolutive SFP'!CL33+'Evolutive SFP'!CL34+'Evolutive SFP'!CL35)</f>
        <v>0.63259163665690654</v>
      </c>
      <c r="CO12" s="203">
        <f>('Evolutive SFP'!CM4)/('Evolutive SFP'!CM27+'Evolutive SFP'!CM28+'Evolutive SFP'!CM31+'Evolutive SFP'!CM32+'Evolutive SFP'!CM33+'Evolutive SFP'!CM34+'Evolutive SFP'!CM35)</f>
        <v>0.45964135761477065</v>
      </c>
      <c r="CP12" s="203">
        <f>('Evolutive SFP'!CN4)/('Evolutive SFP'!CN27+'Evolutive SFP'!CN28+'Evolutive SFP'!CN31+'Evolutive SFP'!CN32+'Evolutive SFP'!CN33+'Evolutive SFP'!CN34+'Evolutive SFP'!CN35)</f>
        <v>0.2706531679514354</v>
      </c>
      <c r="CQ12" s="203">
        <f>('Evolutive SFP'!CO4)/('Evolutive SFP'!CO27+'Evolutive SFP'!CO28+'Evolutive SFP'!CO31+'Evolutive SFP'!CO32+'Evolutive SFP'!CO33+'Evolutive SFP'!CO34+'Evolutive SFP'!CO35)</f>
        <v>0.15378403070136751</v>
      </c>
      <c r="CR12" s="203">
        <f>('Evolutive SFP'!CP4)/('Evolutive SFP'!CP27+'Evolutive SFP'!CP28+'Evolutive SFP'!CP31+'Evolutive SFP'!CP32+'Evolutive SFP'!CP33+'Evolutive SFP'!CP34+'Evolutive SFP'!CP35)</f>
        <v>3.8045609642505349E-2</v>
      </c>
      <c r="CS12" s="203">
        <f>('Evolutive SFP'!CQ4)/('Evolutive SFP'!CQ27+'Evolutive SFP'!CQ28+'Evolutive SFP'!CQ31+'Evolutive SFP'!CQ32+'Evolutive SFP'!CQ33+'Evolutive SFP'!CQ34+'Evolutive SFP'!CQ35)</f>
        <v>-8.6597773049217008E-2</v>
      </c>
      <c r="CT12" s="203">
        <f>('Evolutive SFP'!CR4)/('Evolutive SFP'!CR27+'Evolutive SFP'!CR28+'Evolutive SFP'!CR31+'Evolutive SFP'!CR32+'Evolutive SFP'!CR33+'Evolutive SFP'!CR34+'Evolutive SFP'!CR35)</f>
        <v>-8.6554900701468956E-2</v>
      </c>
      <c r="CU12" s="203">
        <f>('Evolutive SFP'!CS4)/('Evolutive SFP'!CS27+'Evolutive SFP'!CS28+'Evolutive SFP'!CS31+'Evolutive SFP'!CS32+'Evolutive SFP'!CS33+'Evolutive SFP'!CS34+'Evolutive SFP'!CS35)</f>
        <v>-9.5478426520202817E-2</v>
      </c>
    </row>
    <row r="13" spans="1:102" ht="15.6" x14ac:dyDescent="0.3">
      <c r="A13" s="233"/>
      <c r="B13" s="200" t="s">
        <v>28</v>
      </c>
      <c r="C13" s="206"/>
      <c r="D13" s="203">
        <f>('Evolutive SFP'!B4+'Evolutive SFP'!B8)/('Evolutive SFP'!B30+'Evolutive SFP'!B31+'Evolutive SFP'!B32+'Evolutive SFP'!B33+'Evolutive SFP'!B34+'Evolutive SFP'!B35)</f>
        <v>0.48557590807392165</v>
      </c>
      <c r="E13" s="203">
        <f>('Evolutive SFP'!C4+'Evolutive SFP'!C8)/('Evolutive SFP'!C30+'Evolutive SFP'!C31+'Evolutive SFP'!C32+'Evolutive SFP'!C33+'Evolutive SFP'!C34+'Evolutive SFP'!C35)</f>
        <v>0.47225694957124764</v>
      </c>
      <c r="F13" s="203">
        <f>('Evolutive SFP'!D4+'Evolutive SFP'!D8)/('Evolutive SFP'!D30+'Evolutive SFP'!D31+'Evolutive SFP'!D32+'Evolutive SFP'!D33+'Evolutive SFP'!D34+'Evolutive SFP'!D35)</f>
        <v>0.66754313652447805</v>
      </c>
      <c r="G13" s="203">
        <f>('Evolutive SFP'!E4+'Evolutive SFP'!E8)/('Evolutive SFP'!E30+'Evolutive SFP'!E31+'Evolutive SFP'!E32+'Evolutive SFP'!E33+'Evolutive SFP'!E34+'Evolutive SFP'!E35)</f>
        <v>0.51054252812557821</v>
      </c>
      <c r="H13" s="203">
        <f>('Evolutive SFP'!F4+'Evolutive SFP'!F8)/('Evolutive SFP'!F30+'Evolutive SFP'!F31+'Evolutive SFP'!F32+'Evolutive SFP'!F33+'Evolutive SFP'!F34+'Evolutive SFP'!F35)</f>
        <v>0.3989938154423967</v>
      </c>
      <c r="I13" s="203">
        <f>('Evolutive SFP'!G4+'Evolutive SFP'!G8)/('Evolutive SFP'!G30+'Evolutive SFP'!G31+'Evolutive SFP'!G32+'Evolutive SFP'!G33+'Evolutive SFP'!G34+'Evolutive SFP'!G35)</f>
        <v>0.37183699160907285</v>
      </c>
      <c r="J13" s="203">
        <f>('Evolutive SFP'!H4+'Evolutive SFP'!H8)/('Evolutive SFP'!H30+'Evolutive SFP'!H31+'Evolutive SFP'!H32+'Evolutive SFP'!H33+'Evolutive SFP'!H34+'Evolutive SFP'!H35)</f>
        <v>0.37368230427432358</v>
      </c>
      <c r="K13" s="203">
        <f>('Evolutive SFP'!I4+'Evolutive SFP'!I8)/('Evolutive SFP'!I30+'Evolutive SFP'!I31+'Evolutive SFP'!I32+'Evolutive SFP'!I33+'Evolutive SFP'!I34+'Evolutive SFP'!I35)</f>
        <v>0.33925681327063395</v>
      </c>
      <c r="L13" s="203">
        <f>('Evolutive SFP'!J4+'Evolutive SFP'!J8)/('Evolutive SFP'!J30+'Evolutive SFP'!J31+'Evolutive SFP'!J32+'Evolutive SFP'!J33+'Evolutive SFP'!J34+'Evolutive SFP'!J35)</f>
        <v>0.31938318843180635</v>
      </c>
      <c r="M13" s="203">
        <f>('Evolutive SFP'!K4+'Evolutive SFP'!K8)/('Evolutive SFP'!K30+'Evolutive SFP'!K31+'Evolutive SFP'!K32+'Evolutive SFP'!K33+'Evolutive SFP'!K34+'Evolutive SFP'!K35)</f>
        <v>0.32586241859257992</v>
      </c>
      <c r="N13" s="203">
        <f>('Evolutive SFP'!L4+'Evolutive SFP'!L8)/('Evolutive SFP'!L30+'Evolutive SFP'!L31+'Evolutive SFP'!L32+'Evolutive SFP'!L33+'Evolutive SFP'!L34+'Evolutive SFP'!L35)</f>
        <v>0.38307905271810683</v>
      </c>
      <c r="O13" s="203">
        <f>('Evolutive SFP'!M4+'Evolutive SFP'!M8)/('Evolutive SFP'!M30+'Evolutive SFP'!M31+'Evolutive SFP'!M32+'Evolutive SFP'!M33+'Evolutive SFP'!M34+'Evolutive SFP'!M35)</f>
        <v>0.35576821451557183</v>
      </c>
      <c r="P13" s="203">
        <f>('Evolutive SFP'!N4+'Evolutive SFP'!N8)/('Evolutive SFP'!N30+'Evolutive SFP'!N31+'Evolutive SFP'!N32+'Evolutive SFP'!N33+'Evolutive SFP'!N34+'Evolutive SFP'!N35)</f>
        <v>0.34538485953752934</v>
      </c>
      <c r="Q13" s="203">
        <f>('Evolutive SFP'!O4+'Evolutive SFP'!O8)/('Evolutive SFP'!O30+'Evolutive SFP'!O31+'Evolutive SFP'!O32+'Evolutive SFP'!O33+'Evolutive SFP'!O34+'Evolutive SFP'!O35)</f>
        <v>0.77113886886647565</v>
      </c>
      <c r="R13" s="203">
        <f>('Evolutive SFP'!P4+'Evolutive SFP'!P8)/('Evolutive SFP'!P30+'Evolutive SFP'!P31+'Evolutive SFP'!P32+'Evolutive SFP'!P33+'Evolutive SFP'!P34+'Evolutive SFP'!P35)</f>
        <v>0.49734503193938556</v>
      </c>
      <c r="S13" s="203">
        <f>('Evolutive SFP'!Q4+'Evolutive SFP'!Q8)/('Evolutive SFP'!Q30+'Evolutive SFP'!Q31+'Evolutive SFP'!Q32+'Evolutive SFP'!Q33+'Evolutive SFP'!Q34+'Evolutive SFP'!Q35)</f>
        <v>0.59385980228749224</v>
      </c>
      <c r="T13" s="203">
        <f>('Evolutive SFP'!R4+'Evolutive SFP'!R8)/('Evolutive SFP'!R30+'Evolutive SFP'!R31+'Evolutive SFP'!R32+'Evolutive SFP'!R33+'Evolutive SFP'!R34+'Evolutive SFP'!R35)</f>
        <v>0.6137974402913946</v>
      </c>
      <c r="U13" s="203">
        <f>('Evolutive SFP'!S4+'Evolutive SFP'!S8)/('Evolutive SFP'!S30+'Evolutive SFP'!S31+'Evolutive SFP'!S32+'Evolutive SFP'!S33+'Evolutive SFP'!S34+'Evolutive SFP'!S35)</f>
        <v>0.24979021464527726</v>
      </c>
      <c r="V13" s="203">
        <f>('Evolutive SFP'!T4+'Evolutive SFP'!T8)/('Evolutive SFP'!T30+'Evolutive SFP'!T31+'Evolutive SFP'!T32+'Evolutive SFP'!T33+'Evolutive SFP'!T34+'Evolutive SFP'!T35)</f>
        <v>0.27937650011929832</v>
      </c>
      <c r="W13" s="203">
        <f>('Evolutive SFP'!U4+'Evolutive SFP'!U8)/('Evolutive SFP'!U30+'Evolutive SFP'!U31+'Evolutive SFP'!U32+'Evolutive SFP'!U33+'Evolutive SFP'!U34+'Evolutive SFP'!U35)</f>
        <v>0.27550380325657392</v>
      </c>
      <c r="X13" s="203">
        <f>('Evolutive SFP'!V4+'Evolutive SFP'!V8)/('Evolutive SFP'!V30+'Evolutive SFP'!V31+'Evolutive SFP'!V32+'Evolutive SFP'!V33+'Evolutive SFP'!V34+'Evolutive SFP'!V35)</f>
        <v>0.26288532812940513</v>
      </c>
      <c r="Y13" s="203">
        <f>('Evolutive SFP'!W4+'Evolutive SFP'!W8)/('Evolutive SFP'!W30+'Evolutive SFP'!W31+'Evolutive SFP'!W32+'Evolutive SFP'!W33+'Evolutive SFP'!W34+'Evolutive SFP'!W35)</f>
        <v>0.27785586883962565</v>
      </c>
      <c r="Z13" s="203">
        <f>('Evolutive SFP'!X4+'Evolutive SFP'!X8)/('Evolutive SFP'!X30+'Evolutive SFP'!X31+'Evolutive SFP'!X32+'Evolutive SFP'!X33+'Evolutive SFP'!X34+'Evolutive SFP'!X35)</f>
        <v>0.37481693331964544</v>
      </c>
      <c r="AA13" s="203">
        <f>('Evolutive SFP'!Y4+'Evolutive SFP'!Y8)/('Evolutive SFP'!Y30+'Evolutive SFP'!Y31+'Evolutive SFP'!Y32+'Evolutive SFP'!Y33+'Evolutive SFP'!Y34+'Evolutive SFP'!Y35)</f>
        <v>0.38130737421914057</v>
      </c>
      <c r="AB13" s="203">
        <f>('Evolutive SFP'!Z4+'Evolutive SFP'!Z8)/('Evolutive SFP'!Z30+'Evolutive SFP'!Z31+'Evolutive SFP'!Z32+'Evolutive SFP'!Z33+'Evolutive SFP'!Z34+'Evolutive SFP'!Z35)</f>
        <v>0.29934986359603011</v>
      </c>
      <c r="AC13" s="203">
        <f>('Evolutive SFP'!AA4+'Evolutive SFP'!AA8)/('Evolutive SFP'!AA30+'Evolutive SFP'!AA31+'Evolutive SFP'!AA32+'Evolutive SFP'!AA33+'Evolutive SFP'!AA34+'Evolutive SFP'!AA35)</f>
        <v>0.35467031101924462</v>
      </c>
      <c r="AD13" s="203">
        <f>('Evolutive SFP'!AB4+'Evolutive SFP'!AB8)/('Evolutive SFP'!AB30+'Evolutive SFP'!AB31+'Evolutive SFP'!AB32+'Evolutive SFP'!AB33+'Evolutive SFP'!AB34+'Evolutive SFP'!AB35)</f>
        <v>0.84809340268380251</v>
      </c>
      <c r="AE13" s="203">
        <f>('Evolutive SFP'!AC4+'Evolutive SFP'!AC8)/('Evolutive SFP'!AC30+'Evolutive SFP'!AC31+'Evolutive SFP'!AC32+'Evolutive SFP'!AC33+'Evolutive SFP'!AC34+'Evolutive SFP'!AC35)</f>
        <v>0.61667168942164574</v>
      </c>
      <c r="AF13" s="203">
        <f>('Evolutive SFP'!AD4+'Evolutive SFP'!AD8)/('Evolutive SFP'!AD30+'Evolutive SFP'!AD31+'Evolutive SFP'!AD32+'Evolutive SFP'!AD33+'Evolutive SFP'!AD34+'Evolutive SFP'!AD35)</f>
        <v>0.66701925683098628</v>
      </c>
      <c r="AG13" s="203">
        <f>('Evolutive SFP'!AE4+'Evolutive SFP'!AE8)/('Evolutive SFP'!AE30+'Evolutive SFP'!AE31+'Evolutive SFP'!AE32+'Evolutive SFP'!AE33+'Evolutive SFP'!AE34+'Evolutive SFP'!AE35)</f>
        <v>0.66433800882154592</v>
      </c>
      <c r="AH13" s="203">
        <f>('Evolutive SFP'!AF4+'Evolutive SFP'!AF8)/('Evolutive SFP'!AF30+'Evolutive SFP'!AF31+'Evolutive SFP'!AF32+'Evolutive SFP'!AF33+'Evolutive SFP'!AF34+'Evolutive SFP'!AF35)</f>
        <v>0.37031576165165625</v>
      </c>
      <c r="AI13" s="203">
        <f>('Evolutive SFP'!AG4+'Evolutive SFP'!AG8)/('Evolutive SFP'!AG30+'Evolutive SFP'!AG31+'Evolutive SFP'!AG32+'Evolutive SFP'!AG33+'Evolutive SFP'!AG34+'Evolutive SFP'!AG35)</f>
        <v>0.63147353838728226</v>
      </c>
      <c r="AJ13" s="203">
        <f>('Evolutive SFP'!AH4+'Evolutive SFP'!AH8)/('Evolutive SFP'!AH30+'Evolutive SFP'!AH31+'Evolutive SFP'!AH32+'Evolutive SFP'!AH33+'Evolutive SFP'!AH34+'Evolutive SFP'!AH35)</f>
        <v>0.50406407730871194</v>
      </c>
      <c r="AK13" s="203">
        <f>('Evolutive SFP'!AI4+'Evolutive SFP'!AI8)/('Evolutive SFP'!AI30+'Evolutive SFP'!AI31+'Evolutive SFP'!AI32+'Evolutive SFP'!AI33+'Evolutive SFP'!AI34+'Evolutive SFP'!AI35)</f>
        <v>0.46413801168864288</v>
      </c>
      <c r="AL13" s="203">
        <f>('Evolutive SFP'!AJ4+'Evolutive SFP'!AJ8)/('Evolutive SFP'!AJ30+'Evolutive SFP'!AJ31+'Evolutive SFP'!AJ32+'Evolutive SFP'!AJ33+'Evolutive SFP'!AJ34+'Evolutive SFP'!AJ35)</f>
        <v>0.47864276275284051</v>
      </c>
      <c r="AM13" s="203">
        <f>('Evolutive SFP'!AK4+'Evolutive SFP'!AK8)/('Evolutive SFP'!AK30+'Evolutive SFP'!AK31+'Evolutive SFP'!AK32+'Evolutive SFP'!AK33+'Evolutive SFP'!AK34+'Evolutive SFP'!AK35)</f>
        <v>0.67010667941510693</v>
      </c>
      <c r="AN13" s="203">
        <f>('Evolutive SFP'!AL4+'Evolutive SFP'!AL8)/('Evolutive SFP'!AL30+'Evolutive SFP'!AL31+'Evolutive SFP'!AL32+'Evolutive SFP'!AL33+'Evolutive SFP'!AL34+'Evolutive SFP'!AL35)</f>
        <v>0.90691249296689791</v>
      </c>
      <c r="AO13" s="203">
        <f>('Evolutive SFP'!AM4+'Evolutive SFP'!AM8)/('Evolutive SFP'!AM30+'Evolutive SFP'!AM31+'Evolutive SFP'!AM32+'Evolutive SFP'!AM33+'Evolutive SFP'!AM34+'Evolutive SFP'!AM35)</f>
        <v>0.82255677814930217</v>
      </c>
      <c r="AP13" s="203">
        <f>('Evolutive SFP'!AN4+'Evolutive SFP'!AN8)/('Evolutive SFP'!AN30+'Evolutive SFP'!AN31+'Evolutive SFP'!AN32+'Evolutive SFP'!AN33+'Evolutive SFP'!AN34+'Evolutive SFP'!AN35)</f>
        <v>0.82042450674340883</v>
      </c>
      <c r="AQ13" s="203">
        <f>('Evolutive SFP'!AO4+'Evolutive SFP'!AO8)/('Evolutive SFP'!AO30+'Evolutive SFP'!AO31+'Evolutive SFP'!AO32+'Evolutive SFP'!AO33+'Evolutive SFP'!AO34+'Evolutive SFP'!AO35)</f>
        <v>0.89650043737314766</v>
      </c>
      <c r="AR13" s="203">
        <f>('Evolutive SFP'!AP4+'Evolutive SFP'!AP8)/('Evolutive SFP'!AP30+'Evolutive SFP'!AP31+'Evolutive SFP'!AP32+'Evolutive SFP'!AP33+'Evolutive SFP'!AP34+'Evolutive SFP'!AP35)</f>
        <v>0.77815779988307288</v>
      </c>
      <c r="AS13" s="203">
        <f>('Evolutive SFP'!AQ4+'Evolutive SFP'!AQ8)/('Evolutive SFP'!AQ30+'Evolutive SFP'!AQ31+'Evolutive SFP'!AQ32+'Evolutive SFP'!AQ33+'Evolutive SFP'!AQ34+'Evolutive SFP'!AQ35)</f>
        <v>1.0510428106133907</v>
      </c>
      <c r="AT13" s="203">
        <f>('Evolutive SFP'!AR4+'Evolutive SFP'!AR8)/('Evolutive SFP'!AR30+'Evolutive SFP'!AR31+'Evolutive SFP'!AR32+'Evolutive SFP'!AR33+'Evolutive SFP'!AR34+'Evolutive SFP'!AR35)</f>
        <v>1.9565994828841409</v>
      </c>
      <c r="AU13" s="203">
        <f>('Evolutive SFP'!AS4+'Evolutive SFP'!AS8)/('Evolutive SFP'!AS30+'Evolutive SFP'!AS31+'Evolutive SFP'!AS32+'Evolutive SFP'!AS33+'Evolutive SFP'!AS34+'Evolutive SFP'!AS35)</f>
        <v>0.3544538739061206</v>
      </c>
      <c r="AV13" s="203">
        <f>('Evolutive SFP'!AT4+'Evolutive SFP'!AT8)/('Evolutive SFP'!AT30+'Evolutive SFP'!AT31+'Evolutive SFP'!AT32+'Evolutive SFP'!AT33+'Evolutive SFP'!AT34+'Evolutive SFP'!AT35)</f>
        <v>0.29078810234525276</v>
      </c>
      <c r="AW13" s="203">
        <f>('Evolutive SFP'!AU4+'Evolutive SFP'!AU8)/('Evolutive SFP'!AU30+'Evolutive SFP'!AU31+'Evolutive SFP'!AU32+'Evolutive SFP'!AU33+'Evolutive SFP'!AU34+'Evolutive SFP'!AU35)</f>
        <v>0.3534043192001648</v>
      </c>
      <c r="AX13" s="203">
        <f>('Evolutive SFP'!AV4+'Evolutive SFP'!AV8)/('Evolutive SFP'!AV30+'Evolutive SFP'!AV31+'Evolutive SFP'!AV32+'Evolutive SFP'!AV33+'Evolutive SFP'!AV34+'Evolutive SFP'!AV35)</f>
        <v>0.2943686589527037</v>
      </c>
      <c r="AY13" s="203">
        <f>('Evolutive SFP'!AW4+'Evolutive SFP'!AW8)/('Evolutive SFP'!AW30+'Evolutive SFP'!AW31+'Evolutive SFP'!AW32+'Evolutive SFP'!AW33+'Evolutive SFP'!AW34+'Evolutive SFP'!AW35)</f>
        <v>0.22911383955597364</v>
      </c>
      <c r="AZ13" s="203">
        <f>('Evolutive SFP'!AX4+'Evolutive SFP'!AX8)/('Evolutive SFP'!AX30+'Evolutive SFP'!AX31+'Evolutive SFP'!AX32+'Evolutive SFP'!AX33+'Evolutive SFP'!AX34+'Evolutive SFP'!AX35)</f>
        <v>0.36582507038803891</v>
      </c>
      <c r="BA13" s="203">
        <f>('Evolutive SFP'!AY4+'Evolutive SFP'!AY8)/('Evolutive SFP'!AY30+'Evolutive SFP'!AY31+'Evolutive SFP'!AY32+'Evolutive SFP'!AY33+'Evolutive SFP'!AY34+'Evolutive SFP'!AY35)</f>
        <v>0.33534442914552648</v>
      </c>
      <c r="BB13" s="203">
        <f>('Evolutive SFP'!AZ4+'Evolutive SFP'!AZ8)/('Evolutive SFP'!AZ30+'Evolutive SFP'!AZ31+'Evolutive SFP'!AZ32+'Evolutive SFP'!AZ33+'Evolutive SFP'!AZ34+'Evolutive SFP'!AZ35)</f>
        <v>1.2404042342626753</v>
      </c>
      <c r="BC13" s="203">
        <f>('Evolutive SFP'!BA4+'Evolutive SFP'!BA8)/('Evolutive SFP'!BA30+'Evolutive SFP'!BA31+'Evolutive SFP'!BA32+'Evolutive SFP'!BA33+'Evolutive SFP'!BA34+'Evolutive SFP'!BA35)</f>
        <v>1.262650616405145</v>
      </c>
      <c r="BD13" s="203">
        <f>('Evolutive SFP'!BB4+'Evolutive SFP'!BB8)/('Evolutive SFP'!BB30+'Evolutive SFP'!BB31+'Evolutive SFP'!BB32+'Evolutive SFP'!BB33+'Evolutive SFP'!BB34+'Evolutive SFP'!BB35)</f>
        <v>1.1635966683331955</v>
      </c>
      <c r="BE13" s="203">
        <f>('Evolutive SFP'!BC4+'Evolutive SFP'!BC8)/('Evolutive SFP'!BC30+'Evolutive SFP'!BC31+'Evolutive SFP'!BC32+'Evolutive SFP'!BC33+'Evolutive SFP'!BC34+'Evolutive SFP'!BC35)</f>
        <v>1.1774097954561895</v>
      </c>
      <c r="BF13" s="203">
        <f>('Evolutive SFP'!BD4+'Evolutive SFP'!BD8)/('Evolutive SFP'!BD30+'Evolutive SFP'!BD31+'Evolutive SFP'!BD32+'Evolutive SFP'!BD33+'Evolutive SFP'!BD34+'Evolutive SFP'!BD35)</f>
        <v>1.0123255232588426</v>
      </c>
      <c r="BG13" s="203" t="e">
        <f>('Evolutive SFP'!BE4+'Evolutive SFP'!BE8)/('Evolutive SFP'!BE30+'Evolutive SFP'!BE31+'Evolutive SFP'!BE32+'Evolutive SFP'!BE33+'Evolutive SFP'!BE34+'Evolutive SFP'!BE35)</f>
        <v>#DIV/0!</v>
      </c>
      <c r="BH13" s="203">
        <f>('Evolutive SFP'!BF4+'Evolutive SFP'!BF8)/('Evolutive SFP'!BF30+'Evolutive SFP'!BF31+'Evolutive SFP'!BF32+'Evolutive SFP'!BF33+'Evolutive SFP'!BF34+'Evolutive SFP'!BF35)</f>
        <v>1.1189512005190654</v>
      </c>
      <c r="BI13" s="203">
        <f>('Evolutive SFP'!BG4+'Evolutive SFP'!BG8)/('Evolutive SFP'!BG30+'Evolutive SFP'!BG31+'Evolutive SFP'!BG32+'Evolutive SFP'!BG33+'Evolutive SFP'!BG34+'Evolutive SFP'!BG35)</f>
        <v>1.1607949610451507</v>
      </c>
      <c r="BJ13" s="203">
        <f>('Evolutive SFP'!BH4+'Evolutive SFP'!BH8)/('Evolutive SFP'!BH30+'Evolutive SFP'!BH31+'Evolutive SFP'!BH32+'Evolutive SFP'!BH33+'Evolutive SFP'!BH34+'Evolutive SFP'!BH35)</f>
        <v>1.7091719206637555</v>
      </c>
      <c r="BK13" s="203">
        <f>('Evolutive SFP'!BI4+'Evolutive SFP'!BI8)/('Evolutive SFP'!BI30+'Evolutive SFP'!BI31+'Evolutive SFP'!BI32+'Evolutive SFP'!BI33+'Evolutive SFP'!BI34+'Evolutive SFP'!BI35)</f>
        <v>1.7877518410528892</v>
      </c>
      <c r="BL13" s="203">
        <f>('Evolutive SFP'!BJ4+'Evolutive SFP'!BJ8)/('Evolutive SFP'!BJ30+'Evolutive SFP'!BJ31+'Evolutive SFP'!BJ32+'Evolutive SFP'!BJ33+'Evolutive SFP'!BJ34+'Evolutive SFP'!BJ35)</f>
        <v>1.8427216283110648</v>
      </c>
      <c r="BM13" s="203">
        <f>('Evolutive SFP'!BK4+'Evolutive SFP'!BK8)/('Evolutive SFP'!BK30+'Evolutive SFP'!BK31+'Evolutive SFP'!BK32+'Evolutive SFP'!BK33+'Evolutive SFP'!BK34+'Evolutive SFP'!BK35)</f>
        <v>1.8241102468433881</v>
      </c>
      <c r="BN13" s="203" t="e">
        <f>('Evolutive SFP'!BL4+'Evolutive SFP'!BL8)/('Evolutive SFP'!BL30+'Evolutive SFP'!BL31+'Evolutive SFP'!BL32+'Evolutive SFP'!BL33+'Evolutive SFP'!BL34+'Evolutive SFP'!BL35)</f>
        <v>#DIV/0!</v>
      </c>
      <c r="BO13" s="203">
        <f>('Evolutive SFP'!BM4+'Evolutive SFP'!BM8)/('Evolutive SFP'!BM30+'Evolutive SFP'!BM31+'Evolutive SFP'!BM32+'Evolutive SFP'!BM33+'Evolutive SFP'!BM34+'Evolutive SFP'!BM35)</f>
        <v>2.1257553007679895</v>
      </c>
      <c r="BP13" s="203">
        <f>('Evolutive SFP'!BN4+'Evolutive SFP'!BN8)/('Evolutive SFP'!BN30+'Evolutive SFP'!BN31+'Evolutive SFP'!BN32+'Evolutive SFP'!BN33+'Evolutive SFP'!BN34+'Evolutive SFP'!BN35)</f>
        <v>2.1136479063139659</v>
      </c>
      <c r="BQ13" s="203">
        <f>('Evolutive SFP'!BO4+'Evolutive SFP'!BO8)/('Evolutive SFP'!BO30+'Evolutive SFP'!BO31+'Evolutive SFP'!BO32+'Evolutive SFP'!BO33+'Evolutive SFP'!BO34+'Evolutive SFP'!BO35)</f>
        <v>2.0512914253520718</v>
      </c>
      <c r="BR13" s="203">
        <f>('Evolutive SFP'!BP4+'Evolutive SFP'!BP8)/('Evolutive SFP'!BP30+'Evolutive SFP'!BP31+'Evolutive SFP'!BP32+'Evolutive SFP'!BP33+'Evolutive SFP'!BP34+'Evolutive SFP'!BP35)</f>
        <v>1.3675236820522563</v>
      </c>
      <c r="BS13" s="203">
        <f>('Evolutive SFP'!BQ4+'Evolutive SFP'!BQ8)/('Evolutive SFP'!BQ30+'Evolutive SFP'!BQ31+'Evolutive SFP'!BQ32+'Evolutive SFP'!BQ33+'Evolutive SFP'!BQ34+'Evolutive SFP'!BQ35)</f>
        <v>1.5746241743102665</v>
      </c>
      <c r="BT13" s="203">
        <f>('Evolutive SFP'!BR4+'Evolutive SFP'!BR8)/('Evolutive SFP'!BR30+'Evolutive SFP'!BR31+'Evolutive SFP'!BR32+'Evolutive SFP'!BR33+'Evolutive SFP'!BR34+'Evolutive SFP'!BR35)</f>
        <v>1.2499232736745705</v>
      </c>
      <c r="BU13" s="203">
        <f>('Evolutive SFP'!BS4+'Evolutive SFP'!BS8)/('Evolutive SFP'!BS30+'Evolutive SFP'!BS31+'Evolutive SFP'!BS32+'Evolutive SFP'!BS33+'Evolutive SFP'!BS34+'Evolutive SFP'!BS35)</f>
        <v>1.5191240020692327</v>
      </c>
      <c r="BV13" s="203">
        <f>('Evolutive SFP'!BT4+'Evolutive SFP'!BT8)/('Evolutive SFP'!BT30+'Evolutive SFP'!BT31+'Evolutive SFP'!BT32+'Evolutive SFP'!BT33+'Evolutive SFP'!BT34+'Evolutive SFP'!BT35)</f>
        <v>1.8089953156727412</v>
      </c>
      <c r="BW13" s="203">
        <f>('Evolutive SFP'!BU4+'Evolutive SFP'!BU8)/('Evolutive SFP'!BU30+'Evolutive SFP'!BU31+'Evolutive SFP'!BU32+'Evolutive SFP'!BU33+'Evolutive SFP'!BU34+'Evolutive SFP'!BU35)</f>
        <v>1.8763214056975488</v>
      </c>
      <c r="BX13" s="203">
        <f>('Evolutive SFP'!BV4+'Evolutive SFP'!BV8)/('Evolutive SFP'!BV30+'Evolutive SFP'!BV31+'Evolutive SFP'!BV32+'Evolutive SFP'!BV33+'Evolutive SFP'!BV34+'Evolutive SFP'!BV35)</f>
        <v>1.8634950682658182</v>
      </c>
      <c r="BY13" s="203">
        <f>('Evolutive SFP'!BW4+'Evolutive SFP'!BW8)/('Evolutive SFP'!BW30+'Evolutive SFP'!BW31+'Evolutive SFP'!BW32+'Evolutive SFP'!BW33+'Evolutive SFP'!BW34+'Evolutive SFP'!BW35)</f>
        <v>1.9539661388299161</v>
      </c>
      <c r="BZ13" s="203">
        <f>('Evolutive SFP'!BX4+'Evolutive SFP'!BX8)/('Evolutive SFP'!BX30+'Evolutive SFP'!BX31+'Evolutive SFP'!BX32+'Evolutive SFP'!BX33+'Evolutive SFP'!BX34+'Evolutive SFP'!BX35)</f>
        <v>1.4488220556704834</v>
      </c>
      <c r="CA13" s="203">
        <f>('Evolutive SFP'!BY4+'Evolutive SFP'!BY8)/('Evolutive SFP'!BY30+'Evolutive SFP'!BY31+'Evolutive SFP'!BY32+'Evolutive SFP'!BY33+'Evolutive SFP'!BY34+'Evolutive SFP'!BY35)</f>
        <v>1.4298189132324854</v>
      </c>
      <c r="CB13" s="203">
        <f>('Evolutive SFP'!BZ4+'Evolutive SFP'!BZ8)/('Evolutive SFP'!BZ30+'Evolutive SFP'!BZ31+'Evolutive SFP'!BZ32+'Evolutive SFP'!BZ33+'Evolutive SFP'!BZ34+'Evolutive SFP'!BZ35)</f>
        <v>1.3636791152224634</v>
      </c>
      <c r="CC13" s="203">
        <f>('Evolutive SFP'!CA4+'Evolutive SFP'!CA8)/('Evolutive SFP'!CA30+'Evolutive SFP'!CA31+'Evolutive SFP'!CA32+'Evolutive SFP'!CA33+'Evolutive SFP'!CA34+'Evolutive SFP'!CA35)</f>
        <v>1.3964588971098739</v>
      </c>
      <c r="CD13" s="203">
        <f>('Evolutive SFP'!CB4+'Evolutive SFP'!CB8)/('Evolutive SFP'!CB30+'Evolutive SFP'!CB31+'Evolutive SFP'!CB32+'Evolutive SFP'!CB33+'Evolutive SFP'!CB34+'Evolutive SFP'!CB35)</f>
        <v>1.4202103774297417</v>
      </c>
      <c r="CE13" s="203" t="e">
        <f>('Evolutive SFP'!CC4+'Evolutive SFP'!CC8)/('Evolutive SFP'!CC30+'Evolutive SFP'!CC31+'Evolutive SFP'!CC32+'Evolutive SFP'!CC33+'Evolutive SFP'!CC34+'Evolutive SFP'!CC35)</f>
        <v>#DIV/0!</v>
      </c>
      <c r="CF13" s="203" t="e">
        <f>('Evolutive SFP'!CD4+'Evolutive SFP'!CD8)/('Evolutive SFP'!CD30+'Evolutive SFP'!CD31+'Evolutive SFP'!CD32+'Evolutive SFP'!CD33+'Evolutive SFP'!CD34+'Evolutive SFP'!CD35)</f>
        <v>#DIV/0!</v>
      </c>
      <c r="CG13" s="203">
        <f>('Evolutive SFP'!CE4+'Evolutive SFP'!CE8)/('Evolutive SFP'!CE30+'Evolutive SFP'!CE31+'Evolutive SFP'!CE32+'Evolutive SFP'!CE33+'Evolutive SFP'!CE34+'Evolutive SFP'!CE35)</f>
        <v>1.2362142437738179</v>
      </c>
      <c r="CH13" s="203">
        <f>('Evolutive SFP'!CF4+'Evolutive SFP'!CF8)/('Evolutive SFP'!CF30+'Evolutive SFP'!CF31+'Evolutive SFP'!CF32+'Evolutive SFP'!CF33+'Evolutive SFP'!CF34+'Evolutive SFP'!CF35)</f>
        <v>0.90777513410959487</v>
      </c>
      <c r="CI13" s="203">
        <f>('Evolutive SFP'!CG4+'Evolutive SFP'!CG8)/('Evolutive SFP'!CG30+'Evolutive SFP'!CG31+'Evolutive SFP'!CG32+'Evolutive SFP'!CG33+'Evolutive SFP'!CG34+'Evolutive SFP'!CG35)</f>
        <v>0.82317217141031906</v>
      </c>
      <c r="CJ13" s="203">
        <f>('Evolutive SFP'!CH4+'Evolutive SFP'!CH8)/('Evolutive SFP'!CH30+'Evolutive SFP'!CH31+'Evolutive SFP'!CH32+'Evolutive SFP'!CH33+'Evolutive SFP'!CH34+'Evolutive SFP'!CH35)</f>
        <v>0.78899848942839723</v>
      </c>
      <c r="CK13" s="203">
        <f>('Evolutive SFP'!CI4+'Evolutive SFP'!CI8)/('Evolutive SFP'!CI30+'Evolutive SFP'!CI31+'Evolutive SFP'!CI32+'Evolutive SFP'!CI33+'Evolutive SFP'!CI34+'Evolutive SFP'!CI35)</f>
        <v>0.79610273507720453</v>
      </c>
      <c r="CL13" s="203">
        <f>('Evolutive SFP'!CJ4+'Evolutive SFP'!CJ8)/('Evolutive SFP'!CJ30+'Evolutive SFP'!CJ31+'Evolutive SFP'!CJ32+'Evolutive SFP'!CJ33+'Evolutive SFP'!CJ34+'Evolutive SFP'!CJ35)</f>
        <v>0.72587130651564968</v>
      </c>
      <c r="CM13" s="203">
        <f>('Evolutive SFP'!CK4+'Evolutive SFP'!CK8)/('Evolutive SFP'!CK30+'Evolutive SFP'!CK31+'Evolutive SFP'!CK32+'Evolutive SFP'!CK33+'Evolutive SFP'!CK34+'Evolutive SFP'!CK35)</f>
        <v>1.1319684865500512</v>
      </c>
      <c r="CN13" s="203">
        <f>('Evolutive SFP'!CL4+'Evolutive SFP'!CL8)/('Evolutive SFP'!CL30+'Evolutive SFP'!CL31+'Evolutive SFP'!CL32+'Evolutive SFP'!CL33+'Evolutive SFP'!CL34+'Evolutive SFP'!CL35)</f>
        <v>1.1770802301491827</v>
      </c>
      <c r="CO13" s="203">
        <f>('Evolutive SFP'!CM4+'Evolutive SFP'!CM8)/('Evolutive SFP'!CM30+'Evolutive SFP'!CM31+'Evolutive SFP'!CM32+'Evolutive SFP'!CM33+'Evolutive SFP'!CM34+'Evolutive SFP'!CM35)</f>
        <v>1.1114864042279096</v>
      </c>
      <c r="CP13" s="203">
        <f>('Evolutive SFP'!CN4+'Evolutive SFP'!CN8)/('Evolutive SFP'!CN30+'Evolutive SFP'!CN31+'Evolutive SFP'!CN32+'Evolutive SFP'!CN33+'Evolutive SFP'!CN34+'Evolutive SFP'!CN35)</f>
        <v>1.0729286586638984</v>
      </c>
      <c r="CQ13" s="203">
        <f>('Evolutive SFP'!CO4+'Evolutive SFP'!CO8)/('Evolutive SFP'!CO30+'Evolutive SFP'!CO31+'Evolutive SFP'!CO32+'Evolutive SFP'!CO33+'Evolutive SFP'!CO34+'Evolutive SFP'!CO35)</f>
        <v>1.0249099291144876</v>
      </c>
      <c r="CR13" s="203">
        <f>('Evolutive SFP'!CP4+'Evolutive SFP'!CP8)/('Evolutive SFP'!CP30+'Evolutive SFP'!CP31+'Evolutive SFP'!CP32+'Evolutive SFP'!CP33+'Evolutive SFP'!CP34+'Evolutive SFP'!CP35)</f>
        <v>0.9484622608648241</v>
      </c>
      <c r="CS13" s="203">
        <f>('Evolutive SFP'!CQ4+'Evolutive SFP'!CQ8)/('Evolutive SFP'!CQ30+'Evolutive SFP'!CQ31+'Evolutive SFP'!CQ32+'Evolutive SFP'!CQ33+'Evolutive SFP'!CQ34+'Evolutive SFP'!CQ35)</f>
        <v>0.86807807915135282</v>
      </c>
      <c r="CT13" s="203">
        <f>('Evolutive SFP'!CR4+'Evolutive SFP'!CR8)/('Evolutive SFP'!CR30+'Evolutive SFP'!CR31+'Evolutive SFP'!CR32+'Evolutive SFP'!CR33+'Evolutive SFP'!CR34+'Evolutive SFP'!CR35)</f>
        <v>0.89302443111862406</v>
      </c>
      <c r="CU13" s="203">
        <f>('Evolutive SFP'!CS4+'Evolutive SFP'!CS8)/('Evolutive SFP'!CS30+'Evolutive SFP'!CS31+'Evolutive SFP'!CS32+'Evolutive SFP'!CS33+'Evolutive SFP'!CS34+'Evolutive SFP'!CS35)</f>
        <v>0.85178019942438277</v>
      </c>
    </row>
    <row r="14" spans="1:102" ht="30" x14ac:dyDescent="0.3">
      <c r="A14" s="233"/>
      <c r="B14" s="200" t="s">
        <v>29</v>
      </c>
      <c r="C14" s="201" t="s">
        <v>30</v>
      </c>
      <c r="D14" s="203">
        <f>'Evolutive SFP'!B36/'Evolutive SFP'!B26</f>
        <v>0.27900143360335128</v>
      </c>
      <c r="E14" s="203">
        <f>'Evolutive SFP'!C36/'Evolutive SFP'!C26</f>
        <v>0.41807178723361693</v>
      </c>
      <c r="F14" s="203">
        <f>'Evolutive SFP'!D36/'Evolutive SFP'!D26</f>
        <v>0.42927941966653949</v>
      </c>
      <c r="G14" s="203">
        <f>'Evolutive SFP'!E36/'Evolutive SFP'!E26</f>
        <v>0.47990152874429709</v>
      </c>
      <c r="H14" s="203">
        <f>'Evolutive SFP'!F36/'Evolutive SFP'!F26</f>
        <v>0.43730632007868386</v>
      </c>
      <c r="I14" s="203">
        <f>'Evolutive SFP'!G36/'Evolutive SFP'!G26</f>
        <v>0.43519041548380311</v>
      </c>
      <c r="J14" s="203">
        <f>'Evolutive SFP'!H36/'Evolutive SFP'!H26</f>
        <v>0.44110663184392251</v>
      </c>
      <c r="K14" s="203">
        <f>'Evolutive SFP'!I36/'Evolutive SFP'!I26</f>
        <v>0.45297394643602645</v>
      </c>
      <c r="L14" s="203">
        <f>'Evolutive SFP'!J36/'Evolutive SFP'!J26</f>
        <v>0.46443337193412859</v>
      </c>
      <c r="M14" s="203">
        <f>'Evolutive SFP'!K36/'Evolutive SFP'!K26</f>
        <v>0.47261783586209932</v>
      </c>
      <c r="N14" s="203">
        <f>'Evolutive SFP'!L36/'Evolutive SFP'!L26</f>
        <v>0.47018454620571509</v>
      </c>
      <c r="O14" s="203">
        <f>'Evolutive SFP'!M36/'Evolutive SFP'!M26</f>
        <v>0.47107809949181395</v>
      </c>
      <c r="P14" s="203">
        <f>'Evolutive SFP'!N36/'Evolutive SFP'!N26</f>
        <v>0.47662468716615541</v>
      </c>
      <c r="Q14" s="203">
        <f>'Evolutive SFP'!O36/'Evolutive SFP'!O26</f>
        <v>0.1860733669314468</v>
      </c>
      <c r="R14" s="203">
        <f>'Evolutive SFP'!P36/'Evolutive SFP'!P26</f>
        <v>0.19704340209601404</v>
      </c>
      <c r="S14" s="203">
        <f>'Evolutive SFP'!Q36/'Evolutive SFP'!Q26</f>
        <v>0.20474597339420836</v>
      </c>
      <c r="T14" s="203">
        <f>'Evolutive SFP'!R36/'Evolutive SFP'!R26</f>
        <v>0.21629462140937339</v>
      </c>
      <c r="U14" s="203">
        <f>'Evolutive SFP'!S36/'Evolutive SFP'!S26</f>
        <v>0.21019689554921017</v>
      </c>
      <c r="V14" s="203">
        <f>'Evolutive SFP'!T36/'Evolutive SFP'!T26</f>
        <v>0.33902731461922603</v>
      </c>
      <c r="W14" s="203">
        <f>'Evolutive SFP'!U36/'Evolutive SFP'!U26</f>
        <v>0.37859109604168906</v>
      </c>
      <c r="X14" s="203">
        <f>'Evolutive SFP'!V36/'Evolutive SFP'!V26</f>
        <v>0.38658570002213477</v>
      </c>
      <c r="Y14" s="203">
        <f>'Evolutive SFP'!W36/'Evolutive SFP'!W26</f>
        <v>0.4028855106623635</v>
      </c>
      <c r="Z14" s="203">
        <f>'Evolutive SFP'!X36/'Evolutive SFP'!X26</f>
        <v>0.41116841074605232</v>
      </c>
      <c r="AA14" s="203">
        <f>'Evolutive SFP'!Y36/'Evolutive SFP'!Y26</f>
        <v>0.40678052090769418</v>
      </c>
      <c r="AB14" s="203">
        <f>'Evolutive SFP'!Z36/'Evolutive SFP'!Z26</f>
        <v>0.403899919049794</v>
      </c>
      <c r="AC14" s="203">
        <f>'Evolutive SFP'!AA36/'Evolutive SFP'!AA26</f>
        <v>0.39650406925318954</v>
      </c>
      <c r="AD14" s="203">
        <f>'Evolutive SFP'!AB36/'Evolutive SFP'!AB26</f>
        <v>9.3106394924141425E-2</v>
      </c>
      <c r="AE14" s="203">
        <f>'Evolutive SFP'!AC36/'Evolutive SFP'!AC26</f>
        <v>0.21206350065019414</v>
      </c>
      <c r="AF14" s="203">
        <f>'Evolutive SFP'!AD36/'Evolutive SFP'!AD26</f>
        <v>0.23801780200623546</v>
      </c>
      <c r="AG14" s="203">
        <f>'Evolutive SFP'!AE36/'Evolutive SFP'!AE26</f>
        <v>0.238011508968096</v>
      </c>
      <c r="AH14" s="203">
        <f>'Evolutive SFP'!AF36/'Evolutive SFP'!AF26</f>
        <v>0.30838408621888624</v>
      </c>
      <c r="AI14" s="203">
        <f>'Evolutive SFP'!AG36/'Evolutive SFP'!AG26</f>
        <v>0.38665958619509505</v>
      </c>
      <c r="AJ14" s="203">
        <f>'Evolutive SFP'!AH36/'Evolutive SFP'!AH26</f>
        <v>0.36590920784497277</v>
      </c>
      <c r="AK14" s="203">
        <f>'Evolutive SFP'!AI36/'Evolutive SFP'!AI26</f>
        <v>0.37325968911760776</v>
      </c>
      <c r="AL14" s="203">
        <f>'Evolutive SFP'!AJ36/'Evolutive SFP'!AJ26</f>
        <v>0.37298250912883946</v>
      </c>
      <c r="AM14" s="203">
        <f>'Evolutive SFP'!AK36/'Evolutive SFP'!AK26</f>
        <v>0.40787310808428695</v>
      </c>
      <c r="AN14" s="203">
        <f>'Evolutive SFP'!AL36/'Evolutive SFP'!AL26</f>
        <v>0.43423595672261206</v>
      </c>
      <c r="AO14" s="203">
        <f>'Evolutive SFP'!AM36/'Evolutive SFP'!AM26</f>
        <v>0.44219161645334437</v>
      </c>
      <c r="AP14" s="203">
        <f>'Evolutive SFP'!AN36/'Evolutive SFP'!AN26</f>
        <v>0.44374964607600453</v>
      </c>
      <c r="AQ14" s="203">
        <f>'Evolutive SFP'!AO36/'Evolutive SFP'!AO26</f>
        <v>7.2002822301604055E-2</v>
      </c>
      <c r="AR14" s="203">
        <f>'Evolutive SFP'!AP36/'Evolutive SFP'!AP26</f>
        <v>0.11265006743580327</v>
      </c>
      <c r="AS14" s="203">
        <f>'Evolutive SFP'!AQ36/'Evolutive SFP'!AQ26</f>
        <v>0.25390002955252189</v>
      </c>
      <c r="AT14" s="203">
        <f>'Evolutive SFP'!AR36/'Evolutive SFP'!AR26</f>
        <v>0.17735334490697083</v>
      </c>
      <c r="AU14" s="203">
        <f>'Evolutive SFP'!AS36/'Evolutive SFP'!AS26</f>
        <v>0.23527379107142912</v>
      </c>
      <c r="AV14" s="203">
        <f>'Evolutive SFP'!AT36/'Evolutive SFP'!AT26</f>
        <v>0.24272633410355482</v>
      </c>
      <c r="AW14" s="203">
        <f>'Evolutive SFP'!AU36/'Evolutive SFP'!AU26</f>
        <v>0.23104860405449096</v>
      </c>
      <c r="AX14" s="203">
        <f>'Evolutive SFP'!AV36/'Evolutive SFP'!AV26</f>
        <v>0.24046587752872892</v>
      </c>
      <c r="AY14" s="203">
        <f>'Evolutive SFP'!AW36/'Evolutive SFP'!AW26</f>
        <v>0.24890555992308977</v>
      </c>
      <c r="AZ14" s="203">
        <f>'Evolutive SFP'!AX36/'Evolutive SFP'!AX26</f>
        <v>0.23414595399275584</v>
      </c>
      <c r="BA14" s="203">
        <f>'Evolutive SFP'!AY36/'Evolutive SFP'!AY26</f>
        <v>0.24097168014044038</v>
      </c>
      <c r="BB14" s="203">
        <f>'Evolutive SFP'!AZ36/'Evolutive SFP'!AZ26</f>
        <v>0.17122192029907229</v>
      </c>
      <c r="BC14" s="203">
        <f>'Evolutive SFP'!BA36/'Evolutive SFP'!BA26</f>
        <v>0.17351989051618105</v>
      </c>
      <c r="BD14" s="203">
        <f>'Evolutive SFP'!BB36/'Evolutive SFP'!BB26</f>
        <v>6.3537461483032326E-2</v>
      </c>
      <c r="BE14" s="203">
        <f>'Evolutive SFP'!BC36/'Evolutive SFP'!BC26</f>
        <v>0.15951574673113364</v>
      </c>
      <c r="BF14" s="203">
        <f>'Evolutive SFP'!BD36/'Evolutive SFP'!BD26</f>
        <v>0.15914316906078896</v>
      </c>
      <c r="BG14" s="203" t="e">
        <f>'Evolutive SFP'!BE36/'Evolutive SFP'!BE26</f>
        <v>#DIV/0!</v>
      </c>
      <c r="BH14" s="203">
        <f>'Evolutive SFP'!BF36/'Evolutive SFP'!BF26</f>
        <v>0.20879541539439597</v>
      </c>
      <c r="BI14" s="203">
        <f>'Evolutive SFP'!BG36/'Evolutive SFP'!BG26</f>
        <v>0.20396878987666325</v>
      </c>
      <c r="BJ14" s="203">
        <f>'Evolutive SFP'!BH36/'Evolutive SFP'!BH26</f>
        <v>0.31711147070704893</v>
      </c>
      <c r="BK14" s="203">
        <f>'Evolutive SFP'!BI36/'Evolutive SFP'!BI26</f>
        <v>0.31493154690232755</v>
      </c>
      <c r="BL14" s="203">
        <f>'Evolutive SFP'!BJ36/'Evolutive SFP'!BJ26</f>
        <v>0.30670363387704169</v>
      </c>
      <c r="BM14" s="203">
        <f>'Evolutive SFP'!BK36/'Evolutive SFP'!BK26</f>
        <v>0.30359078997642125</v>
      </c>
      <c r="BN14" s="203" t="e">
        <f>'Evolutive SFP'!BL36/'Evolutive SFP'!BL26</f>
        <v>#DIV/0!</v>
      </c>
      <c r="BO14" s="203">
        <f>'Evolutive SFP'!BM36/'Evolutive SFP'!BM26</f>
        <v>0.31279076292737229</v>
      </c>
      <c r="BP14" s="203">
        <f>'Evolutive SFP'!BN36/'Evolutive SFP'!BN26</f>
        <v>0.31652623696284304</v>
      </c>
      <c r="BQ14" s="203">
        <f>'Evolutive SFP'!BO36/'Evolutive SFP'!BO26</f>
        <v>0.26907891286176955</v>
      </c>
      <c r="BR14" s="203">
        <f>'Evolutive SFP'!BP36/'Evolutive SFP'!BP26</f>
        <v>0.1332399853387265</v>
      </c>
      <c r="BS14" s="203">
        <f>'Evolutive SFP'!BQ36/'Evolutive SFP'!BQ26</f>
        <v>0.21817254150097995</v>
      </c>
      <c r="BT14" s="203">
        <f>'Evolutive SFP'!BR36/'Evolutive SFP'!BR26</f>
        <v>0.24110647187535195</v>
      </c>
      <c r="BU14" s="203">
        <f>'Evolutive SFP'!BS36/'Evolutive SFP'!BS26</f>
        <v>0.22001436881242958</v>
      </c>
      <c r="BV14" s="203">
        <f>'Evolutive SFP'!BT36/'Evolutive SFP'!BT26</f>
        <v>0.28621157955710763</v>
      </c>
      <c r="BW14" s="203">
        <f>'Evolutive SFP'!BU36/'Evolutive SFP'!BU26</f>
        <v>0.29071954954170282</v>
      </c>
      <c r="BX14" s="203">
        <f>'Evolutive SFP'!BV36/'Evolutive SFP'!BV26</f>
        <v>0.28207559227521983</v>
      </c>
      <c r="BY14" s="203">
        <f>'Evolutive SFP'!BW36/'Evolutive SFP'!BW26</f>
        <v>0.29024677929737314</v>
      </c>
      <c r="BZ14" s="203">
        <f>'Evolutive SFP'!BX36/'Evolutive SFP'!BX26</f>
        <v>0.31225103347138816</v>
      </c>
      <c r="CA14" s="203">
        <f>'Evolutive SFP'!BY36/'Evolutive SFP'!BY26</f>
        <v>0.31056495771222203</v>
      </c>
      <c r="CB14" s="203">
        <f>'Evolutive SFP'!BZ36/'Evolutive SFP'!BZ26</f>
        <v>0.31548635457209695</v>
      </c>
      <c r="CC14" s="203">
        <f>'Evolutive SFP'!CA36/'Evolutive SFP'!CA26</f>
        <v>0.31688520662638503</v>
      </c>
      <c r="CD14" s="203">
        <f>'Evolutive SFP'!CB36/'Evolutive SFP'!CB26</f>
        <v>0.26383262619714476</v>
      </c>
      <c r="CE14" s="203" t="e">
        <f>'Evolutive SFP'!CC36/'Evolutive SFP'!CC26</f>
        <v>#DIV/0!</v>
      </c>
      <c r="CF14" s="203" t="e">
        <f>'Evolutive SFP'!CD36/'Evolutive SFP'!CD26</f>
        <v>#DIV/0!</v>
      </c>
      <c r="CG14" s="203">
        <f>'Evolutive SFP'!CE36/'Evolutive SFP'!CE26</f>
        <v>0.17167144328200543</v>
      </c>
      <c r="CH14" s="203">
        <f>'Evolutive SFP'!CF36/'Evolutive SFP'!CF26</f>
        <v>0.18672277343405744</v>
      </c>
      <c r="CI14" s="203">
        <f>'Evolutive SFP'!CG36/'Evolutive SFP'!CG26</f>
        <v>0.18038110106889629</v>
      </c>
      <c r="CJ14" s="203">
        <f>'Evolutive SFP'!CH36/'Evolutive SFP'!CH26</f>
        <v>0.18192954520371346</v>
      </c>
      <c r="CK14" s="203">
        <f>'Evolutive SFP'!CI36/'Evolutive SFP'!CI26</f>
        <v>0.17328907448086622</v>
      </c>
      <c r="CL14" s="203">
        <f>'Evolutive SFP'!CJ36/'Evolutive SFP'!CJ26</f>
        <v>0.17672266152411506</v>
      </c>
      <c r="CM14" s="203">
        <f>'Evolutive SFP'!CK36/'Evolutive SFP'!CK26</f>
        <v>0.14513263833051535</v>
      </c>
      <c r="CN14" s="203">
        <f>'Evolutive SFP'!CL36/'Evolutive SFP'!CL26</f>
        <v>0.11104921596244904</v>
      </c>
      <c r="CO14" s="203">
        <f>'Evolutive SFP'!CM36/'Evolutive SFP'!CM26</f>
        <v>0.11064190332681595</v>
      </c>
      <c r="CP14" s="203">
        <f>'Evolutive SFP'!CN36/'Evolutive SFP'!CN26</f>
        <v>0.11126518361483961</v>
      </c>
      <c r="CQ14" s="203">
        <f>'Evolutive SFP'!CO36/'Evolutive SFP'!CO26</f>
        <v>0.10580820317673492</v>
      </c>
      <c r="CR14" s="203">
        <f>'Evolutive SFP'!CP36/'Evolutive SFP'!CP26</f>
        <v>0.10551892987021778</v>
      </c>
      <c r="CS14" s="203">
        <f>'Evolutive SFP'!CQ36/'Evolutive SFP'!CQ26</f>
        <v>9.5734324415609903E-2</v>
      </c>
      <c r="CT14" s="203">
        <f>'Evolutive SFP'!CR36/'Evolutive SFP'!CR26</f>
        <v>9.5102742015564554E-2</v>
      </c>
      <c r="CU14" s="203">
        <f>'Evolutive SFP'!CS36/'Evolutive SFP'!CS26</f>
        <v>9.4702675795746719E-2</v>
      </c>
    </row>
    <row r="15" spans="1:102" ht="15.6" x14ac:dyDescent="0.3">
      <c r="A15" s="233"/>
      <c r="B15" s="200" t="s">
        <v>31</v>
      </c>
      <c r="C15" s="201"/>
      <c r="D15" s="203">
        <f>'Evolutive SFP'!B4/'Evolutive SFP'!B26</f>
        <v>0.14571753532838791</v>
      </c>
      <c r="E15" s="203">
        <f>'Evolutive SFP'!C4/'Evolutive SFP'!C26</f>
        <v>0.12852377482479171</v>
      </c>
      <c r="F15" s="203">
        <f>'Evolutive SFP'!D4/'Evolutive SFP'!D26</f>
        <v>0.21418621403934104</v>
      </c>
      <c r="G15" s="203">
        <f>'Evolutive SFP'!E4/'Evolutive SFP'!E26</f>
        <v>9.693693768543743E-2</v>
      </c>
      <c r="H15" s="203">
        <f>'Evolutive SFP'!F4/'Evolutive SFP'!F26</f>
        <v>6.2504337191095133E-2</v>
      </c>
      <c r="I15" s="203">
        <f>'Evolutive SFP'!G4/'Evolutive SFP'!G26</f>
        <v>5.4525095106045668E-2</v>
      </c>
      <c r="J15" s="203">
        <f>'Evolutive SFP'!H4/'Evolutive SFP'!H26</f>
        <v>5.0771497808755818E-2</v>
      </c>
      <c r="K15" s="203">
        <f>'Evolutive SFP'!I4/'Evolutive SFP'!I26</f>
        <v>3.2696042720657674E-2</v>
      </c>
      <c r="L15" s="203">
        <f>'Evolutive SFP'!J4/'Evolutive SFP'!J26</f>
        <v>1.6161600499734367E-2</v>
      </c>
      <c r="M15" s="203">
        <f>'Evolutive SFP'!K4/'Evolutive SFP'!K26</f>
        <v>1.5912228136179776E-2</v>
      </c>
      <c r="N15" s="203">
        <f>'Evolutive SFP'!L4/'Evolutive SFP'!L26</f>
        <v>3.0433657767786136E-2</v>
      </c>
      <c r="O15" s="203">
        <f>'Evolutive SFP'!M4/'Evolutive SFP'!M26</f>
        <v>2.0567748868654818E-2</v>
      </c>
      <c r="P15" s="203">
        <f>'Evolutive SFP'!N4/'Evolutive SFP'!N26</f>
        <v>1.734943461610914E-2</v>
      </c>
      <c r="Q15" s="203">
        <f>'Evolutive SFP'!O4/'Evolutive SFP'!O26</f>
        <v>0.45400214709606729</v>
      </c>
      <c r="R15" s="203">
        <f>'Evolutive SFP'!P4/'Evolutive SFP'!P26</f>
        <v>0.24697346208889628</v>
      </c>
      <c r="S15" s="203">
        <f>'Evolutive SFP'!Q4/'Evolutive SFP'!Q26</f>
        <v>0.29615752849453686</v>
      </c>
      <c r="T15" s="203">
        <f>'Evolutive SFP'!R4/'Evolutive SFP'!R26</f>
        <v>0.31286222357071047</v>
      </c>
      <c r="U15" s="203">
        <f>'Evolutive SFP'!S4/'Evolutive SFP'!S26</f>
        <v>9.0388241384419754E-2</v>
      </c>
      <c r="V15" s="203">
        <f>'Evolutive SFP'!T4/'Evolutive SFP'!T26</f>
        <v>7.9654125370966306E-2</v>
      </c>
      <c r="W15" s="203">
        <f>'Evolutive SFP'!U4/'Evolutive SFP'!U26</f>
        <v>5.2902990795754251E-2</v>
      </c>
      <c r="X15" s="203">
        <f>'Evolutive SFP'!V4/'Evolutive SFP'!V26</f>
        <v>4.2623502526992589E-2</v>
      </c>
      <c r="Y15" s="203">
        <f>'Evolutive SFP'!W4/'Evolutive SFP'!W26</f>
        <v>4.157838547979166E-2</v>
      </c>
      <c r="Z15" s="203">
        <f>'Evolutive SFP'!X4/'Evolutive SFP'!X26</f>
        <v>7.2761442276566113E-2</v>
      </c>
      <c r="AA15" s="203">
        <f>'Evolutive SFP'!Y4/'Evolutive SFP'!Y26</f>
        <v>8.7660460262909357E-2</v>
      </c>
      <c r="AB15" s="203">
        <f>'Evolutive SFP'!Z4/'Evolutive SFP'!Z26</f>
        <v>4.8593171831888653E-2</v>
      </c>
      <c r="AC15" s="203">
        <f>'Evolutive SFP'!AA4/'Evolutive SFP'!AA26</f>
        <v>7.8657626150117788E-2</v>
      </c>
      <c r="AD15" s="203">
        <f>'Evolutive SFP'!AB4/'Evolutive SFP'!AB26</f>
        <v>0.64330142558567061</v>
      </c>
      <c r="AE15" s="203">
        <f>'Evolutive SFP'!AC4/'Evolutive SFP'!AC26</f>
        <v>0.29672639386628002</v>
      </c>
      <c r="AF15" s="203">
        <f>'Evolutive SFP'!AD4/'Evolutive SFP'!AD26</f>
        <v>0.26584665960457043</v>
      </c>
      <c r="AG15" s="203">
        <f>'Evolutive SFP'!AE4/'Evolutive SFP'!AE26</f>
        <v>0.26583963068757482</v>
      </c>
      <c r="AH15" s="203">
        <f>'Evolutive SFP'!AF4/'Evolutive SFP'!AF26</f>
        <v>0.10748393656049525</v>
      </c>
      <c r="AI15" s="203">
        <f>'Evolutive SFP'!AG4/'Evolutive SFP'!AG26</f>
        <v>0.19074058974925878</v>
      </c>
      <c r="AJ15" s="203">
        <f>'Evolutive SFP'!AH4/'Evolutive SFP'!AH26</f>
        <v>0.14529642370322798</v>
      </c>
      <c r="AK15" s="203">
        <f>'Evolutive SFP'!AI4/'Evolutive SFP'!AI26</f>
        <v>0.12945966921119367</v>
      </c>
      <c r="AL15" s="203">
        <f>'Evolutive SFP'!AJ4/'Evolutive SFP'!AJ26</f>
        <v>0.13628104245769829</v>
      </c>
      <c r="AM15" s="203">
        <f>'Evolutive SFP'!AK4/'Evolutive SFP'!AK26</f>
        <v>0.18269764979896014</v>
      </c>
      <c r="AN15" s="203">
        <f>'Evolutive SFP'!AL4/'Evolutive SFP'!AL26</f>
        <v>0.21561554048826692</v>
      </c>
      <c r="AO15" s="203">
        <f>'Evolutive SFP'!AM4/'Evolutive SFP'!AM26</f>
        <v>0.18740720444549858</v>
      </c>
      <c r="AP15" s="203">
        <f>'Evolutive SFP'!AN4/'Evolutive SFP'!AN26</f>
        <v>0.18600888277691277</v>
      </c>
      <c r="AQ15" s="203">
        <f>'Evolutive SFP'!AO4/'Evolutive SFP'!AO26</f>
        <v>0.62164776676923583</v>
      </c>
      <c r="AR15" s="203">
        <f>'Evolutive SFP'!AP4/'Evolutive SFP'!AP26</f>
        <v>0.4043024513274151</v>
      </c>
      <c r="AS15" s="203">
        <f>'Evolutive SFP'!AQ4/'Evolutive SFP'!AQ26</f>
        <v>0.42242193709585107</v>
      </c>
      <c r="AT15" s="203">
        <f>'Evolutive SFP'!AR4/'Evolutive SFP'!AR26</f>
        <v>0.295068667924411</v>
      </c>
      <c r="AU15" s="203">
        <f>'Evolutive SFP'!AS4/'Evolutive SFP'!AS26</f>
        <v>0.12535009763590571</v>
      </c>
      <c r="AV15" s="203">
        <f>'Evolutive SFP'!AT4/'Evolutive SFP'!AT26</f>
        <v>9.0931389769633109E-2</v>
      </c>
      <c r="AW15" s="203">
        <f>'Evolutive SFP'!AU4/'Evolutive SFP'!AU26</f>
        <v>0.13880530152644102</v>
      </c>
      <c r="AX15" s="203">
        <f>'Evolutive SFP'!AV4/'Evolutive SFP'!AV26</f>
        <v>0.1008564849934786</v>
      </c>
      <c r="AY15" s="203">
        <f>'Evolutive SFP'!AW4/'Evolutive SFP'!AW26</f>
        <v>6.2708613526801404E-2</v>
      </c>
      <c r="AZ15" s="203">
        <f>'Evolutive SFP'!AX4/'Evolutive SFP'!AX26</f>
        <v>0.12558373096502351</v>
      </c>
      <c r="BA15" s="203">
        <f>'Evolutive SFP'!AY4/'Evolutive SFP'!AY26</f>
        <v>0.10481018823980361</v>
      </c>
      <c r="BB15" s="203">
        <f>'Evolutive SFP'!AZ4/'Evolutive SFP'!AZ26</f>
        <v>6.6440799375258014E-2</v>
      </c>
      <c r="BC15" s="203">
        <f>'Evolutive SFP'!BA4/'Evolutive SFP'!BA26</f>
        <v>6.7484254524228598E-2</v>
      </c>
      <c r="BD15" s="203">
        <f>'Evolutive SFP'!BB4/'Evolutive SFP'!BB26</f>
        <v>0.16673361500227474</v>
      </c>
      <c r="BE15" s="203">
        <f>'Evolutive SFP'!BC4/'Evolutive SFP'!BC26</f>
        <v>7.4665412459404376E-2</v>
      </c>
      <c r="BF15" s="203">
        <f>'Evolutive SFP'!BD4/'Evolutive SFP'!BD26</f>
        <v>4.389514485323346E-2</v>
      </c>
      <c r="BG15" s="203" t="e">
        <f>'Evolutive SFP'!BE4/'Evolutive SFP'!BE26</f>
        <v>#DIV/0!</v>
      </c>
      <c r="BH15" s="203">
        <f>'Evolutive SFP'!BF4/'Evolutive SFP'!BF26</f>
        <v>4.812382728418111E-2</v>
      </c>
      <c r="BI15" s="203">
        <f>'Evolutive SFP'!BG4/'Evolutive SFP'!BG26</f>
        <v>8.3817747113748869E-2</v>
      </c>
      <c r="BJ15" s="203">
        <f>'Evolutive SFP'!BH4/'Evolutive SFP'!BH26</f>
        <v>0.16288278418943392</v>
      </c>
      <c r="BK15" s="203">
        <f>'Evolutive SFP'!BI4/'Evolutive SFP'!BI26</f>
        <v>0.18869918043095518</v>
      </c>
      <c r="BL15" s="203">
        <f>'Evolutive SFP'!BJ4/'Evolutive SFP'!BJ26</f>
        <v>0.20967657886970659</v>
      </c>
      <c r="BM15" s="203">
        <f>'Evolutive SFP'!BK4/'Evolutive SFP'!BK26</f>
        <v>0.20270580997294707</v>
      </c>
      <c r="BN15" s="203" t="e">
        <f>'Evolutive SFP'!BL4/'Evolutive SFP'!BL26</f>
        <v>#DIV/0!</v>
      </c>
      <c r="BO15" s="203">
        <f>'Evolutive SFP'!BM4/'Evolutive SFP'!BM26</f>
        <v>0.21589334532234786</v>
      </c>
      <c r="BP15" s="203">
        <f>'Evolutive SFP'!BN4/'Evolutive SFP'!BN26</f>
        <v>0.20947700902985594</v>
      </c>
      <c r="BQ15" s="203">
        <f>'Evolutive SFP'!BO4/'Evolutive SFP'!BO26</f>
        <v>0.38069404073341395</v>
      </c>
      <c r="BR15" s="203">
        <f>'Evolutive SFP'!BP4/'Evolutive SFP'!BP26</f>
        <v>0.15125165088293521</v>
      </c>
      <c r="BS15" s="203">
        <f>'Evolutive SFP'!BQ4/'Evolutive SFP'!BQ26</f>
        <v>0.14486049010608765</v>
      </c>
      <c r="BT15" s="203">
        <f>'Evolutive SFP'!BR4/'Evolutive SFP'!BR26</f>
        <v>0.16009784400444912</v>
      </c>
      <c r="BU15" s="203">
        <f>'Evolutive SFP'!BS4/'Evolutive SFP'!BS26</f>
        <v>0.10556292423119572</v>
      </c>
      <c r="BV15" s="203">
        <f>'Evolutive SFP'!BT4/'Evolutive SFP'!BT26</f>
        <v>0.1737849790416979</v>
      </c>
      <c r="BW15" s="203">
        <f>'Evolutive SFP'!BU4/'Evolutive SFP'!BU26</f>
        <v>0.14088171784202991</v>
      </c>
      <c r="BX15" s="203">
        <f>'Evolutive SFP'!BV4/'Evolutive SFP'!BV26</f>
        <v>0.17983325278824319</v>
      </c>
      <c r="BY15" s="203">
        <f>'Evolutive SFP'!BW4/'Evolutive SFP'!BW26</f>
        <v>0.15587488939755789</v>
      </c>
      <c r="BZ15" s="203">
        <f>'Evolutive SFP'!BX4/'Evolutive SFP'!BX26</f>
        <v>0.15173098389390452</v>
      </c>
      <c r="CA15" s="203">
        <f>'Evolutive SFP'!BY4/'Evolutive SFP'!BY26</f>
        <v>0.15455784417053881</v>
      </c>
      <c r="CB15" s="203">
        <f>'Evolutive SFP'!BZ4/'Evolutive SFP'!BZ26</f>
        <v>0.13031867498129646</v>
      </c>
      <c r="CC15" s="203">
        <f>'Evolutive SFP'!CA4/'Evolutive SFP'!CA26</f>
        <v>0.13220406773914056</v>
      </c>
      <c r="CD15" s="203">
        <f>'Evolutive SFP'!CB4/'Evolutive SFP'!CB26</f>
        <v>0.31812575861851788</v>
      </c>
      <c r="CE15" s="203" t="e">
        <f>'Evolutive SFP'!CC4/'Evolutive SFP'!CC26</f>
        <v>#DIV/0!</v>
      </c>
      <c r="CF15" s="203" t="e">
        <f>'Evolutive SFP'!CD4/'Evolutive SFP'!CD26</f>
        <v>#DIV/0!</v>
      </c>
      <c r="CG15" s="203">
        <f>'Evolutive SFP'!CE4/'Evolutive SFP'!CE26</f>
        <v>1.9226786654022228E-2</v>
      </c>
      <c r="CH15" s="203">
        <f>'Evolutive SFP'!CF4/'Evolutive SFP'!CF26</f>
        <v>1.6636991311277514E-2</v>
      </c>
      <c r="CI15" s="203">
        <f>'Evolutive SFP'!CG4/'Evolutive SFP'!CG26</f>
        <v>-1.1126060625843001E-2</v>
      </c>
      <c r="CJ15" s="203">
        <f>'Evolutive SFP'!CH4/'Evolutive SFP'!CH26</f>
        <v>-1.7746096431650992E-2</v>
      </c>
      <c r="CK15" s="203">
        <f>'Evolutive SFP'!CI4/'Evolutive SFP'!CI26</f>
        <v>-1.1648077095570312E-4</v>
      </c>
      <c r="CL15" s="203">
        <f>'Evolutive SFP'!CJ4/'Evolutive SFP'!CJ26</f>
        <v>-4.1192409429767811E-2</v>
      </c>
      <c r="CM15" s="203">
        <f>'Evolutive SFP'!CK4/'Evolutive SFP'!CK26</f>
        <v>-3.9085985411378265E-3</v>
      </c>
      <c r="CN15" s="203">
        <f>'Evolutive SFP'!CL4/'Evolutive SFP'!CL26</f>
        <v>0.21788358255427606</v>
      </c>
      <c r="CO15" s="203">
        <f>'Evolutive SFP'!CM4/'Evolutive SFP'!CM26</f>
        <v>0.14445737059230787</v>
      </c>
      <c r="CP15" s="203">
        <f>'Evolutive SFP'!CN4/'Evolutive SFP'!CN26</f>
        <v>7.4198950025907442E-2</v>
      </c>
      <c r="CQ15" s="203">
        <f>'Evolutive SFP'!CO4/'Evolutive SFP'!CO26</f>
        <v>4.0575826035953499E-2</v>
      </c>
      <c r="CR15" s="203">
        <f>'Evolutive SFP'!CP4/'Evolutive SFP'!CP26</f>
        <v>1.0115890061783752E-2</v>
      </c>
      <c r="CS15" s="203">
        <f>'Evolutive SFP'!CQ4/'Evolutive SFP'!CQ26</f>
        <v>-2.3143866545797337E-2</v>
      </c>
      <c r="CT15" s="203">
        <f>'Evolutive SFP'!CR4/'Evolutive SFP'!CR26</f>
        <v>-2.2991180700034225E-2</v>
      </c>
      <c r="CU15" s="203">
        <f>'Evolutive SFP'!CS4/'Evolutive SFP'!CS26</f>
        <v>-2.5688348882978961E-2</v>
      </c>
    </row>
    <row r="16" spans="1:102" ht="30" x14ac:dyDescent="0.3">
      <c r="A16" s="233" t="s">
        <v>32</v>
      </c>
      <c r="B16" s="200" t="s">
        <v>33</v>
      </c>
      <c r="C16" s="201" t="s">
        <v>34</v>
      </c>
      <c r="D16" s="203">
        <f>('Evolutive SFP'!B7+'Evolutive SFP'!B20)/'Evolutive SFP'!B26</f>
        <v>0.48806612759829343</v>
      </c>
      <c r="E16" s="203">
        <f>('Evolutive SFP'!C7+'Evolutive SFP'!C20)/'Evolutive SFP'!C26</f>
        <v>0.54543449406863809</v>
      </c>
      <c r="F16" s="203">
        <f>('Evolutive SFP'!D7+'Evolutive SFP'!D20)/'Evolutive SFP'!D26</f>
        <v>0.49515473778883734</v>
      </c>
      <c r="G16" s="203">
        <f>('Evolutive SFP'!E7+'Evolutive SFP'!E20)/'Evolutive SFP'!E26</f>
        <v>0.47894505881379251</v>
      </c>
      <c r="H16" s="203">
        <f>('Evolutive SFP'!F7+'Evolutive SFP'!F20)/'Evolutive SFP'!F26</f>
        <v>0.49839951635395346</v>
      </c>
      <c r="I16" s="203">
        <f>('Evolutive SFP'!G7+'Evolutive SFP'!G20)/'Evolutive SFP'!G26</f>
        <v>0.49030076611546014</v>
      </c>
      <c r="J16" s="203">
        <f>('Evolutive SFP'!H7+'Evolutive SFP'!H20)/'Evolutive SFP'!H26</f>
        <v>0.49605703027513648</v>
      </c>
      <c r="K16" s="203">
        <f>('Evolutive SFP'!I7+'Evolutive SFP'!I20)/'Evolutive SFP'!I26</f>
        <v>0.50848056641076078</v>
      </c>
      <c r="L16" s="203">
        <f>('Evolutive SFP'!J7+'Evolutive SFP'!J20)/'Evolutive SFP'!J26</f>
        <v>0.52805238430832369</v>
      </c>
      <c r="M16" s="203">
        <f>('Evolutive SFP'!K7+'Evolutive SFP'!K20)/'Evolutive SFP'!K26</f>
        <v>0.53645921158999688</v>
      </c>
      <c r="N16" s="203">
        <f>('Evolutive SFP'!L7+'Evolutive SFP'!L20)/'Evolutive SFP'!L26</f>
        <v>0.52972869302586856</v>
      </c>
      <c r="O16" s="203">
        <f>('Evolutive SFP'!M7+'Evolutive SFP'!M20)/'Evolutive SFP'!M26</f>
        <v>0.53323551303908168</v>
      </c>
      <c r="P16" s="203">
        <f>('Evolutive SFP'!N7+'Evolutive SFP'!N20)/'Evolutive SFP'!N26</f>
        <v>0.53612512470560392</v>
      </c>
      <c r="Q16" s="203">
        <f>('Evolutive SFP'!O7+'Evolutive SFP'!O20)/'Evolutive SFP'!O26</f>
        <v>0.36257077517741498</v>
      </c>
      <c r="R16" s="203">
        <f>('Evolutive SFP'!P7+'Evolutive SFP'!P20)/'Evolutive SFP'!P26</f>
        <v>0.53062378163906398</v>
      </c>
      <c r="S16" s="203">
        <f>('Evolutive SFP'!Q7+'Evolutive SFP'!Q20)/'Evolutive SFP'!Q26</f>
        <v>0.53933755020440488</v>
      </c>
      <c r="T16" s="203">
        <f>('Evolutive SFP'!R7+'Evolutive SFP'!R20)/'Evolutive SFP'!R26</f>
        <v>0.49809266980802658</v>
      </c>
      <c r="U16" s="203">
        <f>('Evolutive SFP'!S7+'Evolutive SFP'!S20)/'Evolutive SFP'!S26</f>
        <v>0.55238539028020495</v>
      </c>
      <c r="V16" s="203">
        <f>('Evolutive SFP'!T7+'Evolutive SFP'!T20)/'Evolutive SFP'!T26</f>
        <v>0.52245490728874167</v>
      </c>
      <c r="W16" s="203">
        <f>('Evolutive SFP'!U7+'Evolutive SFP'!U20)/'Evolutive SFP'!U26</f>
        <v>0.50137401744859178</v>
      </c>
      <c r="X16" s="203">
        <f>('Evolutive SFP'!V7+'Evolutive SFP'!V20)/'Evolutive SFP'!V26</f>
        <v>0.51081812924631798</v>
      </c>
      <c r="Y16" s="203">
        <f>('Evolutive SFP'!W7+'Evolutive SFP'!W20)/'Evolutive SFP'!W26</f>
        <v>0.50205225642870743</v>
      </c>
      <c r="Z16" s="203">
        <f>('Evolutive SFP'!X7+'Evolutive SFP'!X20)/'Evolutive SFP'!X26</f>
        <v>0.46499546067016323</v>
      </c>
      <c r="AA16" s="203">
        <f>('Evolutive SFP'!Y7+'Evolutive SFP'!Y20)/'Evolutive SFP'!Y26</f>
        <v>0.45886404243431395</v>
      </c>
      <c r="AB16" s="203">
        <f>('Evolutive SFP'!Z7+'Evolutive SFP'!Z20)/'Evolutive SFP'!Z26</f>
        <v>0.46445515400137655</v>
      </c>
      <c r="AC16" s="203">
        <f>('Evolutive SFP'!AA7+'Evolutive SFP'!AA20)/'Evolutive SFP'!AA26</f>
        <v>0.45480157362110218</v>
      </c>
      <c r="AD16" s="203">
        <f>('Evolutive SFP'!AB7+'Evolutive SFP'!AB20)/'Evolutive SFP'!AB26</f>
        <v>0.22251463247839226</v>
      </c>
      <c r="AE16" s="203">
        <f>('Evolutive SFP'!AC7+'Evolutive SFP'!AC20)/'Evolutive SFP'!AC26</f>
        <v>0.44992966402282009</v>
      </c>
      <c r="AF16" s="203">
        <f>('Evolutive SFP'!AD7+'Evolutive SFP'!AD20)/'Evolutive SFP'!AD26</f>
        <v>0.4785169946922524</v>
      </c>
      <c r="AG16" s="204">
        <f>('Evolutive SFP'!AE7+'Evolutive SFP'!AE20)/'Evolutive SFP'!AE26</f>
        <v>0.47853078267378446</v>
      </c>
      <c r="AH16" s="204">
        <f>('Evolutive SFP'!AF7+'Evolutive SFP'!AF20)/'Evolutive SFP'!AF26</f>
        <v>0.43340194434744911</v>
      </c>
      <c r="AI16" s="204">
        <f>('Evolutive SFP'!AG7+'Evolutive SFP'!AG20)/'Evolutive SFP'!AG26</f>
        <v>0.3949721802215308</v>
      </c>
      <c r="AJ16" s="204">
        <f>('Evolutive SFP'!AH7+'Evolutive SFP'!AH20)/'Evolutive SFP'!AH26</f>
        <v>0.41672437605534474</v>
      </c>
      <c r="AK16" s="204">
        <f>('Evolutive SFP'!AI7+'Evolutive SFP'!AI20)/'Evolutive SFP'!AI26</f>
        <v>0.42417723632480164</v>
      </c>
      <c r="AL16" s="204">
        <f>('Evolutive SFP'!AJ7+'Evolutive SFP'!AJ20)/'Evolutive SFP'!AJ26</f>
        <v>0.41973502237139243</v>
      </c>
      <c r="AM16" s="204">
        <f>('Evolutive SFP'!AK7+'Evolutive SFP'!AK20)/'Evolutive SFP'!AK26</f>
        <v>0.41167979519863152</v>
      </c>
      <c r="AN16" s="204">
        <f>('Evolutive SFP'!AL7+'Evolutive SFP'!AL20)/'Evolutive SFP'!AL26</f>
        <v>0.36544559018373463</v>
      </c>
      <c r="AO16" s="204">
        <f>('Evolutive SFP'!AM7+'Evolutive SFP'!AM20)/'Evolutive SFP'!AM26</f>
        <v>0.37202206570823576</v>
      </c>
      <c r="AP16" s="204">
        <f>('Evolutive SFP'!AN7+'Evolutive SFP'!AN20)/'Evolutive SFP'!AN26</f>
        <v>0.37022849898736315</v>
      </c>
      <c r="AQ16" s="204">
        <f>('Evolutive SFP'!AO7+'Evolutive SFP'!AO20)/'Evolutive SFP'!AO26</f>
        <v>0.21638436598245508</v>
      </c>
      <c r="AR16" s="204">
        <f>('Evolutive SFP'!AP7+'Evolutive SFP'!AP20)/'Evolutive SFP'!AP26</f>
        <v>0.34084378715999641</v>
      </c>
      <c r="AS16" s="204">
        <f>('Evolutive SFP'!AQ7+'Evolutive SFP'!AQ20)/'Evolutive SFP'!AQ26</f>
        <v>0.35048535476034792</v>
      </c>
      <c r="AT16" s="204">
        <f>('Evolutive SFP'!AR7+'Evolutive SFP'!AR20)/'Evolutive SFP'!AR26</f>
        <v>0.23611245918082008</v>
      </c>
      <c r="AU16" s="204">
        <f>('Evolutive SFP'!AS7+'Evolutive SFP'!AS20)/'Evolutive SFP'!AS26</f>
        <v>0.37114574203877543</v>
      </c>
      <c r="AV16" s="204">
        <f>('Evolutive SFP'!AT7+'Evolutive SFP'!AT20)/'Evolutive SFP'!AT26</f>
        <v>0.38192321305970472</v>
      </c>
      <c r="AW16" s="204">
        <f>('Evolutive SFP'!AU7+'Evolutive SFP'!AU20)/'Evolutive SFP'!AU26</f>
        <v>0.36140530332092152</v>
      </c>
      <c r="AX16" s="204">
        <f>('Evolutive SFP'!AV7+'Evolutive SFP'!AV20)/'Evolutive SFP'!AV26</f>
        <v>0.36892909175721672</v>
      </c>
      <c r="AY16" s="204">
        <f>('Evolutive SFP'!AW7+'Evolutive SFP'!AW20)/'Evolutive SFP'!AW26</f>
        <v>0.38112727548655911</v>
      </c>
      <c r="AZ16" s="204">
        <f>('Evolutive SFP'!AX7+'Evolutive SFP'!AX20)/'Evolutive SFP'!AX26</f>
        <v>0.35454484200965353</v>
      </c>
      <c r="BA16" s="204">
        <f>('Evolutive SFP'!AY7+'Evolutive SFP'!AY20)/'Evolutive SFP'!AY26</f>
        <v>0.36110483317700054</v>
      </c>
      <c r="BB16" s="204">
        <f>('Evolutive SFP'!AZ7+'Evolutive SFP'!AZ20)/'Evolutive SFP'!AZ26</f>
        <v>0.25350785696917422</v>
      </c>
      <c r="BC16" s="204">
        <f>('Evolutive SFP'!BA7+'Evolutive SFP'!BA20)/'Evolutive SFP'!BA26</f>
        <v>0.25294170590444609</v>
      </c>
      <c r="BD16" s="204">
        <f>('Evolutive SFP'!BB7+'Evolutive SFP'!BB20)/'Evolutive SFP'!BB26</f>
        <v>0.24493288388953216</v>
      </c>
      <c r="BE16" s="204">
        <f>('Evolutive SFP'!BC7+'Evolutive SFP'!BC20)/'Evolutive SFP'!BC26</f>
        <v>0.26895417529552118</v>
      </c>
      <c r="BF16" s="204">
        <f>('Evolutive SFP'!BD7+'Evolutive SFP'!BD20)/'Evolutive SFP'!BD26</f>
        <v>0.26697243469563647</v>
      </c>
      <c r="BG16" s="204" t="e">
        <f>('Evolutive SFP'!BE7+'Evolutive SFP'!BE20)/'Evolutive SFP'!BE26</f>
        <v>#DIV/0!</v>
      </c>
      <c r="BH16" s="204">
        <f>('Evolutive SFP'!BF7+'Evolutive SFP'!BF20)/'Evolutive SFP'!BF26</f>
        <v>0.2622518653785742</v>
      </c>
      <c r="BI16" s="204">
        <f>('Evolutive SFP'!BG7+'Evolutive SFP'!BG20)/'Evolutive SFP'!BG26</f>
        <v>0.24312872683667483</v>
      </c>
      <c r="BJ16" s="204">
        <f>('Evolutive SFP'!BH7+'Evolutive SFP'!BH20)/'Evolutive SFP'!BH26</f>
        <v>0.22692664382266789</v>
      </c>
      <c r="BK16" s="204">
        <f>('Evolutive SFP'!BI7+'Evolutive SFP'!BI20)/'Evolutive SFP'!BI26</f>
        <v>0.21169864552069101</v>
      </c>
      <c r="BL16" s="204">
        <f>('Evolutive SFP'!BJ7+'Evolutive SFP'!BJ20)/'Evolutive SFP'!BJ26</f>
        <v>0.21153978239949367</v>
      </c>
      <c r="BM16" s="204">
        <f>('Evolutive SFP'!BK7+'Evolutive SFP'!BK20)/'Evolutive SFP'!BK26</f>
        <v>0.2158921340738458</v>
      </c>
      <c r="BN16" s="204" t="e">
        <f>('Evolutive SFP'!BL7+'Evolutive SFP'!BL20)/'Evolutive SFP'!BL26</f>
        <v>#DIV/0!</v>
      </c>
      <c r="BO16" s="204">
        <f>('Evolutive SFP'!BM7+'Evolutive SFP'!BM20)/'Evolutive SFP'!BM26</f>
        <v>0.18261988157270737</v>
      </c>
      <c r="BP16" s="204">
        <f>('Evolutive SFP'!BN7+'Evolutive SFP'!BN20)/'Evolutive SFP'!BN26</f>
        <v>0.18718825368999797</v>
      </c>
      <c r="BQ16" s="204">
        <f>('Evolutive SFP'!BO7+'Evolutive SFP'!BO20)/'Evolutive SFP'!BO26</f>
        <v>0.15177407961900546</v>
      </c>
      <c r="BR16" s="204">
        <f>('Evolutive SFP'!BP7+'Evolutive SFP'!BP20)/'Evolutive SFP'!BP26</f>
        <v>0.20988478908396133</v>
      </c>
      <c r="BS16" s="204">
        <f>('Evolutive SFP'!BQ7+'Evolutive SFP'!BQ20)/'Evolutive SFP'!BQ26</f>
        <v>0.21657517214725724</v>
      </c>
      <c r="BT16" s="204">
        <f>('Evolutive SFP'!BR7+'Evolutive SFP'!BR20)/'Evolutive SFP'!BR26</f>
        <v>0.23852376372569581</v>
      </c>
      <c r="BU16" s="204">
        <f>('Evolutive SFP'!BS7+'Evolutive SFP'!BS20)/'Evolutive SFP'!BS26</f>
        <v>0.22315029466655686</v>
      </c>
      <c r="BV16" s="204">
        <f>('Evolutive SFP'!BT7+'Evolutive SFP'!BT20)/'Evolutive SFP'!BT26</f>
        <v>0.20170595681653367</v>
      </c>
      <c r="BW16" s="204">
        <f>('Evolutive SFP'!BU7+'Evolutive SFP'!BU20)/'Evolutive SFP'!BU26</f>
        <v>0.20878593831374445</v>
      </c>
      <c r="BX16" s="204">
        <f>('Evolutive SFP'!BV7+'Evolutive SFP'!BV20)/'Evolutive SFP'!BV26</f>
        <v>0.19432242202133454</v>
      </c>
      <c r="BY16" s="204">
        <f>('Evolutive SFP'!BW7+'Evolutive SFP'!BW20)/'Evolutive SFP'!BW26</f>
        <v>0.19873328225573014</v>
      </c>
      <c r="BZ16" s="204">
        <f>('Evolutive SFP'!BX7+'Evolutive SFP'!BX20)/'Evolutive SFP'!BX26</f>
        <v>0.28361525229067297</v>
      </c>
      <c r="CA16" s="204">
        <f>('Evolutive SFP'!BY7+'Evolutive SFP'!BY20)/'Evolutive SFP'!BY26</f>
        <v>0.27692963495715012</v>
      </c>
      <c r="CB16" s="204">
        <f>('Evolutive SFP'!BZ7+'Evolutive SFP'!BZ20)/'Evolutive SFP'!BZ26</f>
        <v>0.29205283621022299</v>
      </c>
      <c r="CC16" s="204">
        <f>('Evolutive SFP'!CA7+'Evolutive SFP'!CA20)/'Evolutive SFP'!CA26</f>
        <v>0.2917161435290076</v>
      </c>
      <c r="CD16" s="204">
        <f>('Evolutive SFP'!CB7+'Evolutive SFP'!CB20)/'Evolutive SFP'!CB26</f>
        <v>0.24805640181010996</v>
      </c>
      <c r="CE16" s="204" t="e">
        <f>('Evolutive SFP'!CC7+'Evolutive SFP'!CC20)/'Evolutive SFP'!CC26</f>
        <v>#DIV/0!</v>
      </c>
      <c r="CF16" s="204" t="e">
        <f>('Evolutive SFP'!CD7+'Evolutive SFP'!CD20)/'Evolutive SFP'!CD26</f>
        <v>#DIV/0!</v>
      </c>
      <c r="CG16" s="204">
        <f>('Evolutive SFP'!CE7+'Evolutive SFP'!CE20)/'Evolutive SFP'!CE26</f>
        <v>0.28400251241515134</v>
      </c>
      <c r="CH16" s="204">
        <f>('Evolutive SFP'!CF7+'Evolutive SFP'!CF20)/'Evolutive SFP'!CF26</f>
        <v>0.35227958293183381</v>
      </c>
      <c r="CI16" s="204">
        <f>('Evolutive SFP'!CG7+'Evolutive SFP'!CG20)/'Evolutive SFP'!CG26</f>
        <v>0.36956223698239643</v>
      </c>
      <c r="CJ16" s="204">
        <f>('Evolutive SFP'!CH7+'Evolutive SFP'!CH20)/'Evolutive SFP'!CH26</f>
        <v>0.34311336190613723</v>
      </c>
      <c r="CK16" s="204">
        <f>('Evolutive SFP'!CI7+'Evolutive SFP'!CI20)/'Evolutive SFP'!CI26</f>
        <v>0.33812661805721689</v>
      </c>
      <c r="CL16" s="204">
        <f>('Evolutive SFP'!CJ7+'Evolutive SFP'!CJ20)/'Evolutive SFP'!CJ26</f>
        <v>0.34562561383507723</v>
      </c>
      <c r="CM16" s="204">
        <f>('Evolutive SFP'!CK7+'Evolutive SFP'!CK20)/'Evolutive SFP'!CK26</f>
        <v>0.29113588335055413</v>
      </c>
      <c r="CN16" s="204">
        <f>('Evolutive SFP'!CL7+'Evolutive SFP'!CL20)/'Evolutive SFP'!CL26</f>
        <v>0.2432509097678171</v>
      </c>
      <c r="CO16" s="204">
        <f>('Evolutive SFP'!CM7+'Evolutive SFP'!CM20)/'Evolutive SFP'!CM26</f>
        <v>0.26227498179122033</v>
      </c>
      <c r="CP16" s="204">
        <f>('Evolutive SFP'!CN7+'Evolutive SFP'!CN20)/'Evolutive SFP'!CN26</f>
        <v>0.28016788441158597</v>
      </c>
      <c r="CQ16" s="204">
        <f>('Evolutive SFP'!CO7+'Evolutive SFP'!CO20)/'Evolutive SFP'!CO26</f>
        <v>0.28175465350723916</v>
      </c>
      <c r="CR16" s="204">
        <f>('Evolutive SFP'!CP7+'Evolutive SFP'!CP20)/'Evolutive SFP'!CP26</f>
        <v>0.28832368997097024</v>
      </c>
      <c r="CS16" s="204">
        <f>('Evolutive SFP'!CQ7+'Evolutive SFP'!CQ20)/'Evolutive SFP'!CQ26</f>
        <v>0.29533103619886314</v>
      </c>
      <c r="CT16" s="204">
        <f>('Evolutive SFP'!CR7+'Evolutive SFP'!CR20)/'Evolutive SFP'!CR26</f>
        <v>0.29338268799999517</v>
      </c>
      <c r="CU16" s="204">
        <f>('Evolutive SFP'!CS7+'Evolutive SFP'!CS20)/'Evolutive SFP'!CS26</f>
        <v>0.30114590112141559</v>
      </c>
    </row>
    <row r="17" spans="1:99" ht="15.6" x14ac:dyDescent="0.3">
      <c r="A17" s="233"/>
      <c r="B17" s="200" t="s">
        <v>35</v>
      </c>
      <c r="C17" s="201" t="s">
        <v>36</v>
      </c>
      <c r="D17" s="203">
        <f>'Evolutive SFP'!B20/'Evolutive SFP'!B26</f>
        <v>0.26049891300945816</v>
      </c>
      <c r="E17" s="203">
        <f>'Evolutive SFP'!C20/'Evolutive SFP'!C26</f>
        <v>0.25765616670392116</v>
      </c>
      <c r="F17" s="203">
        <f>'Evolutive SFP'!D20/'Evolutive SFP'!D26</f>
        <v>0.2224199420505274</v>
      </c>
      <c r="G17" s="203">
        <f>'Evolutive SFP'!E20/'Evolutive SFP'!E26</f>
        <v>0.45571389771264126</v>
      </c>
      <c r="H17" s="203">
        <f>'Evolutive SFP'!F20/'Evolutive SFP'!F26</f>
        <v>0.46545297637667027</v>
      </c>
      <c r="I17" s="203">
        <f>'Evolutive SFP'!G20/'Evolutive SFP'!G26</f>
        <v>0.45782955418589055</v>
      </c>
      <c r="J17" s="203">
        <f>'Evolutive SFP'!H20/'Evolutive SFP'!H26</f>
        <v>0.46314438694355159</v>
      </c>
      <c r="K17" s="203">
        <f>'Evolutive SFP'!I20/'Evolutive SFP'!I26</f>
        <v>0.47468245760602962</v>
      </c>
      <c r="L17" s="203">
        <f>'Evolutive SFP'!J20/'Evolutive SFP'!J26</f>
        <v>0.49339924418695302</v>
      </c>
      <c r="M17" s="203">
        <f>'Evolutive SFP'!K20/'Evolutive SFP'!K26</f>
        <v>0.50119539748942199</v>
      </c>
      <c r="N17" s="203">
        <f>'Evolutive SFP'!L20/'Evolutive SFP'!L26</f>
        <v>0.49505614281189075</v>
      </c>
      <c r="O17" s="203">
        <f>'Evolutive SFP'!M20/'Evolutive SFP'!M26</f>
        <v>0.49849707003591898</v>
      </c>
      <c r="P17" s="203">
        <f>'Evolutive SFP'!N20/'Evolutive SFP'!N26</f>
        <v>0.50097766285823042</v>
      </c>
      <c r="Q17" s="203">
        <f>'Evolutive SFP'!O20/'Evolutive SFP'!O26</f>
        <v>0.33863335541115736</v>
      </c>
      <c r="R17" s="203">
        <f>'Evolutive SFP'!P20/'Evolutive SFP'!P26</f>
        <v>0.49558190497957766</v>
      </c>
      <c r="S17" s="203">
        <f>'Evolutive SFP'!Q20/'Evolutive SFP'!Q26</f>
        <v>0.51259161431434463</v>
      </c>
      <c r="T17" s="203">
        <f>'Evolutive SFP'!R20/'Evolutive SFP'!R26</f>
        <v>0.26453721350804182</v>
      </c>
      <c r="U17" s="203">
        <f>'Evolutive SFP'!S20/'Evolutive SFP'!S26</f>
        <v>0.52492740124408022</v>
      </c>
      <c r="V17" s="203">
        <f>'Evolutive SFP'!T20/'Evolutive SFP'!T26</f>
        <v>0.4964889156941163</v>
      </c>
      <c r="W17" s="203">
        <f>'Evolutive SFP'!U20/'Evolutive SFP'!U26</f>
        <v>0.48492867687434899</v>
      </c>
      <c r="X17" s="203">
        <f>'Evolutive SFP'!V20/'Evolutive SFP'!V26</f>
        <v>0.4940255169412045</v>
      </c>
      <c r="Y17" s="203">
        <f>'Evolutive SFP'!W20/'Evolutive SFP'!W26</f>
        <v>0.48455160862017915</v>
      </c>
      <c r="Z17" s="203">
        <f>'Evolutive SFP'!X20/'Evolutive SFP'!X26</f>
        <v>0.44713501804806738</v>
      </c>
      <c r="AA17" s="203">
        <f>'Evolutive SFP'!Y20/'Evolutive SFP'!Y26</f>
        <v>0.44119420213633115</v>
      </c>
      <c r="AB17" s="203">
        <f>'Evolutive SFP'!Z20/'Evolutive SFP'!Z26</f>
        <v>0.44691044205191349</v>
      </c>
      <c r="AC17" s="203">
        <f>'Evolutive SFP'!AA20/'Evolutive SFP'!AA26</f>
        <v>0.43757812455925782</v>
      </c>
      <c r="AD17" s="203">
        <f>'Evolutive SFP'!AB20/'Evolutive SFP'!AB26</f>
        <v>0.2140668660419576</v>
      </c>
      <c r="AE17" s="203">
        <f>'Evolutive SFP'!AC20/'Evolutive SFP'!AC26</f>
        <v>0.43417249707951522</v>
      </c>
      <c r="AF17" s="203">
        <f>'Evolutive SFP'!AD20/'Evolutive SFP'!AD26</f>
        <v>0.45833806266388433</v>
      </c>
      <c r="AG17" s="204">
        <f>'Evolutive SFP'!AE20/'Evolutive SFP'!AE26</f>
        <v>0.28599995615947899</v>
      </c>
      <c r="AH17" s="204">
        <f>'Evolutive SFP'!AF20/'Evolutive SFP'!AF26</f>
        <v>0.41508417676488124</v>
      </c>
      <c r="AI17" s="204">
        <f>'Evolutive SFP'!AG20/'Evolutive SFP'!AG26</f>
        <v>0.37855705994185168</v>
      </c>
      <c r="AJ17" s="204">
        <f>'Evolutive SFP'!AH20/'Evolutive SFP'!AH26</f>
        <v>0.39932924077586351</v>
      </c>
      <c r="AK17" s="204">
        <f>'Evolutive SFP'!AI20/'Evolutive SFP'!AI26</f>
        <v>0.40643266295148334</v>
      </c>
      <c r="AL17" s="204">
        <f>'Evolutive SFP'!AJ20/'Evolutive SFP'!AJ26</f>
        <v>0.4020036259919787</v>
      </c>
      <c r="AM17" s="204">
        <f>'Evolutive SFP'!AK20/'Evolutive SFP'!AK26</f>
        <v>0.36759201096046606</v>
      </c>
      <c r="AN17" s="204">
        <f>'Evolutive SFP'!AL20/'Evolutive SFP'!AL26</f>
        <v>0.31950285062112044</v>
      </c>
      <c r="AO17" s="204">
        <f>'Evolutive SFP'!AM20/'Evolutive SFP'!AM26</f>
        <v>0.32448770212421263</v>
      </c>
      <c r="AP17" s="204">
        <f>'Evolutive SFP'!AN20/'Evolutive SFP'!AN26</f>
        <v>0.32476828375936317</v>
      </c>
      <c r="AQ17" s="204">
        <f>'Evolutive SFP'!AO20/'Evolutive SFP'!AO26</f>
        <v>0.20141026942950865</v>
      </c>
      <c r="AR17" s="204">
        <f>'Evolutive SFP'!AP20/'Evolutive SFP'!AP26</f>
        <v>0.31593846333447118</v>
      </c>
      <c r="AS17" s="204">
        <f>'Evolutive SFP'!AQ20/'Evolutive SFP'!AQ26</f>
        <v>0.32654558621679475</v>
      </c>
      <c r="AT17" s="204">
        <f>'Evolutive SFP'!AR20/'Evolutive SFP'!AR26</f>
        <v>0.1621507708229375</v>
      </c>
      <c r="AU17" s="204">
        <f>'Evolutive SFP'!AS20/'Evolutive SFP'!AS26</f>
        <v>0.30343088837176191</v>
      </c>
      <c r="AV17" s="204">
        <f>'Evolutive SFP'!AT20/'Evolutive SFP'!AT26</f>
        <v>0.31223208115894424</v>
      </c>
      <c r="AW17" s="204">
        <f>'Evolutive SFP'!AU20/'Evolutive SFP'!AU26</f>
        <v>0.29644767001797478</v>
      </c>
      <c r="AX17" s="204">
        <f>'Evolutive SFP'!AV20/'Evolutive SFP'!AV26</f>
        <v>0.30198741304366411</v>
      </c>
      <c r="AY17" s="204">
        <f>'Evolutive SFP'!AW20/'Evolutive SFP'!AW26</f>
        <v>0.31385563791172422</v>
      </c>
      <c r="AZ17" s="204">
        <f>'Evolutive SFP'!AX20/'Evolutive SFP'!AX26</f>
        <v>0.29449677834788718</v>
      </c>
      <c r="BA17" s="204">
        <f>'Evolutive SFP'!AY20/'Evolutive SFP'!AY26</f>
        <v>0.30232044342930098</v>
      </c>
      <c r="BB17" s="204">
        <f>'Evolutive SFP'!AZ20/'Evolutive SFP'!AZ26</f>
        <v>0.21427790593436874</v>
      </c>
      <c r="BC17" s="204">
        <f>'Evolutive SFP'!BA20/'Evolutive SFP'!BA26</f>
        <v>0.21661700835184405</v>
      </c>
      <c r="BD17" s="204">
        <f>'Evolutive SFP'!BB20/'Evolutive SFP'!BB26</f>
        <v>0.21307036295353501</v>
      </c>
      <c r="BE17" s="204">
        <f>'Evolutive SFP'!BC20/'Evolutive SFP'!BC26</f>
        <v>0.2222909272610076</v>
      </c>
      <c r="BF17" s="204">
        <f>'Evolutive SFP'!BD20/'Evolutive SFP'!BD26</f>
        <v>0.21364744632693711</v>
      </c>
      <c r="BG17" s="204" t="e">
        <f>'Evolutive SFP'!BE20/'Evolutive SFP'!BE26</f>
        <v>#DIV/0!</v>
      </c>
      <c r="BH17" s="204">
        <f>'Evolutive SFP'!BF20/'Evolutive SFP'!BF26</f>
        <v>0.20706914880697594</v>
      </c>
      <c r="BI17" s="204">
        <f>'Evolutive SFP'!BG20/'Evolutive SFP'!BG26</f>
        <v>0.1916724514664353</v>
      </c>
      <c r="BJ17" s="204">
        <f>'Evolutive SFP'!BH20/'Evolutive SFP'!BH26</f>
        <v>0.18007220999627038</v>
      </c>
      <c r="BK17" s="204">
        <f>'Evolutive SFP'!BI20/'Evolutive SFP'!BI26</f>
        <v>0.17256638354711826</v>
      </c>
      <c r="BL17" s="204">
        <f>'Evolutive SFP'!BJ20/'Evolutive SFP'!BJ26</f>
        <v>0.17634094487614779</v>
      </c>
      <c r="BM17" s="204">
        <f>'Evolutive SFP'!BK20/'Evolutive SFP'!BK26</f>
        <v>0.18012191977107342</v>
      </c>
      <c r="BN17" s="204" t="e">
        <f>'Evolutive SFP'!BL20/'Evolutive SFP'!BL26</f>
        <v>#DIV/0!</v>
      </c>
      <c r="BO17" s="204">
        <f>'Evolutive SFP'!BM20/'Evolutive SFP'!BM26</f>
        <v>0.15380302760234063</v>
      </c>
      <c r="BP17" s="204">
        <f>'Evolutive SFP'!BN20/'Evolutive SFP'!BN26</f>
        <v>0.15682022535108067</v>
      </c>
      <c r="BQ17" s="204">
        <f>'Evolutive SFP'!BO20/'Evolutive SFP'!BO26</f>
        <v>0.1384078196443152</v>
      </c>
      <c r="BR17" s="204">
        <f>'Evolutive SFP'!BP20/'Evolutive SFP'!BP26</f>
        <v>0.18324339224373243</v>
      </c>
      <c r="BS17" s="204">
        <f>'Evolutive SFP'!BQ20/'Evolutive SFP'!BQ26</f>
        <v>0.16745137610578431</v>
      </c>
      <c r="BT17" s="204">
        <f>'Evolutive SFP'!BR20/'Evolutive SFP'!BR26</f>
        <v>0.15118485518423874</v>
      </c>
      <c r="BU17" s="204">
        <f>'Evolutive SFP'!BS20/'Evolutive SFP'!BS26</f>
        <v>0.17109180201771221</v>
      </c>
      <c r="BV17" s="204">
        <f>'Evolutive SFP'!BT20/'Evolutive SFP'!BT26</f>
        <v>0.15440412731996056</v>
      </c>
      <c r="BW17" s="204">
        <f>'Evolutive SFP'!BU20/'Evolutive SFP'!BU26</f>
        <v>0.16045672386243801</v>
      </c>
      <c r="BX17" s="204">
        <f>'Evolutive SFP'!BV20/'Evolutive SFP'!BV26</f>
        <v>0.15042870900406552</v>
      </c>
      <c r="BY17" s="204">
        <f>'Evolutive SFP'!BW20/'Evolutive SFP'!BW26</f>
        <v>0.15429810668313829</v>
      </c>
      <c r="BZ17" s="204">
        <f>'Evolutive SFP'!BX20/'Evolutive SFP'!BX26</f>
        <v>0.23166846773293145</v>
      </c>
      <c r="CA17" s="204">
        <f>'Evolutive SFP'!BY20/'Evolutive SFP'!BY26</f>
        <v>0.22555918745208384</v>
      </c>
      <c r="CB17" s="204">
        <f>'Evolutive SFP'!BZ20/'Evolutive SFP'!BZ26</f>
        <v>0.23982010346552046</v>
      </c>
      <c r="CC17" s="204">
        <f>'Evolutive SFP'!CA20/'Evolutive SFP'!CA26</f>
        <v>0.24102864876683167</v>
      </c>
      <c r="CD17" s="204">
        <f>'Evolutive SFP'!CB20/'Evolutive SFP'!CB26</f>
        <v>0.21117622774790565</v>
      </c>
      <c r="CE17" s="204" t="e">
        <f>'Evolutive SFP'!CC20/'Evolutive SFP'!CC26</f>
        <v>#DIV/0!</v>
      </c>
      <c r="CF17" s="204" t="e">
        <f>'Evolutive SFP'!CD20/'Evolutive SFP'!CD26</f>
        <v>#DIV/0!</v>
      </c>
      <c r="CG17" s="204">
        <f>'Evolutive SFP'!CE20/'Evolutive SFP'!CE26</f>
        <v>0.1608211205249212</v>
      </c>
      <c r="CH17" s="204">
        <f>'Evolutive SFP'!CF20/'Evolutive SFP'!CF26</f>
        <v>0.2823787283515542</v>
      </c>
      <c r="CI17" s="204">
        <f>'Evolutive SFP'!CG20/'Evolutive SFP'!CG26</f>
        <v>0.29887730089565823</v>
      </c>
      <c r="CJ17" s="204">
        <f>'Evolutive SFP'!CH20/'Evolutive SFP'!CH26</f>
        <v>0.26899996154136913</v>
      </c>
      <c r="CK17" s="204">
        <f>'Evolutive SFP'!CI20/'Evolutive SFP'!CI26</f>
        <v>0.26308369277115923</v>
      </c>
      <c r="CL17" s="204">
        <f>'Evolutive SFP'!CJ20/'Evolutive SFP'!CJ26</f>
        <v>0.26629245783353855</v>
      </c>
      <c r="CM17" s="204">
        <f>'Evolutive SFP'!CK20/'Evolutive SFP'!CK26</f>
        <v>0.22158158335362063</v>
      </c>
      <c r="CN17" s="204">
        <f>'Evolutive SFP'!CL20/'Evolutive SFP'!CL26</f>
        <v>0.17561562704548905</v>
      </c>
      <c r="CO17" s="204">
        <f>'Evolutive SFP'!CM20/'Evolutive SFP'!CM26</f>
        <v>0.2024453573160224</v>
      </c>
      <c r="CP17" s="204">
        <f>'Evolutive SFP'!CN20/'Evolutive SFP'!CN26</f>
        <v>0.21419921222943678</v>
      </c>
      <c r="CQ17" s="204">
        <f>'Evolutive SFP'!CO20/'Evolutive SFP'!CO26</f>
        <v>0.21209947764792911</v>
      </c>
      <c r="CR17" s="204">
        <f>'Evolutive SFP'!CP20/'Evolutive SFP'!CP26</f>
        <v>0.21569282319244834</v>
      </c>
      <c r="CS17" s="204">
        <f>'Evolutive SFP'!CQ20/'Evolutive SFP'!CQ26</f>
        <v>0.21764675502439976</v>
      </c>
      <c r="CT17" s="204">
        <f>'Evolutive SFP'!CR20/'Evolutive SFP'!CR26</f>
        <v>0.14888088266470573</v>
      </c>
      <c r="CU17" s="204">
        <f>'Evolutive SFP'!CS20/'Evolutive SFP'!CS26</f>
        <v>0.22342614673220743</v>
      </c>
    </row>
    <row r="18" spans="1:99" ht="30" x14ac:dyDescent="0.3">
      <c r="A18" s="233"/>
      <c r="B18" s="200" t="s">
        <v>37</v>
      </c>
      <c r="C18" s="207" t="s">
        <v>36</v>
      </c>
      <c r="D18" s="203">
        <f>'Evolutive SFP'!B12/'Evolutive SFP'!B30</f>
        <v>0.14759471972613855</v>
      </c>
      <c r="E18" s="203">
        <f>'Evolutive SFP'!C12/'Evolutive SFP'!C30</f>
        <v>0.15299228690140251</v>
      </c>
      <c r="F18" s="203">
        <f>'Evolutive SFP'!D12/'Evolutive SFP'!D30</f>
        <v>0.12918834527661913</v>
      </c>
      <c r="G18" s="203">
        <f>'Evolutive SFP'!E12/'Evolutive SFP'!E30</f>
        <v>0.14739939387290638</v>
      </c>
      <c r="H18" s="203">
        <f>'Evolutive SFP'!F12/'Evolutive SFP'!F30</f>
        <v>0.13012117959832623</v>
      </c>
      <c r="I18" s="203">
        <f>'Evolutive SFP'!G12/'Evolutive SFP'!G30</f>
        <v>0.12712903528623556</v>
      </c>
      <c r="J18" s="203">
        <f>'Evolutive SFP'!H12/'Evolutive SFP'!H30</f>
        <v>0.13184285741302368</v>
      </c>
      <c r="K18" s="203">
        <f>'Evolutive SFP'!I12/'Evolutive SFP'!I30</f>
        <v>0.13721345636816212</v>
      </c>
      <c r="L18" s="203">
        <f>'Evolutive SFP'!J12/'Evolutive SFP'!J30</f>
        <v>0.14828948981246923</v>
      </c>
      <c r="M18" s="203">
        <f>'Evolutive SFP'!K12/'Evolutive SFP'!K30</f>
        <v>0.15211928033004191</v>
      </c>
      <c r="N18" s="203">
        <f>'Evolutive SFP'!L12/'Evolutive SFP'!L30</f>
        <v>0.15407736679984282</v>
      </c>
      <c r="O18" s="203">
        <f>'Evolutive SFP'!M12/'Evolutive SFP'!M30</f>
        <v>0.15452578194122771</v>
      </c>
      <c r="P18" s="203">
        <f>'Evolutive SFP'!N12/'Evolutive SFP'!N30</f>
        <v>0.154251723259722</v>
      </c>
      <c r="Q18" s="203">
        <f>'Evolutive SFP'!O12/'Evolutive SFP'!O30</f>
        <v>5.4043027503383509E-2</v>
      </c>
      <c r="R18" s="203">
        <f>'Evolutive SFP'!P12/'Evolutive SFP'!P30</f>
        <v>8.9456693422478611E-2</v>
      </c>
      <c r="S18" s="203">
        <f>'Evolutive SFP'!Q12/'Evolutive SFP'!Q30</f>
        <v>9.4041273010433163E-2</v>
      </c>
      <c r="T18" s="203">
        <f>'Evolutive SFP'!R12/'Evolutive SFP'!R30</f>
        <v>0.1192827851529574</v>
      </c>
      <c r="U18" s="203">
        <f>'Evolutive SFP'!S12/'Evolutive SFP'!S30</f>
        <v>9.9676516021260791E-2</v>
      </c>
      <c r="V18" s="203">
        <f>'Evolutive SFP'!T12/'Evolutive SFP'!T30</f>
        <v>0.11708990098674177</v>
      </c>
      <c r="W18" s="203">
        <f>'Evolutive SFP'!U12/'Evolutive SFP'!U30</f>
        <v>0.16517483219662213</v>
      </c>
      <c r="X18" s="203">
        <f>'Evolutive SFP'!V12/'Evolutive SFP'!V30</f>
        <v>0.17172109106290451</v>
      </c>
      <c r="Y18" s="203">
        <f>'Evolutive SFP'!W12/'Evolutive SFP'!W30</f>
        <v>0.18598653686055175</v>
      </c>
      <c r="Z18" s="203">
        <f>'Evolutive SFP'!X12/'Evolutive SFP'!X30</f>
        <v>0.20219223728893765</v>
      </c>
      <c r="AA18" s="203">
        <f>'Evolutive SFP'!Y12/'Evolutive SFP'!Y30</f>
        <v>0.1865862136242562</v>
      </c>
      <c r="AB18" s="203">
        <f>'Evolutive SFP'!Z12/'Evolutive SFP'!Z30</f>
        <v>0.19008174432950115</v>
      </c>
      <c r="AC18" s="203">
        <f>'Evolutive SFP'!AA12/'Evolutive SFP'!AA30</f>
        <v>0.18094692233465876</v>
      </c>
      <c r="AD18" s="203">
        <f>'Evolutive SFP'!AB12/'Evolutive SFP'!AB30</f>
        <v>4.8471941919819066E-2</v>
      </c>
      <c r="AE18" s="203">
        <f>'Evolutive SFP'!AC12/'Evolutive SFP'!AC30</f>
        <v>0.12469493010313684</v>
      </c>
      <c r="AF18" s="203">
        <f>'Evolutive SFP'!AD12/'Evolutive SFP'!AD30</f>
        <v>0.15794173065983239</v>
      </c>
      <c r="AG18" s="204">
        <f>'Evolutive SFP'!AE12/'Evolutive SFP'!AE30</f>
        <v>0.15794992141964559</v>
      </c>
      <c r="AH18" s="204">
        <f>'Evolutive SFP'!AF12/'Evolutive SFP'!AF30</f>
        <v>0.15210579350752446</v>
      </c>
      <c r="AI18" s="204">
        <f>'Evolutive SFP'!AG12/'Evolutive SFP'!AG30</f>
        <v>0.16439759731914425</v>
      </c>
      <c r="AJ18" s="204">
        <f>'Evolutive SFP'!AH12/'Evolutive SFP'!AH30</f>
        <v>0.16592023989974566</v>
      </c>
      <c r="AK18" s="204">
        <f>'Evolutive SFP'!AI12/'Evolutive SFP'!AI30</f>
        <v>0.16699551731927542</v>
      </c>
      <c r="AL18" s="204">
        <f>'Evolutive SFP'!AJ12/'Evolutive SFP'!AJ30</f>
        <v>0.16575400057809886</v>
      </c>
      <c r="AM18" s="204">
        <f>'Evolutive SFP'!AK12/'Evolutive SFP'!AK30</f>
        <v>0.17752174692292144</v>
      </c>
      <c r="AN18" s="204">
        <f>'Evolutive SFP'!AL12/'Evolutive SFP'!AL30</f>
        <v>0.18609120906047588</v>
      </c>
      <c r="AO18" s="204">
        <f>'Evolutive SFP'!AM12/'Evolutive SFP'!AM30</f>
        <v>0.19106452253828915</v>
      </c>
      <c r="AP18" s="204">
        <f>'Evolutive SFP'!AN12/'Evolutive SFP'!AN30</f>
        <v>0.19219380666298982</v>
      </c>
      <c r="AQ18" s="204">
        <f>'Evolutive SFP'!AO12/'Evolutive SFP'!AO30</f>
        <v>4.7963573356493761E-2</v>
      </c>
      <c r="AR18" s="204">
        <f>'Evolutive SFP'!AP12/'Evolutive SFP'!AP30</f>
        <v>9.3288914146365504E-2</v>
      </c>
      <c r="AS18" s="204">
        <f>'Evolutive SFP'!AQ12/'Evolutive SFP'!AQ30</f>
        <v>0.12008466625046328</v>
      </c>
      <c r="AT18" s="204">
        <f>'Evolutive SFP'!AR12/'Evolutive SFP'!AR30</f>
        <v>1.100589662873054</v>
      </c>
      <c r="AU18" s="204">
        <f>'Evolutive SFP'!AS12/'Evolutive SFP'!AS30</f>
        <v>0.10163953951337822</v>
      </c>
      <c r="AV18" s="204">
        <f>'Evolutive SFP'!AT12/'Evolutive SFP'!AT30</f>
        <v>0.10573752983809698</v>
      </c>
      <c r="AW18" s="204">
        <f>'Evolutive SFP'!AU12/'Evolutive SFP'!AU30</f>
        <v>9.2882797886394086E-2</v>
      </c>
      <c r="AX18" s="204">
        <f>'Evolutive SFP'!AV12/'Evolutive SFP'!AV30</f>
        <v>9.9475244519895187E-2</v>
      </c>
      <c r="AY18" s="204">
        <f>'Evolutive SFP'!AW12/'Evolutive SFP'!AW30</f>
        <v>0.10517372568832875</v>
      </c>
      <c r="AZ18" s="204">
        <f>'Evolutive SFP'!AX12/'Evolutive SFP'!AX30</f>
        <v>0.1044090131885291</v>
      </c>
      <c r="BA18" s="204">
        <f>'Evolutive SFP'!AY12/'Evolutive SFP'!AY30</f>
        <v>0.1106429487558197</v>
      </c>
      <c r="BB18" s="204">
        <f>'Evolutive SFP'!AZ12/'Evolutive SFP'!AZ30</f>
        <v>1.0375033738441912</v>
      </c>
      <c r="BC18" s="204">
        <f>'Evolutive SFP'!BA12/'Evolutive SFP'!BA30</f>
        <v>1.0557621130013923</v>
      </c>
      <c r="BD18" s="204">
        <f>'Evolutive SFP'!BB12/'Evolutive SFP'!BB30</f>
        <v>0.77853000674952455</v>
      </c>
      <c r="BE18" s="204">
        <f>'Evolutive SFP'!BC12/'Evolutive SFP'!BC30</f>
        <v>0.96489593284029984</v>
      </c>
      <c r="BF18" s="204">
        <f>'Evolutive SFP'!BD12/'Evolutive SFP'!BD30</f>
        <v>0.89657514393060656</v>
      </c>
      <c r="BG18" s="204" t="e">
        <f>'Evolutive SFP'!BE12/'Evolutive SFP'!BE30</f>
        <v>#DIV/0!</v>
      </c>
      <c r="BH18" s="204">
        <f>'Evolutive SFP'!BF12/'Evolutive SFP'!BF30</f>
        <v>0.98082664070616088</v>
      </c>
      <c r="BI18" s="204">
        <f>'Evolutive SFP'!BG12/'Evolutive SFP'!BG30</f>
        <v>0.92387344986680631</v>
      </c>
      <c r="BJ18" s="204">
        <f>'Evolutive SFP'!BH12/'Evolutive SFP'!BH30</f>
        <v>1.1241850241724711</v>
      </c>
      <c r="BK18" s="204">
        <f>'Evolutive SFP'!BI12/'Evolutive SFP'!BI30</f>
        <v>1.1132214213854914</v>
      </c>
      <c r="BL18" s="204">
        <f>'Evolutive SFP'!BJ12/'Evolutive SFP'!BJ30</f>
        <v>1.0895793153997704</v>
      </c>
      <c r="BM18" s="204">
        <f>'Evolutive SFP'!BK12/'Evolutive SFP'!BK30</f>
        <v>1.0985263756198251</v>
      </c>
      <c r="BN18" s="204" t="e">
        <f>'Evolutive SFP'!BL12/'Evolutive SFP'!BL30</f>
        <v>#DIV/0!</v>
      </c>
      <c r="BO18" s="204">
        <f>'Evolutive SFP'!BM12/'Evolutive SFP'!BM30</f>
        <v>1.2653849388917482</v>
      </c>
      <c r="BP18" s="204">
        <f>'Evolutive SFP'!BN12/'Evolutive SFP'!BN30</f>
        <v>1.2829440797021425</v>
      </c>
      <c r="BQ18" s="204">
        <f>'Evolutive SFP'!BO12/'Evolutive SFP'!BO30</f>
        <v>0.86824462322098717</v>
      </c>
      <c r="BR18" s="204">
        <f>'Evolutive SFP'!BP12/'Evolutive SFP'!BP30</f>
        <v>0.96296785332154067</v>
      </c>
      <c r="BS18" s="204">
        <f>'Evolutive SFP'!BQ12/'Evolutive SFP'!BQ30</f>
        <v>1.1004622537048838</v>
      </c>
      <c r="BT18" s="204">
        <f>'Evolutive SFP'!BR12/'Evolutive SFP'!BR30</f>
        <v>3.1730460580882687E-5</v>
      </c>
      <c r="BU18" s="204">
        <f>'Evolutive SFP'!BS12/'Evolutive SFP'!BS30</f>
        <v>1.1515733500873917</v>
      </c>
      <c r="BV18" s="204">
        <f>'Evolutive SFP'!BT12/'Evolutive SFP'!BT30</f>
        <v>1.1532226963355705</v>
      </c>
      <c r="BW18" s="204">
        <f>'Evolutive SFP'!BU12/'Evolutive SFP'!BU30</f>
        <v>1.2655097309516692</v>
      </c>
      <c r="BX18" s="204">
        <f>'Evolutive SFP'!BV12/'Evolutive SFP'!BV30</f>
        <v>1.1635530828327978</v>
      </c>
      <c r="BY18" s="204">
        <f>'Evolutive SFP'!BW12/'Evolutive SFP'!BW30</f>
        <v>1.2672410749393186</v>
      </c>
      <c r="BZ18" s="204">
        <f>'Evolutive SFP'!BX12/'Evolutive SFP'!BX30</f>
        <v>0.90538972723795219</v>
      </c>
      <c r="CA18" s="204">
        <f>'Evolutive SFP'!BY12/'Evolutive SFP'!BY30</f>
        <v>0.91383633639936712</v>
      </c>
      <c r="CB18" s="204">
        <f>'Evolutive SFP'!BZ12/'Evolutive SFP'!BZ30</f>
        <v>0.91174707024014645</v>
      </c>
      <c r="CC18" s="204">
        <f>'Evolutive SFP'!CA12/'Evolutive SFP'!CA30</f>
        <v>0.92615110485732677</v>
      </c>
      <c r="CD18" s="204">
        <f>'Evolutive SFP'!CB12/'Evolutive SFP'!CB30</f>
        <v>0.57292070795194994</v>
      </c>
      <c r="CE18" s="204" t="e">
        <f>'Evolutive SFP'!CC12/'Evolutive SFP'!CC30</f>
        <v>#DIV/0!</v>
      </c>
      <c r="CF18" s="204" t="e">
        <f>'Evolutive SFP'!CD12/'Evolutive SFP'!CD30</f>
        <v>#DIV/0!</v>
      </c>
      <c r="CG18" s="204">
        <f>'Evolutive SFP'!CE12/'Evolutive SFP'!CE30</f>
        <v>1.8336964436268096E-5</v>
      </c>
      <c r="CH18" s="204">
        <f>'Evolutive SFP'!CF12/'Evolutive SFP'!CF30</f>
        <v>7.5841248754381595E-4</v>
      </c>
      <c r="CI18" s="204">
        <f>'Evolutive SFP'!CG12/'Evolutive SFP'!CG30</f>
        <v>7.7286453774284185E-4</v>
      </c>
      <c r="CJ18" s="204">
        <f>'Evolutive SFP'!CH12/'Evolutive SFP'!CH30</f>
        <v>7.4696380008464416E-4</v>
      </c>
      <c r="CK18" s="204">
        <f>'Evolutive SFP'!CI12/'Evolutive SFP'!CI30</f>
        <v>7.0533019160457183E-4</v>
      </c>
      <c r="CL18" s="204">
        <f>'Evolutive SFP'!CJ12/'Evolutive SFP'!CJ30</f>
        <v>7.373418998254691E-4</v>
      </c>
      <c r="CM18" s="204">
        <f>'Evolutive SFP'!CK12/'Evolutive SFP'!CK30</f>
        <v>7.2137567811666841E-4</v>
      </c>
      <c r="CN18" s="204">
        <f>'Evolutive SFP'!CL12/'Evolutive SFP'!CL30</f>
        <v>4.270882441939693E-4</v>
      </c>
      <c r="CO18" s="204">
        <f>'Evolutive SFP'!CM12/'Evolutive SFP'!CM30</f>
        <v>4.784942072364314E-4</v>
      </c>
      <c r="CP18" s="204">
        <f>'Evolutive SFP'!CN12/'Evolutive SFP'!CN30</f>
        <v>5.5005525139027029E-4</v>
      </c>
      <c r="CQ18" s="204">
        <f>'Evolutive SFP'!CO11/'Evolutive SFP'!CO30</f>
        <v>0.92334330481580695</v>
      </c>
      <c r="CR18" s="204">
        <f>'Evolutive SFP'!CP11/'Evolutive SFP'!CP30</f>
        <v>0.93371843818778244</v>
      </c>
      <c r="CS18" s="204">
        <f>'Evolutive SFP'!CQ11/'Evolutive SFP'!CQ30</f>
        <v>0.96278858442400461</v>
      </c>
      <c r="CT18" s="204">
        <f>'Evolutive SFP'!CR12/'Evolutive SFP'!CR30</f>
        <v>2.2995920234772043E-4</v>
      </c>
      <c r="CU18" s="204">
        <f>'Evolutive SFP'!CS12/'Evolutive SFP'!CS30</f>
        <v>5.8909707983634447E-4</v>
      </c>
    </row>
    <row r="19" spans="1:99" ht="30" x14ac:dyDescent="0.3">
      <c r="A19" s="233"/>
      <c r="B19" s="208" t="s">
        <v>38</v>
      </c>
      <c r="C19" s="201" t="s">
        <v>39</v>
      </c>
      <c r="D19" s="203">
        <f>'Evolutive SFP'!B12/('CAELS (2)'!D3*1000000)</f>
        <v>0.62499104085130053</v>
      </c>
      <c r="E19" s="203">
        <f>'Evolutive SFP'!C12/('CAELS (2)'!E3*1000000)</f>
        <v>0.29974290219685001</v>
      </c>
      <c r="F19" s="203" t="e">
        <f>'Evolutive SFP'!D12/('CAELS (2)'!F3*1000000)</f>
        <v>#DIV/0!</v>
      </c>
      <c r="G19" s="203">
        <f>'Evolutive SFP'!E12/('CAELS (2)'!G3*1000000)</f>
        <v>0.29915739488583276</v>
      </c>
      <c r="H19" s="203">
        <f>'Evolutive SFP'!F12/('CAELS (2)'!H3*1000000)</f>
        <v>0.29373858837706829</v>
      </c>
      <c r="I19" s="203">
        <f>'Evolutive SFP'!G12/('CAELS (2)'!I3*1000000)</f>
        <v>0.31074582524651628</v>
      </c>
      <c r="J19" s="203">
        <f>'Evolutive SFP'!H12/('CAELS (2)'!J3*1000000)</f>
        <v>0.30986410398382558</v>
      </c>
      <c r="K19" s="203">
        <f>'Evolutive SFP'!I12/('CAELS (2)'!K3*1000000)</f>
        <v>0.33153707062383442</v>
      </c>
      <c r="L19" s="203">
        <f>'Evolutive SFP'!J12/('CAELS (2)'!L3*1000000)</f>
        <v>0.32322756308630957</v>
      </c>
      <c r="M19" s="203">
        <f>'Evolutive SFP'!K12/('CAELS (2)'!M3*1000000)</f>
        <v>0.34049918507997834</v>
      </c>
      <c r="N19" s="203">
        <f>'Evolutive SFP'!L12/('CAELS (2)'!N3*1000000)</f>
        <v>0.29498010728660035</v>
      </c>
      <c r="O19" s="203">
        <f>'Evolutive SFP'!M12/('CAELS (2)'!O3*1000000)</f>
        <v>0.29650679046281825</v>
      </c>
      <c r="P19" s="203">
        <f>'Evolutive SFP'!N12/('CAELS (2)'!P3*1000000)</f>
        <v>0.31825876427021044</v>
      </c>
      <c r="Q19" s="203">
        <f>'Evolutive SFP'!O12/('CAELS (2)'!Q3*1000000)</f>
        <v>0.27657517486824895</v>
      </c>
      <c r="R19" s="203">
        <f>'Evolutive SFP'!P12/('CAELS (2)'!R3*1000000)</f>
        <v>0.27086907137187072</v>
      </c>
      <c r="S19" s="203">
        <f>'Evolutive SFP'!Q12/('CAELS (2)'!S3*1000000)</f>
        <v>0.27190929102840189</v>
      </c>
      <c r="T19" s="203">
        <f>'Evolutive SFP'!R12/('CAELS (2)'!T3*1000000)</f>
        <v>0.48183116692495809</v>
      </c>
      <c r="U19" s="203">
        <f>'Evolutive SFP'!S12/('CAELS (2)'!U3*1000000)</f>
        <v>0.28391440585325195</v>
      </c>
      <c r="V19" s="203">
        <f>'Evolutive SFP'!T12/('CAELS (2)'!V3*1000000)</f>
        <v>0.2931792432715204</v>
      </c>
      <c r="W19" s="203">
        <f>'Evolutive SFP'!U12/('CAELS (2)'!W3*1000000)</f>
        <v>0.49061583349262639</v>
      </c>
      <c r="X19" s="203">
        <f>'Evolutive SFP'!V12/('CAELS (2)'!X3*1000000)</f>
        <v>0.49274621747668418</v>
      </c>
      <c r="Y19" s="203">
        <f>'Evolutive SFP'!W12/('CAELS (2)'!Y3*1000000)</f>
        <v>0.49274621747668418</v>
      </c>
      <c r="Z19" s="203">
        <f>'Evolutive SFP'!X12/('CAELS (2)'!Z3*1000000)</f>
        <v>0.46914242133140283</v>
      </c>
      <c r="AA19" s="203">
        <f>'Evolutive SFP'!Y12/('CAELS (2)'!AA3*1000000)</f>
        <v>0.54280333419853222</v>
      </c>
      <c r="AB19" s="203">
        <f>'Evolutive SFP'!Z12/('CAELS (2)'!AB3*1000000)</f>
        <v>0.4933401812069928</v>
      </c>
      <c r="AC19" s="203">
        <f>'Evolutive SFP'!AA12/('CAELS (2)'!AC3*1000000)</f>
        <v>0.50176058337638363</v>
      </c>
      <c r="AD19" s="203">
        <f>'Evolutive SFP'!AB12/('CAELS (2)'!AD3*1000000)</f>
        <v>0.37876915462244837</v>
      </c>
      <c r="AE19" s="203">
        <f>'Evolutive SFP'!AC12/('CAELS (2)'!AE3*1000000)</f>
        <v>0.38309862709456094</v>
      </c>
      <c r="AF19" s="203">
        <f>'Evolutive SFP'!AD12/('CAELS (2)'!AF3*1000000)</f>
        <v>0.34006816567474329</v>
      </c>
      <c r="AG19" s="204">
        <f>'Evolutive SFP'!AE12/('CAELS (2)'!AG3*1000000)</f>
        <v>0.34305432893144272</v>
      </c>
      <c r="AH19" s="204">
        <f>'Evolutive SFP'!AF12/('CAELS (2)'!AH3*1000000)</f>
        <v>0.37085107001680923</v>
      </c>
      <c r="AI19" s="204">
        <f>'Evolutive SFP'!AG12/('CAELS (2)'!AI3*1000000)</f>
        <v>0.32350333646928187</v>
      </c>
      <c r="AJ19" s="204">
        <f>'Evolutive SFP'!AH12/('CAELS (2)'!AJ3*1000000)</f>
        <v>0.34299133156729611</v>
      </c>
      <c r="AK19" s="204">
        <f>'Evolutive SFP'!AI12/('CAELS (2)'!AK3*1000000)</f>
        <v>0.37386577547811611</v>
      </c>
      <c r="AL19" s="204">
        <f>'Evolutive SFP'!AJ12/('CAELS (2)'!AL3*1000000)</f>
        <v>0.37494131025486421</v>
      </c>
      <c r="AM19" s="204">
        <f>'Evolutive SFP'!AK12/('CAELS (2)'!AM3*1000000)</f>
        <v>0.2957408034346018</v>
      </c>
      <c r="AN19" s="204">
        <f>'Evolutive SFP'!AL12/('CAELS (2)'!AN3*1000000)</f>
        <v>0.20705104800736548</v>
      </c>
      <c r="AO19" s="204">
        <f>'Evolutive SFP'!AM12/('CAELS (2)'!AO3*1000000)</f>
        <v>0.21534026192274278</v>
      </c>
      <c r="AP19" s="204">
        <f>'Evolutive SFP'!AN12/('CAELS (2)'!AP3*1000000)</f>
        <v>0.21681947036396848</v>
      </c>
      <c r="AQ19" s="204">
        <f>'Evolutive SFP'!AO12/('CAELS (2)'!AQ3*1000000)</f>
        <v>0.17971174333227546</v>
      </c>
      <c r="AR19" s="204">
        <f>'Evolutive SFP'!AP12/('CAELS (2)'!AR3*1000000)</f>
        <v>0.18491513031728224</v>
      </c>
      <c r="AS19" s="204">
        <f>'Evolutive SFP'!AQ12/('CAELS (2)'!AS3*1000000)</f>
        <v>0.18611797597548449</v>
      </c>
      <c r="AT19" s="204">
        <f>'Evolutive SFP'!AR12/('CAELS (2)'!AT3*1000000)</f>
        <v>1.8824597417189304</v>
      </c>
      <c r="AU19" s="204">
        <f>'Evolutive SFP'!AS12/('CAELS (2)'!AU3*1000000)</f>
        <v>0.18798524282337142</v>
      </c>
      <c r="AV19" s="204">
        <f>'Evolutive SFP'!AT12/('CAELS (2)'!AV3*1000000)</f>
        <v>0.19640806815149875</v>
      </c>
      <c r="AW19" s="204">
        <f>'Evolutive SFP'!AU12/('CAELS (2)'!AW3*1000000)</f>
        <v>0.21030574552256345</v>
      </c>
      <c r="AX19" s="204">
        <f>'Evolutive SFP'!AV12/('CAELS (2)'!AX3*1000000)</f>
        <v>0.2138155971896355</v>
      </c>
      <c r="AY19" s="204">
        <f>'Evolutive SFP'!AW12/('CAELS (2)'!AY3*1000000)</f>
        <v>0.21914895990894848</v>
      </c>
      <c r="AZ19" s="204">
        <f>'Evolutive SFP'!AX12/('CAELS (2)'!AZ3*1000000)</f>
        <v>0.17617576771785326</v>
      </c>
      <c r="BA19" s="204">
        <f>'Evolutive SFP'!AY12/('CAELS (2)'!BA3*1000000)</f>
        <v>0.1769650253210267</v>
      </c>
      <c r="BB19" s="204">
        <f>'Evolutive SFP'!AZ12/('CAELS (2)'!BB3*1000000)</f>
        <v>0.66688569253137209</v>
      </c>
      <c r="BC19" s="204">
        <f>'Evolutive SFP'!BA12/('CAELS (2)'!BC3*1000000)</f>
        <v>0.67715007919254833</v>
      </c>
      <c r="BD19" s="204">
        <f>'Evolutive SFP'!BB12/('CAELS (2)'!BD3*1000000)</f>
        <v>0.66577182254014566</v>
      </c>
      <c r="BE19" s="204">
        <f>'Evolutive SFP'!BC12/('CAELS (2)'!BE3*1000000)</f>
        <v>0.68373310112781926</v>
      </c>
      <c r="BF19" s="204">
        <f>'Evolutive SFP'!BD12/('CAELS (2)'!BF3*1000000)</f>
        <v>0.70803142861825596</v>
      </c>
      <c r="BG19" s="204" t="e">
        <f>'Evolutive SFP'!BE12/('CAELS (2)'!BG3*1000000)</f>
        <v>#DIV/0!</v>
      </c>
      <c r="BH19" s="204">
        <f>'Evolutive SFP'!BF12/('CAELS (2)'!BH3*1000000)</f>
        <v>0.69622440872920777</v>
      </c>
      <c r="BI19" s="204">
        <f>'Evolutive SFP'!BG12/('CAELS (2)'!BI3*1000000)</f>
        <v>0.6915672570476934</v>
      </c>
      <c r="BJ19" s="204">
        <f>'Evolutive SFP'!BH12/('CAELS (2)'!BJ3*1000000)</f>
        <v>0.73323612770726476</v>
      </c>
      <c r="BK19" s="204">
        <f>'Evolutive SFP'!BI12/('CAELS (2)'!BK3*1000000)</f>
        <v>0.7267013876283932</v>
      </c>
      <c r="BL19" s="204">
        <f>'Evolutive SFP'!BJ12/('CAELS (2)'!BL3*1000000)</f>
        <v>0.69219196628559831</v>
      </c>
      <c r="BM19" s="204">
        <f>'Evolutive SFP'!BK12/('CAELS (2)'!BM3*1000000)</f>
        <v>0.69053398518371178</v>
      </c>
      <c r="BN19" s="204" t="e">
        <f>'Evolutive SFP'!BL12/('CAELS (2)'!BN3*1000000)</f>
        <v>#DIV/0!</v>
      </c>
      <c r="BO19" s="204">
        <f>'Evolutive SFP'!BM12/('CAELS (2)'!BO3*1000000)</f>
        <v>0.69540742212203766</v>
      </c>
      <c r="BP19" s="204">
        <f>'Evolutive SFP'!BN12/('CAELS (2)'!BP3*1000000)</f>
        <v>0.70989666190495482</v>
      </c>
      <c r="BQ19" s="204">
        <f>'Evolutive SFP'!BO12/('CAELS (2)'!BQ3*1000000)</f>
        <v>0.66414847910048402</v>
      </c>
      <c r="BR19" s="204">
        <f>'Evolutive SFP'!BP12/('CAELS (2)'!BR3*1000000)</f>
        <v>0.68315896927068709</v>
      </c>
      <c r="BS19" s="204">
        <f>'Evolutive SFP'!BQ12/('CAELS (2)'!BS3*1000000)</f>
        <v>0.68317872019543124</v>
      </c>
      <c r="BT19" s="204">
        <f>'Evolutive SFP'!BR12/('CAELS (2)'!BT3*1000000)</f>
        <v>5.1660528312374151E-5</v>
      </c>
      <c r="BU19" s="204">
        <f>'Evolutive SFP'!BS12/('CAELS (2)'!BU3*1000000)</f>
        <v>0.67325690361262092</v>
      </c>
      <c r="BV19" s="204">
        <f>'Evolutive SFP'!BT12/('CAELS (2)'!BV3*1000000)</f>
        <v>0.68217785015761812</v>
      </c>
      <c r="BW19" s="204">
        <f>'Evolutive SFP'!BU12/('CAELS (2)'!BW3*1000000)</f>
        <v>0.68103744319793957</v>
      </c>
      <c r="BX19" s="204">
        <f>'Evolutive SFP'!BV12/('CAELS (2)'!BX3*1000000)</f>
        <v>0.67364596078733763</v>
      </c>
      <c r="BY19" s="204">
        <f>'Evolutive SFP'!BW12/('CAELS (2)'!BY3*1000000)</f>
        <v>0.67591814859774257</v>
      </c>
      <c r="BZ19" s="204">
        <f>'Evolutive SFP'!BX12/('CAELS (2)'!BZ3*1000000)</f>
        <v>1.2193018794277761</v>
      </c>
      <c r="CA19" s="204">
        <f>'Evolutive SFP'!BY12/('CAELS (2)'!CA3*1000000)</f>
        <v>1.2240866907530583</v>
      </c>
      <c r="CB19" s="204">
        <f>'Evolutive SFP'!BZ12/('CAELS (2)'!CB3*1000000)</f>
        <v>1.2877385236076626</v>
      </c>
      <c r="CC19" s="204">
        <f>'Evolutive SFP'!CA12/('CAELS (2)'!CC3*1000000)</f>
        <v>1.2798768736983024</v>
      </c>
      <c r="CD19" s="204">
        <f>'Evolutive SFP'!CB12/('CAELS (2)'!CD3*1000000)</f>
        <v>1.1749558359367056</v>
      </c>
      <c r="CE19" s="204" t="e">
        <f>'Evolutive SFP'!CC12/('CAELS (2)'!CE3*1000000)</f>
        <v>#DIV/0!</v>
      </c>
      <c r="CF19" s="204" t="e">
        <f>'Evolutive SFP'!CD12/('CAELS (2)'!CF3*1000000)</f>
        <v>#DIV/0!</v>
      </c>
      <c r="CG19" s="204">
        <f>'Evolutive SFP'!CE12/('CAELS (2)'!CG3*1000000)</f>
        <v>3.4191018347990978E-5</v>
      </c>
      <c r="CH19" s="204">
        <f>'Evolutive SFP'!CF12/('CAELS (2)'!CH3*1000000)</f>
        <v>1.0892830887481207E-3</v>
      </c>
      <c r="CI19" s="204">
        <f>'Evolutive SFP'!CG12/('CAELS (2)'!CI3*1000000)</f>
        <v>1.1108238792094203E-3</v>
      </c>
      <c r="CJ19" s="204">
        <f>'Evolutive SFP'!CH12/('CAELS (2)'!CJ3*1000000)</f>
        <v>1.4343436482716636E-3</v>
      </c>
      <c r="CK19" s="204">
        <f>'Evolutive SFP'!CI12/('CAELS (2)'!CK3*1000000)</f>
        <v>1.388592714976026E-3</v>
      </c>
      <c r="CL19" s="204">
        <f>'Evolutive SFP'!CJ12/('CAELS (2)'!CL3*1000000)</f>
        <v>1.3928258541489713E-3</v>
      </c>
      <c r="CM19" s="204">
        <f>'Evolutive SFP'!CK12/('CAELS (2)'!CM3*1000000)</f>
        <v>1.2321502228928841E-3</v>
      </c>
      <c r="CN19" s="204">
        <f>'Evolutive SFP'!CL12/('CAELS (2)'!CN3*1000000)</f>
        <v>1.056603677712207E-3</v>
      </c>
      <c r="CO19" s="204">
        <f>'Evolutive SFP'!CM12/('CAELS (2)'!CO3*1000000)</f>
        <v>1.0781029185318574E-3</v>
      </c>
      <c r="CP19" s="204">
        <f>'Evolutive SFP'!CN12/('CAELS (2)'!CP3*1000000)</f>
        <v>1.0606667427199153E-3</v>
      </c>
      <c r="CQ19" s="204">
        <f>'Evolutive SFP'!CO11/('CAELS (2)'!CQ3*1000000)</f>
        <v>1.7273249685376737</v>
      </c>
      <c r="CR19" s="204">
        <f>'Evolutive SFP'!CP11/('CAELS (2)'!CR3*1000000)</f>
        <v>1.8783661064186752</v>
      </c>
      <c r="CS19" s="204">
        <f>'Evolutive SFP'!CQ11/('CAELS (2)'!CS3*1000000)</f>
        <v>1.8181812980323324</v>
      </c>
      <c r="CT19" s="204">
        <f>'Evolutive SFP'!CR12/('CAELS (2)'!CT3*1000000)</f>
        <v>4.4905378053271212E-4</v>
      </c>
      <c r="CU19" s="204">
        <f>'Evolutive SFP'!CS12/('CAELS (2)'!CU3*1000000)</f>
        <v>4.2646080537220765E-4</v>
      </c>
    </row>
    <row r="20" spans="1:99" ht="15.6" x14ac:dyDescent="0.3">
      <c r="A20" s="233"/>
      <c r="B20" s="209" t="s">
        <v>40</v>
      </c>
      <c r="C20" s="194"/>
      <c r="D20" s="203">
        <f>'Evolutive SFP'!B14/'Evolutive SFP'!B26</f>
        <v>0.29265803597737183</v>
      </c>
      <c r="E20" s="203">
        <f>'Evolutive SFP'!C14/'Evolutive SFP'!C26</f>
        <v>0.30746013981083153</v>
      </c>
      <c r="F20" s="203">
        <f>'Evolutive SFP'!D14/'Evolutive SFP'!D26</f>
        <v>0.27422365550390293</v>
      </c>
      <c r="G20" s="203">
        <f>'Evolutive SFP'!E14/'Evolutive SFP'!E26</f>
        <v>0.37189575122148577</v>
      </c>
      <c r="H20" s="203">
        <f>'Evolutive SFP'!F14/'Evolutive SFP'!F26</f>
        <v>0.38419482617744349</v>
      </c>
      <c r="I20" s="203">
        <f>'Evolutive SFP'!G14/'Evolutive SFP'!G26</f>
        <v>0.39952831746069578</v>
      </c>
      <c r="J20" s="203">
        <f>'Evolutive SFP'!H14/'Evolutive SFP'!H26</f>
        <v>0.39635854195602893</v>
      </c>
      <c r="K20" s="203">
        <f>'Evolutive SFP'!I14/'Evolutive SFP'!I26</f>
        <v>0.40018695034411678</v>
      </c>
      <c r="L20" s="203">
        <f>'Evolutive SFP'!J14/'Evolutive SFP'!J26</f>
        <v>0.39380184031456161</v>
      </c>
      <c r="M20" s="203">
        <f>'Evolutive SFP'!K14/'Evolutive SFP'!K26</f>
        <v>0.3896521810129141</v>
      </c>
      <c r="N20" s="203">
        <f>'Evolutive SFP'!L14/'Evolutive SFP'!L26</f>
        <v>0.3817186083131216</v>
      </c>
      <c r="O20" s="203">
        <f>'Evolutive SFP'!M14/'Evolutive SFP'!M26</f>
        <v>0.38820203860257446</v>
      </c>
      <c r="P20" s="203">
        <f>'Evolutive SFP'!N14/'Evolutive SFP'!N26</f>
        <v>0.3868229413251858</v>
      </c>
      <c r="Q20" s="203">
        <f>'Evolutive SFP'!O14/'Evolutive SFP'!O26</f>
        <v>0.14029384066463063</v>
      </c>
      <c r="R20" s="203">
        <f>'Evolutive SFP'!P14/'Evolutive SFP'!P26</f>
        <v>0.2088316193370042</v>
      </c>
      <c r="S20" s="203">
        <f>'Evolutive SFP'!Q14/'Evolutive SFP'!Q26</f>
        <v>0.16062724283060675</v>
      </c>
      <c r="T20" s="203">
        <f>'Evolutive SFP'!R14/'Evolutive SFP'!R26</f>
        <v>0.16968738432372191</v>
      </c>
      <c r="U20" s="203">
        <f>'Evolutive SFP'!S14/'Evolutive SFP'!S26</f>
        <v>0.35329966758455866</v>
      </c>
      <c r="V20" s="203">
        <f>'Evolutive SFP'!T14/'Evolutive SFP'!T26</f>
        <v>0.39555474604416213</v>
      </c>
      <c r="W20" s="203">
        <f>'Evolutive SFP'!U14/'Evolutive SFP'!U26</f>
        <v>0.42423905681788149</v>
      </c>
      <c r="X20" s="203">
        <f>'Evolutive SFP'!V14/'Evolutive SFP'!V26</f>
        <v>0.42453412823572051</v>
      </c>
      <c r="Y20" s="203">
        <f>'Evolutive SFP'!W14/'Evolutive SFP'!W26</f>
        <v>0.4334164988025932</v>
      </c>
      <c r="Z20" s="203">
        <f>'Evolutive SFP'!X14/'Evolutive SFP'!X26</f>
        <v>0.43571895909084085</v>
      </c>
      <c r="AA20" s="203">
        <f>'Evolutive SFP'!Y14/'Evolutive SFP'!Y26</f>
        <v>0.42702928141383423</v>
      </c>
      <c r="AB20" s="203">
        <f>'Evolutive SFP'!Z14/'Evolutive SFP'!Z26</f>
        <v>0.46241354163950782</v>
      </c>
      <c r="AC20" s="203">
        <f>'Evolutive SFP'!AA14/'Evolutive SFP'!AA26</f>
        <v>0.44381439339388129</v>
      </c>
      <c r="AD20" s="203">
        <f>'Evolutive SFP'!AB14/'Evolutive SFP'!AB26</f>
        <v>0.12261732338467791</v>
      </c>
      <c r="AE20" s="203">
        <f>'Evolutive SFP'!AC14/'Evolutive SFP'!AC26</f>
        <v>0.23209351303499301</v>
      </c>
      <c r="AF20" s="203">
        <f>'Evolutive SFP'!AD14/'Evolutive SFP'!AD26</f>
        <v>0.23321021504563744</v>
      </c>
      <c r="AG20" s="204">
        <f>'Evolutive SFP'!AE14/'Evolutive SFP'!AE26</f>
        <v>0.23320404911701606</v>
      </c>
      <c r="AH20" s="204">
        <f>'Evolutive SFP'!AF14/'Evolutive SFP'!AF26</f>
        <v>0.43507389118876466</v>
      </c>
      <c r="AI20" s="204">
        <f>'Evolutive SFP'!AG14/'Evolutive SFP'!AG26</f>
        <v>0.3899484112150875</v>
      </c>
      <c r="AJ20" s="204">
        <f>'Evolutive SFP'!AH14/'Evolutive SFP'!AH26</f>
        <v>0.41215511640907743</v>
      </c>
      <c r="AK20" s="204">
        <f>'Evolutive SFP'!AI14/'Evolutive SFP'!AI26</f>
        <v>0.41991694387020601</v>
      </c>
      <c r="AL20" s="204">
        <f>'Evolutive SFP'!AJ14/'Evolutive SFP'!AJ26</f>
        <v>0.4145428876465711</v>
      </c>
      <c r="AM20" s="204">
        <f>'Evolutive SFP'!AK14/'Evolutive SFP'!AK26</f>
        <v>0.37959510338403785</v>
      </c>
      <c r="AN20" s="204">
        <f>'Evolutive SFP'!AL14/'Evolutive SFP'!AL26</f>
        <v>0.40899675323382251</v>
      </c>
      <c r="AO20" s="204">
        <f>'Evolutive SFP'!AM14/'Evolutive SFP'!AM26</f>
        <v>0.43010583951906423</v>
      </c>
      <c r="AP20" s="204">
        <f>'Evolutive SFP'!AN14/'Evolutive SFP'!AN26</f>
        <v>0.43330280165992668</v>
      </c>
      <c r="AQ20" s="204">
        <f>'Evolutive SFP'!AO14/'Evolutive SFP'!AO26</f>
        <v>0.15144409340826873</v>
      </c>
      <c r="AR20" s="204">
        <f>'Evolutive SFP'!AP14/'Evolutive SFP'!AP26</f>
        <v>0.24673600462594641</v>
      </c>
      <c r="AS20" s="204">
        <f>'Evolutive SFP'!AQ14/'Evolutive SFP'!AQ26</f>
        <v>0.2260621144939611</v>
      </c>
      <c r="AT20" s="204">
        <f>'Evolutive SFP'!AR14/'Evolutive SFP'!AR26</f>
        <v>0.15790810356701032</v>
      </c>
      <c r="AU20" s="204">
        <f>'Evolutive SFP'!AS14/'Evolutive SFP'!AS26</f>
        <v>0.49410894184253712</v>
      </c>
      <c r="AV20" s="204">
        <f>'Evolutive SFP'!AT14/'Evolutive SFP'!AT26</f>
        <v>0.51755676858830146</v>
      </c>
      <c r="AW20" s="204">
        <f>'Evolutive SFP'!AU14/'Evolutive SFP'!AU26</f>
        <v>0.49180162618062723</v>
      </c>
      <c r="AX20" s="204">
        <f>'Evolutive SFP'!AV14/'Evolutive SFP'!AV26</f>
        <v>0.52284559609601833</v>
      </c>
      <c r="AY20" s="204">
        <f>'Evolutive SFP'!AW14/'Evolutive SFP'!AW26</f>
        <v>0.54916023325706143</v>
      </c>
      <c r="AZ20" s="204">
        <f>'Evolutive SFP'!AX14/'Evolutive SFP'!AX26</f>
        <v>0.51288348809329598</v>
      </c>
      <c r="BA20" s="204">
        <f>'Evolutive SFP'!AY14/'Evolutive SFP'!AY26</f>
        <v>0.5266557676024205</v>
      </c>
      <c r="BB20" s="204">
        <f>'Evolutive SFP'!AZ14/'Evolutive SFP'!AZ26</f>
        <v>0.37567775586232233</v>
      </c>
      <c r="BC20" s="204">
        <f>'Evolutive SFP'!BA14/'Evolutive SFP'!BA26</f>
        <v>0.37108052896505461</v>
      </c>
      <c r="BD20" s="204">
        <f>'Evolutive SFP'!BB14/'Evolutive SFP'!BB26</f>
        <v>0.2905631370471306</v>
      </c>
      <c r="BE20" s="204">
        <f>'Evolutive SFP'!BC14/'Evolutive SFP'!BC26</f>
        <v>0.36609764903962039</v>
      </c>
      <c r="BF20" s="204">
        <f>'Evolutive SFP'!BD14/'Evolutive SFP'!BD26</f>
        <v>0.39758196867940887</v>
      </c>
      <c r="BG20" s="204" t="e">
        <f>'Evolutive SFP'!BE14/'Evolutive SFP'!BE26</f>
        <v>#DIV/0!</v>
      </c>
      <c r="BH20" s="204">
        <f>'Evolutive SFP'!BF14/'Evolutive SFP'!BF26</f>
        <v>0.40444464181369988</v>
      </c>
      <c r="BI20" s="204">
        <f>'Evolutive SFP'!BG14/'Evolutive SFP'!BG26</f>
        <v>0.39414095809672339</v>
      </c>
      <c r="BJ20" s="204">
        <f>'Evolutive SFP'!BH14/'Evolutive SFP'!BH26</f>
        <v>0.35301787860159206</v>
      </c>
      <c r="BK20" s="204">
        <f>'Evolutive SFP'!BI14/'Evolutive SFP'!BI26</f>
        <v>0.34106824336212443</v>
      </c>
      <c r="BL20" s="204">
        <f>'Evolutive SFP'!BJ14/'Evolutive SFP'!BJ26</f>
        <v>0.32474737390132602</v>
      </c>
      <c r="BM20" s="204">
        <f>'Evolutive SFP'!BK14/'Evolutive SFP'!BK26</f>
        <v>0.32402060451829801</v>
      </c>
      <c r="BN20" s="204" t="e">
        <f>'Evolutive SFP'!BL14/'Evolutive SFP'!BL26</f>
        <v>#DIV/0!</v>
      </c>
      <c r="BO20" s="204">
        <f>'Evolutive SFP'!BM14/'Evolutive SFP'!BM26</f>
        <v>0.33105823843086463</v>
      </c>
      <c r="BP20" s="204">
        <f>'Evolutive SFP'!BN14/'Evolutive SFP'!BN26</f>
        <v>0.32757694363915335</v>
      </c>
      <c r="BQ20" s="204">
        <f>'Evolutive SFP'!BO14/'Evolutive SFP'!BO26</f>
        <v>0.21954363124491919</v>
      </c>
      <c r="BR20" s="204">
        <f>'Evolutive SFP'!BP14/'Evolutive SFP'!BP26</f>
        <v>0.33098023400485649</v>
      </c>
      <c r="BS20" s="204">
        <f>'Evolutive SFP'!BQ14/'Evolutive SFP'!BQ26</f>
        <v>0.33357876471041642</v>
      </c>
      <c r="BT20" s="204">
        <f>'Evolutive SFP'!BR14/'Evolutive SFP'!BR26</f>
        <v>0.37076150272517117</v>
      </c>
      <c r="BU20" s="204">
        <f>'Evolutive SFP'!BS14/'Evolutive SFP'!BS26</f>
        <v>0.36275479105115949</v>
      </c>
      <c r="BV20" s="204">
        <f>'Evolutive SFP'!BT14/'Evolutive SFP'!BT26</f>
        <v>0.33785118213944737</v>
      </c>
      <c r="BW20" s="204">
        <f>'Evolutive SFP'!BU14/'Evolutive SFP'!BU26</f>
        <v>0.35353017274787479</v>
      </c>
      <c r="BX20" s="204">
        <f>'Evolutive SFP'!BV14/'Evolutive SFP'!BV26</f>
        <v>0.3390288629652598</v>
      </c>
      <c r="BY20" s="204">
        <f>'Evolutive SFP'!BW14/'Evolutive SFP'!BW26</f>
        <v>0.3511343786825728</v>
      </c>
      <c r="BZ20" s="204">
        <f>'Evolutive SFP'!BX14/'Evolutive SFP'!BX26</f>
        <v>0.34274167192585553</v>
      </c>
      <c r="CA20" s="204">
        <f>'Evolutive SFP'!BY14/'Evolutive SFP'!BY26</f>
        <v>0.34838940851446831</v>
      </c>
      <c r="CB20" s="204">
        <f>'Evolutive SFP'!BZ14/'Evolutive SFP'!BZ26</f>
        <v>0.35839761366206291</v>
      </c>
      <c r="CC20" s="204">
        <f>'Evolutive SFP'!CA14/'Evolutive SFP'!CA26</f>
        <v>0.35458961867503491</v>
      </c>
      <c r="CD20" s="204">
        <f>'Evolutive SFP'!CB14/'Evolutive SFP'!CB26</f>
        <v>0.24335049967720662</v>
      </c>
      <c r="CE20" s="204" t="e">
        <f>'Evolutive SFP'!CC14/'Evolutive SFP'!CC26</f>
        <v>#DIV/0!</v>
      </c>
      <c r="CF20" s="204" t="e">
        <f>'Evolutive SFP'!CD14/'Evolutive SFP'!CD26</f>
        <v>#DIV/0!</v>
      </c>
      <c r="CG20" s="204">
        <f>'Evolutive SFP'!CE14/'Evolutive SFP'!CE26</f>
        <v>0.35150836538475611</v>
      </c>
      <c r="CH20" s="204">
        <f>'Evolutive SFP'!CF14/'Evolutive SFP'!CF26</f>
        <v>0.37816335755942565</v>
      </c>
      <c r="CI20" s="204">
        <f>'Evolutive SFP'!CG14/'Evolutive SFP'!CG26</f>
        <v>0.38698087872124842</v>
      </c>
      <c r="CJ20" s="204">
        <f>'Evolutive SFP'!CH14/'Evolutive SFP'!CH26</f>
        <v>0.40629105812700989</v>
      </c>
      <c r="CK20" s="204">
        <f>'Evolutive SFP'!CI14/'Evolutive SFP'!CI26</f>
        <v>0.39889524526334869</v>
      </c>
      <c r="CL20" s="204">
        <f>'Evolutive SFP'!CJ14/'Evolutive SFP'!CJ26</f>
        <v>0.42778107863703896</v>
      </c>
      <c r="CM20" s="204">
        <f>'Evolutive SFP'!CK14/'Evolutive SFP'!CK26</f>
        <v>0.37848980804799925</v>
      </c>
      <c r="CN20" s="204">
        <f>'Evolutive SFP'!CL14/'Evolutive SFP'!CL26</f>
        <v>0.2671704092761506</v>
      </c>
      <c r="CO20" s="204">
        <f>'Evolutive SFP'!CM14/'Evolutive SFP'!CM26</f>
        <v>0.30568709636140973</v>
      </c>
      <c r="CP20" s="204">
        <f>'Evolutive SFP'!CN14/'Evolutive SFP'!CN26</f>
        <v>0.34098585142989052</v>
      </c>
      <c r="CQ20" s="204">
        <f>'Evolutive SFP'!CO14/'Evolutive SFP'!CO26</f>
        <v>0.36507352216569083</v>
      </c>
      <c r="CR20" s="204">
        <f>'Evolutive SFP'!CP14/'Evolutive SFP'!CP26</f>
        <v>0.38386269221739139</v>
      </c>
      <c r="CS20" s="204">
        <f>'Evolutive SFP'!CQ14/'Evolutive SFP'!CQ26</f>
        <v>0.39382421853102573</v>
      </c>
      <c r="CT20" s="204">
        <f>'Evolutive SFP'!CR14/'Evolutive SFP'!CR26</f>
        <v>0.3912453970408008</v>
      </c>
      <c r="CU20" s="204">
        <f>'Evolutive SFP'!CS14/'Evolutive SFP'!CS26</f>
        <v>0.39729413209780584</v>
      </c>
    </row>
    <row r="21" spans="1:99" ht="15.6" x14ac:dyDescent="0.3">
      <c r="A21" s="229" t="s">
        <v>41</v>
      </c>
      <c r="B21" s="210" t="s">
        <v>42</v>
      </c>
      <c r="C21" s="192"/>
      <c r="D21" s="203">
        <f>'Evolutive SFP'!B30/'Evolutive SFP'!B26</f>
        <v>0.49542221879804366</v>
      </c>
      <c r="E21" s="203">
        <f>'Evolutive SFP'!C30/'Evolutive SFP'!C26</f>
        <v>0.36094898801926228</v>
      </c>
      <c r="F21" s="203">
        <f>'Evolutive SFP'!D30/'Evolutive SFP'!D26</f>
        <v>0.3854843532107971</v>
      </c>
      <c r="G21" s="203">
        <f>'Evolutive SFP'!E30/'Evolutive SFP'!E26</f>
        <v>0.32699584473324333</v>
      </c>
      <c r="H21" s="203">
        <f>'Evolutive SFP'!F30/'Evolutive SFP'!F26</f>
        <v>0.3872922754828354</v>
      </c>
      <c r="I21" s="203">
        <f>'Evolutive SFP'!G30/'Evolutive SFP'!G26</f>
        <v>0.39068862027921564</v>
      </c>
      <c r="J21" s="203">
        <f>'Evolutive SFP'!H30/'Evolutive SFP'!H26</f>
        <v>0.38184153860431963</v>
      </c>
      <c r="K21" s="203">
        <f>'Evolutive SFP'!I30/'Evolutive SFP'!I26</f>
        <v>0.37676687259451852</v>
      </c>
      <c r="L21" s="203">
        <f>'Evolutive SFP'!J30/'Evolutive SFP'!J26</f>
        <v>0.3574450098405263</v>
      </c>
      <c r="M21" s="203">
        <f>'Evolutive SFP'!K30/'Evolutive SFP'!K26</f>
        <v>0.35458636864927873</v>
      </c>
      <c r="N21" s="203">
        <f>'Evolutive SFP'!L30/'Evolutive SFP'!L26</f>
        <v>0.34421037213732047</v>
      </c>
      <c r="O21" s="203">
        <f>'Evolutive SFP'!M30/'Evolutive SFP'!M26</f>
        <v>0.34386376504492866</v>
      </c>
      <c r="P21" s="203">
        <f>'Evolutive SFP'!N30/'Evolutive SFP'!N26</f>
        <v>0.3485306356626664</v>
      </c>
      <c r="Q21" s="203">
        <f>'Evolutive SFP'!O30/'Evolutive SFP'!O26</f>
        <v>0.67750839369426485</v>
      </c>
      <c r="R21" s="203">
        <f>'Evolutive SFP'!P30/'Evolutive SFP'!P26</f>
        <v>0.59917202755440002</v>
      </c>
      <c r="S21" s="203">
        <f>'Evolutive SFP'!Q30/'Evolutive SFP'!Q26</f>
        <v>0.58692513028226445</v>
      </c>
      <c r="T21" s="203">
        <f>'Evolutive SFP'!R30/'Evolutive SFP'!R26</f>
        <v>0.62003035019365627</v>
      </c>
      <c r="U21" s="203">
        <f>'Evolutive SFP'!S30/'Evolutive SFP'!S26</f>
        <v>0.56848535707636993</v>
      </c>
      <c r="V21" s="203">
        <f>'Evolutive SFP'!T30/'Evolutive SFP'!T26</f>
        <v>0.45764516518693432</v>
      </c>
      <c r="W21" s="203">
        <f>'Evolutive SFP'!U30/'Evolutive SFP'!U26</f>
        <v>0.45709668403793619</v>
      </c>
      <c r="X21" s="203">
        <f>'Evolutive SFP'!V30/'Evolutive SFP'!V26</f>
        <v>0.44895591251259814</v>
      </c>
      <c r="Y21" s="203">
        <f>'Evolutive SFP'!W30/'Evolutive SFP'!W26</f>
        <v>0.43199795433423094</v>
      </c>
      <c r="Z21" s="203">
        <f>'Evolutive SFP'!X30/'Evolutive SFP'!X26</f>
        <v>0.40554290964616579</v>
      </c>
      <c r="AA21" s="203">
        <f>'Evolutive SFP'!Y30/'Evolutive SFP'!Y26</f>
        <v>0.43477257930845409</v>
      </c>
      <c r="AB21" s="203">
        <f>'Evolutive SFP'!Z30/'Evolutive SFP'!Z26</f>
        <v>0.42375506938832375</v>
      </c>
      <c r="AC21" s="203">
        <f>'Evolutive SFP'!AA30/'Evolutive SFP'!AA26</f>
        <v>0.43699653895309321</v>
      </c>
      <c r="AD21" s="203">
        <f>'Evolutive SFP'!AB30/'Evolutive SFP'!AB26</f>
        <v>0.80012999610872981</v>
      </c>
      <c r="AE21" s="203">
        <f>'Evolutive SFP'!AC30/'Evolutive SFP'!AC26</f>
        <v>0.58014748420365936</v>
      </c>
      <c r="AF21" s="203">
        <f>'Evolutive SFP'!AD30/'Evolutive SFP'!AD26</f>
        <v>0.51734189384135265</v>
      </c>
      <c r="AG21" s="203">
        <f>'Evolutive SFP'!AE30/'Evolutive SFP'!AE26</f>
        <v>0.51732821599223311</v>
      </c>
      <c r="AH21" s="203">
        <f>'Evolutive SFP'!AF30/'Evolutive SFP'!AF26</f>
        <v>0.48764429973455514</v>
      </c>
      <c r="AI21" s="203">
        <f>'Evolutive SFP'!AG30/'Evolutive SFP'!AG26</f>
        <v>0.40431976016763271</v>
      </c>
      <c r="AJ21" s="203">
        <f>'Evolutive SFP'!AH30/'Evolutive SFP'!AH26</f>
        <v>0.424526502007952</v>
      </c>
      <c r="AK21" s="203">
        <f>'Evolutive SFP'!AI30/'Evolutive SFP'!AI26</f>
        <v>0.43026608251384779</v>
      </c>
      <c r="AL21" s="203">
        <f>'Evolutive SFP'!AJ30/'Evolutive SFP'!AJ26</f>
        <v>0.43316691979410737</v>
      </c>
      <c r="AM21" s="203">
        <f>'Evolutive SFP'!AK30/'Evolutive SFP'!AK26</f>
        <v>0.36867674302831527</v>
      </c>
      <c r="AN21" s="203">
        <f>'Evolutive SFP'!AL30/'Evolutive SFP'!AL26</f>
        <v>0.29675923016880795</v>
      </c>
      <c r="AO21" s="203">
        <f>'Evolutive SFP'!AM30/'Evolutive SFP'!AM26</f>
        <v>0.2943301571451577</v>
      </c>
      <c r="AP21" s="203">
        <f>'Evolutive SFP'!AN30/'Evolutive SFP'!AN26</f>
        <v>0.29363170182680304</v>
      </c>
      <c r="AQ21" s="203">
        <f>'Evolutive SFP'!AO30/'Evolutive SFP'!AO26</f>
        <v>0.73135275159447299</v>
      </c>
      <c r="AR21" s="203">
        <f>'Evolutive SFP'!AP30/'Evolutive SFP'!AP26</f>
        <v>0.588288466164683</v>
      </c>
      <c r="AS21" s="203">
        <f>'Evolutive SFP'!AQ30/'Evolutive SFP'!AQ26</f>
        <v>0.45275224258639996</v>
      </c>
      <c r="AT21" s="203">
        <f>'Evolutive SFP'!AR30/'Evolutive SFP'!AR26</f>
        <v>0.31625488495746717</v>
      </c>
      <c r="AU21" s="203">
        <f>'Evolutive SFP'!AS30/'Evolutive SFP'!AS26</f>
        <v>0.4956741560904715</v>
      </c>
      <c r="AV21" s="203">
        <f>'Evolutive SFP'!AT30/'Evolutive SFP'!AT26</f>
        <v>0.4915561684761246</v>
      </c>
      <c r="AW21" s="203">
        <f>'Evolutive SFP'!AU30/'Evolutive SFP'!AU26</f>
        <v>0.53266415689346147</v>
      </c>
      <c r="AX21" s="203">
        <f>'Evolutive SFP'!AV30/'Evolutive SFP'!AV26</f>
        <v>0.51763526605939825</v>
      </c>
      <c r="AY21" s="203">
        <f>'Evolutive SFP'!AW30/'Evolutive SFP'!AW26</f>
        <v>0.50677216545735182</v>
      </c>
      <c r="AZ21" s="203">
        <f>'Evolutive SFP'!AX30/'Evolutive SFP'!AX26</f>
        <v>0.48021318559959242</v>
      </c>
      <c r="BA21" s="203">
        <f>'Evolutive SFP'!AY30/'Evolutive SFP'!AY26</f>
        <v>0.46636685596620919</v>
      </c>
      <c r="BB21" s="203">
        <f>'Evolutive SFP'!AZ30/'Evolutive SFP'!AZ26</f>
        <v>0.32398105884101275</v>
      </c>
      <c r="BC21" s="203">
        <f>'Evolutive SFP'!BA30/'Evolutive SFP'!BA26</f>
        <v>0.3226509638025763</v>
      </c>
      <c r="BD21" s="203">
        <f>'Evolutive SFP'!BB30/'Evolutive SFP'!BB26</f>
        <v>0.43132345809416545</v>
      </c>
      <c r="BE21" s="203">
        <f>'Evolutive SFP'!BC30/'Evolutive SFP'!BC26</f>
        <v>0.34825523864489882</v>
      </c>
      <c r="BF21" s="203">
        <f>'Evolutive SFP'!BD30/'Evolutive SFP'!BD26</f>
        <v>0.37048100099915438</v>
      </c>
      <c r="BG21" s="203" t="e">
        <f>'Evolutive SFP'!BE30/'Evolutive SFP'!BE26</f>
        <v>#DIV/0!</v>
      </c>
      <c r="BH21" s="203">
        <f>'Evolutive SFP'!BF30/'Evolutive SFP'!BF26</f>
        <v>0.32729846857132361</v>
      </c>
      <c r="BI21" s="203">
        <f>'Evolutive SFP'!BG30/'Evolutive SFP'!BG26</f>
        <v>0.33944272161109057</v>
      </c>
      <c r="BJ21" s="203">
        <f>'Evolutive SFP'!BH30/'Evolutive SFP'!BH26</f>
        <v>0.2681373303883246</v>
      </c>
      <c r="BK21" s="203">
        <f>'Evolutive SFP'!BI30/'Evolutive SFP'!BI26</f>
        <v>0.26891667730519098</v>
      </c>
      <c r="BL21" s="203">
        <f>'Evolutive SFP'!BJ30/'Evolutive SFP'!BJ26</f>
        <v>0.26757355978463376</v>
      </c>
      <c r="BM21" s="203">
        <f>'Evolutive SFP'!BK30/'Evolutive SFP'!BK26</f>
        <v>0.26682885276270751</v>
      </c>
      <c r="BN21" s="203" t="e">
        <f>'Evolutive SFP'!BL30/'Evolutive SFP'!BL26</f>
        <v>#DIV/0!</v>
      </c>
      <c r="BO21" s="203">
        <f>'Evolutive SFP'!BM30/'Evolutive SFP'!BM26</f>
        <v>0.24247376826262257</v>
      </c>
      <c r="BP21" s="203">
        <f>'Evolutive SFP'!BN30/'Evolutive SFP'!BN26</f>
        <v>0.24201121452892085</v>
      </c>
      <c r="BQ21" s="203">
        <f>'Evolutive SFP'!BO30/'Evolutive SFP'!BO26</f>
        <v>0.31506417922307733</v>
      </c>
      <c r="BR21" s="203">
        <f>'Evolutive SFP'!BP30/'Evolutive SFP'!BP26</f>
        <v>0.35765025829492997</v>
      </c>
      <c r="BS21" s="203">
        <f>'Evolutive SFP'!BQ30/'Evolutive SFP'!BQ26</f>
        <v>0.29861419333824729</v>
      </c>
      <c r="BT21" s="203">
        <f>'Evolutive SFP'!BR30/'Evolutive SFP'!BR26</f>
        <v>0.33212151235341281</v>
      </c>
      <c r="BU21" s="203">
        <f>'Evolutive SFP'!BS30/'Evolutive SFP'!BS26</f>
        <v>0.28776962122966127</v>
      </c>
      <c r="BV21" s="203">
        <f>'Evolutive SFP'!BT30/'Evolutive SFP'!BT26</f>
        <v>0.2652993925797229</v>
      </c>
      <c r="BW21" s="203">
        <f>'Evolutive SFP'!BU30/'Evolutive SFP'!BU26</f>
        <v>0.25036443445321233</v>
      </c>
      <c r="BX21" s="203">
        <f>'Evolutive SFP'!BV30/'Evolutive SFP'!BV26</f>
        <v>0.26420631549133372</v>
      </c>
      <c r="BY21" s="203">
        <f>'Evolutive SFP'!BW30/'Evolutive SFP'!BW26</f>
        <v>0.24961579060260214</v>
      </c>
      <c r="BZ21" s="203">
        <f>'Evolutive SFP'!BX30/'Evolutive SFP'!BX26</f>
        <v>0.27230476997118663</v>
      </c>
      <c r="CA21" s="203">
        <f>'Evolutive SFP'!BY30/'Evolutive SFP'!BY26</f>
        <v>0.26833106562225412</v>
      </c>
      <c r="CB21" s="203">
        <f>'Evolutive SFP'!BZ30/'Evolutive SFP'!BZ26</f>
        <v>0.2732078228598499</v>
      </c>
      <c r="CC21" s="203">
        <f>'Evolutive SFP'!CA30/'Evolutive SFP'!CA26</f>
        <v>0.27015128840630098</v>
      </c>
      <c r="CD21" s="203">
        <f>'Evolutive SFP'!CB30/'Evolutive SFP'!CB26</f>
        <v>0.3709887344541144</v>
      </c>
      <c r="CE21" s="203" t="e">
        <f>'Evolutive SFP'!CC30/'Evolutive SFP'!CC26</f>
        <v>#DIV/0!</v>
      </c>
      <c r="CF21" s="203" t="e">
        <f>'Evolutive SFP'!CD30/'Evolutive SFP'!CD26</f>
        <v>#DIV/0!</v>
      </c>
      <c r="CG21" s="203">
        <f>'Evolutive SFP'!CE30/'Evolutive SFP'!CE26</f>
        <v>0.31009830492934121</v>
      </c>
      <c r="CH21" s="203">
        <f>'Evolutive SFP'!CF30/'Evolutive SFP'!CF26</f>
        <v>0.33350558781362871</v>
      </c>
      <c r="CI21" s="203">
        <f>'Evolutive SFP'!CG30/'Evolutive SFP'!CG26</f>
        <v>0.33128237680117129</v>
      </c>
      <c r="CJ21" s="203">
        <f>'Evolutive SFP'!CH30/'Evolutive SFP'!CH26</f>
        <v>0.36174018295244453</v>
      </c>
      <c r="CK21" s="203">
        <f>'Evolutive SFP'!CI30/'Evolutive SFP'!CI26</f>
        <v>0.37562724925754598</v>
      </c>
      <c r="CL21" s="203">
        <f>'Evolutive SFP'!CJ30/'Evolutive SFP'!CJ26</f>
        <v>0.36643901904752285</v>
      </c>
      <c r="CM21" s="203">
        <f>'Evolutive SFP'!CK30/'Evolutive SFP'!CK26</f>
        <v>0.32504863014033514</v>
      </c>
      <c r="CN21" s="203">
        <f>'Evolutive SFP'!CL30/'Evolutive SFP'!CL26</f>
        <v>0.44051328697232556</v>
      </c>
      <c r="CO21" s="203">
        <f>'Evolutive SFP'!CM30/'Evolutive SFP'!CM26</f>
        <v>0.41736490595194553</v>
      </c>
      <c r="CP21" s="203">
        <f>'Evolutive SFP'!CN30/'Evolutive SFP'!CN26</f>
        <v>0.38505589378136673</v>
      </c>
      <c r="CQ21" s="203">
        <f>'Evolutive SFP'!CO30/'Evolutive SFP'!CO26</f>
        <v>0.37756494322586887</v>
      </c>
      <c r="CR21" s="203">
        <f>'Evolutive SFP'!CP30/'Evolutive SFP'!CP26</f>
        <v>0.38113567347772775</v>
      </c>
      <c r="CS21" s="203">
        <f>'Evolutive SFP'!CQ30/'Evolutive SFP'!CQ26</f>
        <v>0.37205512109838262</v>
      </c>
      <c r="CT21" s="203">
        <f>'Evolutive SFP'!CR30/'Evolutive SFP'!CR26</f>
        <v>0.36611649853694711</v>
      </c>
      <c r="CU21" s="203">
        <f>'Evolutive SFP'!CS30/'Evolutive SFP'!CS26</f>
        <v>0.37584941500623581</v>
      </c>
    </row>
    <row r="22" spans="1:99" ht="15.6" x14ac:dyDescent="0.3">
      <c r="A22" s="229"/>
      <c r="B22" s="210" t="s">
        <v>43</v>
      </c>
      <c r="C22" s="192"/>
      <c r="D22" s="203">
        <f>'Evolutive SFP'!B29/'Evolutive SFP'!B26</f>
        <v>0.14232084290378022</v>
      </c>
      <c r="E22" s="203">
        <f>'Evolutive SFP'!C29/'Evolutive SFP'!C26</f>
        <v>0.13387297205356896</v>
      </c>
      <c r="F22" s="203">
        <f>'Evolutive SFP'!D29/'Evolutive SFP'!D26</f>
        <v>0.12072789686102736</v>
      </c>
      <c r="G22" s="203">
        <f>'Evolutive SFP'!E29/'Evolutive SFP'!E26</f>
        <v>0.11784262866338309</v>
      </c>
      <c r="H22" s="203">
        <f>'Evolutive SFP'!F29/'Evolutive SFP'!F26</f>
        <v>0.12661535458410236</v>
      </c>
      <c r="I22" s="203">
        <f>'Evolutive SFP'!G29/'Evolutive SFP'!G26</f>
        <v>0.13059523403857121</v>
      </c>
      <c r="J22" s="203">
        <f>'Evolutive SFP'!H29/'Evolutive SFP'!H26</f>
        <v>0.12338585887138716</v>
      </c>
      <c r="K22" s="203">
        <f>'Evolutive SFP'!I29/'Evolutive SFP'!I26</f>
        <v>0.12616413070160229</v>
      </c>
      <c r="L22" s="203">
        <f>'Evolutive SFP'!J29/'Evolutive SFP'!J26</f>
        <v>0.12380652933254233</v>
      </c>
      <c r="M22" s="203">
        <f>'Evolutive SFP'!K29/'Evolutive SFP'!K26</f>
        <v>0.12598830638518954</v>
      </c>
      <c r="N22" s="203">
        <f>'Evolutive SFP'!L29/'Evolutive SFP'!L26</f>
        <v>0.12547500554445415</v>
      </c>
      <c r="O22" s="203">
        <f>'Evolutive SFP'!M29/'Evolutive SFP'!M26</f>
        <v>0.12582222131405715</v>
      </c>
      <c r="P22" s="203">
        <f>'Evolutive SFP'!N29/'Evolutive SFP'!N26</f>
        <v>0.12674083392380478</v>
      </c>
      <c r="Q22" s="203">
        <f>'Evolutive SFP'!O29/'Evolutive SFP'!O26</f>
        <v>8.653908774569713E-2</v>
      </c>
      <c r="R22" s="203">
        <f>'Evolutive SFP'!P29/'Evolutive SFP'!P26</f>
        <v>0.12627035611315654</v>
      </c>
      <c r="S22" s="203">
        <f>'Evolutive SFP'!Q29/'Evolutive SFP'!Q26</f>
        <v>0.1751328477201024</v>
      </c>
      <c r="T22" s="203">
        <f>'Evolutive SFP'!R29/'Evolutive SFP'!R26</f>
        <v>0.18501102179959722</v>
      </c>
      <c r="U22" s="203">
        <f>'Evolutive SFP'!S29/'Evolutive SFP'!S26</f>
        <v>0.18717185387348684</v>
      </c>
      <c r="V22" s="203">
        <f>'Evolutive SFP'!T29/'Evolutive SFP'!T26</f>
        <v>0.17700141033763525</v>
      </c>
      <c r="W22" s="203">
        <f>'Evolutive SFP'!U29/'Evolutive SFP'!U26</f>
        <v>0.19139234225284676</v>
      </c>
      <c r="X22" s="203">
        <f>'Evolutive SFP'!V29/'Evolutive SFP'!V26</f>
        <v>0.19543392166979362</v>
      </c>
      <c r="Y22" s="203">
        <f>'Evolutive SFP'!W29/'Evolutive SFP'!W26</f>
        <v>0.17536570969549906</v>
      </c>
      <c r="Z22" s="203">
        <f>'Evolutive SFP'!X29/'Evolutive SFP'!X26</f>
        <v>0.18129081232597158</v>
      </c>
      <c r="AA22" s="203">
        <f>'Evolutive SFP'!Y29/'Evolutive SFP'!Y26</f>
        <v>0.18180996854199719</v>
      </c>
      <c r="AB22" s="203">
        <f>'Evolutive SFP'!Z29/'Evolutive SFP'!Z26</f>
        <v>0.18258937972508224</v>
      </c>
      <c r="AC22" s="203">
        <f>'Evolutive SFP'!AA29/'Evolutive SFP'!AA26</f>
        <v>0.18252655835201048</v>
      </c>
      <c r="AD22" s="203">
        <f>'Evolutive SFP'!AB29/'Evolutive SFP'!AB26</f>
        <v>9.2743854363606396E-2</v>
      </c>
      <c r="AE22" s="203">
        <f>'Evolutive SFP'!AC29/'Evolutive SFP'!AC26</f>
        <v>0.17299015155888467</v>
      </c>
      <c r="AF22" s="203">
        <f>'Evolutive SFP'!AD29/'Evolutive SFP'!AD26</f>
        <v>0.20079383190838393</v>
      </c>
      <c r="AG22" s="203">
        <f>'Evolutive SFP'!AE29/'Evolutive SFP'!AE26</f>
        <v>0.20078852304815706</v>
      </c>
      <c r="AH22" s="203">
        <f>'Evolutive SFP'!AF29/'Evolutive SFP'!AF26</f>
        <v>0.18643967075996984</v>
      </c>
      <c r="AI22" s="203">
        <f>'Evolutive SFP'!AG29/'Evolutive SFP'!AG26</f>
        <v>0.16914045325840452</v>
      </c>
      <c r="AJ22" s="203">
        <f>'Evolutive SFP'!AH29/'Evolutive SFP'!AH26</f>
        <v>0.17822288523188792</v>
      </c>
      <c r="AK22" s="203">
        <f>'Evolutive SFP'!AI29/'Evolutive SFP'!AI26</f>
        <v>0.18478409253756009</v>
      </c>
      <c r="AL22" s="203">
        <f>'Evolutive SFP'!AJ29/'Evolutive SFP'!AJ26</f>
        <v>0.18762567819234785</v>
      </c>
      <c r="AM22" s="203">
        <f>'Evolutive SFP'!AK29/'Evolutive SFP'!AK26</f>
        <v>0.16487320933316427</v>
      </c>
      <c r="AN22" s="203">
        <f>'Evolutive SFP'!AL29/'Evolutive SFP'!AL26</f>
        <v>0.15818486770110385</v>
      </c>
      <c r="AO22" s="203">
        <f>'Evolutive SFP'!AM29/'Evolutive SFP'!AM26</f>
        <v>0.16280986181593005</v>
      </c>
      <c r="AP22" s="203">
        <f>'Evolutive SFP'!AN29/'Evolutive SFP'!AN26</f>
        <v>0.16486058702424322</v>
      </c>
      <c r="AQ22" s="203">
        <f>'Evolutive SFP'!AO29/'Evolutive SFP'!AO26</f>
        <v>0.1098187783709357</v>
      </c>
      <c r="AR22" s="203">
        <f>'Evolutive SFP'!AP29/'Evolutive SFP'!AP26</f>
        <v>0.19143024792011212</v>
      </c>
      <c r="AS22" s="203">
        <f>'Evolutive SFP'!AQ29/'Evolutive SFP'!AQ26</f>
        <v>0.18580523979927804</v>
      </c>
      <c r="AT22" s="203">
        <f>'Evolutive SFP'!AR29/'Evolutive SFP'!AR26</f>
        <v>0.12978801474628057</v>
      </c>
      <c r="AU22" s="203">
        <f>'Evolutive SFP'!AS29/'Evolutive SFP'!AS26</f>
        <v>0.17910692015595475</v>
      </c>
      <c r="AV22" s="203">
        <f>'Evolutive SFP'!AT29/'Evolutive SFP'!AT26</f>
        <v>0.18478031889592961</v>
      </c>
      <c r="AW22" s="203">
        <f>'Evolutive SFP'!AU29/'Evolutive SFP'!AU26</f>
        <v>0.17848029019731299</v>
      </c>
      <c r="AX22" s="203">
        <f>'Evolutive SFP'!AV29/'Evolutive SFP'!AV26</f>
        <v>0.19114581882194415</v>
      </c>
      <c r="AY22" s="203">
        <f>'Evolutive SFP'!AW29/'Evolutive SFP'!AW26</f>
        <v>0.19508442798029185</v>
      </c>
      <c r="AZ22" s="203">
        <f>'Evolutive SFP'!AX29/'Evolutive SFP'!AX26</f>
        <v>0.1835163084050464</v>
      </c>
      <c r="BA22" s="203">
        <f>'Evolutive SFP'!AY29/'Evolutive SFP'!AY26</f>
        <v>0.18886610003478188</v>
      </c>
      <c r="BB22" s="203">
        <f>'Evolutive SFP'!AZ29/'Evolutive SFP'!AZ26</f>
        <v>0.13419148143444157</v>
      </c>
      <c r="BC22" s="203">
        <f>'Evolutive SFP'!BA29/'Evolutive SFP'!BA26</f>
        <v>0.13086935154536913</v>
      </c>
      <c r="BD22" s="203">
        <f>'Evolutive SFP'!BB29/'Evolutive SFP'!BB26</f>
        <v>0.12900820884130651</v>
      </c>
      <c r="BE22" s="203">
        <f>'Evolutive SFP'!BC29/'Evolutive SFP'!BC26</f>
        <v>0.13692846203253312</v>
      </c>
      <c r="BF22" s="203">
        <f>'Evolutive SFP'!BD29/'Evolutive SFP'!BD26</f>
        <v>0.13409341991000923</v>
      </c>
      <c r="BG22" s="203" t="e">
        <f>'Evolutive SFP'!BE29/'Evolutive SFP'!BE26</f>
        <v>#DIV/0!</v>
      </c>
      <c r="BH22" s="203">
        <f>'Evolutive SFP'!BF29/'Evolutive SFP'!BF26</f>
        <v>0.12959583904755301</v>
      </c>
      <c r="BI22" s="203">
        <f>'Evolutive SFP'!BG29/'Evolutive SFP'!BG26</f>
        <v>0.12660003292529035</v>
      </c>
      <c r="BJ22" s="203">
        <f>'Evolutive SFP'!BH29/'Evolutive SFP'!BH26</f>
        <v>0.11562247765723137</v>
      </c>
      <c r="BK22" s="203">
        <f>'Evolutive SFP'!BI29/'Evolutive SFP'!BI26</f>
        <v>0.11482765244689166</v>
      </c>
      <c r="BL22" s="203">
        <f>'Evolutive SFP'!BJ29/'Evolutive SFP'!BJ26</f>
        <v>0.11182766103122128</v>
      </c>
      <c r="BM22" s="203">
        <f>'Evolutive SFP'!BK29/'Evolutive SFP'!BK26</f>
        <v>0.11243213886918457</v>
      </c>
      <c r="BN22" s="203" t="e">
        <f>'Evolutive SFP'!BL29/'Evolutive SFP'!BL26</f>
        <v>#DIV/0!</v>
      </c>
      <c r="BO22" s="203">
        <f>'Evolutive SFP'!BM29/'Evolutive SFP'!BM26</f>
        <v>8.5488584104645229E-2</v>
      </c>
      <c r="BP22" s="203">
        <f>'Evolutive SFP'!BN29/'Evolutive SFP'!BN26</f>
        <v>8.6509523416482298E-2</v>
      </c>
      <c r="BQ22" s="203">
        <f>'Evolutive SFP'!BO29/'Evolutive SFP'!BO26</f>
        <v>7.6218751992679745E-2</v>
      </c>
      <c r="BR22" s="203">
        <f>'Evolutive SFP'!BP29/'Evolutive SFP'!BP26</f>
        <v>9.5960175530021619E-2</v>
      </c>
      <c r="BS22" s="203">
        <f>'Evolutive SFP'!BQ29/'Evolutive SFP'!BQ26</f>
        <v>9.1586238386924146E-2</v>
      </c>
      <c r="BT22" s="203">
        <f>'Evolutive SFP'!BR29/'Evolutive SFP'!BR26</f>
        <v>0.10121363012171813</v>
      </c>
      <c r="BU22" s="203">
        <f>'Evolutive SFP'!BS29/'Evolutive SFP'!BS26</f>
        <v>9.2324558991001129E-2</v>
      </c>
      <c r="BV22" s="203">
        <f>'Evolutive SFP'!BT29/'Evolutive SFP'!BT26</f>
        <v>8.5354189720495632E-2</v>
      </c>
      <c r="BW22" s="203">
        <f>'Evolutive SFP'!BU29/'Evolutive SFP'!BU26</f>
        <v>8.8707081944314661E-2</v>
      </c>
      <c r="BX22" s="203">
        <f>'Evolutive SFP'!BV29/'Evolutive SFP'!BV26</f>
        <v>8.7012882895710617E-2</v>
      </c>
      <c r="BY22" s="203">
        <f>'Evolutive SFP'!BW29/'Evolutive SFP'!BW26</f>
        <v>9.1138965329636334E-2</v>
      </c>
      <c r="BZ22" s="203">
        <f>'Evolutive SFP'!BX29/'Evolutive SFP'!BX26</f>
        <v>0.10144006737550329</v>
      </c>
      <c r="CA22" s="203">
        <f>'Evolutive SFP'!BY29/'Evolutive SFP'!BY26</f>
        <v>0.10221408296955414</v>
      </c>
      <c r="CB22" s="203">
        <f>'Evolutive SFP'!BZ29/'Evolutive SFP'!BZ26</f>
        <v>0.1051353987470629</v>
      </c>
      <c r="CC22" s="203">
        <f>'Evolutive SFP'!CA29/'Evolutive SFP'!CA26</f>
        <v>0.1066859993002475</v>
      </c>
      <c r="CD22" s="203">
        <f>'Evolutive SFP'!CB29/'Evolutive SFP'!CB26</f>
        <v>9.2593445107729683E-2</v>
      </c>
      <c r="CE22" s="203" t="e">
        <f>'Evolutive SFP'!CC29/'Evolutive SFP'!CC26</f>
        <v>#DIV/0!</v>
      </c>
      <c r="CF22" s="203" t="e">
        <f>'Evolutive SFP'!CD29/'Evolutive SFP'!CD26</f>
        <v>#DIV/0!</v>
      </c>
      <c r="CG22" s="203">
        <f>'Evolutive SFP'!CE29/'Evolutive SFP'!CE26</f>
        <v>0.10392250772525707</v>
      </c>
      <c r="CH22" s="203">
        <f>'Evolutive SFP'!CF29/'Evolutive SFP'!CF26</f>
        <v>0.114902039010066</v>
      </c>
      <c r="CI22" s="203">
        <f>'Evolutive SFP'!CG29/'Evolutive SFP'!CG26</f>
        <v>0.11818759343076909</v>
      </c>
      <c r="CJ22" s="203">
        <f>'Evolutive SFP'!CH29/'Evolutive SFP'!CH26</f>
        <v>0.12673653065341925</v>
      </c>
      <c r="CK22" s="203">
        <f>'Evolutive SFP'!CI29/'Evolutive SFP'!CI26</f>
        <v>0.12736020133302628</v>
      </c>
      <c r="CL22" s="203">
        <f>'Evolutive SFP'!CJ29/'Evolutive SFP'!CJ26</f>
        <v>0.13219334829405263</v>
      </c>
      <c r="CM22" s="203">
        <f>'Evolutive SFP'!CK29/'Evolutive SFP'!CK26</f>
        <v>0.11693314428559279</v>
      </c>
      <c r="CN22" s="203">
        <f>'Evolutive SFP'!CL29/'Evolutive SFP'!CL26</f>
        <v>9.6636105561529406E-2</v>
      </c>
      <c r="CO22" s="203">
        <f>'Evolutive SFP'!CM29/'Evolutive SFP'!CM26</f>
        <v>0.10341933634648753</v>
      </c>
      <c r="CP22" s="203">
        <f>'Evolutive SFP'!CN29/'Evolutive SFP'!CN26</f>
        <v>0.11113551748107103</v>
      </c>
      <c r="CQ22" s="203">
        <f>'Evolutive SFP'!CO29/'Evolutive SFP'!CO26</f>
        <v>0.11610175275407272</v>
      </c>
      <c r="CR22" s="203">
        <f>'Evolutive SFP'!CP29/'Evolutive SFP'!CP26</f>
        <v>0.12022244493087242</v>
      </c>
      <c r="CS22" s="203">
        <f>'Evolutive SFP'!CQ29/'Evolutive SFP'!CQ26</f>
        <v>0.11898743279616053</v>
      </c>
      <c r="CT22" s="203">
        <f>'Evolutive SFP'!CR29/'Evolutive SFP'!CR26</f>
        <v>0.11471836052591491</v>
      </c>
      <c r="CU22" s="203">
        <f>'Evolutive SFP'!CS29/'Evolutive SFP'!CS26</f>
        <v>0.11706421019908086</v>
      </c>
    </row>
    <row r="23" spans="1:99" ht="15.6" x14ac:dyDescent="0.3">
      <c r="A23" s="229"/>
      <c r="B23" s="210" t="s">
        <v>44</v>
      </c>
      <c r="C23" s="192"/>
      <c r="D23" s="203">
        <f>('Evolutive SFP'!B27+'Evolutive SFP'!B28)/'Evolutive SFP'!B26</f>
        <v>0.35310137589426344</v>
      </c>
      <c r="E23" s="203">
        <f>('Evolutive SFP'!C27+'Evolutive SFP'!C28)/'Evolutive SFP'!C26</f>
        <v>0.22707601596569335</v>
      </c>
      <c r="F23" s="203">
        <f>('Evolutive SFP'!D27+'Evolutive SFP'!D28)/'Evolutive SFP'!D26</f>
        <v>0.26475645634976969</v>
      </c>
      <c r="G23" s="203">
        <f>('Evolutive SFP'!E27+'Evolutive SFP'!E28)/'Evolutive SFP'!E26</f>
        <v>0.20915321606986023</v>
      </c>
      <c r="H23" s="203">
        <f>('Evolutive SFP'!F27+'Evolutive SFP'!F28)/'Evolutive SFP'!F26</f>
        <v>0.26067692089873307</v>
      </c>
      <c r="I23" s="203">
        <f>('Evolutive SFP'!G27+'Evolutive SFP'!G28)/'Evolutive SFP'!G26</f>
        <v>0.26009338624064443</v>
      </c>
      <c r="J23" s="203">
        <f>('Evolutive SFP'!H27+'Evolutive SFP'!H28)/'Evolutive SFP'!H26</f>
        <v>0.25845567973293249</v>
      </c>
      <c r="K23" s="203">
        <f>('Evolutive SFP'!I27+'Evolutive SFP'!I28)/'Evolutive SFP'!I26</f>
        <v>0.2506027418929162</v>
      </c>
      <c r="L23" s="203">
        <f>('Evolutive SFP'!J27+'Evolutive SFP'!J28)/'Evolutive SFP'!J26</f>
        <v>0.23363848050798394</v>
      </c>
      <c r="M23" s="203">
        <f>('Evolutive SFP'!K27+'Evolutive SFP'!K28)/'Evolutive SFP'!K26</f>
        <v>0.22859806226408921</v>
      </c>
      <c r="N23" s="203">
        <f>('Evolutive SFP'!L27+'Evolutive SFP'!L28)/'Evolutive SFP'!L26</f>
        <v>0.2187353665928663</v>
      </c>
      <c r="O23" s="203">
        <f>('Evolutive SFP'!M27+'Evolutive SFP'!M28)/'Evolutive SFP'!M26</f>
        <v>0.21804154373087148</v>
      </c>
      <c r="P23" s="203">
        <f>('Evolutive SFP'!N27+'Evolutive SFP'!N28)/'Evolutive SFP'!N26</f>
        <v>0.22178980173886162</v>
      </c>
      <c r="Q23" s="203">
        <f>('Evolutive SFP'!O27+'Evolutive SFP'!O28)/'Evolutive SFP'!O26</f>
        <v>0.59096930594856767</v>
      </c>
      <c r="R23" s="203">
        <f>('Evolutive SFP'!P27+'Evolutive SFP'!P28)/'Evolutive SFP'!P26</f>
        <v>0.47290167144124351</v>
      </c>
      <c r="S23" s="203">
        <f>('Evolutive SFP'!Q27+'Evolutive SFP'!Q28)/'Evolutive SFP'!Q26</f>
        <v>0.41179228256216205</v>
      </c>
      <c r="T23" s="203">
        <f>('Evolutive SFP'!R27+'Evolutive SFP'!R28)/'Evolutive SFP'!R26</f>
        <v>0.43501932839405899</v>
      </c>
      <c r="U23" s="203">
        <f>('Evolutive SFP'!S27+'Evolutive SFP'!S28)/'Evolutive SFP'!S26</f>
        <v>0.3813135032028831</v>
      </c>
      <c r="V23" s="203">
        <f>('Evolutive SFP'!T27+'Evolutive SFP'!T28)/'Evolutive SFP'!T26</f>
        <v>0.2806437548492991</v>
      </c>
      <c r="W23" s="203">
        <f>('Evolutive SFP'!U27+'Evolutive SFP'!U28)/'Evolutive SFP'!U26</f>
        <v>0.26570434178508939</v>
      </c>
      <c r="X23" s="203">
        <f>('Evolutive SFP'!V27+'Evolutive SFP'!V28)/'Evolutive SFP'!V26</f>
        <v>0.25352199084280452</v>
      </c>
      <c r="Y23" s="203">
        <f>('Evolutive SFP'!W27+'Evolutive SFP'!W28)/'Evolutive SFP'!W26</f>
        <v>0.25663224463873185</v>
      </c>
      <c r="Z23" s="203">
        <f>('Evolutive SFP'!X27+'Evolutive SFP'!X28)/'Evolutive SFP'!X26</f>
        <v>0.22425209732019422</v>
      </c>
      <c r="AA23" s="203">
        <f>('Evolutive SFP'!Y27+'Evolutive SFP'!Y28)/'Evolutive SFP'!Y26</f>
        <v>0.25296261076645687</v>
      </c>
      <c r="AB23" s="203">
        <f>('Evolutive SFP'!Z27+'Evolutive SFP'!Z28)/'Evolutive SFP'!Z26</f>
        <v>0.24116568966324148</v>
      </c>
      <c r="AC23" s="203">
        <f>('Evolutive SFP'!AA27+'Evolutive SFP'!AA28)/'Evolutive SFP'!AA26</f>
        <v>0.25446998060108267</v>
      </c>
      <c r="AD23" s="203">
        <f>('Evolutive SFP'!AB27+'Evolutive SFP'!AB28)/'Evolutive SFP'!AB26</f>
        <v>0.70738614174512349</v>
      </c>
      <c r="AE23" s="203">
        <f>('Evolutive SFP'!AC27+'Evolutive SFP'!AC28)/'Evolutive SFP'!AC26</f>
        <v>0.40715733264477466</v>
      </c>
      <c r="AF23" s="203">
        <f>('Evolutive SFP'!AD27+'Evolutive SFP'!AD28)/'Evolutive SFP'!AD26</f>
        <v>0.31654806193296869</v>
      </c>
      <c r="AG23" s="203">
        <f>('Evolutive SFP'!AE27+'Evolutive SFP'!AE28)/'Evolutive SFP'!AE26</f>
        <v>0.31653969294407602</v>
      </c>
      <c r="AH23" s="203">
        <f>('Evolutive SFP'!AF27+'Evolutive SFP'!AF28)/'Evolutive SFP'!AF26</f>
        <v>0.30120462897458528</v>
      </c>
      <c r="AI23" s="203">
        <f>('Evolutive SFP'!AG27+'Evolutive SFP'!AG28)/'Evolutive SFP'!AG26</f>
        <v>0.2351793069092282</v>
      </c>
      <c r="AJ23" s="203">
        <f>('Evolutive SFP'!AH27+'Evolutive SFP'!AH28)/'Evolutive SFP'!AH26</f>
        <v>0.24630361677606408</v>
      </c>
      <c r="AK23" s="203">
        <f>('Evolutive SFP'!AI27+'Evolutive SFP'!AI28)/'Evolutive SFP'!AI26</f>
        <v>0.24548198997628762</v>
      </c>
      <c r="AL23" s="203">
        <f>('Evolutive SFP'!AJ27+'Evolutive SFP'!AJ28)/'Evolutive SFP'!AJ26</f>
        <v>0.24554124160175952</v>
      </c>
      <c r="AM23" s="203">
        <f>('Evolutive SFP'!AK27+'Evolutive SFP'!AK28)/'Evolutive SFP'!AK26</f>
        <v>0.20380353369515106</v>
      </c>
      <c r="AN23" s="203">
        <f>('Evolutive SFP'!AL27+'Evolutive SFP'!AL28)/'Evolutive SFP'!AL26</f>
        <v>0.13857436246770408</v>
      </c>
      <c r="AO23" s="203">
        <f>('Evolutive SFP'!AM27+'Evolutive SFP'!AM28)/'Evolutive SFP'!AM26</f>
        <v>0.13152029532922765</v>
      </c>
      <c r="AP23" s="203">
        <f>('Evolutive SFP'!AN27+'Evolutive SFP'!AN28)/'Evolutive SFP'!AN26</f>
        <v>0.12877111480255982</v>
      </c>
      <c r="AQ23" s="203">
        <f>('Evolutive SFP'!AO27+'Evolutive SFP'!AO28)/'Evolutive SFP'!AO26</f>
        <v>0.62153397322353721</v>
      </c>
      <c r="AR23" s="203">
        <f>('Evolutive SFP'!AP27+'Evolutive SFP'!AP28)/'Evolutive SFP'!AP26</f>
        <v>0.39685821824457085</v>
      </c>
      <c r="AS23" s="203">
        <f>('Evolutive SFP'!AQ27+'Evolutive SFP'!AQ28)/'Evolutive SFP'!AQ26</f>
        <v>0.26694700278712191</v>
      </c>
      <c r="AT23" s="203">
        <f>('Evolutive SFP'!AR27+'Evolutive SFP'!AR28)/'Evolutive SFP'!AR26</f>
        <v>0.18646687021118658</v>
      </c>
      <c r="AU23" s="203">
        <f>('Evolutive SFP'!AS27+'Evolutive SFP'!AS28)/'Evolutive SFP'!AS26</f>
        <v>0.3165672359345168</v>
      </c>
      <c r="AV23" s="203">
        <f>('Evolutive SFP'!AT27+'Evolutive SFP'!AT28)/'Evolutive SFP'!AT26</f>
        <v>0.30677584958019494</v>
      </c>
      <c r="AW23" s="203">
        <f>('Evolutive SFP'!AU27+'Evolutive SFP'!AU28)/'Evolutive SFP'!AU26</f>
        <v>0.35418386669614849</v>
      </c>
      <c r="AX23" s="203">
        <f>('Evolutive SFP'!AV27+'Evolutive SFP'!AV28)/'Evolutive SFP'!AV26</f>
        <v>0.32648944723745416</v>
      </c>
      <c r="AY23" s="203">
        <f>('Evolutive SFP'!AW27+'Evolutive SFP'!AW28)/'Evolutive SFP'!AW26</f>
        <v>0.31168773747706002</v>
      </c>
      <c r="AZ23" s="203">
        <f>('Evolutive SFP'!AX27+'Evolutive SFP'!AX28)/'Evolutive SFP'!AX26</f>
        <v>0.29669687719454602</v>
      </c>
      <c r="BA23" s="203">
        <f>('Evolutive SFP'!AY27+'Evolutive SFP'!AY28)/'Evolutive SFP'!AY26</f>
        <v>0.27750075593142731</v>
      </c>
      <c r="BB23" s="203">
        <f>('Evolutive SFP'!AZ27+'Evolutive SFP'!AZ28)/'Evolutive SFP'!AZ26</f>
        <v>0.18978957740657112</v>
      </c>
      <c r="BC23" s="203">
        <f>('Evolutive SFP'!BA27+'Evolutive SFP'!BA28)/'Evolutive SFP'!BA26</f>
        <v>0.19178161225720719</v>
      </c>
      <c r="BD23" s="203">
        <f>('Evolutive SFP'!BB27+'Evolutive SFP'!BB28)/'Evolutive SFP'!BB26</f>
        <v>0.30231524925285891</v>
      </c>
      <c r="BE23" s="203">
        <f>('Evolutive SFP'!BC27+'Evolutive SFP'!BC28)/'Evolutive SFP'!BC26</f>
        <v>0.21132677661236574</v>
      </c>
      <c r="BF23" s="203">
        <f>('Evolutive SFP'!BD27+'Evolutive SFP'!BD28)/'Evolutive SFP'!BD26</f>
        <v>0.23638758108914512</v>
      </c>
      <c r="BG23" s="203" t="e">
        <f>('Evolutive SFP'!BE27+'Evolutive SFP'!BE28)/'Evolutive SFP'!BE26</f>
        <v>#DIV/0!</v>
      </c>
      <c r="BH23" s="203">
        <f>('Evolutive SFP'!BF27+'Evolutive SFP'!BF28)/'Evolutive SFP'!BF26</f>
        <v>0.19770262952377057</v>
      </c>
      <c r="BI23" s="203">
        <f>('Evolutive SFP'!BG27+'Evolutive SFP'!BG28)/'Evolutive SFP'!BG26</f>
        <v>0.21284268868580025</v>
      </c>
      <c r="BJ23" s="203">
        <f>('Evolutive SFP'!BH27+'Evolutive SFP'!BH28)/'Evolutive SFP'!BH26</f>
        <v>0.15251485273109322</v>
      </c>
      <c r="BK23" s="203">
        <f>('Evolutive SFP'!BI27+'Evolutive SFP'!BI28)/'Evolutive SFP'!BI26</f>
        <v>0.15408902485829931</v>
      </c>
      <c r="BL23" s="203">
        <f>('Evolutive SFP'!BJ27+'Evolutive SFP'!BJ28)/'Evolutive SFP'!BJ26</f>
        <v>0.15574589875341252</v>
      </c>
      <c r="BM23" s="203">
        <f>('Evolutive SFP'!BK27+'Evolutive SFP'!BK28)/'Evolutive SFP'!BK26</f>
        <v>0.15439671389352294</v>
      </c>
      <c r="BN23" s="203" t="e">
        <f>('Evolutive SFP'!BL27+'Evolutive SFP'!BL28)/'Evolutive SFP'!BL26</f>
        <v>#DIV/0!</v>
      </c>
      <c r="BO23" s="203">
        <f>('Evolutive SFP'!BM27+'Evolutive SFP'!BM28)/'Evolutive SFP'!BM26</f>
        <v>0.15698518415797733</v>
      </c>
      <c r="BP23" s="203">
        <f>('Evolutive SFP'!BN27+'Evolutive SFP'!BN28)/'Evolutive SFP'!BN26</f>
        <v>0.15550169111243853</v>
      </c>
      <c r="BQ23" s="203">
        <f>('Evolutive SFP'!BO27+'Evolutive SFP'!BO28)/'Evolutive SFP'!BO26</f>
        <v>0.23884542723039762</v>
      </c>
      <c r="BR23" s="203">
        <f>('Evolutive SFP'!BP27+'Evolutive SFP'!BP28)/'Evolutive SFP'!BP26</f>
        <v>0.26169008276490835</v>
      </c>
      <c r="BS23" s="203">
        <f>('Evolutive SFP'!BQ27+'Evolutive SFP'!BQ28)/'Evolutive SFP'!BQ26</f>
        <v>0.20702795495132315</v>
      </c>
      <c r="BT23" s="203">
        <f>('Evolutive SFP'!BR27+'Evolutive SFP'!BR28)/'Evolutive SFP'!BR26</f>
        <v>0.23090788223169464</v>
      </c>
      <c r="BU23" s="203">
        <f>('Evolutive SFP'!BS27+'Evolutive SFP'!BS28)/'Evolutive SFP'!BS26</f>
        <v>0.19544506223866015</v>
      </c>
      <c r="BV23" s="203">
        <f>('Evolutive SFP'!BT27+'Evolutive SFP'!BT28)/'Evolutive SFP'!BT26</f>
        <v>0.17994520285922727</v>
      </c>
      <c r="BW23" s="203">
        <f>('Evolutive SFP'!BU27+'Evolutive SFP'!BU28)/'Evolutive SFP'!BU26</f>
        <v>0.16165735250889765</v>
      </c>
      <c r="BX23" s="203">
        <f>('Evolutive SFP'!BV27+'Evolutive SFP'!BV28)/'Evolutive SFP'!BV26</f>
        <v>0.17719343259562309</v>
      </c>
      <c r="BY23" s="203">
        <f>('Evolutive SFP'!BW27+'Evolutive SFP'!BW28)/'Evolutive SFP'!BW26</f>
        <v>0.15847682527296578</v>
      </c>
      <c r="BZ23" s="203">
        <f>('Evolutive SFP'!BX27+'Evolutive SFP'!BX28)/'Evolutive SFP'!BX26</f>
        <v>0.17086470259568337</v>
      </c>
      <c r="CA23" s="203">
        <f>('Evolutive SFP'!BY27+'Evolutive SFP'!BY28)/'Evolutive SFP'!BY26</f>
        <v>0.16611698265269995</v>
      </c>
      <c r="CB23" s="203">
        <f>('Evolutive SFP'!BZ27+'Evolutive SFP'!BZ28)/'Evolutive SFP'!BZ26</f>
        <v>0.168072424112787</v>
      </c>
      <c r="CC23" s="203">
        <f>('Evolutive SFP'!CA27+'Evolutive SFP'!CA28)/'Evolutive SFP'!CA26</f>
        <v>0.16346528910605349</v>
      </c>
      <c r="CD23" s="203">
        <f>('Evolutive SFP'!CB27+'Evolutive SFP'!CB28)/'Evolutive SFP'!CB26</f>
        <v>0.27839528934638469</v>
      </c>
      <c r="CE23" s="203" t="e">
        <f>('Evolutive SFP'!CC27+'Evolutive SFP'!CC28)/'Evolutive SFP'!CC26</f>
        <v>#DIV/0!</v>
      </c>
      <c r="CF23" s="203" t="e">
        <f>('Evolutive SFP'!CD27+'Evolutive SFP'!CD28)/'Evolutive SFP'!CD26</f>
        <v>#DIV/0!</v>
      </c>
      <c r="CG23" s="203">
        <f>('Evolutive SFP'!CE27+'Evolutive SFP'!CE28)/'Evolutive SFP'!CE26</f>
        <v>0.2061757972040841</v>
      </c>
      <c r="CH23" s="203">
        <f>('Evolutive SFP'!CF27+'Evolutive SFP'!CF28)/'Evolutive SFP'!CF26</f>
        <v>0.21860354880356267</v>
      </c>
      <c r="CI23" s="203">
        <f>('Evolutive SFP'!CG27+'Evolutive SFP'!CG28)/'Evolutive SFP'!CG26</f>
        <v>0.21309478337040219</v>
      </c>
      <c r="CJ23" s="203">
        <f>('Evolutive SFP'!CH27+'Evolutive SFP'!CH28)/'Evolutive SFP'!CH26</f>
        <v>0.23500365229902528</v>
      </c>
      <c r="CK23" s="203">
        <f>('Evolutive SFP'!CI27+'Evolutive SFP'!CI28)/'Evolutive SFP'!CI26</f>
        <v>0.24826704792451973</v>
      </c>
      <c r="CL23" s="203">
        <f>('Evolutive SFP'!CJ27+'Evolutive SFP'!CJ28)/'Evolutive SFP'!CJ26</f>
        <v>0.23424567075347025</v>
      </c>
      <c r="CM23" s="203">
        <f>('Evolutive SFP'!CK27+'Evolutive SFP'!CK28)/'Evolutive SFP'!CK26</f>
        <v>0.20811548585474235</v>
      </c>
      <c r="CN23" s="203">
        <f>('Evolutive SFP'!CL27+'Evolutive SFP'!CL28)/'Evolutive SFP'!CL26</f>
        <v>0.34387718141079615</v>
      </c>
      <c r="CO23" s="203">
        <f>('Evolutive SFP'!CM27+'Evolutive SFP'!CM28)/'Evolutive SFP'!CM26</f>
        <v>0.313945569605458</v>
      </c>
      <c r="CP23" s="203">
        <f>('Evolutive SFP'!CN27+'Evolutive SFP'!CN28)/'Evolutive SFP'!CN26</f>
        <v>0.27392037630029575</v>
      </c>
      <c r="CQ23" s="203">
        <f>('Evolutive SFP'!CO27+'Evolutive SFP'!CO28)/'Evolutive SFP'!CO26</f>
        <v>0.26146319047179617</v>
      </c>
      <c r="CR23" s="203">
        <f>('Evolutive SFP'!CP27+'Evolutive SFP'!CP28)/'Evolutive SFP'!CP26</f>
        <v>0.26091322854685534</v>
      </c>
      <c r="CS23" s="203">
        <f>('Evolutive SFP'!CQ27+'Evolutive SFP'!CQ28)/'Evolutive SFP'!CQ26</f>
        <v>0.25306768830222209</v>
      </c>
      <c r="CT23" s="203">
        <f>('Evolutive SFP'!CR27+'Evolutive SFP'!CR28)/'Evolutive SFP'!CR26</f>
        <v>0.25139813801103222</v>
      </c>
      <c r="CU23" s="203">
        <f>('Evolutive SFP'!CS27+'Evolutive SFP'!CS28)/'Evolutive SFP'!CS26</f>
        <v>0.25878520480715494</v>
      </c>
    </row>
    <row r="24" spans="1:99" x14ac:dyDescent="0.3">
      <c r="A24" s="230" t="s">
        <v>45</v>
      </c>
      <c r="B24" s="55" t="s">
        <v>46</v>
      </c>
      <c r="C24" s="54"/>
      <c r="D24" s="54"/>
      <c r="E24" s="53">
        <f>(Financials!D4-Financials!C4)/Financials!C4</f>
        <v>5.3690143707999925E-2</v>
      </c>
      <c r="F24" s="53">
        <f>(Financials!E4-Financials!D4)/Financials!D4</f>
        <v>0.1088818489354668</v>
      </c>
      <c r="G24" s="53">
        <f>(Financials!F4-Financials!E4)/Financials!E4</f>
        <v>2.6368251150524213E-2</v>
      </c>
      <c r="H24" s="53">
        <f>(Financials!G4-Financials!F4)/Financials!F4</f>
        <v>-4.3574592150390029E-2</v>
      </c>
      <c r="I24" s="53">
        <f>(Financials!H4-Financials!G4)/Financials!G4</f>
        <v>1.4638444932223337E-2</v>
      </c>
      <c r="J24" s="53">
        <f>(Financials!I4-Financials!H4)/Financials!H4</f>
        <v>-1.3412213585155819E-2</v>
      </c>
      <c r="K24" s="53">
        <f>(Financials!J4-Financials!I4)/Financials!I4</f>
        <v>0.94760266154168327</v>
      </c>
      <c r="L24" s="53">
        <f>(Financials!K4-Financials!J4)/Financials!J4</f>
        <v>-0.5123369962093588</v>
      </c>
      <c r="M24" s="53">
        <f>(Financials!L4-Financials!K4)/Financials!K4</f>
        <v>-1.7317298051271201E-2</v>
      </c>
      <c r="N24" s="53">
        <f>(Financials!M4-Financials!L4)/Financials!L4</f>
        <v>1.7052794875142576E-2</v>
      </c>
      <c r="O24" s="53">
        <f>(Financials!N4-Financials!M4)/Financials!M4</f>
        <v>-1.8968262100547834E-3</v>
      </c>
      <c r="P24" s="53">
        <f>(Financials!O4-Financials!N4)/Financials!N4</f>
        <v>-1.1637222795402203E-2</v>
      </c>
      <c r="Q24" s="53">
        <f>(Financials!P4-Financials!O4)/Financials!O4</f>
        <v>0.46830619968981035</v>
      </c>
      <c r="R24" s="53">
        <f>(Financials!Q4-Financials!P4)/Financials!P4</f>
        <v>0.36621791115045599</v>
      </c>
      <c r="S24" s="53">
        <f>(Financials!R4-Financials!Q4)/Financials!Q4</f>
        <v>-0.51445088005815431</v>
      </c>
      <c r="T24" s="53">
        <f>(Financials!S4-Financials!R4)/Financials!R4</f>
        <v>-5.3393135436813718E-2</v>
      </c>
      <c r="U24" s="53">
        <f>(Financials!T4-Financials!S4)/Financials!S4</f>
        <v>1.0580191809610779</v>
      </c>
      <c r="V24" s="53">
        <f>(Financials!U4-Financials!T4)/Financials!T4</f>
        <v>-0.4712701624341547</v>
      </c>
      <c r="W24" s="53">
        <f>(Financials!V4-Financials!U4)/Financials!U4</f>
        <v>-0.10450267276784124</v>
      </c>
      <c r="X24" s="53">
        <f>(Financials!W4-Financials!V4)/Financials!V4</f>
        <v>-2.0680030275274045E-2</v>
      </c>
      <c r="Y24" s="53">
        <f>(Financials!X4-Financials!W4)/Financials!W4</f>
        <v>-4.0457673976487855E-2</v>
      </c>
      <c r="Z24" s="53">
        <f>(Financials!Y4-Financials!X4)/Financials!X4</f>
        <v>-2.0144787068295724E-2</v>
      </c>
      <c r="AA24" s="53">
        <f>(Financials!Z4-Financials!Y4)/Financials!Y4</f>
        <v>2.032360619150841</v>
      </c>
      <c r="AB24" s="53">
        <f>(Financials!AA4-Financials!Z4)/Financials!Z4</f>
        <v>-0.32857868707562182</v>
      </c>
      <c r="AC24" s="53">
        <f>(Financials!AB4-Financials!AA4)/Financials!AA4</f>
        <v>1.5466316134569218</v>
      </c>
      <c r="AD24" s="53">
        <f>(Financials!AC4-Financials!AB4)/Financials!AB4</f>
        <v>-0.1844732360231604</v>
      </c>
      <c r="AE24" s="53">
        <f>(Financials!AD4-Financials!AC4)/Financials!AC4</f>
        <v>-0.19581675435404469</v>
      </c>
      <c r="AF24" s="53">
        <f>(Financials!AE4-Financials!AD4)/Financials!AD4</f>
        <v>-0.70488491210342585</v>
      </c>
      <c r="AG24" s="53">
        <f>(Financials!AF4-Financials!AE4)/Financials!AE4</f>
        <v>2.6440058158204151E-5</v>
      </c>
      <c r="AH24" s="53">
        <f>(Financials!AG4-Financials!AF4)/Financials!AF4</f>
        <v>0.1015752012019609</v>
      </c>
      <c r="AI24" s="53">
        <f>(Financials!AH4-Financials!AG4)/Financials!AG4</f>
        <v>0.11590821574692177</v>
      </c>
      <c r="AJ24" s="53">
        <f>(Financials!AI4-Financials!AH4)/Financials!AH4</f>
        <v>-5.6338452334894928E-2</v>
      </c>
      <c r="AK24" s="53">
        <f>(Financials!AJ4-Financials!AI4)/Financials!AI4</f>
        <v>-1.9692673725393867E-2</v>
      </c>
      <c r="AL24" s="53">
        <f>(Financials!AK4-Financials!AJ4)/Financials!AJ4</f>
        <v>7.4314473731147365E-4</v>
      </c>
      <c r="AM24" s="53">
        <f>(Financials!AL4-Financials!AK4)/Financials!AK4</f>
        <v>9.7038822691363019E-2</v>
      </c>
      <c r="AN24" s="53">
        <f>(Financials!AM4-Financials!AL4)/Financials!AL4</f>
        <v>-6.071088363409196E-2</v>
      </c>
      <c r="AO24" s="53">
        <f>(Financials!AN4-Financials!AM4)/Financials!AM4</f>
        <v>-1.7991430490115819E-2</v>
      </c>
      <c r="AP24" s="53">
        <f>(Financials!AO4-Financials!AN4)/Financials!AN4</f>
        <v>-3.5110554711143029E-3</v>
      </c>
      <c r="AQ24" s="53">
        <f>(Financials!AP4-Financials!AO4)/Financials!AO4</f>
        <v>0.60880682491110261</v>
      </c>
      <c r="AR24" s="53">
        <f>(Financials!AQ4-Financials!AP4)/Financials!AP4</f>
        <v>-0.36082753298790338</v>
      </c>
      <c r="AS24" s="53">
        <f>(Financials!AR4-Financials!AQ4)/Financials!AQ4</f>
        <v>9.4206996294365613E-3</v>
      </c>
      <c r="AT24" s="53">
        <f>(Financials!AS4-Financials!AR4)/Financials!AR4</f>
        <v>0.43160553123879886</v>
      </c>
      <c r="AU24" s="53">
        <f>(Financials!AT4-Financials!AS4)/Financials!AS4</f>
        <v>-0.24618316345688349</v>
      </c>
      <c r="AV24" s="53">
        <f>(Financials!AU4-Financials!AT4)/Financials!AT4</f>
        <v>-3.070347953653111E-2</v>
      </c>
      <c r="AW24" s="53">
        <f>(Financials!AV4-Financials!AU4)/Financials!AU4</f>
        <v>5.0542309471429514E-2</v>
      </c>
      <c r="AX24" s="53">
        <f>(Financials!AW4-Financials!AV4)/Financials!AV4</f>
        <v>-3.9162618709229748E-2</v>
      </c>
      <c r="AY24" s="53">
        <f>(Financials!AX4-Financials!AW4)/Financials!AW4</f>
        <v>-3.3907167027400556E-2</v>
      </c>
      <c r="AZ24" s="53">
        <f>(Financials!AY4-Financials!AX4)/Financials!AX4</f>
        <v>6.3035921307402057E-2</v>
      </c>
      <c r="BA24" s="53">
        <f>(Financials!AZ4-Financials!AY4)/Financials!AY4</f>
        <v>-2.8325843699585216E-2</v>
      </c>
      <c r="BB24" s="53">
        <f>(Financials!BA4-Financials!AZ4)/Financials!AZ4</f>
        <v>0.40736466288625078</v>
      </c>
      <c r="BC24" s="53">
        <f>(Financials!BB4-Financials!BA4)/Financials!BA4</f>
        <v>-1.3243266868557962E-2</v>
      </c>
      <c r="BD24" s="53">
        <f>(Financials!BC4-Financials!BB4)/Financials!BB4</f>
        <v>1.4426544797254144E-2</v>
      </c>
      <c r="BE24" s="53">
        <f>(Financials!BD4-Financials!BC4)/Financials!BC4</f>
        <v>-6.8984487636304052E-4</v>
      </c>
      <c r="BF24" s="53">
        <f>(Financials!BE4-Financials!BD4)/Financials!BD4</f>
        <v>1.1638846784714463E-2</v>
      </c>
      <c r="BG24" s="53">
        <f>(Financials!BF4-Financials!BE4)/Financials!BE4</f>
        <v>-1</v>
      </c>
      <c r="BH24" s="53" t="e">
        <f>(Financials!BG4-Financials!BF4)/Financials!BF4</f>
        <v>#DIV/0!</v>
      </c>
      <c r="BI24" s="53">
        <f>(Financials!BH4-Financials!BG4)/Financials!BG4</f>
        <v>2.3663549313850028E-2</v>
      </c>
      <c r="BJ24" s="53">
        <f>(Financials!BI4-Financials!BH4)/Financials!BH4</f>
        <v>9.4943089704430106E-2</v>
      </c>
      <c r="BK24" s="53">
        <f>(Financials!BJ4-Financials!BI4)/Financials!BI4</f>
        <v>6.921897238187623E-3</v>
      </c>
      <c r="BL24" s="53">
        <f>(Financials!BK4-Financials!BJ4)/Financials!BJ4</f>
        <v>2.6826917311923416E-2</v>
      </c>
      <c r="BM24" s="53">
        <f>(Financials!BL4-Financials!BK4)/Financials!BK4</f>
        <v>-5.3763794235614209E-3</v>
      </c>
      <c r="BN24" s="53">
        <f>(Financials!BM4-Financials!BL4)/Financials!BL4</f>
        <v>-1</v>
      </c>
      <c r="BO24" s="53" t="e">
        <f>(Financials!BN4-Financials!BM4)/Financials!BM4</f>
        <v>#DIV/0!</v>
      </c>
      <c r="BP24" s="53">
        <f>(Financials!BO4-Financials!BN4)/Financials!BN4</f>
        <v>-0.67060048910038095</v>
      </c>
      <c r="BQ24" s="53">
        <f>(Financials!BP4-Financials!BO4)/Financials!BO4</f>
        <v>0.13501626771310685</v>
      </c>
      <c r="BR24" s="53">
        <f>(Financials!BQ4-Financials!BP4)/Financials!BP4</f>
        <v>0.58854965764072276</v>
      </c>
      <c r="BS24" s="53">
        <f>(Financials!BR4-Financials!BQ4)/Financials!BQ4</f>
        <v>-0.47656428948420965</v>
      </c>
      <c r="BT24" s="53">
        <f>(Financials!BS4-Financials!BR4)/Financials!BR4</f>
        <v>-9.5119518223150762E-2</v>
      </c>
      <c r="BU24" s="53">
        <f>(Financials!BT4-Financials!BS4)/Financials!BS4</f>
        <v>9.5866939783237473E-2</v>
      </c>
      <c r="BV24" s="53">
        <f>(Financials!BU4-Financials!BT4)/Financials!BT4</f>
        <v>8.3146284427996472E-2</v>
      </c>
      <c r="BW24" s="53">
        <f>(Financials!BV4-Financials!BU4)/Financials!BU4</f>
        <v>-3.4368748859945425E-2</v>
      </c>
      <c r="BX24" s="53">
        <f>(Financials!BW4-Financials!BV4)/Financials!BV4</f>
        <v>3.0644116340449282E-2</v>
      </c>
      <c r="BY24" s="53">
        <f>(Financials!BX4-Financials!BW4)/Financials!BW4</f>
        <v>-2.8152550191716374E-2</v>
      </c>
      <c r="BZ24" s="53">
        <f>(Financials!BY4-Financials!BX4)/Financials!BX4</f>
        <v>-8.8627063304658416E-2</v>
      </c>
      <c r="CA24" s="53">
        <f>(Financials!BZ4-Financials!BY4)/Financials!BY4</f>
        <v>5.429059902915599E-3</v>
      </c>
      <c r="CB24" s="53">
        <f>(Financials!CA4-Financials!BZ4)/Financials!BZ4</f>
        <v>-1.5599396894835476E-2</v>
      </c>
      <c r="CC24" s="53">
        <f>(Financials!CB4-Financials!CA4)/Financials!CA4</f>
        <v>-4.4143810598812798E-3</v>
      </c>
      <c r="CD24" s="53">
        <f>(Financials!CC4-Financials!CB4)/Financials!CB4</f>
        <v>0.17715499680690655</v>
      </c>
      <c r="CE24" s="53">
        <f>(Financials!CD4-Financials!CC4)/Financials!CC4</f>
        <v>-1</v>
      </c>
      <c r="CF24" s="53" t="e">
        <f>(Financials!CE4-Financials!CD4)/Financials!CD4</f>
        <v>#DIV/0!</v>
      </c>
      <c r="CG24" s="53" t="e">
        <f>(Financials!CF4-Financials!CE4)/Financials!CE4</f>
        <v>#DIV/0!</v>
      </c>
      <c r="CH24" s="53">
        <f>(Financials!CG4-Financials!CF4)/Financials!CF4</f>
        <v>-8.0607897340211232E-2</v>
      </c>
      <c r="CI24" s="53">
        <f>(Financials!CH4-Financials!CG4)/Financials!CG4</f>
        <v>-1.211389682510047E-2</v>
      </c>
      <c r="CJ24" s="53">
        <f>(Financials!CI4-Financials!CH4)/Financials!CH4</f>
        <v>-5.244286803514106E-2</v>
      </c>
      <c r="CK24" s="53">
        <f>(Financials!CJ4-Financials!CI4)/Financials!CI4</f>
        <v>1.9874527713752414E-2</v>
      </c>
      <c r="CL24" s="53">
        <f>(Financials!CK4-Financials!CJ4)/Financials!CJ4</f>
        <v>-1.9429240221013281E-2</v>
      </c>
      <c r="CM24" s="53">
        <f>(Financials!CL4-Financials!CK4)/Financials!CK4</f>
        <v>0.15228733841191058</v>
      </c>
      <c r="CN24" s="53">
        <f>(Financials!CM4-Financials!CL4)/Financials!CL4</f>
        <v>0.24633045058302308</v>
      </c>
      <c r="CO24" s="53">
        <f>(Financials!CN4-Financials!CM4)/Financials!CM4</f>
        <v>-5.7928172241708965E-2</v>
      </c>
      <c r="CP24" s="53">
        <f>(Financials!CO4-Financials!CN4)/Financials!CN4</f>
        <v>-5.7106758726741126E-2</v>
      </c>
      <c r="CQ24" s="53">
        <f>(Financials!CP4-Financials!CO4)/Financials!CO4</f>
        <v>-2.7684371992676794E-2</v>
      </c>
      <c r="CR24" s="53">
        <f>(Financials!CQ4-Financials!CP4)/Financials!CP4</f>
        <v>-2.0376187708290448E-2</v>
      </c>
      <c r="CS24" s="53">
        <f>(Financials!CR4-Financials!CQ4)/Financials!CQ4</f>
        <v>-6.5241473733633768E-3</v>
      </c>
      <c r="CT24" s="53">
        <f>(Financials!CS4-Financials!CR4)/Financials!CR4</f>
        <v>6.6410606872377908E-3</v>
      </c>
      <c r="CU24" s="53">
        <f>(Financials!CT4-Financials!CS4)/Financials!CS4</f>
        <v>4.2244375858188831E-3</v>
      </c>
    </row>
    <row r="25" spans="1:99" x14ac:dyDescent="0.3">
      <c r="A25" s="230"/>
      <c r="B25" s="55" t="s">
        <v>47</v>
      </c>
      <c r="C25" s="54"/>
      <c r="D25" s="53">
        <f>Financials!D5/Financials!C5-1</f>
        <v>-0.23231462654218882</v>
      </c>
      <c r="E25" s="53">
        <f>Financials!E5/Financials!D5-1</f>
        <v>0.18425765554790718</v>
      </c>
      <c r="F25" s="53">
        <f>Financials!F5/Financials!E5-1</f>
        <v>-0.12935985469475364</v>
      </c>
      <c r="G25" s="53">
        <f>Financials!G5/Financials!F5-1</f>
        <v>0.13278556440939626</v>
      </c>
      <c r="H25" s="53">
        <f>Financials!H5/Financials!G5-1</f>
        <v>2.3536277966349051E-2</v>
      </c>
      <c r="I25" s="53">
        <f>Financials!I5/Financials!H5-1</f>
        <v>-3.5753337111172678E-2</v>
      </c>
      <c r="J25" s="53">
        <f>Financials!J5/Financials!I5-1</f>
        <v>0.92171906316930885</v>
      </c>
      <c r="K25" s="53">
        <f>Financials!K5/Financials!J5-1</f>
        <v>-0.53734598270691381</v>
      </c>
      <c r="L25" s="53">
        <f>Financials!L5/Financials!K5-1</f>
        <v>-2.5176233474569876E-2</v>
      </c>
      <c r="M25" s="53">
        <f>Financials!M5/Financials!L5-1</f>
        <v>-1.270846270591186E-2</v>
      </c>
      <c r="N25" s="53">
        <f>Financials!N5/Financials!M5-1</f>
        <v>-2.9018791282054979E-3</v>
      </c>
      <c r="O25" s="53">
        <f>Financials!O5/Financials!N5-1</f>
        <v>1.776697697206675E-3</v>
      </c>
      <c r="P25" s="53">
        <f>Financials!P5/Financials!O5-1</f>
        <v>1.8542391199320698</v>
      </c>
      <c r="Q25" s="53">
        <f>Financials!Q5/Financials!P5-1</f>
        <v>0.20825005789457496</v>
      </c>
      <c r="R25" s="53">
        <f>Financials!R5/Financials!Q5-1</f>
        <v>-0.52437535903754684</v>
      </c>
      <c r="S25" s="53">
        <f>Financials!S5/Financials!R5-1</f>
        <v>-2.4628598382925304E-7</v>
      </c>
      <c r="T25" s="53">
        <f>Financials!T5/Financials!S5-1</f>
        <v>0.8869298391494238</v>
      </c>
      <c r="U25" s="53">
        <f>Financials!U5/Financials!T5-1</f>
        <v>-0.57435903873320693</v>
      </c>
      <c r="V25" s="53">
        <f>Financials!V5/Financials!U5-1</f>
        <v>-0.10557591343621908</v>
      </c>
      <c r="W25" s="53">
        <f>Financials!W5/Financials!V5-1</f>
        <v>-3.8121460944388952E-2</v>
      </c>
      <c r="X25" s="53">
        <f>Financials!X5/Financials!W5-1</f>
        <v>-7.6701496992457874E-2</v>
      </c>
      <c r="Y25" s="53">
        <f>Financials!Y5/Financials!X5-1</f>
        <v>-8.0149963449029693E-2</v>
      </c>
      <c r="Z25" s="53">
        <f>Financials!Z5/Financials!Y5-1</f>
        <v>2.2509192404125082</v>
      </c>
      <c r="AA25" s="53">
        <f>Financials!AA5/Financials!Z5-1</f>
        <v>-0.34559307880082568</v>
      </c>
      <c r="AB25" s="53">
        <f>Financials!AB5/Financials!AA5-1</f>
        <v>1.6262085847742087</v>
      </c>
      <c r="AC25" s="53">
        <f>Financials!AC5/Financials!AB5-1</f>
        <v>0.49320959852589441</v>
      </c>
      <c r="AD25" s="53">
        <f>Financials!AD5/Financials!AC5-1</f>
        <v>-0.41691364019699184</v>
      </c>
      <c r="AE25" s="53">
        <f>Financials!AE5/Financials!AD5-1</f>
        <v>-0.73683347315874137</v>
      </c>
      <c r="AF25" s="53">
        <f>Financials!AF5/Financials!AE5-1</f>
        <v>6.5526917225611214E-10</v>
      </c>
      <c r="AG25" s="53">
        <f>Financials!AG5/Financials!AF5-1</f>
        <v>3.8367618446597085E-2</v>
      </c>
      <c r="AH25" s="53">
        <f>Financials!AH5/Financials!AG5-1</f>
        <v>-7.4768755821642441E-2</v>
      </c>
      <c r="AI25" s="53">
        <f>Financials!AI5/Financials!AH5-1</f>
        <v>-9.1769550328606453E-3</v>
      </c>
      <c r="AJ25" s="53">
        <f>Financials!AJ5/Financials!AI5-1</f>
        <v>-6.4389597804229703E-3</v>
      </c>
      <c r="AK25" s="53">
        <f>Financials!AK5/Financials!AJ5-1</f>
        <v>7.4901162979266189E-3</v>
      </c>
      <c r="AL25" s="53">
        <f>Financials!AL5/Financials!AK5-1</f>
        <v>-6.628904091357346E-2</v>
      </c>
      <c r="AM25" s="53">
        <f>Financials!AM5/Financials!AL5-1</f>
        <v>-0.24393735067449429</v>
      </c>
      <c r="AN25" s="53">
        <f>Financials!AN5/Financials!AM5-1</f>
        <v>-2.6029497322385686E-2</v>
      </c>
      <c r="AO25" s="53">
        <f>Financials!AO5/Financials!AN5-1</f>
        <v>-5.8757571032497236E-3</v>
      </c>
      <c r="AP25" s="53">
        <f>Financials!AP5/Financials!AO5-1</f>
        <v>3.0070785642781725</v>
      </c>
      <c r="AQ25" s="53">
        <f>Financials!AQ5/Financials!AP5-1</f>
        <v>-0.48585988168710614</v>
      </c>
      <c r="AR25" s="53">
        <f>Financials!AR5/Financials!AQ5-1</f>
        <v>-0.22314049695744897</v>
      </c>
      <c r="AS25" s="53">
        <f>Financials!AS5/Financials!AR5-1</f>
        <v>0</v>
      </c>
      <c r="AT25" s="53">
        <f>Financials!AT5/Financials!AS5-1</f>
        <v>0.18147589831078736</v>
      </c>
      <c r="AU25" s="53">
        <f>Financials!AU5/Financials!AT5-1</f>
        <v>-3.8756251739505476E-2</v>
      </c>
      <c r="AV25" s="53">
        <f>Financials!AV5/Financials!AU5-1</f>
        <v>0.13839733776566088</v>
      </c>
      <c r="AW25" s="53">
        <f>Financials!AW5/Financials!AV5-1</f>
        <v>-6.6272233512153944E-2</v>
      </c>
      <c r="AX25" s="53">
        <f>Financials!AX5/Financials!AW5-1</f>
        <v>-5.4181604113943904E-2</v>
      </c>
      <c r="AY25" s="53">
        <f>Financials!AY5/Financials!AX5-1</f>
        <v>7.3242000517601547E-3</v>
      </c>
      <c r="AZ25" s="53">
        <f>Financials!AZ5/Financials!AY5-1</f>
        <v>-5.6342818384643722E-2</v>
      </c>
      <c r="BA25" s="53">
        <f>Financials!BA5/Financials!AZ5-1</f>
        <v>-2.2315827498793794E-2</v>
      </c>
      <c r="BB25" s="53">
        <f>Financials!BB5/Financials!BA5-1</f>
        <v>-1.7294368619928946E-2</v>
      </c>
      <c r="BC25" s="53">
        <f>Financials!BC5/Financials!BB5-1</f>
        <v>0.35609687982272109</v>
      </c>
      <c r="BD25" s="53">
        <f>Financials!BD5/Financials!BC5-1</f>
        <v>-0.19314614120320961</v>
      </c>
      <c r="BE25" s="53">
        <f>Financials!BE5/Financials!BD5-1</f>
        <v>7.6201966307222424E-2</v>
      </c>
      <c r="BF25" s="53">
        <f>Financials!BF5/Financials!BE5-1</f>
        <v>-1</v>
      </c>
      <c r="BG25" s="53" t="e">
        <f>Financials!BG5/Financials!BF5-1</f>
        <v>#DIV/0!</v>
      </c>
      <c r="BH25" s="53">
        <f>Financials!BH5/Financials!BG5-1</f>
        <v>6.1646095412272617E-2</v>
      </c>
      <c r="BI25" s="53">
        <f>Financials!BI5/Financials!BH5-1</f>
        <v>-0.13506727848809152</v>
      </c>
      <c r="BJ25" s="53">
        <f>Financials!BJ5/Financials!BI5-1</f>
        <v>9.8485373856125324E-3</v>
      </c>
      <c r="BK25" s="53">
        <f>Financials!BK5/Financials!BJ5-1</f>
        <v>2.1698379963322356E-2</v>
      </c>
      <c r="BL25" s="53">
        <f>Financials!BL5/Financials!BK5-1</f>
        <v>-8.1446020947893993E-3</v>
      </c>
      <c r="BM25" s="53">
        <f>Financials!BM5/Financials!BL5-1</f>
        <v>-1</v>
      </c>
      <c r="BN25" s="53" t="e">
        <f>Financials!BN5/Financials!BM5-1</f>
        <v>#DIV/0!</v>
      </c>
      <c r="BO25" s="53">
        <f>Financials!BO5/Financials!BN5-1</f>
        <v>-0.67122886624293887</v>
      </c>
      <c r="BP25" s="53">
        <f>Financials!BP5/Financials!BO5-1</f>
        <v>0.47762974326603502</v>
      </c>
      <c r="BQ25" s="53">
        <f>Financials!BQ5/Financials!BP5-1</f>
        <v>0.8032681365762584</v>
      </c>
      <c r="BR25" s="53">
        <f>Financials!BR5/Financials!BQ5-1</f>
        <v>-0.56296597350361588</v>
      </c>
      <c r="BS25" s="53">
        <f>Financials!BS5/Financials!BR5-1</f>
        <v>6.416576342686664E-3</v>
      </c>
      <c r="BT25" s="53">
        <f>Financials!BT5/Financials!BS5-1</f>
        <v>-5.0476399601732225E-2</v>
      </c>
      <c r="BU25" s="53">
        <f>Financials!BU5/Financials!BT5-1</f>
        <v>-1.43020619817813E-3</v>
      </c>
      <c r="BV25" s="53">
        <f>Financials!BV5/Financials!BU5-1</f>
        <v>-8.8728701067875893E-2</v>
      </c>
      <c r="BW25" s="53">
        <f>Financials!BW5/Financials!BV5-1</f>
        <v>8.7625265768405347E-2</v>
      </c>
      <c r="BX25" s="53">
        <f>Financials!BX5/Financials!BW5-1</f>
        <v>-8.182183655267472E-2</v>
      </c>
      <c r="BY25" s="53">
        <f>Financials!BY5/Financials!BX5-1</f>
        <v>-5.7872649575768653E-3</v>
      </c>
      <c r="BZ25" s="53">
        <f>Financials!BZ5/Financials!BY5-1</f>
        <v>-9.2430217807880632E-3</v>
      </c>
      <c r="CA25" s="53">
        <f>Financials!CA5/Financials!BZ5-1</f>
        <v>2.2914975297594342E-3</v>
      </c>
      <c r="CB25" s="53">
        <f>Financials!CB5/Financials!CA5-1</f>
        <v>-1.5552575105332589E-2</v>
      </c>
      <c r="CC25" s="53">
        <f>Financials!CC5/Financials!CB5-1</f>
        <v>0.61654325284922651</v>
      </c>
      <c r="CD25" s="53">
        <f>Financials!CD5/Financials!CC5-1</f>
        <v>-1</v>
      </c>
      <c r="CE25" s="53" t="e">
        <f>Financials!CE5/Financials!CD5-1</f>
        <v>#DIV/0!</v>
      </c>
      <c r="CF25" s="53" t="e">
        <f>Financials!CF5/Financials!CE5-1</f>
        <v>#DIV/0!</v>
      </c>
      <c r="CG25" s="53">
        <f>Financials!CG5/Financials!CF5-1</f>
        <v>-1.1209030314990875E-2</v>
      </c>
      <c r="CH25" s="53">
        <f>Financials!CH5/Financials!CG5-1</f>
        <v>-1.8699331504112182E-2</v>
      </c>
      <c r="CI25" s="53">
        <f>Financials!CI5/Financials!CH5-1</f>
        <v>3.467468926240147E-2</v>
      </c>
      <c r="CJ25" s="53">
        <f>Financials!CJ5/Financials!CI5-1</f>
        <v>5.9027118044329141E-2</v>
      </c>
      <c r="CK25" s="53">
        <f>Financials!CK5/Financials!CJ5-1</f>
        <v>-4.3415013073954456E-2</v>
      </c>
      <c r="CL25" s="53">
        <f>Financials!CL5/Financials!CK5-1</f>
        <v>2.2133019164833012E-2</v>
      </c>
      <c r="CM25" s="53">
        <f>Financials!CM5/Financials!CL5-1</f>
        <v>0.68905533674451491</v>
      </c>
      <c r="CN25" s="53">
        <f>Financials!CN5/Financials!CM5-1</f>
        <v>-0.10743278030336034</v>
      </c>
      <c r="CO25" s="53">
        <f>Financials!CO5/Financials!CN5-1</f>
        <v>-0.13009792011432963</v>
      </c>
      <c r="CP25" s="53">
        <f>Financials!CP5/Financials!CO5-1</f>
        <v>-4.6599985053975113E-2</v>
      </c>
      <c r="CQ25" s="53">
        <f>Financials!CQ5/Financials!CP5-1</f>
        <v>-1.1111629531609379E-2</v>
      </c>
      <c r="CR25" s="53">
        <f>Financials!CR5/Financials!CQ5-1</f>
        <v>-3.0193696421539573E-2</v>
      </c>
      <c r="CS25" s="53">
        <f>Financials!CS5/Financials!CR5-1</f>
        <v>-9.4266157812815665E-3</v>
      </c>
      <c r="CT25" s="53">
        <f>Financials!CT5/Financials!CS5-1</f>
        <v>3.0920947047969882E-2</v>
      </c>
      <c r="CU25" s="53">
        <f>Financials!CU5/Financials!CT5-1</f>
        <v>-1</v>
      </c>
    </row>
    <row r="26" spans="1:99" x14ac:dyDescent="0.3">
      <c r="A26" s="230"/>
      <c r="B26" s="56" t="s">
        <v>48</v>
      </c>
      <c r="C26" s="54"/>
      <c r="D26" s="53">
        <f>Financials!D6/Financials!C6-1</f>
        <v>-8.8547237096543441E-3</v>
      </c>
      <c r="E26" s="53">
        <f>Financials!G6/Financials!D6-1</f>
        <v>2.9515902610610434E-2</v>
      </c>
      <c r="F26" s="53">
        <f>Financials!H6/Financials!E6-1</f>
        <v>7.7420714530678447E-2</v>
      </c>
      <c r="G26" s="53">
        <f>Financials!I6/Financials!F6-1</f>
        <v>2.4463072253866347E-3</v>
      </c>
      <c r="H26" s="53">
        <f>Financials!J6/Financials!G6-1</f>
        <v>0.94266059963096005</v>
      </c>
      <c r="I26" s="53">
        <f>Financials!K6/Financials!H6-1</f>
        <v>-0.11167450883004382</v>
      </c>
      <c r="J26" s="53">
        <f>Financials!L6/Financials!I6-1</f>
        <v>-4.6988087110274912E-2</v>
      </c>
      <c r="K26" s="53">
        <f>Financials!M6/Financials!J6-1</f>
        <v>-0.51527218419378751</v>
      </c>
      <c r="L26" s="53">
        <f>Financials!N6/Financials!K6-1</f>
        <v>1.3785427815066864E-2</v>
      </c>
      <c r="M26" s="53">
        <f>Financials!O6/Financials!L6-1</f>
        <v>9.3031708516677636E-3</v>
      </c>
      <c r="N26" s="53">
        <f>Financials!P6/Financials!M6-1</f>
        <v>-1.0044829246089737E-3</v>
      </c>
      <c r="O26" s="53">
        <f>Financials!Q6/Financials!N6-1</f>
        <v>0.98974327435699871</v>
      </c>
      <c r="P26" s="53">
        <f>Financials!R6/Financials!O6-1</f>
        <v>0.34592489958308215</v>
      </c>
      <c r="Q26" s="53">
        <f>Financials!S6/Financials!P6-1</f>
        <v>0.34248080390885782</v>
      </c>
      <c r="R26" s="53">
        <f>Financials!T6/Financials!Q6-1</f>
        <v>0.4021399890964048</v>
      </c>
      <c r="S26" s="53">
        <f>Financials!U6/Financials!R6-1</f>
        <v>4.1027026151675194E-2</v>
      </c>
      <c r="T26" s="53">
        <f>Financials!V6/Financials!S6-1</f>
        <v>8.0323902239838318E-3</v>
      </c>
      <c r="U26" s="53">
        <f>Financials!W6/Financials!T6-1</f>
        <v>-0.51584755564039586</v>
      </c>
      <c r="V26" s="53">
        <f>Financials!X6/Financials!U6-1</f>
        <v>-0.16627851911592717</v>
      </c>
      <c r="W26" s="53">
        <f>Financials!Y6/Financials!V6-1</f>
        <v>-0.12782849811661201</v>
      </c>
      <c r="X26" s="53">
        <f>Financials!Z6/Financials!W6-1</f>
        <v>1.6523121614813885</v>
      </c>
      <c r="Y26" s="53">
        <f>Financials!AA6/Financials!X6-1</f>
        <v>1.0771540867645313</v>
      </c>
      <c r="Z26" s="53">
        <f>Financials!AB6/Financials!Y6-1</f>
        <v>4.2202627995188911</v>
      </c>
      <c r="AA26" s="53">
        <f>Financials!AC6/Financials!Z6-1</f>
        <v>-0.28867689349120695</v>
      </c>
      <c r="AB26" s="53">
        <f>Financials!AD6/Financials!AA6-1</f>
        <v>0.58235976314869498</v>
      </c>
      <c r="AC26" s="53">
        <f>Financials!AE6/Financials!AB6-1</f>
        <v>-0.78708367797732826</v>
      </c>
      <c r="AD26" s="53">
        <f>Financials!AF6/Financials!AC6-1</f>
        <v>-0.48617922333663688</v>
      </c>
      <c r="AE26" s="53">
        <f>Financials!AG6/Financials!AD6-1</f>
        <v>-0.64962428677309658</v>
      </c>
      <c r="AF26" s="53">
        <f>Financials!AH6/Financials!AE6-1</f>
        <v>3.5502687554455736E-2</v>
      </c>
      <c r="AG26" s="53">
        <f>Financials!AI6/Financials!AF6-1</f>
        <v>2.9635408457358459E-2</v>
      </c>
      <c r="AH26" s="53">
        <f>Financials!AJ6/Financials!AG6-1</f>
        <v>2.3135694461688283E-2</v>
      </c>
      <c r="AI26" s="53">
        <f>Financials!AK6/Financials!AH6-1</f>
        <v>2.6941999601104882E-2</v>
      </c>
      <c r="AJ26" s="53">
        <f>Financials!AL6/Financials!AI6-1</f>
        <v>-4.3802784188308186E-3</v>
      </c>
      <c r="AK26" s="53">
        <f>Financials!AM6/Financials!AJ6-1</f>
        <v>-0.11723670914634454</v>
      </c>
      <c r="AL26" s="53">
        <f>Financials!AN6/Financials!AK6-1</f>
        <v>-0.12193837432373822</v>
      </c>
      <c r="AM26" s="53">
        <f>Financials!AO6/Financials!AL6-1</f>
        <v>-8.091896889264516E-2</v>
      </c>
      <c r="AN26" s="53">
        <f>Financials!AP6/Financials!AM6-1</f>
        <v>9.2957652331553398E-2</v>
      </c>
      <c r="AO26" s="53">
        <f>Financials!AQ6/Financials!AN6-1</f>
        <v>0.20482590829670388</v>
      </c>
      <c r="AP26" s="53">
        <f>Financials!AR6/Financials!AO6-1</f>
        <v>0.16986374099119006</v>
      </c>
      <c r="AQ26" s="53">
        <f>Financials!AS6/Financials!AP6-1</f>
        <v>9.1620327457055506E-2</v>
      </c>
      <c r="AR26" s="53">
        <f>Financials!AT6/Financials!AQ6-1</f>
        <v>1.9208909539636165E-2</v>
      </c>
      <c r="AS26" s="53">
        <f>Financials!AU6/Financials!AR6-1</f>
        <v>4.0264096949765182E-2</v>
      </c>
      <c r="AT26" s="53">
        <f>Financials!AV6/Financials!AS6-1</f>
        <v>5.5581350559477993E-2</v>
      </c>
      <c r="AU26" s="53">
        <f>Financials!AW6/Financials!AT6-1</f>
        <v>4.4173168105942073E-2</v>
      </c>
      <c r="AV26" s="53">
        <f>Financials!AX6/Financials!AU6-1</f>
        <v>2.9554144700689955E-2</v>
      </c>
      <c r="AW26" s="53">
        <f>Financials!AY6/Financials!AV6-1</f>
        <v>1.4614564789626749E-2</v>
      </c>
      <c r="AX26" s="53">
        <f>Financials!AZ6/Financials!AW6-1</f>
        <v>-1.4000573709215369E-2</v>
      </c>
      <c r="AY26" s="53">
        <f>Financials!BA6/Financials!AX6-1</f>
        <v>-5.1629189095514505E-5</v>
      </c>
      <c r="AZ26" s="53">
        <f>Financials!BB6/Financials!AY6-1</f>
        <v>-3.7721730026336497E-2</v>
      </c>
      <c r="BA26" s="53">
        <f>Financials!BC6/Financials!AZ6-1</f>
        <v>-3.7721730026336497E-2</v>
      </c>
      <c r="BB26" s="53">
        <f>Financials!BD6/Financials!BA6-1</f>
        <v>2.0703930401289483E-2</v>
      </c>
      <c r="BC26" s="53">
        <f>Financials!BE6/Financials!BB6-1</f>
        <v>5.0789973770928309E-2</v>
      </c>
      <c r="BD26" s="53">
        <f>Financials!BF6/Financials!BC6-1</f>
        <v>-1</v>
      </c>
      <c r="BE26" s="53">
        <f>Financials!BG6/Financials!BD6-1</f>
        <v>-9.3066798124857852E-3</v>
      </c>
      <c r="BF26" s="53">
        <f>Financials!BH6/Financials!BE6-1</f>
        <v>0</v>
      </c>
      <c r="BG26" s="53" t="e">
        <f>Financials!BI6/Financials!BF6-1</f>
        <v>#DIV/0!</v>
      </c>
      <c r="BH26" s="53">
        <f>Financials!BJ6/Financials!BG6-1</f>
        <v>0</v>
      </c>
      <c r="BI26" s="53">
        <f>Financials!BK6/Financials!BH6-1</f>
        <v>0</v>
      </c>
      <c r="BJ26" s="53">
        <f>Financials!BL6/Financials!BI6-1</f>
        <v>0</v>
      </c>
      <c r="BK26" s="53">
        <f>Financials!BM6/Financials!BJ6-1</f>
        <v>-1</v>
      </c>
      <c r="BL26" s="53">
        <f>Financials!BN6/Financials!BK6-1</f>
        <v>1.179188313380946</v>
      </c>
      <c r="BM26" s="53">
        <f>Financials!BO6/Financials!BL6-1</f>
        <v>-0.27360389553968456</v>
      </c>
      <c r="BN26" s="53" t="e">
        <f>Financials!BP6/Financials!BM6-1</f>
        <v>#DIV/0!</v>
      </c>
      <c r="BO26" s="53">
        <f>Financials!BQ6/Financials!BN6-1</f>
        <v>-0.33333333333333326</v>
      </c>
      <c r="BP26" s="53">
        <f>Financials!BR6/Financials!BO6-1</f>
        <v>-8.457675542687948E-4</v>
      </c>
      <c r="BQ26" s="53">
        <f>Financials!BS6/Financials!BP6-1</f>
        <v>-8.4576755426890582E-4</v>
      </c>
      <c r="BR26" s="53">
        <f>Financials!BT6/Financials!BQ6-1</f>
        <v>-0.50061142501695677</v>
      </c>
      <c r="BS26" s="53">
        <f>Financials!BU6/Financials!BR6-1</f>
        <v>9.9240414745960237E-4</v>
      </c>
      <c r="BT26" s="53">
        <f>Financials!BV6/Financials!BS6-1</f>
        <v>4.5592194844328304E-3</v>
      </c>
      <c r="BU26" s="53">
        <f>Financials!BW6/Financials!BT6-1</f>
        <v>1.5952658777941275E-2</v>
      </c>
      <c r="BV26" s="53">
        <f>Financials!BX6/Financials!BU6-1</f>
        <v>3.2755199843802707E-2</v>
      </c>
      <c r="BW26" s="53">
        <f>Financials!BY6/Financials!BV6-1</f>
        <v>4.3888688313970858E-2</v>
      </c>
      <c r="BX26" s="53">
        <f>Financials!BZ6/Financials!BW6-1</f>
        <v>4.6099127017006358E-2</v>
      </c>
      <c r="BY26" s="53">
        <f>Financials!CA6/Financials!BX6-1</f>
        <v>4.0553237833514943E-2</v>
      </c>
      <c r="BZ26" s="53">
        <f>Financials!CB6/Financials!BY6-1</f>
        <v>3.6334174342997683E-2</v>
      </c>
      <c r="CA26" s="53">
        <f>Financials!CC6/Financials!BZ6-1</f>
        <v>4.508988093537547E-2</v>
      </c>
      <c r="CB26" s="53">
        <f>Financials!CD6/Financials!CA6-1</f>
        <v>-1</v>
      </c>
      <c r="CC26" s="53">
        <f>Financials!CE6/Financials!CB6-1</f>
        <v>-1</v>
      </c>
      <c r="CD26" s="53">
        <f>Financials!CF6/Financials!CC6-1</f>
        <v>-9.7956369230585039E-2</v>
      </c>
      <c r="CE26" s="53" t="e">
        <f>Financials!CG6/Financials!CD6-1</f>
        <v>#DIV/0!</v>
      </c>
      <c r="CF26" s="53" t="e">
        <f>Financials!CH6/Financials!CE6-1</f>
        <v>#DIV/0!</v>
      </c>
      <c r="CG26" s="53">
        <f>Financials!CI6/Financials!CF6-1</f>
        <v>4.9555107017331901E-2</v>
      </c>
      <c r="CH26" s="53">
        <f>Financials!CJ6/Financials!CG6-1</f>
        <v>5.8193348320325855E-2</v>
      </c>
      <c r="CI26" s="53">
        <f>Financials!CK6/Financials!CH6-1</f>
        <v>5.9909541465960281E-2</v>
      </c>
      <c r="CJ26" s="53">
        <f>Financials!CL6/Financials!CI6-1</f>
        <v>6.3217917787787403E-2</v>
      </c>
      <c r="CK26" s="53">
        <f>Financials!CM6/Financials!CJ6-1</f>
        <v>6.8510063795549581E-2</v>
      </c>
      <c r="CL26" s="53">
        <f>Financials!CN6/Financials!CK6-1</f>
        <v>5.8449533813153431E-2</v>
      </c>
      <c r="CM26" s="53">
        <f>Financials!CO6/Financials!CL6-1</f>
        <v>5.2191995070544506E-2</v>
      </c>
      <c r="CN26" s="53">
        <f>Financials!CP6/Financials!CM6-1</f>
        <v>3.7655427878688252E-2</v>
      </c>
      <c r="CO26" s="53">
        <f>Financials!CQ6/Financials!CN6-1</f>
        <v>4.4029887609925877E-2</v>
      </c>
      <c r="CP26" s="53">
        <f>Financials!CR6/Financials!CO6-1</f>
        <v>1.3146231972051003E-2</v>
      </c>
      <c r="CQ26" s="53">
        <f>Financials!CS6/Financials!CP6-1</f>
        <v>-3.1977513906758515E-2</v>
      </c>
      <c r="CR26" s="53">
        <f>Financials!CT6/Financials!CQ6-1</f>
        <v>-2.2084508427825056E-2</v>
      </c>
      <c r="CS26" s="53">
        <f>Financials!CU6/Financials!CR6-1</f>
        <v>-1</v>
      </c>
      <c r="CT26" s="53">
        <f>Financials!CV6/Financials!CS6-1</f>
        <v>-1</v>
      </c>
      <c r="CU26" s="53">
        <f>Financials!CW6/Financials!CT6-1</f>
        <v>-1</v>
      </c>
    </row>
    <row r="27" spans="1:99" x14ac:dyDescent="0.3">
      <c r="A27" s="230"/>
      <c r="B27" s="56" t="s">
        <v>49</v>
      </c>
      <c r="C27" s="54"/>
      <c r="D27" s="53">
        <f>Financials!D7/Financials!C7-1</f>
        <v>-0.32238224988627495</v>
      </c>
      <c r="E27" s="53">
        <f>Financials!G7/Financials!D7-1</f>
        <v>0.24959968043085912</v>
      </c>
      <c r="F27" s="53">
        <f>Financials!H7/Financials!E7-1</f>
        <v>-2.1528056248352523E-2</v>
      </c>
      <c r="G27" s="53">
        <f>Financials!I7/Financials!F7-1</f>
        <v>0.18309518530401614</v>
      </c>
      <c r="H27" s="53">
        <f>Financials!J7/Financials!G7-1</f>
        <v>0.87426348348009886</v>
      </c>
      <c r="I27" s="53">
        <f>Financials!K7/Financials!H7-1</f>
        <v>-0.15827356307704177</v>
      </c>
      <c r="J27" s="53">
        <f>Financials!L7/Financials!I7-1</f>
        <v>-0.17449455106567779</v>
      </c>
      <c r="K27" s="53">
        <f>Financials!M7/Financials!J7-1</f>
        <v>-0.57458792953632143</v>
      </c>
      <c r="L27" s="53">
        <f>Financials!N7/Financials!K7-1</f>
        <v>-6.9048361775273737E-2</v>
      </c>
      <c r="M27" s="53">
        <f>Financials!O7/Financials!L7-1</f>
        <v>-2.657085936228254E-2</v>
      </c>
      <c r="N27" s="53">
        <f>Financials!P7/Financials!M7-1</f>
        <v>2.9134011354003673</v>
      </c>
      <c r="O27" s="53">
        <f>Financials!Q7/Financials!N7-1</f>
        <v>3.3001597424908935</v>
      </c>
      <c r="P27" s="53">
        <f>Financials!R7/Financials!O7-1</f>
        <v>0.80844959647745318</v>
      </c>
      <c r="Q27" s="53">
        <f>Financials!S7/Financials!P7-1</f>
        <v>-0.53776117110841537</v>
      </c>
      <c r="R27" s="53">
        <f>Financials!T7/Financials!Q7-1</f>
        <v>-0.23728273918385367</v>
      </c>
      <c r="S27" s="53">
        <f>Financials!U7/Financials!R7-1</f>
        <v>-0.29801138901916957</v>
      </c>
      <c r="T27" s="53">
        <f>Financials!V7/Financials!S7-1</f>
        <v>-0.4048346636562139</v>
      </c>
      <c r="U27" s="53">
        <f>Financials!W7/Financials!T7-1</f>
        <v>-0.69171231571444425</v>
      </c>
      <c r="V27" s="53">
        <f>Financials!X7/Financials!U7-1</f>
        <v>-0.2304995446863487</v>
      </c>
      <c r="W27" s="53">
        <f>Financials!Y7/Financials!V7-1</f>
        <v>-0.22287922938763982</v>
      </c>
      <c r="X27" s="53">
        <f>Financials!Z7/Financials!W7-1</f>
        <v>1.8447728213113472</v>
      </c>
      <c r="Y27" s="53">
        <f>Financials!AA7/Financials!X7-1</f>
        <v>0.87474488381459192</v>
      </c>
      <c r="Z27" s="53">
        <f>Financials!AB7/Financials!Y7-1</f>
        <v>4.8835864631061661</v>
      </c>
      <c r="AA27" s="53">
        <f>Financials!AC7/Financials!Z7-1</f>
        <v>2.8994169917579851</v>
      </c>
      <c r="AB27" s="53">
        <f>Financials!AD7/Financials!AA7-1</f>
        <v>1.8197207764495529</v>
      </c>
      <c r="AC27" s="53">
        <f>Financials!AE7/Financials!AB7-1</f>
        <v>-0.75923810394282309</v>
      </c>
      <c r="AD27" s="53">
        <f>Financials!AF7/Financials!AC7-1</f>
        <v>-0.89379877008896047</v>
      </c>
      <c r="AE27" s="53">
        <f>Financials!AG7/Financials!AD7-1</f>
        <v>-0.75949925390628625</v>
      </c>
      <c r="AF27" s="53">
        <f>Financials!AH7/Financials!AE7-1</f>
        <v>-8.66997945087149E-2</v>
      </c>
      <c r="AG27" s="53">
        <f>Financials!AI7/Financials!AF7-1</f>
        <v>-9.7387181888243024E-2</v>
      </c>
      <c r="AH27" s="53">
        <f>Financials!AJ7/Financials!AG7-1</f>
        <v>-0.15867271167439101</v>
      </c>
      <c r="AI27" s="53">
        <f>Financials!AK7/Financials!AH7-1</f>
        <v>-3.344522135710204E-2</v>
      </c>
      <c r="AJ27" s="53">
        <f>Financials!AL7/Financials!AI7-1</f>
        <v>-0.10947156809401493</v>
      </c>
      <c r="AK27" s="53">
        <f>Financials!AM7/Financials!AJ7-1</f>
        <v>-0.41788717870897207</v>
      </c>
      <c r="AL27" s="53">
        <f>Financials!AN7/Financials!AK7-1</f>
        <v>-0.45799300357457939</v>
      </c>
      <c r="AM27" s="53">
        <f>Financials!AO7/Financials!AL7-1</f>
        <v>-0.41924387570199861</v>
      </c>
      <c r="AN27" s="53">
        <f>Financials!AP7/Financials!AM7-1</f>
        <v>6.0611208674505841</v>
      </c>
      <c r="AO27" s="53">
        <f>Financials!AQ7/Financials!AN7-1</f>
        <v>2.0919826381428015</v>
      </c>
      <c r="AP27" s="53">
        <f>Financials!AR7/Financials!AO7-1</f>
        <v>1.1517943304696741</v>
      </c>
      <c r="AQ27" s="53">
        <f>Financials!AS7/Financials!AP7-1</f>
        <v>-0.72289112056695837</v>
      </c>
      <c r="AR27" s="53">
        <f>Financials!AT7/Financials!AQ7-1</f>
        <v>-0.13105559088673602</v>
      </c>
      <c r="AS27" s="53">
        <f>Financials!AU7/Financials!AR7-1</f>
        <v>0.20210380845595921</v>
      </c>
      <c r="AT27" s="53">
        <f>Financials!AV7/Financials!AS7-1</f>
        <v>0.45801881479932716</v>
      </c>
      <c r="AU27" s="53">
        <f>Financials!AW7/Financials!AT7-1</f>
        <v>9.0746055822914506E-3</v>
      </c>
      <c r="AV27" s="53">
        <f>Financials!AX7/Financials!AU7-1</f>
        <v>-9.2117490094382193E-3</v>
      </c>
      <c r="AW27" s="53">
        <f>Financials!AY7/Financials!AV7-1</f>
        <v>-0.17338954931149109</v>
      </c>
      <c r="AX27" s="53">
        <f>Financials!AZ7/Financials!AW7-1</f>
        <v>-0.1518308457758365</v>
      </c>
      <c r="AY27" s="53">
        <f>Financials!BA7/Financials!AX7-1</f>
        <v>-0.11482757429131685</v>
      </c>
      <c r="AZ27" s="53">
        <f>Financials!BB7/Financials!AY7-1</f>
        <v>-0.12776927157090512</v>
      </c>
      <c r="BA27" s="53">
        <f>Financials!BC7/Financials!AZ7-1</f>
        <v>0.53473440641125558</v>
      </c>
      <c r="BB27" s="53">
        <f>Financials!BD7/Financials!BA7-1</f>
        <v>0.11381528701032906</v>
      </c>
      <c r="BC27" s="53">
        <f>Financials!BE7/Financials!BB7-1</f>
        <v>0.26404954001420777</v>
      </c>
      <c r="BD27" s="53">
        <f>Financials!BF7/Financials!BC7-1</f>
        <v>-1</v>
      </c>
      <c r="BE27" s="53">
        <f>Financials!BG7/Financials!BD7-1</f>
        <v>-2.0735921245226496E-2</v>
      </c>
      <c r="BF27" s="53">
        <f>Financials!BH7/Financials!BE7-1</f>
        <v>-4.6308903173199911E-2</v>
      </c>
      <c r="BG27" s="53" t="e">
        <f>Financials!BI7/Financials!BF7-1</f>
        <v>#DIV/0!</v>
      </c>
      <c r="BH27" s="53">
        <f>Financials!BJ7/Financials!BG7-1</f>
        <v>-0.12036230309276486</v>
      </c>
      <c r="BI27" s="53">
        <f>Financials!BK7/Financials!BH7-1</f>
        <v>-0.1715954795553819</v>
      </c>
      <c r="BJ27" s="53">
        <f>Financials!BL7/Financials!BI7-1</f>
        <v>4.106467886587617E-2</v>
      </c>
      <c r="BK27" s="53">
        <f>Financials!BM7/Financials!BJ7-1</f>
        <v>-1</v>
      </c>
      <c r="BL27" s="53">
        <f>Financials!BN7/Financials!BK7-1</f>
        <v>1.8732798415152621</v>
      </c>
      <c r="BM27" s="53">
        <f>Financials!BO7/Financials!BL7-1</f>
        <v>-4.9182594510296163E-2</v>
      </c>
      <c r="BN27" s="53" t="e">
        <f>Financials!BP7/Financials!BM7-1</f>
        <v>#DIV/0!</v>
      </c>
      <c r="BO27" s="53">
        <f>Financials!BQ7/Financials!BN7-1</f>
        <v>-9.9561526525838717E-3</v>
      </c>
      <c r="BP27" s="53">
        <f>Financials!BR7/Financials!BO7-1</f>
        <v>0.25649309260624098</v>
      </c>
      <c r="BQ27" s="53">
        <f>Financials!BS7/Financials!BP7-1</f>
        <v>-0.27259347675531365</v>
      </c>
      <c r="BR27" s="53">
        <f>Financials!BT7/Financials!BQ7-1</f>
        <v>-0.61234103449777566</v>
      </c>
      <c r="BS27" s="53">
        <f>Financials!BU7/Financials!BR7-1</f>
        <v>-6.6428809033331482E-2</v>
      </c>
      <c r="BT27" s="53">
        <f>Financials!BV7/Financials!BS7-1</f>
        <v>-0.19755928545740586</v>
      </c>
      <c r="BU27" s="53">
        <f>Financials!BW7/Financials!BT7-1</f>
        <v>-2.2695105566914897E-2</v>
      </c>
      <c r="BV27" s="53">
        <f>Financials!BX7/Financials!BU7-1</f>
        <v>-0.14818824415690635</v>
      </c>
      <c r="BW27" s="53">
        <f>Financials!BY7/Financials!BV7-1</f>
        <v>-3.5149894360596345E-2</v>
      </c>
      <c r="BX27" s="53">
        <f>Financials!BZ7/Financials!BW7-1</f>
        <v>-0.1651430373747258</v>
      </c>
      <c r="BY27" s="53">
        <f>Financials!CA7/Financials!BX7-1</f>
        <v>-4.3356480034844713E-2</v>
      </c>
      <c r="BZ27" s="53">
        <f>Financials!CB7/Financials!BY7-1</f>
        <v>-5.7296518070472424E-2</v>
      </c>
      <c r="CA27" s="53">
        <f>Financials!CC7/Financials!BZ7-1</f>
        <v>0.93344572255615588</v>
      </c>
      <c r="CB27" s="53">
        <f>Financials!CD7/Financials!CA7-1</f>
        <v>-1</v>
      </c>
      <c r="CC27" s="53">
        <f>Financials!CE7/Financials!CB7-1</f>
        <v>-1</v>
      </c>
      <c r="CD27" s="53">
        <f>Financials!CF7/Financials!CC7-1</f>
        <v>-0.40478485994572433</v>
      </c>
      <c r="CE27" s="53" t="e">
        <f>Financials!CG7/Financials!CD7-1</f>
        <v>#DIV/0!</v>
      </c>
      <c r="CF27" s="53" t="e">
        <f>Financials!CH7/Financials!CE7-1</f>
        <v>#DIV/0!</v>
      </c>
      <c r="CG27" s="53">
        <f>Financials!CI7/Financials!CF7-1</f>
        <v>-1.9042980443419233E-2</v>
      </c>
      <c r="CH27" s="53">
        <f>Financials!CJ7/Financials!CG7-1</f>
        <v>8.422869768551311E-2</v>
      </c>
      <c r="CI27" s="53">
        <f>Financials!CK7/Financials!CH7-1</f>
        <v>4.1669248498591216E-2</v>
      </c>
      <c r="CJ27" s="53">
        <f>Financials!CL7/Financials!CI7-1</f>
        <v>2.0507636162364618E-2</v>
      </c>
      <c r="CK27" s="53">
        <f>Financials!CM7/Financials!CJ7-1</f>
        <v>0.95055056191819554</v>
      </c>
      <c r="CL27" s="53">
        <f>Financials!CN7/Financials!CK7-1</f>
        <v>0.81326299189916518</v>
      </c>
      <c r="CM27" s="53">
        <f>Financials!CO7/Financials!CL7-1</f>
        <v>0.45713465657311625</v>
      </c>
      <c r="CN27" s="53">
        <f>Financials!CP7/Financials!CM7-1</f>
        <v>-0.34330909203217574</v>
      </c>
      <c r="CO27" s="53">
        <f>Financials!CQ7/Financials!CN7-1</f>
        <v>-0.25360132074904251</v>
      </c>
      <c r="CP27" s="53">
        <f>Financials!CR7/Financials!CO7-1</f>
        <v>-0.12574872687891525</v>
      </c>
      <c r="CQ27" s="53">
        <f>Financials!CS7/Financials!CP7-1</f>
        <v>-5.8017595642967712E-2</v>
      </c>
      <c r="CR27" s="53">
        <f>Financials!CT7/Financials!CQ7-1</f>
        <v>-3.8927821760915693E-3</v>
      </c>
      <c r="CS27" s="53">
        <f>Financials!CU7/Financials!CR7-1</f>
        <v>-1</v>
      </c>
      <c r="CT27" s="53">
        <f>Financials!CV7/Financials!CS7-1</f>
        <v>-1</v>
      </c>
      <c r="CU27" s="53">
        <f>Financials!CW7/Financials!CT7-1</f>
        <v>-1</v>
      </c>
    </row>
    <row r="28" spans="1:99" x14ac:dyDescent="0.3">
      <c r="A28" s="230"/>
      <c r="B28" s="55" t="s">
        <v>50</v>
      </c>
      <c r="C28" s="54"/>
      <c r="D28" s="53">
        <f>Financials!D31/Financials!C31-1</f>
        <v>0.10698384829865315</v>
      </c>
      <c r="E28" s="53">
        <f>Financials!G31/Financials!D31-1</f>
        <v>0.36019846581133708</v>
      </c>
      <c r="F28" s="53">
        <f>Financials!H31/Financials!E31-1</f>
        <v>0.45113654231132716</v>
      </c>
      <c r="G28" s="53">
        <f>Financials!I31/Financials!F31-1</f>
        <v>2.0387568302839609E-2</v>
      </c>
      <c r="H28" s="53">
        <f>Financials!J31/Financials!G31-1</f>
        <v>1.0307610196696242</v>
      </c>
      <c r="I28" s="53">
        <f>Financials!K31/Financials!H31-1</f>
        <v>-7.6395418510111113E-2</v>
      </c>
      <c r="J28" s="53">
        <f>Financials!L31/Financials!I31-1</f>
        <v>-8.2465571114989089E-2</v>
      </c>
      <c r="K28" s="53">
        <f>Financials!M31/Financials!J31-1</f>
        <v>-0.53510269628608009</v>
      </c>
      <c r="L28" s="53">
        <f>Financials!N31/Financials!K31-1</f>
        <v>-1.6640504418764634E-2</v>
      </c>
      <c r="M28" s="53">
        <f>Financials!O31/Financials!L31-1</f>
        <v>-3.9745702633402491E-3</v>
      </c>
      <c r="N28" s="53">
        <f>Financials!P31/Financials!M31-1</f>
        <v>-0.46764207584387518</v>
      </c>
      <c r="O28" s="53">
        <f>Financials!Q31/Financials!N31-1</f>
        <v>6.6575080632617301E-2</v>
      </c>
      <c r="P28" s="53">
        <f>Financials!R31/Financials!O31-1</f>
        <v>-0.59553889844003249</v>
      </c>
      <c r="Q28" s="53">
        <f>Financials!S31/Financials!P31-1</f>
        <v>-0.24048956313351022</v>
      </c>
      <c r="R28" s="53">
        <f>Financials!T31/Financials!Q31-1</f>
        <v>0.6002919169910661</v>
      </c>
      <c r="S28" s="53">
        <f>Financials!U31/Financials!R31-1</f>
        <v>1.5365316290606668</v>
      </c>
      <c r="T28" s="53">
        <f>Financials!V31/Financials!S31-1</f>
        <v>1.4361758005879817</v>
      </c>
      <c r="U28" s="53">
        <f>Financials!W31/Financials!T31-1</f>
        <v>-0.44282438140010738</v>
      </c>
      <c r="V28" s="53">
        <f>Financials!X31/Financials!U31-1</f>
        <v>-7.7955501903230751E-2</v>
      </c>
      <c r="W28" s="53">
        <f>Financials!Y31/Financials!V31-1</f>
        <v>-5.4315081012280553E-2</v>
      </c>
      <c r="X28" s="53">
        <f>Financials!Z31/Financials!W31-1</f>
        <v>1.867820326587494</v>
      </c>
      <c r="Y28" s="53">
        <f>Financials!AA31/Financials!X31-1</f>
        <v>1.1284476967194825</v>
      </c>
      <c r="Z28" s="53">
        <f>Financials!AB31/Financials!Y31-1</f>
        <v>4.2812535980840831</v>
      </c>
      <c r="AA28" s="53">
        <f>Financials!AC31/Financials!Z31-1</f>
        <v>-0.59960039229011874</v>
      </c>
      <c r="AB28" s="53">
        <f>Financials!AD31/Financials!AA31-1</f>
        <v>-0.16171475215422626</v>
      </c>
      <c r="AC28" s="53">
        <f>Financials!AE31/Financials!AB31-1</f>
        <v>-0.89829768485590411</v>
      </c>
      <c r="AD28" s="53">
        <f>Financials!AF31/Financials!AC31-1</f>
        <v>-0.54862014562584438</v>
      </c>
      <c r="AE28" s="53">
        <f>Financials!AG31/Financials!AD31-1</f>
        <v>-0.39057948967319989</v>
      </c>
      <c r="AF28" s="53">
        <f>Financials!AH31/Financials!AE31-1</f>
        <v>1.0554820754197873</v>
      </c>
      <c r="AG28" s="53">
        <f>Financials!AI31/Financials!AF31-1</f>
        <v>1.0501398761054448</v>
      </c>
      <c r="AH28" s="53">
        <f>Financials!AJ31/Financials!AG31-1</f>
        <v>-3.660475256610507E-3</v>
      </c>
      <c r="AI28" s="53">
        <f>Financials!AK31/Financials!AH31-1</f>
        <v>-1.5845134293735907E-2</v>
      </c>
      <c r="AJ28" s="53">
        <f>Financials!AL31/Financials!AI31-1</f>
        <v>-8.7874886759504722E-3</v>
      </c>
      <c r="AK28" s="53">
        <f>Financials!AM31/Financials!AJ31-1</f>
        <v>4.385356603158197E-3</v>
      </c>
      <c r="AL28" s="53">
        <f>Financials!AN31/Financials!AK31-1</f>
        <v>4.9886703226319939E-2</v>
      </c>
      <c r="AM28" s="53">
        <f>Financials!AO31/Financials!AL31-1</f>
        <v>4.9199193750176118E-2</v>
      </c>
      <c r="AN28" s="53">
        <f>Financials!AP31/Financials!AM31-1</f>
        <v>-0.41705961727382934</v>
      </c>
      <c r="AO28" s="53">
        <f>Financials!AQ31/Financials!AN31-1</f>
        <v>-0.41217015401316781</v>
      </c>
      <c r="AP28" s="53">
        <f>Financials!AR31/Financials!AO31-1</f>
        <v>-0.45846010836879558</v>
      </c>
      <c r="AQ28" s="53">
        <f>Financials!AS31/Financials!AP31-1</f>
        <v>-3.6912577651098788E-2</v>
      </c>
      <c r="AR28" s="53">
        <f>Financials!AT31/Financials!AQ31-1</f>
        <v>1.1814817928207684</v>
      </c>
      <c r="AS28" s="53">
        <f>Financials!AU31/Financials!AR31-1</f>
        <v>1.3948375649151479</v>
      </c>
      <c r="AT28" s="53">
        <f>Financials!AV31/Financials!AS31-1</f>
        <v>1.3906807105381773</v>
      </c>
      <c r="AU28" s="53">
        <f>Financials!AW31/Financials!AT31-1</f>
        <v>3.5311012215481608E-2</v>
      </c>
      <c r="AV28" s="53">
        <f>Financials!AX31/Financials!AU31-1</f>
        <v>3.4721295142361885E-2</v>
      </c>
      <c r="AW28" s="53">
        <f>Financials!AY31/Financials!AV31-1</f>
        <v>2.9071257686752894E-2</v>
      </c>
      <c r="AX28" s="53">
        <f>Financials!AZ31/Financials!AW31-1</f>
        <v>5.1730652286874346E-3</v>
      </c>
      <c r="AY28" s="53">
        <f>Financials!BA31/Financials!AX31-1</f>
        <v>-5.5301189558504271E-3</v>
      </c>
      <c r="AZ28" s="53">
        <f>Financials!BB31/Financials!AY31-1</f>
        <v>-2.3692013123300493E-2</v>
      </c>
      <c r="BA28" s="53">
        <f>Financials!BC31/Financials!AZ31-1</f>
        <v>-0.22276738470263158</v>
      </c>
      <c r="BB28" s="53">
        <f>Financials!BD31/Financials!BA31-1</f>
        <v>-2.5206862037164268E-2</v>
      </c>
      <c r="BC28" s="53">
        <f>Financials!BE31/Financials!BB31-1</f>
        <v>9.8765251731607995E-2</v>
      </c>
      <c r="BD28" s="53">
        <f>Financials!BF31/Financials!BC31-1</f>
        <v>-1</v>
      </c>
      <c r="BE28" s="53">
        <f>Financials!BG31/Financials!BD31-1</f>
        <v>0.15638927020100368</v>
      </c>
      <c r="BF28" s="53">
        <f>Financials!BH31/Financials!BE31-1</f>
        <v>5.0022333982319811E-2</v>
      </c>
      <c r="BG28" s="53" t="e">
        <f>Financials!BI31/Financials!BF31-1</f>
        <v>#DIV/0!</v>
      </c>
      <c r="BH28" s="53">
        <f>Financials!BJ31/Financials!BG31-1</f>
        <v>-4.8241487241432068E-2</v>
      </c>
      <c r="BI28" s="53">
        <f>Financials!BK31/Financials!BH31-1</f>
        <v>-6.7221221187085511E-2</v>
      </c>
      <c r="BJ28" s="53">
        <f>Financials!BL31/Financials!BI31-1</f>
        <v>-5.6096218241639129E-2</v>
      </c>
      <c r="BK28" s="53">
        <f>Financials!BM31/Financials!BJ31-1</f>
        <v>-1</v>
      </c>
      <c r="BL28" s="53">
        <f>Financials!BN31/Financials!BK31-1</f>
        <v>1.905993445454881</v>
      </c>
      <c r="BM28" s="53">
        <f>Financials!BO31/Financials!BL31-1</f>
        <v>-4.5577304074539193E-2</v>
      </c>
      <c r="BN28" s="53" t="e">
        <f>Financials!BP31/Financials!BM31-1</f>
        <v>#DIV/0!</v>
      </c>
      <c r="BO28" s="53">
        <f>Financials!BQ31/Financials!BN31-1</f>
        <v>-0.40622283714789142</v>
      </c>
      <c r="BP28" s="53">
        <f>Financials!BR31/Financials!BO31-1</f>
        <v>-3.8938235551545075E-2</v>
      </c>
      <c r="BQ28" s="53">
        <f>Financials!BS31/Financials!BP31-1</f>
        <v>0.2706594035135963</v>
      </c>
      <c r="BR28" s="53">
        <f>Financials!BT31/Financials!BQ31-1</f>
        <v>-0.43111629695981812</v>
      </c>
      <c r="BS28" s="53">
        <f>Financials!BU31/Financials!BR31-1</f>
        <v>8.7835448962340079E-2</v>
      </c>
      <c r="BT28" s="53">
        <f>Financials!BV31/Financials!BS31-1</f>
        <v>9.2919321604564731E-2</v>
      </c>
      <c r="BU28" s="53">
        <f>Financials!BW31/Financials!BT31-1</f>
        <v>7.4666327557151302E-3</v>
      </c>
      <c r="BV28" s="53">
        <f>Financials!BX31/Financials!BU31-1</f>
        <v>5.231408463514331E-3</v>
      </c>
      <c r="BW28" s="53">
        <f>Financials!BY31/Financials!BV31-1</f>
        <v>-0.11499977478257672</v>
      </c>
      <c r="BX28" s="53">
        <f>Financials!BZ31/Financials!BW31-1</f>
        <v>-8.4888672487582917E-2</v>
      </c>
      <c r="BY28" s="53">
        <f>Financials!CA31/Financials!BX31-1</f>
        <v>-7.9314741133941213E-2</v>
      </c>
      <c r="BZ28" s="53">
        <f>Financials!CB31/Financials!BY31-1</f>
        <v>1.9438485586908749E-2</v>
      </c>
      <c r="CA28" s="53">
        <f>Financials!CC31/Financials!BZ31-1</f>
        <v>-0.194155149296943</v>
      </c>
      <c r="CB28" s="53">
        <f>Financials!CD31/Financials!CA31-1</f>
        <v>-1</v>
      </c>
      <c r="CC28" s="53">
        <f>Financials!CE31/Financials!CB31-1</f>
        <v>-1</v>
      </c>
      <c r="CD28" s="53">
        <f>Financials!CF31/Financials!CC31-1</f>
        <v>0.16091812614678469</v>
      </c>
      <c r="CE28" s="53" t="e">
        <f>Financials!CG31/Financials!CD31-1</f>
        <v>#DIV/0!</v>
      </c>
      <c r="CF28" s="53" t="e">
        <f>Financials!CH31/Financials!CE31-1</f>
        <v>#DIV/0!</v>
      </c>
      <c r="CG28" s="53">
        <f>Financials!CI31/Financials!CF31-1</f>
        <v>-5.2483938116965057E-3</v>
      </c>
      <c r="CH28" s="53">
        <f>Financials!CJ31/Financials!CG31-1</f>
        <v>7.0207985166417242E-3</v>
      </c>
      <c r="CI28" s="53">
        <f>Financials!CK31/Financials!CH31-1</f>
        <v>4.7522000969497658E-2</v>
      </c>
      <c r="CJ28" s="53">
        <f>Financials!CL31/Financials!CI31-1</f>
        <v>7.3503336348967441E-2</v>
      </c>
      <c r="CK28" s="53">
        <f>Financials!CM31/Financials!CJ31-1</f>
        <v>-5.6802957262198528E-2</v>
      </c>
      <c r="CL28" s="53">
        <f>Financials!CN31/Financials!CK31-1</f>
        <v>-3.3206887468116397E-2</v>
      </c>
      <c r="CM28" s="53">
        <f>Financials!CO31/Financials!CL31-1</f>
        <v>-2.6171069272704628E-3</v>
      </c>
      <c r="CN28" s="53">
        <f>Financials!CP31/Financials!CM31-1</f>
        <v>0.18017330156970357</v>
      </c>
      <c r="CO28" s="53">
        <f>Financials!CQ31/Financials!CN31-1</f>
        <v>0.12778917136126333</v>
      </c>
      <c r="CP28" s="53">
        <f>Financials!CR31/Financials!CO31-1</f>
        <v>9.2924032528736156E-2</v>
      </c>
      <c r="CQ28" s="53">
        <f>Financials!CS31/Financials!CP31-1</f>
        <v>4.9929637974394092E-2</v>
      </c>
      <c r="CR28" s="53">
        <f>Financials!CT31/Financials!CQ31-1</f>
        <v>3.9438953725628112E-2</v>
      </c>
      <c r="CS28" s="53">
        <f>Financials!CU31/Financials!CR31-1</f>
        <v>-1</v>
      </c>
      <c r="CT28" s="53">
        <f>Financials!CV31/Financials!CS31-1</f>
        <v>-1</v>
      </c>
      <c r="CU28" s="53">
        <f>Financials!CW31/Financials!CT31-1</f>
        <v>-1</v>
      </c>
    </row>
    <row r="29" spans="1:99" x14ac:dyDescent="0.3">
      <c r="A29" s="230"/>
      <c r="B29" s="55" t="s">
        <v>51</v>
      </c>
      <c r="C29" s="54"/>
      <c r="D29" s="53">
        <f>Financials!D11/Financials!C11-1</f>
        <v>0.73610117099706707</v>
      </c>
      <c r="E29" s="53">
        <f>Financials!G11/Financials!D11-1</f>
        <v>-0.40906467151837023</v>
      </c>
      <c r="F29" s="53">
        <f>Financials!H11/Financials!E11-1</f>
        <v>-0.44569956322670679</v>
      </c>
      <c r="G29" s="53">
        <f>Financials!I11/Financials!F11-1</f>
        <v>-4.618199880234608E-2</v>
      </c>
      <c r="H29" s="53">
        <f>Financials!J11/Financials!G11-1</f>
        <v>0.95248053012698963</v>
      </c>
      <c r="I29" s="53">
        <f>Financials!K11/Financials!H11-1</f>
        <v>7.7798519667100496E-3</v>
      </c>
      <c r="J29" s="53">
        <f>Financials!L11/Financials!I11-1</f>
        <v>7.7720194820667388E-3</v>
      </c>
      <c r="K29" s="53">
        <f>Financials!M11/Financials!J11-1</f>
        <v>-0.50750475041537713</v>
      </c>
      <c r="L29" s="53">
        <f>Financials!N11/Financials!K11-1</f>
        <v>-1.5001788749716138E-2</v>
      </c>
      <c r="M29" s="53">
        <f>Financials!O11/Financials!L11-1</f>
        <v>-1.4770426318576391E-2</v>
      </c>
      <c r="N29" s="53">
        <f>Financials!P11/Financials!M11-1</f>
        <v>2.4271758192528914E-4</v>
      </c>
      <c r="O29" s="53">
        <f>Financials!Q11/Financials!N11-1</f>
        <v>2.4180253427272653</v>
      </c>
      <c r="P29" s="53">
        <f>Financials!R11/Financials!O11-1</f>
        <v>0.68436583129327189</v>
      </c>
      <c r="Q29" s="53">
        <f>Financials!S11/Financials!P11-1</f>
        <v>0.52997268445983647</v>
      </c>
      <c r="R29" s="53">
        <f>Financials!T11/Financials!Q11-1</f>
        <v>1.0187283774465428E-2</v>
      </c>
      <c r="S29" s="53">
        <f>Financials!U11/Financials!R11-1</f>
        <v>2.4937495906250717E-2</v>
      </c>
      <c r="T29" s="53">
        <f>Financials!V11/Financials!S11-1</f>
        <v>4.6048236469009574E-4</v>
      </c>
      <c r="U29" s="53">
        <f>Financials!W11/Financials!T11-1</f>
        <v>-0.55658698318607691</v>
      </c>
      <c r="V29" s="53">
        <f>Financials!X11/Financials!U11-1</f>
        <v>-0.11335491333088044</v>
      </c>
      <c r="W29" s="53">
        <f>Financials!Y11/Financials!V11-1</f>
        <v>5.3695739495651651E-5</v>
      </c>
      <c r="X29" s="53">
        <f>Financials!Z11/Financials!W11-1</f>
        <v>2.000161087218487</v>
      </c>
      <c r="Y29" s="53">
        <f>Financials!AA11/Financials!X11-1</f>
        <v>1.4656737949756966</v>
      </c>
      <c r="Z29" s="53">
        <f>Financials!AB11/Financials!Y11-1</f>
        <v>5.1638790827934882</v>
      </c>
      <c r="AA29" s="53">
        <f>Financials!AC11/Financials!Z11-1</f>
        <v>-0.17814945562753481</v>
      </c>
      <c r="AB29" s="53">
        <f>Financials!AD11/Financials!AA11-1</f>
        <v>0.50051641589980211</v>
      </c>
      <c r="AC29" s="53">
        <f>Financials!AE11/Financials!AB11-1</f>
        <v>-0.79740337573358167</v>
      </c>
      <c r="AD29" s="53">
        <f>Financials!AF11/Financials!AC11-1</f>
        <v>-0.52262467368046328</v>
      </c>
      <c r="AE29" s="53">
        <f>Financials!AG11/Financials!AD11-1</f>
        <v>-0.71827910427840058</v>
      </c>
      <c r="AF29" s="53">
        <f>Financials!AH11/Financials!AE11-1</f>
        <v>2.9378402451730734E-2</v>
      </c>
      <c r="AG29" s="53">
        <f>Financials!AI11/Financials!AF11-1</f>
        <v>2.0118107495581405E-4</v>
      </c>
      <c r="AH29" s="53">
        <f>Financials!AJ11/Financials!AG11-1</f>
        <v>-1.2856772807026129E-2</v>
      </c>
      <c r="AI29" s="53">
        <f>Financials!AK11/Financials!AH11-1</f>
        <v>-0.2033081879266716</v>
      </c>
      <c r="AJ29" s="53">
        <f>Financials!AL11/Financials!AI11-1</f>
        <v>0.24385141623416096</v>
      </c>
      <c r="AK29" s="53">
        <f>Financials!AM11/Financials!AJ11-1</f>
        <v>0.81494935164693239</v>
      </c>
      <c r="AL29" s="53">
        <f>Financials!AN11/Financials!AK11-1</f>
        <v>0.73466142633119524</v>
      </c>
      <c r="AM29" s="53">
        <f>Financials!AO11/Financials!AL11-1</f>
        <v>0.20264371238413381</v>
      </c>
      <c r="AN29" s="53">
        <f>Financials!AP11/Financials!AM11-1</f>
        <v>0.19218668764672842</v>
      </c>
      <c r="AO29" s="53">
        <f>Financials!AQ11/Financials!AN11-1</f>
        <v>0.21007523480763801</v>
      </c>
      <c r="AP29" s="53">
        <f>Financials!AR11/Financials!AO11-1</f>
        <v>0.21101460296576646</v>
      </c>
      <c r="AQ29" s="53">
        <f>Financials!AS11/Financials!AP11-1</f>
        <v>-1.944704580867564</v>
      </c>
      <c r="AR29" s="53">
        <f>Financials!AT11/Financials!AQ11-1</f>
        <v>-2.0067154266603549E-2</v>
      </c>
      <c r="AS29" s="53">
        <f>Financials!AU11/Financials!AR11-1</f>
        <v>-6.4470618419053105E-2</v>
      </c>
      <c r="AT29" s="53">
        <f>Financials!AV11/Financials!AS11-1</f>
        <v>-1.8705318446088577</v>
      </c>
      <c r="AU29" s="53">
        <f>Financials!AW11/Financials!AT11-1</f>
        <v>-0.14900423549869624</v>
      </c>
      <c r="AV29" s="53">
        <f>Financials!AX11/Financials!AU11-1</f>
        <v>-0.12934258534607601</v>
      </c>
      <c r="AW29" s="53">
        <f>Financials!AY11/Financials!AV11-1</f>
        <v>0.24575562710595422</v>
      </c>
      <c r="AX29" s="53">
        <f>Financials!AZ11/Financials!AW11-1</f>
        <v>0.2653514088064628</v>
      </c>
      <c r="AY29" s="53">
        <f>Financials!BA11/Financials!AX11-1</f>
        <v>0.28575523886007548</v>
      </c>
      <c r="AZ29" s="53">
        <f>Financials!BB11/Financials!AY11-1</f>
        <v>-6.5351351568797789E-2</v>
      </c>
      <c r="BA29" s="53">
        <f>Financials!BC11/Financials!AZ11-1</f>
        <v>-1.0434397296442466E-2</v>
      </c>
      <c r="BB29" s="53">
        <f>Financials!BD11/Financials!BA11-1</f>
        <v>-7.4077555494784342E-2</v>
      </c>
      <c r="BC29" s="53">
        <f>Financials!BE11/Financials!BB11-1</f>
        <v>-0.13530277253347611</v>
      </c>
      <c r="BD29" s="53">
        <f>Financials!BF11/Financials!BC11-1</f>
        <v>-1</v>
      </c>
      <c r="BE29" s="53">
        <f>Financials!BG11/Financials!BD11-1</f>
        <v>-5.681839743290984E-2</v>
      </c>
      <c r="BF29" s="53">
        <f>Financials!BH11/Financials!BE11-1</f>
        <v>8.168395431725517E-2</v>
      </c>
      <c r="BG29" s="53" t="e">
        <f>Financials!BI11/Financials!BF11-1</f>
        <v>#DIV/0!</v>
      </c>
      <c r="BH29" s="53">
        <f>Financials!BJ11/Financials!BG11-1</f>
        <v>-9.2991919084130736E-2</v>
      </c>
      <c r="BI29" s="53">
        <f>Financials!BK11/Financials!BH11-1</f>
        <v>4.9466052692232143E-2</v>
      </c>
      <c r="BJ29" s="53">
        <f>Financials!BL11/Financials!BI11-1</f>
        <v>0.23225447784040321</v>
      </c>
      <c r="BK29" s="53">
        <f>Financials!BM11/Financials!BJ11-1</f>
        <v>-1</v>
      </c>
      <c r="BL29" s="53">
        <f>Financials!BN11/Financials!BK11-1</f>
        <v>1.9548642554342504</v>
      </c>
      <c r="BM29" s="53">
        <f>Financials!BO11/Financials!BL11-1</f>
        <v>-8.8273051698199656E-2</v>
      </c>
      <c r="BN29" s="53" t="e">
        <f>Financials!BP11/Financials!BM11-1</f>
        <v>#DIV/0!</v>
      </c>
      <c r="BO29" s="53">
        <f>Financials!BQ11/Financials!BN11-1</f>
        <v>-0.29402946618673242</v>
      </c>
      <c r="BP29" s="53">
        <f>Financials!BR11/Financials!BO11-1</f>
        <v>0.13391743473219786</v>
      </c>
      <c r="BQ29" s="53">
        <f>Financials!BS11/Financials!BP11-1</f>
        <v>-1.295167121958539</v>
      </c>
      <c r="BR29" s="53">
        <f>Financials!BT11/Financials!BQ11-1</f>
        <v>-0.47727474170070294</v>
      </c>
      <c r="BS29" s="53">
        <f>Financials!BU11/Financials!BR11-1</f>
        <v>4.63714916034208E-3</v>
      </c>
      <c r="BT29" s="53">
        <f>Financials!BV11/Financials!BS11-1</f>
        <v>-4.1343110425841774</v>
      </c>
      <c r="BU29" s="53">
        <f>Financials!BW11/Financials!BT11-1</f>
        <v>-1.7698424198278051E-3</v>
      </c>
      <c r="BV29" s="53">
        <f>Financials!BX11/Financials!BU11-1</f>
        <v>2.9178166292370467E-2</v>
      </c>
      <c r="BW29" s="53">
        <f>Financials!BY11/Financials!BV11-1</f>
        <v>-1.2744831677463528</v>
      </c>
      <c r="BX29" s="53">
        <f>Financials!BZ11/Financials!BW11-1</f>
        <v>-1.2700496602608813</v>
      </c>
      <c r="BY29" s="53">
        <f>Financials!CA11/Financials!BX11-1</f>
        <v>-1.4814711623496919</v>
      </c>
      <c r="BZ29" s="53">
        <f>Financials!CB11/Financials!BY11-1</f>
        <v>0.79580801062354278</v>
      </c>
      <c r="CA29" s="53">
        <f>Financials!CC11/Financials!BZ11-1</f>
        <v>0.76451002971771742</v>
      </c>
      <c r="CB29" s="53">
        <f>Financials!CD11/Financials!CA11-1</f>
        <v>-1</v>
      </c>
      <c r="CC29" s="53">
        <f>Financials!CE11/Financials!CB11-1</f>
        <v>-1</v>
      </c>
      <c r="CD29" s="53">
        <f>Financials!CF11/Financials!CC11-1</f>
        <v>1.2614735780909077</v>
      </c>
      <c r="CE29" s="53" t="e">
        <f>Financials!CG11/Financials!CD11-1</f>
        <v>#DIV/0!</v>
      </c>
      <c r="CF29" s="53" t="e">
        <f>Financials!CH11/Financials!CE11-1</f>
        <v>#DIV/0!</v>
      </c>
      <c r="CG29" s="53">
        <f>Financials!CI11/Financials!CF11-1</f>
        <v>-0.47163383263304004</v>
      </c>
      <c r="CH29" s="53">
        <f>Financials!CJ11/Financials!CG11-1</f>
        <v>0.89867085463324159</v>
      </c>
      <c r="CI29" s="53">
        <f>Financials!CK11/Financials!CH11-1</f>
        <v>0.76584514930581005</v>
      </c>
      <c r="CJ29" s="53">
        <f>Financials!CL11/Financials!CI11-1</f>
        <v>0.79079854888077361</v>
      </c>
      <c r="CK29" s="53">
        <f>Financials!CM11/Financials!CJ11-1</f>
        <v>0.56666732253004648</v>
      </c>
      <c r="CL29" s="53">
        <f>Financials!CN11/Financials!CK11-1</f>
        <v>0.60341670263150005</v>
      </c>
      <c r="CM29" s="53">
        <f>Financials!CO11/Financials!CL11-1</f>
        <v>-4.2071518367355658</v>
      </c>
      <c r="CN29" s="53">
        <f>Financials!CP11/Financials!CM11-1</f>
        <v>-4.817696838129967</v>
      </c>
      <c r="CO29" s="53">
        <f>Financials!CQ11/Financials!CN11-1</f>
        <v>-4.4896472016872462</v>
      </c>
      <c r="CP29" s="53">
        <f>Financials!CR11/Financials!CO11-1</f>
        <v>-4.9406851281781239E-2</v>
      </c>
      <c r="CQ29" s="53">
        <f>Financials!CS11/Financials!CP11-1</f>
        <v>-6.9860994984900171E-2</v>
      </c>
      <c r="CR29" s="53">
        <f>Financials!CT11/Financials!CQ11-1</f>
        <v>-0.7303216847616486</v>
      </c>
      <c r="CS29" s="53">
        <f>Financials!CU11/Financials!CR11-1</f>
        <v>-1</v>
      </c>
      <c r="CT29" s="53">
        <f>Financials!CV11/Financials!CS11-1</f>
        <v>-1</v>
      </c>
      <c r="CU29" s="53">
        <f>Financials!CW11/Financials!CT11-1</f>
        <v>-1</v>
      </c>
    </row>
    <row r="30" spans="1:99" x14ac:dyDescent="0.3">
      <c r="A30" s="230"/>
      <c r="B30" s="55" t="s">
        <v>52</v>
      </c>
      <c r="C30" s="54"/>
      <c r="D30" s="53">
        <f>Financials!D37/Financials!C37-1</f>
        <v>0.27995598965802282</v>
      </c>
      <c r="E30" s="53">
        <f>Financials!G37/Financials!D37-1</f>
        <v>-0.9251133514970904</v>
      </c>
      <c r="F30" s="53">
        <f>Financials!H37/Financials!E37-1</f>
        <v>-0.86891383683229073</v>
      </c>
      <c r="G30" s="53">
        <f>Financials!I37/Financials!F37-1</f>
        <v>1.4751376394640254</v>
      </c>
      <c r="H30" s="53">
        <f>Financials!J37/Financials!G37-1</f>
        <v>4.7740023876516702</v>
      </c>
      <c r="I30" s="53">
        <f>Financials!K37/Financials!H37-1</f>
        <v>1.1942472684792103</v>
      </c>
      <c r="J30" s="53">
        <f>Financials!L37/Financials!I37-1</f>
        <v>0.89882118940982192</v>
      </c>
      <c r="K30" s="53">
        <f>Financials!M37/Financials!J37-1</f>
        <v>0.2548646067935938</v>
      </c>
      <c r="L30" s="53">
        <f>Financials!N37/Financials!K37-1</f>
        <v>5.6811848603583188</v>
      </c>
      <c r="M30" s="53">
        <f>Financials!O37/Financials!L37-1</f>
        <v>1.0032261246732204</v>
      </c>
      <c r="N30" s="53">
        <f>Financials!P37/Financials!M37-1</f>
        <v>0.67576618232449404</v>
      </c>
      <c r="O30" s="53">
        <f>Financials!Q37/Financials!N37-1</f>
        <v>0.13196095333191749</v>
      </c>
      <c r="P30" s="53">
        <f>Financials!R37/Financials!O37-1</f>
        <v>0.82719454333931997</v>
      </c>
      <c r="Q30" s="53">
        <f>Financials!S37/Financials!P37-1</f>
        <v>0.3067198312200683</v>
      </c>
      <c r="R30" s="53">
        <f>Financials!T37/Financials!Q37-1</f>
        <v>-0.91821787108589548</v>
      </c>
      <c r="S30" s="53">
        <f>Financials!U37/Financials!R37-1</f>
        <v>-0.88394962225707596</v>
      </c>
      <c r="T30" s="53">
        <f>Financials!V37/Financials!S37-1</f>
        <v>-0.68933067644321278</v>
      </c>
      <c r="U30" s="53">
        <f>Financials!W37/Financials!T37-1</f>
        <v>0.41165132884540423</v>
      </c>
      <c r="V30" s="53">
        <f>Financials!X37/Financials!U37-1</f>
        <v>1.0756111556999093</v>
      </c>
      <c r="W30" s="53">
        <f>Financials!Y37/Financials!V37-1</f>
        <v>0.46499330991106969</v>
      </c>
      <c r="X30" s="53">
        <f>Financials!Z37/Financials!W37-1</f>
        <v>6.7252012748783701</v>
      </c>
      <c r="Y30" s="53">
        <f>Financials!AA37/Financials!X37-1</f>
        <v>3.5664835102450105</v>
      </c>
      <c r="Z30" s="53">
        <f>Financials!AB37/Financials!Y37-1</f>
        <v>5.5519984958137387</v>
      </c>
      <c r="AA30" s="53">
        <f>Financials!AC37/Financials!Z37-1</f>
        <v>7.3337812861845375E-2</v>
      </c>
      <c r="AB30" s="53">
        <f>Financials!AD37/Financials!AA37-1</f>
        <v>1.4033753896015946</v>
      </c>
      <c r="AC30" s="53">
        <f>Financials!AE37/Financials!AB37-1</f>
        <v>-0.68905738863191424</v>
      </c>
      <c r="AD30" s="53">
        <f>Financials!AF37/Financials!AC37-1</f>
        <v>-0.41396985828985711</v>
      </c>
      <c r="AE30" s="53">
        <f>Financials!AG37/Financials!AD37-1</f>
        <v>-0.96651318565622479</v>
      </c>
      <c r="AF30" s="53">
        <f>Financials!AH37/Financials!AE37-1</f>
        <v>-0.85165944202351618</v>
      </c>
      <c r="AG30" s="53">
        <f>Financials!AI37/Financials!AF37-1</f>
        <v>-0.80214343036426317</v>
      </c>
      <c r="AH30" s="53">
        <f>Financials!AJ37/Financials!AG37-1</f>
        <v>1.4681787340873815</v>
      </c>
      <c r="AI30" s="53">
        <f>Financials!AK37/Financials!AH37-1</f>
        <v>0.99264169425615711</v>
      </c>
      <c r="AJ30" s="53">
        <f>Financials!AL37/Financials!AI37-1</f>
        <v>2.0754694834577094</v>
      </c>
      <c r="AK30" s="53">
        <f>Financials!AM37/Financials!AJ37-1</f>
        <v>1.6621949335132995</v>
      </c>
      <c r="AL30" s="53">
        <f>Financials!AN37/Financials!AK37-1</f>
        <v>1.4958123517530049</v>
      </c>
      <c r="AM30" s="53">
        <f>Financials!AO37/Financials!AL37-1</f>
        <v>0.2665302553550799</v>
      </c>
      <c r="AN30" s="53">
        <f>Financials!AP37/Financials!AM37-1</f>
        <v>0.70314308912447854</v>
      </c>
      <c r="AO30" s="53">
        <f>Financials!AQ37/Financials!AN37-1</f>
        <v>0.55040886312239046</v>
      </c>
      <c r="AP30" s="53">
        <f>Financials!AR37/Financials!AO37-1</f>
        <v>0.52626975116510422</v>
      </c>
      <c r="AQ30" s="53">
        <f>Financials!AS37/Financials!AP37-1</f>
        <v>0.28712092373837739</v>
      </c>
      <c r="AR30" s="53">
        <f>Financials!AT37/Financials!AQ37-1</f>
        <v>-0.89643604398803101</v>
      </c>
      <c r="AS30" s="53">
        <f>Financials!AU37/Financials!AR37-1</f>
        <v>-0.85280732787983982</v>
      </c>
      <c r="AT30" s="53">
        <f>Financials!AV37/Financials!AS37-1</f>
        <v>-0.83112737844946782</v>
      </c>
      <c r="AU30" s="53">
        <f>Financials!AW37/Financials!AT37-1</f>
        <v>1.4201187323840241</v>
      </c>
      <c r="AV30" s="53">
        <f>Financials!AX37/Financials!AU37-1</f>
        <v>0.97927883979930708</v>
      </c>
      <c r="AW30" s="53">
        <f>Financials!AY37/Financials!AV37-1</f>
        <v>1.8907094440321814</v>
      </c>
      <c r="AX30" s="53">
        <f>Financials!AZ37/Financials!AW37-1</f>
        <v>1.669838876605557</v>
      </c>
      <c r="AY30" s="53">
        <f>Financials!BA37/Financials!AX37-1</f>
        <v>1.3778259959331267</v>
      </c>
      <c r="AZ30" s="53">
        <f>Financials!BB37/Financials!AY37-1</f>
        <v>0.36007833822379132</v>
      </c>
      <c r="BA30" s="53">
        <f>Financials!BC37/Financials!AZ37-1</f>
        <v>0.46784940923924845</v>
      </c>
      <c r="BB30" s="53">
        <f>Financials!BD37/Financials!BA37-1</f>
        <v>0.42607797779569956</v>
      </c>
      <c r="BC30" s="53">
        <f>Financials!BE37/Financials!BB37-1</f>
        <v>0.43416150496320238</v>
      </c>
      <c r="BD30" s="53">
        <f>Financials!BF37/Financials!BC37-1</f>
        <v>-1</v>
      </c>
      <c r="BE30" s="53">
        <f>Financials!BG37/Financials!BD37-1</f>
        <v>-0.92707304603024387</v>
      </c>
      <c r="BF30" s="53">
        <f>Financials!BH37/Financials!BE37-1</f>
        <v>-0.88644747238700272</v>
      </c>
      <c r="BG30" s="53" t="e">
        <f>Financials!BI37/Financials!BF37-1</f>
        <v>#DIV/0!</v>
      </c>
      <c r="BH30" s="53">
        <f>Financials!BJ37/Financials!BG37-1</f>
        <v>2.1905485084605942</v>
      </c>
      <c r="BI30" s="53">
        <f>Financials!BK37/Financials!BH37-1</f>
        <v>3.0769562771861407</v>
      </c>
      <c r="BJ30" s="53">
        <f>Financials!BL37/Financials!BI37-1</f>
        <v>2.401974021390739</v>
      </c>
      <c r="BK30" s="53">
        <f>Financials!BM37/Financials!BJ37-1</f>
        <v>-1</v>
      </c>
      <c r="BL30" s="53">
        <f>Financials!BN37/Financials!BK37-1</f>
        <v>3.1273686914614371</v>
      </c>
      <c r="BM30" s="53">
        <f>Financials!BO37/Financials!BL37-1</f>
        <v>0.30824827037678437</v>
      </c>
      <c r="BN30" s="53" t="e">
        <f>Financials!BP37/Financials!BM37-1</f>
        <v>#DIV/0!</v>
      </c>
      <c r="BO30" s="53">
        <f>Financials!BQ37/Financials!BN37-1</f>
        <v>-2.3354004041510001E-2</v>
      </c>
      <c r="BP30" s="53">
        <f>Financials!BR37/Financials!BO37-1</f>
        <v>0.47703447486513828</v>
      </c>
      <c r="BQ30" s="53">
        <f>Financials!BS37/Financials!BP37-1</f>
        <v>0.15084350793629975</v>
      </c>
      <c r="BR30" s="53">
        <f>Financials!BT37/Financials!BQ37-1</f>
        <v>-0.95853907357890966</v>
      </c>
      <c r="BS30" s="53">
        <f>Financials!BU37/Financials!BR37-1</f>
        <v>-0.87840023677145196</v>
      </c>
      <c r="BT30" s="53">
        <f>Financials!BV37/Financials!BS37-1</f>
        <v>-0.83108575968069653</v>
      </c>
      <c r="BU30" s="53">
        <f>Financials!BW37/Financials!BT37-1</f>
        <v>4.3707700666781504</v>
      </c>
      <c r="BV30" s="53">
        <f>Financials!BX37/Financials!BU37-1</f>
        <v>2.748538421923147</v>
      </c>
      <c r="BW30" s="53">
        <f>Financials!BY37/Financials!BV37-1</f>
        <v>2.1285495280708839</v>
      </c>
      <c r="BX30" s="53">
        <f>Financials!BZ37/Financials!BW37-1</f>
        <v>0.40698267659148901</v>
      </c>
      <c r="BY30" s="53">
        <f>Financials!CA37/Financials!BX37-1</f>
        <v>-1</v>
      </c>
      <c r="BZ30" s="53">
        <f>Financials!CB37/Financials!BY37-1</f>
        <v>-1</v>
      </c>
      <c r="CA30" s="53">
        <f>Financials!CC37/Financials!BZ37-1</f>
        <v>-1</v>
      </c>
      <c r="CB30" s="53" t="e">
        <f>Financials!CD37/Financials!CA37-1</f>
        <v>#DIV/0!</v>
      </c>
      <c r="CC30" s="53" t="e">
        <f>Financials!CE37/Financials!CB37-1</f>
        <v>#DIV/0!</v>
      </c>
      <c r="CD30" s="53" t="e">
        <f>Financials!CF37/Financials!CC37-1</f>
        <v>#DIV/0!</v>
      </c>
      <c r="CE30" s="53" t="e">
        <f>Financials!CG37/Financials!CD37-1</f>
        <v>#DIV/0!</v>
      </c>
      <c r="CF30" s="53" t="e">
        <f>Financials!CH37/Financials!CE37-1</f>
        <v>#DIV/0!</v>
      </c>
      <c r="CG30" s="53">
        <f>Financials!CI37/Financials!CF37-1</f>
        <v>-0.83928744698516444</v>
      </c>
      <c r="CH30" s="53">
        <f>Financials!CJ37/Financials!CG37-1</f>
        <v>3.6869387783481349</v>
      </c>
      <c r="CI30" s="53">
        <f>Financials!CK37/Financials!CH37-1</f>
        <v>1.8744653246550591</v>
      </c>
      <c r="CJ30" s="53">
        <f>Financials!CL37/Financials!CI37-1</f>
        <v>2.6059071195567509</v>
      </c>
      <c r="CK30" s="53">
        <f>Financials!CM37/Financials!CJ37-1</f>
        <v>2.2254695533864894</v>
      </c>
      <c r="CL30" s="53">
        <f>Financials!CN37/Financials!CK37-1</f>
        <v>1.6566031249068534</v>
      </c>
      <c r="CM30" s="53">
        <f>Financials!CO37/Financials!CL37-1</f>
        <v>0.49649817554963338</v>
      </c>
      <c r="CN30" s="53">
        <f>Financials!CP37/Financials!CM37-1</f>
        <v>0.23866954271744256</v>
      </c>
      <c r="CO30" s="53">
        <f>Financials!CQ37/Financials!CN37-1</f>
        <v>0.22239743700297243</v>
      </c>
      <c r="CP30" s="53">
        <f>Financials!CR37/Financials!CO37-1</f>
        <v>0.23768021342587642</v>
      </c>
      <c r="CQ30" s="53">
        <f>Financials!CS37/Financials!CP37-1</f>
        <v>0.17203520641874714</v>
      </c>
      <c r="CR30" s="53">
        <f>Financials!CT37/Financials!CQ37-1</f>
        <v>-0.90705108318395877</v>
      </c>
      <c r="CS30" s="53">
        <f>Financials!CU37/Financials!CR37-1</f>
        <v>-1</v>
      </c>
      <c r="CT30" s="53">
        <f>Financials!CV37/Financials!CS37-1</f>
        <v>-1</v>
      </c>
      <c r="CU30" s="53">
        <f>Financials!CW37/Financials!CT37-1</f>
        <v>-1</v>
      </c>
    </row>
    <row r="31" spans="1:99" x14ac:dyDescent="0.3">
      <c r="A31" s="230"/>
      <c r="B31" s="55" t="s">
        <v>53</v>
      </c>
      <c r="C31" s="5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</row>
    <row r="32" spans="1:99" x14ac:dyDescent="0.3">
      <c r="A32" s="230"/>
      <c r="B32" s="55" t="s">
        <v>54</v>
      </c>
      <c r="C32" s="54"/>
      <c r="D32" s="53">
        <f>'Evolutitve SCI'!C38/'Evolutitve SCI'!B38-1</f>
        <v>0.26388219590359263</v>
      </c>
      <c r="E32" s="53">
        <f>'Evolutitve SCI'!E38/'Evolutitve SCI'!C38-1</f>
        <v>-0.92717636198596476</v>
      </c>
      <c r="F32" s="53">
        <f>'Evolutitve SCI'!F38/'Evolutitve SCI'!D38-1</f>
        <v>-0.94128374454635322</v>
      </c>
      <c r="G32" s="53">
        <f>'Evolutitve SCI'!G38/'Evolutitve SCI'!E38-1</f>
        <v>1.0284689840027772</v>
      </c>
      <c r="H32" s="53">
        <f>'Evolutitve SCI'!H38/'Evolutitve SCI'!F38-1</f>
        <v>2.4685072908299603</v>
      </c>
      <c r="I32" s="53">
        <f>'Evolutitve SCI'!I38/'Evolutitve SCI'!G38-1</f>
        <v>3.2836504419942365</v>
      </c>
      <c r="J32" s="53">
        <f>'Evolutitve SCI'!J38/'Evolutitve SCI'!H38-1</f>
        <v>0.78855609968208484</v>
      </c>
      <c r="K32" s="53">
        <f>'Evolutitve SCI'!K38/'Evolutitve SCI'!I38-1</f>
        <v>-0.29528123670066009</v>
      </c>
      <c r="L32" s="53">
        <f>'Evolutitve SCI'!L38/'Evolutitve SCI'!J38-1</f>
        <v>0.57680950512887019</v>
      </c>
      <c r="M32" s="53">
        <f>'Evolutitve SCI'!M38/'Evolutitve SCI'!K38-1</f>
        <v>3.2978809639332942</v>
      </c>
      <c r="N32" s="53">
        <f>'Evolutitve SCI'!N38/'Evolutitve SCI'!L38-1</f>
        <v>0.30590591660533728</v>
      </c>
      <c r="O32" s="53">
        <f>'Evolutitve SCI'!O38/'Evolutitve SCI'!M38-1</f>
        <v>-0.51108863065439025</v>
      </c>
      <c r="P32" s="53">
        <f>'Evolutitve SCI'!P38/'Evolutitve SCI'!N38-1</f>
        <v>1.7770448007077775</v>
      </c>
      <c r="Q32" s="53">
        <f>'Evolutitve SCI'!Q38/'Evolutitve SCI'!O38-1</f>
        <v>0.26741566370786085</v>
      </c>
      <c r="R32" s="53">
        <f>'Evolutitve SCI'!R38/'Evolutitve SCI'!P38-1</f>
        <v>-0.43612283701731669</v>
      </c>
      <c r="S32" s="53">
        <f>'Evolutitve SCI'!S38/'Evolutitve SCI'!Q38-1</f>
        <v>-0.89999216137993643</v>
      </c>
      <c r="T32" s="53">
        <f>'Evolutitve SCI'!T38/'Evolutitve SCI'!R38-1</f>
        <v>-0.87592602334259395</v>
      </c>
      <c r="U32" s="53">
        <f>'Evolutitve SCI'!U38/'Evolutitve SCI'!S38-1</f>
        <v>2.9610951087136486</v>
      </c>
      <c r="V32" s="53">
        <f>'Evolutitve SCI'!V38/'Evolutitve SCI'!T38-1</f>
        <v>1.0252177406126477</v>
      </c>
      <c r="W32" s="53">
        <f>'Evolutitve SCI'!W38/'Evolutitve SCI'!U38-1</f>
        <v>-0.18909811217645744</v>
      </c>
      <c r="X32" s="53">
        <f>'Evolutitve SCI'!X38/'Evolutitve SCI'!V38-1</f>
        <v>1.1184560896730469</v>
      </c>
      <c r="Y32" s="53">
        <f>'Evolutitve SCI'!Y38/'Evolutitve SCI'!W38-1</f>
        <v>5.2419209068560164</v>
      </c>
      <c r="Z32" s="53">
        <f>'Evolutitve SCI'!Z38/'Evolutitve SCI'!X38-1</f>
        <v>1.9162908020770661</v>
      </c>
      <c r="AA32" s="53">
        <f>'Evolutitve SCI'!AA38/'Evolutitve SCI'!Y38-1</f>
        <v>1.0574990775501112</v>
      </c>
      <c r="AB32" s="53">
        <f>'Evolutitve SCI'!AB38/'Evolutitve SCI'!Z38-1</f>
        <v>0.1661225029163409</v>
      </c>
      <c r="AC32" s="53">
        <f>'Evolutitve SCI'!AC38/'Evolutitve SCI'!AA38-1</f>
        <v>-0.28942922311040986</v>
      </c>
      <c r="AD32" s="53">
        <f>'Evolutitve SCI'!AD38/'Evolutitve SCI'!AB38-1</f>
        <v>-0.45954111598389158</v>
      </c>
      <c r="AE32" s="53">
        <f>'Evolutitve SCI'!AE38/'Evolutitve SCI'!AC38-1</f>
        <v>-0.67982337280419314</v>
      </c>
      <c r="AF32" s="53">
        <f>'Evolutitve SCI'!AF38/'Evolutitve SCI'!AD38-1</f>
        <v>-0.93780021009631609</v>
      </c>
      <c r="AG32" s="53">
        <f>'Evolutitve SCI'!AG38/'Evolutitve SCI'!AE38-1</f>
        <v>-0.85768145900942505</v>
      </c>
      <c r="AH32" s="53">
        <f>'Evolutitve SCI'!AH38/'Evolutitve SCI'!AF38-1</f>
        <v>3.0400494859114131</v>
      </c>
      <c r="AI32" s="53">
        <f>'Evolutitve SCI'!AI38/'Evolutitve SCI'!AG38-1</f>
        <v>1.5886860268066583</v>
      </c>
      <c r="AJ32" s="53">
        <f>'Evolutitve SCI'!AJ38/'Evolutitve SCI'!AH38-1</f>
        <v>0.74372904516457594</v>
      </c>
      <c r="AK32" s="53">
        <f>'Evolutitve SCI'!AK38/'Evolutitve SCI'!AI38-1</f>
        <v>0.64448879459344988</v>
      </c>
      <c r="AL32" s="53">
        <f>'Evolutitve SCI'!AL38/'Evolutitve SCI'!AJ38-1</f>
        <v>0.34213566178519805</v>
      </c>
      <c r="AM32" s="53">
        <f>'Evolutitve SCI'!AM38/'Evolutitve SCI'!AK38-1</f>
        <v>0.41977463058681463</v>
      </c>
      <c r="AN32" s="53">
        <f>'Evolutitve SCI'!AN38/'Evolutitve SCI'!AL38-1</f>
        <v>0.53821447727644944</v>
      </c>
      <c r="AO32" s="53">
        <f>'Evolutitve SCI'!AO38/'Evolutitve SCI'!AM38-1</f>
        <v>0.20903560002859534</v>
      </c>
      <c r="AP32" s="53">
        <f>'Evolutitve SCI'!AP38/'Evolutitve SCI'!AN38-1</f>
        <v>0.20870044566325019</v>
      </c>
      <c r="AQ32" s="53">
        <f>'Evolutitve SCI'!AQ38/'Evolutitve SCI'!AO38-1</f>
        <v>0.17642374563401075</v>
      </c>
      <c r="AR32" s="53">
        <f>'Evolutitve SCI'!AR38/'Evolutitve SCI'!AP38-1</f>
        <v>-1</v>
      </c>
      <c r="AS32" s="53">
        <f>'Evolutitve SCI'!AS38/'Evolutitve SCI'!AQ38-1</f>
        <v>-0.86283174367658033</v>
      </c>
      <c r="AT32" s="53" t="e">
        <f>'Evolutitve SCI'!AT38/'Evolutitve SCI'!AR38-1</f>
        <v>#DIV/0!</v>
      </c>
      <c r="AU32" s="53">
        <f>'Evolutitve SCI'!AU38/'Evolutitve SCI'!AS38-1</f>
        <v>-1</v>
      </c>
      <c r="AV32" s="53" t="e">
        <f>'Evolutitve SCI'!AV38/'Evolutitve SCI'!AT38-1</f>
        <v>#DIV/0!</v>
      </c>
      <c r="AW32" s="53" t="e">
        <f>'Evolutitve SCI'!AW38/'Evolutitve SCI'!AU38-1</f>
        <v>#DIV/0!</v>
      </c>
      <c r="AX32" s="53" t="e">
        <f>'Evolutitve SCI'!AX38/'Evolutitve SCI'!AV38-1</f>
        <v>#DIV/0!</v>
      </c>
      <c r="AY32" s="53" t="e">
        <f>'Evolutitve SCI'!AY38/'Evolutitve SCI'!AW38-1</f>
        <v>#DIV/0!</v>
      </c>
      <c r="AZ32" s="53" t="e">
        <f>'Evolutitve SCI'!AZ38/'Evolutitve SCI'!AX38-1</f>
        <v>#DIV/0!</v>
      </c>
      <c r="BA32" s="53" t="e">
        <f>'Evolutitve SCI'!BA38/'Evolutitve SCI'!AY38-1</f>
        <v>#DIV/0!</v>
      </c>
      <c r="BB32" s="53" t="e">
        <f>'Evolutitve SCI'!BB38/'Evolutitve SCI'!AZ38-1</f>
        <v>#DIV/0!</v>
      </c>
      <c r="BC32" s="53" t="e">
        <f>'Evolutitve SCI'!BC38/'Evolutitve SCI'!BA38-1</f>
        <v>#DIV/0!</v>
      </c>
      <c r="BD32" s="53" t="e">
        <f>'Evolutitve SCI'!BD38/'Evolutitve SCI'!BB38-1</f>
        <v>#DIV/0!</v>
      </c>
      <c r="BE32" s="53" t="e">
        <f>'Evolutitve SCI'!BE38/'Evolutitve SCI'!BC38-1</f>
        <v>#DIV/0!</v>
      </c>
      <c r="BF32" s="53" t="e">
        <f>'Evolutitve SCI'!BF38/'Evolutitve SCI'!BD38-1</f>
        <v>#DIV/0!</v>
      </c>
      <c r="BG32" s="53" t="e">
        <f>'Evolutitve SCI'!BG38/'Evolutitve SCI'!BE38-1</f>
        <v>#DIV/0!</v>
      </c>
      <c r="BH32" s="53" t="e">
        <f>'Evolutitve SCI'!BH38/'Evolutitve SCI'!BF38-1</f>
        <v>#DIV/0!</v>
      </c>
      <c r="BI32" s="53" t="e">
        <f>'Evolutitve SCI'!BI38/'Evolutitve SCI'!BG38-1</f>
        <v>#DIV/0!</v>
      </c>
      <c r="BJ32" s="53" t="e">
        <f>'Evolutitve SCI'!BJ38/'Evolutitve SCI'!BH38-1</f>
        <v>#DIV/0!</v>
      </c>
      <c r="BK32" s="53" t="e">
        <f>'Evolutitve SCI'!BK38/'Evolutitve SCI'!BI38-1</f>
        <v>#DIV/0!</v>
      </c>
      <c r="BL32" s="53" t="e">
        <f>'Evolutitve SCI'!BL38/'Evolutitve SCI'!BJ38-1</f>
        <v>#DIV/0!</v>
      </c>
      <c r="BM32" s="53" t="e">
        <f>'Evolutitve SCI'!BM38/'Evolutitve SCI'!BK38-1</f>
        <v>#DIV/0!</v>
      </c>
      <c r="BN32" s="53" t="e">
        <f>'Evolutitve SCI'!BN38/'Evolutitve SCI'!BL38-1</f>
        <v>#DIV/0!</v>
      </c>
      <c r="BO32" s="53" t="e">
        <f>'Evolutitve SCI'!BO38/'Evolutitve SCI'!BM38-1</f>
        <v>#DIV/0!</v>
      </c>
      <c r="BP32" s="53" t="e">
        <f>'Evolutitve SCI'!BP38/'Evolutitve SCI'!BN38-1</f>
        <v>#DIV/0!</v>
      </c>
      <c r="BQ32" s="53" t="e">
        <f>'Evolutitve SCI'!BQ38/'Evolutitve SCI'!BO38-1</f>
        <v>#DIV/0!</v>
      </c>
      <c r="BR32" s="53" t="e">
        <f>'Evolutitve SCI'!BR38/'Evolutitve SCI'!BP38-1</f>
        <v>#DIV/0!</v>
      </c>
      <c r="BS32" s="53" t="e">
        <f>'Evolutitve SCI'!BS38/'Evolutitve SCI'!BQ38-1</f>
        <v>#DIV/0!</v>
      </c>
      <c r="BT32" s="53" t="e">
        <f>'Evolutitve SCI'!BT38/'Evolutitve SCI'!BR38-1</f>
        <v>#DIV/0!</v>
      </c>
      <c r="BU32" s="53" t="e">
        <f>'Evolutitve SCI'!BU38/'Evolutitve SCI'!BS38-1</f>
        <v>#DIV/0!</v>
      </c>
      <c r="BV32" s="53" t="e">
        <f>'Evolutitve SCI'!BV38/'Evolutitve SCI'!BT38-1</f>
        <v>#DIV/0!</v>
      </c>
      <c r="BW32" s="53" t="e">
        <f>'Evolutitve SCI'!BW38/'Evolutitve SCI'!BU38-1</f>
        <v>#DIV/0!</v>
      </c>
      <c r="BX32" s="53" t="e">
        <f>'Evolutitve SCI'!BX38/'Evolutitve SCI'!BV38-1</f>
        <v>#DIV/0!</v>
      </c>
      <c r="BY32" s="53" t="e">
        <f>'Evolutitve SCI'!BY38/'Evolutitve SCI'!BW38-1</f>
        <v>#DIV/0!</v>
      </c>
      <c r="BZ32" s="53" t="e">
        <f>'Evolutitve SCI'!BZ38/'Evolutitve SCI'!BX38-1</f>
        <v>#DIV/0!</v>
      </c>
      <c r="CA32" s="53" t="e">
        <f>'Evolutitve SCI'!CA38/'Evolutitve SCI'!BY38-1</f>
        <v>#DIV/0!</v>
      </c>
      <c r="CB32" s="53" t="e">
        <f>'Evolutitve SCI'!CB38/'Evolutitve SCI'!BZ38-1</f>
        <v>#DIV/0!</v>
      </c>
      <c r="CC32" s="53" t="e">
        <f>'Evolutitve SCI'!CC38/'Evolutitve SCI'!CA38-1</f>
        <v>#DIV/0!</v>
      </c>
      <c r="CD32" s="53" t="e">
        <f>'Evolutitve SCI'!CD38/'Evolutitve SCI'!CB38-1</f>
        <v>#DIV/0!</v>
      </c>
      <c r="CE32" s="53" t="e">
        <f>'Evolutitve SCI'!CE38/'Evolutitve SCI'!CC38-1</f>
        <v>#DIV/0!</v>
      </c>
      <c r="CF32" s="53" t="e">
        <f>'Evolutitve SCI'!CF38/'Evolutitve SCI'!CD38-1</f>
        <v>#DIV/0!</v>
      </c>
      <c r="CG32" s="53" t="e">
        <f>'Evolutitve SCI'!CG38/'Evolutitve SCI'!CE38-1</f>
        <v>#DIV/0!</v>
      </c>
      <c r="CH32" s="53" t="e">
        <f>'Evolutitve SCI'!CH38/'Evolutitve SCI'!CF38-1</f>
        <v>#DIV/0!</v>
      </c>
      <c r="CI32" s="53" t="e">
        <f>'Evolutitve SCI'!CI38/'Evolutitve SCI'!CG38-1</f>
        <v>#DIV/0!</v>
      </c>
      <c r="CJ32" s="53" t="e">
        <f>'Evolutitve SCI'!CJ38/'Evolutitve SCI'!CH38-1</f>
        <v>#DIV/0!</v>
      </c>
      <c r="CK32" s="53" t="e">
        <f>'Evolutitve SCI'!CK38/'Evolutitve SCI'!CI38-1</f>
        <v>#DIV/0!</v>
      </c>
      <c r="CL32" s="53" t="e">
        <f>'Evolutitve SCI'!CL38/'Evolutitve SCI'!CJ38-1</f>
        <v>#DIV/0!</v>
      </c>
      <c r="CM32" s="53" t="e">
        <f>'Evolutitve SCI'!CM38/'Evolutitve SCI'!CK38-1</f>
        <v>#DIV/0!</v>
      </c>
      <c r="CN32" s="53" t="e">
        <f>'Evolutitve SCI'!CN38/'Evolutitve SCI'!CL38-1</f>
        <v>#DIV/0!</v>
      </c>
      <c r="CO32" s="53" t="e">
        <f>'Evolutitve SCI'!CO38/'Evolutitve SCI'!CM38-1</f>
        <v>#DIV/0!</v>
      </c>
      <c r="CP32" s="53" t="e">
        <f>'Evolutitve SCI'!CP38/'Evolutitve SCI'!CN38-1</f>
        <v>#DIV/0!</v>
      </c>
      <c r="CQ32" s="53" t="e">
        <f>'Evolutitve SCI'!CQ38/'Evolutitve SCI'!CO38-1</f>
        <v>#DIV/0!</v>
      </c>
      <c r="CR32" s="53" t="e">
        <f>'Evolutitve SCI'!CR38/'Evolutitve SCI'!CP38-1</f>
        <v>#DIV/0!</v>
      </c>
      <c r="CS32" s="53" t="e">
        <f>'Evolutitve SCI'!CS38/'Evolutitve SCI'!CQ38-1</f>
        <v>#DIV/0!</v>
      </c>
      <c r="CT32" s="53" t="e">
        <f>'Evolutitve SCI'!CT38/'Evolutitve SCI'!CR38-1</f>
        <v>#DIV/0!</v>
      </c>
      <c r="CU32" s="53" t="e">
        <f>'Evolutitve SCI'!CU38/'Evolutitve SCI'!CS38-1</f>
        <v>#DIV/0!</v>
      </c>
    </row>
    <row r="33" spans="1:99" x14ac:dyDescent="0.3">
      <c r="A33" s="58" t="s">
        <v>55</v>
      </c>
      <c r="B33" s="55" t="s">
        <v>56</v>
      </c>
      <c r="C33" s="54"/>
      <c r="D33" s="53"/>
      <c r="E33" s="53">
        <f>Financials!D44/('Evolutive SFP'!B29+'Evolutive SFP'!C29)/2</f>
        <v>6.7329220461371094E-3</v>
      </c>
      <c r="F33" s="53">
        <f>Financials!E44/('Evolutive SFP'!C29+'Evolutive SFP'!D29)/2</f>
        <v>8.9328520941422546E-3</v>
      </c>
      <c r="G33" s="53">
        <f>Financials!F44/('Evolutive SFP'!D29+'Evolutive SFP'!E29)/2</f>
        <v>3.6170326976979597E-4</v>
      </c>
      <c r="H33" s="53">
        <f>Financials!G44/('Evolutive SFP'!E29+'Evolutive SFP'!F29)/2</f>
        <v>5.2585705960718216E-4</v>
      </c>
      <c r="I33" s="53">
        <f>Financials!H44/('Evolutive SFP'!F29+'Evolutive SFP'!G29)/2</f>
        <v>1.3457460726128388E-3</v>
      </c>
      <c r="J33" s="53">
        <f>Financials!I44/('Evolutive SFP'!G29+'Evolutive SFP'!H29)/2</f>
        <v>2.3331341922845244E-3</v>
      </c>
      <c r="K33" s="53">
        <f>Financials!J44/('Evolutive SFP'!H29+'Evolutive SFP'!I29)/2</f>
        <v>4.433813880158931E-3</v>
      </c>
      <c r="L33" s="53">
        <f>Financials!K44/('Evolutive SFP'!I29+'Evolutive SFP'!J29)/2</f>
        <v>2.5653531908420252E-3</v>
      </c>
      <c r="M33" s="53">
        <f>Financials!L44/('Evolutive SFP'!J29+'Evolutive SFP'!K29)/2</f>
        <v>5.1065513160825308E-3</v>
      </c>
      <c r="N33" s="53">
        <f>Financials!M44/('Evolutive SFP'!K29+'Evolutive SFP'!L29)/2</f>
        <v>5.6784721017454579E-3</v>
      </c>
      <c r="O33" s="53">
        <f>Financials!N44/('Evolutive SFP'!L29+'Evolutive SFP'!M29)/2</f>
        <v>1.9924738485744359E-2</v>
      </c>
      <c r="P33" s="53">
        <f>Financials!O44/('Evolutive SFP'!M29+'Evolutive SFP'!N29)/2</f>
        <v>7.8609428602845095E-3</v>
      </c>
      <c r="Q33" s="53">
        <f>Financials!P44/('Evolutive SFP'!N29+'Evolutive SFP'!O29)/2</f>
        <v>9.2636392786067112E-3</v>
      </c>
      <c r="R33" s="53">
        <f>Financials!Q44/('Evolutive SFP'!O29+'Evolutive SFP'!P29)/2</f>
        <v>1.3373054228185192E-2</v>
      </c>
      <c r="S33" s="53">
        <f>Financials!R44/('Evolutive SFP'!P29+'Evolutive SFP'!Q29)/2</f>
        <v>6.000061405220275E-3</v>
      </c>
      <c r="T33" s="53">
        <f>Financials!S44/('Evolutive SFP'!Q29+'Evolutive SFP'!R29)/2</f>
        <v>7.4548144197288807E-3</v>
      </c>
      <c r="U33" s="53">
        <f>Financials!T44/('Evolutive SFP'!R29+'Evolutive SFP'!S29)/2</f>
        <v>1.089035028822836E-3</v>
      </c>
      <c r="V33" s="53">
        <f>Financials!U44/('Evolutive SFP'!S29+'Evolutive SFP'!T29)/2</f>
        <v>1.1495526323023063E-3</v>
      </c>
      <c r="W33" s="53">
        <f>Financials!V44/('Evolutive SFP'!T29+'Evolutive SFP'!U29)/2</f>
        <v>4.2755065940779345E-3</v>
      </c>
      <c r="X33" s="53">
        <f>Financials!W44/('Evolutive SFP'!U29+'Evolutive SFP'!V29)/2</f>
        <v>2.172740380874799E-3</v>
      </c>
      <c r="Y33" s="53">
        <f>Financials!X44/('Evolutive SFP'!V29+'Evolutive SFP'!W29)/2</f>
        <v>3.9266625396553777E-3</v>
      </c>
      <c r="Z33" s="53">
        <f>Financials!Y44/('Evolutive SFP'!W29+'Evolutive SFP'!X29)/2</f>
        <v>4.2162680940038876E-3</v>
      </c>
      <c r="AA33" s="53">
        <f>Financials!Z44/('Evolutive SFP'!X29+'Evolutive SFP'!Y29)/2</f>
        <v>1.0352524322319092E-2</v>
      </c>
      <c r="AB33" s="53">
        <f>Financials!AA44/('Evolutive SFP'!Y29+'Evolutive SFP'!Z29)/2</f>
        <v>6.1197078583206136E-3</v>
      </c>
      <c r="AC33" s="53">
        <f>Financials!AB44/('Evolutive SFP'!Z29+'Evolutive SFP'!AA29)/2</f>
        <v>1.2279487873585288E-2</v>
      </c>
      <c r="AD33" s="53">
        <f>Financials!AC44/('Evolutive SFP'!AA29+'Evolutive SFP'!AB29)/2</f>
        <v>5.3078733655701179E-3</v>
      </c>
      <c r="AE33" s="53">
        <f>Financials!AD44/('Evolutive SFP'!AB29+'Evolutive SFP'!AC29)/2</f>
        <v>1.208707622016328E-2</v>
      </c>
      <c r="AF33" s="53">
        <f>Financials!AE44/('Evolutive SFP'!AC29+'Evolutive SFP'!AD29)/2</f>
        <v>5.9733647889824004E-3</v>
      </c>
      <c r="AG33" s="53">
        <f>Financials!AF44/('Evolutive SFP'!AD29+'Evolutive SFP'!AE29)/2</f>
        <v>1.1705717987023941E-2</v>
      </c>
      <c r="AH33" s="53">
        <f>Financials!AG44/('Evolutive SFP'!AE29+'Evolutive SFP'!AF29)/2</f>
        <v>1.9722408112561349E-3</v>
      </c>
      <c r="AI33" s="53">
        <f>Financials!AH44/('Evolutive SFP'!AF29+'Evolutive SFP'!AG29)/2</f>
        <v>2.739357729550983E-3</v>
      </c>
      <c r="AJ33" s="53">
        <f>Financials!AI44/('Evolutive SFP'!AG29+'Evolutive SFP'!AH29)/2</f>
        <v>3.6957172093256877E-3</v>
      </c>
      <c r="AK33" s="53">
        <f>Financials!AJ44/('Evolutive SFP'!AH29+'Evolutive SFP'!AI29)/2</f>
        <v>4.5593455320845199E-3</v>
      </c>
      <c r="AL33" s="53">
        <f>Financials!AK44/('Evolutive SFP'!AI29+'Evolutive SFP'!AJ29)/2</f>
        <v>5.6481763096085987E-3</v>
      </c>
      <c r="AM33" s="53">
        <f>Financials!AL44/('Evolutive SFP'!AJ29+'Evolutive SFP'!AK29)/2</f>
        <v>6.3645769837504911E-3</v>
      </c>
      <c r="AN33" s="53">
        <f>Financials!AM44/('Evolutive SFP'!AK29+'Evolutive SFP'!AL29)/2</f>
        <v>6.8203728019192635E-3</v>
      </c>
      <c r="AO33" s="53">
        <f>Financials!AN44/('Evolutive SFP'!AL29+'Evolutive SFP'!AM29)/2</f>
        <v>1.0845832629844388E-2</v>
      </c>
      <c r="AP33" s="53">
        <f>Financials!AO44/('Evolutive SFP'!AM29+'Evolutive SFP'!AN29)/2</f>
        <v>1.2240755356318384E-2</v>
      </c>
      <c r="AQ33" s="53">
        <f>Financials!AP44/('Evolutive SFP'!AN29+'Evolutive SFP'!AO29)/2</f>
        <v>1.2876477630570666E-2</v>
      </c>
      <c r="AR33" s="53">
        <f>Financials!AQ44/('Evolutive SFP'!AO29+'Evolutive SFP'!AP29)/2</f>
        <v>1.2999524817950362E-2</v>
      </c>
      <c r="AS33" s="53">
        <f>Financials!AR44/('Evolutive SFP'!AP29+'Evolutive SFP'!AQ29)/2</f>
        <v>1.3397840385654497E-2</v>
      </c>
      <c r="AT33" s="53">
        <f>Financials!AS44/('Evolutive SFP'!AQ29+'Evolutive SFP'!AR29)/2</f>
        <v>1.3536229109286422E-2</v>
      </c>
      <c r="AU33" s="53">
        <f>Financials!AT44/('Evolutive SFP'!AR29+'Evolutive SFP'!AS29)/2</f>
        <v>1.8669540458533733E-3</v>
      </c>
      <c r="AV33" s="53">
        <f>Financials!AU44/('Evolutive SFP'!AS29+'Evolutive SFP'!AT29)/2</f>
        <v>3.253497393798984E-3</v>
      </c>
      <c r="AW33" s="53">
        <f>Financials!AV44/('Evolutive SFP'!AT29+'Evolutive SFP'!AU29)/2</f>
        <v>4.4925909009138577E-3</v>
      </c>
      <c r="AX33" s="53">
        <f>Financials!AW44/('Evolutive SFP'!AU29+'Evolutive SFP'!AV29)/2</f>
        <v>5.4910080043457489E-3</v>
      </c>
      <c r="AY33" s="53">
        <f>Financials!AX44/('Evolutive SFP'!AV29+'Evolutive SFP'!AW29)/2</f>
        <v>6.9475949657089526E-3</v>
      </c>
      <c r="AZ33" s="53">
        <f>Financials!AY44/('Evolutive SFP'!AW29+'Evolutive SFP'!AX29)/2</f>
        <v>8.2282303915235909E-3</v>
      </c>
      <c r="BA33" s="53">
        <f>Financials!AZ44/('Evolutive SFP'!AX29+'Evolutive SFP'!AY29)/2</f>
        <v>1.0016881457679932E-2</v>
      </c>
      <c r="BB33" s="53">
        <f>Financials!BA44/('Evolutive SFP'!AY29+'Evolutive SFP'!AZ29)/2</f>
        <v>1.1313284252968276E-2</v>
      </c>
      <c r="BC33" s="53">
        <f>Financials!BB44/('Evolutive SFP'!AZ29+'Evolutive SFP'!BA29)/2</f>
        <v>1.3090526531437394E-2</v>
      </c>
      <c r="BD33" s="53">
        <f>Financials!BC44/('Evolutive SFP'!BA29+'Evolutive SFP'!BB29)/2</f>
        <v>1.5507410961159929E-2</v>
      </c>
      <c r="BE33" s="53">
        <f>Financials!BD44/('Evolutive SFP'!BB29+'Evolutive SFP'!BC29)/2</f>
        <v>1.6720445332706488E-2</v>
      </c>
      <c r="BF33" s="53">
        <f>Financials!BE44/('Evolutive SFP'!BC29+'Evolutive SFP'!BD29)/2</f>
        <v>1.7862752814276527E-2</v>
      </c>
      <c r="BG33" s="53">
        <f>Financials!BF44/('Evolutive SFP'!BD29+'Evolutive SFP'!BE29)/2</f>
        <v>0</v>
      </c>
      <c r="BH33" s="53">
        <f>Financials!BG44/('Evolutive SFP'!BE29+'Evolutive SFP'!BF29)/2</f>
        <v>3.804835556261829E-3</v>
      </c>
      <c r="BI33" s="53">
        <f>Financials!BH44/('Evolutive SFP'!BF29+'Evolutive SFP'!BG29)/2</f>
        <v>3.5972903921169743E-3</v>
      </c>
      <c r="BJ33" s="53">
        <f>Financials!BI44/('Evolutive SFP'!BG29+'Evolutive SFP'!BH29)/2</f>
        <v>5.1112438763054107E-3</v>
      </c>
      <c r="BK33" s="53">
        <f>Financials!BJ44/('Evolutive SFP'!BH29+'Evolutive SFP'!BI29)/2</f>
        <v>7.5463626770717546E-3</v>
      </c>
      <c r="BL33" s="53">
        <f>Financials!BK44/('Evolutive SFP'!BI29+'Evolutive SFP'!BJ29)/2</f>
        <v>9.4573623124882909E-3</v>
      </c>
      <c r="BM33" s="53">
        <f>Financials!BL44/('Evolutive SFP'!BJ29+'Evolutive SFP'!BK29)/2</f>
        <v>1.0802436726235322E-2</v>
      </c>
      <c r="BN33" s="53">
        <f>Financials!BM44/('Evolutive SFP'!BK29+'Evolutive SFP'!BL29)/2</f>
        <v>0</v>
      </c>
      <c r="BO33" s="53">
        <f>Financials!BN44/('Evolutive SFP'!BL29+'Evolutive SFP'!BM29)/2</f>
        <v>4.087640648296266E-2</v>
      </c>
      <c r="BP33" s="53">
        <f>Financials!BO44/('Evolutive SFP'!BM29+'Evolutive SFP'!BN29)/2</f>
        <v>1.1587563925967907E-2</v>
      </c>
      <c r="BQ33" s="53">
        <f>Financials!BP44/('Evolutive SFP'!BN29+'Evolutive SFP'!BO29)/2</f>
        <v>2.7590397814438714E-2</v>
      </c>
      <c r="BR33" s="53">
        <f>Financials!BQ44/('Evolutive SFP'!BO29+'Evolutive SFP'!BP29)/2</f>
        <v>3.9714253785023849E-2</v>
      </c>
      <c r="BS33" s="53">
        <f>Financials!BR44/('Evolutive SFP'!BP29+'Evolutive SFP'!BQ29)/2</f>
        <v>2.2892717349764054E-2</v>
      </c>
      <c r="BT33" s="53">
        <f>Financials!BS44/('Evolutive SFP'!BQ29+'Evolutive SFP'!BR29)/2</f>
        <v>0</v>
      </c>
      <c r="BU33" s="53">
        <f>Financials!BT44/('Evolutive SFP'!BR29+'Evolutive SFP'!BS29)/2</f>
        <v>2.6894313068046983E-3</v>
      </c>
      <c r="BV33" s="53">
        <f>Financials!BU44/('Evolutive SFP'!BS29+'Evolutive SFP'!BT29)/2</f>
        <v>4.5824170012459739E-3</v>
      </c>
      <c r="BW33" s="53">
        <f>Financials!BV44/('Evolutive SFP'!BT29+'Evolutive SFP'!BU29)/2</f>
        <v>7.7028618350402141E-3</v>
      </c>
      <c r="BX33" s="53">
        <f>Financials!BW44/('Evolutive SFP'!BU29+'Evolutive SFP'!BV29)/2</f>
        <v>1.2424344415407643E-2</v>
      </c>
      <c r="BY33" s="53">
        <f>Financials!BX44/('Evolutive SFP'!BV29+'Evolutive SFP'!BW29)/2</f>
        <v>1.3869373073710875E-2</v>
      </c>
      <c r="BZ33" s="53">
        <f>Financials!BY44/('Evolutive SFP'!BW29+'Evolutive SFP'!BX29)/2</f>
        <v>1.6558703342508883E-2</v>
      </c>
      <c r="CA33" s="53">
        <f>Financials!BZ44/('Evolutive SFP'!BX29+'Evolutive SFP'!BY29)/2</f>
        <v>2.0347520072369594E-2</v>
      </c>
      <c r="CB33" s="53">
        <f>Financials!CA44/('Evolutive SFP'!BY29+'Evolutive SFP'!BZ29)/2</f>
        <v>0</v>
      </c>
      <c r="CC33" s="53">
        <f>Financials!CB44/('Evolutive SFP'!BZ29+'Evolutive SFP'!CA29)/2</f>
        <v>0</v>
      </c>
      <c r="CD33" s="53">
        <f>Financials!CC44/('Evolutive SFP'!CA29+'Evolutive SFP'!CB29)/2</f>
        <v>0</v>
      </c>
      <c r="CE33" s="53">
        <f>Financials!CD44/('Evolutive SFP'!CB29+'Evolutive SFP'!CC29)/2</f>
        <v>0</v>
      </c>
      <c r="CF33" s="53" t="e">
        <f>Financials!CE44/('Evolutive SFP'!CC29+'Evolutive SFP'!CD29)/2</f>
        <v>#DIV/0!</v>
      </c>
      <c r="CG33" s="53">
        <f>Financials!CF44/('Evolutive SFP'!CD29+'Evolutive SFP'!CE29)/2</f>
        <v>7.3350328838683046E-2</v>
      </c>
      <c r="CH33" s="53">
        <f>Financials!CG44/('Evolutive SFP'!CE29+'Evolutive SFP'!CF29)/2</f>
        <v>5.1225080267102143E-3</v>
      </c>
      <c r="CI33" s="53">
        <f>Financials!CH44/('Evolutive SFP'!CF29+'Evolutive SFP'!CG29)/2</f>
        <v>6.6698500988020045E-3</v>
      </c>
      <c r="CJ33" s="53">
        <f>Financials!CI44/('Evolutive SFP'!CG29+'Evolutive SFP'!CH29)/2</f>
        <v>8.421376014386828E-3</v>
      </c>
      <c r="CK33" s="53">
        <f>Financials!CJ44/('Evolutive SFP'!CH29+'Evolutive SFP'!CI29)/2</f>
        <v>1.4923002027646265E-2</v>
      </c>
      <c r="CL33" s="53">
        <f>Financials!CK44/('Evolutive SFP'!CI29+'Evolutive SFP'!CJ29)/2</f>
        <v>1.8107425812221179E-2</v>
      </c>
      <c r="CM33" s="53">
        <f>Financials!CL44/('Evolutive SFP'!CJ29+'Evolutive SFP'!CK29)/2</f>
        <v>2.001608131389819E-2</v>
      </c>
      <c r="CN33" s="53">
        <f>Financials!CM44/('Evolutive SFP'!CK29+'Evolutive SFP'!CL29)/2</f>
        <v>2.377141168530747E-2</v>
      </c>
      <c r="CO33" s="53">
        <f>Financials!CN44/('Evolutive SFP'!CL29+'Evolutive SFP'!CM29)/2</f>
        <v>2.7286737134024585E-2</v>
      </c>
      <c r="CP33" s="53">
        <f>Financials!CO44/('Evolutive SFP'!CM29+'Evolutive SFP'!CN29)/2</f>
        <v>2.9911714432304792E-2</v>
      </c>
      <c r="CQ33" s="53">
        <f>Financials!CP44/('Evolutive SFP'!CN29+'Evolutive SFP'!CO29)/2</f>
        <v>3.6340714744265826E-2</v>
      </c>
      <c r="CR33" s="53">
        <f>Financials!CQ44/('Evolutive SFP'!CO29+'Evolutive SFP'!CP29)/2</f>
        <v>3.8575131549856846E-2</v>
      </c>
      <c r="CS33" s="53">
        <f>Financials!CR44/('Evolutive SFP'!CP29+'Evolutive SFP'!CQ29)/2</f>
        <v>4.149524917141776E-2</v>
      </c>
      <c r="CT33" s="53">
        <f>Financials!CS44/('Evolutive SFP'!CQ29+'Evolutive SFP'!CR29)/2</f>
        <v>7.98015453669597E-2</v>
      </c>
      <c r="CU33" s="53">
        <f>Financials!CT44/('Evolutive SFP'!CR29+'Evolutive SFP'!CS29)/2</f>
        <v>3.7920945174040837E-3</v>
      </c>
    </row>
    <row r="34" spans="1:99" x14ac:dyDescent="0.3">
      <c r="A34" s="59"/>
      <c r="B34" s="55" t="s">
        <v>57</v>
      </c>
      <c r="C34" s="54"/>
      <c r="D34" s="53"/>
      <c r="E34" s="53">
        <f>Financials!D45/('Evolutive SFP'!B38+'Evolutive SFP'!C38)/2</f>
        <v>0</v>
      </c>
      <c r="F34" s="53">
        <f>Financials!E45/('Evolutive SFP'!C38+'Evolutive SFP'!D38)/2</f>
        <v>0</v>
      </c>
      <c r="G34" s="53">
        <f>Financials!F45/('Evolutive SFP'!D38+'Evolutive SFP'!E38)/2</f>
        <v>0</v>
      </c>
      <c r="H34" s="53">
        <f>Financials!G45/('Evolutive SFP'!E38+'Evolutive SFP'!F38)/2</f>
        <v>0</v>
      </c>
      <c r="I34" s="53">
        <f>Financials!H45/('Evolutive SFP'!F38+'Evolutive SFP'!G38)/2</f>
        <v>0</v>
      </c>
      <c r="J34" s="53">
        <f>Financials!I45/('Evolutive SFP'!G38+'Evolutive SFP'!H38)/2</f>
        <v>0</v>
      </c>
      <c r="K34" s="53">
        <f>Financials!J45/('Evolutive SFP'!H38+'Evolutive SFP'!I38)/2</f>
        <v>0</v>
      </c>
      <c r="L34" s="53">
        <f>Financials!K45/('Evolutive SFP'!I38+'Evolutive SFP'!J38)/2</f>
        <v>0</v>
      </c>
      <c r="M34" s="53">
        <f>Financials!L45/('Evolutive SFP'!J38+'Evolutive SFP'!K38)/2</f>
        <v>0</v>
      </c>
      <c r="N34" s="53">
        <f>Financials!M45/('Evolutive SFP'!K38+'Evolutive SFP'!L38)/2</f>
        <v>0</v>
      </c>
      <c r="O34" s="53">
        <f>Financials!N45/('Evolutive SFP'!L38+'Evolutive SFP'!M38)/2</f>
        <v>0</v>
      </c>
      <c r="P34" s="53">
        <f>Financials!O45/('Evolutive SFP'!M38+'Evolutive SFP'!N38)/2</f>
        <v>0</v>
      </c>
      <c r="Q34" s="53">
        <f>Financials!P45/('Evolutive SFP'!N38+'Evolutive SFP'!O38)/2</f>
        <v>0</v>
      </c>
      <c r="R34" s="53">
        <f>Financials!Q45/('Evolutive SFP'!O38+'Evolutive SFP'!P38)/2</f>
        <v>0</v>
      </c>
      <c r="S34" s="53">
        <f>Financials!R45/('Evolutive SFP'!P38+'Evolutive SFP'!Q38)/2</f>
        <v>0</v>
      </c>
      <c r="T34" s="53">
        <f>Financials!S45/('Evolutive SFP'!Q38+'Evolutive SFP'!R38)/2</f>
        <v>0</v>
      </c>
      <c r="U34" s="53">
        <f>Financials!T45/('Evolutive SFP'!R38+'Evolutive SFP'!S38)/2</f>
        <v>0</v>
      </c>
      <c r="V34" s="53">
        <f>Financials!U45/('Evolutive SFP'!S38+'Evolutive SFP'!T38)/2</f>
        <v>0</v>
      </c>
      <c r="W34" s="53">
        <f>Financials!V45/('Evolutive SFP'!T38+'Evolutive SFP'!U38)/2</f>
        <v>0</v>
      </c>
      <c r="X34" s="53">
        <f>Financials!W45/('Evolutive SFP'!U38+'Evolutive SFP'!V38)/2</f>
        <v>0</v>
      </c>
      <c r="Y34" s="53">
        <f>Financials!X45/('Evolutive SFP'!V38+'Evolutive SFP'!W38)/2</f>
        <v>0</v>
      </c>
      <c r="Z34" s="53">
        <f>Financials!Y45/('Evolutive SFP'!W38+'Evolutive SFP'!X38)/2</f>
        <v>0</v>
      </c>
      <c r="AA34" s="53">
        <f>Financials!Z45/('Evolutive SFP'!X38+'Evolutive SFP'!Y38)/2</f>
        <v>0</v>
      </c>
      <c r="AB34" s="53">
        <f>Financials!AA45/('Evolutive SFP'!Y38+'Evolutive SFP'!Z38)/2</f>
        <v>0</v>
      </c>
      <c r="AC34" s="53">
        <f>Financials!AB45/('Evolutive SFP'!Z38+'Evolutive SFP'!AA38)/2</f>
        <v>0</v>
      </c>
      <c r="AD34" s="53">
        <f>Financials!AC45/('Evolutive SFP'!AA38+'Evolutive SFP'!AB38)/2</f>
        <v>0</v>
      </c>
      <c r="AE34" s="53">
        <f>Financials!AD45/('Evolutive SFP'!AB38+'Evolutive SFP'!AC38)/2</f>
        <v>0</v>
      </c>
      <c r="AF34" s="53">
        <f>Financials!AE45/('Evolutive SFP'!AC38+'Evolutive SFP'!AD38)/2</f>
        <v>0</v>
      </c>
      <c r="AG34" s="53">
        <f>Financials!AF45/('Evolutive SFP'!AD38+'Evolutive SFP'!AE38)/2</f>
        <v>0</v>
      </c>
      <c r="AH34" s="53">
        <f>Financials!AG45/('Evolutive SFP'!AE38+'Evolutive SFP'!AF38)/2</f>
        <v>0</v>
      </c>
      <c r="AI34" s="53">
        <f>Financials!AH45/('Evolutive SFP'!AF38+'Evolutive SFP'!AG38)/2</f>
        <v>0</v>
      </c>
      <c r="AJ34" s="53">
        <f>Financials!AI45/('Evolutive SFP'!AG38+'Evolutive SFP'!AH38)/2</f>
        <v>0</v>
      </c>
      <c r="AK34" s="53">
        <f>Financials!AJ45/('Evolutive SFP'!AH38+'Evolutive SFP'!AI38)/2</f>
        <v>0</v>
      </c>
      <c r="AL34" s="53">
        <f>Financials!AK45/('Evolutive SFP'!AI38+'Evolutive SFP'!AJ38)/2</f>
        <v>0</v>
      </c>
      <c r="AM34" s="53">
        <f>Financials!AL45/('Evolutive SFP'!AJ38+'Evolutive SFP'!AK38)/2</f>
        <v>0</v>
      </c>
      <c r="AN34" s="53">
        <f>Financials!AM45/('Evolutive SFP'!AK38+'Evolutive SFP'!AL38)/2</f>
        <v>0</v>
      </c>
      <c r="AO34" s="53">
        <f>Financials!AN45/('Evolutive SFP'!AL38+'Evolutive SFP'!AM38)/2</f>
        <v>0</v>
      </c>
      <c r="AP34" s="53">
        <f>Financials!AO45/('Evolutive SFP'!AM38+'Evolutive SFP'!AN38)/2</f>
        <v>0</v>
      </c>
      <c r="AQ34" s="53">
        <f>Financials!AP45/('Evolutive SFP'!AN38+'Evolutive SFP'!AO38)/2</f>
        <v>0</v>
      </c>
      <c r="AR34" s="53">
        <f>Financials!AQ45/('Evolutive SFP'!AO38+'Evolutive SFP'!AP38)/2</f>
        <v>0</v>
      </c>
      <c r="AS34" s="53">
        <f>Financials!AR45/('Evolutive SFP'!AP38+'Evolutive SFP'!AQ38)/2</f>
        <v>0</v>
      </c>
      <c r="AT34" s="53">
        <f>Financials!AS45/('Evolutive SFP'!AQ38+'Evolutive SFP'!AR38)/2</f>
        <v>0</v>
      </c>
      <c r="AU34" s="53">
        <f>Financials!AT45/('Evolutive SFP'!AR38+'Evolutive SFP'!AS38)/2</f>
        <v>0</v>
      </c>
      <c r="AV34" s="53">
        <f>Financials!AU45/('Evolutive SFP'!AS38+'Evolutive SFP'!AT38)/2</f>
        <v>0</v>
      </c>
      <c r="AW34" s="53">
        <f>Financials!AV45/('Evolutive SFP'!AT38+'Evolutive SFP'!AU38)/2</f>
        <v>0</v>
      </c>
      <c r="AX34" s="53">
        <f>Financials!AW45/('Evolutive SFP'!AU38+'Evolutive SFP'!AV38)/2</f>
        <v>0</v>
      </c>
      <c r="AY34" s="53">
        <f>Financials!AX45/('Evolutive SFP'!AV38+'Evolutive SFP'!AW38)/2</f>
        <v>0</v>
      </c>
      <c r="AZ34" s="53">
        <f>Financials!AY45/('Evolutive SFP'!AW38+'Evolutive SFP'!AX38)/2</f>
        <v>0</v>
      </c>
      <c r="BA34" s="53">
        <f>Financials!AZ45/('Evolutive SFP'!AX38+'Evolutive SFP'!AY38)/2</f>
        <v>0</v>
      </c>
      <c r="BB34" s="53">
        <f>Financials!BA45/('Evolutive SFP'!AY38+'Evolutive SFP'!AZ38)/2</f>
        <v>0</v>
      </c>
      <c r="BC34" s="53">
        <f>Financials!BB45/('Evolutive SFP'!AZ38+'Evolutive SFP'!BA38)/2</f>
        <v>0</v>
      </c>
      <c r="BD34" s="53">
        <f>Financials!BC45/('Evolutive SFP'!BA38+'Evolutive SFP'!BB38)/2</f>
        <v>0</v>
      </c>
      <c r="BE34" s="53">
        <f>Financials!BD45/('Evolutive SFP'!BB38+'Evolutive SFP'!BC38)/2</f>
        <v>0</v>
      </c>
      <c r="BF34" s="53">
        <f>Financials!BE45/('Evolutive SFP'!BC38+'Evolutive SFP'!BD38)/2</f>
        <v>0</v>
      </c>
      <c r="BG34" s="53">
        <f>Financials!BF45/('Evolutive SFP'!BD38+'Evolutive SFP'!BE38)/2</f>
        <v>0</v>
      </c>
      <c r="BH34" s="53">
        <f>Financials!BG45/('Evolutive SFP'!BE38+'Evolutive SFP'!BF38)/2</f>
        <v>0</v>
      </c>
      <c r="BI34" s="53">
        <f>Financials!BH45/('Evolutive SFP'!BF38+'Evolutive SFP'!BG38)/2</f>
        <v>0</v>
      </c>
      <c r="BJ34" s="53">
        <f>Financials!BI45/('Evolutive SFP'!BG38+'Evolutive SFP'!BH38)/2</f>
        <v>0</v>
      </c>
      <c r="BK34" s="53">
        <f>Financials!BJ45/('Evolutive SFP'!BH38+'Evolutive SFP'!BI38)/2</f>
        <v>0</v>
      </c>
      <c r="BL34" s="53">
        <f>Financials!BK45/('Evolutive SFP'!BI38+'Evolutive SFP'!BJ38)/2</f>
        <v>0</v>
      </c>
      <c r="BM34" s="53">
        <f>Financials!BL45/('Evolutive SFP'!BJ38+'Evolutive SFP'!BK38)/2</f>
        <v>0</v>
      </c>
      <c r="BN34" s="53">
        <f>Financials!BM45/('Evolutive SFP'!BK38+'Evolutive SFP'!BL38)/2</f>
        <v>0</v>
      </c>
      <c r="BO34" s="53">
        <f>Financials!BN45/('Evolutive SFP'!BL38+'Evolutive SFP'!BM38)/2</f>
        <v>0</v>
      </c>
      <c r="BP34" s="53">
        <f>Financials!BO45/('Evolutive SFP'!BM38+'Evolutive SFP'!BN38)/2</f>
        <v>0</v>
      </c>
      <c r="BQ34" s="53">
        <f>Financials!BP45/('Evolutive SFP'!BN38+'Evolutive SFP'!BO38)/2</f>
        <v>0</v>
      </c>
      <c r="BR34" s="53">
        <f>Financials!BQ45/('Evolutive SFP'!BO38+'Evolutive SFP'!BP38)/2</f>
        <v>0</v>
      </c>
      <c r="BS34" s="53">
        <f>Financials!BR45/('Evolutive SFP'!BP38+'Evolutive SFP'!BQ38)/2</f>
        <v>0</v>
      </c>
      <c r="BT34" s="53">
        <f>Financials!BS45/('Evolutive SFP'!BQ38+'Evolutive SFP'!BR38)/2</f>
        <v>0</v>
      </c>
      <c r="BU34" s="53">
        <f>Financials!BT45/('Evolutive SFP'!BR38+'Evolutive SFP'!BS38)/2</f>
        <v>0</v>
      </c>
      <c r="BV34" s="53">
        <f>Financials!BU45/('Evolutive SFP'!BS38+'Evolutive SFP'!BT38)/2</f>
        <v>0</v>
      </c>
      <c r="BW34" s="53">
        <f>Financials!BV45/('Evolutive SFP'!BT38+'Evolutive SFP'!BU38)/2</f>
        <v>0</v>
      </c>
      <c r="BX34" s="53">
        <f>Financials!BW45/('Evolutive SFP'!BU38+'Evolutive SFP'!BV38)/2</f>
        <v>0</v>
      </c>
      <c r="BY34" s="53">
        <f>Financials!BX45/('Evolutive SFP'!BV38+'Evolutive SFP'!BW38)/2</f>
        <v>0</v>
      </c>
      <c r="BZ34" s="53">
        <f>Financials!BY45/('Evolutive SFP'!BW38+'Evolutive SFP'!BX38)/2</f>
        <v>0</v>
      </c>
      <c r="CA34" s="53">
        <f>Financials!BZ45/('Evolutive SFP'!BX38+'Evolutive SFP'!BY38)/2</f>
        <v>0</v>
      </c>
      <c r="CB34" s="53">
        <f>Financials!CA45/('Evolutive SFP'!BY38+'Evolutive SFP'!BZ38)/2</f>
        <v>0</v>
      </c>
      <c r="CC34" s="53">
        <f>Financials!CB45/('Evolutive SFP'!BZ38+'Evolutive SFP'!CA38)/2</f>
        <v>0</v>
      </c>
      <c r="CD34" s="53">
        <f>Financials!CC45/('Evolutive SFP'!CA38+'Evolutive SFP'!CB38)/2</f>
        <v>0</v>
      </c>
      <c r="CE34" s="53">
        <f>Financials!CD45/('Evolutive SFP'!CB38+'Evolutive SFP'!CC38)/2</f>
        <v>0</v>
      </c>
      <c r="CF34" s="53" t="e">
        <f>Financials!CE45/('Evolutive SFP'!CC38+'Evolutive SFP'!CD38)/2</f>
        <v>#DIV/0!</v>
      </c>
      <c r="CG34" s="53">
        <f>Financials!CF45/('Evolutive SFP'!CD38+'Evolutive SFP'!CE38)/2</f>
        <v>0</v>
      </c>
      <c r="CH34" s="53">
        <f>Financials!CG45/('Evolutive SFP'!CE38+'Evolutive SFP'!CF38)/2</f>
        <v>0</v>
      </c>
      <c r="CI34" s="53">
        <f>Financials!CH45/('Evolutive SFP'!CF38+'Evolutive SFP'!CG38)/2</f>
        <v>0</v>
      </c>
      <c r="CJ34" s="53">
        <f>Financials!CI45/('Evolutive SFP'!CG38+'Evolutive SFP'!CH38)/2</f>
        <v>0</v>
      </c>
      <c r="CK34" s="53">
        <f>Financials!CJ45/('Evolutive SFP'!CH38+'Evolutive SFP'!CI38)/2</f>
        <v>0</v>
      </c>
      <c r="CL34" s="53">
        <f>Financials!CK45/('Evolutive SFP'!CI38+'Evolutive SFP'!CJ38)/2</f>
        <v>0</v>
      </c>
      <c r="CM34" s="53">
        <f>Financials!CL45/('Evolutive SFP'!CJ38+'Evolutive SFP'!CK38)/2</f>
        <v>0</v>
      </c>
      <c r="CN34" s="53">
        <f>Financials!CM45/('Evolutive SFP'!CK38+'Evolutive SFP'!CL38)/2</f>
        <v>0</v>
      </c>
      <c r="CO34" s="53">
        <f>Financials!CN45/('Evolutive SFP'!CL38+'Evolutive SFP'!CM38)/2</f>
        <v>0</v>
      </c>
      <c r="CP34" s="53">
        <f>Financials!CO45/('Evolutive SFP'!CM38+'Evolutive SFP'!CN38)/2</f>
        <v>0</v>
      </c>
      <c r="CQ34" s="53">
        <f>Financials!CP45/('Evolutive SFP'!CN38+'Evolutive SFP'!CO38)/2</f>
        <v>0</v>
      </c>
      <c r="CR34" s="53">
        <f>Financials!CQ45/('Evolutive SFP'!CO38+'Evolutive SFP'!CP38)/2</f>
        <v>0</v>
      </c>
      <c r="CS34" s="53">
        <f>Financials!CR45/('Evolutive SFP'!CP38+'Evolutive SFP'!CQ38)/2</f>
        <v>0</v>
      </c>
      <c r="CT34" s="53">
        <f>Financials!CS45/('Evolutive SFP'!CQ38+'Evolutive SFP'!CR38)/2</f>
        <v>2.3050948051117537E-8</v>
      </c>
      <c r="CU34" s="53">
        <f>Financials!CT45/('Evolutive SFP'!CR38+'Evolutive SFP'!CS38)/2</f>
        <v>0</v>
      </c>
    </row>
    <row r="35" spans="1:99" x14ac:dyDescent="0.3">
      <c r="A35" s="59"/>
      <c r="B35" s="55" t="s">
        <v>58</v>
      </c>
      <c r="C35" s="54"/>
      <c r="D35" s="53"/>
      <c r="E35" s="53">
        <f>Financials!D46/(Financials!C31+Financials!D31)/2</f>
        <v>4.3191523406011456E-2</v>
      </c>
      <c r="F35" s="53">
        <f>Financials!E46/(Financials!D31+Financials!E31)/2</f>
        <v>4.9193375181263828E-2</v>
      </c>
      <c r="G35" s="53">
        <f>Financials!F46/(Financials!E31+Financials!F31)/2</f>
        <v>1.81006357811049E-3</v>
      </c>
      <c r="H35" s="53">
        <f>Financials!G46/(Financials!F31+Financials!G31)/2</f>
        <v>0</v>
      </c>
      <c r="I35" s="53">
        <f>Financials!H46/(Financials!G31+Financials!H31)/2</f>
        <v>3.7408075723595218E-3</v>
      </c>
      <c r="J35" s="53">
        <f>Financials!I46/(Financials!H31+Financials!I31)/2</f>
        <v>3.5745782508416939E-3</v>
      </c>
      <c r="K35" s="53">
        <f>Financials!J46/(Financials!I31+Financials!J31)/2</f>
        <v>1.3618092794419738E-2</v>
      </c>
      <c r="L35" s="53">
        <f>Financials!K46/(Financials!J31+Financials!K31)/2</f>
        <v>6.9420410912434333E-3</v>
      </c>
      <c r="M35" s="53">
        <f>Financials!L46/(Financials!K31+Financials!L31)/2</f>
        <v>1.5111138335560626E-2</v>
      </c>
      <c r="N35" s="53">
        <f>Financials!M46/(Financials!L31+Financials!M31)/2</f>
        <v>2.3399111093546039E-2</v>
      </c>
      <c r="O35" s="53">
        <f>Financials!N46/(Financials!M31+Financials!N31)/2</f>
        <v>7.1230225908271272E-2</v>
      </c>
      <c r="P35" s="53">
        <f>Financials!O46/(Financials!N31+Financials!O31)/2</f>
        <v>2.9311285417953626E-2</v>
      </c>
      <c r="Q35" s="53">
        <f>Financials!P46/(Financials!O31+Financials!P31)/2</f>
        <v>3.99184538167454E-2</v>
      </c>
      <c r="R35" s="53">
        <f>Financials!Q46/(Financials!P31+Financials!Q31)/2</f>
        <v>8.1711337885411683E-2</v>
      </c>
      <c r="S35" s="53">
        <f>Financials!R46/(Financials!Q31+Financials!R31)/2</f>
        <v>4.8254273630576577E-2</v>
      </c>
      <c r="T35" s="53">
        <f>Financials!S46/(Financials!R31+Financials!S31)/2</f>
        <v>8.8729687729706991E-2</v>
      </c>
      <c r="U35" s="53">
        <f>Financials!T46/(Financials!S31+Financials!T31)/2</f>
        <v>0</v>
      </c>
      <c r="V35" s="53">
        <f>Financials!U46/(Financials!T31+Financials!U31)/2</f>
        <v>1.2477934057038215E-3</v>
      </c>
      <c r="W35" s="53">
        <f>Financials!V46/(Financials!U31+Financials!V31)/2</f>
        <v>1.0079460433796927E-2</v>
      </c>
      <c r="X35" s="53">
        <f>Financials!W46/(Financials!V31+Financials!W31)/2</f>
        <v>5.1954854957525151E-3</v>
      </c>
      <c r="Y35" s="53">
        <f>Financials!X46/(Financials!W31+Financials!X31)/2</f>
        <v>5.7996538792957535E-3</v>
      </c>
      <c r="Z35" s="53">
        <f>Financials!Y46/(Financials!X31+Financials!Y31)/2</f>
        <v>5.9040883684680625E-3</v>
      </c>
      <c r="AA35" s="53">
        <f>Financials!Z46/(Financials!Y31+Financials!Z31)/2</f>
        <v>2.5567813640522942E-2</v>
      </c>
      <c r="AB35" s="53">
        <f>Financials!AA46/(Financials!Z31+Financials!AA31)/2</f>
        <v>1.770420783491829E-2</v>
      </c>
      <c r="AC35" s="53">
        <f>Financials!AB46/(Financials!AA31+Financials!AB31)/2</f>
        <v>3.0525757995019855E-2</v>
      </c>
      <c r="AD35" s="53">
        <f>Financials!AC46/(Financials!AB31+Financials!AC31)/2</f>
        <v>1.5547580674922344E-2</v>
      </c>
      <c r="AE35" s="53">
        <f>Financials!AD46/(Financials!AC31+Financials!AD31)/2</f>
        <v>5.0284798063421246E-2</v>
      </c>
      <c r="AF35" s="53">
        <f>Financials!AE46/(Financials!AD31+Financials!AE31)/2</f>
        <v>2.8219826271438819E-2</v>
      </c>
      <c r="AG35" s="53">
        <f>Financials!AF46/(Financials!AE31+Financials!AF31)/2</f>
        <v>6.169253398925998E-2</v>
      </c>
      <c r="AH35" s="53">
        <f>Financials!AG46/(Financials!AF31+Financials!AG31)/2</f>
        <v>0</v>
      </c>
      <c r="AI35" s="53">
        <f>Financials!AH46/(Financials!AG31+Financials!AH31)/2</f>
        <v>0</v>
      </c>
      <c r="AJ35" s="53">
        <f>Financials!AI46/(Financials!AH31+Financials!AI31)/2</f>
        <v>5.2583848227620092E-3</v>
      </c>
      <c r="AK35" s="53">
        <f>Financials!AJ46/(Financials!AI31+Financials!AJ31)/2</f>
        <v>8.0587764640437549E-3</v>
      </c>
      <c r="AL35" s="53">
        <f>Financials!AK46/(Financials!AJ31+Financials!AK31)/2</f>
        <v>1.1683755390939318E-2</v>
      </c>
      <c r="AM35" s="53">
        <f>Financials!AL46/(Financials!AK31+Financials!AL31)/2</f>
        <v>1.778463983503532E-2</v>
      </c>
      <c r="AN35" s="53">
        <f>Financials!AM46/(Financials!AL31+Financials!AM31)/2</f>
        <v>1.7638131540277227E-2</v>
      </c>
      <c r="AO35" s="53">
        <f>Financials!AN46/(Financials!AM31+Financials!AN31)/2</f>
        <v>2.4432294629021745E-2</v>
      </c>
      <c r="AP35" s="53">
        <f>Financials!AO46/(Financials!AN31+Financials!AO31)/2</f>
        <v>2.3998821308931138E-2</v>
      </c>
      <c r="AQ35" s="53">
        <f>Financials!AP46/(Financials!AO31+Financials!AP31)/2</f>
        <v>3.6919524988615476E-2</v>
      </c>
      <c r="AR35" s="53">
        <f>Financials!AQ46/(Financials!AP31+Financials!AQ31)/2</f>
        <v>5.0250031794776592E-2</v>
      </c>
      <c r="AS35" s="53">
        <f>Financials!AR46/(Financials!AQ31+Financials!AR31)/2</f>
        <v>5.2059879916153795E-2</v>
      </c>
      <c r="AT35" s="53">
        <f>Financials!AS46/(Financials!AR31+Financials!AS31)/2</f>
        <v>5.4175228314261907E-2</v>
      </c>
      <c r="AU35" s="53">
        <f>Financials!AT46/(Financials!AS31+Financials!AT31)/2</f>
        <v>2.9897955182696091E-4</v>
      </c>
      <c r="AV35" s="53">
        <f>Financials!AU46/(Financials!AT31+Financials!AU31)/2</f>
        <v>3.5596883742878492E-4</v>
      </c>
      <c r="AW35" s="53">
        <f>Financials!AV46/(Financials!AU31+Financials!AV31)/2</f>
        <v>3.1104866018642394E-3</v>
      </c>
      <c r="AX35" s="53">
        <f>Financials!AW46/(Financials!AV31+Financials!AW31)/2</f>
        <v>4.5084097193750687E-3</v>
      </c>
      <c r="AY35" s="53">
        <f>Financials!AX46/(Financials!AW31+Financials!AX31)/2</f>
        <v>6.2000048283067646E-3</v>
      </c>
      <c r="AZ35" s="53">
        <f>Financials!AY46/(Financials!AX31+Financials!AY31)/2</f>
        <v>7.9811279785743598E-3</v>
      </c>
      <c r="BA35" s="53">
        <f>Financials!AZ46/(Financials!AY31+Financials!AZ31)/2</f>
        <v>1.0102299072576955E-2</v>
      </c>
      <c r="BB35" s="53">
        <f>Financials!BA46/(Financials!AZ31+Financials!BA31)/2</f>
        <v>1.1820490516197752E-2</v>
      </c>
      <c r="BC35" s="53">
        <f>Financials!BB46/(Financials!BA31+Financials!BB31)/2</f>
        <v>1.5616184251211734E-2</v>
      </c>
      <c r="BD35" s="53">
        <f>Financials!BC46/(Financials!BB31+Financials!BC31)/2</f>
        <v>1.9706476903211589E-2</v>
      </c>
      <c r="BE35" s="53">
        <f>Financials!BD46/(Financials!BC31+Financials!BD31)/2</f>
        <v>2.2258729213984869E-2</v>
      </c>
      <c r="BF35" s="53">
        <f>Financials!BE46/(Financials!BD31+Financials!BE31)/2</f>
        <v>2.6711186042839886E-2</v>
      </c>
      <c r="BG35" s="53">
        <f>Financials!BF46/(Financials!BE31+Financials!BF31)/2</f>
        <v>0</v>
      </c>
      <c r="BH35" s="53">
        <f>Financials!BG46/(Financials!BF31+Financials!BG31)/2</f>
        <v>0</v>
      </c>
      <c r="BI35" s="53">
        <f>Financials!BH46/(Financials!BG31+Financials!BH31)/2</f>
        <v>0</v>
      </c>
      <c r="BJ35" s="53">
        <f>Financials!BI46/(Financials!BH31+Financials!BI31)/2</f>
        <v>4.9634210810522378E-3</v>
      </c>
      <c r="BK35" s="53">
        <f>Financials!BJ46/(Financials!BI31+Financials!BJ31)/2</f>
        <v>5.0812673451973373E-3</v>
      </c>
      <c r="BL35" s="53">
        <f>Financials!BK46/(Financials!BJ31+Financials!BK31)/2</f>
        <v>1.4897279013717658E-2</v>
      </c>
      <c r="BM35" s="53">
        <f>Financials!BL46/(Financials!BK31+Financials!BL31)/2</f>
        <v>1.6253354960937459E-2</v>
      </c>
      <c r="BN35" s="53">
        <f>Financials!BM46/(Financials!BL31+Financials!BM31)/2</f>
        <v>0</v>
      </c>
      <c r="BO35" s="53">
        <f>Financials!BN46/(Financials!BM31+Financials!BN31)/2</f>
        <v>4.1051741002281691E-2</v>
      </c>
      <c r="BP35" s="53">
        <f>Financials!BO46/(Financials!BN31+Financials!BO31)/2</f>
        <v>1.2236080447743967E-2</v>
      </c>
      <c r="BQ35" s="53">
        <f>Financials!BP46/(Financials!BO31+Financials!BP31)/2</f>
        <v>3.0532209388673046E-2</v>
      </c>
      <c r="BR35" s="53">
        <f>Financials!BQ46/(Financials!BP31+Financials!BQ31)/2</f>
        <v>4.4110050596797581E-2</v>
      </c>
      <c r="BS35" s="53">
        <f>Financials!BR46/(Financials!BQ31+Financials!BR31)/2</f>
        <v>2.7034770115045719E-2</v>
      </c>
      <c r="BT35" s="53">
        <f>Financials!BS46/(Financials!BR31+Financials!BS31)/2</f>
        <v>3.8824744483664526E-2</v>
      </c>
      <c r="BU35" s="53">
        <f>Financials!BT46/(Financials!BS31+Financials!BT31)/2</f>
        <v>6.0040253406476712E-4</v>
      </c>
      <c r="BV35" s="53">
        <f>Financials!BU46/(Financials!BT31+Financials!BU31)/2</f>
        <v>3.6233993532424507E-4</v>
      </c>
      <c r="BW35" s="53">
        <f>Financials!BV46/(Financials!BU31+Financials!BV31)/2</f>
        <v>8.2969011796180667E-4</v>
      </c>
      <c r="BX35" s="53">
        <f>Financials!BW46/(Financials!BV31+Financials!BW31)/2</f>
        <v>7.3988219274870757E-3</v>
      </c>
      <c r="BY35" s="53">
        <f>Financials!BX46/(Financials!BW31+Financials!BX31)/2</f>
        <v>7.4180686064845968E-3</v>
      </c>
      <c r="BZ35" s="53">
        <f>Financials!BY46/(Financials!BX31+Financials!BY31)/2</f>
        <v>1.1516277046620524E-2</v>
      </c>
      <c r="CA35" s="53">
        <f>Financials!BZ46/(Financials!BY31+Financials!BZ31)/2</f>
        <v>1.2097885615816947E-2</v>
      </c>
      <c r="CB35" s="53">
        <f>Financials!CA46/(Financials!BZ31+Financials!CA31)/2</f>
        <v>0</v>
      </c>
      <c r="CC35" s="53">
        <f>Financials!CB46/(Financials!CA31+Financials!CB31)/2</f>
        <v>0</v>
      </c>
      <c r="CD35" s="53">
        <f>Financials!CC46/(Financials!CB31+Financials!CC31)/2</f>
        <v>0</v>
      </c>
      <c r="CE35" s="53">
        <f>Financials!CD46/(Financials!CC31+Financials!CD31)/2</f>
        <v>0</v>
      </c>
      <c r="CF35" s="53" t="e">
        <f>Financials!CE46/(Financials!CD31+Financials!CE31)/2</f>
        <v>#DIV/0!</v>
      </c>
      <c r="CG35" s="53">
        <f>Financials!CF46/(Financials!CE31+Financials!CF31)/2</f>
        <v>5.6580497238872346E-2</v>
      </c>
      <c r="CH35" s="53">
        <f>Financials!CG46/(Financials!CF31+Financials!CG31)/2</f>
        <v>0</v>
      </c>
      <c r="CI35" s="53">
        <f>Financials!CH46/(Financials!CG31+Financials!CH31)/2</f>
        <v>9.9224954103888639E-4</v>
      </c>
      <c r="CJ35" s="53">
        <f>Financials!CI46/(Financials!CH31+Financials!CI31)/2</f>
        <v>3.9867673255254968E-3</v>
      </c>
      <c r="CK35" s="53">
        <f>Financials!CJ46/(Financials!CI31+Financials!CJ31)/2</f>
        <v>3.9635264435653756E-3</v>
      </c>
      <c r="CL35" s="53">
        <f>Financials!CK46/(Financials!CJ31+Financials!CK31)/2</f>
        <v>5.9029693330154911E-3</v>
      </c>
      <c r="CM35" s="53">
        <f>Financials!CL46/(Financials!CK31+Financials!CL31)/2</f>
        <v>8.7899864561956833E-3</v>
      </c>
      <c r="CN35" s="53">
        <f>Financials!CM46/(Financials!CL31+Financials!CM31)/2</f>
        <v>9.2627062473799055E-3</v>
      </c>
      <c r="CO35" s="53">
        <f>Financials!CN46/(Financials!CM31+Financials!CN31)/2</f>
        <v>1.1106749109145752E-2</v>
      </c>
      <c r="CP35" s="53">
        <f>Financials!CO46/(Financials!CN31+Financials!CO31)/2</f>
        <v>1.0435342124568241E-2</v>
      </c>
      <c r="CQ35" s="53">
        <f>Financials!CP46/(Financials!CO31+Financials!CP31)/2</f>
        <v>9.9740338179918411E-3</v>
      </c>
      <c r="CR35" s="53">
        <f>Financials!CQ46/(Financials!CP31+Financials!CQ31)/2</f>
        <v>1.4796330117117198E-2</v>
      </c>
      <c r="CS35" s="53">
        <f>Financials!CR46/(Financials!CQ31+Financials!CR31)/2</f>
        <v>1.5643802365473764E-2</v>
      </c>
      <c r="CT35" s="53">
        <f>Financials!CS46/(Financials!CR31+Financials!CS31)/2</f>
        <v>5.5823270395290048E-3</v>
      </c>
      <c r="CU35" s="53">
        <f>Financials!CT46/(Financials!CS31+Financials!CT31)/2</f>
        <v>0</v>
      </c>
    </row>
    <row r="36" spans="1:99" x14ac:dyDescent="0.3">
      <c r="A36" s="59"/>
      <c r="B36" s="55" t="s">
        <v>59</v>
      </c>
      <c r="C36" s="54"/>
      <c r="D36" s="53"/>
      <c r="E36" s="53">
        <f>Financials!D47/(Financials!C4+Financials!D4)/2</f>
        <v>3.7092412746801452E-2</v>
      </c>
      <c r="F36" s="53">
        <f>Financials!E47/(Financials!D4+Financials!E4)/2</f>
        <v>3.1929875550559456E-2</v>
      </c>
      <c r="G36" s="53">
        <f>Financials!F47/(Financials!E4+Financials!F4)/2</f>
        <v>2.296228572087403E-3</v>
      </c>
      <c r="H36" s="53">
        <f>Financials!G47/(Financials!F4+Financials!G4)/2</f>
        <v>2.2209370285456967E-3</v>
      </c>
      <c r="I36" s="53">
        <f>Financials!H47/(Financials!G4+Financials!H4)/2</f>
        <v>4.7383061018635752E-3</v>
      </c>
      <c r="J36" s="53">
        <f>Financials!I47/(Financials!H4+Financials!I4)/2</f>
        <v>7.1928687586637679E-3</v>
      </c>
      <c r="K36" s="53">
        <f>Financials!J47/(Financials!I4+Financials!J4)/2</f>
        <v>1.3094087984925873E-2</v>
      </c>
      <c r="L36" s="53">
        <f>Financials!K47/(Financials!J4+Financials!K4)/2</f>
        <v>8.1113195133962132E-3</v>
      </c>
      <c r="M36" s="53">
        <f>Financials!L47/(Financials!K4+Financials!L4)/2</f>
        <v>1.5047887110639325E-2</v>
      </c>
      <c r="N36" s="53">
        <f>Financials!M47/(Financials!L4+Financials!M4)/2</f>
        <v>1.8170223731302247E-2</v>
      </c>
      <c r="O36" s="53">
        <f>Financials!N47/(Financials!M4+Financials!N4)/2</f>
        <v>6.1903019935339414E-2</v>
      </c>
      <c r="P36" s="53">
        <f>Financials!O47/(Financials!N4+Financials!O4)/2</f>
        <v>2.3846901040091545E-2</v>
      </c>
      <c r="Q36" s="53">
        <f>Financials!P47/(Financials!O4+Financials!P4)/2</f>
        <v>2.6504491604403411E-2</v>
      </c>
      <c r="R36" s="53">
        <f>Financials!Q47/(Financials!P4+Financials!Q4)/2</f>
        <v>4.2101012578951047E-2</v>
      </c>
      <c r="S36" s="53">
        <f>Financials!R47/(Financials!Q4+Financials!R4)/2</f>
        <v>2.8349128044602583E-2</v>
      </c>
      <c r="T36" s="53">
        <f>Financials!S47/(Financials!R4+Financials!S4)/2</f>
        <v>4.4439640954454671E-2</v>
      </c>
      <c r="U36" s="53">
        <f>Financials!T47/(Financials!S4+Financials!T4)/2</f>
        <v>3.8806745530530012E-3</v>
      </c>
      <c r="V36" s="53">
        <f>Financials!U47/(Financials!T4+Financials!U4)/2</f>
        <v>3.8842778269865329E-3</v>
      </c>
      <c r="W36" s="53">
        <f>Financials!V47/(Financials!U4+Financials!V4)/2</f>
        <v>1.8165582052907109E-2</v>
      </c>
      <c r="X36" s="53">
        <f>Financials!W47/(Financials!V4+Financials!W4)/2</f>
        <v>1.296896329209191E-2</v>
      </c>
      <c r="Y36" s="53">
        <f>Financials!X47/(Financials!W4+Financials!X4)/2</f>
        <v>1.7069044634066194E-2</v>
      </c>
      <c r="Z36" s="53">
        <f>Financials!Y47/(Financials!X4+Financials!Y4)/2</f>
        <v>3.1883200016191215E-2</v>
      </c>
      <c r="AA36" s="53">
        <f>Financials!Z47/(Financials!Y4+Financials!Z4)/2</f>
        <v>5.475218291088467E-2</v>
      </c>
      <c r="AB36" s="53">
        <f>Financials!AA47/(Financials!Z4+Financials!AA4)/2</f>
        <v>3.234734675934535E-2</v>
      </c>
      <c r="AC36" s="53">
        <f>Financials!AB47/(Financials!AA4+Financials!AB4)/2</f>
        <v>6.1841684107171939E-2</v>
      </c>
      <c r="AD36" s="53">
        <f>Financials!AC47/(Financials!AB4+Financials!AC4)/2</f>
        <v>2.0398915582683107E-2</v>
      </c>
      <c r="AE36" s="53">
        <f>Financials!AD47/(Financials!AC4+Financials!AD4)/2</f>
        <v>4.2035872392449367E-2</v>
      </c>
      <c r="AF36" s="53">
        <f>Financials!AE47/(Financials!AD4+Financials!AE4)/2</f>
        <v>2.1962549518230481E-2</v>
      </c>
      <c r="AG36" s="53">
        <f>Financials!AF47/(Financials!AE4+Financials!AF4)/2</f>
        <v>4.8156034247625941E-2</v>
      </c>
      <c r="AH36" s="53">
        <f>Financials!AG47/(Financials!AF4+Financials!AG4)/2</f>
        <v>3.4326537183182277E-3</v>
      </c>
      <c r="AI36" s="53">
        <f>Financials!AH47/(Financials!AG4+Financials!AH4)/2</f>
        <v>6.6377353506522959E-3</v>
      </c>
      <c r="AJ36" s="53">
        <f>Financials!AI47/(Financials!AH4+Financials!AI4)/2</f>
        <v>9.8567420882309225E-3</v>
      </c>
      <c r="AK36" s="53">
        <f>Financials!AJ47/(Financials!AI4+Financials!AJ4)/2</f>
        <v>1.5083699569063356E-2</v>
      </c>
      <c r="AL36" s="53">
        <f>Financials!AK47/(Financials!AJ4+Financials!AK4)/2</f>
        <v>1.8135436788673388E-2</v>
      </c>
      <c r="AM36" s="53">
        <f>Financials!AL47/(Financials!AK4+Financials!AL4)/2</f>
        <v>2.3159643539106652E-2</v>
      </c>
      <c r="AN36" s="53">
        <f>Financials!AM47/(Financials!AL4+Financials!AM4)/2</f>
        <v>2.28283111996841E-2</v>
      </c>
      <c r="AO36" s="53">
        <f>Financials!AN47/(Financials!AM4+Financials!AN4)/2</f>
        <v>3.4088507892673932E-2</v>
      </c>
      <c r="AP36" s="53">
        <f>Financials!AO47/(Financials!AN4+Financials!AO4)/2</f>
        <v>3.8001338458399467E-2</v>
      </c>
      <c r="AQ36" s="53">
        <f>Financials!AP47/(Financials!AO4+Financials!AP4)/2</f>
        <v>3.1897107695448006E-2</v>
      </c>
      <c r="AR36" s="53">
        <f>Financials!AQ47/(Financials!AP4+Financials!AQ4)/2</f>
        <v>3.4821146680809961E-2</v>
      </c>
      <c r="AS36" s="53">
        <f>Financials!AR47/(Financials!AQ4+Financials!AR4)/2</f>
        <v>4.9061934412496254E-2</v>
      </c>
      <c r="AT36" s="53">
        <f>Financials!AS47/(Financials!AR4+Financials!AS4)/2</f>
        <v>4.3021709848105223E-2</v>
      </c>
      <c r="AU36" s="53">
        <f>Financials!AT47/(Financials!AS4+Financials!AT4)/2</f>
        <v>4.06597257435429E-3</v>
      </c>
      <c r="AV36" s="53">
        <f>Financials!AU47/(Financials!AT4+Financials!AU4)/2</f>
        <v>8.0166788675996303E-3</v>
      </c>
      <c r="AW36" s="53">
        <f>Financials!AV47/(Financials!AU4+Financials!AV4)/2</f>
        <v>1.311514278728932E-2</v>
      </c>
      <c r="AX36" s="53">
        <f>Financials!AW47/(Financials!AV4+Financials!AW4)/2</f>
        <v>1.5848779190452363E-2</v>
      </c>
      <c r="AY36" s="53">
        <f>Financials!AX47/(Financials!AW4+Financials!AX4)/2</f>
        <v>2.0183772996324567E-2</v>
      </c>
      <c r="AZ36" s="53">
        <f>Financials!AY47/(Financials!AX4+Financials!AY4)/2</f>
        <v>2.3706279080473895E-2</v>
      </c>
      <c r="BA36" s="53">
        <f>Financials!AZ47/(Financials!AY4+Financials!AZ4)/2</f>
        <v>2.7344604313646138E-2</v>
      </c>
      <c r="BB36" s="53">
        <f>Financials!BA47/(Financials!AZ4+Financials!BA4)/2</f>
        <v>2.6328543226021194E-2</v>
      </c>
      <c r="BC36" s="53">
        <f>Financials!BB47/(Financials!BA4+Financials!BB4)/2</f>
        <v>2.5995261341131171E-2</v>
      </c>
      <c r="BD36" s="53">
        <f>Financials!BC47/(Financials!BB4+Financials!BC4)/2</f>
        <v>3.0235472012543885E-2</v>
      </c>
      <c r="BE36" s="53">
        <f>Financials!BD47/(Financials!BC4+Financials!BD4)/2</f>
        <v>3.3199878165195131E-2</v>
      </c>
      <c r="BF36" s="53">
        <f>Financials!BE47/(Financials!BD4+Financials!BE4)/2</f>
        <v>3.8212887972435043E-2</v>
      </c>
      <c r="BG36" s="53">
        <f>Financials!BF47/(Financials!BE4+Financials!BF4)/2</f>
        <v>0</v>
      </c>
      <c r="BH36" s="53">
        <f>Financials!BG47/(Financials!BF4+Financials!BG4)/2</f>
        <v>4.3491215670854169E-3</v>
      </c>
      <c r="BI36" s="53">
        <f>Financials!BH47/(Financials!BG4+Financials!BH4)/2</f>
        <v>4.9354223325292178E-3</v>
      </c>
      <c r="BJ36" s="53">
        <f>Financials!BI47/(Financials!BH4+Financials!BI4)/2</f>
        <v>7.5253583345460499E-3</v>
      </c>
      <c r="BK36" s="53">
        <f>Financials!BJ47/(Financials!BI4+Financials!BJ4)/2</f>
        <v>9.5985982363009873E-3</v>
      </c>
      <c r="BL36" s="53">
        <f>Financials!BK47/(Financials!BJ4+Financials!BK4)/2</f>
        <v>1.3109738812988065E-2</v>
      </c>
      <c r="BM36" s="53">
        <f>Financials!BL47/(Financials!BK4+Financials!BL4)/2</f>
        <v>1.5351945785888763E-2</v>
      </c>
      <c r="BN36" s="53">
        <f>Financials!BM47/(Financials!BL4+Financials!BM4)/2</f>
        <v>0</v>
      </c>
      <c r="BO36" s="53">
        <f>Financials!BN47/(Financials!BM4+Financials!BN4)/2</f>
        <v>4.1928632397852945E-2</v>
      </c>
      <c r="BP36" s="53">
        <f>Financials!BO47/(Financials!BN4+Financials!BO4)/2</f>
        <v>1.2152630210383712E-2</v>
      </c>
      <c r="BQ36" s="53">
        <f>Financials!BP47/(Financials!BO4+Financials!BP4)/2</f>
        <v>2.5016700993560671E-2</v>
      </c>
      <c r="BR36" s="53">
        <f>Financials!BQ47/(Financials!BP4+Financials!BQ4)/2</f>
        <v>4.2323626267990209E-2</v>
      </c>
      <c r="BS36" s="53">
        <f>Financials!BR47/(Financials!BQ4+Financials!BR4)/2</f>
        <v>2.4178925860416541E-2</v>
      </c>
      <c r="BT36" s="53">
        <f>Financials!BS47/(Financials!BR4+Financials!BS4)/2</f>
        <v>3.843048721341568E-2</v>
      </c>
      <c r="BU36" s="53">
        <f>Financials!BT47/(Financials!BS4+Financials!BT4)/2</f>
        <v>2.161726337476274E-3</v>
      </c>
      <c r="BV36" s="53">
        <f>Financials!BU47/(Financials!BT4+Financials!BU4)/2</f>
        <v>6.1328763698206695E-3</v>
      </c>
      <c r="BW36" s="53">
        <f>Financials!BV47/(Financials!BU4+Financials!BV4)/2</f>
        <v>7.6422213069469377E-3</v>
      </c>
      <c r="BX36" s="53">
        <f>Financials!BW47/(Financials!BV4+Financials!BW4)/2</f>
        <v>1.5671427800393309E-2</v>
      </c>
      <c r="BY36" s="53">
        <f>Financials!BX47/(Financials!BW4+Financials!BX4)/2</f>
        <v>1.7777573295096428E-2</v>
      </c>
      <c r="BZ36" s="53">
        <f>Financials!BY47/(Financials!BX4+Financials!BY4)/2</f>
        <v>2.1027514952234833E-2</v>
      </c>
      <c r="CA36" s="53">
        <f>Financials!BZ47/(Financials!BY4+Financials!BZ4)/2</f>
        <v>2.4517633822929527E-2</v>
      </c>
      <c r="CB36" s="53">
        <f>Financials!CA47/(Financials!BZ4+Financials!CA4)/2</f>
        <v>0</v>
      </c>
      <c r="CC36" s="53">
        <f>Financials!CB47/(Financials!CA4+Financials!CB4)/2</f>
        <v>0</v>
      </c>
      <c r="CD36" s="53">
        <f>Financials!CC47/(Financials!CB4+Financials!CC4)/2</f>
        <v>0</v>
      </c>
      <c r="CE36" s="53">
        <f>Financials!CD47/(Financials!CC4+Financials!CD4)/2</f>
        <v>0</v>
      </c>
      <c r="CF36" s="53" t="e">
        <f>Financials!CE47/(Financials!CD4+Financials!CE4)/2</f>
        <v>#DIV/0!</v>
      </c>
      <c r="CG36" s="53">
        <f>Financials!CF47/(Financials!CE4+Financials!CF4)/2</f>
        <v>7.7626566689477566E-2</v>
      </c>
      <c r="CH36" s="53">
        <f>Financials!CG47/(Financials!CF4+Financials!CG4)/2</f>
        <v>2.2922510937488719E-3</v>
      </c>
      <c r="CI36" s="53">
        <f>Financials!CH47/(Financials!CG4+Financials!CH4)/2</f>
        <v>5.9931400535707651E-3</v>
      </c>
      <c r="CJ36" s="53">
        <f>Financials!CI47/(Financials!CH4+Financials!CI4)/2</f>
        <v>1.0324197298987019E-2</v>
      </c>
      <c r="CK36" s="53">
        <f>Financials!CJ47/(Financials!CI4+Financials!CJ4)/2</f>
        <v>1.2663937957449996E-2</v>
      </c>
      <c r="CL36" s="53">
        <f>Financials!CK47/(Financials!CJ4+Financials!CK4)/2</f>
        <v>1.6241057399291312E-2</v>
      </c>
      <c r="CM36" s="53">
        <f>Financials!CL47/(Financials!CK4+Financials!CL4)/2</f>
        <v>2.3486654862207083E-2</v>
      </c>
      <c r="CN36" s="53">
        <f>Financials!CM47/(Financials!CL4+Financials!CM4)/2</f>
        <v>2.1459489396657209E-2</v>
      </c>
      <c r="CO36" s="53">
        <f>Financials!CN47/(Financials!CM4+Financials!CN4)/2</f>
        <v>2.2415694272378706E-2</v>
      </c>
      <c r="CP36" s="53">
        <f>Financials!CO47/(Financials!CN4+Financials!CO4)/2</f>
        <v>2.588820684968051E-2</v>
      </c>
      <c r="CQ36" s="53">
        <f>Financials!CP47/(Financials!CO4+Financials!CP4)/2</f>
        <v>2.9802667359486352E-2</v>
      </c>
      <c r="CR36" s="53">
        <f>Financials!CQ47/(Financials!CP4+Financials!CQ4)/2</f>
        <v>3.4557111928840076E-2</v>
      </c>
      <c r="CS36" s="53">
        <f>Financials!CR47/(Financials!CQ4+Financials!CR4)/2</f>
        <v>3.8532989551072538E-2</v>
      </c>
      <c r="CT36" s="53">
        <f>Financials!CS47/(Financials!CR4+Financials!CS4)/2</f>
        <v>3.9267013960101432E-2</v>
      </c>
      <c r="CU36" s="53">
        <f>Financials!CT47/(Financials!CS4+Financials!CT4)/2</f>
        <v>2.6913156900170753E-3</v>
      </c>
    </row>
    <row r="37" spans="1:99" x14ac:dyDescent="0.3">
      <c r="A37" s="59"/>
      <c r="B37" s="55" t="s">
        <v>60</v>
      </c>
      <c r="D37" s="53"/>
      <c r="E37" s="53">
        <f>Financials!D47/Financials!D37</f>
        <v>0.61860434037438539</v>
      </c>
      <c r="F37" s="53">
        <f>Financials!E47/Financials!E37</f>
        <v>0.61906487560998558</v>
      </c>
      <c r="G37" s="53">
        <f>Financials!F47/Financials!F37</f>
        <v>0.63921756813153019</v>
      </c>
      <c r="H37" s="53">
        <f>Financials!G47/Financials!G37</f>
        <v>0.56505341866144843</v>
      </c>
      <c r="I37" s="53">
        <f>Financials!H47/Financials!H37</f>
        <v>0.72876860736976778</v>
      </c>
      <c r="J37" s="53">
        <f>Financials!I47/Financials!I37</f>
        <v>0.78993505042089251</v>
      </c>
      <c r="K37" s="53">
        <f>Financials!J47/Financials!J37</f>
        <v>0.83225297572006096</v>
      </c>
      <c r="L37" s="53">
        <f>Financials!K47/Financials!K37</f>
        <v>0.81851631314740392</v>
      </c>
      <c r="M37" s="53">
        <f>Financials!L47/Financials!L37</f>
        <v>0.81392064273307574</v>
      </c>
      <c r="N37" s="53">
        <f>Financials!M47/Financials!M37</f>
        <v>0.58779422131578252</v>
      </c>
      <c r="O37" s="53">
        <f>Financials!N47/Financials!N37</f>
        <v>0.61204611232346429</v>
      </c>
      <c r="P37" s="53">
        <f>Financials!O47/Financials!O37</f>
        <v>0.64414429568057319</v>
      </c>
      <c r="Q37" s="53">
        <f>Financials!P47/Financials!P37</f>
        <v>0.62818588984847112</v>
      </c>
      <c r="R37" s="53">
        <f>Financials!Q47/Financials!Q37</f>
        <v>0.63078111148356852</v>
      </c>
      <c r="S37" s="53">
        <f>Financials!R47/Financials!R37</f>
        <v>0.62079828979226492</v>
      </c>
      <c r="T37" s="53">
        <f>Financials!S47/Financials!S37</f>
        <v>0.6191640797715795</v>
      </c>
      <c r="U37" s="53">
        <f>Financials!T47/Financials!T37</f>
        <v>0.57695668943661771</v>
      </c>
      <c r="V37" s="53">
        <f>Financials!U47/Financials!U37</f>
        <v>0.71346142733637152</v>
      </c>
      <c r="W37" s="53">
        <f>Financials!V47/Financials!V37</f>
        <v>0.81711648211694188</v>
      </c>
      <c r="X37" s="53">
        <f>Financials!W47/Financials!W37</f>
        <v>0.86146401871531142</v>
      </c>
      <c r="Y37" s="53">
        <f>Financials!X47/Financials!X37</f>
        <v>0.8977802780317804</v>
      </c>
      <c r="Z37" s="53">
        <f>Financials!Y47/Financials!Y37</f>
        <v>0.86044717113852542</v>
      </c>
      <c r="AA37" s="53">
        <f>Financials!Z47/Financials!Z37</f>
        <v>0.88311554543289461</v>
      </c>
      <c r="AB37" s="53">
        <f>Financials!AA47/Financials!AA37</f>
        <v>0.9060575760305184</v>
      </c>
      <c r="AC37" s="53">
        <f>Financials!AB47/Financials!AB37</f>
        <v>0.91031218111430356</v>
      </c>
      <c r="AD37" s="53">
        <f>Financials!AC47/Financials!AC37</f>
        <v>0.71560296265826862</v>
      </c>
      <c r="AE37" s="53">
        <f>Financials!AD47/Financials!AD37</f>
        <v>0.7374112589918328</v>
      </c>
      <c r="AF37" s="53">
        <f>Financials!AE47/Financials!AE37</f>
        <v>0.63410796061200392</v>
      </c>
      <c r="AG37" s="53">
        <f>Financials!AF47/Financials!AF37</f>
        <v>0.61462970237479908</v>
      </c>
      <c r="AH37" s="53">
        <f>Financials!AG47/Financials!AG37</f>
        <v>0.49712781826317581</v>
      </c>
      <c r="AI37" s="53">
        <f>Financials!AH47/Financials!AH37</f>
        <v>0.68619252847895851</v>
      </c>
      <c r="AJ37" s="53">
        <f>Financials!AI47/Financials!AI37</f>
        <v>0.75959965906004578</v>
      </c>
      <c r="AK37" s="53">
        <f>Financials!AJ47/Financials!AJ37</f>
        <v>0.96742182865672355</v>
      </c>
      <c r="AL37" s="53">
        <f>Financials!AK47/Financials!AK37</f>
        <v>0.91838832368721446</v>
      </c>
      <c r="AM37" s="53">
        <f>Financials!AL47/Financials!AL37</f>
        <v>0.5796405708254615</v>
      </c>
      <c r="AN37" s="53">
        <f>Financials!AM47/Financials!AM37</f>
        <v>0.5796405708254615</v>
      </c>
      <c r="AO37" s="53">
        <f>Financials!AN47/Financials!AN37</f>
        <v>0.70656561226497427</v>
      </c>
      <c r="AP37" s="53">
        <f>Financials!AO47/Financials!AO37</f>
        <v>0.72344785449784133</v>
      </c>
      <c r="AQ37" s="53">
        <f>Financials!AP47/Financials!AP37</f>
        <v>0.58799221185024786</v>
      </c>
      <c r="AR37" s="53">
        <f>Financials!AQ47/Financials!AQ37</f>
        <v>0.60611093110776859</v>
      </c>
      <c r="AS37" s="53">
        <f>Financials!AR47/Financials!AR37</f>
        <v>0.6311318771685539</v>
      </c>
      <c r="AT37" s="53">
        <f>Financials!AS47/Financials!AS37</f>
        <v>0.59612035522565365</v>
      </c>
      <c r="AU37" s="53">
        <f>Financials!AT47/Financials!AT37</f>
        <v>0.67536426684590956</v>
      </c>
      <c r="AV37" s="53">
        <f>Financials!AU47/Financials!AU37</f>
        <v>0.74797209375201679</v>
      </c>
      <c r="AW37" s="53">
        <f>Financials!AV47/Financials!AV37</f>
        <v>0.94925201821805405</v>
      </c>
      <c r="AX37" s="53">
        <f>Financials!AW47/Financials!AW37</f>
        <v>0.93352542941496108</v>
      </c>
      <c r="AY37" s="53">
        <f>Financials!AX47/Financials!AX37</f>
        <v>0.92939274590231369</v>
      </c>
      <c r="AZ37" s="53">
        <f>Financials!AY47/Financials!AY37</f>
        <v>0.58235500422402953</v>
      </c>
      <c r="BA37" s="53">
        <f>Financials!AZ47/Financials!AZ37</f>
        <v>0.59858686979348907</v>
      </c>
      <c r="BB37" s="53">
        <f>Financials!BA47/Financials!BA37</f>
        <v>0.62297267533698253</v>
      </c>
      <c r="BC37" s="53">
        <f>Financials!BB47/Financials!BB37</f>
        <v>0.65730633970448205</v>
      </c>
      <c r="BD37" s="53">
        <f>Financials!BC47/Financials!BC37</f>
        <v>0.62164790970508987</v>
      </c>
      <c r="BE37" s="53">
        <f>Financials!BD47/Financials!BD37</f>
        <v>0.64448233957361423</v>
      </c>
      <c r="BF37" s="53">
        <f>Financials!BE47/Financials!BE37</f>
        <v>0.68237287911437294</v>
      </c>
      <c r="BG37" s="53" t="e">
        <f>Financials!BF47/Financials!BF37</f>
        <v>#DIV/0!</v>
      </c>
      <c r="BH37" s="53">
        <f>Financials!BG47/Financials!BG37</f>
        <v>0.60568949340867639</v>
      </c>
      <c r="BI37" s="53">
        <f>Financials!BH47/Financials!BH37</f>
        <v>0.81727763611819404</v>
      </c>
      <c r="BJ37" s="53">
        <f>Financials!BI47/Financials!BI37</f>
        <v>0.97955468308832561</v>
      </c>
      <c r="BK37" s="53">
        <f>Financials!BJ47/Financials!BJ37</f>
        <v>0.94247581119706048</v>
      </c>
      <c r="BL37" s="53">
        <f>Financials!BK47/Financials!BK37</f>
        <v>0.60190257924932489</v>
      </c>
      <c r="BM37" s="53">
        <f>Financials!BL47/Financials!BL37</f>
        <v>0.63315091854257299</v>
      </c>
      <c r="BN37" s="53" t="e">
        <f>Financials!BM47/Financials!BM37</f>
        <v>#DIV/0!</v>
      </c>
      <c r="BO37" s="53">
        <f>Financials!BN47/Financials!BN37</f>
        <v>0.67357515005376722</v>
      </c>
      <c r="BP37" s="53">
        <f>Financials!BO47/Financials!BO37</f>
        <v>0.72787090930035081</v>
      </c>
      <c r="BQ37" s="53">
        <f>Financials!BP47/Financials!BP37</f>
        <v>0.61760155524091942</v>
      </c>
      <c r="BR37" s="53">
        <f>Financials!BQ47/Financials!BQ37</f>
        <v>0.67375591842629545</v>
      </c>
      <c r="BS37" s="53">
        <f>Financials!BR47/Financials!BR37</f>
        <v>0.66730579921592281</v>
      </c>
      <c r="BT37" s="53">
        <f>Financials!BS47/Financials!BS37</f>
        <v>0.69417782218872626</v>
      </c>
      <c r="BU37" s="53">
        <f>Financials!BT47/Financials!BT37</f>
        <v>0.50564300652481031</v>
      </c>
      <c r="BV37" s="53">
        <f>Financials!BU47/Financials!BU37</f>
        <v>0.98793280623216928</v>
      </c>
      <c r="BW37" s="53">
        <f>Financials!BV47/Financials!BV37</f>
        <v>0.90577153119502796</v>
      </c>
      <c r="BX37" s="53">
        <f>Financials!BW47/Financials!BW37</f>
        <v>0.75795192390618327</v>
      </c>
      <c r="BY37" s="53">
        <f>Financials!BX47/Financials!BX37</f>
        <v>0.77953282666945467</v>
      </c>
      <c r="BZ37" s="53">
        <f>Financials!BY47/Financials!BY37</f>
        <v>0.74921333176374894</v>
      </c>
      <c r="CA37" s="53">
        <f>Financials!BZ47/Financials!BZ37</f>
        <v>0.75980008911614438</v>
      </c>
      <c r="CB37" s="53" t="e">
        <f>Financials!CA47/Financials!CA37</f>
        <v>#DIV/0!</v>
      </c>
      <c r="CC37" s="53" t="e">
        <f>Financials!CB47/Financials!CB37</f>
        <v>#DIV/0!</v>
      </c>
      <c r="CD37" s="53" t="e">
        <f>Financials!CC47/Financials!CC37</f>
        <v>#DIV/0!</v>
      </c>
      <c r="CE37" s="53" t="e">
        <f>Financials!CD47/Financials!CD37</f>
        <v>#DIV/0!</v>
      </c>
      <c r="CF37" s="53" t="e">
        <f>Financials!CE47/Financials!CE37</f>
        <v>#DIV/0!</v>
      </c>
      <c r="CG37" s="53">
        <f>Financials!CF47/Financials!CF37</f>
        <v>0.67639773637471401</v>
      </c>
      <c r="CH37" s="53">
        <f>Financials!CG47/Financials!CG37</f>
        <v>0.77859110440259716</v>
      </c>
      <c r="CI37" s="53">
        <f>Financials!CH47/Financials!CH37</f>
        <v>0.90888732589337395</v>
      </c>
      <c r="CJ37" s="53">
        <f>Financials!CI47/Financials!CI37</f>
        <v>0.99013887957043156</v>
      </c>
      <c r="CK37" s="53">
        <f>Financials!CJ47/Financials!CJ37</f>
        <v>0.83119032808876614</v>
      </c>
      <c r="CL37" s="53">
        <f>Financials!CK47/Financials!CK37</f>
        <v>0.81502464084987569</v>
      </c>
      <c r="CM37" s="53">
        <f>Financials!CL47/Financials!CL37</f>
        <v>0.65416541706583597</v>
      </c>
      <c r="CN37" s="53">
        <f>Financials!CM47/Financials!CM37</f>
        <v>0.55962082791898526</v>
      </c>
      <c r="CO37" s="53">
        <f>Financials!CN47/Financials!CN37</f>
        <v>0.58469558281453848</v>
      </c>
      <c r="CP37" s="53">
        <f>Financials!CO47/Financials!CO37</f>
        <v>0.58846263560710066</v>
      </c>
      <c r="CQ37" s="53">
        <f>Financials!CP47/Financials!CP37</f>
        <v>0.60989725507778392</v>
      </c>
      <c r="CR37" s="53">
        <f>Financials!CQ47/Financials!CQ37</f>
        <v>0.64919297801516829</v>
      </c>
      <c r="CS37" s="53">
        <f>Financials!CR47/Financials!CR37</f>
        <v>0.65212724259272747</v>
      </c>
      <c r="CT37" s="53">
        <f>Financials!CS47/Financials!CS37</f>
        <v>0.660094260262162</v>
      </c>
      <c r="CU37" s="53">
        <f>Financials!CT47/Financials!CT37</f>
        <v>0.53952510545608523</v>
      </c>
    </row>
    <row r="38" spans="1:99" x14ac:dyDescent="0.3">
      <c r="A38" s="59"/>
      <c r="B38" s="55" t="s">
        <v>61</v>
      </c>
      <c r="C38" s="54"/>
      <c r="D38" s="53"/>
      <c r="E38" s="53">
        <f>Financials!D38/('Evolutive SFP'!C13+'Evolutive SFP'!B13)/2</f>
        <v>6.5646937624203039E-2</v>
      </c>
      <c r="F38" s="53">
        <f>Financials!E38/('Evolutive SFP'!D13+'Evolutive SFP'!C13)/2</f>
        <v>7.8592090431490264E-2</v>
      </c>
      <c r="G38" s="53">
        <f>Financials!F38/('Evolutive SFP'!E13+'Evolutive SFP'!D13)/2</f>
        <v>4.495345891538001E-3</v>
      </c>
      <c r="H38" s="53">
        <f>Financials!G38/('Evolutive SFP'!F13+'Evolutive SFP'!E13)/2</f>
        <v>3.9594886240494741E-3</v>
      </c>
      <c r="I38" s="53">
        <f>Financials!H38/('Evolutive SFP'!G13+'Evolutive SFP'!F13)/2</f>
        <v>6.9904327816791637E-3</v>
      </c>
      <c r="J38" s="53">
        <f>Financials!I38/('Evolutive SFP'!H13+'Evolutive SFP'!G13)/2</f>
        <v>1.00162095621865E-2</v>
      </c>
      <c r="K38" s="53">
        <f>Financials!J38/('Evolutive SFP'!I13+'Evolutive SFP'!H13)/2</f>
        <v>1.7676619907847347E-2</v>
      </c>
      <c r="L38" s="53">
        <f>Financials!K38/('Evolutive SFP'!J13+'Evolutive SFP'!I13)/2</f>
        <v>1.1171998149180754E-2</v>
      </c>
      <c r="M38" s="53">
        <f>Financials!L38/('Evolutive SFP'!K13+'Evolutive SFP'!J13)/2</f>
        <v>2.1835600690776967E-2</v>
      </c>
      <c r="N38" s="53">
        <f>Financials!M38/('Evolutive SFP'!L13+'Evolutive SFP'!K13)/2</f>
        <v>2.5877837630382174E-2</v>
      </c>
      <c r="O38" s="53">
        <f>Financials!N38/('Evolutive SFP'!M13+'Evolutive SFP'!L13)/2</f>
        <v>8.8640915713512139E-2</v>
      </c>
      <c r="P38" s="53">
        <f>Financials!O38/('Evolutive SFP'!N13+'Evolutive SFP'!M13)/2</f>
        <v>3.2873338095917283E-2</v>
      </c>
      <c r="Q38" s="53">
        <f>Financials!P38/('Evolutive SFP'!O13+'Evolutive SFP'!N13)/2</f>
        <v>6.3927934147146342E-2</v>
      </c>
      <c r="R38" s="53">
        <f>Financials!Q38/('Evolutive SFP'!P13+'Evolutive SFP'!O13)/2</f>
        <v>0.13176507859146791</v>
      </c>
      <c r="S38" s="53">
        <f>Financials!R38/('Evolutive SFP'!Q13+'Evolutive SFP'!P13)/2</f>
        <v>9.0710475922539766E-2</v>
      </c>
      <c r="T38" s="53">
        <f>Financials!S38/('Evolutive SFP'!R13+'Evolutive SFP'!Q13)/2</f>
        <v>0.18978604357758047</v>
      </c>
      <c r="U38" s="53">
        <f>Financials!T38/('Evolutive SFP'!S13+'Evolutive SFP'!R13)/2</f>
        <v>6.7714620408368537E-3</v>
      </c>
      <c r="V38" s="53">
        <f>Financials!U38/('Evolutive SFP'!T13+'Evolutive SFP'!S13)/2</f>
        <v>5.760536202684843E-3</v>
      </c>
      <c r="W38" s="53">
        <f>Financials!V38/('Evolutive SFP'!U13+'Evolutive SFP'!T13)/2</f>
        <v>2.0554100957683959E-2</v>
      </c>
      <c r="X38" s="53">
        <f>Financials!W38/('Evolutive SFP'!V13+'Evolutive SFP'!U13)/2</f>
        <v>1.4333881762548155E-2</v>
      </c>
      <c r="Y38" s="53">
        <f>Financials!X38/('Evolutive SFP'!W13+'Evolutive SFP'!V13)/2</f>
        <v>1.7998253187184014E-2</v>
      </c>
      <c r="Z38" s="53">
        <f>Financials!Y38/('Evolutive SFP'!X13+'Evolutive SFP'!W13)/2</f>
        <v>2.2137061194037501E-2</v>
      </c>
      <c r="AA38" s="53">
        <f>Financials!Z38/('Evolutive SFP'!Y13+'Evolutive SFP'!X13)/2</f>
        <v>4.0601935117880586E-2</v>
      </c>
      <c r="AB38" s="53">
        <f>Financials!AA38/('Evolutive SFP'!Z13+'Evolutive SFP'!Y13)/2</f>
        <v>2.3957393907629094E-2</v>
      </c>
      <c r="AC38" s="53">
        <f>Financials!AB38/('Evolutive SFP'!AA13+'Evolutive SFP'!Z13)/2</f>
        <v>4.7425965542469979E-2</v>
      </c>
      <c r="AD38" s="53">
        <f>Financials!AC38/('Evolutive SFP'!AB13+'Evolutive SFP'!AA13)/2</f>
        <v>2.8678885326422144E-2</v>
      </c>
      <c r="AE38" s="53">
        <f>Financials!AD38/('Evolutive SFP'!AC13+'Evolutive SFP'!AB13)/2</f>
        <v>0.12475089604859879</v>
      </c>
      <c r="AF38" s="53">
        <f>Financials!AE38/('Evolutive SFP'!AD13+'Evolutive SFP'!AC13)/2</f>
        <v>6.0516838041947525E-2</v>
      </c>
      <c r="AG38" s="53">
        <f>Financials!AF38/('Evolutive SFP'!AE13+'Evolutive SFP'!AD13)/2</f>
        <v>0.13700037465870354</v>
      </c>
      <c r="AH38" s="53">
        <f>Financials!AG38/('Evolutive SFP'!AF13+'Evolutive SFP'!AE13)/2</f>
        <v>6.9104151643678714E-3</v>
      </c>
      <c r="AI38" s="53">
        <f>Financials!AH38/('Evolutive SFP'!AG13+'Evolutive SFP'!AF13)/2</f>
        <v>8.4182977697343335E-3</v>
      </c>
      <c r="AJ38" s="53">
        <f>Financials!AI38/('Evolutive SFP'!AH13+'Evolutive SFP'!AG13)/2</f>
        <v>1.1557908262305735E-2</v>
      </c>
      <c r="AK38" s="53">
        <f>Financials!AJ38/('Evolutive SFP'!AI13+'Evolutive SFP'!AH13)/2</f>
        <v>1.5320855851383337E-2</v>
      </c>
      <c r="AL38" s="53">
        <f>Financials!AK38/('Evolutive SFP'!AJ13+'Evolutive SFP'!AI13)/2</f>
        <v>1.7720152079564823E-2</v>
      </c>
      <c r="AM38" s="53">
        <f>Financials!AL38/('Evolutive SFP'!AK13+'Evolutive SFP'!AJ13)/2</f>
        <v>2.4847887724894234E-2</v>
      </c>
      <c r="AN38" s="53">
        <f>Financials!AM38/('Evolutive SFP'!AL13+'Evolutive SFP'!AK13)/2</f>
        <v>2.4761425222336948E-2</v>
      </c>
      <c r="AO38" s="53">
        <f>Financials!AN38/('Evolutive SFP'!AM13+'Evolutive SFP'!AL13)/2</f>
        <v>3.4241904590338539E-2</v>
      </c>
      <c r="AP38" s="53">
        <f>Financials!AO38/('Evolutive SFP'!AN13+'Evolutive SFP'!AM13)/2</f>
        <v>3.7832515040433189E-2</v>
      </c>
      <c r="AQ38" s="53">
        <f>Financials!AP38/('Evolutive SFP'!AO13+'Evolutive SFP'!AN13)/2</f>
        <v>7.2396567755576735E-2</v>
      </c>
      <c r="AR38" s="53">
        <f>Financials!AQ38/('Evolutive SFP'!AP13+'Evolutive SFP'!AO13)/2</f>
        <v>0.10956782718630348</v>
      </c>
      <c r="AS38" s="53">
        <f>Financials!AR38/('Evolutive SFP'!AQ13+'Evolutive SFP'!AP13)/2</f>
        <v>0.12205686521463519</v>
      </c>
      <c r="AT38" s="53">
        <f>Financials!AS38/('Evolutive SFP'!AR13+'Evolutive SFP'!AQ13)/2</f>
        <v>0.13104414014710999</v>
      </c>
      <c r="AU38" s="53">
        <f>Financials!AT38/('Evolutive SFP'!AS13+'Evolutive SFP'!AR13)/2</f>
        <v>8.2894318879148249E-3</v>
      </c>
      <c r="AV38" s="53">
        <f>Financials!AU38/('Evolutive SFP'!AT13+'Evolutive SFP'!AS13)/2</f>
        <v>8.7547069569462316E-3</v>
      </c>
      <c r="AW38" s="53">
        <f>Financials!AV38/('Evolutive SFP'!AU13+'Evolutive SFP'!AT13)/2</f>
        <v>1.1373776097915358E-2</v>
      </c>
      <c r="AX38" s="53">
        <f>Financials!AW38/('Evolutive SFP'!AV13+'Evolutive SFP'!AU13)/2</f>
        <v>1.4488303335371244E-2</v>
      </c>
      <c r="AY38" s="53">
        <f>Financials!AX38/('Evolutive SFP'!AW13+'Evolutive SFP'!AV13)/2</f>
        <v>1.8192659087747937E-2</v>
      </c>
      <c r="AZ38" s="53">
        <f>Financials!AY38/('Evolutive SFP'!AX13+'Evolutive SFP'!AW13)/2</f>
        <v>2.2592583299075212E-2</v>
      </c>
      <c r="BA38" s="53">
        <f>Financials!AZ38/('Evolutive SFP'!AY13+'Evolutive SFP'!AX13)/2</f>
        <v>2.7049888581576764E-2</v>
      </c>
      <c r="BB38" s="53">
        <f>Financials!BA38/('Evolutive SFP'!AZ13+'Evolutive SFP'!AY13)/2</f>
        <v>3.2042888917112294E-2</v>
      </c>
      <c r="BC38" s="53">
        <f>Financials!BB38/('Evolutive SFP'!BA13+'Evolutive SFP'!AZ13)/2</f>
        <v>3.7078199139677047E-2</v>
      </c>
      <c r="BD38" s="53">
        <f>Financials!BC38/('Evolutive SFP'!BB13+'Evolutive SFP'!BA13)/2</f>
        <v>5.646008705428867E-2</v>
      </c>
      <c r="BE38" s="53">
        <f>Financials!BD38/('Evolutive SFP'!BC13+'Evolutive SFP'!BB13)/2</f>
        <v>6.4352905145828698E-2</v>
      </c>
      <c r="BF38" s="53">
        <f>Financials!BE38/('Evolutive SFP'!BD13+'Evolutive SFP'!BC13)/2</f>
        <v>5.8495479594145132E-2</v>
      </c>
      <c r="BG38" s="53">
        <f>Financials!BF38/('Evolutive SFP'!BE13+'Evolutive SFP'!BD13)/2</f>
        <v>0</v>
      </c>
      <c r="BH38" s="53">
        <f>Financials!BG38/('Evolutive SFP'!BF13+'Evolutive SFP'!BE13)/2</f>
        <v>9.5485393448295052E-3</v>
      </c>
      <c r="BI38" s="53">
        <f>Financials!BH38/('Evolutive SFP'!BG13+'Evolutive SFP'!BF13)/2</f>
        <v>8.2765783059770837E-3</v>
      </c>
      <c r="BJ38" s="53">
        <f>Financials!BI38/('Evolutive SFP'!BH13+'Evolutive SFP'!BG13)/2</f>
        <v>1.054349781796538E-2</v>
      </c>
      <c r="BK38" s="53">
        <f>Financials!BJ38/('Evolutive SFP'!BI13+'Evolutive SFP'!BH13)/2</f>
        <v>1.7071923499242483E-2</v>
      </c>
      <c r="BL38" s="53">
        <f>Financials!BK38/('Evolutive SFP'!BJ13+'Evolutive SFP'!BI13)/2</f>
        <v>2.0745412929246553E-2</v>
      </c>
      <c r="BM38" s="53">
        <f>Financials!BL38/('Evolutive SFP'!BK13+'Evolutive SFP'!BJ13)/2</f>
        <v>2.5134947289152876E-2</v>
      </c>
      <c r="BN38" s="53">
        <f>Financials!BM38/('Evolutive SFP'!BL13+'Evolutive SFP'!BK13)/2</f>
        <v>0</v>
      </c>
      <c r="BO38" s="53">
        <f>Financials!BN38/('Evolutive SFP'!BM13+'Evolutive SFP'!BL13)/2</f>
        <v>6.9780333791171309E-2</v>
      </c>
      <c r="BP38" s="53">
        <f>Financials!BO38/('Evolutive SFP'!BN13+'Evolutive SFP'!BM13)/2</f>
        <v>1.914233840615779E-2</v>
      </c>
      <c r="BQ38" s="53">
        <f>Financials!BP38/('Evolutive SFP'!BO13+'Evolutive SFP'!BN13)/2</f>
        <v>5.8213364801066474E-2</v>
      </c>
      <c r="BR38" s="53">
        <f>Financials!BQ38/('Evolutive SFP'!BP13+'Evolutive SFP'!BO13)/2</f>
        <v>8.3190306034188422E-2</v>
      </c>
      <c r="BS38" s="53">
        <f>Financials!BR38/('Evolutive SFP'!BQ13+'Evolutive SFP'!BP13)/2</f>
        <v>4.2483506329570916E-2</v>
      </c>
      <c r="BT38" s="53">
        <f>Financials!BS38/('Evolutive SFP'!BR13+'Evolutive SFP'!BQ13)/2</f>
        <v>5.9789032965629055E-2</v>
      </c>
      <c r="BU38" s="53">
        <f>Financials!BT38/('Evolutive SFP'!BS13+'Evolutive SFP'!BR13)/2</f>
        <v>6.6757556036050334E-3</v>
      </c>
      <c r="BV38" s="53">
        <f>Financials!BU38/('Evolutive SFP'!BT13+'Evolutive SFP'!BS13)/2</f>
        <v>9.1031952754518173E-3</v>
      </c>
      <c r="BW38" s="53">
        <f>Financials!BV38/('Evolutive SFP'!BU13+'Evolutive SFP'!BT13)/2</f>
        <v>1.1814732562275434E-2</v>
      </c>
      <c r="BX38" s="53">
        <f>Financials!BW38/('Evolutive SFP'!BV13+'Evolutive SFP'!BU13)/2</f>
        <v>1.3734861249861587E-2</v>
      </c>
      <c r="BY38" s="53">
        <f>Financials!BX38/('Evolutive SFP'!BW13+'Evolutive SFP'!BV13)/2</f>
        <v>1.6266776969681096E-2</v>
      </c>
      <c r="BZ38" s="53">
        <f>Financials!BY38/('Evolutive SFP'!BX13+'Evolutive SFP'!BW13)/2</f>
        <v>2.347143978800206E-2</v>
      </c>
      <c r="CA38" s="53">
        <f>Financials!BZ38/('Evolutive SFP'!BY13+'Evolutive SFP'!BX13)/2</f>
        <v>2.8477961153281387E-2</v>
      </c>
      <c r="CB38" s="53">
        <f>Financials!CA38/('Evolutive SFP'!BZ13+'Evolutive SFP'!BY13)/2</f>
        <v>0</v>
      </c>
      <c r="CC38" s="53">
        <f>Financials!CB38/('Evolutive SFP'!CA13+'Evolutive SFP'!BZ13)/2</f>
        <v>0</v>
      </c>
      <c r="CD38" s="53">
        <f>Financials!CC38/('Evolutive SFP'!CB13+'Evolutive SFP'!CA13)/2</f>
        <v>0</v>
      </c>
      <c r="CE38" s="53">
        <f>Financials!CD38/('Evolutive SFP'!CC13+'Evolutive SFP'!CB13)/2</f>
        <v>0</v>
      </c>
      <c r="CF38" s="53" t="e">
        <f>Financials!CE38/('Evolutive SFP'!CD13+'Evolutive SFP'!CC13)/2</f>
        <v>#DIV/0!</v>
      </c>
      <c r="CG38" s="53">
        <f>Financials!CF38/('Evolutive SFP'!CE13+'Evolutive SFP'!CD13)/2</f>
        <v>0.13541217623985533</v>
      </c>
      <c r="CH38" s="53">
        <f>Financials!CG38/('Evolutive SFP'!CF13+'Evolutive SFP'!CE13)/2</f>
        <v>2.7919491287170983E-3</v>
      </c>
      <c r="CI38" s="53">
        <f>Financials!CH38/('Evolutive SFP'!CG13+'Evolutive SFP'!CF13)/2</f>
        <v>6.4457908522519191E-3</v>
      </c>
      <c r="CJ38" s="53">
        <f>Financials!CI38/('Evolutive SFP'!CH13+'Evolutive SFP'!CG13)/2</f>
        <v>1.0349254911510574E-2</v>
      </c>
      <c r="CK38" s="53">
        <f>Financials!CJ38/('Evolutive SFP'!CI13+'Evolutive SFP'!CH13)/2</f>
        <v>1.6372705766532946E-2</v>
      </c>
      <c r="CL38" s="53">
        <f>Financials!CK38/('Evolutive SFP'!CJ13+'Evolutive SFP'!CI13)/2</f>
        <v>2.2424221110237546E-2</v>
      </c>
      <c r="CM38" s="53">
        <f>Financials!CL38/('Evolutive SFP'!CK13+'Evolutive SFP'!CJ13)/2</f>
        <v>2.8105623109000836E-2</v>
      </c>
      <c r="CN38" s="53">
        <f>Financials!CM38/('Evolutive SFP'!CL13+'Evolutive SFP'!CK13)/2</f>
        <v>3.8019854315379298E-2</v>
      </c>
      <c r="CO38" s="53">
        <f>Financials!CN38/('Evolutive SFP'!CM13+'Evolutive SFP'!CL13)/2</f>
        <v>4.5890852736151656E-2</v>
      </c>
      <c r="CP38" s="53">
        <f>Financials!CO38/('Evolutive SFP'!CN13+'Evolutive SFP'!CM13)/2</f>
        <v>4.8859065563470423E-2</v>
      </c>
      <c r="CQ38" s="53">
        <f>Financials!CP38/('Evolutive SFP'!CO13+'Evolutive SFP'!CN13)/2</f>
        <v>5.1971288549902676E-2</v>
      </c>
      <c r="CR38" s="53">
        <f>Financials!CQ38/('Evolutive SFP'!CP13+'Evolutive SFP'!CO13)/2</f>
        <v>5.6141646550548992E-2</v>
      </c>
      <c r="CS38" s="53">
        <f>Financials!CR38/('Evolutive SFP'!CQ13+'Evolutive SFP'!CP13)/2</f>
        <v>6.3807467160494402E-2</v>
      </c>
      <c r="CT38" s="53">
        <f>Financials!CS38/('Evolutive SFP'!CR13+'Evolutive SFP'!CQ13)/2</f>
        <v>6.1936304049309693E-2</v>
      </c>
      <c r="CU38" s="53">
        <f>Financials!CT38/('Evolutive SFP'!CS13+'Evolutive SFP'!CR13)/2</f>
        <v>6.2371924149214782E-3</v>
      </c>
    </row>
    <row r="39" spans="1:99" x14ac:dyDescent="0.3">
      <c r="A39" s="59"/>
      <c r="B39" s="55" t="s">
        <v>62</v>
      </c>
      <c r="C39" s="54"/>
      <c r="D39" s="53"/>
      <c r="E39" s="53">
        <f>Financials!D37/('Evolutive SFP'!C14+'Evolutive SFP'!B14)/2</f>
        <v>0.19970336351511597</v>
      </c>
      <c r="F39" s="53">
        <f>Financials!E37/('Evolutive SFP'!D14+'Evolutive SFP'!C14)/2</f>
        <v>0.17786364256465051</v>
      </c>
      <c r="G39" s="53">
        <f>Financials!F37/('Evolutive SFP'!E14+'Evolutive SFP'!D14)/2</f>
        <v>1.1097628281130848E-2</v>
      </c>
      <c r="H39" s="53">
        <f>Financials!G37/('Evolutive SFP'!F14+'Evolutive SFP'!E14)/2</f>
        <v>1.0400645201681494E-2</v>
      </c>
      <c r="I39" s="53">
        <f>Financials!H37/('Evolutive SFP'!G14+'Evolutive SFP'!F14)/2</f>
        <v>1.6589719609903318E-2</v>
      </c>
      <c r="J39" s="53">
        <f>Financials!I37/('Evolutive SFP'!H14+'Evolutive SFP'!G14)/2</f>
        <v>2.2881144072797215E-2</v>
      </c>
      <c r="K39" s="53">
        <f>Financials!J37/('Evolutive SFP'!I14+'Evolutive SFP'!H14)/2</f>
        <v>3.9442895234377238E-2</v>
      </c>
      <c r="L39" s="53">
        <f>Financials!K37/('Evolutive SFP'!J14+'Evolutive SFP'!I14)/2</f>
        <v>2.4893081875244145E-2</v>
      </c>
      <c r="M39" s="53">
        <f>Financials!L37/('Evolutive SFP'!K14+'Evolutive SFP'!J14)/2</f>
        <v>4.7194332929407015E-2</v>
      </c>
      <c r="N39" s="53">
        <f>Financials!M37/('Evolutive SFP'!L14+'Evolutive SFP'!K14)/2</f>
        <v>8.0156645577063673E-2</v>
      </c>
      <c r="O39" s="53">
        <f>Financials!N37/('Evolutive SFP'!M14+'Evolutive SFP'!L14)/2</f>
        <v>0.26273334441460888</v>
      </c>
      <c r="P39" s="53">
        <f>Financials!O37/('Evolutive SFP'!N14+'Evolutive SFP'!M14)/2</f>
        <v>9.5534130784881655E-2</v>
      </c>
      <c r="Q39" s="53">
        <f>Financials!P37/('Evolutive SFP'!O14+'Evolutive SFP'!N14)/2</f>
        <v>0.17567481194940973</v>
      </c>
      <c r="R39" s="53">
        <f>Financials!Q37/('Evolutive SFP'!P14+'Evolutive SFP'!O14)/2</f>
        <v>0.37107660257910308</v>
      </c>
      <c r="S39" s="53">
        <f>Financials!R37/('Evolutive SFP'!Q14+'Evolutive SFP'!P14)/2</f>
        <v>0.23651607751842843</v>
      </c>
      <c r="T39" s="53">
        <f>Financials!S37/('Evolutive SFP'!R14+'Evolutive SFP'!Q14)/2</f>
        <v>0.43490443689877528</v>
      </c>
      <c r="U39" s="53">
        <f>Financials!T37/('Evolutive SFP'!S14+'Evolutive SFP'!R14)/2</f>
        <v>2.2935908060322717E-2</v>
      </c>
      <c r="V39" s="53">
        <f>Financials!U37/('Evolutive SFP'!T14+'Evolutive SFP'!S14)/2</f>
        <v>1.4797670539158205E-2</v>
      </c>
      <c r="W39" s="53">
        <f>Financials!V37/('Evolutive SFP'!U14+'Evolutive SFP'!T14)/2</f>
        <v>5.4341209143983119E-2</v>
      </c>
      <c r="X39" s="53">
        <f>Financials!W37/('Evolutive SFP'!V14+'Evolutive SFP'!U14)/2</f>
        <v>3.5473826760472255E-2</v>
      </c>
      <c r="Y39" s="53">
        <f>Financials!X37/('Evolutive SFP'!W14+'Evolutive SFP'!V14)/2</f>
        <v>4.4330200413167355E-2</v>
      </c>
      <c r="Z39" s="53">
        <f>Financials!Y37/('Evolutive SFP'!X14+'Evolutive SFP'!W14)/2</f>
        <v>8.5269148586221935E-2</v>
      </c>
      <c r="AA39" s="53">
        <f>Financials!Z37/('Evolutive SFP'!Y14+'Evolutive SFP'!X14)/2</f>
        <v>0.14445750713974281</v>
      </c>
      <c r="AB39" s="53">
        <f>Financials!AA37/('Evolutive SFP'!Z14+'Evolutive SFP'!Y14)/2</f>
        <v>8.0910459178288818E-2</v>
      </c>
      <c r="AC39" s="53">
        <f>Financials!AB37/('Evolutive SFP'!AA14+'Evolutive SFP'!Z14)/2</f>
        <v>0.15128224777657628</v>
      </c>
      <c r="AD39" s="53">
        <f>Financials!AC37/('Evolutive SFP'!AB14+'Evolutive SFP'!AA14)/2</f>
        <v>9.5167516903141874E-2</v>
      </c>
      <c r="AE39" s="53">
        <f>Financials!AD37/('Evolutive SFP'!AC14+'Evolutive SFP'!AB14)/2</f>
        <v>0.3325545762018573</v>
      </c>
      <c r="AF39" s="53">
        <f>Financials!AE37/('Evolutive SFP'!AD14+'Evolutive SFP'!AC14)/2</f>
        <v>0.14906670756134821</v>
      </c>
      <c r="AG39" s="53">
        <f>Financials!AF37/('Evolutive SFP'!AE14+'Evolutive SFP'!AD14)/2</f>
        <v>0.33596601074146176</v>
      </c>
      <c r="AH39" s="53">
        <f>Financials!AG37/('Evolutive SFP'!AF14+'Evolutive SFP'!AE14)/2</f>
        <v>2.0367601070266732E-2</v>
      </c>
      <c r="AI39" s="53">
        <f>Financials!AH37/('Evolutive SFP'!AG14+'Evolutive SFP'!AF14)/2</f>
        <v>2.3520223780379039E-2</v>
      </c>
      <c r="AJ39" s="53">
        <f>Financials!AI37/('Evolutive SFP'!AH14+'Evolutive SFP'!AG14)/2</f>
        <v>3.2381492102464084E-2</v>
      </c>
      <c r="AK39" s="53">
        <f>Financials!AJ37/('Evolutive SFP'!AI14+'Evolutive SFP'!AH14)/2</f>
        <v>3.7480151350831943E-2</v>
      </c>
      <c r="AL39" s="53">
        <f>Financials!AK37/('Evolutive SFP'!AJ14+'Evolutive SFP'!AI14)/2</f>
        <v>4.7328993096505123E-2</v>
      </c>
      <c r="AM39" s="53">
        <f>Financials!AL37/('Evolutive SFP'!AK14+'Evolutive SFP'!AJ14)/2</f>
        <v>0.10083061503315699</v>
      </c>
      <c r="AN39" s="53">
        <f>Financials!AM37/('Evolutive SFP'!AL14+'Evolutive SFP'!AK14)/2</f>
        <v>9.9999981317493214E-2</v>
      </c>
      <c r="AO39" s="53">
        <f>Financials!AN37/('Evolutive SFP'!AM14+'Evolutive SFP'!AL14)/2</f>
        <v>0.11501900679704517</v>
      </c>
      <c r="AP39" s="53">
        <f>Financials!AO37/('Evolutive SFP'!AN14+'Evolutive SFP'!AM14)/2</f>
        <v>0.12167688783547098</v>
      </c>
      <c r="AQ39" s="53">
        <f>Financials!AP37/('Evolutive SFP'!AO14+'Evolutive SFP'!AN14)/2</f>
        <v>0.20905806460667364</v>
      </c>
      <c r="AR39" s="53">
        <f>Financials!AQ37/('Evolutive SFP'!AP14+'Evolutive SFP'!AO14)/2</f>
        <v>0.30461059957666675</v>
      </c>
      <c r="AS39" s="53">
        <f>Financials!AR37/('Evolutive SFP'!AQ14+'Evolutive SFP'!AP14)/2</f>
        <v>0.32890300961888325</v>
      </c>
      <c r="AT39" s="53">
        <f>Financials!AS37/('Evolutive SFP'!AR14+'Evolutive SFP'!AQ14)/2</f>
        <v>0.38814058563973192</v>
      </c>
      <c r="AU39" s="53">
        <f>Financials!AT37/('Evolutive SFP'!AS14+'Evolutive SFP'!AR14)/2</f>
        <v>1.990796864582502E-2</v>
      </c>
      <c r="AV39" s="53">
        <f>Financials!AU37/('Evolutive SFP'!AT14+'Evolutive SFP'!AS14)/2</f>
        <v>2.119624951212757E-2</v>
      </c>
      <c r="AW39" s="53">
        <f>Financials!AV37/('Evolutive SFP'!AU14+'Evolutive SFP'!AT14)/2</f>
        <v>2.7393613169696344E-2</v>
      </c>
      <c r="AX39" s="53">
        <f>Financials!AW37/('Evolutive SFP'!AV14+'Evolutive SFP'!AU14)/2</f>
        <v>3.3484980718956024E-2</v>
      </c>
      <c r="AY39" s="53">
        <f>Financials!AX37/('Evolutive SFP'!AW14+'Evolutive SFP'!AV14)/2</f>
        <v>4.0534032919929887E-2</v>
      </c>
      <c r="AZ39" s="53">
        <f>Financials!AY37/('Evolutive SFP'!AX14+'Evolutive SFP'!AW14)/2</f>
        <v>7.6739096550235836E-2</v>
      </c>
      <c r="BA39" s="53">
        <f>Financials!AZ37/('Evolutive SFP'!AY14+'Evolutive SFP'!AX14)/2</f>
        <v>8.7905536110430768E-2</v>
      </c>
      <c r="BB39" s="53">
        <f>Financials!BA37/('Evolutive SFP'!AZ14+'Evolutive SFP'!AY14)/2</f>
        <v>9.6403856230681387E-2</v>
      </c>
      <c r="BC39" s="53">
        <f>Financials!BB37/('Evolutive SFP'!BA14+'Evolutive SFP'!AZ14)/2</f>
        <v>0.10591524901350188</v>
      </c>
      <c r="BD39" s="53">
        <f>Financials!BC37/('Evolutive SFP'!BB14+'Evolutive SFP'!BA14)/2</f>
        <v>0.14714881603479096</v>
      </c>
      <c r="BE39" s="53">
        <f>Financials!BD37/('Evolutive SFP'!BC14+'Evolutive SFP'!BB14)/2</f>
        <v>0.15690313445123125</v>
      </c>
      <c r="BF39" s="53">
        <f>Financials!BE37/('Evolutive SFP'!BD14+'Evolutive SFP'!BC14)/2</f>
        <v>0.14662341139673263</v>
      </c>
      <c r="BG39" s="53">
        <f>Financials!BF37/('Evolutive SFP'!BE14+'Evolutive SFP'!BD14)/2</f>
        <v>0</v>
      </c>
      <c r="BH39" s="53">
        <f>Financials!BG37/('Evolutive SFP'!BF14+'Evolutive SFP'!BE14)/2</f>
        <v>1.7753844874928773E-2</v>
      </c>
      <c r="BI39" s="53">
        <f>Financials!BH37/('Evolutive SFP'!BG14+'Evolutive SFP'!BF14)/2</f>
        <v>1.512616230720704E-2</v>
      </c>
      <c r="BJ39" s="53">
        <f>Financials!BI37/('Evolutive SFP'!BH14+'Evolutive SFP'!BG14)/2</f>
        <v>2.0615800814955804E-2</v>
      </c>
      <c r="BK39" s="53">
        <f>Financials!BJ37/('Evolutive SFP'!BI14+'Evolutive SFP'!BH14)/2</f>
        <v>2.9348102344896713E-2</v>
      </c>
      <c r="BL39" s="53">
        <f>Financials!BK37/('Evolutive SFP'!BJ14+'Evolutive SFP'!BI14)/2</f>
        <v>6.5446252140848857E-2</v>
      </c>
      <c r="BM39" s="53">
        <f>Financials!BL37/('Evolutive SFP'!BK14+'Evolutive SFP'!BJ14)/2</f>
        <v>7.4747292297809215E-2</v>
      </c>
      <c r="BN39" s="53">
        <f>Financials!BM37/('Evolutive SFP'!BL14+'Evolutive SFP'!BK14)/2</f>
        <v>0</v>
      </c>
      <c r="BO39" s="53">
        <f>Financials!BN37/('Evolutive SFP'!BM14+'Evolutive SFP'!BL14)/2</f>
        <v>0.18802701033035238</v>
      </c>
      <c r="BP39" s="53">
        <f>Financials!BO37/('Evolutive SFP'!BN14+'Evolutive SFP'!BM14)/2</f>
        <v>5.0564368206946021E-2</v>
      </c>
      <c r="BQ39" s="53">
        <f>Financials!BP37/('Evolutive SFP'!BO14+'Evolutive SFP'!BN14)/2</f>
        <v>0.14994286408225446</v>
      </c>
      <c r="BR39" s="53">
        <f>Financials!BQ37/('Evolutive SFP'!BP14+'Evolutive SFP'!BO14)/2</f>
        <v>0.21816884847424531</v>
      </c>
      <c r="BS39" s="53">
        <f>Financials!BR37/('Evolutive SFP'!BQ14+'Evolutive SFP'!BP14)/2</f>
        <v>0.10917924936968143</v>
      </c>
      <c r="BT39" s="53">
        <f>Financials!BS37/('Evolutive SFP'!BR14+'Evolutive SFP'!BQ14)/2</f>
        <v>0.15761552245776927</v>
      </c>
      <c r="BU39" s="53">
        <f>Financials!BT37/('Evolutive SFP'!BS14+'Evolutive SFP'!BR14)/2</f>
        <v>1.1662558375502469E-2</v>
      </c>
      <c r="BV39" s="53">
        <f>Financials!BU37/('Evolutive SFP'!BT14+'Evolutive SFP'!BS14)/2</f>
        <v>1.7746371288267657E-2</v>
      </c>
      <c r="BW39" s="53">
        <f>Financials!BV37/('Evolutive SFP'!BU14+'Evolutive SFP'!BT14)/2</f>
        <v>2.4416618370520036E-2</v>
      </c>
      <c r="BX39" s="53">
        <f>Financials!BW37/('Evolutive SFP'!BV14+'Evolutive SFP'!BU14)/2</f>
        <v>5.9727914890589845E-2</v>
      </c>
      <c r="BY39" s="53">
        <f>Financials!BX37/('Evolutive SFP'!BW14+'Evolutive SFP'!BV14)/2</f>
        <v>6.6103584759157077E-2</v>
      </c>
      <c r="BZ39" s="53">
        <f>Financials!BY37/('Evolutive SFP'!BX14+'Evolutive SFP'!BW14)/2</f>
        <v>8.0851307738007319E-2</v>
      </c>
      <c r="CA39" s="53">
        <f>Financials!BZ37/('Evolutive SFP'!BY14+'Evolutive SFP'!BX14)/2</f>
        <v>9.337684127446641E-2</v>
      </c>
      <c r="CB39" s="53">
        <f>Financials!CA37/('Evolutive SFP'!BZ14+'Evolutive SFP'!BY14)/2</f>
        <v>0</v>
      </c>
      <c r="CC39" s="53">
        <f>Financials!CB37/('Evolutive SFP'!CA14+'Evolutive SFP'!BZ14)/2</f>
        <v>0</v>
      </c>
      <c r="CD39" s="53">
        <f>Financials!CC37/('Evolutive SFP'!CB14+'Evolutive SFP'!CA14)/2</f>
        <v>0</v>
      </c>
      <c r="CE39" s="53">
        <f>Financials!CD37/('Evolutive SFP'!CC14+'Evolutive SFP'!CB14)/2</f>
        <v>0</v>
      </c>
      <c r="CF39" s="53" t="e">
        <f>Financials!CE37/('Evolutive SFP'!CD14+'Evolutive SFP'!CC14)/2</f>
        <v>#DIV/0!</v>
      </c>
      <c r="CG39" s="53">
        <f>Financials!CF37/('Evolutive SFP'!CE14+'Evolutive SFP'!CD14)/2</f>
        <v>0.32649201768889102</v>
      </c>
      <c r="CH39" s="53">
        <f>Financials!CG37/('Evolutive SFP'!CF14+'Evolutive SFP'!CE14)/2</f>
        <v>8.0820588885135228E-3</v>
      </c>
      <c r="CI39" s="53">
        <f>Financials!CH37/('Evolutive SFP'!CG14+'Evolutive SFP'!CF14)/2</f>
        <v>1.7236995317941681E-2</v>
      </c>
      <c r="CJ39" s="53">
        <f>Financials!CI37/('Evolutive SFP'!CH14+'Evolutive SFP'!CG14)/2</f>
        <v>2.6305881021812957E-2</v>
      </c>
      <c r="CK39" s="53">
        <f>Financials!CJ37/('Evolutive SFP'!CI14+'Evolutive SFP'!CH14)/2</f>
        <v>3.7847845523655353E-2</v>
      </c>
      <c r="CL39" s="53">
        <f>Financials!CK37/('Evolutive SFP'!CJ14+'Evolutive SFP'!CI14)/2</f>
        <v>4.8226633982281039E-2</v>
      </c>
      <c r="CM39" s="53">
        <f>Financials!CL37/('Evolutive SFP'!CK14+'Evolutive SFP'!CJ14)/2</f>
        <v>8.9446898861320387E-2</v>
      </c>
      <c r="CN39" s="53">
        <f>Financials!CM37/('Evolutive SFP'!CL14+'Evolutive SFP'!CK14)/2</f>
        <v>0.12107126680914949</v>
      </c>
      <c r="CO39" s="53">
        <f>Financials!CN37/('Evolutive SFP'!CM14+'Evolutive SFP'!CL14)/2</f>
        <v>0.13411508534895067</v>
      </c>
      <c r="CP39" s="53">
        <f>Financials!CO37/('Evolutive SFP'!CN14+'Evolutive SFP'!CM14)/2</f>
        <v>0.13627799087261247</v>
      </c>
      <c r="CQ39" s="53">
        <f>Financials!CP37/('Evolutive SFP'!CO14+'Evolutive SFP'!CN14)/2</f>
        <v>0.1384826121678461</v>
      </c>
      <c r="CR39" s="53">
        <f>Financials!CQ37/('Evolutive SFP'!CP14+'Evolutive SFP'!CO14)/2</f>
        <v>0.14218734729732044</v>
      </c>
      <c r="CS39" s="53">
        <f>Financials!CR37/('Evolutive SFP'!CQ14+'Evolutive SFP'!CP14)/2</f>
        <v>0.15196506993677986</v>
      </c>
      <c r="CT39" s="53">
        <f>Financials!CS37/('Evolutive SFP'!CR14+'Evolutive SFP'!CQ14)/2</f>
        <v>0.1515473924303633</v>
      </c>
      <c r="CU39" s="53">
        <f>Financials!CT37/('Evolutive SFP'!CS14+'Evolutive SFP'!CR14)/2</f>
        <v>1.2651805003418818E-2</v>
      </c>
    </row>
    <row r="40" spans="1:99" x14ac:dyDescent="0.3">
      <c r="A40" s="60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</row>
    <row r="41" spans="1:99" ht="14.4" thickBot="1" x14ac:dyDescent="0.35">
      <c r="A41" s="61" t="s">
        <v>63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</row>
  </sheetData>
  <mergeCells count="8">
    <mergeCell ref="A21:A23"/>
    <mergeCell ref="A24:A32"/>
    <mergeCell ref="A1:B1"/>
    <mergeCell ref="A3:A6"/>
    <mergeCell ref="A7:A8"/>
    <mergeCell ref="A9:A11"/>
    <mergeCell ref="A12:A15"/>
    <mergeCell ref="A16:A20"/>
  </mergeCells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4"/>
  <sheetViews>
    <sheetView workbookViewId="0">
      <pane xSplit="1" ySplit="3" topLeftCell="CK26" activePane="bottomRight" state="frozen"/>
      <selection pane="topRight" activeCell="B1" sqref="B1"/>
      <selection pane="bottomLeft" activeCell="A4" sqref="A4"/>
      <selection pane="bottomRight" activeCell="CR43" sqref="CR43:CR46"/>
    </sheetView>
  </sheetViews>
  <sheetFormatPr defaultColWidth="9.109375" defaultRowHeight="13.2" x14ac:dyDescent="0.25"/>
  <cols>
    <col min="1" max="1" width="26.5546875" style="104" customWidth="1"/>
    <col min="2" max="3" width="18.6640625" style="104" hidden="1" customWidth="1"/>
    <col min="4" max="4" width="18.44140625" style="104" hidden="1" customWidth="1"/>
    <col min="5" max="11" width="15" style="104" hidden="1" customWidth="1"/>
    <col min="12" max="13" width="16.5546875" style="104" hidden="1" customWidth="1"/>
    <col min="14" max="16" width="15" style="104" hidden="1" customWidth="1"/>
    <col min="17" max="17" width="17.6640625" style="104" hidden="1" customWidth="1"/>
    <col min="18" max="18" width="18.44140625" style="123" hidden="1" customWidth="1"/>
    <col min="19" max="26" width="18.44140625" style="104" hidden="1" customWidth="1"/>
    <col min="27" max="28" width="20.33203125" style="104" hidden="1" customWidth="1"/>
    <col min="29" max="30" width="18.44140625" style="104" hidden="1" customWidth="1"/>
    <col min="31" max="31" width="1.5546875" style="104" customWidth="1"/>
    <col min="32" max="40" width="17.109375" style="104" hidden="1" customWidth="1"/>
    <col min="41" max="41" width="2.33203125" style="104" customWidth="1"/>
    <col min="42" max="45" width="18.5546875" style="104" hidden="1" customWidth="1"/>
    <col min="46" max="49" width="17.109375" style="104" hidden="1" customWidth="1"/>
    <col min="50" max="56" width="18.5546875" style="104" hidden="1" customWidth="1"/>
    <col min="57" max="57" width="17.88671875" style="104" hidden="1" customWidth="1"/>
    <col min="58" max="58" width="0.109375" style="104" customWidth="1"/>
    <col min="59" max="63" width="18.5546875" style="104" hidden="1" customWidth="1"/>
    <col min="64" max="64" width="8" style="104" hidden="1" customWidth="1"/>
    <col min="65" max="67" width="18.5546875" style="104" hidden="1" customWidth="1"/>
    <col min="68" max="68" width="17.33203125" style="104" hidden="1" customWidth="1"/>
    <col min="69" max="69" width="18.5546875" style="104" hidden="1" customWidth="1"/>
    <col min="70" max="70" width="18.33203125" style="104" hidden="1" customWidth="1"/>
    <col min="71" max="74" width="18.5546875" style="104" hidden="1" customWidth="1"/>
    <col min="75" max="75" width="21.6640625" style="104" hidden="1" customWidth="1"/>
    <col min="76" max="76" width="17.5546875" style="104" hidden="1" customWidth="1"/>
    <col min="77" max="77" width="18.88671875" style="104" hidden="1" customWidth="1"/>
    <col min="78" max="78" width="23.88671875" style="104" hidden="1" customWidth="1"/>
    <col min="79" max="79" width="19.6640625" style="104" hidden="1" customWidth="1"/>
    <col min="80" max="80" width="20.44140625" style="104" hidden="1" customWidth="1"/>
    <col min="81" max="81" width="7.33203125" style="104" bestFit="1" customWidth="1"/>
    <col min="82" max="82" width="7.109375" style="104" bestFit="1" customWidth="1"/>
    <col min="83" max="83" width="15.5546875" style="126" bestFit="1" customWidth="1"/>
    <col min="84" max="86" width="15.5546875" style="104" bestFit="1" customWidth="1"/>
    <col min="87" max="87" width="15.88671875" style="104" customWidth="1"/>
    <col min="88" max="88" width="15.5546875" style="104" bestFit="1" customWidth="1"/>
    <col min="89" max="89" width="15.5546875" style="104" customWidth="1"/>
    <col min="90" max="90" width="17.109375" style="104" customWidth="1"/>
    <col min="91" max="94" width="15.5546875" style="104" bestFit="1" customWidth="1"/>
    <col min="95" max="95" width="20.33203125" style="104" customWidth="1"/>
    <col min="96" max="96" width="20.33203125" style="126" customWidth="1"/>
    <col min="97" max="97" width="15.88671875" style="104" customWidth="1"/>
    <col min="98" max="98" width="15.5546875" style="104" bestFit="1" customWidth="1"/>
    <col min="99" max="99" width="14.44140625" style="104" bestFit="1" customWidth="1"/>
    <col min="100" max="100" width="13.109375" style="104" bestFit="1" customWidth="1"/>
    <col min="101" max="16384" width="9.109375" style="104"/>
  </cols>
  <sheetData>
    <row r="1" spans="1:101" ht="15" customHeight="1" x14ac:dyDescent="0.25">
      <c r="A1" s="234"/>
      <c r="B1" s="234"/>
      <c r="C1" s="234"/>
      <c r="D1" s="234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</row>
    <row r="3" spans="1:101" x14ac:dyDescent="0.25">
      <c r="A3" s="107"/>
      <c r="B3" s="108" t="s">
        <v>1</v>
      </c>
      <c r="C3" s="108" t="s">
        <v>2</v>
      </c>
      <c r="D3" s="108" t="s">
        <v>3</v>
      </c>
      <c r="E3" s="108" t="s">
        <v>64</v>
      </c>
      <c r="F3" s="109">
        <v>42370</v>
      </c>
      <c r="G3" s="109">
        <v>42401</v>
      </c>
      <c r="H3" s="109">
        <v>42430</v>
      </c>
      <c r="I3" s="110">
        <v>42461</v>
      </c>
      <c r="J3" s="110">
        <v>42491</v>
      </c>
      <c r="K3" s="110">
        <v>42522</v>
      </c>
      <c r="L3" s="110">
        <v>42552</v>
      </c>
      <c r="M3" s="110">
        <v>42583</v>
      </c>
      <c r="N3" s="110">
        <v>42614</v>
      </c>
      <c r="O3" s="110">
        <v>42644</v>
      </c>
      <c r="P3" s="110">
        <v>42675</v>
      </c>
      <c r="Q3" s="111">
        <v>42705</v>
      </c>
      <c r="R3" s="112" t="s">
        <v>4</v>
      </c>
      <c r="S3" s="110">
        <v>42736</v>
      </c>
      <c r="T3" s="110">
        <v>42767</v>
      </c>
      <c r="U3" s="110">
        <v>42795</v>
      </c>
      <c r="V3" s="110">
        <v>42826</v>
      </c>
      <c r="W3" s="110">
        <v>42856</v>
      </c>
      <c r="X3" s="110">
        <v>42887</v>
      </c>
      <c r="Y3" s="110">
        <v>42917</v>
      </c>
      <c r="Z3" s="110">
        <v>42948</v>
      </c>
      <c r="AA3" s="110">
        <v>42979</v>
      </c>
      <c r="AB3" s="110">
        <v>43009</v>
      </c>
      <c r="AC3" s="110">
        <v>43040</v>
      </c>
      <c r="AD3" s="110">
        <v>43070</v>
      </c>
      <c r="AE3" s="113" t="s">
        <v>5</v>
      </c>
      <c r="AF3" s="110">
        <v>43101</v>
      </c>
      <c r="AG3" s="110">
        <v>43132</v>
      </c>
      <c r="AH3" s="110">
        <v>43160</v>
      </c>
      <c r="AI3" s="110">
        <v>43191</v>
      </c>
      <c r="AJ3" s="110">
        <v>43221</v>
      </c>
      <c r="AK3" s="110">
        <v>43252</v>
      </c>
      <c r="AL3" s="110">
        <v>43282</v>
      </c>
      <c r="AM3" s="110">
        <v>43313</v>
      </c>
      <c r="AN3" s="110">
        <v>43344</v>
      </c>
      <c r="AO3" s="110">
        <v>43374</v>
      </c>
      <c r="AP3" s="110">
        <v>43405</v>
      </c>
      <c r="AQ3" s="110">
        <v>43435</v>
      </c>
      <c r="AR3" s="110" t="s">
        <v>6</v>
      </c>
      <c r="AS3" s="110">
        <v>43466</v>
      </c>
      <c r="AT3" s="110">
        <v>43497</v>
      </c>
      <c r="AU3" s="110">
        <v>43525</v>
      </c>
      <c r="AV3" s="110">
        <v>43556</v>
      </c>
      <c r="AW3" s="110">
        <v>43586</v>
      </c>
      <c r="AX3" s="110">
        <v>43617</v>
      </c>
      <c r="AY3" s="110">
        <v>43647</v>
      </c>
      <c r="AZ3" s="110">
        <v>43678</v>
      </c>
      <c r="BA3" s="110">
        <v>43709</v>
      </c>
      <c r="BB3" s="110">
        <v>43739</v>
      </c>
      <c r="BC3" s="110">
        <v>43770</v>
      </c>
      <c r="BD3" s="110">
        <v>43800</v>
      </c>
      <c r="BE3" s="110" t="s">
        <v>65</v>
      </c>
      <c r="BF3" s="110">
        <v>43831</v>
      </c>
      <c r="BG3" s="110">
        <v>43862</v>
      </c>
      <c r="BH3" s="110">
        <v>43891</v>
      </c>
      <c r="BI3" s="110">
        <v>43922</v>
      </c>
      <c r="BJ3" s="110">
        <v>43952</v>
      </c>
      <c r="BK3" s="110">
        <v>43983</v>
      </c>
      <c r="BL3" s="110">
        <v>44013</v>
      </c>
      <c r="BM3" s="110">
        <v>44044</v>
      </c>
      <c r="BN3" s="110">
        <v>44075</v>
      </c>
      <c r="BO3" s="110">
        <v>44105</v>
      </c>
      <c r="BP3" s="110">
        <v>44136</v>
      </c>
      <c r="BQ3" s="110">
        <v>44166</v>
      </c>
      <c r="BR3" s="110" t="s">
        <v>8</v>
      </c>
      <c r="BS3" s="152">
        <v>44197</v>
      </c>
      <c r="BT3" s="152">
        <v>44228</v>
      </c>
      <c r="BU3" s="152">
        <v>44256</v>
      </c>
      <c r="BV3" s="152">
        <v>44287</v>
      </c>
      <c r="BW3" s="152">
        <v>44317</v>
      </c>
      <c r="BX3" s="152">
        <v>44348</v>
      </c>
      <c r="BY3" s="152">
        <v>44378</v>
      </c>
      <c r="BZ3" s="152">
        <v>44409</v>
      </c>
      <c r="CA3" s="152">
        <v>44440</v>
      </c>
      <c r="CB3" s="152">
        <v>44470</v>
      </c>
      <c r="CC3" s="152">
        <v>44501</v>
      </c>
      <c r="CD3" s="152">
        <v>44531</v>
      </c>
      <c r="CE3" s="175" t="s">
        <v>9</v>
      </c>
      <c r="CF3" s="179">
        <v>44562</v>
      </c>
      <c r="CG3" s="179">
        <v>44593</v>
      </c>
      <c r="CH3" s="179">
        <v>44621</v>
      </c>
      <c r="CI3" s="179">
        <v>44652</v>
      </c>
      <c r="CJ3" s="179">
        <v>44682</v>
      </c>
      <c r="CK3" s="179">
        <v>44713</v>
      </c>
      <c r="CL3" s="179">
        <v>44743</v>
      </c>
      <c r="CM3" s="179">
        <v>44774</v>
      </c>
      <c r="CN3" s="179">
        <v>44805</v>
      </c>
      <c r="CO3" s="179">
        <v>44835</v>
      </c>
      <c r="CP3" s="179">
        <v>44866</v>
      </c>
      <c r="CQ3" s="179">
        <v>44896</v>
      </c>
      <c r="CR3" s="226" t="s">
        <v>10</v>
      </c>
      <c r="CS3" s="179">
        <v>44927</v>
      </c>
      <c r="CT3" s="179">
        <v>44958</v>
      </c>
      <c r="CU3" s="179">
        <v>44986</v>
      </c>
      <c r="CV3" s="179">
        <v>45017</v>
      </c>
      <c r="CW3" s="179">
        <v>45047</v>
      </c>
    </row>
    <row r="4" spans="1:101" x14ac:dyDescent="0.25">
      <c r="A4" s="114" t="s">
        <v>66</v>
      </c>
      <c r="B4" s="115">
        <f t="shared" ref="B4:BM4" si="0">SUM(B5:B6)</f>
        <v>48159479.989999995</v>
      </c>
      <c r="C4" s="115">
        <f t="shared" si="0"/>
        <v>44757555.840000004</v>
      </c>
      <c r="D4" s="115">
        <f t="shared" si="0"/>
        <v>82710315.709999993</v>
      </c>
      <c r="E4" s="115">
        <f t="shared" si="0"/>
        <v>38420292.739999995</v>
      </c>
      <c r="F4" s="115">
        <f t="shared" si="0"/>
        <v>23693686.219999999</v>
      </c>
      <c r="G4" s="115">
        <f t="shared" si="0"/>
        <v>20971535.219999999</v>
      </c>
      <c r="H4" s="115">
        <f t="shared" si="0"/>
        <v>19265908.920000002</v>
      </c>
      <c r="I4" s="115">
        <f t="shared" si="0"/>
        <v>24163791.439999998</v>
      </c>
      <c r="J4" s="115">
        <f t="shared" si="0"/>
        <v>5824706.7199999997</v>
      </c>
      <c r="K4" s="115">
        <f t="shared" si="0"/>
        <v>5635520.1100000003</v>
      </c>
      <c r="L4" s="115">
        <f t="shared" si="0"/>
        <v>10962274.109999999</v>
      </c>
      <c r="M4" s="115">
        <f t="shared" si="0"/>
        <v>7394498.1100000003</v>
      </c>
      <c r="N4" s="115">
        <f t="shared" si="0"/>
        <v>6164866.1100000003</v>
      </c>
      <c r="O4" s="115">
        <f t="shared" si="0"/>
        <v>236871528.03999999</v>
      </c>
      <c r="P4" s="115">
        <f t="shared" si="0"/>
        <v>176045617.96000001</v>
      </c>
      <c r="Q4" s="116">
        <f t="shared" si="0"/>
        <v>102501655.09</v>
      </c>
      <c r="R4" s="117">
        <f t="shared" si="0"/>
        <v>102501655.09</v>
      </c>
      <c r="S4" s="117">
        <f t="shared" si="0"/>
        <v>60945143.68</v>
      </c>
      <c r="T4" s="117">
        <f t="shared" si="0"/>
        <v>28396790.75</v>
      </c>
      <c r="U4" s="117">
        <f t="shared" si="0"/>
        <v>16889061.100000001</v>
      </c>
      <c r="V4" s="117">
        <f t="shared" si="0"/>
        <v>13325976</v>
      </c>
      <c r="W4" s="117">
        <f t="shared" si="0"/>
        <v>12473308.109999999</v>
      </c>
      <c r="X4" s="117">
        <f t="shared" si="0"/>
        <v>21388347.689999998</v>
      </c>
      <c r="Y4" s="117">
        <f t="shared" si="0"/>
        <v>78137683.319999993</v>
      </c>
      <c r="Z4" s="117">
        <f t="shared" si="0"/>
        <v>29082193.18</v>
      </c>
      <c r="AA4" s="117">
        <f t="shared" si="0"/>
        <v>119883349.55</v>
      </c>
      <c r="AB4" s="117">
        <f t="shared" si="0"/>
        <v>799596280.63999999</v>
      </c>
      <c r="AC4" s="117">
        <f t="shared" si="0"/>
        <v>296597475.95999998</v>
      </c>
      <c r="AD4" s="117">
        <f t="shared" si="0"/>
        <v>78421274.030000001</v>
      </c>
      <c r="AE4" s="117">
        <f t="shared" si="0"/>
        <v>78421274</v>
      </c>
      <c r="AF4" s="117">
        <f t="shared" si="0"/>
        <v>34927852.379999995</v>
      </c>
      <c r="AG4" s="117">
        <f t="shared" si="0"/>
        <v>69167155.400000006</v>
      </c>
      <c r="AH4" s="117">
        <f t="shared" si="0"/>
        <v>49719640.240000002</v>
      </c>
      <c r="AI4" s="117">
        <f t="shared" si="0"/>
        <v>43427996.490000002</v>
      </c>
      <c r="AJ4" s="117">
        <f t="shared" si="0"/>
        <v>45750239.490000002</v>
      </c>
      <c r="AK4" s="117">
        <f t="shared" si="0"/>
        <v>67284167.370000005</v>
      </c>
      <c r="AL4" s="117">
        <f t="shared" si="0"/>
        <v>74586335.670000002</v>
      </c>
      <c r="AM4" s="117">
        <f t="shared" si="0"/>
        <v>63662072.369999997</v>
      </c>
      <c r="AN4" s="117">
        <f t="shared" si="0"/>
        <v>62965210.369999997</v>
      </c>
      <c r="AO4" s="117">
        <f t="shared" si="0"/>
        <v>338544102.11000001</v>
      </c>
      <c r="AP4" s="117">
        <f t="shared" si="0"/>
        <v>140732793.37</v>
      </c>
      <c r="AQ4" s="117">
        <f t="shared" si="0"/>
        <v>148425186.58000001</v>
      </c>
      <c r="AR4" s="117">
        <f t="shared" si="0"/>
        <v>148425186.58000001</v>
      </c>
      <c r="AS4" s="117">
        <f t="shared" si="0"/>
        <v>47530788.310000002</v>
      </c>
      <c r="AT4" s="117">
        <f t="shared" si="0"/>
        <v>33421106.41</v>
      </c>
      <c r="AU4" s="117">
        <f t="shared" si="0"/>
        <v>53595286.409999996</v>
      </c>
      <c r="AV4" s="117">
        <f t="shared" si="0"/>
        <v>37417456.409999996</v>
      </c>
      <c r="AW4" s="117">
        <f t="shared" si="0"/>
        <v>22475869</v>
      </c>
      <c r="AX4" s="117">
        <f t="shared" si="0"/>
        <v>47848752</v>
      </c>
      <c r="AY4" s="117">
        <f t="shared" si="0"/>
        <v>38802650</v>
      </c>
      <c r="AZ4" s="117">
        <f t="shared" si="0"/>
        <v>34617793</v>
      </c>
      <c r="BA4" s="117">
        <f t="shared" si="0"/>
        <v>34695814</v>
      </c>
      <c r="BB4" s="117">
        <f t="shared" si="0"/>
        <v>86959773.030000001</v>
      </c>
      <c r="BC4" s="117">
        <f t="shared" si="0"/>
        <v>38914817.719999999</v>
      </c>
      <c r="BD4" s="117">
        <f t="shared" si="0"/>
        <v>23143951.810000002</v>
      </c>
      <c r="BE4" s="117">
        <f t="shared" si="0"/>
        <v>0</v>
      </c>
      <c r="BF4" s="117">
        <f t="shared" si="0"/>
        <v>26254128.02</v>
      </c>
      <c r="BG4" s="117">
        <f t="shared" si="0"/>
        <v>46809139.969999999</v>
      </c>
      <c r="BH4" s="117">
        <f t="shared" si="0"/>
        <v>99600475</v>
      </c>
      <c r="BI4" s="117">
        <f t="shared" si="0"/>
        <v>116185525</v>
      </c>
      <c r="BJ4" s="117">
        <f t="shared" si="0"/>
        <v>132565092</v>
      </c>
      <c r="BK4" s="117">
        <f t="shared" si="0"/>
        <v>127468895</v>
      </c>
      <c r="BL4" s="117">
        <f t="shared" si="0"/>
        <v>0</v>
      </c>
      <c r="BM4" s="117">
        <f t="shared" si="0"/>
        <v>389093871</v>
      </c>
      <c r="BN4" s="117">
        <f t="shared" ref="BN4:CS4" si="1">SUM(BN5:BN6)</f>
        <v>124358206</v>
      </c>
      <c r="BO4" s="117">
        <f t="shared" si="1"/>
        <v>256517057</v>
      </c>
      <c r="BP4" s="117">
        <f t="shared" si="1"/>
        <v>161897852.84</v>
      </c>
      <c r="BQ4" s="117">
        <f t="shared" si="1"/>
        <v>81162284.719999999</v>
      </c>
      <c r="BR4" s="117">
        <f t="shared" si="1"/>
        <v>81167284.710000008</v>
      </c>
      <c r="BS4" s="117">
        <f t="shared" si="1"/>
        <v>58649561.829999998</v>
      </c>
      <c r="BT4" s="117">
        <f t="shared" si="1"/>
        <v>104580980.62</v>
      </c>
      <c r="BU4" s="117">
        <f t="shared" si="1"/>
        <v>81866537.969999999</v>
      </c>
      <c r="BV4" s="117">
        <f t="shared" si="1"/>
        <v>107703673.09</v>
      </c>
      <c r="BW4" s="117">
        <f t="shared" si="1"/>
        <v>90726628.540000007</v>
      </c>
      <c r="BX4" s="117">
        <f t="shared" si="1"/>
        <v>80487607.140000001</v>
      </c>
      <c r="BY4" s="117">
        <f t="shared" si="1"/>
        <v>82432263.849999994</v>
      </c>
      <c r="BZ4" s="117">
        <f t="shared" si="1"/>
        <v>68420257.200000003</v>
      </c>
      <c r="CA4" s="117">
        <f t="shared" si="1"/>
        <v>69103728.350000009</v>
      </c>
      <c r="CB4" s="117">
        <f t="shared" si="1"/>
        <v>195744310.28999999</v>
      </c>
      <c r="CC4" s="117">
        <f t="shared" si="1"/>
        <v>0</v>
      </c>
      <c r="CD4" s="117">
        <f t="shared" si="1"/>
        <v>0</v>
      </c>
      <c r="CE4" s="117">
        <f t="shared" si="1"/>
        <v>9508131.6999999993</v>
      </c>
      <c r="CF4" s="117">
        <f t="shared" si="1"/>
        <v>7564218.0599999996</v>
      </c>
      <c r="CG4" s="117">
        <f t="shared" si="1"/>
        <v>-4997324.4700000007</v>
      </c>
      <c r="CH4" s="117">
        <f t="shared" si="1"/>
        <v>-7552737.1100000013</v>
      </c>
      <c r="CI4" s="117">
        <f t="shared" si="1"/>
        <v>-50559.469999999739</v>
      </c>
      <c r="CJ4" s="117">
        <f t="shared" si="1"/>
        <v>-17532522.719999999</v>
      </c>
      <c r="CK4" s="117">
        <f t="shared" si="1"/>
        <v>-1916942.4300000016</v>
      </c>
      <c r="CL4" s="117">
        <f t="shared" si="1"/>
        <v>133182056.94999999</v>
      </c>
      <c r="CM4" s="117">
        <f t="shared" si="1"/>
        <v>83184983.109999999</v>
      </c>
      <c r="CN4" s="117">
        <f t="shared" si="1"/>
        <v>40287053.899999999</v>
      </c>
      <c r="CO4" s="117">
        <f t="shared" si="1"/>
        <v>21421130.449999999</v>
      </c>
      <c r="CP4" s="117">
        <f t="shared" si="1"/>
        <v>5231647.21</v>
      </c>
      <c r="CQ4" s="117">
        <f t="shared" si="1"/>
        <v>-11891251.959999999</v>
      </c>
      <c r="CR4" s="117">
        <f t="shared" si="1"/>
        <v>-11891251.949999999</v>
      </c>
      <c r="CS4" s="117">
        <f t="shared" si="1"/>
        <v>-13342379.299999997</v>
      </c>
    </row>
    <row r="5" spans="1:101" ht="14.4" x14ac:dyDescent="0.25">
      <c r="A5" s="118" t="s">
        <v>67</v>
      </c>
      <c r="B5" s="119">
        <v>24191209.800000001</v>
      </c>
      <c r="C5" s="119">
        <v>15917353</v>
      </c>
      <c r="D5" s="120">
        <v>23182703.039999999</v>
      </c>
      <c r="E5" s="119">
        <v>15600124</v>
      </c>
      <c r="F5" s="119">
        <v>2905102</v>
      </c>
      <c r="G5" s="121">
        <v>2165682</v>
      </c>
      <c r="H5" s="121">
        <v>8964052</v>
      </c>
      <c r="I5" s="121">
        <v>8445808</v>
      </c>
      <c r="J5" s="121">
        <v>6460655</v>
      </c>
      <c r="K5" s="121">
        <v>5358831</v>
      </c>
      <c r="L5" s="121">
        <v>3892329</v>
      </c>
      <c r="M5" s="121">
        <v>1340041</v>
      </c>
      <c r="N5" s="121">
        <v>4158194</v>
      </c>
      <c r="O5" s="121">
        <v>86264247</v>
      </c>
      <c r="P5" s="121">
        <v>19156836</v>
      </c>
      <c r="Q5" s="122">
        <v>23806073.18</v>
      </c>
      <c r="R5" s="123">
        <v>23806073.18</v>
      </c>
      <c r="S5" s="121">
        <v>19370910</v>
      </c>
      <c r="T5" s="121">
        <v>14900455</v>
      </c>
      <c r="U5" s="121">
        <v>4870448.1500000004</v>
      </c>
      <c r="V5" s="121">
        <v>8128181.7000000002</v>
      </c>
      <c r="W5" s="121">
        <v>7555033</v>
      </c>
      <c r="X5" s="121">
        <v>7668864</v>
      </c>
      <c r="Y5" s="121">
        <v>29856502.5</v>
      </c>
      <c r="Z5" s="121">
        <v>9837900</v>
      </c>
      <c r="AA5" s="121">
        <v>57273755</v>
      </c>
      <c r="AB5" s="124">
        <v>44876260</v>
      </c>
      <c r="AC5" s="124">
        <v>27209625</v>
      </c>
      <c r="AD5" s="124">
        <v>16235536.85</v>
      </c>
      <c r="AE5" s="124">
        <v>16235536.85</v>
      </c>
      <c r="AF5" s="125">
        <v>9168589</v>
      </c>
      <c r="AG5" s="125">
        <v>19054403</v>
      </c>
      <c r="AH5" s="125">
        <v>5232305</v>
      </c>
      <c r="AI5" s="125">
        <v>5472940</v>
      </c>
      <c r="AJ5" s="125">
        <v>4071121</v>
      </c>
      <c r="AK5" s="125">
        <v>6902351</v>
      </c>
      <c r="AL5" s="125">
        <v>13606854</v>
      </c>
      <c r="AM5" s="125">
        <v>7085696</v>
      </c>
      <c r="AN5" s="125">
        <v>3820627</v>
      </c>
      <c r="AO5" s="125">
        <v>36107033</v>
      </c>
      <c r="AP5" s="126">
        <v>10370991</v>
      </c>
      <c r="AQ5" s="126">
        <v>3570118.34</v>
      </c>
      <c r="AR5" s="127">
        <v>3570118.34</v>
      </c>
      <c r="AS5" s="128">
        <v>11042681</v>
      </c>
      <c r="AT5" s="128">
        <v>8746086</v>
      </c>
      <c r="AU5" s="128">
        <v>6194519</v>
      </c>
      <c r="AV5" s="128">
        <v>9478302</v>
      </c>
      <c r="AW5" s="128">
        <v>3582148</v>
      </c>
      <c r="AX5" s="128">
        <v>7575945</v>
      </c>
      <c r="AY5" s="128">
        <v>9044277</v>
      </c>
      <c r="AZ5" s="121">
        <v>10688395</v>
      </c>
      <c r="BA5" s="121">
        <v>7108894</v>
      </c>
      <c r="BB5" s="121">
        <v>47364254</v>
      </c>
      <c r="BC5" s="121">
        <v>10217056</v>
      </c>
      <c r="BD5" s="153">
        <v>7918205.5899999999</v>
      </c>
      <c r="BE5" s="154"/>
      <c r="BF5" s="121">
        <v>11683321</v>
      </c>
      <c r="BG5" s="121">
        <v>26020165</v>
      </c>
      <c r="BH5" s="121">
        <v>17774199</v>
      </c>
      <c r="BI5" s="121">
        <v>23055336</v>
      </c>
      <c r="BJ5" s="121">
        <v>18479062</v>
      </c>
      <c r="BK5" s="121">
        <v>14504890</v>
      </c>
      <c r="BL5" s="121"/>
      <c r="BM5" s="121">
        <v>39804411</v>
      </c>
      <c r="BN5" s="121">
        <v>21575514</v>
      </c>
      <c r="BO5" s="121">
        <v>50437171</v>
      </c>
      <c r="BP5" s="121">
        <v>22003764</v>
      </c>
      <c r="BQ5" s="121">
        <v>12623076.210000001</v>
      </c>
      <c r="BR5" s="150">
        <f>'[1]Draft accounts 2020'!$D$666</f>
        <v>12623076.199999999</v>
      </c>
      <c r="BS5" s="104">
        <v>17226616.91</v>
      </c>
      <c r="BT5" s="104">
        <v>19422922.109999999</v>
      </c>
      <c r="BU5" s="104">
        <v>14712180.859999999</v>
      </c>
      <c r="BV5" s="104">
        <v>13111203.810000001</v>
      </c>
      <c r="BW5" s="162">
        <v>20956748.359999999</v>
      </c>
      <c r="BX5" s="164">
        <v>8547077.3100000005</v>
      </c>
      <c r="BY5" s="164">
        <v>13659648.859999999</v>
      </c>
      <c r="BZ5" s="166">
        <v>8933309.8300000001</v>
      </c>
      <c r="CA5" s="168">
        <v>8431009.3300000001</v>
      </c>
      <c r="CB5" s="168">
        <v>30713370.030000001</v>
      </c>
      <c r="CE5" s="126">
        <v>5989569.8399999999</v>
      </c>
      <c r="CF5" s="181">
        <v>5363580.26</v>
      </c>
      <c r="CG5" s="181">
        <v>2257388.7799999998</v>
      </c>
      <c r="CH5" s="181">
        <v>3879988.28</v>
      </c>
      <c r="CI5" s="181">
        <v>7134057.2300000004</v>
      </c>
      <c r="CJ5" s="181">
        <v>9334661.4299999997</v>
      </c>
      <c r="CK5" s="181">
        <v>11535719.779999999</v>
      </c>
      <c r="CL5" s="181">
        <v>40703386.979999997</v>
      </c>
      <c r="CM5" s="181">
        <v>35929261.380000003</v>
      </c>
      <c r="CN5" s="181">
        <v>8236404.4299999997</v>
      </c>
      <c r="CO5" s="181">
        <v>7769412.2800000003</v>
      </c>
      <c r="CP5" s="181">
        <v>8728570.0800000001</v>
      </c>
      <c r="CQ5" s="181">
        <v>7093481.7400000002</v>
      </c>
      <c r="CR5" s="227">
        <f>7093481.75</f>
        <v>7093481.75</v>
      </c>
      <c r="CS5" s="222">
        <v>6545584.4400000004</v>
      </c>
    </row>
    <row r="6" spans="1:101" ht="14.4" x14ac:dyDescent="0.25">
      <c r="A6" s="118" t="s">
        <v>68</v>
      </c>
      <c r="B6" s="119">
        <v>23968270.189999998</v>
      </c>
      <c r="C6" s="119">
        <v>28840202.840000004</v>
      </c>
      <c r="D6" s="120">
        <v>59527612.669999994</v>
      </c>
      <c r="E6" s="119">
        <v>22820168.739999998</v>
      </c>
      <c r="F6" s="119">
        <v>20788584.219999999</v>
      </c>
      <c r="G6" s="121">
        <v>18805853.219999999</v>
      </c>
      <c r="H6" s="121">
        <v>10301856.92</v>
      </c>
      <c r="I6" s="121">
        <v>15717983.439999999</v>
      </c>
      <c r="J6" s="121">
        <v>-635948.28</v>
      </c>
      <c r="K6" s="121">
        <v>276689.11</v>
      </c>
      <c r="L6" s="121">
        <v>7069945.1100000003</v>
      </c>
      <c r="M6" s="121">
        <v>6054457.1100000003</v>
      </c>
      <c r="N6" s="121">
        <v>2006672.11</v>
      </c>
      <c r="O6" s="121">
        <v>150607281.03999999</v>
      </c>
      <c r="P6" s="121">
        <v>156888781.96000001</v>
      </c>
      <c r="Q6" s="122">
        <v>78695581.909999996</v>
      </c>
      <c r="R6" s="123">
        <f>102501655.09-R5</f>
        <v>78695581.909999996</v>
      </c>
      <c r="S6" s="121">
        <v>41574233.68</v>
      </c>
      <c r="T6" s="121">
        <v>13496335.75</v>
      </c>
      <c r="U6" s="121">
        <v>12018612.949999999</v>
      </c>
      <c r="V6" s="121">
        <v>5197794.3</v>
      </c>
      <c r="W6" s="121">
        <v>4918275.1100000003</v>
      </c>
      <c r="X6" s="121">
        <v>13719483.689999999</v>
      </c>
      <c r="Y6" s="121">
        <v>48281180.82</v>
      </c>
      <c r="Z6" s="121">
        <v>19244293.18</v>
      </c>
      <c r="AA6" s="121">
        <v>62609594.549999997</v>
      </c>
      <c r="AB6" s="124">
        <v>754720020.63999999</v>
      </c>
      <c r="AC6" s="124">
        <v>269387850.95999998</v>
      </c>
      <c r="AD6" s="124">
        <v>62185737.18</v>
      </c>
      <c r="AE6" s="124">
        <f>78421274-16235536.85</f>
        <v>62185737.149999999</v>
      </c>
      <c r="AF6" s="125">
        <v>25759263.379999999</v>
      </c>
      <c r="AG6" s="125">
        <v>50112752.399999999</v>
      </c>
      <c r="AH6" s="125">
        <v>44487335.240000002</v>
      </c>
      <c r="AI6" s="125">
        <v>37955056.490000002</v>
      </c>
      <c r="AJ6" s="125">
        <v>41679118.490000002</v>
      </c>
      <c r="AK6" s="125">
        <v>60381816.369999997</v>
      </c>
      <c r="AL6" s="125">
        <v>60979481.670000002</v>
      </c>
      <c r="AM6" s="125">
        <v>56576376.369999997</v>
      </c>
      <c r="AN6" s="125">
        <v>59144583.369999997</v>
      </c>
      <c r="AO6" s="125">
        <v>302437069.11000001</v>
      </c>
      <c r="AP6" s="126">
        <v>130361802.37</v>
      </c>
      <c r="AQ6" s="126">
        <v>144855068.24000001</v>
      </c>
      <c r="AR6" s="127">
        <f>148425186.58-AR5</f>
        <v>144855068.24000001</v>
      </c>
      <c r="AS6" s="128">
        <v>36488107.310000002</v>
      </c>
      <c r="AT6" s="128">
        <v>24675020.41</v>
      </c>
      <c r="AU6" s="128">
        <v>47400767.409999996</v>
      </c>
      <c r="AV6" s="128">
        <v>27939154.41</v>
      </c>
      <c r="AW6" s="128">
        <v>18893721</v>
      </c>
      <c r="AX6" s="128">
        <v>40272807</v>
      </c>
      <c r="AY6" s="128">
        <v>29758373</v>
      </c>
      <c r="AZ6" s="121">
        <v>23929398</v>
      </c>
      <c r="BA6" s="121">
        <v>27586920</v>
      </c>
      <c r="BB6" s="121">
        <v>39595519.030000001</v>
      </c>
      <c r="BC6" s="121">
        <v>28697761.719999999</v>
      </c>
      <c r="BD6" s="153">
        <v>15225746.220000001</v>
      </c>
      <c r="BE6" s="154"/>
      <c r="BF6" s="121">
        <v>14570807.02</v>
      </c>
      <c r="BG6" s="121">
        <v>20788974.969999999</v>
      </c>
      <c r="BH6" s="121">
        <v>81826276</v>
      </c>
      <c r="BI6" s="121">
        <v>93130189</v>
      </c>
      <c r="BJ6" s="121">
        <v>114086030</v>
      </c>
      <c r="BK6" s="121">
        <v>112964005</v>
      </c>
      <c r="BL6" s="121"/>
      <c r="BM6" s="121">
        <v>349289460</v>
      </c>
      <c r="BN6" s="121">
        <v>102782692</v>
      </c>
      <c r="BO6" s="121">
        <v>206079886</v>
      </c>
      <c r="BP6" s="121">
        <v>139894088.84</v>
      </c>
      <c r="BQ6" s="121">
        <v>68539208.510000005</v>
      </c>
      <c r="BR6" s="150">
        <f>'[1]Draft accounts 2020'!$D$672-'[1]Draft accounts 2020'!$D$666</f>
        <v>68544208.510000005</v>
      </c>
      <c r="BS6" s="104">
        <v>41422944.920000002</v>
      </c>
      <c r="BT6" s="104">
        <v>85158058.510000005</v>
      </c>
      <c r="BU6" s="104">
        <v>67154357.109999999</v>
      </c>
      <c r="BV6" s="104">
        <v>94592469.280000001</v>
      </c>
      <c r="BW6" s="166">
        <v>69769880.180000007</v>
      </c>
      <c r="BX6" s="168">
        <v>71940529.829999998</v>
      </c>
      <c r="BY6" s="168">
        <v>68772614.989999995</v>
      </c>
      <c r="BZ6" s="166">
        <v>59486947.369999997</v>
      </c>
      <c r="CA6" s="168">
        <v>60672719.020000003</v>
      </c>
      <c r="CB6" s="168">
        <v>165030940.25999999</v>
      </c>
      <c r="CE6" s="126">
        <f>9508131.7-5989569.84</f>
        <v>3518561.8599999994</v>
      </c>
      <c r="CF6" s="181">
        <v>2200637.7999999998</v>
      </c>
      <c r="CG6" s="181">
        <v>-7254713.25</v>
      </c>
      <c r="CH6" s="181">
        <v>-11432725.390000001</v>
      </c>
      <c r="CI6" s="181">
        <v>-7184616.7000000002</v>
      </c>
      <c r="CJ6" s="181">
        <v>-26867184.149999999</v>
      </c>
      <c r="CK6" s="181">
        <v>-13452662.210000001</v>
      </c>
      <c r="CL6" s="181">
        <v>92478669.969999999</v>
      </c>
      <c r="CM6" s="181">
        <v>47255721.729999997</v>
      </c>
      <c r="CN6" s="181">
        <v>32050649.469999999</v>
      </c>
      <c r="CO6" s="181">
        <v>13651718.17</v>
      </c>
      <c r="CP6" s="181">
        <v>-3496922.87</v>
      </c>
      <c r="CQ6" s="181">
        <v>-18984733.699999999</v>
      </c>
      <c r="CR6" s="227">
        <f>41.46+13286+3130758+1973576.41+388621.39+390956.49+275652.94+30000-15337551.35-9850075.04</f>
        <v>-18984733.699999999</v>
      </c>
      <c r="CS6" s="222">
        <v>-19887963.739999998</v>
      </c>
    </row>
    <row r="7" spans="1:101" s="105" customFormat="1" ht="14.4" x14ac:dyDescent="0.25">
      <c r="A7" s="114" t="s">
        <v>69</v>
      </c>
      <c r="B7" s="129">
        <v>75210706.060000002</v>
      </c>
      <c r="C7" s="129">
        <v>100216902.08</v>
      </c>
      <c r="D7" s="130">
        <v>105319481.75</v>
      </c>
      <c r="E7" s="129">
        <v>9207511.9299999997</v>
      </c>
      <c r="F7" s="129">
        <v>12489133</v>
      </c>
      <c r="G7" s="121">
        <v>12489133</v>
      </c>
      <c r="H7" s="121">
        <v>12489133</v>
      </c>
      <c r="I7" s="121">
        <v>24978266</v>
      </c>
      <c r="J7" s="121">
        <v>12489133</v>
      </c>
      <c r="K7" s="121">
        <v>12489133</v>
      </c>
      <c r="L7" s="121">
        <v>12489133</v>
      </c>
      <c r="M7" s="121">
        <v>12489133</v>
      </c>
      <c r="N7" s="121">
        <v>12489133</v>
      </c>
      <c r="O7" s="131">
        <v>12489133</v>
      </c>
      <c r="P7" s="131">
        <v>24978266</v>
      </c>
      <c r="Q7" s="132">
        <v>9256906.9900000002</v>
      </c>
      <c r="R7" s="133">
        <f>14420714.59+62098018.01</f>
        <v>76518732.599999994</v>
      </c>
      <c r="S7" s="134">
        <v>18513813.98</v>
      </c>
      <c r="T7" s="134">
        <v>9256906.9900000002</v>
      </c>
      <c r="U7" s="134">
        <v>5250106.99</v>
      </c>
      <c r="V7" s="134">
        <v>5250106.99</v>
      </c>
      <c r="W7" s="134">
        <v>5250106.99</v>
      </c>
      <c r="X7" s="134">
        <v>5250106.99</v>
      </c>
      <c r="Y7" s="134">
        <v>15750320.970000001</v>
      </c>
      <c r="Z7" s="134">
        <v>10500213.98</v>
      </c>
      <c r="AA7" s="134">
        <v>26250534.949999999</v>
      </c>
      <c r="AB7" s="135">
        <v>10500213.98</v>
      </c>
      <c r="AC7" s="135">
        <v>15750320.970000001</v>
      </c>
      <c r="AD7" s="135">
        <v>5952520</v>
      </c>
      <c r="AE7" s="135">
        <f>6804770.95+49990796.59</f>
        <v>56795567.540000007</v>
      </c>
      <c r="AF7" s="135">
        <v>5952520</v>
      </c>
      <c r="AG7" s="135">
        <v>5952520</v>
      </c>
      <c r="AH7" s="135">
        <v>5952520</v>
      </c>
      <c r="AI7" s="135">
        <v>5952520</v>
      </c>
      <c r="AJ7" s="136">
        <v>5952520</v>
      </c>
      <c r="AK7" s="136">
        <v>16236716</v>
      </c>
      <c r="AL7" s="136">
        <v>15892642</v>
      </c>
      <c r="AM7" s="136">
        <v>16147384</v>
      </c>
      <c r="AN7" s="136">
        <v>15388577</v>
      </c>
      <c r="AO7" s="136">
        <v>8154766</v>
      </c>
      <c r="AP7" s="137">
        <v>8669242</v>
      </c>
      <c r="AQ7" s="137">
        <v>8411647.9299999997</v>
      </c>
      <c r="AR7" s="138">
        <f>42204144.62-5000000</f>
        <v>37204144.619999997</v>
      </c>
      <c r="AS7" s="138">
        <v>25676409</v>
      </c>
      <c r="AT7" s="138">
        <v>25614419.190000001</v>
      </c>
      <c r="AU7" s="138">
        <v>25081340</v>
      </c>
      <c r="AV7" s="139">
        <v>24835164</v>
      </c>
      <c r="AW7" s="139">
        <v>24111337</v>
      </c>
      <c r="AX7" s="139">
        <v>22878958</v>
      </c>
      <c r="AY7" s="139">
        <v>21763057</v>
      </c>
      <c r="AZ7" s="213">
        <v>20440066</v>
      </c>
      <c r="BA7" s="213">
        <v>18675689</v>
      </c>
      <c r="BB7" s="213">
        <v>16617870.300000001</v>
      </c>
      <c r="BC7" s="213">
        <v>24320387.870000001</v>
      </c>
      <c r="BD7" s="213">
        <v>28115887.649999999</v>
      </c>
      <c r="BE7" s="214"/>
      <c r="BF7" s="213">
        <v>30105130.600000001</v>
      </c>
      <c r="BG7" s="213">
        <v>28736444</v>
      </c>
      <c r="BH7" s="213">
        <v>28650811</v>
      </c>
      <c r="BI7" s="213">
        <v>24094447</v>
      </c>
      <c r="BJ7" s="213">
        <v>22253974</v>
      </c>
      <c r="BK7" s="213">
        <v>22493631</v>
      </c>
      <c r="BL7" s="213"/>
      <c r="BM7" s="213">
        <v>51935187</v>
      </c>
      <c r="BN7" s="213">
        <v>18028296</v>
      </c>
      <c r="BO7" s="213">
        <v>9006376</v>
      </c>
      <c r="BP7" s="213">
        <v>28516614</v>
      </c>
      <c r="BQ7" s="213">
        <v>27523029.350000001</v>
      </c>
      <c r="BR7" s="215">
        <f>'[1]Draft accounts 2020'!$D$744</f>
        <v>44279559.790000007</v>
      </c>
      <c r="BS7" s="216">
        <v>28923107.289999999</v>
      </c>
      <c r="BT7" s="217">
        <v>28465473.489999998</v>
      </c>
      <c r="BU7" s="217">
        <v>28084165.43</v>
      </c>
      <c r="BV7" s="217">
        <v>26288320.120000001</v>
      </c>
      <c r="BW7" s="218">
        <v>25863393.93</v>
      </c>
      <c r="BX7" s="219">
        <v>27555824.66</v>
      </c>
      <c r="BY7" s="219">
        <v>27398041.850000001</v>
      </c>
      <c r="BZ7" s="218">
        <v>27423368.210000001</v>
      </c>
      <c r="CA7" s="219">
        <v>26494607.379999999</v>
      </c>
      <c r="CB7" s="219">
        <v>22692548.59</v>
      </c>
      <c r="CC7" s="217"/>
      <c r="CD7" s="217"/>
      <c r="CE7" s="134">
        <v>60916310.049999997</v>
      </c>
      <c r="CF7" s="181">
        <v>31781305.690000001</v>
      </c>
      <c r="CG7" s="181">
        <v>31748484.27</v>
      </c>
      <c r="CH7" s="181">
        <v>31542656.800000001</v>
      </c>
      <c r="CI7" s="181">
        <v>32573020.41</v>
      </c>
      <c r="CJ7" s="181">
        <v>33766181.18</v>
      </c>
      <c r="CK7" s="181">
        <v>34112377.479999997</v>
      </c>
      <c r="CL7" s="181">
        <v>41342289.170000002</v>
      </c>
      <c r="CM7" s="181">
        <v>34452560.509999998</v>
      </c>
      <c r="CN7" s="181">
        <v>35818343.130000003</v>
      </c>
      <c r="CO7" s="181">
        <v>36772944.740000002</v>
      </c>
      <c r="CP7" s="181">
        <v>37562594.020000003</v>
      </c>
      <c r="CQ7" s="181">
        <v>39913959.880000003</v>
      </c>
      <c r="CR7" s="227">
        <v>74737674.280000001</v>
      </c>
      <c r="CS7" s="222">
        <v>40367189.299999997</v>
      </c>
    </row>
    <row r="8" spans="1:101" x14ac:dyDescent="0.25">
      <c r="A8" s="114" t="s">
        <v>70</v>
      </c>
      <c r="B8" s="115">
        <f t="shared" ref="B8:AU8" si="2">SUM(B9:B12)</f>
        <v>36066278</v>
      </c>
      <c r="C8" s="115">
        <f t="shared" si="2"/>
        <v>19230840</v>
      </c>
      <c r="D8" s="115">
        <f t="shared" si="2"/>
        <v>19230840</v>
      </c>
      <c r="E8" s="115">
        <f t="shared" si="2"/>
        <v>34219861.519999996</v>
      </c>
      <c r="F8" s="115">
        <f t="shared" si="2"/>
        <v>35463780</v>
      </c>
      <c r="G8" s="115">
        <f t="shared" si="2"/>
        <v>36946632.549999997</v>
      </c>
      <c r="H8" s="115">
        <f t="shared" si="2"/>
        <v>36946632.549999997</v>
      </c>
      <c r="I8" s="115">
        <f t="shared" si="2"/>
        <v>73893265.099999994</v>
      </c>
      <c r="J8" s="115">
        <f t="shared" si="2"/>
        <v>36946632.549999997</v>
      </c>
      <c r="K8" s="115">
        <f t="shared" si="2"/>
        <v>36946632.549999997</v>
      </c>
      <c r="L8" s="115">
        <f t="shared" si="2"/>
        <v>37336066</v>
      </c>
      <c r="M8" s="115">
        <f t="shared" si="2"/>
        <v>37336066</v>
      </c>
      <c r="N8" s="115">
        <f t="shared" si="2"/>
        <v>37336066</v>
      </c>
      <c r="O8" s="115">
        <f t="shared" si="2"/>
        <v>37336066</v>
      </c>
      <c r="P8" s="115">
        <f t="shared" si="2"/>
        <v>38461680</v>
      </c>
      <c r="Q8" s="115">
        <f t="shared" si="2"/>
        <v>19230840</v>
      </c>
      <c r="R8" s="116">
        <f t="shared" si="2"/>
        <v>24230840</v>
      </c>
      <c r="S8" s="116">
        <f t="shared" si="2"/>
        <v>38461680</v>
      </c>
      <c r="T8" s="116">
        <f t="shared" si="2"/>
        <v>19230840</v>
      </c>
      <c r="U8" s="116">
        <f t="shared" si="2"/>
        <v>24230840</v>
      </c>
      <c r="V8" s="116">
        <f t="shared" si="2"/>
        <v>24230840</v>
      </c>
      <c r="W8" s="116">
        <f t="shared" si="2"/>
        <v>24230840</v>
      </c>
      <c r="X8" s="116">
        <f t="shared" si="2"/>
        <v>24230840</v>
      </c>
      <c r="Y8" s="116">
        <f t="shared" si="2"/>
        <v>72692520</v>
      </c>
      <c r="Z8" s="116">
        <f t="shared" si="2"/>
        <v>48461680</v>
      </c>
      <c r="AA8" s="116">
        <f t="shared" si="2"/>
        <v>121154200</v>
      </c>
      <c r="AB8" s="116">
        <f t="shared" si="2"/>
        <v>48461680</v>
      </c>
      <c r="AC8" s="116">
        <f t="shared" si="2"/>
        <v>72692520</v>
      </c>
      <c r="AD8" s="116">
        <f t="shared" si="2"/>
        <v>24230840</v>
      </c>
      <c r="AE8" s="116">
        <f t="shared" si="2"/>
        <v>24230840</v>
      </c>
      <c r="AF8" s="116">
        <f t="shared" si="2"/>
        <v>24230840</v>
      </c>
      <c r="AG8" s="116">
        <f t="shared" si="2"/>
        <v>24230840</v>
      </c>
      <c r="AH8" s="116">
        <f t="shared" si="2"/>
        <v>24230840</v>
      </c>
      <c r="AI8" s="116">
        <f t="shared" si="2"/>
        <v>24230840</v>
      </c>
      <c r="AJ8" s="116">
        <f t="shared" si="2"/>
        <v>24230840</v>
      </c>
      <c r="AK8" s="116">
        <f t="shared" si="2"/>
        <v>24230840</v>
      </c>
      <c r="AL8" s="116">
        <f t="shared" si="2"/>
        <v>19230840</v>
      </c>
      <c r="AM8" s="116">
        <f t="shared" si="2"/>
        <v>19230840</v>
      </c>
      <c r="AN8" s="116">
        <f t="shared" si="2"/>
        <v>19230840</v>
      </c>
      <c r="AO8" s="116">
        <f t="shared" si="2"/>
        <v>19230840</v>
      </c>
      <c r="AP8" s="116">
        <f t="shared" si="2"/>
        <v>19230840</v>
      </c>
      <c r="AQ8" s="116">
        <f t="shared" si="2"/>
        <v>19230840</v>
      </c>
      <c r="AR8" s="140">
        <f t="shared" si="2"/>
        <v>175262790</v>
      </c>
      <c r="AS8" s="140">
        <f t="shared" si="2"/>
        <v>19230840</v>
      </c>
      <c r="AT8" s="140">
        <f t="shared" si="2"/>
        <v>19230840</v>
      </c>
      <c r="AU8" s="140">
        <f t="shared" si="2"/>
        <v>19230840</v>
      </c>
      <c r="AV8" s="140">
        <f>SUM(AV9:AV12)</f>
        <v>19230840</v>
      </c>
      <c r="AW8" s="140">
        <f>SUM(AW9:AW12)</f>
        <v>19230840</v>
      </c>
      <c r="AX8" s="140">
        <f>SUM(AX9:AX12)</f>
        <v>19230840</v>
      </c>
      <c r="AY8" s="140">
        <f>SUM(AY9:AY12)</f>
        <v>19230840</v>
      </c>
      <c r="AZ8" s="140">
        <f t="shared" ref="AZ8:CS8" si="3">SUM(AZ9:AZ12)</f>
        <v>175262790</v>
      </c>
      <c r="BA8" s="140">
        <f t="shared" si="3"/>
        <v>175262790</v>
      </c>
      <c r="BB8" s="140">
        <f t="shared" si="3"/>
        <v>175262790</v>
      </c>
      <c r="BC8" s="140">
        <f t="shared" si="3"/>
        <v>175262790</v>
      </c>
      <c r="BD8" s="140">
        <f t="shared" si="3"/>
        <v>175262790</v>
      </c>
      <c r="BE8" s="140">
        <f t="shared" si="3"/>
        <v>0</v>
      </c>
      <c r="BF8" s="140">
        <f t="shared" si="3"/>
        <v>175262790</v>
      </c>
      <c r="BG8" s="140">
        <f t="shared" si="3"/>
        <v>175262790</v>
      </c>
      <c r="BH8" s="140">
        <f t="shared" si="3"/>
        <v>184451252</v>
      </c>
      <c r="BI8" s="140">
        <f t="shared" si="3"/>
        <v>184451252</v>
      </c>
      <c r="BJ8" s="140">
        <f t="shared" si="3"/>
        <v>184451252</v>
      </c>
      <c r="BK8" s="140">
        <f t="shared" si="3"/>
        <v>184451252</v>
      </c>
      <c r="BL8" s="140">
        <f t="shared" si="3"/>
        <v>0</v>
      </c>
      <c r="BM8" s="140">
        <f t="shared" si="3"/>
        <v>553353756</v>
      </c>
      <c r="BN8" s="140">
        <f t="shared" si="3"/>
        <v>184451252</v>
      </c>
      <c r="BO8" s="140">
        <f t="shared" si="3"/>
        <v>184451252</v>
      </c>
      <c r="BP8" s="140">
        <f t="shared" si="3"/>
        <v>368902504</v>
      </c>
      <c r="BQ8" s="140">
        <f t="shared" si="3"/>
        <v>184230313</v>
      </c>
      <c r="BR8" s="140">
        <f t="shared" si="3"/>
        <v>130896272.03</v>
      </c>
      <c r="BS8" s="140">
        <f t="shared" si="3"/>
        <v>184230313</v>
      </c>
      <c r="BT8" s="140">
        <f t="shared" si="3"/>
        <v>184230313</v>
      </c>
      <c r="BU8" s="140">
        <f t="shared" si="3"/>
        <v>184230313</v>
      </c>
      <c r="BV8" s="140">
        <f t="shared" si="3"/>
        <v>184230313</v>
      </c>
      <c r="BW8" s="140">
        <f t="shared" si="3"/>
        <v>184230313</v>
      </c>
      <c r="BX8" s="140">
        <f t="shared" si="3"/>
        <v>130896271</v>
      </c>
      <c r="BY8" s="140">
        <f t="shared" si="3"/>
        <v>130896271</v>
      </c>
      <c r="BZ8" s="140">
        <f t="shared" si="3"/>
        <v>130896271</v>
      </c>
      <c r="CA8" s="140">
        <f t="shared" si="3"/>
        <v>130896271</v>
      </c>
      <c r="CB8" s="140">
        <f t="shared" si="3"/>
        <v>130896271</v>
      </c>
      <c r="CC8" s="140">
        <f t="shared" si="3"/>
        <v>0</v>
      </c>
      <c r="CD8" s="140">
        <f t="shared" si="3"/>
        <v>0</v>
      </c>
      <c r="CE8" s="140">
        <f t="shared" si="3"/>
        <v>184162473.90000001</v>
      </c>
      <c r="CF8" s="140">
        <f t="shared" si="3"/>
        <v>130896271</v>
      </c>
      <c r="CG8" s="140">
        <f t="shared" si="3"/>
        <v>130896271</v>
      </c>
      <c r="CH8" s="140">
        <f t="shared" si="3"/>
        <v>130896271</v>
      </c>
      <c r="CI8" s="140">
        <f t="shared" si="3"/>
        <v>130896271</v>
      </c>
      <c r="CJ8" s="140">
        <f t="shared" si="3"/>
        <v>130896271</v>
      </c>
      <c r="CK8" s="140">
        <f t="shared" si="3"/>
        <v>184162483.62</v>
      </c>
      <c r="CL8" s="140">
        <f t="shared" si="3"/>
        <v>184162483.62</v>
      </c>
      <c r="CM8" s="140">
        <f t="shared" si="3"/>
        <v>184162483.62</v>
      </c>
      <c r="CN8" s="140">
        <f t="shared" si="3"/>
        <v>184162483.62</v>
      </c>
      <c r="CO8" s="140">
        <f t="shared" si="3"/>
        <v>184162483.62</v>
      </c>
      <c r="CP8" s="140">
        <f t="shared" si="3"/>
        <v>184162483.62</v>
      </c>
      <c r="CQ8" s="140">
        <f t="shared" si="3"/>
        <v>184162483.62</v>
      </c>
      <c r="CR8" s="116">
        <f t="shared" si="3"/>
        <v>187564629.11000001</v>
      </c>
      <c r="CS8" s="140">
        <f t="shared" si="3"/>
        <v>184162483.62</v>
      </c>
    </row>
    <row r="9" spans="1:101" ht="14.4" x14ac:dyDescent="0.25">
      <c r="A9" s="118" t="s">
        <v>71</v>
      </c>
      <c r="B9" s="119">
        <v>0</v>
      </c>
      <c r="C9" s="119"/>
      <c r="D9" s="120">
        <v>0</v>
      </c>
      <c r="E9" s="119">
        <v>0</v>
      </c>
      <c r="F9" s="119">
        <v>0</v>
      </c>
      <c r="G9" s="121">
        <v>0</v>
      </c>
      <c r="H9" s="121">
        <v>0</v>
      </c>
      <c r="I9" s="121">
        <v>0</v>
      </c>
      <c r="J9" s="121">
        <v>0</v>
      </c>
      <c r="K9" s="121">
        <v>0</v>
      </c>
      <c r="L9" s="121">
        <v>0</v>
      </c>
      <c r="M9" s="121">
        <v>0</v>
      </c>
      <c r="N9" s="121">
        <v>0</v>
      </c>
      <c r="O9" s="121">
        <v>0</v>
      </c>
      <c r="P9" s="121">
        <v>0</v>
      </c>
      <c r="Q9" s="122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1">
        <v>0</v>
      </c>
      <c r="Z9" s="121">
        <v>0</v>
      </c>
      <c r="AA9" s="121">
        <v>0</v>
      </c>
      <c r="AB9" s="126">
        <v>0</v>
      </c>
      <c r="AC9" s="126">
        <v>0</v>
      </c>
      <c r="AD9" s="126">
        <v>0</v>
      </c>
      <c r="AE9" s="126"/>
      <c r="AF9" s="125">
        <v>0</v>
      </c>
      <c r="AG9" s="125">
        <v>0</v>
      </c>
      <c r="AH9" s="125">
        <v>0</v>
      </c>
      <c r="AI9" s="125">
        <v>0</v>
      </c>
      <c r="AJ9" s="125">
        <v>0</v>
      </c>
      <c r="AK9" s="125">
        <v>0</v>
      </c>
      <c r="AL9" s="125">
        <v>0</v>
      </c>
      <c r="AM9" s="125">
        <v>0</v>
      </c>
      <c r="AN9" s="125">
        <v>0</v>
      </c>
      <c r="AO9" s="125">
        <v>0</v>
      </c>
      <c r="AP9" s="126">
        <v>0</v>
      </c>
      <c r="AQ9" s="126">
        <v>0</v>
      </c>
      <c r="AR9" s="127">
        <v>0</v>
      </c>
      <c r="AS9" s="128">
        <v>0</v>
      </c>
      <c r="AT9" s="128">
        <v>0</v>
      </c>
      <c r="AU9" s="128">
        <v>0</v>
      </c>
      <c r="AV9" s="128">
        <v>0</v>
      </c>
      <c r="AW9" s="128">
        <v>0</v>
      </c>
      <c r="AX9" s="128">
        <v>0</v>
      </c>
      <c r="AY9" s="128">
        <v>0</v>
      </c>
      <c r="AZ9" s="121">
        <v>0</v>
      </c>
      <c r="BA9" s="121">
        <v>0</v>
      </c>
      <c r="BB9" s="121">
        <v>0</v>
      </c>
      <c r="BC9" s="121">
        <v>0</v>
      </c>
      <c r="BD9" s="121">
        <v>0</v>
      </c>
      <c r="BE9" s="155"/>
      <c r="BF9" s="121">
        <v>0</v>
      </c>
      <c r="BG9" s="121">
        <v>0</v>
      </c>
      <c r="BH9" s="121">
        <v>0</v>
      </c>
      <c r="BI9" s="121">
        <v>0</v>
      </c>
      <c r="BJ9" s="121">
        <v>0</v>
      </c>
      <c r="BK9" s="121">
        <v>0</v>
      </c>
      <c r="BL9" s="121"/>
      <c r="BM9" s="121">
        <v>0</v>
      </c>
      <c r="BN9" s="121">
        <v>0</v>
      </c>
      <c r="BO9" s="121">
        <v>0</v>
      </c>
      <c r="BP9" s="121">
        <v>0</v>
      </c>
      <c r="BQ9" s="121">
        <v>0</v>
      </c>
      <c r="BS9" s="104">
        <v>0</v>
      </c>
      <c r="BT9" s="104">
        <v>0</v>
      </c>
      <c r="BU9" s="104">
        <v>0</v>
      </c>
      <c r="BV9" s="104">
        <v>0</v>
      </c>
      <c r="BW9" s="161">
        <v>0</v>
      </c>
      <c r="BX9" s="163">
        <v>0</v>
      </c>
      <c r="BY9" s="163">
        <v>0</v>
      </c>
      <c r="BZ9" s="165">
        <v>0</v>
      </c>
      <c r="CA9" s="167">
        <v>0</v>
      </c>
      <c r="CB9" s="167">
        <v>0</v>
      </c>
      <c r="CF9" s="181">
        <v>0</v>
      </c>
      <c r="CG9" s="181">
        <v>0</v>
      </c>
      <c r="CH9" s="181">
        <v>0</v>
      </c>
      <c r="CI9" s="181">
        <v>0</v>
      </c>
      <c r="CJ9" s="181">
        <v>0</v>
      </c>
      <c r="CK9" s="181">
        <v>0</v>
      </c>
      <c r="CL9" s="181">
        <v>0</v>
      </c>
      <c r="CM9" s="181">
        <v>0</v>
      </c>
      <c r="CN9" s="181">
        <v>0</v>
      </c>
      <c r="CO9" s="181">
        <v>0</v>
      </c>
      <c r="CP9" s="181">
        <v>0</v>
      </c>
      <c r="CQ9" s="181">
        <v>0</v>
      </c>
      <c r="CR9" s="227"/>
      <c r="CS9" s="222">
        <v>0</v>
      </c>
    </row>
    <row r="10" spans="1:101" ht="14.4" x14ac:dyDescent="0.25">
      <c r="A10" s="118" t="s">
        <v>72</v>
      </c>
      <c r="B10" s="119">
        <v>64200</v>
      </c>
      <c r="C10" s="119"/>
      <c r="D10" s="120">
        <v>0</v>
      </c>
      <c r="E10" s="119">
        <v>0</v>
      </c>
      <c r="F10" s="119">
        <v>0</v>
      </c>
      <c r="G10" s="121">
        <v>0</v>
      </c>
      <c r="H10" s="121">
        <v>0</v>
      </c>
      <c r="I10" s="121">
        <v>0</v>
      </c>
      <c r="J10" s="121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2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  <c r="Y10" s="121">
        <v>0</v>
      </c>
      <c r="Z10" s="121">
        <v>0</v>
      </c>
      <c r="AA10" s="121">
        <v>0</v>
      </c>
      <c r="AB10" s="126">
        <v>0</v>
      </c>
      <c r="AC10" s="126">
        <v>0</v>
      </c>
      <c r="AD10" s="126">
        <v>0</v>
      </c>
      <c r="AE10" s="126"/>
      <c r="AF10" s="125">
        <v>0</v>
      </c>
      <c r="AG10" s="125">
        <v>0</v>
      </c>
      <c r="AH10" s="125">
        <v>0</v>
      </c>
      <c r="AI10" s="125">
        <v>0</v>
      </c>
      <c r="AJ10" s="125">
        <v>0</v>
      </c>
      <c r="AK10" s="125">
        <v>0</v>
      </c>
      <c r="AL10" s="125">
        <v>0</v>
      </c>
      <c r="AM10" s="125">
        <v>0</v>
      </c>
      <c r="AN10" s="125">
        <v>0</v>
      </c>
      <c r="AO10" s="125">
        <v>0</v>
      </c>
      <c r="AP10" s="126">
        <v>0</v>
      </c>
      <c r="AQ10" s="126">
        <v>0</v>
      </c>
      <c r="AR10" s="127">
        <v>0</v>
      </c>
      <c r="AS10" s="128">
        <v>0</v>
      </c>
      <c r="AT10" s="128">
        <v>0</v>
      </c>
      <c r="AU10" s="128">
        <v>0</v>
      </c>
      <c r="AV10" s="128">
        <v>0</v>
      </c>
      <c r="AW10" s="128">
        <v>0</v>
      </c>
      <c r="AX10" s="128">
        <v>0</v>
      </c>
      <c r="AY10" s="128">
        <v>0</v>
      </c>
      <c r="AZ10" s="121">
        <v>0</v>
      </c>
      <c r="BA10" s="121">
        <v>0</v>
      </c>
      <c r="BB10" s="121">
        <v>0</v>
      </c>
      <c r="BC10" s="121">
        <v>0</v>
      </c>
      <c r="BD10" s="121">
        <v>0</v>
      </c>
      <c r="BE10" s="155"/>
      <c r="BF10" s="121">
        <v>0</v>
      </c>
      <c r="BG10" s="121">
        <v>0</v>
      </c>
      <c r="BH10" s="121">
        <v>0</v>
      </c>
      <c r="BI10" s="121">
        <v>0</v>
      </c>
      <c r="BJ10" s="121">
        <v>0</v>
      </c>
      <c r="BK10" s="121">
        <v>0</v>
      </c>
      <c r="BL10" s="121"/>
      <c r="BM10" s="121">
        <v>0</v>
      </c>
      <c r="BN10" s="121">
        <v>0</v>
      </c>
      <c r="BO10" s="121">
        <v>0</v>
      </c>
      <c r="BP10" s="121">
        <v>0</v>
      </c>
      <c r="BQ10" s="121">
        <v>0</v>
      </c>
      <c r="BS10" s="104">
        <v>0</v>
      </c>
      <c r="BT10" s="104">
        <v>0</v>
      </c>
      <c r="BU10" s="104">
        <v>0</v>
      </c>
      <c r="BV10" s="104">
        <v>0</v>
      </c>
      <c r="BW10" s="165">
        <v>0</v>
      </c>
      <c r="BX10" s="167">
        <v>0</v>
      </c>
      <c r="BY10" s="167">
        <v>0</v>
      </c>
      <c r="BZ10" s="165">
        <v>0</v>
      </c>
      <c r="CA10" s="167">
        <v>0</v>
      </c>
      <c r="CB10" s="167">
        <v>0</v>
      </c>
      <c r="CF10" s="181">
        <v>0</v>
      </c>
      <c r="CG10" s="181">
        <v>0</v>
      </c>
      <c r="CH10" s="181">
        <v>0</v>
      </c>
      <c r="CI10" s="181">
        <v>0</v>
      </c>
      <c r="CJ10" s="181">
        <v>0</v>
      </c>
      <c r="CK10" s="181">
        <v>0</v>
      </c>
      <c r="CL10" s="181">
        <v>0</v>
      </c>
      <c r="CM10" s="181">
        <v>0</v>
      </c>
      <c r="CN10" s="181">
        <v>0</v>
      </c>
      <c r="CO10" s="181">
        <v>0</v>
      </c>
      <c r="CP10" s="181">
        <v>0</v>
      </c>
      <c r="CQ10" s="181">
        <v>0</v>
      </c>
      <c r="CR10" s="227"/>
      <c r="CS10" s="222">
        <v>0</v>
      </c>
    </row>
    <row r="11" spans="1:101" ht="14.4" x14ac:dyDescent="0.25">
      <c r="A11" s="118" t="s">
        <v>73</v>
      </c>
      <c r="B11" s="119">
        <v>11835438</v>
      </c>
      <c r="C11" s="119"/>
      <c r="D11" s="120">
        <v>0</v>
      </c>
      <c r="E11" s="119">
        <v>15116521.52</v>
      </c>
      <c r="F11" s="119">
        <v>16360440</v>
      </c>
      <c r="G11" s="121">
        <v>17843292.550000001</v>
      </c>
      <c r="H11" s="121">
        <v>17843292.550000001</v>
      </c>
      <c r="I11" s="121">
        <v>35686585.100000001</v>
      </c>
      <c r="J11" s="121">
        <v>17843292.550000001</v>
      </c>
      <c r="K11" s="121">
        <v>17843292.550000001</v>
      </c>
      <c r="L11" s="121">
        <v>18232726</v>
      </c>
      <c r="M11" s="121">
        <v>18232726</v>
      </c>
      <c r="N11" s="121">
        <v>18232726</v>
      </c>
      <c r="O11" s="121">
        <v>18232726</v>
      </c>
      <c r="P11" s="121">
        <v>255000</v>
      </c>
      <c r="Q11" s="122">
        <v>127500</v>
      </c>
      <c r="S11" s="121">
        <v>255000</v>
      </c>
      <c r="T11" s="121">
        <v>127500</v>
      </c>
      <c r="U11" s="121">
        <v>127500</v>
      </c>
      <c r="V11" s="121">
        <v>127500</v>
      </c>
      <c r="W11" s="121">
        <v>127500</v>
      </c>
      <c r="X11" s="121">
        <v>127500</v>
      </c>
      <c r="Y11" s="121">
        <v>382500</v>
      </c>
      <c r="Z11" s="121">
        <v>255000</v>
      </c>
      <c r="AA11" s="121">
        <v>637500</v>
      </c>
      <c r="AB11" s="126">
        <v>255000</v>
      </c>
      <c r="AC11" s="126">
        <v>382500</v>
      </c>
      <c r="AD11" s="126">
        <v>127500</v>
      </c>
      <c r="AE11" s="126">
        <f>115000+11250</f>
        <v>126250</v>
      </c>
      <c r="AF11" s="125">
        <v>127500</v>
      </c>
      <c r="AG11" s="125">
        <v>127500</v>
      </c>
      <c r="AH11" s="125">
        <v>127500</v>
      </c>
      <c r="AI11" s="125">
        <v>127500</v>
      </c>
      <c r="AJ11" s="125">
        <v>127500</v>
      </c>
      <c r="AK11" s="125">
        <v>127500</v>
      </c>
      <c r="AL11" s="125">
        <v>127500</v>
      </c>
      <c r="AM11" s="125">
        <v>127500</v>
      </c>
      <c r="AN11" s="125">
        <v>127500</v>
      </c>
      <c r="AO11" s="125">
        <v>127500</v>
      </c>
      <c r="AP11" s="126">
        <v>127500</v>
      </c>
      <c r="AQ11" s="126">
        <v>127500</v>
      </c>
      <c r="AR11" s="127">
        <f>51000+115000+12500</f>
        <v>178500</v>
      </c>
      <c r="AS11" s="128">
        <v>127500</v>
      </c>
      <c r="AT11" s="128">
        <v>127500</v>
      </c>
      <c r="AU11" s="128">
        <v>127500</v>
      </c>
      <c r="AV11" s="128">
        <v>127500</v>
      </c>
      <c r="AW11" s="128">
        <v>127500</v>
      </c>
      <c r="AX11" s="128">
        <v>127500</v>
      </c>
      <c r="AY11" s="128">
        <v>127500</v>
      </c>
      <c r="AZ11" s="121">
        <v>127500</v>
      </c>
      <c r="BA11" s="121">
        <v>127500</v>
      </c>
      <c r="BB11" s="121">
        <v>127500</v>
      </c>
      <c r="BC11" s="121">
        <v>127500</v>
      </c>
      <c r="BD11" s="121">
        <v>127500</v>
      </c>
      <c r="BE11" s="155"/>
      <c r="BF11" s="121">
        <v>127500</v>
      </c>
      <c r="BG11" s="121">
        <v>127500</v>
      </c>
      <c r="BH11" s="121">
        <v>127500</v>
      </c>
      <c r="BI11" s="121">
        <v>127500</v>
      </c>
      <c r="BJ11" s="121">
        <v>127500</v>
      </c>
      <c r="BK11" s="121">
        <v>127500</v>
      </c>
      <c r="BL11" s="121"/>
      <c r="BM11" s="121">
        <v>382500</v>
      </c>
      <c r="BN11" s="121">
        <v>127500</v>
      </c>
      <c r="BO11" s="121">
        <v>127500</v>
      </c>
      <c r="BP11" s="121">
        <v>255000</v>
      </c>
      <c r="BQ11" s="121">
        <v>115000</v>
      </c>
      <c r="BR11" s="126">
        <f>130896272.03-BR12</f>
        <v>130890929.23</v>
      </c>
      <c r="BS11" s="104">
        <v>115000</v>
      </c>
      <c r="BT11" s="104">
        <v>115000</v>
      </c>
      <c r="BU11" s="104">
        <v>115000</v>
      </c>
      <c r="BV11" s="104">
        <v>115000</v>
      </c>
      <c r="BW11" s="166">
        <v>115000</v>
      </c>
      <c r="BX11" s="168">
        <v>115000</v>
      </c>
      <c r="BY11" s="168">
        <v>115000</v>
      </c>
      <c r="BZ11" s="166">
        <v>115000</v>
      </c>
      <c r="CA11" s="168">
        <v>115000</v>
      </c>
      <c r="CB11" s="168">
        <v>115000</v>
      </c>
      <c r="CE11" s="126">
        <f>184162473.9-CE12</f>
        <v>184159661.90000001</v>
      </c>
      <c r="CF11" s="181">
        <v>130781271</v>
      </c>
      <c r="CG11" s="181">
        <v>130781271</v>
      </c>
      <c r="CH11" s="181">
        <v>130781271</v>
      </c>
      <c r="CI11" s="181">
        <v>130781271</v>
      </c>
      <c r="CJ11" s="181">
        <v>130781271</v>
      </c>
      <c r="CK11" s="181">
        <v>184047483.62</v>
      </c>
      <c r="CL11" s="181">
        <v>184047483.62</v>
      </c>
      <c r="CM11" s="181">
        <v>184047483.62</v>
      </c>
      <c r="CN11" s="181">
        <v>184047483.62</v>
      </c>
      <c r="CO11" s="181">
        <v>184047483.62</v>
      </c>
      <c r="CP11" s="181">
        <v>184047483.62</v>
      </c>
      <c r="CQ11" s="181">
        <v>184047483.62</v>
      </c>
      <c r="CR11" s="227">
        <f>187023834+318750.3+51000+115000+12500</f>
        <v>187521084.30000001</v>
      </c>
      <c r="CS11" s="181">
        <v>184047483.62</v>
      </c>
    </row>
    <row r="12" spans="1:101" ht="14.4" x14ac:dyDescent="0.25">
      <c r="A12" s="118" t="s">
        <v>74</v>
      </c>
      <c r="B12" s="119">
        <v>24166640</v>
      </c>
      <c r="C12" s="121">
        <v>19230840</v>
      </c>
      <c r="D12" s="141">
        <v>19230840</v>
      </c>
      <c r="E12" s="119">
        <v>19103340</v>
      </c>
      <c r="F12" s="119">
        <v>19103340</v>
      </c>
      <c r="G12" s="121">
        <v>19103340</v>
      </c>
      <c r="H12" s="121">
        <v>19103340</v>
      </c>
      <c r="I12" s="121">
        <v>38206680</v>
      </c>
      <c r="J12" s="121">
        <v>19103340</v>
      </c>
      <c r="K12" s="121">
        <v>19103340</v>
      </c>
      <c r="L12" s="121">
        <v>19103340</v>
      </c>
      <c r="M12" s="121">
        <v>19103340</v>
      </c>
      <c r="N12" s="121">
        <v>19103340</v>
      </c>
      <c r="O12" s="121">
        <v>19103340</v>
      </c>
      <c r="P12" s="121">
        <v>38206680</v>
      </c>
      <c r="Q12" s="122">
        <v>19103340</v>
      </c>
      <c r="R12" s="142">
        <v>24230840</v>
      </c>
      <c r="S12" s="121">
        <v>38206680</v>
      </c>
      <c r="T12" s="121">
        <v>19103340</v>
      </c>
      <c r="U12" s="121">
        <v>24103340</v>
      </c>
      <c r="V12" s="121">
        <v>24103340</v>
      </c>
      <c r="W12" s="121">
        <v>24103340</v>
      </c>
      <c r="X12" s="121">
        <v>24103340</v>
      </c>
      <c r="Y12" s="121">
        <v>72310020</v>
      </c>
      <c r="Z12" s="121">
        <v>48206680</v>
      </c>
      <c r="AA12" s="121">
        <v>120516700</v>
      </c>
      <c r="AB12" s="126">
        <v>48206680</v>
      </c>
      <c r="AC12" s="126">
        <v>72310020</v>
      </c>
      <c r="AD12" s="126">
        <v>24103340</v>
      </c>
      <c r="AE12" s="126">
        <f>24230840-AE11</f>
        <v>24104590</v>
      </c>
      <c r="AF12" s="125">
        <v>24103340</v>
      </c>
      <c r="AG12" s="125">
        <v>24103340</v>
      </c>
      <c r="AH12" s="125">
        <v>24103340</v>
      </c>
      <c r="AI12" s="125">
        <v>24103340</v>
      </c>
      <c r="AJ12" s="125">
        <v>24103340</v>
      </c>
      <c r="AK12" s="125">
        <v>24103340</v>
      </c>
      <c r="AL12" s="125">
        <v>19103340</v>
      </c>
      <c r="AM12" s="125">
        <v>19103340</v>
      </c>
      <c r="AN12" s="125">
        <v>19103340</v>
      </c>
      <c r="AO12" s="125">
        <v>19103340</v>
      </c>
      <c r="AP12" s="126">
        <v>19103340</v>
      </c>
      <c r="AQ12" s="126">
        <v>19103340</v>
      </c>
      <c r="AR12" s="127">
        <f>174388650+40450+11250+643940</f>
        <v>175084290</v>
      </c>
      <c r="AS12" s="128">
        <v>19103340</v>
      </c>
      <c r="AT12" s="128">
        <v>19103340</v>
      </c>
      <c r="AU12" s="128">
        <v>19103340</v>
      </c>
      <c r="AV12" s="128">
        <v>19103340</v>
      </c>
      <c r="AW12" s="128">
        <v>19103340</v>
      </c>
      <c r="AX12" s="128">
        <v>19103340</v>
      </c>
      <c r="AY12" s="128">
        <v>19103340</v>
      </c>
      <c r="AZ12" s="121">
        <v>175135290</v>
      </c>
      <c r="BA12" s="121">
        <v>175135290</v>
      </c>
      <c r="BB12" s="121">
        <v>175135290</v>
      </c>
      <c r="BC12" s="121">
        <v>175135290</v>
      </c>
      <c r="BD12" s="121">
        <v>175135290</v>
      </c>
      <c r="BE12" s="155"/>
      <c r="BF12" s="121">
        <v>175135290</v>
      </c>
      <c r="BG12" s="121">
        <v>175135290</v>
      </c>
      <c r="BH12" s="121">
        <v>184323752</v>
      </c>
      <c r="BI12" s="121">
        <v>184323752</v>
      </c>
      <c r="BJ12" s="121">
        <v>184323752</v>
      </c>
      <c r="BK12" s="121">
        <v>184323752</v>
      </c>
      <c r="BL12" s="121"/>
      <c r="BM12" s="121">
        <v>552971256</v>
      </c>
      <c r="BN12" s="121">
        <v>184323752</v>
      </c>
      <c r="BO12" s="121">
        <v>184323752</v>
      </c>
      <c r="BP12" s="121">
        <v>368647504</v>
      </c>
      <c r="BQ12" s="121">
        <v>184115313</v>
      </c>
      <c r="BR12" s="126">
        <v>5342.8</v>
      </c>
      <c r="BS12" s="104">
        <v>184115313</v>
      </c>
      <c r="BT12" s="104">
        <v>184115313</v>
      </c>
      <c r="BU12" s="104">
        <v>184115313</v>
      </c>
      <c r="BV12" s="104">
        <v>184115313</v>
      </c>
      <c r="BW12" s="166">
        <v>184115313</v>
      </c>
      <c r="BX12" s="168">
        <v>130781271</v>
      </c>
      <c r="BY12" s="168">
        <v>130781271</v>
      </c>
      <c r="BZ12" s="166">
        <v>130781271</v>
      </c>
      <c r="CA12" s="168">
        <v>130781271</v>
      </c>
      <c r="CB12" s="168">
        <v>130781271</v>
      </c>
      <c r="CE12" s="126">
        <v>2812</v>
      </c>
      <c r="CF12" s="181">
        <v>115000</v>
      </c>
      <c r="CG12" s="181">
        <v>115000</v>
      </c>
      <c r="CH12" s="181">
        <v>115000</v>
      </c>
      <c r="CI12" s="181">
        <v>115000</v>
      </c>
      <c r="CJ12" s="181">
        <v>115000</v>
      </c>
      <c r="CK12" s="181">
        <v>115000</v>
      </c>
      <c r="CL12" s="181">
        <v>115000</v>
      </c>
      <c r="CM12" s="181">
        <v>115000</v>
      </c>
      <c r="CN12" s="181">
        <v>115000</v>
      </c>
      <c r="CO12" s="181">
        <v>115000</v>
      </c>
      <c r="CP12" s="181">
        <v>115000</v>
      </c>
      <c r="CQ12" s="181">
        <v>115000</v>
      </c>
      <c r="CR12" s="227">
        <f>38933.13+4611.68</f>
        <v>43544.81</v>
      </c>
      <c r="CS12" s="181">
        <v>115000</v>
      </c>
    </row>
    <row r="13" spans="1:101" x14ac:dyDescent="0.25">
      <c r="A13" s="114" t="s">
        <v>75</v>
      </c>
      <c r="B13" s="115">
        <f t="shared" ref="B13:BM13" si="4">B14-B15</f>
        <v>84967805.629999995</v>
      </c>
      <c r="C13" s="115">
        <f t="shared" si="4"/>
        <v>94311039.75</v>
      </c>
      <c r="D13" s="115">
        <f t="shared" si="4"/>
        <v>93010285.069999993</v>
      </c>
      <c r="E13" s="115">
        <f t="shared" si="4"/>
        <v>133876410.55</v>
      </c>
      <c r="F13" s="115">
        <f t="shared" si="4"/>
        <v>130985570.27</v>
      </c>
      <c r="G13" s="115">
        <f t="shared" si="4"/>
        <v>138123222.24000001</v>
      </c>
      <c r="H13" s="115">
        <f t="shared" si="4"/>
        <v>135015209.81999999</v>
      </c>
      <c r="I13" s="115">
        <f t="shared" si="4"/>
        <v>265197089.63999999</v>
      </c>
      <c r="J13" s="115">
        <f t="shared" si="4"/>
        <v>127320505.81999999</v>
      </c>
      <c r="K13" s="115">
        <f t="shared" si="4"/>
        <v>121586775.31999999</v>
      </c>
      <c r="L13" s="115">
        <f t="shared" si="4"/>
        <v>121094475.31999999</v>
      </c>
      <c r="M13" s="115">
        <f t="shared" si="4"/>
        <v>123080173.89</v>
      </c>
      <c r="N13" s="115">
        <f t="shared" si="4"/>
        <v>121330173.98999999</v>
      </c>
      <c r="O13" s="115">
        <f t="shared" si="4"/>
        <v>58365358.460000001</v>
      </c>
      <c r="P13" s="115">
        <f t="shared" si="4"/>
        <v>120069646.94000001</v>
      </c>
      <c r="Q13" s="115">
        <f t="shared" si="4"/>
        <v>37705165.609999999</v>
      </c>
      <c r="R13" s="116">
        <f t="shared" si="4"/>
        <v>37705165.230000004</v>
      </c>
      <c r="S13" s="116">
        <f t="shared" si="4"/>
        <v>202401644.81999999</v>
      </c>
      <c r="T13" s="116">
        <f t="shared" si="4"/>
        <v>122617764.68000001</v>
      </c>
      <c r="U13" s="116">
        <f t="shared" si="4"/>
        <v>118064382.41</v>
      </c>
      <c r="V13" s="116">
        <f t="shared" si="4"/>
        <v>115382888.22</v>
      </c>
      <c r="W13" s="116">
        <f t="shared" si="4"/>
        <v>112677689.51000001</v>
      </c>
      <c r="X13" s="116">
        <f t="shared" si="4"/>
        <v>111646291.73</v>
      </c>
      <c r="Y13" s="116">
        <f t="shared" si="4"/>
        <v>331520790.03000003</v>
      </c>
      <c r="Z13" s="116">
        <f t="shared" si="4"/>
        <v>242970678.16</v>
      </c>
      <c r="AA13" s="116">
        <f t="shared" si="4"/>
        <v>589908116.14999998</v>
      </c>
      <c r="AB13" s="116">
        <f t="shared" si="4"/>
        <v>118323246.36</v>
      </c>
      <c r="AC13" s="116">
        <f t="shared" si="4"/>
        <v>180541352.46000001</v>
      </c>
      <c r="AD13" s="116">
        <f t="shared" si="4"/>
        <v>51178525.49000001</v>
      </c>
      <c r="AE13" s="116">
        <f t="shared" si="4"/>
        <v>51178525.430000007</v>
      </c>
      <c r="AF13" s="116">
        <f t="shared" si="4"/>
        <v>124962338.91</v>
      </c>
      <c r="AG13" s="116">
        <f t="shared" si="4"/>
        <v>125999738.91</v>
      </c>
      <c r="AH13" s="116">
        <f t="shared" si="4"/>
        <v>125643243.02</v>
      </c>
      <c r="AI13" s="116">
        <f t="shared" si="4"/>
        <v>125504247.52</v>
      </c>
      <c r="AJ13" s="116">
        <f t="shared" si="4"/>
        <v>124816826.48</v>
      </c>
      <c r="AK13" s="116">
        <f t="shared" si="4"/>
        <v>125152449.33</v>
      </c>
      <c r="AL13" s="116">
        <f t="shared" si="4"/>
        <v>125689674.83</v>
      </c>
      <c r="AM13" s="116">
        <f t="shared" si="4"/>
        <v>130430672.59</v>
      </c>
      <c r="AN13" s="116">
        <f t="shared" si="4"/>
        <v>130985677.59</v>
      </c>
      <c r="AO13" s="116">
        <f t="shared" si="4"/>
        <v>68975486.989999995</v>
      </c>
      <c r="AP13" s="116">
        <f t="shared" si="4"/>
        <v>69480671.989999995</v>
      </c>
      <c r="AQ13" s="116">
        <f t="shared" si="4"/>
        <v>60562074.659999996</v>
      </c>
      <c r="AR13" s="116">
        <f t="shared" si="4"/>
        <v>60562074.670000002</v>
      </c>
      <c r="AS13" s="116">
        <f t="shared" si="4"/>
        <v>171690029.69999999</v>
      </c>
      <c r="AT13" s="116">
        <f t="shared" si="4"/>
        <v>174517242.56</v>
      </c>
      <c r="AU13" s="116">
        <f t="shared" si="4"/>
        <v>173747061.30000001</v>
      </c>
      <c r="AV13" s="116">
        <f t="shared" si="4"/>
        <v>177477136.40000001</v>
      </c>
      <c r="AW13" s="116">
        <f t="shared" si="4"/>
        <v>180108150.25999999</v>
      </c>
      <c r="AX13" s="116">
        <f t="shared" si="4"/>
        <v>178845764.28999999</v>
      </c>
      <c r="AY13" s="116">
        <f t="shared" si="4"/>
        <v>178497194.28999999</v>
      </c>
      <c r="AZ13" s="116">
        <f t="shared" si="4"/>
        <v>179065828.34</v>
      </c>
      <c r="BA13" s="116">
        <f t="shared" si="4"/>
        <v>174127962.59</v>
      </c>
      <c r="BB13" s="116">
        <f t="shared" si="4"/>
        <v>131582039.83000001</v>
      </c>
      <c r="BC13" s="116">
        <f t="shared" si="4"/>
        <v>166835689.81999999</v>
      </c>
      <c r="BD13" s="116">
        <f t="shared" si="4"/>
        <v>188085994.53999999</v>
      </c>
      <c r="BE13" s="116">
        <f t="shared" si="4"/>
        <v>0</v>
      </c>
      <c r="BF13" s="116">
        <f t="shared" si="4"/>
        <v>200964244.97</v>
      </c>
      <c r="BG13" s="116">
        <f t="shared" si="4"/>
        <v>200612937.91</v>
      </c>
      <c r="BH13" s="116">
        <f t="shared" si="4"/>
        <v>188671488.46000001</v>
      </c>
      <c r="BI13" s="116">
        <f t="shared" si="4"/>
        <v>184734736.11000001</v>
      </c>
      <c r="BJ13" s="116">
        <f t="shared" si="4"/>
        <v>181476629.54999998</v>
      </c>
      <c r="BK13" s="116">
        <f t="shared" si="4"/>
        <v>181155819.81</v>
      </c>
      <c r="BL13" s="116">
        <f t="shared" si="4"/>
        <v>0</v>
      </c>
      <c r="BM13" s="116">
        <f t="shared" si="4"/>
        <v>530676029.88</v>
      </c>
      <c r="BN13" s="116">
        <f t="shared" ref="BN13:CS13" si="5">BN14-BN15</f>
        <v>173724692.43000001</v>
      </c>
      <c r="BO13" s="116">
        <f t="shared" si="5"/>
        <v>130578375.44</v>
      </c>
      <c r="BP13" s="116">
        <f t="shared" si="5"/>
        <v>314928965.10000002</v>
      </c>
      <c r="BQ13" s="116">
        <f t="shared" si="5"/>
        <v>173543849.94999999</v>
      </c>
      <c r="BR13" s="116">
        <f t="shared" si="5"/>
        <v>173543849.9285</v>
      </c>
      <c r="BS13" s="116">
        <f t="shared" si="5"/>
        <v>188728998.81</v>
      </c>
      <c r="BT13" s="116">
        <f t="shared" si="5"/>
        <v>191589108.75999999</v>
      </c>
      <c r="BU13" s="116">
        <f t="shared" si="5"/>
        <v>193678604.75</v>
      </c>
      <c r="BV13" s="116">
        <f t="shared" si="5"/>
        <v>190593205.79000002</v>
      </c>
      <c r="BW13" s="116">
        <f t="shared" si="5"/>
        <v>191418548.08000001</v>
      </c>
      <c r="BX13" s="116">
        <f t="shared" si="5"/>
        <v>168631413.75999999</v>
      </c>
      <c r="BY13" s="116">
        <f t="shared" si="5"/>
        <v>172315606.56</v>
      </c>
      <c r="BZ13" s="116">
        <f t="shared" si="5"/>
        <v>172371773.85999998</v>
      </c>
      <c r="CA13" s="116">
        <f t="shared" si="5"/>
        <v>170223519.85999998</v>
      </c>
      <c r="CB13" s="116">
        <f t="shared" si="5"/>
        <v>136033933.47999999</v>
      </c>
      <c r="CC13" s="116">
        <f t="shared" si="5"/>
        <v>0</v>
      </c>
      <c r="CD13" s="116">
        <f t="shared" si="5"/>
        <v>0</v>
      </c>
      <c r="CE13" s="116">
        <f t="shared" si="5"/>
        <v>160408239.25999999</v>
      </c>
      <c r="CF13" s="116">
        <f t="shared" si="5"/>
        <v>156033772.84999999</v>
      </c>
      <c r="CG13" s="116">
        <f t="shared" si="5"/>
        <v>157265253.79999998</v>
      </c>
      <c r="CH13" s="116">
        <f t="shared" si="5"/>
        <v>156227362.59999999</v>
      </c>
      <c r="CI13" s="116">
        <f t="shared" si="5"/>
        <v>156446063.09999999</v>
      </c>
      <c r="CJ13" s="116">
        <f t="shared" si="5"/>
        <v>165154404.74000001</v>
      </c>
      <c r="CK13" s="116">
        <f t="shared" si="5"/>
        <v>165411473.97999999</v>
      </c>
      <c r="CL13" s="116">
        <f t="shared" si="5"/>
        <v>145220831.5</v>
      </c>
      <c r="CM13" s="116">
        <f t="shared" si="5"/>
        <v>157467431.44999999</v>
      </c>
      <c r="CN13" s="116">
        <f t="shared" si="5"/>
        <v>166390430.28999999</v>
      </c>
      <c r="CO13" s="116">
        <f t="shared" si="5"/>
        <v>173598494.22999999</v>
      </c>
      <c r="CP13" s="116">
        <f t="shared" si="5"/>
        <v>178664375.05000001</v>
      </c>
      <c r="CQ13" s="116">
        <f t="shared" si="5"/>
        <v>189785651.97999999</v>
      </c>
      <c r="CR13" s="116">
        <f t="shared" si="5"/>
        <v>189795651.97999999</v>
      </c>
      <c r="CS13" s="116">
        <f t="shared" si="5"/>
        <v>192160658.09</v>
      </c>
      <c r="CV13" s="104">
        <f>11891251.95-11887147</f>
        <v>4104.9499999992549</v>
      </c>
    </row>
    <row r="14" spans="1:101" ht="14.4" x14ac:dyDescent="0.25">
      <c r="A14" s="118" t="s">
        <v>76</v>
      </c>
      <c r="B14" s="119">
        <v>96723148.629999995</v>
      </c>
      <c r="C14" s="119">
        <v>107070963.29000001</v>
      </c>
      <c r="D14" s="141">
        <v>105894421</v>
      </c>
      <c r="E14" s="119">
        <v>147398339.28999999</v>
      </c>
      <c r="F14" s="119">
        <v>145637760</v>
      </c>
      <c r="G14" s="121">
        <v>153667263.94</v>
      </c>
      <c r="H14" s="121">
        <v>150403433</v>
      </c>
      <c r="I14" s="121">
        <v>295755486</v>
      </c>
      <c r="J14" s="121">
        <v>141927789</v>
      </c>
      <c r="K14" s="121">
        <v>138000328</v>
      </c>
      <c r="L14" s="121">
        <v>137495928</v>
      </c>
      <c r="M14" s="121">
        <v>139566039</v>
      </c>
      <c r="N14" s="121">
        <v>137451836</v>
      </c>
      <c r="O14" s="121">
        <v>73197046.810000002</v>
      </c>
      <c r="P14" s="121">
        <v>148857659.30000001</v>
      </c>
      <c r="Q14" s="122">
        <v>55593921</v>
      </c>
      <c r="R14" s="142">
        <v>55593921</v>
      </c>
      <c r="S14" s="121">
        <v>238215708.96000001</v>
      </c>
      <c r="T14" s="121">
        <v>141015739</v>
      </c>
      <c r="U14" s="121">
        <v>135436565</v>
      </c>
      <c r="V14" s="121">
        <v>132727985</v>
      </c>
      <c r="W14" s="121">
        <v>130022786.29000001</v>
      </c>
      <c r="X14" s="121">
        <v>128080317</v>
      </c>
      <c r="Y14" s="121">
        <v>380640013.29000002</v>
      </c>
      <c r="Z14" s="121">
        <v>276746700</v>
      </c>
      <c r="AA14" s="121">
        <v>676424635</v>
      </c>
      <c r="AB14" s="126">
        <v>152408112</v>
      </c>
      <c r="AC14" s="126">
        <v>231992676</v>
      </c>
      <c r="AD14" s="126">
        <v>68793951.400000006</v>
      </c>
      <c r="AE14" s="126">
        <v>68793951.400000006</v>
      </c>
      <c r="AF14" s="125">
        <v>141381095</v>
      </c>
      <c r="AG14" s="125">
        <v>141404734</v>
      </c>
      <c r="AH14" s="125">
        <v>141037223</v>
      </c>
      <c r="AI14" s="125">
        <v>140863573</v>
      </c>
      <c r="AJ14" s="125">
        <v>139164157</v>
      </c>
      <c r="AK14" s="125">
        <v>139797860</v>
      </c>
      <c r="AL14" s="125">
        <v>141481310</v>
      </c>
      <c r="AM14" s="125">
        <v>146106598</v>
      </c>
      <c r="AN14" s="125">
        <v>146675802</v>
      </c>
      <c r="AO14" s="125">
        <v>82475169</v>
      </c>
      <c r="AP14" s="126">
        <v>85885819</v>
      </c>
      <c r="AQ14" s="126">
        <v>79430797.920000002</v>
      </c>
      <c r="AR14" s="127">
        <f>79430797.92</f>
        <v>79430797.920000002</v>
      </c>
      <c r="AS14" s="128">
        <v>187358350.41</v>
      </c>
      <c r="AT14" s="128">
        <v>190223858.66999999</v>
      </c>
      <c r="AU14" s="128">
        <v>189893676.41</v>
      </c>
      <c r="AV14" s="128">
        <v>193974163.41</v>
      </c>
      <c r="AW14" s="128">
        <v>196828677.41</v>
      </c>
      <c r="AX14" s="128">
        <v>195414124.41</v>
      </c>
      <c r="AY14" s="128">
        <v>194977604.41</v>
      </c>
      <c r="AZ14" s="121">
        <v>195740191.41</v>
      </c>
      <c r="BA14" s="121">
        <v>190784370.41</v>
      </c>
      <c r="BB14" s="121">
        <v>151542953.40000001</v>
      </c>
      <c r="BC14" s="121">
        <v>190806195.41</v>
      </c>
      <c r="BD14" s="121">
        <v>209627236.78</v>
      </c>
      <c r="BE14" s="155"/>
      <c r="BF14" s="121">
        <v>220646237.06</v>
      </c>
      <c r="BG14" s="121">
        <v>220113280.43000001</v>
      </c>
      <c r="BH14" s="121">
        <v>215865344.93000001</v>
      </c>
      <c r="BI14" s="121">
        <v>210001934.43000001</v>
      </c>
      <c r="BJ14" s="121">
        <v>205316996.91999999</v>
      </c>
      <c r="BK14" s="121">
        <v>203756115.43000001</v>
      </c>
      <c r="BL14" s="121"/>
      <c r="BM14" s="121">
        <v>596649847.28999996</v>
      </c>
      <c r="BN14" s="121">
        <v>194469461</v>
      </c>
      <c r="BO14" s="121">
        <v>147931620</v>
      </c>
      <c r="BP14" s="121">
        <v>354277053.54000002</v>
      </c>
      <c r="BQ14" s="121">
        <v>186897163.31999999</v>
      </c>
      <c r="BR14" s="126">
        <v>187970704.03</v>
      </c>
      <c r="BS14" s="104">
        <v>201542442.12</v>
      </c>
      <c r="BT14" s="104">
        <v>203313359.56999999</v>
      </c>
      <c r="BU14" s="104">
        <v>205436814.33000001</v>
      </c>
      <c r="BV14" s="104">
        <v>203047285.52000001</v>
      </c>
      <c r="BW14" s="162">
        <v>204376974.80000001</v>
      </c>
      <c r="BX14" s="164">
        <v>181811626.94999999</v>
      </c>
      <c r="BY14" s="164">
        <v>185810871</v>
      </c>
      <c r="BZ14" s="166">
        <v>188166867.94999999</v>
      </c>
      <c r="CA14" s="168">
        <v>185345769.63999999</v>
      </c>
      <c r="CB14" s="168">
        <v>149734733.59999999</v>
      </c>
      <c r="CE14" s="126">
        <v>173829766.34999999</v>
      </c>
      <c r="CF14" s="181">
        <v>171936742.97</v>
      </c>
      <c r="CG14" s="181">
        <v>173814351.69999999</v>
      </c>
      <c r="CH14" s="181">
        <v>172917439.28</v>
      </c>
      <c r="CI14" s="181">
        <v>173143876.19999999</v>
      </c>
      <c r="CJ14" s="181">
        <v>182074357.49000001</v>
      </c>
      <c r="CK14" s="181">
        <v>185627447.97999999</v>
      </c>
      <c r="CL14" s="181">
        <v>163308792</v>
      </c>
      <c r="CM14" s="181">
        <v>176028234.78999999</v>
      </c>
      <c r="CN14" s="181">
        <v>185141641.09999999</v>
      </c>
      <c r="CO14" s="181">
        <v>192732676.22999999</v>
      </c>
      <c r="CP14" s="181">
        <v>198522737.05000001</v>
      </c>
      <c r="CQ14" s="181">
        <v>202345748.97999999</v>
      </c>
      <c r="CR14" s="227">
        <v>202355748.97999999</v>
      </c>
      <c r="CS14" s="222">
        <v>206352266.09</v>
      </c>
    </row>
    <row r="15" spans="1:101" ht="14.4" x14ac:dyDescent="0.25">
      <c r="A15" s="118" t="s">
        <v>77</v>
      </c>
      <c r="B15" s="119">
        <v>11755343</v>
      </c>
      <c r="C15" s="119">
        <v>12759923.539999999</v>
      </c>
      <c r="D15" s="120">
        <v>12884135.93</v>
      </c>
      <c r="E15" s="119">
        <v>13521928.74</v>
      </c>
      <c r="F15" s="119">
        <v>14652189.73</v>
      </c>
      <c r="G15" s="121">
        <v>15544041.699999999</v>
      </c>
      <c r="H15" s="121">
        <v>15388223.18</v>
      </c>
      <c r="I15" s="121">
        <v>30558396.359999999</v>
      </c>
      <c r="J15" s="121">
        <v>14607283.18</v>
      </c>
      <c r="K15" s="121">
        <v>16413552.68</v>
      </c>
      <c r="L15" s="121">
        <v>16401452.68</v>
      </c>
      <c r="M15" s="121">
        <v>16485865.109999999</v>
      </c>
      <c r="N15" s="121">
        <v>16121662.01</v>
      </c>
      <c r="O15" s="121">
        <v>14831688.35</v>
      </c>
      <c r="P15" s="121">
        <v>28788012.359999999</v>
      </c>
      <c r="Q15" s="122">
        <v>17888755.390000001</v>
      </c>
      <c r="R15" s="123">
        <v>17888755.77</v>
      </c>
      <c r="S15" s="121">
        <v>35814064.140000001</v>
      </c>
      <c r="T15" s="121">
        <v>18397974.32</v>
      </c>
      <c r="U15" s="121">
        <v>17372182.59</v>
      </c>
      <c r="V15" s="121">
        <v>17345096.780000001</v>
      </c>
      <c r="W15" s="121">
        <v>17345096.780000001</v>
      </c>
      <c r="X15" s="121">
        <v>16434025.27</v>
      </c>
      <c r="Y15" s="121">
        <v>49119223.259999998</v>
      </c>
      <c r="Z15" s="121">
        <v>33776021.840000004</v>
      </c>
      <c r="AA15" s="121">
        <v>86516518.849999994</v>
      </c>
      <c r="AB15" s="126">
        <v>34084865.640000001</v>
      </c>
      <c r="AC15" s="126">
        <v>51451323.539999999</v>
      </c>
      <c r="AD15" s="126">
        <v>17615425.91</v>
      </c>
      <c r="AE15" s="126">
        <v>17615425.969999999</v>
      </c>
      <c r="AF15" s="125">
        <v>16418756.09</v>
      </c>
      <c r="AG15" s="125">
        <v>15404995.09</v>
      </c>
      <c r="AH15" s="125">
        <v>15393979.98</v>
      </c>
      <c r="AI15" s="125">
        <v>15359325.48</v>
      </c>
      <c r="AJ15" s="125">
        <v>14347330.52</v>
      </c>
      <c r="AK15" s="125">
        <v>14645410.67</v>
      </c>
      <c r="AL15" s="125">
        <v>15791635.17</v>
      </c>
      <c r="AM15" s="125">
        <v>15675925.41</v>
      </c>
      <c r="AN15" s="125">
        <v>15690124.41</v>
      </c>
      <c r="AO15" s="125">
        <v>13499682.01</v>
      </c>
      <c r="AP15" s="126">
        <v>16405147.01</v>
      </c>
      <c r="AQ15" s="126">
        <v>18868723.260000002</v>
      </c>
      <c r="AR15" s="127">
        <v>18868723.25</v>
      </c>
      <c r="AS15" s="128">
        <v>15668320.710000001</v>
      </c>
      <c r="AT15" s="128">
        <v>15706616.109999999</v>
      </c>
      <c r="AU15" s="128">
        <v>16146615.109999999</v>
      </c>
      <c r="AV15" s="128">
        <v>16497027.01</v>
      </c>
      <c r="AW15" s="128">
        <v>16720527.15</v>
      </c>
      <c r="AX15" s="128">
        <v>16568360.119999999</v>
      </c>
      <c r="AY15" s="128">
        <v>16480410.119999999</v>
      </c>
      <c r="AZ15" s="121">
        <v>16674363.07</v>
      </c>
      <c r="BA15" s="121">
        <v>16656407.82</v>
      </c>
      <c r="BB15" s="121">
        <v>19960913.57</v>
      </c>
      <c r="BC15" s="121">
        <v>23970505.59</v>
      </c>
      <c r="BD15" s="121">
        <v>21541242.239999998</v>
      </c>
      <c r="BE15" s="155"/>
      <c r="BF15" s="121">
        <v>19681992.09</v>
      </c>
      <c r="BG15" s="121">
        <v>19500342.52</v>
      </c>
      <c r="BH15" s="121">
        <v>27193856.469999999</v>
      </c>
      <c r="BI15" s="121">
        <v>25267198.32</v>
      </c>
      <c r="BJ15" s="121">
        <v>23840367.370000001</v>
      </c>
      <c r="BK15" s="121">
        <v>22600295.620000001</v>
      </c>
      <c r="BL15" s="121"/>
      <c r="BM15" s="121">
        <v>65973817.409999996</v>
      </c>
      <c r="BN15" s="121">
        <v>20744768.57</v>
      </c>
      <c r="BO15" s="121">
        <v>17353244.559999999</v>
      </c>
      <c r="BP15" s="121">
        <v>39348088.439999998</v>
      </c>
      <c r="BQ15" s="121">
        <v>13353313.369999999</v>
      </c>
      <c r="BR15" s="126">
        <v>14426854.101500001</v>
      </c>
      <c r="BS15" s="104">
        <v>12813443.310000001</v>
      </c>
      <c r="BT15" s="104">
        <v>11724250.810000001</v>
      </c>
      <c r="BU15" s="104">
        <v>11758209.58</v>
      </c>
      <c r="BV15" s="104">
        <v>12454079.73</v>
      </c>
      <c r="BW15" s="166">
        <v>12958426.720000001</v>
      </c>
      <c r="BX15" s="168">
        <v>13180213.189999999</v>
      </c>
      <c r="BY15" s="168">
        <v>13495264.439999999</v>
      </c>
      <c r="BZ15" s="166">
        <v>15795094.09</v>
      </c>
      <c r="CA15" s="168">
        <v>15122249.779999999</v>
      </c>
      <c r="CB15" s="168">
        <v>13700800.119999999</v>
      </c>
      <c r="CE15" s="126">
        <v>13421527.09</v>
      </c>
      <c r="CF15" s="181">
        <v>15902970.119999999</v>
      </c>
      <c r="CG15" s="181">
        <v>16549097.9</v>
      </c>
      <c r="CH15" s="181">
        <v>16690076.68</v>
      </c>
      <c r="CI15" s="181">
        <v>16697813.1</v>
      </c>
      <c r="CJ15" s="181">
        <v>16919952.75</v>
      </c>
      <c r="CK15" s="181">
        <v>20215974</v>
      </c>
      <c r="CL15" s="181">
        <v>18087960.5</v>
      </c>
      <c r="CM15" s="181">
        <v>18560803.34</v>
      </c>
      <c r="CN15" s="181">
        <v>18751210.809999999</v>
      </c>
      <c r="CO15" s="181">
        <v>19134182</v>
      </c>
      <c r="CP15" s="181">
        <v>19858362</v>
      </c>
      <c r="CQ15" s="181">
        <v>12560097</v>
      </c>
      <c r="CR15" s="227">
        <v>12560097</v>
      </c>
      <c r="CS15" s="222">
        <v>14191608</v>
      </c>
    </row>
    <row r="16" spans="1:101" x14ac:dyDescent="0.25">
      <c r="A16" s="114" t="s">
        <v>78</v>
      </c>
      <c r="B16" s="115">
        <f t="shared" ref="B16:AU16" si="6">SUM(B17:B19)</f>
        <v>0</v>
      </c>
      <c r="C16" s="115">
        <f t="shared" si="6"/>
        <v>0</v>
      </c>
      <c r="D16" s="115">
        <f t="shared" si="6"/>
        <v>0</v>
      </c>
      <c r="E16" s="115">
        <f t="shared" si="6"/>
        <v>0</v>
      </c>
      <c r="F16" s="115">
        <f t="shared" si="6"/>
        <v>0</v>
      </c>
      <c r="G16" s="115">
        <f t="shared" si="6"/>
        <v>0</v>
      </c>
      <c r="H16" s="115">
        <f t="shared" si="6"/>
        <v>0</v>
      </c>
      <c r="I16" s="115">
        <f t="shared" si="6"/>
        <v>0</v>
      </c>
      <c r="J16" s="115">
        <f t="shared" si="6"/>
        <v>0</v>
      </c>
      <c r="K16" s="115">
        <f t="shared" si="6"/>
        <v>0</v>
      </c>
      <c r="L16" s="115">
        <f t="shared" si="6"/>
        <v>0</v>
      </c>
      <c r="M16" s="115">
        <f t="shared" si="6"/>
        <v>0</v>
      </c>
      <c r="N16" s="115">
        <f t="shared" si="6"/>
        <v>0</v>
      </c>
      <c r="O16" s="115">
        <f t="shared" si="6"/>
        <v>0</v>
      </c>
      <c r="P16" s="115">
        <f t="shared" si="6"/>
        <v>0</v>
      </c>
      <c r="Q16" s="115">
        <f t="shared" si="6"/>
        <v>0</v>
      </c>
      <c r="R16" s="116">
        <f t="shared" si="6"/>
        <v>0</v>
      </c>
      <c r="S16" s="116">
        <f t="shared" si="6"/>
        <v>0</v>
      </c>
      <c r="T16" s="116">
        <f t="shared" si="6"/>
        <v>0</v>
      </c>
      <c r="U16" s="116">
        <f t="shared" si="6"/>
        <v>0</v>
      </c>
      <c r="V16" s="116">
        <f t="shared" si="6"/>
        <v>0</v>
      </c>
      <c r="W16" s="116">
        <f t="shared" si="6"/>
        <v>0</v>
      </c>
      <c r="X16" s="116">
        <f t="shared" si="6"/>
        <v>0</v>
      </c>
      <c r="Y16" s="143">
        <f t="shared" si="6"/>
        <v>0</v>
      </c>
      <c r="Z16" s="143">
        <f t="shared" si="6"/>
        <v>0</v>
      </c>
      <c r="AA16" s="143">
        <f t="shared" si="6"/>
        <v>0</v>
      </c>
      <c r="AB16" s="143">
        <f t="shared" si="6"/>
        <v>0</v>
      </c>
      <c r="AC16" s="143">
        <f t="shared" si="6"/>
        <v>0</v>
      </c>
      <c r="AD16" s="143">
        <f t="shared" si="6"/>
        <v>0</v>
      </c>
      <c r="AE16" s="143">
        <f t="shared" si="6"/>
        <v>0</v>
      </c>
      <c r="AF16" s="143">
        <f t="shared" si="6"/>
        <v>0</v>
      </c>
      <c r="AG16" s="143">
        <f t="shared" si="6"/>
        <v>0</v>
      </c>
      <c r="AH16" s="143">
        <f t="shared" si="6"/>
        <v>0</v>
      </c>
      <c r="AI16" s="143">
        <f t="shared" si="6"/>
        <v>0</v>
      </c>
      <c r="AJ16" s="143">
        <f t="shared" si="6"/>
        <v>0</v>
      </c>
      <c r="AK16" s="143">
        <f t="shared" si="6"/>
        <v>0</v>
      </c>
      <c r="AL16" s="143">
        <f t="shared" si="6"/>
        <v>0</v>
      </c>
      <c r="AM16" s="143">
        <f t="shared" si="6"/>
        <v>0</v>
      </c>
      <c r="AN16" s="143">
        <f t="shared" si="6"/>
        <v>0</v>
      </c>
      <c r="AO16" s="143">
        <f t="shared" si="6"/>
        <v>0</v>
      </c>
      <c r="AP16" s="143">
        <f t="shared" si="6"/>
        <v>0</v>
      </c>
      <c r="AQ16" s="143">
        <f t="shared" si="6"/>
        <v>0</v>
      </c>
      <c r="AR16" s="144">
        <f t="shared" si="6"/>
        <v>0</v>
      </c>
      <c r="AS16" s="144">
        <f t="shared" si="6"/>
        <v>0</v>
      </c>
      <c r="AT16" s="144">
        <f t="shared" si="6"/>
        <v>0</v>
      </c>
      <c r="AU16" s="144">
        <f t="shared" si="6"/>
        <v>0</v>
      </c>
      <c r="AV16" s="144">
        <f>SUM(AV17:AV19)</f>
        <v>0</v>
      </c>
      <c r="AW16" s="144">
        <f>SUM(AW17:AW19)</f>
        <v>0</v>
      </c>
      <c r="AX16" s="144">
        <f>SUM(AX17:AX19)</f>
        <v>0</v>
      </c>
      <c r="AY16" s="144">
        <f>SUM(AY17:AY19)</f>
        <v>0</v>
      </c>
      <c r="AZ16" s="144">
        <f t="shared" ref="AZ16:CS16" si="7">SUM(AZ17:AZ19)</f>
        <v>0</v>
      </c>
      <c r="BA16" s="144">
        <f t="shared" si="7"/>
        <v>0</v>
      </c>
      <c r="BB16" s="144">
        <f t="shared" si="7"/>
        <v>0</v>
      </c>
      <c r="BC16" s="144">
        <f t="shared" si="7"/>
        <v>0</v>
      </c>
      <c r="BD16" s="144">
        <f t="shared" si="7"/>
        <v>0</v>
      </c>
      <c r="BE16" s="144">
        <f t="shared" si="7"/>
        <v>0</v>
      </c>
      <c r="BF16" s="144">
        <f t="shared" si="7"/>
        <v>0</v>
      </c>
      <c r="BG16" s="144">
        <f t="shared" si="7"/>
        <v>0</v>
      </c>
      <c r="BH16" s="144">
        <f t="shared" si="7"/>
        <v>0</v>
      </c>
      <c r="BI16" s="144">
        <f t="shared" si="7"/>
        <v>0</v>
      </c>
      <c r="BJ16" s="144">
        <f t="shared" si="7"/>
        <v>0</v>
      </c>
      <c r="BK16" s="144">
        <f t="shared" si="7"/>
        <v>0</v>
      </c>
      <c r="BL16" s="144">
        <f t="shared" si="7"/>
        <v>0</v>
      </c>
      <c r="BM16" s="144">
        <f t="shared" si="7"/>
        <v>0</v>
      </c>
      <c r="BN16" s="144">
        <f t="shared" si="7"/>
        <v>0</v>
      </c>
      <c r="BO16" s="144">
        <f t="shared" si="7"/>
        <v>0</v>
      </c>
      <c r="BP16" s="144">
        <f t="shared" si="7"/>
        <v>0</v>
      </c>
      <c r="BQ16" s="144">
        <f t="shared" si="7"/>
        <v>0</v>
      </c>
      <c r="BR16" s="144">
        <f t="shared" si="7"/>
        <v>450000</v>
      </c>
      <c r="BS16" s="144">
        <f t="shared" si="7"/>
        <v>0</v>
      </c>
      <c r="BT16" s="144">
        <f t="shared" si="7"/>
        <v>0</v>
      </c>
      <c r="BU16" s="144">
        <f t="shared" si="7"/>
        <v>0</v>
      </c>
      <c r="BV16" s="144">
        <f t="shared" si="7"/>
        <v>0</v>
      </c>
      <c r="BW16" s="144">
        <f t="shared" si="7"/>
        <v>0</v>
      </c>
      <c r="BX16" s="144">
        <f t="shared" si="7"/>
        <v>0</v>
      </c>
      <c r="BY16" s="144">
        <f t="shared" si="7"/>
        <v>0</v>
      </c>
      <c r="BZ16" s="144">
        <f t="shared" si="7"/>
        <v>0</v>
      </c>
      <c r="CA16" s="144">
        <f t="shared" si="7"/>
        <v>0</v>
      </c>
      <c r="CB16" s="144">
        <f t="shared" si="7"/>
        <v>0</v>
      </c>
      <c r="CC16" s="144">
        <f t="shared" si="7"/>
        <v>0</v>
      </c>
      <c r="CD16" s="144">
        <f t="shared" si="7"/>
        <v>0</v>
      </c>
      <c r="CE16" s="144">
        <f t="shared" si="7"/>
        <v>0</v>
      </c>
      <c r="CF16" s="144">
        <f>SUM(CF17:CF19)</f>
        <v>0</v>
      </c>
      <c r="CG16" s="144">
        <f t="shared" si="7"/>
        <v>0</v>
      </c>
      <c r="CH16" s="144">
        <f t="shared" si="7"/>
        <v>0</v>
      </c>
      <c r="CI16" s="144">
        <f t="shared" si="7"/>
        <v>0</v>
      </c>
      <c r="CJ16" s="144">
        <f t="shared" si="7"/>
        <v>0</v>
      </c>
      <c r="CK16" s="144">
        <f t="shared" si="7"/>
        <v>0</v>
      </c>
      <c r="CL16" s="144">
        <f t="shared" si="7"/>
        <v>0</v>
      </c>
      <c r="CM16" s="144">
        <f t="shared" si="7"/>
        <v>0</v>
      </c>
      <c r="CN16" s="144">
        <f t="shared" si="7"/>
        <v>0</v>
      </c>
      <c r="CO16" s="144">
        <f t="shared" si="7"/>
        <v>0</v>
      </c>
      <c r="CP16" s="144">
        <f t="shared" si="7"/>
        <v>0</v>
      </c>
      <c r="CQ16" s="144">
        <f t="shared" si="7"/>
        <v>0</v>
      </c>
      <c r="CR16" s="143">
        <f t="shared" si="7"/>
        <v>0</v>
      </c>
      <c r="CS16" s="144">
        <f t="shared" si="7"/>
        <v>0</v>
      </c>
    </row>
    <row r="17" spans="1:100" x14ac:dyDescent="0.25">
      <c r="A17" s="118" t="s">
        <v>79</v>
      </c>
      <c r="B17" s="119">
        <v>0</v>
      </c>
      <c r="C17" s="119"/>
      <c r="D17" s="120">
        <v>0</v>
      </c>
      <c r="E17" s="119">
        <v>0</v>
      </c>
      <c r="F17" s="119">
        <v>0</v>
      </c>
      <c r="G17" s="121">
        <v>0</v>
      </c>
      <c r="H17" s="121">
        <v>0</v>
      </c>
      <c r="I17" s="121">
        <v>0</v>
      </c>
      <c r="J17" s="121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2">
        <v>0</v>
      </c>
      <c r="R17" s="122">
        <v>0</v>
      </c>
      <c r="S17" s="122">
        <v>0</v>
      </c>
      <c r="T17" s="122">
        <v>0</v>
      </c>
      <c r="U17" s="122">
        <v>0</v>
      </c>
      <c r="V17" s="122">
        <v>0</v>
      </c>
      <c r="W17" s="122">
        <v>0</v>
      </c>
      <c r="X17" s="122">
        <v>0</v>
      </c>
      <c r="Y17" s="106"/>
      <c r="Z17" s="106"/>
      <c r="AP17" s="126">
        <v>0</v>
      </c>
      <c r="AQ17" s="126">
        <v>0</v>
      </c>
      <c r="AR17" s="145"/>
      <c r="AS17" s="145"/>
      <c r="AT17" s="145"/>
      <c r="AU17" s="145"/>
      <c r="AV17" s="145"/>
      <c r="AW17" s="145"/>
      <c r="AX17" s="145"/>
      <c r="AY17" s="145"/>
      <c r="BR17" s="126">
        <v>450000</v>
      </c>
      <c r="BS17" s="104">
        <v>0</v>
      </c>
      <c r="BT17" s="104">
        <v>0</v>
      </c>
      <c r="BU17" s="104">
        <v>0</v>
      </c>
      <c r="BV17" s="104">
        <v>0</v>
      </c>
      <c r="BW17" s="161">
        <v>0</v>
      </c>
      <c r="BX17" s="163">
        <v>0</v>
      </c>
      <c r="BY17" s="163">
        <v>0</v>
      </c>
      <c r="BZ17" s="165">
        <v>0</v>
      </c>
      <c r="CA17" s="167">
        <v>0</v>
      </c>
      <c r="CB17" s="167">
        <v>0</v>
      </c>
      <c r="CF17" s="181">
        <v>0</v>
      </c>
      <c r="CG17" s="181">
        <v>0</v>
      </c>
      <c r="CH17" s="181">
        <v>0</v>
      </c>
      <c r="CI17" s="181">
        <v>0</v>
      </c>
      <c r="CJ17" s="181">
        <v>0</v>
      </c>
      <c r="CK17" s="181">
        <v>0</v>
      </c>
      <c r="CL17" s="181">
        <v>0</v>
      </c>
      <c r="CM17" s="181">
        <v>0</v>
      </c>
      <c r="CN17" s="181">
        <v>0</v>
      </c>
      <c r="CO17" s="181">
        <v>0</v>
      </c>
      <c r="CP17" s="181">
        <v>0</v>
      </c>
      <c r="CQ17" s="181">
        <v>0</v>
      </c>
      <c r="CR17" s="181">
        <v>0</v>
      </c>
      <c r="CS17" s="222">
        <v>0</v>
      </c>
    </row>
    <row r="18" spans="1:100" x14ac:dyDescent="0.25">
      <c r="A18" s="118" t="s">
        <v>80</v>
      </c>
      <c r="B18" s="119">
        <v>0</v>
      </c>
      <c r="C18" s="119"/>
      <c r="D18" s="120">
        <v>0</v>
      </c>
      <c r="E18" s="119">
        <v>0</v>
      </c>
      <c r="F18" s="119">
        <v>0</v>
      </c>
      <c r="G18" s="121">
        <v>0</v>
      </c>
      <c r="H18" s="121">
        <v>0</v>
      </c>
      <c r="I18" s="121">
        <v>0</v>
      </c>
      <c r="J18" s="121">
        <v>0</v>
      </c>
      <c r="K18" s="121">
        <v>0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2">
        <v>0</v>
      </c>
      <c r="R18" s="122">
        <v>0</v>
      </c>
      <c r="S18" s="122">
        <v>0</v>
      </c>
      <c r="T18" s="122">
        <v>0</v>
      </c>
      <c r="U18" s="122">
        <v>0</v>
      </c>
      <c r="V18" s="122">
        <v>0</v>
      </c>
      <c r="W18" s="122">
        <v>0</v>
      </c>
      <c r="X18" s="122">
        <v>0</v>
      </c>
      <c r="Y18" s="106"/>
      <c r="Z18" s="106"/>
      <c r="AP18" s="126">
        <v>0</v>
      </c>
      <c r="AQ18" s="126">
        <v>0</v>
      </c>
      <c r="AR18" s="145"/>
      <c r="AS18" s="145"/>
      <c r="AT18" s="145"/>
      <c r="AU18" s="145"/>
      <c r="AV18" s="145"/>
      <c r="AW18" s="145"/>
      <c r="AX18" s="145"/>
      <c r="AY18" s="145"/>
      <c r="BS18" s="104">
        <v>0</v>
      </c>
      <c r="BT18" s="104">
        <v>0</v>
      </c>
      <c r="BU18" s="104">
        <v>0</v>
      </c>
      <c r="BV18" s="104">
        <v>0</v>
      </c>
      <c r="BW18" s="165">
        <v>0</v>
      </c>
      <c r="BX18" s="167">
        <v>0</v>
      </c>
      <c r="BY18" s="167">
        <v>0</v>
      </c>
      <c r="BZ18" s="165">
        <v>0</v>
      </c>
      <c r="CA18" s="167">
        <v>0</v>
      </c>
      <c r="CB18" s="167">
        <v>0</v>
      </c>
      <c r="CF18" s="181">
        <v>0</v>
      </c>
      <c r="CG18" s="181">
        <v>0</v>
      </c>
      <c r="CH18" s="181">
        <v>0</v>
      </c>
      <c r="CI18" s="181">
        <v>0</v>
      </c>
      <c r="CJ18" s="181">
        <v>0</v>
      </c>
      <c r="CK18" s="181">
        <v>0</v>
      </c>
      <c r="CL18" s="181">
        <v>0</v>
      </c>
      <c r="CM18" s="181">
        <v>0</v>
      </c>
      <c r="CN18" s="181">
        <v>0</v>
      </c>
      <c r="CO18" s="181">
        <v>0</v>
      </c>
      <c r="CP18" s="181">
        <v>0</v>
      </c>
      <c r="CQ18" s="181">
        <v>0</v>
      </c>
      <c r="CR18" s="181">
        <v>0</v>
      </c>
      <c r="CS18" s="222">
        <v>0</v>
      </c>
    </row>
    <row r="19" spans="1:100" x14ac:dyDescent="0.25">
      <c r="A19" s="118" t="s">
        <v>81</v>
      </c>
      <c r="B19" s="119"/>
      <c r="C19" s="119"/>
      <c r="D19" s="120">
        <v>0</v>
      </c>
      <c r="E19" s="119">
        <v>0</v>
      </c>
      <c r="F19" s="119">
        <v>0</v>
      </c>
      <c r="G19" s="121">
        <v>0</v>
      </c>
      <c r="H19" s="121">
        <v>0</v>
      </c>
      <c r="I19" s="121">
        <v>0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06"/>
      <c r="Z19" s="106"/>
      <c r="AP19" s="126">
        <v>0</v>
      </c>
      <c r="AQ19" s="126">
        <v>0</v>
      </c>
      <c r="AR19" s="145"/>
      <c r="AS19" s="145"/>
      <c r="AT19" s="145"/>
      <c r="AU19" s="145"/>
      <c r="AV19" s="145"/>
      <c r="AW19" s="145"/>
      <c r="AX19" s="145"/>
      <c r="AY19" s="145"/>
      <c r="BS19" s="104">
        <v>0</v>
      </c>
      <c r="BT19" s="104">
        <v>0</v>
      </c>
      <c r="BU19" s="104">
        <v>0</v>
      </c>
      <c r="BV19" s="104">
        <v>0</v>
      </c>
      <c r="BW19" s="165">
        <v>0</v>
      </c>
      <c r="BX19" s="167">
        <v>0</v>
      </c>
      <c r="BY19" s="167">
        <v>0</v>
      </c>
      <c r="BZ19" s="165">
        <v>0</v>
      </c>
      <c r="CA19" s="167">
        <v>0</v>
      </c>
      <c r="CB19" s="167">
        <v>0</v>
      </c>
      <c r="CF19" s="181">
        <v>0</v>
      </c>
      <c r="CG19" s="181">
        <v>0</v>
      </c>
      <c r="CH19" s="181">
        <v>0</v>
      </c>
      <c r="CI19" s="181">
        <v>0</v>
      </c>
      <c r="CJ19" s="181">
        <v>0</v>
      </c>
      <c r="CK19" s="181">
        <v>0</v>
      </c>
      <c r="CL19" s="181">
        <v>0</v>
      </c>
      <c r="CM19" s="181">
        <v>0</v>
      </c>
      <c r="CN19" s="181">
        <v>0</v>
      </c>
      <c r="CO19" s="181">
        <v>0</v>
      </c>
      <c r="CP19" s="181">
        <v>0</v>
      </c>
      <c r="CQ19" s="181">
        <v>0</v>
      </c>
      <c r="CR19" s="181">
        <v>0</v>
      </c>
      <c r="CS19" s="222">
        <v>0</v>
      </c>
    </row>
    <row r="20" spans="1:100" ht="26.4" x14ac:dyDescent="0.25">
      <c r="A20" s="114" t="s">
        <v>82</v>
      </c>
      <c r="B20" s="115">
        <f t="shared" ref="B20:AU20" si="8">SUM(B21:B25)</f>
        <v>86094595</v>
      </c>
      <c r="C20" s="115">
        <f t="shared" si="8"/>
        <v>89727058.549999997</v>
      </c>
      <c r="D20" s="115">
        <f t="shared" si="8"/>
        <v>85889858.549999997</v>
      </c>
      <c r="E20" s="115">
        <f t="shared" si="8"/>
        <v>180619088.80000001</v>
      </c>
      <c r="F20" s="115">
        <f t="shared" si="8"/>
        <v>176440504.25999999</v>
      </c>
      <c r="G20" s="115">
        <f t="shared" si="8"/>
        <v>176091185.19999999</v>
      </c>
      <c r="H20" s="115">
        <f t="shared" si="8"/>
        <v>175746195.42000002</v>
      </c>
      <c r="I20" s="115">
        <f t="shared" si="8"/>
        <v>350810891.82000005</v>
      </c>
      <c r="J20" s="115">
        <f t="shared" si="8"/>
        <v>177823099.47</v>
      </c>
      <c r="K20" s="115">
        <f t="shared" si="8"/>
        <v>177504791.75</v>
      </c>
      <c r="L20" s="115">
        <f t="shared" si="8"/>
        <v>178320370.78000003</v>
      </c>
      <c r="M20" s="115">
        <f t="shared" si="8"/>
        <v>179219207.00999999</v>
      </c>
      <c r="N20" s="115">
        <f t="shared" si="8"/>
        <v>178015035.30000001</v>
      </c>
      <c r="O20" s="115">
        <f t="shared" si="8"/>
        <v>176678900.87</v>
      </c>
      <c r="P20" s="115">
        <f t="shared" si="8"/>
        <v>353256669.65999997</v>
      </c>
      <c r="Q20" s="115">
        <f t="shared" si="8"/>
        <v>177410613.59999999</v>
      </c>
      <c r="R20" s="116">
        <f t="shared" si="8"/>
        <v>86669147.549999997</v>
      </c>
      <c r="S20" s="116">
        <f t="shared" si="8"/>
        <v>353937363.98000002</v>
      </c>
      <c r="T20" s="116">
        <f t="shared" si="8"/>
        <v>176998890.93000001</v>
      </c>
      <c r="U20" s="116">
        <f t="shared" si="8"/>
        <v>154811475.30000001</v>
      </c>
      <c r="V20" s="116">
        <f t="shared" si="8"/>
        <v>154454040.41999999</v>
      </c>
      <c r="W20" s="116">
        <f t="shared" si="8"/>
        <v>145363064</v>
      </c>
      <c r="X20" s="116">
        <f t="shared" si="8"/>
        <v>131436086.63000001</v>
      </c>
      <c r="Y20" s="146">
        <f t="shared" si="8"/>
        <v>393266162.94</v>
      </c>
      <c r="Z20" s="146">
        <f t="shared" si="8"/>
        <v>267468356.56</v>
      </c>
      <c r="AA20" s="146">
        <f t="shared" si="8"/>
        <v>666919837.64999998</v>
      </c>
      <c r="AB20" s="146">
        <f t="shared" si="8"/>
        <v>266075999.66</v>
      </c>
      <c r="AC20" s="146">
        <f t="shared" si="8"/>
        <v>433983863.34000003</v>
      </c>
      <c r="AD20" s="146">
        <f t="shared" si="8"/>
        <v>135203710.53</v>
      </c>
      <c r="AE20" s="146">
        <f t="shared" si="8"/>
        <v>84368462.549999997</v>
      </c>
      <c r="AF20" s="146">
        <f t="shared" si="8"/>
        <v>134885261.14000002</v>
      </c>
      <c r="AG20" s="146">
        <f t="shared" si="8"/>
        <v>137273954.25999999</v>
      </c>
      <c r="AH20" s="146">
        <f t="shared" si="8"/>
        <v>136648278.62</v>
      </c>
      <c r="AI20" s="146">
        <f t="shared" si="8"/>
        <v>136340192.80000001</v>
      </c>
      <c r="AJ20" s="146">
        <f t="shared" si="8"/>
        <v>134954663.04999998</v>
      </c>
      <c r="AK20" s="146">
        <f t="shared" si="8"/>
        <v>135377342.93000001</v>
      </c>
      <c r="AL20" s="146">
        <f t="shared" si="8"/>
        <v>110523326.89</v>
      </c>
      <c r="AM20" s="146">
        <f t="shared" si="8"/>
        <v>110228204.06999999</v>
      </c>
      <c r="AN20" s="146">
        <f t="shared" si="8"/>
        <v>109936165.42999999</v>
      </c>
      <c r="AO20" s="146">
        <f t="shared" si="8"/>
        <v>109686324.74000001</v>
      </c>
      <c r="AP20" s="146">
        <f t="shared" si="8"/>
        <v>109974357.89</v>
      </c>
      <c r="AQ20" s="146">
        <f t="shared" si="8"/>
        <v>114737387.67999999</v>
      </c>
      <c r="AR20" s="147">
        <f t="shared" si="8"/>
        <v>81564940.739999995</v>
      </c>
      <c r="AS20" s="147">
        <f t="shared" si="8"/>
        <v>115056227.27</v>
      </c>
      <c r="AT20" s="147">
        <f t="shared" si="8"/>
        <v>114758408.89999999</v>
      </c>
      <c r="AU20" s="147">
        <f t="shared" si="8"/>
        <v>114463911.72</v>
      </c>
      <c r="AV20" s="147">
        <f>SUM(AV21:AV25)</f>
        <v>112036433.40000001</v>
      </c>
      <c r="AW20" s="147">
        <f>SUM(AW21:AW25)</f>
        <v>112491375.68000001</v>
      </c>
      <c r="AX20" s="147">
        <f>SUM(AX21:AX25)</f>
        <v>112206439.50999999</v>
      </c>
      <c r="AY20" s="147">
        <f>SUM(AY21:AY25)</f>
        <v>111924561.44999999</v>
      </c>
      <c r="AZ20" s="147">
        <f t="shared" ref="AZ20:BL20" si="9">SUM(AZ21:AZ25)</f>
        <v>111645679.49000001</v>
      </c>
      <c r="BA20" s="147">
        <f t="shared" si="9"/>
        <v>111369733.34</v>
      </c>
      <c r="BB20" s="147">
        <f t="shared" si="9"/>
        <v>111126663.94</v>
      </c>
      <c r="BC20" s="147">
        <f t="shared" si="9"/>
        <v>115855663.69</v>
      </c>
      <c r="BD20" s="147">
        <f t="shared" si="9"/>
        <v>112646768.07999998</v>
      </c>
      <c r="BE20" s="147">
        <f t="shared" si="9"/>
        <v>0</v>
      </c>
      <c r="BF20" s="147">
        <f t="shared" si="9"/>
        <v>112967323.02</v>
      </c>
      <c r="BG20" s="147">
        <f t="shared" si="9"/>
        <v>107042039.64</v>
      </c>
      <c r="BH20" s="147">
        <f t="shared" si="9"/>
        <v>110111561.13999999</v>
      </c>
      <c r="BI20" s="147">
        <f t="shared" si="9"/>
        <v>106252267.89</v>
      </c>
      <c r="BJ20" s="147">
        <f t="shared" si="9"/>
        <v>111489102.44000001</v>
      </c>
      <c r="BK20" s="147">
        <f t="shared" si="9"/>
        <v>113267311.28999999</v>
      </c>
      <c r="BL20" s="147">
        <f t="shared" si="9"/>
        <v>0</v>
      </c>
      <c r="BM20" s="147">
        <f>SUM(BM21:BM25)</f>
        <v>277191570.18000001</v>
      </c>
      <c r="BN20" s="147">
        <f t="shared" ref="BN20:CS20" si="10">SUM(BN21:BN25)</f>
        <v>93097958.479999989</v>
      </c>
      <c r="BO20" s="147">
        <f t="shared" si="10"/>
        <v>93261156.629999995</v>
      </c>
      <c r="BP20" s="147">
        <f t="shared" si="10"/>
        <v>196141407.90000001</v>
      </c>
      <c r="BQ20" s="147">
        <f t="shared" si="10"/>
        <v>93819482.829999983</v>
      </c>
      <c r="BR20" s="147">
        <f t="shared" si="10"/>
        <v>76648528.659999996</v>
      </c>
      <c r="BS20" s="147">
        <f t="shared" si="10"/>
        <v>95056662.11999999</v>
      </c>
      <c r="BT20" s="147">
        <f t="shared" si="10"/>
        <v>92917898.519999981</v>
      </c>
      <c r="BU20" s="147">
        <f t="shared" si="10"/>
        <v>93241597.829999983</v>
      </c>
      <c r="BV20" s="147">
        <f t="shared" si="10"/>
        <v>90093040.340000004</v>
      </c>
      <c r="BW20" s="147">
        <f t="shared" si="10"/>
        <v>89808865.710000008</v>
      </c>
      <c r="BX20" s="147">
        <f t="shared" si="10"/>
        <v>122891449.98</v>
      </c>
      <c r="BY20" s="147">
        <f t="shared" si="10"/>
        <v>120300296.33000001</v>
      </c>
      <c r="BZ20" s="147">
        <f t="shared" si="10"/>
        <v>125910988.30000001</v>
      </c>
      <c r="CA20" s="147">
        <f t="shared" si="10"/>
        <v>125986881.89999998</v>
      </c>
      <c r="CB20" s="147">
        <f t="shared" si="10"/>
        <v>129937749.24000001</v>
      </c>
      <c r="CC20" s="147">
        <f t="shared" si="10"/>
        <v>0</v>
      </c>
      <c r="CD20" s="147">
        <f t="shared" si="10"/>
        <v>0</v>
      </c>
      <c r="CE20" s="147">
        <f t="shared" si="10"/>
        <v>79530106.700000003</v>
      </c>
      <c r="CF20" s="147">
        <f t="shared" si="10"/>
        <v>128387052.49000001</v>
      </c>
      <c r="CG20" s="147">
        <f t="shared" si="10"/>
        <v>134242199.41999999</v>
      </c>
      <c r="CH20" s="147">
        <f t="shared" si="10"/>
        <v>114486360.42</v>
      </c>
      <c r="CI20" s="147">
        <f t="shared" si="10"/>
        <v>114193715.95</v>
      </c>
      <c r="CJ20" s="147">
        <f t="shared" si="10"/>
        <v>113340749.70999998</v>
      </c>
      <c r="CK20" s="147">
        <f t="shared" si="10"/>
        <v>108673002.44999999</v>
      </c>
      <c r="CL20" s="147">
        <f t="shared" si="10"/>
        <v>107345630.03</v>
      </c>
      <c r="CM20" s="147">
        <f t="shared" si="10"/>
        <v>116577046.64</v>
      </c>
      <c r="CN20" s="147">
        <f t="shared" si="10"/>
        <v>116301581.16</v>
      </c>
      <c r="CO20" s="147">
        <f t="shared" si="10"/>
        <v>111973335.42999999</v>
      </c>
      <c r="CP20" s="147">
        <f t="shared" si="10"/>
        <v>111550120.63</v>
      </c>
      <c r="CQ20" s="147">
        <f t="shared" si="10"/>
        <v>111826275.75</v>
      </c>
      <c r="CR20" s="146">
        <f t="shared" si="10"/>
        <v>77002573.700000003</v>
      </c>
      <c r="CS20" s="147">
        <f t="shared" si="10"/>
        <v>116046243.72</v>
      </c>
      <c r="CU20" s="104">
        <v>74026831.5</v>
      </c>
      <c r="CV20" s="150">
        <f>CU20-CR20</f>
        <v>-2975742.200000003</v>
      </c>
    </row>
    <row r="21" spans="1:100" ht="14.4" x14ac:dyDescent="0.25">
      <c r="A21" s="118" t="s">
        <v>83</v>
      </c>
      <c r="B21" s="119"/>
      <c r="C21" s="119"/>
      <c r="D21" s="120">
        <v>0</v>
      </c>
      <c r="E21" s="119">
        <v>75930282.090000004</v>
      </c>
      <c r="F21" s="119">
        <v>74108532.640000001</v>
      </c>
      <c r="G21" s="121">
        <v>73959024.549999997</v>
      </c>
      <c r="H21" s="121">
        <v>73809827.930000007</v>
      </c>
      <c r="I21" s="121">
        <v>147321884.30000001</v>
      </c>
      <c r="J21" s="121">
        <v>76266616.390000001</v>
      </c>
      <c r="K21" s="121">
        <v>76132570.629999995</v>
      </c>
      <c r="L21" s="121">
        <v>76278220.790000007</v>
      </c>
      <c r="M21" s="121">
        <v>76523359.189999998</v>
      </c>
      <c r="N21" s="121">
        <v>76128471</v>
      </c>
      <c r="O21" s="121">
        <v>75974754.709999993</v>
      </c>
      <c r="P21" s="121">
        <v>151642717.30000001</v>
      </c>
      <c r="Q21" s="122">
        <v>75667323.849999994</v>
      </c>
      <c r="S21" s="121">
        <v>151029136.56</v>
      </c>
      <c r="T21" s="121">
        <v>75362130.950000003</v>
      </c>
      <c r="U21" s="121">
        <v>75210011.200000003</v>
      </c>
      <c r="V21" s="121">
        <v>75058208.359999999</v>
      </c>
      <c r="W21" s="121">
        <v>75058208.359999999</v>
      </c>
      <c r="X21" s="121">
        <v>74906721.780000001</v>
      </c>
      <c r="Y21" s="121">
        <v>224266652.40000001</v>
      </c>
      <c r="Z21" s="121">
        <v>149209389.52000001</v>
      </c>
      <c r="AA21" s="121">
        <v>372270765</v>
      </c>
      <c r="AB21" s="126">
        <v>148607849.72</v>
      </c>
      <c r="AC21" s="126">
        <v>222462029.13</v>
      </c>
      <c r="AD21" s="126">
        <v>73834257.849999994</v>
      </c>
      <c r="AE21" s="126">
        <v>71489608</v>
      </c>
      <c r="AF21" s="125">
        <v>73685321.170000002</v>
      </c>
      <c r="AG21" s="125">
        <v>73536694.769999996</v>
      </c>
      <c r="AH21" s="125">
        <v>73388378.010000005</v>
      </c>
      <c r="AI21" s="125">
        <v>73240370.239999995</v>
      </c>
      <c r="AJ21" s="125">
        <v>73092670.819999993</v>
      </c>
      <c r="AK21" s="125">
        <v>72945279.109999999</v>
      </c>
      <c r="AL21" s="125">
        <v>72798194.469999999</v>
      </c>
      <c r="AM21" s="125">
        <v>72651416.25</v>
      </c>
      <c r="AN21" s="125">
        <v>72504943.819999993</v>
      </c>
      <c r="AO21" s="125">
        <v>72358776.540000007</v>
      </c>
      <c r="AP21" s="126">
        <v>72212913.780000001</v>
      </c>
      <c r="AQ21" s="126">
        <v>72047017.849999994</v>
      </c>
      <c r="AR21" s="127"/>
      <c r="AS21" s="128">
        <v>71901804.579999998</v>
      </c>
      <c r="AT21" s="128">
        <v>71756893.840000004</v>
      </c>
      <c r="AU21" s="128">
        <v>71612285</v>
      </c>
      <c r="AV21" s="128">
        <v>71467977.430000007</v>
      </c>
      <c r="AW21" s="128">
        <v>71323970.5</v>
      </c>
      <c r="AX21" s="128">
        <v>71180263.579999998</v>
      </c>
      <c r="AY21" s="128">
        <v>71036856.090000004</v>
      </c>
      <c r="AZ21" s="121">
        <v>70893747.290000007</v>
      </c>
      <c r="BA21" s="121">
        <v>70750936.670000002</v>
      </c>
      <c r="BB21" s="121">
        <v>70608423.569999993</v>
      </c>
      <c r="BC21" s="121">
        <v>70466207.379999995</v>
      </c>
      <c r="BD21" s="121">
        <v>70304458.849999994</v>
      </c>
      <c r="BE21" s="155"/>
      <c r="BF21" s="121">
        <v>70162875.909999996</v>
      </c>
      <c r="BG21" s="121">
        <v>70021587.939999998</v>
      </c>
      <c r="BH21" s="121">
        <v>69880594.319999993</v>
      </c>
      <c r="BI21" s="121">
        <v>69739894.439999998</v>
      </c>
      <c r="BJ21" s="121">
        <v>69599487.680000007</v>
      </c>
      <c r="BK21" s="121">
        <v>69459373.439999998</v>
      </c>
      <c r="BL21" s="121"/>
      <c r="BM21" s="121">
        <v>207540060.09</v>
      </c>
      <c r="BN21" s="121">
        <v>69180020.049999997</v>
      </c>
      <c r="BO21" s="121">
        <v>69040779.700000003</v>
      </c>
      <c r="BP21" s="121">
        <v>140608916</v>
      </c>
      <c r="BQ21" s="121">
        <v>68605463.849999994</v>
      </c>
      <c r="BS21" s="104">
        <v>68605463.849999994</v>
      </c>
      <c r="BT21" s="104">
        <v>68605463.819999993</v>
      </c>
      <c r="BU21" s="104">
        <v>68605463.849999994</v>
      </c>
      <c r="BV21" s="104">
        <v>68053290.400000006</v>
      </c>
      <c r="BW21" s="162">
        <v>67915247.040000007</v>
      </c>
      <c r="BX21" s="164">
        <v>67779504.400000006</v>
      </c>
      <c r="BY21" s="164">
        <v>67643181.790000007</v>
      </c>
      <c r="BZ21" s="166">
        <v>67506859.400000006</v>
      </c>
      <c r="CA21" s="168">
        <v>67371104.799999997</v>
      </c>
      <c r="CB21" s="168">
        <v>67235633</v>
      </c>
      <c r="CF21" s="181">
        <v>66830628</v>
      </c>
      <c r="CG21" s="181">
        <v>66696282.200000003</v>
      </c>
      <c r="CH21" s="181">
        <v>66562216.299999997</v>
      </c>
      <c r="CI21" s="181">
        <v>66428150.399999999</v>
      </c>
      <c r="CJ21" s="181">
        <v>66562216.299999997</v>
      </c>
      <c r="CK21" s="181">
        <v>66160018.600000001</v>
      </c>
      <c r="CL21" s="181">
        <v>66027069.920000002</v>
      </c>
      <c r="CM21" s="181">
        <v>65894398.920000002</v>
      </c>
      <c r="CN21" s="181">
        <v>65762003.609999999</v>
      </c>
      <c r="CO21" s="181">
        <v>65629608.920000002</v>
      </c>
      <c r="CP21" s="181">
        <v>65497765.920000002</v>
      </c>
      <c r="CQ21" s="181">
        <v>65366196.920000002</v>
      </c>
      <c r="CR21" s="227">
        <f>63021547.15+2344650</f>
        <v>65366197.149999999</v>
      </c>
      <c r="CS21" s="222">
        <v>65234902.920000002</v>
      </c>
      <c r="CU21" s="126">
        <v>2344650</v>
      </c>
    </row>
    <row r="22" spans="1:100" ht="14.4" x14ac:dyDescent="0.25">
      <c r="A22" s="118" t="s">
        <v>84</v>
      </c>
      <c r="B22" s="119">
        <v>84021813</v>
      </c>
      <c r="C22" s="119">
        <v>88181510</v>
      </c>
      <c r="D22" s="141">
        <v>84809160</v>
      </c>
      <c r="E22" s="119">
        <v>12175558.75</v>
      </c>
      <c r="F22" s="119">
        <v>10374562.07</v>
      </c>
      <c r="G22" s="121">
        <v>10201657.609999999</v>
      </c>
      <c r="H22" s="121">
        <v>10032024.32</v>
      </c>
      <c r="I22" s="121">
        <v>19731189.02</v>
      </c>
      <c r="J22" s="121">
        <v>9702301.9700000007</v>
      </c>
      <c r="K22" s="121">
        <v>9542081.9399999995</v>
      </c>
      <c r="L22" s="121">
        <v>10235385.57</v>
      </c>
      <c r="M22" s="121">
        <v>10911809.52</v>
      </c>
      <c r="N22" s="121">
        <v>10124623</v>
      </c>
      <c r="O22" s="121">
        <v>9965700.1300000008</v>
      </c>
      <c r="P22" s="121">
        <v>20178832.579999998</v>
      </c>
      <c r="Q22" s="122">
        <v>9921377.4000000004</v>
      </c>
      <c r="R22" s="142">
        <v>85588701</v>
      </c>
      <c r="S22" s="121">
        <v>19536076.460000001</v>
      </c>
      <c r="T22" s="121">
        <v>9978528.7899999991</v>
      </c>
      <c r="U22" s="121">
        <v>11257647.27</v>
      </c>
      <c r="V22" s="121">
        <v>11078335.6</v>
      </c>
      <c r="W22" s="121">
        <v>11084135.6</v>
      </c>
      <c r="X22" s="121">
        <v>11308526.98</v>
      </c>
      <c r="Y22" s="121">
        <v>33413606.940000001</v>
      </c>
      <c r="Z22" s="121">
        <v>21918020.699999999</v>
      </c>
      <c r="AA22" s="121">
        <v>53917402.049999997</v>
      </c>
      <c r="AB22" s="126">
        <v>21222420.059999999</v>
      </c>
      <c r="AC22" s="126">
        <v>31326394.920000002</v>
      </c>
      <c r="AD22" s="126">
        <v>9577525.4000000004</v>
      </c>
      <c r="AE22" s="126">
        <f>83411783-71489608</f>
        <v>11922175</v>
      </c>
      <c r="AF22" s="125">
        <v>9432667.7300000004</v>
      </c>
      <c r="AG22" s="125">
        <v>9293059.0500000007</v>
      </c>
      <c r="AH22" s="125">
        <v>9153190.8399999999</v>
      </c>
      <c r="AI22" s="125">
        <v>9015771.7200000007</v>
      </c>
      <c r="AJ22" s="125">
        <v>8880753.1300000008</v>
      </c>
      <c r="AK22" s="125">
        <v>8748087.5399999991</v>
      </c>
      <c r="AL22" s="125">
        <v>8617728.5299999993</v>
      </c>
      <c r="AM22" s="125">
        <v>8489630.5399999991</v>
      </c>
      <c r="AN22" s="125">
        <v>8363749.0899999999</v>
      </c>
      <c r="AO22" s="125">
        <v>8320575.6100000003</v>
      </c>
      <c r="AP22" s="126">
        <v>8196984.1100000003</v>
      </c>
      <c r="AQ22" s="126">
        <v>7970556.4000000004</v>
      </c>
      <c r="AR22" s="127">
        <v>80017575</v>
      </c>
      <c r="AS22" s="128">
        <v>7852994.1699999999</v>
      </c>
      <c r="AT22" s="128">
        <v>7737453.9100000001</v>
      </c>
      <c r="AU22" s="128">
        <v>7623895.9900000002</v>
      </c>
      <c r="AV22" s="128">
        <v>7512281.6600000001</v>
      </c>
      <c r="AW22" s="128">
        <v>7402572.9500000002</v>
      </c>
      <c r="AX22" s="128">
        <v>7294732.7400000002</v>
      </c>
      <c r="AY22" s="128">
        <v>7188724.6900000004</v>
      </c>
      <c r="AZ22" s="121">
        <v>7084513.2199999997</v>
      </c>
      <c r="BA22" s="121">
        <v>6982063.54</v>
      </c>
      <c r="BB22" s="121">
        <v>6911341.5599999996</v>
      </c>
      <c r="BC22" s="121">
        <v>6811563.9299999997</v>
      </c>
      <c r="BD22" s="121">
        <v>7542854.7999999998</v>
      </c>
      <c r="BE22" s="155"/>
      <c r="BF22" s="121">
        <v>7438423.4299999997</v>
      </c>
      <c r="BG22" s="121">
        <v>7337237.0099999998</v>
      </c>
      <c r="BH22" s="121">
        <v>7236111.96</v>
      </c>
      <c r="BI22" s="121">
        <v>7136609.1399999997</v>
      </c>
      <c r="BJ22" s="121">
        <v>7038699.9299999997</v>
      </c>
      <c r="BK22" s="121">
        <v>6990645.8600000003</v>
      </c>
      <c r="BL22" s="121"/>
      <c r="BM22" s="121">
        <v>22188493.5</v>
      </c>
      <c r="BN22" s="121">
        <v>7396164.5</v>
      </c>
      <c r="BO22" s="121">
        <v>7293883.4900000002</v>
      </c>
      <c r="BP22" s="121">
        <v>16730466</v>
      </c>
      <c r="BQ22" s="121">
        <v>6942588.7999999998</v>
      </c>
      <c r="BR22" s="126">
        <v>75544365.920000002</v>
      </c>
      <c r="BS22" s="104">
        <v>6944189.7999999998</v>
      </c>
      <c r="BT22" s="104">
        <v>9256307.5999999996</v>
      </c>
      <c r="BU22" s="104">
        <v>9391307.5999999996</v>
      </c>
      <c r="BV22" s="104">
        <v>8898183.1699999999</v>
      </c>
      <c r="BW22" s="166">
        <v>8777866.7799999993</v>
      </c>
      <c r="BX22" s="168">
        <v>8666662.2400000002</v>
      </c>
      <c r="BY22" s="168">
        <v>8778147.4800000004</v>
      </c>
      <c r="BZ22" s="166">
        <v>8714498.2400000002</v>
      </c>
      <c r="CA22" s="168">
        <v>8599916.7400000002</v>
      </c>
      <c r="CB22" s="168">
        <v>8701620.3000000007</v>
      </c>
      <c r="CE22" s="126">
        <v>75445571.5</v>
      </c>
      <c r="CF22" s="181">
        <v>8370765.5800000001</v>
      </c>
      <c r="CG22" s="181">
        <v>8262848.6799999997</v>
      </c>
      <c r="CH22" s="181">
        <v>8156541.8399999999</v>
      </c>
      <c r="CI22" s="181">
        <v>8055208.0800000001</v>
      </c>
      <c r="CJ22" s="181">
        <v>8158582.9900000002</v>
      </c>
      <c r="CK22" s="181">
        <v>7837621.25</v>
      </c>
      <c r="CL22" s="181">
        <v>7739505.2999999998</v>
      </c>
      <c r="CM22" s="181">
        <v>7642792.2999999998</v>
      </c>
      <c r="CN22" s="181">
        <v>8207148.0800000001</v>
      </c>
      <c r="CO22" s="181">
        <v>8630411.3000000007</v>
      </c>
      <c r="CP22" s="181">
        <v>8764183.3000000007</v>
      </c>
      <c r="CQ22" s="181">
        <v>8660632.3000000007</v>
      </c>
      <c r="CR22" s="227">
        <f>7019373.03+494423.65+1011935.9+134901.77</f>
        <v>8660634.3499999996</v>
      </c>
      <c r="CS22" s="222">
        <v>8551198.3000000007</v>
      </c>
      <c r="CU22" s="126">
        <v>63021547.159999996</v>
      </c>
    </row>
    <row r="23" spans="1:100" ht="14.4" x14ac:dyDescent="0.25">
      <c r="A23" s="118" t="s">
        <v>85</v>
      </c>
      <c r="B23" s="119"/>
      <c r="C23" s="119"/>
      <c r="D23" s="120">
        <v>0</v>
      </c>
      <c r="E23" s="119">
        <v>0</v>
      </c>
      <c r="F23" s="119">
        <v>0</v>
      </c>
      <c r="G23" s="121">
        <v>0</v>
      </c>
      <c r="H23" s="121">
        <v>0</v>
      </c>
      <c r="I23" s="121">
        <v>0</v>
      </c>
      <c r="J23" s="121">
        <v>0</v>
      </c>
      <c r="K23" s="121">
        <v>0</v>
      </c>
      <c r="L23" s="121">
        <v>0</v>
      </c>
      <c r="M23" s="121">
        <v>0</v>
      </c>
      <c r="N23" s="121">
        <v>0</v>
      </c>
      <c r="O23" s="121">
        <v>0</v>
      </c>
      <c r="P23" s="121">
        <v>0</v>
      </c>
      <c r="Q23" s="122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  <c r="Y23" s="121">
        <v>0</v>
      </c>
      <c r="Z23" s="121">
        <v>0</v>
      </c>
      <c r="AA23" s="121">
        <v>0</v>
      </c>
      <c r="AB23" s="126">
        <v>0</v>
      </c>
      <c r="AC23" s="126">
        <v>0</v>
      </c>
      <c r="AD23" s="126">
        <v>0</v>
      </c>
      <c r="AE23" s="126"/>
      <c r="AF23" s="125">
        <v>0</v>
      </c>
      <c r="AG23" s="125">
        <v>0</v>
      </c>
      <c r="AH23" s="125">
        <v>0</v>
      </c>
      <c r="AI23" s="125">
        <v>0</v>
      </c>
      <c r="AJ23" s="125">
        <v>0</v>
      </c>
      <c r="AK23" s="125">
        <v>0</v>
      </c>
      <c r="AL23" s="125">
        <v>0</v>
      </c>
      <c r="AM23" s="125">
        <v>0</v>
      </c>
      <c r="AN23" s="125">
        <v>0</v>
      </c>
      <c r="AO23" s="125">
        <v>0</v>
      </c>
      <c r="AP23" s="126">
        <v>0</v>
      </c>
      <c r="AQ23" s="126">
        <v>0</v>
      </c>
      <c r="AR23" s="127"/>
      <c r="AS23" s="128">
        <v>0</v>
      </c>
      <c r="AT23" s="128">
        <v>0</v>
      </c>
      <c r="AU23" s="128">
        <v>0</v>
      </c>
      <c r="AV23" s="128">
        <v>0</v>
      </c>
      <c r="AW23" s="128">
        <v>0</v>
      </c>
      <c r="AX23" s="128">
        <v>0</v>
      </c>
      <c r="AY23" s="128">
        <v>0</v>
      </c>
      <c r="AZ23" s="121">
        <v>0</v>
      </c>
      <c r="BA23" s="121">
        <v>0</v>
      </c>
      <c r="BB23" s="121">
        <v>0</v>
      </c>
      <c r="BC23" s="121">
        <v>0</v>
      </c>
      <c r="BD23" s="121">
        <v>0</v>
      </c>
      <c r="BE23" s="155"/>
      <c r="BF23" s="121">
        <v>0</v>
      </c>
      <c r="BG23" s="121">
        <v>0</v>
      </c>
      <c r="BH23" s="121">
        <v>0</v>
      </c>
      <c r="BI23" s="121">
        <v>0</v>
      </c>
      <c r="BJ23" s="121">
        <v>0</v>
      </c>
      <c r="BK23" s="121">
        <v>0</v>
      </c>
      <c r="BL23" s="121"/>
      <c r="BM23" s="121">
        <v>0</v>
      </c>
      <c r="BN23" s="121">
        <v>0</v>
      </c>
      <c r="BO23" s="121">
        <v>0</v>
      </c>
      <c r="BP23" s="121">
        <v>0</v>
      </c>
      <c r="BQ23" s="121">
        <v>0</v>
      </c>
      <c r="BR23" s="121">
        <v>0</v>
      </c>
      <c r="BS23" s="121">
        <v>0</v>
      </c>
      <c r="BT23" s="121">
        <v>0</v>
      </c>
      <c r="BU23" s="121">
        <v>0</v>
      </c>
      <c r="BV23" s="121">
        <v>0</v>
      </c>
      <c r="BW23" s="121">
        <v>0</v>
      </c>
      <c r="BX23" s="121">
        <v>0</v>
      </c>
      <c r="BY23" s="121">
        <v>0</v>
      </c>
      <c r="BZ23" s="121">
        <v>0</v>
      </c>
      <c r="CA23" s="121">
        <v>0</v>
      </c>
      <c r="CB23" s="121">
        <v>0</v>
      </c>
      <c r="CC23" s="121">
        <v>0</v>
      </c>
      <c r="CD23" s="121">
        <v>0</v>
      </c>
      <c r="CE23" s="121">
        <v>0</v>
      </c>
      <c r="CF23" s="181">
        <v>0</v>
      </c>
      <c r="CG23" s="181">
        <v>0</v>
      </c>
      <c r="CH23" s="181">
        <v>0</v>
      </c>
      <c r="CI23" s="181">
        <v>0</v>
      </c>
      <c r="CJ23" s="181">
        <v>0</v>
      </c>
      <c r="CK23" s="181">
        <v>0</v>
      </c>
      <c r="CL23" s="181">
        <v>0</v>
      </c>
      <c r="CM23" s="181">
        <v>0</v>
      </c>
      <c r="CN23" s="181">
        <v>0</v>
      </c>
      <c r="CO23" s="181">
        <v>0</v>
      </c>
      <c r="CP23" s="181">
        <v>0</v>
      </c>
      <c r="CQ23" s="181">
        <v>0</v>
      </c>
      <c r="CR23" s="227">
        <v>0</v>
      </c>
      <c r="CS23" s="222">
        <v>0</v>
      </c>
      <c r="CU23" s="126">
        <v>494423.65</v>
      </c>
    </row>
    <row r="24" spans="1:100" ht="14.4" x14ac:dyDescent="0.25">
      <c r="A24" s="118" t="s">
        <v>86</v>
      </c>
      <c r="B24" s="119">
        <v>2028532</v>
      </c>
      <c r="C24" s="119">
        <v>1495168.55</v>
      </c>
      <c r="D24" s="141">
        <v>997278.55</v>
      </c>
      <c r="E24" s="119">
        <v>1453677.81</v>
      </c>
      <c r="F24" s="119">
        <v>969604.25</v>
      </c>
      <c r="G24" s="121">
        <v>942697.74</v>
      </c>
      <c r="H24" s="121">
        <v>916537.87</v>
      </c>
      <c r="I24" s="121">
        <v>1782207.9</v>
      </c>
      <c r="J24" s="121">
        <v>866375.81</v>
      </c>
      <c r="K24" s="121">
        <v>842333.88</v>
      </c>
      <c r="L24" s="121">
        <v>818959.12</v>
      </c>
      <c r="M24" s="121">
        <v>796233</v>
      </c>
      <c r="N24" s="121">
        <v>774136</v>
      </c>
      <c r="O24" s="121">
        <v>752653.73</v>
      </c>
      <c r="P24" s="121">
        <v>1463535.18</v>
      </c>
      <c r="Q24" s="122">
        <v>1032036.74</v>
      </c>
      <c r="R24" s="142">
        <v>1032036.55</v>
      </c>
      <c r="S24" s="121">
        <v>2006795.44</v>
      </c>
      <c r="T24" s="121">
        <v>975553.43</v>
      </c>
      <c r="U24" s="121">
        <v>948481.83</v>
      </c>
      <c r="V24" s="121">
        <v>922161.46</v>
      </c>
      <c r="W24" s="121">
        <v>922161.46</v>
      </c>
      <c r="X24" s="121">
        <v>920240.29</v>
      </c>
      <c r="Y24" s="121">
        <v>2684110.86</v>
      </c>
      <c r="Z24" s="121">
        <v>1739751.18</v>
      </c>
      <c r="AA24" s="121">
        <v>4228682.7</v>
      </c>
      <c r="AB24" s="126">
        <v>1644534.72</v>
      </c>
      <c r="AC24" s="126">
        <v>2398348.3199999998</v>
      </c>
      <c r="AD24" s="126">
        <v>888469.74</v>
      </c>
      <c r="AE24" s="126">
        <v>888469.55</v>
      </c>
      <c r="AF24" s="125">
        <v>863814.7</v>
      </c>
      <c r="AG24" s="125">
        <v>839843.85</v>
      </c>
      <c r="AH24" s="125">
        <v>816538.18</v>
      </c>
      <c r="AI24" s="125">
        <v>793879.25</v>
      </c>
      <c r="AJ24" s="125">
        <v>771849.1</v>
      </c>
      <c r="AK24" s="125">
        <v>750430.28</v>
      </c>
      <c r="AL24" s="125">
        <v>729605.89</v>
      </c>
      <c r="AM24" s="125">
        <v>709359.28</v>
      </c>
      <c r="AN24" s="125">
        <v>689674.52</v>
      </c>
      <c r="AO24" s="125">
        <v>1629174.59</v>
      </c>
      <c r="AP24" s="126">
        <v>1583965</v>
      </c>
      <c r="AQ24" s="126">
        <v>1385005.74</v>
      </c>
      <c r="AR24" s="127">
        <v>1385005.74</v>
      </c>
      <c r="AS24" s="128">
        <v>1346571.83</v>
      </c>
      <c r="AT24" s="128">
        <v>1309204.46</v>
      </c>
      <c r="AU24" s="128">
        <v>1272874.04</v>
      </c>
      <c r="AV24" s="128">
        <v>1237551.78</v>
      </c>
      <c r="AW24" s="128">
        <v>1203209.72</v>
      </c>
      <c r="AX24" s="128">
        <v>1169820.6499999999</v>
      </c>
      <c r="AY24" s="128">
        <v>1137358.1299999999</v>
      </c>
      <c r="AZ24" s="121">
        <v>1105796.44</v>
      </c>
      <c r="BA24" s="121">
        <v>1075110.5900000001</v>
      </c>
      <c r="BB24" s="121">
        <v>1045276.27</v>
      </c>
      <c r="BC24" s="121">
        <v>1016269.85</v>
      </c>
      <c r="BD24" s="121">
        <v>1394702.74</v>
      </c>
      <c r="BE24" s="155"/>
      <c r="BF24" s="121">
        <v>1355999.74</v>
      </c>
      <c r="BG24" s="121">
        <v>1318370.75</v>
      </c>
      <c r="BH24" s="121">
        <v>1281785.96</v>
      </c>
      <c r="BI24" s="121">
        <v>1246216.3999999999</v>
      </c>
      <c r="BJ24" s="121">
        <v>1211633.8899999999</v>
      </c>
      <c r="BK24" s="121">
        <v>1178011.05</v>
      </c>
      <c r="BL24" s="121"/>
      <c r="BM24" s="121">
        <v>3340615.74</v>
      </c>
      <c r="BN24" s="121">
        <v>1115730</v>
      </c>
      <c r="BO24" s="121">
        <v>1084768.49</v>
      </c>
      <c r="BP24" s="121">
        <v>2789400</v>
      </c>
      <c r="BQ24" s="121">
        <v>930266.74</v>
      </c>
      <c r="BR24" s="126">
        <v>930266.74</v>
      </c>
      <c r="BS24" s="104">
        <v>930266.74</v>
      </c>
      <c r="BT24" s="104">
        <v>930266.74</v>
      </c>
      <c r="BU24" s="104">
        <v>930266.74</v>
      </c>
      <c r="BV24" s="104">
        <v>827007.13</v>
      </c>
      <c r="BW24" s="166">
        <v>801192.25</v>
      </c>
      <c r="BX24" s="168">
        <v>4710781.8099999996</v>
      </c>
      <c r="BY24" s="168">
        <v>4580057.6100000003</v>
      </c>
      <c r="BZ24" s="166">
        <v>4449334.8099999996</v>
      </c>
      <c r="CA24" s="168">
        <v>4325865.96</v>
      </c>
      <c r="CB24" s="168">
        <v>4205823.17</v>
      </c>
      <c r="CE24" s="126">
        <v>3889895.2</v>
      </c>
      <c r="CF24" s="181">
        <v>3781951.2</v>
      </c>
      <c r="CG24" s="181">
        <v>3677002.05</v>
      </c>
      <c r="CH24" s="181">
        <v>3574965.23</v>
      </c>
      <c r="CI24" s="181">
        <v>3472928.44</v>
      </c>
      <c r="CJ24" s="181">
        <v>3574965.24</v>
      </c>
      <c r="CK24" s="181">
        <v>3268854.85</v>
      </c>
      <c r="CL24" s="181">
        <v>3178144.13</v>
      </c>
      <c r="CM24" s="181">
        <v>3089951.23</v>
      </c>
      <c r="CN24" s="181">
        <v>3004204.99</v>
      </c>
      <c r="CO24" s="181">
        <v>2918459.13</v>
      </c>
      <c r="CP24" s="181">
        <v>2837472.13</v>
      </c>
      <c r="CQ24" s="181">
        <v>2758732.13</v>
      </c>
      <c r="CR24" s="227">
        <v>2758732.2</v>
      </c>
      <c r="CS24" s="222">
        <v>2682178.13</v>
      </c>
      <c r="CU24" s="126">
        <v>7019373.0300000003</v>
      </c>
    </row>
    <row r="25" spans="1:100" ht="14.4" x14ac:dyDescent="0.25">
      <c r="A25" s="118" t="s">
        <v>87</v>
      </c>
      <c r="B25" s="119">
        <v>44250</v>
      </c>
      <c r="C25" s="119">
        <v>50380</v>
      </c>
      <c r="D25" s="141">
        <v>83420</v>
      </c>
      <c r="E25" s="119">
        <v>91059570.150000006</v>
      </c>
      <c r="F25" s="119">
        <v>90987805.299999997</v>
      </c>
      <c r="G25" s="121">
        <v>90987805.299999997</v>
      </c>
      <c r="H25" s="121">
        <v>90987805.299999997</v>
      </c>
      <c r="I25" s="121">
        <v>181975610.59999999</v>
      </c>
      <c r="J25" s="121">
        <v>90987805.299999997</v>
      </c>
      <c r="K25" s="121">
        <v>90987805.299999997</v>
      </c>
      <c r="L25" s="121">
        <v>90987805.299999997</v>
      </c>
      <c r="M25" s="121">
        <v>90987805.299999997</v>
      </c>
      <c r="N25" s="121">
        <v>90987805.299999997</v>
      </c>
      <c r="O25" s="121">
        <v>89985792.299999997</v>
      </c>
      <c r="P25" s="121">
        <v>179971584.59999999</v>
      </c>
      <c r="Q25" s="122">
        <v>90789875.609999999</v>
      </c>
      <c r="R25" s="142">
        <v>48410</v>
      </c>
      <c r="S25" s="121">
        <v>181365355.52000001</v>
      </c>
      <c r="T25" s="121">
        <v>90682677.760000005</v>
      </c>
      <c r="U25" s="121">
        <v>67395335</v>
      </c>
      <c r="V25" s="121">
        <v>67395335</v>
      </c>
      <c r="W25" s="121">
        <v>58298558.579999998</v>
      </c>
      <c r="X25" s="121">
        <v>44300597.579999998</v>
      </c>
      <c r="Y25" s="121">
        <v>132901792.73999999</v>
      </c>
      <c r="Z25" s="121">
        <v>94601195.159999996</v>
      </c>
      <c r="AA25" s="121">
        <v>236502987.90000001</v>
      </c>
      <c r="AB25" s="126">
        <v>94601195.159999996</v>
      </c>
      <c r="AC25" s="126">
        <v>177797090.97</v>
      </c>
      <c r="AD25" s="126">
        <v>50903457.539999999</v>
      </c>
      <c r="AE25" s="126">
        <v>68210</v>
      </c>
      <c r="AF25" s="125">
        <v>50903457.539999999</v>
      </c>
      <c r="AG25" s="125">
        <v>53604356.590000004</v>
      </c>
      <c r="AH25" s="125">
        <v>53290171.590000004</v>
      </c>
      <c r="AI25" s="125">
        <v>53290171.590000004</v>
      </c>
      <c r="AJ25" s="125">
        <v>52209390</v>
      </c>
      <c r="AK25" s="125">
        <v>52933546</v>
      </c>
      <c r="AL25" s="125">
        <v>28377798</v>
      </c>
      <c r="AM25" s="125">
        <v>28377798</v>
      </c>
      <c r="AN25" s="125">
        <v>28377798</v>
      </c>
      <c r="AO25" s="125">
        <v>27377798</v>
      </c>
      <c r="AP25" s="126">
        <v>27980495</v>
      </c>
      <c r="AQ25" s="126">
        <v>33334807.690000001</v>
      </c>
      <c r="AR25" s="127">
        <f>162360</f>
        <v>162360</v>
      </c>
      <c r="AS25" s="128">
        <v>33954856.689999998</v>
      </c>
      <c r="AT25" s="128">
        <v>33954856.689999998</v>
      </c>
      <c r="AU25" s="128">
        <v>33954856.689999998</v>
      </c>
      <c r="AV25" s="128">
        <v>31818622.530000001</v>
      </c>
      <c r="AW25" s="128">
        <v>32561622.510000002</v>
      </c>
      <c r="AX25" s="128">
        <v>32561622.539999999</v>
      </c>
      <c r="AY25" s="128">
        <v>32561622.539999999</v>
      </c>
      <c r="AZ25" s="121">
        <v>32561622.539999999</v>
      </c>
      <c r="BA25" s="121">
        <v>32561622.539999999</v>
      </c>
      <c r="BB25" s="121">
        <v>32561622.539999999</v>
      </c>
      <c r="BC25" s="121">
        <v>37561622.530000001</v>
      </c>
      <c r="BD25" s="121">
        <v>33404751.690000001</v>
      </c>
      <c r="BE25" s="155"/>
      <c r="BF25" s="121">
        <v>34010023.939999998</v>
      </c>
      <c r="BG25" s="121">
        <v>28364843.940000001</v>
      </c>
      <c r="BH25" s="121">
        <v>31713068.899999999</v>
      </c>
      <c r="BI25" s="121">
        <v>28129547.91</v>
      </c>
      <c r="BJ25" s="121">
        <v>33639280.939999998</v>
      </c>
      <c r="BK25" s="121">
        <v>35639280.939999998</v>
      </c>
      <c r="BL25" s="121"/>
      <c r="BM25" s="121">
        <v>44122400.850000001</v>
      </c>
      <c r="BN25" s="121">
        <v>15406043.93</v>
      </c>
      <c r="BO25" s="121">
        <v>15841724.949999999</v>
      </c>
      <c r="BP25" s="121">
        <v>36012625.899999999</v>
      </c>
      <c r="BQ25" s="121">
        <v>17341163.440000001</v>
      </c>
      <c r="BR25" s="156">
        <v>173896</v>
      </c>
      <c r="BS25" s="104">
        <v>18576741.73</v>
      </c>
      <c r="BT25" s="104">
        <v>14125860.359999999</v>
      </c>
      <c r="BU25" s="104">
        <v>14314559.640000001</v>
      </c>
      <c r="BV25" s="104">
        <v>12314559.640000001</v>
      </c>
      <c r="BW25" s="166">
        <v>12314559.640000001</v>
      </c>
      <c r="BX25" s="168">
        <v>41734501.530000001</v>
      </c>
      <c r="BY25" s="168">
        <v>39298909.450000003</v>
      </c>
      <c r="BZ25" s="166">
        <v>45240295.850000001</v>
      </c>
      <c r="CA25" s="168">
        <v>45689994.399999999</v>
      </c>
      <c r="CB25" s="168">
        <v>49794672.770000003</v>
      </c>
      <c r="CE25" s="126">
        <v>194640</v>
      </c>
      <c r="CF25" s="181">
        <v>49403707.710000001</v>
      </c>
      <c r="CG25" s="181">
        <v>55606066.490000002</v>
      </c>
      <c r="CH25" s="181">
        <v>36192637.049999997</v>
      </c>
      <c r="CI25" s="181">
        <v>36237429.030000001</v>
      </c>
      <c r="CJ25" s="181">
        <v>35044985.18</v>
      </c>
      <c r="CK25" s="181">
        <v>31406507.75</v>
      </c>
      <c r="CL25" s="181">
        <v>30400910.68</v>
      </c>
      <c r="CM25" s="181">
        <v>39949904.189999998</v>
      </c>
      <c r="CN25" s="181">
        <v>39328224.479999997</v>
      </c>
      <c r="CO25" s="181">
        <v>34794856.079999998</v>
      </c>
      <c r="CP25" s="181">
        <v>34450699.280000001</v>
      </c>
      <c r="CQ25" s="181">
        <v>35040714.399999999</v>
      </c>
      <c r="CR25" s="227">
        <f>217010</f>
        <v>217010</v>
      </c>
      <c r="CS25" s="222">
        <v>39577964.369999997</v>
      </c>
      <c r="CU25" s="126">
        <f>SUM(CU21:CU24)</f>
        <v>72879993.839999989</v>
      </c>
    </row>
    <row r="26" spans="1:100" x14ac:dyDescent="0.25">
      <c r="A26" s="114" t="s">
        <v>46</v>
      </c>
      <c r="B26" s="115">
        <f t="shared" ref="B26:AU26" si="11">B20+B16+B13+B8+B7+B4</f>
        <v>330498864.68000001</v>
      </c>
      <c r="C26" s="115">
        <f t="shared" si="11"/>
        <v>348243396.22000003</v>
      </c>
      <c r="D26" s="115">
        <f t="shared" si="11"/>
        <v>386160781.07999998</v>
      </c>
      <c r="E26" s="115">
        <f t="shared" si="11"/>
        <v>396343165.54000002</v>
      </c>
      <c r="F26" s="115">
        <f t="shared" si="11"/>
        <v>379072673.75</v>
      </c>
      <c r="G26" s="115">
        <f t="shared" si="11"/>
        <v>384621708.21000004</v>
      </c>
      <c r="H26" s="115">
        <f t="shared" si="11"/>
        <v>379463079.71000004</v>
      </c>
      <c r="I26" s="115">
        <f t="shared" si="11"/>
        <v>739043304</v>
      </c>
      <c r="J26" s="115">
        <f t="shared" si="11"/>
        <v>360404077.56</v>
      </c>
      <c r="K26" s="115">
        <f t="shared" si="11"/>
        <v>354162852.73000002</v>
      </c>
      <c r="L26" s="115">
        <f t="shared" si="11"/>
        <v>360202319.21000004</v>
      </c>
      <c r="M26" s="115">
        <f t="shared" si="11"/>
        <v>359519078.00999999</v>
      </c>
      <c r="N26" s="115">
        <f t="shared" si="11"/>
        <v>355335274.40000004</v>
      </c>
      <c r="O26" s="115">
        <f t="shared" si="11"/>
        <v>521740986.37</v>
      </c>
      <c r="P26" s="115">
        <f t="shared" si="11"/>
        <v>712811880.55999994</v>
      </c>
      <c r="Q26" s="115">
        <f t="shared" si="11"/>
        <v>346105181.28999996</v>
      </c>
      <c r="R26" s="116">
        <f t="shared" si="11"/>
        <v>327625540.47000003</v>
      </c>
      <c r="S26" s="116">
        <f t="shared" si="11"/>
        <v>674259646.45999992</v>
      </c>
      <c r="T26" s="116">
        <f t="shared" si="11"/>
        <v>356501193.35000002</v>
      </c>
      <c r="U26" s="116">
        <f t="shared" si="11"/>
        <v>319245865.80000007</v>
      </c>
      <c r="V26" s="116">
        <f t="shared" si="11"/>
        <v>312643851.63</v>
      </c>
      <c r="W26" s="116">
        <f t="shared" si="11"/>
        <v>299995008.61000001</v>
      </c>
      <c r="X26" s="116">
        <f t="shared" si="11"/>
        <v>293951673.04000002</v>
      </c>
      <c r="Y26" s="116">
        <f t="shared" si="11"/>
        <v>891367477.25999999</v>
      </c>
      <c r="Z26" s="116">
        <f t="shared" si="11"/>
        <v>598483121.88</v>
      </c>
      <c r="AA26" s="116">
        <f t="shared" si="11"/>
        <v>1524116038.3</v>
      </c>
      <c r="AB26" s="116">
        <f t="shared" si="11"/>
        <v>1242957420.6399999</v>
      </c>
      <c r="AC26" s="116">
        <f t="shared" si="11"/>
        <v>999565532.73000002</v>
      </c>
      <c r="AD26" s="116">
        <f t="shared" si="11"/>
        <v>294986870.05000001</v>
      </c>
      <c r="AE26" s="116">
        <f t="shared" si="11"/>
        <v>294994669.52000004</v>
      </c>
      <c r="AF26" s="116">
        <f t="shared" si="11"/>
        <v>324958812.43000001</v>
      </c>
      <c r="AG26" s="116">
        <f t="shared" si="11"/>
        <v>362624208.56999993</v>
      </c>
      <c r="AH26" s="116">
        <f t="shared" si="11"/>
        <v>342194521.88</v>
      </c>
      <c r="AI26" s="116">
        <f t="shared" si="11"/>
        <v>335455796.81</v>
      </c>
      <c r="AJ26" s="116">
        <f t="shared" si="11"/>
        <v>335705089.01999998</v>
      </c>
      <c r="AK26" s="116">
        <f t="shared" si="11"/>
        <v>368281515.63</v>
      </c>
      <c r="AL26" s="116">
        <f t="shared" si="11"/>
        <v>345922819.39000005</v>
      </c>
      <c r="AM26" s="116">
        <f t="shared" si="11"/>
        <v>339699173.02999997</v>
      </c>
      <c r="AN26" s="116">
        <f t="shared" si="11"/>
        <v>338506470.38999999</v>
      </c>
      <c r="AO26" s="116">
        <f t="shared" si="11"/>
        <v>544591519.84000003</v>
      </c>
      <c r="AP26" s="116">
        <f t="shared" si="11"/>
        <v>348087905.25</v>
      </c>
      <c r="AQ26" s="116">
        <f t="shared" si="11"/>
        <v>351367136.85000002</v>
      </c>
      <c r="AR26" s="140">
        <f t="shared" si="11"/>
        <v>503019136.61000001</v>
      </c>
      <c r="AS26" s="140">
        <f t="shared" si="11"/>
        <v>379184294.27999997</v>
      </c>
      <c r="AT26" s="140">
        <f t="shared" si="11"/>
        <v>367542017.06</v>
      </c>
      <c r="AU26" s="140">
        <f t="shared" si="11"/>
        <v>386118439.42999995</v>
      </c>
      <c r="AV26" s="140">
        <f>AV20+AV16+AV13+AV8+AV7+AV4</f>
        <v>370997030.21000004</v>
      </c>
      <c r="AW26" s="140">
        <f>AW20+AW16+AW13+AW8+AW7+AW4</f>
        <v>358417571.94</v>
      </c>
      <c r="AX26" s="140">
        <f>AX20+AX16+AX13+AX8+AX7+AX4</f>
        <v>381010753.79999995</v>
      </c>
      <c r="AY26" s="140">
        <f>AY20+AY16+AY13+AY8+AY7+AY4</f>
        <v>370218302.74000001</v>
      </c>
      <c r="AZ26" s="140">
        <f t="shared" ref="AZ26:BL26" si="12">AZ20+AZ16+AZ13+AZ8+AZ7+AZ4</f>
        <v>521032156.83000004</v>
      </c>
      <c r="BA26" s="140">
        <f t="shared" si="12"/>
        <v>514131988.93000001</v>
      </c>
      <c r="BB26" s="140">
        <f t="shared" si="12"/>
        <v>521549137.10000002</v>
      </c>
      <c r="BC26" s="140">
        <f t="shared" si="12"/>
        <v>521189349.10000002</v>
      </c>
      <c r="BD26" s="140">
        <f t="shared" si="12"/>
        <v>527255392.07999998</v>
      </c>
      <c r="BE26" s="140">
        <f t="shared" si="12"/>
        <v>0</v>
      </c>
      <c r="BF26" s="140">
        <f t="shared" si="12"/>
        <v>545553616.61000001</v>
      </c>
      <c r="BG26" s="140">
        <f t="shared" si="12"/>
        <v>558463351.51999998</v>
      </c>
      <c r="BH26" s="140">
        <f t="shared" si="12"/>
        <v>611485587.60000002</v>
      </c>
      <c r="BI26" s="140">
        <f t="shared" si="12"/>
        <v>615718228</v>
      </c>
      <c r="BJ26" s="140">
        <f t="shared" si="12"/>
        <v>632236049.99000001</v>
      </c>
      <c r="BK26" s="140">
        <f t="shared" si="12"/>
        <v>628836909.10000002</v>
      </c>
      <c r="BL26" s="140">
        <f t="shared" si="12"/>
        <v>0</v>
      </c>
      <c r="BM26" s="140">
        <f>BM20+BM16+BM13+BM8+BM7+BM4</f>
        <v>1802250414.0599999</v>
      </c>
      <c r="BN26" s="140">
        <f t="shared" ref="BN26:CS26" si="13">BN20+BN16+BN13+BN8+BN7+BN4</f>
        <v>593660404.90999997</v>
      </c>
      <c r="BO26" s="140">
        <f t="shared" si="13"/>
        <v>673814217.06999993</v>
      </c>
      <c r="BP26" s="140">
        <f t="shared" si="13"/>
        <v>1070387343.84</v>
      </c>
      <c r="BQ26" s="140">
        <f t="shared" si="13"/>
        <v>560278959.85000002</v>
      </c>
      <c r="BR26" s="140">
        <f t="shared" si="13"/>
        <v>506985495.11849999</v>
      </c>
      <c r="BS26" s="140">
        <f t="shared" si="13"/>
        <v>555588643.05000007</v>
      </c>
      <c r="BT26" s="140">
        <f t="shared" si="13"/>
        <v>601783774.38999999</v>
      </c>
      <c r="BU26" s="140">
        <f t="shared" si="13"/>
        <v>581101218.98000002</v>
      </c>
      <c r="BV26" s="140">
        <f t="shared" si="13"/>
        <v>598908552.34000003</v>
      </c>
      <c r="BW26" s="140">
        <f t="shared" si="13"/>
        <v>582047749.25999999</v>
      </c>
      <c r="BX26" s="140">
        <f t="shared" si="13"/>
        <v>530462566.54000002</v>
      </c>
      <c r="BY26" s="140">
        <f t="shared" si="13"/>
        <v>533342479.59000003</v>
      </c>
      <c r="BZ26" s="140">
        <f t="shared" si="13"/>
        <v>525022658.56999993</v>
      </c>
      <c r="CA26" s="140">
        <f t="shared" si="13"/>
        <v>522705008.49000001</v>
      </c>
      <c r="CB26" s="140">
        <f t="shared" si="13"/>
        <v>615304812.60000002</v>
      </c>
      <c r="CC26" s="140">
        <f t="shared" si="13"/>
        <v>0</v>
      </c>
      <c r="CD26" s="140">
        <f t="shared" si="13"/>
        <v>0</v>
      </c>
      <c r="CE26" s="140">
        <f t="shared" si="13"/>
        <v>494525261.61000001</v>
      </c>
      <c r="CF26" s="140">
        <f t="shared" si="13"/>
        <v>454662620.09000003</v>
      </c>
      <c r="CG26" s="140">
        <f t="shared" si="13"/>
        <v>449154884.01999992</v>
      </c>
      <c r="CH26" s="140">
        <f t="shared" si="13"/>
        <v>425599913.70999998</v>
      </c>
      <c r="CI26" s="140">
        <f t="shared" si="13"/>
        <v>434058510.99000001</v>
      </c>
      <c r="CJ26" s="140">
        <f t="shared" si="13"/>
        <v>425625083.90999997</v>
      </c>
      <c r="CK26" s="140">
        <f t="shared" si="13"/>
        <v>490442395.09999996</v>
      </c>
      <c r="CL26" s="140">
        <f t="shared" si="13"/>
        <v>611253291.26999998</v>
      </c>
      <c r="CM26" s="140">
        <f t="shared" si="13"/>
        <v>575844505.32999992</v>
      </c>
      <c r="CN26" s="140">
        <f t="shared" si="13"/>
        <v>542959892.10000002</v>
      </c>
      <c r="CO26" s="140">
        <f t="shared" si="13"/>
        <v>527928388.46999997</v>
      </c>
      <c r="CP26" s="140">
        <f t="shared" si="13"/>
        <v>517171220.52999997</v>
      </c>
      <c r="CQ26" s="140">
        <f t="shared" si="13"/>
        <v>513797119.27000004</v>
      </c>
      <c r="CR26" s="116">
        <f t="shared" si="13"/>
        <v>517209277.12000006</v>
      </c>
      <c r="CS26" s="140">
        <f t="shared" si="13"/>
        <v>519394195.43000001</v>
      </c>
      <c r="CU26" s="104">
        <v>74026831.5</v>
      </c>
    </row>
    <row r="27" spans="1:100" ht="14.4" x14ac:dyDescent="0.25">
      <c r="A27" s="118" t="s">
        <v>88</v>
      </c>
      <c r="B27" s="119">
        <v>82692443.849999994</v>
      </c>
      <c r="C27" s="119">
        <v>69746223</v>
      </c>
      <c r="D27" s="120">
        <v>73895933.579999998</v>
      </c>
      <c r="E27" s="119">
        <v>47198707.740000002</v>
      </c>
      <c r="F27" s="119">
        <v>58834512.390000001</v>
      </c>
      <c r="G27" s="121">
        <v>59495527.509999998</v>
      </c>
      <c r="H27" s="121">
        <v>57306603.200000003</v>
      </c>
      <c r="I27" s="121">
        <v>105871308.36</v>
      </c>
      <c r="J27" s="121">
        <v>45155576.049999997</v>
      </c>
      <c r="K27" s="121">
        <v>42424115.859999999</v>
      </c>
      <c r="L27" s="121">
        <v>38679810.340000004</v>
      </c>
      <c r="M27" s="121">
        <v>37680124.770000003</v>
      </c>
      <c r="N27" s="121">
        <v>37316770.060000002</v>
      </c>
      <c r="O27" s="121">
        <v>265239538.59999999</v>
      </c>
      <c r="P27" s="121">
        <v>248006789.74000001</v>
      </c>
      <c r="Q27" s="122">
        <v>100577721.95999999</v>
      </c>
      <c r="R27" s="123">
        <f>94675309.16+26659720.62</f>
        <v>121335029.78</v>
      </c>
      <c r="S27" s="121">
        <v>167683466.56</v>
      </c>
      <c r="T27" s="121">
        <v>56007212.859999999</v>
      </c>
      <c r="U27" s="121">
        <v>48529000.890000001</v>
      </c>
      <c r="V27" s="121">
        <v>42966079.939999998</v>
      </c>
      <c r="W27" s="121">
        <v>40687430.689999998</v>
      </c>
      <c r="X27" s="121">
        <v>29913667.440000001</v>
      </c>
      <c r="Y27" s="121">
        <v>117255508.95</v>
      </c>
      <c r="Z27" s="121">
        <v>72167971.340000004</v>
      </c>
      <c r="AA27" s="121">
        <v>202411219.94999999</v>
      </c>
      <c r="AB27" s="126">
        <v>803962630.63999999</v>
      </c>
      <c r="AC27" s="126">
        <v>288048100.86000001</v>
      </c>
      <c r="AD27" s="126">
        <v>54827110.259999998</v>
      </c>
      <c r="AE27" s="126">
        <f>53098512.26+1728598</f>
        <v>54827110.259999998</v>
      </c>
      <c r="AF27" s="125">
        <v>58321986.780000001</v>
      </c>
      <c r="AG27" s="125">
        <v>46285448.289999999</v>
      </c>
      <c r="AH27" s="125">
        <v>44903296.630000003</v>
      </c>
      <c r="AI27" s="125">
        <v>42954955.549999997</v>
      </c>
      <c r="AJ27" s="125">
        <v>42218493.369999997</v>
      </c>
      <c r="AK27" s="125">
        <v>32482326.280000001</v>
      </c>
      <c r="AL27" s="125">
        <v>27693034.16</v>
      </c>
      <c r="AM27" s="125">
        <v>24434335.559999999</v>
      </c>
      <c r="AN27" s="125">
        <v>23346855.559999999</v>
      </c>
      <c r="AO27" s="125">
        <v>313492331.11000001</v>
      </c>
      <c r="AP27" s="126">
        <v>112202545.87</v>
      </c>
      <c r="AQ27" s="126">
        <v>62524528.060000002</v>
      </c>
      <c r="AR27" s="127">
        <f>58028228.87+4496299.19</f>
        <v>62524528.059999995</v>
      </c>
      <c r="AS27" s="128">
        <v>88759000.950000003</v>
      </c>
      <c r="AT27" s="128">
        <v>81521687.540000007</v>
      </c>
      <c r="AU27" s="128">
        <v>99525594.879999995</v>
      </c>
      <c r="AV27" s="128">
        <v>82913368.319999993</v>
      </c>
      <c r="AW27" s="128">
        <v>76055115.069999993</v>
      </c>
      <c r="AX27" s="128">
        <v>76159153.829999998</v>
      </c>
      <c r="AY27" s="128">
        <v>64929811.869999997</v>
      </c>
      <c r="AZ27" s="121">
        <v>58243475.859999999</v>
      </c>
      <c r="BA27" s="121">
        <v>57757114.75</v>
      </c>
      <c r="BB27" s="121">
        <v>115654010.38</v>
      </c>
      <c r="BC27" s="121">
        <v>65905318.149999999</v>
      </c>
      <c r="BD27" s="121">
        <v>78956029.590000004</v>
      </c>
      <c r="BE27" s="155"/>
      <c r="BF27" s="121">
        <v>59729887.390000001</v>
      </c>
      <c r="BG27" s="121">
        <v>68821644.109999999</v>
      </c>
      <c r="BH27" s="121">
        <v>47212180.18</v>
      </c>
      <c r="BI27" s="121">
        <v>47201741.539999999</v>
      </c>
      <c r="BJ27" s="121">
        <v>48212477.539999999</v>
      </c>
      <c r="BK27" s="121">
        <v>46397911.18</v>
      </c>
      <c r="BL27" s="121"/>
      <c r="BM27" s="121">
        <v>132947167.92</v>
      </c>
      <c r="BN27" s="121">
        <v>42322048.600000001</v>
      </c>
      <c r="BO27" s="121">
        <v>100944296.14</v>
      </c>
      <c r="BP27" s="121">
        <v>160123455.78</v>
      </c>
      <c r="BQ27" s="121">
        <v>65981998.969999999</v>
      </c>
      <c r="BR27" s="126">
        <f>62170125+3811873</f>
        <v>65981998</v>
      </c>
      <c r="BS27" s="104">
        <v>55279904.920000002</v>
      </c>
      <c r="BT27" s="104">
        <v>55814151.359999999</v>
      </c>
      <c r="BU27" s="104">
        <v>40506032.600000001</v>
      </c>
      <c r="BV27" s="104">
        <v>55816435.200000003</v>
      </c>
      <c r="BW27" s="162">
        <v>36501602.460000001</v>
      </c>
      <c r="BX27" s="164">
        <v>35608051.670000002</v>
      </c>
      <c r="BY27" s="164">
        <v>31819466.43</v>
      </c>
      <c r="BZ27" s="166">
        <v>30702253.940000001</v>
      </c>
      <c r="CA27" s="168">
        <v>29479348.329999998</v>
      </c>
      <c r="CB27" s="168">
        <v>112393809.34</v>
      </c>
      <c r="CE27" s="126">
        <f>41714696.89+2263091.16</f>
        <v>43977788.049999997</v>
      </c>
      <c r="CF27" s="181">
        <v>39686166.259999998</v>
      </c>
      <c r="CG27" s="181">
        <v>32456510.710000001</v>
      </c>
      <c r="CH27" s="181">
        <v>28856882.140000001</v>
      </c>
      <c r="CI27" s="181">
        <v>35676377.149999999</v>
      </c>
      <c r="CJ27" s="181">
        <v>28393785.27</v>
      </c>
      <c r="CK27" s="181">
        <v>28390409.34</v>
      </c>
      <c r="CL27" s="181">
        <v>128917510.93000001</v>
      </c>
      <c r="CM27" s="181">
        <v>97121983.230000004</v>
      </c>
      <c r="CN27" s="181">
        <v>68574679.959999993</v>
      </c>
      <c r="CO27" s="181">
        <v>57295768.789999999</v>
      </c>
      <c r="CP27" s="181">
        <v>48789390.859999999</v>
      </c>
      <c r="CQ27" s="181">
        <v>43205527.229999997</v>
      </c>
      <c r="CR27" s="227">
        <v>43205527.229999997</v>
      </c>
      <c r="CS27" s="222">
        <v>47238311.240000002</v>
      </c>
      <c r="CU27" s="150">
        <f>CU26-CU25</f>
        <v>1146837.6600000113</v>
      </c>
    </row>
    <row r="28" spans="1:100" ht="14.4" x14ac:dyDescent="0.25">
      <c r="A28" s="118" t="s">
        <v>89</v>
      </c>
      <c r="B28" s="119">
        <v>34007160</v>
      </c>
      <c r="C28" s="119">
        <v>9331500</v>
      </c>
      <c r="D28" s="120">
        <v>28342626.399999999</v>
      </c>
      <c r="E28" s="119">
        <v>35697740</v>
      </c>
      <c r="F28" s="119">
        <v>39980985</v>
      </c>
      <c r="G28" s="121">
        <v>40542035</v>
      </c>
      <c r="H28" s="121">
        <v>40767785</v>
      </c>
      <c r="I28" s="121">
        <v>79334970</v>
      </c>
      <c r="J28" s="121">
        <v>39048685</v>
      </c>
      <c r="K28" s="121">
        <v>38536826</v>
      </c>
      <c r="L28" s="121">
        <v>40109176</v>
      </c>
      <c r="M28" s="121">
        <v>40709970</v>
      </c>
      <c r="N28" s="121">
        <v>41492970</v>
      </c>
      <c r="O28" s="121">
        <v>43093370</v>
      </c>
      <c r="P28" s="121">
        <v>89083140</v>
      </c>
      <c r="Q28" s="122">
        <v>41945720.649999999</v>
      </c>
      <c r="R28" s="123">
        <f>15286000+5902412.8</f>
        <v>21188412.800000001</v>
      </c>
      <c r="S28" s="121">
        <v>89420841.299999997</v>
      </c>
      <c r="T28" s="121">
        <v>44042620.649999999</v>
      </c>
      <c r="U28" s="121">
        <v>36296011.75</v>
      </c>
      <c r="V28" s="121">
        <v>36296011.75</v>
      </c>
      <c r="W28" s="121">
        <v>36300961.75</v>
      </c>
      <c r="X28" s="121">
        <v>36005611.75</v>
      </c>
      <c r="Y28" s="121">
        <v>108227135.25</v>
      </c>
      <c r="Z28" s="121">
        <v>72165623.5</v>
      </c>
      <c r="AA28" s="121">
        <v>185430558.75</v>
      </c>
      <c r="AB28" s="126">
        <v>75288223.5</v>
      </c>
      <c r="AC28" s="126">
        <v>118932335.25</v>
      </c>
      <c r="AD28" s="126">
        <v>38550411.75</v>
      </c>
      <c r="AE28" s="126">
        <f>18524711.85+20025700</f>
        <v>38550411.850000001</v>
      </c>
      <c r="AF28" s="125">
        <v>39557111.75</v>
      </c>
      <c r="AG28" s="125">
        <v>38996261.75</v>
      </c>
      <c r="AH28" s="125">
        <v>39380451.75</v>
      </c>
      <c r="AI28" s="125">
        <v>39393401</v>
      </c>
      <c r="AJ28" s="125">
        <v>40210951</v>
      </c>
      <c r="AK28" s="125">
        <v>42574748</v>
      </c>
      <c r="AL28" s="125">
        <v>20243000</v>
      </c>
      <c r="AM28" s="125">
        <v>20243000</v>
      </c>
      <c r="AN28" s="125">
        <v>20243000</v>
      </c>
      <c r="AO28" s="125">
        <v>24989800</v>
      </c>
      <c r="AP28" s="126">
        <v>25939000</v>
      </c>
      <c r="AQ28" s="126">
        <v>31271876</v>
      </c>
      <c r="AR28" s="127">
        <v>31271876</v>
      </c>
      <c r="AS28" s="128">
        <v>31278323</v>
      </c>
      <c r="AT28" s="128">
        <v>31231327</v>
      </c>
      <c r="AU28" s="128">
        <v>37231327</v>
      </c>
      <c r="AV28" s="128">
        <v>38213247</v>
      </c>
      <c r="AW28" s="128">
        <v>35659247</v>
      </c>
      <c r="AX28" s="128">
        <v>36885547</v>
      </c>
      <c r="AY28" s="128">
        <v>37806047</v>
      </c>
      <c r="AZ28" s="121">
        <v>40642997</v>
      </c>
      <c r="BA28" s="121">
        <v>40843947</v>
      </c>
      <c r="BB28" s="121">
        <v>42018247</v>
      </c>
      <c r="BC28" s="121">
        <v>44235947</v>
      </c>
      <c r="BD28" s="121">
        <v>45680597.159999996</v>
      </c>
      <c r="BE28" s="155"/>
      <c r="BF28" s="121">
        <v>48127497.159999996</v>
      </c>
      <c r="BG28" s="121">
        <v>50043197.159999996</v>
      </c>
      <c r="BH28" s="121">
        <v>46048454.159999996</v>
      </c>
      <c r="BI28" s="121">
        <v>47673679.799999997</v>
      </c>
      <c r="BJ28" s="121">
        <v>50255694.289999999</v>
      </c>
      <c r="BK28" s="121">
        <v>50692441.159999996</v>
      </c>
      <c r="BL28" s="121"/>
      <c r="BM28" s="121">
        <v>149979445.22999999</v>
      </c>
      <c r="BN28" s="121">
        <v>49993148.310000002</v>
      </c>
      <c r="BO28" s="121">
        <v>59993148.409999996</v>
      </c>
      <c r="BP28" s="121">
        <v>119986296.81999999</v>
      </c>
      <c r="BQ28" s="121">
        <v>50011408.289999999</v>
      </c>
      <c r="BR28" s="126">
        <v>51084949</v>
      </c>
      <c r="BS28" s="104">
        <v>53307152</v>
      </c>
      <c r="BT28" s="104">
        <v>52473952</v>
      </c>
      <c r="BU28" s="104">
        <v>53433252</v>
      </c>
      <c r="BV28" s="104">
        <v>50306227</v>
      </c>
      <c r="BW28" s="166">
        <v>55739477</v>
      </c>
      <c r="BX28" s="168">
        <v>55029277</v>
      </c>
      <c r="BY28" s="168">
        <v>56777777</v>
      </c>
      <c r="BZ28" s="166">
        <v>57539577</v>
      </c>
      <c r="CA28" s="168">
        <v>55964777</v>
      </c>
      <c r="CB28" s="168">
        <v>58904152</v>
      </c>
      <c r="CE28" s="126">
        <v>57981352</v>
      </c>
      <c r="CF28" s="181">
        <v>59704696</v>
      </c>
      <c r="CG28" s="181">
        <v>63256052</v>
      </c>
      <c r="CH28" s="181">
        <v>71160652</v>
      </c>
      <c r="CI28" s="181">
        <v>72086048</v>
      </c>
      <c r="CJ28" s="181">
        <v>71307048</v>
      </c>
      <c r="CK28" s="181">
        <v>73678248</v>
      </c>
      <c r="CL28" s="181">
        <v>81278548</v>
      </c>
      <c r="CM28" s="181">
        <v>83661848</v>
      </c>
      <c r="CN28" s="181">
        <v>80153098</v>
      </c>
      <c r="CO28" s="181">
        <v>80738072</v>
      </c>
      <c r="CP28" s="181">
        <v>86147422</v>
      </c>
      <c r="CQ28" s="181">
        <v>86819922</v>
      </c>
      <c r="CR28" s="227">
        <v>86819922</v>
      </c>
      <c r="CS28" s="222">
        <v>87173222</v>
      </c>
    </row>
    <row r="29" spans="1:100" ht="14.4" x14ac:dyDescent="0.25">
      <c r="A29" s="118" t="s">
        <v>90</v>
      </c>
      <c r="B29" s="119">
        <v>47036877</v>
      </c>
      <c r="C29" s="119">
        <v>46620378.450000003</v>
      </c>
      <c r="D29" s="141">
        <v>46620378.950000003</v>
      </c>
      <c r="E29" s="119">
        <v>46706120.479999997</v>
      </c>
      <c r="F29" s="119">
        <v>47996421</v>
      </c>
      <c r="G29" s="121">
        <v>50229762</v>
      </c>
      <c r="H29" s="121">
        <v>46820378</v>
      </c>
      <c r="I29" s="121">
        <v>93240756</v>
      </c>
      <c r="J29" s="121">
        <v>44620378</v>
      </c>
      <c r="K29" s="121">
        <v>44620378</v>
      </c>
      <c r="L29" s="121">
        <v>45196388</v>
      </c>
      <c r="M29" s="121">
        <v>45235489</v>
      </c>
      <c r="N29" s="121">
        <v>45035489</v>
      </c>
      <c r="O29" s="121">
        <v>45150989</v>
      </c>
      <c r="P29" s="121">
        <v>90007010</v>
      </c>
      <c r="Q29" s="122">
        <v>60614386.009999998</v>
      </c>
      <c r="R29" s="142">
        <v>60614336.009999998</v>
      </c>
      <c r="S29" s="121">
        <v>126202428.02</v>
      </c>
      <c r="T29" s="121">
        <v>63101214.009999998</v>
      </c>
      <c r="U29" s="121">
        <v>61101214.009999998</v>
      </c>
      <c r="V29" s="121">
        <v>61101214.009999998</v>
      </c>
      <c r="W29" s="121">
        <v>52608837.590000004</v>
      </c>
      <c r="X29" s="121">
        <v>53290737.590000004</v>
      </c>
      <c r="Y29" s="121">
        <v>162059493</v>
      </c>
      <c r="Z29" s="121">
        <v>109276662</v>
      </c>
      <c r="AA29" s="121">
        <v>278191655</v>
      </c>
      <c r="AB29" s="126">
        <v>115276662</v>
      </c>
      <c r="AC29" s="126">
        <v>172914993</v>
      </c>
      <c r="AD29" s="126">
        <v>59231544</v>
      </c>
      <c r="AE29" s="126">
        <v>59231544</v>
      </c>
      <c r="AF29" s="125">
        <v>60585214</v>
      </c>
      <c r="AG29" s="125">
        <v>61334423</v>
      </c>
      <c r="AH29" s="125">
        <v>60986895</v>
      </c>
      <c r="AI29" s="125">
        <v>61986895</v>
      </c>
      <c r="AJ29" s="125">
        <v>62986895</v>
      </c>
      <c r="AK29" s="125">
        <v>60719755.420000002</v>
      </c>
      <c r="AL29" s="125">
        <v>54719755.420000002</v>
      </c>
      <c r="AM29" s="125">
        <v>55306375.420000002</v>
      </c>
      <c r="AN29" s="125">
        <v>55806375.420000002</v>
      </c>
      <c r="AO29" s="125">
        <v>59806375.420000002</v>
      </c>
      <c r="AP29" s="126">
        <v>66634554</v>
      </c>
      <c r="AQ29" s="126">
        <v>65285855.119999997</v>
      </c>
      <c r="AR29" s="127">
        <v>65285855.119999997</v>
      </c>
      <c r="AS29" s="128">
        <v>67914531.120000005</v>
      </c>
      <c r="AT29" s="128">
        <v>67914531.120000005</v>
      </c>
      <c r="AU29" s="128">
        <v>68914531.120000005</v>
      </c>
      <c r="AV29" s="128">
        <v>70914531.120000005</v>
      </c>
      <c r="AW29" s="128">
        <v>69921687</v>
      </c>
      <c r="AX29" s="128">
        <v>69921687</v>
      </c>
      <c r="AY29" s="128">
        <v>69921687</v>
      </c>
      <c r="AZ29" s="121">
        <v>69918077</v>
      </c>
      <c r="BA29" s="121">
        <v>67284120</v>
      </c>
      <c r="BB29" s="121">
        <v>67284120</v>
      </c>
      <c r="BC29" s="121">
        <v>71365656</v>
      </c>
      <c r="BD29" s="121">
        <v>70701478.689999998</v>
      </c>
      <c r="BE29" s="155"/>
      <c r="BF29" s="121">
        <v>70701478.689999998</v>
      </c>
      <c r="BG29" s="121">
        <v>70701478.689999998</v>
      </c>
      <c r="BH29" s="121">
        <v>70701478.689999998</v>
      </c>
      <c r="BI29" s="121">
        <v>70701478.689999998</v>
      </c>
      <c r="BJ29" s="121">
        <v>70701478.689999998</v>
      </c>
      <c r="BK29" s="121">
        <v>70701478.689999998</v>
      </c>
      <c r="BL29" s="121"/>
      <c r="BM29" s="121">
        <v>154071836.09999999</v>
      </c>
      <c r="BN29" s="121">
        <v>51357278.700000003</v>
      </c>
      <c r="BO29" s="121">
        <v>51357278.700000003</v>
      </c>
      <c r="BP29" s="121">
        <v>102714557.40000001</v>
      </c>
      <c r="BQ29" s="121">
        <v>51313842.380000003</v>
      </c>
      <c r="BR29" s="126">
        <v>51313842.379999995</v>
      </c>
      <c r="BS29" s="104">
        <v>51294476.450000003</v>
      </c>
      <c r="BT29" s="104">
        <v>51364766.450000003</v>
      </c>
      <c r="BU29" s="104">
        <v>51547793.450000003</v>
      </c>
      <c r="BV29" s="104">
        <v>52112759.729999997</v>
      </c>
      <c r="BW29" s="166">
        <v>53047229.640000001</v>
      </c>
      <c r="BX29" s="168">
        <v>53810158.490000002</v>
      </c>
      <c r="BY29" s="168">
        <v>54515112.460000001</v>
      </c>
      <c r="BZ29" s="166">
        <v>55198466.560000002</v>
      </c>
      <c r="CA29" s="168">
        <v>55765306.170000002</v>
      </c>
      <c r="CB29" s="168">
        <v>56973192.390000001</v>
      </c>
      <c r="CE29" s="126">
        <v>51392305.32</v>
      </c>
      <c r="CF29" s="181">
        <v>52241662.109999999</v>
      </c>
      <c r="CG29" s="181">
        <v>53084534.82</v>
      </c>
      <c r="CH29" s="181">
        <v>53939056.509999998</v>
      </c>
      <c r="CI29" s="181">
        <v>55281779.350000001</v>
      </c>
      <c r="CJ29" s="181">
        <v>56264804.960000001</v>
      </c>
      <c r="CK29" s="181">
        <v>57348971.350000001</v>
      </c>
      <c r="CL29" s="181">
        <v>59069137.579999998</v>
      </c>
      <c r="CM29" s="181">
        <v>59553456.579999998</v>
      </c>
      <c r="CN29" s="181">
        <v>60342128.579999998</v>
      </c>
      <c r="CO29" s="181">
        <v>61293411.229999997</v>
      </c>
      <c r="CP29" s="181">
        <v>62175588.579999998</v>
      </c>
      <c r="CQ29" s="181">
        <v>61135400.200000003</v>
      </c>
      <c r="CR29" s="227">
        <v>59333400.32</v>
      </c>
      <c r="CS29" s="222">
        <v>60802471.270000003</v>
      </c>
    </row>
    <row r="30" spans="1:100" x14ac:dyDescent="0.25">
      <c r="A30" s="114" t="s">
        <v>91</v>
      </c>
      <c r="B30" s="115">
        <f t="shared" ref="B30:AU30" si="14">SUM(B27:B29)</f>
        <v>163736480.84999999</v>
      </c>
      <c r="C30" s="115">
        <f t="shared" si="14"/>
        <v>125698101.45</v>
      </c>
      <c r="D30" s="115">
        <f t="shared" si="14"/>
        <v>148858938.93000001</v>
      </c>
      <c r="E30" s="115">
        <f t="shared" si="14"/>
        <v>129602568.22</v>
      </c>
      <c r="F30" s="115">
        <f t="shared" si="14"/>
        <v>146811918.38999999</v>
      </c>
      <c r="G30" s="115">
        <f t="shared" si="14"/>
        <v>150267324.50999999</v>
      </c>
      <c r="H30" s="115">
        <f t="shared" si="14"/>
        <v>144894766.19999999</v>
      </c>
      <c r="I30" s="115">
        <f t="shared" si="14"/>
        <v>278447034.36000001</v>
      </c>
      <c r="J30" s="115">
        <f t="shared" si="14"/>
        <v>128824639.05</v>
      </c>
      <c r="K30" s="115">
        <f t="shared" si="14"/>
        <v>125581319.86</v>
      </c>
      <c r="L30" s="115">
        <f t="shared" si="14"/>
        <v>123985374.34</v>
      </c>
      <c r="M30" s="115">
        <f t="shared" si="14"/>
        <v>123625583.77000001</v>
      </c>
      <c r="N30" s="115">
        <f t="shared" si="14"/>
        <v>123845229.06</v>
      </c>
      <c r="O30" s="115">
        <f t="shared" si="14"/>
        <v>353483897.60000002</v>
      </c>
      <c r="P30" s="115">
        <f t="shared" si="14"/>
        <v>427096939.74000001</v>
      </c>
      <c r="Q30" s="116">
        <f t="shared" si="14"/>
        <v>203137828.61999997</v>
      </c>
      <c r="R30" s="116">
        <f t="shared" si="14"/>
        <v>203137778.59</v>
      </c>
      <c r="S30" s="116">
        <f t="shared" si="14"/>
        <v>383306735.88</v>
      </c>
      <c r="T30" s="116">
        <f t="shared" si="14"/>
        <v>163151047.51999998</v>
      </c>
      <c r="U30" s="116">
        <f t="shared" si="14"/>
        <v>145926226.65000001</v>
      </c>
      <c r="V30" s="116">
        <f t="shared" si="14"/>
        <v>140363305.69999999</v>
      </c>
      <c r="W30" s="116">
        <f t="shared" si="14"/>
        <v>129597230.03</v>
      </c>
      <c r="X30" s="116">
        <f t="shared" si="14"/>
        <v>119210016.78</v>
      </c>
      <c r="Y30" s="116">
        <f t="shared" si="14"/>
        <v>387542137.19999999</v>
      </c>
      <c r="Z30" s="116">
        <f t="shared" si="14"/>
        <v>253610256.84</v>
      </c>
      <c r="AA30" s="116">
        <f t="shared" si="14"/>
        <v>666033433.70000005</v>
      </c>
      <c r="AB30" s="116">
        <f t="shared" si="14"/>
        <v>994527516.13999999</v>
      </c>
      <c r="AC30" s="116">
        <f t="shared" si="14"/>
        <v>579895429.11000001</v>
      </c>
      <c r="AD30" s="116">
        <f t="shared" si="14"/>
        <v>152609066.00999999</v>
      </c>
      <c r="AE30" s="116">
        <f t="shared" si="14"/>
        <v>152609066.11000001</v>
      </c>
      <c r="AF30" s="116">
        <f t="shared" si="14"/>
        <v>158464312.53</v>
      </c>
      <c r="AG30" s="116">
        <f t="shared" si="14"/>
        <v>146616133.03999999</v>
      </c>
      <c r="AH30" s="116">
        <f t="shared" si="14"/>
        <v>145270643.38</v>
      </c>
      <c r="AI30" s="116">
        <f t="shared" si="14"/>
        <v>144335251.55000001</v>
      </c>
      <c r="AJ30" s="116">
        <f t="shared" si="14"/>
        <v>145416339.37</v>
      </c>
      <c r="AK30" s="116">
        <f t="shared" si="14"/>
        <v>135776829.69999999</v>
      </c>
      <c r="AL30" s="116">
        <f t="shared" si="14"/>
        <v>102655789.58</v>
      </c>
      <c r="AM30" s="116">
        <f t="shared" si="14"/>
        <v>99983710.980000004</v>
      </c>
      <c r="AN30" s="116">
        <f t="shared" si="14"/>
        <v>99396230.980000004</v>
      </c>
      <c r="AO30" s="116">
        <f t="shared" si="14"/>
        <v>398288506.53000003</v>
      </c>
      <c r="AP30" s="116">
        <f t="shared" si="14"/>
        <v>204776099.87</v>
      </c>
      <c r="AQ30" s="116">
        <f t="shared" si="14"/>
        <v>159082259.18000001</v>
      </c>
      <c r="AR30" s="140">
        <f t="shared" si="14"/>
        <v>159082259.18000001</v>
      </c>
      <c r="AS30" s="140">
        <f t="shared" si="14"/>
        <v>187951855.06999999</v>
      </c>
      <c r="AT30" s="140">
        <f t="shared" si="14"/>
        <v>180667545.66000003</v>
      </c>
      <c r="AU30" s="140">
        <f t="shared" si="14"/>
        <v>205671453</v>
      </c>
      <c r="AV30" s="140">
        <f>SUM(AV27:AV29)</f>
        <v>192041146.44</v>
      </c>
      <c r="AW30" s="140">
        <f>SUM(AW27:AW29)</f>
        <v>181636049.06999999</v>
      </c>
      <c r="AX30" s="140">
        <f>SUM(AX27:AX29)</f>
        <v>182966387.82999998</v>
      </c>
      <c r="AY30" s="140">
        <f>SUM(AY27:AY29)</f>
        <v>172657545.87</v>
      </c>
      <c r="AZ30" s="140">
        <f t="shared" ref="AZ30:CS30" si="15">SUM(AZ27:AZ29)</f>
        <v>168804549.86000001</v>
      </c>
      <c r="BA30" s="140">
        <f t="shared" si="15"/>
        <v>165885181.75</v>
      </c>
      <c r="BB30" s="140">
        <f t="shared" si="15"/>
        <v>224956377.38</v>
      </c>
      <c r="BC30" s="140">
        <f t="shared" si="15"/>
        <v>181506921.15000001</v>
      </c>
      <c r="BD30" s="140">
        <f t="shared" si="15"/>
        <v>195338105.44</v>
      </c>
      <c r="BE30" s="140">
        <f t="shared" si="15"/>
        <v>0</v>
      </c>
      <c r="BF30" s="140">
        <f t="shared" si="15"/>
        <v>178558863.24000001</v>
      </c>
      <c r="BG30" s="140">
        <f t="shared" si="15"/>
        <v>189566319.95999998</v>
      </c>
      <c r="BH30" s="140">
        <f t="shared" si="15"/>
        <v>163962113.03</v>
      </c>
      <c r="BI30" s="140">
        <f t="shared" si="15"/>
        <v>165576900.03</v>
      </c>
      <c r="BJ30" s="140">
        <f t="shared" si="15"/>
        <v>169169650.51999998</v>
      </c>
      <c r="BK30" s="140">
        <f t="shared" si="15"/>
        <v>167791831.03</v>
      </c>
      <c r="BL30" s="140">
        <f t="shared" si="15"/>
        <v>0</v>
      </c>
      <c r="BM30" s="140">
        <f t="shared" si="15"/>
        <v>436998449.25</v>
      </c>
      <c r="BN30" s="140">
        <f t="shared" si="15"/>
        <v>143672475.61000001</v>
      </c>
      <c r="BO30" s="140">
        <f t="shared" si="15"/>
        <v>212294723.25</v>
      </c>
      <c r="BP30" s="140">
        <f t="shared" si="15"/>
        <v>382824310</v>
      </c>
      <c r="BQ30" s="140">
        <f t="shared" si="15"/>
        <v>167307249.63999999</v>
      </c>
      <c r="BR30" s="140">
        <f t="shared" si="15"/>
        <v>168380789.38</v>
      </c>
      <c r="BS30" s="140">
        <f t="shared" si="15"/>
        <v>159881533.37</v>
      </c>
      <c r="BT30" s="140">
        <f t="shared" si="15"/>
        <v>159652869.81</v>
      </c>
      <c r="BU30" s="140">
        <f t="shared" si="15"/>
        <v>145487078.05000001</v>
      </c>
      <c r="BV30" s="140">
        <f t="shared" si="15"/>
        <v>158235421.93000001</v>
      </c>
      <c r="BW30" s="140">
        <f t="shared" si="15"/>
        <v>145288309.10000002</v>
      </c>
      <c r="BX30" s="140">
        <f t="shared" si="15"/>
        <v>144447487.16</v>
      </c>
      <c r="BY30" s="140">
        <f t="shared" si="15"/>
        <v>143112355.89000002</v>
      </c>
      <c r="BZ30" s="140">
        <f t="shared" si="15"/>
        <v>143440297.5</v>
      </c>
      <c r="CA30" s="140">
        <f t="shared" si="15"/>
        <v>141209431.5</v>
      </c>
      <c r="CB30" s="140">
        <f t="shared" si="15"/>
        <v>228271153.73000002</v>
      </c>
      <c r="CC30" s="140">
        <f t="shared" si="15"/>
        <v>0</v>
      </c>
      <c r="CD30" s="140">
        <f t="shared" si="15"/>
        <v>0</v>
      </c>
      <c r="CE30" s="140">
        <f t="shared" si="15"/>
        <v>153351445.37</v>
      </c>
      <c r="CF30" s="140">
        <f t="shared" si="15"/>
        <v>151632524.37</v>
      </c>
      <c r="CG30" s="140">
        <f t="shared" si="15"/>
        <v>148797097.53</v>
      </c>
      <c r="CH30" s="140">
        <f t="shared" si="15"/>
        <v>153956590.65000001</v>
      </c>
      <c r="CI30" s="140">
        <f t="shared" si="15"/>
        <v>163044204.5</v>
      </c>
      <c r="CJ30" s="140">
        <f t="shared" si="15"/>
        <v>155965638.22999999</v>
      </c>
      <c r="CK30" s="140">
        <f t="shared" si="15"/>
        <v>159417628.69</v>
      </c>
      <c r="CL30" s="140">
        <f t="shared" si="15"/>
        <v>269265196.50999999</v>
      </c>
      <c r="CM30" s="140">
        <f t="shared" si="15"/>
        <v>240337287.81</v>
      </c>
      <c r="CN30" s="140">
        <f t="shared" si="15"/>
        <v>209069906.53999996</v>
      </c>
      <c r="CO30" s="140">
        <f t="shared" si="15"/>
        <v>199327252.01999998</v>
      </c>
      <c r="CP30" s="140">
        <f t="shared" si="15"/>
        <v>197112401.44</v>
      </c>
      <c r="CQ30" s="140">
        <f t="shared" si="15"/>
        <v>191160849.43000001</v>
      </c>
      <c r="CR30" s="116">
        <f t="shared" si="15"/>
        <v>189358849.54999998</v>
      </c>
      <c r="CS30" s="140">
        <f t="shared" si="15"/>
        <v>195214004.51000002</v>
      </c>
    </row>
    <row r="31" spans="1:100" x14ac:dyDescent="0.25">
      <c r="A31" s="118" t="s">
        <v>92</v>
      </c>
      <c r="B31" s="119">
        <v>726766</v>
      </c>
      <c r="C31" s="119">
        <v>4201974</v>
      </c>
      <c r="D31" s="141">
        <v>133661</v>
      </c>
      <c r="E31" s="119">
        <v>0</v>
      </c>
      <c r="F31" s="119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2">
        <v>0</v>
      </c>
      <c r="R31" s="142"/>
      <c r="S31" s="121">
        <v>0</v>
      </c>
      <c r="T31" s="121">
        <v>0</v>
      </c>
      <c r="U31" s="121">
        <v>0</v>
      </c>
      <c r="V31" s="121">
        <v>0</v>
      </c>
      <c r="W31" s="121">
        <v>0</v>
      </c>
      <c r="X31" s="121">
        <v>0</v>
      </c>
      <c r="Y31" s="121">
        <v>0</v>
      </c>
      <c r="Z31" s="121">
        <v>0</v>
      </c>
      <c r="AA31" s="121">
        <v>0</v>
      </c>
      <c r="AB31" s="126">
        <v>0</v>
      </c>
      <c r="AC31" s="126">
        <v>0</v>
      </c>
      <c r="AD31" s="126">
        <v>0</v>
      </c>
      <c r="AE31" s="126"/>
      <c r="AF31" s="125">
        <v>0</v>
      </c>
      <c r="AG31" s="125">
        <v>0</v>
      </c>
      <c r="AH31" s="125">
        <v>0</v>
      </c>
      <c r="AI31" s="125">
        <v>0</v>
      </c>
      <c r="AJ31" s="125">
        <v>0</v>
      </c>
      <c r="AK31" s="125">
        <v>0</v>
      </c>
      <c r="AL31" s="125">
        <v>0</v>
      </c>
      <c r="AM31" s="125">
        <v>0</v>
      </c>
      <c r="AN31" s="125">
        <v>0</v>
      </c>
      <c r="AO31" s="125">
        <v>0</v>
      </c>
      <c r="AP31" s="126">
        <v>0</v>
      </c>
      <c r="AQ31" s="126">
        <v>0</v>
      </c>
      <c r="AR31" s="127">
        <v>0</v>
      </c>
      <c r="AS31" s="128">
        <v>0</v>
      </c>
      <c r="AT31" s="128">
        <v>0</v>
      </c>
      <c r="AU31" s="128">
        <v>0</v>
      </c>
      <c r="AV31" s="128">
        <v>0</v>
      </c>
      <c r="AW31" s="128">
        <v>0</v>
      </c>
      <c r="AX31" s="128">
        <v>0</v>
      </c>
      <c r="AY31" s="128">
        <v>0</v>
      </c>
      <c r="AZ31" s="121">
        <v>0</v>
      </c>
      <c r="BA31" s="121">
        <v>0</v>
      </c>
      <c r="BB31" s="121">
        <v>0</v>
      </c>
      <c r="BC31" s="121">
        <v>0</v>
      </c>
      <c r="BD31" s="121">
        <v>0</v>
      </c>
      <c r="BE31" s="155"/>
      <c r="BF31" s="121">
        <v>0</v>
      </c>
      <c r="BG31" s="121">
        <v>0</v>
      </c>
      <c r="BH31" s="121">
        <v>0</v>
      </c>
      <c r="BI31" s="121">
        <v>0</v>
      </c>
      <c r="BJ31" s="121">
        <v>0</v>
      </c>
      <c r="BK31" s="121">
        <v>0</v>
      </c>
      <c r="BL31" s="121"/>
      <c r="BM31" s="121">
        <v>0</v>
      </c>
      <c r="BN31" s="121">
        <v>0</v>
      </c>
      <c r="BO31" s="121">
        <v>0</v>
      </c>
      <c r="BP31" s="121">
        <v>0</v>
      </c>
      <c r="BQ31" s="121">
        <v>0</v>
      </c>
      <c r="BR31" s="121">
        <v>0</v>
      </c>
      <c r="BS31" s="121">
        <v>0</v>
      </c>
      <c r="BT31" s="121">
        <v>0</v>
      </c>
      <c r="BU31" s="121">
        <v>0</v>
      </c>
      <c r="BV31" s="121">
        <v>0</v>
      </c>
      <c r="BW31" s="121">
        <v>0</v>
      </c>
      <c r="BX31" s="121">
        <v>0</v>
      </c>
      <c r="BY31" s="121">
        <v>0</v>
      </c>
      <c r="BZ31" s="121">
        <v>0</v>
      </c>
      <c r="CA31" s="121">
        <v>0</v>
      </c>
      <c r="CB31" s="121">
        <v>0</v>
      </c>
      <c r="CC31" s="121">
        <v>0</v>
      </c>
      <c r="CD31" s="121">
        <v>0</v>
      </c>
      <c r="CE31" s="121">
        <v>0</v>
      </c>
      <c r="CF31" s="181">
        <v>0</v>
      </c>
      <c r="CG31" s="181">
        <v>0</v>
      </c>
      <c r="CH31" s="181">
        <v>0</v>
      </c>
      <c r="CI31" s="181">
        <v>0</v>
      </c>
      <c r="CJ31" s="181">
        <v>0</v>
      </c>
      <c r="CK31" s="181">
        <v>0</v>
      </c>
      <c r="CL31" s="181">
        <v>0</v>
      </c>
      <c r="CM31" s="181">
        <v>0</v>
      </c>
      <c r="CN31" s="181">
        <v>0</v>
      </c>
      <c r="CO31" s="181">
        <v>0</v>
      </c>
      <c r="CP31" s="181">
        <v>0</v>
      </c>
      <c r="CQ31" s="181">
        <v>0</v>
      </c>
      <c r="CR31" s="181">
        <v>0</v>
      </c>
      <c r="CS31" s="222">
        <v>0</v>
      </c>
    </row>
    <row r="32" spans="1:100" x14ac:dyDescent="0.25">
      <c r="A32" s="118" t="s">
        <v>93</v>
      </c>
      <c r="B32" s="119">
        <v>260087.98</v>
      </c>
      <c r="C32" s="119">
        <v>260087.7</v>
      </c>
      <c r="D32" s="141">
        <v>260087.7</v>
      </c>
      <c r="E32" s="119">
        <v>3260087.98</v>
      </c>
      <c r="F32" s="119">
        <v>260087.98</v>
      </c>
      <c r="G32" s="121">
        <v>3260087.9</v>
      </c>
      <c r="H32" s="121">
        <v>3260087.9</v>
      </c>
      <c r="I32" s="121">
        <v>6520175.7999999998</v>
      </c>
      <c r="J32" s="121">
        <v>3260087.9</v>
      </c>
      <c r="K32" s="121">
        <v>3260087.9</v>
      </c>
      <c r="L32" s="121">
        <v>260087.9</v>
      </c>
      <c r="M32" s="121">
        <v>260087.9</v>
      </c>
      <c r="N32" s="121">
        <v>260087.9</v>
      </c>
      <c r="O32" s="121">
        <v>260087.9</v>
      </c>
      <c r="P32" s="121">
        <v>520175.8</v>
      </c>
      <c r="Q32" s="122">
        <v>260087.9</v>
      </c>
      <c r="R32" s="142"/>
      <c r="S32" s="121">
        <v>9800175.8000000007</v>
      </c>
      <c r="T32" s="121">
        <v>4900087.9000000004</v>
      </c>
      <c r="U32" s="121">
        <v>900087.9</v>
      </c>
      <c r="V32" s="121">
        <v>260087.9</v>
      </c>
      <c r="W32" s="121">
        <v>260087.9</v>
      </c>
      <c r="X32" s="121">
        <v>260087.9</v>
      </c>
      <c r="Y32" s="121">
        <v>780263.7</v>
      </c>
      <c r="Z32" s="121">
        <v>520175.8</v>
      </c>
      <c r="AA32" s="121">
        <v>1300439.5</v>
      </c>
      <c r="AB32" s="126">
        <v>520175.8</v>
      </c>
      <c r="AC32" s="126">
        <v>780263.7</v>
      </c>
      <c r="AD32" s="126">
        <v>260087.9</v>
      </c>
      <c r="AE32" s="126">
        <v>0</v>
      </c>
      <c r="AF32" s="125">
        <v>260087.9</v>
      </c>
      <c r="AG32" s="125">
        <v>260087.9</v>
      </c>
      <c r="AH32" s="125">
        <v>260087.9</v>
      </c>
      <c r="AI32" s="125">
        <v>260087.9</v>
      </c>
      <c r="AJ32" s="125">
        <v>260087.9</v>
      </c>
      <c r="AK32" s="125">
        <v>260087.9</v>
      </c>
      <c r="AL32" s="125">
        <v>260087.9</v>
      </c>
      <c r="AM32" s="125">
        <v>260087.9</v>
      </c>
      <c r="AN32" s="125">
        <v>260087.9</v>
      </c>
      <c r="AO32" s="125">
        <v>260087.9</v>
      </c>
      <c r="AP32" s="126">
        <v>260087.8</v>
      </c>
      <c r="AQ32" s="126">
        <v>0</v>
      </c>
      <c r="AR32" s="127">
        <v>3000000</v>
      </c>
      <c r="AS32" s="128">
        <v>0</v>
      </c>
      <c r="AT32" s="128">
        <v>0</v>
      </c>
      <c r="AU32" s="128">
        <v>0</v>
      </c>
      <c r="AV32" s="128">
        <v>0</v>
      </c>
      <c r="AW32" s="128">
        <v>0</v>
      </c>
      <c r="AX32" s="128">
        <v>0</v>
      </c>
      <c r="AY32" s="128">
        <v>0</v>
      </c>
      <c r="AZ32" s="121">
        <v>0</v>
      </c>
      <c r="BA32" s="121">
        <v>0</v>
      </c>
      <c r="BB32" s="121">
        <v>0</v>
      </c>
      <c r="BC32" s="121">
        <v>0</v>
      </c>
      <c r="BD32" s="121">
        <v>0</v>
      </c>
      <c r="BE32" s="155"/>
      <c r="BF32" s="121">
        <v>0</v>
      </c>
      <c r="BG32" s="121">
        <v>0</v>
      </c>
      <c r="BH32" s="121">
        <v>0</v>
      </c>
      <c r="BI32" s="121">
        <v>0</v>
      </c>
      <c r="BJ32" s="121">
        <v>0</v>
      </c>
      <c r="BK32" s="121">
        <v>0</v>
      </c>
      <c r="BL32" s="121"/>
      <c r="BM32" s="121">
        <v>0</v>
      </c>
      <c r="BN32" s="121">
        <v>0</v>
      </c>
      <c r="BO32" s="121">
        <v>0</v>
      </c>
      <c r="BP32" s="121">
        <v>0</v>
      </c>
      <c r="BQ32" s="121">
        <v>0</v>
      </c>
      <c r="BR32" s="121">
        <v>0</v>
      </c>
      <c r="BS32" s="121">
        <v>0</v>
      </c>
      <c r="BT32" s="121">
        <v>0</v>
      </c>
      <c r="BU32" s="121">
        <v>0</v>
      </c>
      <c r="BV32" s="121">
        <v>0</v>
      </c>
      <c r="BW32" s="121">
        <v>0</v>
      </c>
      <c r="BX32" s="121">
        <v>0</v>
      </c>
      <c r="BY32" s="121">
        <v>0</v>
      </c>
      <c r="BZ32" s="121">
        <v>0</v>
      </c>
      <c r="CA32" s="121">
        <v>0</v>
      </c>
      <c r="CB32" s="121">
        <v>0</v>
      </c>
      <c r="CC32" s="121">
        <v>0</v>
      </c>
      <c r="CD32" s="121">
        <v>0</v>
      </c>
      <c r="CE32" s="121">
        <v>0</v>
      </c>
      <c r="CF32" s="181">
        <v>0</v>
      </c>
      <c r="CG32" s="181">
        <v>0</v>
      </c>
      <c r="CH32" s="181">
        <v>0</v>
      </c>
      <c r="CI32" s="181">
        <v>0</v>
      </c>
      <c r="CJ32" s="181">
        <v>0</v>
      </c>
      <c r="CK32" s="181">
        <v>0</v>
      </c>
      <c r="CL32" s="181">
        <v>0</v>
      </c>
      <c r="CM32" s="181">
        <v>0</v>
      </c>
      <c r="CN32" s="181">
        <v>0</v>
      </c>
      <c r="CO32" s="181">
        <v>0</v>
      </c>
      <c r="CP32" s="181">
        <v>0</v>
      </c>
      <c r="CQ32" s="181">
        <v>0</v>
      </c>
      <c r="CR32" s="181">
        <v>0</v>
      </c>
      <c r="CS32" s="222">
        <v>0</v>
      </c>
      <c r="CU32" s="150">
        <f>CR26-CR49</f>
        <v>-2.5899999141693115</v>
      </c>
    </row>
    <row r="33" spans="1:100" x14ac:dyDescent="0.25">
      <c r="A33" s="118" t="s">
        <v>94</v>
      </c>
      <c r="B33" s="119"/>
      <c r="C33" s="119"/>
      <c r="D33" s="120"/>
      <c r="E33" s="119">
        <v>0</v>
      </c>
      <c r="F33" s="119">
        <v>0</v>
      </c>
      <c r="G33" s="121">
        <v>0</v>
      </c>
      <c r="H33" s="121">
        <v>0</v>
      </c>
      <c r="I33" s="121">
        <v>0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2">
        <v>0</v>
      </c>
      <c r="S33" s="121">
        <v>0</v>
      </c>
      <c r="T33" s="121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126">
        <v>0</v>
      </c>
      <c r="AC33" s="126">
        <v>0</v>
      </c>
      <c r="AD33" s="126">
        <v>0</v>
      </c>
      <c r="AE33" s="126"/>
      <c r="AF33" s="125">
        <v>0</v>
      </c>
      <c r="AG33" s="125">
        <v>0</v>
      </c>
      <c r="AH33" s="125">
        <v>0</v>
      </c>
      <c r="AI33" s="125">
        <v>0</v>
      </c>
      <c r="AJ33" s="125">
        <v>0</v>
      </c>
      <c r="AK33" s="125">
        <v>0</v>
      </c>
      <c r="AL33" s="125">
        <v>0</v>
      </c>
      <c r="AM33" s="125">
        <v>0</v>
      </c>
      <c r="AN33" s="125">
        <v>0</v>
      </c>
      <c r="AO33" s="125">
        <v>0</v>
      </c>
      <c r="AP33" s="126">
        <v>0</v>
      </c>
      <c r="AQ33" s="126">
        <v>0</v>
      </c>
      <c r="AR33" s="127"/>
      <c r="AS33" s="128">
        <v>0</v>
      </c>
      <c r="AT33" s="128">
        <v>0</v>
      </c>
      <c r="AU33" s="128">
        <v>0</v>
      </c>
      <c r="AV33" s="128">
        <v>0</v>
      </c>
      <c r="AW33" s="128">
        <v>0</v>
      </c>
      <c r="AX33" s="128">
        <v>0</v>
      </c>
      <c r="AY33" s="128">
        <v>0</v>
      </c>
      <c r="AZ33" s="121">
        <v>0</v>
      </c>
      <c r="BA33" s="121">
        <v>0</v>
      </c>
      <c r="BB33" s="121">
        <v>0</v>
      </c>
      <c r="BC33" s="121">
        <v>0</v>
      </c>
      <c r="BD33" s="121">
        <v>0</v>
      </c>
      <c r="BE33" s="155"/>
      <c r="BF33" s="121">
        <v>0</v>
      </c>
      <c r="BG33" s="121">
        <v>0</v>
      </c>
      <c r="BH33" s="121">
        <v>0</v>
      </c>
      <c r="BI33" s="121">
        <v>0</v>
      </c>
      <c r="BJ33" s="121">
        <v>0</v>
      </c>
      <c r="BK33" s="121">
        <v>0</v>
      </c>
      <c r="BL33" s="121"/>
      <c r="BM33" s="121">
        <v>0</v>
      </c>
      <c r="BN33" s="121">
        <v>0</v>
      </c>
      <c r="BO33" s="121">
        <v>0</v>
      </c>
      <c r="BP33" s="121">
        <v>0</v>
      </c>
      <c r="BQ33" s="121">
        <v>0</v>
      </c>
      <c r="BR33" s="121">
        <v>0</v>
      </c>
      <c r="BS33" s="121">
        <v>0</v>
      </c>
      <c r="BT33" s="121">
        <v>0</v>
      </c>
      <c r="BU33" s="121">
        <v>0</v>
      </c>
      <c r="BV33" s="121">
        <v>0</v>
      </c>
      <c r="BW33" s="121">
        <v>0</v>
      </c>
      <c r="BX33" s="121">
        <v>0</v>
      </c>
      <c r="BY33" s="121">
        <v>0</v>
      </c>
      <c r="BZ33" s="121">
        <v>0</v>
      </c>
      <c r="CA33" s="121">
        <v>0</v>
      </c>
      <c r="CB33" s="121">
        <v>0</v>
      </c>
      <c r="CC33" s="121">
        <v>0</v>
      </c>
      <c r="CD33" s="121">
        <v>0</v>
      </c>
      <c r="CE33" s="121">
        <v>0</v>
      </c>
      <c r="CF33" s="181">
        <v>0</v>
      </c>
      <c r="CG33" s="181">
        <v>0</v>
      </c>
      <c r="CH33" s="181">
        <v>0</v>
      </c>
      <c r="CI33" s="181">
        <v>0</v>
      </c>
      <c r="CJ33" s="181">
        <v>0</v>
      </c>
      <c r="CK33" s="181">
        <v>0</v>
      </c>
      <c r="CL33" s="181">
        <v>0</v>
      </c>
      <c r="CM33" s="181">
        <v>0</v>
      </c>
      <c r="CN33" s="181">
        <v>0</v>
      </c>
      <c r="CO33" s="181">
        <v>0</v>
      </c>
      <c r="CP33" s="181">
        <v>0</v>
      </c>
      <c r="CQ33" s="181">
        <v>0</v>
      </c>
      <c r="CR33" s="181">
        <v>0</v>
      </c>
      <c r="CS33" s="222">
        <v>0</v>
      </c>
    </row>
    <row r="34" spans="1:100" x14ac:dyDescent="0.25">
      <c r="A34" s="118" t="s">
        <v>95</v>
      </c>
      <c r="B34" s="119">
        <v>21719.65</v>
      </c>
      <c r="C34" s="119">
        <v>21719.65</v>
      </c>
      <c r="D34" s="141">
        <v>21719.65</v>
      </c>
      <c r="E34" s="119">
        <v>21719.65</v>
      </c>
      <c r="F34" s="119">
        <v>21719.65</v>
      </c>
      <c r="G34" s="121">
        <v>21719.65</v>
      </c>
      <c r="H34" s="121">
        <v>21719.65</v>
      </c>
      <c r="I34" s="121">
        <v>43439.3</v>
      </c>
      <c r="J34" s="121">
        <v>21719.65</v>
      </c>
      <c r="K34" s="121">
        <v>21719.65</v>
      </c>
      <c r="L34" s="121">
        <v>21719.65</v>
      </c>
      <c r="M34" s="121">
        <v>21719.65</v>
      </c>
      <c r="N34" s="121">
        <v>21719.65</v>
      </c>
      <c r="O34" s="121">
        <v>21719.65</v>
      </c>
      <c r="P34" s="121">
        <v>43439.3</v>
      </c>
      <c r="Q34" s="122">
        <v>21719.65</v>
      </c>
      <c r="R34" s="142">
        <v>21719.65</v>
      </c>
      <c r="S34" s="121">
        <v>43439.3</v>
      </c>
      <c r="T34" s="121">
        <v>21719.65</v>
      </c>
      <c r="U34" s="121">
        <v>21719.65</v>
      </c>
      <c r="V34" s="121">
        <v>21719.65</v>
      </c>
      <c r="W34" s="121">
        <v>21719.65</v>
      </c>
      <c r="X34" s="121">
        <v>21719.65</v>
      </c>
      <c r="Y34" s="121">
        <v>65158.95</v>
      </c>
      <c r="Z34" s="121">
        <v>43439.3</v>
      </c>
      <c r="AA34" s="121">
        <v>108598.25</v>
      </c>
      <c r="AB34" s="126">
        <v>43439.3</v>
      </c>
      <c r="AC34" s="126">
        <v>65158.95</v>
      </c>
      <c r="AD34" s="126">
        <v>21719.65</v>
      </c>
      <c r="AE34" s="126">
        <v>21719.65</v>
      </c>
      <c r="AF34" s="125">
        <v>21719.65</v>
      </c>
      <c r="AG34" s="125">
        <v>21719.65</v>
      </c>
      <c r="AH34" s="125">
        <v>21719.65</v>
      </c>
      <c r="AI34" s="125">
        <v>21719.65</v>
      </c>
      <c r="AJ34" s="125">
        <v>21719.65</v>
      </c>
      <c r="AK34" s="125">
        <v>21719.65</v>
      </c>
      <c r="AL34" s="125">
        <v>21719.65</v>
      </c>
      <c r="AM34" s="125">
        <v>21719.65</v>
      </c>
      <c r="AN34" s="125">
        <v>21719.65</v>
      </c>
      <c r="AO34" s="125">
        <v>21719.65</v>
      </c>
      <c r="AP34" s="126">
        <v>21719.65</v>
      </c>
      <c r="AQ34" s="126">
        <v>0</v>
      </c>
      <c r="AR34" s="127"/>
      <c r="AS34" s="128">
        <v>0</v>
      </c>
      <c r="AT34" s="128">
        <v>0</v>
      </c>
      <c r="AU34" s="128">
        <v>0</v>
      </c>
      <c r="AV34" s="128">
        <v>0</v>
      </c>
      <c r="AW34" s="128">
        <v>0</v>
      </c>
      <c r="AX34" s="128">
        <v>0</v>
      </c>
      <c r="AY34" s="128">
        <v>0</v>
      </c>
      <c r="AZ34" s="121">
        <v>0</v>
      </c>
      <c r="BA34" s="121">
        <v>0</v>
      </c>
      <c r="BB34" s="121">
        <v>0</v>
      </c>
      <c r="BC34" s="121">
        <v>0</v>
      </c>
      <c r="BD34" s="121">
        <v>0</v>
      </c>
      <c r="BE34" s="155"/>
      <c r="BF34" s="121">
        <v>0</v>
      </c>
      <c r="BG34" s="121">
        <v>0</v>
      </c>
      <c r="BH34" s="121">
        <v>0</v>
      </c>
      <c r="BI34" s="121">
        <v>0</v>
      </c>
      <c r="BJ34" s="121">
        <v>0</v>
      </c>
      <c r="BK34" s="121">
        <v>0</v>
      </c>
      <c r="BL34" s="121"/>
      <c r="BM34" s="121">
        <v>0</v>
      </c>
      <c r="BN34" s="121">
        <v>0</v>
      </c>
      <c r="BO34" s="121">
        <v>0</v>
      </c>
      <c r="BP34" s="121">
        <v>0</v>
      </c>
      <c r="BQ34" s="121">
        <v>0</v>
      </c>
      <c r="BR34" s="121">
        <v>0</v>
      </c>
      <c r="BS34" s="121">
        <v>0</v>
      </c>
      <c r="BT34" s="121">
        <v>0</v>
      </c>
      <c r="BU34" s="121">
        <v>0</v>
      </c>
      <c r="BV34" s="121">
        <v>0</v>
      </c>
      <c r="BW34" s="121">
        <v>0</v>
      </c>
      <c r="BX34" s="121">
        <v>0</v>
      </c>
      <c r="BY34" s="121">
        <v>0</v>
      </c>
      <c r="BZ34" s="121">
        <v>0</v>
      </c>
      <c r="CA34" s="121">
        <v>0</v>
      </c>
      <c r="CB34" s="121">
        <v>0</v>
      </c>
      <c r="CC34" s="121">
        <v>0</v>
      </c>
      <c r="CD34" s="121">
        <v>0</v>
      </c>
      <c r="CE34" s="121">
        <v>0</v>
      </c>
      <c r="CF34" s="181">
        <v>0</v>
      </c>
      <c r="CG34" s="181">
        <v>0</v>
      </c>
      <c r="CH34" s="181">
        <v>0</v>
      </c>
      <c r="CI34" s="181">
        <v>0</v>
      </c>
      <c r="CJ34" s="181">
        <v>0</v>
      </c>
      <c r="CK34" s="181">
        <v>0</v>
      </c>
      <c r="CL34" s="181">
        <v>0</v>
      </c>
      <c r="CM34" s="181">
        <v>0</v>
      </c>
      <c r="CN34" s="181">
        <v>0</v>
      </c>
      <c r="CO34" s="181">
        <v>0</v>
      </c>
      <c r="CP34" s="181">
        <v>0</v>
      </c>
      <c r="CQ34" s="181">
        <v>0</v>
      </c>
      <c r="CR34" s="181">
        <v>0</v>
      </c>
      <c r="CS34" s="222">
        <v>0</v>
      </c>
    </row>
    <row r="35" spans="1:100" ht="14.4" x14ac:dyDescent="0.25">
      <c r="A35" s="118" t="s">
        <v>96</v>
      </c>
      <c r="B35" s="119">
        <v>8710334.4499999993</v>
      </c>
      <c r="C35" s="119">
        <v>5312991.1199999992</v>
      </c>
      <c r="D35" s="141">
        <v>3436556.4499999997</v>
      </c>
      <c r="E35" s="119">
        <v>9395944.1199999992</v>
      </c>
      <c r="F35" s="119">
        <v>1172898.5</v>
      </c>
      <c r="G35" s="121">
        <v>2213121.5</v>
      </c>
      <c r="H35" s="121">
        <v>2252121.5</v>
      </c>
      <c r="I35" s="121">
        <v>4024243</v>
      </c>
      <c r="J35" s="121">
        <v>1812121.5</v>
      </c>
      <c r="K35" s="121">
        <v>1812121.5</v>
      </c>
      <c r="L35" s="121">
        <v>1812121.5</v>
      </c>
      <c r="M35" s="121">
        <v>1822121</v>
      </c>
      <c r="N35" s="121">
        <v>1822121</v>
      </c>
      <c r="O35" s="121">
        <v>1822121</v>
      </c>
      <c r="P35" s="121">
        <v>3644242</v>
      </c>
      <c r="Q35" s="122">
        <v>1565605.5</v>
      </c>
      <c r="R35" s="142">
        <f>1855213.05-21719.65+1479839.25</f>
        <v>3313332.6500000004</v>
      </c>
      <c r="S35" s="121">
        <v>4810889.5</v>
      </c>
      <c r="T35" s="121">
        <v>2405444.75</v>
      </c>
      <c r="U35" s="121">
        <v>2405444.75</v>
      </c>
      <c r="V35" s="121">
        <v>2218759.25</v>
      </c>
      <c r="W35" s="121">
        <v>2218759.25</v>
      </c>
      <c r="X35" s="121">
        <v>2218759.25</v>
      </c>
      <c r="Y35" s="121">
        <v>7173117.75</v>
      </c>
      <c r="Z35" s="121">
        <v>4867078.5</v>
      </c>
      <c r="AA35" s="121">
        <v>12167696.25</v>
      </c>
      <c r="AB35" s="126">
        <v>4867078.5</v>
      </c>
      <c r="AC35" s="126">
        <v>18102912.75</v>
      </c>
      <c r="AD35" s="126">
        <v>1005903.75</v>
      </c>
      <c r="AE35" s="126">
        <f>613322.57+1295511.3-21719.65</f>
        <v>1887114.2200000002</v>
      </c>
      <c r="AF35" s="125">
        <v>1005903.75</v>
      </c>
      <c r="AG35" s="125">
        <v>1006903.75</v>
      </c>
      <c r="AH35" s="125">
        <v>1156040.25</v>
      </c>
      <c r="AI35" s="125">
        <v>1156040.25</v>
      </c>
      <c r="AJ35" s="125">
        <v>509181.25</v>
      </c>
      <c r="AK35" s="125">
        <v>509181.25</v>
      </c>
      <c r="AL35" s="125">
        <v>509181.25</v>
      </c>
      <c r="AM35" s="125">
        <v>509181.25</v>
      </c>
      <c r="AN35" s="125">
        <v>509181.25</v>
      </c>
      <c r="AO35" s="125">
        <v>509181.25</v>
      </c>
      <c r="AP35" s="126">
        <v>509181.25</v>
      </c>
      <c r="AQ35" s="126">
        <v>431725.3</v>
      </c>
      <c r="AR35" s="127">
        <v>3351688.55</v>
      </c>
      <c r="AS35" s="128">
        <v>398825.3</v>
      </c>
      <c r="AT35" s="128">
        <v>398825.3</v>
      </c>
      <c r="AU35" s="128">
        <v>398825.3</v>
      </c>
      <c r="AV35" s="128">
        <v>398825.3</v>
      </c>
      <c r="AW35" s="128">
        <v>398825.3</v>
      </c>
      <c r="AX35" s="128">
        <v>398825.3</v>
      </c>
      <c r="AY35" s="128">
        <v>398825.3</v>
      </c>
      <c r="AZ35" s="121">
        <v>398825.3</v>
      </c>
      <c r="BA35" s="121">
        <v>398825.3</v>
      </c>
      <c r="BB35" s="121">
        <v>398825.3</v>
      </c>
      <c r="BC35" s="121">
        <v>398825.3</v>
      </c>
      <c r="BD35" s="121">
        <v>652944.13</v>
      </c>
      <c r="BE35" s="155"/>
      <c r="BF35" s="121">
        <v>1535601.94</v>
      </c>
      <c r="BG35" s="121">
        <v>1743891.94</v>
      </c>
      <c r="BH35" s="121">
        <v>2230487.94</v>
      </c>
      <c r="BI35" s="121">
        <v>2587813.94</v>
      </c>
      <c r="BJ35" s="121">
        <v>2867372.94</v>
      </c>
      <c r="BK35" s="121">
        <v>3206685.94</v>
      </c>
      <c r="BL35" s="121"/>
      <c r="BM35" s="121">
        <v>6348735</v>
      </c>
      <c r="BN35" s="121">
        <v>2430126</v>
      </c>
      <c r="BO35" s="121">
        <v>2676345</v>
      </c>
      <c r="BP35" s="121">
        <v>5322794</v>
      </c>
      <c r="BQ35" s="121">
        <v>1236204.76</v>
      </c>
      <c r="BR35" s="126">
        <v>1280470</v>
      </c>
      <c r="BS35" s="104">
        <v>0</v>
      </c>
      <c r="BT35" s="104">
        <v>0</v>
      </c>
      <c r="BU35" s="104">
        <v>-3668703.99</v>
      </c>
      <c r="BV35" s="104">
        <v>-1576039.75</v>
      </c>
      <c r="BW35" s="166">
        <v>-4570956.8</v>
      </c>
      <c r="BX35" s="168">
        <v>1453023.75</v>
      </c>
      <c r="BY35" s="168">
        <v>6087331.4800000004</v>
      </c>
      <c r="BZ35" s="166">
        <v>2720574.2</v>
      </c>
      <c r="CA35" s="168">
        <v>2009964.19</v>
      </c>
      <c r="CB35" s="168">
        <v>1723350.24</v>
      </c>
      <c r="CE35" s="126">
        <v>3312827.49</v>
      </c>
      <c r="CF35" s="181">
        <v>894774.36</v>
      </c>
      <c r="CG35" s="181">
        <v>4146540.39</v>
      </c>
      <c r="CH35" s="181">
        <v>2372648.94</v>
      </c>
      <c r="CI35" s="181">
        <v>1313617.3799999999</v>
      </c>
      <c r="CJ35" s="181">
        <v>210459.74</v>
      </c>
      <c r="CK35" s="181">
        <v>1581147.65</v>
      </c>
      <c r="CL35" s="181">
        <v>337955.8</v>
      </c>
      <c r="CM35" s="181">
        <v>194189.42</v>
      </c>
      <c r="CN35" s="181">
        <v>123440.76</v>
      </c>
      <c r="CO35" s="181">
        <v>1259753.95</v>
      </c>
      <c r="CP35" s="181">
        <v>2573066.9700000002</v>
      </c>
      <c r="CQ35" s="181">
        <v>7290460.1900000004</v>
      </c>
      <c r="CR35" s="227">
        <v>7358475.3499999996</v>
      </c>
      <c r="CS35" s="222">
        <v>5330812.6100000003</v>
      </c>
    </row>
    <row r="36" spans="1:100" ht="14.4" x14ac:dyDescent="0.25">
      <c r="A36" s="118" t="s">
        <v>97</v>
      </c>
      <c r="B36" s="119">
        <v>92209657.049999997</v>
      </c>
      <c r="C36" s="119">
        <v>145590739.05000001</v>
      </c>
      <c r="D36" s="141">
        <v>165770876</v>
      </c>
      <c r="E36" s="119">
        <v>190205691.05000001</v>
      </c>
      <c r="F36" s="119">
        <v>165770876</v>
      </c>
      <c r="G36" s="121">
        <v>167383681</v>
      </c>
      <c r="H36" s="121">
        <v>167383681</v>
      </c>
      <c r="I36" s="121">
        <v>334767362</v>
      </c>
      <c r="J36" s="121">
        <v>167383681</v>
      </c>
      <c r="K36" s="121">
        <v>167383681</v>
      </c>
      <c r="L36" s="121">
        <v>169361564</v>
      </c>
      <c r="M36" s="121">
        <v>169361564</v>
      </c>
      <c r="N36" s="121">
        <v>169361564</v>
      </c>
      <c r="O36" s="121">
        <v>97082102</v>
      </c>
      <c r="P36" s="121">
        <v>140454878</v>
      </c>
      <c r="Q36" s="122">
        <v>70863642.239999995</v>
      </c>
      <c r="R36" s="142">
        <v>70863642.239999995</v>
      </c>
      <c r="S36" s="121">
        <v>141727284.47999999</v>
      </c>
      <c r="T36" s="121">
        <v>120863642.23999999</v>
      </c>
      <c r="U36" s="121">
        <v>120863642.23999999</v>
      </c>
      <c r="V36" s="121">
        <v>120863642.23999999</v>
      </c>
      <c r="W36" s="121">
        <v>120863642.23999999</v>
      </c>
      <c r="X36" s="121">
        <v>120863642.23999999</v>
      </c>
      <c r="Y36" s="121">
        <v>362590926.72000003</v>
      </c>
      <c r="Z36" s="121">
        <v>241727284.47999999</v>
      </c>
      <c r="AA36" s="121">
        <v>604318211.20000005</v>
      </c>
      <c r="AB36" s="126">
        <v>115727284.48</v>
      </c>
      <c r="AC36" s="126">
        <v>211971366</v>
      </c>
      <c r="AD36" s="126">
        <v>70212126.430000007</v>
      </c>
      <c r="AE36" s="126">
        <v>70212126.430000007</v>
      </c>
      <c r="AF36" s="125">
        <v>100212126.43000001</v>
      </c>
      <c r="AG36" s="125">
        <v>140212126.43000001</v>
      </c>
      <c r="AH36" s="125">
        <v>125212126.43000001</v>
      </c>
      <c r="AI36" s="125">
        <v>125212126.43000001</v>
      </c>
      <c r="AJ36" s="125">
        <v>125212126.43000001</v>
      </c>
      <c r="AK36" s="125">
        <v>150212126.43000001</v>
      </c>
      <c r="AL36" s="125">
        <v>150212126.43000001</v>
      </c>
      <c r="AM36" s="125">
        <v>150212126.43000001</v>
      </c>
      <c r="AN36" s="125">
        <v>150212126.43000001</v>
      </c>
      <c r="AO36" s="125">
        <v>39212126.43</v>
      </c>
      <c r="AP36" s="126">
        <v>39212126</v>
      </c>
      <c r="AQ36" s="126">
        <v>89212126.430000007</v>
      </c>
      <c r="AR36" s="127">
        <v>89212126.430000007</v>
      </c>
      <c r="AS36" s="128">
        <v>89212126.430000007</v>
      </c>
      <c r="AT36" s="128">
        <v>89212126.430000007</v>
      </c>
      <c r="AU36" s="128">
        <v>89212126.430000007</v>
      </c>
      <c r="AV36" s="128">
        <v>89212126.430000007</v>
      </c>
      <c r="AW36" s="128">
        <v>89212126.430000007</v>
      </c>
      <c r="AX36" s="128">
        <v>89212126.430000007</v>
      </c>
      <c r="AY36" s="128">
        <v>89212126.430000007</v>
      </c>
      <c r="AZ36" s="121">
        <v>89212126.430000007</v>
      </c>
      <c r="BA36" s="121">
        <v>89212126.430000007</v>
      </c>
      <c r="BB36" s="121">
        <v>33137908.210000001</v>
      </c>
      <c r="BC36" s="121">
        <v>83137908.209999993</v>
      </c>
      <c r="BD36" s="121">
        <v>83909094</v>
      </c>
      <c r="BE36" s="155"/>
      <c r="BF36" s="121">
        <v>113909094</v>
      </c>
      <c r="BG36" s="121">
        <v>113909094</v>
      </c>
      <c r="BH36" s="121">
        <v>193909094</v>
      </c>
      <c r="BI36" s="121">
        <v>193909094</v>
      </c>
      <c r="BJ36" s="121">
        <v>193909094</v>
      </c>
      <c r="BK36" s="121">
        <v>190909094</v>
      </c>
      <c r="BL36" s="121"/>
      <c r="BM36" s="121">
        <v>563727282</v>
      </c>
      <c r="BN36" s="121">
        <v>187909094</v>
      </c>
      <c r="BO36" s="121">
        <v>181309197</v>
      </c>
      <c r="BP36" s="121">
        <v>142618394</v>
      </c>
      <c r="BQ36" s="121">
        <v>122237484.62</v>
      </c>
      <c r="BR36" s="126">
        <v>122237484.02</v>
      </c>
      <c r="BS36" s="104">
        <v>122237484.62</v>
      </c>
      <c r="BT36" s="104">
        <v>172237484.62</v>
      </c>
      <c r="BU36" s="104">
        <v>168937484.62</v>
      </c>
      <c r="BV36" s="104">
        <v>168937484.62</v>
      </c>
      <c r="BW36" s="166">
        <v>168937484.62</v>
      </c>
      <c r="BX36" s="168">
        <v>165637484.62</v>
      </c>
      <c r="BY36" s="168">
        <v>165637484.62</v>
      </c>
      <c r="BZ36" s="166">
        <v>165637484.62</v>
      </c>
      <c r="CA36" s="168">
        <v>165637484.62</v>
      </c>
      <c r="CB36" s="168">
        <v>162337484.62</v>
      </c>
      <c r="CE36" s="126">
        <v>84895865.400000006</v>
      </c>
      <c r="CF36" s="181">
        <v>84895865.400000006</v>
      </c>
      <c r="CG36" s="181">
        <v>81019052.530000001</v>
      </c>
      <c r="CH36" s="181">
        <v>77429198.739999995</v>
      </c>
      <c r="CI36" s="181">
        <v>75217597.640000001</v>
      </c>
      <c r="CJ36" s="181">
        <v>75217597.640000001</v>
      </c>
      <c r="CK36" s="181">
        <v>71179198.75</v>
      </c>
      <c r="CL36" s="181">
        <v>67879198.75</v>
      </c>
      <c r="CM36" s="181">
        <v>63712532.090000004</v>
      </c>
      <c r="CN36" s="181">
        <v>60412532.090000004</v>
      </c>
      <c r="CO36" s="181">
        <v>55859154.189999998</v>
      </c>
      <c r="CP36" s="181">
        <v>54571353.75</v>
      </c>
      <c r="CQ36" s="181">
        <v>49188020.100000001</v>
      </c>
      <c r="CR36" s="227">
        <v>49188020.450000003</v>
      </c>
      <c r="CS36" s="222">
        <v>49188020.100000001</v>
      </c>
      <c r="CU36" s="126">
        <f>780833333-662983882</f>
        <v>117849451</v>
      </c>
    </row>
    <row r="37" spans="1:100" x14ac:dyDescent="0.25">
      <c r="A37" s="114" t="s">
        <v>98</v>
      </c>
      <c r="B37" s="115">
        <f t="shared" ref="B37:AU37" si="16">SUM(B30:B36)</f>
        <v>265665045.97999996</v>
      </c>
      <c r="C37" s="115">
        <f t="shared" si="16"/>
        <v>281085612.97000003</v>
      </c>
      <c r="D37" s="115">
        <f t="shared" si="16"/>
        <v>318481839.73000002</v>
      </c>
      <c r="E37" s="115">
        <f t="shared" si="16"/>
        <v>332486011.01999998</v>
      </c>
      <c r="F37" s="115">
        <f t="shared" si="16"/>
        <v>314037500.51999998</v>
      </c>
      <c r="G37" s="115">
        <f t="shared" si="16"/>
        <v>323145934.56</v>
      </c>
      <c r="H37" s="115">
        <f t="shared" si="16"/>
        <v>317812376.25</v>
      </c>
      <c r="I37" s="115">
        <f t="shared" si="16"/>
        <v>623802254.46000004</v>
      </c>
      <c r="J37" s="115">
        <f t="shared" si="16"/>
        <v>301302249.10000002</v>
      </c>
      <c r="K37" s="115">
        <f t="shared" si="16"/>
        <v>298058929.91000003</v>
      </c>
      <c r="L37" s="115">
        <f t="shared" si="16"/>
        <v>295440867.38999999</v>
      </c>
      <c r="M37" s="115">
        <f t="shared" si="16"/>
        <v>295091076.32000005</v>
      </c>
      <c r="N37" s="115">
        <f t="shared" si="16"/>
        <v>295310721.61000001</v>
      </c>
      <c r="O37" s="115">
        <f t="shared" si="16"/>
        <v>452669928.14999998</v>
      </c>
      <c r="P37" s="115">
        <f t="shared" si="16"/>
        <v>571759674.84000003</v>
      </c>
      <c r="Q37" s="115">
        <f t="shared" si="16"/>
        <v>275848883.90999997</v>
      </c>
      <c r="R37" s="116">
        <f t="shared" si="16"/>
        <v>277336473.13</v>
      </c>
      <c r="S37" s="116">
        <f t="shared" si="16"/>
        <v>539688524.96000004</v>
      </c>
      <c r="T37" s="116">
        <f t="shared" si="16"/>
        <v>291341942.06</v>
      </c>
      <c r="U37" s="116">
        <f t="shared" si="16"/>
        <v>270117121.19</v>
      </c>
      <c r="V37" s="116">
        <f t="shared" si="16"/>
        <v>263727514.74000001</v>
      </c>
      <c r="W37" s="116">
        <f t="shared" si="16"/>
        <v>252961439.06999999</v>
      </c>
      <c r="X37" s="116">
        <f t="shared" si="16"/>
        <v>242574225.81999999</v>
      </c>
      <c r="Y37" s="116">
        <f t="shared" si="16"/>
        <v>758151604.31999993</v>
      </c>
      <c r="Z37" s="116">
        <f t="shared" si="16"/>
        <v>500768234.92000002</v>
      </c>
      <c r="AA37" s="116">
        <f t="shared" si="16"/>
        <v>1283928378.9000001</v>
      </c>
      <c r="AB37" s="116">
        <f t="shared" si="16"/>
        <v>1115685494.2199998</v>
      </c>
      <c r="AC37" s="116">
        <f t="shared" si="16"/>
        <v>810815130.51000011</v>
      </c>
      <c r="AD37" s="116">
        <f t="shared" si="16"/>
        <v>224108903.74000001</v>
      </c>
      <c r="AE37" s="116">
        <f t="shared" si="16"/>
        <v>224730026.41000003</v>
      </c>
      <c r="AF37" s="116">
        <f t="shared" si="16"/>
        <v>259964150.26000002</v>
      </c>
      <c r="AG37" s="116">
        <f t="shared" si="16"/>
        <v>288116970.76999998</v>
      </c>
      <c r="AH37" s="116">
        <f t="shared" si="16"/>
        <v>271920617.61000001</v>
      </c>
      <c r="AI37" s="116">
        <f t="shared" si="16"/>
        <v>270985225.78000003</v>
      </c>
      <c r="AJ37" s="116">
        <f t="shared" si="16"/>
        <v>271419454.60000002</v>
      </c>
      <c r="AK37" s="116">
        <f t="shared" si="16"/>
        <v>286779944.93000001</v>
      </c>
      <c r="AL37" s="116">
        <f t="shared" si="16"/>
        <v>253658904.81</v>
      </c>
      <c r="AM37" s="116">
        <f t="shared" si="16"/>
        <v>250986826.21000004</v>
      </c>
      <c r="AN37" s="116">
        <f t="shared" si="16"/>
        <v>250399346.21000004</v>
      </c>
      <c r="AO37" s="116">
        <f t="shared" si="16"/>
        <v>438291621.75999999</v>
      </c>
      <c r="AP37" s="116">
        <f t="shared" si="16"/>
        <v>244779214.57000002</v>
      </c>
      <c r="AQ37" s="116">
        <f t="shared" si="16"/>
        <v>248726110.91000003</v>
      </c>
      <c r="AR37" s="140">
        <f t="shared" si="16"/>
        <v>254646074.16000003</v>
      </c>
      <c r="AS37" s="140">
        <f t="shared" si="16"/>
        <v>277562806.80000001</v>
      </c>
      <c r="AT37" s="140">
        <f t="shared" si="16"/>
        <v>270278497.39000005</v>
      </c>
      <c r="AU37" s="140">
        <f t="shared" si="16"/>
        <v>295282404.73000002</v>
      </c>
      <c r="AV37" s="140">
        <f>SUM(AV30:AV36)</f>
        <v>281652098.17000002</v>
      </c>
      <c r="AW37" s="140">
        <f>SUM(AW30:AW36)</f>
        <v>271247000.80000001</v>
      </c>
      <c r="AX37" s="140">
        <f>SUM(AX30:AX36)</f>
        <v>272577339.56</v>
      </c>
      <c r="AY37" s="140">
        <f>SUM(AY30:AY36)</f>
        <v>262268497.60000002</v>
      </c>
      <c r="AZ37" s="140">
        <f t="shared" ref="AZ37:CS37" si="17">SUM(AZ30:AZ36)</f>
        <v>258415501.59000003</v>
      </c>
      <c r="BA37" s="140">
        <f t="shared" si="17"/>
        <v>255496133.48000002</v>
      </c>
      <c r="BB37" s="140">
        <f t="shared" si="17"/>
        <v>258493110.89000002</v>
      </c>
      <c r="BC37" s="140">
        <f t="shared" si="17"/>
        <v>265043654.66000003</v>
      </c>
      <c r="BD37" s="140">
        <f t="shared" si="17"/>
        <v>279900143.56999999</v>
      </c>
      <c r="BE37" s="140">
        <f t="shared" si="17"/>
        <v>0</v>
      </c>
      <c r="BF37" s="140">
        <f t="shared" si="17"/>
        <v>294003559.18000001</v>
      </c>
      <c r="BG37" s="140">
        <f t="shared" si="17"/>
        <v>305219305.89999998</v>
      </c>
      <c r="BH37" s="140">
        <f t="shared" si="17"/>
        <v>360101694.97000003</v>
      </c>
      <c r="BI37" s="140">
        <f t="shared" si="17"/>
        <v>362073807.97000003</v>
      </c>
      <c r="BJ37" s="140">
        <f t="shared" si="17"/>
        <v>365946117.45999998</v>
      </c>
      <c r="BK37" s="140">
        <f t="shared" si="17"/>
        <v>361907610.97000003</v>
      </c>
      <c r="BL37" s="140">
        <f t="shared" si="17"/>
        <v>0</v>
      </c>
      <c r="BM37" s="140">
        <f t="shared" si="17"/>
        <v>1007074466.25</v>
      </c>
      <c r="BN37" s="140">
        <f t="shared" si="17"/>
        <v>334011695.61000001</v>
      </c>
      <c r="BO37" s="140">
        <f t="shared" si="17"/>
        <v>396280265.25</v>
      </c>
      <c r="BP37" s="140">
        <f t="shared" si="17"/>
        <v>530765498</v>
      </c>
      <c r="BQ37" s="140">
        <f t="shared" si="17"/>
        <v>290780939.01999998</v>
      </c>
      <c r="BR37" s="140">
        <f t="shared" si="17"/>
        <v>291898743.39999998</v>
      </c>
      <c r="BS37" s="140">
        <f t="shared" si="17"/>
        <v>282119017.99000001</v>
      </c>
      <c r="BT37" s="140">
        <f t="shared" si="17"/>
        <v>331890354.43000001</v>
      </c>
      <c r="BU37" s="140">
        <f t="shared" si="17"/>
        <v>310755858.68000001</v>
      </c>
      <c r="BV37" s="140">
        <f t="shared" si="17"/>
        <v>325596866.80000001</v>
      </c>
      <c r="BW37" s="140">
        <f t="shared" si="17"/>
        <v>309654836.92000002</v>
      </c>
      <c r="BX37" s="140">
        <f t="shared" si="17"/>
        <v>311537995.52999997</v>
      </c>
      <c r="BY37" s="140">
        <f t="shared" si="17"/>
        <v>314837171.99000001</v>
      </c>
      <c r="BZ37" s="140">
        <f t="shared" si="17"/>
        <v>311798356.31999999</v>
      </c>
      <c r="CA37" s="140">
        <f t="shared" si="17"/>
        <v>308856880.31</v>
      </c>
      <c r="CB37" s="140">
        <f t="shared" si="17"/>
        <v>392331988.59000003</v>
      </c>
      <c r="CC37" s="140">
        <f t="shared" si="17"/>
        <v>0</v>
      </c>
      <c r="CD37" s="140">
        <f t="shared" si="17"/>
        <v>0</v>
      </c>
      <c r="CE37" s="140">
        <f t="shared" si="17"/>
        <v>241560138.26000002</v>
      </c>
      <c r="CF37" s="140">
        <f t="shared" si="17"/>
        <v>237423164.13000003</v>
      </c>
      <c r="CG37" s="140">
        <f t="shared" si="17"/>
        <v>233962690.44999999</v>
      </c>
      <c r="CH37" s="140">
        <f t="shared" si="17"/>
        <v>233758438.32999998</v>
      </c>
      <c r="CI37" s="140">
        <f t="shared" si="17"/>
        <v>239575419.51999998</v>
      </c>
      <c r="CJ37" s="140">
        <f t="shared" si="17"/>
        <v>231393695.61000001</v>
      </c>
      <c r="CK37" s="140">
        <f t="shared" si="17"/>
        <v>232177975.09</v>
      </c>
      <c r="CL37" s="140">
        <f t="shared" si="17"/>
        <v>337482351.06</v>
      </c>
      <c r="CM37" s="140">
        <f t="shared" si="17"/>
        <v>304244009.31999999</v>
      </c>
      <c r="CN37" s="140">
        <f t="shared" si="17"/>
        <v>269605879.38999999</v>
      </c>
      <c r="CO37" s="140">
        <f t="shared" si="17"/>
        <v>256446160.15999997</v>
      </c>
      <c r="CP37" s="140">
        <f t="shared" si="17"/>
        <v>254256822.16</v>
      </c>
      <c r="CQ37" s="140">
        <f t="shared" si="17"/>
        <v>247639329.72</v>
      </c>
      <c r="CR37" s="116">
        <f t="shared" si="17"/>
        <v>245905345.34999996</v>
      </c>
      <c r="CS37" s="140">
        <f t="shared" si="17"/>
        <v>249732837.22000003</v>
      </c>
    </row>
    <row r="38" spans="1:100" ht="14.4" x14ac:dyDescent="0.25">
      <c r="A38" s="118" t="s">
        <v>99</v>
      </c>
      <c r="B38" s="119">
        <v>53318338.600000001</v>
      </c>
      <c r="C38" s="119">
        <v>53578122.75</v>
      </c>
      <c r="D38" s="120">
        <v>54397850</v>
      </c>
      <c r="E38" s="119">
        <v>53593122.75</v>
      </c>
      <c r="F38" s="119">
        <v>54422249</v>
      </c>
      <c r="G38" s="121">
        <v>54422249</v>
      </c>
      <c r="H38" s="121">
        <v>54422449</v>
      </c>
      <c r="I38" s="121">
        <v>109244898</v>
      </c>
      <c r="J38" s="121">
        <v>54622449</v>
      </c>
      <c r="K38" s="121">
        <v>54622449</v>
      </c>
      <c r="L38" s="121">
        <v>54622636</v>
      </c>
      <c r="M38" s="121">
        <v>54622836</v>
      </c>
      <c r="N38" s="121">
        <v>54628836</v>
      </c>
      <c r="O38" s="121">
        <v>54628836</v>
      </c>
      <c r="P38" s="121">
        <v>109257672</v>
      </c>
      <c r="Q38" s="122">
        <v>54009356.140000001</v>
      </c>
      <c r="R38" s="123">
        <f>11866000+38166977+3976378.31</f>
        <v>54009355.310000002</v>
      </c>
      <c r="S38" s="121">
        <v>108036712.28</v>
      </c>
      <c r="T38" s="121">
        <v>54027356.140000001</v>
      </c>
      <c r="U38" s="121">
        <v>54027356.140000001</v>
      </c>
      <c r="V38" s="121">
        <v>54027356.140000001</v>
      </c>
      <c r="W38" s="121">
        <v>54027356.140000001</v>
      </c>
      <c r="X38" s="121">
        <v>54029456.140000001</v>
      </c>
      <c r="Y38" s="121">
        <v>162088368.41999999</v>
      </c>
      <c r="Z38" s="121">
        <v>126266864.28</v>
      </c>
      <c r="AA38" s="121">
        <v>315668160.69999999</v>
      </c>
      <c r="AB38" s="126">
        <v>126267264.28</v>
      </c>
      <c r="AC38" s="126">
        <v>189450094.74000001</v>
      </c>
      <c r="AD38" s="126">
        <v>63759620.140000001</v>
      </c>
      <c r="AE38" s="126">
        <f>12475588+38210877.56+13073154.58</f>
        <v>63759620.140000001</v>
      </c>
      <c r="AF38" s="125">
        <v>63759620.140000001</v>
      </c>
      <c r="AG38" s="125">
        <v>63763720.140000001</v>
      </c>
      <c r="AH38" s="125">
        <v>63763720.140000001</v>
      </c>
      <c r="AI38" s="125">
        <v>63763720.140000001</v>
      </c>
      <c r="AJ38" s="125">
        <v>63766169.579999998</v>
      </c>
      <c r="AK38" s="125">
        <v>63766169.5</v>
      </c>
      <c r="AL38" s="125">
        <v>63766969.579999998</v>
      </c>
      <c r="AM38" s="125">
        <v>63766969.520000003</v>
      </c>
      <c r="AN38" s="125">
        <v>63766969.579999998</v>
      </c>
      <c r="AO38" s="125">
        <v>63766969.579999998</v>
      </c>
      <c r="AP38" s="126">
        <v>63771970.079999998</v>
      </c>
      <c r="AQ38" s="126">
        <v>71383883.140000001</v>
      </c>
      <c r="AR38" s="127">
        <f>20087500+51296383.14</f>
        <v>71383883.140000001</v>
      </c>
      <c r="AS38" s="128">
        <v>71383883.079999998</v>
      </c>
      <c r="AT38" s="128">
        <v>71383883.129999995</v>
      </c>
      <c r="AU38" s="128">
        <v>71383883.140000001</v>
      </c>
      <c r="AV38" s="128">
        <v>71383883.140000001</v>
      </c>
      <c r="AW38" s="128">
        <v>71383883.140000001</v>
      </c>
      <c r="AX38" s="128">
        <v>71383883.140000001</v>
      </c>
      <c r="AY38" s="128">
        <v>71383883.140000001</v>
      </c>
      <c r="AZ38" s="121">
        <v>71383883.140000001</v>
      </c>
      <c r="BA38" s="121">
        <v>71383883.150000006</v>
      </c>
      <c r="BB38" s="121">
        <v>71383883.109999999</v>
      </c>
      <c r="BC38" s="121">
        <v>71383883.140000001</v>
      </c>
      <c r="BD38" s="121">
        <v>72827883.140000001</v>
      </c>
      <c r="BE38" s="155"/>
      <c r="BF38" s="121">
        <v>72827883.129999995</v>
      </c>
      <c r="BG38" s="121">
        <v>72827883.129999995</v>
      </c>
      <c r="BH38" s="121">
        <v>72827883.129999995</v>
      </c>
      <c r="BI38" s="121">
        <v>72827883.129999995</v>
      </c>
      <c r="BJ38" s="121">
        <v>72827883.129999995</v>
      </c>
      <c r="BK38" s="121">
        <v>72827883.129999995</v>
      </c>
      <c r="BL38" s="121"/>
      <c r="BM38" s="121">
        <v>218483649.38999999</v>
      </c>
      <c r="BN38" s="121">
        <v>72827883.099999994</v>
      </c>
      <c r="BO38" s="121">
        <v>72827883.120000005</v>
      </c>
      <c r="BP38" s="121">
        <v>145655766.24000001</v>
      </c>
      <c r="BQ38" s="121">
        <v>72827883.140000001</v>
      </c>
      <c r="BR38" s="126">
        <f>21531500+51296383</f>
        <v>72827883</v>
      </c>
      <c r="BS38" s="104">
        <v>72827883.140000001</v>
      </c>
      <c r="BT38" s="104">
        <v>72827883.140000001</v>
      </c>
      <c r="BU38" s="104">
        <v>72827883.140000001</v>
      </c>
      <c r="BV38" s="126">
        <v>72827883.140000001</v>
      </c>
      <c r="BW38" s="162">
        <v>72827883.140000001</v>
      </c>
      <c r="BX38" s="164">
        <v>72827883.140000001</v>
      </c>
      <c r="BY38" s="164">
        <v>72827883.140000001</v>
      </c>
      <c r="BZ38" s="166">
        <v>72827883.140000001</v>
      </c>
      <c r="CA38" s="168">
        <v>72827883.140000001</v>
      </c>
      <c r="CB38" s="168">
        <v>72827883.140000001</v>
      </c>
      <c r="CE38" s="126">
        <f>22787500+51296383.14</f>
        <v>74083883.140000001</v>
      </c>
      <c r="CF38" s="181">
        <v>74083883.150000006</v>
      </c>
      <c r="CG38" s="181">
        <v>74083883.150000006</v>
      </c>
      <c r="CH38" s="181">
        <v>74083883.150000006</v>
      </c>
      <c r="CI38" s="181">
        <v>74083883.150000006</v>
      </c>
      <c r="CJ38" s="181">
        <v>74083883.150000006</v>
      </c>
      <c r="CK38" s="181">
        <v>74083883.150000006</v>
      </c>
      <c r="CL38" s="181">
        <v>74083883.150000006</v>
      </c>
      <c r="CM38" s="181">
        <v>74083883.150000006</v>
      </c>
      <c r="CN38" s="181">
        <v>74083883.150000006</v>
      </c>
      <c r="CO38" s="181">
        <v>74083883.150000006</v>
      </c>
      <c r="CP38" s="181">
        <v>74083883.150000006</v>
      </c>
      <c r="CQ38" s="181">
        <v>74083883.140000001</v>
      </c>
      <c r="CR38" s="227">
        <f>24589500+51296383.14</f>
        <v>75885883.140000001</v>
      </c>
      <c r="CS38" s="222">
        <v>75885883.159999996</v>
      </c>
    </row>
    <row r="39" spans="1:100" x14ac:dyDescent="0.25">
      <c r="A39" s="118" t="s">
        <v>100</v>
      </c>
      <c r="B39" s="119"/>
      <c r="C39" s="119"/>
      <c r="D39" s="120">
        <v>0</v>
      </c>
      <c r="E39" s="119">
        <v>0</v>
      </c>
      <c r="F39" s="119">
        <v>0</v>
      </c>
      <c r="G39" s="121">
        <v>0</v>
      </c>
      <c r="H39" s="121">
        <v>0</v>
      </c>
      <c r="I39" s="121">
        <v>0</v>
      </c>
      <c r="J39" s="121">
        <v>0</v>
      </c>
      <c r="K39" s="121">
        <v>0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2">
        <v>0</v>
      </c>
      <c r="S39" s="121">
        <v>0</v>
      </c>
      <c r="T39" s="121">
        <v>0</v>
      </c>
      <c r="U39" s="121">
        <v>0</v>
      </c>
      <c r="V39" s="121">
        <v>0</v>
      </c>
      <c r="W39" s="121">
        <v>0</v>
      </c>
      <c r="X39" s="121">
        <v>0</v>
      </c>
      <c r="Y39" s="121">
        <v>0</v>
      </c>
      <c r="Z39" s="121">
        <v>0</v>
      </c>
      <c r="AA39" s="121">
        <v>0</v>
      </c>
      <c r="AB39" s="126">
        <v>0</v>
      </c>
      <c r="AC39" s="126">
        <v>0</v>
      </c>
      <c r="AD39" s="126">
        <v>0</v>
      </c>
      <c r="AE39" s="126"/>
      <c r="AF39" s="125">
        <v>0</v>
      </c>
      <c r="AG39" s="125">
        <v>0</v>
      </c>
      <c r="AH39" s="125">
        <v>0</v>
      </c>
      <c r="AI39" s="125">
        <v>0</v>
      </c>
      <c r="AJ39" s="125">
        <v>0</v>
      </c>
      <c r="AK39" s="125">
        <v>0</v>
      </c>
      <c r="AL39" s="125">
        <v>0</v>
      </c>
      <c r="AM39" s="125">
        <v>0</v>
      </c>
      <c r="AN39" s="125">
        <v>0</v>
      </c>
      <c r="AO39" s="125">
        <v>0</v>
      </c>
      <c r="AP39" s="126">
        <v>0</v>
      </c>
      <c r="AQ39" s="126">
        <v>0</v>
      </c>
      <c r="AR39" s="127"/>
      <c r="AS39" s="128">
        <v>0</v>
      </c>
      <c r="AT39" s="128">
        <v>0</v>
      </c>
      <c r="AU39" s="128">
        <v>0</v>
      </c>
      <c r="AV39" s="128">
        <v>0</v>
      </c>
      <c r="AW39" s="128">
        <v>0</v>
      </c>
      <c r="AX39" s="128">
        <v>0</v>
      </c>
      <c r="AY39" s="128">
        <v>0</v>
      </c>
      <c r="AZ39" s="121">
        <v>0</v>
      </c>
      <c r="BA39" s="121">
        <v>0</v>
      </c>
      <c r="BB39" s="121">
        <v>0</v>
      </c>
      <c r="BC39" s="121">
        <v>0</v>
      </c>
      <c r="BD39" s="121">
        <v>0</v>
      </c>
      <c r="BE39" s="155"/>
      <c r="BF39" s="121">
        <v>0</v>
      </c>
      <c r="BG39" s="121">
        <v>0</v>
      </c>
      <c r="BH39" s="121">
        <v>0</v>
      </c>
      <c r="BI39" s="121">
        <v>0</v>
      </c>
      <c r="BJ39" s="121">
        <v>0</v>
      </c>
      <c r="BK39" s="121">
        <v>0</v>
      </c>
      <c r="BL39" s="121"/>
      <c r="BM39" s="121">
        <v>0</v>
      </c>
      <c r="BN39" s="121">
        <v>0</v>
      </c>
      <c r="BO39" s="121">
        <v>0</v>
      </c>
      <c r="BP39" s="121">
        <v>0</v>
      </c>
      <c r="BQ39" s="121">
        <v>0</v>
      </c>
      <c r="BR39" s="121">
        <v>0</v>
      </c>
      <c r="BS39" s="121">
        <v>0</v>
      </c>
      <c r="BT39" s="121">
        <v>0</v>
      </c>
      <c r="BU39" s="121">
        <v>0</v>
      </c>
      <c r="BV39" s="121">
        <v>0</v>
      </c>
      <c r="BW39" s="121">
        <v>0</v>
      </c>
      <c r="BX39" s="121">
        <v>0</v>
      </c>
      <c r="BY39" s="121">
        <v>0</v>
      </c>
      <c r="BZ39" s="121">
        <v>0</v>
      </c>
      <c r="CA39" s="121">
        <v>0</v>
      </c>
      <c r="CB39" s="121">
        <v>0</v>
      </c>
      <c r="CC39" s="121">
        <v>0</v>
      </c>
      <c r="CD39" s="121">
        <v>0</v>
      </c>
      <c r="CE39" s="121">
        <v>0</v>
      </c>
      <c r="CF39" s="181">
        <v>0</v>
      </c>
      <c r="CG39" s="181">
        <v>0</v>
      </c>
      <c r="CH39" s="181">
        <v>0</v>
      </c>
      <c r="CI39" s="181">
        <v>0</v>
      </c>
      <c r="CJ39" s="181">
        <v>0</v>
      </c>
      <c r="CK39" s="181">
        <v>0</v>
      </c>
      <c r="CL39" s="181">
        <v>0</v>
      </c>
      <c r="CM39" s="181">
        <v>0</v>
      </c>
      <c r="CN39" s="181">
        <v>0</v>
      </c>
      <c r="CO39" s="181">
        <v>0</v>
      </c>
      <c r="CP39" s="181">
        <v>0</v>
      </c>
      <c r="CQ39" s="181">
        <v>0</v>
      </c>
      <c r="CR39" s="181">
        <v>0</v>
      </c>
      <c r="CS39" s="222">
        <v>0</v>
      </c>
    </row>
    <row r="40" spans="1:100" ht="14.4" x14ac:dyDescent="0.25">
      <c r="A40" s="118" t="s">
        <v>101</v>
      </c>
      <c r="B40" s="119"/>
      <c r="C40" s="119"/>
      <c r="D40" s="120"/>
      <c r="E40" s="119"/>
      <c r="F40" s="119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2"/>
      <c r="S40" s="121"/>
      <c r="T40" s="121"/>
      <c r="U40" s="121"/>
      <c r="V40" s="121"/>
      <c r="W40" s="121"/>
      <c r="X40" s="121"/>
      <c r="Y40" s="121"/>
      <c r="Z40" s="121"/>
      <c r="AA40" s="121"/>
      <c r="AB40" s="126"/>
      <c r="AC40" s="126"/>
      <c r="AD40" s="126"/>
      <c r="AE40" s="126">
        <f>AE41+AE42</f>
        <v>-4882771</v>
      </c>
      <c r="AF40" s="126">
        <f t="shared" ref="AF40:BY40" si="18">AF41+AF42</f>
        <v>-8077690</v>
      </c>
      <c r="AG40" s="126">
        <f t="shared" si="18"/>
        <v>-644276.40000000037</v>
      </c>
      <c r="AH40" s="126">
        <f t="shared" si="18"/>
        <v>-4877609.87</v>
      </c>
      <c r="AI40" s="126">
        <f t="shared" si="18"/>
        <v>-10680943.199999999</v>
      </c>
      <c r="AJ40" s="126">
        <f t="shared" si="18"/>
        <v>-10868329.16</v>
      </c>
      <c r="AK40" s="126">
        <f t="shared" si="18"/>
        <v>6347607.1999999993</v>
      </c>
      <c r="AL40" s="126">
        <f t="shared" si="18"/>
        <v>17109150</v>
      </c>
      <c r="AM40" s="126">
        <f t="shared" si="18"/>
        <v>13557583.300000001</v>
      </c>
      <c r="AN40" s="126">
        <f t="shared" si="18"/>
        <v>12952360.6</v>
      </c>
      <c r="AO40" s="126">
        <f t="shared" si="18"/>
        <v>31145134.5</v>
      </c>
      <c r="AP40" s="126">
        <f t="shared" si="18"/>
        <v>28148926.600000001</v>
      </c>
      <c r="AQ40" s="126">
        <f t="shared" si="18"/>
        <v>19869348.800000001</v>
      </c>
      <c r="AR40" s="126">
        <f t="shared" si="18"/>
        <v>6078993.4499999993</v>
      </c>
      <c r="AS40" s="126">
        <f t="shared" si="18"/>
        <v>18849810.399999999</v>
      </c>
      <c r="AT40" s="126">
        <f t="shared" si="18"/>
        <v>11001401.539999999</v>
      </c>
      <c r="AU40" s="126">
        <f t="shared" si="18"/>
        <v>4573916.57</v>
      </c>
      <c r="AV40" s="126">
        <f t="shared" si="18"/>
        <v>3082813.9</v>
      </c>
      <c r="AW40" s="126">
        <f t="shared" si="18"/>
        <v>908453</v>
      </c>
      <c r="AX40" s="126">
        <f t="shared" si="18"/>
        <v>22171296.100000001</v>
      </c>
      <c r="AY40" s="126">
        <f t="shared" si="18"/>
        <v>21687687</v>
      </c>
      <c r="AZ40" s="126">
        <f t="shared" si="18"/>
        <v>20322587.100000001</v>
      </c>
      <c r="BA40" s="126">
        <f t="shared" si="18"/>
        <v>16341787.300000001</v>
      </c>
      <c r="BB40" s="126">
        <f t="shared" si="18"/>
        <v>20761958.100000001</v>
      </c>
      <c r="BC40" s="126">
        <f t="shared" si="18"/>
        <v>13851626.300000001</v>
      </c>
      <c r="BD40" s="126">
        <f t="shared" si="18"/>
        <v>3617180.4</v>
      </c>
      <c r="BE40" s="126">
        <f t="shared" si="18"/>
        <v>0</v>
      </c>
      <c r="BF40" s="126">
        <f t="shared" si="18"/>
        <v>7811989.2999999998</v>
      </c>
      <c r="BG40" s="126">
        <f t="shared" si="18"/>
        <v>9505977.5</v>
      </c>
      <c r="BH40" s="126">
        <f t="shared" si="18"/>
        <v>-2064102.5</v>
      </c>
      <c r="BI40" s="126">
        <f t="shared" si="18"/>
        <v>196424.90000000037</v>
      </c>
      <c r="BJ40" s="126">
        <f t="shared" si="18"/>
        <v>12841937.4</v>
      </c>
      <c r="BK40" s="126">
        <f t="shared" si="18"/>
        <v>13481303</v>
      </c>
      <c r="BL40" s="126">
        <f t="shared" si="18"/>
        <v>0</v>
      </c>
      <c r="BM40" s="126">
        <f t="shared" si="18"/>
        <v>34831962.420000002</v>
      </c>
      <c r="BN40" s="126">
        <f t="shared" si="18"/>
        <v>6200714.2000000002</v>
      </c>
      <c r="BO40" s="126">
        <f t="shared" si="18"/>
        <v>24085956.699999999</v>
      </c>
      <c r="BP40" s="126">
        <f t="shared" si="18"/>
        <v>32725855.600000001</v>
      </c>
      <c r="BQ40" s="126">
        <f t="shared" si="18"/>
        <v>16050026.060000001</v>
      </c>
      <c r="BR40" s="126">
        <f t="shared" si="18"/>
        <v>14972797.629999999</v>
      </c>
      <c r="BS40" s="126">
        <f t="shared" si="18"/>
        <v>20021630.239999998</v>
      </c>
      <c r="BT40" s="126">
        <f t="shared" si="18"/>
        <v>16445425.139999999</v>
      </c>
      <c r="BU40" s="126">
        <f t="shared" si="18"/>
        <v>16897365.539999999</v>
      </c>
      <c r="BV40" s="126">
        <f t="shared" si="18"/>
        <v>19863690.739999998</v>
      </c>
      <c r="BW40" s="126">
        <f t="shared" si="18"/>
        <v>18944917.539999999</v>
      </c>
      <c r="BX40" s="126">
        <f t="shared" si="18"/>
        <v>18810618.189999998</v>
      </c>
      <c r="BY40" s="126">
        <f t="shared" si="18"/>
        <v>18391354.789999999</v>
      </c>
      <c r="CA40" s="162"/>
      <c r="CB40" s="164"/>
      <c r="CE40" s="126">
        <v>-2188704.5299999998</v>
      </c>
      <c r="CF40" s="181">
        <f t="shared" ref="CF40:CQ40" si="19">CF41+CF42</f>
        <v>15869503.129999999</v>
      </c>
      <c r="CG40" s="181">
        <f t="shared" si="19"/>
        <v>13822240.739999998</v>
      </c>
      <c r="CH40" s="181">
        <f t="shared" si="19"/>
        <v>-9528477.4499999993</v>
      </c>
      <c r="CI40" s="181">
        <f t="shared" si="19"/>
        <v>-6886861.3600000003</v>
      </c>
      <c r="CJ40" s="181">
        <f t="shared" si="19"/>
        <v>-7138564.5299999993</v>
      </c>
      <c r="CK40" s="181">
        <f t="shared" si="19"/>
        <v>2976060.1700000004</v>
      </c>
      <c r="CL40" s="181">
        <f t="shared" si="19"/>
        <v>18482580.369999997</v>
      </c>
      <c r="CM40" s="181">
        <f t="shared" si="19"/>
        <v>16312136.17</v>
      </c>
      <c r="CN40" s="181">
        <f t="shared" si="19"/>
        <v>18065652.869999997</v>
      </c>
      <c r="CO40" s="181">
        <f t="shared" si="19"/>
        <v>16193868.470000001</v>
      </c>
      <c r="CP40" s="181">
        <f t="shared" si="19"/>
        <v>7626038.5099999998</v>
      </c>
      <c r="CQ40" s="181">
        <f t="shared" si="19"/>
        <v>10869429.74</v>
      </c>
      <c r="CR40" s="227">
        <f>CR41+CR42</f>
        <v>2211402.89</v>
      </c>
      <c r="CS40" s="222"/>
    </row>
    <row r="41" spans="1:100" ht="14.4" x14ac:dyDescent="0.25">
      <c r="A41" s="118" t="s">
        <v>102</v>
      </c>
      <c r="B41" s="119">
        <v>2589644.58</v>
      </c>
      <c r="C41" s="119">
        <v>2874282</v>
      </c>
      <c r="D41" s="141">
        <v>2973626.4</v>
      </c>
      <c r="E41" s="119">
        <v>2973626</v>
      </c>
      <c r="F41" s="119">
        <v>2973626</v>
      </c>
      <c r="G41" s="121">
        <v>2023521</v>
      </c>
      <c r="H41" s="121">
        <v>2023521</v>
      </c>
      <c r="I41" s="121">
        <v>4047042</v>
      </c>
      <c r="J41" s="121">
        <v>2023521</v>
      </c>
      <c r="K41" s="121">
        <v>2023521</v>
      </c>
      <c r="L41" s="121">
        <v>2023521</v>
      </c>
      <c r="M41" s="121">
        <v>2023521</v>
      </c>
      <c r="N41" s="121">
        <v>2023521</v>
      </c>
      <c r="O41" s="121">
        <v>2023521</v>
      </c>
      <c r="P41" s="121">
        <v>4047042</v>
      </c>
      <c r="Q41" s="122">
        <v>2023521</v>
      </c>
      <c r="R41" s="142">
        <v>2023571</v>
      </c>
      <c r="S41" s="121">
        <v>2908840</v>
      </c>
      <c r="T41" s="119">
        <v>1454420</v>
      </c>
      <c r="U41" s="121">
        <v>-13033020</v>
      </c>
      <c r="V41" s="121">
        <v>-13033020</v>
      </c>
      <c r="W41" s="121">
        <v>-13033020</v>
      </c>
      <c r="X41" s="121">
        <v>-13033020</v>
      </c>
      <c r="Y41" s="121">
        <v>-39099060</v>
      </c>
      <c r="Z41" s="121">
        <v>-26066040</v>
      </c>
      <c r="AA41" s="121">
        <v>-65165100</v>
      </c>
      <c r="AB41" s="126">
        <v>-26066040</v>
      </c>
      <c r="AC41" s="126">
        <v>-39099060</v>
      </c>
      <c r="AD41" s="126">
        <v>-13033020</v>
      </c>
      <c r="AE41" s="126">
        <v>-13033020</v>
      </c>
      <c r="AF41" s="125">
        <v>-13033020</v>
      </c>
      <c r="AG41" s="125">
        <v>-4882771</v>
      </c>
      <c r="AH41" s="125">
        <v>-4882771</v>
      </c>
      <c r="AI41" s="125">
        <v>-4882771</v>
      </c>
      <c r="AJ41" s="125">
        <v>-4882771</v>
      </c>
      <c r="AK41" s="125">
        <v>-4882771</v>
      </c>
      <c r="AL41" s="125">
        <v>13604669</v>
      </c>
      <c r="AM41" s="125">
        <v>13604669</v>
      </c>
      <c r="AN41" s="125">
        <v>13604669</v>
      </c>
      <c r="AO41" s="125">
        <v>13604669</v>
      </c>
      <c r="AP41" s="126">
        <v>13604669</v>
      </c>
      <c r="AQ41" s="126">
        <v>14692229</v>
      </c>
      <c r="AR41" s="127">
        <f>-4882771</f>
        <v>-4882771</v>
      </c>
      <c r="AS41" s="128">
        <v>14692229</v>
      </c>
      <c r="AT41" s="128">
        <v>6078993</v>
      </c>
      <c r="AU41" s="128">
        <v>6078993</v>
      </c>
      <c r="AV41" s="128">
        <v>6078993</v>
      </c>
      <c r="AW41" s="128">
        <v>6078993</v>
      </c>
      <c r="AX41" s="128">
        <v>6078993</v>
      </c>
      <c r="AY41" s="128">
        <v>6078993</v>
      </c>
      <c r="AZ41" s="121">
        <v>6078993</v>
      </c>
      <c r="BA41" s="121">
        <v>6078993</v>
      </c>
      <c r="BB41" s="121">
        <v>6078993</v>
      </c>
      <c r="BC41" s="121">
        <v>6078993</v>
      </c>
      <c r="BD41" s="121">
        <v>6078993</v>
      </c>
      <c r="BE41" s="155"/>
      <c r="BF41" s="121">
        <v>6078993</v>
      </c>
      <c r="BG41" s="121">
        <v>6078993</v>
      </c>
      <c r="BH41" s="121">
        <v>9048608</v>
      </c>
      <c r="BI41" s="121">
        <v>9048608</v>
      </c>
      <c r="BJ41" s="121">
        <v>9048608</v>
      </c>
      <c r="BK41" s="121">
        <v>9048608</v>
      </c>
      <c r="BL41" s="121"/>
      <c r="BM41" s="121">
        <v>27145824</v>
      </c>
      <c r="BN41" s="121">
        <v>9048608</v>
      </c>
      <c r="BO41" s="121">
        <v>9048608</v>
      </c>
      <c r="BP41" s="121">
        <v>18097216</v>
      </c>
      <c r="BQ41" s="121">
        <v>9048608.1600000001</v>
      </c>
      <c r="BR41" s="121">
        <v>9048608.1600000001</v>
      </c>
      <c r="BS41" s="104">
        <v>16050027.039999999</v>
      </c>
      <c r="BT41" s="104">
        <v>16050027.039999999</v>
      </c>
      <c r="BU41" s="104">
        <v>16050027.039999999</v>
      </c>
      <c r="BV41" s="126">
        <v>16050027.039999999</v>
      </c>
      <c r="BW41" s="162">
        <v>16050027.039999999</v>
      </c>
      <c r="BX41" s="164">
        <v>14976486.289999999</v>
      </c>
      <c r="BY41" s="164">
        <v>14976486.289999999</v>
      </c>
      <c r="BZ41" s="166">
        <v>14976486.289999999</v>
      </c>
      <c r="CA41" s="162">
        <v>14976486.289999999</v>
      </c>
      <c r="CB41" s="164">
        <v>14976486.289999999</v>
      </c>
      <c r="CE41" s="126">
        <v>9048608.1600000001</v>
      </c>
      <c r="CF41" s="181">
        <v>17197894.129999999</v>
      </c>
      <c r="CG41" s="181">
        <v>17196932.039999999</v>
      </c>
      <c r="CH41" s="181">
        <v>-2573343.25</v>
      </c>
      <c r="CI41" s="181">
        <v>-2573511.16</v>
      </c>
      <c r="CJ41" s="181">
        <v>-2188704.5299999998</v>
      </c>
      <c r="CK41" s="181">
        <v>-2188704.5299999998</v>
      </c>
      <c r="CL41" s="181">
        <v>-2188704.5299999998</v>
      </c>
      <c r="CM41" s="181">
        <v>-2188704.5299999998</v>
      </c>
      <c r="CN41" s="181">
        <v>-2188704.5299999998</v>
      </c>
      <c r="CO41" s="181">
        <v>-2188704.5299999998</v>
      </c>
      <c r="CP41" s="181">
        <v>-2188704.5299999998</v>
      </c>
      <c r="CQ41" s="181">
        <v>-2188704.5299999998</v>
      </c>
      <c r="CR41" s="227">
        <v>-2188704.5299999998</v>
      </c>
      <c r="CS41" s="228">
        <v>10420627.699999999</v>
      </c>
    </row>
    <row r="42" spans="1:100" ht="14.4" x14ac:dyDescent="0.25">
      <c r="A42" s="118" t="s">
        <v>103</v>
      </c>
      <c r="B42" s="119">
        <v>284637</v>
      </c>
      <c r="C42" s="119">
        <v>99344</v>
      </c>
      <c r="D42" s="120">
        <v>-950055.39999999991</v>
      </c>
      <c r="E42" s="119">
        <v>-315628.2</v>
      </c>
      <c r="F42" s="119">
        <v>33264.300000000003</v>
      </c>
      <c r="G42" s="121">
        <v>-3227517.4</v>
      </c>
      <c r="H42" s="121">
        <v>-3052787.5</v>
      </c>
      <c r="I42" s="121">
        <v>-14565932.4</v>
      </c>
      <c r="J42" s="121">
        <v>-5801662.5</v>
      </c>
      <c r="K42" s="121">
        <v>-8799568.1799999997</v>
      </c>
      <c r="L42" s="121">
        <v>-142226.20000000001</v>
      </c>
      <c r="M42" s="121">
        <v>-475876.3</v>
      </c>
      <c r="N42" s="121">
        <v>-4885325.2</v>
      </c>
      <c r="O42" s="121">
        <v>4161180.2</v>
      </c>
      <c r="P42" s="121">
        <v>11232449.800000001</v>
      </c>
      <c r="Q42" s="122">
        <v>5965899.2000000002</v>
      </c>
      <c r="R42" s="123">
        <v>-15056590.970000001</v>
      </c>
      <c r="S42" s="121">
        <v>5000105.2</v>
      </c>
      <c r="T42" s="119">
        <v>364743.2</v>
      </c>
      <c r="U42" s="121">
        <v>-1178323.5</v>
      </c>
      <c r="V42" s="121">
        <v>-1390731.2</v>
      </c>
      <c r="W42" s="121">
        <v>-1390731.2</v>
      </c>
      <c r="X42" s="121">
        <v>1068279.1000000001</v>
      </c>
      <c r="Y42" s="121">
        <v>-17711631.48</v>
      </c>
      <c r="Z42" s="121">
        <v>-21111401.399999999</v>
      </c>
      <c r="AA42" s="121">
        <v>-56879061.5</v>
      </c>
      <c r="AB42" s="126">
        <v>8445238.1999999993</v>
      </c>
      <c r="AC42" s="126">
        <v>10461171.6</v>
      </c>
      <c r="AD42" s="126">
        <v>10838634.199999999</v>
      </c>
      <c r="AE42" s="126">
        <v>8150249</v>
      </c>
      <c r="AF42" s="125">
        <v>4955330</v>
      </c>
      <c r="AG42" s="125">
        <v>4238494.5999999996</v>
      </c>
      <c r="AH42" s="125">
        <v>5161.13</v>
      </c>
      <c r="AI42" s="125">
        <v>-5798172.2000000002</v>
      </c>
      <c r="AJ42" s="125">
        <v>-5985558.1600000001</v>
      </c>
      <c r="AK42" s="125">
        <v>11230378.199999999</v>
      </c>
      <c r="AL42" s="125">
        <v>3504481</v>
      </c>
      <c r="AM42" s="125">
        <v>-47085.7</v>
      </c>
      <c r="AN42" s="125">
        <v>-652308.4</v>
      </c>
      <c r="AO42" s="125">
        <v>17540465.5</v>
      </c>
      <c r="AP42" s="126">
        <v>14544257.6</v>
      </c>
      <c r="AQ42" s="126">
        <v>5177119.8</v>
      </c>
      <c r="AR42" s="127">
        <f>10961764.45</f>
        <v>10961764.449999999</v>
      </c>
      <c r="AS42" s="128">
        <v>4157581.4</v>
      </c>
      <c r="AT42" s="128">
        <v>4922408.54</v>
      </c>
      <c r="AU42" s="128">
        <v>-1505076.43</v>
      </c>
      <c r="AV42" s="128">
        <v>-2996179.1</v>
      </c>
      <c r="AW42" s="128">
        <v>-5170540</v>
      </c>
      <c r="AX42" s="128">
        <v>16092303.1</v>
      </c>
      <c r="AY42" s="128">
        <v>15608694</v>
      </c>
      <c r="AZ42" s="121">
        <v>14243594.1</v>
      </c>
      <c r="BA42" s="121">
        <v>10262794.300000001</v>
      </c>
      <c r="BB42" s="121">
        <v>14682965.1</v>
      </c>
      <c r="BC42" s="121">
        <v>7772633.2999999998</v>
      </c>
      <c r="BD42" s="121">
        <v>-2461812.6</v>
      </c>
      <c r="BE42" s="155"/>
      <c r="BF42" s="121">
        <v>1732996.3</v>
      </c>
      <c r="BG42" s="121">
        <v>3426984.5</v>
      </c>
      <c r="BH42" s="121">
        <v>-11112710.5</v>
      </c>
      <c r="BI42" s="121">
        <v>-8852183.0999999996</v>
      </c>
      <c r="BJ42" s="121">
        <v>3793329.4</v>
      </c>
      <c r="BK42" s="121">
        <v>4432695</v>
      </c>
      <c r="BL42" s="121"/>
      <c r="BM42" s="121">
        <v>7686138.4199999999</v>
      </c>
      <c r="BN42" s="121">
        <v>-2847893.8</v>
      </c>
      <c r="BO42" s="121">
        <v>15037348.699999999</v>
      </c>
      <c r="BP42" s="121">
        <v>14628639.6</v>
      </c>
      <c r="BQ42" s="121">
        <v>7001417.9000000004</v>
      </c>
      <c r="BR42" s="126">
        <f>-1190198.7+7114388.17</f>
        <v>5924189.4699999997</v>
      </c>
      <c r="BS42" s="104">
        <v>3971603.2</v>
      </c>
      <c r="BT42" s="104">
        <v>395398.1</v>
      </c>
      <c r="BU42" s="104">
        <v>847338.5</v>
      </c>
      <c r="BV42" s="126">
        <v>3813663.7</v>
      </c>
      <c r="BW42" s="162">
        <v>2894890.5</v>
      </c>
      <c r="BX42" s="164">
        <v>3834131.9</v>
      </c>
      <c r="BY42" s="164">
        <v>3414868.5</v>
      </c>
      <c r="BZ42" s="166">
        <v>-1866136.8</v>
      </c>
      <c r="CA42" s="162">
        <v>-1242310.94</v>
      </c>
      <c r="CB42" s="164">
        <v>7882384.9000000004</v>
      </c>
      <c r="CE42" s="126">
        <f>2608773.13-19770275.29</f>
        <v>-17161502.16</v>
      </c>
      <c r="CF42" s="181">
        <v>-1328391</v>
      </c>
      <c r="CG42" s="181">
        <v>-3374691.3</v>
      </c>
      <c r="CH42" s="181">
        <v>-6955134.2000000002</v>
      </c>
      <c r="CI42" s="181">
        <v>-4313350.2</v>
      </c>
      <c r="CJ42" s="181">
        <v>-4949860</v>
      </c>
      <c r="CK42" s="181">
        <v>5164764.7</v>
      </c>
      <c r="CL42" s="181">
        <v>20671284.899999999</v>
      </c>
      <c r="CM42" s="181">
        <v>18500840.699999999</v>
      </c>
      <c r="CN42" s="181">
        <v>20254357.399999999</v>
      </c>
      <c r="CO42" s="181">
        <v>18382573</v>
      </c>
      <c r="CP42" s="181">
        <v>9814743.0399999991</v>
      </c>
      <c r="CQ42" s="181">
        <v>13058134.27</v>
      </c>
      <c r="CR42" s="227">
        <v>4400107.42</v>
      </c>
      <c r="CS42" s="222">
        <v>2150370.6800000002</v>
      </c>
    </row>
    <row r="43" spans="1:100" ht="14.4" x14ac:dyDescent="0.25">
      <c r="A43" s="118" t="s">
        <v>104</v>
      </c>
      <c r="B43" s="119">
        <v>6641198.0999999996</v>
      </c>
      <c r="C43" s="119">
        <v>7606034</v>
      </c>
      <c r="D43" s="141">
        <v>8257520.3499999996</v>
      </c>
      <c r="E43" s="119">
        <v>7606034</v>
      </c>
      <c r="F43" s="119">
        <v>7606034</v>
      </c>
      <c r="G43" s="121">
        <v>8257521</v>
      </c>
      <c r="H43" s="121">
        <v>8257521</v>
      </c>
      <c r="I43" s="121">
        <v>16515042</v>
      </c>
      <c r="J43" s="121">
        <v>8257521</v>
      </c>
      <c r="K43" s="121">
        <v>8257521</v>
      </c>
      <c r="L43" s="121">
        <v>8257521</v>
      </c>
      <c r="M43" s="121">
        <v>8257521</v>
      </c>
      <c r="N43" s="121">
        <v>8257521</v>
      </c>
      <c r="O43" s="121">
        <v>8257521</v>
      </c>
      <c r="P43" s="121">
        <v>16515042</v>
      </c>
      <c r="Q43" s="122">
        <v>8257521</v>
      </c>
      <c r="R43" s="142">
        <v>9312732</v>
      </c>
      <c r="S43" s="121">
        <v>18625464</v>
      </c>
      <c r="T43" s="121">
        <v>9312732</v>
      </c>
      <c r="U43" s="121">
        <v>9312732</v>
      </c>
      <c r="V43" s="121">
        <v>9312732</v>
      </c>
      <c r="W43" s="121">
        <v>9312732</v>
      </c>
      <c r="X43" s="121">
        <v>9312732</v>
      </c>
      <c r="Y43" s="121">
        <v>27938196</v>
      </c>
      <c r="Z43" s="121">
        <v>18625464</v>
      </c>
      <c r="AA43" s="121">
        <v>46563660</v>
      </c>
      <c r="AB43" s="126">
        <v>18625464</v>
      </c>
      <c r="AC43" s="126">
        <v>27938196</v>
      </c>
      <c r="AD43" s="126">
        <v>9312732</v>
      </c>
      <c r="AE43" s="126">
        <v>11387794</v>
      </c>
      <c r="AF43" s="125">
        <v>9312732</v>
      </c>
      <c r="AG43" s="125">
        <v>11387794</v>
      </c>
      <c r="AH43" s="125">
        <v>11387794</v>
      </c>
      <c r="AI43" s="125">
        <v>11387794</v>
      </c>
      <c r="AJ43" s="125">
        <v>11387794</v>
      </c>
      <c r="AK43" s="125">
        <v>11387794</v>
      </c>
      <c r="AL43" s="125">
        <v>11387794</v>
      </c>
      <c r="AM43" s="125">
        <v>11387794</v>
      </c>
      <c r="AN43" s="125">
        <v>11387794</v>
      </c>
      <c r="AO43" s="125">
        <v>11387794</v>
      </c>
      <c r="AP43" s="126">
        <v>11387794</v>
      </c>
      <c r="AQ43" s="126">
        <v>11387794</v>
      </c>
      <c r="AR43" s="127">
        <f>11387794+'Evolutitve SCI'!AS37</f>
        <v>15545375.390000001</v>
      </c>
      <c r="AS43" s="128">
        <v>11387794</v>
      </c>
      <c r="AT43" s="128">
        <v>14878235</v>
      </c>
      <c r="AU43" s="128">
        <v>14878235</v>
      </c>
      <c r="AV43" s="128">
        <v>14878235</v>
      </c>
      <c r="AW43" s="128">
        <v>14878235</v>
      </c>
      <c r="AX43" s="128">
        <v>14878235</v>
      </c>
      <c r="AY43" s="128">
        <v>14878235</v>
      </c>
      <c r="AZ43" s="121">
        <v>170910185</v>
      </c>
      <c r="BA43" s="121">
        <v>170910185</v>
      </c>
      <c r="BB43" s="121">
        <v>170910185</v>
      </c>
      <c r="BC43" s="121">
        <v>170910185</v>
      </c>
      <c r="BD43" s="121">
        <v>170910185</v>
      </c>
      <c r="BE43" s="155"/>
      <c r="BF43" s="121">
        <v>170910185</v>
      </c>
      <c r="BG43" s="121">
        <v>170910185</v>
      </c>
      <c r="BH43" s="121">
        <v>180620112</v>
      </c>
      <c r="BI43" s="121">
        <v>180620112</v>
      </c>
      <c r="BJ43" s="121">
        <v>180620112</v>
      </c>
      <c r="BK43" s="121">
        <v>180620112</v>
      </c>
      <c r="BL43" s="121"/>
      <c r="BM43" s="121">
        <v>541860336</v>
      </c>
      <c r="BN43" s="121">
        <v>180620112</v>
      </c>
      <c r="BO43" s="121">
        <v>180620112</v>
      </c>
      <c r="BP43" s="121">
        <v>361240224</v>
      </c>
      <c r="BQ43" s="121">
        <v>180620111.68000001</v>
      </c>
      <c r="BR43" s="126">
        <v>15620638.789999999</v>
      </c>
      <c r="BS43" s="104">
        <v>180620111.68000001</v>
      </c>
      <c r="BT43" s="104">
        <v>180620111.68000001</v>
      </c>
      <c r="BU43" s="104">
        <v>180620111.68000001</v>
      </c>
      <c r="BV43" s="126">
        <v>180620111.66</v>
      </c>
      <c r="BW43" s="166">
        <v>180620111.66</v>
      </c>
      <c r="BX43" s="168">
        <v>15620638.68</v>
      </c>
      <c r="BY43" s="168">
        <v>15620638.68</v>
      </c>
      <c r="BZ43" s="166">
        <v>15620638.68</v>
      </c>
      <c r="CA43" s="162">
        <v>15620638.68</v>
      </c>
      <c r="CB43" s="164">
        <v>15620638.68</v>
      </c>
      <c r="CE43" s="126">
        <v>16272832.07</v>
      </c>
      <c r="CF43" s="181">
        <v>15620638.68</v>
      </c>
      <c r="CG43" s="181">
        <v>15620638.68</v>
      </c>
      <c r="CH43" s="181">
        <v>15620638.68</v>
      </c>
      <c r="CI43" s="181">
        <v>15620638.68</v>
      </c>
      <c r="CJ43" s="181">
        <v>15620638.68</v>
      </c>
      <c r="CK43" s="181">
        <v>16272832.07</v>
      </c>
      <c r="CL43" s="181">
        <v>16272832.07</v>
      </c>
      <c r="CM43" s="181">
        <v>16272832.07</v>
      </c>
      <c r="CN43" s="181">
        <v>16272832.07</v>
      </c>
      <c r="CO43" s="181">
        <v>16272832.07</v>
      </c>
      <c r="CP43" s="181">
        <v>16272832.07</v>
      </c>
      <c r="CQ43" s="181">
        <v>16272832.07</v>
      </c>
      <c r="CR43" s="227">
        <v>18872858.5</v>
      </c>
      <c r="CS43" s="222">
        <v>16272832.07</v>
      </c>
      <c r="CT43" s="104">
        <v>266157789.55000001</v>
      </c>
      <c r="CV43" s="104">
        <v>3500000</v>
      </c>
    </row>
    <row r="44" spans="1:100" x14ac:dyDescent="0.25">
      <c r="A44" s="118" t="s">
        <v>105</v>
      </c>
      <c r="B44" s="119">
        <v>0</v>
      </c>
      <c r="C44" s="119"/>
      <c r="D44" s="120">
        <v>0</v>
      </c>
      <c r="E44" s="119">
        <v>0</v>
      </c>
      <c r="F44" s="119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2">
        <v>0</v>
      </c>
      <c r="S44" s="121">
        <v>0</v>
      </c>
      <c r="T44" s="121">
        <v>0</v>
      </c>
      <c r="U44" s="121">
        <v>0</v>
      </c>
      <c r="V44" s="121">
        <v>0</v>
      </c>
      <c r="W44" s="121">
        <v>0</v>
      </c>
      <c r="X44" s="121">
        <v>0</v>
      </c>
      <c r="Y44" s="121">
        <v>0</v>
      </c>
      <c r="Z44" s="121">
        <v>0</v>
      </c>
      <c r="AA44" s="121">
        <v>0</v>
      </c>
      <c r="AB44" s="126">
        <v>0</v>
      </c>
      <c r="AC44" s="126">
        <v>0</v>
      </c>
      <c r="AD44" s="126">
        <v>0</v>
      </c>
      <c r="AE44" s="126">
        <v>0</v>
      </c>
      <c r="AF44" s="126">
        <v>0</v>
      </c>
      <c r="AG44" s="126">
        <v>0</v>
      </c>
      <c r="AH44" s="126">
        <v>0</v>
      </c>
      <c r="AI44" s="126">
        <v>0</v>
      </c>
      <c r="AJ44" s="126">
        <v>0</v>
      </c>
      <c r="AK44" s="126">
        <v>0</v>
      </c>
      <c r="AL44" s="125"/>
      <c r="AM44" s="125"/>
      <c r="AN44" s="125"/>
      <c r="AO44" s="125"/>
      <c r="AP44" s="126">
        <v>0</v>
      </c>
      <c r="AQ44" s="126">
        <v>0</v>
      </c>
      <c r="AR44" s="127"/>
      <c r="AS44" s="128">
        <v>0</v>
      </c>
      <c r="AT44" s="128">
        <v>0</v>
      </c>
      <c r="AU44" s="128">
        <v>0</v>
      </c>
      <c r="AV44" s="128">
        <v>0</v>
      </c>
      <c r="AW44" s="128">
        <v>0</v>
      </c>
      <c r="AX44" s="128">
        <v>0</v>
      </c>
      <c r="AY44" s="128">
        <v>0</v>
      </c>
      <c r="AZ44" s="121">
        <v>0</v>
      </c>
      <c r="BA44" s="121">
        <v>0</v>
      </c>
      <c r="BB44" s="121">
        <v>0</v>
      </c>
      <c r="BC44" s="121">
        <v>0</v>
      </c>
      <c r="BD44" s="121">
        <v>0</v>
      </c>
      <c r="BE44" s="155"/>
      <c r="BF44" s="121">
        <v>0</v>
      </c>
      <c r="BG44" s="121">
        <v>0</v>
      </c>
      <c r="BH44" s="121">
        <v>0</v>
      </c>
      <c r="BI44" s="121">
        <v>0</v>
      </c>
      <c r="BJ44" s="121">
        <v>0</v>
      </c>
      <c r="BK44" s="121">
        <v>0</v>
      </c>
      <c r="BL44" s="121"/>
      <c r="BM44" s="121">
        <v>0</v>
      </c>
      <c r="BN44" s="121">
        <v>0</v>
      </c>
      <c r="BO44" s="121">
        <v>0</v>
      </c>
      <c r="BP44" s="121">
        <v>0</v>
      </c>
      <c r="BQ44" s="121">
        <v>0</v>
      </c>
      <c r="BR44" s="121">
        <v>0</v>
      </c>
      <c r="BS44" s="121">
        <v>0</v>
      </c>
      <c r="BT44" s="121">
        <v>0</v>
      </c>
      <c r="BU44" s="121">
        <v>0</v>
      </c>
      <c r="BV44" s="121">
        <v>0</v>
      </c>
      <c r="BW44" s="121">
        <v>0</v>
      </c>
      <c r="BX44" s="121">
        <v>0</v>
      </c>
      <c r="BY44" s="121">
        <v>0</v>
      </c>
      <c r="BZ44" s="121">
        <v>0</v>
      </c>
      <c r="CA44" s="121">
        <v>0</v>
      </c>
      <c r="CB44" s="121">
        <v>0</v>
      </c>
      <c r="CC44" s="121">
        <v>0</v>
      </c>
      <c r="CD44" s="121">
        <v>0</v>
      </c>
      <c r="CE44" s="121">
        <v>0</v>
      </c>
      <c r="CN44" s="181">
        <v>0</v>
      </c>
      <c r="CO44" s="181">
        <v>0</v>
      </c>
      <c r="CP44" s="181">
        <v>0</v>
      </c>
      <c r="CQ44" s="181">
        <v>0</v>
      </c>
      <c r="CR44" s="181">
        <v>0</v>
      </c>
      <c r="CT44" s="150">
        <f>CT43-CQ48</f>
        <v>0</v>
      </c>
      <c r="CV44" s="104">
        <f>CV43/10*4%</f>
        <v>14000</v>
      </c>
    </row>
    <row r="45" spans="1:100" ht="14.4" x14ac:dyDescent="0.25">
      <c r="A45" s="118" t="s">
        <v>106</v>
      </c>
      <c r="B45" s="119">
        <v>0</v>
      </c>
      <c r="C45" s="119"/>
      <c r="D45" s="120">
        <v>0</v>
      </c>
      <c r="E45" s="119">
        <v>0</v>
      </c>
      <c r="F45" s="119">
        <v>0</v>
      </c>
      <c r="G45" s="121">
        <v>0</v>
      </c>
      <c r="H45" s="121">
        <v>0</v>
      </c>
      <c r="I45" s="121">
        <v>0</v>
      </c>
      <c r="J45" s="121">
        <v>0</v>
      </c>
      <c r="K45" s="121">
        <v>0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2">
        <v>0</v>
      </c>
      <c r="S45" s="121">
        <v>0</v>
      </c>
      <c r="T45" s="121">
        <v>0</v>
      </c>
      <c r="U45" s="121">
        <v>0</v>
      </c>
      <c r="V45" s="121">
        <v>0</v>
      </c>
      <c r="W45" s="121">
        <v>0</v>
      </c>
      <c r="X45" s="121">
        <v>0</v>
      </c>
      <c r="Y45" s="121">
        <v>0</v>
      </c>
      <c r="Z45" s="121">
        <v>0</v>
      </c>
      <c r="AA45" s="121">
        <v>0</v>
      </c>
      <c r="AB45" s="126">
        <v>0</v>
      </c>
      <c r="AC45" s="126">
        <v>0</v>
      </c>
      <c r="AD45" s="126">
        <v>0</v>
      </c>
      <c r="AE45" s="126">
        <v>0</v>
      </c>
      <c r="AF45" s="126">
        <v>0</v>
      </c>
      <c r="AG45" s="126">
        <v>0</v>
      </c>
      <c r="AH45" s="126">
        <v>0</v>
      </c>
      <c r="AI45" s="126">
        <v>0</v>
      </c>
      <c r="AJ45" s="126">
        <v>0</v>
      </c>
      <c r="AK45" s="126">
        <v>0</v>
      </c>
      <c r="AL45" s="125"/>
      <c r="AM45" s="125"/>
      <c r="AN45" s="125"/>
      <c r="AO45" s="125"/>
      <c r="AP45" s="126">
        <v>0</v>
      </c>
      <c r="AQ45" s="126">
        <v>0</v>
      </c>
      <c r="AR45" s="127">
        <v>156031950</v>
      </c>
      <c r="AS45" s="128">
        <v>0</v>
      </c>
      <c r="AT45" s="128">
        <v>0</v>
      </c>
      <c r="AU45" s="128">
        <v>0</v>
      </c>
      <c r="AV45" s="128">
        <v>0</v>
      </c>
      <c r="AW45" s="128">
        <v>0</v>
      </c>
      <c r="AX45" s="128">
        <v>0</v>
      </c>
      <c r="AY45" s="128">
        <v>0</v>
      </c>
      <c r="AZ45" s="121">
        <v>0</v>
      </c>
      <c r="BA45" s="121">
        <v>0</v>
      </c>
      <c r="BB45" s="121">
        <v>0</v>
      </c>
      <c r="BC45" s="121">
        <v>0</v>
      </c>
      <c r="BD45" s="121">
        <v>0</v>
      </c>
      <c r="BE45" s="155"/>
      <c r="BF45" s="121">
        <v>0</v>
      </c>
      <c r="BG45" s="121">
        <v>0</v>
      </c>
      <c r="BH45" s="121">
        <v>0</v>
      </c>
      <c r="BI45" s="121">
        <v>0</v>
      </c>
      <c r="BJ45" s="121">
        <v>0</v>
      </c>
      <c r="BK45" s="121">
        <v>0</v>
      </c>
      <c r="BL45" s="121"/>
      <c r="BM45" s="121">
        <v>0</v>
      </c>
      <c r="BN45" s="121">
        <v>0</v>
      </c>
      <c r="BO45" s="121">
        <v>0</v>
      </c>
      <c r="BP45" s="121">
        <v>0</v>
      </c>
      <c r="BQ45" s="121">
        <v>0</v>
      </c>
      <c r="BR45" s="126">
        <v>111665432.03</v>
      </c>
      <c r="BS45" s="104">
        <v>0</v>
      </c>
      <c r="BT45" s="104">
        <v>0</v>
      </c>
      <c r="BU45" s="104">
        <v>0</v>
      </c>
      <c r="BV45" s="104">
        <v>0</v>
      </c>
      <c r="BW45" s="165">
        <v>0</v>
      </c>
      <c r="BX45" s="168">
        <v>111665431</v>
      </c>
      <c r="BY45" s="168">
        <v>111665431</v>
      </c>
      <c r="BZ45" s="166">
        <v>111665431</v>
      </c>
      <c r="CA45" s="162">
        <v>111665431</v>
      </c>
      <c r="CB45" s="164">
        <v>111665431</v>
      </c>
      <c r="CE45" s="126">
        <v>164931644.62</v>
      </c>
      <c r="CF45" s="181">
        <v>111665431</v>
      </c>
      <c r="CG45" s="181">
        <v>111665431</v>
      </c>
      <c r="CH45" s="181">
        <v>111665431</v>
      </c>
      <c r="CI45" s="181">
        <v>111665431</v>
      </c>
      <c r="CJ45" s="181">
        <v>111665431</v>
      </c>
      <c r="CK45" s="181">
        <v>164931644.62</v>
      </c>
      <c r="CL45" s="181">
        <v>164931644.62</v>
      </c>
      <c r="CM45" s="181">
        <v>164931644.62</v>
      </c>
      <c r="CN45" s="181">
        <v>164931644.62</v>
      </c>
      <c r="CO45" s="181">
        <v>164931644.62</v>
      </c>
      <c r="CP45" s="181">
        <v>164931644.62</v>
      </c>
      <c r="CQ45" s="181">
        <v>164931644.59999999</v>
      </c>
      <c r="CR45" s="227">
        <v>168333789.83000001</v>
      </c>
      <c r="CS45" s="222">
        <v>164931644.59999999</v>
      </c>
    </row>
    <row r="46" spans="1:100" ht="14.4" x14ac:dyDescent="0.25">
      <c r="A46" s="118" t="s">
        <v>107</v>
      </c>
      <c r="B46" s="119">
        <v>2000000</v>
      </c>
      <c r="C46" s="119">
        <v>3000000</v>
      </c>
      <c r="D46" s="141">
        <v>3000000</v>
      </c>
      <c r="E46" s="119">
        <v>0</v>
      </c>
      <c r="F46" s="119">
        <v>0</v>
      </c>
      <c r="G46" s="148">
        <v>0</v>
      </c>
      <c r="H46" s="148">
        <v>0</v>
      </c>
      <c r="I46" s="148">
        <v>0</v>
      </c>
      <c r="J46" s="148">
        <v>0</v>
      </c>
      <c r="K46" s="148">
        <v>0</v>
      </c>
      <c r="L46" s="148">
        <v>0</v>
      </c>
      <c r="M46" s="148">
        <v>0</v>
      </c>
      <c r="N46" s="148">
        <v>0</v>
      </c>
      <c r="O46" s="148">
        <v>0</v>
      </c>
      <c r="P46" s="148">
        <v>0</v>
      </c>
      <c r="Q46" s="149">
        <v>0</v>
      </c>
      <c r="R46" s="142"/>
      <c r="S46" s="148">
        <v>0</v>
      </c>
      <c r="T46" s="148">
        <v>0</v>
      </c>
      <c r="U46" s="148">
        <v>0</v>
      </c>
      <c r="V46" s="148">
        <v>0</v>
      </c>
      <c r="W46" s="148">
        <v>0</v>
      </c>
      <c r="X46" s="148">
        <v>0</v>
      </c>
      <c r="Y46" s="148">
        <v>0</v>
      </c>
      <c r="Z46" s="148">
        <v>0</v>
      </c>
      <c r="AA46" s="148">
        <v>0</v>
      </c>
      <c r="AB46" s="126">
        <v>0</v>
      </c>
      <c r="AC46" s="126">
        <v>0</v>
      </c>
      <c r="AD46" s="126">
        <v>0</v>
      </c>
      <c r="AE46" s="126">
        <v>0</v>
      </c>
      <c r="AF46" s="126">
        <v>0</v>
      </c>
      <c r="AG46" s="126">
        <v>0</v>
      </c>
      <c r="AH46" s="126">
        <v>0</v>
      </c>
      <c r="AI46" s="126">
        <v>0</v>
      </c>
      <c r="AJ46" s="126">
        <v>0</v>
      </c>
      <c r="AK46" s="126">
        <v>0</v>
      </c>
      <c r="AL46" s="125"/>
      <c r="AM46" s="125"/>
      <c r="AN46" s="125"/>
      <c r="AO46" s="125"/>
      <c r="AP46" s="126">
        <v>0</v>
      </c>
      <c r="AQ46" s="126">
        <v>0</v>
      </c>
      <c r="AR46" s="127"/>
      <c r="AS46" s="128">
        <v>0</v>
      </c>
      <c r="AT46" s="128">
        <v>0</v>
      </c>
      <c r="AU46" s="128">
        <v>0</v>
      </c>
      <c r="AV46" s="128">
        <v>0</v>
      </c>
      <c r="AW46" s="128">
        <v>0</v>
      </c>
      <c r="AX46" s="128">
        <v>0</v>
      </c>
      <c r="AY46" s="128">
        <v>0</v>
      </c>
      <c r="AZ46" s="148">
        <v>0</v>
      </c>
      <c r="BA46" s="148">
        <v>0</v>
      </c>
      <c r="BB46" s="148">
        <v>0</v>
      </c>
      <c r="BC46" s="148">
        <v>0</v>
      </c>
      <c r="BD46" s="148">
        <v>0</v>
      </c>
      <c r="BE46" s="155"/>
      <c r="BF46" s="148">
        <v>0</v>
      </c>
      <c r="BG46" s="148">
        <v>0</v>
      </c>
      <c r="BH46" s="148">
        <v>0</v>
      </c>
      <c r="BI46" s="148">
        <v>0</v>
      </c>
      <c r="BJ46" s="148">
        <v>0</v>
      </c>
      <c r="BK46" s="148">
        <v>0</v>
      </c>
      <c r="BL46" s="148"/>
      <c r="BM46" s="148">
        <v>0</v>
      </c>
      <c r="BN46" s="148">
        <v>0</v>
      </c>
      <c r="BO46" s="148">
        <v>0</v>
      </c>
      <c r="BP46" s="148">
        <v>0</v>
      </c>
      <c r="BQ46" s="148">
        <v>0</v>
      </c>
      <c r="BR46" s="148">
        <v>0</v>
      </c>
      <c r="BS46" s="148">
        <v>0</v>
      </c>
      <c r="BT46" s="148">
        <v>0</v>
      </c>
      <c r="BU46" s="148">
        <v>0</v>
      </c>
      <c r="BV46" s="148">
        <v>0</v>
      </c>
      <c r="BW46" s="148">
        <v>0</v>
      </c>
      <c r="BX46" s="148">
        <v>0</v>
      </c>
      <c r="BY46" s="148">
        <v>0</v>
      </c>
      <c r="BZ46" s="148">
        <v>0</v>
      </c>
      <c r="CA46" s="148">
        <v>0</v>
      </c>
      <c r="CB46" s="148">
        <v>0</v>
      </c>
      <c r="CC46" s="148">
        <v>0</v>
      </c>
      <c r="CD46" s="148">
        <v>0</v>
      </c>
      <c r="CE46" s="148">
        <v>0</v>
      </c>
      <c r="CF46" s="220">
        <v>0</v>
      </c>
      <c r="CG46" s="220">
        <v>0</v>
      </c>
      <c r="CH46" s="220">
        <v>0</v>
      </c>
      <c r="CI46" s="220">
        <v>0</v>
      </c>
      <c r="CJ46" s="220">
        <v>0</v>
      </c>
      <c r="CK46" s="220">
        <v>0</v>
      </c>
      <c r="CL46" s="220">
        <v>0</v>
      </c>
      <c r="CM46" s="220">
        <v>0</v>
      </c>
      <c r="CN46" s="220">
        <v>0</v>
      </c>
      <c r="CO46" s="220">
        <v>0</v>
      </c>
      <c r="CP46" s="220">
        <v>0</v>
      </c>
      <c r="CQ46" s="220">
        <v>0</v>
      </c>
      <c r="CR46" s="227">
        <f>5000000+1000000</f>
        <v>6000000</v>
      </c>
      <c r="CS46" s="223">
        <v>0</v>
      </c>
    </row>
    <row r="47" spans="1:100" x14ac:dyDescent="0.25">
      <c r="A47" s="118" t="s">
        <v>108</v>
      </c>
      <c r="B47" s="119">
        <v>0</v>
      </c>
      <c r="C47" s="119"/>
      <c r="D47" s="120">
        <v>0</v>
      </c>
      <c r="E47" s="119">
        <v>0</v>
      </c>
      <c r="F47" s="119">
        <v>0</v>
      </c>
      <c r="G47" s="148">
        <v>0</v>
      </c>
      <c r="H47" s="148">
        <v>0</v>
      </c>
      <c r="I47" s="148">
        <v>0</v>
      </c>
      <c r="J47" s="148">
        <v>0</v>
      </c>
      <c r="K47" s="148">
        <v>0</v>
      </c>
      <c r="L47" s="148">
        <v>0</v>
      </c>
      <c r="M47" s="148">
        <v>0</v>
      </c>
      <c r="N47" s="148">
        <v>0</v>
      </c>
      <c r="O47" s="148">
        <v>0</v>
      </c>
      <c r="P47" s="148">
        <v>0</v>
      </c>
      <c r="Q47" s="149">
        <v>0</v>
      </c>
      <c r="S47" s="148">
        <v>0</v>
      </c>
      <c r="T47" s="148">
        <v>0</v>
      </c>
      <c r="U47" s="148">
        <v>0</v>
      </c>
      <c r="V47" s="148">
        <v>0</v>
      </c>
      <c r="W47" s="148">
        <v>0</v>
      </c>
      <c r="X47" s="148">
        <v>0</v>
      </c>
      <c r="Y47" s="148">
        <v>0</v>
      </c>
      <c r="Z47" s="148">
        <v>0</v>
      </c>
      <c r="AA47" s="148">
        <v>0</v>
      </c>
      <c r="AB47" s="126">
        <v>0</v>
      </c>
      <c r="AC47" s="126">
        <v>0</v>
      </c>
      <c r="AD47" s="126">
        <v>0</v>
      </c>
      <c r="AE47" s="126">
        <v>0</v>
      </c>
      <c r="AF47" s="126">
        <v>0</v>
      </c>
      <c r="AG47" s="126">
        <v>0</v>
      </c>
      <c r="AH47" s="126">
        <v>0</v>
      </c>
      <c r="AI47" s="126">
        <v>0</v>
      </c>
      <c r="AJ47" s="126">
        <v>0</v>
      </c>
      <c r="AK47" s="126">
        <v>0</v>
      </c>
      <c r="AL47" s="125">
        <v>0</v>
      </c>
      <c r="AM47" s="125">
        <v>0</v>
      </c>
      <c r="AN47" s="125">
        <v>0</v>
      </c>
      <c r="AO47" s="125">
        <v>0</v>
      </c>
      <c r="AP47" s="126">
        <v>0</v>
      </c>
      <c r="AQ47" s="126">
        <v>0</v>
      </c>
      <c r="AR47" s="127"/>
      <c r="AS47" s="128">
        <v>0</v>
      </c>
      <c r="AT47" s="128">
        <v>0</v>
      </c>
      <c r="AU47" s="128">
        <v>0</v>
      </c>
      <c r="AV47" s="128">
        <v>0</v>
      </c>
      <c r="AW47" s="128">
        <v>0</v>
      </c>
      <c r="AX47" s="128">
        <v>0</v>
      </c>
      <c r="AY47" s="128">
        <v>0</v>
      </c>
      <c r="AZ47" s="148">
        <v>0</v>
      </c>
      <c r="BA47" s="148">
        <v>0</v>
      </c>
      <c r="BB47" s="148">
        <v>0</v>
      </c>
      <c r="BC47" s="148">
        <v>0</v>
      </c>
      <c r="BD47" s="148">
        <v>0</v>
      </c>
      <c r="BE47" s="155"/>
      <c r="BF47" s="148">
        <v>0</v>
      </c>
      <c r="BG47" s="148">
        <v>0</v>
      </c>
      <c r="BH47" s="148">
        <v>0</v>
      </c>
      <c r="BI47" s="148">
        <v>0</v>
      </c>
      <c r="BJ47" s="148">
        <v>0</v>
      </c>
      <c r="BK47" s="148">
        <v>0</v>
      </c>
      <c r="BL47" s="148"/>
      <c r="BM47" s="148">
        <v>0</v>
      </c>
      <c r="BN47" s="148">
        <v>0</v>
      </c>
      <c r="BO47" s="148">
        <v>0</v>
      </c>
      <c r="BP47" s="148">
        <v>0</v>
      </c>
      <c r="BQ47" s="148">
        <v>0</v>
      </c>
      <c r="BR47" s="148">
        <v>0</v>
      </c>
      <c r="BS47" s="148">
        <v>0</v>
      </c>
      <c r="BT47" s="148">
        <v>0</v>
      </c>
      <c r="BU47" s="148">
        <v>0</v>
      </c>
      <c r="BV47" s="148">
        <v>0</v>
      </c>
      <c r="BW47" s="148">
        <v>0</v>
      </c>
      <c r="BX47" s="148">
        <v>0</v>
      </c>
      <c r="BY47" s="148">
        <v>0</v>
      </c>
      <c r="BZ47" s="148">
        <v>0</v>
      </c>
      <c r="CA47" s="148">
        <v>0</v>
      </c>
      <c r="CB47" s="148">
        <v>0</v>
      </c>
      <c r="CC47" s="148">
        <v>0</v>
      </c>
      <c r="CD47" s="148">
        <v>0</v>
      </c>
      <c r="CE47" s="148">
        <v>0</v>
      </c>
      <c r="CF47" s="148">
        <v>0</v>
      </c>
      <c r="CG47" s="148">
        <v>0</v>
      </c>
      <c r="CH47" s="148">
        <v>0</v>
      </c>
      <c r="CI47" s="148">
        <v>0</v>
      </c>
      <c r="CJ47" s="148">
        <v>0</v>
      </c>
      <c r="CK47" s="148">
        <v>0</v>
      </c>
      <c r="CL47" s="148">
        <v>0</v>
      </c>
      <c r="CM47" s="220">
        <v>0</v>
      </c>
      <c r="CN47" s="220">
        <v>0</v>
      </c>
      <c r="CO47" s="220">
        <v>0</v>
      </c>
      <c r="CP47" s="220">
        <v>0</v>
      </c>
      <c r="CQ47" s="220">
        <v>0</v>
      </c>
      <c r="CR47" s="220">
        <v>0</v>
      </c>
      <c r="CS47" s="223">
        <v>0</v>
      </c>
    </row>
    <row r="48" spans="1:100" x14ac:dyDescent="0.25">
      <c r="A48" s="114" t="s">
        <v>109</v>
      </c>
      <c r="B48" s="115">
        <f t="shared" ref="B48:AD48" si="20">SUM(B38:B47)</f>
        <v>64833818.280000001</v>
      </c>
      <c r="C48" s="115">
        <f t="shared" si="20"/>
        <v>67157782.75</v>
      </c>
      <c r="D48" s="115">
        <f t="shared" si="20"/>
        <v>67678941.349999994</v>
      </c>
      <c r="E48" s="115">
        <f t="shared" si="20"/>
        <v>63857154.549999997</v>
      </c>
      <c r="F48" s="115">
        <f t="shared" si="20"/>
        <v>65035173.299999997</v>
      </c>
      <c r="G48" s="115">
        <f t="shared" si="20"/>
        <v>61475773.600000001</v>
      </c>
      <c r="H48" s="115">
        <f t="shared" si="20"/>
        <v>61650703.5</v>
      </c>
      <c r="I48" s="115">
        <f t="shared" si="20"/>
        <v>115241049.59999999</v>
      </c>
      <c r="J48" s="115">
        <f t="shared" si="20"/>
        <v>59101828.5</v>
      </c>
      <c r="K48" s="115">
        <f t="shared" si="20"/>
        <v>56103922.82</v>
      </c>
      <c r="L48" s="115">
        <f t="shared" si="20"/>
        <v>64761451.799999997</v>
      </c>
      <c r="M48" s="115">
        <f t="shared" si="20"/>
        <v>64428001.700000003</v>
      </c>
      <c r="N48" s="115">
        <f t="shared" si="20"/>
        <v>60024552.799999997</v>
      </c>
      <c r="O48" s="115">
        <f t="shared" si="20"/>
        <v>69071058.200000003</v>
      </c>
      <c r="P48" s="115">
        <f t="shared" si="20"/>
        <v>141052205.80000001</v>
      </c>
      <c r="Q48" s="116">
        <f t="shared" si="20"/>
        <v>70256297.340000004</v>
      </c>
      <c r="R48" s="116">
        <f t="shared" si="20"/>
        <v>50289067.340000004</v>
      </c>
      <c r="S48" s="116">
        <f t="shared" si="20"/>
        <v>134571121.48000002</v>
      </c>
      <c r="T48" s="116">
        <f t="shared" si="20"/>
        <v>65159251.340000004</v>
      </c>
      <c r="U48" s="116">
        <f t="shared" si="20"/>
        <v>49128744.640000001</v>
      </c>
      <c r="V48" s="116">
        <f t="shared" si="20"/>
        <v>48916336.939999998</v>
      </c>
      <c r="W48" s="116">
        <f t="shared" si="20"/>
        <v>48916336.939999998</v>
      </c>
      <c r="X48" s="116">
        <f t="shared" si="20"/>
        <v>51377447.240000002</v>
      </c>
      <c r="Y48" s="116">
        <f t="shared" si="20"/>
        <v>133215872.93999998</v>
      </c>
      <c r="Z48" s="116">
        <f t="shared" si="20"/>
        <v>97714886.879999995</v>
      </c>
      <c r="AA48" s="116">
        <f t="shared" si="20"/>
        <v>240187659.19999999</v>
      </c>
      <c r="AB48" s="116">
        <f t="shared" si="20"/>
        <v>127271926.48</v>
      </c>
      <c r="AC48" s="116">
        <f t="shared" si="20"/>
        <v>188750402.34</v>
      </c>
      <c r="AD48" s="116">
        <f t="shared" si="20"/>
        <v>70877966.340000004</v>
      </c>
      <c r="AE48" s="116">
        <f>SUM(AE38+AE39+AE40+AE43+AE44+AE45+AE46)</f>
        <v>70264643.140000001</v>
      </c>
      <c r="AF48" s="116">
        <f t="shared" ref="AF48:CQ48" si="21">SUM(AF38+AF39+AF40+AF43+AF44+AF45+AF46)</f>
        <v>64994662.140000001</v>
      </c>
      <c r="AG48" s="116">
        <f t="shared" si="21"/>
        <v>74507237.74000001</v>
      </c>
      <c r="AH48" s="116">
        <f t="shared" si="21"/>
        <v>70273904.270000011</v>
      </c>
      <c r="AI48" s="116">
        <f t="shared" si="21"/>
        <v>64470570.939999998</v>
      </c>
      <c r="AJ48" s="116">
        <f t="shared" si="21"/>
        <v>64285634.420000002</v>
      </c>
      <c r="AK48" s="116">
        <f t="shared" si="21"/>
        <v>81501570.700000003</v>
      </c>
      <c r="AL48" s="116">
        <f t="shared" si="21"/>
        <v>92263913.579999998</v>
      </c>
      <c r="AM48" s="116">
        <f t="shared" si="21"/>
        <v>88712346.820000008</v>
      </c>
      <c r="AN48" s="116">
        <f t="shared" si="21"/>
        <v>88107124.179999992</v>
      </c>
      <c r="AO48" s="116">
        <f t="shared" si="21"/>
        <v>106299898.08</v>
      </c>
      <c r="AP48" s="116">
        <f t="shared" si="21"/>
        <v>103308690.68000001</v>
      </c>
      <c r="AQ48" s="116">
        <f t="shared" si="21"/>
        <v>102641025.94</v>
      </c>
      <c r="AR48" s="116">
        <f t="shared" si="21"/>
        <v>249040201.98000002</v>
      </c>
      <c r="AS48" s="116">
        <f t="shared" si="21"/>
        <v>101621487.47999999</v>
      </c>
      <c r="AT48" s="116">
        <f t="shared" si="21"/>
        <v>97263519.669999987</v>
      </c>
      <c r="AU48" s="116">
        <f t="shared" si="21"/>
        <v>90836034.710000008</v>
      </c>
      <c r="AV48" s="116">
        <f t="shared" si="21"/>
        <v>89344932.040000007</v>
      </c>
      <c r="AW48" s="116">
        <f t="shared" si="21"/>
        <v>87170571.140000001</v>
      </c>
      <c r="AX48" s="116">
        <f t="shared" si="21"/>
        <v>108433414.24000001</v>
      </c>
      <c r="AY48" s="116">
        <f t="shared" si="21"/>
        <v>107949805.14</v>
      </c>
      <c r="AZ48" s="116">
        <f t="shared" si="21"/>
        <v>262616655.24000001</v>
      </c>
      <c r="BA48" s="116">
        <f t="shared" si="21"/>
        <v>258635855.44999999</v>
      </c>
      <c r="BB48" s="116">
        <f t="shared" si="21"/>
        <v>263056026.21000001</v>
      </c>
      <c r="BC48" s="116">
        <f t="shared" si="21"/>
        <v>256145694.44</v>
      </c>
      <c r="BD48" s="116">
        <f t="shared" si="21"/>
        <v>247355248.54000002</v>
      </c>
      <c r="BE48" s="116">
        <f t="shared" si="21"/>
        <v>0</v>
      </c>
      <c r="BF48" s="116">
        <f t="shared" si="21"/>
        <v>251550057.43000001</v>
      </c>
      <c r="BG48" s="116">
        <f t="shared" si="21"/>
        <v>253244045.63</v>
      </c>
      <c r="BH48" s="116">
        <f t="shared" si="21"/>
        <v>251383892.63</v>
      </c>
      <c r="BI48" s="116">
        <f t="shared" si="21"/>
        <v>253644420.03</v>
      </c>
      <c r="BJ48" s="116">
        <f t="shared" si="21"/>
        <v>266289932.53</v>
      </c>
      <c r="BK48" s="116">
        <f t="shared" si="21"/>
        <v>266929298.13</v>
      </c>
      <c r="BL48" s="116">
        <f t="shared" si="21"/>
        <v>0</v>
      </c>
      <c r="BM48" s="116">
        <f t="shared" si="21"/>
        <v>795175947.80999994</v>
      </c>
      <c r="BN48" s="116">
        <f t="shared" si="21"/>
        <v>259648709.30000001</v>
      </c>
      <c r="BO48" s="116">
        <f t="shared" si="21"/>
        <v>277533951.81999999</v>
      </c>
      <c r="BP48" s="116">
        <f t="shared" si="21"/>
        <v>539621845.84000003</v>
      </c>
      <c r="BQ48" s="116">
        <f t="shared" si="21"/>
        <v>269498020.88</v>
      </c>
      <c r="BR48" s="116">
        <f t="shared" si="21"/>
        <v>215086751.44999999</v>
      </c>
      <c r="BS48" s="116">
        <f t="shared" si="21"/>
        <v>273469625.06</v>
      </c>
      <c r="BT48" s="116">
        <f t="shared" si="21"/>
        <v>269893419.96000004</v>
      </c>
      <c r="BU48" s="116">
        <f t="shared" si="21"/>
        <v>270345360.36000001</v>
      </c>
      <c r="BV48" s="116">
        <f t="shared" si="21"/>
        <v>273311685.53999996</v>
      </c>
      <c r="BW48" s="116">
        <f t="shared" si="21"/>
        <v>272392912.34000003</v>
      </c>
      <c r="BX48" s="116">
        <f t="shared" si="21"/>
        <v>218924571.00999999</v>
      </c>
      <c r="BY48" s="116">
        <f t="shared" si="21"/>
        <v>218505307.61000001</v>
      </c>
      <c r="BZ48" s="116">
        <f t="shared" si="21"/>
        <v>200113952.81999999</v>
      </c>
      <c r="CA48" s="116">
        <f t="shared" si="21"/>
        <v>200113952.81999999</v>
      </c>
      <c r="CB48" s="116">
        <f t="shared" si="21"/>
        <v>200113952.81999999</v>
      </c>
      <c r="CC48" s="116">
        <f t="shared" si="21"/>
        <v>0</v>
      </c>
      <c r="CD48" s="116">
        <f t="shared" si="21"/>
        <v>0</v>
      </c>
      <c r="CE48" s="116">
        <f t="shared" si="21"/>
        <v>253099655.30000001</v>
      </c>
      <c r="CF48" s="116">
        <f t="shared" si="21"/>
        <v>217239455.96000001</v>
      </c>
      <c r="CG48" s="116">
        <f t="shared" si="21"/>
        <v>215192193.56999999</v>
      </c>
      <c r="CH48" s="116">
        <f t="shared" si="21"/>
        <v>191841475.38</v>
      </c>
      <c r="CI48" s="116">
        <f t="shared" si="21"/>
        <v>194483091.47</v>
      </c>
      <c r="CJ48" s="116">
        <f t="shared" si="21"/>
        <v>194231388.30000001</v>
      </c>
      <c r="CK48" s="116">
        <f t="shared" si="21"/>
        <v>258264420.01000002</v>
      </c>
      <c r="CL48" s="116">
        <f t="shared" si="21"/>
        <v>273770940.21000004</v>
      </c>
      <c r="CM48" s="116">
        <f t="shared" si="21"/>
        <v>271600496.00999999</v>
      </c>
      <c r="CN48" s="116">
        <f t="shared" si="21"/>
        <v>273354012.71000004</v>
      </c>
      <c r="CO48" s="116">
        <f t="shared" si="21"/>
        <v>271482228.31</v>
      </c>
      <c r="CP48" s="116">
        <f t="shared" si="21"/>
        <v>262914398.35000002</v>
      </c>
      <c r="CQ48" s="116">
        <f t="shared" si="21"/>
        <v>266157789.54999998</v>
      </c>
      <c r="CR48" s="116">
        <f t="shared" ref="CR48" si="22">SUM(CR38+CR39+CR40+CR43+CR44+CR45+CR46)</f>
        <v>271303934.36000001</v>
      </c>
      <c r="CS48" s="116">
        <f>SUM(CS38:CS47)</f>
        <v>269661358.21000004</v>
      </c>
      <c r="CT48" s="116"/>
      <c r="CU48" s="116">
        <f t="shared" ref="CU48" si="23">SUM(CU38+CU39+CU40+CU43+CU44+CU45+CU46)</f>
        <v>0</v>
      </c>
    </row>
    <row r="49" spans="1:97" x14ac:dyDescent="0.25">
      <c r="A49" s="114" t="s">
        <v>110</v>
      </c>
      <c r="B49" s="115">
        <f t="shared" ref="B49:BN49" si="24">B48+B37</f>
        <v>330498864.25999999</v>
      </c>
      <c r="C49" s="115">
        <f t="shared" si="24"/>
        <v>348243395.72000003</v>
      </c>
      <c r="D49" s="115">
        <f t="shared" si="24"/>
        <v>386160781.08000004</v>
      </c>
      <c r="E49" s="115">
        <f t="shared" si="24"/>
        <v>396343165.56999999</v>
      </c>
      <c r="F49" s="115">
        <f t="shared" si="24"/>
        <v>379072673.81999999</v>
      </c>
      <c r="G49" s="115">
        <f t="shared" si="24"/>
        <v>384621708.16000003</v>
      </c>
      <c r="H49" s="115">
        <f t="shared" si="24"/>
        <v>379463079.75</v>
      </c>
      <c r="I49" s="115">
        <f t="shared" si="24"/>
        <v>739043304.06000006</v>
      </c>
      <c r="J49" s="115">
        <f t="shared" si="24"/>
        <v>360404077.60000002</v>
      </c>
      <c r="K49" s="115">
        <f t="shared" si="24"/>
        <v>354162852.73000002</v>
      </c>
      <c r="L49" s="115">
        <f t="shared" si="24"/>
        <v>360202319.19</v>
      </c>
      <c r="M49" s="115">
        <f t="shared" si="24"/>
        <v>359519078.02000004</v>
      </c>
      <c r="N49" s="115">
        <f t="shared" si="24"/>
        <v>355335274.41000003</v>
      </c>
      <c r="O49" s="115">
        <f t="shared" si="24"/>
        <v>521740986.34999996</v>
      </c>
      <c r="P49" s="115">
        <f t="shared" si="24"/>
        <v>712811880.6400001</v>
      </c>
      <c r="Q49" s="116">
        <f t="shared" si="24"/>
        <v>346105181.25</v>
      </c>
      <c r="R49" s="116">
        <f t="shared" si="24"/>
        <v>327625540.47000003</v>
      </c>
      <c r="S49" s="116">
        <f t="shared" si="24"/>
        <v>674259646.44000006</v>
      </c>
      <c r="T49" s="116">
        <f t="shared" si="24"/>
        <v>356501193.39999998</v>
      </c>
      <c r="U49" s="116">
        <f t="shared" si="24"/>
        <v>319245865.82999998</v>
      </c>
      <c r="V49" s="116">
        <f t="shared" si="24"/>
        <v>312643851.68000001</v>
      </c>
      <c r="W49" s="116">
        <f t="shared" si="24"/>
        <v>301877776.00999999</v>
      </c>
      <c r="X49" s="116">
        <f t="shared" si="24"/>
        <v>293951673.06</v>
      </c>
      <c r="Y49" s="116">
        <f t="shared" si="24"/>
        <v>891367477.25999987</v>
      </c>
      <c r="Z49" s="116">
        <f t="shared" si="24"/>
        <v>598483121.79999995</v>
      </c>
      <c r="AA49" s="116">
        <f t="shared" si="24"/>
        <v>1524116038.1000001</v>
      </c>
      <c r="AB49" s="116">
        <f t="shared" si="24"/>
        <v>1242957420.6999998</v>
      </c>
      <c r="AC49" s="116">
        <f t="shared" si="24"/>
        <v>999565532.85000014</v>
      </c>
      <c r="AD49" s="116">
        <f t="shared" si="24"/>
        <v>294986870.08000004</v>
      </c>
      <c r="AE49" s="116">
        <f t="shared" si="24"/>
        <v>294994669.55000001</v>
      </c>
      <c r="AF49" s="116">
        <f t="shared" si="24"/>
        <v>324958812.40000004</v>
      </c>
      <c r="AG49" s="116">
        <f t="shared" si="24"/>
        <v>362624208.50999999</v>
      </c>
      <c r="AH49" s="116">
        <f t="shared" si="24"/>
        <v>342194521.88</v>
      </c>
      <c r="AI49" s="116">
        <f t="shared" si="24"/>
        <v>335455796.72000003</v>
      </c>
      <c r="AJ49" s="116">
        <f t="shared" si="24"/>
        <v>335705089.02000004</v>
      </c>
      <c r="AK49" s="116">
        <f t="shared" si="24"/>
        <v>368281515.63</v>
      </c>
      <c r="AL49" s="116">
        <f t="shared" si="24"/>
        <v>345922818.38999999</v>
      </c>
      <c r="AM49" s="116">
        <f t="shared" si="24"/>
        <v>339699173.03000003</v>
      </c>
      <c r="AN49" s="116">
        <f t="shared" si="24"/>
        <v>338506470.39000005</v>
      </c>
      <c r="AO49" s="116">
        <f t="shared" si="24"/>
        <v>544591519.84000003</v>
      </c>
      <c r="AP49" s="116">
        <f t="shared" si="24"/>
        <v>348087905.25</v>
      </c>
      <c r="AQ49" s="116">
        <f t="shared" si="24"/>
        <v>351367136.85000002</v>
      </c>
      <c r="AR49" s="116">
        <f t="shared" si="24"/>
        <v>503686276.14000005</v>
      </c>
      <c r="AS49" s="116">
        <f t="shared" si="24"/>
        <v>379184294.27999997</v>
      </c>
      <c r="AT49" s="116">
        <f t="shared" si="24"/>
        <v>367542017.06000006</v>
      </c>
      <c r="AU49" s="116">
        <f t="shared" si="24"/>
        <v>386118439.44000006</v>
      </c>
      <c r="AV49" s="116">
        <f t="shared" si="24"/>
        <v>370997030.21000004</v>
      </c>
      <c r="AW49" s="116">
        <f t="shared" si="24"/>
        <v>358417571.94</v>
      </c>
      <c r="AX49" s="116">
        <f t="shared" si="24"/>
        <v>381010753.80000001</v>
      </c>
      <c r="AY49" s="116">
        <f t="shared" si="24"/>
        <v>370218302.74000001</v>
      </c>
      <c r="AZ49" s="116">
        <f t="shared" si="24"/>
        <v>521032156.83000004</v>
      </c>
      <c r="BA49" s="116">
        <f t="shared" si="24"/>
        <v>514131988.93000001</v>
      </c>
      <c r="BB49" s="116">
        <f t="shared" si="24"/>
        <v>521549137.10000002</v>
      </c>
      <c r="BC49" s="116">
        <f t="shared" si="24"/>
        <v>521189349.10000002</v>
      </c>
      <c r="BD49" s="116">
        <f t="shared" si="24"/>
        <v>527255392.11000001</v>
      </c>
      <c r="BE49" s="116">
        <f t="shared" si="24"/>
        <v>0</v>
      </c>
      <c r="BF49" s="116">
        <f t="shared" si="24"/>
        <v>545553616.61000001</v>
      </c>
      <c r="BG49" s="116">
        <f t="shared" si="24"/>
        <v>558463351.52999997</v>
      </c>
      <c r="BH49" s="116">
        <f t="shared" si="24"/>
        <v>611485587.60000002</v>
      </c>
      <c r="BI49" s="116">
        <f t="shared" si="24"/>
        <v>615718228</v>
      </c>
      <c r="BJ49" s="116">
        <f t="shared" si="24"/>
        <v>632236049.99000001</v>
      </c>
      <c r="BK49" s="116">
        <f t="shared" si="24"/>
        <v>628836909.10000002</v>
      </c>
      <c r="BL49" s="116">
        <f t="shared" si="24"/>
        <v>0</v>
      </c>
      <c r="BM49" s="116">
        <f t="shared" si="24"/>
        <v>1802250414.0599999</v>
      </c>
      <c r="BN49" s="116">
        <f t="shared" si="24"/>
        <v>593660404.91000009</v>
      </c>
      <c r="BO49" s="116">
        <f t="shared" ref="BO49:CS49" si="25">BO48+BO37</f>
        <v>673814217.06999993</v>
      </c>
      <c r="BP49" s="116">
        <f t="shared" si="25"/>
        <v>1070387343.84</v>
      </c>
      <c r="BQ49" s="116">
        <f t="shared" si="25"/>
        <v>560278959.89999998</v>
      </c>
      <c r="BR49" s="116">
        <f t="shared" si="25"/>
        <v>506985494.84999996</v>
      </c>
      <c r="BS49" s="116">
        <f t="shared" si="25"/>
        <v>555588643.04999995</v>
      </c>
      <c r="BT49" s="116">
        <f t="shared" si="25"/>
        <v>601783774.3900001</v>
      </c>
      <c r="BU49" s="116">
        <f t="shared" si="25"/>
        <v>581101219.03999996</v>
      </c>
      <c r="BV49" s="116">
        <f t="shared" si="25"/>
        <v>598908552.33999991</v>
      </c>
      <c r="BW49" s="116">
        <f t="shared" si="25"/>
        <v>582047749.25999999</v>
      </c>
      <c r="BX49" s="116">
        <f t="shared" si="25"/>
        <v>530462566.53999996</v>
      </c>
      <c r="BY49" s="116">
        <f t="shared" si="25"/>
        <v>533342479.60000002</v>
      </c>
      <c r="BZ49" s="116">
        <f t="shared" si="25"/>
        <v>511912309.13999999</v>
      </c>
      <c r="CA49" s="116">
        <f t="shared" si="25"/>
        <v>508970833.13</v>
      </c>
      <c r="CB49" s="116">
        <f t="shared" si="25"/>
        <v>592445941.41000009</v>
      </c>
      <c r="CC49" s="116">
        <f t="shared" si="25"/>
        <v>0</v>
      </c>
      <c r="CD49" s="116">
        <f t="shared" si="25"/>
        <v>0</v>
      </c>
      <c r="CE49" s="116">
        <f t="shared" si="25"/>
        <v>494659793.56000006</v>
      </c>
      <c r="CF49" s="116">
        <f t="shared" si="25"/>
        <v>454662620.09000003</v>
      </c>
      <c r="CG49" s="116">
        <f t="shared" si="25"/>
        <v>449154884.01999998</v>
      </c>
      <c r="CH49" s="116">
        <f t="shared" si="25"/>
        <v>425599913.70999998</v>
      </c>
      <c r="CI49" s="116">
        <f t="shared" si="25"/>
        <v>434058510.99000001</v>
      </c>
      <c r="CJ49" s="116">
        <f t="shared" si="25"/>
        <v>425625083.91000003</v>
      </c>
      <c r="CK49" s="116">
        <f t="shared" si="25"/>
        <v>490442395.10000002</v>
      </c>
      <c r="CL49" s="116">
        <f t="shared" si="25"/>
        <v>611253291.26999998</v>
      </c>
      <c r="CM49" s="116">
        <f t="shared" si="25"/>
        <v>575844505.32999992</v>
      </c>
      <c r="CN49" s="116">
        <f t="shared" si="25"/>
        <v>542959892.10000002</v>
      </c>
      <c r="CO49" s="116">
        <f t="shared" si="25"/>
        <v>527928388.46999997</v>
      </c>
      <c r="CP49" s="116">
        <f t="shared" si="25"/>
        <v>517171220.50999999</v>
      </c>
      <c r="CQ49" s="116">
        <f t="shared" si="25"/>
        <v>513797119.26999998</v>
      </c>
      <c r="CR49" s="116">
        <f t="shared" si="25"/>
        <v>517209279.70999998</v>
      </c>
      <c r="CS49" s="116">
        <f t="shared" si="25"/>
        <v>519394195.43000007</v>
      </c>
    </row>
    <row r="50" spans="1:97" x14ac:dyDescent="0.25">
      <c r="E50" s="126"/>
      <c r="F50" s="126"/>
      <c r="R50" s="104"/>
      <c r="S50" s="150">
        <f t="shared" ref="S50:AE50" si="26">S49-S26</f>
        <v>-1.9999861717224121E-2</v>
      </c>
      <c r="T50" s="150">
        <f t="shared" si="26"/>
        <v>4.999995231628418E-2</v>
      </c>
      <c r="U50" s="150">
        <f t="shared" si="26"/>
        <v>2.9999911785125732E-2</v>
      </c>
      <c r="V50" s="150">
        <f t="shared" si="26"/>
        <v>5.0000011920928955E-2</v>
      </c>
      <c r="W50" s="150">
        <f t="shared" si="26"/>
        <v>1882767.3999999762</v>
      </c>
      <c r="X50" s="150">
        <f t="shared" si="26"/>
        <v>1.9999980926513672E-2</v>
      </c>
      <c r="Y50" s="150">
        <f t="shared" si="26"/>
        <v>0</v>
      </c>
      <c r="Z50" s="150">
        <f t="shared" si="26"/>
        <v>-8.0000042915344238E-2</v>
      </c>
      <c r="AA50" s="150">
        <f t="shared" si="26"/>
        <v>-0.19999980926513672</v>
      </c>
      <c r="AB50" s="150">
        <f t="shared" si="26"/>
        <v>5.9999942779541016E-2</v>
      </c>
      <c r="AC50" s="150">
        <f t="shared" si="26"/>
        <v>0.12000012397766113</v>
      </c>
      <c r="AD50" s="150">
        <f t="shared" si="26"/>
        <v>3.0000030994415283E-2</v>
      </c>
      <c r="AE50" s="150">
        <f t="shared" si="26"/>
        <v>2.9999971389770508E-2</v>
      </c>
      <c r="AG50" s="150">
        <f t="shared" ref="AG50:AO50" si="27">AG49-AG26</f>
        <v>-5.9999942779541016E-2</v>
      </c>
      <c r="AH50" s="150">
        <f t="shared" si="27"/>
        <v>0</v>
      </c>
      <c r="AI50" s="150">
        <f t="shared" si="27"/>
        <v>-8.9999973773956299E-2</v>
      </c>
      <c r="AJ50" s="150">
        <f t="shared" si="27"/>
        <v>0</v>
      </c>
      <c r="AK50" s="150">
        <f t="shared" si="27"/>
        <v>0</v>
      </c>
      <c r="AL50" s="150">
        <f t="shared" si="27"/>
        <v>-1.0000000596046448</v>
      </c>
      <c r="AM50" s="150">
        <f t="shared" si="27"/>
        <v>0</v>
      </c>
      <c r="AN50" s="150">
        <f t="shared" si="27"/>
        <v>0</v>
      </c>
      <c r="AO50" s="150">
        <f t="shared" si="27"/>
        <v>0</v>
      </c>
      <c r="AR50" s="145">
        <f t="shared" ref="AR50:BR50" si="28">AR49-AR26</f>
        <v>667139.53000003099</v>
      </c>
      <c r="AS50" s="145">
        <f t="shared" si="28"/>
        <v>0</v>
      </c>
      <c r="AT50" s="145">
        <f t="shared" si="28"/>
        <v>0</v>
      </c>
      <c r="AU50" s="145">
        <f t="shared" si="28"/>
        <v>1.0000109672546387E-2</v>
      </c>
      <c r="AV50" s="145">
        <f t="shared" si="28"/>
        <v>0</v>
      </c>
      <c r="AW50" s="145">
        <f t="shared" si="28"/>
        <v>0</v>
      </c>
      <c r="AX50" s="145">
        <f t="shared" si="28"/>
        <v>0</v>
      </c>
      <c r="AY50" s="145">
        <f t="shared" si="28"/>
        <v>0</v>
      </c>
      <c r="AZ50" s="145">
        <f t="shared" si="28"/>
        <v>0</v>
      </c>
      <c r="BA50" s="145">
        <f t="shared" si="28"/>
        <v>0</v>
      </c>
      <c r="BB50" s="145">
        <f t="shared" si="28"/>
        <v>0</v>
      </c>
      <c r="BC50" s="145">
        <f t="shared" si="28"/>
        <v>0</v>
      </c>
      <c r="BD50" s="145">
        <f t="shared" si="28"/>
        <v>3.0000030994415283E-2</v>
      </c>
      <c r="BE50" s="145">
        <f t="shared" si="28"/>
        <v>0</v>
      </c>
      <c r="BF50" s="145">
        <f t="shared" si="28"/>
        <v>0</v>
      </c>
      <c r="BG50" s="145">
        <f t="shared" si="28"/>
        <v>9.9999904632568359E-3</v>
      </c>
      <c r="BH50" s="145">
        <f t="shared" si="28"/>
        <v>0</v>
      </c>
      <c r="BI50" s="145">
        <f t="shared" si="28"/>
        <v>0</v>
      </c>
      <c r="BJ50" s="145">
        <f t="shared" si="28"/>
        <v>0</v>
      </c>
      <c r="BK50" s="145">
        <f t="shared" si="28"/>
        <v>0</v>
      </c>
      <c r="BL50" s="145">
        <f t="shared" si="28"/>
        <v>0</v>
      </c>
      <c r="BM50" s="145">
        <f t="shared" si="28"/>
        <v>0</v>
      </c>
      <c r="BN50" s="145">
        <f t="shared" si="28"/>
        <v>0</v>
      </c>
      <c r="BO50" s="145">
        <f t="shared" si="28"/>
        <v>0</v>
      </c>
      <c r="BP50" s="145">
        <f t="shared" si="28"/>
        <v>0</v>
      </c>
      <c r="BQ50" s="145">
        <f t="shared" si="28"/>
        <v>4.999995231628418E-2</v>
      </c>
      <c r="BR50" s="145">
        <f t="shared" si="28"/>
        <v>-0.26850003004074097</v>
      </c>
      <c r="CF50" s="183">
        <v>454662620.08999997</v>
      </c>
      <c r="CG50" s="183">
        <v>449154884.01999998</v>
      </c>
      <c r="CH50" s="183">
        <v>425599913.70999998</v>
      </c>
      <c r="CI50" s="183">
        <v>434058510.99000001</v>
      </c>
      <c r="CJ50" s="183">
        <v>425625083.91000003</v>
      </c>
      <c r="CK50" s="183">
        <v>490442395.10000002</v>
      </c>
      <c r="CL50" s="183">
        <v>611253291.26999998</v>
      </c>
      <c r="CM50" s="183">
        <v>575844505.33000004</v>
      </c>
      <c r="CN50" s="183">
        <v>542959892.10000002</v>
      </c>
    </row>
    <row r="51" spans="1:97" x14ac:dyDescent="0.25">
      <c r="B51" s="151">
        <v>-0.42000001668930054</v>
      </c>
      <c r="C51" s="151">
        <v>-0.5</v>
      </c>
      <c r="D51" s="151"/>
      <c r="E51" s="151">
        <v>-0.5</v>
      </c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0">
        <f>R26-R49</f>
        <v>0</v>
      </c>
      <c r="CE51" s="126">
        <v>494659793.56</v>
      </c>
      <c r="CF51" s="150">
        <f>CF26-CF49</f>
        <v>0</v>
      </c>
      <c r="CK51" s="183" t="s">
        <v>111</v>
      </c>
      <c r="CL51" s="181">
        <v>74083883.150000006</v>
      </c>
      <c r="CM51" s="150">
        <f>CL26-CL49</f>
        <v>0</v>
      </c>
      <c r="CS51" s="180"/>
    </row>
    <row r="52" spans="1:97" x14ac:dyDescent="0.25">
      <c r="G52" s="145">
        <f>D41-2023571</f>
        <v>950055.39999999991</v>
      </c>
      <c r="R52" s="104"/>
      <c r="AR52" s="145">
        <f>AR38+AR41+AR42+AR43</f>
        <v>93008251.980000004</v>
      </c>
      <c r="CE52" s="126">
        <f>CE49-CE51</f>
        <v>0</v>
      </c>
      <c r="CK52" s="150" t="s">
        <v>112</v>
      </c>
      <c r="CL52" s="181">
        <v>0</v>
      </c>
      <c r="CN52" s="180">
        <f>CL51+CL55+CL56+CL54</f>
        <v>108839295.59</v>
      </c>
    </row>
    <row r="53" spans="1:97" x14ac:dyDescent="0.25">
      <c r="R53" s="104"/>
      <c r="CK53" s="184" t="s">
        <v>113</v>
      </c>
      <c r="CL53" s="181"/>
      <c r="CN53" s="180">
        <f>CN52-CL59</f>
        <v>-75208188.030000001</v>
      </c>
      <c r="CP53" s="126">
        <v>108839295.59</v>
      </c>
      <c r="CQ53" s="180">
        <f>277027219.29-CQ38</f>
        <v>202943336.15000004</v>
      </c>
    </row>
    <row r="54" spans="1:97" x14ac:dyDescent="0.25">
      <c r="R54" s="104"/>
      <c r="CK54" s="104" t="s">
        <v>114</v>
      </c>
      <c r="CL54" s="181">
        <v>-2188704.5299999998</v>
      </c>
      <c r="CN54" s="185">
        <f>CN53+CL60</f>
        <v>-149292071.18000001</v>
      </c>
      <c r="CO54" s="104" t="s">
        <v>115</v>
      </c>
      <c r="CP54" s="126">
        <v>184047483.62</v>
      </c>
    </row>
    <row r="55" spans="1:97" x14ac:dyDescent="0.25">
      <c r="R55" s="104"/>
      <c r="CK55" s="104" t="s">
        <v>116</v>
      </c>
      <c r="CL55" s="181">
        <v>20671284.899999999</v>
      </c>
      <c r="CP55" s="126">
        <f>SUM(CP53:CP54)</f>
        <v>292886779.21000004</v>
      </c>
    </row>
    <row r="56" spans="1:97" x14ac:dyDescent="0.25">
      <c r="R56" s="104"/>
      <c r="BX56" s="104" t="s">
        <v>117</v>
      </c>
      <c r="CK56" s="104" t="s">
        <v>118</v>
      </c>
      <c r="CL56" s="181">
        <v>16272832.07</v>
      </c>
      <c r="CN56" s="221">
        <f>291419665.55-CN38</f>
        <v>217335782.40000001</v>
      </c>
      <c r="CP56" s="126">
        <v>48318.25</v>
      </c>
    </row>
    <row r="57" spans="1:97" x14ac:dyDescent="0.25">
      <c r="R57" s="104"/>
      <c r="CK57" s="104" t="s">
        <v>119</v>
      </c>
      <c r="CL57" s="151"/>
      <c r="CM57" s="180"/>
      <c r="CP57" s="150">
        <f>CP55-CP56</f>
        <v>292838460.96000004</v>
      </c>
    </row>
    <row r="58" spans="1:97" x14ac:dyDescent="0.25">
      <c r="R58" s="104"/>
      <c r="CL58" s="151">
        <f>SUM(CL51:CL57)</f>
        <v>108839295.59</v>
      </c>
      <c r="CM58" s="180"/>
      <c r="CP58" s="104">
        <v>292953451</v>
      </c>
    </row>
    <row r="59" spans="1:97" x14ac:dyDescent="0.25">
      <c r="R59" s="104"/>
      <c r="CK59" s="104" t="s">
        <v>120</v>
      </c>
      <c r="CL59" s="181">
        <v>184047483.62</v>
      </c>
      <c r="CM59" s="180">
        <f>CL58-CL59</f>
        <v>-75208188.030000001</v>
      </c>
      <c r="CP59" s="150">
        <f>CP58-CP57</f>
        <v>114990.03999996185</v>
      </c>
    </row>
    <row r="60" spans="1:97" x14ac:dyDescent="0.25">
      <c r="G60" s="157"/>
      <c r="R60" s="104"/>
      <c r="CK60" s="104" t="s">
        <v>121</v>
      </c>
      <c r="CL60" s="180">
        <f>CL57-CL38</f>
        <v>-74083883.150000006</v>
      </c>
      <c r="CM60" s="182"/>
    </row>
    <row r="61" spans="1:97" x14ac:dyDescent="0.25">
      <c r="R61" s="104"/>
    </row>
    <row r="62" spans="1:97" x14ac:dyDescent="0.25">
      <c r="R62" s="104"/>
    </row>
    <row r="63" spans="1:97" x14ac:dyDescent="0.25">
      <c r="R63" s="104"/>
    </row>
    <row r="64" spans="1:97" x14ac:dyDescent="0.25">
      <c r="R64" s="104"/>
      <c r="CL64" s="151">
        <f>CL45</f>
        <v>164931644.62</v>
      </c>
      <c r="CO64" s="150">
        <f>CL48-184047483</f>
        <v>89723457.210000038</v>
      </c>
    </row>
    <row r="65" spans="1:90" x14ac:dyDescent="0.25">
      <c r="R65" s="104"/>
      <c r="CL65" s="150">
        <f>CL48-CL45</f>
        <v>108839295.59000003</v>
      </c>
    </row>
    <row r="66" spans="1:90" x14ac:dyDescent="0.25">
      <c r="R66" s="104"/>
    </row>
    <row r="67" spans="1:90" x14ac:dyDescent="0.25">
      <c r="R67" s="104"/>
    </row>
    <row r="68" spans="1:90" x14ac:dyDescent="0.25">
      <c r="R68" s="104"/>
    </row>
    <row r="69" spans="1:90" x14ac:dyDescent="0.25">
      <c r="R69" s="104"/>
    </row>
    <row r="70" spans="1:90" x14ac:dyDescent="0.25">
      <c r="R70" s="104"/>
    </row>
    <row r="71" spans="1:90" x14ac:dyDescent="0.25">
      <c r="R71" s="104"/>
    </row>
    <row r="72" spans="1:90" x14ac:dyDescent="0.25">
      <c r="R72" s="104"/>
    </row>
    <row r="73" spans="1:90" x14ac:dyDescent="0.25">
      <c r="R73" s="104"/>
    </row>
    <row r="74" spans="1:90" x14ac:dyDescent="0.25">
      <c r="R74" s="104"/>
    </row>
    <row r="75" spans="1:90" x14ac:dyDescent="0.25">
      <c r="R75" s="104"/>
    </row>
    <row r="76" spans="1:90" x14ac:dyDescent="0.25">
      <c r="R76" s="104"/>
    </row>
    <row r="77" spans="1:90" x14ac:dyDescent="0.25">
      <c r="R77" s="104"/>
    </row>
    <row r="78" spans="1:90" x14ac:dyDescent="0.25">
      <c r="R78" s="104"/>
    </row>
    <row r="79" spans="1:90" x14ac:dyDescent="0.25">
      <c r="R79" s="104"/>
      <c r="CI79" s="150" t="e">
        <f>CG81/CG95</f>
        <v>#DIV/0!</v>
      </c>
      <c r="CJ79" s="182" t="e">
        <f>CG82/CG95</f>
        <v>#DIV/0!</v>
      </c>
      <c r="CL79" s="104" t="s">
        <v>122</v>
      </c>
    </row>
    <row r="80" spans="1:90" x14ac:dyDescent="0.25">
      <c r="A80" s="150" t="e">
        <f>#REF!/#REF!</f>
        <v>#REF!</v>
      </c>
      <c r="B80" s="182" t="e">
        <f>#REF!/#REF!</f>
        <v>#REF!</v>
      </c>
      <c r="D80" s="104" t="s">
        <v>122</v>
      </c>
      <c r="R80" s="104"/>
    </row>
    <row r="81" spans="1:90" x14ac:dyDescent="0.25">
      <c r="R81" s="104"/>
    </row>
    <row r="82" spans="1:90" x14ac:dyDescent="0.25">
      <c r="CL82" s="104" t="s">
        <v>123</v>
      </c>
    </row>
    <row r="83" spans="1:90" x14ac:dyDescent="0.25">
      <c r="D83" s="104" t="s">
        <v>123</v>
      </c>
      <c r="CL83" s="104" t="s">
        <v>124</v>
      </c>
    </row>
    <row r="84" spans="1:90" x14ac:dyDescent="0.25">
      <c r="D84" s="104" t="s">
        <v>124</v>
      </c>
      <c r="CL84" s="104" t="s">
        <v>125</v>
      </c>
    </row>
    <row r="85" spans="1:90" x14ac:dyDescent="0.25">
      <c r="D85" s="104" t="s">
        <v>125</v>
      </c>
      <c r="CL85" s="104" t="s">
        <v>126</v>
      </c>
    </row>
    <row r="86" spans="1:90" x14ac:dyDescent="0.25">
      <c r="D86" s="104" t="s">
        <v>126</v>
      </c>
      <c r="CL86" s="104" t="s">
        <v>127</v>
      </c>
    </row>
    <row r="87" spans="1:90" x14ac:dyDescent="0.25">
      <c r="D87" s="104" t="s">
        <v>127</v>
      </c>
    </row>
    <row r="94" spans="1:90" x14ac:dyDescent="0.25">
      <c r="CI94" s="104" t="s">
        <v>128</v>
      </c>
    </row>
    <row r="95" spans="1:90" x14ac:dyDescent="0.25">
      <c r="A95" s="104" t="s">
        <v>128</v>
      </c>
      <c r="CI95" s="104" t="s">
        <v>129</v>
      </c>
    </row>
    <row r="96" spans="1:90" x14ac:dyDescent="0.25">
      <c r="A96" s="104" t="s">
        <v>129</v>
      </c>
      <c r="CI96" s="104" t="s">
        <v>130</v>
      </c>
    </row>
    <row r="97" spans="1:87" x14ac:dyDescent="0.25">
      <c r="A97" s="104" t="s">
        <v>130</v>
      </c>
      <c r="CI97" s="104" t="s">
        <v>131</v>
      </c>
    </row>
    <row r="98" spans="1:87" x14ac:dyDescent="0.25">
      <c r="A98" s="104" t="s">
        <v>131</v>
      </c>
    </row>
    <row r="112" spans="1:87" x14ac:dyDescent="0.25">
      <c r="CI112" s="104">
        <v>75323820</v>
      </c>
    </row>
    <row r="113" spans="1:87" x14ac:dyDescent="0.25">
      <c r="A113" s="104">
        <v>75323820</v>
      </c>
      <c r="CI113" s="150" t="e">
        <f>CI112/CG118</f>
        <v>#DIV/0!</v>
      </c>
    </row>
    <row r="114" spans="1:87" x14ac:dyDescent="0.25">
      <c r="A114" s="150" t="e">
        <f>A113/#REF!</f>
        <v>#REF!</v>
      </c>
    </row>
  </sheetData>
  <mergeCells count="1">
    <mergeCell ref="A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X354"/>
  <sheetViews>
    <sheetView tabSelected="1" workbookViewId="0">
      <pane xSplit="1" ySplit="2" topLeftCell="CK9" activePane="bottomRight" state="frozen"/>
      <selection pane="topRight" activeCell="B1" sqref="B1"/>
      <selection pane="bottomLeft" activeCell="A3" sqref="A3"/>
      <selection pane="bottomRight" activeCell="CR29" sqref="CR29"/>
    </sheetView>
  </sheetViews>
  <sheetFormatPr defaultRowHeight="14.4" x14ac:dyDescent="0.3"/>
  <cols>
    <col min="1" max="1" width="24.5546875" customWidth="1"/>
    <col min="2" max="4" width="14.33203125" hidden="1" customWidth="1"/>
    <col min="5" max="5" width="13.33203125" hidden="1" customWidth="1"/>
    <col min="6" max="6" width="14" hidden="1" customWidth="1"/>
    <col min="7" max="11" width="14.33203125" hidden="1" customWidth="1"/>
    <col min="12" max="13" width="15" hidden="1" customWidth="1"/>
    <col min="14" max="14" width="14.33203125" hidden="1" customWidth="1"/>
    <col min="15" max="15" width="14.88671875" hidden="1" customWidth="1"/>
    <col min="16" max="16" width="15" hidden="1" customWidth="1"/>
    <col min="17" max="17" width="14.44140625" hidden="1" customWidth="1"/>
    <col min="18" max="18" width="15" style="46" hidden="1" customWidth="1"/>
    <col min="19" max="19" width="15" hidden="1" customWidth="1"/>
    <col min="20" max="24" width="14.33203125" hidden="1" customWidth="1"/>
    <col min="25" max="25" width="15" hidden="1" customWidth="1"/>
    <col min="26" max="29" width="15.33203125" hidden="1" customWidth="1"/>
    <col min="30" max="30" width="14.33203125" hidden="1" customWidth="1"/>
    <col min="31" max="31" width="14.33203125" bestFit="1" customWidth="1"/>
    <col min="32" max="35" width="14.33203125" hidden="1" customWidth="1"/>
    <col min="36" max="41" width="14.6640625" hidden="1" customWidth="1"/>
    <col min="42" max="42" width="14.44140625" hidden="1" customWidth="1"/>
    <col min="43" max="43" width="15.44140625" hidden="1" customWidth="1"/>
    <col min="44" max="44" width="14.6640625" bestFit="1" customWidth="1"/>
    <col min="45" max="45" width="14.33203125" hidden="1" customWidth="1"/>
    <col min="46" max="47" width="13.33203125" hidden="1" customWidth="1"/>
    <col min="48" max="53" width="11.88671875" hidden="1" customWidth="1"/>
    <col min="54" max="56" width="12.88671875" hidden="1" customWidth="1"/>
    <col min="57" max="57" width="0" hidden="1" customWidth="1"/>
    <col min="58" max="58" width="11" hidden="1" customWidth="1"/>
    <col min="59" max="59" width="11.88671875" hidden="1" customWidth="1"/>
    <col min="60" max="60" width="12.5546875" bestFit="1" customWidth="1"/>
    <col min="61" max="62" width="11.88671875" hidden="1" customWidth="1"/>
    <col min="63" max="63" width="11.88671875" bestFit="1" customWidth="1"/>
    <col min="64" max="64" width="6.6640625" customWidth="1"/>
    <col min="65" max="65" width="12.88671875" customWidth="1"/>
    <col min="66" max="66" width="12.109375" customWidth="1"/>
    <col min="67" max="67" width="12.88671875" customWidth="1"/>
    <col min="68" max="69" width="12.88671875" bestFit="1" customWidth="1"/>
    <col min="70" max="70" width="14.33203125" bestFit="1" customWidth="1"/>
    <col min="71" max="71" width="0.33203125" customWidth="1"/>
    <col min="72" max="74" width="13.33203125" hidden="1" customWidth="1"/>
    <col min="75" max="75" width="19.88671875" hidden="1" customWidth="1"/>
    <col min="76" max="76" width="14.88671875" hidden="1" customWidth="1"/>
    <col min="77" max="77" width="14.5546875" hidden="1" customWidth="1"/>
    <col min="78" max="78" width="0.6640625" hidden="1" customWidth="1"/>
    <col min="79" max="79" width="6.6640625" hidden="1" customWidth="1"/>
    <col min="80" max="80" width="53.5546875" hidden="1" customWidth="1"/>
    <col min="81" max="81" width="7.109375" hidden="1" customWidth="1"/>
    <col min="82" max="82" width="6.6640625" hidden="1" customWidth="1"/>
    <col min="83" max="83" width="17.6640625" style="176" customWidth="1"/>
    <col min="84" max="85" width="11.6640625" bestFit="1" customWidth="1"/>
    <col min="86" max="91" width="11.88671875" bestFit="1" customWidth="1"/>
    <col min="92" max="92" width="12.5546875" bestFit="1" customWidth="1"/>
    <col min="93" max="95" width="12.88671875" bestFit="1" customWidth="1"/>
    <col min="96" max="96" width="16.33203125" customWidth="1"/>
    <col min="97" max="97" width="20.33203125" customWidth="1"/>
  </cols>
  <sheetData>
    <row r="1" spans="1:102" ht="15" customHeight="1" x14ac:dyDescent="0.3">
      <c r="A1" s="236"/>
      <c r="B1" s="236"/>
      <c r="C1" s="236"/>
      <c r="D1" s="236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spans="1:102" ht="27.6" x14ac:dyDescent="0.3">
      <c r="A2" s="8"/>
      <c r="B2" s="9" t="s">
        <v>1</v>
      </c>
      <c r="C2" s="9" t="s">
        <v>2</v>
      </c>
      <c r="D2" s="9" t="s">
        <v>3</v>
      </c>
      <c r="E2" s="21">
        <v>42005</v>
      </c>
      <c r="F2" s="21">
        <v>42370</v>
      </c>
      <c r="G2" s="21">
        <v>42401</v>
      </c>
      <c r="H2" s="21">
        <v>42430</v>
      </c>
      <c r="I2" s="21">
        <v>42461</v>
      </c>
      <c r="J2" s="21">
        <v>42491</v>
      </c>
      <c r="K2" s="21">
        <v>42522</v>
      </c>
      <c r="L2" s="21">
        <v>42552</v>
      </c>
      <c r="M2" s="21">
        <v>42583</v>
      </c>
      <c r="N2" s="21">
        <v>42614</v>
      </c>
      <c r="O2" s="21">
        <v>42644</v>
      </c>
      <c r="P2" s="21">
        <v>42675</v>
      </c>
      <c r="Q2" s="65">
        <v>42705</v>
      </c>
      <c r="R2" s="69" t="s">
        <v>4</v>
      </c>
      <c r="S2" s="65">
        <v>42736</v>
      </c>
      <c r="T2" s="65">
        <v>42767</v>
      </c>
      <c r="U2" s="65">
        <v>42795</v>
      </c>
      <c r="V2" s="65">
        <v>42826</v>
      </c>
      <c r="W2" s="65">
        <v>42856</v>
      </c>
      <c r="X2" s="65">
        <v>42887</v>
      </c>
      <c r="Y2" s="65">
        <v>42917</v>
      </c>
      <c r="Z2" s="65">
        <v>42948</v>
      </c>
      <c r="AA2" s="65">
        <v>42979</v>
      </c>
      <c r="AB2" s="65">
        <v>43009</v>
      </c>
      <c r="AC2" s="65">
        <v>43040</v>
      </c>
      <c r="AD2" s="65">
        <v>43070</v>
      </c>
      <c r="AE2" s="92" t="s">
        <v>5</v>
      </c>
      <c r="AF2" s="65">
        <v>43101</v>
      </c>
      <c r="AG2" s="65">
        <v>43132</v>
      </c>
      <c r="AH2" s="65">
        <v>43160</v>
      </c>
      <c r="AI2" s="65">
        <v>43191</v>
      </c>
      <c r="AJ2" s="65">
        <v>43221</v>
      </c>
      <c r="AK2" s="65">
        <v>43252</v>
      </c>
      <c r="AL2" s="65">
        <v>43282</v>
      </c>
      <c r="AM2" s="65">
        <v>43313</v>
      </c>
      <c r="AN2" s="65">
        <v>43344</v>
      </c>
      <c r="AO2" s="65">
        <v>43374</v>
      </c>
      <c r="AP2" s="65">
        <v>43405</v>
      </c>
      <c r="AQ2" s="65">
        <v>43435</v>
      </c>
      <c r="AR2" s="92" t="s">
        <v>6</v>
      </c>
      <c r="AS2" s="97">
        <v>43466</v>
      </c>
      <c r="AT2" s="97">
        <v>43497</v>
      </c>
      <c r="AU2" s="97">
        <v>43525</v>
      </c>
      <c r="AV2" s="97">
        <v>43556</v>
      </c>
      <c r="AW2" s="97">
        <v>43586</v>
      </c>
      <c r="AX2" s="97">
        <v>43617</v>
      </c>
      <c r="AY2" s="97">
        <v>43647</v>
      </c>
      <c r="AZ2" s="97">
        <v>43678</v>
      </c>
      <c r="BA2" s="97">
        <v>43709</v>
      </c>
      <c r="BB2" s="97">
        <v>43739</v>
      </c>
      <c r="BC2" s="97">
        <v>43770</v>
      </c>
      <c r="BD2" s="97">
        <v>43800</v>
      </c>
      <c r="BE2" s="97" t="s">
        <v>132</v>
      </c>
      <c r="BF2" s="97">
        <v>43831</v>
      </c>
      <c r="BG2" s="97">
        <v>43862</v>
      </c>
      <c r="BH2" s="97">
        <v>43891</v>
      </c>
      <c r="BI2" s="97">
        <v>43922</v>
      </c>
      <c r="BJ2" s="97">
        <v>43952</v>
      </c>
      <c r="BK2" s="97">
        <v>43983</v>
      </c>
      <c r="BL2" s="97">
        <v>44013</v>
      </c>
      <c r="BM2" s="97">
        <v>44044</v>
      </c>
      <c r="BN2" s="97">
        <v>44075</v>
      </c>
      <c r="BO2" s="97">
        <v>44105</v>
      </c>
      <c r="BP2" s="97">
        <v>44136</v>
      </c>
      <c r="BQ2" s="97">
        <v>44166</v>
      </c>
      <c r="BR2" s="97" t="s">
        <v>8</v>
      </c>
      <c r="BS2" s="103">
        <v>44197</v>
      </c>
      <c r="BT2" s="103">
        <v>44228</v>
      </c>
      <c r="BU2" s="103">
        <v>44256</v>
      </c>
      <c r="BV2" s="103">
        <v>44287</v>
      </c>
      <c r="BW2" s="103">
        <v>44317</v>
      </c>
      <c r="BX2" s="103">
        <v>44348</v>
      </c>
      <c r="BY2" s="103">
        <v>44378</v>
      </c>
      <c r="BZ2" s="103">
        <v>44409</v>
      </c>
      <c r="CA2" s="103">
        <v>44440</v>
      </c>
      <c r="CB2" s="103"/>
      <c r="CC2" s="103">
        <v>44501</v>
      </c>
      <c r="CD2" s="103">
        <v>44531</v>
      </c>
      <c r="CE2" s="177" t="s">
        <v>9</v>
      </c>
      <c r="CF2" s="86">
        <v>44562</v>
      </c>
      <c r="CG2" s="86">
        <v>44593</v>
      </c>
      <c r="CH2" s="86">
        <v>44621</v>
      </c>
      <c r="CI2" s="86">
        <v>44652</v>
      </c>
      <c r="CJ2" s="86">
        <v>44682</v>
      </c>
      <c r="CK2" s="86">
        <v>44713</v>
      </c>
      <c r="CL2" s="86">
        <v>44743</v>
      </c>
      <c r="CM2" s="86">
        <v>44774</v>
      </c>
      <c r="CN2" s="86">
        <v>44805</v>
      </c>
      <c r="CO2" s="86">
        <v>44835</v>
      </c>
      <c r="CP2" s="86">
        <v>44866</v>
      </c>
      <c r="CQ2" s="86">
        <v>44896</v>
      </c>
      <c r="CR2" t="s">
        <v>10</v>
      </c>
      <c r="CS2" s="86">
        <v>44927</v>
      </c>
      <c r="CT2" s="86">
        <v>44958</v>
      </c>
      <c r="CU2" s="86">
        <v>44986</v>
      </c>
      <c r="CV2" s="86">
        <v>45017</v>
      </c>
      <c r="CW2" s="86">
        <v>45047</v>
      </c>
      <c r="CX2" s="86">
        <v>45078</v>
      </c>
    </row>
    <row r="3" spans="1:102" x14ac:dyDescent="0.3">
      <c r="A3" s="10" t="s">
        <v>133</v>
      </c>
      <c r="B3" s="50">
        <f>B4+B7</f>
        <v>63593389.059999995</v>
      </c>
      <c r="C3" s="50">
        <f>C4+C7</f>
        <v>81396739.229999989</v>
      </c>
      <c r="D3" s="43">
        <v>75757597.980000004</v>
      </c>
      <c r="E3" s="50">
        <f t="shared" ref="E3:Q3" si="0">E4+E7</f>
        <v>5621897.8000000007</v>
      </c>
      <c r="F3" s="50">
        <f t="shared" si="0"/>
        <v>6095529</v>
      </c>
      <c r="G3" s="50">
        <f t="shared" si="0"/>
        <v>9930772.8499999996</v>
      </c>
      <c r="H3" s="50">
        <f t="shared" si="0"/>
        <v>13914970.85</v>
      </c>
      <c r="I3" s="50">
        <f t="shared" si="0"/>
        <v>35195599</v>
      </c>
      <c r="J3" s="50">
        <f t="shared" si="0"/>
        <v>21790571.199999999</v>
      </c>
      <c r="K3" s="50">
        <f t="shared" si="0"/>
        <v>26422041.5</v>
      </c>
      <c r="L3" s="50">
        <f t="shared" si="0"/>
        <v>44165711.5</v>
      </c>
      <c r="M3" s="50">
        <f t="shared" si="0"/>
        <v>145586834.40000001</v>
      </c>
      <c r="N3" s="50">
        <f t="shared" si="0"/>
        <v>52929323.799999997</v>
      </c>
      <c r="O3" s="50">
        <f t="shared" si="0"/>
        <v>74011405.75</v>
      </c>
      <c r="P3" s="50">
        <f t="shared" si="0"/>
        <v>164798611.86000001</v>
      </c>
      <c r="Q3" s="43">
        <f t="shared" si="0"/>
        <v>96712171.629999995</v>
      </c>
      <c r="R3" s="70">
        <f>R4+R7</f>
        <v>96712171.629999995</v>
      </c>
      <c r="S3" s="70">
        <f t="shared" ref="S3:AU3" si="1">S4+S7</f>
        <v>13477581.32</v>
      </c>
      <c r="T3" s="70">
        <f t="shared" si="1"/>
        <v>11223484.050000001</v>
      </c>
      <c r="U3" s="70">
        <f t="shared" si="1"/>
        <v>30045504.940000001</v>
      </c>
      <c r="V3" s="70">
        <f t="shared" si="1"/>
        <v>19025645.579999998</v>
      </c>
      <c r="W3" s="70">
        <f t="shared" si="1"/>
        <v>23295588.699999999</v>
      </c>
      <c r="X3" s="70">
        <f t="shared" si="1"/>
        <v>44016463.729999997</v>
      </c>
      <c r="Y3" s="70">
        <f t="shared" si="1"/>
        <v>146976941.49000001</v>
      </c>
      <c r="Z3" s="70">
        <f t="shared" si="1"/>
        <v>106378921.66</v>
      </c>
      <c r="AA3" s="70">
        <f t="shared" si="1"/>
        <v>288395804.14999998</v>
      </c>
      <c r="AB3" s="70">
        <f t="shared" si="1"/>
        <v>157755908.92000002</v>
      </c>
      <c r="AC3" s="70">
        <f t="shared" si="1"/>
        <v>255668482.28999999</v>
      </c>
      <c r="AD3" s="70">
        <f t="shared" si="1"/>
        <v>89674544.450000003</v>
      </c>
      <c r="AE3" s="70">
        <f t="shared" si="1"/>
        <v>92449717.660000011</v>
      </c>
      <c r="AF3" s="70">
        <f t="shared" si="1"/>
        <v>8561523</v>
      </c>
      <c r="AG3" s="70">
        <f t="shared" si="1"/>
        <v>13302371.960000001</v>
      </c>
      <c r="AH3" s="70">
        <f t="shared" si="1"/>
        <v>18291784</v>
      </c>
      <c r="AI3" s="70">
        <f t="shared" si="1"/>
        <v>21131369</v>
      </c>
      <c r="AJ3" s="70">
        <f t="shared" si="1"/>
        <v>26506861</v>
      </c>
      <c r="AK3" s="70">
        <f t="shared" si="1"/>
        <v>56255823.489999995</v>
      </c>
      <c r="AL3" s="70">
        <f t="shared" si="1"/>
        <v>56255823.489999995</v>
      </c>
      <c r="AM3" s="70">
        <f t="shared" si="1"/>
        <v>66156151.090000004</v>
      </c>
      <c r="AN3" s="70">
        <f t="shared" si="1"/>
        <v>71249702.489999995</v>
      </c>
      <c r="AO3" s="70">
        <f t="shared" si="1"/>
        <v>95811717</v>
      </c>
      <c r="AP3" s="70">
        <f t="shared" si="1"/>
        <v>102569083</v>
      </c>
      <c r="AQ3" s="70">
        <f t="shared" si="1"/>
        <v>108746265.69</v>
      </c>
      <c r="AR3" s="70">
        <f t="shared" si="1"/>
        <v>123321265.69</v>
      </c>
      <c r="AS3" s="70">
        <f t="shared" si="1"/>
        <v>10622460</v>
      </c>
      <c r="AT3" s="70">
        <f t="shared" si="1"/>
        <v>16006653.43</v>
      </c>
      <c r="AU3" s="70">
        <f t="shared" si="1"/>
        <v>20825585.43</v>
      </c>
      <c r="AV3" s="70">
        <f>AV4+AV7</f>
        <v>25707614.43</v>
      </c>
      <c r="AW3" s="70">
        <f>AW4+AW7</f>
        <v>31681630.43</v>
      </c>
      <c r="AX3" s="70">
        <f>AX4+AX7</f>
        <v>60200716.479999997</v>
      </c>
      <c r="AY3" s="70">
        <f>AY4+AY7</f>
        <v>68635188.430000007</v>
      </c>
      <c r="AZ3" s="70">
        <f t="shared" ref="AZ3:CS3" si="2">AZ4+AZ7</f>
        <v>75333404.430000007</v>
      </c>
      <c r="BA3" s="70">
        <f t="shared" si="2"/>
        <v>81877690.430000007</v>
      </c>
      <c r="BB3" s="70">
        <f t="shared" si="2"/>
        <v>100746120.79000001</v>
      </c>
      <c r="BC3" s="70">
        <f t="shared" si="2"/>
        <v>107431309.05000001</v>
      </c>
      <c r="BD3" s="70">
        <f t="shared" si="2"/>
        <v>117425831.72999999</v>
      </c>
      <c r="BE3" s="70">
        <f t="shared" si="2"/>
        <v>0</v>
      </c>
      <c r="BF3" s="70">
        <f t="shared" si="2"/>
        <v>7834638.1299999999</v>
      </c>
      <c r="BG3" s="70">
        <f t="shared" si="2"/>
        <v>13334000</v>
      </c>
      <c r="BH3" s="70">
        <f t="shared" si="2"/>
        <v>17976097</v>
      </c>
      <c r="BI3" s="70">
        <f t="shared" si="2"/>
        <v>24996793</v>
      </c>
      <c r="BJ3" s="70">
        <f t="shared" si="2"/>
        <v>54362135</v>
      </c>
      <c r="BK3" s="70">
        <f t="shared" si="2"/>
        <v>61154215</v>
      </c>
      <c r="BL3" s="70">
        <f t="shared" si="2"/>
        <v>0</v>
      </c>
      <c r="BM3" s="70">
        <f t="shared" si="2"/>
        <v>224372574</v>
      </c>
      <c r="BN3" s="70">
        <f t="shared" si="2"/>
        <v>80004896</v>
      </c>
      <c r="BO3" s="70">
        <f t="shared" si="2"/>
        <v>102681197.5</v>
      </c>
      <c r="BP3" s="70">
        <f t="shared" si="2"/>
        <v>219132576</v>
      </c>
      <c r="BQ3" s="70">
        <f t="shared" si="2"/>
        <v>118169989.55</v>
      </c>
      <c r="BR3" s="70">
        <f t="shared" si="2"/>
        <v>118169989.53</v>
      </c>
      <c r="BS3" s="70">
        <f t="shared" si="2"/>
        <v>9085439.6099999994</v>
      </c>
      <c r="BT3" s="70">
        <f t="shared" si="2"/>
        <v>14369442.75</v>
      </c>
      <c r="BU3" s="70">
        <f t="shared" si="2"/>
        <v>19960594.009999998</v>
      </c>
      <c r="BV3" s="70">
        <f t="shared" si="2"/>
        <v>48795807.100000009</v>
      </c>
      <c r="BW3" s="70">
        <f t="shared" si="2"/>
        <v>53864408.25</v>
      </c>
      <c r="BX3" s="70">
        <f t="shared" si="2"/>
        <v>62447706.969999999</v>
      </c>
      <c r="BY3" s="70">
        <f t="shared" si="2"/>
        <v>68654855.280000001</v>
      </c>
      <c r="BZ3" s="70">
        <f t="shared" si="2"/>
        <v>0</v>
      </c>
      <c r="CA3" s="70">
        <f t="shared" si="2"/>
        <v>0</v>
      </c>
      <c r="CB3" s="70">
        <f t="shared" si="2"/>
        <v>0</v>
      </c>
      <c r="CC3" s="70">
        <f t="shared" si="2"/>
        <v>0</v>
      </c>
      <c r="CD3" s="70">
        <f t="shared" si="2"/>
        <v>0</v>
      </c>
      <c r="CE3" s="70">
        <f t="shared" si="2"/>
        <v>113508062.29999998</v>
      </c>
      <c r="CF3" s="70">
        <f t="shared" si="2"/>
        <v>5589010.5800000001</v>
      </c>
      <c r="CG3" s="70">
        <f t="shared" si="2"/>
        <v>11919420</v>
      </c>
      <c r="CH3" s="70">
        <f t="shared" si="2"/>
        <v>18242170.48</v>
      </c>
      <c r="CI3" s="70">
        <f t="shared" si="2"/>
        <v>26195350.420000002</v>
      </c>
      <c r="CJ3" s="70">
        <f t="shared" si="2"/>
        <v>34261959.480000004</v>
      </c>
      <c r="CK3" s="70">
        <f t="shared" si="2"/>
        <v>65779572.409999996</v>
      </c>
      <c r="CL3" s="70">
        <f t="shared" si="2"/>
        <v>84492305.219999999</v>
      </c>
      <c r="CM3" s="70">
        <f t="shared" si="2"/>
        <v>91020428.620000005</v>
      </c>
      <c r="CN3" s="70">
        <f t="shared" si="2"/>
        <v>98439010.099999994</v>
      </c>
      <c r="CO3" s="70">
        <f t="shared" si="2"/>
        <v>104658045.06999999</v>
      </c>
      <c r="CP3" s="70">
        <f t="shared" si="2"/>
        <v>111263138.66</v>
      </c>
      <c r="CQ3" s="70">
        <f t="shared" si="2"/>
        <v>121836015.03</v>
      </c>
      <c r="CR3" s="70">
        <f t="shared" si="2"/>
        <v>122662913.457</v>
      </c>
      <c r="CS3" s="70">
        <f t="shared" si="2"/>
        <v>10341788.219999999</v>
      </c>
    </row>
    <row r="4" spans="1:102" ht="24" x14ac:dyDescent="0.3">
      <c r="A4" s="10" t="s">
        <v>134</v>
      </c>
      <c r="B4" s="50">
        <f>SUM(B5:B6)</f>
        <v>47173127.629999995</v>
      </c>
      <c r="C4" s="50">
        <f>SUM(C5:C6)</f>
        <v>47826351.759999998</v>
      </c>
      <c r="D4" s="43">
        <v>57467537.480000004</v>
      </c>
      <c r="E4" s="50">
        <f t="shared" ref="E4:R4" si="3">SUM(E5:E6)</f>
        <v>2650456.35</v>
      </c>
      <c r="F4" s="50">
        <f t="shared" si="3"/>
        <v>2775420</v>
      </c>
      <c r="G4" s="50">
        <f t="shared" si="3"/>
        <v>4477171.8499999996</v>
      </c>
      <c r="H4" s="50">
        <f t="shared" si="3"/>
        <v>6200221.5499999998</v>
      </c>
      <c r="I4" s="50">
        <f t="shared" si="3"/>
        <v>15706057.4</v>
      </c>
      <c r="J4" s="50">
        <f t="shared" si="3"/>
        <v>9549039.6999999993</v>
      </c>
      <c r="K4" s="50">
        <f t="shared" si="3"/>
        <v>11705873</v>
      </c>
      <c r="L4" s="50">
        <f t="shared" si="3"/>
        <v>13417425</v>
      </c>
      <c r="M4" s="50">
        <f t="shared" si="3"/>
        <v>46198890</v>
      </c>
      <c r="N4" s="50">
        <f t="shared" si="3"/>
        <v>17050055</v>
      </c>
      <c r="O4" s="50">
        <f t="shared" si="3"/>
        <v>23961515.329999998</v>
      </c>
      <c r="P4" s="50">
        <f t="shared" si="3"/>
        <v>49022579.020000003</v>
      </c>
      <c r="Q4" s="43">
        <f t="shared" si="3"/>
        <v>29976143.670000002</v>
      </c>
      <c r="R4" s="70">
        <f t="shared" si="3"/>
        <v>68180191.560000002</v>
      </c>
      <c r="S4" s="70">
        <f t="shared" ref="S4:AU4" si="4">SUM(S5:S6)</f>
        <v>4780368.3</v>
      </c>
      <c r="T4" s="70">
        <f t="shared" si="4"/>
        <v>4555683.1500000004</v>
      </c>
      <c r="U4" s="70">
        <f t="shared" si="4"/>
        <v>11464588.300000001</v>
      </c>
      <c r="V4" s="70">
        <f t="shared" si="4"/>
        <v>7482200.1500000004</v>
      </c>
      <c r="W4" s="70">
        <f t="shared" si="4"/>
        <v>9006173.0399999991</v>
      </c>
      <c r="X4" s="70">
        <f t="shared" si="4"/>
        <v>10735036.4</v>
      </c>
      <c r="Y4" s="70">
        <f t="shared" si="4"/>
        <v>38516665.200000003</v>
      </c>
      <c r="Z4" s="70">
        <f t="shared" si="4"/>
        <v>29333192.800000001</v>
      </c>
      <c r="AA4" s="70">
        <f t="shared" si="4"/>
        <v>83536552</v>
      </c>
      <c r="AB4" s="70">
        <f t="shared" si="4"/>
        <v>42437128.060000002</v>
      </c>
      <c r="AC4" s="70">
        <f t="shared" si="4"/>
        <v>77292240</v>
      </c>
      <c r="AD4" s="70">
        <f t="shared" si="4"/>
        <v>29285438.149999999</v>
      </c>
      <c r="AE4" s="70">
        <f t="shared" si="4"/>
        <v>70075663.400000006</v>
      </c>
      <c r="AF4" s="70">
        <f t="shared" si="4"/>
        <v>3185978</v>
      </c>
      <c r="AG4" s="70">
        <f t="shared" si="4"/>
        <v>5030792</v>
      </c>
      <c r="AH4" s="70">
        <f t="shared" si="4"/>
        <v>6653538</v>
      </c>
      <c r="AI4" s="70">
        <f t="shared" si="4"/>
        <v>8565194</v>
      </c>
      <c r="AJ4" s="70">
        <f t="shared" si="4"/>
        <v>9755110</v>
      </c>
      <c r="AK4" s="70">
        <f t="shared" si="4"/>
        <v>13328822</v>
      </c>
      <c r="AL4" s="70">
        <f t="shared" si="4"/>
        <v>13328822</v>
      </c>
      <c r="AM4" s="70">
        <f t="shared" si="4"/>
        <v>18465702</v>
      </c>
      <c r="AN4" s="70">
        <f t="shared" si="4"/>
        <v>20717531</v>
      </c>
      <c r="AO4" s="70">
        <f t="shared" si="4"/>
        <v>29857224</v>
      </c>
      <c r="AP4" s="70">
        <f t="shared" si="4"/>
        <v>31292136</v>
      </c>
      <c r="AQ4" s="70">
        <f t="shared" si="4"/>
        <v>33010625</v>
      </c>
      <c r="AR4" s="70">
        <f t="shared" si="4"/>
        <v>81542678.340000004</v>
      </c>
      <c r="AS4" s="70">
        <f t="shared" si="4"/>
        <v>4852498</v>
      </c>
      <c r="AT4" s="70">
        <f t="shared" si="4"/>
        <v>7136238.4299999997</v>
      </c>
      <c r="AU4" s="70">
        <f t="shared" si="4"/>
        <v>9023532.4299999997</v>
      </c>
      <c r="AV4" s="70">
        <f>SUM(AV5:AV6)</f>
        <v>11309807.43</v>
      </c>
      <c r="AW4" s="70">
        <f>SUM(AW5:AW6)</f>
        <v>14200906.43</v>
      </c>
      <c r="AX4" s="70">
        <f>SUM(AX5:AX6)</f>
        <v>17427594.43</v>
      </c>
      <c r="AY4" s="70">
        <f>SUM(AY5:AY6)</f>
        <v>20565106.43</v>
      </c>
      <c r="AZ4" s="70">
        <f t="shared" ref="AZ4:CS4" si="5">SUM(AZ5:AZ6)</f>
        <v>24157986.43</v>
      </c>
      <c r="BA4" s="70">
        <f t="shared" si="5"/>
        <v>27461311.43</v>
      </c>
      <c r="BB4" s="70">
        <f t="shared" si="5"/>
        <v>36099882.700000003</v>
      </c>
      <c r="BC4" s="70">
        <f t="shared" si="5"/>
        <v>40701925.700000003</v>
      </c>
      <c r="BD4" s="70">
        <f t="shared" si="5"/>
        <v>44261312.589999996</v>
      </c>
      <c r="BE4" s="70">
        <f t="shared" si="5"/>
        <v>0</v>
      </c>
      <c r="BF4" s="70">
        <f t="shared" si="5"/>
        <v>4349176</v>
      </c>
      <c r="BG4" s="70">
        <f t="shared" si="5"/>
        <v>7101550</v>
      </c>
      <c r="BH4" s="70">
        <f t="shared" si="5"/>
        <v>8734302</v>
      </c>
      <c r="BI4" s="70">
        <f t="shared" si="5"/>
        <v>13264631</v>
      </c>
      <c r="BJ4" s="70">
        <f t="shared" si="5"/>
        <v>15322272</v>
      </c>
      <c r="BK4" s="70">
        <f t="shared" si="5"/>
        <v>18368135</v>
      </c>
      <c r="BL4" s="70">
        <f t="shared" si="5"/>
        <v>0</v>
      </c>
      <c r="BM4" s="70">
        <f t="shared" si="5"/>
        <v>74530461</v>
      </c>
      <c r="BN4" s="70">
        <f t="shared" si="5"/>
        <v>27136134</v>
      </c>
      <c r="BO4" s="70">
        <f t="shared" si="5"/>
        <v>35605811</v>
      </c>
      <c r="BP4" s="70">
        <f t="shared" si="5"/>
        <v>75111924</v>
      </c>
      <c r="BQ4" s="70">
        <f t="shared" si="5"/>
        <v>44796021.060000002</v>
      </c>
      <c r="BR4" s="70">
        <f t="shared" si="5"/>
        <v>87590004.599999994</v>
      </c>
      <c r="BS4" s="70">
        <f t="shared" si="5"/>
        <v>5563660</v>
      </c>
      <c r="BT4" s="70">
        <f t="shared" si="5"/>
        <v>7927435</v>
      </c>
      <c r="BU4" s="70">
        <f t="shared" si="5"/>
        <v>10213417.9</v>
      </c>
      <c r="BV4" s="70">
        <f t="shared" si="5"/>
        <v>11620173.199999999</v>
      </c>
      <c r="BW4" s="70">
        <f t="shared" si="5"/>
        <v>13644773.199999999</v>
      </c>
      <c r="BX4" s="70">
        <f t="shared" si="5"/>
        <v>18245195.199999999</v>
      </c>
      <c r="BY4" s="70">
        <f t="shared" si="5"/>
        <v>20957225.199999999</v>
      </c>
      <c r="BZ4" s="70">
        <f t="shared" si="5"/>
        <v>0</v>
      </c>
      <c r="CA4" s="70">
        <f t="shared" si="5"/>
        <v>0</v>
      </c>
      <c r="CB4" s="70">
        <f t="shared" si="5"/>
        <v>0</v>
      </c>
      <c r="CC4" s="70">
        <f t="shared" si="5"/>
        <v>0</v>
      </c>
      <c r="CD4" s="70">
        <f t="shared" si="5"/>
        <v>0</v>
      </c>
      <c r="CE4" s="70">
        <f t="shared" si="5"/>
        <v>83324197.069999993</v>
      </c>
      <c r="CF4" s="70">
        <f t="shared" si="5"/>
        <v>1932620</v>
      </c>
      <c r="CG4" s="70">
        <f t="shared" si="5"/>
        <v>4377000</v>
      </c>
      <c r="CH4" s="70">
        <f t="shared" si="5"/>
        <v>6993050</v>
      </c>
      <c r="CI4" s="70">
        <f t="shared" si="5"/>
        <v>11040500</v>
      </c>
      <c r="CJ4" s="70">
        <f t="shared" si="5"/>
        <v>15512380</v>
      </c>
      <c r="CK4" s="70">
        <f t="shared" si="5"/>
        <v>19872560</v>
      </c>
      <c r="CL4" s="70">
        <f t="shared" si="5"/>
        <v>25437180</v>
      </c>
      <c r="CM4" s="70">
        <f t="shared" si="5"/>
        <v>30054355</v>
      </c>
      <c r="CN4" s="70">
        <f t="shared" si="5"/>
        <v>34342295</v>
      </c>
      <c r="CO4" s="70">
        <f t="shared" si="5"/>
        <v>37969072</v>
      </c>
      <c r="CP4" s="70">
        <f t="shared" si="5"/>
        <v>42393869</v>
      </c>
      <c r="CQ4" s="70">
        <f t="shared" si="5"/>
        <v>50314011</v>
      </c>
      <c r="CR4" s="70">
        <f t="shared" si="5"/>
        <v>91964608.397</v>
      </c>
      <c r="CS4" s="70">
        <f t="shared" si="5"/>
        <v>5348140</v>
      </c>
    </row>
    <row r="5" spans="1:102" x14ac:dyDescent="0.3">
      <c r="A5" s="12" t="s">
        <v>135</v>
      </c>
      <c r="B5" s="18">
        <v>25181368.629999999</v>
      </c>
      <c r="C5" s="18">
        <v>23538214.359999999</v>
      </c>
      <c r="D5" s="44">
        <v>29443949</v>
      </c>
      <c r="E5" s="13">
        <v>2039868.35</v>
      </c>
      <c r="F5" s="13">
        <v>2097436</v>
      </c>
      <c r="G5" s="13">
        <v>3762373.85</v>
      </c>
      <c r="H5" s="13">
        <v>5471623.5499999998</v>
      </c>
      <c r="I5" s="13">
        <v>14148801.4</v>
      </c>
      <c r="J5" s="13">
        <v>8770411.6999999993</v>
      </c>
      <c r="K5" s="158">
        <v>10870080</v>
      </c>
      <c r="L5" s="13">
        <v>12560132</v>
      </c>
      <c r="M5" s="13">
        <v>43287729</v>
      </c>
      <c r="N5" s="13">
        <v>16069168</v>
      </c>
      <c r="O5" s="13">
        <v>22975128.329999998</v>
      </c>
      <c r="P5" s="13">
        <v>47023005.020000003</v>
      </c>
      <c r="Q5" s="66">
        <v>28623656.670000002</v>
      </c>
      <c r="R5" s="44">
        <v>28623656.670000002</v>
      </c>
      <c r="S5" s="13">
        <v>3251748.3</v>
      </c>
      <c r="T5" s="13">
        <v>3744572.15</v>
      </c>
      <c r="U5" s="13">
        <v>9894010.3000000007</v>
      </c>
      <c r="V5" s="13">
        <v>6692411.1500000004</v>
      </c>
      <c r="W5" s="13">
        <v>8209384.04</v>
      </c>
      <c r="X5" s="13">
        <v>9931747.4000000004</v>
      </c>
      <c r="Y5" s="13">
        <v>35986882.200000003</v>
      </c>
      <c r="Z5" s="13">
        <v>27526636.800000001</v>
      </c>
      <c r="AA5" s="13">
        <v>79000162</v>
      </c>
      <c r="AB5" s="13">
        <v>40622572.060000002</v>
      </c>
      <c r="AC5" s="13">
        <v>74567253</v>
      </c>
      <c r="AD5" s="13">
        <v>28045908.649999999</v>
      </c>
      <c r="AE5" s="79">
        <v>28045908.649999999</v>
      </c>
      <c r="AF5" s="78">
        <v>2434413</v>
      </c>
      <c r="AG5" s="78">
        <v>4225347</v>
      </c>
      <c r="AH5" s="78">
        <v>5816933</v>
      </c>
      <c r="AI5" s="78">
        <v>7695589</v>
      </c>
      <c r="AJ5" s="78">
        <v>8871455</v>
      </c>
      <c r="AK5" s="78">
        <v>12422417</v>
      </c>
      <c r="AL5" s="78">
        <v>12422417</v>
      </c>
      <c r="AM5" s="78">
        <v>17540097</v>
      </c>
      <c r="AN5" s="78">
        <v>19780076</v>
      </c>
      <c r="AO5" s="78">
        <v>28953004</v>
      </c>
      <c r="AP5" s="100">
        <v>30340681</v>
      </c>
      <c r="AQ5" s="100">
        <v>31745220</v>
      </c>
      <c r="AR5" s="93">
        <v>31745220</v>
      </c>
      <c r="AS5" s="13">
        <v>3850476</v>
      </c>
      <c r="AT5" s="13">
        <v>6061886.4299999997</v>
      </c>
      <c r="AU5" s="13">
        <v>7922160.4299999997</v>
      </c>
      <c r="AV5" s="13">
        <v>10177285.43</v>
      </c>
      <c r="AW5" s="13">
        <v>13010854.43</v>
      </c>
      <c r="AX5" s="13">
        <v>16219392.43</v>
      </c>
      <c r="AY5" s="13">
        <v>19332174.43</v>
      </c>
      <c r="AZ5" s="13">
        <v>22914704.43</v>
      </c>
      <c r="BA5" s="13">
        <v>26191579.43</v>
      </c>
      <c r="BB5" s="13">
        <v>34520826.700000003</v>
      </c>
      <c r="BC5" s="13">
        <v>38408095.700000003</v>
      </c>
      <c r="BD5" s="13">
        <v>41522628.289999999</v>
      </c>
      <c r="BF5" s="13">
        <v>3837830</v>
      </c>
      <c r="BG5" s="13">
        <v>6647370</v>
      </c>
      <c r="BH5" s="13">
        <v>8208839</v>
      </c>
      <c r="BI5" s="13">
        <v>12749525</v>
      </c>
      <c r="BJ5" s="13">
        <v>15194412</v>
      </c>
      <c r="BK5" s="13">
        <v>18229495</v>
      </c>
      <c r="BL5" s="13"/>
      <c r="BM5" s="13">
        <v>74061501</v>
      </c>
      <c r="BN5" s="13">
        <v>26967754</v>
      </c>
      <c r="BO5" s="13">
        <v>35429011</v>
      </c>
      <c r="BP5" s="13">
        <v>74123784</v>
      </c>
      <c r="BQ5" s="13">
        <v>41504075.859999999</v>
      </c>
      <c r="BR5" s="100">
        <v>41504075.859999999</v>
      </c>
      <c r="BS5">
        <v>4836890</v>
      </c>
      <c r="BT5">
        <v>6924220</v>
      </c>
      <c r="BU5">
        <v>9103670</v>
      </c>
      <c r="BV5">
        <v>10555840</v>
      </c>
      <c r="BW5" s="172">
        <v>12428200</v>
      </c>
      <c r="BX5" s="174">
        <v>16901782</v>
      </c>
      <c r="BY5" s="174">
        <v>19418952</v>
      </c>
      <c r="CE5" s="176">
        <v>43442457.530000001</v>
      </c>
      <c r="CF5" s="13">
        <v>1766980</v>
      </c>
      <c r="CG5" s="13">
        <v>4038920</v>
      </c>
      <c r="CH5" s="13">
        <v>6488830</v>
      </c>
      <c r="CI5" s="13">
        <v>10238620</v>
      </c>
      <c r="CJ5" s="13">
        <v>14423280</v>
      </c>
      <c r="CK5" s="13">
        <v>18581520</v>
      </c>
      <c r="CL5" s="13">
        <v>23620390</v>
      </c>
      <c r="CM5" s="13">
        <v>27781245</v>
      </c>
      <c r="CN5" s="13">
        <v>31646785</v>
      </c>
      <c r="CO5" s="13">
        <v>35339325</v>
      </c>
      <c r="CP5" s="13">
        <v>39553235</v>
      </c>
      <c r="CQ5" s="13">
        <v>47019726</v>
      </c>
      <c r="CR5" s="79">
        <v>47019726.107000001</v>
      </c>
      <c r="CS5" s="225">
        <v>4764670</v>
      </c>
    </row>
    <row r="6" spans="1:102" ht="22.8" x14ac:dyDescent="0.3">
      <c r="A6" s="12" t="s">
        <v>136</v>
      </c>
      <c r="B6" s="18">
        <v>21991759</v>
      </c>
      <c r="C6" s="18">
        <v>24288137.399999999</v>
      </c>
      <c r="D6" s="45">
        <v>28023588.48</v>
      </c>
      <c r="E6" s="13">
        <v>610588</v>
      </c>
      <c r="F6" s="13">
        <v>677984</v>
      </c>
      <c r="G6" s="13">
        <v>714798</v>
      </c>
      <c r="H6" s="13">
        <v>728598</v>
      </c>
      <c r="I6" s="13">
        <v>1557256</v>
      </c>
      <c r="J6" s="13">
        <v>778628</v>
      </c>
      <c r="K6" s="158">
        <v>835793</v>
      </c>
      <c r="L6" s="13">
        <v>857293</v>
      </c>
      <c r="M6" s="13">
        <v>2911161</v>
      </c>
      <c r="N6" s="13">
        <v>980887</v>
      </c>
      <c r="O6" s="13">
        <v>986387</v>
      </c>
      <c r="P6" s="13">
        <v>1999574</v>
      </c>
      <c r="Q6" s="66">
        <v>1352487</v>
      </c>
      <c r="R6" s="44">
        <v>39556534.890000001</v>
      </c>
      <c r="S6" s="13">
        <v>1528620</v>
      </c>
      <c r="T6" s="13">
        <v>811111</v>
      </c>
      <c r="U6" s="13">
        <v>1570578</v>
      </c>
      <c r="V6" s="13">
        <v>789789</v>
      </c>
      <c r="W6" s="13">
        <v>796789</v>
      </c>
      <c r="X6" s="13">
        <v>803289</v>
      </c>
      <c r="Y6" s="13">
        <v>2529783</v>
      </c>
      <c r="Z6" s="13">
        <v>1806556</v>
      </c>
      <c r="AA6" s="13">
        <v>4536390</v>
      </c>
      <c r="AB6" s="13">
        <v>1814556</v>
      </c>
      <c r="AC6" s="13">
        <v>2724987</v>
      </c>
      <c r="AD6" s="13">
        <v>1239529.5</v>
      </c>
      <c r="AE6" s="79">
        <v>42029754.75</v>
      </c>
      <c r="AF6" s="87">
        <v>751565</v>
      </c>
      <c r="AG6" s="87">
        <v>805445</v>
      </c>
      <c r="AH6" s="87">
        <v>836605</v>
      </c>
      <c r="AI6" s="87">
        <v>869605</v>
      </c>
      <c r="AJ6" s="87">
        <v>883655</v>
      </c>
      <c r="AK6" s="87">
        <v>906405</v>
      </c>
      <c r="AL6" s="87">
        <v>906405</v>
      </c>
      <c r="AM6" s="87">
        <v>925605</v>
      </c>
      <c r="AN6" s="87">
        <v>937455</v>
      </c>
      <c r="AO6" s="87">
        <v>904220</v>
      </c>
      <c r="AP6" s="100">
        <v>951455</v>
      </c>
      <c r="AQ6" s="100">
        <v>1265405</v>
      </c>
      <c r="AR6" s="94">
        <v>49797458.340000004</v>
      </c>
      <c r="AS6" s="13">
        <v>1002022</v>
      </c>
      <c r="AT6" s="13">
        <v>1074352</v>
      </c>
      <c r="AU6" s="13">
        <v>1101372</v>
      </c>
      <c r="AV6" s="13">
        <v>1132522</v>
      </c>
      <c r="AW6" s="13">
        <v>1190052</v>
      </c>
      <c r="AX6" s="13">
        <v>1208202</v>
      </c>
      <c r="AY6" s="13">
        <v>1232932</v>
      </c>
      <c r="AZ6" s="13">
        <v>1243282</v>
      </c>
      <c r="BA6" s="13">
        <v>1269732</v>
      </c>
      <c r="BB6" s="13">
        <v>1579056</v>
      </c>
      <c r="BC6" s="13">
        <v>2293830</v>
      </c>
      <c r="BD6" s="13">
        <v>2738684.3</v>
      </c>
      <c r="BF6" s="13">
        <v>511346</v>
      </c>
      <c r="BG6" s="13">
        <v>454180</v>
      </c>
      <c r="BH6" s="13">
        <v>525463</v>
      </c>
      <c r="BI6" s="13">
        <v>515106</v>
      </c>
      <c r="BJ6" s="13">
        <v>127860</v>
      </c>
      <c r="BK6" s="13">
        <v>138640</v>
      </c>
      <c r="BL6" s="13"/>
      <c r="BM6" s="13">
        <v>468960</v>
      </c>
      <c r="BN6" s="13">
        <v>168380</v>
      </c>
      <c r="BO6" s="13">
        <v>176800</v>
      </c>
      <c r="BP6" s="13">
        <v>988140</v>
      </c>
      <c r="BQ6" s="13">
        <v>3291945.2</v>
      </c>
      <c r="BR6" s="101">
        <v>46085928.740000002</v>
      </c>
      <c r="BS6">
        <v>726770</v>
      </c>
      <c r="BT6">
        <v>1003215</v>
      </c>
      <c r="BU6">
        <v>1109747.8999999999</v>
      </c>
      <c r="BV6">
        <v>1064333.2</v>
      </c>
      <c r="BW6" s="172">
        <v>1216573.2</v>
      </c>
      <c r="BX6" s="174">
        <v>1343413.2</v>
      </c>
      <c r="BY6" s="174">
        <v>1538273.2</v>
      </c>
      <c r="CE6" s="176">
        <v>39881739.539999999</v>
      </c>
      <c r="CF6" s="13">
        <v>165640</v>
      </c>
      <c r="CG6" s="13">
        <v>338080</v>
      </c>
      <c r="CH6" s="13">
        <v>504220</v>
      </c>
      <c r="CI6" s="13">
        <v>801880</v>
      </c>
      <c r="CJ6" s="13">
        <v>1089100</v>
      </c>
      <c r="CK6" s="13">
        <v>1291040</v>
      </c>
      <c r="CL6" s="13">
        <v>1816790</v>
      </c>
      <c r="CM6" s="13">
        <v>2273110</v>
      </c>
      <c r="CN6" s="13">
        <v>2695510</v>
      </c>
      <c r="CO6" s="13">
        <v>2629747</v>
      </c>
      <c r="CP6" s="13">
        <v>2840634</v>
      </c>
      <c r="CQ6" s="13">
        <v>3294285</v>
      </c>
      <c r="CR6" s="79">
        <v>44944882.289999999</v>
      </c>
      <c r="CS6" s="225">
        <v>583470</v>
      </c>
    </row>
    <row r="7" spans="1:102" ht="24" x14ac:dyDescent="0.3">
      <c r="A7" s="10" t="s">
        <v>137</v>
      </c>
      <c r="B7" s="50">
        <f>SUM(B8:B11)</f>
        <v>16420261.43</v>
      </c>
      <c r="C7" s="50">
        <f>SUM(C8:C11)</f>
        <v>33570387.469999999</v>
      </c>
      <c r="D7" s="43">
        <v>18290060.5</v>
      </c>
      <c r="E7" s="50">
        <f t="shared" ref="E7:AU7" si="6">SUM(E8:E11)</f>
        <v>2971441.45</v>
      </c>
      <c r="F7" s="50">
        <f t="shared" si="6"/>
        <v>3320109</v>
      </c>
      <c r="G7" s="50">
        <f t="shared" si="6"/>
        <v>5453601</v>
      </c>
      <c r="H7" s="50">
        <f t="shared" si="6"/>
        <v>7714749.2999999998</v>
      </c>
      <c r="I7" s="50">
        <f t="shared" si="6"/>
        <v>19489541.600000001</v>
      </c>
      <c r="J7" s="50">
        <f t="shared" si="6"/>
        <v>12241531.5</v>
      </c>
      <c r="K7" s="50">
        <f t="shared" si="6"/>
        <v>14716168.5</v>
      </c>
      <c r="L7" s="50">
        <f t="shared" si="6"/>
        <v>30748286.5</v>
      </c>
      <c r="M7" s="50">
        <f t="shared" si="6"/>
        <v>99387944.400000006</v>
      </c>
      <c r="N7" s="50">
        <f t="shared" si="6"/>
        <v>35879268.799999997</v>
      </c>
      <c r="O7" s="50">
        <f t="shared" si="6"/>
        <v>50049890.420000002</v>
      </c>
      <c r="P7" s="50">
        <f t="shared" si="6"/>
        <v>115776032.84</v>
      </c>
      <c r="Q7" s="43">
        <f t="shared" si="6"/>
        <v>66736027.959999993</v>
      </c>
      <c r="R7" s="70">
        <f t="shared" si="6"/>
        <v>28531980.07</v>
      </c>
      <c r="S7" s="70">
        <f t="shared" si="6"/>
        <v>8697213.0199999996</v>
      </c>
      <c r="T7" s="70">
        <f t="shared" si="6"/>
        <v>6667800.9000000004</v>
      </c>
      <c r="U7" s="70">
        <f t="shared" si="6"/>
        <v>18580916.640000001</v>
      </c>
      <c r="V7" s="70">
        <f t="shared" si="6"/>
        <v>11543445.43</v>
      </c>
      <c r="W7" s="70">
        <f t="shared" si="6"/>
        <v>14289415.66</v>
      </c>
      <c r="X7" s="70">
        <f t="shared" si="6"/>
        <v>33281427.329999998</v>
      </c>
      <c r="Y7" s="70">
        <f t="shared" si="6"/>
        <v>108460276.28999999</v>
      </c>
      <c r="Z7" s="70">
        <f t="shared" si="6"/>
        <v>77045728.859999999</v>
      </c>
      <c r="AA7" s="70">
        <f t="shared" si="6"/>
        <v>204859252.15000001</v>
      </c>
      <c r="AB7" s="70">
        <f t="shared" si="6"/>
        <v>115318780.86</v>
      </c>
      <c r="AC7" s="70">
        <f t="shared" si="6"/>
        <v>178376242.28999999</v>
      </c>
      <c r="AD7" s="70">
        <f t="shared" si="6"/>
        <v>60389106.300000004</v>
      </c>
      <c r="AE7" s="70">
        <f t="shared" si="6"/>
        <v>22374054.260000002</v>
      </c>
      <c r="AF7" s="70">
        <f t="shared" si="6"/>
        <v>5375545</v>
      </c>
      <c r="AG7" s="70">
        <f t="shared" si="6"/>
        <v>8271579.96</v>
      </c>
      <c r="AH7" s="70">
        <f t="shared" si="6"/>
        <v>11638246</v>
      </c>
      <c r="AI7" s="70">
        <f t="shared" si="6"/>
        <v>12566175</v>
      </c>
      <c r="AJ7" s="70">
        <f t="shared" si="6"/>
        <v>16751751</v>
      </c>
      <c r="AK7" s="70">
        <f t="shared" si="6"/>
        <v>42927001.489999995</v>
      </c>
      <c r="AL7" s="70">
        <f t="shared" si="6"/>
        <v>42927001.489999995</v>
      </c>
      <c r="AM7" s="70">
        <f t="shared" si="6"/>
        <v>47690449.090000004</v>
      </c>
      <c r="AN7" s="70">
        <f t="shared" si="6"/>
        <v>50532171.489999995</v>
      </c>
      <c r="AO7" s="70">
        <f t="shared" si="6"/>
        <v>65954493</v>
      </c>
      <c r="AP7" s="70">
        <f t="shared" si="6"/>
        <v>71276947</v>
      </c>
      <c r="AQ7" s="70">
        <f t="shared" si="6"/>
        <v>75735640.689999998</v>
      </c>
      <c r="AR7" s="70">
        <f t="shared" si="6"/>
        <v>41778587.349999994</v>
      </c>
      <c r="AS7" s="70">
        <f t="shared" si="6"/>
        <v>5769962</v>
      </c>
      <c r="AT7" s="70">
        <f t="shared" si="6"/>
        <v>8870415</v>
      </c>
      <c r="AU7" s="70">
        <f t="shared" si="6"/>
        <v>11802053</v>
      </c>
      <c r="AV7" s="70">
        <f>SUM(AV8:AV11)</f>
        <v>14397807</v>
      </c>
      <c r="AW7" s="70">
        <f>SUM(AW8:AW11)</f>
        <v>17480724</v>
      </c>
      <c r="AX7" s="70">
        <f>SUM(AX8:AX11)</f>
        <v>42773122.049999997</v>
      </c>
      <c r="AY7" s="70">
        <f>SUM(AY8:AY11)</f>
        <v>48070082</v>
      </c>
      <c r="AZ7" s="70">
        <f t="shared" ref="AZ7:CS7" si="7">SUM(AZ8:AZ11)</f>
        <v>51175418</v>
      </c>
      <c r="BA7" s="70">
        <f t="shared" si="7"/>
        <v>54416379</v>
      </c>
      <c r="BB7" s="70">
        <f t="shared" si="7"/>
        <v>64646238.090000004</v>
      </c>
      <c r="BC7" s="70">
        <f t="shared" si="7"/>
        <v>66729383.350000001</v>
      </c>
      <c r="BD7" s="70">
        <f t="shared" si="7"/>
        <v>73164519.140000001</v>
      </c>
      <c r="BE7" s="70">
        <f t="shared" si="7"/>
        <v>0</v>
      </c>
      <c r="BF7" s="70">
        <f t="shared" si="7"/>
        <v>3485462.13</v>
      </c>
      <c r="BG7" s="70">
        <f t="shared" si="7"/>
        <v>6232450</v>
      </c>
      <c r="BH7" s="70">
        <f t="shared" si="7"/>
        <v>9241795</v>
      </c>
      <c r="BI7" s="70">
        <f t="shared" si="7"/>
        <v>11732162</v>
      </c>
      <c r="BJ7" s="70">
        <f t="shared" si="7"/>
        <v>39039863</v>
      </c>
      <c r="BK7" s="70">
        <f t="shared" si="7"/>
        <v>42786080</v>
      </c>
      <c r="BL7" s="70">
        <f t="shared" si="7"/>
        <v>0</v>
      </c>
      <c r="BM7" s="70">
        <f t="shared" si="7"/>
        <v>149842113</v>
      </c>
      <c r="BN7" s="70">
        <f t="shared" si="7"/>
        <v>52868762</v>
      </c>
      <c r="BO7" s="70">
        <f t="shared" si="7"/>
        <v>67075386.5</v>
      </c>
      <c r="BP7" s="70">
        <f t="shared" si="7"/>
        <v>144020652</v>
      </c>
      <c r="BQ7" s="70">
        <f t="shared" si="7"/>
        <v>73373968.489999995</v>
      </c>
      <c r="BR7" s="70">
        <f t="shared" si="7"/>
        <v>30579984.93</v>
      </c>
      <c r="BS7" s="70">
        <f t="shared" si="7"/>
        <v>3521779.61</v>
      </c>
      <c r="BT7" s="70">
        <f t="shared" si="7"/>
        <v>6442007.75</v>
      </c>
      <c r="BU7" s="70">
        <f t="shared" si="7"/>
        <v>9747176.1099999994</v>
      </c>
      <c r="BV7" s="70">
        <f t="shared" si="7"/>
        <v>37175633.900000006</v>
      </c>
      <c r="BW7" s="70">
        <f t="shared" si="7"/>
        <v>40219635.050000004</v>
      </c>
      <c r="BX7" s="70">
        <f t="shared" si="7"/>
        <v>44202511.770000003</v>
      </c>
      <c r="BY7" s="70">
        <f t="shared" si="7"/>
        <v>47697630.079999998</v>
      </c>
      <c r="BZ7" s="70">
        <f t="shared" si="7"/>
        <v>0</v>
      </c>
      <c r="CA7" s="70">
        <f t="shared" si="7"/>
        <v>0</v>
      </c>
      <c r="CB7" s="70">
        <f t="shared" si="7"/>
        <v>0</v>
      </c>
      <c r="CC7" s="70">
        <f t="shared" si="7"/>
        <v>0</v>
      </c>
      <c r="CD7" s="70">
        <f t="shared" si="7"/>
        <v>0</v>
      </c>
      <c r="CE7" s="70">
        <f t="shared" si="7"/>
        <v>30183865.229999997</v>
      </c>
      <c r="CF7" s="70">
        <f t="shared" si="7"/>
        <v>3656390.58</v>
      </c>
      <c r="CG7" s="70">
        <f t="shared" si="7"/>
        <v>7542420</v>
      </c>
      <c r="CH7" s="70">
        <f t="shared" si="7"/>
        <v>11249120.48</v>
      </c>
      <c r="CI7" s="70">
        <f t="shared" si="7"/>
        <v>15154850.42</v>
      </c>
      <c r="CJ7" s="70">
        <f t="shared" si="7"/>
        <v>18749579.48</v>
      </c>
      <c r="CK7" s="70">
        <f t="shared" si="7"/>
        <v>45907012.409999996</v>
      </c>
      <c r="CL7" s="70">
        <f t="shared" si="7"/>
        <v>59055125.219999999</v>
      </c>
      <c r="CM7" s="70">
        <f t="shared" si="7"/>
        <v>60966073.620000005</v>
      </c>
      <c r="CN7" s="70">
        <f t="shared" si="7"/>
        <v>64096715.099999994</v>
      </c>
      <c r="CO7" s="70">
        <f t="shared" si="7"/>
        <v>66688973.07</v>
      </c>
      <c r="CP7" s="70">
        <f t="shared" si="7"/>
        <v>68869269.659999996</v>
      </c>
      <c r="CQ7" s="70">
        <f t="shared" si="7"/>
        <v>71522004.030000001</v>
      </c>
      <c r="CR7" s="70">
        <f t="shared" si="7"/>
        <v>30698305.059999999</v>
      </c>
      <c r="CS7" s="70">
        <f t="shared" si="7"/>
        <v>4993648.22</v>
      </c>
    </row>
    <row r="8" spans="1:102" x14ac:dyDescent="0.3">
      <c r="A8" s="12" t="s">
        <v>138</v>
      </c>
      <c r="B8" s="18"/>
      <c r="C8" s="18"/>
      <c r="D8" s="46"/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58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66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78">
        <v>0</v>
      </c>
      <c r="Z8" s="78">
        <v>0</v>
      </c>
      <c r="AA8">
        <v>0</v>
      </c>
      <c r="AB8" s="13">
        <v>0</v>
      </c>
      <c r="AC8" s="13">
        <v>0</v>
      </c>
      <c r="AD8" s="13">
        <v>0</v>
      </c>
      <c r="AJ8" s="78">
        <v>0</v>
      </c>
      <c r="AK8" s="78">
        <v>0</v>
      </c>
      <c r="AL8" s="78">
        <v>0</v>
      </c>
      <c r="AM8" s="78">
        <v>0</v>
      </c>
      <c r="AN8" s="78">
        <v>0</v>
      </c>
      <c r="AO8" s="78">
        <v>0</v>
      </c>
      <c r="AP8" s="100">
        <v>0</v>
      </c>
      <c r="AQ8" s="100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/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S8">
        <v>0</v>
      </c>
      <c r="BT8">
        <v>0</v>
      </c>
      <c r="BU8">
        <v>0</v>
      </c>
      <c r="BV8">
        <v>0</v>
      </c>
      <c r="BW8" s="171">
        <v>0</v>
      </c>
      <c r="BX8" s="173">
        <v>0</v>
      </c>
      <c r="BY8" s="17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S8" s="225">
        <v>0</v>
      </c>
    </row>
    <row r="9" spans="1:102" ht="22.8" x14ac:dyDescent="0.3">
      <c r="A9" s="12" t="s">
        <v>139</v>
      </c>
      <c r="B9" s="18">
        <v>779407.88</v>
      </c>
      <c r="C9" s="18">
        <v>737488</v>
      </c>
      <c r="D9" s="44">
        <v>389050</v>
      </c>
      <c r="E9" s="13">
        <v>75752</v>
      </c>
      <c r="F9" s="13">
        <v>0</v>
      </c>
      <c r="G9" s="13">
        <v>77332</v>
      </c>
      <c r="H9" s="13">
        <v>77332</v>
      </c>
      <c r="I9" s="13">
        <v>154664</v>
      </c>
      <c r="J9" s="13">
        <v>77332</v>
      </c>
      <c r="K9" s="158">
        <v>166765</v>
      </c>
      <c r="L9" s="13">
        <v>166765</v>
      </c>
      <c r="M9" s="13">
        <v>500295</v>
      </c>
      <c r="N9" s="13">
        <v>166765</v>
      </c>
      <c r="O9" s="13">
        <v>166765</v>
      </c>
      <c r="P9" s="13">
        <v>333530</v>
      </c>
      <c r="Q9" s="66">
        <v>877038.98</v>
      </c>
      <c r="R9" s="44">
        <v>877038.98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78">
        <v>0</v>
      </c>
      <c r="Z9" s="78">
        <v>0</v>
      </c>
      <c r="AA9">
        <v>0</v>
      </c>
      <c r="AB9" s="13">
        <v>0</v>
      </c>
      <c r="AC9" s="13">
        <v>0</v>
      </c>
      <c r="AD9" s="13">
        <v>0</v>
      </c>
      <c r="AJ9" s="78">
        <v>0</v>
      </c>
      <c r="AK9" s="78">
        <v>0</v>
      </c>
      <c r="AL9" s="78">
        <v>0</v>
      </c>
      <c r="AM9" s="78">
        <v>0</v>
      </c>
      <c r="AN9" s="78">
        <v>0</v>
      </c>
      <c r="AO9" s="78">
        <v>0</v>
      </c>
      <c r="AP9" s="100">
        <v>0</v>
      </c>
      <c r="AQ9" s="100">
        <v>1184388.1499999999</v>
      </c>
      <c r="AR9" s="93">
        <v>1184388.1499999999</v>
      </c>
      <c r="AS9" s="13">
        <v>0</v>
      </c>
      <c r="AT9" s="13">
        <v>0</v>
      </c>
      <c r="AU9" s="13">
        <v>0</v>
      </c>
      <c r="AV9" s="13">
        <v>0</v>
      </c>
      <c r="AW9" s="13">
        <v>116090</v>
      </c>
      <c r="AX9" s="13">
        <v>132864</v>
      </c>
      <c r="AY9" s="13">
        <v>132864</v>
      </c>
      <c r="AZ9" s="13">
        <v>132864</v>
      </c>
      <c r="BA9" s="13">
        <v>147235</v>
      </c>
      <c r="BB9" s="13">
        <v>147902</v>
      </c>
      <c r="BC9" s="13">
        <v>152668</v>
      </c>
      <c r="BD9" s="13">
        <v>152570.13</v>
      </c>
      <c r="BF9" s="13">
        <v>152570.13</v>
      </c>
      <c r="BG9" s="13">
        <v>0</v>
      </c>
      <c r="BH9" s="13">
        <v>0</v>
      </c>
      <c r="BI9" s="13">
        <v>0</v>
      </c>
      <c r="BJ9" s="13">
        <v>0</v>
      </c>
      <c r="BK9" s="13">
        <v>17939</v>
      </c>
      <c r="BL9" s="13"/>
      <c r="BM9" s="13">
        <v>60771</v>
      </c>
      <c r="BN9" s="13">
        <v>856055</v>
      </c>
      <c r="BO9" s="13">
        <v>860310</v>
      </c>
      <c r="BP9" s="13">
        <v>1729152</v>
      </c>
      <c r="BQ9" s="13">
        <v>1739480.66</v>
      </c>
      <c r="BR9" s="79">
        <v>1739480.66</v>
      </c>
      <c r="BS9">
        <v>0</v>
      </c>
      <c r="BT9">
        <v>0</v>
      </c>
      <c r="BU9">
        <v>0</v>
      </c>
      <c r="BV9">
        <v>170839.85</v>
      </c>
      <c r="BW9" s="172">
        <v>173755.17</v>
      </c>
      <c r="BX9" s="174">
        <v>176766.1</v>
      </c>
      <c r="BY9" s="174">
        <v>176927.28</v>
      </c>
      <c r="CE9" s="176">
        <v>180424.97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6730.12</v>
      </c>
      <c r="CP9" s="13">
        <v>56138.38</v>
      </c>
      <c r="CQ9" s="13">
        <v>56562.2</v>
      </c>
      <c r="CR9" s="79">
        <v>56562.2</v>
      </c>
      <c r="CS9" s="225">
        <v>0</v>
      </c>
    </row>
    <row r="10" spans="1:102" x14ac:dyDescent="0.3">
      <c r="A10" s="12" t="s">
        <v>140</v>
      </c>
      <c r="B10" s="18">
        <v>8480529.0999999996</v>
      </c>
      <c r="C10" s="18">
        <v>8396992.4700000007</v>
      </c>
      <c r="D10" s="44">
        <v>10560511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3552</v>
      </c>
      <c r="K10" s="158">
        <v>97285</v>
      </c>
      <c r="L10" s="13">
        <v>13410831</v>
      </c>
      <c r="M10" s="13">
        <v>40244331.899999999</v>
      </c>
      <c r="N10" s="13">
        <v>13414777.300000001</v>
      </c>
      <c r="O10" s="13">
        <v>13414777.300000001</v>
      </c>
      <c r="P10" s="13">
        <v>33652454.600000001</v>
      </c>
      <c r="Q10" s="66">
        <v>22411691</v>
      </c>
      <c r="R10" s="44">
        <v>22411691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16789000.829999998</v>
      </c>
      <c r="Y10" s="78">
        <v>50367002.490000002</v>
      </c>
      <c r="Z10" s="78">
        <v>33578001.659999996</v>
      </c>
      <c r="AA10" s="100">
        <v>83945004.150000006</v>
      </c>
      <c r="AB10" s="13">
        <v>33578001.659999996</v>
      </c>
      <c r="AC10" s="13">
        <v>50367002.490000002</v>
      </c>
      <c r="AD10" s="13">
        <v>16894088.600000001</v>
      </c>
      <c r="AE10" s="159">
        <v>16894088.600000001</v>
      </c>
      <c r="AF10" s="13">
        <v>0</v>
      </c>
      <c r="AG10" s="13">
        <v>0</v>
      </c>
      <c r="AH10" s="13">
        <v>0</v>
      </c>
      <c r="AI10" s="13">
        <v>0</v>
      </c>
      <c r="AJ10" s="78">
        <v>0</v>
      </c>
      <c r="AK10" s="78">
        <v>23086021</v>
      </c>
      <c r="AL10" s="78">
        <v>23086021</v>
      </c>
      <c r="AM10" s="78">
        <v>21261577</v>
      </c>
      <c r="AN10" s="78">
        <v>21261577</v>
      </c>
      <c r="AO10" s="78">
        <v>21261577</v>
      </c>
      <c r="AP10" s="100">
        <v>21261577</v>
      </c>
      <c r="AQ10" s="100">
        <v>21261577</v>
      </c>
      <c r="AR10" s="93">
        <v>21261577</v>
      </c>
      <c r="AS10" s="13">
        <v>2305</v>
      </c>
      <c r="AT10" s="13">
        <v>2305</v>
      </c>
      <c r="AU10" s="13">
        <v>6333</v>
      </c>
      <c r="AV10" s="13">
        <v>6333</v>
      </c>
      <c r="AW10" s="13">
        <v>6333</v>
      </c>
      <c r="AX10" s="13">
        <v>23486626</v>
      </c>
      <c r="AY10" s="13">
        <v>23486626</v>
      </c>
      <c r="AZ10" s="13">
        <v>23486626</v>
      </c>
      <c r="BA10" s="13">
        <v>23486626</v>
      </c>
      <c r="BB10" s="13">
        <v>23486626</v>
      </c>
      <c r="BC10" s="13">
        <v>23486626</v>
      </c>
      <c r="BD10" s="13">
        <v>23496696.899999999</v>
      </c>
      <c r="BF10" s="13">
        <v>0</v>
      </c>
      <c r="BG10" s="13">
        <v>0</v>
      </c>
      <c r="BH10" s="13">
        <v>0</v>
      </c>
      <c r="BI10" s="13">
        <v>0</v>
      </c>
      <c r="BJ10" s="13">
        <v>24610811</v>
      </c>
      <c r="BK10" s="13">
        <v>24610811</v>
      </c>
      <c r="BL10" s="13"/>
      <c r="BM10" s="13">
        <v>73832433</v>
      </c>
      <c r="BN10" s="13">
        <v>24610811</v>
      </c>
      <c r="BO10" s="13">
        <v>24620811</v>
      </c>
      <c r="BP10" s="13">
        <v>49241622</v>
      </c>
      <c r="BQ10" s="13">
        <v>22992087.719999999</v>
      </c>
      <c r="BR10" s="100">
        <v>22975424.719999999</v>
      </c>
      <c r="BS10">
        <v>0</v>
      </c>
      <c r="BT10">
        <v>0</v>
      </c>
      <c r="BU10">
        <v>0</v>
      </c>
      <c r="BV10">
        <v>23234503.940000001</v>
      </c>
      <c r="BW10" s="172">
        <v>23236808.940000001</v>
      </c>
      <c r="BX10" s="174">
        <v>23236808.940000001</v>
      </c>
      <c r="BY10" s="174">
        <v>23236808.940000001</v>
      </c>
      <c r="CE10" s="176">
        <f>24082503.94+273116.31</f>
        <v>24355620.25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22972312.66</v>
      </c>
      <c r="CL10" s="13">
        <v>22972312.66</v>
      </c>
      <c r="CM10" s="13">
        <v>22972312.66</v>
      </c>
      <c r="CN10" s="13">
        <v>22972312.66</v>
      </c>
      <c r="CO10" s="13">
        <v>22972312.66</v>
      </c>
      <c r="CP10" s="13">
        <v>22972312.66</v>
      </c>
      <c r="CQ10" s="13">
        <v>22984396.66</v>
      </c>
      <c r="CR10" s="159">
        <f>22972312.66+1528120+1028749.11</f>
        <v>25529181.77</v>
      </c>
      <c r="CS10" s="225">
        <v>0</v>
      </c>
    </row>
    <row r="11" spans="1:102" s="19" customFormat="1" x14ac:dyDescent="0.3">
      <c r="A11" s="10" t="s">
        <v>141</v>
      </c>
      <c r="B11" s="17">
        <v>7160324.4500000002</v>
      </c>
      <c r="C11" s="17">
        <v>24435907</v>
      </c>
      <c r="D11" s="47">
        <v>7340499.5</v>
      </c>
      <c r="E11" s="22">
        <v>2895689.45</v>
      </c>
      <c r="F11" s="22">
        <v>3320109</v>
      </c>
      <c r="G11" s="11">
        <v>5376269</v>
      </c>
      <c r="H11" s="11">
        <v>7637417.2999999998</v>
      </c>
      <c r="I11" s="11">
        <v>19334877.600000001</v>
      </c>
      <c r="J11" s="11">
        <v>12160647.5</v>
      </c>
      <c r="K11" s="160">
        <v>14452118.5</v>
      </c>
      <c r="L11" s="11">
        <v>17170690.5</v>
      </c>
      <c r="M11" s="11">
        <v>58643317.5</v>
      </c>
      <c r="N11" s="11">
        <v>22297726.5</v>
      </c>
      <c r="O11" s="22">
        <v>36468348.119999997</v>
      </c>
      <c r="P11" s="22">
        <v>81790048.239999995</v>
      </c>
      <c r="Q11" s="67">
        <v>43447297.979999997</v>
      </c>
      <c r="R11" s="47">
        <v>5243250.09</v>
      </c>
      <c r="S11" s="22">
        <v>8697213.0199999996</v>
      </c>
      <c r="T11" s="22">
        <v>6667800.9000000004</v>
      </c>
      <c r="U11" s="22">
        <v>18580916.640000001</v>
      </c>
      <c r="V11" s="22">
        <v>11543445.43</v>
      </c>
      <c r="W11" s="22">
        <v>14289415.66</v>
      </c>
      <c r="X11" s="22">
        <v>16492426.5</v>
      </c>
      <c r="Y11" s="78">
        <v>58093273.799999997</v>
      </c>
      <c r="Z11" s="78">
        <v>43467727.200000003</v>
      </c>
      <c r="AA11" s="73">
        <v>120914248</v>
      </c>
      <c r="AB11" s="11">
        <v>81740779.200000003</v>
      </c>
      <c r="AC11" s="11">
        <v>128009239.8</v>
      </c>
      <c r="AD11" s="11">
        <v>43495017.700000003</v>
      </c>
      <c r="AE11" s="100">
        <v>5479965.6600000001</v>
      </c>
      <c r="AF11" s="78">
        <v>5375545</v>
      </c>
      <c r="AG11" s="78">
        <v>8271579.96</v>
      </c>
      <c r="AH11" s="78">
        <v>11638246</v>
      </c>
      <c r="AI11" s="78">
        <v>12566175</v>
      </c>
      <c r="AJ11" s="78">
        <v>16751751</v>
      </c>
      <c r="AK11" s="78">
        <v>19840980.489999998</v>
      </c>
      <c r="AL11" s="78">
        <v>19840980.489999998</v>
      </c>
      <c r="AM11" s="78">
        <v>26428872.09</v>
      </c>
      <c r="AN11" s="78">
        <v>29270594.489999998</v>
      </c>
      <c r="AO11" s="78">
        <v>44692916</v>
      </c>
      <c r="AP11" s="73">
        <v>50015370</v>
      </c>
      <c r="AQ11" s="73">
        <v>53289675.539999999</v>
      </c>
      <c r="AR11" s="95">
        <f>26019199.2-AR10+19575000-5000000</f>
        <v>19332622.199999999</v>
      </c>
      <c r="AS11" s="11">
        <v>5767657</v>
      </c>
      <c r="AT11" s="11">
        <v>8868110</v>
      </c>
      <c r="AU11" s="11">
        <v>11795720</v>
      </c>
      <c r="AV11" s="11">
        <v>14391474</v>
      </c>
      <c r="AW11" s="11">
        <v>17358301</v>
      </c>
      <c r="AX11" s="11">
        <v>19153632.050000001</v>
      </c>
      <c r="AY11" s="11">
        <v>24450592</v>
      </c>
      <c r="AZ11" s="11">
        <v>27555928</v>
      </c>
      <c r="BA11" s="11">
        <v>30782518</v>
      </c>
      <c r="BB11" s="11">
        <v>41011710.090000004</v>
      </c>
      <c r="BC11" s="11">
        <v>43090089.350000001</v>
      </c>
      <c r="BD11" s="11">
        <v>49515252.109999999</v>
      </c>
      <c r="BF11" s="11">
        <v>3332892</v>
      </c>
      <c r="BG11" s="11">
        <v>6232450</v>
      </c>
      <c r="BH11" s="11">
        <v>9241795</v>
      </c>
      <c r="BI11" s="11">
        <v>11732162</v>
      </c>
      <c r="BJ11" s="11">
        <v>14429052</v>
      </c>
      <c r="BK11" s="11">
        <v>18157330</v>
      </c>
      <c r="BL11" s="11"/>
      <c r="BM11" s="11">
        <v>75948909</v>
      </c>
      <c r="BN11" s="11">
        <v>27401896</v>
      </c>
      <c r="BO11" s="11">
        <v>41594265.5</v>
      </c>
      <c r="BP11" s="11">
        <v>93049878</v>
      </c>
      <c r="BQ11" s="11">
        <v>48642400.109999999</v>
      </c>
      <c r="BR11" s="100">
        <f>694700+16663+5000+5148716.55</f>
        <v>5865079.5499999998</v>
      </c>
      <c r="BS11" s="19">
        <v>3521779.61</v>
      </c>
      <c r="BT11" s="19">
        <v>6442007.75</v>
      </c>
      <c r="BU11" s="19">
        <v>9747176.1099999994</v>
      </c>
      <c r="BV11" s="19">
        <v>13770290.109999999</v>
      </c>
      <c r="BW11" s="169">
        <v>16809070.940000001</v>
      </c>
      <c r="BX11" s="170">
        <v>20788936.73</v>
      </c>
      <c r="BY11" s="170">
        <v>24283893.859999999</v>
      </c>
      <c r="CE11" s="73">
        <f>1183680+6333+5500+3412448+1039859.01</f>
        <v>5647820.0099999998</v>
      </c>
      <c r="CF11" s="11">
        <v>3656390.58</v>
      </c>
      <c r="CG11" s="11">
        <v>7542420</v>
      </c>
      <c r="CH11" s="11">
        <v>11249120.48</v>
      </c>
      <c r="CI11" s="11">
        <v>15154850.42</v>
      </c>
      <c r="CJ11" s="11">
        <v>18749579.48</v>
      </c>
      <c r="CK11" s="11">
        <v>22934699.75</v>
      </c>
      <c r="CL11" s="11">
        <v>36082812.560000002</v>
      </c>
      <c r="CM11" s="11">
        <v>37993760.960000001</v>
      </c>
      <c r="CN11" s="11">
        <v>41124402.439999998</v>
      </c>
      <c r="CO11" s="11">
        <v>43709930.289999999</v>
      </c>
      <c r="CP11" s="11">
        <v>45840818.619999997</v>
      </c>
      <c r="CQ11" s="11">
        <v>48481045.170000002</v>
      </c>
      <c r="CR11" s="19">
        <f>12084+10000+826898.09+4263579</f>
        <v>5112561.09</v>
      </c>
      <c r="CS11" s="224">
        <v>4993648.22</v>
      </c>
    </row>
    <row r="12" spans="1:102" x14ac:dyDescent="0.3">
      <c r="A12" s="10" t="s">
        <v>142</v>
      </c>
      <c r="B12" s="50">
        <f t="shared" ref="B12:AU12" si="8">SUM(B13:B18)</f>
        <v>14038797.790000001</v>
      </c>
      <c r="C12" s="50">
        <f t="shared" si="8"/>
        <v>20716867.009999998</v>
      </c>
      <c r="D12" s="50">
        <f t="shared" si="8"/>
        <v>24120621.740000002</v>
      </c>
      <c r="E12" s="50">
        <f t="shared" si="8"/>
        <v>1581905</v>
      </c>
      <c r="F12" s="50">
        <f t="shared" si="8"/>
        <v>725699</v>
      </c>
      <c r="G12" s="50">
        <f t="shared" si="8"/>
        <v>3261148</v>
      </c>
      <c r="H12" s="50">
        <f t="shared" si="8"/>
        <v>3471747</v>
      </c>
      <c r="I12" s="50">
        <f t="shared" si="8"/>
        <v>15679763.119999999</v>
      </c>
      <c r="J12" s="50">
        <f t="shared" si="8"/>
        <v>8033147.5599999996</v>
      </c>
      <c r="K12" s="50">
        <f t="shared" si="8"/>
        <v>10186748</v>
      </c>
      <c r="L12" s="50">
        <f t="shared" si="8"/>
        <v>14830270</v>
      </c>
      <c r="M12" s="50">
        <f t="shared" si="8"/>
        <v>47103417</v>
      </c>
      <c r="N12" s="50">
        <f t="shared" si="8"/>
        <v>19174590</v>
      </c>
      <c r="O12" s="50">
        <f t="shared" si="8"/>
        <v>20101341.399999999</v>
      </c>
      <c r="P12" s="50">
        <f t="shared" si="8"/>
        <v>43977748.140000001</v>
      </c>
      <c r="Q12" s="43">
        <f t="shared" si="8"/>
        <v>24363860.25</v>
      </c>
      <c r="R12" s="70">
        <f t="shared" si="8"/>
        <v>23533420.25</v>
      </c>
      <c r="S12" s="70">
        <f t="shared" si="8"/>
        <v>664942</v>
      </c>
      <c r="T12" s="70">
        <f t="shared" si="8"/>
        <v>2341999</v>
      </c>
      <c r="U12" s="70">
        <f t="shared" si="8"/>
        <v>8884620.3200000003</v>
      </c>
      <c r="V12" s="70">
        <f t="shared" si="8"/>
        <v>4570126.3600000003</v>
      </c>
      <c r="W12" s="70">
        <f t="shared" si="8"/>
        <v>6198425.8600000003</v>
      </c>
      <c r="X12" s="70">
        <f t="shared" si="8"/>
        <v>6529073.0600000005</v>
      </c>
      <c r="Y12" s="70">
        <f t="shared" si="8"/>
        <v>39437994</v>
      </c>
      <c r="Z12" s="70">
        <f t="shared" si="8"/>
        <v>33106384</v>
      </c>
      <c r="AA12" s="70">
        <f t="shared" si="8"/>
        <v>85671910</v>
      </c>
      <c r="AB12" s="70">
        <f t="shared" si="8"/>
        <v>38112720</v>
      </c>
      <c r="AC12" s="70">
        <f t="shared" si="8"/>
        <v>58889436</v>
      </c>
      <c r="AD12" s="70">
        <f t="shared" si="8"/>
        <v>24747741.039999995</v>
      </c>
      <c r="AE12" s="70">
        <f t="shared" si="8"/>
        <v>22396480.139999997</v>
      </c>
      <c r="AF12" s="70">
        <f t="shared" si="8"/>
        <v>820021</v>
      </c>
      <c r="AG12" s="70">
        <f t="shared" si="8"/>
        <v>2146319</v>
      </c>
      <c r="AH12" s="70">
        <f t="shared" si="8"/>
        <v>6613635</v>
      </c>
      <c r="AI12" s="70">
        <f t="shared" si="8"/>
        <v>8742694</v>
      </c>
      <c r="AJ12" s="70">
        <f t="shared" si="8"/>
        <v>11416922</v>
      </c>
      <c r="AK12" s="70">
        <f t="shared" si="8"/>
        <v>15387303</v>
      </c>
      <c r="AL12" s="70">
        <f t="shared" si="8"/>
        <v>15387303</v>
      </c>
      <c r="AM12" s="70">
        <f t="shared" si="8"/>
        <v>21399076</v>
      </c>
      <c r="AN12" s="70">
        <f t="shared" si="8"/>
        <v>22281868</v>
      </c>
      <c r="AO12" s="70">
        <f t="shared" si="8"/>
        <v>26050452</v>
      </c>
      <c r="AP12" s="70">
        <f t="shared" si="8"/>
        <v>27066863</v>
      </c>
      <c r="AQ12" s="70">
        <f t="shared" si="8"/>
        <v>28288782.919999998</v>
      </c>
      <c r="AR12" s="70">
        <f t="shared" si="8"/>
        <v>23391322.889999997</v>
      </c>
      <c r="AS12" s="70">
        <f t="shared" si="8"/>
        <v>1237954</v>
      </c>
      <c r="AT12" s="70">
        <f t="shared" si="8"/>
        <v>2273822</v>
      </c>
      <c r="AU12" s="70">
        <f t="shared" si="8"/>
        <v>5284041</v>
      </c>
      <c r="AV12" s="70">
        <f>SUM(AV13:AV18)</f>
        <v>7076778</v>
      </c>
      <c r="AW12" s="70">
        <f>SUM(AW13:AW18)</f>
        <v>9555689</v>
      </c>
      <c r="AX12" s="70">
        <f>SUM(AX13:AX18)</f>
        <v>11350588</v>
      </c>
      <c r="AY12" s="70">
        <f>SUM(AY13:AY18)</f>
        <v>14330685</v>
      </c>
      <c r="AZ12" s="70">
        <f t="shared" ref="AZ12:CS12" si="9">SUM(AZ13:AZ18)</f>
        <v>16353518</v>
      </c>
      <c r="BA12" s="70">
        <f t="shared" si="9"/>
        <v>20008486.550000001</v>
      </c>
      <c r="BB12" s="70">
        <f t="shared" si="9"/>
        <v>22342350</v>
      </c>
      <c r="BC12" s="70">
        <f t="shared" si="9"/>
        <v>25319312</v>
      </c>
      <c r="BD12" s="70">
        <f t="shared" si="9"/>
        <v>32442825.029999997</v>
      </c>
      <c r="BE12" s="70">
        <f t="shared" si="9"/>
        <v>0</v>
      </c>
      <c r="BF12" s="70">
        <f t="shared" si="9"/>
        <v>543015</v>
      </c>
      <c r="BG12" s="70">
        <f t="shared" si="9"/>
        <v>1050335</v>
      </c>
      <c r="BH12" s="70">
        <f t="shared" si="9"/>
        <v>5828381</v>
      </c>
      <c r="BI12" s="70">
        <f t="shared" si="9"/>
        <v>6564147</v>
      </c>
      <c r="BJ12" s="70">
        <f t="shared" si="9"/>
        <v>15548971</v>
      </c>
      <c r="BK12" s="70">
        <f t="shared" si="9"/>
        <v>16942619</v>
      </c>
      <c r="BL12" s="70">
        <f t="shared" si="9"/>
        <v>0</v>
      </c>
      <c r="BM12" s="70">
        <f t="shared" si="9"/>
        <v>64204554</v>
      </c>
      <c r="BN12" s="70">
        <f t="shared" si="9"/>
        <v>25116027</v>
      </c>
      <c r="BO12" s="70">
        <f t="shared" si="9"/>
        <v>27675389</v>
      </c>
      <c r="BP12" s="70">
        <f t="shared" si="9"/>
        <v>59115682</v>
      </c>
      <c r="BQ12" s="70">
        <f t="shared" si="9"/>
        <v>37930877.030000001</v>
      </c>
      <c r="BR12" s="70">
        <f t="shared" si="9"/>
        <v>37329202.25</v>
      </c>
      <c r="BS12" s="70">
        <f t="shared" si="9"/>
        <v>1059717.4100000001</v>
      </c>
      <c r="BT12" s="70">
        <f t="shared" si="9"/>
        <v>1407063.27</v>
      </c>
      <c r="BU12" s="70">
        <f t="shared" si="9"/>
        <v>2628621.52</v>
      </c>
      <c r="BV12" s="70">
        <f t="shared" si="9"/>
        <v>8896501.1600000001</v>
      </c>
      <c r="BW12" s="70">
        <f t="shared" si="9"/>
        <v>9375329.9800000004</v>
      </c>
      <c r="BX12" s="70">
        <f t="shared" si="9"/>
        <v>13073561.439999999</v>
      </c>
      <c r="BY12" s="70">
        <f t="shared" si="9"/>
        <v>14007611.309999999</v>
      </c>
      <c r="BZ12" s="70">
        <f t="shared" si="9"/>
        <v>0</v>
      </c>
      <c r="CA12" s="70">
        <f t="shared" si="9"/>
        <v>0</v>
      </c>
      <c r="CB12" s="70">
        <f t="shared" si="9"/>
        <v>0</v>
      </c>
      <c r="CC12" s="70">
        <f t="shared" si="9"/>
        <v>0</v>
      </c>
      <c r="CD12" s="70">
        <f t="shared" si="9"/>
        <v>0</v>
      </c>
      <c r="CE12" s="70">
        <f t="shared" si="9"/>
        <v>33470499.59</v>
      </c>
      <c r="CF12" s="70">
        <f t="shared" si="9"/>
        <v>1088731.6599999999</v>
      </c>
      <c r="CG12" s="70">
        <f t="shared" si="9"/>
        <v>2338457.7199999997</v>
      </c>
      <c r="CH12" s="70">
        <f t="shared" si="9"/>
        <v>4871799.8599999994</v>
      </c>
      <c r="CI12" s="70">
        <f t="shared" si="9"/>
        <v>6464419.7599999998</v>
      </c>
      <c r="CJ12" s="70">
        <f t="shared" si="9"/>
        <v>8794379.5800000001</v>
      </c>
      <c r="CK12" s="70">
        <f t="shared" si="9"/>
        <v>11794966.25</v>
      </c>
      <c r="CL12" s="70">
        <f t="shared" si="9"/>
        <v>12876260.07</v>
      </c>
      <c r="CM12" s="70">
        <f t="shared" si="9"/>
        <v>15166396.220000001</v>
      </c>
      <c r="CN12" s="70">
        <f t="shared" si="9"/>
        <v>15932616.67</v>
      </c>
      <c r="CO12" s="70">
        <f t="shared" si="9"/>
        <v>17737489.48</v>
      </c>
      <c r="CP12" s="70">
        <f t="shared" si="9"/>
        <v>22745777.77</v>
      </c>
      <c r="CQ12" s="70">
        <f t="shared" si="9"/>
        <v>25204045.129999999</v>
      </c>
      <c r="CR12" s="70">
        <f t="shared" si="9"/>
        <v>23745552.043890584</v>
      </c>
      <c r="CS12" s="70">
        <f t="shared" si="9"/>
        <v>980252.16000000003</v>
      </c>
    </row>
    <row r="13" spans="1:102" x14ac:dyDescent="0.3">
      <c r="A13" s="12" t="s">
        <v>143</v>
      </c>
      <c r="B13" s="18">
        <v>205944.15</v>
      </c>
      <c r="C13" s="18">
        <v>1261174</v>
      </c>
      <c r="D13" s="44">
        <v>1665811.79</v>
      </c>
      <c r="E13" s="13">
        <v>67513</v>
      </c>
      <c r="F13" s="13">
        <v>99600</v>
      </c>
      <c r="G13" s="13">
        <v>264375</v>
      </c>
      <c r="H13" s="13">
        <v>452862</v>
      </c>
      <c r="I13" s="13">
        <v>1242010</v>
      </c>
      <c r="J13" s="13">
        <v>707325</v>
      </c>
      <c r="K13" s="158">
        <v>911425</v>
      </c>
      <c r="L13" s="13">
        <v>1020044</v>
      </c>
      <c r="M13" s="13">
        <v>3603663</v>
      </c>
      <c r="N13" s="13">
        <v>1419230</v>
      </c>
      <c r="O13" s="13">
        <v>1670910</v>
      </c>
      <c r="P13" s="13">
        <v>3614950.5</v>
      </c>
      <c r="Q13" s="66">
        <v>1807475.25</v>
      </c>
      <c r="R13" s="44">
        <v>1807475.25</v>
      </c>
      <c r="S13" s="13">
        <v>406900</v>
      </c>
      <c r="T13" s="13">
        <v>435229</v>
      </c>
      <c r="U13" s="13">
        <v>1062056.6000000001</v>
      </c>
      <c r="V13" s="13">
        <v>531028.30000000005</v>
      </c>
      <c r="W13" s="13">
        <v>893002</v>
      </c>
      <c r="X13" s="13">
        <v>893002</v>
      </c>
      <c r="Y13" s="13">
        <v>4458837</v>
      </c>
      <c r="Z13" s="13">
        <v>3320996</v>
      </c>
      <c r="AA13" s="13">
        <v>9515825</v>
      </c>
      <c r="AB13" s="13">
        <v>4176960</v>
      </c>
      <c r="AC13" s="13">
        <v>6966789</v>
      </c>
      <c r="AD13" s="13">
        <v>2773391.9</v>
      </c>
      <c r="AE13" s="79">
        <v>2773391</v>
      </c>
      <c r="AF13" s="78">
        <v>472615</v>
      </c>
      <c r="AG13" s="78">
        <v>667963</v>
      </c>
      <c r="AH13" s="78">
        <v>904130</v>
      </c>
      <c r="AI13" s="78">
        <v>1121360</v>
      </c>
      <c r="AJ13" s="78">
        <v>1411748</v>
      </c>
      <c r="AK13" s="78">
        <v>1574681</v>
      </c>
      <c r="AL13" s="78">
        <v>1574681</v>
      </c>
      <c r="AM13" s="78">
        <v>2386650</v>
      </c>
      <c r="AN13" s="78">
        <v>2720208</v>
      </c>
      <c r="AO13" s="78">
        <v>2977370</v>
      </c>
      <c r="AP13" s="100">
        <v>3287344</v>
      </c>
      <c r="AQ13" s="100">
        <v>3534897.17</v>
      </c>
      <c r="AR13" s="93">
        <v>3534897.17</v>
      </c>
      <c r="AS13" s="13">
        <v>497358</v>
      </c>
      <c r="AT13" s="13">
        <v>883839</v>
      </c>
      <c r="AU13" s="13">
        <v>1229434</v>
      </c>
      <c r="AV13" s="13">
        <v>1535605</v>
      </c>
      <c r="AW13" s="13">
        <v>1956946</v>
      </c>
      <c r="AX13" s="13">
        <v>2301327</v>
      </c>
      <c r="AY13" s="13">
        <v>2801589</v>
      </c>
      <c r="AZ13" s="13">
        <v>3164094</v>
      </c>
      <c r="BA13" s="13">
        <v>3592098</v>
      </c>
      <c r="BB13" s="13">
        <v>4173610</v>
      </c>
      <c r="BC13" s="13">
        <v>4636572</v>
      </c>
      <c r="BD13" s="13">
        <v>5075420.22</v>
      </c>
      <c r="BF13" s="13">
        <v>538015</v>
      </c>
      <c r="BG13" s="13">
        <v>1017335</v>
      </c>
      <c r="BH13" s="13">
        <v>1445490</v>
      </c>
      <c r="BI13" s="13">
        <v>2134156</v>
      </c>
      <c r="BJ13" s="13">
        <v>2674598</v>
      </c>
      <c r="BK13" s="13">
        <v>3054993</v>
      </c>
      <c r="BL13" s="13"/>
      <c r="BM13" s="13">
        <v>12595806</v>
      </c>
      <c r="BN13" s="13">
        <v>4760846</v>
      </c>
      <c r="BO13" s="13">
        <v>5667871</v>
      </c>
      <c r="BP13" s="13">
        <v>12237696</v>
      </c>
      <c r="BQ13" s="13">
        <v>7052257.2400000002</v>
      </c>
      <c r="BR13" s="79">
        <v>0</v>
      </c>
      <c r="BS13">
        <v>551916.05000000005</v>
      </c>
      <c r="BT13">
        <v>940854.92</v>
      </c>
      <c r="BU13">
        <v>1585442.46</v>
      </c>
      <c r="BV13">
        <v>2575828.83</v>
      </c>
      <c r="BW13" s="172">
        <v>2917006.25</v>
      </c>
      <c r="BX13" s="174">
        <v>3538839.58</v>
      </c>
      <c r="BY13" s="174">
        <v>4408301.25</v>
      </c>
      <c r="CE13" s="176">
        <v>7539284.9900000002</v>
      </c>
      <c r="CF13" s="13">
        <v>1061731.6599999999</v>
      </c>
      <c r="CG13" s="13">
        <v>1405019.89</v>
      </c>
      <c r="CH13" s="13">
        <v>1802571.81</v>
      </c>
      <c r="CI13" s="13">
        <v>3259805.51</v>
      </c>
      <c r="CJ13" s="13">
        <v>4039643</v>
      </c>
      <c r="CK13" s="13">
        <v>4548205.17</v>
      </c>
      <c r="CL13" s="13">
        <v>5534845.5899999999</v>
      </c>
      <c r="CM13" s="13">
        <v>6473647.0899999999</v>
      </c>
      <c r="CN13" s="13">
        <v>7172565.0099999998</v>
      </c>
      <c r="CO13" s="13">
        <v>8840644.9100000001</v>
      </c>
      <c r="CP13" s="13">
        <v>9525665.8200000003</v>
      </c>
      <c r="CQ13" s="13">
        <v>10233640.41</v>
      </c>
      <c r="CR13" s="79">
        <v>19227192.899999999</v>
      </c>
      <c r="CS13" s="225">
        <v>911133.16</v>
      </c>
    </row>
    <row r="14" spans="1:102" x14ac:dyDescent="0.3">
      <c r="A14" s="12" t="s">
        <v>144</v>
      </c>
      <c r="B14" s="18">
        <v>12726209.050000001</v>
      </c>
      <c r="C14" s="18">
        <v>17604356.309999999</v>
      </c>
      <c r="D14" s="44">
        <v>20952972.100000001</v>
      </c>
      <c r="E14" s="13">
        <v>916952</v>
      </c>
      <c r="F14" s="13">
        <v>0</v>
      </c>
      <c r="G14" s="13">
        <v>2239285</v>
      </c>
      <c r="H14" s="13">
        <v>2173849</v>
      </c>
      <c r="I14" s="13">
        <v>12151667.119999999</v>
      </c>
      <c r="J14" s="13">
        <v>6076830.5599999996</v>
      </c>
      <c r="K14" s="158">
        <v>8460065</v>
      </c>
      <c r="L14" s="13">
        <v>12892735</v>
      </c>
      <c r="M14" s="13">
        <v>39470373</v>
      </c>
      <c r="N14" s="13">
        <v>16239500</v>
      </c>
      <c r="O14" s="13">
        <v>16817555.399999999</v>
      </c>
      <c r="P14" s="13">
        <v>36288774.240000002</v>
      </c>
      <c r="Q14" s="66">
        <v>19731325</v>
      </c>
      <c r="R14" s="44">
        <v>19731325</v>
      </c>
      <c r="S14" s="13">
        <v>0</v>
      </c>
      <c r="T14" s="13">
        <v>946405</v>
      </c>
      <c r="U14" s="13">
        <v>5572980.1200000001</v>
      </c>
      <c r="V14" s="13">
        <v>2786490.06</v>
      </c>
      <c r="W14" s="13">
        <v>3047727.06</v>
      </c>
      <c r="X14" s="13">
        <v>3047727.06</v>
      </c>
      <c r="Y14" s="13">
        <v>26013733.199999999</v>
      </c>
      <c r="Z14" s="13">
        <v>23277022</v>
      </c>
      <c r="AA14" s="13">
        <v>58192555</v>
      </c>
      <c r="AB14" s="13">
        <v>25772688</v>
      </c>
      <c r="AC14" s="13">
        <v>38659032</v>
      </c>
      <c r="AD14" s="13">
        <v>16976292.739999998</v>
      </c>
      <c r="AE14" s="79">
        <v>16976292.739999998</v>
      </c>
      <c r="AF14" s="13">
        <v>0</v>
      </c>
      <c r="AG14" s="13">
        <v>0</v>
      </c>
      <c r="AH14" s="78">
        <v>2970377</v>
      </c>
      <c r="AI14" s="78">
        <v>4543551</v>
      </c>
      <c r="AJ14" s="78">
        <v>6543551</v>
      </c>
      <c r="AK14" s="78">
        <v>9922478</v>
      </c>
      <c r="AL14" s="78">
        <v>9922478</v>
      </c>
      <c r="AM14" s="78">
        <v>14052865</v>
      </c>
      <c r="AN14" s="78">
        <v>14052865</v>
      </c>
      <c r="AO14" s="78">
        <v>16920290</v>
      </c>
      <c r="AP14" s="100">
        <v>16920290</v>
      </c>
      <c r="AQ14" s="100">
        <v>17212726.449999999</v>
      </c>
      <c r="AR14" s="93">
        <v>17212726.449999999</v>
      </c>
      <c r="AS14" s="13">
        <v>159529</v>
      </c>
      <c r="AT14" s="13">
        <v>268815</v>
      </c>
      <c r="AU14" s="13">
        <v>2364701</v>
      </c>
      <c r="AV14" s="13">
        <v>3461267</v>
      </c>
      <c r="AW14" s="13">
        <v>4845959</v>
      </c>
      <c r="AX14" s="13">
        <v>6261080</v>
      </c>
      <c r="AY14" s="13">
        <v>7887708</v>
      </c>
      <c r="AZ14" s="13">
        <v>9236952</v>
      </c>
      <c r="BA14" s="13">
        <v>12072077.550000001</v>
      </c>
      <c r="BB14" s="13">
        <v>13492131</v>
      </c>
      <c r="BC14" s="13">
        <v>15240514</v>
      </c>
      <c r="BD14" s="13">
        <v>21392103.809999999</v>
      </c>
      <c r="BF14" s="13">
        <v>0</v>
      </c>
      <c r="BG14" s="13">
        <v>0</v>
      </c>
      <c r="BH14" s="13">
        <v>4327891</v>
      </c>
      <c r="BI14" s="13">
        <v>4327891</v>
      </c>
      <c r="BJ14" s="13">
        <v>12374244</v>
      </c>
      <c r="BK14" s="13">
        <v>13297621</v>
      </c>
      <c r="BL14" s="13"/>
      <c r="BM14" s="13">
        <v>48987030</v>
      </c>
      <c r="BN14" s="13">
        <v>19360399</v>
      </c>
      <c r="BO14" s="13">
        <v>20908523</v>
      </c>
      <c r="BP14" s="13">
        <v>44304900</v>
      </c>
      <c r="BQ14" s="13">
        <v>29261041.09</v>
      </c>
      <c r="BR14" s="102">
        <v>29108298.329999998</v>
      </c>
      <c r="BS14">
        <v>467729.36</v>
      </c>
      <c r="BT14">
        <v>293390.84999999998</v>
      </c>
      <c r="BU14">
        <v>678271.96</v>
      </c>
      <c r="BV14">
        <v>6044602.2300000004</v>
      </c>
      <c r="BW14" s="172">
        <v>6044602.2300000004</v>
      </c>
      <c r="BX14" s="174">
        <v>8894909.8599999994</v>
      </c>
      <c r="BY14" s="174">
        <v>8894909.8599999994</v>
      </c>
      <c r="CE14" s="176">
        <f>3175642.44+16495106.79</f>
        <v>19670749.23</v>
      </c>
      <c r="CF14" s="13">
        <v>0</v>
      </c>
      <c r="CG14" s="13">
        <v>686142.73</v>
      </c>
      <c r="CH14" s="13">
        <v>2764677.95</v>
      </c>
      <c r="CI14" s="13">
        <v>2743246.35</v>
      </c>
      <c r="CJ14" s="13">
        <v>4193684.68</v>
      </c>
      <c r="CK14" s="13">
        <v>6464187.7800000003</v>
      </c>
      <c r="CL14" s="13">
        <v>6464187.7800000003</v>
      </c>
      <c r="CM14" s="13">
        <v>7537862.4400000004</v>
      </c>
      <c r="CN14" s="13">
        <v>7537862.4400000004</v>
      </c>
      <c r="CO14" s="13">
        <v>7537862.4400000004</v>
      </c>
      <c r="CP14" s="13">
        <v>11578288.51</v>
      </c>
      <c r="CQ14" s="13">
        <v>12542214.74</v>
      </c>
      <c r="CR14" s="79">
        <v>4518352.2300000004</v>
      </c>
      <c r="CS14" s="225">
        <v>0</v>
      </c>
    </row>
    <row r="15" spans="1:102" x14ac:dyDescent="0.3">
      <c r="A15" s="12" t="s">
        <v>145</v>
      </c>
      <c r="B15" s="18"/>
      <c r="C15" s="18"/>
      <c r="D15" s="46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58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66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F15" s="13">
        <v>0</v>
      </c>
      <c r="AG15" s="13">
        <v>0</v>
      </c>
      <c r="AH15" s="13">
        <v>0</v>
      </c>
      <c r="AI15" s="13">
        <v>0</v>
      </c>
      <c r="AJ15" s="88">
        <v>0</v>
      </c>
      <c r="AK15" s="88">
        <v>0</v>
      </c>
      <c r="AL15" s="88">
        <v>0</v>
      </c>
      <c r="AM15" s="88">
        <v>0</v>
      </c>
      <c r="AN15" s="88">
        <v>0</v>
      </c>
      <c r="AO15" s="88">
        <v>0</v>
      </c>
      <c r="AP15" s="100">
        <v>0</v>
      </c>
      <c r="AQ15" s="100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/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S15">
        <v>0</v>
      </c>
      <c r="BT15">
        <v>0</v>
      </c>
      <c r="BU15">
        <v>0</v>
      </c>
      <c r="BV15">
        <v>0</v>
      </c>
      <c r="BW15" s="171">
        <v>0</v>
      </c>
      <c r="BX15" s="173">
        <v>0</v>
      </c>
      <c r="BY15" s="17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>
        <f>163308792/23620390</f>
        <v>6.9138905835170377</v>
      </c>
      <c r="CS15" s="225">
        <v>0</v>
      </c>
    </row>
    <row r="16" spans="1:102" x14ac:dyDescent="0.3">
      <c r="A16" s="12" t="s">
        <v>146</v>
      </c>
      <c r="B16" s="18"/>
      <c r="C16" s="18"/>
      <c r="D16" s="46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8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66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F16" s="13">
        <v>0</v>
      </c>
      <c r="AG16" s="13">
        <v>0</v>
      </c>
      <c r="AH16" s="13">
        <v>0</v>
      </c>
      <c r="AI16" s="13">
        <v>0</v>
      </c>
      <c r="AJ16" s="78">
        <v>0</v>
      </c>
      <c r="AK16" s="78">
        <v>0</v>
      </c>
      <c r="AL16" s="78">
        <v>0</v>
      </c>
      <c r="AM16" s="78">
        <v>0</v>
      </c>
      <c r="AN16" s="78">
        <v>0</v>
      </c>
      <c r="AO16" s="78">
        <v>0</v>
      </c>
      <c r="AP16" s="100">
        <v>0</v>
      </c>
      <c r="AQ16" s="100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/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S16">
        <v>0</v>
      </c>
      <c r="BT16">
        <v>0</v>
      </c>
      <c r="BU16">
        <v>0</v>
      </c>
      <c r="BV16">
        <v>0</v>
      </c>
      <c r="BW16" s="171">
        <v>0</v>
      </c>
      <c r="BX16" s="173">
        <v>0</v>
      </c>
      <c r="BY16" s="17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S16" s="225">
        <v>0</v>
      </c>
    </row>
    <row r="17" spans="1:97" x14ac:dyDescent="0.3">
      <c r="A17" s="12" t="s">
        <v>147</v>
      </c>
      <c r="B17" s="18">
        <v>1069544.5900000001</v>
      </c>
      <c r="C17" s="18">
        <v>1839436.7</v>
      </c>
      <c r="D17" s="44">
        <v>1351897.85</v>
      </c>
      <c r="E17" s="13">
        <v>562440</v>
      </c>
      <c r="F17" s="13">
        <v>602099</v>
      </c>
      <c r="G17" s="13">
        <v>654488</v>
      </c>
      <c r="H17" s="13">
        <v>694536</v>
      </c>
      <c r="I17" s="13">
        <v>1870086</v>
      </c>
      <c r="J17" s="13">
        <v>958392</v>
      </c>
      <c r="K17" s="158">
        <v>459498</v>
      </c>
      <c r="L17" s="13">
        <v>501031</v>
      </c>
      <c r="M17" s="13">
        <v>2366601</v>
      </c>
      <c r="N17" s="13">
        <v>864900</v>
      </c>
      <c r="O17" s="13">
        <v>893416</v>
      </c>
      <c r="P17" s="13">
        <v>2334903.4</v>
      </c>
      <c r="Q17" s="66">
        <v>1786500</v>
      </c>
      <c r="R17" s="44">
        <v>1786500</v>
      </c>
      <c r="S17" s="13">
        <v>7042</v>
      </c>
      <c r="T17" s="13">
        <v>704865</v>
      </c>
      <c r="U17" s="13">
        <v>1464583.6</v>
      </c>
      <c r="V17" s="13">
        <v>736608</v>
      </c>
      <c r="W17" s="13">
        <v>1548636.8</v>
      </c>
      <c r="X17" s="13">
        <v>1879284</v>
      </c>
      <c r="Y17" s="13">
        <v>5641243.7999999998</v>
      </c>
      <c r="Z17" s="13">
        <v>3881046</v>
      </c>
      <c r="AA17" s="13">
        <v>10015230</v>
      </c>
      <c r="AB17" s="13">
        <v>4606752</v>
      </c>
      <c r="AC17" s="13">
        <v>6937335</v>
      </c>
      <c r="AD17" s="13">
        <v>2605796.4</v>
      </c>
      <c r="AF17" s="87">
        <v>48406</v>
      </c>
      <c r="AG17" s="87">
        <v>939856</v>
      </c>
      <c r="AH17" s="87">
        <v>1977628</v>
      </c>
      <c r="AI17" s="87">
        <v>2036783</v>
      </c>
      <c r="AJ17" s="87">
        <v>2079123</v>
      </c>
      <c r="AK17" s="87">
        <v>2102144</v>
      </c>
      <c r="AL17" s="87">
        <v>2102144</v>
      </c>
      <c r="AM17" s="87">
        <v>2126701</v>
      </c>
      <c r="AN17" s="87">
        <v>2216835</v>
      </c>
      <c r="AO17" s="87">
        <v>2376632</v>
      </c>
      <c r="AP17" s="100">
        <v>2441569</v>
      </c>
      <c r="AQ17" s="100">
        <v>2627299.2999999998</v>
      </c>
      <c r="AR17" s="94">
        <v>2627299.27</v>
      </c>
      <c r="AS17" s="13">
        <v>112067</v>
      </c>
      <c r="AT17" s="13">
        <v>216168</v>
      </c>
      <c r="AU17" s="13">
        <v>240506</v>
      </c>
      <c r="AV17" s="13">
        <v>240506</v>
      </c>
      <c r="AW17" s="13">
        <v>374284</v>
      </c>
      <c r="AX17" s="13">
        <v>409681</v>
      </c>
      <c r="AY17" s="13">
        <v>436388</v>
      </c>
      <c r="AZ17" s="13">
        <v>484972</v>
      </c>
      <c r="BA17" s="13">
        <v>522311</v>
      </c>
      <c r="BB17" s="13">
        <v>552609</v>
      </c>
      <c r="BC17" s="13">
        <v>721641</v>
      </c>
      <c r="BD17" s="13">
        <v>621216</v>
      </c>
      <c r="BF17" s="13">
        <v>0</v>
      </c>
      <c r="BG17" s="13">
        <v>0</v>
      </c>
      <c r="BH17" s="13">
        <v>0</v>
      </c>
      <c r="BI17" s="13">
        <v>0</v>
      </c>
      <c r="BJ17" s="13">
        <v>347429</v>
      </c>
      <c r="BK17" s="13">
        <v>384305</v>
      </c>
      <c r="BL17" s="13"/>
      <c r="BM17" s="13">
        <v>1464711</v>
      </c>
      <c r="BN17" s="13">
        <v>608707</v>
      </c>
      <c r="BO17" s="13">
        <v>647620</v>
      </c>
      <c r="BP17" s="13">
        <v>1550936</v>
      </c>
      <c r="BQ17" s="13">
        <v>1015903.7</v>
      </c>
      <c r="BR17" s="100">
        <v>8220903.9199999999</v>
      </c>
      <c r="BS17">
        <v>10072</v>
      </c>
      <c r="BT17">
        <v>104817.5</v>
      </c>
      <c r="BU17">
        <v>271907.09999999998</v>
      </c>
      <c r="BV17">
        <v>183070.1</v>
      </c>
      <c r="BW17" s="172">
        <v>296721.5</v>
      </c>
      <c r="BX17" s="174">
        <v>379812</v>
      </c>
      <c r="BY17" s="174">
        <v>390400.2</v>
      </c>
      <c r="CE17" s="176">
        <v>6260465.3700000001</v>
      </c>
      <c r="CF17" s="13">
        <v>0</v>
      </c>
      <c r="CG17" s="13">
        <v>175295.1</v>
      </c>
      <c r="CH17" s="13">
        <v>184550.1</v>
      </c>
      <c r="CI17" s="13">
        <v>283367.90000000002</v>
      </c>
      <c r="CJ17" s="13">
        <v>290051.90000000002</v>
      </c>
      <c r="CK17" s="13">
        <v>429573.3</v>
      </c>
      <c r="CL17" s="13">
        <v>443726.7</v>
      </c>
      <c r="CM17" s="13">
        <v>669386.68999999994</v>
      </c>
      <c r="CN17" s="13">
        <v>681689.22</v>
      </c>
      <c r="CO17" s="13">
        <v>715482.13</v>
      </c>
      <c r="CP17" s="13">
        <v>888323.44</v>
      </c>
      <c r="CQ17" s="13">
        <v>1569689.98</v>
      </c>
      <c r="CS17" s="225">
        <v>0</v>
      </c>
    </row>
    <row r="18" spans="1:97" x14ac:dyDescent="0.3">
      <c r="A18" s="12" t="s">
        <v>148</v>
      </c>
      <c r="B18" s="18">
        <v>37100</v>
      </c>
      <c r="C18" s="18">
        <v>11900</v>
      </c>
      <c r="D18" s="44">
        <v>149940</v>
      </c>
      <c r="E18" s="13">
        <v>35000</v>
      </c>
      <c r="F18" s="13">
        <v>24000</v>
      </c>
      <c r="G18" s="13">
        <v>103000</v>
      </c>
      <c r="H18" s="13">
        <v>150500</v>
      </c>
      <c r="I18" s="13">
        <v>416000</v>
      </c>
      <c r="J18" s="13">
        <v>290600</v>
      </c>
      <c r="K18" s="158">
        <v>355760</v>
      </c>
      <c r="L18" s="13">
        <v>416460</v>
      </c>
      <c r="M18" s="13">
        <v>1662780</v>
      </c>
      <c r="N18" s="13">
        <v>650960</v>
      </c>
      <c r="O18" s="13">
        <v>719460</v>
      </c>
      <c r="P18" s="13">
        <v>1739120</v>
      </c>
      <c r="Q18" s="66">
        <v>1038560</v>
      </c>
      <c r="R18" s="44">
        <v>208120</v>
      </c>
      <c r="S18" s="13">
        <v>251000</v>
      </c>
      <c r="T18" s="13">
        <v>255500</v>
      </c>
      <c r="U18" s="13">
        <v>785000</v>
      </c>
      <c r="V18" s="13">
        <v>516000</v>
      </c>
      <c r="W18" s="13">
        <v>709060</v>
      </c>
      <c r="X18" s="13">
        <v>709060</v>
      </c>
      <c r="Y18" s="13">
        <v>3324180</v>
      </c>
      <c r="Z18" s="13">
        <v>2627320</v>
      </c>
      <c r="AA18" s="13">
        <v>7948300</v>
      </c>
      <c r="AB18" s="13">
        <v>3556320</v>
      </c>
      <c r="AC18" s="13">
        <v>6326280</v>
      </c>
      <c r="AD18" s="13">
        <v>2392260</v>
      </c>
      <c r="AE18" s="79">
        <v>2646796.4</v>
      </c>
      <c r="AF18" s="88">
        <v>299000</v>
      </c>
      <c r="AG18" s="88">
        <v>538500</v>
      </c>
      <c r="AH18" s="88">
        <v>761500</v>
      </c>
      <c r="AI18" s="88">
        <v>1041000</v>
      </c>
      <c r="AJ18" s="88">
        <v>1382500</v>
      </c>
      <c r="AK18" s="88">
        <v>1788000</v>
      </c>
      <c r="AL18" s="88">
        <v>1788000</v>
      </c>
      <c r="AM18" s="88">
        <v>2832860</v>
      </c>
      <c r="AN18" s="88">
        <v>3291960</v>
      </c>
      <c r="AO18" s="88">
        <v>3776160</v>
      </c>
      <c r="AP18" s="100">
        <v>4417660</v>
      </c>
      <c r="AQ18" s="100">
        <v>4913860</v>
      </c>
      <c r="AR18" s="96">
        <v>16400</v>
      </c>
      <c r="AS18" s="13">
        <v>469000</v>
      </c>
      <c r="AT18" s="13">
        <v>905000</v>
      </c>
      <c r="AU18" s="13">
        <v>1449400</v>
      </c>
      <c r="AV18" s="13">
        <v>1839400</v>
      </c>
      <c r="AW18" s="13">
        <v>2378500</v>
      </c>
      <c r="AX18" s="13">
        <v>2378500</v>
      </c>
      <c r="AY18" s="13">
        <v>3205000</v>
      </c>
      <c r="AZ18" s="13">
        <v>3467500</v>
      </c>
      <c r="BA18" s="13">
        <v>3822000</v>
      </c>
      <c r="BB18" s="13">
        <v>4124000</v>
      </c>
      <c r="BC18" s="13">
        <v>4720585</v>
      </c>
      <c r="BD18" s="13">
        <v>5354085</v>
      </c>
      <c r="BF18" s="13">
        <v>5000</v>
      </c>
      <c r="BG18" s="13">
        <v>33000</v>
      </c>
      <c r="BH18" s="13">
        <v>55000</v>
      </c>
      <c r="BI18" s="13">
        <v>102100</v>
      </c>
      <c r="BJ18" s="13">
        <v>152700</v>
      </c>
      <c r="BK18" s="13">
        <v>205700</v>
      </c>
      <c r="BL18" s="13"/>
      <c r="BM18" s="13">
        <v>1157007</v>
      </c>
      <c r="BN18" s="13">
        <v>386075</v>
      </c>
      <c r="BO18" s="13">
        <v>451375</v>
      </c>
      <c r="BP18" s="13">
        <v>1022150</v>
      </c>
      <c r="BQ18" s="13">
        <v>601675</v>
      </c>
      <c r="BS18">
        <v>30000</v>
      </c>
      <c r="BT18">
        <v>68000</v>
      </c>
      <c r="BU18">
        <v>93000</v>
      </c>
      <c r="BV18">
        <v>93000</v>
      </c>
      <c r="BW18" s="172">
        <v>117000</v>
      </c>
      <c r="BX18" s="174">
        <v>260000</v>
      </c>
      <c r="BY18" s="174">
        <v>314000</v>
      </c>
      <c r="CF18" s="13">
        <v>27000</v>
      </c>
      <c r="CG18" s="13">
        <v>72000</v>
      </c>
      <c r="CH18" s="13">
        <v>120000</v>
      </c>
      <c r="CI18" s="13">
        <v>178000</v>
      </c>
      <c r="CJ18" s="13">
        <v>271000</v>
      </c>
      <c r="CK18" s="13">
        <v>353000</v>
      </c>
      <c r="CL18" s="13">
        <v>433500</v>
      </c>
      <c r="CM18" s="13">
        <v>485500</v>
      </c>
      <c r="CN18" s="13">
        <v>540500</v>
      </c>
      <c r="CO18" s="13">
        <v>643500</v>
      </c>
      <c r="CP18" s="13">
        <v>753500</v>
      </c>
      <c r="CQ18" s="13">
        <v>858500</v>
      </c>
      <c r="CS18" s="225">
        <v>69119</v>
      </c>
    </row>
    <row r="19" spans="1:97" x14ac:dyDescent="0.3">
      <c r="A19" s="10" t="s">
        <v>149</v>
      </c>
      <c r="B19" s="50">
        <f t="shared" ref="B19:R19" si="10">B3-B12</f>
        <v>49554591.269999996</v>
      </c>
      <c r="C19" s="50">
        <f t="shared" si="10"/>
        <v>60679872.219999991</v>
      </c>
      <c r="D19" s="50">
        <f t="shared" si="10"/>
        <v>51636976.240000002</v>
      </c>
      <c r="E19" s="50">
        <f t="shared" si="10"/>
        <v>4039992.8000000007</v>
      </c>
      <c r="F19" s="50">
        <f t="shared" si="10"/>
        <v>5369830</v>
      </c>
      <c r="G19" s="50">
        <f t="shared" si="10"/>
        <v>6669624.8499999996</v>
      </c>
      <c r="H19" s="50">
        <f t="shared" si="10"/>
        <v>10443223.85</v>
      </c>
      <c r="I19" s="50">
        <f t="shared" si="10"/>
        <v>19515835.880000003</v>
      </c>
      <c r="J19" s="50">
        <f t="shared" si="10"/>
        <v>13757423.640000001</v>
      </c>
      <c r="K19" s="50">
        <f t="shared" si="10"/>
        <v>16235293.5</v>
      </c>
      <c r="L19" s="50">
        <f t="shared" si="10"/>
        <v>29335441.5</v>
      </c>
      <c r="M19" s="50">
        <f t="shared" si="10"/>
        <v>98483417.400000006</v>
      </c>
      <c r="N19" s="50">
        <f t="shared" si="10"/>
        <v>33754733.799999997</v>
      </c>
      <c r="O19" s="50">
        <f t="shared" si="10"/>
        <v>53910064.350000001</v>
      </c>
      <c r="P19" s="50">
        <f t="shared" si="10"/>
        <v>120820863.72000001</v>
      </c>
      <c r="Q19" s="43">
        <f t="shared" si="10"/>
        <v>72348311.379999995</v>
      </c>
      <c r="R19" s="70">
        <f t="shared" si="10"/>
        <v>73178751.379999995</v>
      </c>
      <c r="S19" s="70">
        <f t="shared" ref="S19:AU19" si="11">S3-S12</f>
        <v>12812639.32</v>
      </c>
      <c r="T19" s="70">
        <f t="shared" si="11"/>
        <v>8881485.0500000007</v>
      </c>
      <c r="U19" s="70">
        <f t="shared" si="11"/>
        <v>21160884.620000001</v>
      </c>
      <c r="V19" s="70">
        <f t="shared" si="11"/>
        <v>14455519.219999999</v>
      </c>
      <c r="W19" s="70">
        <f t="shared" si="11"/>
        <v>17097162.84</v>
      </c>
      <c r="X19" s="70">
        <f t="shared" si="11"/>
        <v>37487390.669999994</v>
      </c>
      <c r="Y19" s="70">
        <f t="shared" si="11"/>
        <v>107538947.49000001</v>
      </c>
      <c r="Z19" s="70">
        <f t="shared" si="11"/>
        <v>73272537.659999996</v>
      </c>
      <c r="AA19" s="70">
        <f t="shared" si="11"/>
        <v>202723894.14999998</v>
      </c>
      <c r="AB19" s="70">
        <f t="shared" si="11"/>
        <v>119643188.92000002</v>
      </c>
      <c r="AC19" s="70">
        <f t="shared" si="11"/>
        <v>196779046.28999999</v>
      </c>
      <c r="AD19" s="70">
        <f t="shared" si="11"/>
        <v>64926803.410000011</v>
      </c>
      <c r="AE19" s="70">
        <f t="shared" si="11"/>
        <v>70053237.520000011</v>
      </c>
      <c r="AF19" s="70">
        <f t="shared" si="11"/>
        <v>7741502</v>
      </c>
      <c r="AG19" s="70">
        <f t="shared" si="11"/>
        <v>11156052.960000001</v>
      </c>
      <c r="AH19" s="70">
        <f t="shared" si="11"/>
        <v>11678149</v>
      </c>
      <c r="AI19" s="70">
        <f t="shared" si="11"/>
        <v>12388675</v>
      </c>
      <c r="AJ19" s="70">
        <f t="shared" si="11"/>
        <v>15089939</v>
      </c>
      <c r="AK19" s="70">
        <f t="shared" si="11"/>
        <v>40868520.489999995</v>
      </c>
      <c r="AL19" s="70">
        <f t="shared" si="11"/>
        <v>40868520.489999995</v>
      </c>
      <c r="AM19" s="70">
        <f t="shared" si="11"/>
        <v>44757075.090000004</v>
      </c>
      <c r="AN19" s="70">
        <f t="shared" si="11"/>
        <v>48967834.489999995</v>
      </c>
      <c r="AO19" s="70">
        <f t="shared" si="11"/>
        <v>69761265</v>
      </c>
      <c r="AP19" s="70">
        <f t="shared" si="11"/>
        <v>75502220</v>
      </c>
      <c r="AQ19" s="70">
        <f t="shared" si="11"/>
        <v>80457482.769999996</v>
      </c>
      <c r="AR19" s="70">
        <f t="shared" si="11"/>
        <v>99929942.799999997</v>
      </c>
      <c r="AS19" s="70">
        <f t="shared" si="11"/>
        <v>9384506</v>
      </c>
      <c r="AT19" s="70">
        <f t="shared" si="11"/>
        <v>13732831.43</v>
      </c>
      <c r="AU19" s="70">
        <f t="shared" si="11"/>
        <v>15541544.43</v>
      </c>
      <c r="AV19" s="70">
        <f>AV3-AV12</f>
        <v>18630836.43</v>
      </c>
      <c r="AW19" s="70">
        <f>AW3-AW12</f>
        <v>22125941.43</v>
      </c>
      <c r="AX19" s="70">
        <f>AX3-AX12</f>
        <v>48850128.479999997</v>
      </c>
      <c r="AY19" s="70">
        <f>AY3-AY12</f>
        <v>54304503.430000007</v>
      </c>
      <c r="AZ19" s="70">
        <f t="shared" ref="AZ19:CS19" si="12">AZ3-AZ12</f>
        <v>58979886.430000007</v>
      </c>
      <c r="BA19" s="70">
        <f t="shared" si="12"/>
        <v>61869203.88000001</v>
      </c>
      <c r="BB19" s="70">
        <f t="shared" si="12"/>
        <v>78403770.790000007</v>
      </c>
      <c r="BC19" s="70">
        <f t="shared" si="12"/>
        <v>82111997.050000012</v>
      </c>
      <c r="BD19" s="70">
        <f t="shared" si="12"/>
        <v>84983006.699999988</v>
      </c>
      <c r="BE19" s="70">
        <f t="shared" si="12"/>
        <v>0</v>
      </c>
      <c r="BF19" s="70">
        <f t="shared" si="12"/>
        <v>7291623.1299999999</v>
      </c>
      <c r="BG19" s="70">
        <f t="shared" si="12"/>
        <v>12283665</v>
      </c>
      <c r="BH19" s="70">
        <f t="shared" si="12"/>
        <v>12147716</v>
      </c>
      <c r="BI19" s="70">
        <f t="shared" si="12"/>
        <v>18432646</v>
      </c>
      <c r="BJ19" s="70">
        <f t="shared" si="12"/>
        <v>38813164</v>
      </c>
      <c r="BK19" s="70">
        <f t="shared" si="12"/>
        <v>44211596</v>
      </c>
      <c r="BL19" s="70">
        <f t="shared" si="12"/>
        <v>0</v>
      </c>
      <c r="BM19" s="70">
        <f t="shared" si="12"/>
        <v>160168020</v>
      </c>
      <c r="BN19" s="70">
        <f t="shared" si="12"/>
        <v>54888869</v>
      </c>
      <c r="BO19" s="70">
        <f t="shared" si="12"/>
        <v>75005808.5</v>
      </c>
      <c r="BP19" s="70">
        <f t="shared" si="12"/>
        <v>160016894</v>
      </c>
      <c r="BQ19" s="70">
        <f t="shared" si="12"/>
        <v>80239112.519999996</v>
      </c>
      <c r="BR19" s="70">
        <f t="shared" si="12"/>
        <v>80840787.280000001</v>
      </c>
      <c r="BS19" s="70">
        <f t="shared" si="12"/>
        <v>8025722.1999999993</v>
      </c>
      <c r="BT19" s="70">
        <f t="shared" si="12"/>
        <v>12962379.48</v>
      </c>
      <c r="BU19" s="70">
        <f t="shared" si="12"/>
        <v>17331972.489999998</v>
      </c>
      <c r="BV19" s="70">
        <f t="shared" si="12"/>
        <v>39899305.940000013</v>
      </c>
      <c r="BW19" s="70">
        <f t="shared" si="12"/>
        <v>44489078.269999996</v>
      </c>
      <c r="BX19" s="70">
        <f t="shared" si="12"/>
        <v>49374145.530000001</v>
      </c>
      <c r="BY19" s="70">
        <f t="shared" si="12"/>
        <v>54647243.969999999</v>
      </c>
      <c r="BZ19" s="70">
        <f t="shared" si="12"/>
        <v>0</v>
      </c>
      <c r="CA19" s="70">
        <f t="shared" si="12"/>
        <v>0</v>
      </c>
      <c r="CB19" s="70">
        <f t="shared" si="12"/>
        <v>0</v>
      </c>
      <c r="CC19" s="70">
        <f t="shared" si="12"/>
        <v>0</v>
      </c>
      <c r="CD19" s="70">
        <f t="shared" si="12"/>
        <v>0</v>
      </c>
      <c r="CE19" s="70">
        <f t="shared" si="12"/>
        <v>80037562.709999979</v>
      </c>
      <c r="CF19" s="70">
        <f t="shared" si="12"/>
        <v>4500278.92</v>
      </c>
      <c r="CG19" s="70">
        <f t="shared" si="12"/>
        <v>9580962.2800000012</v>
      </c>
      <c r="CH19" s="70">
        <f t="shared" si="12"/>
        <v>13370370.620000001</v>
      </c>
      <c r="CI19" s="70">
        <f t="shared" si="12"/>
        <v>19730930.660000004</v>
      </c>
      <c r="CJ19" s="70">
        <f t="shared" si="12"/>
        <v>25467579.900000006</v>
      </c>
      <c r="CK19" s="70">
        <f t="shared" si="12"/>
        <v>53984606.159999996</v>
      </c>
      <c r="CL19" s="70">
        <f t="shared" si="12"/>
        <v>71616045.150000006</v>
      </c>
      <c r="CM19" s="70">
        <f t="shared" si="12"/>
        <v>75854032.400000006</v>
      </c>
      <c r="CN19" s="70">
        <f t="shared" si="12"/>
        <v>82506393.429999992</v>
      </c>
      <c r="CO19" s="70">
        <f t="shared" si="12"/>
        <v>86920555.589999989</v>
      </c>
      <c r="CP19" s="70">
        <f t="shared" si="12"/>
        <v>88517360.890000001</v>
      </c>
      <c r="CQ19" s="70">
        <f t="shared" si="12"/>
        <v>96631969.900000006</v>
      </c>
      <c r="CR19" s="70">
        <f t="shared" si="12"/>
        <v>98917361.413109422</v>
      </c>
      <c r="CS19" s="70">
        <f t="shared" si="12"/>
        <v>9361536.0599999987</v>
      </c>
    </row>
    <row r="20" spans="1:97" x14ac:dyDescent="0.3">
      <c r="A20" s="10" t="s">
        <v>150</v>
      </c>
      <c r="B20" s="50">
        <f t="shared" ref="B20:R20" si="13">B21-B22</f>
        <v>1755343</v>
      </c>
      <c r="C20" s="50">
        <f t="shared" si="13"/>
        <v>1004580.54</v>
      </c>
      <c r="D20" s="50">
        <f t="shared" si="13"/>
        <v>124212.38</v>
      </c>
      <c r="E20" s="50">
        <f t="shared" si="13"/>
        <v>762005.2</v>
      </c>
      <c r="F20" s="50">
        <f t="shared" si="13"/>
        <v>1892266.2</v>
      </c>
      <c r="G20" s="50">
        <f t="shared" si="13"/>
        <v>2659906.7000000002</v>
      </c>
      <c r="H20" s="50">
        <f t="shared" si="13"/>
        <v>2504088.2000000002</v>
      </c>
      <c r="I20" s="50">
        <f t="shared" si="13"/>
        <v>4790126.4000000004</v>
      </c>
      <c r="J20" s="50">
        <f t="shared" si="13"/>
        <v>1723148.2</v>
      </c>
      <c r="K20" s="50">
        <f t="shared" si="13"/>
        <v>3529416.7</v>
      </c>
      <c r="L20" s="50">
        <f t="shared" si="13"/>
        <v>3517317.7</v>
      </c>
      <c r="M20" s="50">
        <f t="shared" si="13"/>
        <v>10805190.300000001</v>
      </c>
      <c r="N20" s="50">
        <f t="shared" si="13"/>
        <v>3237527</v>
      </c>
      <c r="O20" s="50">
        <f t="shared" si="13"/>
        <v>1947553.4</v>
      </c>
      <c r="P20" s="50">
        <f t="shared" si="13"/>
        <v>3019742.4</v>
      </c>
      <c r="Q20" s="43">
        <f t="shared" si="13"/>
        <v>5004620.4000000004</v>
      </c>
      <c r="R20" s="70">
        <f t="shared" si="13"/>
        <v>5004619.4400000004</v>
      </c>
      <c r="S20" s="70">
        <f t="shared" ref="S20:AU20" si="14">S21-S22</f>
        <v>36553.4</v>
      </c>
      <c r="T20" s="70">
        <f t="shared" si="14"/>
        <v>509219</v>
      </c>
      <c r="U20" s="70">
        <f t="shared" si="14"/>
        <v>-1033145.6</v>
      </c>
      <c r="V20" s="70">
        <f t="shared" si="14"/>
        <v>-543658.6</v>
      </c>
      <c r="W20" s="70">
        <f t="shared" si="14"/>
        <v>-1158857.3</v>
      </c>
      <c r="X20" s="70">
        <f t="shared" si="14"/>
        <v>-1454730.1</v>
      </c>
      <c r="Y20" s="70">
        <f t="shared" si="14"/>
        <v>-4547043</v>
      </c>
      <c r="Z20" s="70">
        <f t="shared" si="14"/>
        <v>-2001489</v>
      </c>
      <c r="AA20" s="70">
        <f t="shared" si="14"/>
        <v>-2927258</v>
      </c>
      <c r="AB20" s="70">
        <f t="shared" si="14"/>
        <v>-1692645.2</v>
      </c>
      <c r="AC20" s="70">
        <f t="shared" si="14"/>
        <v>-2214942.6</v>
      </c>
      <c r="AD20" s="70">
        <f t="shared" si="14"/>
        <v>-738314.2</v>
      </c>
      <c r="AE20" s="70">
        <f t="shared" si="14"/>
        <v>0</v>
      </c>
      <c r="AF20" s="70">
        <f t="shared" si="14"/>
        <v>-1469999.28</v>
      </c>
      <c r="AG20" s="70">
        <f t="shared" si="14"/>
        <v>-2210429.91</v>
      </c>
      <c r="AH20" s="70">
        <f t="shared" si="14"/>
        <v>-2221445.02</v>
      </c>
      <c r="AI20" s="70">
        <f t="shared" si="14"/>
        <v>-2256100.48</v>
      </c>
      <c r="AJ20" s="70">
        <f t="shared" si="14"/>
        <v>-3268094.48</v>
      </c>
      <c r="AK20" s="70">
        <f t="shared" si="14"/>
        <v>-2970015.3</v>
      </c>
      <c r="AL20" s="70">
        <f t="shared" si="14"/>
        <v>-2970015.3</v>
      </c>
      <c r="AM20" s="70">
        <f t="shared" si="14"/>
        <v>-1939500.56</v>
      </c>
      <c r="AN20" s="70">
        <f t="shared" si="14"/>
        <v>-1925301.56</v>
      </c>
      <c r="AO20" s="70">
        <f t="shared" si="14"/>
        <v>-4115743.87</v>
      </c>
      <c r="AP20" s="70">
        <f t="shared" si="14"/>
        <v>-1210280</v>
      </c>
      <c r="AQ20" s="70">
        <f t="shared" si="14"/>
        <v>1253297.3</v>
      </c>
      <c r="AR20" s="70">
        <f t="shared" si="14"/>
        <v>1253297.28</v>
      </c>
      <c r="AS20" s="70">
        <f t="shared" si="14"/>
        <v>-1947105.3</v>
      </c>
      <c r="AT20" s="70">
        <f t="shared" si="14"/>
        <v>-3162107.1</v>
      </c>
      <c r="AU20" s="70">
        <f t="shared" si="14"/>
        <v>-2722108.1</v>
      </c>
      <c r="AV20" s="70">
        <f>AV21-AV22</f>
        <v>-2371696.2000000002</v>
      </c>
      <c r="AW20" s="70">
        <f>AW21-AW22</f>
        <v>-2148196.1</v>
      </c>
      <c r="AX20" s="70">
        <f>AX21-AX22</f>
        <v>-2300363.1</v>
      </c>
      <c r="AY20" s="70">
        <f>AY21-AY22</f>
        <v>-2388313.1</v>
      </c>
      <c r="AZ20" s="70">
        <f t="shared" ref="AZ20:CS20" si="15">AZ21-AZ22</f>
        <v>-2194360.2000000002</v>
      </c>
      <c r="BA20" s="70">
        <f t="shared" si="15"/>
        <v>-2212315.4</v>
      </c>
      <c r="BB20" s="70">
        <f t="shared" si="15"/>
        <v>1092190.3</v>
      </c>
      <c r="BC20" s="70">
        <f t="shared" si="15"/>
        <v>5101782.3</v>
      </c>
      <c r="BD20" s="70">
        <f t="shared" si="15"/>
        <v>2672519</v>
      </c>
      <c r="BE20" s="70">
        <f t="shared" si="15"/>
        <v>0</v>
      </c>
      <c r="BF20" s="70">
        <f t="shared" si="15"/>
        <v>813268.8</v>
      </c>
      <c r="BG20" s="70">
        <f t="shared" si="15"/>
        <v>-2040899.5</v>
      </c>
      <c r="BH20" s="70">
        <f t="shared" si="15"/>
        <v>5651856.5</v>
      </c>
      <c r="BI20" s="70">
        <f t="shared" si="15"/>
        <v>3725956.3</v>
      </c>
      <c r="BJ20" s="70">
        <f t="shared" si="15"/>
        <v>2299125.2999999998</v>
      </c>
      <c r="BK20" s="70">
        <f t="shared" si="15"/>
        <v>1059053.6000000001</v>
      </c>
      <c r="BL20" s="70">
        <f t="shared" si="15"/>
        <v>0</v>
      </c>
      <c r="BM20" s="70">
        <f t="shared" si="15"/>
        <v>1350091.5</v>
      </c>
      <c r="BN20" s="70">
        <f t="shared" si="15"/>
        <v>-796473.6</v>
      </c>
      <c r="BO20" s="70">
        <f t="shared" si="15"/>
        <v>-4187997.4</v>
      </c>
      <c r="BP20" s="70">
        <f t="shared" si="15"/>
        <v>-3734395.6</v>
      </c>
      <c r="BQ20" s="70">
        <f t="shared" si="15"/>
        <v>-8187928.9000000004</v>
      </c>
      <c r="BR20" s="70">
        <f t="shared" si="15"/>
        <v>0</v>
      </c>
      <c r="BS20" s="70">
        <f t="shared" si="15"/>
        <v>-539870</v>
      </c>
      <c r="BT20" s="70">
        <f t="shared" si="15"/>
        <v>-1629062.5</v>
      </c>
      <c r="BU20" s="70">
        <f t="shared" si="15"/>
        <v>-1595103.8</v>
      </c>
      <c r="BV20" s="70">
        <f t="shared" si="15"/>
        <v>-899233.6</v>
      </c>
      <c r="BW20" s="70">
        <f t="shared" si="15"/>
        <v>-394886.6</v>
      </c>
      <c r="BX20" s="70">
        <f t="shared" si="15"/>
        <v>-1246640.8999999999</v>
      </c>
      <c r="BY20" s="70">
        <f t="shared" si="15"/>
        <v>-931589.7</v>
      </c>
      <c r="BZ20" s="70">
        <f t="shared" si="15"/>
        <v>0</v>
      </c>
      <c r="CA20" s="70">
        <f t="shared" si="15"/>
        <v>0</v>
      </c>
      <c r="CB20" s="70">
        <f t="shared" si="15"/>
        <v>0</v>
      </c>
      <c r="CC20" s="70">
        <f t="shared" si="15"/>
        <v>0</v>
      </c>
      <c r="CD20" s="70">
        <f t="shared" si="15"/>
        <v>0</v>
      </c>
      <c r="CE20" s="70">
        <f t="shared" si="15"/>
        <v>0</v>
      </c>
      <c r="CF20" s="70">
        <f t="shared" si="15"/>
        <v>1477116.02</v>
      </c>
      <c r="CG20" s="70">
        <f t="shared" si="15"/>
        <v>2122243.7999999998</v>
      </c>
      <c r="CH20" s="70">
        <f t="shared" si="15"/>
        <v>2263222.58</v>
      </c>
      <c r="CI20" s="70">
        <f t="shared" si="15"/>
        <v>2270959</v>
      </c>
      <c r="CJ20" s="70">
        <f t="shared" si="15"/>
        <v>2493098.65</v>
      </c>
      <c r="CK20" s="70">
        <f t="shared" si="15"/>
        <v>6828979</v>
      </c>
      <c r="CL20" s="70">
        <f t="shared" si="15"/>
        <v>0</v>
      </c>
      <c r="CM20" s="70">
        <f t="shared" si="15"/>
        <v>5173808.2</v>
      </c>
      <c r="CN20" s="70">
        <f t="shared" si="15"/>
        <v>5364215.72</v>
      </c>
      <c r="CO20" s="70">
        <f t="shared" si="15"/>
        <v>5747186.9100000001</v>
      </c>
      <c r="CP20" s="70">
        <f t="shared" si="15"/>
        <v>6471369.75</v>
      </c>
      <c r="CQ20" s="70">
        <f t="shared" si="15"/>
        <v>0</v>
      </c>
      <c r="CR20" s="70">
        <f t="shared" si="15"/>
        <v>4948149</v>
      </c>
      <c r="CS20" s="70">
        <f t="shared" si="15"/>
        <v>1631511</v>
      </c>
    </row>
    <row r="21" spans="1:97" x14ac:dyDescent="0.3">
      <c r="A21" s="12" t="s">
        <v>151</v>
      </c>
      <c r="B21" s="18">
        <v>1755343</v>
      </c>
      <c r="C21" s="18">
        <v>1004580.54</v>
      </c>
      <c r="D21" s="44">
        <v>124212.38</v>
      </c>
      <c r="E21" s="13">
        <v>762005.2</v>
      </c>
      <c r="F21" s="13">
        <v>1892266.2</v>
      </c>
      <c r="G21" s="13">
        <v>2659906.7000000002</v>
      </c>
      <c r="H21" s="13">
        <v>2504088.2000000002</v>
      </c>
      <c r="I21" s="13">
        <v>4790126.4000000004</v>
      </c>
      <c r="J21" s="13">
        <v>1723148.2</v>
      </c>
      <c r="K21" s="158">
        <v>3529416.7</v>
      </c>
      <c r="L21" s="13">
        <v>3517317.7</v>
      </c>
      <c r="M21" s="13">
        <v>10805190.300000001</v>
      </c>
      <c r="N21" s="13">
        <v>3237527</v>
      </c>
      <c r="O21" s="13">
        <v>1947553.4</v>
      </c>
      <c r="P21" s="13">
        <v>3019742.4</v>
      </c>
      <c r="Q21" s="66">
        <v>5004620.4000000004</v>
      </c>
      <c r="R21" s="44">
        <v>5004619.4400000004</v>
      </c>
      <c r="S21" s="13">
        <v>36553.4</v>
      </c>
      <c r="T21" s="13">
        <v>509219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79">
        <v>0</v>
      </c>
      <c r="AF21" s="13">
        <v>0</v>
      </c>
      <c r="AG21" s="13">
        <v>0</v>
      </c>
      <c r="AH21" s="13">
        <v>0</v>
      </c>
      <c r="AI21" s="88">
        <v>0</v>
      </c>
      <c r="AJ21" s="88">
        <v>0</v>
      </c>
      <c r="AK21" s="88">
        <v>0</v>
      </c>
      <c r="AL21" s="88">
        <v>0</v>
      </c>
      <c r="AM21" s="88">
        <v>0</v>
      </c>
      <c r="AN21" s="88">
        <v>0</v>
      </c>
      <c r="AO21" s="88">
        <v>0</v>
      </c>
      <c r="AP21" s="100">
        <v>0</v>
      </c>
      <c r="AQ21" s="100">
        <v>1253297.3</v>
      </c>
      <c r="AR21" s="96">
        <v>1253297.28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2672519</v>
      </c>
      <c r="BF21" s="13">
        <v>813268.8</v>
      </c>
      <c r="BG21" s="13">
        <v>0</v>
      </c>
      <c r="BH21" s="13">
        <v>5651856.5</v>
      </c>
      <c r="BI21" s="13">
        <v>3725956.3</v>
      </c>
      <c r="BJ21" s="13">
        <v>2299125.2999999998</v>
      </c>
      <c r="BK21" s="13">
        <v>1059053.6000000001</v>
      </c>
      <c r="BL21" s="13"/>
      <c r="BM21" s="13">
        <v>1350091.5</v>
      </c>
      <c r="BN21" s="13">
        <v>-796473.6</v>
      </c>
      <c r="BO21" s="13">
        <v>-4187997.4</v>
      </c>
      <c r="BP21" s="13">
        <v>-3734395.6</v>
      </c>
      <c r="BQ21" s="13">
        <v>-8187928.9000000004</v>
      </c>
      <c r="BR21" s="99">
        <v>0</v>
      </c>
      <c r="BS21">
        <v>0</v>
      </c>
      <c r="BT21">
        <v>0</v>
      </c>
      <c r="BU21">
        <v>0</v>
      </c>
      <c r="BV21">
        <v>0</v>
      </c>
      <c r="BW21" s="171">
        <v>0</v>
      </c>
      <c r="BX21" s="173">
        <v>0</v>
      </c>
      <c r="BY21" s="173">
        <v>0</v>
      </c>
      <c r="CF21" s="13">
        <v>1477116.02</v>
      </c>
      <c r="CG21" s="13">
        <v>2122243.7999999998</v>
      </c>
      <c r="CH21" s="13">
        <v>2263222.58</v>
      </c>
      <c r="CI21" s="13">
        <v>2270959</v>
      </c>
      <c r="CJ21" s="13">
        <v>2493098.65</v>
      </c>
      <c r="CK21" s="13">
        <v>6828979</v>
      </c>
      <c r="CL21" s="13">
        <v>0</v>
      </c>
      <c r="CM21" s="13">
        <v>5173808.2</v>
      </c>
      <c r="CN21" s="13">
        <v>5364215.72</v>
      </c>
      <c r="CO21" s="13">
        <v>5747186.9100000001</v>
      </c>
      <c r="CP21" s="13">
        <v>6471369.75</v>
      </c>
      <c r="CQ21" s="13">
        <v>0</v>
      </c>
      <c r="CR21" s="240">
        <v>4948149</v>
      </c>
      <c r="CS21" s="225">
        <v>1631511</v>
      </c>
    </row>
    <row r="22" spans="1:97" x14ac:dyDescent="0.3">
      <c r="A22" s="12" t="s">
        <v>152</v>
      </c>
      <c r="B22" s="18"/>
      <c r="C22" s="18"/>
      <c r="D22" s="46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8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66">
        <v>0</v>
      </c>
      <c r="S22" s="13">
        <v>0</v>
      </c>
      <c r="T22" s="13">
        <v>0</v>
      </c>
      <c r="U22" s="13">
        <v>1033145.6</v>
      </c>
      <c r="V22" s="13">
        <v>543658.6</v>
      </c>
      <c r="W22" s="13">
        <v>1158857.3</v>
      </c>
      <c r="X22" s="13">
        <v>1454730.1</v>
      </c>
      <c r="Y22" s="13">
        <v>4547043</v>
      </c>
      <c r="Z22" s="13">
        <v>2001489</v>
      </c>
      <c r="AA22" s="13">
        <v>2927258</v>
      </c>
      <c r="AB22" s="13">
        <v>1692645.2</v>
      </c>
      <c r="AC22" s="13">
        <v>2214942.6</v>
      </c>
      <c r="AD22" s="13">
        <v>738314.2</v>
      </c>
      <c r="AE22" s="79">
        <v>0</v>
      </c>
      <c r="AF22" s="88">
        <v>1469999.28</v>
      </c>
      <c r="AG22" s="88">
        <v>2210429.91</v>
      </c>
      <c r="AH22" s="88">
        <v>2221445.02</v>
      </c>
      <c r="AI22" s="88">
        <v>2256100.48</v>
      </c>
      <c r="AJ22" s="88">
        <v>3268094.48</v>
      </c>
      <c r="AK22" s="88">
        <v>2970015.3</v>
      </c>
      <c r="AL22" s="88">
        <v>2970015.3</v>
      </c>
      <c r="AM22" s="88">
        <v>1939500.56</v>
      </c>
      <c r="AN22" s="88">
        <v>1925301.56</v>
      </c>
      <c r="AO22" s="88">
        <v>4115743.87</v>
      </c>
      <c r="AP22" s="100">
        <v>1210280</v>
      </c>
      <c r="AQ22" s="100">
        <v>0</v>
      </c>
      <c r="AS22" s="13">
        <v>1947105.3</v>
      </c>
      <c r="AT22" s="13">
        <v>3162107.1</v>
      </c>
      <c r="AU22" s="13">
        <v>2722108.1</v>
      </c>
      <c r="AV22" s="13">
        <v>2371696.2000000002</v>
      </c>
      <c r="AW22" s="13">
        <v>2148196.1</v>
      </c>
      <c r="AX22" s="13">
        <v>2300363.1</v>
      </c>
      <c r="AY22" s="13">
        <v>2388313.1</v>
      </c>
      <c r="AZ22" s="13">
        <v>2194360.2000000002</v>
      </c>
      <c r="BA22" s="13">
        <v>2212315.4</v>
      </c>
      <c r="BB22" s="13">
        <v>-1092190.3</v>
      </c>
      <c r="BC22" s="13">
        <v>-5101782.3</v>
      </c>
      <c r="BD22" s="13">
        <v>0</v>
      </c>
      <c r="BF22" s="13">
        <v>0</v>
      </c>
      <c r="BG22" s="13">
        <v>2040899.5</v>
      </c>
      <c r="BH22" s="13">
        <v>0</v>
      </c>
      <c r="BI22" s="13">
        <v>0</v>
      </c>
      <c r="BJ22" s="13">
        <v>0</v>
      </c>
      <c r="BK22" s="13">
        <v>0</v>
      </c>
      <c r="BL22" s="13"/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S22">
        <v>539870</v>
      </c>
      <c r="BT22">
        <v>1629062.5</v>
      </c>
      <c r="BU22">
        <v>1595103.8</v>
      </c>
      <c r="BV22">
        <v>899233.6</v>
      </c>
      <c r="BW22" s="172">
        <v>394886.6</v>
      </c>
      <c r="BX22" s="174">
        <v>1246640.8999999999</v>
      </c>
      <c r="BY22" s="174">
        <v>931589.7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S22" s="225">
        <v>0</v>
      </c>
    </row>
    <row r="23" spans="1:97" x14ac:dyDescent="0.3">
      <c r="A23" s="10" t="s">
        <v>153</v>
      </c>
      <c r="B23" s="50">
        <f t="shared" ref="B23:AU23" si="16">SUM(B24:B28)</f>
        <v>42192109.980000004</v>
      </c>
      <c r="C23" s="50">
        <f t="shared" si="16"/>
        <v>50352376.18</v>
      </c>
      <c r="D23" s="50">
        <f t="shared" si="16"/>
        <v>46898867.969999999</v>
      </c>
      <c r="E23" s="50">
        <f t="shared" si="16"/>
        <v>3593615.84</v>
      </c>
      <c r="F23" s="50">
        <f t="shared" si="16"/>
        <v>3444299.5</v>
      </c>
      <c r="G23" s="50">
        <f t="shared" si="16"/>
        <v>7237235.5</v>
      </c>
      <c r="H23" s="50">
        <f t="shared" si="16"/>
        <v>10991923.199999999</v>
      </c>
      <c r="I23" s="50">
        <f t="shared" si="16"/>
        <v>29291642</v>
      </c>
      <c r="J23" s="50">
        <f t="shared" si="16"/>
        <v>17835938</v>
      </c>
      <c r="K23" s="50">
        <f t="shared" si="16"/>
        <v>21505445</v>
      </c>
      <c r="L23" s="50">
        <f t="shared" si="16"/>
        <v>25960350</v>
      </c>
      <c r="M23" s="50">
        <f t="shared" si="16"/>
        <v>89105856</v>
      </c>
      <c r="N23" s="50">
        <f t="shared" si="16"/>
        <v>34094122</v>
      </c>
      <c r="O23" s="50">
        <f t="shared" si="16"/>
        <v>46492920.780000001</v>
      </c>
      <c r="P23" s="50">
        <f t="shared" si="16"/>
        <v>103951851.56</v>
      </c>
      <c r="Q23" s="43">
        <f t="shared" si="16"/>
        <v>60038750.75</v>
      </c>
      <c r="R23" s="70">
        <f t="shared" si="16"/>
        <v>59880702.75</v>
      </c>
      <c r="S23" s="70">
        <f t="shared" si="16"/>
        <v>7775980.7000000002</v>
      </c>
      <c r="T23" s="70">
        <f t="shared" si="16"/>
        <v>8007522.9500000002</v>
      </c>
      <c r="U23" s="70">
        <f t="shared" si="16"/>
        <v>24550677.300000001</v>
      </c>
      <c r="V23" s="70">
        <f t="shared" si="16"/>
        <v>16389909.1</v>
      </c>
      <c r="W23" s="70">
        <f t="shared" si="16"/>
        <v>20914320.100000001</v>
      </c>
      <c r="X23" s="70">
        <f t="shared" si="16"/>
        <v>37873841.700000003</v>
      </c>
      <c r="Y23" s="70">
        <f t="shared" si="16"/>
        <v>129797621.84999999</v>
      </c>
      <c r="Z23" s="70">
        <f t="shared" si="16"/>
        <v>96385427.900000006</v>
      </c>
      <c r="AA23" s="70">
        <f t="shared" si="16"/>
        <v>262530213.5</v>
      </c>
      <c r="AB23" s="70">
        <f t="shared" si="16"/>
        <v>112890595.8</v>
      </c>
      <c r="AC23" s="70">
        <f t="shared" si="16"/>
        <v>188532817.41</v>
      </c>
      <c r="AD23" s="70">
        <f t="shared" si="16"/>
        <v>56863342.5</v>
      </c>
      <c r="AE23" s="70">
        <f t="shared" si="16"/>
        <v>56822342.450000003</v>
      </c>
      <c r="AF23" s="70">
        <f t="shared" si="16"/>
        <v>4256171.25</v>
      </c>
      <c r="AG23" s="70">
        <f t="shared" si="16"/>
        <v>9127988.25</v>
      </c>
      <c r="AH23" s="70">
        <f t="shared" si="16"/>
        <v>13894432.890000001</v>
      </c>
      <c r="AI23" s="70">
        <f t="shared" si="16"/>
        <v>20442947.640000001</v>
      </c>
      <c r="AJ23" s="70">
        <f t="shared" si="16"/>
        <v>24343591.640000001</v>
      </c>
      <c r="AK23" s="70">
        <f t="shared" si="16"/>
        <v>32608157.640000001</v>
      </c>
      <c r="AL23" s="70">
        <f t="shared" si="16"/>
        <v>32608157.640000001</v>
      </c>
      <c r="AM23" s="70">
        <f t="shared" si="16"/>
        <v>46743661.399999999</v>
      </c>
      <c r="AN23" s="70">
        <f t="shared" si="16"/>
        <v>51545444.399999999</v>
      </c>
      <c r="AO23" s="70">
        <f t="shared" si="16"/>
        <v>56336543.399999999</v>
      </c>
      <c r="AP23" s="70">
        <f t="shared" si="16"/>
        <v>62168242.399999999</v>
      </c>
      <c r="AQ23" s="70">
        <f t="shared" si="16"/>
        <v>68633234.800000012</v>
      </c>
      <c r="AR23" s="70">
        <f t="shared" si="16"/>
        <v>73514316.710000008</v>
      </c>
      <c r="AS23" s="70">
        <f t="shared" si="16"/>
        <v>7174029.9100000001</v>
      </c>
      <c r="AT23" s="70">
        <f t="shared" si="16"/>
        <v>11972530.08</v>
      </c>
      <c r="AU23" s="70">
        <f t="shared" si="16"/>
        <v>19768729</v>
      </c>
      <c r="AV23" s="70">
        <f>SUM(AV24:AV28)</f>
        <v>23998711.800000001</v>
      </c>
      <c r="AW23" s="70">
        <f>SUM(AW24:AW28)</f>
        <v>29444677.5</v>
      </c>
      <c r="AX23" s="70">
        <f>SUM(AX24:AX28)</f>
        <v>35058188.5</v>
      </c>
      <c r="AY23" s="70">
        <f>SUM(AY24:AY28)</f>
        <v>41084122.600000001</v>
      </c>
      <c r="AZ23" s="70">
        <f t="shared" ref="AZ23:CS23" si="17">SUM(AZ24:AZ28)</f>
        <v>46930652.5</v>
      </c>
      <c r="BA23" s="70">
        <f t="shared" si="17"/>
        <v>53818725</v>
      </c>
      <c r="BB23" s="70">
        <f t="shared" si="17"/>
        <v>62628615.399999999</v>
      </c>
      <c r="BC23" s="70">
        <f t="shared" si="17"/>
        <v>69237581.400000006</v>
      </c>
      <c r="BD23" s="70">
        <f t="shared" si="17"/>
        <v>80128202.879999995</v>
      </c>
      <c r="BE23" s="70">
        <f t="shared" si="17"/>
        <v>0</v>
      </c>
      <c r="BF23" s="70">
        <f t="shared" si="17"/>
        <v>4745358</v>
      </c>
      <c r="BG23" s="70">
        <f t="shared" si="17"/>
        <v>10897580</v>
      </c>
      <c r="BH23" s="70">
        <f t="shared" si="17"/>
        <v>17608570</v>
      </c>
      <c r="BI23" s="70">
        <f t="shared" si="17"/>
        <v>23558872.760000002</v>
      </c>
      <c r="BJ23" s="70">
        <f t="shared" si="17"/>
        <v>32720709.27</v>
      </c>
      <c r="BK23" s="70">
        <f t="shared" si="17"/>
        <v>38719847.399999999</v>
      </c>
      <c r="BL23" s="70">
        <f t="shared" si="17"/>
        <v>0</v>
      </c>
      <c r="BM23" s="70">
        <f t="shared" si="17"/>
        <v>151131790.19999999</v>
      </c>
      <c r="BN23" s="70">
        <f t="shared" si="17"/>
        <v>58233236.399999999</v>
      </c>
      <c r="BO23" s="70">
        <f t="shared" si="17"/>
        <v>63416067.270000003</v>
      </c>
      <c r="BP23" s="70">
        <f t="shared" si="17"/>
        <v>147641870</v>
      </c>
      <c r="BQ23" s="70">
        <f t="shared" si="17"/>
        <v>78855519.319999993</v>
      </c>
      <c r="BR23" s="70">
        <f t="shared" si="17"/>
        <v>82030985.979999989</v>
      </c>
      <c r="BS23" s="70">
        <f t="shared" si="17"/>
        <v>4593989</v>
      </c>
      <c r="BT23" s="70">
        <f t="shared" si="17"/>
        <v>14196043.9</v>
      </c>
      <c r="BU23" s="70">
        <f t="shared" si="17"/>
        <v>18079737.800000001</v>
      </c>
      <c r="BV23" s="70">
        <f t="shared" si="17"/>
        <v>36984875.870000005</v>
      </c>
      <c r="BW23" s="70">
        <f t="shared" si="17"/>
        <v>41989074.420000002</v>
      </c>
      <c r="BX23" s="70">
        <f t="shared" si="17"/>
        <v>46786654.599999994</v>
      </c>
      <c r="BY23" s="70">
        <f t="shared" si="17"/>
        <v>52163965.159999996</v>
      </c>
      <c r="BZ23" s="70">
        <f t="shared" si="17"/>
        <v>0</v>
      </c>
      <c r="CA23" s="70">
        <f t="shared" si="17"/>
        <v>0</v>
      </c>
      <c r="CB23" s="70">
        <f t="shared" si="17"/>
        <v>0</v>
      </c>
      <c r="CC23" s="70">
        <f t="shared" si="17"/>
        <v>0</v>
      </c>
      <c r="CD23" s="70">
        <f t="shared" si="17"/>
        <v>0</v>
      </c>
      <c r="CE23" s="70">
        <f t="shared" si="17"/>
        <v>76776596.400000006</v>
      </c>
      <c r="CF23" s="70">
        <f t="shared" si="17"/>
        <v>4351553.92</v>
      </c>
      <c r="CG23" s="70">
        <f t="shared" si="17"/>
        <v>10833409.77</v>
      </c>
      <c r="CH23" s="70">
        <f t="shared" si="17"/>
        <v>18062282.240000002</v>
      </c>
      <c r="CI23" s="70">
        <f t="shared" si="17"/>
        <v>21773321.91</v>
      </c>
      <c r="CJ23" s="70">
        <f t="shared" si="17"/>
        <v>27924341.219999999</v>
      </c>
      <c r="CK23" s="70">
        <f t="shared" si="17"/>
        <v>43030721.420000002</v>
      </c>
      <c r="CL23" s="70">
        <f t="shared" si="17"/>
        <v>47283653.799999997</v>
      </c>
      <c r="CM23" s="70">
        <f t="shared" si="17"/>
        <v>53219242.560000002</v>
      </c>
      <c r="CN23" s="70">
        <f t="shared" si="17"/>
        <v>57927679.329999998</v>
      </c>
      <c r="CO23" s="70">
        <f t="shared" si="17"/>
        <v>63830654.409999996</v>
      </c>
      <c r="CP23" s="70">
        <f t="shared" si="17"/>
        <v>72231248.329999998</v>
      </c>
      <c r="CQ23" s="70">
        <f t="shared" si="17"/>
        <v>79452584.530000001</v>
      </c>
      <c r="CR23" s="70">
        <f t="shared" si="17"/>
        <v>80969085.120000005</v>
      </c>
      <c r="CS23" s="70">
        <f t="shared" si="17"/>
        <v>5579654.3799999999</v>
      </c>
    </row>
    <row r="24" spans="1:97" x14ac:dyDescent="0.3">
      <c r="A24" s="12" t="s">
        <v>154</v>
      </c>
      <c r="B24" s="18">
        <v>18718901.48</v>
      </c>
      <c r="C24" s="18">
        <v>21455848.359999999</v>
      </c>
      <c r="D24" s="44">
        <v>21722044.850000001</v>
      </c>
      <c r="E24" s="13">
        <v>1682837</v>
      </c>
      <c r="F24" s="13">
        <v>1759985</v>
      </c>
      <c r="G24" s="13">
        <v>3550620</v>
      </c>
      <c r="H24" s="13">
        <v>5497805</v>
      </c>
      <c r="I24" s="13">
        <v>14566880</v>
      </c>
      <c r="J24" s="13">
        <v>9124075</v>
      </c>
      <c r="K24" s="158">
        <v>11067570</v>
      </c>
      <c r="L24" s="13">
        <v>12857930</v>
      </c>
      <c r="M24" s="13">
        <v>44121945</v>
      </c>
      <c r="N24" s="13">
        <v>17025501</v>
      </c>
      <c r="O24" s="13">
        <v>18810336</v>
      </c>
      <c r="P24" s="13">
        <v>41324142</v>
      </c>
      <c r="Q24" s="66">
        <v>23268920</v>
      </c>
      <c r="R24" s="44">
        <v>23268920</v>
      </c>
      <c r="S24" s="13">
        <v>3987023.2</v>
      </c>
      <c r="T24" s="13">
        <v>4009873.2</v>
      </c>
      <c r="U24" s="13">
        <v>12180569.6</v>
      </c>
      <c r="V24" s="13">
        <v>8132596.5</v>
      </c>
      <c r="W24" s="13">
        <v>11093557.5</v>
      </c>
      <c r="X24" s="13">
        <v>13075119.1</v>
      </c>
      <c r="Y24" s="13">
        <v>45282242.100000001</v>
      </c>
      <c r="Z24" s="13">
        <v>34316483.399999999</v>
      </c>
      <c r="AA24" s="13">
        <v>96642013.5</v>
      </c>
      <c r="AB24" s="13">
        <v>42785223.799999997</v>
      </c>
      <c r="AC24" s="13">
        <v>70443360</v>
      </c>
      <c r="AD24" s="13">
        <v>25737382.199999999</v>
      </c>
      <c r="AE24" s="79">
        <v>25737382.149999999</v>
      </c>
      <c r="AF24" s="88">
        <v>2026859.25</v>
      </c>
      <c r="AG24" s="88">
        <v>4057060.25</v>
      </c>
      <c r="AH24" s="88">
        <v>6155920.25</v>
      </c>
      <c r="AI24" s="88">
        <v>8279661</v>
      </c>
      <c r="AJ24" s="88">
        <v>10433892</v>
      </c>
      <c r="AK24" s="88">
        <v>14615094</v>
      </c>
      <c r="AL24" s="88">
        <v>14615094</v>
      </c>
      <c r="AM24" s="88">
        <v>19017727</v>
      </c>
      <c r="AN24" s="88">
        <v>21144569</v>
      </c>
      <c r="AO24" s="88">
        <v>23592651</v>
      </c>
      <c r="AP24" s="100">
        <v>25761293</v>
      </c>
      <c r="AQ24" s="100">
        <v>28210317.199999999</v>
      </c>
      <c r="AR24" s="96">
        <v>28210317.23</v>
      </c>
      <c r="AS24" s="13">
        <v>4441696.5</v>
      </c>
      <c r="AT24" s="13">
        <v>7198303.2999999998</v>
      </c>
      <c r="AU24" s="13">
        <v>9824948</v>
      </c>
      <c r="AV24" s="13">
        <v>12420244.800000001</v>
      </c>
      <c r="AW24" s="13">
        <v>15199681.5</v>
      </c>
      <c r="AX24" s="13">
        <v>17894087.5</v>
      </c>
      <c r="AY24" s="13">
        <v>20756093.5</v>
      </c>
      <c r="AZ24" s="13">
        <v>23887199.5</v>
      </c>
      <c r="BA24" s="13">
        <v>26634055</v>
      </c>
      <c r="BB24" s="13">
        <v>29366061</v>
      </c>
      <c r="BC24" s="13">
        <v>32321827</v>
      </c>
      <c r="BD24" s="13">
        <v>37630740.799999997</v>
      </c>
      <c r="BF24" s="13">
        <v>2762896</v>
      </c>
      <c r="BG24" s="13">
        <v>5688112</v>
      </c>
      <c r="BH24" s="13">
        <v>8568680</v>
      </c>
      <c r="BI24" s="13">
        <v>13039104</v>
      </c>
      <c r="BJ24" s="13">
        <v>15519245</v>
      </c>
      <c r="BK24" s="13">
        <v>18050241</v>
      </c>
      <c r="BL24" s="13"/>
      <c r="BM24" s="13">
        <v>69341349</v>
      </c>
      <c r="BN24" s="13">
        <v>25588229</v>
      </c>
      <c r="BO24" s="13">
        <v>28055175</v>
      </c>
      <c r="BP24" s="13">
        <v>66428502</v>
      </c>
      <c r="BQ24" s="13">
        <v>37320903.899999999</v>
      </c>
      <c r="BR24" s="100">
        <v>37320903.899999999</v>
      </c>
      <c r="BS24">
        <v>2325250</v>
      </c>
      <c r="BT24">
        <v>7698261.9000000004</v>
      </c>
      <c r="BU24">
        <v>10656998.800000001</v>
      </c>
      <c r="BV24">
        <v>13421235.6</v>
      </c>
      <c r="BW24" s="172">
        <v>16245432.5</v>
      </c>
      <c r="BX24" s="174">
        <v>19059251.300000001</v>
      </c>
      <c r="BY24" s="174">
        <v>21692988.300000001</v>
      </c>
      <c r="CE24" s="176">
        <v>35424278.5</v>
      </c>
      <c r="CF24" s="13">
        <v>1914991.9</v>
      </c>
      <c r="CG24" s="13">
        <v>5162144.9000000004</v>
      </c>
      <c r="CH24" s="13">
        <v>7987036.7999999998</v>
      </c>
      <c r="CI24" s="13">
        <v>10816128.699999999</v>
      </c>
      <c r="CJ24" s="13">
        <v>13565100.5</v>
      </c>
      <c r="CK24" s="13">
        <v>21861927.399999999</v>
      </c>
      <c r="CL24" s="13">
        <v>22087244.300000001</v>
      </c>
      <c r="CM24" s="13">
        <v>25194513.059999999</v>
      </c>
      <c r="CN24" s="13">
        <v>27938228.059999999</v>
      </c>
      <c r="CO24" s="13">
        <v>30758974.940000001</v>
      </c>
      <c r="CP24" s="13">
        <v>36294275.840000004</v>
      </c>
      <c r="CQ24" s="13">
        <v>39313462.640000001</v>
      </c>
      <c r="CR24" s="79">
        <v>39313462.640000001</v>
      </c>
      <c r="CS24" s="225">
        <v>3439698.38</v>
      </c>
    </row>
    <row r="25" spans="1:97" x14ac:dyDescent="0.3">
      <c r="A25" s="12" t="s">
        <v>155</v>
      </c>
      <c r="B25" s="18">
        <v>5166712</v>
      </c>
      <c r="C25" s="18">
        <v>4926581</v>
      </c>
      <c r="D25" s="44">
        <v>4019272</v>
      </c>
      <c r="E25" s="13">
        <v>296835</v>
      </c>
      <c r="F25" s="13">
        <v>250500</v>
      </c>
      <c r="G25" s="13">
        <v>365200</v>
      </c>
      <c r="H25" s="13">
        <v>628000</v>
      </c>
      <c r="I25" s="13">
        <v>2401544</v>
      </c>
      <c r="J25" s="13">
        <v>1341427</v>
      </c>
      <c r="K25" s="158">
        <v>1653877</v>
      </c>
      <c r="L25" s="13">
        <v>2606227</v>
      </c>
      <c r="M25" s="13">
        <v>8874981</v>
      </c>
      <c r="N25" s="13">
        <v>3345987</v>
      </c>
      <c r="O25" s="13">
        <v>3546962</v>
      </c>
      <c r="P25" s="13">
        <v>8601804</v>
      </c>
      <c r="Q25" s="66">
        <v>6144392</v>
      </c>
      <c r="R25" s="44">
        <v>5986272</v>
      </c>
      <c r="S25" s="13">
        <v>340100</v>
      </c>
      <c r="T25" s="13">
        <v>329760</v>
      </c>
      <c r="U25" s="13">
        <v>1143240</v>
      </c>
      <c r="V25" s="13">
        <v>1210060</v>
      </c>
      <c r="W25" s="13">
        <v>1435722</v>
      </c>
      <c r="X25" s="13">
        <v>1435722</v>
      </c>
      <c r="Y25" s="13">
        <v>6634281</v>
      </c>
      <c r="Z25" s="13">
        <v>5319754</v>
      </c>
      <c r="AA25" s="13">
        <v>16715885</v>
      </c>
      <c r="AB25" s="13">
        <v>7350874</v>
      </c>
      <c r="AC25" s="13">
        <v>14729211</v>
      </c>
      <c r="AD25" s="13">
        <v>5938557</v>
      </c>
      <c r="AE25" s="79">
        <v>5897557</v>
      </c>
      <c r="AF25" s="78">
        <v>270800</v>
      </c>
      <c r="AG25" s="78">
        <v>733600</v>
      </c>
      <c r="AH25" s="78">
        <v>1560000</v>
      </c>
      <c r="AI25" s="78">
        <v>2244660</v>
      </c>
      <c r="AJ25" s="78">
        <v>2416310</v>
      </c>
      <c r="AK25" s="78">
        <v>3737710</v>
      </c>
      <c r="AL25" s="78">
        <v>3737710</v>
      </c>
      <c r="AM25" s="78">
        <v>8830810</v>
      </c>
      <c r="AN25" s="78">
        <v>9094010</v>
      </c>
      <c r="AO25" s="78">
        <v>9366510</v>
      </c>
      <c r="AP25" s="100">
        <v>9958810</v>
      </c>
      <c r="AQ25" s="100">
        <v>11307458</v>
      </c>
      <c r="AR25" s="93">
        <v>11291058</v>
      </c>
      <c r="AS25" s="13">
        <v>1055455</v>
      </c>
      <c r="AT25" s="13">
        <v>1516655</v>
      </c>
      <c r="AU25" s="13">
        <v>2921405</v>
      </c>
      <c r="AV25" s="13">
        <v>3310195</v>
      </c>
      <c r="AW25" s="13">
        <v>3721395</v>
      </c>
      <c r="AX25" s="13">
        <v>4558795</v>
      </c>
      <c r="AY25" s="13">
        <v>5020165</v>
      </c>
      <c r="AZ25" s="13">
        <v>5860465</v>
      </c>
      <c r="BA25" s="13">
        <v>6180865</v>
      </c>
      <c r="BB25" s="13">
        <v>6773865</v>
      </c>
      <c r="BC25" s="13">
        <v>7349965</v>
      </c>
      <c r="BD25" s="13">
        <v>9678765</v>
      </c>
      <c r="BF25" s="13">
        <v>334000</v>
      </c>
      <c r="BG25" s="13">
        <v>739200</v>
      </c>
      <c r="BH25" s="13">
        <v>1556960</v>
      </c>
      <c r="BI25" s="13">
        <v>1631070</v>
      </c>
      <c r="BJ25" s="13">
        <v>4329570</v>
      </c>
      <c r="BK25" s="13">
        <v>4554570</v>
      </c>
      <c r="BL25" s="13"/>
      <c r="BM25" s="13">
        <v>15526539</v>
      </c>
      <c r="BN25" s="13">
        <v>5539513</v>
      </c>
      <c r="BO25" s="13">
        <v>5711500</v>
      </c>
      <c r="BP25" s="13">
        <v>11843140</v>
      </c>
      <c r="BQ25" s="13">
        <v>4534562.07</v>
      </c>
      <c r="BR25" s="100">
        <v>5412562.0700000003</v>
      </c>
      <c r="BS25">
        <v>304840</v>
      </c>
      <c r="BT25">
        <v>661377</v>
      </c>
      <c r="BU25">
        <v>1249884</v>
      </c>
      <c r="BV25">
        <v>2020876</v>
      </c>
      <c r="BW25" s="172">
        <v>2297782</v>
      </c>
      <c r="BX25" s="174">
        <v>2764694</v>
      </c>
      <c r="BY25" s="174">
        <v>2931494</v>
      </c>
      <c r="CE25" s="176">
        <v>4957784</v>
      </c>
      <c r="CF25" s="13">
        <v>188200</v>
      </c>
      <c r="CG25" s="13">
        <v>433927</v>
      </c>
      <c r="CH25" s="13">
        <v>691934</v>
      </c>
      <c r="CI25" s="13">
        <v>1354735</v>
      </c>
      <c r="CJ25" s="13">
        <v>1919161</v>
      </c>
      <c r="CK25" s="13">
        <v>2282464</v>
      </c>
      <c r="CL25" s="13">
        <v>2559625</v>
      </c>
      <c r="CM25" s="13">
        <v>2878977</v>
      </c>
      <c r="CN25" s="13">
        <v>3206964</v>
      </c>
      <c r="CO25" s="13">
        <v>3485190</v>
      </c>
      <c r="CP25" s="13">
        <v>3842327</v>
      </c>
      <c r="CQ25" s="13">
        <v>4807305</v>
      </c>
      <c r="CR25" s="79">
        <v>4807305</v>
      </c>
      <c r="CS25" s="225">
        <v>342135</v>
      </c>
    </row>
    <row r="26" spans="1:97" x14ac:dyDescent="0.3">
      <c r="A26" s="12" t="s">
        <v>156</v>
      </c>
      <c r="B26" s="18">
        <v>2180982</v>
      </c>
      <c r="C26" s="18">
        <v>3829929</v>
      </c>
      <c r="D26" s="44">
        <v>3027922</v>
      </c>
      <c r="E26" s="13">
        <v>136815</v>
      </c>
      <c r="F26" s="13">
        <v>264235</v>
      </c>
      <c r="G26" s="13">
        <v>828703</v>
      </c>
      <c r="H26" s="13">
        <v>1007013</v>
      </c>
      <c r="I26" s="13">
        <v>2436706</v>
      </c>
      <c r="J26" s="13">
        <v>1487843</v>
      </c>
      <c r="K26" s="158">
        <v>1779374</v>
      </c>
      <c r="L26" s="13">
        <v>2005578</v>
      </c>
      <c r="M26" s="13">
        <v>6609978</v>
      </c>
      <c r="N26" s="13">
        <v>2411011</v>
      </c>
      <c r="O26" s="13">
        <v>2742296</v>
      </c>
      <c r="P26" s="13">
        <v>6302472</v>
      </c>
      <c r="Q26" s="66">
        <v>3617480</v>
      </c>
      <c r="R26" s="44">
        <v>3617480</v>
      </c>
      <c r="S26" s="13">
        <v>276750</v>
      </c>
      <c r="T26" s="13">
        <v>709345</v>
      </c>
      <c r="U26" s="13">
        <v>1957320</v>
      </c>
      <c r="V26" s="13">
        <v>1125625</v>
      </c>
      <c r="W26" s="13">
        <v>1461130</v>
      </c>
      <c r="X26" s="13">
        <v>1627430</v>
      </c>
      <c r="Y26" s="13">
        <v>6068085</v>
      </c>
      <c r="Z26" s="13">
        <v>4395766</v>
      </c>
      <c r="AA26" s="13">
        <v>11810795</v>
      </c>
      <c r="AB26" s="13">
        <v>5117028</v>
      </c>
      <c r="AC26" s="13">
        <v>8857143</v>
      </c>
      <c r="AD26" s="13">
        <v>4477534</v>
      </c>
      <c r="AE26" s="159">
        <v>4477534</v>
      </c>
      <c r="AF26" s="78">
        <v>154098</v>
      </c>
      <c r="AG26" s="78">
        <v>239793</v>
      </c>
      <c r="AH26" s="78">
        <v>768753</v>
      </c>
      <c r="AI26" s="78">
        <v>1186381</v>
      </c>
      <c r="AJ26" s="78">
        <v>1322346</v>
      </c>
      <c r="AK26" s="78">
        <v>1507106</v>
      </c>
      <c r="AL26" s="78">
        <v>1507106</v>
      </c>
      <c r="AM26" s="78">
        <v>3041021</v>
      </c>
      <c r="AN26" s="78">
        <v>3412131</v>
      </c>
      <c r="AO26" s="78">
        <v>3995784</v>
      </c>
      <c r="AP26" s="100">
        <v>5398146</v>
      </c>
      <c r="AQ26" s="100">
        <v>6696721.5</v>
      </c>
      <c r="AR26" s="93">
        <v>6696721.5</v>
      </c>
      <c r="AS26" s="13">
        <v>148405</v>
      </c>
      <c r="AT26" s="13">
        <v>292347</v>
      </c>
      <c r="AU26" s="13">
        <v>483585</v>
      </c>
      <c r="AV26" s="13">
        <v>589245</v>
      </c>
      <c r="AW26" s="13">
        <v>1438692</v>
      </c>
      <c r="AX26" s="13">
        <v>1625492</v>
      </c>
      <c r="AY26" s="13">
        <v>1954075</v>
      </c>
      <c r="AZ26" s="13">
        <v>2856693</v>
      </c>
      <c r="BA26" s="13">
        <v>5023595</v>
      </c>
      <c r="BB26" s="13">
        <v>8089155</v>
      </c>
      <c r="BC26" s="13">
        <v>9619031</v>
      </c>
      <c r="BD26" s="13">
        <v>10408844</v>
      </c>
      <c r="BF26" s="13">
        <v>614360</v>
      </c>
      <c r="BG26" s="13">
        <v>1852641</v>
      </c>
      <c r="BH26" s="13">
        <v>2538717</v>
      </c>
      <c r="BI26" s="13">
        <v>2854239</v>
      </c>
      <c r="BJ26" s="13">
        <v>3158264</v>
      </c>
      <c r="BK26" s="13">
        <v>3579671</v>
      </c>
      <c r="BL26" s="13"/>
      <c r="BM26" s="13">
        <v>14549457</v>
      </c>
      <c r="BN26" s="13">
        <v>5872994</v>
      </c>
      <c r="BO26" s="13">
        <v>6587260</v>
      </c>
      <c r="BP26" s="13">
        <v>15018164</v>
      </c>
      <c r="BQ26" s="13">
        <v>6377050</v>
      </c>
      <c r="BR26" s="100">
        <v>5499050</v>
      </c>
      <c r="BS26">
        <v>427450</v>
      </c>
      <c r="BT26">
        <v>875475</v>
      </c>
      <c r="BU26">
        <v>1148825</v>
      </c>
      <c r="BV26">
        <v>1371025</v>
      </c>
      <c r="BW26" s="172">
        <v>1588225</v>
      </c>
      <c r="BX26" s="174">
        <v>1808425</v>
      </c>
      <c r="BY26" s="174">
        <v>2102925</v>
      </c>
      <c r="CE26" s="176">
        <v>2581475</v>
      </c>
      <c r="CF26" s="13">
        <v>145250</v>
      </c>
      <c r="CG26" s="13">
        <v>263950</v>
      </c>
      <c r="CH26" s="13">
        <v>373650</v>
      </c>
      <c r="CI26" s="13">
        <v>433450</v>
      </c>
      <c r="CJ26" s="13">
        <v>559350</v>
      </c>
      <c r="CK26" s="13">
        <v>606450</v>
      </c>
      <c r="CL26" s="13">
        <v>722800</v>
      </c>
      <c r="CM26" s="13">
        <v>798450</v>
      </c>
      <c r="CN26" s="13">
        <v>872650</v>
      </c>
      <c r="CO26" s="13">
        <v>1046050</v>
      </c>
      <c r="CP26" s="13">
        <v>1248950</v>
      </c>
      <c r="CQ26" s="13">
        <v>1495200</v>
      </c>
      <c r="CR26" s="79">
        <v>1495200</v>
      </c>
      <c r="CS26" s="225">
        <v>149950</v>
      </c>
    </row>
    <row r="27" spans="1:97" x14ac:dyDescent="0.3">
      <c r="A27" s="12" t="s">
        <v>157</v>
      </c>
      <c r="B27" s="18">
        <v>3764898</v>
      </c>
      <c r="C27" s="18">
        <v>5242641.6900000004</v>
      </c>
      <c r="D27" s="44">
        <v>4854540</v>
      </c>
      <c r="E27" s="13">
        <v>399159.84</v>
      </c>
      <c r="F27" s="13">
        <v>353739.5</v>
      </c>
      <c r="G27" s="13">
        <v>703058.5</v>
      </c>
      <c r="H27" s="13">
        <v>1048048.2</v>
      </c>
      <c r="I27" s="13">
        <v>2777596</v>
      </c>
      <c r="J27" s="13">
        <v>1388798</v>
      </c>
      <c r="K27" s="158">
        <v>1727105</v>
      </c>
      <c r="L27" s="13">
        <v>2073976</v>
      </c>
      <c r="M27" s="13">
        <v>7281417</v>
      </c>
      <c r="N27" s="13">
        <v>3124513</v>
      </c>
      <c r="O27" s="13">
        <v>3458634.43</v>
      </c>
      <c r="P27" s="13">
        <v>7584200.8600000003</v>
      </c>
      <c r="Q27" s="66">
        <v>4587050</v>
      </c>
      <c r="R27" s="44">
        <v>4587050</v>
      </c>
      <c r="S27" s="13">
        <v>669467.5</v>
      </c>
      <c r="T27" s="13">
        <v>665624.75</v>
      </c>
      <c r="U27" s="13">
        <v>2003555.2</v>
      </c>
      <c r="V27" s="13">
        <v>1359212.6</v>
      </c>
      <c r="W27" s="13">
        <v>1359212.6</v>
      </c>
      <c r="X27" s="13">
        <v>1536228.6</v>
      </c>
      <c r="Y27" s="13">
        <v>5685582.75</v>
      </c>
      <c r="Z27" s="13">
        <v>4499472.5</v>
      </c>
      <c r="AA27" s="13">
        <v>12999735</v>
      </c>
      <c r="AB27" s="13">
        <v>5891828</v>
      </c>
      <c r="AC27" s="13">
        <v>9863176.4100000001</v>
      </c>
      <c r="AD27" s="13">
        <v>4616965</v>
      </c>
      <c r="AE27" s="159">
        <v>4616965</v>
      </c>
      <c r="AF27" s="78">
        <v>318449</v>
      </c>
      <c r="AG27" s="78">
        <v>633355</v>
      </c>
      <c r="AH27" s="78">
        <v>944845.64</v>
      </c>
      <c r="AI27" s="78">
        <v>1252930.6399999999</v>
      </c>
      <c r="AJ27" s="78">
        <v>1557678.64</v>
      </c>
      <c r="AK27" s="78">
        <v>1859154.64</v>
      </c>
      <c r="AL27" s="78">
        <v>1859154.64</v>
      </c>
      <c r="AM27" s="78">
        <v>2554277.4</v>
      </c>
      <c r="AN27" s="78">
        <v>2846315.4</v>
      </c>
      <c r="AO27" s="78">
        <v>3164755.4</v>
      </c>
      <c r="AP27" s="100">
        <v>3479418.4</v>
      </c>
      <c r="AQ27" s="100">
        <v>4273273</v>
      </c>
      <c r="AR27" s="93">
        <v>4273273</v>
      </c>
      <c r="AS27" s="13">
        <v>301209.40999999997</v>
      </c>
      <c r="AT27" s="13">
        <v>599027.78</v>
      </c>
      <c r="AU27" s="13">
        <v>893524</v>
      </c>
      <c r="AV27" s="13">
        <v>1184768</v>
      </c>
      <c r="AW27" s="13">
        <v>1472825</v>
      </c>
      <c r="AX27" s="13">
        <v>1757761</v>
      </c>
      <c r="AY27" s="13">
        <v>2039639.1</v>
      </c>
      <c r="AZ27" s="13">
        <v>2318520</v>
      </c>
      <c r="BA27" s="13">
        <v>2318520</v>
      </c>
      <c r="BB27" s="13">
        <v>2591589.4</v>
      </c>
      <c r="BC27" s="13">
        <v>2862589.4</v>
      </c>
      <c r="BD27" s="13">
        <v>4007531.6</v>
      </c>
      <c r="BF27" s="13">
        <v>0</v>
      </c>
      <c r="BG27" s="13">
        <v>280103</v>
      </c>
      <c r="BH27" s="13">
        <v>558806</v>
      </c>
      <c r="BI27" s="13">
        <v>834577.76</v>
      </c>
      <c r="BJ27" s="13">
        <v>1107476.27</v>
      </c>
      <c r="BK27" s="13">
        <v>1378067.4</v>
      </c>
      <c r="BL27" s="13"/>
      <c r="BM27" s="13">
        <v>5763577.2000000002</v>
      </c>
      <c r="BN27" s="13">
        <v>1921192.4</v>
      </c>
      <c r="BO27" s="13">
        <v>2193675.27</v>
      </c>
      <c r="BP27" s="13">
        <v>5723008</v>
      </c>
      <c r="BQ27" s="13">
        <v>3121641</v>
      </c>
      <c r="BR27" s="100">
        <v>3589764.48</v>
      </c>
      <c r="BS27">
        <v>0</v>
      </c>
      <c r="BT27">
        <v>0</v>
      </c>
      <c r="BU27">
        <v>0</v>
      </c>
      <c r="BV27">
        <v>1148557.49</v>
      </c>
      <c r="BW27" s="172">
        <v>1432732.14</v>
      </c>
      <c r="BX27" s="174">
        <v>1550604.81</v>
      </c>
      <c r="BY27" s="174">
        <v>1932666.37</v>
      </c>
      <c r="CE27" s="176">
        <v>3881936</v>
      </c>
      <c r="CF27" s="13">
        <v>244178</v>
      </c>
      <c r="CG27" s="13">
        <v>486440.7</v>
      </c>
      <c r="CH27" s="13">
        <v>828850.24</v>
      </c>
      <c r="CI27" s="13">
        <v>1166286.01</v>
      </c>
      <c r="CJ27" s="13">
        <v>1488061.5</v>
      </c>
      <c r="CK27" s="13">
        <v>1447931.6</v>
      </c>
      <c r="CL27" s="13">
        <v>1678996.36</v>
      </c>
      <c r="CM27" s="13">
        <v>1908380.36</v>
      </c>
      <c r="CN27" s="13">
        <v>2239417.16</v>
      </c>
      <c r="CO27" s="13">
        <v>2398957.36</v>
      </c>
      <c r="CP27" s="13">
        <v>2643370.36</v>
      </c>
      <c r="CQ27" s="13">
        <v>2885990.36</v>
      </c>
      <c r="CR27" s="159">
        <v>4017153.43</v>
      </c>
      <c r="CS27" s="225">
        <v>240728</v>
      </c>
    </row>
    <row r="28" spans="1:97" x14ac:dyDescent="0.3">
      <c r="A28" s="12" t="s">
        <v>158</v>
      </c>
      <c r="B28" s="18">
        <v>12360616.5</v>
      </c>
      <c r="C28" s="18">
        <v>14897376.130000001</v>
      </c>
      <c r="D28" s="44">
        <v>13275089.119999999</v>
      </c>
      <c r="E28" s="13">
        <v>1077969</v>
      </c>
      <c r="F28" s="13">
        <v>815840</v>
      </c>
      <c r="G28" s="13">
        <v>1789654</v>
      </c>
      <c r="H28" s="13">
        <v>2811057</v>
      </c>
      <c r="I28" s="13">
        <v>7108916</v>
      </c>
      <c r="J28" s="13">
        <v>4493795</v>
      </c>
      <c r="K28" s="158">
        <v>5277519</v>
      </c>
      <c r="L28" s="13">
        <v>6416639</v>
      </c>
      <c r="M28" s="13">
        <v>22217535</v>
      </c>
      <c r="N28" s="13">
        <v>8187110</v>
      </c>
      <c r="O28" s="13">
        <v>17934692.350000001</v>
      </c>
      <c r="P28" s="13">
        <v>40139232.700000003</v>
      </c>
      <c r="Q28" s="66">
        <v>22420908.75</v>
      </c>
      <c r="R28" s="44">
        <v>22420980.75</v>
      </c>
      <c r="S28" s="13">
        <v>2502640</v>
      </c>
      <c r="T28" s="13">
        <v>2292920</v>
      </c>
      <c r="U28" s="13">
        <v>7265992.5</v>
      </c>
      <c r="V28" s="13">
        <v>4562415</v>
      </c>
      <c r="W28" s="13">
        <v>5564698</v>
      </c>
      <c r="X28" s="13">
        <v>20199342</v>
      </c>
      <c r="Y28" s="13">
        <v>66127431</v>
      </c>
      <c r="Z28" s="13">
        <v>47853952</v>
      </c>
      <c r="AA28" s="13">
        <v>124361785</v>
      </c>
      <c r="AB28" s="13">
        <v>51745642</v>
      </c>
      <c r="AC28" s="13">
        <v>84639927</v>
      </c>
      <c r="AD28" s="13">
        <v>16092904.300000001</v>
      </c>
      <c r="AE28" s="159">
        <v>16092904.300000001</v>
      </c>
      <c r="AF28" s="78">
        <v>1485965</v>
      </c>
      <c r="AG28" s="78">
        <v>3464180</v>
      </c>
      <c r="AH28" s="78">
        <v>4464914</v>
      </c>
      <c r="AI28" s="78">
        <v>7479315</v>
      </c>
      <c r="AJ28" s="78">
        <v>8613365</v>
      </c>
      <c r="AK28" s="78">
        <v>10889093</v>
      </c>
      <c r="AL28" s="78">
        <v>10889093</v>
      </c>
      <c r="AM28" s="78">
        <v>13299826</v>
      </c>
      <c r="AN28" s="78">
        <v>15048419</v>
      </c>
      <c r="AO28" s="78">
        <v>16216843</v>
      </c>
      <c r="AP28" s="100">
        <v>17570575</v>
      </c>
      <c r="AQ28" s="100">
        <v>18145465.100000001</v>
      </c>
      <c r="AR28" s="93">
        <v>23042946.98</v>
      </c>
      <c r="AS28" s="13">
        <v>1227264</v>
      </c>
      <c r="AT28" s="13">
        <v>2366197</v>
      </c>
      <c r="AU28" s="13">
        <v>5645267</v>
      </c>
      <c r="AV28" s="13">
        <v>6494259</v>
      </c>
      <c r="AW28" s="13">
        <v>7612084</v>
      </c>
      <c r="AX28" s="13">
        <v>9222053</v>
      </c>
      <c r="AY28" s="13">
        <v>11314150</v>
      </c>
      <c r="AZ28" s="13">
        <v>12007775</v>
      </c>
      <c r="BA28" s="13">
        <v>13661690</v>
      </c>
      <c r="BB28" s="13">
        <v>15807945</v>
      </c>
      <c r="BC28" s="13">
        <v>17084169</v>
      </c>
      <c r="BD28" s="13">
        <v>18402321.48</v>
      </c>
      <c r="BF28" s="13">
        <v>1034102</v>
      </c>
      <c r="BG28" s="13">
        <v>2337524</v>
      </c>
      <c r="BH28" s="13">
        <v>4385407</v>
      </c>
      <c r="BI28" s="13">
        <v>5199882</v>
      </c>
      <c r="BJ28" s="13">
        <v>8606154</v>
      </c>
      <c r="BK28" s="13">
        <v>11157298</v>
      </c>
      <c r="BL28" s="13"/>
      <c r="BM28" s="13">
        <v>45950868</v>
      </c>
      <c r="BN28" s="13">
        <v>19311308</v>
      </c>
      <c r="BO28" s="13">
        <v>20868457</v>
      </c>
      <c r="BP28" s="13">
        <v>48629056</v>
      </c>
      <c r="BQ28" s="13">
        <v>27501362.350000001</v>
      </c>
      <c r="BR28" s="100">
        <v>30208705.530000001</v>
      </c>
      <c r="BS28">
        <v>1536449</v>
      </c>
      <c r="BT28">
        <v>4960930</v>
      </c>
      <c r="BU28">
        <v>5024030</v>
      </c>
      <c r="BV28">
        <v>19023181.780000001</v>
      </c>
      <c r="BW28" s="172">
        <v>20424902.780000001</v>
      </c>
      <c r="BX28" s="174">
        <v>21603679.489999998</v>
      </c>
      <c r="BY28" s="174">
        <v>23503891.489999998</v>
      </c>
      <c r="CE28" s="176">
        <v>29931122.899999999</v>
      </c>
      <c r="CF28" s="13">
        <v>1858934.02</v>
      </c>
      <c r="CG28" s="13">
        <v>4486947.17</v>
      </c>
      <c r="CH28" s="13">
        <v>8180811.2000000002</v>
      </c>
      <c r="CI28" s="13">
        <v>8002722.2000000002</v>
      </c>
      <c r="CJ28" s="13">
        <v>10392668.220000001</v>
      </c>
      <c r="CK28" s="13">
        <v>16831948.420000002</v>
      </c>
      <c r="CL28" s="13">
        <v>20234988.140000001</v>
      </c>
      <c r="CM28" s="13">
        <v>22438922.140000001</v>
      </c>
      <c r="CN28" s="13">
        <v>23670420.109999999</v>
      </c>
      <c r="CO28" s="13">
        <v>26141482.109999999</v>
      </c>
      <c r="CP28" s="13">
        <v>28202325.129999999</v>
      </c>
      <c r="CQ28" s="13">
        <v>30950626.530000001</v>
      </c>
      <c r="CR28" s="159">
        <f>36284113.05-4948149</f>
        <v>31335964.049999997</v>
      </c>
      <c r="CS28" s="225">
        <v>1407143</v>
      </c>
    </row>
    <row r="29" spans="1:97" x14ac:dyDescent="0.3">
      <c r="A29" s="10" t="s">
        <v>159</v>
      </c>
      <c r="B29" s="50">
        <f t="shared" ref="B29:R29" si="18">B19-B20-B23</f>
        <v>5607138.2899999917</v>
      </c>
      <c r="C29" s="50">
        <f t="shared" si="18"/>
        <v>9322915.4999999925</v>
      </c>
      <c r="D29" s="50">
        <f t="shared" si="18"/>
        <v>4613895.8900000006</v>
      </c>
      <c r="E29" s="50">
        <f t="shared" si="18"/>
        <v>-315628.23999999929</v>
      </c>
      <c r="F29" s="50">
        <f t="shared" si="18"/>
        <v>33264.299999999814</v>
      </c>
      <c r="G29" s="50">
        <f t="shared" si="18"/>
        <v>-3227517.3500000006</v>
      </c>
      <c r="H29" s="50">
        <f t="shared" si="18"/>
        <v>-3052787.55</v>
      </c>
      <c r="I29" s="50">
        <f t="shared" si="18"/>
        <v>-14565932.519999998</v>
      </c>
      <c r="J29" s="50">
        <f t="shared" si="18"/>
        <v>-5801662.5599999987</v>
      </c>
      <c r="K29" s="50">
        <f t="shared" si="18"/>
        <v>-8799568.1999999993</v>
      </c>
      <c r="L29" s="50">
        <f t="shared" si="18"/>
        <v>-142226.19999999925</v>
      </c>
      <c r="M29" s="50">
        <f t="shared" si="18"/>
        <v>-1427628.8999999911</v>
      </c>
      <c r="N29" s="50">
        <f t="shared" si="18"/>
        <v>-3576915.200000003</v>
      </c>
      <c r="O29" s="50">
        <f t="shared" si="18"/>
        <v>5469590.1700000018</v>
      </c>
      <c r="P29" s="50">
        <f t="shared" si="18"/>
        <v>13849269.760000005</v>
      </c>
      <c r="Q29" s="43">
        <f t="shared" si="18"/>
        <v>7304940.2299999893</v>
      </c>
      <c r="R29" s="70">
        <f t="shared" si="18"/>
        <v>8293429.1899999976</v>
      </c>
      <c r="S29" s="70">
        <f t="shared" ref="S29:AU29" si="19">S19-S20-S23</f>
        <v>5000105.22</v>
      </c>
      <c r="T29" s="70">
        <f t="shared" si="19"/>
        <v>364743.10000000056</v>
      </c>
      <c r="U29" s="70">
        <f t="shared" si="19"/>
        <v>-2356647.0799999982</v>
      </c>
      <c r="V29" s="70">
        <f t="shared" si="19"/>
        <v>-1390731.2800000012</v>
      </c>
      <c r="W29" s="70">
        <f t="shared" si="19"/>
        <v>-2658299.9600000009</v>
      </c>
      <c r="X29" s="70">
        <f t="shared" si="19"/>
        <v>1068279.0699999928</v>
      </c>
      <c r="Y29" s="70">
        <f t="shared" si="19"/>
        <v>-17711631.359999985</v>
      </c>
      <c r="Z29" s="70">
        <f t="shared" si="19"/>
        <v>-21111401.24000001</v>
      </c>
      <c r="AA29" s="70">
        <f t="shared" si="19"/>
        <v>-56879061.350000024</v>
      </c>
      <c r="AB29" s="70">
        <f t="shared" si="19"/>
        <v>8445238.3200000226</v>
      </c>
      <c r="AC29" s="70">
        <f t="shared" si="19"/>
        <v>10461171.479999989</v>
      </c>
      <c r="AD29" s="70">
        <f t="shared" si="19"/>
        <v>8801775.1100000143</v>
      </c>
      <c r="AE29" s="70">
        <f t="shared" si="19"/>
        <v>13230895.070000008</v>
      </c>
      <c r="AF29" s="70">
        <f t="shared" si="19"/>
        <v>4955330.0299999993</v>
      </c>
      <c r="AG29" s="70">
        <f t="shared" si="19"/>
        <v>4238494.620000001</v>
      </c>
      <c r="AH29" s="70">
        <f t="shared" si="19"/>
        <v>5161.1299999989569</v>
      </c>
      <c r="AI29" s="70">
        <f t="shared" si="19"/>
        <v>-5798172.1600000001</v>
      </c>
      <c r="AJ29" s="70">
        <f t="shared" si="19"/>
        <v>-5985558.1600000001</v>
      </c>
      <c r="AK29" s="70">
        <f t="shared" si="19"/>
        <v>11230378.149999991</v>
      </c>
      <c r="AL29" s="70">
        <f t="shared" si="19"/>
        <v>11230378.149999991</v>
      </c>
      <c r="AM29" s="70">
        <f t="shared" si="19"/>
        <v>-47085.749999992549</v>
      </c>
      <c r="AN29" s="70">
        <f t="shared" si="19"/>
        <v>-652308.35000000149</v>
      </c>
      <c r="AO29" s="70">
        <f t="shared" si="19"/>
        <v>17540465.470000006</v>
      </c>
      <c r="AP29" s="70">
        <f t="shared" si="19"/>
        <v>14544257.600000001</v>
      </c>
      <c r="AQ29" s="70">
        <f t="shared" si="19"/>
        <v>10570950.669999987</v>
      </c>
      <c r="AR29" s="70">
        <f t="shared" si="19"/>
        <v>25162328.809999987</v>
      </c>
      <c r="AS29" s="70">
        <f t="shared" si="19"/>
        <v>4157581.3900000006</v>
      </c>
      <c r="AT29" s="70">
        <f t="shared" si="19"/>
        <v>4922408.4500000011</v>
      </c>
      <c r="AU29" s="70">
        <f t="shared" si="19"/>
        <v>-1505076.4699999988</v>
      </c>
      <c r="AV29" s="70">
        <f>AV19-AV20-AV23</f>
        <v>-2996179.1700000018</v>
      </c>
      <c r="AW29" s="70">
        <f>AW19-AW20-AW23</f>
        <v>-5170539.9699999988</v>
      </c>
      <c r="AX29" s="70">
        <f>AX19-AX20-AX23</f>
        <v>16092303.079999998</v>
      </c>
      <c r="AY29" s="70">
        <f>AY19-AY20-AY23</f>
        <v>15608693.930000007</v>
      </c>
      <c r="AZ29" s="70">
        <f t="shared" ref="AZ29:CS29" si="20">AZ19-AZ20-AZ23</f>
        <v>14243594.13000001</v>
      </c>
      <c r="BA29" s="70">
        <f t="shared" si="20"/>
        <v>10262794.280000009</v>
      </c>
      <c r="BB29" s="70">
        <f t="shared" si="20"/>
        <v>14682965.090000011</v>
      </c>
      <c r="BC29" s="70">
        <f t="shared" si="20"/>
        <v>7772633.3500000089</v>
      </c>
      <c r="BD29" s="70">
        <f t="shared" si="20"/>
        <v>2182284.8199999928</v>
      </c>
      <c r="BE29" s="70">
        <f t="shared" si="20"/>
        <v>0</v>
      </c>
      <c r="BF29" s="70">
        <f t="shared" si="20"/>
        <v>1732996.33</v>
      </c>
      <c r="BG29" s="70">
        <f t="shared" si="20"/>
        <v>3426984.5</v>
      </c>
      <c r="BH29" s="70">
        <f t="shared" si="20"/>
        <v>-11112710.5</v>
      </c>
      <c r="BI29" s="70">
        <f t="shared" si="20"/>
        <v>-8852183.0600000024</v>
      </c>
      <c r="BJ29" s="70">
        <f t="shared" si="20"/>
        <v>3793329.4300000034</v>
      </c>
      <c r="BK29" s="70">
        <f t="shared" si="20"/>
        <v>4432695</v>
      </c>
      <c r="BL29" s="70">
        <f t="shared" si="20"/>
        <v>0</v>
      </c>
      <c r="BM29" s="70">
        <f t="shared" si="20"/>
        <v>7686138.3000000119</v>
      </c>
      <c r="BN29" s="70">
        <f>BN19-BN20-BN23</f>
        <v>-2547893.799999997</v>
      </c>
      <c r="BO29" s="70">
        <f t="shared" si="20"/>
        <v>15777738.630000003</v>
      </c>
      <c r="BP29" s="70">
        <f t="shared" si="20"/>
        <v>16109419.599999994</v>
      </c>
      <c r="BQ29" s="70">
        <f t="shared" si="20"/>
        <v>9571522.1000000089</v>
      </c>
      <c r="BR29" s="70">
        <f t="shared" si="20"/>
        <v>-1190198.6999999881</v>
      </c>
      <c r="BS29" s="70">
        <f t="shared" si="20"/>
        <v>3971603.1999999993</v>
      </c>
      <c r="BT29" s="70">
        <f t="shared" si="20"/>
        <v>395398.08000000007</v>
      </c>
      <c r="BU29" s="70">
        <f t="shared" si="20"/>
        <v>847338.48999999836</v>
      </c>
      <c r="BV29" s="70">
        <f t="shared" si="20"/>
        <v>3813663.6700000092</v>
      </c>
      <c r="BW29" s="70">
        <f t="shared" si="20"/>
        <v>2894890.4499999955</v>
      </c>
      <c r="BX29" s="70">
        <f t="shared" si="20"/>
        <v>3834131.8300000057</v>
      </c>
      <c r="BY29" s="70">
        <f t="shared" si="20"/>
        <v>3414868.5100000054</v>
      </c>
      <c r="BZ29" s="70">
        <f t="shared" si="20"/>
        <v>0</v>
      </c>
      <c r="CA29" s="70">
        <f t="shared" si="20"/>
        <v>0</v>
      </c>
      <c r="CB29" s="70">
        <f t="shared" si="20"/>
        <v>0</v>
      </c>
      <c r="CC29" s="70">
        <f t="shared" si="20"/>
        <v>0</v>
      </c>
      <c r="CD29" s="70">
        <f t="shared" si="20"/>
        <v>0</v>
      </c>
      <c r="CE29" s="70">
        <f t="shared" si="20"/>
        <v>3260966.3099999726</v>
      </c>
      <c r="CF29" s="70">
        <f t="shared" si="20"/>
        <v>-1328391.02</v>
      </c>
      <c r="CG29" s="70">
        <f t="shared" si="20"/>
        <v>-3374691.2899999982</v>
      </c>
      <c r="CH29" s="70">
        <f t="shared" si="20"/>
        <v>-6955134.2000000011</v>
      </c>
      <c r="CI29" s="70">
        <f t="shared" si="20"/>
        <v>-4313350.2499999963</v>
      </c>
      <c r="CJ29" s="70">
        <f t="shared" si="20"/>
        <v>-4949859.9699999914</v>
      </c>
      <c r="CK29" s="70">
        <f t="shared" si="20"/>
        <v>4124905.7399999946</v>
      </c>
      <c r="CL29" s="70">
        <f t="shared" si="20"/>
        <v>24332391.350000009</v>
      </c>
      <c r="CM29" s="70">
        <f t="shared" si="20"/>
        <v>17460981.640000001</v>
      </c>
      <c r="CN29" s="70">
        <f t="shared" si="20"/>
        <v>19214498.379999995</v>
      </c>
      <c r="CO29" s="70">
        <f t="shared" si="20"/>
        <v>17342714.269999996</v>
      </c>
      <c r="CP29" s="70">
        <f t="shared" si="20"/>
        <v>9814742.8100000024</v>
      </c>
      <c r="CQ29" s="70">
        <f t="shared" si="20"/>
        <v>17179385.370000005</v>
      </c>
      <c r="CR29" s="70">
        <f t="shared" si="20"/>
        <v>13000127.293109417</v>
      </c>
      <c r="CS29" s="70">
        <f t="shared" si="20"/>
        <v>2150370.6799999988</v>
      </c>
    </row>
    <row r="30" spans="1:97" ht="24" x14ac:dyDescent="0.3">
      <c r="A30" s="10" t="s">
        <v>160</v>
      </c>
      <c r="B30" s="50">
        <f>B31-B32</f>
        <v>0</v>
      </c>
      <c r="C30" s="50">
        <f>C31-C32</f>
        <v>0</v>
      </c>
      <c r="D30" s="50">
        <f t="shared" ref="D30:R30" si="21">D31-D32</f>
        <v>0</v>
      </c>
      <c r="E30" s="50">
        <f t="shared" si="21"/>
        <v>0</v>
      </c>
      <c r="F30" s="50">
        <f t="shared" si="21"/>
        <v>0</v>
      </c>
      <c r="G30" s="50">
        <f t="shared" si="21"/>
        <v>0</v>
      </c>
      <c r="H30" s="50">
        <f t="shared" si="21"/>
        <v>0</v>
      </c>
      <c r="I30" s="50">
        <f t="shared" si="21"/>
        <v>0</v>
      </c>
      <c r="J30" s="50">
        <f t="shared" si="21"/>
        <v>0</v>
      </c>
      <c r="K30" s="50">
        <f t="shared" si="21"/>
        <v>0</v>
      </c>
      <c r="L30" s="50">
        <f t="shared" si="21"/>
        <v>0</v>
      </c>
      <c r="M30" s="50">
        <f t="shared" si="21"/>
        <v>0</v>
      </c>
      <c r="N30" s="50">
        <f t="shared" si="21"/>
        <v>-50000</v>
      </c>
      <c r="O30" s="50">
        <f t="shared" si="21"/>
        <v>-50000</v>
      </c>
      <c r="P30" s="50">
        <f t="shared" si="21"/>
        <v>-100000</v>
      </c>
      <c r="Q30" s="43">
        <f t="shared" si="21"/>
        <v>-50000</v>
      </c>
      <c r="R30" s="70">
        <f t="shared" si="21"/>
        <v>0</v>
      </c>
      <c r="S30" s="70">
        <f t="shared" ref="S30:AU30" si="22">S31-S32</f>
        <v>0</v>
      </c>
      <c r="T30" s="70">
        <f t="shared" si="22"/>
        <v>0</v>
      </c>
      <c r="U30" s="70">
        <f t="shared" si="22"/>
        <v>0</v>
      </c>
      <c r="V30" s="70">
        <f t="shared" si="22"/>
        <v>0</v>
      </c>
      <c r="W30" s="70">
        <f t="shared" si="22"/>
        <v>0</v>
      </c>
      <c r="X30" s="70">
        <f t="shared" si="22"/>
        <v>0</v>
      </c>
      <c r="Y30" s="70">
        <f t="shared" si="22"/>
        <v>0</v>
      </c>
      <c r="Z30" s="70">
        <f t="shared" si="22"/>
        <v>0</v>
      </c>
      <c r="AA30" s="70">
        <f t="shared" si="22"/>
        <v>0</v>
      </c>
      <c r="AB30" s="70">
        <f t="shared" si="22"/>
        <v>0</v>
      </c>
      <c r="AC30" s="70">
        <f t="shared" si="22"/>
        <v>0</v>
      </c>
      <c r="AD30" s="70">
        <f t="shared" si="22"/>
        <v>0</v>
      </c>
      <c r="AE30" s="70">
        <f t="shared" si="22"/>
        <v>0</v>
      </c>
      <c r="AF30" s="70">
        <f t="shared" si="22"/>
        <v>0</v>
      </c>
      <c r="AG30" s="70">
        <f t="shared" si="22"/>
        <v>0</v>
      </c>
      <c r="AH30" s="70">
        <f t="shared" si="22"/>
        <v>0</v>
      </c>
      <c r="AI30" s="70">
        <f t="shared" si="22"/>
        <v>0</v>
      </c>
      <c r="AJ30" s="70">
        <f t="shared" si="22"/>
        <v>0</v>
      </c>
      <c r="AK30" s="70">
        <f t="shared" si="22"/>
        <v>0</v>
      </c>
      <c r="AL30" s="70">
        <f t="shared" si="22"/>
        <v>0</v>
      </c>
      <c r="AM30" s="70">
        <f t="shared" si="22"/>
        <v>0</v>
      </c>
      <c r="AN30" s="70">
        <f t="shared" si="22"/>
        <v>0</v>
      </c>
      <c r="AO30" s="70">
        <f t="shared" si="22"/>
        <v>0</v>
      </c>
      <c r="AP30" s="70">
        <f t="shared" si="22"/>
        <v>0</v>
      </c>
      <c r="AQ30" s="70">
        <f t="shared" si="22"/>
        <v>-5393830.8799999999</v>
      </c>
      <c r="AR30" s="70">
        <f t="shared" si="22"/>
        <v>0</v>
      </c>
      <c r="AS30" s="70">
        <f t="shared" si="22"/>
        <v>0</v>
      </c>
      <c r="AT30" s="70">
        <f t="shared" si="22"/>
        <v>0</v>
      </c>
      <c r="AU30" s="70">
        <f t="shared" si="22"/>
        <v>0</v>
      </c>
      <c r="AV30" s="70">
        <f>AV31-AV32</f>
        <v>0</v>
      </c>
      <c r="AW30" s="70">
        <f>AW31-AW32</f>
        <v>0</v>
      </c>
      <c r="AX30" s="70">
        <f>AX31-AX32</f>
        <v>0</v>
      </c>
      <c r="AY30" s="70">
        <f>AY31-AY32</f>
        <v>0</v>
      </c>
      <c r="AZ30" s="70">
        <f t="shared" ref="AZ30:CS30" si="23">AZ31-AZ32</f>
        <v>0</v>
      </c>
      <c r="BA30" s="70">
        <f t="shared" si="23"/>
        <v>0</v>
      </c>
      <c r="BB30" s="70">
        <f t="shared" si="23"/>
        <v>0</v>
      </c>
      <c r="BC30" s="70">
        <f t="shared" si="23"/>
        <v>0</v>
      </c>
      <c r="BD30" s="70">
        <f t="shared" si="23"/>
        <v>-4644097.57</v>
      </c>
      <c r="BE30" s="70">
        <f t="shared" si="23"/>
        <v>0</v>
      </c>
      <c r="BF30" s="70">
        <f t="shared" si="23"/>
        <v>0</v>
      </c>
      <c r="BG30" s="70">
        <f t="shared" si="23"/>
        <v>0</v>
      </c>
      <c r="BH30" s="70">
        <f t="shared" si="23"/>
        <v>0</v>
      </c>
      <c r="BI30" s="70">
        <f t="shared" si="23"/>
        <v>0</v>
      </c>
      <c r="BJ30" s="70">
        <f t="shared" si="23"/>
        <v>0</v>
      </c>
      <c r="BK30" s="70">
        <f t="shared" si="23"/>
        <v>0</v>
      </c>
      <c r="BL30" s="70">
        <f t="shared" si="23"/>
        <v>0</v>
      </c>
      <c r="BM30" s="70">
        <f t="shared" si="23"/>
        <v>0</v>
      </c>
      <c r="BN30" s="70">
        <f t="shared" si="23"/>
        <v>0</v>
      </c>
      <c r="BO30" s="70">
        <f t="shared" si="23"/>
        <v>0</v>
      </c>
      <c r="BP30" s="70">
        <f t="shared" si="23"/>
        <v>0</v>
      </c>
      <c r="BQ30" s="70">
        <f t="shared" si="23"/>
        <v>-2570104.1800000002</v>
      </c>
      <c r="BR30" s="70">
        <f t="shared" si="23"/>
        <v>0</v>
      </c>
      <c r="BS30" s="70">
        <f t="shared" si="23"/>
        <v>0</v>
      </c>
      <c r="BT30" s="70">
        <f t="shared" si="23"/>
        <v>0</v>
      </c>
      <c r="BU30" s="70">
        <f t="shared" si="23"/>
        <v>0</v>
      </c>
      <c r="BV30" s="70">
        <f t="shared" si="23"/>
        <v>0</v>
      </c>
      <c r="BW30" s="70">
        <f t="shared" si="23"/>
        <v>0</v>
      </c>
      <c r="BX30" s="70">
        <f t="shared" si="23"/>
        <v>0</v>
      </c>
      <c r="BY30" s="70">
        <f t="shared" si="23"/>
        <v>0</v>
      </c>
      <c r="BZ30" s="70">
        <f t="shared" si="23"/>
        <v>0</v>
      </c>
      <c r="CA30" s="70">
        <f t="shared" si="23"/>
        <v>0</v>
      </c>
      <c r="CB30" s="70">
        <f t="shared" si="23"/>
        <v>0</v>
      </c>
      <c r="CC30" s="70">
        <f t="shared" si="23"/>
        <v>0</v>
      </c>
      <c r="CD30" s="70">
        <f t="shared" si="23"/>
        <v>0</v>
      </c>
      <c r="CE30" s="70">
        <f t="shared" si="23"/>
        <v>0</v>
      </c>
      <c r="CF30" s="70">
        <f t="shared" si="23"/>
        <v>0</v>
      </c>
      <c r="CG30" s="70">
        <f t="shared" si="23"/>
        <v>0</v>
      </c>
      <c r="CH30" s="70">
        <f t="shared" si="23"/>
        <v>0</v>
      </c>
      <c r="CI30" s="70">
        <f t="shared" si="23"/>
        <v>0</v>
      </c>
      <c r="CJ30" s="70">
        <f t="shared" si="23"/>
        <v>0</v>
      </c>
      <c r="CK30" s="70">
        <f t="shared" si="23"/>
        <v>1039859.01</v>
      </c>
      <c r="CL30" s="70">
        <f t="shared" si="23"/>
        <v>1039859.01</v>
      </c>
      <c r="CM30" s="70">
        <f t="shared" si="23"/>
        <v>1039859.01</v>
      </c>
      <c r="CN30" s="70">
        <f t="shared" si="23"/>
        <v>1039859.01</v>
      </c>
      <c r="CO30" s="70">
        <f t="shared" si="23"/>
        <v>1039859.01</v>
      </c>
      <c r="CP30" s="70">
        <f t="shared" si="23"/>
        <v>0</v>
      </c>
      <c r="CQ30" s="70">
        <f t="shared" si="23"/>
        <v>-4121251.5</v>
      </c>
      <c r="CR30" s="70">
        <f t="shared" si="23"/>
        <v>0</v>
      </c>
      <c r="CS30" s="70">
        <f t="shared" si="23"/>
        <v>0</v>
      </c>
    </row>
    <row r="31" spans="1:97" x14ac:dyDescent="0.3">
      <c r="A31" s="12" t="s">
        <v>161</v>
      </c>
      <c r="B31" s="18"/>
      <c r="C31" s="18"/>
      <c r="D31" s="46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58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66">
        <v>0</v>
      </c>
      <c r="S31" s="76"/>
      <c r="T31" s="77"/>
      <c r="U31" s="2"/>
      <c r="V31" s="2"/>
      <c r="W31" s="2"/>
      <c r="X31" s="2"/>
      <c r="Y31" s="2"/>
      <c r="AP31" s="100">
        <v>0</v>
      </c>
      <c r="AQ31" s="100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/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S31">
        <v>0</v>
      </c>
      <c r="BT31">
        <v>0</v>
      </c>
      <c r="BU31">
        <v>0</v>
      </c>
      <c r="BV31">
        <v>0</v>
      </c>
      <c r="BW31" s="171">
        <v>0</v>
      </c>
      <c r="BX31" s="171">
        <v>0</v>
      </c>
      <c r="BY31" s="171">
        <v>0</v>
      </c>
      <c r="BZ31" s="171">
        <v>0</v>
      </c>
      <c r="CA31" s="171">
        <v>0</v>
      </c>
      <c r="CB31" s="171"/>
      <c r="CC31" s="171">
        <v>0</v>
      </c>
      <c r="CD31" s="171">
        <v>0</v>
      </c>
      <c r="CE31" s="178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1039859.01</v>
      </c>
      <c r="CL31" s="13">
        <v>1039859.01</v>
      </c>
      <c r="CM31" s="13">
        <v>1039859.01</v>
      </c>
      <c r="CN31" s="13">
        <v>1039859.01</v>
      </c>
      <c r="CO31" s="13">
        <v>1039859.01</v>
      </c>
      <c r="CP31" s="13">
        <v>0</v>
      </c>
      <c r="CQ31" s="13">
        <v>826898.09</v>
      </c>
      <c r="CS31" s="225">
        <v>0</v>
      </c>
    </row>
    <row r="32" spans="1:97" x14ac:dyDescent="0.3">
      <c r="A32" s="12" t="s">
        <v>162</v>
      </c>
      <c r="B32" s="18"/>
      <c r="C32" s="18"/>
      <c r="D32" s="46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8">
        <v>0</v>
      </c>
      <c r="L32" s="13">
        <v>0</v>
      </c>
      <c r="M32" s="13">
        <v>0</v>
      </c>
      <c r="N32" s="13">
        <v>50000</v>
      </c>
      <c r="O32" s="13">
        <v>50000</v>
      </c>
      <c r="P32" s="13">
        <v>100000</v>
      </c>
      <c r="Q32" s="66">
        <v>50000</v>
      </c>
      <c r="S32" s="76"/>
      <c r="T32" s="77"/>
      <c r="U32" s="2"/>
      <c r="V32" s="2"/>
      <c r="W32" s="2"/>
      <c r="X32" s="2"/>
      <c r="Y32" s="2"/>
      <c r="AP32" s="100">
        <v>0</v>
      </c>
      <c r="AQ32" s="100">
        <v>5393830.8799999999</v>
      </c>
      <c r="AZ32" s="13">
        <v>0</v>
      </c>
      <c r="BA32" s="13">
        <v>0</v>
      </c>
      <c r="BB32" s="13">
        <v>0</v>
      </c>
      <c r="BC32" s="13">
        <v>0</v>
      </c>
      <c r="BD32" s="13">
        <v>4644097.57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/>
      <c r="BM32" s="13">
        <v>0</v>
      </c>
      <c r="BN32" s="13">
        <v>0</v>
      </c>
      <c r="BO32" s="13">
        <v>0</v>
      </c>
      <c r="BP32" s="13">
        <v>0</v>
      </c>
      <c r="BQ32" s="13">
        <v>2570104.1800000002</v>
      </c>
      <c r="BS32">
        <v>0</v>
      </c>
      <c r="BT32">
        <v>0</v>
      </c>
      <c r="BU32">
        <v>0</v>
      </c>
      <c r="BV32">
        <v>0</v>
      </c>
      <c r="BW32" s="171">
        <v>0</v>
      </c>
      <c r="BX32" s="171">
        <v>0</v>
      </c>
      <c r="BY32" s="171">
        <v>0</v>
      </c>
      <c r="BZ32" s="171">
        <v>0</v>
      </c>
      <c r="CA32" s="171">
        <v>0</v>
      </c>
      <c r="CB32" s="171"/>
      <c r="CC32" s="171">
        <v>0</v>
      </c>
      <c r="CD32" s="171">
        <v>0</v>
      </c>
      <c r="CE32" s="178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4948149.59</v>
      </c>
      <c r="CS32" s="225">
        <v>0</v>
      </c>
    </row>
    <row r="33" spans="1:97" ht="24" x14ac:dyDescent="0.3">
      <c r="A33" s="14" t="s">
        <v>163</v>
      </c>
      <c r="B33" s="51">
        <f>B29+B30</f>
        <v>5607138.2899999917</v>
      </c>
      <c r="C33" s="51">
        <f t="shared" ref="C33:AU33" si="24">C29+C30</f>
        <v>9322915.4999999925</v>
      </c>
      <c r="D33" s="51">
        <f t="shared" si="24"/>
        <v>4613895.8900000006</v>
      </c>
      <c r="E33" s="51">
        <f t="shared" si="24"/>
        <v>-315628.23999999929</v>
      </c>
      <c r="F33" s="51">
        <f t="shared" si="24"/>
        <v>33264.299999999814</v>
      </c>
      <c r="G33" s="51">
        <f t="shared" si="24"/>
        <v>-3227517.3500000006</v>
      </c>
      <c r="H33" s="51">
        <f t="shared" si="24"/>
        <v>-3052787.55</v>
      </c>
      <c r="I33" s="51">
        <f t="shared" si="24"/>
        <v>-14565932.519999998</v>
      </c>
      <c r="J33" s="51">
        <f t="shared" si="24"/>
        <v>-5801662.5599999987</v>
      </c>
      <c r="K33" s="51">
        <f t="shared" si="24"/>
        <v>-8799568.1999999993</v>
      </c>
      <c r="L33" s="51">
        <f t="shared" si="24"/>
        <v>-142226.19999999925</v>
      </c>
      <c r="M33" s="51">
        <f t="shared" si="24"/>
        <v>-1427628.8999999911</v>
      </c>
      <c r="N33" s="51">
        <f t="shared" si="24"/>
        <v>-3626915.200000003</v>
      </c>
      <c r="O33" s="51">
        <f t="shared" si="24"/>
        <v>5419590.1700000018</v>
      </c>
      <c r="P33" s="51">
        <f t="shared" si="24"/>
        <v>13749269.760000005</v>
      </c>
      <c r="Q33" s="68">
        <f t="shared" si="24"/>
        <v>7254940.2299999893</v>
      </c>
      <c r="R33" s="71">
        <f t="shared" si="24"/>
        <v>8293429.1899999976</v>
      </c>
      <c r="S33" s="71">
        <f t="shared" si="24"/>
        <v>5000105.22</v>
      </c>
      <c r="T33" s="71">
        <f t="shared" si="24"/>
        <v>364743.10000000056</v>
      </c>
      <c r="U33" s="71">
        <f t="shared" si="24"/>
        <v>-2356647.0799999982</v>
      </c>
      <c r="V33" s="71">
        <f t="shared" si="24"/>
        <v>-1390731.2800000012</v>
      </c>
      <c r="W33" s="71">
        <f t="shared" si="24"/>
        <v>-2658299.9600000009</v>
      </c>
      <c r="X33" s="71">
        <f t="shared" si="24"/>
        <v>1068279.0699999928</v>
      </c>
      <c r="Y33" s="71">
        <f t="shared" si="24"/>
        <v>-17711631.359999985</v>
      </c>
      <c r="Z33" s="71">
        <f t="shared" si="24"/>
        <v>-21111401.24000001</v>
      </c>
      <c r="AA33" s="71">
        <f t="shared" si="24"/>
        <v>-56879061.350000024</v>
      </c>
      <c r="AB33" s="71">
        <f t="shared" si="24"/>
        <v>8445238.3200000226</v>
      </c>
      <c r="AC33" s="71">
        <f t="shared" si="24"/>
        <v>10461171.479999989</v>
      </c>
      <c r="AD33" s="71">
        <f t="shared" si="24"/>
        <v>8801775.1100000143</v>
      </c>
      <c r="AE33" s="71">
        <f t="shared" si="24"/>
        <v>13230895.070000008</v>
      </c>
      <c r="AF33" s="71">
        <f t="shared" si="24"/>
        <v>4955330.0299999993</v>
      </c>
      <c r="AG33" s="71">
        <f t="shared" si="24"/>
        <v>4238494.620000001</v>
      </c>
      <c r="AH33" s="71">
        <f t="shared" si="24"/>
        <v>5161.1299999989569</v>
      </c>
      <c r="AI33" s="71">
        <f t="shared" si="24"/>
        <v>-5798172.1600000001</v>
      </c>
      <c r="AJ33" s="71">
        <f t="shared" si="24"/>
        <v>-5985558.1600000001</v>
      </c>
      <c r="AK33" s="71">
        <f t="shared" si="24"/>
        <v>11230378.149999991</v>
      </c>
      <c r="AL33" s="71">
        <f t="shared" si="24"/>
        <v>11230378.149999991</v>
      </c>
      <c r="AM33" s="71">
        <f t="shared" si="24"/>
        <v>-47085.749999992549</v>
      </c>
      <c r="AN33" s="71">
        <f t="shared" si="24"/>
        <v>-652308.35000000149</v>
      </c>
      <c r="AO33" s="71">
        <f t="shared" si="24"/>
        <v>17540465.470000006</v>
      </c>
      <c r="AP33" s="71">
        <f t="shared" si="24"/>
        <v>14544257.600000001</v>
      </c>
      <c r="AQ33" s="71">
        <f t="shared" si="24"/>
        <v>5177119.789999987</v>
      </c>
      <c r="AR33" s="71">
        <f t="shared" si="24"/>
        <v>25162328.809999987</v>
      </c>
      <c r="AS33" s="71">
        <f t="shared" si="24"/>
        <v>4157581.3900000006</v>
      </c>
      <c r="AT33" s="71">
        <f t="shared" si="24"/>
        <v>4922408.4500000011</v>
      </c>
      <c r="AU33" s="71">
        <f t="shared" si="24"/>
        <v>-1505076.4699999988</v>
      </c>
      <c r="AV33" s="71">
        <f>AV29+AV30</f>
        <v>-2996179.1700000018</v>
      </c>
      <c r="AW33" s="71">
        <f>AW29+AW30</f>
        <v>-5170539.9699999988</v>
      </c>
      <c r="AX33" s="71">
        <f>AX29+AX30</f>
        <v>16092303.079999998</v>
      </c>
      <c r="AY33" s="71">
        <f>AY29+AY30</f>
        <v>15608693.930000007</v>
      </c>
      <c r="AZ33" s="71">
        <f t="shared" ref="AZ33:CS33" si="25">AZ29+AZ30</f>
        <v>14243594.13000001</v>
      </c>
      <c r="BA33" s="71">
        <f t="shared" si="25"/>
        <v>10262794.280000009</v>
      </c>
      <c r="BB33" s="71">
        <f t="shared" si="25"/>
        <v>14682965.090000011</v>
      </c>
      <c r="BC33" s="71">
        <f t="shared" si="25"/>
        <v>7772633.3500000089</v>
      </c>
      <c r="BD33" s="71">
        <f t="shared" si="25"/>
        <v>-2461812.7500000075</v>
      </c>
      <c r="BE33" s="71">
        <f t="shared" si="25"/>
        <v>0</v>
      </c>
      <c r="BF33" s="71">
        <f t="shared" si="25"/>
        <v>1732996.33</v>
      </c>
      <c r="BG33" s="71">
        <f t="shared" si="25"/>
        <v>3426984.5</v>
      </c>
      <c r="BH33" s="71">
        <f t="shared" si="25"/>
        <v>-11112710.5</v>
      </c>
      <c r="BI33" s="71">
        <f t="shared" si="25"/>
        <v>-8852183.0600000024</v>
      </c>
      <c r="BJ33" s="71">
        <f t="shared" si="25"/>
        <v>3793329.4300000034</v>
      </c>
      <c r="BK33" s="71">
        <f t="shared" si="25"/>
        <v>4432695</v>
      </c>
      <c r="BL33" s="71">
        <f t="shared" si="25"/>
        <v>0</v>
      </c>
      <c r="BM33" s="71">
        <f t="shared" si="25"/>
        <v>7686138.3000000119</v>
      </c>
      <c r="BN33" s="71">
        <f t="shared" si="25"/>
        <v>-2547893.799999997</v>
      </c>
      <c r="BO33" s="71">
        <f t="shared" si="25"/>
        <v>15777738.630000003</v>
      </c>
      <c r="BP33" s="71">
        <f t="shared" si="25"/>
        <v>16109419.599999994</v>
      </c>
      <c r="BQ33" s="71">
        <f t="shared" si="25"/>
        <v>7001417.9200000092</v>
      </c>
      <c r="BR33" s="71">
        <f t="shared" si="25"/>
        <v>-1190198.6999999881</v>
      </c>
      <c r="BS33" s="71">
        <f t="shared" si="25"/>
        <v>3971603.1999999993</v>
      </c>
      <c r="BT33" s="71">
        <f t="shared" si="25"/>
        <v>395398.08000000007</v>
      </c>
      <c r="BU33" s="71">
        <f t="shared" si="25"/>
        <v>847338.48999999836</v>
      </c>
      <c r="BV33" s="71">
        <f t="shared" si="25"/>
        <v>3813663.6700000092</v>
      </c>
      <c r="BW33" s="71">
        <f t="shared" si="25"/>
        <v>2894890.4499999955</v>
      </c>
      <c r="BX33" s="71">
        <f t="shared" si="25"/>
        <v>3834131.8300000057</v>
      </c>
      <c r="BY33" s="71">
        <f t="shared" si="25"/>
        <v>3414868.5100000054</v>
      </c>
      <c r="BZ33" s="71">
        <f t="shared" si="25"/>
        <v>0</v>
      </c>
      <c r="CA33" s="71">
        <f t="shared" si="25"/>
        <v>0</v>
      </c>
      <c r="CB33" s="71">
        <f t="shared" si="25"/>
        <v>0</v>
      </c>
      <c r="CC33" s="71">
        <f t="shared" si="25"/>
        <v>0</v>
      </c>
      <c r="CD33" s="71">
        <f t="shared" si="25"/>
        <v>0</v>
      </c>
      <c r="CE33" s="71">
        <f t="shared" si="25"/>
        <v>3260966.3099999726</v>
      </c>
      <c r="CF33" s="71">
        <f t="shared" si="25"/>
        <v>-1328391.02</v>
      </c>
      <c r="CG33" s="71">
        <f t="shared" si="25"/>
        <v>-3374691.2899999982</v>
      </c>
      <c r="CH33" s="71">
        <f t="shared" si="25"/>
        <v>-6955134.2000000011</v>
      </c>
      <c r="CI33" s="71">
        <f t="shared" si="25"/>
        <v>-4313350.2499999963</v>
      </c>
      <c r="CJ33" s="71">
        <f t="shared" si="25"/>
        <v>-4949859.9699999914</v>
      </c>
      <c r="CK33" s="71">
        <f t="shared" si="25"/>
        <v>5164764.7499999944</v>
      </c>
      <c r="CL33" s="71">
        <f t="shared" si="25"/>
        <v>25372250.360000011</v>
      </c>
      <c r="CM33" s="71">
        <f t="shared" si="25"/>
        <v>18500840.650000002</v>
      </c>
      <c r="CN33" s="71">
        <f t="shared" si="25"/>
        <v>20254357.389999997</v>
      </c>
      <c r="CO33" s="71">
        <f t="shared" si="25"/>
        <v>18382573.279999997</v>
      </c>
      <c r="CP33" s="71">
        <f t="shared" si="25"/>
        <v>9814742.8100000024</v>
      </c>
      <c r="CQ33" s="71">
        <f t="shared" si="25"/>
        <v>13058133.870000005</v>
      </c>
      <c r="CR33" s="71">
        <f t="shared" si="25"/>
        <v>13000127.293109417</v>
      </c>
      <c r="CS33" s="71">
        <f t="shared" si="25"/>
        <v>2150370.6799999988</v>
      </c>
    </row>
    <row r="34" spans="1:97" x14ac:dyDescent="0.3">
      <c r="A34" s="12" t="s">
        <v>164</v>
      </c>
      <c r="B34" s="18">
        <v>2161440</v>
      </c>
      <c r="C34" s="18">
        <v>4189735</v>
      </c>
      <c r="D34" s="44">
        <v>733884.15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58">
        <v>0</v>
      </c>
      <c r="L34" s="13">
        <v>0</v>
      </c>
      <c r="M34" s="13">
        <v>0</v>
      </c>
      <c r="N34" s="13">
        <v>1258410</v>
      </c>
      <c r="O34" s="13">
        <v>1258410</v>
      </c>
      <c r="P34" s="13">
        <v>2516820</v>
      </c>
      <c r="Q34" s="66">
        <v>1289041</v>
      </c>
      <c r="R34" s="44">
        <v>1978880.25</v>
      </c>
      <c r="S34" s="34"/>
      <c r="T34" s="98"/>
      <c r="AE34" s="100">
        <v>463322.57</v>
      </c>
      <c r="AR34" s="100">
        <v>2796263.25</v>
      </c>
      <c r="AS34" s="34"/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/>
      <c r="BM34" s="13">
        <v>0</v>
      </c>
      <c r="BN34" s="13">
        <v>300000</v>
      </c>
      <c r="BO34" s="13">
        <v>740390</v>
      </c>
      <c r="BP34" s="13">
        <v>1480780</v>
      </c>
      <c r="BQ34" s="13">
        <v>0</v>
      </c>
      <c r="BS34">
        <v>0</v>
      </c>
      <c r="BT34">
        <v>0</v>
      </c>
      <c r="BU34">
        <v>0</v>
      </c>
      <c r="BV34">
        <v>0</v>
      </c>
      <c r="BW34" s="171">
        <v>0</v>
      </c>
      <c r="BX34" s="171">
        <v>1</v>
      </c>
      <c r="BY34" s="171">
        <v>2</v>
      </c>
      <c r="BZ34" s="171">
        <v>3</v>
      </c>
      <c r="CA34" s="171">
        <v>4</v>
      </c>
      <c r="CB34" s="171"/>
      <c r="CC34" s="171">
        <v>6</v>
      </c>
      <c r="CD34" s="171">
        <v>7</v>
      </c>
      <c r="CE34" s="178">
        <v>8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S34" s="225">
        <v>0</v>
      </c>
    </row>
    <row r="35" spans="1:97" ht="24" x14ac:dyDescent="0.3">
      <c r="A35" s="10" t="s">
        <v>165</v>
      </c>
      <c r="B35" s="50">
        <f>B33-B34</f>
        <v>3445698.2899999917</v>
      </c>
      <c r="C35" s="50">
        <f t="shared" ref="C35:BP35" si="26">C33-C34</f>
        <v>5133180.4999999925</v>
      </c>
      <c r="D35" s="50">
        <f t="shared" si="26"/>
        <v>3880011.7400000007</v>
      </c>
      <c r="E35" s="50">
        <f t="shared" si="26"/>
        <v>-315628.23999999929</v>
      </c>
      <c r="F35" s="50">
        <f t="shared" si="26"/>
        <v>33264.299999999814</v>
      </c>
      <c r="G35" s="50">
        <f t="shared" si="26"/>
        <v>-3227517.3500000006</v>
      </c>
      <c r="H35" s="50">
        <f t="shared" si="26"/>
        <v>-3052787.55</v>
      </c>
      <c r="I35" s="50">
        <f t="shared" si="26"/>
        <v>-14565932.519999998</v>
      </c>
      <c r="J35" s="50">
        <f t="shared" si="26"/>
        <v>-5801662.5599999987</v>
      </c>
      <c r="K35" s="50">
        <f t="shared" si="26"/>
        <v>-8799568.1999999993</v>
      </c>
      <c r="L35" s="50">
        <f t="shared" si="26"/>
        <v>-142226.19999999925</v>
      </c>
      <c r="M35" s="50">
        <f t="shared" si="26"/>
        <v>-1427628.8999999911</v>
      </c>
      <c r="N35" s="50">
        <f t="shared" si="26"/>
        <v>-4885325.200000003</v>
      </c>
      <c r="O35" s="50">
        <f t="shared" si="26"/>
        <v>4161180.1700000018</v>
      </c>
      <c r="P35" s="50">
        <f t="shared" si="26"/>
        <v>11232449.760000005</v>
      </c>
      <c r="Q35" s="43">
        <f t="shared" si="26"/>
        <v>5965899.2299999893</v>
      </c>
      <c r="R35" s="70">
        <f t="shared" si="26"/>
        <v>6314548.9399999976</v>
      </c>
      <c r="S35" s="70">
        <f t="shared" si="26"/>
        <v>5000105.22</v>
      </c>
      <c r="T35" s="70">
        <f t="shared" si="26"/>
        <v>364743.10000000056</v>
      </c>
      <c r="U35" s="70">
        <f t="shared" si="26"/>
        <v>-2356647.0799999982</v>
      </c>
      <c r="V35" s="70">
        <f t="shared" si="26"/>
        <v>-1390731.2800000012</v>
      </c>
      <c r="W35" s="70">
        <f t="shared" si="26"/>
        <v>-2658299.9600000009</v>
      </c>
      <c r="X35" s="70">
        <f t="shared" si="26"/>
        <v>1068279.0699999928</v>
      </c>
      <c r="Y35" s="70">
        <f t="shared" si="26"/>
        <v>-17711631.359999985</v>
      </c>
      <c r="Z35" s="70">
        <f t="shared" si="26"/>
        <v>-21111401.24000001</v>
      </c>
      <c r="AA35" s="70">
        <f t="shared" si="26"/>
        <v>-56879061.350000024</v>
      </c>
      <c r="AB35" s="70">
        <f t="shared" si="26"/>
        <v>8445238.3200000226</v>
      </c>
      <c r="AC35" s="70">
        <f t="shared" si="26"/>
        <v>10461171.479999989</v>
      </c>
      <c r="AD35" s="70">
        <f t="shared" si="26"/>
        <v>8801775.1100000143</v>
      </c>
      <c r="AE35" s="70">
        <f t="shared" si="26"/>
        <v>12767572.500000007</v>
      </c>
      <c r="AF35" s="70">
        <f t="shared" si="26"/>
        <v>4955330.0299999993</v>
      </c>
      <c r="AG35" s="70">
        <f t="shared" si="26"/>
        <v>4238494.620000001</v>
      </c>
      <c r="AH35" s="70">
        <f t="shared" si="26"/>
        <v>5161.1299999989569</v>
      </c>
      <c r="AI35" s="70">
        <f t="shared" si="26"/>
        <v>-5798172.1600000001</v>
      </c>
      <c r="AJ35" s="70">
        <f t="shared" si="26"/>
        <v>-5985558.1600000001</v>
      </c>
      <c r="AK35" s="70">
        <f t="shared" si="26"/>
        <v>11230378.149999991</v>
      </c>
      <c r="AL35" s="70">
        <f t="shared" si="26"/>
        <v>11230378.149999991</v>
      </c>
      <c r="AM35" s="70">
        <f t="shared" si="26"/>
        <v>-47085.749999992549</v>
      </c>
      <c r="AN35" s="70">
        <f t="shared" si="26"/>
        <v>-652308.35000000149</v>
      </c>
      <c r="AO35" s="70">
        <f t="shared" si="26"/>
        <v>17540465.470000006</v>
      </c>
      <c r="AP35" s="70">
        <f t="shared" si="26"/>
        <v>14544257.600000001</v>
      </c>
      <c r="AQ35" s="70">
        <f t="shared" si="26"/>
        <v>5177119.789999987</v>
      </c>
      <c r="AR35" s="70">
        <f t="shared" si="26"/>
        <v>22366065.559999987</v>
      </c>
      <c r="AS35" s="70">
        <f t="shared" si="26"/>
        <v>4157581.3900000006</v>
      </c>
      <c r="AT35" s="70">
        <f t="shared" si="26"/>
        <v>4922408.4500000011</v>
      </c>
      <c r="AU35" s="70">
        <f t="shared" si="26"/>
        <v>-1505076.4699999988</v>
      </c>
      <c r="AV35" s="70">
        <f t="shared" si="26"/>
        <v>-2996179.1700000018</v>
      </c>
      <c r="AW35" s="70">
        <f t="shared" si="26"/>
        <v>-5170539.9699999988</v>
      </c>
      <c r="AX35" s="70">
        <f t="shared" si="26"/>
        <v>16092303.079999998</v>
      </c>
      <c r="AY35" s="70">
        <f t="shared" si="26"/>
        <v>15608693.930000007</v>
      </c>
      <c r="AZ35" s="70">
        <f t="shared" si="26"/>
        <v>14243594.13000001</v>
      </c>
      <c r="BA35" s="70">
        <f t="shared" si="26"/>
        <v>10262794.280000009</v>
      </c>
      <c r="BB35" s="70">
        <f t="shared" si="26"/>
        <v>14682965.090000011</v>
      </c>
      <c r="BC35" s="70">
        <f t="shared" si="26"/>
        <v>7772633.3500000089</v>
      </c>
      <c r="BD35" s="70">
        <f t="shared" si="26"/>
        <v>-2461812.7500000075</v>
      </c>
      <c r="BE35" s="70">
        <f t="shared" si="26"/>
        <v>0</v>
      </c>
      <c r="BF35" s="70">
        <f t="shared" si="26"/>
        <v>1732996.33</v>
      </c>
      <c r="BG35" s="70">
        <f t="shared" si="26"/>
        <v>3426984.5</v>
      </c>
      <c r="BH35" s="70">
        <f t="shared" si="26"/>
        <v>-11112710.5</v>
      </c>
      <c r="BI35" s="70">
        <f t="shared" si="26"/>
        <v>-8852183.0600000024</v>
      </c>
      <c r="BJ35" s="70">
        <f t="shared" si="26"/>
        <v>3793329.4300000034</v>
      </c>
      <c r="BK35" s="70">
        <f t="shared" si="26"/>
        <v>4432695</v>
      </c>
      <c r="BL35" s="70">
        <f t="shared" si="26"/>
        <v>0</v>
      </c>
      <c r="BM35" s="70">
        <f t="shared" si="26"/>
        <v>7686138.3000000119</v>
      </c>
      <c r="BN35" s="70">
        <f t="shared" si="26"/>
        <v>-2847893.799999997</v>
      </c>
      <c r="BO35" s="70">
        <f t="shared" si="26"/>
        <v>15037348.630000003</v>
      </c>
      <c r="BP35" s="70">
        <f t="shared" si="26"/>
        <v>14628639.599999994</v>
      </c>
      <c r="BQ35" s="70">
        <f t="shared" ref="BQ35:CS35" si="27">BQ33-BQ34</f>
        <v>7001417.9200000092</v>
      </c>
      <c r="BR35" s="70">
        <f t="shared" si="27"/>
        <v>-1190198.6999999881</v>
      </c>
      <c r="BS35" s="70">
        <f t="shared" si="27"/>
        <v>3971603.1999999993</v>
      </c>
      <c r="BT35" s="70">
        <f t="shared" si="27"/>
        <v>395398.08000000007</v>
      </c>
      <c r="BU35" s="70">
        <f t="shared" si="27"/>
        <v>847338.48999999836</v>
      </c>
      <c r="BV35" s="70">
        <f t="shared" si="27"/>
        <v>3813663.6700000092</v>
      </c>
      <c r="BW35" s="70">
        <f t="shared" si="27"/>
        <v>2894890.4499999955</v>
      </c>
      <c r="BX35" s="70">
        <f t="shared" si="27"/>
        <v>3834130.8300000057</v>
      </c>
      <c r="BY35" s="70">
        <f t="shared" si="27"/>
        <v>3414866.5100000054</v>
      </c>
      <c r="BZ35" s="70">
        <f t="shared" si="27"/>
        <v>-3</v>
      </c>
      <c r="CA35" s="70">
        <f t="shared" si="27"/>
        <v>-4</v>
      </c>
      <c r="CB35" s="70">
        <f t="shared" si="27"/>
        <v>0</v>
      </c>
      <c r="CC35" s="70">
        <f t="shared" si="27"/>
        <v>-6</v>
      </c>
      <c r="CD35" s="70">
        <f t="shared" si="27"/>
        <v>-7</v>
      </c>
      <c r="CE35" s="70">
        <f t="shared" si="27"/>
        <v>3260958.3099999726</v>
      </c>
      <c r="CF35" s="70">
        <f t="shared" si="27"/>
        <v>-1328391.02</v>
      </c>
      <c r="CG35" s="70">
        <f t="shared" si="27"/>
        <v>-3374691.2899999982</v>
      </c>
      <c r="CH35" s="70">
        <f t="shared" si="27"/>
        <v>-6955134.2000000011</v>
      </c>
      <c r="CI35" s="70">
        <f t="shared" si="27"/>
        <v>-4313350.2499999963</v>
      </c>
      <c r="CJ35" s="70">
        <f t="shared" si="27"/>
        <v>-4949859.9699999914</v>
      </c>
      <c r="CK35" s="70">
        <f t="shared" si="27"/>
        <v>5164764.7499999944</v>
      </c>
      <c r="CL35" s="70">
        <f t="shared" si="27"/>
        <v>25372250.360000011</v>
      </c>
      <c r="CM35" s="70">
        <f t="shared" si="27"/>
        <v>18500840.650000002</v>
      </c>
      <c r="CN35" s="70">
        <f t="shared" si="27"/>
        <v>20254357.389999997</v>
      </c>
      <c r="CO35" s="70">
        <f t="shared" si="27"/>
        <v>18382573.279999997</v>
      </c>
      <c r="CP35" s="70">
        <f t="shared" si="27"/>
        <v>9814742.8100000024</v>
      </c>
      <c r="CQ35" s="70">
        <f t="shared" si="27"/>
        <v>13058133.870000005</v>
      </c>
      <c r="CR35" s="70">
        <f t="shared" si="27"/>
        <v>13000127.293109417</v>
      </c>
      <c r="CS35" s="70">
        <f t="shared" si="27"/>
        <v>2150370.6799999988</v>
      </c>
    </row>
    <row r="36" spans="1:97" x14ac:dyDescent="0.3">
      <c r="A36" s="12" t="s">
        <v>166</v>
      </c>
      <c r="B36" s="18">
        <v>589900</v>
      </c>
      <c r="C36" s="18">
        <v>309000</v>
      </c>
      <c r="D36" s="44">
        <v>622580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8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66">
        <v>0</v>
      </c>
      <c r="R36" s="44">
        <v>1038560</v>
      </c>
      <c r="S36" s="34"/>
      <c r="T36" s="98"/>
      <c r="AE36" s="100">
        <v>2392260</v>
      </c>
      <c r="AR36" s="100">
        <v>4913860</v>
      </c>
      <c r="BS36">
        <v>0</v>
      </c>
      <c r="BT36">
        <v>0</v>
      </c>
      <c r="BU36">
        <v>0</v>
      </c>
      <c r="BV36">
        <v>0</v>
      </c>
      <c r="BW36" s="171">
        <v>0</v>
      </c>
      <c r="BX36" s="171">
        <v>1</v>
      </c>
      <c r="BY36" s="171">
        <v>2</v>
      </c>
      <c r="BZ36" s="171">
        <v>3</v>
      </c>
      <c r="CA36" s="171">
        <v>4</v>
      </c>
      <c r="CB36" s="171"/>
      <c r="CC36" s="171">
        <v>6</v>
      </c>
      <c r="CD36" s="171">
        <v>7</v>
      </c>
      <c r="CE36" s="178">
        <v>8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S36" s="225">
        <v>0</v>
      </c>
    </row>
    <row r="37" spans="1:97" ht="24" x14ac:dyDescent="0.3">
      <c r="A37" s="10" t="s">
        <v>167</v>
      </c>
      <c r="B37" s="50">
        <f>B35-B36</f>
        <v>2855798.2899999917</v>
      </c>
      <c r="C37" s="50">
        <f>C35-C36</f>
        <v>4824180.4999999925</v>
      </c>
      <c r="D37" s="43">
        <v>3257431.7400000007</v>
      </c>
      <c r="E37" s="50">
        <f t="shared" ref="E37:AU37" si="28">E35-E36</f>
        <v>-315628.23999999929</v>
      </c>
      <c r="F37" s="50">
        <f t="shared" si="28"/>
        <v>33264.299999999814</v>
      </c>
      <c r="G37" s="50">
        <f t="shared" si="28"/>
        <v>-3227517.3500000006</v>
      </c>
      <c r="H37" s="50">
        <f t="shared" si="28"/>
        <v>-3052787.55</v>
      </c>
      <c r="I37" s="50">
        <f t="shared" si="28"/>
        <v>-14565932.519999998</v>
      </c>
      <c r="J37" s="50">
        <f t="shared" si="28"/>
        <v>-5801662.5599999987</v>
      </c>
      <c r="K37" s="50">
        <f t="shared" si="28"/>
        <v>-8799568.1999999993</v>
      </c>
      <c r="L37" s="50">
        <f t="shared" si="28"/>
        <v>-142226.19999999925</v>
      </c>
      <c r="M37" s="50">
        <f t="shared" si="28"/>
        <v>-1427628.8999999911</v>
      </c>
      <c r="N37" s="50">
        <f t="shared" si="28"/>
        <v>-4885325.200000003</v>
      </c>
      <c r="O37" s="50">
        <f t="shared" si="28"/>
        <v>4161180.1700000018</v>
      </c>
      <c r="P37" s="50">
        <f t="shared" si="28"/>
        <v>11232449.760000005</v>
      </c>
      <c r="Q37" s="43">
        <f t="shared" si="28"/>
        <v>5965899.2299999893</v>
      </c>
      <c r="R37" s="70">
        <f t="shared" si="28"/>
        <v>5275988.9399999976</v>
      </c>
      <c r="S37" s="70">
        <f t="shared" si="28"/>
        <v>5000105.22</v>
      </c>
      <c r="T37" s="70">
        <f t="shared" si="28"/>
        <v>364743.10000000056</v>
      </c>
      <c r="U37" s="70">
        <f t="shared" si="28"/>
        <v>-2356647.0799999982</v>
      </c>
      <c r="V37" s="70">
        <f t="shared" si="28"/>
        <v>-1390731.2800000012</v>
      </c>
      <c r="W37" s="70">
        <f t="shared" si="28"/>
        <v>-2658299.9600000009</v>
      </c>
      <c r="X37" s="70">
        <f t="shared" si="28"/>
        <v>1068279.0699999928</v>
      </c>
      <c r="Y37" s="70">
        <f t="shared" si="28"/>
        <v>-17711631.359999985</v>
      </c>
      <c r="Z37" s="70">
        <f t="shared" si="28"/>
        <v>-21111401.24000001</v>
      </c>
      <c r="AA37" s="70">
        <f t="shared" si="28"/>
        <v>-56879061.350000024</v>
      </c>
      <c r="AB37" s="70">
        <f t="shared" si="28"/>
        <v>8445238.3200000226</v>
      </c>
      <c r="AC37" s="70">
        <f t="shared" si="28"/>
        <v>10461171.479999989</v>
      </c>
      <c r="AD37" s="70">
        <f t="shared" si="28"/>
        <v>8801775.1100000143</v>
      </c>
      <c r="AE37" s="70">
        <f t="shared" si="28"/>
        <v>10375312.500000007</v>
      </c>
      <c r="AF37" s="70">
        <f t="shared" si="28"/>
        <v>4955330.0299999993</v>
      </c>
      <c r="AG37" s="70">
        <f t="shared" si="28"/>
        <v>4238494.620000001</v>
      </c>
      <c r="AH37" s="70">
        <f t="shared" si="28"/>
        <v>5161.1299999989569</v>
      </c>
      <c r="AI37" s="70">
        <f t="shared" si="28"/>
        <v>-5798172.1600000001</v>
      </c>
      <c r="AJ37" s="70">
        <f t="shared" si="28"/>
        <v>-5985558.1600000001</v>
      </c>
      <c r="AK37" s="70">
        <f t="shared" si="28"/>
        <v>11230378.149999991</v>
      </c>
      <c r="AL37" s="70">
        <f t="shared" si="28"/>
        <v>11230378.149999991</v>
      </c>
      <c r="AM37" s="70">
        <f t="shared" si="28"/>
        <v>-47085.749999992549</v>
      </c>
      <c r="AN37" s="70">
        <f t="shared" si="28"/>
        <v>-652308.35000000149</v>
      </c>
      <c r="AO37" s="70">
        <f t="shared" si="28"/>
        <v>17540465.470000006</v>
      </c>
      <c r="AP37" s="70">
        <f t="shared" si="28"/>
        <v>14544257.600000001</v>
      </c>
      <c r="AQ37" s="70">
        <f t="shared" si="28"/>
        <v>5177119.789999987</v>
      </c>
      <c r="AR37" s="70">
        <f t="shared" si="28"/>
        <v>17452205.559999987</v>
      </c>
      <c r="AS37" s="70">
        <f t="shared" si="28"/>
        <v>4157581.3900000006</v>
      </c>
      <c r="AT37" s="70">
        <f t="shared" si="28"/>
        <v>4922408.4500000011</v>
      </c>
      <c r="AU37" s="70">
        <f t="shared" si="28"/>
        <v>-1505076.4699999988</v>
      </c>
      <c r="AV37" s="70">
        <f>AV35-AV36</f>
        <v>-2996179.1700000018</v>
      </c>
      <c r="AW37" s="70">
        <f>AW35-AW36</f>
        <v>-5170539.9699999988</v>
      </c>
      <c r="AX37" s="70">
        <f>AX35-AX36</f>
        <v>16092303.079999998</v>
      </c>
      <c r="AY37" s="70">
        <f>AY35-AY36</f>
        <v>15608693.930000007</v>
      </c>
      <c r="AZ37" s="70">
        <f t="shared" ref="AZ37:CS37" si="29">AZ35-AZ36</f>
        <v>14243594.13000001</v>
      </c>
      <c r="BA37" s="70">
        <f t="shared" si="29"/>
        <v>10262794.280000009</v>
      </c>
      <c r="BB37" s="70">
        <f t="shared" si="29"/>
        <v>14682965.090000011</v>
      </c>
      <c r="BC37" s="70">
        <f t="shared" si="29"/>
        <v>7772633.3500000089</v>
      </c>
      <c r="BD37" s="70">
        <f t="shared" si="29"/>
        <v>-2461812.7500000075</v>
      </c>
      <c r="BE37" s="70">
        <f t="shared" si="29"/>
        <v>0</v>
      </c>
      <c r="BF37" s="70">
        <f t="shared" si="29"/>
        <v>1732996.33</v>
      </c>
      <c r="BG37" s="70">
        <f t="shared" si="29"/>
        <v>3426984.5</v>
      </c>
      <c r="BH37" s="70">
        <f t="shared" si="29"/>
        <v>-11112710.5</v>
      </c>
      <c r="BI37" s="70">
        <f t="shared" si="29"/>
        <v>-8852183.0600000024</v>
      </c>
      <c r="BJ37" s="70">
        <f t="shared" si="29"/>
        <v>3793329.4300000034</v>
      </c>
      <c r="BK37" s="70">
        <f t="shared" si="29"/>
        <v>4432695</v>
      </c>
      <c r="BL37" s="70">
        <f t="shared" si="29"/>
        <v>0</v>
      </c>
      <c r="BM37" s="70">
        <f t="shared" si="29"/>
        <v>7686138.3000000119</v>
      </c>
      <c r="BN37" s="70">
        <f t="shared" si="29"/>
        <v>-2847893.799999997</v>
      </c>
      <c r="BO37" s="70">
        <f t="shared" si="29"/>
        <v>15037348.630000003</v>
      </c>
      <c r="BP37" s="70">
        <f t="shared" si="29"/>
        <v>14628639.599999994</v>
      </c>
      <c r="BQ37" s="70">
        <f t="shared" si="29"/>
        <v>7001417.9200000092</v>
      </c>
      <c r="BR37" s="70">
        <f t="shared" si="29"/>
        <v>-1190198.6999999881</v>
      </c>
      <c r="BS37" s="70">
        <f t="shared" si="29"/>
        <v>3971603.1999999993</v>
      </c>
      <c r="BT37" s="70">
        <f t="shared" si="29"/>
        <v>395398.08000000007</v>
      </c>
      <c r="BU37" s="70">
        <f t="shared" si="29"/>
        <v>847338.48999999836</v>
      </c>
      <c r="BV37" s="70">
        <f t="shared" si="29"/>
        <v>3813663.6700000092</v>
      </c>
      <c r="BW37" s="70">
        <f t="shared" si="29"/>
        <v>2894890.4499999955</v>
      </c>
      <c r="BX37" s="70">
        <f t="shared" si="29"/>
        <v>3834129.8300000057</v>
      </c>
      <c r="BY37" s="70">
        <f t="shared" si="29"/>
        <v>3414864.5100000054</v>
      </c>
      <c r="BZ37" s="70">
        <f t="shared" si="29"/>
        <v>-6</v>
      </c>
      <c r="CA37" s="70">
        <f t="shared" si="29"/>
        <v>-8</v>
      </c>
      <c r="CB37" s="70">
        <f t="shared" si="29"/>
        <v>0</v>
      </c>
      <c r="CC37" s="70">
        <f t="shared" si="29"/>
        <v>-12</v>
      </c>
      <c r="CD37" s="70">
        <f t="shared" si="29"/>
        <v>-14</v>
      </c>
      <c r="CE37" s="70">
        <f t="shared" si="29"/>
        <v>3260950.3099999726</v>
      </c>
      <c r="CF37" s="70">
        <f t="shared" si="29"/>
        <v>-1328391.02</v>
      </c>
      <c r="CG37" s="70">
        <f t="shared" si="29"/>
        <v>-3374691.2899999982</v>
      </c>
      <c r="CH37" s="70">
        <f t="shared" si="29"/>
        <v>-6955134.2000000011</v>
      </c>
      <c r="CI37" s="70">
        <f t="shared" si="29"/>
        <v>-4313350.2499999963</v>
      </c>
      <c r="CJ37" s="70">
        <f t="shared" si="29"/>
        <v>-4949859.9699999914</v>
      </c>
      <c r="CK37" s="70">
        <f t="shared" si="29"/>
        <v>5164764.7499999944</v>
      </c>
      <c r="CL37" s="70">
        <f t="shared" si="29"/>
        <v>25372250.360000011</v>
      </c>
      <c r="CM37" s="70">
        <f t="shared" si="29"/>
        <v>18500840.650000002</v>
      </c>
      <c r="CN37" s="70">
        <f t="shared" si="29"/>
        <v>20254357.389999997</v>
      </c>
      <c r="CO37" s="70">
        <f t="shared" si="29"/>
        <v>18382573.279999997</v>
      </c>
      <c r="CP37" s="70">
        <f t="shared" si="29"/>
        <v>9814742.8100000024</v>
      </c>
      <c r="CQ37" s="70">
        <f t="shared" si="29"/>
        <v>13058133.870000005</v>
      </c>
      <c r="CR37" s="70">
        <f t="shared" si="29"/>
        <v>13000127.293109417</v>
      </c>
      <c r="CS37" s="70">
        <f t="shared" si="29"/>
        <v>2150370.6799999988</v>
      </c>
    </row>
    <row r="38" spans="1:97" s="19" customFormat="1" x14ac:dyDescent="0.3">
      <c r="A38" s="19" t="s">
        <v>168</v>
      </c>
      <c r="B38" s="40">
        <f>B23+B12</f>
        <v>56230907.770000003</v>
      </c>
      <c r="C38" s="40">
        <f t="shared" ref="C38:AQ38" si="30">C23+C12</f>
        <v>71069243.189999998</v>
      </c>
      <c r="D38" s="40">
        <f t="shared" si="30"/>
        <v>71019489.710000008</v>
      </c>
      <c r="E38" s="40">
        <f t="shared" si="30"/>
        <v>5175520.84</v>
      </c>
      <c r="F38" s="40">
        <f t="shared" si="30"/>
        <v>4169998.5</v>
      </c>
      <c r="G38" s="40">
        <f t="shared" si="30"/>
        <v>10498383.5</v>
      </c>
      <c r="H38" s="40">
        <f t="shared" si="30"/>
        <v>14463670.199999999</v>
      </c>
      <c r="I38" s="40">
        <f t="shared" si="30"/>
        <v>44971405.119999997</v>
      </c>
      <c r="J38" s="40">
        <f t="shared" si="30"/>
        <v>25869085.559999999</v>
      </c>
      <c r="K38" s="40">
        <f t="shared" si="30"/>
        <v>31692193</v>
      </c>
      <c r="L38" s="40">
        <f t="shared" si="30"/>
        <v>40790620</v>
      </c>
      <c r="M38" s="40">
        <f t="shared" si="30"/>
        <v>136209273</v>
      </c>
      <c r="N38" s="40">
        <f t="shared" si="30"/>
        <v>53268712</v>
      </c>
      <c r="O38" s="40">
        <f t="shared" si="30"/>
        <v>66594262.18</v>
      </c>
      <c r="P38" s="40">
        <f t="shared" si="30"/>
        <v>147929599.69999999</v>
      </c>
      <c r="Q38" s="40">
        <f t="shared" si="30"/>
        <v>84402611</v>
      </c>
      <c r="R38" s="40">
        <f t="shared" si="30"/>
        <v>83414123</v>
      </c>
      <c r="S38" s="40">
        <f t="shared" si="30"/>
        <v>8440922.6999999993</v>
      </c>
      <c r="T38" s="40">
        <f t="shared" si="30"/>
        <v>10349521.949999999</v>
      </c>
      <c r="U38" s="40">
        <f t="shared" si="30"/>
        <v>33435297.620000001</v>
      </c>
      <c r="V38" s="40">
        <f t="shared" si="30"/>
        <v>20960035.460000001</v>
      </c>
      <c r="W38" s="40">
        <f t="shared" si="30"/>
        <v>27112745.960000001</v>
      </c>
      <c r="X38" s="40">
        <f t="shared" si="30"/>
        <v>44402914.760000005</v>
      </c>
      <c r="Y38" s="40">
        <f t="shared" si="30"/>
        <v>169235615.84999999</v>
      </c>
      <c r="Z38" s="40">
        <f t="shared" si="30"/>
        <v>129491811.90000001</v>
      </c>
      <c r="AA38" s="40">
        <f t="shared" si="30"/>
        <v>348202123.5</v>
      </c>
      <c r="AB38" s="40">
        <f t="shared" si="30"/>
        <v>151003315.80000001</v>
      </c>
      <c r="AC38" s="40">
        <f t="shared" si="30"/>
        <v>247422253.41</v>
      </c>
      <c r="AD38" s="40">
        <f t="shared" si="30"/>
        <v>81611083.539999992</v>
      </c>
      <c r="AE38" s="40">
        <f t="shared" si="30"/>
        <v>79218822.590000004</v>
      </c>
      <c r="AF38" s="40">
        <f t="shared" si="30"/>
        <v>5076192.25</v>
      </c>
      <c r="AG38" s="40">
        <f t="shared" si="30"/>
        <v>11274307.25</v>
      </c>
      <c r="AH38" s="40">
        <f t="shared" si="30"/>
        <v>20508067.890000001</v>
      </c>
      <c r="AI38" s="40">
        <f t="shared" si="30"/>
        <v>29185641.640000001</v>
      </c>
      <c r="AJ38" s="40">
        <f t="shared" si="30"/>
        <v>35760513.640000001</v>
      </c>
      <c r="AK38" s="40">
        <f t="shared" si="30"/>
        <v>47995460.640000001</v>
      </c>
      <c r="AL38" s="40">
        <f t="shared" si="30"/>
        <v>47995460.640000001</v>
      </c>
      <c r="AM38" s="40">
        <f t="shared" si="30"/>
        <v>68142737.400000006</v>
      </c>
      <c r="AN38" s="40">
        <f t="shared" si="30"/>
        <v>73827312.400000006</v>
      </c>
      <c r="AO38" s="40">
        <f t="shared" si="30"/>
        <v>82386995.400000006</v>
      </c>
      <c r="AP38" s="40">
        <f t="shared" si="30"/>
        <v>89235105.400000006</v>
      </c>
      <c r="AQ38" s="40">
        <f t="shared" si="30"/>
        <v>96922017.720000014</v>
      </c>
      <c r="AS38" s="40">
        <f>AR37-AS37</f>
        <v>13294624.169999987</v>
      </c>
      <c r="CE38" s="73"/>
    </row>
    <row r="39" spans="1:97" x14ac:dyDescent="0.3">
      <c r="I39" s="42"/>
      <c r="R39" s="74"/>
      <c r="BR39" s="34"/>
      <c r="CE39" s="176">
        <v>3260966.41</v>
      </c>
    </row>
    <row r="40" spans="1:97" x14ac:dyDescent="0.3"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R40" s="75"/>
      <c r="Y40" s="34"/>
      <c r="CE40" s="176">
        <f>CE37-CE39</f>
        <v>-16.100000027567148</v>
      </c>
    </row>
    <row r="41" spans="1:97" x14ac:dyDescent="0.3">
      <c r="R41" s="75"/>
      <c r="AO41" s="98"/>
    </row>
    <row r="42" spans="1:97" x14ac:dyDescent="0.3">
      <c r="R42" s="75"/>
    </row>
    <row r="43" spans="1:97" x14ac:dyDescent="0.3">
      <c r="R43" s="75"/>
    </row>
    <row r="44" spans="1:97" x14ac:dyDescent="0.3">
      <c r="R44" s="75"/>
    </row>
    <row r="45" spans="1:97" x14ac:dyDescent="0.3">
      <c r="R45" s="75"/>
    </row>
    <row r="46" spans="1:97" x14ac:dyDescent="0.3">
      <c r="R46" s="75"/>
    </row>
    <row r="47" spans="1:97" x14ac:dyDescent="0.3">
      <c r="R47" s="75"/>
    </row>
    <row r="48" spans="1:97" x14ac:dyDescent="0.3">
      <c r="R48" s="75"/>
    </row>
    <row r="49" spans="18:18" x14ac:dyDescent="0.3">
      <c r="R49" s="75"/>
    </row>
    <row r="50" spans="18:18" x14ac:dyDescent="0.3">
      <c r="R50" s="75"/>
    </row>
    <row r="51" spans="18:18" x14ac:dyDescent="0.3">
      <c r="R51" s="75"/>
    </row>
    <row r="52" spans="18:18" x14ac:dyDescent="0.3">
      <c r="R52" s="75"/>
    </row>
    <row r="53" spans="18:18" x14ac:dyDescent="0.3">
      <c r="R53" s="75"/>
    </row>
    <row r="54" spans="18:18" x14ac:dyDescent="0.3">
      <c r="R54" s="75"/>
    </row>
    <row r="55" spans="18:18" x14ac:dyDescent="0.3">
      <c r="R55" s="75"/>
    </row>
    <row r="56" spans="18:18" x14ac:dyDescent="0.3">
      <c r="R56" s="75"/>
    </row>
    <row r="57" spans="18:18" x14ac:dyDescent="0.3">
      <c r="R57" s="75"/>
    </row>
    <row r="58" spans="18:18" x14ac:dyDescent="0.3">
      <c r="R58" s="75"/>
    </row>
    <row r="59" spans="18:18" x14ac:dyDescent="0.3">
      <c r="R59" s="75"/>
    </row>
    <row r="60" spans="18:18" x14ac:dyDescent="0.3">
      <c r="R60" s="75"/>
    </row>
    <row r="61" spans="18:18" x14ac:dyDescent="0.3">
      <c r="R61" s="75"/>
    </row>
    <row r="62" spans="18:18" x14ac:dyDescent="0.3">
      <c r="R62" s="75"/>
    </row>
    <row r="63" spans="18:18" x14ac:dyDescent="0.3">
      <c r="R63" s="75"/>
    </row>
    <row r="64" spans="18:18" x14ac:dyDescent="0.3">
      <c r="R64" s="75"/>
    </row>
    <row r="65" spans="18:18" x14ac:dyDescent="0.3">
      <c r="R65" s="75"/>
    </row>
    <row r="66" spans="18:18" x14ac:dyDescent="0.3">
      <c r="R66" s="75"/>
    </row>
    <row r="67" spans="18:18" x14ac:dyDescent="0.3">
      <c r="R67" s="75"/>
    </row>
    <row r="68" spans="18:18" x14ac:dyDescent="0.3">
      <c r="R68" s="75"/>
    </row>
    <row r="69" spans="18:18" x14ac:dyDescent="0.3">
      <c r="R69" s="75"/>
    </row>
    <row r="70" spans="18:18" x14ac:dyDescent="0.3">
      <c r="R70" s="75"/>
    </row>
    <row r="71" spans="18:18" x14ac:dyDescent="0.3">
      <c r="R71" s="75"/>
    </row>
    <row r="72" spans="18:18" x14ac:dyDescent="0.3">
      <c r="R72" s="75"/>
    </row>
    <row r="73" spans="18:18" x14ac:dyDescent="0.3">
      <c r="R73" s="75"/>
    </row>
    <row r="74" spans="18:18" x14ac:dyDescent="0.3">
      <c r="R74" s="75"/>
    </row>
    <row r="75" spans="18:18" x14ac:dyDescent="0.3">
      <c r="R75" s="75"/>
    </row>
    <row r="76" spans="18:18" x14ac:dyDescent="0.3">
      <c r="R76" s="75"/>
    </row>
    <row r="77" spans="18:18" x14ac:dyDescent="0.3">
      <c r="R77" s="75"/>
    </row>
    <row r="78" spans="18:18" x14ac:dyDescent="0.3">
      <c r="R78" s="75"/>
    </row>
    <row r="79" spans="18:18" x14ac:dyDescent="0.3">
      <c r="R79" s="75"/>
    </row>
    <row r="80" spans="18:18" x14ac:dyDescent="0.3">
      <c r="R80" s="75"/>
    </row>
    <row r="81" spans="18:18" x14ac:dyDescent="0.3">
      <c r="R81" s="75"/>
    </row>
    <row r="82" spans="18:18" x14ac:dyDescent="0.3">
      <c r="R82" s="75"/>
    </row>
    <row r="83" spans="18:18" x14ac:dyDescent="0.3">
      <c r="R83" s="75"/>
    </row>
    <row r="84" spans="18:18" x14ac:dyDescent="0.3">
      <c r="R84" s="75"/>
    </row>
    <row r="85" spans="18:18" x14ac:dyDescent="0.3">
      <c r="R85" s="75"/>
    </row>
    <row r="86" spans="18:18" x14ac:dyDescent="0.3">
      <c r="R86" s="75"/>
    </row>
    <row r="87" spans="18:18" x14ac:dyDescent="0.3">
      <c r="R87" s="75"/>
    </row>
    <row r="88" spans="18:18" x14ac:dyDescent="0.3">
      <c r="R88" s="75"/>
    </row>
    <row r="89" spans="18:18" x14ac:dyDescent="0.3">
      <c r="R89" s="75"/>
    </row>
    <row r="90" spans="18:18" x14ac:dyDescent="0.3">
      <c r="R90" s="75"/>
    </row>
    <row r="91" spans="18:18" x14ac:dyDescent="0.3">
      <c r="R91" s="75"/>
    </row>
    <row r="92" spans="18:18" x14ac:dyDescent="0.3">
      <c r="R92" s="75"/>
    </row>
    <row r="93" spans="18:18" x14ac:dyDescent="0.3">
      <c r="R93" s="75"/>
    </row>
    <row r="94" spans="18:18" x14ac:dyDescent="0.3">
      <c r="R94" s="75"/>
    </row>
    <row r="95" spans="18:18" x14ac:dyDescent="0.3">
      <c r="R95" s="75"/>
    </row>
    <row r="96" spans="18:18" x14ac:dyDescent="0.3">
      <c r="R96" s="75"/>
    </row>
    <row r="97" spans="18:18" x14ac:dyDescent="0.3">
      <c r="R97" s="75"/>
    </row>
    <row r="98" spans="18:18" x14ac:dyDescent="0.3">
      <c r="R98" s="75"/>
    </row>
    <row r="99" spans="18:18" x14ac:dyDescent="0.3">
      <c r="R99" s="75"/>
    </row>
    <row r="100" spans="18:18" x14ac:dyDescent="0.3">
      <c r="R100" s="75"/>
    </row>
    <row r="101" spans="18:18" x14ac:dyDescent="0.3">
      <c r="R101" s="75"/>
    </row>
    <row r="102" spans="18:18" x14ac:dyDescent="0.3">
      <c r="R102" s="75"/>
    </row>
    <row r="103" spans="18:18" x14ac:dyDescent="0.3">
      <c r="R103" s="75"/>
    </row>
    <row r="104" spans="18:18" x14ac:dyDescent="0.3">
      <c r="R104" s="75"/>
    </row>
    <row r="105" spans="18:18" x14ac:dyDescent="0.3">
      <c r="R105" s="75"/>
    </row>
    <row r="106" spans="18:18" x14ac:dyDescent="0.3">
      <c r="R106" s="75"/>
    </row>
    <row r="107" spans="18:18" x14ac:dyDescent="0.3">
      <c r="R107" s="75"/>
    </row>
    <row r="108" spans="18:18" x14ac:dyDescent="0.3">
      <c r="R108" s="75"/>
    </row>
    <row r="109" spans="18:18" x14ac:dyDescent="0.3">
      <c r="R109" s="75"/>
    </row>
    <row r="110" spans="18:18" x14ac:dyDescent="0.3">
      <c r="R110" s="75"/>
    </row>
    <row r="111" spans="18:18" x14ac:dyDescent="0.3">
      <c r="R111" s="75"/>
    </row>
    <row r="112" spans="18:18" x14ac:dyDescent="0.3">
      <c r="R112" s="75"/>
    </row>
    <row r="113" spans="18:18" x14ac:dyDescent="0.3">
      <c r="R113" s="75"/>
    </row>
    <row r="114" spans="18:18" x14ac:dyDescent="0.3">
      <c r="R114" s="75"/>
    </row>
    <row r="115" spans="18:18" x14ac:dyDescent="0.3">
      <c r="R115" s="75"/>
    </row>
    <row r="116" spans="18:18" x14ac:dyDescent="0.3">
      <c r="R116" s="75"/>
    </row>
    <row r="117" spans="18:18" x14ac:dyDescent="0.3">
      <c r="R117" s="75"/>
    </row>
    <row r="118" spans="18:18" x14ac:dyDescent="0.3">
      <c r="R118" s="75"/>
    </row>
    <row r="119" spans="18:18" x14ac:dyDescent="0.3">
      <c r="R119" s="75"/>
    </row>
    <row r="120" spans="18:18" x14ac:dyDescent="0.3">
      <c r="R120" s="75"/>
    </row>
    <row r="121" spans="18:18" x14ac:dyDescent="0.3">
      <c r="R121" s="75"/>
    </row>
    <row r="122" spans="18:18" x14ac:dyDescent="0.3">
      <c r="R122" s="75"/>
    </row>
    <row r="123" spans="18:18" x14ac:dyDescent="0.3">
      <c r="R123" s="75"/>
    </row>
    <row r="124" spans="18:18" x14ac:dyDescent="0.3">
      <c r="R124" s="75"/>
    </row>
    <row r="125" spans="18:18" x14ac:dyDescent="0.3">
      <c r="R125" s="75"/>
    </row>
    <row r="126" spans="18:18" x14ac:dyDescent="0.3">
      <c r="R126" s="75"/>
    </row>
    <row r="127" spans="18:18" x14ac:dyDescent="0.3">
      <c r="R127" s="75"/>
    </row>
    <row r="128" spans="18:18" x14ac:dyDescent="0.3">
      <c r="R128" s="75"/>
    </row>
    <row r="129" spans="18:18" x14ac:dyDescent="0.3">
      <c r="R129" s="75"/>
    </row>
    <row r="130" spans="18:18" x14ac:dyDescent="0.3">
      <c r="R130" s="75"/>
    </row>
    <row r="131" spans="18:18" x14ac:dyDescent="0.3">
      <c r="R131" s="75"/>
    </row>
    <row r="132" spans="18:18" x14ac:dyDescent="0.3">
      <c r="R132" s="75"/>
    </row>
    <row r="133" spans="18:18" x14ac:dyDescent="0.3">
      <c r="R133" s="75"/>
    </row>
    <row r="134" spans="18:18" x14ac:dyDescent="0.3">
      <c r="R134" s="75"/>
    </row>
    <row r="135" spans="18:18" x14ac:dyDescent="0.3">
      <c r="R135" s="75"/>
    </row>
    <row r="136" spans="18:18" x14ac:dyDescent="0.3">
      <c r="R136" s="75"/>
    </row>
    <row r="137" spans="18:18" x14ac:dyDescent="0.3">
      <c r="R137" s="75"/>
    </row>
    <row r="138" spans="18:18" x14ac:dyDescent="0.3">
      <c r="R138" s="75"/>
    </row>
    <row r="139" spans="18:18" x14ac:dyDescent="0.3">
      <c r="R139" s="75"/>
    </row>
    <row r="140" spans="18:18" x14ac:dyDescent="0.3">
      <c r="R140" s="75"/>
    </row>
    <row r="141" spans="18:18" x14ac:dyDescent="0.3">
      <c r="R141" s="75"/>
    </row>
    <row r="142" spans="18:18" x14ac:dyDescent="0.3">
      <c r="R142" s="75"/>
    </row>
    <row r="143" spans="18:18" x14ac:dyDescent="0.3">
      <c r="R143" s="75"/>
    </row>
    <row r="144" spans="18:18" x14ac:dyDescent="0.3">
      <c r="R144" s="75"/>
    </row>
    <row r="145" spans="18:18" x14ac:dyDescent="0.3">
      <c r="R145" s="75"/>
    </row>
    <row r="146" spans="18:18" x14ac:dyDescent="0.3">
      <c r="R146" s="75"/>
    </row>
    <row r="147" spans="18:18" x14ac:dyDescent="0.3">
      <c r="R147" s="75"/>
    </row>
    <row r="148" spans="18:18" x14ac:dyDescent="0.3">
      <c r="R148" s="75"/>
    </row>
    <row r="149" spans="18:18" x14ac:dyDescent="0.3">
      <c r="R149" s="75"/>
    </row>
    <row r="150" spans="18:18" x14ac:dyDescent="0.3">
      <c r="R150" s="75"/>
    </row>
    <row r="151" spans="18:18" x14ac:dyDescent="0.3">
      <c r="R151" s="75"/>
    </row>
    <row r="152" spans="18:18" x14ac:dyDescent="0.3">
      <c r="R152" s="75"/>
    </row>
    <row r="153" spans="18:18" x14ac:dyDescent="0.3">
      <c r="R153" s="75"/>
    </row>
    <row r="154" spans="18:18" x14ac:dyDescent="0.3">
      <c r="R154" s="75"/>
    </row>
    <row r="155" spans="18:18" x14ac:dyDescent="0.3">
      <c r="R155" s="75"/>
    </row>
    <row r="156" spans="18:18" x14ac:dyDescent="0.3">
      <c r="R156" s="75"/>
    </row>
    <row r="157" spans="18:18" x14ac:dyDescent="0.3">
      <c r="R157" s="75"/>
    </row>
    <row r="158" spans="18:18" x14ac:dyDescent="0.3">
      <c r="R158" s="75"/>
    </row>
    <row r="159" spans="18:18" x14ac:dyDescent="0.3">
      <c r="R159" s="75"/>
    </row>
    <row r="160" spans="18:18" x14ac:dyDescent="0.3">
      <c r="R160" s="75"/>
    </row>
    <row r="161" spans="18:18" x14ac:dyDescent="0.3">
      <c r="R161" s="75"/>
    </row>
    <row r="162" spans="18:18" x14ac:dyDescent="0.3">
      <c r="R162" s="75"/>
    </row>
    <row r="163" spans="18:18" x14ac:dyDescent="0.3">
      <c r="R163" s="75"/>
    </row>
    <row r="164" spans="18:18" x14ac:dyDescent="0.3">
      <c r="R164" s="75"/>
    </row>
    <row r="165" spans="18:18" x14ac:dyDescent="0.3">
      <c r="R165" s="75"/>
    </row>
    <row r="166" spans="18:18" x14ac:dyDescent="0.3">
      <c r="R166" s="75"/>
    </row>
    <row r="167" spans="18:18" x14ac:dyDescent="0.3">
      <c r="R167" s="75"/>
    </row>
    <row r="168" spans="18:18" x14ac:dyDescent="0.3">
      <c r="R168" s="75"/>
    </row>
    <row r="169" spans="18:18" x14ac:dyDescent="0.3">
      <c r="R169" s="75"/>
    </row>
    <row r="170" spans="18:18" x14ac:dyDescent="0.3">
      <c r="R170" s="75"/>
    </row>
    <row r="171" spans="18:18" x14ac:dyDescent="0.3">
      <c r="R171" s="75"/>
    </row>
    <row r="172" spans="18:18" x14ac:dyDescent="0.3">
      <c r="R172" s="75"/>
    </row>
    <row r="173" spans="18:18" x14ac:dyDescent="0.3">
      <c r="R173" s="75"/>
    </row>
    <row r="174" spans="18:18" x14ac:dyDescent="0.3">
      <c r="R174" s="75"/>
    </row>
    <row r="175" spans="18:18" x14ac:dyDescent="0.3">
      <c r="R175" s="75"/>
    </row>
    <row r="176" spans="18:18" x14ac:dyDescent="0.3">
      <c r="R176" s="75"/>
    </row>
    <row r="177" spans="18:18" x14ac:dyDescent="0.3">
      <c r="R177" s="75"/>
    </row>
    <row r="178" spans="18:18" x14ac:dyDescent="0.3">
      <c r="R178" s="75"/>
    </row>
    <row r="179" spans="18:18" x14ac:dyDescent="0.3">
      <c r="R179" s="75"/>
    </row>
    <row r="180" spans="18:18" x14ac:dyDescent="0.3">
      <c r="R180" s="75"/>
    </row>
    <row r="181" spans="18:18" x14ac:dyDescent="0.3">
      <c r="R181" s="75"/>
    </row>
    <row r="182" spans="18:18" x14ac:dyDescent="0.3">
      <c r="R182" s="75"/>
    </row>
    <row r="183" spans="18:18" x14ac:dyDescent="0.3">
      <c r="R183" s="75"/>
    </row>
    <row r="184" spans="18:18" x14ac:dyDescent="0.3">
      <c r="R184" s="75"/>
    </row>
    <row r="185" spans="18:18" x14ac:dyDescent="0.3">
      <c r="R185" s="75"/>
    </row>
    <row r="186" spans="18:18" x14ac:dyDescent="0.3">
      <c r="R186" s="75"/>
    </row>
    <row r="187" spans="18:18" x14ac:dyDescent="0.3">
      <c r="R187" s="75"/>
    </row>
    <row r="188" spans="18:18" x14ac:dyDescent="0.3">
      <c r="R188" s="75"/>
    </row>
    <row r="189" spans="18:18" x14ac:dyDescent="0.3">
      <c r="R189" s="75"/>
    </row>
    <row r="190" spans="18:18" x14ac:dyDescent="0.3">
      <c r="R190" s="75"/>
    </row>
    <row r="191" spans="18:18" x14ac:dyDescent="0.3">
      <c r="R191" s="75"/>
    </row>
    <row r="192" spans="18:18" x14ac:dyDescent="0.3">
      <c r="R192" s="75"/>
    </row>
    <row r="193" spans="18:18" x14ac:dyDescent="0.3">
      <c r="R193" s="75"/>
    </row>
    <row r="194" spans="18:18" x14ac:dyDescent="0.3">
      <c r="R194" s="75"/>
    </row>
    <row r="195" spans="18:18" x14ac:dyDescent="0.3">
      <c r="R195" s="75"/>
    </row>
    <row r="196" spans="18:18" x14ac:dyDescent="0.3">
      <c r="R196" s="75"/>
    </row>
    <row r="197" spans="18:18" x14ac:dyDescent="0.3">
      <c r="R197" s="75"/>
    </row>
    <row r="198" spans="18:18" x14ac:dyDescent="0.3">
      <c r="R198" s="75"/>
    </row>
    <row r="199" spans="18:18" x14ac:dyDescent="0.3">
      <c r="R199" s="75"/>
    </row>
    <row r="200" spans="18:18" x14ac:dyDescent="0.3">
      <c r="R200" s="75"/>
    </row>
    <row r="201" spans="18:18" x14ac:dyDescent="0.3">
      <c r="R201" s="75"/>
    </row>
    <row r="202" spans="18:18" x14ac:dyDescent="0.3">
      <c r="R202" s="75"/>
    </row>
    <row r="203" spans="18:18" x14ac:dyDescent="0.3">
      <c r="R203" s="75"/>
    </row>
    <row r="204" spans="18:18" x14ac:dyDescent="0.3">
      <c r="R204" s="75"/>
    </row>
    <row r="205" spans="18:18" x14ac:dyDescent="0.3">
      <c r="R205" s="75"/>
    </row>
    <row r="206" spans="18:18" x14ac:dyDescent="0.3">
      <c r="R206" s="75"/>
    </row>
    <row r="207" spans="18:18" x14ac:dyDescent="0.3">
      <c r="R207" s="75"/>
    </row>
    <row r="208" spans="18:18" x14ac:dyDescent="0.3">
      <c r="R208" s="75"/>
    </row>
    <row r="209" spans="18:18" x14ac:dyDescent="0.3">
      <c r="R209" s="75"/>
    </row>
    <row r="210" spans="18:18" x14ac:dyDescent="0.3">
      <c r="R210" s="75"/>
    </row>
    <row r="211" spans="18:18" x14ac:dyDescent="0.3">
      <c r="R211" s="75"/>
    </row>
    <row r="212" spans="18:18" x14ac:dyDescent="0.3">
      <c r="R212" s="75"/>
    </row>
    <row r="213" spans="18:18" x14ac:dyDescent="0.3">
      <c r="R213" s="75"/>
    </row>
    <row r="214" spans="18:18" x14ac:dyDescent="0.3">
      <c r="R214" s="75"/>
    </row>
    <row r="215" spans="18:18" x14ac:dyDescent="0.3">
      <c r="R215" s="75"/>
    </row>
    <row r="216" spans="18:18" x14ac:dyDescent="0.3">
      <c r="R216" s="75"/>
    </row>
    <row r="217" spans="18:18" x14ac:dyDescent="0.3">
      <c r="R217" s="75"/>
    </row>
    <row r="218" spans="18:18" x14ac:dyDescent="0.3">
      <c r="R218" s="75"/>
    </row>
    <row r="219" spans="18:18" x14ac:dyDescent="0.3">
      <c r="R219" s="75"/>
    </row>
    <row r="220" spans="18:18" x14ac:dyDescent="0.3">
      <c r="R220" s="75"/>
    </row>
    <row r="221" spans="18:18" x14ac:dyDescent="0.3">
      <c r="R221" s="75"/>
    </row>
    <row r="222" spans="18:18" x14ac:dyDescent="0.3">
      <c r="R222" s="75"/>
    </row>
    <row r="223" spans="18:18" x14ac:dyDescent="0.3">
      <c r="R223" s="75"/>
    </row>
    <row r="224" spans="18:18" x14ac:dyDescent="0.3">
      <c r="R224" s="75"/>
    </row>
    <row r="225" spans="18:18" x14ac:dyDescent="0.3">
      <c r="R225" s="75"/>
    </row>
    <row r="226" spans="18:18" x14ac:dyDescent="0.3">
      <c r="R226" s="75"/>
    </row>
    <row r="227" spans="18:18" x14ac:dyDescent="0.3">
      <c r="R227" s="75"/>
    </row>
    <row r="228" spans="18:18" x14ac:dyDescent="0.3">
      <c r="R228" s="75"/>
    </row>
    <row r="229" spans="18:18" x14ac:dyDescent="0.3">
      <c r="R229" s="75"/>
    </row>
    <row r="230" spans="18:18" x14ac:dyDescent="0.3">
      <c r="R230" s="75"/>
    </row>
    <row r="231" spans="18:18" x14ac:dyDescent="0.3">
      <c r="R231" s="75"/>
    </row>
    <row r="232" spans="18:18" x14ac:dyDescent="0.3">
      <c r="R232" s="75"/>
    </row>
    <row r="233" spans="18:18" x14ac:dyDescent="0.3">
      <c r="R233" s="75"/>
    </row>
    <row r="234" spans="18:18" x14ac:dyDescent="0.3">
      <c r="R234" s="75"/>
    </row>
    <row r="235" spans="18:18" x14ac:dyDescent="0.3">
      <c r="R235" s="75"/>
    </row>
    <row r="236" spans="18:18" x14ac:dyDescent="0.3">
      <c r="R236" s="75"/>
    </row>
    <row r="237" spans="18:18" x14ac:dyDescent="0.3">
      <c r="R237" s="75"/>
    </row>
    <row r="238" spans="18:18" x14ac:dyDescent="0.3">
      <c r="R238" s="75"/>
    </row>
    <row r="239" spans="18:18" x14ac:dyDescent="0.3">
      <c r="R239" s="75"/>
    </row>
    <row r="240" spans="18:18" x14ac:dyDescent="0.3">
      <c r="R240" s="75"/>
    </row>
    <row r="241" spans="18:18" x14ac:dyDescent="0.3">
      <c r="R241" s="75"/>
    </row>
    <row r="242" spans="18:18" x14ac:dyDescent="0.3">
      <c r="R242" s="75"/>
    </row>
    <row r="243" spans="18:18" x14ac:dyDescent="0.3">
      <c r="R243" s="75"/>
    </row>
    <row r="244" spans="18:18" x14ac:dyDescent="0.3">
      <c r="R244" s="75"/>
    </row>
    <row r="245" spans="18:18" x14ac:dyDescent="0.3">
      <c r="R245" s="75"/>
    </row>
    <row r="246" spans="18:18" x14ac:dyDescent="0.3">
      <c r="R246" s="75"/>
    </row>
    <row r="247" spans="18:18" x14ac:dyDescent="0.3">
      <c r="R247" s="75"/>
    </row>
    <row r="248" spans="18:18" x14ac:dyDescent="0.3">
      <c r="R248" s="75"/>
    </row>
    <row r="249" spans="18:18" x14ac:dyDescent="0.3">
      <c r="R249" s="75"/>
    </row>
    <row r="250" spans="18:18" x14ac:dyDescent="0.3">
      <c r="R250" s="75"/>
    </row>
    <row r="251" spans="18:18" x14ac:dyDescent="0.3">
      <c r="R251" s="75"/>
    </row>
    <row r="252" spans="18:18" x14ac:dyDescent="0.3">
      <c r="R252" s="75"/>
    </row>
    <row r="253" spans="18:18" x14ac:dyDescent="0.3">
      <c r="R253" s="75"/>
    </row>
    <row r="254" spans="18:18" x14ac:dyDescent="0.3">
      <c r="R254" s="75"/>
    </row>
    <row r="255" spans="18:18" x14ac:dyDescent="0.3">
      <c r="R255" s="75"/>
    </row>
    <row r="256" spans="18:18" x14ac:dyDescent="0.3">
      <c r="R256" s="75"/>
    </row>
    <row r="257" spans="18:18" x14ac:dyDescent="0.3">
      <c r="R257" s="75"/>
    </row>
    <row r="258" spans="18:18" x14ac:dyDescent="0.3">
      <c r="R258" s="75"/>
    </row>
    <row r="259" spans="18:18" x14ac:dyDescent="0.3">
      <c r="R259" s="75"/>
    </row>
    <row r="260" spans="18:18" x14ac:dyDescent="0.3">
      <c r="R260" s="75"/>
    </row>
    <row r="261" spans="18:18" x14ac:dyDescent="0.3">
      <c r="R261" s="75"/>
    </row>
    <row r="262" spans="18:18" x14ac:dyDescent="0.3">
      <c r="R262" s="75"/>
    </row>
    <row r="263" spans="18:18" x14ac:dyDescent="0.3">
      <c r="R263" s="75"/>
    </row>
    <row r="264" spans="18:18" x14ac:dyDescent="0.3">
      <c r="R264" s="75"/>
    </row>
    <row r="265" spans="18:18" x14ac:dyDescent="0.3">
      <c r="R265" s="75"/>
    </row>
    <row r="266" spans="18:18" x14ac:dyDescent="0.3">
      <c r="R266" s="75"/>
    </row>
    <row r="267" spans="18:18" x14ac:dyDescent="0.3">
      <c r="R267" s="75"/>
    </row>
    <row r="268" spans="18:18" x14ac:dyDescent="0.3">
      <c r="R268" s="75"/>
    </row>
    <row r="269" spans="18:18" x14ac:dyDescent="0.3">
      <c r="R269" s="75"/>
    </row>
    <row r="270" spans="18:18" x14ac:dyDescent="0.3">
      <c r="R270" s="75"/>
    </row>
    <row r="271" spans="18:18" x14ac:dyDescent="0.3">
      <c r="R271" s="75"/>
    </row>
    <row r="272" spans="18:18" x14ac:dyDescent="0.3">
      <c r="R272" s="75"/>
    </row>
    <row r="273" spans="18:18" x14ac:dyDescent="0.3">
      <c r="R273" s="75"/>
    </row>
    <row r="274" spans="18:18" x14ac:dyDescent="0.3">
      <c r="R274" s="75"/>
    </row>
    <row r="275" spans="18:18" x14ac:dyDescent="0.3">
      <c r="R275" s="75"/>
    </row>
    <row r="276" spans="18:18" x14ac:dyDescent="0.3">
      <c r="R276" s="75"/>
    </row>
    <row r="277" spans="18:18" x14ac:dyDescent="0.3">
      <c r="R277" s="75"/>
    </row>
    <row r="278" spans="18:18" x14ac:dyDescent="0.3">
      <c r="R278" s="75"/>
    </row>
    <row r="279" spans="18:18" x14ac:dyDescent="0.3">
      <c r="R279" s="75"/>
    </row>
    <row r="280" spans="18:18" x14ac:dyDescent="0.3">
      <c r="R280" s="75"/>
    </row>
    <row r="281" spans="18:18" x14ac:dyDescent="0.3">
      <c r="R281" s="75"/>
    </row>
    <row r="282" spans="18:18" x14ac:dyDescent="0.3">
      <c r="R282" s="75"/>
    </row>
    <row r="283" spans="18:18" x14ac:dyDescent="0.3">
      <c r="R283" s="75"/>
    </row>
    <row r="284" spans="18:18" x14ac:dyDescent="0.3">
      <c r="R284" s="75"/>
    </row>
    <row r="285" spans="18:18" x14ac:dyDescent="0.3">
      <c r="R285" s="75"/>
    </row>
    <row r="286" spans="18:18" x14ac:dyDescent="0.3">
      <c r="R286" s="75"/>
    </row>
    <row r="287" spans="18:18" x14ac:dyDescent="0.3">
      <c r="R287" s="75"/>
    </row>
    <row r="288" spans="18:18" x14ac:dyDescent="0.3">
      <c r="R288" s="75"/>
    </row>
    <row r="289" spans="18:18" x14ac:dyDescent="0.3">
      <c r="R289" s="75"/>
    </row>
    <row r="290" spans="18:18" x14ac:dyDescent="0.3">
      <c r="R290" s="75"/>
    </row>
    <row r="291" spans="18:18" x14ac:dyDescent="0.3">
      <c r="R291" s="75"/>
    </row>
    <row r="292" spans="18:18" x14ac:dyDescent="0.3">
      <c r="R292" s="75"/>
    </row>
    <row r="293" spans="18:18" x14ac:dyDescent="0.3">
      <c r="R293" s="75"/>
    </row>
    <row r="294" spans="18:18" x14ac:dyDescent="0.3">
      <c r="R294" s="75"/>
    </row>
    <row r="295" spans="18:18" x14ac:dyDescent="0.3">
      <c r="R295" s="75"/>
    </row>
    <row r="296" spans="18:18" x14ac:dyDescent="0.3">
      <c r="R296" s="75"/>
    </row>
    <row r="297" spans="18:18" x14ac:dyDescent="0.3">
      <c r="R297" s="75"/>
    </row>
    <row r="298" spans="18:18" x14ac:dyDescent="0.3">
      <c r="R298" s="75"/>
    </row>
    <row r="299" spans="18:18" x14ac:dyDescent="0.3">
      <c r="R299" s="75"/>
    </row>
    <row r="300" spans="18:18" x14ac:dyDescent="0.3">
      <c r="R300" s="75"/>
    </row>
    <row r="301" spans="18:18" x14ac:dyDescent="0.3">
      <c r="R301" s="75"/>
    </row>
    <row r="302" spans="18:18" x14ac:dyDescent="0.3">
      <c r="R302" s="75"/>
    </row>
    <row r="303" spans="18:18" x14ac:dyDescent="0.3">
      <c r="R303" s="75"/>
    </row>
    <row r="304" spans="18:18" x14ac:dyDescent="0.3">
      <c r="R304" s="75"/>
    </row>
    <row r="305" spans="18:18" x14ac:dyDescent="0.3">
      <c r="R305" s="75"/>
    </row>
    <row r="306" spans="18:18" x14ac:dyDescent="0.3">
      <c r="R306" s="75"/>
    </row>
    <row r="307" spans="18:18" x14ac:dyDescent="0.3">
      <c r="R307" s="75"/>
    </row>
    <row r="308" spans="18:18" x14ac:dyDescent="0.3">
      <c r="R308" s="75"/>
    </row>
    <row r="309" spans="18:18" x14ac:dyDescent="0.3">
      <c r="R309" s="75"/>
    </row>
    <row r="310" spans="18:18" x14ac:dyDescent="0.3">
      <c r="R310" s="75"/>
    </row>
    <row r="311" spans="18:18" x14ac:dyDescent="0.3">
      <c r="R311" s="75"/>
    </row>
    <row r="312" spans="18:18" x14ac:dyDescent="0.3">
      <c r="R312" s="75"/>
    </row>
    <row r="313" spans="18:18" x14ac:dyDescent="0.3">
      <c r="R313" s="75"/>
    </row>
    <row r="314" spans="18:18" x14ac:dyDescent="0.3">
      <c r="R314" s="75"/>
    </row>
    <row r="315" spans="18:18" x14ac:dyDescent="0.3">
      <c r="R315" s="75"/>
    </row>
    <row r="316" spans="18:18" x14ac:dyDescent="0.3">
      <c r="R316" s="75"/>
    </row>
    <row r="317" spans="18:18" x14ac:dyDescent="0.3">
      <c r="R317" s="75"/>
    </row>
    <row r="318" spans="18:18" x14ac:dyDescent="0.3">
      <c r="R318" s="75"/>
    </row>
    <row r="319" spans="18:18" x14ac:dyDescent="0.3">
      <c r="R319" s="75"/>
    </row>
    <row r="320" spans="18:18" x14ac:dyDescent="0.3">
      <c r="R320" s="75"/>
    </row>
    <row r="321" spans="18:18" x14ac:dyDescent="0.3">
      <c r="R321" s="75"/>
    </row>
    <row r="322" spans="18:18" x14ac:dyDescent="0.3">
      <c r="R322" s="75"/>
    </row>
    <row r="323" spans="18:18" x14ac:dyDescent="0.3">
      <c r="R323" s="75"/>
    </row>
    <row r="324" spans="18:18" x14ac:dyDescent="0.3">
      <c r="R324" s="75"/>
    </row>
    <row r="325" spans="18:18" x14ac:dyDescent="0.3">
      <c r="R325" s="75"/>
    </row>
    <row r="326" spans="18:18" x14ac:dyDescent="0.3">
      <c r="R326" s="75"/>
    </row>
    <row r="327" spans="18:18" x14ac:dyDescent="0.3">
      <c r="R327" s="75"/>
    </row>
    <row r="328" spans="18:18" x14ac:dyDescent="0.3">
      <c r="R328" s="75"/>
    </row>
    <row r="329" spans="18:18" x14ac:dyDescent="0.3">
      <c r="R329" s="75"/>
    </row>
    <row r="330" spans="18:18" x14ac:dyDescent="0.3">
      <c r="R330" s="75"/>
    </row>
    <row r="331" spans="18:18" x14ac:dyDescent="0.3">
      <c r="R331" s="75"/>
    </row>
    <row r="332" spans="18:18" x14ac:dyDescent="0.3">
      <c r="R332" s="75"/>
    </row>
    <row r="333" spans="18:18" x14ac:dyDescent="0.3">
      <c r="R333" s="75"/>
    </row>
    <row r="334" spans="18:18" x14ac:dyDescent="0.3">
      <c r="R334" s="75"/>
    </row>
    <row r="335" spans="18:18" x14ac:dyDescent="0.3">
      <c r="R335" s="75"/>
    </row>
    <row r="336" spans="18:18" x14ac:dyDescent="0.3">
      <c r="R336" s="75"/>
    </row>
    <row r="337" spans="18:18" x14ac:dyDescent="0.3">
      <c r="R337" s="75"/>
    </row>
    <row r="338" spans="18:18" x14ac:dyDescent="0.3">
      <c r="R338" s="75"/>
    </row>
    <row r="339" spans="18:18" x14ac:dyDescent="0.3">
      <c r="R339" s="75"/>
    </row>
    <row r="340" spans="18:18" x14ac:dyDescent="0.3">
      <c r="R340" s="75"/>
    </row>
    <row r="341" spans="18:18" x14ac:dyDescent="0.3">
      <c r="R341" s="75"/>
    </row>
    <row r="342" spans="18:18" x14ac:dyDescent="0.3">
      <c r="R342" s="75"/>
    </row>
    <row r="343" spans="18:18" x14ac:dyDescent="0.3">
      <c r="R343" s="75"/>
    </row>
    <row r="344" spans="18:18" x14ac:dyDescent="0.3">
      <c r="R344" s="75"/>
    </row>
    <row r="345" spans="18:18" x14ac:dyDescent="0.3">
      <c r="R345" s="75"/>
    </row>
    <row r="346" spans="18:18" x14ac:dyDescent="0.3">
      <c r="R346" s="75"/>
    </row>
    <row r="347" spans="18:18" x14ac:dyDescent="0.3">
      <c r="R347" s="75"/>
    </row>
    <row r="348" spans="18:18" x14ac:dyDescent="0.3">
      <c r="R348" s="75"/>
    </row>
    <row r="349" spans="18:18" x14ac:dyDescent="0.3">
      <c r="R349" s="75"/>
    </row>
    <row r="350" spans="18:18" x14ac:dyDescent="0.3">
      <c r="R350" s="75"/>
    </row>
    <row r="351" spans="18:18" x14ac:dyDescent="0.3">
      <c r="R351" s="75"/>
    </row>
    <row r="352" spans="18:18" x14ac:dyDescent="0.3">
      <c r="R352" s="75"/>
    </row>
    <row r="353" spans="18:18" x14ac:dyDescent="0.3">
      <c r="R353" s="75"/>
    </row>
    <row r="354" spans="18:18" x14ac:dyDescent="0.3">
      <c r="R354" s="75"/>
    </row>
  </sheetData>
  <mergeCells count="1">
    <mergeCell ref="A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1"/>
  <sheetViews>
    <sheetView topLeftCell="B1" workbookViewId="0">
      <selection activeCell="B82" sqref="B82"/>
    </sheetView>
  </sheetViews>
  <sheetFormatPr defaultRowHeight="14.4" x14ac:dyDescent="0.3"/>
  <cols>
    <col min="2" max="2" width="19.44140625" customWidth="1"/>
    <col min="3" max="3" width="10.33203125" bestFit="1" customWidth="1"/>
    <col min="4" max="4" width="19.33203125" customWidth="1"/>
    <col min="5" max="5" width="14.33203125" bestFit="1" customWidth="1"/>
    <col min="6" max="6" width="16.6640625" customWidth="1"/>
    <col min="7" max="7" width="10.6640625" bestFit="1" customWidth="1"/>
    <col min="8" max="8" width="18" bestFit="1" customWidth="1"/>
    <col min="9" max="9" width="13.33203125" customWidth="1"/>
    <col min="10" max="10" width="16.5546875" bestFit="1" customWidth="1"/>
    <col min="11" max="11" width="10.6640625" bestFit="1" customWidth="1"/>
    <col min="12" max="12" width="17.88671875" bestFit="1" customWidth="1"/>
    <col min="13" max="13" width="9" bestFit="1" customWidth="1"/>
    <col min="14" max="14" width="16.44140625" bestFit="1" customWidth="1"/>
  </cols>
  <sheetData>
    <row r="1" spans="2:7" x14ac:dyDescent="0.3">
      <c r="D1" s="3">
        <v>42430</v>
      </c>
    </row>
    <row r="2" spans="2:7" ht="41.4" x14ac:dyDescent="0.3">
      <c r="B2" s="1" t="s">
        <v>169</v>
      </c>
      <c r="C2" s="1" t="s">
        <v>170</v>
      </c>
      <c r="D2" s="1" t="s">
        <v>171</v>
      </c>
      <c r="E2" s="1" t="s">
        <v>172</v>
      </c>
      <c r="F2" s="1" t="s">
        <v>173</v>
      </c>
    </row>
    <row r="3" spans="2:7" x14ac:dyDescent="0.3">
      <c r="B3" s="4" t="s">
        <v>174</v>
      </c>
      <c r="C3" s="15"/>
      <c r="D3" s="41">
        <v>117866740.05</v>
      </c>
      <c r="E3" s="7">
        <v>0.01</v>
      </c>
      <c r="F3" s="6">
        <f>D3*E3</f>
        <v>1178667.4005</v>
      </c>
    </row>
    <row r="4" spans="2:7" x14ac:dyDescent="0.3">
      <c r="B4" s="4" t="s">
        <v>175</v>
      </c>
      <c r="C4" s="15"/>
      <c r="D4" s="41">
        <v>11392003.6</v>
      </c>
      <c r="E4" s="7">
        <v>0.05</v>
      </c>
      <c r="F4" s="6">
        <f>D4*E4</f>
        <v>569600.18000000005</v>
      </c>
    </row>
    <row r="5" spans="2:7" x14ac:dyDescent="0.3">
      <c r="B5" s="4" t="s">
        <v>176</v>
      </c>
      <c r="C5" s="15"/>
      <c r="D5" s="41">
        <v>5579841.0999999996</v>
      </c>
      <c r="E5" s="7">
        <v>0.25</v>
      </c>
      <c r="F5" s="6">
        <f>D5*E5</f>
        <v>1394960.2749999999</v>
      </c>
      <c r="G5" s="34">
        <f>SUM(D5:D7)/D8</f>
        <v>0.1405864810570949</v>
      </c>
    </row>
    <row r="6" spans="2:7" x14ac:dyDescent="0.3">
      <c r="B6" s="4" t="s">
        <v>177</v>
      </c>
      <c r="C6" s="15"/>
      <c r="D6" s="41">
        <v>6639705.9400000004</v>
      </c>
      <c r="E6" s="7">
        <v>0.5</v>
      </c>
      <c r="F6" s="6">
        <f>D6*E6</f>
        <v>3319852.97</v>
      </c>
    </row>
    <row r="7" spans="2:7" x14ac:dyDescent="0.3">
      <c r="B7" s="4" t="s">
        <v>178</v>
      </c>
      <c r="C7" s="15"/>
      <c r="D7" s="41">
        <v>8925142.3499999996</v>
      </c>
      <c r="E7" s="7">
        <v>1</v>
      </c>
      <c r="F7" s="6">
        <f>D7*E7</f>
        <v>8925142.3499999996</v>
      </c>
    </row>
    <row r="8" spans="2:7" x14ac:dyDescent="0.3">
      <c r="B8" s="5" t="s">
        <v>179</v>
      </c>
      <c r="C8" s="6">
        <f>SUM(C3:C7)</f>
        <v>0</v>
      </c>
      <c r="D8" s="6">
        <f>SUM(D3:D7)</f>
        <v>150403433.03999999</v>
      </c>
      <c r="E8" s="6">
        <f>SUM(E3:E7)</f>
        <v>1.81</v>
      </c>
      <c r="F8" s="6">
        <f>SUM(F3:F7)</f>
        <v>15388223.1755</v>
      </c>
    </row>
    <row r="10" spans="2:7" x14ac:dyDescent="0.3">
      <c r="D10" s="3">
        <v>42522</v>
      </c>
    </row>
    <row r="11" spans="2:7" ht="41.4" x14ac:dyDescent="0.3">
      <c r="B11" s="1" t="s">
        <v>169</v>
      </c>
      <c r="C11" s="1" t="s">
        <v>170</v>
      </c>
      <c r="D11" s="1" t="s">
        <v>171</v>
      </c>
      <c r="E11" s="1" t="s">
        <v>172</v>
      </c>
      <c r="F11" s="1" t="s">
        <v>173</v>
      </c>
    </row>
    <row r="12" spans="2:7" x14ac:dyDescent="0.3">
      <c r="B12" s="4" t="s">
        <v>174</v>
      </c>
      <c r="C12" s="16"/>
      <c r="D12" s="41">
        <v>103867940.05</v>
      </c>
      <c r="E12" s="7">
        <v>0.01</v>
      </c>
      <c r="F12" s="6">
        <f>D12*E12</f>
        <v>1038679.4005</v>
      </c>
    </row>
    <row r="13" spans="2:7" x14ac:dyDescent="0.3">
      <c r="B13" s="4" t="s">
        <v>175</v>
      </c>
      <c r="C13" s="16"/>
      <c r="D13" s="41">
        <v>8995003.5999999996</v>
      </c>
      <c r="E13" s="7">
        <v>0.05</v>
      </c>
      <c r="F13" s="6">
        <f>D13*E13</f>
        <v>449750.18</v>
      </c>
    </row>
    <row r="14" spans="2:7" x14ac:dyDescent="0.3">
      <c r="B14" s="4" t="s">
        <v>176</v>
      </c>
      <c r="C14" s="16"/>
      <c r="D14" s="41">
        <v>8424561.0999999996</v>
      </c>
      <c r="E14" s="7">
        <v>0.25</v>
      </c>
      <c r="F14" s="6">
        <f>D14*E14</f>
        <v>2106140.2749999999</v>
      </c>
    </row>
    <row r="15" spans="2:7" x14ac:dyDescent="0.3">
      <c r="B15" s="4" t="s">
        <v>177</v>
      </c>
      <c r="C15" s="16"/>
      <c r="D15" s="41">
        <v>7787680.9400000004</v>
      </c>
      <c r="E15" s="7">
        <v>0.5</v>
      </c>
      <c r="F15" s="6">
        <f>D15*E15</f>
        <v>3893840.47</v>
      </c>
      <c r="G15" s="98">
        <f>SUM(D14:D16)/D17</f>
        <v>0.18215452634803753</v>
      </c>
    </row>
    <row r="16" spans="2:7" x14ac:dyDescent="0.3">
      <c r="B16" s="4" t="s">
        <v>178</v>
      </c>
      <c r="C16" s="16"/>
      <c r="D16" s="41">
        <v>8925142.3499999996</v>
      </c>
      <c r="E16" s="7">
        <v>1</v>
      </c>
      <c r="F16" s="6">
        <f>D16*E16</f>
        <v>8925142.3499999996</v>
      </c>
    </row>
    <row r="17" spans="2:8" x14ac:dyDescent="0.3">
      <c r="B17" s="5" t="s">
        <v>179</v>
      </c>
      <c r="C17" s="6">
        <f>SUM(C12:C16)</f>
        <v>0</v>
      </c>
      <c r="D17" s="6">
        <f>SUM(D12:D16)</f>
        <v>138000328.03999999</v>
      </c>
      <c r="E17" s="6">
        <v>1.81</v>
      </c>
      <c r="F17" s="6">
        <f>SUM(F12:F16)</f>
        <v>16413552.6755</v>
      </c>
    </row>
    <row r="19" spans="2:8" x14ac:dyDescent="0.3">
      <c r="D19" s="3">
        <v>42614</v>
      </c>
    </row>
    <row r="20" spans="2:8" ht="41.4" x14ac:dyDescent="0.3">
      <c r="B20" s="1" t="s">
        <v>169</v>
      </c>
      <c r="C20" s="1" t="s">
        <v>170</v>
      </c>
      <c r="D20" s="1" t="s">
        <v>171</v>
      </c>
      <c r="E20" s="1" t="s">
        <v>172</v>
      </c>
      <c r="F20" s="1" t="s">
        <v>173</v>
      </c>
    </row>
    <row r="21" spans="2:8" x14ac:dyDescent="0.3">
      <c r="B21" s="4" t="s">
        <v>174</v>
      </c>
      <c r="C21" s="16"/>
      <c r="D21" s="41">
        <v>104753568.09999999</v>
      </c>
      <c r="E21" s="7">
        <v>0.01</v>
      </c>
      <c r="F21" s="6">
        <f>D21*E21</f>
        <v>1047535.681</v>
      </c>
    </row>
    <row r="22" spans="2:8" x14ac:dyDescent="0.3">
      <c r="B22" s="4" t="s">
        <v>175</v>
      </c>
      <c r="C22" s="16"/>
      <c r="D22" s="41">
        <v>8527826.5999999996</v>
      </c>
      <c r="E22" s="7">
        <v>0.05</v>
      </c>
      <c r="F22" s="6">
        <f>D22*E22</f>
        <v>426391.33</v>
      </c>
      <c r="G22" s="98">
        <f>SUM(D23:D25)/D26</f>
        <v>0.17584662377124208</v>
      </c>
    </row>
    <row r="23" spans="2:8" x14ac:dyDescent="0.3">
      <c r="B23" s="4" t="s">
        <v>176</v>
      </c>
      <c r="C23" s="16"/>
      <c r="D23" s="41">
        <v>7571821.0999999996</v>
      </c>
      <c r="E23" s="7">
        <v>0.25</v>
      </c>
      <c r="F23" s="6">
        <f>D23*E23</f>
        <v>1892955.2749999999</v>
      </c>
    </row>
    <row r="24" spans="2:8" x14ac:dyDescent="0.3">
      <c r="B24" s="4" t="s">
        <v>177</v>
      </c>
      <c r="C24" s="16"/>
      <c r="D24" s="41">
        <v>7687680.9400000004</v>
      </c>
      <c r="E24" s="7">
        <v>0.5</v>
      </c>
      <c r="F24" s="6">
        <f>D24*E24</f>
        <v>3843840.47</v>
      </c>
    </row>
    <row r="25" spans="2:8" x14ac:dyDescent="0.3">
      <c r="B25" s="4" t="s">
        <v>178</v>
      </c>
      <c r="C25" s="16"/>
      <c r="D25" s="41">
        <v>8910939.25</v>
      </c>
      <c r="E25" s="7">
        <v>1</v>
      </c>
      <c r="F25" s="6">
        <f>D25*E25</f>
        <v>8910939.25</v>
      </c>
    </row>
    <row r="26" spans="2:8" x14ac:dyDescent="0.3">
      <c r="B26" s="5" t="s">
        <v>179</v>
      </c>
      <c r="C26" s="6">
        <f>SUM(C21:C25)</f>
        <v>0</v>
      </c>
      <c r="D26" s="6">
        <f>SUM(D21:D25)</f>
        <v>137451835.98999998</v>
      </c>
      <c r="E26" s="6">
        <v>1.81</v>
      </c>
      <c r="F26" s="6">
        <f>SUM(F21:F25)</f>
        <v>16121662.006000001</v>
      </c>
    </row>
    <row r="28" spans="2:8" x14ac:dyDescent="0.3">
      <c r="D28" s="3">
        <v>42705</v>
      </c>
    </row>
    <row r="29" spans="2:8" ht="41.4" x14ac:dyDescent="0.3"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</row>
    <row r="30" spans="2:8" x14ac:dyDescent="0.3">
      <c r="B30" s="4" t="s">
        <v>174</v>
      </c>
      <c r="C30" s="64">
        <v>982</v>
      </c>
      <c r="D30" s="64">
        <v>32509816.760000002</v>
      </c>
      <c r="E30" s="7">
        <v>0.01</v>
      </c>
      <c r="F30" s="6">
        <f>D30*E30</f>
        <v>325098.16760000004</v>
      </c>
    </row>
    <row r="31" spans="2:8" x14ac:dyDescent="0.3">
      <c r="B31" s="4" t="s">
        <v>175</v>
      </c>
      <c r="C31" s="64">
        <v>27</v>
      </c>
      <c r="D31" s="64">
        <v>344067.61</v>
      </c>
      <c r="E31" s="7">
        <v>0.05</v>
      </c>
      <c r="F31" s="6">
        <f>D31*E31</f>
        <v>17203.380499999999</v>
      </c>
    </row>
    <row r="32" spans="2:8" x14ac:dyDescent="0.3">
      <c r="B32" s="4" t="s">
        <v>176</v>
      </c>
      <c r="C32" s="64">
        <v>165</v>
      </c>
      <c r="D32" s="64">
        <v>2499036.23</v>
      </c>
      <c r="E32" s="7">
        <v>0.25</v>
      </c>
      <c r="F32" s="6">
        <f>D32*E32</f>
        <v>624759.0575</v>
      </c>
      <c r="H32" s="98">
        <f>SUM(D32+D33+D34)/D35</f>
        <v>0.40903818380340407</v>
      </c>
    </row>
    <row r="33" spans="2:8" x14ac:dyDescent="0.3">
      <c r="B33" s="4" t="s">
        <v>177</v>
      </c>
      <c r="C33" s="64">
        <v>210</v>
      </c>
      <c r="D33" s="64">
        <v>6638610.7199999997</v>
      </c>
      <c r="E33" s="7">
        <v>0.5</v>
      </c>
      <c r="F33" s="6">
        <f>D33*E33</f>
        <v>3319305.36</v>
      </c>
    </row>
    <row r="34" spans="2:8" x14ac:dyDescent="0.3">
      <c r="B34" s="4" t="s">
        <v>178</v>
      </c>
      <c r="C34" s="64">
        <v>637</v>
      </c>
      <c r="D34" s="64">
        <v>13602389.42</v>
      </c>
      <c r="E34" s="7">
        <v>1</v>
      </c>
      <c r="F34" s="6">
        <f>D34*E34</f>
        <v>13602389.42</v>
      </c>
    </row>
    <row r="35" spans="2:8" x14ac:dyDescent="0.3">
      <c r="B35" s="5" t="s">
        <v>179</v>
      </c>
      <c r="C35" s="6">
        <f>SUM(C30:C34)</f>
        <v>2021</v>
      </c>
      <c r="D35" s="6">
        <f>SUM(D30:D34)</f>
        <v>55593920.740000002</v>
      </c>
      <c r="E35" s="6">
        <v>1.81</v>
      </c>
      <c r="F35" s="6">
        <f>SUM(F30:F34)</f>
        <v>17888755.385600001</v>
      </c>
    </row>
    <row r="37" spans="2:8" x14ac:dyDescent="0.3">
      <c r="D37" t="s">
        <v>4</v>
      </c>
    </row>
    <row r="38" spans="2:8" ht="41.4" x14ac:dyDescent="0.3">
      <c r="B38" s="1" t="s">
        <v>169</v>
      </c>
      <c r="C38" s="1" t="s">
        <v>170</v>
      </c>
      <c r="D38" s="1" t="s">
        <v>171</v>
      </c>
      <c r="E38" s="1" t="s">
        <v>172</v>
      </c>
      <c r="F38" s="1" t="s">
        <v>173</v>
      </c>
    </row>
    <row r="39" spans="2:8" x14ac:dyDescent="0.3">
      <c r="B39" s="4" t="s">
        <v>174</v>
      </c>
      <c r="C39" s="16"/>
      <c r="D39" s="20">
        <v>32509816.760000002</v>
      </c>
      <c r="E39" s="7">
        <v>0.01</v>
      </c>
      <c r="F39" s="6">
        <f>D39*E39</f>
        <v>325098.16760000004</v>
      </c>
    </row>
    <row r="40" spans="2:8" x14ac:dyDescent="0.3">
      <c r="B40" s="4" t="s">
        <v>175</v>
      </c>
      <c r="C40" s="16"/>
      <c r="D40" s="20">
        <v>344067.61</v>
      </c>
      <c r="E40" s="7">
        <v>0.05</v>
      </c>
      <c r="F40" s="6">
        <f>D40*E40</f>
        <v>17203.380499999999</v>
      </c>
      <c r="H40">
        <f>SUM(D41+D42+D43)/D44</f>
        <v>0.40903817614982418</v>
      </c>
    </row>
    <row r="41" spans="2:8" x14ac:dyDescent="0.3">
      <c r="B41" s="4" t="s">
        <v>176</v>
      </c>
      <c r="C41" s="16"/>
      <c r="D41" s="20">
        <v>2499036.23</v>
      </c>
      <c r="E41" s="7">
        <v>0.25</v>
      </c>
      <c r="F41" s="6">
        <f>D41*E41</f>
        <v>624759.0575</v>
      </c>
    </row>
    <row r="42" spans="2:8" x14ac:dyDescent="0.3">
      <c r="B42" s="4" t="s">
        <v>177</v>
      </c>
      <c r="C42" s="16"/>
      <c r="D42" s="20">
        <v>6638610</v>
      </c>
      <c r="E42" s="7">
        <v>0.5</v>
      </c>
      <c r="F42" s="6">
        <f>D42*E42</f>
        <v>3319305</v>
      </c>
    </row>
    <row r="43" spans="2:8" x14ac:dyDescent="0.3">
      <c r="B43" s="4" t="s">
        <v>178</v>
      </c>
      <c r="C43" s="16"/>
      <c r="D43" s="20">
        <v>13602389.42</v>
      </c>
      <c r="E43" s="7">
        <v>1</v>
      </c>
      <c r="F43" s="6">
        <f>D43*E43</f>
        <v>13602389.42</v>
      </c>
    </row>
    <row r="44" spans="2:8" x14ac:dyDescent="0.3">
      <c r="B44" s="5" t="s">
        <v>179</v>
      </c>
      <c r="C44" s="6">
        <f>SUM(C39:C43)</f>
        <v>0</v>
      </c>
      <c r="D44" s="6">
        <f>SUM(D39:D43)</f>
        <v>55593920.020000003</v>
      </c>
      <c r="E44" s="6">
        <v>1.81</v>
      </c>
      <c r="F44" s="6">
        <f>SUM(F39:F43)</f>
        <v>17888755.025600001</v>
      </c>
    </row>
    <row r="46" spans="2:8" x14ac:dyDescent="0.3">
      <c r="D46" s="86">
        <v>43070</v>
      </c>
      <c r="E46" s="34"/>
    </row>
    <row r="47" spans="2:8" ht="42" x14ac:dyDescent="0.3">
      <c r="B47" s="80" t="s">
        <v>169</v>
      </c>
      <c r="C47" s="80" t="s">
        <v>170</v>
      </c>
      <c r="D47" s="80" t="s">
        <v>171</v>
      </c>
      <c r="E47" s="80" t="s">
        <v>172</v>
      </c>
      <c r="F47" s="80" t="s">
        <v>173</v>
      </c>
    </row>
    <row r="48" spans="2:8" x14ac:dyDescent="0.3">
      <c r="B48" s="81" t="s">
        <v>174</v>
      </c>
      <c r="C48" s="41">
        <v>1523</v>
      </c>
      <c r="D48" s="82">
        <v>47249891.259999998</v>
      </c>
      <c r="E48" s="83">
        <v>0.01</v>
      </c>
      <c r="F48" s="82">
        <f>D48*E48</f>
        <v>472498.91259999998</v>
      </c>
    </row>
    <row r="49" spans="1:14" x14ac:dyDescent="0.3">
      <c r="B49" s="81" t="s">
        <v>175</v>
      </c>
      <c r="C49" s="41">
        <v>82</v>
      </c>
      <c r="D49" s="82">
        <v>985952.92</v>
      </c>
      <c r="E49" s="83">
        <v>0.05</v>
      </c>
      <c r="F49" s="82">
        <f>D49*E49</f>
        <v>49297.646000000008</v>
      </c>
    </row>
    <row r="50" spans="1:14" x14ac:dyDescent="0.3">
      <c r="B50" s="81" t="s">
        <v>176</v>
      </c>
      <c r="C50" s="41">
        <v>120</v>
      </c>
      <c r="D50" s="82">
        <v>2323112.88</v>
      </c>
      <c r="E50" s="83">
        <v>0.25</v>
      </c>
      <c r="F50" s="82">
        <f>D50*E50</f>
        <v>580778.22</v>
      </c>
    </row>
    <row r="51" spans="1:14" x14ac:dyDescent="0.3">
      <c r="B51" s="81" t="s">
        <v>177</v>
      </c>
      <c r="C51" s="41">
        <v>147</v>
      </c>
      <c r="D51" s="82">
        <v>3443607.11</v>
      </c>
      <c r="E51" s="83">
        <v>0.5</v>
      </c>
      <c r="F51" s="82">
        <f>D51*E51</f>
        <v>1721803.5549999999</v>
      </c>
    </row>
    <row r="52" spans="1:14" x14ac:dyDescent="0.3">
      <c r="B52" s="81" t="s">
        <v>178</v>
      </c>
      <c r="C52" s="41">
        <v>702</v>
      </c>
      <c r="D52" s="82">
        <v>14791388.02</v>
      </c>
      <c r="E52" s="83">
        <v>1</v>
      </c>
      <c r="F52" s="82">
        <f>D52*E52</f>
        <v>14791388.02</v>
      </c>
    </row>
    <row r="53" spans="1:14" x14ac:dyDescent="0.3">
      <c r="B53" s="80" t="s">
        <v>179</v>
      </c>
      <c r="C53" s="80">
        <f>SUM(C48:C52)</f>
        <v>2574</v>
      </c>
      <c r="D53" s="80">
        <f>SUM(D48:D52)</f>
        <v>68793952.189999998</v>
      </c>
      <c r="E53" s="84"/>
      <c r="F53" s="85">
        <f>SUM(F48:F52)</f>
        <v>17615766.353599999</v>
      </c>
    </row>
    <row r="54" spans="1:14" ht="28.2" x14ac:dyDescent="0.3">
      <c r="B54" s="81" t="s">
        <v>180</v>
      </c>
      <c r="C54" s="41"/>
      <c r="D54" s="41"/>
      <c r="E54" s="41"/>
      <c r="F54" s="41"/>
    </row>
    <row r="55" spans="1:14" x14ac:dyDescent="0.3">
      <c r="B55" s="81" t="s">
        <v>174</v>
      </c>
      <c r="C55" s="41">
        <v>0</v>
      </c>
      <c r="D55" s="41">
        <v>0</v>
      </c>
      <c r="E55" s="83">
        <v>0.01</v>
      </c>
      <c r="F55" s="41">
        <f>D55*E55</f>
        <v>0</v>
      </c>
    </row>
    <row r="56" spans="1:14" x14ac:dyDescent="0.3">
      <c r="B56" s="81" t="s">
        <v>175</v>
      </c>
      <c r="C56" s="41">
        <v>0</v>
      </c>
      <c r="D56" s="41">
        <v>0</v>
      </c>
      <c r="E56" s="83">
        <v>0.05</v>
      </c>
      <c r="F56" s="41">
        <f>D56*E56</f>
        <v>0</v>
      </c>
    </row>
    <row r="57" spans="1:14" x14ac:dyDescent="0.3">
      <c r="B57" s="81" t="s">
        <v>176</v>
      </c>
      <c r="C57" s="41">
        <v>0</v>
      </c>
      <c r="D57" s="41">
        <v>0</v>
      </c>
      <c r="E57" s="83">
        <v>0.25</v>
      </c>
      <c r="F57" s="41">
        <f>D57*E57</f>
        <v>0</v>
      </c>
    </row>
    <row r="58" spans="1:14" x14ac:dyDescent="0.3">
      <c r="B58" s="81" t="s">
        <v>177</v>
      </c>
      <c r="C58" s="41">
        <v>0</v>
      </c>
      <c r="D58" s="41">
        <v>0</v>
      </c>
      <c r="E58" s="83">
        <v>0.5</v>
      </c>
      <c r="F58" s="41">
        <f>D58*E58</f>
        <v>0</v>
      </c>
    </row>
    <row r="59" spans="1:14" x14ac:dyDescent="0.3">
      <c r="B59" s="81" t="s">
        <v>178</v>
      </c>
      <c r="C59" s="41">
        <v>0</v>
      </c>
      <c r="D59" s="41">
        <v>0</v>
      </c>
      <c r="E59" s="83">
        <v>1</v>
      </c>
      <c r="F59" s="41">
        <f>D59*E59</f>
        <v>0</v>
      </c>
    </row>
    <row r="60" spans="1:14" x14ac:dyDescent="0.3">
      <c r="B60" s="80" t="s">
        <v>179</v>
      </c>
      <c r="C60" s="80">
        <f>SUM(C54:C59)</f>
        <v>0</v>
      </c>
      <c r="D60" s="80">
        <f>SUM(D54:D59)</f>
        <v>0</v>
      </c>
      <c r="E60" s="80"/>
      <c r="F60" s="80">
        <f>SUM(F54:F59)</f>
        <v>0</v>
      </c>
    </row>
    <row r="61" spans="1:14" x14ac:dyDescent="0.3">
      <c r="B61" s="80" t="s">
        <v>181</v>
      </c>
      <c r="C61" s="80">
        <f>C53+C60</f>
        <v>2574</v>
      </c>
      <c r="D61" s="90">
        <f>D53+D60</f>
        <v>68793952.189999998</v>
      </c>
      <c r="E61" s="90"/>
      <c r="F61" s="90">
        <f>F53+F60</f>
        <v>17615766.353599999</v>
      </c>
    </row>
    <row r="62" spans="1:14" x14ac:dyDescent="0.3">
      <c r="B62" s="238">
        <v>43160</v>
      </c>
      <c r="C62" s="239"/>
      <c r="D62" s="239"/>
      <c r="E62" s="239"/>
      <c r="F62" s="239"/>
      <c r="H62" s="91">
        <v>43269</v>
      </c>
      <c r="L62" s="91">
        <v>43361</v>
      </c>
    </row>
    <row r="63" spans="1:14" x14ac:dyDescent="0.3">
      <c r="A63" s="81"/>
      <c r="B63" s="81"/>
      <c r="C63" s="80" t="s">
        <v>182</v>
      </c>
      <c r="D63" s="80" t="s">
        <v>183</v>
      </c>
      <c r="E63" s="80" t="s">
        <v>184</v>
      </c>
      <c r="F63" s="80" t="s">
        <v>185</v>
      </c>
      <c r="G63" s="80" t="s">
        <v>182</v>
      </c>
      <c r="H63" s="80" t="s">
        <v>183</v>
      </c>
      <c r="I63" s="80" t="s">
        <v>184</v>
      </c>
      <c r="J63" s="80" t="s">
        <v>185</v>
      </c>
      <c r="K63" s="80" t="s">
        <v>182</v>
      </c>
      <c r="L63" s="80" t="s">
        <v>183</v>
      </c>
      <c r="M63" s="80" t="s">
        <v>184</v>
      </c>
      <c r="N63" s="80" t="s">
        <v>185</v>
      </c>
    </row>
    <row r="64" spans="1:14" ht="55.8" x14ac:dyDescent="0.3">
      <c r="A64" s="81" t="s">
        <v>186</v>
      </c>
      <c r="B64" s="80" t="s">
        <v>169</v>
      </c>
      <c r="C64" s="80" t="s">
        <v>170</v>
      </c>
      <c r="D64" s="80" t="s">
        <v>171</v>
      </c>
      <c r="E64" s="80" t="s">
        <v>172</v>
      </c>
      <c r="F64" s="80" t="s">
        <v>173</v>
      </c>
      <c r="G64" s="80" t="s">
        <v>170</v>
      </c>
      <c r="H64" s="80" t="s">
        <v>171</v>
      </c>
      <c r="I64" s="80" t="s">
        <v>172</v>
      </c>
      <c r="J64" s="80" t="s">
        <v>173</v>
      </c>
      <c r="K64" s="80" t="s">
        <v>170</v>
      </c>
      <c r="L64" s="80" t="s">
        <v>171</v>
      </c>
      <c r="M64" s="80" t="s">
        <v>172</v>
      </c>
      <c r="N64" s="80" t="s">
        <v>173</v>
      </c>
    </row>
    <row r="65" spans="1:14" x14ac:dyDescent="0.3">
      <c r="A65" s="81">
        <v>1</v>
      </c>
      <c r="B65" s="81" t="s">
        <v>174</v>
      </c>
      <c r="C65" s="41">
        <v>1523</v>
      </c>
      <c r="D65" s="64">
        <v>123862580.3</v>
      </c>
      <c r="E65" s="83">
        <v>0.01</v>
      </c>
      <c r="F65" s="64">
        <f>D65*E65</f>
        <v>1238625.8030000001</v>
      </c>
      <c r="G65" s="41">
        <v>1554</v>
      </c>
      <c r="H65" s="64">
        <v>122644484.3</v>
      </c>
      <c r="I65" s="83">
        <v>0.01</v>
      </c>
      <c r="J65" s="64">
        <f>H65*I65</f>
        <v>1226444.8430000001</v>
      </c>
      <c r="K65" s="41">
        <v>1554</v>
      </c>
      <c r="L65" s="41">
        <v>129149438.3</v>
      </c>
      <c r="M65" s="83">
        <v>0.01</v>
      </c>
      <c r="N65" s="41">
        <f>L65*M65</f>
        <v>1291494.3829999999</v>
      </c>
    </row>
    <row r="66" spans="1:14" x14ac:dyDescent="0.3">
      <c r="A66" s="81">
        <v>2</v>
      </c>
      <c r="B66" s="81" t="s">
        <v>175</v>
      </c>
      <c r="C66" s="41">
        <v>82</v>
      </c>
      <c r="D66" s="64">
        <v>944892.72</v>
      </c>
      <c r="E66" s="83">
        <v>0.05</v>
      </c>
      <c r="F66" s="64">
        <f>D66*E66</f>
        <v>47244.635999999999</v>
      </c>
      <c r="G66" s="41">
        <v>182</v>
      </c>
      <c r="H66" s="64">
        <v>1685875.72</v>
      </c>
      <c r="I66" s="83">
        <v>0.05</v>
      </c>
      <c r="J66" s="64">
        <f>H66*I66</f>
        <v>84293.786000000007</v>
      </c>
      <c r="K66" s="41">
        <v>182</v>
      </c>
      <c r="L66" s="41">
        <v>1415379.72</v>
      </c>
      <c r="M66" s="83">
        <v>0.05</v>
      </c>
      <c r="N66" s="41">
        <f>L66*M66</f>
        <v>70768.986000000004</v>
      </c>
    </row>
    <row r="67" spans="1:14" x14ac:dyDescent="0.3">
      <c r="A67" s="81">
        <v>3</v>
      </c>
      <c r="B67" s="81" t="s">
        <v>176</v>
      </c>
      <c r="C67" s="41">
        <v>120</v>
      </c>
      <c r="D67" s="64">
        <v>1613115.88</v>
      </c>
      <c r="E67" s="83">
        <v>0.25</v>
      </c>
      <c r="F67" s="64">
        <f>D67*E67</f>
        <v>403278.97</v>
      </c>
      <c r="G67" s="41">
        <v>122</v>
      </c>
      <c r="H67" s="64">
        <v>1823165.88</v>
      </c>
      <c r="I67" s="83">
        <v>0.25</v>
      </c>
      <c r="J67" s="64">
        <f>H67*I67</f>
        <v>455791.47</v>
      </c>
      <c r="K67" s="41">
        <v>122</v>
      </c>
      <c r="L67" s="41">
        <v>1470165.88</v>
      </c>
      <c r="M67" s="83">
        <v>0.25</v>
      </c>
      <c r="N67" s="41">
        <f>L67*M67</f>
        <v>367541.47</v>
      </c>
    </row>
    <row r="68" spans="1:14" x14ac:dyDescent="0.3">
      <c r="A68" s="81">
        <v>4</v>
      </c>
      <c r="B68" s="81" t="s">
        <v>177</v>
      </c>
      <c r="C68" s="41">
        <v>147</v>
      </c>
      <c r="D68" s="64">
        <v>1823607.11</v>
      </c>
      <c r="E68" s="83">
        <v>0.5</v>
      </c>
      <c r="F68" s="64">
        <f>D68*E68</f>
        <v>911803.55500000005</v>
      </c>
      <c r="G68" s="41">
        <v>157</v>
      </c>
      <c r="H68" s="64">
        <v>1530907.11</v>
      </c>
      <c r="I68" s="83">
        <v>0.5</v>
      </c>
      <c r="J68" s="64">
        <f>H68*I68</f>
        <v>765453.55500000005</v>
      </c>
      <c r="K68" s="41">
        <v>157</v>
      </c>
      <c r="L68" s="41">
        <v>1360997.11</v>
      </c>
      <c r="M68" s="83">
        <v>0.5</v>
      </c>
      <c r="N68" s="41">
        <f>L68*M68</f>
        <v>680498.55500000005</v>
      </c>
    </row>
    <row r="69" spans="1:14" x14ac:dyDescent="0.3">
      <c r="A69" s="81">
        <v>5</v>
      </c>
      <c r="B69" s="81" t="s">
        <v>178</v>
      </c>
      <c r="C69" s="41">
        <v>702</v>
      </c>
      <c r="D69" s="64">
        <v>12793027.02</v>
      </c>
      <c r="E69" s="83">
        <v>1</v>
      </c>
      <c r="F69" s="64">
        <f>D69*E69</f>
        <v>12793027.02</v>
      </c>
      <c r="G69" s="41">
        <v>602</v>
      </c>
      <c r="H69" s="64">
        <v>12113427.02</v>
      </c>
      <c r="I69" s="83">
        <v>1</v>
      </c>
      <c r="J69" s="64">
        <f>H69*I69</f>
        <v>12113427.02</v>
      </c>
      <c r="K69" s="41">
        <v>602</v>
      </c>
      <c r="L69" s="41">
        <v>13279821.02</v>
      </c>
      <c r="M69" s="83">
        <v>1</v>
      </c>
      <c r="N69" s="41">
        <f>L69*M69</f>
        <v>13279821.02</v>
      </c>
    </row>
    <row r="70" spans="1:14" x14ac:dyDescent="0.3">
      <c r="A70" s="81"/>
      <c r="B70" s="80" t="s">
        <v>179</v>
      </c>
      <c r="C70" s="80">
        <f>SUM(C65:C69)</f>
        <v>2574</v>
      </c>
      <c r="D70" s="89">
        <f>SUM(D65:D69)</f>
        <v>141037223.03</v>
      </c>
      <c r="E70" s="84"/>
      <c r="F70" s="89">
        <f>SUM(F65:F69)</f>
        <v>15393979.983999999</v>
      </c>
      <c r="G70" s="80">
        <f>SUM(G65:G69)</f>
        <v>2617</v>
      </c>
      <c r="H70" s="89">
        <f>SUM(H65:H69)</f>
        <v>139797860.03</v>
      </c>
      <c r="I70" s="84"/>
      <c r="J70" s="89">
        <f>SUM(J65:J69)</f>
        <v>14645410.673999999</v>
      </c>
      <c r="K70" s="80">
        <f>SUM(K65:K69)</f>
        <v>2617</v>
      </c>
      <c r="L70" s="80">
        <f>SUM(L65:L69)</f>
        <v>146675802.03</v>
      </c>
      <c r="M70" s="84"/>
      <c r="N70" s="80">
        <f>SUM(N65:N69)</f>
        <v>15690124.413999999</v>
      </c>
    </row>
    <row r="71" spans="1:14" ht="28.2" x14ac:dyDescent="0.3">
      <c r="A71" s="81"/>
      <c r="B71" s="81" t="s">
        <v>180</v>
      </c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</row>
    <row r="72" spans="1:14" x14ac:dyDescent="0.3">
      <c r="A72" s="81">
        <v>1</v>
      </c>
      <c r="B72" s="81" t="s">
        <v>174</v>
      </c>
      <c r="C72" s="41">
        <v>0</v>
      </c>
      <c r="D72" s="41">
        <v>0</v>
      </c>
      <c r="E72" s="83">
        <v>0.01</v>
      </c>
      <c r="F72" s="41">
        <f>D72*E72</f>
        <v>0</v>
      </c>
      <c r="G72" s="41">
        <v>0</v>
      </c>
      <c r="H72" s="41">
        <v>0</v>
      </c>
      <c r="I72" s="83">
        <v>0.01</v>
      </c>
      <c r="J72" s="41">
        <f>H72*I72</f>
        <v>0</v>
      </c>
      <c r="K72" s="41">
        <v>0</v>
      </c>
      <c r="L72" s="41">
        <v>0</v>
      </c>
      <c r="M72" s="83">
        <v>0.01</v>
      </c>
      <c r="N72" s="41">
        <f>L72*M72</f>
        <v>0</v>
      </c>
    </row>
    <row r="73" spans="1:14" x14ac:dyDescent="0.3">
      <c r="A73" s="81">
        <v>2</v>
      </c>
      <c r="B73" s="81" t="s">
        <v>175</v>
      </c>
      <c r="C73" s="41">
        <v>0</v>
      </c>
      <c r="D73" s="41">
        <v>0</v>
      </c>
      <c r="E73" s="83">
        <v>0.05</v>
      </c>
      <c r="F73" s="41">
        <f>D73*E73</f>
        <v>0</v>
      </c>
      <c r="G73" s="41">
        <v>0</v>
      </c>
      <c r="H73" s="41">
        <v>0</v>
      </c>
      <c r="I73" s="83">
        <v>0.05</v>
      </c>
      <c r="J73" s="41">
        <f>H73*I73</f>
        <v>0</v>
      </c>
      <c r="K73" s="41">
        <v>0</v>
      </c>
      <c r="L73" s="41">
        <v>0</v>
      </c>
      <c r="M73" s="83">
        <v>0.05</v>
      </c>
      <c r="N73" s="41">
        <f>L73*M73</f>
        <v>0</v>
      </c>
    </row>
    <row r="74" spans="1:14" x14ac:dyDescent="0.3">
      <c r="A74" s="81">
        <v>3</v>
      </c>
      <c r="B74" s="81" t="s">
        <v>176</v>
      </c>
      <c r="C74" s="41">
        <v>0</v>
      </c>
      <c r="D74" s="41">
        <v>0</v>
      </c>
      <c r="E74" s="83">
        <v>0.25</v>
      </c>
      <c r="F74" s="41">
        <f>D74*E74</f>
        <v>0</v>
      </c>
      <c r="G74" s="41">
        <v>0</v>
      </c>
      <c r="H74" s="41">
        <v>0</v>
      </c>
      <c r="I74" s="83">
        <v>0.25</v>
      </c>
      <c r="J74" s="41">
        <f>H74*I74</f>
        <v>0</v>
      </c>
      <c r="K74" s="41">
        <v>0</v>
      </c>
      <c r="L74" s="41">
        <v>0</v>
      </c>
      <c r="M74" s="83">
        <v>0.25</v>
      </c>
      <c r="N74" s="41">
        <f>L74*M74</f>
        <v>0</v>
      </c>
    </row>
    <row r="75" spans="1:14" x14ac:dyDescent="0.3">
      <c r="A75" s="81">
        <v>4</v>
      </c>
      <c r="B75" s="81" t="s">
        <v>177</v>
      </c>
      <c r="C75" s="41">
        <v>0</v>
      </c>
      <c r="D75" s="41">
        <v>0</v>
      </c>
      <c r="E75" s="83">
        <v>0.5</v>
      </c>
      <c r="F75" s="41">
        <f>D75*E75</f>
        <v>0</v>
      </c>
      <c r="G75" s="41">
        <v>0</v>
      </c>
      <c r="H75" s="41">
        <v>0</v>
      </c>
      <c r="I75" s="83">
        <v>0.5</v>
      </c>
      <c r="J75" s="41">
        <f>H75*I75</f>
        <v>0</v>
      </c>
      <c r="K75" s="41">
        <v>0</v>
      </c>
      <c r="L75" s="41">
        <v>0</v>
      </c>
      <c r="M75" s="83">
        <v>0.5</v>
      </c>
      <c r="N75" s="41">
        <f>L75*M75</f>
        <v>0</v>
      </c>
    </row>
    <row r="76" spans="1:14" x14ac:dyDescent="0.3">
      <c r="A76" s="81">
        <v>5</v>
      </c>
      <c r="B76" s="81" t="s">
        <v>178</v>
      </c>
      <c r="C76" s="41">
        <v>0</v>
      </c>
      <c r="D76" s="41">
        <v>0</v>
      </c>
      <c r="E76" s="83">
        <v>1</v>
      </c>
      <c r="F76" s="41">
        <f>D76*E76</f>
        <v>0</v>
      </c>
      <c r="G76" s="41">
        <v>0</v>
      </c>
      <c r="H76" s="41">
        <v>0</v>
      </c>
      <c r="I76" s="83">
        <v>1</v>
      </c>
      <c r="J76" s="41">
        <f>H76*I76</f>
        <v>0</v>
      </c>
      <c r="K76" s="41">
        <v>0</v>
      </c>
      <c r="L76" s="41">
        <v>0</v>
      </c>
      <c r="M76" s="83">
        <v>1</v>
      </c>
      <c r="N76" s="41">
        <f>L76*M76</f>
        <v>0</v>
      </c>
    </row>
    <row r="77" spans="1:14" x14ac:dyDescent="0.3">
      <c r="A77" s="81"/>
      <c r="B77" s="80" t="s">
        <v>179</v>
      </c>
      <c r="C77" s="80">
        <f>SUM(C71:C76)</f>
        <v>0</v>
      </c>
      <c r="D77" s="80">
        <f>SUM(D71:D76)</f>
        <v>0</v>
      </c>
      <c r="E77" s="80"/>
      <c r="F77" s="80">
        <f>SUM(F71:F76)</f>
        <v>0</v>
      </c>
      <c r="G77" s="80">
        <f>SUM(G71:G76)</f>
        <v>0</v>
      </c>
      <c r="H77" s="80">
        <f>SUM(H71:H76)</f>
        <v>0</v>
      </c>
      <c r="I77" s="80"/>
      <c r="J77" s="80">
        <f>SUM(J71:J76)</f>
        <v>0</v>
      </c>
      <c r="K77" s="80">
        <f>SUM(K71:K76)</f>
        <v>0</v>
      </c>
      <c r="L77" s="80">
        <f>SUM(L71:L76)</f>
        <v>0</v>
      </c>
      <c r="M77" s="80"/>
      <c r="N77" s="80">
        <f>SUM(N71:N76)</f>
        <v>0</v>
      </c>
    </row>
    <row r="78" spans="1:14" x14ac:dyDescent="0.3">
      <c r="A78" s="81"/>
      <c r="B78" s="80" t="s">
        <v>181</v>
      </c>
      <c r="C78" s="80">
        <f>C70+C77</f>
        <v>2574</v>
      </c>
      <c r="D78" s="89">
        <f>D70+D77</f>
        <v>141037223.03</v>
      </c>
      <c r="E78" s="89"/>
      <c r="F78" s="89">
        <f>F70+F77</f>
        <v>15393979.983999999</v>
      </c>
      <c r="G78" s="89">
        <f>G70+G77</f>
        <v>2617</v>
      </c>
      <c r="H78" s="89">
        <f>H70+H77</f>
        <v>139797860.03</v>
      </c>
      <c r="I78" s="89"/>
      <c r="J78" s="89">
        <f>J70+J77</f>
        <v>14645410.673999999</v>
      </c>
      <c r="K78" s="89">
        <f>K70+K77</f>
        <v>2617</v>
      </c>
      <c r="L78" s="89">
        <f>L70+L77</f>
        <v>146675802.03</v>
      </c>
      <c r="M78" s="89"/>
      <c r="N78" s="89">
        <f>N70+N77</f>
        <v>15690124.413999999</v>
      </c>
    </row>
    <row r="80" spans="1:14" x14ac:dyDescent="0.3">
      <c r="D80" s="34">
        <f>D67+D68+D69</f>
        <v>16229750.01</v>
      </c>
      <c r="E80" s="98">
        <f>D80/D78</f>
        <v>0.11507423119461004</v>
      </c>
      <c r="H80" s="34">
        <f>H67+H68+H69</f>
        <v>15467500.01</v>
      </c>
      <c r="I80" s="98">
        <f>H80/H78</f>
        <v>0.11064189399380464</v>
      </c>
      <c r="L80" s="100">
        <f>L67+L68+L69</f>
        <v>16110984.01</v>
      </c>
    </row>
    <row r="81" spans="12:12" x14ac:dyDescent="0.3">
      <c r="L81" s="98">
        <f>L80/L78</f>
        <v>0.10984077664497635</v>
      </c>
    </row>
  </sheetData>
  <mergeCells count="1">
    <mergeCell ref="B62:F62"/>
  </mergeCells>
  <dataValidations count="2">
    <dataValidation type="decimal" showErrorMessage="1" errorTitle="Error Msg" error="Enter a NO" sqref="C3:C7" xr:uid="{00000000-0002-0000-0300-000000000000}">
      <formula1>0</formula1>
      <formula2>999999999999</formula2>
    </dataValidation>
    <dataValidation type="decimal" showErrorMessage="1" errorTitle="Error Msg" error="Enter a number" sqref="D3:D7" xr:uid="{00000000-0002-0000-0300-000001000000}">
      <formula1>0</formula1>
      <formula2>999999999999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Y49"/>
  <sheetViews>
    <sheetView workbookViewId="0">
      <pane xSplit="2" ySplit="3" topLeftCell="CN4" activePane="bottomRight" state="frozen"/>
      <selection pane="topRight" activeCell="C1" sqref="C1"/>
      <selection pane="bottomLeft" activeCell="A4" sqref="A4"/>
      <selection pane="bottomRight" activeCell="CV10" sqref="CV10"/>
    </sheetView>
  </sheetViews>
  <sheetFormatPr defaultRowHeight="14.4" x14ac:dyDescent="0.3"/>
  <cols>
    <col min="2" max="2" width="21.33203125" customWidth="1"/>
    <col min="3" max="3" width="14.33203125" bestFit="1" customWidth="1"/>
    <col min="4" max="13" width="12.5546875" hidden="1" customWidth="1"/>
    <col min="14" max="14" width="14.33203125" hidden="1" customWidth="1"/>
    <col min="15" max="18" width="12.5546875" hidden="1" customWidth="1"/>
    <col min="19" max="19" width="12.6640625" hidden="1" customWidth="1"/>
    <col min="20" max="27" width="12.5546875" hidden="1" customWidth="1"/>
    <col min="28" max="29" width="14.33203125" hidden="1" customWidth="1"/>
    <col min="30" max="31" width="12.5546875" hidden="1" customWidth="1"/>
    <col min="32" max="32" width="12.5546875" bestFit="1" customWidth="1"/>
    <col min="33" max="44" width="12.5546875" hidden="1" customWidth="1"/>
    <col min="45" max="45" width="13.33203125" bestFit="1" customWidth="1"/>
    <col min="46" max="46" width="12.44140625" bestFit="1" customWidth="1"/>
    <col min="47" max="50" width="12" bestFit="1" customWidth="1"/>
    <col min="51" max="57" width="12.44140625" bestFit="1" customWidth="1"/>
    <col min="58" max="58" width="8.5546875" bestFit="1" customWidth="1"/>
    <col min="59" max="61" width="12.44140625" bestFit="1" customWidth="1"/>
    <col min="62" max="63" width="12.44140625" hidden="1" customWidth="1"/>
    <col min="64" max="64" width="12.44140625" bestFit="1" customWidth="1"/>
    <col min="65" max="65" width="0" hidden="1" customWidth="1"/>
    <col min="66" max="66" width="13.5546875" hidden="1" customWidth="1"/>
    <col min="67" max="67" width="12.44140625" bestFit="1" customWidth="1"/>
    <col min="68" max="68" width="12.44140625" hidden="1" customWidth="1"/>
    <col min="69" max="69" width="13.5546875" hidden="1" customWidth="1"/>
    <col min="70" max="70" width="12.44140625" bestFit="1" customWidth="1"/>
    <col min="71" max="75" width="12.5546875" bestFit="1" customWidth="1"/>
    <col min="76" max="77" width="13" bestFit="1" customWidth="1"/>
    <col min="78" max="78" width="12.44140625" bestFit="1" customWidth="1"/>
    <col min="79" max="79" width="13.33203125" hidden="1" customWidth="1"/>
    <col min="80" max="80" width="16.44140625" hidden="1" customWidth="1"/>
    <col min="81" max="81" width="18" hidden="1" customWidth="1"/>
    <col min="82" max="83" width="12" hidden="1" customWidth="1"/>
    <col min="84" max="84" width="13.33203125" bestFit="1" customWidth="1"/>
    <col min="85" max="85" width="12.44140625" bestFit="1" customWidth="1"/>
    <col min="86" max="92" width="13.33203125" bestFit="1" customWidth="1"/>
    <col min="93" max="93" width="13.6640625" customWidth="1"/>
    <col min="94" max="96" width="13.33203125" bestFit="1" customWidth="1"/>
    <col min="97" max="98" width="12.44140625" bestFit="1" customWidth="1"/>
  </cols>
  <sheetData>
    <row r="1" spans="1:103" x14ac:dyDescent="0.3">
      <c r="A1" s="23"/>
      <c r="B1" s="36" t="s">
        <v>187</v>
      </c>
      <c r="CC1" s="49">
        <f>CA15+CA16+CA17+CA18+CA19+CA20+CA21</f>
        <v>88448521.819999993</v>
      </c>
    </row>
    <row r="2" spans="1:103" ht="27.6" x14ac:dyDescent="0.3">
      <c r="A2" s="23"/>
      <c r="B2" s="24" t="s">
        <v>188</v>
      </c>
      <c r="C2" s="37" t="s">
        <v>189</v>
      </c>
      <c r="D2" s="38" t="s">
        <v>1</v>
      </c>
      <c r="E2" s="38" t="s">
        <v>190</v>
      </c>
      <c r="F2" s="38" t="s">
        <v>3</v>
      </c>
      <c r="G2" s="39">
        <v>42370</v>
      </c>
      <c r="H2" s="39">
        <v>42401</v>
      </c>
      <c r="I2" s="39">
        <v>42430</v>
      </c>
      <c r="J2" s="39">
        <v>42461</v>
      </c>
      <c r="K2" s="39">
        <v>42491</v>
      </c>
      <c r="L2" s="39">
        <v>42522</v>
      </c>
      <c r="M2" s="39">
        <v>42552</v>
      </c>
      <c r="N2" s="39">
        <v>42583</v>
      </c>
      <c r="O2" s="39">
        <v>42614</v>
      </c>
      <c r="P2" s="39">
        <v>42644</v>
      </c>
      <c r="Q2" s="39">
        <v>42675</v>
      </c>
      <c r="R2" s="39">
        <v>42705</v>
      </c>
      <c r="S2" s="72" t="s">
        <v>4</v>
      </c>
      <c r="T2" s="65">
        <v>42736</v>
      </c>
      <c r="U2" s="65">
        <v>42767</v>
      </c>
      <c r="V2" s="65">
        <v>42795</v>
      </c>
      <c r="W2" s="65">
        <v>42826</v>
      </c>
      <c r="X2" s="65">
        <v>42856</v>
      </c>
      <c r="Y2" s="65">
        <v>42887</v>
      </c>
      <c r="Z2" s="65">
        <v>42917</v>
      </c>
      <c r="AA2" s="65">
        <v>42948</v>
      </c>
      <c r="AB2" s="65">
        <v>42979</v>
      </c>
      <c r="AC2" s="65">
        <v>43009</v>
      </c>
      <c r="AD2" s="65">
        <v>43040</v>
      </c>
      <c r="AE2" s="65">
        <v>43070</v>
      </c>
      <c r="AF2" s="72" t="s">
        <v>5</v>
      </c>
      <c r="AG2" s="65">
        <v>43101</v>
      </c>
      <c r="AH2" s="65">
        <v>43132</v>
      </c>
      <c r="AI2" s="65">
        <v>43160</v>
      </c>
      <c r="AJ2" s="65">
        <v>43191</v>
      </c>
      <c r="AK2" s="65">
        <v>43221</v>
      </c>
      <c r="AL2" s="65">
        <v>43252</v>
      </c>
      <c r="AM2" s="65">
        <v>43282</v>
      </c>
      <c r="AN2" s="65">
        <v>43313</v>
      </c>
      <c r="AO2" s="65">
        <v>43344</v>
      </c>
      <c r="AP2" s="65">
        <v>43374</v>
      </c>
      <c r="AQ2" s="65">
        <v>43405</v>
      </c>
      <c r="AR2" s="65">
        <v>43435</v>
      </c>
      <c r="AS2" s="92" t="s">
        <v>6</v>
      </c>
      <c r="AT2" s="97">
        <v>43466</v>
      </c>
      <c r="AU2" s="97">
        <v>43497</v>
      </c>
      <c r="AV2" s="97">
        <v>43525</v>
      </c>
      <c r="AW2" s="97">
        <v>43556</v>
      </c>
      <c r="AX2" s="97">
        <v>43586</v>
      </c>
      <c r="AY2" s="97">
        <v>43617</v>
      </c>
      <c r="AZ2" s="97">
        <v>43647</v>
      </c>
      <c r="BA2" s="97">
        <v>43678</v>
      </c>
      <c r="BB2" s="97">
        <v>43709</v>
      </c>
      <c r="BC2" s="97">
        <v>43739</v>
      </c>
      <c r="BD2" s="97">
        <v>43770</v>
      </c>
      <c r="BE2" s="97">
        <v>43800</v>
      </c>
      <c r="BF2" s="97" t="s">
        <v>132</v>
      </c>
      <c r="BG2" s="97">
        <v>43831</v>
      </c>
      <c r="BH2" s="97">
        <v>43862</v>
      </c>
      <c r="BI2" s="97">
        <v>43891</v>
      </c>
      <c r="BJ2" s="97">
        <v>43922</v>
      </c>
      <c r="BK2" s="97">
        <v>43952</v>
      </c>
      <c r="BL2" s="97">
        <v>43983</v>
      </c>
      <c r="BM2" s="97">
        <v>44013</v>
      </c>
      <c r="BN2" s="97">
        <v>44044</v>
      </c>
      <c r="BO2" s="97">
        <v>44075</v>
      </c>
      <c r="BP2" s="97">
        <v>44105</v>
      </c>
      <c r="BQ2" s="97">
        <v>44136</v>
      </c>
      <c r="BR2" s="97">
        <v>44166</v>
      </c>
      <c r="BS2" s="97" t="s">
        <v>8</v>
      </c>
      <c r="BT2" s="97">
        <v>44197</v>
      </c>
      <c r="BU2" s="97">
        <v>44228</v>
      </c>
      <c r="BV2" s="97">
        <v>44256</v>
      </c>
      <c r="BW2" s="97">
        <v>44287</v>
      </c>
      <c r="BX2" s="97">
        <v>44317</v>
      </c>
      <c r="BY2" s="97">
        <v>44348</v>
      </c>
      <c r="BZ2" s="97">
        <v>44378</v>
      </c>
      <c r="CA2" s="97">
        <v>44409</v>
      </c>
      <c r="CB2" s="97">
        <v>44440</v>
      </c>
      <c r="CC2" s="97">
        <v>44470</v>
      </c>
      <c r="CD2" s="97">
        <v>44501</v>
      </c>
      <c r="CE2" s="97">
        <v>44531</v>
      </c>
      <c r="CF2" s="97" t="s">
        <v>9</v>
      </c>
      <c r="CG2" s="86">
        <v>44562</v>
      </c>
      <c r="CH2" s="86">
        <v>44593</v>
      </c>
      <c r="CI2" s="86">
        <v>44621</v>
      </c>
      <c r="CJ2" s="86">
        <v>44652</v>
      </c>
      <c r="CK2" s="86">
        <v>44682</v>
      </c>
      <c r="CL2" s="86">
        <v>44713</v>
      </c>
      <c r="CM2" s="86">
        <v>44743</v>
      </c>
      <c r="CN2" s="86">
        <v>44774</v>
      </c>
      <c r="CO2" s="86">
        <v>44805</v>
      </c>
      <c r="CP2" s="86">
        <v>44835</v>
      </c>
      <c r="CQ2" s="86">
        <v>44866</v>
      </c>
      <c r="CR2" s="86">
        <v>44896</v>
      </c>
      <c r="CS2" s="86" t="s">
        <v>10</v>
      </c>
      <c r="CT2" s="86">
        <v>44927</v>
      </c>
      <c r="CU2" s="86">
        <v>44958</v>
      </c>
      <c r="CV2" s="86">
        <v>44986</v>
      </c>
      <c r="CW2" s="86">
        <v>45017</v>
      </c>
      <c r="CX2" s="86">
        <v>45047</v>
      </c>
      <c r="CY2" s="86">
        <v>45078</v>
      </c>
    </row>
    <row r="3" spans="1:103" x14ac:dyDescent="0.3">
      <c r="A3" s="25">
        <v>1</v>
      </c>
      <c r="B3" s="25" t="s">
        <v>53</v>
      </c>
      <c r="C3" s="2"/>
      <c r="D3" s="2"/>
      <c r="E3" s="48"/>
      <c r="F3" s="4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03" x14ac:dyDescent="0.3">
      <c r="A4" s="25">
        <v>2</v>
      </c>
      <c r="B4" s="25" t="s">
        <v>46</v>
      </c>
      <c r="C4" s="48">
        <f>'Evolutive SFP'!B26</f>
        <v>330498864.68000001</v>
      </c>
      <c r="D4" s="48">
        <f>'Evolutive SFP'!C26</f>
        <v>348243396.22000003</v>
      </c>
      <c r="E4" s="48">
        <f>'Evolutive SFP'!D26</f>
        <v>386160781.07999998</v>
      </c>
      <c r="F4" s="48">
        <f>'Evolutive SFP'!E26</f>
        <v>396343165.54000002</v>
      </c>
      <c r="G4" s="48">
        <f>'Evolutive SFP'!F26</f>
        <v>379072673.75</v>
      </c>
      <c r="H4" s="48">
        <f>'Evolutive SFP'!G26</f>
        <v>384621708.21000004</v>
      </c>
      <c r="I4" s="48">
        <f>'Evolutive SFP'!H26</f>
        <v>379463079.71000004</v>
      </c>
      <c r="J4" s="48">
        <f>'Evolutive SFP'!I26</f>
        <v>739043304</v>
      </c>
      <c r="K4" s="48">
        <f>'Evolutive SFP'!J26</f>
        <v>360404077.56</v>
      </c>
      <c r="L4" s="48">
        <f>'Evolutive SFP'!K26</f>
        <v>354162852.73000002</v>
      </c>
      <c r="M4" s="48">
        <f>'Evolutive SFP'!L26</f>
        <v>360202319.21000004</v>
      </c>
      <c r="N4" s="48">
        <f>'Evolutive SFP'!M26</f>
        <v>359519078.00999999</v>
      </c>
      <c r="O4" s="48">
        <f>'Evolutive SFP'!N26</f>
        <v>355335274.40000004</v>
      </c>
      <c r="P4" s="48">
        <f>'Evolutive SFP'!O26</f>
        <v>521740986.37</v>
      </c>
      <c r="Q4" s="48">
        <f>'Evolutive SFP'!P26</f>
        <v>712811880.55999994</v>
      </c>
      <c r="R4" s="48">
        <f>'Evolutive SFP'!Q26</f>
        <v>346105181.28999996</v>
      </c>
      <c r="S4" s="48">
        <f>'Evolutive SFP'!R26</f>
        <v>327625540.47000003</v>
      </c>
      <c r="T4" s="48">
        <f>'Evolutive SFP'!S26</f>
        <v>674259646.45999992</v>
      </c>
      <c r="U4" s="48">
        <f>'Evolutive SFP'!T26</f>
        <v>356501193.35000002</v>
      </c>
      <c r="V4" s="48">
        <f>'Evolutive SFP'!U26</f>
        <v>319245865.80000007</v>
      </c>
      <c r="W4" s="48">
        <f>'Evolutive SFP'!V26</f>
        <v>312643851.63</v>
      </c>
      <c r="X4" s="48">
        <f>'Evolutive SFP'!W26</f>
        <v>299995008.61000001</v>
      </c>
      <c r="Y4" s="48">
        <f>'Evolutive SFP'!X26</f>
        <v>293951673.04000002</v>
      </c>
      <c r="Z4" s="48">
        <f>'Evolutive SFP'!Y26</f>
        <v>891367477.25999999</v>
      </c>
      <c r="AA4" s="48">
        <f>'Evolutive SFP'!Z26</f>
        <v>598483121.88</v>
      </c>
      <c r="AB4" s="48">
        <f>'Evolutive SFP'!AA26</f>
        <v>1524116038.3</v>
      </c>
      <c r="AC4" s="48">
        <f>'Evolutive SFP'!AB26</f>
        <v>1242957420.6399999</v>
      </c>
      <c r="AD4" s="48">
        <f>'Evolutive SFP'!AC26</f>
        <v>999565532.73000002</v>
      </c>
      <c r="AE4" s="48">
        <f>'Evolutive SFP'!AD26</f>
        <v>294986870.05000001</v>
      </c>
      <c r="AF4" s="48">
        <f>'Evolutive SFP'!AE26</f>
        <v>294994669.52000004</v>
      </c>
      <c r="AG4" s="48">
        <f>'Evolutive SFP'!AF26</f>
        <v>324958812.43000001</v>
      </c>
      <c r="AH4" s="48">
        <f>'Evolutive SFP'!AG26</f>
        <v>362624208.56999993</v>
      </c>
      <c r="AI4" s="48">
        <f>'Evolutive SFP'!AH26</f>
        <v>342194521.88</v>
      </c>
      <c r="AJ4" s="48">
        <f>'Evolutive SFP'!AI26</f>
        <v>335455796.81</v>
      </c>
      <c r="AK4" s="48">
        <f>'Evolutive SFP'!AJ26</f>
        <v>335705089.01999998</v>
      </c>
      <c r="AL4" s="48">
        <f>'Evolutive SFP'!AK26</f>
        <v>368281515.63</v>
      </c>
      <c r="AM4" s="48">
        <f>'Evolutive SFP'!AL26</f>
        <v>345922819.39000005</v>
      </c>
      <c r="AN4" s="48">
        <f>'Evolutive SFP'!AM26</f>
        <v>339699173.02999997</v>
      </c>
      <c r="AO4" s="48">
        <f>'Evolutive SFP'!AN26</f>
        <v>338506470.38999999</v>
      </c>
      <c r="AP4" s="48">
        <f>'Evolutive SFP'!AO26</f>
        <v>544591519.84000003</v>
      </c>
      <c r="AQ4" s="48">
        <f>'Evolutive SFP'!AP26</f>
        <v>348087905.25</v>
      </c>
      <c r="AR4" s="48">
        <f>'Evolutive SFP'!AQ26</f>
        <v>351367136.85000002</v>
      </c>
      <c r="AS4" s="48">
        <f>'Evolutive SFP'!AR26</f>
        <v>503019136.61000001</v>
      </c>
      <c r="AT4" s="48">
        <f>'Evolutive SFP'!AS26</f>
        <v>379184294.27999997</v>
      </c>
      <c r="AU4" s="48">
        <f>'Evolutive SFP'!AT26</f>
        <v>367542017.06</v>
      </c>
      <c r="AV4" s="48">
        <f>'Evolutive SFP'!AU26</f>
        <v>386118439.42999995</v>
      </c>
      <c r="AW4" s="48">
        <f>'Evolutive SFP'!AV26</f>
        <v>370997030.21000004</v>
      </c>
      <c r="AX4" s="48">
        <f>'Evolutive SFP'!AW26</f>
        <v>358417571.94</v>
      </c>
      <c r="AY4" s="48">
        <f>'Evolutive SFP'!AX26</f>
        <v>381010753.79999995</v>
      </c>
      <c r="AZ4" s="48">
        <f>'Evolutive SFP'!AY26</f>
        <v>370218302.74000001</v>
      </c>
      <c r="BA4" s="48">
        <f>'Evolutive SFP'!AZ26</f>
        <v>521032156.83000004</v>
      </c>
      <c r="BB4" s="48">
        <f>'Evolutive SFP'!BA26</f>
        <v>514131988.93000001</v>
      </c>
      <c r="BC4" s="48">
        <f>'Evolutive SFP'!BB26</f>
        <v>521549137.10000002</v>
      </c>
      <c r="BD4" s="48">
        <f>'Evolutive SFP'!BC26</f>
        <v>521189349.10000002</v>
      </c>
      <c r="BE4" s="48">
        <f>'Evolutive SFP'!BD26</f>
        <v>527255392.07999998</v>
      </c>
      <c r="BF4" s="48">
        <f>'Evolutive SFP'!BE26</f>
        <v>0</v>
      </c>
      <c r="BG4" s="48">
        <f>'Evolutive SFP'!BF26</f>
        <v>545553616.61000001</v>
      </c>
      <c r="BH4" s="48">
        <f>'Evolutive SFP'!BG26</f>
        <v>558463351.51999998</v>
      </c>
      <c r="BI4" s="48">
        <f>'Evolutive SFP'!BH26</f>
        <v>611485587.60000002</v>
      </c>
      <c r="BJ4" s="48">
        <f>'Evolutive SFP'!BI26</f>
        <v>615718228</v>
      </c>
      <c r="BK4" s="48">
        <f>'Evolutive SFP'!BJ26</f>
        <v>632236049.99000001</v>
      </c>
      <c r="BL4" s="48">
        <f>'Evolutive SFP'!BK26</f>
        <v>628836909.10000002</v>
      </c>
      <c r="BM4" s="48">
        <f>'Evolutive SFP'!BL26</f>
        <v>0</v>
      </c>
      <c r="BN4" s="48">
        <f>'Evolutive SFP'!BM26</f>
        <v>1802250414.0599999</v>
      </c>
      <c r="BO4" s="48">
        <f>'Evolutive SFP'!BN26</f>
        <v>593660404.90999997</v>
      </c>
      <c r="BP4" s="48">
        <f>'Evolutive SFP'!BO26</f>
        <v>673814217.06999993</v>
      </c>
      <c r="BQ4" s="48">
        <f>'Evolutive SFP'!BP26</f>
        <v>1070387343.84</v>
      </c>
      <c r="BR4" s="48">
        <f>'Evolutive SFP'!BQ26</f>
        <v>560278959.85000002</v>
      </c>
      <c r="BS4" s="48">
        <f>'Evolutive SFP'!BR26</f>
        <v>506985495.11849999</v>
      </c>
      <c r="BT4" s="48">
        <f>'Evolutive SFP'!BS26</f>
        <v>555588643.05000007</v>
      </c>
      <c r="BU4" s="48">
        <f>'Evolutive SFP'!BT26</f>
        <v>601783774.38999999</v>
      </c>
      <c r="BV4" s="48">
        <f>'Evolutive SFP'!BU26</f>
        <v>581101218.98000002</v>
      </c>
      <c r="BW4" s="48">
        <f>'Evolutive SFP'!BV26</f>
        <v>598908552.34000003</v>
      </c>
      <c r="BX4" s="48">
        <f>'Evolutive SFP'!BW26</f>
        <v>582047749.25999999</v>
      </c>
      <c r="BY4" s="48">
        <f>'Evolutive SFP'!BX26</f>
        <v>530462566.54000002</v>
      </c>
      <c r="BZ4" s="48">
        <f>'Evolutive SFP'!BY26</f>
        <v>533342479.59000003</v>
      </c>
      <c r="CA4" s="48">
        <f>'Evolutive SFP'!BZ26</f>
        <v>525022658.56999993</v>
      </c>
      <c r="CB4" s="48">
        <f>'Evolutive SFP'!CA26</f>
        <v>522705008.49000001</v>
      </c>
      <c r="CC4" s="48">
        <f>'Evolutive SFP'!CB26</f>
        <v>615304812.60000002</v>
      </c>
      <c r="CD4" s="48">
        <f>'Evolutive SFP'!CC26</f>
        <v>0</v>
      </c>
      <c r="CE4" s="48">
        <f>'Evolutive SFP'!CD26</f>
        <v>0</v>
      </c>
      <c r="CF4" s="48">
        <f>'Evolutive SFP'!CE26</f>
        <v>494525261.61000001</v>
      </c>
      <c r="CG4" s="48">
        <f>'Evolutive SFP'!CF26</f>
        <v>454662620.09000003</v>
      </c>
      <c r="CH4" s="48">
        <f>'Evolutive SFP'!CG26</f>
        <v>449154884.01999992</v>
      </c>
      <c r="CI4" s="48">
        <f>'Evolutive SFP'!CH26</f>
        <v>425599913.70999998</v>
      </c>
      <c r="CJ4" s="48">
        <f>'Evolutive SFP'!CI26</f>
        <v>434058510.99000001</v>
      </c>
      <c r="CK4" s="48">
        <f>'Evolutive SFP'!CJ26</f>
        <v>425625083.90999997</v>
      </c>
      <c r="CL4" s="48">
        <f>'Evolutive SFP'!CK26</f>
        <v>490442395.09999996</v>
      </c>
      <c r="CM4" s="48">
        <f>'Evolutive SFP'!CL26</f>
        <v>611253291.26999998</v>
      </c>
      <c r="CN4" s="48">
        <f>'Evolutive SFP'!CM26</f>
        <v>575844505.32999992</v>
      </c>
      <c r="CO4" s="48">
        <f>'Evolutive SFP'!CN26</f>
        <v>542959892.10000002</v>
      </c>
      <c r="CP4" s="48">
        <f>'Evolutive SFP'!CO26</f>
        <v>527928388.46999997</v>
      </c>
      <c r="CQ4" s="48">
        <f>'Evolutive SFP'!CP26</f>
        <v>517171220.52999997</v>
      </c>
      <c r="CR4" s="48">
        <f>'Evolutive SFP'!CQ26</f>
        <v>513797119.27000004</v>
      </c>
      <c r="CS4" s="48">
        <f>'Evolutive SFP'!CR26</f>
        <v>517209277.12000006</v>
      </c>
      <c r="CT4" s="48">
        <f>'Evolutive SFP'!CS26</f>
        <v>519394195.43000001</v>
      </c>
    </row>
    <row r="5" spans="1:103" x14ac:dyDescent="0.3">
      <c r="A5" s="25">
        <v>3</v>
      </c>
      <c r="B5" s="25" t="s">
        <v>47</v>
      </c>
      <c r="C5" s="48">
        <f>'Evolutive SFP'!B30</f>
        <v>163736480.84999999</v>
      </c>
      <c r="D5" s="48">
        <f>'Evolutive SFP'!C30</f>
        <v>125698101.45</v>
      </c>
      <c r="E5" s="48">
        <f>'Evolutive SFP'!D30</f>
        <v>148858938.93000001</v>
      </c>
      <c r="F5" s="48">
        <f>'Evolutive SFP'!E30</f>
        <v>129602568.22</v>
      </c>
      <c r="G5" s="48">
        <f>'Evolutive SFP'!F30</f>
        <v>146811918.38999999</v>
      </c>
      <c r="H5" s="48">
        <f>'Evolutive SFP'!G30</f>
        <v>150267324.50999999</v>
      </c>
      <c r="I5" s="48">
        <f>'Evolutive SFP'!H30</f>
        <v>144894766.19999999</v>
      </c>
      <c r="J5" s="48">
        <f>'Evolutive SFP'!I30</f>
        <v>278447034.36000001</v>
      </c>
      <c r="K5" s="48">
        <f>'Evolutive SFP'!J30</f>
        <v>128824639.05</v>
      </c>
      <c r="L5" s="48">
        <f>'Evolutive SFP'!K30</f>
        <v>125581319.86</v>
      </c>
      <c r="M5" s="48">
        <f>'Evolutive SFP'!L30</f>
        <v>123985374.34</v>
      </c>
      <c r="N5" s="48">
        <f>'Evolutive SFP'!M30</f>
        <v>123625583.77000001</v>
      </c>
      <c r="O5" s="48">
        <f>'Evolutive SFP'!N30</f>
        <v>123845229.06</v>
      </c>
      <c r="P5" s="48">
        <f>'Evolutive SFP'!O30</f>
        <v>353483897.60000002</v>
      </c>
      <c r="Q5" s="48">
        <f>'Evolutive SFP'!P30</f>
        <v>427096939.74000001</v>
      </c>
      <c r="R5" s="48">
        <f>'Evolutive SFP'!Q30</f>
        <v>203137828.61999997</v>
      </c>
      <c r="S5" s="48">
        <f>'Evolutive SFP'!R30</f>
        <v>203137778.59</v>
      </c>
      <c r="T5" s="48">
        <f>'Evolutive SFP'!S30</f>
        <v>383306735.88</v>
      </c>
      <c r="U5" s="48">
        <f>'Evolutive SFP'!T30</f>
        <v>163151047.51999998</v>
      </c>
      <c r="V5" s="48">
        <f>'Evolutive SFP'!U30</f>
        <v>145926226.65000001</v>
      </c>
      <c r="W5" s="48">
        <f>'Evolutive SFP'!V30</f>
        <v>140363305.69999999</v>
      </c>
      <c r="X5" s="48">
        <f>'Evolutive SFP'!W30</f>
        <v>129597230.03</v>
      </c>
      <c r="Y5" s="48">
        <f>'Evolutive SFP'!X30</f>
        <v>119210016.78</v>
      </c>
      <c r="Z5" s="48">
        <f>'Evolutive SFP'!Y30</f>
        <v>387542137.19999999</v>
      </c>
      <c r="AA5" s="48">
        <f>'Evolutive SFP'!Z30</f>
        <v>253610256.84</v>
      </c>
      <c r="AB5" s="48">
        <f>'Evolutive SFP'!AA30</f>
        <v>666033433.70000005</v>
      </c>
      <c r="AC5" s="48">
        <f>'Evolutive SFP'!AB30</f>
        <v>994527516.13999999</v>
      </c>
      <c r="AD5" s="48">
        <f>'Evolutive SFP'!AC30</f>
        <v>579895429.11000001</v>
      </c>
      <c r="AE5" s="48">
        <f>'Evolutive SFP'!AD30</f>
        <v>152609066.00999999</v>
      </c>
      <c r="AF5" s="48">
        <f>'Evolutive SFP'!AE30</f>
        <v>152609066.11000001</v>
      </c>
      <c r="AG5" s="48">
        <f>'Evolutive SFP'!AF30</f>
        <v>158464312.53</v>
      </c>
      <c r="AH5" s="48">
        <f>'Evolutive SFP'!AG30</f>
        <v>146616133.03999999</v>
      </c>
      <c r="AI5" s="48">
        <f>'Evolutive SFP'!AH30</f>
        <v>145270643.38</v>
      </c>
      <c r="AJ5" s="48">
        <f>'Evolutive SFP'!AI30</f>
        <v>144335251.55000001</v>
      </c>
      <c r="AK5" s="48">
        <f>'Evolutive SFP'!AJ30</f>
        <v>145416339.37</v>
      </c>
      <c r="AL5" s="48">
        <f>'Evolutive SFP'!AK30</f>
        <v>135776829.69999999</v>
      </c>
      <c r="AM5" s="48">
        <f>'Evolutive SFP'!AL30</f>
        <v>102655789.58</v>
      </c>
      <c r="AN5" s="48">
        <f>'Evolutive SFP'!AM30</f>
        <v>99983710.980000004</v>
      </c>
      <c r="AO5" s="48">
        <f>'Evolutive SFP'!AN30</f>
        <v>99396230.980000004</v>
      </c>
      <c r="AP5" s="48">
        <f>'Evolutive SFP'!AO30</f>
        <v>398288506.53000003</v>
      </c>
      <c r="AQ5" s="48">
        <f>'Evolutive SFP'!AP30</f>
        <v>204776099.87</v>
      </c>
      <c r="AR5" s="48">
        <f>'Evolutive SFP'!AQ30</f>
        <v>159082259.18000001</v>
      </c>
      <c r="AS5" s="48">
        <f>'Evolutive SFP'!AR30</f>
        <v>159082259.18000001</v>
      </c>
      <c r="AT5" s="48">
        <f>'Evolutive SFP'!AS30</f>
        <v>187951855.06999999</v>
      </c>
      <c r="AU5" s="48">
        <f>'Evolutive SFP'!AT30</f>
        <v>180667545.66000003</v>
      </c>
      <c r="AV5" s="48">
        <f>'Evolutive SFP'!AU30</f>
        <v>205671453</v>
      </c>
      <c r="AW5" s="48">
        <f>'Evolutive SFP'!AV30</f>
        <v>192041146.44</v>
      </c>
      <c r="AX5" s="48">
        <f>'Evolutive SFP'!AW30</f>
        <v>181636049.06999999</v>
      </c>
      <c r="AY5" s="48">
        <f>'Evolutive SFP'!AX30</f>
        <v>182966387.82999998</v>
      </c>
      <c r="AZ5" s="48">
        <f>'Evolutive SFP'!AY30</f>
        <v>172657545.87</v>
      </c>
      <c r="BA5" s="48">
        <f>'Evolutive SFP'!AZ30</f>
        <v>168804549.86000001</v>
      </c>
      <c r="BB5" s="48">
        <f>'Evolutive SFP'!BA30</f>
        <v>165885181.75</v>
      </c>
      <c r="BC5" s="48">
        <f>'Evolutive SFP'!BB30</f>
        <v>224956377.38</v>
      </c>
      <c r="BD5" s="48">
        <f>'Evolutive SFP'!BC30</f>
        <v>181506921.15000001</v>
      </c>
      <c r="BE5" s="48">
        <f>'Evolutive SFP'!BD30</f>
        <v>195338105.44</v>
      </c>
      <c r="BF5" s="48">
        <f>'Evolutive SFP'!BE30</f>
        <v>0</v>
      </c>
      <c r="BG5" s="48">
        <f>'Evolutive SFP'!BF30</f>
        <v>178558863.24000001</v>
      </c>
      <c r="BH5" s="48">
        <f>'Evolutive SFP'!BG30</f>
        <v>189566319.95999998</v>
      </c>
      <c r="BI5" s="48">
        <f>'Evolutive SFP'!BH30</f>
        <v>163962113.03</v>
      </c>
      <c r="BJ5" s="48">
        <f>'Evolutive SFP'!BI30</f>
        <v>165576900.03</v>
      </c>
      <c r="BK5" s="48">
        <f>'Evolutive SFP'!BJ30</f>
        <v>169169650.51999998</v>
      </c>
      <c r="BL5" s="48">
        <f>'Evolutive SFP'!BK30</f>
        <v>167791831.03</v>
      </c>
      <c r="BM5" s="48">
        <f>'Evolutive SFP'!BL30</f>
        <v>0</v>
      </c>
      <c r="BN5" s="48">
        <f>'Evolutive SFP'!BM30</f>
        <v>436998449.25</v>
      </c>
      <c r="BO5" s="48">
        <f>'Evolutive SFP'!BN30</f>
        <v>143672475.61000001</v>
      </c>
      <c r="BP5" s="48">
        <f>'Evolutive SFP'!BO30</f>
        <v>212294723.25</v>
      </c>
      <c r="BQ5" s="48">
        <f>'Evolutive SFP'!BP30</f>
        <v>382824310</v>
      </c>
      <c r="BR5" s="48">
        <f>'Evolutive SFP'!BQ30</f>
        <v>167307249.63999999</v>
      </c>
      <c r="BS5" s="48">
        <f>'Evolutive SFP'!BR30</f>
        <v>168380789.38</v>
      </c>
      <c r="BT5" s="48">
        <f>'Evolutive SFP'!BS30</f>
        <v>159881533.37</v>
      </c>
      <c r="BU5" s="48">
        <f>'Evolutive SFP'!BT30</f>
        <v>159652869.81</v>
      </c>
      <c r="BV5" s="48">
        <f>'Evolutive SFP'!BU30</f>
        <v>145487078.05000001</v>
      </c>
      <c r="BW5" s="48">
        <f>'Evolutive SFP'!BV30</f>
        <v>158235421.93000001</v>
      </c>
      <c r="BX5" s="48">
        <f>'Evolutive SFP'!BW30</f>
        <v>145288309.10000002</v>
      </c>
      <c r="BY5" s="48">
        <f>'Evolutive SFP'!BX30</f>
        <v>144447487.16</v>
      </c>
      <c r="BZ5" s="48">
        <f>'Evolutive SFP'!BY30</f>
        <v>143112355.89000002</v>
      </c>
      <c r="CA5" s="48">
        <f>'Evolutive SFP'!BZ30</f>
        <v>143440297.5</v>
      </c>
      <c r="CB5" s="48">
        <f>'Evolutive SFP'!CA30</f>
        <v>141209431.5</v>
      </c>
      <c r="CC5" s="48">
        <f>'Evolutive SFP'!CB30</f>
        <v>228271153.73000002</v>
      </c>
      <c r="CD5" s="48">
        <f>'Evolutive SFP'!CC30</f>
        <v>0</v>
      </c>
      <c r="CE5" s="48">
        <f>'Evolutive SFP'!CD30</f>
        <v>0</v>
      </c>
      <c r="CF5" s="48">
        <f>'Evolutive SFP'!CE30</f>
        <v>153351445.37</v>
      </c>
      <c r="CG5" s="48">
        <f>'Evolutive SFP'!CF30</f>
        <v>151632524.37</v>
      </c>
      <c r="CH5" s="48">
        <f>'Evolutive SFP'!CG30</f>
        <v>148797097.53</v>
      </c>
      <c r="CI5" s="48">
        <f>'Evolutive SFP'!CH30</f>
        <v>153956590.65000001</v>
      </c>
      <c r="CJ5" s="48">
        <f>'Evolutive SFP'!CI30</f>
        <v>163044204.5</v>
      </c>
      <c r="CK5" s="48">
        <f>'Evolutive SFP'!CJ30</f>
        <v>155965638.22999999</v>
      </c>
      <c r="CL5" s="48">
        <f>'Evolutive SFP'!CK30</f>
        <v>159417628.69</v>
      </c>
      <c r="CM5" s="48">
        <f>'Evolutive SFP'!CL30</f>
        <v>269265196.50999999</v>
      </c>
      <c r="CN5" s="48">
        <f>'Evolutive SFP'!CM30</f>
        <v>240337287.81</v>
      </c>
      <c r="CO5" s="48">
        <f>'Evolutive SFP'!CN30</f>
        <v>209069906.53999996</v>
      </c>
      <c r="CP5" s="48">
        <f>'Evolutive SFP'!CO30</f>
        <v>199327252.01999998</v>
      </c>
      <c r="CQ5" s="48">
        <f>'Evolutive SFP'!CP30</f>
        <v>197112401.44</v>
      </c>
      <c r="CR5" s="48">
        <f>'Evolutive SFP'!CQ30</f>
        <v>191160849.43000001</v>
      </c>
      <c r="CS5" s="48">
        <f>'Evolutive SFP'!CR30</f>
        <v>189358849.54999998</v>
      </c>
      <c r="CT5" s="48">
        <f>'Evolutive SFP'!CS30</f>
        <v>195214004.51000002</v>
      </c>
    </row>
    <row r="6" spans="1:103" x14ac:dyDescent="0.3">
      <c r="A6" s="25">
        <v>3.1</v>
      </c>
      <c r="B6" s="26" t="s">
        <v>191</v>
      </c>
      <c r="C6" s="48">
        <f>'Evolutive SFP'!B29</f>
        <v>47036877</v>
      </c>
      <c r="D6" s="48">
        <f>'Evolutive SFP'!C29</f>
        <v>46620378.450000003</v>
      </c>
      <c r="E6" s="48">
        <f>'Evolutive SFP'!D29</f>
        <v>46620378.950000003</v>
      </c>
      <c r="F6" s="48">
        <f>'Evolutive SFP'!E29</f>
        <v>46706120.479999997</v>
      </c>
      <c r="G6" s="48">
        <f>'Evolutive SFP'!F29</f>
        <v>47996421</v>
      </c>
      <c r="H6" s="48">
        <f>'Evolutive SFP'!G29</f>
        <v>50229762</v>
      </c>
      <c r="I6" s="48">
        <f>'Evolutive SFP'!H29</f>
        <v>46820378</v>
      </c>
      <c r="J6" s="48">
        <f>'Evolutive SFP'!I29</f>
        <v>93240756</v>
      </c>
      <c r="K6" s="48">
        <f>'Evolutive SFP'!J29</f>
        <v>44620378</v>
      </c>
      <c r="L6" s="48">
        <f>'Evolutive SFP'!K29</f>
        <v>44620378</v>
      </c>
      <c r="M6" s="48">
        <f>'Evolutive SFP'!L29</f>
        <v>45196388</v>
      </c>
      <c r="N6" s="48">
        <f>'Evolutive SFP'!M29</f>
        <v>45235489</v>
      </c>
      <c r="O6" s="48">
        <f>'Evolutive SFP'!N29</f>
        <v>45035489</v>
      </c>
      <c r="P6" s="48">
        <f>'Evolutive SFP'!O29</f>
        <v>45150989</v>
      </c>
      <c r="Q6" s="48">
        <f>'Evolutive SFP'!P29</f>
        <v>90007010</v>
      </c>
      <c r="R6" s="48">
        <f>'Evolutive SFP'!Q29</f>
        <v>60614386.009999998</v>
      </c>
      <c r="S6" s="48">
        <f>'Evolutive SFP'!R29</f>
        <v>60614336.009999998</v>
      </c>
      <c r="T6" s="48">
        <f>'Evolutive SFP'!S29</f>
        <v>126202428.02</v>
      </c>
      <c r="U6" s="48">
        <f>'Evolutive SFP'!T29</f>
        <v>63101214.009999998</v>
      </c>
      <c r="V6" s="48">
        <f>'Evolutive SFP'!U29</f>
        <v>61101214.009999998</v>
      </c>
      <c r="W6" s="48">
        <f>'Evolutive SFP'!V29</f>
        <v>61101214.009999998</v>
      </c>
      <c r="X6" s="48">
        <f>'Evolutive SFP'!W29</f>
        <v>52608837.590000004</v>
      </c>
      <c r="Y6" s="48">
        <f>'Evolutive SFP'!X29</f>
        <v>53290737.590000004</v>
      </c>
      <c r="Z6" s="48">
        <f>'Evolutive SFP'!Y29</f>
        <v>162059493</v>
      </c>
      <c r="AA6" s="48">
        <f>'Evolutive SFP'!Z29</f>
        <v>109276662</v>
      </c>
      <c r="AB6" s="48">
        <f>'Evolutive SFP'!AA29</f>
        <v>278191655</v>
      </c>
      <c r="AC6" s="48">
        <f>'Evolutive SFP'!AB29</f>
        <v>115276662</v>
      </c>
      <c r="AD6" s="48">
        <f>'Evolutive SFP'!AC29</f>
        <v>172914993</v>
      </c>
      <c r="AE6" s="48">
        <f>'Evolutive SFP'!AD29</f>
        <v>59231544</v>
      </c>
      <c r="AF6" s="48">
        <f>'Evolutive SFP'!AE29</f>
        <v>59231544</v>
      </c>
      <c r="AG6" s="48">
        <f>'Evolutive SFP'!AF29</f>
        <v>60585214</v>
      </c>
      <c r="AH6" s="48">
        <f>'Evolutive SFP'!AG29</f>
        <v>61334423</v>
      </c>
      <c r="AI6" s="48">
        <f>'Evolutive SFP'!AH29</f>
        <v>60986895</v>
      </c>
      <c r="AJ6" s="48">
        <f>'Evolutive SFP'!AI29</f>
        <v>61986895</v>
      </c>
      <c r="AK6" s="48">
        <f>'Evolutive SFP'!AJ29</f>
        <v>62986895</v>
      </c>
      <c r="AL6" s="48">
        <f>'Evolutive SFP'!AK29</f>
        <v>60719755.420000002</v>
      </c>
      <c r="AM6" s="48">
        <f>'Evolutive SFP'!AL29</f>
        <v>54719755.420000002</v>
      </c>
      <c r="AN6" s="48">
        <f>'Evolutive SFP'!AM29</f>
        <v>55306375.420000002</v>
      </c>
      <c r="AO6" s="48">
        <f>'Evolutive SFP'!AN29</f>
        <v>55806375.420000002</v>
      </c>
      <c r="AP6" s="48">
        <f>'Evolutive SFP'!AO29</f>
        <v>59806375.420000002</v>
      </c>
      <c r="AQ6" s="48">
        <f>'Evolutive SFP'!AP29</f>
        <v>66634554</v>
      </c>
      <c r="AR6" s="48">
        <f>'Evolutive SFP'!AQ29</f>
        <v>65285855.119999997</v>
      </c>
      <c r="AS6" s="48">
        <f>'Evolutive SFP'!AR29</f>
        <v>65285855.119999997</v>
      </c>
      <c r="AT6" s="48">
        <f>'Evolutive SFP'!AS29</f>
        <v>67914531.120000005</v>
      </c>
      <c r="AU6" s="48">
        <f>'Evolutive SFP'!AT29</f>
        <v>67914531.120000005</v>
      </c>
      <c r="AV6" s="48">
        <f>'Evolutive SFP'!AU29</f>
        <v>68914531.120000005</v>
      </c>
      <c r="AW6" s="48">
        <f>'Evolutive SFP'!AV29</f>
        <v>70914531.120000005</v>
      </c>
      <c r="AX6" s="48">
        <f>'Evolutive SFP'!AW29</f>
        <v>69921687</v>
      </c>
      <c r="AY6" s="48">
        <f>'Evolutive SFP'!AX29</f>
        <v>69921687</v>
      </c>
      <c r="AZ6" s="48">
        <f>'Evolutive SFP'!AY29</f>
        <v>69921687</v>
      </c>
      <c r="BA6" s="48">
        <f>'Evolutive SFP'!AZ29</f>
        <v>69918077</v>
      </c>
      <c r="BB6" s="48">
        <f>'Evolutive SFP'!BA29</f>
        <v>67284120</v>
      </c>
      <c r="BC6" s="48">
        <f>'Evolutive SFP'!BB29</f>
        <v>67284120</v>
      </c>
      <c r="BD6" s="48">
        <f>'Evolutive SFP'!BC29</f>
        <v>71365656</v>
      </c>
      <c r="BE6" s="48">
        <f>'Evolutive SFP'!BD29</f>
        <v>70701478.689999998</v>
      </c>
      <c r="BF6" s="48">
        <f>'Evolutive SFP'!BE29</f>
        <v>0</v>
      </c>
      <c r="BG6" s="48">
        <f>'Evolutive SFP'!BF29</f>
        <v>70701478.689999998</v>
      </c>
      <c r="BH6" s="48">
        <f>'Evolutive SFP'!BG29</f>
        <v>70701478.689999998</v>
      </c>
      <c r="BI6" s="48">
        <f>'Evolutive SFP'!BH29</f>
        <v>70701478.689999998</v>
      </c>
      <c r="BJ6" s="48">
        <f>'Evolutive SFP'!BI29</f>
        <v>70701478.689999998</v>
      </c>
      <c r="BK6" s="48">
        <f>'Evolutive SFP'!BJ29</f>
        <v>70701478.689999998</v>
      </c>
      <c r="BL6" s="48">
        <f>'Evolutive SFP'!BK29</f>
        <v>70701478.689999998</v>
      </c>
      <c r="BM6" s="48">
        <f>'Evolutive SFP'!BL29</f>
        <v>0</v>
      </c>
      <c r="BN6" s="48">
        <f>'Evolutive SFP'!BM29</f>
        <v>154071836.09999999</v>
      </c>
      <c r="BO6" s="48">
        <f>'Evolutive SFP'!BN29</f>
        <v>51357278.700000003</v>
      </c>
      <c r="BP6" s="48">
        <f>'Evolutive SFP'!BO29</f>
        <v>51357278.700000003</v>
      </c>
      <c r="BQ6" s="48">
        <f>'Evolutive SFP'!BP29</f>
        <v>102714557.40000001</v>
      </c>
      <c r="BR6" s="48">
        <f>'Evolutive SFP'!BQ29</f>
        <v>51313842.380000003</v>
      </c>
      <c r="BS6" s="48">
        <f>'Evolutive SFP'!BR29</f>
        <v>51313842.379999995</v>
      </c>
      <c r="BT6" s="48">
        <f>'Evolutive SFP'!BS29</f>
        <v>51294476.450000003</v>
      </c>
      <c r="BU6" s="48">
        <f>'Evolutive SFP'!BT29</f>
        <v>51364766.450000003</v>
      </c>
      <c r="BV6" s="48">
        <f>'Evolutive SFP'!BU29</f>
        <v>51547793.450000003</v>
      </c>
      <c r="BW6" s="48">
        <f>'Evolutive SFP'!BV29</f>
        <v>52112759.729999997</v>
      </c>
      <c r="BX6" s="48">
        <f>'Evolutive SFP'!BW29</f>
        <v>53047229.640000001</v>
      </c>
      <c r="BY6" s="48">
        <f>'Evolutive SFP'!BX29</f>
        <v>53810158.490000002</v>
      </c>
      <c r="BZ6" s="48">
        <f>'Evolutive SFP'!BY29</f>
        <v>54515112.460000001</v>
      </c>
      <c r="CA6" s="48">
        <f>'Evolutive SFP'!BZ29</f>
        <v>55198466.560000002</v>
      </c>
      <c r="CB6" s="48">
        <f>'Evolutive SFP'!CA29</f>
        <v>55765306.170000002</v>
      </c>
      <c r="CC6" s="48">
        <f>'Evolutive SFP'!CB29</f>
        <v>56973192.390000001</v>
      </c>
      <c r="CD6" s="48">
        <f>'Evolutive SFP'!CC29</f>
        <v>0</v>
      </c>
      <c r="CE6" s="48">
        <f>'Evolutive SFP'!CD29</f>
        <v>0</v>
      </c>
      <c r="CF6" s="48">
        <f>'Evolutive SFP'!CE29</f>
        <v>51392305.32</v>
      </c>
      <c r="CG6" s="48">
        <f>'Evolutive SFP'!CF29</f>
        <v>52241662.109999999</v>
      </c>
      <c r="CH6" s="48">
        <f>'Evolutive SFP'!CG29</f>
        <v>53084534.82</v>
      </c>
      <c r="CI6" s="48">
        <f>'Evolutive SFP'!CH29</f>
        <v>53939056.509999998</v>
      </c>
      <c r="CJ6" s="48">
        <f>'Evolutive SFP'!CI29</f>
        <v>55281779.350000001</v>
      </c>
      <c r="CK6" s="48">
        <f>'Evolutive SFP'!CJ29</f>
        <v>56264804.960000001</v>
      </c>
      <c r="CL6" s="48">
        <f>'Evolutive SFP'!CK29</f>
        <v>57348971.350000001</v>
      </c>
      <c r="CM6" s="48">
        <f>'Evolutive SFP'!CL29</f>
        <v>59069137.579999998</v>
      </c>
      <c r="CN6" s="48">
        <f>'Evolutive SFP'!CM29</f>
        <v>59553456.579999998</v>
      </c>
      <c r="CO6" s="48">
        <f>'Evolutive SFP'!CN29</f>
        <v>60342128.579999998</v>
      </c>
      <c r="CP6" s="48">
        <f>'Evolutive SFP'!CO29</f>
        <v>61293411.229999997</v>
      </c>
      <c r="CQ6" s="48">
        <f>'Evolutive SFP'!CP29</f>
        <v>62175588.579999998</v>
      </c>
      <c r="CR6" s="48">
        <f>'Evolutive SFP'!CQ29</f>
        <v>61135400.200000003</v>
      </c>
      <c r="CS6" s="48">
        <f>'Evolutive SFP'!CR29</f>
        <v>59333400.32</v>
      </c>
      <c r="CT6" s="48">
        <f>'Evolutive SFP'!CS29</f>
        <v>60802471.270000003</v>
      </c>
    </row>
    <row r="7" spans="1:103" x14ac:dyDescent="0.3">
      <c r="A7" s="25">
        <v>3.2</v>
      </c>
      <c r="B7" s="26" t="s">
        <v>192</v>
      </c>
      <c r="C7" s="48">
        <f>('Evolutive SFP'!B27+'Evolutive SFP'!B28)</f>
        <v>116699603.84999999</v>
      </c>
      <c r="D7" s="48">
        <f>('Evolutive SFP'!C27+'Evolutive SFP'!C28)</f>
        <v>79077723</v>
      </c>
      <c r="E7" s="48">
        <f>('Evolutive SFP'!D27+'Evolutive SFP'!D28)</f>
        <v>102238559.97999999</v>
      </c>
      <c r="F7" s="48">
        <f>('Evolutive SFP'!E27+'Evolutive SFP'!E28)</f>
        <v>82896447.74000001</v>
      </c>
      <c r="G7" s="48">
        <f>('Evolutive SFP'!F27+'Evolutive SFP'!F28)</f>
        <v>98815497.390000001</v>
      </c>
      <c r="H7" s="48">
        <f>('Evolutive SFP'!G27+'Evolutive SFP'!G28)</f>
        <v>100037562.50999999</v>
      </c>
      <c r="I7" s="48">
        <f>('Evolutive SFP'!H27+'Evolutive SFP'!H28)</f>
        <v>98074388.200000003</v>
      </c>
      <c r="J7" s="48">
        <f>('Evolutive SFP'!I27+'Evolutive SFP'!I28)</f>
        <v>185206278.36000001</v>
      </c>
      <c r="K7" s="48">
        <f>('Evolutive SFP'!J27+'Evolutive SFP'!J28)</f>
        <v>84204261.049999997</v>
      </c>
      <c r="L7" s="48">
        <f>('Evolutive SFP'!K27+'Evolutive SFP'!K28)</f>
        <v>80960941.859999999</v>
      </c>
      <c r="M7" s="48">
        <f>('Evolutive SFP'!L27+'Evolutive SFP'!L28)</f>
        <v>78788986.340000004</v>
      </c>
      <c r="N7" s="48">
        <f>('Evolutive SFP'!M27+'Evolutive SFP'!M28)</f>
        <v>78390094.770000011</v>
      </c>
      <c r="O7" s="48">
        <f>('Evolutive SFP'!N27+'Evolutive SFP'!N28)</f>
        <v>78809740.060000002</v>
      </c>
      <c r="P7" s="48">
        <f>('Evolutive SFP'!O27+'Evolutive SFP'!O28)</f>
        <v>308332908.60000002</v>
      </c>
      <c r="Q7" s="48">
        <f>('Evolutive SFP'!P27+'Evolutive SFP'!P28)</f>
        <v>337089929.74000001</v>
      </c>
      <c r="R7" s="48">
        <f>('Evolutive SFP'!Q27+'Evolutive SFP'!Q28)</f>
        <v>142523442.60999998</v>
      </c>
      <c r="S7" s="48">
        <f>('Evolutive SFP'!R27+'Evolutive SFP'!R28)</f>
        <v>142523442.58000001</v>
      </c>
      <c r="T7" s="48">
        <f>('Evolutive SFP'!S27+'Evolutive SFP'!S28)</f>
        <v>257104307.86000001</v>
      </c>
      <c r="U7" s="48">
        <f>('Evolutive SFP'!T27+'Evolutive SFP'!T28)</f>
        <v>100049833.50999999</v>
      </c>
      <c r="V7" s="48">
        <f>('Evolutive SFP'!U27+'Evolutive SFP'!U28)</f>
        <v>84825012.640000001</v>
      </c>
      <c r="W7" s="48">
        <f>('Evolutive SFP'!V27+'Evolutive SFP'!V28)</f>
        <v>79262091.689999998</v>
      </c>
      <c r="X7" s="48">
        <f>('Evolutive SFP'!W27+'Evolutive SFP'!W28)</f>
        <v>76988392.439999998</v>
      </c>
      <c r="Y7" s="48">
        <f>('Evolutive SFP'!X27+'Evolutive SFP'!X28)</f>
        <v>65919279.189999998</v>
      </c>
      <c r="Z7" s="48">
        <f>('Evolutive SFP'!Y27+'Evolutive SFP'!Y28)</f>
        <v>225482644.19999999</v>
      </c>
      <c r="AA7" s="48">
        <f>('Evolutive SFP'!Z27+'Evolutive SFP'!Z28)</f>
        <v>144333594.84</v>
      </c>
      <c r="AB7" s="48">
        <f>('Evolutive SFP'!AA27+'Evolutive SFP'!AA28)</f>
        <v>387841778.69999999</v>
      </c>
      <c r="AC7" s="48">
        <f>('Evolutive SFP'!AB27+'Evolutive SFP'!AB28)</f>
        <v>879250854.13999999</v>
      </c>
      <c r="AD7" s="48">
        <f>('Evolutive SFP'!AC27+'Evolutive SFP'!AC28)</f>
        <v>406980436.11000001</v>
      </c>
      <c r="AE7" s="48">
        <f>('Evolutive SFP'!AD27+'Evolutive SFP'!AD28)</f>
        <v>93377522.00999999</v>
      </c>
      <c r="AF7" s="48">
        <f>('Evolutive SFP'!AE27+'Evolutive SFP'!AE28)</f>
        <v>93377522.109999999</v>
      </c>
      <c r="AG7" s="48">
        <f>('Evolutive SFP'!AF27+'Evolutive SFP'!AF28)</f>
        <v>97879098.530000001</v>
      </c>
      <c r="AH7" s="48">
        <f>('Evolutive SFP'!AG27+'Evolutive SFP'!AG28)</f>
        <v>85281710.039999992</v>
      </c>
      <c r="AI7" s="48">
        <f>('Evolutive SFP'!AH27+'Evolutive SFP'!AH28)</f>
        <v>84283748.379999995</v>
      </c>
      <c r="AJ7" s="48">
        <f>('Evolutive SFP'!AI27+'Evolutive SFP'!AI28)</f>
        <v>82348356.549999997</v>
      </c>
      <c r="AK7" s="48">
        <f>('Evolutive SFP'!AJ27+'Evolutive SFP'!AJ28)</f>
        <v>82429444.370000005</v>
      </c>
      <c r="AL7" s="48">
        <f>('Evolutive SFP'!AK27+'Evolutive SFP'!AK28)</f>
        <v>75057074.280000001</v>
      </c>
      <c r="AM7" s="48">
        <f>('Evolutive SFP'!AL27+'Evolutive SFP'!AL28)</f>
        <v>47936034.159999996</v>
      </c>
      <c r="AN7" s="48">
        <f>('Evolutive SFP'!AM27+'Evolutive SFP'!AM28)</f>
        <v>44677335.560000002</v>
      </c>
      <c r="AO7" s="48">
        <f>('Evolutive SFP'!AN27+'Evolutive SFP'!AN28)</f>
        <v>43589855.560000002</v>
      </c>
      <c r="AP7" s="48">
        <f>('Evolutive SFP'!AO27+'Evolutive SFP'!AO28)</f>
        <v>338482131.11000001</v>
      </c>
      <c r="AQ7" s="48">
        <f>('Evolutive SFP'!AP27+'Evolutive SFP'!AP28)</f>
        <v>138141545.87</v>
      </c>
      <c r="AR7" s="48">
        <f>('Evolutive SFP'!AQ27+'Evolutive SFP'!AQ28)</f>
        <v>93796404.060000002</v>
      </c>
      <c r="AS7" s="48">
        <f>('Evolutive SFP'!AR27+'Evolutive SFP'!AR28)</f>
        <v>93796404.060000002</v>
      </c>
      <c r="AT7" s="48">
        <f>('Evolutive SFP'!AS27+'Evolutive SFP'!AS28)</f>
        <v>120037323.95</v>
      </c>
      <c r="AU7" s="48">
        <f>('Evolutive SFP'!AT27+'Evolutive SFP'!AT28)</f>
        <v>112753014.54000001</v>
      </c>
      <c r="AV7" s="48">
        <f>('Evolutive SFP'!AU27+'Evolutive SFP'!AU28)</f>
        <v>136756921.88</v>
      </c>
      <c r="AW7" s="48">
        <f>('Evolutive SFP'!AV27+'Evolutive SFP'!AV28)</f>
        <v>121126615.31999999</v>
      </c>
      <c r="AX7" s="48">
        <f>('Evolutive SFP'!AW27+'Evolutive SFP'!AW28)</f>
        <v>111714362.06999999</v>
      </c>
      <c r="AY7" s="48">
        <f>('Evolutive SFP'!AX27+'Evolutive SFP'!AX28)</f>
        <v>113044700.83</v>
      </c>
      <c r="AZ7" s="48">
        <f>('Evolutive SFP'!AY27+'Evolutive SFP'!AY28)</f>
        <v>102735858.87</v>
      </c>
      <c r="BA7" s="48">
        <f>('Evolutive SFP'!AZ27+'Evolutive SFP'!AZ28)</f>
        <v>98886472.859999999</v>
      </c>
      <c r="BB7" s="48">
        <f>('Evolutive SFP'!BA27+'Evolutive SFP'!BA28)</f>
        <v>98601061.75</v>
      </c>
      <c r="BC7" s="48">
        <f>('Evolutive SFP'!BB27+'Evolutive SFP'!BB28)</f>
        <v>157672257.38</v>
      </c>
      <c r="BD7" s="48">
        <f>('Evolutive SFP'!BC27+'Evolutive SFP'!BC28)</f>
        <v>110141265.15000001</v>
      </c>
      <c r="BE7" s="48">
        <f>('Evolutive SFP'!BD27+'Evolutive SFP'!BD28)</f>
        <v>124636626.75</v>
      </c>
      <c r="BF7" s="48">
        <f>('Evolutive SFP'!BE27+'Evolutive SFP'!BE28)</f>
        <v>0</v>
      </c>
      <c r="BG7" s="48">
        <f>('Evolutive SFP'!BF27+'Evolutive SFP'!BF28)</f>
        <v>107857384.55</v>
      </c>
      <c r="BH7" s="48">
        <f>('Evolutive SFP'!BG27+'Evolutive SFP'!BG28)</f>
        <v>118864841.27</v>
      </c>
      <c r="BI7" s="48">
        <f>('Evolutive SFP'!BH27+'Evolutive SFP'!BH28)</f>
        <v>93260634.340000004</v>
      </c>
      <c r="BJ7" s="48">
        <f>('Evolutive SFP'!BI27+'Evolutive SFP'!BI28)</f>
        <v>94875421.340000004</v>
      </c>
      <c r="BK7" s="48">
        <f>('Evolutive SFP'!BJ27+'Evolutive SFP'!BJ28)</f>
        <v>98468171.829999998</v>
      </c>
      <c r="BL7" s="48">
        <f>('Evolutive SFP'!BK27+'Evolutive SFP'!BK28)</f>
        <v>97090352.340000004</v>
      </c>
      <c r="BM7" s="48">
        <f>('Evolutive SFP'!BL27+'Evolutive SFP'!BL28)</f>
        <v>0</v>
      </c>
      <c r="BN7" s="48">
        <f>('Evolutive SFP'!BM27+'Evolutive SFP'!BM28)</f>
        <v>282926613.14999998</v>
      </c>
      <c r="BO7" s="48">
        <f>('Evolutive SFP'!BN27+'Evolutive SFP'!BN28)</f>
        <v>92315196.909999996</v>
      </c>
      <c r="BP7" s="48">
        <f>('Evolutive SFP'!BO27+'Evolutive SFP'!BO28)</f>
        <v>160937444.55000001</v>
      </c>
      <c r="BQ7" s="48">
        <f>('Evolutive SFP'!BP27+'Evolutive SFP'!BP28)</f>
        <v>280109752.60000002</v>
      </c>
      <c r="BR7" s="48">
        <f>('Evolutive SFP'!BQ27+'Evolutive SFP'!BQ28)</f>
        <v>115993407.25999999</v>
      </c>
      <c r="BS7" s="48">
        <f>('Evolutive SFP'!BR27+'Evolutive SFP'!BR28)</f>
        <v>117066947</v>
      </c>
      <c r="BT7" s="48">
        <f>('Evolutive SFP'!BS27+'Evolutive SFP'!BS28)</f>
        <v>108587056.92</v>
      </c>
      <c r="BU7" s="48">
        <f>('Evolutive SFP'!BT27+'Evolutive SFP'!BT28)</f>
        <v>108288103.36</v>
      </c>
      <c r="BV7" s="48">
        <f>('Evolutive SFP'!BU27+'Evolutive SFP'!BU28)</f>
        <v>93939284.599999994</v>
      </c>
      <c r="BW7" s="48">
        <f>('Evolutive SFP'!BV27+'Evolutive SFP'!BV28)</f>
        <v>106122662.2</v>
      </c>
      <c r="BX7" s="48">
        <f>('Evolutive SFP'!BW27+'Evolutive SFP'!BW28)</f>
        <v>92241079.460000008</v>
      </c>
      <c r="BY7" s="48">
        <f>('Evolutive SFP'!BX27+'Evolutive SFP'!BX28)</f>
        <v>90637328.670000002</v>
      </c>
      <c r="BZ7" s="48">
        <f>('Evolutive SFP'!BY27+'Evolutive SFP'!BY28)</f>
        <v>88597243.430000007</v>
      </c>
      <c r="CA7" s="48">
        <f>('Evolutive SFP'!BZ27+'Evolutive SFP'!BZ28)</f>
        <v>88241830.939999998</v>
      </c>
      <c r="CB7" s="48">
        <f>('Evolutive SFP'!CA27+'Evolutive SFP'!CA28)</f>
        <v>85444125.329999998</v>
      </c>
      <c r="CC7" s="48">
        <f>('Evolutive SFP'!CB27+'Evolutive SFP'!CB28)</f>
        <v>171297961.34</v>
      </c>
      <c r="CD7" s="48">
        <f>('Evolutive SFP'!CC27+'Evolutive SFP'!CC28)</f>
        <v>0</v>
      </c>
      <c r="CE7" s="48">
        <f>('Evolutive SFP'!CD27+'Evolutive SFP'!CD28)</f>
        <v>0</v>
      </c>
      <c r="CF7" s="48">
        <f>('Evolutive SFP'!CE27+'Evolutive SFP'!CE28)</f>
        <v>101959140.05</v>
      </c>
      <c r="CG7" s="48">
        <f>('Evolutive SFP'!CF27+'Evolutive SFP'!CF28)</f>
        <v>99390862.25999999</v>
      </c>
      <c r="CH7" s="48">
        <f>('Evolutive SFP'!CG27+'Evolutive SFP'!CG28)</f>
        <v>95712562.710000008</v>
      </c>
      <c r="CI7" s="48">
        <f>('Evolutive SFP'!CH27+'Evolutive SFP'!CH28)</f>
        <v>100017534.14</v>
      </c>
      <c r="CJ7" s="48">
        <f>('Evolutive SFP'!CI27+'Evolutive SFP'!CI28)</f>
        <v>107762425.15000001</v>
      </c>
      <c r="CK7" s="48">
        <f>('Evolutive SFP'!CJ27+'Evolutive SFP'!CJ28)</f>
        <v>99700833.269999996</v>
      </c>
      <c r="CL7" s="48">
        <f>('Evolutive SFP'!CK27+'Evolutive SFP'!CK28)</f>
        <v>102068657.34</v>
      </c>
      <c r="CM7" s="48">
        <f>('Evolutive SFP'!CL27+'Evolutive SFP'!CL28)</f>
        <v>210196058.93000001</v>
      </c>
      <c r="CN7" s="48">
        <f>('Evolutive SFP'!CM27+'Evolutive SFP'!CM28)</f>
        <v>180783831.23000002</v>
      </c>
      <c r="CO7" s="48">
        <f>('Evolutive SFP'!CN27+'Evolutive SFP'!CN28)</f>
        <v>148727777.95999998</v>
      </c>
      <c r="CP7" s="48">
        <f>('Evolutive SFP'!CO27+'Evolutive SFP'!CO28)</f>
        <v>138033840.78999999</v>
      </c>
      <c r="CQ7" s="48">
        <f>('Evolutive SFP'!CP27+'Evolutive SFP'!CP28)</f>
        <v>134936812.86000001</v>
      </c>
      <c r="CR7" s="48">
        <f>('Evolutive SFP'!CQ27+'Evolutive SFP'!CQ28)</f>
        <v>130025449.22999999</v>
      </c>
      <c r="CS7" s="48">
        <f>('Evolutive SFP'!CR27+'Evolutive SFP'!CR28)</f>
        <v>130025449.22999999</v>
      </c>
      <c r="CT7" s="48">
        <f>('Evolutive SFP'!CS27+'Evolutive SFP'!CS28)</f>
        <v>134411533.24000001</v>
      </c>
    </row>
    <row r="8" spans="1:103" x14ac:dyDescent="0.3">
      <c r="A8" s="25">
        <v>4</v>
      </c>
      <c r="B8" s="25" t="s">
        <v>193</v>
      </c>
      <c r="C8" s="48">
        <f>'Evolutive SFP'!B36</f>
        <v>92209657.049999997</v>
      </c>
      <c r="D8" s="48">
        <f>'Evolutive SFP'!C36</f>
        <v>145590739.05000001</v>
      </c>
      <c r="E8" s="48">
        <f>'Evolutive SFP'!D36</f>
        <v>165770876</v>
      </c>
      <c r="F8" s="48">
        <f>'Evolutive SFP'!E36</f>
        <v>190205691.05000001</v>
      </c>
      <c r="G8" s="48">
        <f>'Evolutive SFP'!F36</f>
        <v>165770876</v>
      </c>
      <c r="H8" s="48">
        <f>'Evolutive SFP'!G36</f>
        <v>167383681</v>
      </c>
      <c r="I8" s="48">
        <f>'Evolutive SFP'!H36</f>
        <v>167383681</v>
      </c>
      <c r="J8" s="48">
        <f>'Evolutive SFP'!I36</f>
        <v>334767362</v>
      </c>
      <c r="K8" s="48">
        <f>'Evolutive SFP'!J36</f>
        <v>167383681</v>
      </c>
      <c r="L8" s="48">
        <f>'Evolutive SFP'!K36</f>
        <v>167383681</v>
      </c>
      <c r="M8" s="48">
        <f>'Evolutive SFP'!L36</f>
        <v>169361564</v>
      </c>
      <c r="N8" s="48">
        <f>'Evolutive SFP'!M36</f>
        <v>169361564</v>
      </c>
      <c r="O8" s="48">
        <f>'Evolutive SFP'!N36</f>
        <v>169361564</v>
      </c>
      <c r="P8" s="48">
        <f>'Evolutive SFP'!O36</f>
        <v>97082102</v>
      </c>
      <c r="Q8" s="48">
        <f>'Evolutive SFP'!P36</f>
        <v>140454878</v>
      </c>
      <c r="R8" s="48">
        <f>'Evolutive SFP'!Q36</f>
        <v>70863642.239999995</v>
      </c>
      <c r="S8" s="48">
        <f>'Evolutive SFP'!R36</f>
        <v>70863642.239999995</v>
      </c>
      <c r="T8" s="48">
        <f>'Evolutive SFP'!S36</f>
        <v>141727284.47999999</v>
      </c>
      <c r="U8" s="48">
        <f>'Evolutive SFP'!T36</f>
        <v>120863642.23999999</v>
      </c>
      <c r="V8" s="48">
        <f>'Evolutive SFP'!U36</f>
        <v>120863642.23999999</v>
      </c>
      <c r="W8" s="48">
        <f>'Evolutive SFP'!V36</f>
        <v>120863642.23999999</v>
      </c>
      <c r="X8" s="48">
        <f>'Evolutive SFP'!W36</f>
        <v>120863642.23999999</v>
      </c>
      <c r="Y8" s="48">
        <f>'Evolutive SFP'!X36</f>
        <v>120863642.23999999</v>
      </c>
      <c r="Z8" s="48">
        <f>'Evolutive SFP'!Y36</f>
        <v>362590926.72000003</v>
      </c>
      <c r="AA8" s="48">
        <f>'Evolutive SFP'!Z36</f>
        <v>241727284.47999999</v>
      </c>
      <c r="AB8" s="48">
        <f>'Evolutive SFP'!AA36</f>
        <v>604318211.20000005</v>
      </c>
      <c r="AC8" s="48">
        <f>'Evolutive SFP'!AB36</f>
        <v>115727284.48</v>
      </c>
      <c r="AD8" s="48">
        <f>'Evolutive SFP'!AC36</f>
        <v>211971366</v>
      </c>
      <c r="AE8" s="48">
        <f>'Evolutive SFP'!AD36</f>
        <v>70212126.430000007</v>
      </c>
      <c r="AF8" s="48">
        <f>'Evolutive SFP'!AE36</f>
        <v>70212126.430000007</v>
      </c>
      <c r="AG8" s="48">
        <f>'Evolutive SFP'!AF36</f>
        <v>100212126.43000001</v>
      </c>
      <c r="AH8" s="48">
        <f>'Evolutive SFP'!AG36</f>
        <v>140212126.43000001</v>
      </c>
      <c r="AI8" s="48">
        <f>'Evolutive SFP'!AH36</f>
        <v>125212126.43000001</v>
      </c>
      <c r="AJ8" s="48">
        <f>'Evolutive SFP'!AI36</f>
        <v>125212126.43000001</v>
      </c>
      <c r="AK8" s="48">
        <f>'Evolutive SFP'!AJ36</f>
        <v>125212126.43000001</v>
      </c>
      <c r="AL8" s="48">
        <f>'Evolutive SFP'!AK36</f>
        <v>150212126.43000001</v>
      </c>
      <c r="AM8" s="48">
        <f>'Evolutive SFP'!AL36</f>
        <v>150212126.43000001</v>
      </c>
      <c r="AN8" s="48">
        <f>'Evolutive SFP'!AM36</f>
        <v>150212126.43000001</v>
      </c>
      <c r="AO8" s="48">
        <f>'Evolutive SFP'!AN36</f>
        <v>150212126.43000001</v>
      </c>
      <c r="AP8" s="48">
        <f>'Evolutive SFP'!AO36</f>
        <v>39212126.43</v>
      </c>
      <c r="AQ8" s="48">
        <f>'Evolutive SFP'!AP36</f>
        <v>39212126</v>
      </c>
      <c r="AR8" s="48">
        <f>'Evolutive SFP'!AQ36</f>
        <v>89212126.430000007</v>
      </c>
      <c r="AS8" s="48">
        <f>'Evolutive SFP'!AR36</f>
        <v>89212126.430000007</v>
      </c>
      <c r="AT8" s="48">
        <f>'Evolutive SFP'!AS36</f>
        <v>89212126.430000007</v>
      </c>
      <c r="AU8" s="48">
        <f>'Evolutive SFP'!AT36</f>
        <v>89212126.430000007</v>
      </c>
      <c r="AV8" s="48">
        <f>'Evolutive SFP'!AU36</f>
        <v>89212126.430000007</v>
      </c>
      <c r="AW8" s="48">
        <f>'Evolutive SFP'!AV36</f>
        <v>89212126.430000007</v>
      </c>
      <c r="AX8" s="48">
        <f>'Evolutive SFP'!AW36</f>
        <v>89212126.430000007</v>
      </c>
      <c r="AY8" s="48">
        <f>'Evolutive SFP'!AX36</f>
        <v>89212126.430000007</v>
      </c>
      <c r="AZ8" s="48">
        <f>'Evolutive SFP'!AY36</f>
        <v>89212126.430000007</v>
      </c>
      <c r="BA8" s="48">
        <f>'Evolutive SFP'!AZ36</f>
        <v>89212126.430000007</v>
      </c>
      <c r="BB8" s="48">
        <f>'Evolutive SFP'!BA36</f>
        <v>89212126.430000007</v>
      </c>
      <c r="BC8" s="48">
        <f>'Evolutive SFP'!BB36</f>
        <v>33137908.210000001</v>
      </c>
      <c r="BD8" s="48">
        <f>'Evolutive SFP'!BC36</f>
        <v>83137908.209999993</v>
      </c>
      <c r="BE8" s="48">
        <f>'Evolutive SFP'!BD36</f>
        <v>83909094</v>
      </c>
      <c r="BF8" s="48">
        <f>'Evolutive SFP'!BE36</f>
        <v>0</v>
      </c>
      <c r="BG8" s="48">
        <f>'Evolutive SFP'!BF36</f>
        <v>113909094</v>
      </c>
      <c r="BH8" s="48">
        <f>'Evolutive SFP'!BG36</f>
        <v>113909094</v>
      </c>
      <c r="BI8" s="48">
        <f>'Evolutive SFP'!BH36</f>
        <v>193909094</v>
      </c>
      <c r="BJ8" s="48">
        <f>'Evolutive SFP'!BI36</f>
        <v>193909094</v>
      </c>
      <c r="BK8" s="48">
        <f>'Evolutive SFP'!BJ36</f>
        <v>193909094</v>
      </c>
      <c r="BL8" s="48">
        <f>'Evolutive SFP'!BK36</f>
        <v>190909094</v>
      </c>
      <c r="BM8" s="48">
        <f>'Evolutive SFP'!BL36</f>
        <v>0</v>
      </c>
      <c r="BN8" s="48">
        <f>'Evolutive SFP'!BM36</f>
        <v>563727282</v>
      </c>
      <c r="BO8" s="48">
        <f>'Evolutive SFP'!BN36</f>
        <v>187909094</v>
      </c>
      <c r="BP8" s="48">
        <f>'Evolutive SFP'!BO36</f>
        <v>181309197</v>
      </c>
      <c r="BQ8" s="48">
        <f>'Evolutive SFP'!BP36</f>
        <v>142618394</v>
      </c>
      <c r="BR8" s="48">
        <f>'Evolutive SFP'!BQ36</f>
        <v>122237484.62</v>
      </c>
      <c r="BS8" s="48">
        <f>'Evolutive SFP'!BR36</f>
        <v>122237484.02</v>
      </c>
      <c r="BT8" s="48">
        <f>'Evolutive SFP'!BS36</f>
        <v>122237484.62</v>
      </c>
      <c r="BU8" s="48">
        <f>'Evolutive SFP'!BT36</f>
        <v>172237484.62</v>
      </c>
      <c r="BV8" s="48">
        <f>'Evolutive SFP'!BU36</f>
        <v>168937484.62</v>
      </c>
      <c r="BW8" s="48">
        <f>'Evolutive SFP'!BV36</f>
        <v>168937484.62</v>
      </c>
      <c r="BX8" s="48">
        <f>'Evolutive SFP'!BW36</f>
        <v>168937484.62</v>
      </c>
      <c r="BY8" s="48">
        <f>'Evolutive SFP'!BX36</f>
        <v>165637484.62</v>
      </c>
      <c r="BZ8" s="48">
        <f>'Evolutive SFP'!BY36</f>
        <v>165637484.62</v>
      </c>
      <c r="CA8" s="48">
        <f>'Evolutive SFP'!BZ36</f>
        <v>165637484.62</v>
      </c>
      <c r="CB8" s="48">
        <f>'Evolutive SFP'!CA36</f>
        <v>165637484.62</v>
      </c>
      <c r="CC8" s="48">
        <f>'Evolutive SFP'!CB36</f>
        <v>162337484.62</v>
      </c>
      <c r="CD8" s="48">
        <f>'Evolutive SFP'!CC36</f>
        <v>0</v>
      </c>
      <c r="CE8" s="48">
        <f>'Evolutive SFP'!CD36</f>
        <v>0</v>
      </c>
      <c r="CF8" s="48">
        <f>'Evolutive SFP'!CE36</f>
        <v>84895865.400000006</v>
      </c>
      <c r="CG8" s="48">
        <f>'Evolutive SFP'!CF36</f>
        <v>84895865.400000006</v>
      </c>
      <c r="CH8" s="48">
        <f>'Evolutive SFP'!CG36</f>
        <v>81019052.530000001</v>
      </c>
      <c r="CI8" s="48">
        <f>'Evolutive SFP'!CH36</f>
        <v>77429198.739999995</v>
      </c>
      <c r="CJ8" s="48">
        <f>'Evolutive SFP'!CI36</f>
        <v>75217597.640000001</v>
      </c>
      <c r="CK8" s="48">
        <f>'Evolutive SFP'!CJ36</f>
        <v>75217597.640000001</v>
      </c>
      <c r="CL8" s="48">
        <f>'Evolutive SFP'!CK36</f>
        <v>71179198.75</v>
      </c>
      <c r="CM8" s="48">
        <f>'Evolutive SFP'!CL36</f>
        <v>67879198.75</v>
      </c>
      <c r="CN8" s="48">
        <f>'Evolutive SFP'!CM36</f>
        <v>63712532.090000004</v>
      </c>
      <c r="CO8" s="48">
        <f>'Evolutive SFP'!CN36</f>
        <v>60412532.090000004</v>
      </c>
      <c r="CP8" s="48">
        <f>'Evolutive SFP'!CO36</f>
        <v>55859154.189999998</v>
      </c>
      <c r="CQ8" s="48">
        <f>'Evolutive SFP'!CP36</f>
        <v>54571353.75</v>
      </c>
      <c r="CR8" s="48">
        <f>'Evolutive SFP'!CQ36</f>
        <v>49188020.100000001</v>
      </c>
      <c r="CS8" s="48">
        <f>'Evolutive SFP'!CR36</f>
        <v>49188020.450000003</v>
      </c>
      <c r="CT8" s="48">
        <f>'Evolutive SFP'!CS36</f>
        <v>49188020.100000001</v>
      </c>
    </row>
    <row r="9" spans="1:103" x14ac:dyDescent="0.3">
      <c r="A9" s="25"/>
      <c r="B9" s="25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</row>
    <row r="10" spans="1:103" x14ac:dyDescent="0.3">
      <c r="A10" s="27">
        <v>5</v>
      </c>
      <c r="B10" s="23" t="s">
        <v>194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</row>
    <row r="11" spans="1:103" s="19" customFormat="1" x14ac:dyDescent="0.3">
      <c r="A11" s="35">
        <v>5.0999999999999996</v>
      </c>
      <c r="B11" s="23" t="s">
        <v>12</v>
      </c>
      <c r="C11" s="49">
        <f>C14-C22-C25</f>
        <v>25893258.700000003</v>
      </c>
      <c r="D11" s="49">
        <f t="shared" ref="D11:BO11" si="0">D14-D22-D25</f>
        <v>44953316.75</v>
      </c>
      <c r="E11" s="49">
        <f t="shared" si="0"/>
        <v>46424530.349999994</v>
      </c>
      <c r="F11" s="49">
        <f t="shared" si="0"/>
        <v>26979295.230000004</v>
      </c>
      <c r="G11" s="49">
        <f t="shared" si="0"/>
        <v>26564503</v>
      </c>
      <c r="H11" s="49">
        <f t="shared" si="0"/>
        <v>25733137.450000003</v>
      </c>
      <c r="I11" s="49">
        <f t="shared" si="0"/>
        <v>25733337.450000003</v>
      </c>
      <c r="J11" s="49">
        <f t="shared" si="0"/>
        <v>51866674.900000006</v>
      </c>
      <c r="K11" s="49">
        <f t="shared" si="0"/>
        <v>25933337.450000003</v>
      </c>
      <c r="L11" s="49">
        <f t="shared" si="0"/>
        <v>25933337.450000003</v>
      </c>
      <c r="M11" s="49">
        <f t="shared" si="0"/>
        <v>25544091</v>
      </c>
      <c r="N11" s="49">
        <f t="shared" si="0"/>
        <v>25544291</v>
      </c>
      <c r="O11" s="49">
        <f t="shared" si="0"/>
        <v>25550291</v>
      </c>
      <c r="P11" s="49">
        <f t="shared" si="0"/>
        <v>25550291</v>
      </c>
      <c r="Q11" s="49">
        <f t="shared" si="0"/>
        <v>87311034</v>
      </c>
      <c r="R11" s="49">
        <f t="shared" si="0"/>
        <v>43036037.140000001</v>
      </c>
      <c r="S11" s="49">
        <f t="shared" si="0"/>
        <v>39091247.310000002</v>
      </c>
      <c r="T11" s="49">
        <f t="shared" si="0"/>
        <v>88200496.280000001</v>
      </c>
      <c r="U11" s="49">
        <f t="shared" si="0"/>
        <v>44109248.140000001</v>
      </c>
      <c r="V11" s="49">
        <f t="shared" si="0"/>
        <v>39109248.140000001</v>
      </c>
      <c r="W11" s="49">
        <f t="shared" si="0"/>
        <v>39109248.140000001</v>
      </c>
      <c r="X11" s="49">
        <f t="shared" si="0"/>
        <v>39109248.140000001</v>
      </c>
      <c r="Y11" s="49">
        <f t="shared" si="0"/>
        <v>39111348.140000001</v>
      </c>
      <c r="Z11" s="49">
        <f t="shared" si="0"/>
        <v>117334044.41999999</v>
      </c>
      <c r="AA11" s="49">
        <f t="shared" si="0"/>
        <v>96430648.280000001</v>
      </c>
      <c r="AB11" s="49">
        <f t="shared" si="0"/>
        <v>241077620.69999999</v>
      </c>
      <c r="AC11" s="49">
        <f t="shared" si="0"/>
        <v>96431048.280000001</v>
      </c>
      <c r="AD11" s="49">
        <f t="shared" si="0"/>
        <v>144695770.74000001</v>
      </c>
      <c r="AE11" s="49">
        <f t="shared" si="0"/>
        <v>48841512.140000001</v>
      </c>
      <c r="AF11" s="49">
        <f t="shared" si="0"/>
        <v>46033803.140000001</v>
      </c>
      <c r="AG11" s="49">
        <f t="shared" si="0"/>
        <v>40763822.140000001</v>
      </c>
      <c r="AH11" s="49">
        <f t="shared" si="0"/>
        <v>50276397.74000001</v>
      </c>
      <c r="AI11" s="49">
        <f t="shared" si="0"/>
        <v>46043064.270000011</v>
      </c>
      <c r="AJ11" s="49">
        <f t="shared" si="0"/>
        <v>40239730.939999998</v>
      </c>
      <c r="AK11" s="49">
        <f t="shared" si="0"/>
        <v>40054794.420000002</v>
      </c>
      <c r="AL11" s="49">
        <f t="shared" si="0"/>
        <v>57270730.700000003</v>
      </c>
      <c r="AM11" s="49">
        <f t="shared" si="0"/>
        <v>73033073.579999998</v>
      </c>
      <c r="AN11" s="49">
        <f t="shared" si="0"/>
        <v>69481506.820000008</v>
      </c>
      <c r="AO11" s="49">
        <f t="shared" si="0"/>
        <v>68876284.179999992</v>
      </c>
      <c r="AP11" s="49">
        <f t="shared" si="0"/>
        <v>87069058.079999998</v>
      </c>
      <c r="AQ11" s="49">
        <f t="shared" si="0"/>
        <v>84077850.680000007</v>
      </c>
      <c r="AR11" s="49">
        <f t="shared" si="0"/>
        <v>83410185.939999998</v>
      </c>
      <c r="AS11" s="49">
        <f t="shared" si="0"/>
        <v>-82254538.019999996</v>
      </c>
      <c r="AT11" s="49">
        <f t="shared" si="0"/>
        <v>82390647.479999989</v>
      </c>
      <c r="AU11" s="49">
        <f t="shared" si="0"/>
        <v>78032679.669999987</v>
      </c>
      <c r="AV11" s="49">
        <f t="shared" si="0"/>
        <v>71605194.710000008</v>
      </c>
      <c r="AW11" s="49">
        <f t="shared" si="0"/>
        <v>70114092.040000007</v>
      </c>
      <c r="AX11" s="49">
        <f t="shared" si="0"/>
        <v>67939731.140000001</v>
      </c>
      <c r="AY11" s="49">
        <f t="shared" si="0"/>
        <v>89202574.24000001</v>
      </c>
      <c r="AZ11" s="49">
        <f t="shared" si="0"/>
        <v>88718965.140000001</v>
      </c>
      <c r="BA11" s="49">
        <f t="shared" si="0"/>
        <v>87353865.24000001</v>
      </c>
      <c r="BB11" s="49">
        <f t="shared" si="0"/>
        <v>83373065.449999988</v>
      </c>
      <c r="BC11" s="49">
        <f t="shared" si="0"/>
        <v>87793236.210000008</v>
      </c>
      <c r="BD11" s="49">
        <f t="shared" si="0"/>
        <v>80882904.439999998</v>
      </c>
      <c r="BE11" s="49">
        <f t="shared" si="0"/>
        <v>72092458.540000021</v>
      </c>
      <c r="BF11" s="49">
        <f t="shared" si="0"/>
        <v>0</v>
      </c>
      <c r="BG11" s="49">
        <f t="shared" si="0"/>
        <v>76287267.430000007</v>
      </c>
      <c r="BH11" s="49">
        <f t="shared" si="0"/>
        <v>77981255.629999995</v>
      </c>
      <c r="BI11" s="49">
        <f t="shared" si="0"/>
        <v>66932640.629999995</v>
      </c>
      <c r="BJ11" s="49">
        <f t="shared" si="0"/>
        <v>69193168.030000001</v>
      </c>
      <c r="BK11" s="49">
        <f t="shared" si="0"/>
        <v>81838680.530000001</v>
      </c>
      <c r="BL11" s="49">
        <f t="shared" si="0"/>
        <v>82478046.129999995</v>
      </c>
      <c r="BM11" s="49">
        <f t="shared" si="0"/>
        <v>0</v>
      </c>
      <c r="BN11" s="49">
        <f t="shared" si="0"/>
        <v>241822191.80999994</v>
      </c>
      <c r="BO11" s="49">
        <f t="shared" si="0"/>
        <v>75197457.300000012</v>
      </c>
      <c r="BP11" s="49">
        <f t="shared" ref="BP11:CT11" si="1">BP14-BP22-BP25</f>
        <v>93082699.819999993</v>
      </c>
      <c r="BQ11" s="49">
        <f t="shared" si="1"/>
        <v>170719341.84000003</v>
      </c>
      <c r="BR11" s="49">
        <f t="shared" si="1"/>
        <v>85267707.879999995</v>
      </c>
      <c r="BS11" s="49">
        <f t="shared" si="1"/>
        <v>-27474952.610000014</v>
      </c>
      <c r="BT11" s="49">
        <f t="shared" si="1"/>
        <v>89239312.060000002</v>
      </c>
      <c r="BU11" s="49">
        <f t="shared" si="1"/>
        <v>85663106.960000038</v>
      </c>
      <c r="BV11" s="49">
        <f t="shared" si="1"/>
        <v>86115047.360000014</v>
      </c>
      <c r="BW11" s="49">
        <f t="shared" si="1"/>
        <v>89081372.539999962</v>
      </c>
      <c r="BX11" s="49">
        <f t="shared" si="1"/>
        <v>88162599.340000033</v>
      </c>
      <c r="BY11" s="49">
        <f t="shared" si="1"/>
        <v>-23637130.99000001</v>
      </c>
      <c r="BZ11" s="49">
        <f t="shared" si="1"/>
        <v>-24056394.389999986</v>
      </c>
      <c r="CA11" s="49">
        <f t="shared" si="1"/>
        <v>-42447749.180000007</v>
      </c>
      <c r="CB11" s="49">
        <f t="shared" si="1"/>
        <v>-42447749.180000007</v>
      </c>
      <c r="CC11" s="49">
        <f t="shared" si="1"/>
        <v>-42447749.180000007</v>
      </c>
      <c r="CD11" s="49">
        <f t="shared" si="1"/>
        <v>0</v>
      </c>
      <c r="CE11" s="49">
        <f t="shared" si="1"/>
        <v>0</v>
      </c>
      <c r="CF11" s="49">
        <f t="shared" si="1"/>
        <v>-95994463.219999999</v>
      </c>
      <c r="CG11" s="49">
        <f t="shared" si="1"/>
        <v>-25322246.039999992</v>
      </c>
      <c r="CH11" s="49">
        <f t="shared" si="1"/>
        <v>-27369508.430000007</v>
      </c>
      <c r="CI11" s="49">
        <f t="shared" si="1"/>
        <v>-50720226.620000005</v>
      </c>
      <c r="CJ11" s="49">
        <f t="shared" si="1"/>
        <v>-48078610.530000001</v>
      </c>
      <c r="CK11" s="49">
        <f t="shared" si="1"/>
        <v>-48330313.699999988</v>
      </c>
      <c r="CL11" s="49">
        <f t="shared" si="1"/>
        <v>-90829708.229999989</v>
      </c>
      <c r="CM11" s="49">
        <f t="shared" si="1"/>
        <v>-75323188.030000001</v>
      </c>
      <c r="CN11" s="49">
        <f t="shared" si="1"/>
        <v>-77493632.229999989</v>
      </c>
      <c r="CO11" s="49">
        <f>SUM('Evolutive SFP'!CN38:CN45)-'Evolutive SFP'!CN12</f>
        <v>291304665.58000004</v>
      </c>
      <c r="CP11" s="49">
        <f>SUM('Evolutive SFP'!CO38:CO45)-'Evolutive SFP'!CO12</f>
        <v>287561096.77999997</v>
      </c>
      <c r="CQ11" s="49">
        <f>SUM('Evolutive SFP'!CP38:CP45)-'Evolutive SFP'!CP12</f>
        <v>270425436.86000001</v>
      </c>
      <c r="CR11" s="49">
        <f>SUM('Evolutive SFP'!CQ38:CQ45)-'Evolutive SFP'!CQ12</f>
        <v>276912219.28999996</v>
      </c>
      <c r="CS11" s="49">
        <f>SUM('Evolutive SFP'!CR38:CR45)-'Evolutive SFP'!CR12</f>
        <v>267471792.44</v>
      </c>
      <c r="CT11" s="49">
        <f t="shared" si="1"/>
        <v>72927876.209999979</v>
      </c>
    </row>
    <row r="12" spans="1:103" s="19" customFormat="1" x14ac:dyDescent="0.3">
      <c r="A12" s="35">
        <v>5.2</v>
      </c>
      <c r="B12" s="23" t="s">
        <v>195</v>
      </c>
      <c r="C12" s="49">
        <f>C11-C15</f>
        <v>-27425079.899999999</v>
      </c>
      <c r="D12" s="49">
        <f t="shared" ref="D12:BO12" si="2">D11-D15</f>
        <v>-8624806</v>
      </c>
      <c r="E12" s="49">
        <f t="shared" si="2"/>
        <v>-7973319.650000006</v>
      </c>
      <c r="F12" s="49">
        <f t="shared" si="2"/>
        <v>-26613827.519999996</v>
      </c>
      <c r="G12" s="49">
        <f t="shared" si="2"/>
        <v>-27857746</v>
      </c>
      <c r="H12" s="49">
        <f t="shared" si="2"/>
        <v>-28689111.549999997</v>
      </c>
      <c r="I12" s="49">
        <f t="shared" si="2"/>
        <v>-28689111.549999997</v>
      </c>
      <c r="J12" s="49">
        <f t="shared" si="2"/>
        <v>-57378223.099999994</v>
      </c>
      <c r="K12" s="49">
        <f t="shared" si="2"/>
        <v>-28689111.549999997</v>
      </c>
      <c r="L12" s="49">
        <f t="shared" si="2"/>
        <v>-28689111.549999997</v>
      </c>
      <c r="M12" s="49">
        <f t="shared" si="2"/>
        <v>-29078545</v>
      </c>
      <c r="N12" s="49">
        <f t="shared" si="2"/>
        <v>-29078545</v>
      </c>
      <c r="O12" s="49">
        <f t="shared" si="2"/>
        <v>-29078545</v>
      </c>
      <c r="P12" s="49">
        <f t="shared" si="2"/>
        <v>-29078545</v>
      </c>
      <c r="Q12" s="49">
        <f t="shared" si="2"/>
        <v>-21946638</v>
      </c>
      <c r="R12" s="49">
        <f t="shared" si="2"/>
        <v>-10973319</v>
      </c>
      <c r="S12" s="49">
        <f t="shared" si="2"/>
        <v>-14918108</v>
      </c>
      <c r="T12" s="49">
        <f t="shared" si="2"/>
        <v>-19836216</v>
      </c>
      <c r="U12" s="49">
        <f t="shared" si="2"/>
        <v>-9918108</v>
      </c>
      <c r="V12" s="49">
        <f t="shared" si="2"/>
        <v>-14918108</v>
      </c>
      <c r="W12" s="49">
        <f t="shared" si="2"/>
        <v>-14918108</v>
      </c>
      <c r="X12" s="49">
        <f t="shared" si="2"/>
        <v>-14918108</v>
      </c>
      <c r="Y12" s="49">
        <f t="shared" si="2"/>
        <v>-14918108</v>
      </c>
      <c r="Z12" s="49">
        <f t="shared" si="2"/>
        <v>-44754324</v>
      </c>
      <c r="AA12" s="49">
        <f t="shared" si="2"/>
        <v>-29836216</v>
      </c>
      <c r="AB12" s="49">
        <f t="shared" si="2"/>
        <v>-74590540</v>
      </c>
      <c r="AC12" s="49">
        <f t="shared" si="2"/>
        <v>-29836216</v>
      </c>
      <c r="AD12" s="49">
        <f t="shared" si="2"/>
        <v>-44754324</v>
      </c>
      <c r="AE12" s="49">
        <f t="shared" si="2"/>
        <v>-14918108</v>
      </c>
      <c r="AF12" s="49">
        <f t="shared" si="2"/>
        <v>-17725817</v>
      </c>
      <c r="AG12" s="49">
        <f t="shared" si="2"/>
        <v>-22995798</v>
      </c>
      <c r="AH12" s="49">
        <f t="shared" si="2"/>
        <v>-13487322.399999991</v>
      </c>
      <c r="AI12" s="49">
        <f t="shared" si="2"/>
        <v>-17720655.86999999</v>
      </c>
      <c r="AJ12" s="49">
        <f t="shared" si="2"/>
        <v>-23523989.200000003</v>
      </c>
      <c r="AK12" s="49">
        <f t="shared" si="2"/>
        <v>-23711375.159999996</v>
      </c>
      <c r="AL12" s="49">
        <f t="shared" si="2"/>
        <v>-6495438.799999997</v>
      </c>
      <c r="AM12" s="49">
        <f t="shared" si="2"/>
        <v>9266104</v>
      </c>
      <c r="AN12" s="49">
        <f t="shared" si="2"/>
        <v>5714537.3000000045</v>
      </c>
      <c r="AO12" s="49">
        <f t="shared" si="2"/>
        <v>5109314.599999994</v>
      </c>
      <c r="AP12" s="49">
        <f t="shared" si="2"/>
        <v>23302088.5</v>
      </c>
      <c r="AQ12" s="49">
        <f t="shared" si="2"/>
        <v>20305880.600000009</v>
      </c>
      <c r="AR12" s="49">
        <f t="shared" si="2"/>
        <v>12026302.799999997</v>
      </c>
      <c r="AS12" s="49">
        <f t="shared" si="2"/>
        <v>-153638421.16</v>
      </c>
      <c r="AT12" s="49">
        <f t="shared" si="2"/>
        <v>11006764.399999991</v>
      </c>
      <c r="AU12" s="49">
        <f t="shared" si="2"/>
        <v>6648796.5399999917</v>
      </c>
      <c r="AV12" s="49">
        <f t="shared" si="2"/>
        <v>221311.57000000775</v>
      </c>
      <c r="AW12" s="49">
        <f t="shared" si="2"/>
        <v>-1269791.099999994</v>
      </c>
      <c r="AX12" s="49">
        <f t="shared" si="2"/>
        <v>-3444152</v>
      </c>
      <c r="AY12" s="49">
        <f t="shared" si="2"/>
        <v>17818691.100000009</v>
      </c>
      <c r="AZ12" s="49">
        <f t="shared" si="2"/>
        <v>17335082</v>
      </c>
      <c r="BA12" s="49">
        <f t="shared" si="2"/>
        <v>15969982.100000009</v>
      </c>
      <c r="BB12" s="49">
        <f t="shared" si="2"/>
        <v>11989182.299999982</v>
      </c>
      <c r="BC12" s="49">
        <f t="shared" si="2"/>
        <v>16409353.100000009</v>
      </c>
      <c r="BD12" s="49">
        <f t="shared" si="2"/>
        <v>9499021.299999997</v>
      </c>
      <c r="BE12" s="49">
        <f t="shared" si="2"/>
        <v>-735424.59999997914</v>
      </c>
      <c r="BF12" s="49">
        <f t="shared" si="2"/>
        <v>0</v>
      </c>
      <c r="BG12" s="49">
        <f t="shared" si="2"/>
        <v>3459384.3000000119</v>
      </c>
      <c r="BH12" s="49">
        <f t="shared" si="2"/>
        <v>5153372.5</v>
      </c>
      <c r="BI12" s="49">
        <f t="shared" si="2"/>
        <v>-5895242.5</v>
      </c>
      <c r="BJ12" s="49">
        <f t="shared" si="2"/>
        <v>-3634715.099999994</v>
      </c>
      <c r="BK12" s="49">
        <f t="shared" si="2"/>
        <v>9010797.400000006</v>
      </c>
      <c r="BL12" s="49">
        <f t="shared" si="2"/>
        <v>9650163</v>
      </c>
      <c r="BM12" s="49">
        <f t="shared" si="2"/>
        <v>0</v>
      </c>
      <c r="BN12" s="49">
        <f t="shared" si="2"/>
        <v>23338542.419999957</v>
      </c>
      <c r="BO12" s="49">
        <f t="shared" si="2"/>
        <v>2369574.2000000179</v>
      </c>
      <c r="BP12" s="49">
        <f t="shared" ref="BP12:CT12" si="3">BP11-BP15</f>
        <v>20254816.699999988</v>
      </c>
      <c r="BQ12" s="49">
        <f t="shared" si="3"/>
        <v>25063575.600000024</v>
      </c>
      <c r="BR12" s="49">
        <f t="shared" si="3"/>
        <v>12439824.739999995</v>
      </c>
      <c r="BS12" s="49">
        <f t="shared" si="3"/>
        <v>-100302835.61000001</v>
      </c>
      <c r="BT12" s="49">
        <f t="shared" si="3"/>
        <v>16411428.920000002</v>
      </c>
      <c r="BU12" s="49">
        <f t="shared" si="3"/>
        <v>12835223.820000038</v>
      </c>
      <c r="BV12" s="49">
        <f t="shared" si="3"/>
        <v>13287164.220000014</v>
      </c>
      <c r="BW12" s="49">
        <f t="shared" si="3"/>
        <v>16253489.399999961</v>
      </c>
      <c r="BX12" s="49">
        <f t="shared" si="3"/>
        <v>15334716.200000033</v>
      </c>
      <c r="BY12" s="49">
        <f t="shared" si="3"/>
        <v>-96465014.13000001</v>
      </c>
      <c r="BZ12" s="49">
        <f t="shared" si="3"/>
        <v>-96884277.529999986</v>
      </c>
      <c r="CA12" s="49">
        <f t="shared" si="3"/>
        <v>-115275632.32000001</v>
      </c>
      <c r="CB12" s="49">
        <f t="shared" si="3"/>
        <v>-115275632.32000001</v>
      </c>
      <c r="CC12" s="49">
        <f t="shared" si="3"/>
        <v>-115275632.32000001</v>
      </c>
      <c r="CD12" s="49">
        <f t="shared" si="3"/>
        <v>0</v>
      </c>
      <c r="CE12" s="49">
        <f t="shared" si="3"/>
        <v>0</v>
      </c>
      <c r="CF12" s="49">
        <f t="shared" si="3"/>
        <v>-170078346.36000001</v>
      </c>
      <c r="CG12" s="49">
        <f t="shared" si="3"/>
        <v>-99406129.189999998</v>
      </c>
      <c r="CH12" s="49">
        <f t="shared" si="3"/>
        <v>-101453391.58000001</v>
      </c>
      <c r="CI12" s="49">
        <f t="shared" si="3"/>
        <v>-124804109.77000001</v>
      </c>
      <c r="CJ12" s="49">
        <f t="shared" si="3"/>
        <v>-122162493.68000001</v>
      </c>
      <c r="CK12" s="49">
        <f t="shared" si="3"/>
        <v>-122414196.84999999</v>
      </c>
      <c r="CL12" s="49">
        <f t="shared" si="3"/>
        <v>-164913591.38</v>
      </c>
      <c r="CM12" s="49">
        <f t="shared" si="3"/>
        <v>-149407071.18000001</v>
      </c>
      <c r="CN12" s="49">
        <f t="shared" si="3"/>
        <v>-151577515.38</v>
      </c>
      <c r="CO12" s="49">
        <f>CO11-CO15</f>
        <v>217220782.43000004</v>
      </c>
      <c r="CP12" s="49">
        <f t="shared" si="3"/>
        <v>213477213.62999997</v>
      </c>
      <c r="CQ12" s="49">
        <f t="shared" si="3"/>
        <v>196341553.71000001</v>
      </c>
      <c r="CR12" s="49">
        <f t="shared" si="3"/>
        <v>202828336.14999998</v>
      </c>
      <c r="CS12" s="49">
        <f t="shared" si="3"/>
        <v>191585909.30000001</v>
      </c>
      <c r="CT12" s="49">
        <f t="shared" si="3"/>
        <v>-2958006.9500000179</v>
      </c>
    </row>
    <row r="13" spans="1:103" x14ac:dyDescent="0.3">
      <c r="A13" s="27"/>
      <c r="B13" s="23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</row>
    <row r="14" spans="1:103" s="19" customFormat="1" x14ac:dyDescent="0.3">
      <c r="A14" s="35">
        <v>5.3</v>
      </c>
      <c r="B14" s="23" t="s">
        <v>196</v>
      </c>
      <c r="C14" s="49">
        <f>C15+C16+C17+C18+C19+C20+C21</f>
        <v>63959536.700000003</v>
      </c>
      <c r="D14" s="49">
        <f t="shared" ref="D14:BO14" si="4">D15+D16+D17+D18+D19+D20+D21</f>
        <v>67184156.75</v>
      </c>
      <c r="E14" s="49">
        <f t="shared" si="4"/>
        <v>68655370.349999994</v>
      </c>
      <c r="F14" s="49">
        <f t="shared" si="4"/>
        <v>61199156.75</v>
      </c>
      <c r="G14" s="49">
        <f t="shared" si="4"/>
        <v>62028283</v>
      </c>
      <c r="H14" s="49">
        <f t="shared" si="4"/>
        <v>62679770</v>
      </c>
      <c r="I14" s="49">
        <f t="shared" si="4"/>
        <v>62679970</v>
      </c>
      <c r="J14" s="49">
        <f t="shared" si="4"/>
        <v>125759940</v>
      </c>
      <c r="K14" s="49">
        <f t="shared" si="4"/>
        <v>62879970</v>
      </c>
      <c r="L14" s="49">
        <f t="shared" si="4"/>
        <v>62879970</v>
      </c>
      <c r="M14" s="49">
        <f t="shared" si="4"/>
        <v>62880157</v>
      </c>
      <c r="N14" s="49">
        <f t="shared" si="4"/>
        <v>62880357</v>
      </c>
      <c r="O14" s="49">
        <f t="shared" si="4"/>
        <v>62886357</v>
      </c>
      <c r="P14" s="49">
        <f t="shared" si="4"/>
        <v>62886357</v>
      </c>
      <c r="Q14" s="49">
        <f t="shared" si="4"/>
        <v>125772714</v>
      </c>
      <c r="R14" s="49">
        <f t="shared" si="4"/>
        <v>62266877.140000001</v>
      </c>
      <c r="S14" s="49">
        <f t="shared" si="4"/>
        <v>63322087.310000002</v>
      </c>
      <c r="T14" s="49">
        <f t="shared" si="4"/>
        <v>126662176.28</v>
      </c>
      <c r="U14" s="49">
        <f t="shared" si="4"/>
        <v>63340088.140000001</v>
      </c>
      <c r="V14" s="49">
        <f t="shared" si="4"/>
        <v>63340088.140000001</v>
      </c>
      <c r="W14" s="49">
        <f t="shared" si="4"/>
        <v>63340088.140000001</v>
      </c>
      <c r="X14" s="49">
        <f t="shared" si="4"/>
        <v>63340088.140000001</v>
      </c>
      <c r="Y14" s="49">
        <f t="shared" si="4"/>
        <v>63342188.140000001</v>
      </c>
      <c r="Z14" s="49">
        <f t="shared" si="4"/>
        <v>190026564.41999999</v>
      </c>
      <c r="AA14" s="49">
        <f t="shared" si="4"/>
        <v>144892328.28</v>
      </c>
      <c r="AB14" s="49">
        <f t="shared" si="4"/>
        <v>362231820.69999999</v>
      </c>
      <c r="AC14" s="49">
        <f t="shared" si="4"/>
        <v>144892728.28</v>
      </c>
      <c r="AD14" s="49">
        <f t="shared" si="4"/>
        <v>217388290.74000001</v>
      </c>
      <c r="AE14" s="49">
        <f t="shared" si="4"/>
        <v>73072352.140000001</v>
      </c>
      <c r="AF14" s="49">
        <f t="shared" si="4"/>
        <v>70264643.140000001</v>
      </c>
      <c r="AG14" s="49">
        <f t="shared" si="4"/>
        <v>64994662.140000001</v>
      </c>
      <c r="AH14" s="49">
        <f t="shared" si="4"/>
        <v>74507237.74000001</v>
      </c>
      <c r="AI14" s="49">
        <f t="shared" si="4"/>
        <v>70273904.270000011</v>
      </c>
      <c r="AJ14" s="49">
        <f t="shared" si="4"/>
        <v>64470570.939999998</v>
      </c>
      <c r="AK14" s="49">
        <f t="shared" si="4"/>
        <v>64285634.420000002</v>
      </c>
      <c r="AL14" s="49">
        <f t="shared" si="4"/>
        <v>81501570.700000003</v>
      </c>
      <c r="AM14" s="49">
        <f t="shared" si="4"/>
        <v>92263913.579999998</v>
      </c>
      <c r="AN14" s="49">
        <f t="shared" si="4"/>
        <v>88712346.820000008</v>
      </c>
      <c r="AO14" s="49">
        <f t="shared" si="4"/>
        <v>88107124.179999992</v>
      </c>
      <c r="AP14" s="49">
        <f t="shared" si="4"/>
        <v>106299898.08</v>
      </c>
      <c r="AQ14" s="49">
        <f t="shared" si="4"/>
        <v>103308690.68000001</v>
      </c>
      <c r="AR14" s="49">
        <f t="shared" si="4"/>
        <v>102641025.94</v>
      </c>
      <c r="AS14" s="49">
        <f t="shared" si="4"/>
        <v>93008251.980000004</v>
      </c>
      <c r="AT14" s="49">
        <f t="shared" si="4"/>
        <v>101621487.47999999</v>
      </c>
      <c r="AU14" s="49">
        <f t="shared" si="4"/>
        <v>97263519.669999987</v>
      </c>
      <c r="AV14" s="49">
        <f t="shared" si="4"/>
        <v>90836034.710000008</v>
      </c>
      <c r="AW14" s="49">
        <f t="shared" si="4"/>
        <v>89344932.040000007</v>
      </c>
      <c r="AX14" s="49">
        <f t="shared" si="4"/>
        <v>87170571.140000001</v>
      </c>
      <c r="AY14" s="49">
        <f t="shared" si="4"/>
        <v>108433414.24000001</v>
      </c>
      <c r="AZ14" s="49">
        <f t="shared" si="4"/>
        <v>107949805.14</v>
      </c>
      <c r="BA14" s="49">
        <f t="shared" si="4"/>
        <v>262616655.24000001</v>
      </c>
      <c r="BB14" s="49">
        <f t="shared" si="4"/>
        <v>258635855.44999999</v>
      </c>
      <c r="BC14" s="49">
        <f t="shared" si="4"/>
        <v>263056026.21000001</v>
      </c>
      <c r="BD14" s="49">
        <f t="shared" si="4"/>
        <v>256145694.44</v>
      </c>
      <c r="BE14" s="49">
        <f t="shared" si="4"/>
        <v>247355248.54000002</v>
      </c>
      <c r="BF14" s="49">
        <f t="shared" si="4"/>
        <v>0</v>
      </c>
      <c r="BG14" s="49">
        <f t="shared" si="4"/>
        <v>251550057.43000001</v>
      </c>
      <c r="BH14" s="49">
        <f t="shared" si="4"/>
        <v>253244045.63</v>
      </c>
      <c r="BI14" s="49">
        <f t="shared" si="4"/>
        <v>251383892.63</v>
      </c>
      <c r="BJ14" s="49">
        <f t="shared" si="4"/>
        <v>253644420.03</v>
      </c>
      <c r="BK14" s="49">
        <f t="shared" si="4"/>
        <v>266289932.53</v>
      </c>
      <c r="BL14" s="49">
        <f t="shared" si="4"/>
        <v>266929298.13</v>
      </c>
      <c r="BM14" s="49">
        <f t="shared" si="4"/>
        <v>0</v>
      </c>
      <c r="BN14" s="49">
        <f t="shared" si="4"/>
        <v>795175947.80999994</v>
      </c>
      <c r="BO14" s="49">
        <f t="shared" si="4"/>
        <v>259648709.30000001</v>
      </c>
      <c r="BP14" s="49">
        <f t="shared" ref="BP14:CT14" si="5">BP15+BP16+BP17+BP18+BP19+BP20+BP21</f>
        <v>277533951.81999999</v>
      </c>
      <c r="BQ14" s="49">
        <f t="shared" si="5"/>
        <v>539621845.84000003</v>
      </c>
      <c r="BR14" s="49">
        <f t="shared" si="5"/>
        <v>269498020.88</v>
      </c>
      <c r="BS14" s="49">
        <f t="shared" si="5"/>
        <v>103421319.41999999</v>
      </c>
      <c r="BT14" s="49">
        <f t="shared" si="5"/>
        <v>273469625.06</v>
      </c>
      <c r="BU14" s="49">
        <f t="shared" si="5"/>
        <v>269893419.96000004</v>
      </c>
      <c r="BV14" s="49">
        <f t="shared" si="5"/>
        <v>270345360.36000001</v>
      </c>
      <c r="BW14" s="49">
        <f t="shared" si="5"/>
        <v>273311685.53999996</v>
      </c>
      <c r="BX14" s="49">
        <f t="shared" si="5"/>
        <v>272392912.34000003</v>
      </c>
      <c r="BY14" s="49">
        <f t="shared" si="5"/>
        <v>107259140.00999999</v>
      </c>
      <c r="BZ14" s="49">
        <f t="shared" si="5"/>
        <v>106839876.61000001</v>
      </c>
      <c r="CA14" s="49">
        <f t="shared" si="5"/>
        <v>88448521.819999993</v>
      </c>
      <c r="CB14" s="49">
        <f t="shared" si="5"/>
        <v>88448521.819999993</v>
      </c>
      <c r="CC14" s="49">
        <f t="shared" si="5"/>
        <v>88448521.819999993</v>
      </c>
      <c r="CD14" s="49">
        <f t="shared" si="5"/>
        <v>0</v>
      </c>
      <c r="CE14" s="49">
        <f t="shared" si="5"/>
        <v>0</v>
      </c>
      <c r="CF14" s="49">
        <f t="shared" si="5"/>
        <v>88168010.680000007</v>
      </c>
      <c r="CG14" s="49">
        <f t="shared" si="5"/>
        <v>105574024.96000001</v>
      </c>
      <c r="CH14" s="49">
        <f t="shared" si="5"/>
        <v>103526762.56999999</v>
      </c>
      <c r="CI14" s="49">
        <f t="shared" si="5"/>
        <v>80176044.379999995</v>
      </c>
      <c r="CJ14" s="49">
        <f t="shared" si="5"/>
        <v>82817660.469999999</v>
      </c>
      <c r="CK14" s="49">
        <f t="shared" si="5"/>
        <v>82565957.300000012</v>
      </c>
      <c r="CL14" s="49">
        <f t="shared" si="5"/>
        <v>93332775.390000015</v>
      </c>
      <c r="CM14" s="49">
        <f t="shared" si="5"/>
        <v>108839295.59</v>
      </c>
      <c r="CN14" s="49">
        <f t="shared" si="5"/>
        <v>106668851.39000002</v>
      </c>
      <c r="CO14" s="49">
        <f t="shared" si="5"/>
        <v>108422368.09</v>
      </c>
      <c r="CP14" s="49">
        <f t="shared" si="5"/>
        <v>106550583.69</v>
      </c>
      <c r="CQ14" s="49">
        <f t="shared" si="5"/>
        <v>97982753.730000019</v>
      </c>
      <c r="CR14" s="49">
        <f t="shared" si="5"/>
        <v>101226144.94999999</v>
      </c>
      <c r="CS14" s="49">
        <f t="shared" si="5"/>
        <v>108970144.53</v>
      </c>
      <c r="CT14" s="49">
        <f t="shared" si="5"/>
        <v>257090359.82999998</v>
      </c>
    </row>
    <row r="15" spans="1:103" x14ac:dyDescent="0.3">
      <c r="A15" s="27" t="s">
        <v>197</v>
      </c>
      <c r="B15" s="28" t="s">
        <v>198</v>
      </c>
      <c r="C15" s="48">
        <f>'Evolutive SFP'!B38</f>
        <v>53318338.600000001</v>
      </c>
      <c r="D15" s="48">
        <f>'Evolutive SFP'!C38</f>
        <v>53578122.75</v>
      </c>
      <c r="E15" s="48">
        <f>'Evolutive SFP'!D38</f>
        <v>54397850</v>
      </c>
      <c r="F15" s="48">
        <f>'Evolutive SFP'!E38</f>
        <v>53593122.75</v>
      </c>
      <c r="G15" s="48">
        <f>'Evolutive SFP'!F38</f>
        <v>54422249</v>
      </c>
      <c r="H15" s="48">
        <f>'Evolutive SFP'!G38</f>
        <v>54422249</v>
      </c>
      <c r="I15" s="48">
        <f>'Evolutive SFP'!H38</f>
        <v>54422449</v>
      </c>
      <c r="J15" s="48">
        <f>'Evolutive SFP'!I38</f>
        <v>109244898</v>
      </c>
      <c r="K15" s="48">
        <f>'Evolutive SFP'!J38</f>
        <v>54622449</v>
      </c>
      <c r="L15" s="48">
        <f>'Evolutive SFP'!K38</f>
        <v>54622449</v>
      </c>
      <c r="M15" s="48">
        <f>'Evolutive SFP'!L38</f>
        <v>54622636</v>
      </c>
      <c r="N15" s="48">
        <f>'Evolutive SFP'!M38</f>
        <v>54622836</v>
      </c>
      <c r="O15" s="48">
        <f>'Evolutive SFP'!N38</f>
        <v>54628836</v>
      </c>
      <c r="P15" s="48">
        <f>'Evolutive SFP'!O38</f>
        <v>54628836</v>
      </c>
      <c r="Q15" s="48">
        <f>'Evolutive SFP'!P38</f>
        <v>109257672</v>
      </c>
      <c r="R15" s="48">
        <f>'Evolutive SFP'!Q38</f>
        <v>54009356.140000001</v>
      </c>
      <c r="S15" s="48">
        <f>'Evolutive SFP'!R38</f>
        <v>54009355.310000002</v>
      </c>
      <c r="T15" s="48">
        <f>'Evolutive SFP'!S38</f>
        <v>108036712.28</v>
      </c>
      <c r="U15" s="48">
        <f>'Evolutive SFP'!T38</f>
        <v>54027356.140000001</v>
      </c>
      <c r="V15" s="48">
        <f>'Evolutive SFP'!U38</f>
        <v>54027356.140000001</v>
      </c>
      <c r="W15" s="48">
        <f>'Evolutive SFP'!V38</f>
        <v>54027356.140000001</v>
      </c>
      <c r="X15" s="48">
        <f>'Evolutive SFP'!W38</f>
        <v>54027356.140000001</v>
      </c>
      <c r="Y15" s="48">
        <f>'Evolutive SFP'!X38</f>
        <v>54029456.140000001</v>
      </c>
      <c r="Z15" s="48">
        <f>'Evolutive SFP'!Y38</f>
        <v>162088368.41999999</v>
      </c>
      <c r="AA15" s="48">
        <f>'Evolutive SFP'!Z38</f>
        <v>126266864.28</v>
      </c>
      <c r="AB15" s="48">
        <f>'Evolutive SFP'!AA38</f>
        <v>315668160.69999999</v>
      </c>
      <c r="AC15" s="48">
        <f>'Evolutive SFP'!AB38</f>
        <v>126267264.28</v>
      </c>
      <c r="AD15" s="48">
        <f>'Evolutive SFP'!AC38</f>
        <v>189450094.74000001</v>
      </c>
      <c r="AE15" s="48">
        <f>'Evolutive SFP'!AD38</f>
        <v>63759620.140000001</v>
      </c>
      <c r="AF15" s="48">
        <f>'Evolutive SFP'!AE38</f>
        <v>63759620.140000001</v>
      </c>
      <c r="AG15" s="48">
        <f>'Evolutive SFP'!AF38</f>
        <v>63759620.140000001</v>
      </c>
      <c r="AH15" s="48">
        <f>'Evolutive SFP'!AG38</f>
        <v>63763720.140000001</v>
      </c>
      <c r="AI15" s="48">
        <f>'Evolutive SFP'!AH38</f>
        <v>63763720.140000001</v>
      </c>
      <c r="AJ15" s="48">
        <f>'Evolutive SFP'!AI38</f>
        <v>63763720.140000001</v>
      </c>
      <c r="AK15" s="48">
        <f>'Evolutive SFP'!AJ38</f>
        <v>63766169.579999998</v>
      </c>
      <c r="AL15" s="48">
        <f>'Evolutive SFP'!AK38</f>
        <v>63766169.5</v>
      </c>
      <c r="AM15" s="48">
        <f>'Evolutive SFP'!AL38</f>
        <v>63766969.579999998</v>
      </c>
      <c r="AN15" s="48">
        <f>'Evolutive SFP'!AM38</f>
        <v>63766969.520000003</v>
      </c>
      <c r="AO15" s="48">
        <f>'Evolutive SFP'!AN38</f>
        <v>63766969.579999998</v>
      </c>
      <c r="AP15" s="48">
        <f>'Evolutive SFP'!AO38</f>
        <v>63766969.579999998</v>
      </c>
      <c r="AQ15" s="48">
        <f>'Evolutive SFP'!AP38</f>
        <v>63771970.079999998</v>
      </c>
      <c r="AR15" s="48">
        <f>'Evolutive SFP'!AQ38</f>
        <v>71383883.140000001</v>
      </c>
      <c r="AS15" s="48">
        <f>'Evolutive SFP'!AR38</f>
        <v>71383883.140000001</v>
      </c>
      <c r="AT15" s="48">
        <f>'Evolutive SFP'!AS38</f>
        <v>71383883.079999998</v>
      </c>
      <c r="AU15" s="48">
        <f>'Evolutive SFP'!AT38</f>
        <v>71383883.129999995</v>
      </c>
      <c r="AV15" s="48">
        <f>'Evolutive SFP'!AU38</f>
        <v>71383883.140000001</v>
      </c>
      <c r="AW15" s="48">
        <f>'Evolutive SFP'!AV38</f>
        <v>71383883.140000001</v>
      </c>
      <c r="AX15" s="48">
        <f>'Evolutive SFP'!AW38</f>
        <v>71383883.140000001</v>
      </c>
      <c r="AY15" s="48">
        <f>'Evolutive SFP'!AX38</f>
        <v>71383883.140000001</v>
      </c>
      <c r="AZ15" s="48">
        <f>'Evolutive SFP'!AY38</f>
        <v>71383883.140000001</v>
      </c>
      <c r="BA15" s="48">
        <f>'Evolutive SFP'!AZ38</f>
        <v>71383883.140000001</v>
      </c>
      <c r="BB15" s="48">
        <f>'Evolutive SFP'!BA38</f>
        <v>71383883.150000006</v>
      </c>
      <c r="BC15" s="48">
        <f>'Evolutive SFP'!BB38</f>
        <v>71383883.109999999</v>
      </c>
      <c r="BD15" s="48">
        <f>'Evolutive SFP'!BC38</f>
        <v>71383883.140000001</v>
      </c>
      <c r="BE15" s="48">
        <f>'Evolutive SFP'!BD38</f>
        <v>72827883.140000001</v>
      </c>
      <c r="BF15" s="48">
        <f>'Evolutive SFP'!BE38</f>
        <v>0</v>
      </c>
      <c r="BG15" s="48">
        <f>'Evolutive SFP'!BF38</f>
        <v>72827883.129999995</v>
      </c>
      <c r="BH15" s="48">
        <f>'Evolutive SFP'!BG38</f>
        <v>72827883.129999995</v>
      </c>
      <c r="BI15" s="48">
        <f>'Evolutive SFP'!BH38</f>
        <v>72827883.129999995</v>
      </c>
      <c r="BJ15" s="48">
        <f>'Evolutive SFP'!BI38</f>
        <v>72827883.129999995</v>
      </c>
      <c r="BK15" s="48">
        <f>'Evolutive SFP'!BJ38</f>
        <v>72827883.129999995</v>
      </c>
      <c r="BL15" s="48">
        <f>'Evolutive SFP'!BK38</f>
        <v>72827883.129999995</v>
      </c>
      <c r="BM15" s="48">
        <f>'Evolutive SFP'!BL38</f>
        <v>0</v>
      </c>
      <c r="BN15" s="48">
        <f>'Evolutive SFP'!BM38</f>
        <v>218483649.38999999</v>
      </c>
      <c r="BO15" s="48">
        <f>'Evolutive SFP'!BN38</f>
        <v>72827883.099999994</v>
      </c>
      <c r="BP15" s="48">
        <f>'Evolutive SFP'!BO38</f>
        <v>72827883.120000005</v>
      </c>
      <c r="BQ15" s="48">
        <f>'Evolutive SFP'!BP38</f>
        <v>145655766.24000001</v>
      </c>
      <c r="BR15" s="48">
        <f>'Evolutive SFP'!BQ38</f>
        <v>72827883.140000001</v>
      </c>
      <c r="BS15" s="48">
        <f>'Evolutive SFP'!BR38</f>
        <v>72827883</v>
      </c>
      <c r="BT15" s="48">
        <f>'Evolutive SFP'!BS38</f>
        <v>72827883.140000001</v>
      </c>
      <c r="BU15" s="48">
        <f>'Evolutive SFP'!BT38</f>
        <v>72827883.140000001</v>
      </c>
      <c r="BV15" s="48">
        <f>'Evolutive SFP'!BU38</f>
        <v>72827883.140000001</v>
      </c>
      <c r="BW15" s="48">
        <f>'Evolutive SFP'!BV38</f>
        <v>72827883.140000001</v>
      </c>
      <c r="BX15" s="48">
        <f>'Evolutive SFP'!BW38</f>
        <v>72827883.140000001</v>
      </c>
      <c r="BY15" s="48">
        <f>'Evolutive SFP'!BX38</f>
        <v>72827883.140000001</v>
      </c>
      <c r="BZ15" s="48">
        <f>'Evolutive SFP'!BY38</f>
        <v>72827883.140000001</v>
      </c>
      <c r="CA15" s="48">
        <f>'Evolutive SFP'!BZ38</f>
        <v>72827883.140000001</v>
      </c>
      <c r="CB15" s="48">
        <f>'Evolutive SFP'!CA38</f>
        <v>72827883.140000001</v>
      </c>
      <c r="CC15" s="48">
        <f>'Evolutive SFP'!CB38</f>
        <v>72827883.140000001</v>
      </c>
      <c r="CD15" s="48">
        <f>'Evolutive SFP'!CC38</f>
        <v>0</v>
      </c>
      <c r="CE15" s="48">
        <f>'Evolutive SFP'!CD38</f>
        <v>0</v>
      </c>
      <c r="CF15" s="48">
        <f>'Evolutive SFP'!CE38</f>
        <v>74083883.140000001</v>
      </c>
      <c r="CG15" s="48">
        <f>'Evolutive SFP'!CF38</f>
        <v>74083883.150000006</v>
      </c>
      <c r="CH15" s="48">
        <f>'Evolutive SFP'!CG38</f>
        <v>74083883.150000006</v>
      </c>
      <c r="CI15" s="48">
        <f>'Evolutive SFP'!CH38</f>
        <v>74083883.150000006</v>
      </c>
      <c r="CJ15" s="48">
        <f>'Evolutive SFP'!CI38</f>
        <v>74083883.150000006</v>
      </c>
      <c r="CK15" s="48">
        <f>'Evolutive SFP'!CJ38</f>
        <v>74083883.150000006</v>
      </c>
      <c r="CL15" s="48">
        <f>'Evolutive SFP'!CK38</f>
        <v>74083883.150000006</v>
      </c>
      <c r="CM15" s="48">
        <f>'Evolutive SFP'!CL38</f>
        <v>74083883.150000006</v>
      </c>
      <c r="CN15" s="48">
        <f>'Evolutive SFP'!CM38</f>
        <v>74083883.150000006</v>
      </c>
      <c r="CO15" s="48">
        <f>'Evolutive SFP'!CN38</f>
        <v>74083883.150000006</v>
      </c>
      <c r="CP15" s="48">
        <f>'Evolutive SFP'!CO38</f>
        <v>74083883.150000006</v>
      </c>
      <c r="CQ15" s="48">
        <f>'Evolutive SFP'!CP38</f>
        <v>74083883.150000006</v>
      </c>
      <c r="CR15" s="48">
        <f>'Evolutive SFP'!CQ38</f>
        <v>74083883.140000001</v>
      </c>
      <c r="CS15" s="48">
        <f>'Evolutive SFP'!CR38</f>
        <v>75885883.140000001</v>
      </c>
      <c r="CT15" s="48">
        <f>'Evolutive SFP'!CS38</f>
        <v>75885883.159999996</v>
      </c>
    </row>
    <row r="16" spans="1:103" x14ac:dyDescent="0.3">
      <c r="A16" s="27" t="s">
        <v>199</v>
      </c>
      <c r="B16" s="29" t="s">
        <v>200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</row>
    <row r="17" spans="1:98" x14ac:dyDescent="0.3">
      <c r="A17" s="27" t="s">
        <v>201</v>
      </c>
      <c r="B17" s="26" t="s">
        <v>101</v>
      </c>
      <c r="C17" s="48">
        <f>'Evolutive SFP'!B40</f>
        <v>0</v>
      </c>
      <c r="D17" s="48">
        <f>'Evolutive SFP'!C40</f>
        <v>0</v>
      </c>
      <c r="E17" s="48">
        <f>'Evolutive SFP'!D40</f>
        <v>0</v>
      </c>
      <c r="F17" s="48">
        <f>'Evolutive SFP'!E40</f>
        <v>0</v>
      </c>
      <c r="G17" s="48">
        <f>'Evolutive SFP'!F40</f>
        <v>0</v>
      </c>
      <c r="H17" s="48">
        <f>'Evolutive SFP'!G40</f>
        <v>0</v>
      </c>
      <c r="I17" s="48">
        <f>'Evolutive SFP'!H40</f>
        <v>0</v>
      </c>
      <c r="J17" s="48">
        <f>'Evolutive SFP'!I40</f>
        <v>0</v>
      </c>
      <c r="K17" s="48">
        <f>'Evolutive SFP'!J40</f>
        <v>0</v>
      </c>
      <c r="L17" s="48">
        <f>'Evolutive SFP'!K40</f>
        <v>0</v>
      </c>
      <c r="M17" s="48">
        <f>'Evolutive SFP'!L40</f>
        <v>0</v>
      </c>
      <c r="N17" s="48">
        <f>'Evolutive SFP'!M40</f>
        <v>0</v>
      </c>
      <c r="O17" s="48">
        <f>'Evolutive SFP'!N40</f>
        <v>0</v>
      </c>
      <c r="P17" s="48">
        <f>'Evolutive SFP'!O40</f>
        <v>0</v>
      </c>
      <c r="Q17" s="48">
        <f>'Evolutive SFP'!P40</f>
        <v>0</v>
      </c>
      <c r="R17" s="48">
        <f>'Evolutive SFP'!Q40</f>
        <v>0</v>
      </c>
      <c r="S17" s="48">
        <f>'Evolutive SFP'!R40</f>
        <v>0</v>
      </c>
      <c r="T17" s="48">
        <f>'Evolutive SFP'!S40</f>
        <v>0</v>
      </c>
      <c r="U17" s="48">
        <f>'Evolutive SFP'!T40</f>
        <v>0</v>
      </c>
      <c r="V17" s="48">
        <f>'Evolutive SFP'!U40</f>
        <v>0</v>
      </c>
      <c r="W17" s="48">
        <f>'Evolutive SFP'!V40</f>
        <v>0</v>
      </c>
      <c r="X17" s="48">
        <f>'Evolutive SFP'!W40</f>
        <v>0</v>
      </c>
      <c r="Y17" s="48">
        <f>'Evolutive SFP'!X40</f>
        <v>0</v>
      </c>
      <c r="Z17" s="48">
        <f>'Evolutive SFP'!Y40</f>
        <v>0</v>
      </c>
      <c r="AA17" s="48">
        <f>'Evolutive SFP'!Z40</f>
        <v>0</v>
      </c>
      <c r="AB17" s="48">
        <f>'Evolutive SFP'!AA40</f>
        <v>0</v>
      </c>
      <c r="AC17" s="48">
        <f>'Evolutive SFP'!AB40</f>
        <v>0</v>
      </c>
      <c r="AD17" s="48">
        <f>'Evolutive SFP'!AC40</f>
        <v>0</v>
      </c>
      <c r="AE17" s="48">
        <f>'Evolutive SFP'!AD40</f>
        <v>0</v>
      </c>
      <c r="AF17" s="48">
        <f>'Evolutive SFP'!AE40</f>
        <v>-4882771</v>
      </c>
      <c r="AG17" s="48">
        <f>'Evolutive SFP'!AF40</f>
        <v>-8077690</v>
      </c>
      <c r="AH17" s="48">
        <f>'Evolutive SFP'!AG40</f>
        <v>-644276.40000000037</v>
      </c>
      <c r="AI17" s="48">
        <f>'Evolutive SFP'!AH40</f>
        <v>-4877609.87</v>
      </c>
      <c r="AJ17" s="48">
        <f>'Evolutive SFP'!AI40</f>
        <v>-10680943.199999999</v>
      </c>
      <c r="AK17" s="48">
        <f>'Evolutive SFP'!AJ40</f>
        <v>-10868329.16</v>
      </c>
      <c r="AL17" s="48">
        <f>'Evolutive SFP'!AK40</f>
        <v>6347607.1999999993</v>
      </c>
      <c r="AM17" s="48">
        <f>'Evolutive SFP'!AL40</f>
        <v>17109150</v>
      </c>
      <c r="AN17" s="48">
        <f>'Evolutive SFP'!AM40</f>
        <v>13557583.300000001</v>
      </c>
      <c r="AO17" s="48">
        <f>'Evolutive SFP'!AN40</f>
        <v>12952360.6</v>
      </c>
      <c r="AP17" s="48">
        <f>'Evolutive SFP'!AO40</f>
        <v>31145134.5</v>
      </c>
      <c r="AQ17" s="48">
        <f>'Evolutive SFP'!AP40</f>
        <v>28148926.600000001</v>
      </c>
      <c r="AR17" s="48">
        <f>'Evolutive SFP'!AQ40</f>
        <v>19869348.800000001</v>
      </c>
      <c r="AS17" s="48">
        <f>'Evolutive SFP'!AR40</f>
        <v>6078993.4499999993</v>
      </c>
      <c r="AT17" s="48">
        <f>'Evolutive SFP'!AS40</f>
        <v>18849810.399999999</v>
      </c>
      <c r="AU17" s="48">
        <f>'Evolutive SFP'!AT40</f>
        <v>11001401.539999999</v>
      </c>
      <c r="AV17" s="48">
        <f>'Evolutive SFP'!AU40</f>
        <v>4573916.57</v>
      </c>
      <c r="AW17" s="48">
        <f>'Evolutive SFP'!AV40</f>
        <v>3082813.9</v>
      </c>
      <c r="AX17" s="48">
        <f>'Evolutive SFP'!AW40</f>
        <v>908453</v>
      </c>
      <c r="AY17" s="48">
        <f>'Evolutive SFP'!AX40</f>
        <v>22171296.100000001</v>
      </c>
      <c r="AZ17" s="48">
        <f>'Evolutive SFP'!AY40</f>
        <v>21687687</v>
      </c>
      <c r="BA17" s="48">
        <f>'Evolutive SFP'!AZ40</f>
        <v>20322587.100000001</v>
      </c>
      <c r="BB17" s="48">
        <f>'Evolutive SFP'!BA40</f>
        <v>16341787.300000001</v>
      </c>
      <c r="BC17" s="48">
        <f>'Evolutive SFP'!BB40</f>
        <v>20761958.100000001</v>
      </c>
      <c r="BD17" s="48">
        <f>'Evolutive SFP'!BC40</f>
        <v>13851626.300000001</v>
      </c>
      <c r="BE17" s="48">
        <f>'Evolutive SFP'!BD40</f>
        <v>3617180.4</v>
      </c>
      <c r="BF17" s="48">
        <f>'Evolutive SFP'!BE40</f>
        <v>0</v>
      </c>
      <c r="BG17" s="48">
        <f>'Evolutive SFP'!BF40</f>
        <v>7811989.2999999998</v>
      </c>
      <c r="BH17" s="48">
        <f>'Evolutive SFP'!BG40</f>
        <v>9505977.5</v>
      </c>
      <c r="BI17" s="48">
        <f>'Evolutive SFP'!BH40</f>
        <v>-2064102.5</v>
      </c>
      <c r="BJ17" s="48">
        <f>'Evolutive SFP'!BI40</f>
        <v>196424.90000000037</v>
      </c>
      <c r="BK17" s="48">
        <f>'Evolutive SFP'!BJ40</f>
        <v>12841937.4</v>
      </c>
      <c r="BL17" s="48">
        <f>'Evolutive SFP'!BK40</f>
        <v>13481303</v>
      </c>
      <c r="BM17" s="48">
        <f>'Evolutive SFP'!BL40</f>
        <v>0</v>
      </c>
      <c r="BN17" s="48">
        <f>'Evolutive SFP'!BM40</f>
        <v>34831962.420000002</v>
      </c>
      <c r="BO17" s="48">
        <f>'Evolutive SFP'!BN40</f>
        <v>6200714.2000000002</v>
      </c>
      <c r="BP17" s="48">
        <f>'Evolutive SFP'!BO40</f>
        <v>24085956.699999999</v>
      </c>
      <c r="BQ17" s="48">
        <f>'Evolutive SFP'!BP40</f>
        <v>32725855.600000001</v>
      </c>
      <c r="BR17" s="48">
        <f>'Evolutive SFP'!BQ40</f>
        <v>16050026.060000001</v>
      </c>
      <c r="BS17" s="48">
        <f>'Evolutive SFP'!BR40</f>
        <v>14972797.629999999</v>
      </c>
      <c r="BT17" s="48">
        <f>'Evolutive SFP'!BS40</f>
        <v>20021630.239999998</v>
      </c>
      <c r="BU17" s="48">
        <f>'Evolutive SFP'!BT40</f>
        <v>16445425.139999999</v>
      </c>
      <c r="BV17" s="48">
        <f>'Evolutive SFP'!BU40</f>
        <v>16897365.539999999</v>
      </c>
      <c r="BW17" s="48">
        <f>'Evolutive SFP'!BV40</f>
        <v>19863690.739999998</v>
      </c>
      <c r="BX17" s="48">
        <f>'Evolutive SFP'!BW40</f>
        <v>18944917.539999999</v>
      </c>
      <c r="BY17" s="48">
        <f>'Evolutive SFP'!BX40</f>
        <v>18810618.189999998</v>
      </c>
      <c r="BZ17" s="48">
        <f>'Evolutive SFP'!BY40</f>
        <v>18391354.789999999</v>
      </c>
      <c r="CA17" s="48">
        <f>'Evolutive SFP'!BZ40</f>
        <v>0</v>
      </c>
      <c r="CB17" s="48">
        <f>'Evolutive SFP'!CA40</f>
        <v>0</v>
      </c>
      <c r="CC17" s="48">
        <f>'Evolutive SFP'!CB40</f>
        <v>0</v>
      </c>
      <c r="CD17" s="48">
        <f>'Evolutive SFP'!CC40</f>
        <v>0</v>
      </c>
      <c r="CE17" s="48">
        <f>'Evolutive SFP'!CD40</f>
        <v>0</v>
      </c>
      <c r="CF17" s="48">
        <f>'Evolutive SFP'!CE40</f>
        <v>-2188704.5299999998</v>
      </c>
      <c r="CG17" s="48">
        <f>'Evolutive SFP'!CF40</f>
        <v>15869503.129999999</v>
      </c>
      <c r="CH17" s="48">
        <f>'Evolutive SFP'!CG40</f>
        <v>13822240.739999998</v>
      </c>
      <c r="CI17" s="48">
        <f>'Evolutive SFP'!CH40</f>
        <v>-9528477.4499999993</v>
      </c>
      <c r="CJ17" s="48">
        <f>'Evolutive SFP'!CI40</f>
        <v>-6886861.3600000003</v>
      </c>
      <c r="CK17" s="48">
        <f>'Evolutive SFP'!CJ40</f>
        <v>-7138564.5299999993</v>
      </c>
      <c r="CL17" s="48">
        <f>'Evolutive SFP'!CK40</f>
        <v>2976060.1700000004</v>
      </c>
      <c r="CM17" s="48">
        <f>'Evolutive SFP'!CL40</f>
        <v>18482580.369999997</v>
      </c>
      <c r="CN17" s="48">
        <f>'Evolutive SFP'!CM40</f>
        <v>16312136.17</v>
      </c>
      <c r="CO17" s="48">
        <f>'Evolutive SFP'!CN40</f>
        <v>18065652.869999997</v>
      </c>
      <c r="CP17" s="48">
        <f>'Evolutive SFP'!CO40</f>
        <v>16193868.470000001</v>
      </c>
      <c r="CQ17" s="48">
        <f>'Evolutive SFP'!CP40</f>
        <v>7626038.5099999998</v>
      </c>
      <c r="CR17" s="48">
        <f>'Evolutive SFP'!CQ40</f>
        <v>10869429.74</v>
      </c>
      <c r="CS17" s="48">
        <f>'Evolutive SFP'!CR40</f>
        <v>2211402.89</v>
      </c>
      <c r="CT17" s="48">
        <f>'Evolutive SFP'!CS40</f>
        <v>0</v>
      </c>
    </row>
    <row r="18" spans="1:98" x14ac:dyDescent="0.3">
      <c r="A18" s="27" t="s">
        <v>202</v>
      </c>
      <c r="B18" s="26" t="s">
        <v>203</v>
      </c>
      <c r="C18" s="48">
        <f>'Evolutive SFP'!B46</f>
        <v>2000000</v>
      </c>
      <c r="D18" s="48">
        <f>'Evolutive SFP'!C46</f>
        <v>3000000</v>
      </c>
      <c r="E18" s="48">
        <f>'Evolutive SFP'!D46</f>
        <v>3000000</v>
      </c>
      <c r="F18" s="48">
        <f>'Evolutive SFP'!E46</f>
        <v>0</v>
      </c>
      <c r="G18" s="48">
        <f>'Evolutive SFP'!F46</f>
        <v>0</v>
      </c>
      <c r="H18" s="48">
        <f>'Evolutive SFP'!G46</f>
        <v>0</v>
      </c>
      <c r="I18" s="48">
        <f>'Evolutive SFP'!H46</f>
        <v>0</v>
      </c>
      <c r="J18" s="48">
        <f>'Evolutive SFP'!I46</f>
        <v>0</v>
      </c>
      <c r="K18" s="48">
        <f>'Evolutive SFP'!J46</f>
        <v>0</v>
      </c>
      <c r="L18" s="48">
        <f>'Evolutive SFP'!K46</f>
        <v>0</v>
      </c>
      <c r="M18" s="48">
        <f>'Evolutive SFP'!L46</f>
        <v>0</v>
      </c>
      <c r="N18" s="48">
        <f>'Evolutive SFP'!M46</f>
        <v>0</v>
      </c>
      <c r="O18" s="48">
        <f>'Evolutive SFP'!N46</f>
        <v>0</v>
      </c>
      <c r="P18" s="48">
        <f>'Evolutive SFP'!O46</f>
        <v>0</v>
      </c>
      <c r="Q18" s="48">
        <f>'Evolutive SFP'!P46</f>
        <v>0</v>
      </c>
      <c r="R18" s="48">
        <f>'Evolutive SFP'!Q46</f>
        <v>0</v>
      </c>
      <c r="S18" s="48">
        <f>'Evolutive SFP'!R46</f>
        <v>0</v>
      </c>
      <c r="T18" s="48">
        <f>'Evolutive SFP'!S46</f>
        <v>0</v>
      </c>
      <c r="U18" s="48">
        <f>'Evolutive SFP'!T46</f>
        <v>0</v>
      </c>
      <c r="V18" s="48">
        <f>'Evolutive SFP'!U46</f>
        <v>0</v>
      </c>
      <c r="W18" s="48">
        <f>'Evolutive SFP'!V46</f>
        <v>0</v>
      </c>
      <c r="X18" s="48">
        <f>'Evolutive SFP'!W46</f>
        <v>0</v>
      </c>
      <c r="Y18" s="48">
        <f>'Evolutive SFP'!X46</f>
        <v>0</v>
      </c>
      <c r="Z18" s="48">
        <f>'Evolutive SFP'!Y46</f>
        <v>0</v>
      </c>
      <c r="AA18" s="48">
        <f>'Evolutive SFP'!Z46</f>
        <v>0</v>
      </c>
      <c r="AB18" s="48">
        <f>'Evolutive SFP'!AA46</f>
        <v>0</v>
      </c>
      <c r="AC18" s="48">
        <f>'Evolutive SFP'!AB46</f>
        <v>0</v>
      </c>
      <c r="AD18" s="48">
        <f>'Evolutive SFP'!AC46</f>
        <v>0</v>
      </c>
      <c r="AE18" s="48">
        <f>'Evolutive SFP'!AD46</f>
        <v>0</v>
      </c>
      <c r="AF18" s="48">
        <f>'Evolutive SFP'!AE46</f>
        <v>0</v>
      </c>
      <c r="AG18" s="48">
        <f>'Evolutive SFP'!AF46</f>
        <v>0</v>
      </c>
      <c r="AH18" s="48">
        <f>'Evolutive SFP'!AG46</f>
        <v>0</v>
      </c>
      <c r="AI18" s="48">
        <f>'Evolutive SFP'!AH46</f>
        <v>0</v>
      </c>
      <c r="AJ18" s="48">
        <f>'Evolutive SFP'!AI46</f>
        <v>0</v>
      </c>
      <c r="AK18" s="48">
        <f>'Evolutive SFP'!AJ46</f>
        <v>0</v>
      </c>
      <c r="AL18" s="48">
        <f>'Evolutive SFP'!AK46</f>
        <v>0</v>
      </c>
      <c r="AM18" s="48">
        <f>'Evolutive SFP'!AL46</f>
        <v>0</v>
      </c>
      <c r="AN18" s="48">
        <f>'Evolutive SFP'!AM46</f>
        <v>0</v>
      </c>
      <c r="AO18" s="48">
        <f>'Evolutive SFP'!AN46</f>
        <v>0</v>
      </c>
      <c r="AP18" s="48">
        <f>'Evolutive SFP'!AO46</f>
        <v>0</v>
      </c>
      <c r="AQ18" s="48">
        <f>'Evolutive SFP'!AP46</f>
        <v>0</v>
      </c>
      <c r="AR18" s="48">
        <f>'Evolutive SFP'!AQ46</f>
        <v>0</v>
      </c>
      <c r="AS18" s="48">
        <f>'Evolutive SFP'!AR46</f>
        <v>0</v>
      </c>
      <c r="AT18" s="48">
        <f>'Evolutive SFP'!AS46</f>
        <v>0</v>
      </c>
      <c r="AU18" s="48">
        <f>'Evolutive SFP'!AT46</f>
        <v>0</v>
      </c>
      <c r="AV18" s="48">
        <f>'Evolutive SFP'!AU46</f>
        <v>0</v>
      </c>
      <c r="AW18" s="48">
        <f>'Evolutive SFP'!AV46</f>
        <v>0</v>
      </c>
      <c r="AX18" s="48">
        <f>'Evolutive SFP'!AW46</f>
        <v>0</v>
      </c>
      <c r="AY18" s="48">
        <f>'Evolutive SFP'!AX46</f>
        <v>0</v>
      </c>
      <c r="AZ18" s="48">
        <f>'Evolutive SFP'!AY46</f>
        <v>0</v>
      </c>
      <c r="BA18" s="48">
        <f>'Evolutive SFP'!AZ46</f>
        <v>0</v>
      </c>
      <c r="BB18" s="48">
        <f>'Evolutive SFP'!BA46</f>
        <v>0</v>
      </c>
      <c r="BC18" s="48">
        <f>'Evolutive SFP'!BB46</f>
        <v>0</v>
      </c>
      <c r="BD18" s="48">
        <f>'Evolutive SFP'!BC46</f>
        <v>0</v>
      </c>
      <c r="BE18" s="48">
        <f>'Evolutive SFP'!BD46</f>
        <v>0</v>
      </c>
      <c r="BF18" s="48">
        <f>'Evolutive SFP'!BE46</f>
        <v>0</v>
      </c>
      <c r="BG18" s="48">
        <f>'Evolutive SFP'!BF46</f>
        <v>0</v>
      </c>
      <c r="BH18" s="48">
        <f>'Evolutive SFP'!BG46</f>
        <v>0</v>
      </c>
      <c r="BI18" s="48">
        <f>'Evolutive SFP'!BH46</f>
        <v>0</v>
      </c>
      <c r="BJ18" s="48">
        <f>'Evolutive SFP'!BI46</f>
        <v>0</v>
      </c>
      <c r="BK18" s="48">
        <f>'Evolutive SFP'!BJ46</f>
        <v>0</v>
      </c>
      <c r="BL18" s="48">
        <f>'Evolutive SFP'!BK46</f>
        <v>0</v>
      </c>
      <c r="BM18" s="48">
        <f>'Evolutive SFP'!BL46</f>
        <v>0</v>
      </c>
      <c r="BN18" s="48">
        <f>'Evolutive SFP'!BM46</f>
        <v>0</v>
      </c>
      <c r="BO18" s="48">
        <f>'Evolutive SFP'!BN46</f>
        <v>0</v>
      </c>
      <c r="BP18" s="48">
        <f>'Evolutive SFP'!BO46</f>
        <v>0</v>
      </c>
      <c r="BQ18" s="48">
        <f>'Evolutive SFP'!BP46</f>
        <v>0</v>
      </c>
      <c r="BR18" s="48">
        <f>'Evolutive SFP'!BQ46</f>
        <v>0</v>
      </c>
      <c r="BS18" s="48">
        <f>'Evolutive SFP'!BR46</f>
        <v>0</v>
      </c>
      <c r="BT18" s="48">
        <f>'Evolutive SFP'!BS46</f>
        <v>0</v>
      </c>
      <c r="BU18" s="48">
        <f>'Evolutive SFP'!BT46</f>
        <v>0</v>
      </c>
      <c r="BV18" s="48">
        <f>'Evolutive SFP'!BU46</f>
        <v>0</v>
      </c>
      <c r="BW18" s="48">
        <f>'Evolutive SFP'!BV46</f>
        <v>0</v>
      </c>
      <c r="BX18" s="48">
        <f>'Evolutive SFP'!BW46</f>
        <v>0</v>
      </c>
      <c r="BY18" s="48">
        <f>'Evolutive SFP'!BX46</f>
        <v>0</v>
      </c>
      <c r="BZ18" s="48">
        <f>'Evolutive SFP'!BY46</f>
        <v>0</v>
      </c>
      <c r="CA18" s="48">
        <f>'Evolutive SFP'!BZ46</f>
        <v>0</v>
      </c>
      <c r="CB18" s="48">
        <f>'Evolutive SFP'!CA46</f>
        <v>0</v>
      </c>
      <c r="CC18" s="48">
        <f>'Evolutive SFP'!CB46</f>
        <v>0</v>
      </c>
      <c r="CD18" s="48">
        <f>'Evolutive SFP'!CC46</f>
        <v>0</v>
      </c>
      <c r="CE18" s="48">
        <f>'Evolutive SFP'!CD46</f>
        <v>0</v>
      </c>
      <c r="CF18" s="48">
        <f>'Evolutive SFP'!CE46</f>
        <v>0</v>
      </c>
      <c r="CG18" s="48">
        <f>'Evolutive SFP'!CF46</f>
        <v>0</v>
      </c>
      <c r="CH18" s="48">
        <f>'Evolutive SFP'!CG46</f>
        <v>0</v>
      </c>
      <c r="CI18" s="48">
        <f>'Evolutive SFP'!CH46</f>
        <v>0</v>
      </c>
      <c r="CJ18" s="48">
        <f>'Evolutive SFP'!CI46</f>
        <v>0</v>
      </c>
      <c r="CK18" s="48">
        <f>'Evolutive SFP'!CJ46</f>
        <v>0</v>
      </c>
      <c r="CL18" s="48">
        <f>'Evolutive SFP'!CK46</f>
        <v>0</v>
      </c>
      <c r="CM18" s="48">
        <f>'Evolutive SFP'!CL46</f>
        <v>0</v>
      </c>
      <c r="CN18" s="48">
        <f>'Evolutive SFP'!CM46</f>
        <v>0</v>
      </c>
      <c r="CO18" s="48">
        <f>'Evolutive SFP'!CN46</f>
        <v>0</v>
      </c>
      <c r="CP18" s="48">
        <f>'Evolutive SFP'!CO46</f>
        <v>0</v>
      </c>
      <c r="CQ18" s="48">
        <f>'Evolutive SFP'!CP46</f>
        <v>0</v>
      </c>
      <c r="CR18" s="48">
        <f>'Evolutive SFP'!CQ46</f>
        <v>0</v>
      </c>
      <c r="CS18" s="48">
        <f>'Evolutive SFP'!CR46</f>
        <v>6000000</v>
      </c>
      <c r="CT18" s="48">
        <f>'Evolutive SFP'!CS47</f>
        <v>0</v>
      </c>
    </row>
    <row r="19" spans="1:98" x14ac:dyDescent="0.3">
      <c r="A19" s="27" t="s">
        <v>204</v>
      </c>
      <c r="B19" s="26" t="s">
        <v>104</v>
      </c>
      <c r="C19" s="48">
        <f>'Evolutive SFP'!B43</f>
        <v>6641198.0999999996</v>
      </c>
      <c r="D19" s="48">
        <f>'Evolutive SFP'!C43</f>
        <v>7606034</v>
      </c>
      <c r="E19" s="48">
        <f>'Evolutive SFP'!D43</f>
        <v>8257520.3499999996</v>
      </c>
      <c r="F19" s="48">
        <f>'Evolutive SFP'!E43</f>
        <v>7606034</v>
      </c>
      <c r="G19" s="48">
        <f>'Evolutive SFP'!F43</f>
        <v>7606034</v>
      </c>
      <c r="H19" s="48">
        <f>'Evolutive SFP'!G43</f>
        <v>8257521</v>
      </c>
      <c r="I19" s="48">
        <f>'Evolutive SFP'!H43</f>
        <v>8257521</v>
      </c>
      <c r="J19" s="48">
        <f>'Evolutive SFP'!I43</f>
        <v>16515042</v>
      </c>
      <c r="K19" s="48">
        <f>'Evolutive SFP'!J43</f>
        <v>8257521</v>
      </c>
      <c r="L19" s="48">
        <f>'Evolutive SFP'!K43</f>
        <v>8257521</v>
      </c>
      <c r="M19" s="48">
        <f>'Evolutive SFP'!L43</f>
        <v>8257521</v>
      </c>
      <c r="N19" s="48">
        <f>'Evolutive SFP'!M43</f>
        <v>8257521</v>
      </c>
      <c r="O19" s="48">
        <f>'Evolutive SFP'!N43</f>
        <v>8257521</v>
      </c>
      <c r="P19" s="48">
        <f>'Evolutive SFP'!O43</f>
        <v>8257521</v>
      </c>
      <c r="Q19" s="48">
        <f>'Evolutive SFP'!P43</f>
        <v>16515042</v>
      </c>
      <c r="R19" s="48">
        <f>'Evolutive SFP'!Q43</f>
        <v>8257521</v>
      </c>
      <c r="S19" s="48">
        <f>'Evolutive SFP'!R43</f>
        <v>9312732</v>
      </c>
      <c r="T19" s="48">
        <f>'Evolutive SFP'!S43</f>
        <v>18625464</v>
      </c>
      <c r="U19" s="48">
        <f>'Evolutive SFP'!T43</f>
        <v>9312732</v>
      </c>
      <c r="V19" s="48">
        <f>'Evolutive SFP'!U43</f>
        <v>9312732</v>
      </c>
      <c r="W19" s="48">
        <f>'Evolutive SFP'!V43</f>
        <v>9312732</v>
      </c>
      <c r="X19" s="48">
        <f>'Evolutive SFP'!W43</f>
        <v>9312732</v>
      </c>
      <c r="Y19" s="48">
        <f>'Evolutive SFP'!X43</f>
        <v>9312732</v>
      </c>
      <c r="Z19" s="48">
        <f>'Evolutive SFP'!Y43</f>
        <v>27938196</v>
      </c>
      <c r="AA19" s="48">
        <f>'Evolutive SFP'!Z43</f>
        <v>18625464</v>
      </c>
      <c r="AB19" s="48">
        <f>'Evolutive SFP'!AA43</f>
        <v>46563660</v>
      </c>
      <c r="AC19" s="48">
        <f>'Evolutive SFP'!AB43</f>
        <v>18625464</v>
      </c>
      <c r="AD19" s="48">
        <f>'Evolutive SFP'!AC43</f>
        <v>27938196</v>
      </c>
      <c r="AE19" s="48">
        <f>'Evolutive SFP'!AD43</f>
        <v>9312732</v>
      </c>
      <c r="AF19" s="48">
        <f>'Evolutive SFP'!AE43</f>
        <v>11387794</v>
      </c>
      <c r="AG19" s="48">
        <f>'Evolutive SFP'!AF43</f>
        <v>9312732</v>
      </c>
      <c r="AH19" s="48">
        <f>'Evolutive SFP'!AG43</f>
        <v>11387794</v>
      </c>
      <c r="AI19" s="48">
        <f>'Evolutive SFP'!AH43</f>
        <v>11387794</v>
      </c>
      <c r="AJ19" s="48">
        <f>'Evolutive SFP'!AI43</f>
        <v>11387794</v>
      </c>
      <c r="AK19" s="48">
        <f>'Evolutive SFP'!AJ43</f>
        <v>11387794</v>
      </c>
      <c r="AL19" s="48">
        <f>'Evolutive SFP'!AK43</f>
        <v>11387794</v>
      </c>
      <c r="AM19" s="48">
        <f>'Evolutive SFP'!AL43</f>
        <v>11387794</v>
      </c>
      <c r="AN19" s="48">
        <f>'Evolutive SFP'!AM43</f>
        <v>11387794</v>
      </c>
      <c r="AO19" s="48">
        <f>'Evolutive SFP'!AN43</f>
        <v>11387794</v>
      </c>
      <c r="AP19" s="48">
        <f>'Evolutive SFP'!AO43</f>
        <v>11387794</v>
      </c>
      <c r="AQ19" s="48">
        <f>'Evolutive SFP'!AP43</f>
        <v>11387794</v>
      </c>
      <c r="AR19" s="48">
        <f>'Evolutive SFP'!AQ43</f>
        <v>11387794</v>
      </c>
      <c r="AS19" s="48">
        <f>'Evolutive SFP'!AR43</f>
        <v>15545375.390000001</v>
      </c>
      <c r="AT19" s="48">
        <f>'Evolutive SFP'!AS43</f>
        <v>11387794</v>
      </c>
      <c r="AU19" s="48">
        <f>'Evolutive SFP'!AT43</f>
        <v>14878235</v>
      </c>
      <c r="AV19" s="48">
        <f>'Evolutive SFP'!AU43</f>
        <v>14878235</v>
      </c>
      <c r="AW19" s="48">
        <f>'Evolutive SFP'!AV43</f>
        <v>14878235</v>
      </c>
      <c r="AX19" s="48">
        <f>'Evolutive SFP'!AW43</f>
        <v>14878235</v>
      </c>
      <c r="AY19" s="48">
        <f>'Evolutive SFP'!AX43</f>
        <v>14878235</v>
      </c>
      <c r="AZ19" s="48">
        <f>'Evolutive SFP'!AY43</f>
        <v>14878235</v>
      </c>
      <c r="BA19" s="48">
        <f>'Evolutive SFP'!AZ43</f>
        <v>170910185</v>
      </c>
      <c r="BB19" s="48">
        <f>'Evolutive SFP'!BA43</f>
        <v>170910185</v>
      </c>
      <c r="BC19" s="48">
        <f>'Evolutive SFP'!BB43</f>
        <v>170910185</v>
      </c>
      <c r="BD19" s="48">
        <f>'Evolutive SFP'!BC43</f>
        <v>170910185</v>
      </c>
      <c r="BE19" s="48">
        <f>'Evolutive SFP'!BD43</f>
        <v>170910185</v>
      </c>
      <c r="BF19" s="48">
        <f>'Evolutive SFP'!BE43</f>
        <v>0</v>
      </c>
      <c r="BG19" s="48">
        <f>'Evolutive SFP'!BF43</f>
        <v>170910185</v>
      </c>
      <c r="BH19" s="48">
        <f>'Evolutive SFP'!BG43</f>
        <v>170910185</v>
      </c>
      <c r="BI19" s="48">
        <f>'Evolutive SFP'!BH43</f>
        <v>180620112</v>
      </c>
      <c r="BJ19" s="48">
        <f>'Evolutive SFP'!BI43</f>
        <v>180620112</v>
      </c>
      <c r="BK19" s="48">
        <f>'Evolutive SFP'!BJ43</f>
        <v>180620112</v>
      </c>
      <c r="BL19" s="48">
        <f>'Evolutive SFP'!BK43</f>
        <v>180620112</v>
      </c>
      <c r="BM19" s="48">
        <f>'Evolutive SFP'!BL43</f>
        <v>0</v>
      </c>
      <c r="BN19" s="48">
        <f>'Evolutive SFP'!BM43</f>
        <v>541860336</v>
      </c>
      <c r="BO19" s="48">
        <f>'Evolutive SFP'!BN43</f>
        <v>180620112</v>
      </c>
      <c r="BP19" s="48">
        <f>'Evolutive SFP'!BO43</f>
        <v>180620112</v>
      </c>
      <c r="BQ19" s="48">
        <f>'Evolutive SFP'!BP43</f>
        <v>361240224</v>
      </c>
      <c r="BR19" s="48">
        <f>'Evolutive SFP'!BQ43</f>
        <v>180620111.68000001</v>
      </c>
      <c r="BS19" s="48">
        <f>'Evolutive SFP'!BR43</f>
        <v>15620638.789999999</v>
      </c>
      <c r="BT19" s="48">
        <f>'Evolutive SFP'!BS43</f>
        <v>180620111.68000001</v>
      </c>
      <c r="BU19" s="48">
        <f>'Evolutive SFP'!BT43</f>
        <v>180620111.68000001</v>
      </c>
      <c r="BV19" s="48">
        <f>'Evolutive SFP'!BU43</f>
        <v>180620111.68000001</v>
      </c>
      <c r="BW19" s="48">
        <f>'Evolutive SFP'!BV43</f>
        <v>180620111.66</v>
      </c>
      <c r="BX19" s="48">
        <f>'Evolutive SFP'!BW43</f>
        <v>180620111.66</v>
      </c>
      <c r="BY19" s="48">
        <f>'Evolutive SFP'!BX43</f>
        <v>15620638.68</v>
      </c>
      <c r="BZ19" s="48">
        <f>'Evolutive SFP'!BY43</f>
        <v>15620638.68</v>
      </c>
      <c r="CA19" s="48">
        <f>'Evolutive SFP'!BZ43</f>
        <v>15620638.68</v>
      </c>
      <c r="CB19" s="48">
        <f>'Evolutive SFP'!CA43</f>
        <v>15620638.68</v>
      </c>
      <c r="CC19" s="48">
        <f>'Evolutive SFP'!CB43</f>
        <v>15620638.68</v>
      </c>
      <c r="CD19" s="48">
        <f>'Evolutive SFP'!CC43</f>
        <v>0</v>
      </c>
      <c r="CE19" s="48">
        <f>'Evolutive SFP'!CD43</f>
        <v>0</v>
      </c>
      <c r="CF19" s="48">
        <f>'Evolutive SFP'!CE43</f>
        <v>16272832.07</v>
      </c>
      <c r="CG19" s="48">
        <f>'Evolutive SFP'!CF43</f>
        <v>15620638.68</v>
      </c>
      <c r="CH19" s="48">
        <f>'Evolutive SFP'!CG43</f>
        <v>15620638.68</v>
      </c>
      <c r="CI19" s="48">
        <f>'Evolutive SFP'!CH43</f>
        <v>15620638.68</v>
      </c>
      <c r="CJ19" s="48">
        <f>'Evolutive SFP'!CI43</f>
        <v>15620638.68</v>
      </c>
      <c r="CK19" s="48">
        <f>'Evolutive SFP'!CJ43</f>
        <v>15620638.68</v>
      </c>
      <c r="CL19" s="48">
        <f>'Evolutive SFP'!CK43</f>
        <v>16272832.07</v>
      </c>
      <c r="CM19" s="48">
        <f>'Evolutive SFP'!CL43</f>
        <v>16272832.07</v>
      </c>
      <c r="CN19" s="48">
        <f>'Evolutive SFP'!CM43</f>
        <v>16272832.07</v>
      </c>
      <c r="CO19" s="48">
        <f>'Evolutive SFP'!CN43</f>
        <v>16272832.07</v>
      </c>
      <c r="CP19" s="48">
        <f>'Evolutive SFP'!CO43</f>
        <v>16272832.07</v>
      </c>
      <c r="CQ19" s="48">
        <f>'Evolutive SFP'!CP43</f>
        <v>16272832.07</v>
      </c>
      <c r="CR19" s="48">
        <f>'Evolutive SFP'!CQ43</f>
        <v>16272832.07</v>
      </c>
      <c r="CS19" s="48">
        <f>'Evolutive SFP'!CR43</f>
        <v>18872858.5</v>
      </c>
      <c r="CT19" s="48">
        <f>'Evolutive SFP'!CS43</f>
        <v>16272832.07</v>
      </c>
    </row>
    <row r="20" spans="1:98" x14ac:dyDescent="0.3">
      <c r="A20" s="27" t="s">
        <v>205</v>
      </c>
      <c r="B20" s="26" t="s">
        <v>206</v>
      </c>
      <c r="C20" s="48">
        <f>('Evolutive SFP'!B44)</f>
        <v>0</v>
      </c>
      <c r="D20" s="48">
        <f>('Evolutive SFP'!C44)</f>
        <v>0</v>
      </c>
      <c r="E20" s="48">
        <f>('Evolutive SFP'!D44)</f>
        <v>0</v>
      </c>
      <c r="F20" s="48">
        <f>('Evolutive SFP'!E44)</f>
        <v>0</v>
      </c>
      <c r="G20" s="48">
        <f>('Evolutive SFP'!F44)</f>
        <v>0</v>
      </c>
      <c r="H20" s="48">
        <f>('Evolutive SFP'!G44)</f>
        <v>0</v>
      </c>
      <c r="I20" s="48">
        <f>('Evolutive SFP'!H44)</f>
        <v>0</v>
      </c>
      <c r="J20" s="48">
        <f>('Evolutive SFP'!I44)</f>
        <v>0</v>
      </c>
      <c r="K20" s="48">
        <f>('Evolutive SFP'!J44)</f>
        <v>0</v>
      </c>
      <c r="L20" s="48">
        <f>('Evolutive SFP'!K44)</f>
        <v>0</v>
      </c>
      <c r="M20" s="48">
        <f>('Evolutive SFP'!L44)</f>
        <v>0</v>
      </c>
      <c r="N20" s="48">
        <f>('Evolutive SFP'!M44)</f>
        <v>0</v>
      </c>
      <c r="O20" s="48">
        <f>('Evolutive SFP'!N44)</f>
        <v>0</v>
      </c>
      <c r="P20" s="48">
        <f>('Evolutive SFP'!O44)</f>
        <v>0</v>
      </c>
      <c r="Q20" s="48">
        <f>('Evolutive SFP'!P44)</f>
        <v>0</v>
      </c>
      <c r="R20" s="48">
        <f>('Evolutive SFP'!Q44)</f>
        <v>0</v>
      </c>
      <c r="S20" s="48">
        <f>('Evolutive SFP'!R44)</f>
        <v>0</v>
      </c>
      <c r="T20" s="48">
        <f>('Evolutive SFP'!S44)</f>
        <v>0</v>
      </c>
      <c r="U20" s="48">
        <f>('Evolutive SFP'!T44)</f>
        <v>0</v>
      </c>
      <c r="V20" s="48">
        <f>('Evolutive SFP'!U44)</f>
        <v>0</v>
      </c>
      <c r="W20" s="48">
        <f>('Evolutive SFP'!V44)</f>
        <v>0</v>
      </c>
      <c r="X20" s="48">
        <f>('Evolutive SFP'!W44)</f>
        <v>0</v>
      </c>
      <c r="Y20" s="48">
        <f>('Evolutive SFP'!X44)</f>
        <v>0</v>
      </c>
      <c r="Z20" s="48">
        <f>('Evolutive SFP'!Y44)</f>
        <v>0</v>
      </c>
      <c r="AA20" s="48">
        <f>('Evolutive SFP'!Z44)</f>
        <v>0</v>
      </c>
      <c r="AB20" s="48">
        <f>('Evolutive SFP'!AA44)</f>
        <v>0</v>
      </c>
      <c r="AC20" s="48">
        <f>('Evolutive SFP'!AB44)</f>
        <v>0</v>
      </c>
      <c r="AD20" s="48">
        <f>('Evolutive SFP'!AC44)</f>
        <v>0</v>
      </c>
      <c r="AE20" s="48">
        <f>('Evolutive SFP'!AD44)</f>
        <v>0</v>
      </c>
      <c r="AF20" s="48">
        <f>('Evolutive SFP'!AE44)</f>
        <v>0</v>
      </c>
      <c r="AG20" s="48">
        <f>('Evolutive SFP'!AF44)</f>
        <v>0</v>
      </c>
      <c r="AH20" s="48">
        <f>('Evolutive SFP'!AG44)</f>
        <v>0</v>
      </c>
      <c r="AI20" s="48">
        <f>('Evolutive SFP'!AH44)</f>
        <v>0</v>
      </c>
      <c r="AJ20" s="48">
        <f>('Evolutive SFP'!AI44)</f>
        <v>0</v>
      </c>
      <c r="AK20" s="48">
        <f>('Evolutive SFP'!AJ44)</f>
        <v>0</v>
      </c>
      <c r="AL20" s="48">
        <f>('Evolutive SFP'!AK44)</f>
        <v>0</v>
      </c>
      <c r="AM20" s="48">
        <f>('Evolutive SFP'!AL44)</f>
        <v>0</v>
      </c>
      <c r="AN20" s="48">
        <f>('Evolutive SFP'!AM44)</f>
        <v>0</v>
      </c>
      <c r="AO20" s="48">
        <f>('Evolutive SFP'!AN44)</f>
        <v>0</v>
      </c>
      <c r="AP20" s="48">
        <f>('Evolutive SFP'!AO44)</f>
        <v>0</v>
      </c>
      <c r="AQ20" s="48">
        <f>('Evolutive SFP'!AP44)</f>
        <v>0</v>
      </c>
      <c r="AR20" s="48">
        <f>('Evolutive SFP'!AQ44)</f>
        <v>0</v>
      </c>
      <c r="AS20" s="48">
        <f>('Evolutive SFP'!AR44)</f>
        <v>0</v>
      </c>
      <c r="AT20" s="48">
        <f>('Evolutive SFP'!AS44)</f>
        <v>0</v>
      </c>
      <c r="AU20" s="48">
        <f>('Evolutive SFP'!AT44)</f>
        <v>0</v>
      </c>
      <c r="AV20" s="48">
        <f>('Evolutive SFP'!AU44)</f>
        <v>0</v>
      </c>
      <c r="AW20" s="48">
        <f>('Evolutive SFP'!AV44)</f>
        <v>0</v>
      </c>
      <c r="AX20" s="48">
        <f>('Evolutive SFP'!AW44)</f>
        <v>0</v>
      </c>
      <c r="AY20" s="48">
        <f>('Evolutive SFP'!AX44)</f>
        <v>0</v>
      </c>
      <c r="AZ20" s="48">
        <f>('Evolutive SFP'!AY44)</f>
        <v>0</v>
      </c>
      <c r="BA20" s="48">
        <f>('Evolutive SFP'!AZ44)</f>
        <v>0</v>
      </c>
      <c r="BB20" s="48">
        <f>('Evolutive SFP'!BA44)</f>
        <v>0</v>
      </c>
      <c r="BC20" s="48">
        <f>('Evolutive SFP'!BB44)</f>
        <v>0</v>
      </c>
      <c r="BD20" s="48">
        <f>('Evolutive SFP'!BC44)</f>
        <v>0</v>
      </c>
      <c r="BE20" s="48">
        <f>('Evolutive SFP'!BD44)</f>
        <v>0</v>
      </c>
      <c r="BF20" s="48">
        <f>('Evolutive SFP'!BE44)</f>
        <v>0</v>
      </c>
      <c r="BG20" s="48">
        <f>('Evolutive SFP'!BF44)</f>
        <v>0</v>
      </c>
      <c r="BH20" s="48">
        <f>('Evolutive SFP'!BG44)</f>
        <v>0</v>
      </c>
      <c r="BI20" s="48">
        <f>('Evolutive SFP'!BH44)</f>
        <v>0</v>
      </c>
      <c r="BJ20" s="48">
        <f>('Evolutive SFP'!BI44)</f>
        <v>0</v>
      </c>
      <c r="BK20" s="48">
        <f>('Evolutive SFP'!BJ44)</f>
        <v>0</v>
      </c>
      <c r="BL20" s="48">
        <f>('Evolutive SFP'!BK44)</f>
        <v>0</v>
      </c>
      <c r="BM20" s="48">
        <f>('Evolutive SFP'!BL44)</f>
        <v>0</v>
      </c>
      <c r="BN20" s="48">
        <f>('Evolutive SFP'!BM44)</f>
        <v>0</v>
      </c>
      <c r="BO20" s="48">
        <f>('Evolutive SFP'!BN44)</f>
        <v>0</v>
      </c>
      <c r="BP20" s="48">
        <f>('Evolutive SFP'!BO44)</f>
        <v>0</v>
      </c>
      <c r="BQ20" s="48">
        <f>('Evolutive SFP'!BP44)</f>
        <v>0</v>
      </c>
      <c r="BR20" s="48">
        <f>('Evolutive SFP'!BQ44)</f>
        <v>0</v>
      </c>
      <c r="BS20" s="48">
        <f>('Evolutive SFP'!BR44)</f>
        <v>0</v>
      </c>
      <c r="BT20" s="48">
        <f>('Evolutive SFP'!BS44)</f>
        <v>0</v>
      </c>
      <c r="BU20" s="48">
        <f>('Evolutive SFP'!BT44)</f>
        <v>0</v>
      </c>
      <c r="BV20" s="48">
        <f>('Evolutive SFP'!BU44)</f>
        <v>0</v>
      </c>
      <c r="BW20" s="48">
        <f>('Evolutive SFP'!BV44)</f>
        <v>0</v>
      </c>
      <c r="BX20" s="48">
        <f>('Evolutive SFP'!BW44)</f>
        <v>0</v>
      </c>
      <c r="BY20" s="48">
        <f>('Evolutive SFP'!BX44)</f>
        <v>0</v>
      </c>
      <c r="BZ20" s="48">
        <f>('Evolutive SFP'!BY44)</f>
        <v>0</v>
      </c>
      <c r="CA20" s="48">
        <f>('Evolutive SFP'!BZ44)</f>
        <v>0</v>
      </c>
      <c r="CB20" s="48">
        <f>('Evolutive SFP'!CA44)</f>
        <v>0</v>
      </c>
      <c r="CC20" s="48">
        <f>('Evolutive SFP'!CB44)</f>
        <v>0</v>
      </c>
      <c r="CD20" s="48">
        <f>('Evolutive SFP'!CC44)</f>
        <v>0</v>
      </c>
      <c r="CE20" s="48">
        <f>('Evolutive SFP'!CD44)</f>
        <v>0</v>
      </c>
      <c r="CF20" s="48">
        <f>('Evolutive SFP'!CE44)</f>
        <v>0</v>
      </c>
      <c r="CG20" s="48">
        <f>('Evolutive SFP'!CF44)</f>
        <v>0</v>
      </c>
      <c r="CH20" s="48">
        <f>('Evolutive SFP'!CG44)</f>
        <v>0</v>
      </c>
      <c r="CI20" s="48">
        <f>('Evolutive SFP'!CH44)</f>
        <v>0</v>
      </c>
      <c r="CJ20" s="48">
        <f>('Evolutive SFP'!CI44)</f>
        <v>0</v>
      </c>
      <c r="CK20" s="48">
        <f>('Evolutive SFP'!CJ44)</f>
        <v>0</v>
      </c>
      <c r="CL20" s="48">
        <f>('Evolutive SFP'!CK44)</f>
        <v>0</v>
      </c>
      <c r="CM20" s="48">
        <f>('Evolutive SFP'!CL44)</f>
        <v>0</v>
      </c>
      <c r="CN20" s="48">
        <f>('Evolutive SFP'!CM44)</f>
        <v>0</v>
      </c>
      <c r="CO20" s="48">
        <f>('Evolutive SFP'!CN44)</f>
        <v>0</v>
      </c>
      <c r="CP20" s="48">
        <f>('Evolutive SFP'!CO44)</f>
        <v>0</v>
      </c>
      <c r="CQ20" s="48">
        <f>('Evolutive SFP'!CP44)</f>
        <v>0</v>
      </c>
      <c r="CR20" s="48">
        <f>('Evolutive SFP'!CQ44)</f>
        <v>0</v>
      </c>
      <c r="CS20" s="48">
        <f>('Evolutive SFP'!CR44)</f>
        <v>0</v>
      </c>
      <c r="CT20" s="48">
        <f>('Evolutive SFP'!CS45)</f>
        <v>164931644.59999999</v>
      </c>
    </row>
    <row r="21" spans="1:98" x14ac:dyDescent="0.3">
      <c r="A21" s="27" t="s">
        <v>207</v>
      </c>
      <c r="B21" s="30" t="s">
        <v>208</v>
      </c>
      <c r="C21" s="48">
        <f>C22+C23</f>
        <v>2000000</v>
      </c>
      <c r="D21" s="48">
        <f t="shared" ref="D21:BO21" si="6">D22+D23</f>
        <v>3000000</v>
      </c>
      <c r="E21" s="48">
        <f t="shared" si="6"/>
        <v>3000000</v>
      </c>
      <c r="F21" s="48">
        <f t="shared" si="6"/>
        <v>0</v>
      </c>
      <c r="G21" s="48">
        <f t="shared" si="6"/>
        <v>0</v>
      </c>
      <c r="H21" s="48">
        <f t="shared" si="6"/>
        <v>0</v>
      </c>
      <c r="I21" s="48">
        <f t="shared" si="6"/>
        <v>0</v>
      </c>
      <c r="J21" s="48">
        <f t="shared" si="6"/>
        <v>0</v>
      </c>
      <c r="K21" s="48">
        <f t="shared" si="6"/>
        <v>0</v>
      </c>
      <c r="L21" s="48">
        <f t="shared" si="6"/>
        <v>0</v>
      </c>
      <c r="M21" s="48">
        <f t="shared" si="6"/>
        <v>0</v>
      </c>
      <c r="N21" s="48">
        <f t="shared" si="6"/>
        <v>0</v>
      </c>
      <c r="O21" s="48">
        <f t="shared" si="6"/>
        <v>0</v>
      </c>
      <c r="P21" s="48">
        <f t="shared" si="6"/>
        <v>0</v>
      </c>
      <c r="Q21" s="48">
        <f t="shared" si="6"/>
        <v>0</v>
      </c>
      <c r="R21" s="48">
        <f t="shared" si="6"/>
        <v>0</v>
      </c>
      <c r="S21" s="48">
        <f t="shared" si="6"/>
        <v>0</v>
      </c>
      <c r="T21" s="48">
        <f t="shared" si="6"/>
        <v>0</v>
      </c>
      <c r="U21" s="48">
        <f t="shared" si="6"/>
        <v>0</v>
      </c>
      <c r="V21" s="48">
        <f t="shared" si="6"/>
        <v>0</v>
      </c>
      <c r="W21" s="48">
        <f t="shared" si="6"/>
        <v>0</v>
      </c>
      <c r="X21" s="48">
        <f t="shared" si="6"/>
        <v>0</v>
      </c>
      <c r="Y21" s="48">
        <f t="shared" si="6"/>
        <v>0</v>
      </c>
      <c r="Z21" s="48">
        <f t="shared" si="6"/>
        <v>0</v>
      </c>
      <c r="AA21" s="48">
        <f t="shared" si="6"/>
        <v>0</v>
      </c>
      <c r="AB21" s="48">
        <f t="shared" si="6"/>
        <v>0</v>
      </c>
      <c r="AC21" s="48">
        <f t="shared" si="6"/>
        <v>0</v>
      </c>
      <c r="AD21" s="48">
        <f t="shared" si="6"/>
        <v>0</v>
      </c>
      <c r="AE21" s="48">
        <f t="shared" si="6"/>
        <v>0</v>
      </c>
      <c r="AF21" s="48">
        <f t="shared" si="6"/>
        <v>0</v>
      </c>
      <c r="AG21" s="48">
        <f t="shared" si="6"/>
        <v>0</v>
      </c>
      <c r="AH21" s="48">
        <f t="shared" si="6"/>
        <v>0</v>
      </c>
      <c r="AI21" s="48">
        <f t="shared" si="6"/>
        <v>0</v>
      </c>
      <c r="AJ21" s="48">
        <f t="shared" si="6"/>
        <v>0</v>
      </c>
      <c r="AK21" s="48">
        <f t="shared" si="6"/>
        <v>0</v>
      </c>
      <c r="AL21" s="48">
        <f t="shared" si="6"/>
        <v>0</v>
      </c>
      <c r="AM21" s="48">
        <f t="shared" si="6"/>
        <v>0</v>
      </c>
      <c r="AN21" s="48">
        <f t="shared" si="6"/>
        <v>0</v>
      </c>
      <c r="AO21" s="48">
        <f t="shared" si="6"/>
        <v>0</v>
      </c>
      <c r="AP21" s="48">
        <f t="shared" si="6"/>
        <v>0</v>
      </c>
      <c r="AQ21" s="48">
        <f t="shared" si="6"/>
        <v>0</v>
      </c>
      <c r="AR21" s="48">
        <f t="shared" si="6"/>
        <v>0</v>
      </c>
      <c r="AS21" s="48">
        <f t="shared" si="6"/>
        <v>0</v>
      </c>
      <c r="AT21" s="48">
        <f t="shared" si="6"/>
        <v>0</v>
      </c>
      <c r="AU21" s="48">
        <f t="shared" si="6"/>
        <v>0</v>
      </c>
      <c r="AV21" s="48">
        <f t="shared" si="6"/>
        <v>0</v>
      </c>
      <c r="AW21" s="48">
        <f t="shared" si="6"/>
        <v>0</v>
      </c>
      <c r="AX21" s="48">
        <f t="shared" si="6"/>
        <v>0</v>
      </c>
      <c r="AY21" s="48">
        <f t="shared" si="6"/>
        <v>0</v>
      </c>
      <c r="AZ21" s="48">
        <f t="shared" si="6"/>
        <v>0</v>
      </c>
      <c r="BA21" s="48">
        <f t="shared" si="6"/>
        <v>0</v>
      </c>
      <c r="BB21" s="48">
        <f t="shared" si="6"/>
        <v>0</v>
      </c>
      <c r="BC21" s="48">
        <f t="shared" si="6"/>
        <v>0</v>
      </c>
      <c r="BD21" s="48">
        <f t="shared" si="6"/>
        <v>0</v>
      </c>
      <c r="BE21" s="48">
        <f t="shared" si="6"/>
        <v>0</v>
      </c>
      <c r="BF21" s="48">
        <f t="shared" si="6"/>
        <v>0</v>
      </c>
      <c r="BG21" s="48">
        <f t="shared" si="6"/>
        <v>0</v>
      </c>
      <c r="BH21" s="48">
        <f t="shared" si="6"/>
        <v>0</v>
      </c>
      <c r="BI21" s="48">
        <f t="shared" si="6"/>
        <v>0</v>
      </c>
      <c r="BJ21" s="48">
        <f t="shared" si="6"/>
        <v>0</v>
      </c>
      <c r="BK21" s="48">
        <f t="shared" si="6"/>
        <v>0</v>
      </c>
      <c r="BL21" s="48">
        <f t="shared" si="6"/>
        <v>0</v>
      </c>
      <c r="BM21" s="48">
        <f t="shared" si="6"/>
        <v>0</v>
      </c>
      <c r="BN21" s="48">
        <f t="shared" si="6"/>
        <v>0</v>
      </c>
      <c r="BO21" s="48">
        <f t="shared" si="6"/>
        <v>0</v>
      </c>
      <c r="BP21" s="48">
        <f t="shared" ref="BP21:CM21" si="7">BP22+BP23</f>
        <v>0</v>
      </c>
      <c r="BQ21" s="48">
        <f t="shared" si="7"/>
        <v>0</v>
      </c>
      <c r="BR21" s="48">
        <f t="shared" si="7"/>
        <v>0</v>
      </c>
      <c r="BS21" s="48">
        <f t="shared" si="7"/>
        <v>0</v>
      </c>
      <c r="BT21" s="48">
        <f t="shared" si="7"/>
        <v>0</v>
      </c>
      <c r="BU21" s="48">
        <f t="shared" si="7"/>
        <v>0</v>
      </c>
      <c r="BV21" s="48">
        <f t="shared" si="7"/>
        <v>0</v>
      </c>
      <c r="BW21" s="48">
        <f t="shared" si="7"/>
        <v>0</v>
      </c>
      <c r="BX21" s="48">
        <f t="shared" si="7"/>
        <v>0</v>
      </c>
      <c r="BY21" s="48">
        <f t="shared" si="7"/>
        <v>0</v>
      </c>
      <c r="BZ21" s="48">
        <f t="shared" si="7"/>
        <v>0</v>
      </c>
      <c r="CA21" s="48">
        <f t="shared" si="7"/>
        <v>0</v>
      </c>
      <c r="CB21" s="48">
        <f t="shared" si="7"/>
        <v>0</v>
      </c>
      <c r="CC21" s="48">
        <f t="shared" si="7"/>
        <v>0</v>
      </c>
      <c r="CD21" s="48">
        <f t="shared" si="7"/>
        <v>0</v>
      </c>
      <c r="CE21" s="48">
        <f t="shared" si="7"/>
        <v>0</v>
      </c>
      <c r="CF21" s="48">
        <f t="shared" si="7"/>
        <v>0</v>
      </c>
      <c r="CG21" s="48">
        <f t="shared" si="7"/>
        <v>0</v>
      </c>
      <c r="CH21" s="48">
        <f t="shared" si="7"/>
        <v>0</v>
      </c>
      <c r="CI21" s="48">
        <f t="shared" si="7"/>
        <v>0</v>
      </c>
      <c r="CJ21" s="48">
        <f t="shared" si="7"/>
        <v>0</v>
      </c>
      <c r="CK21" s="48">
        <f t="shared" si="7"/>
        <v>0</v>
      </c>
      <c r="CL21" s="48">
        <f t="shared" si="7"/>
        <v>0</v>
      </c>
      <c r="CM21" s="48">
        <f t="shared" si="7"/>
        <v>0</v>
      </c>
      <c r="CN21" s="48">
        <f t="shared" ref="CN21:CO21" si="8">CN22+CN23</f>
        <v>0</v>
      </c>
      <c r="CO21" s="48">
        <f t="shared" si="8"/>
        <v>0</v>
      </c>
      <c r="CP21" s="48">
        <f t="shared" ref="CP21:CT21" si="9">CP22+CP23</f>
        <v>0</v>
      </c>
      <c r="CQ21" s="48">
        <f t="shared" si="9"/>
        <v>0</v>
      </c>
      <c r="CR21" s="48">
        <f t="shared" si="9"/>
        <v>0</v>
      </c>
      <c r="CS21" s="48">
        <f t="shared" si="9"/>
        <v>6000000</v>
      </c>
      <c r="CT21" s="48">
        <f t="shared" si="9"/>
        <v>0</v>
      </c>
    </row>
    <row r="22" spans="1:98" x14ac:dyDescent="0.3">
      <c r="A22" s="31" t="s">
        <v>209</v>
      </c>
      <c r="B22" s="26" t="s">
        <v>107</v>
      </c>
      <c r="C22" s="48">
        <f>'Evolutive SFP'!B46</f>
        <v>2000000</v>
      </c>
      <c r="D22" s="48">
        <f>'Evolutive SFP'!C46</f>
        <v>3000000</v>
      </c>
      <c r="E22" s="48">
        <f>'Evolutive SFP'!D46</f>
        <v>3000000</v>
      </c>
      <c r="F22" s="48">
        <f>'Evolutive SFP'!E46</f>
        <v>0</v>
      </c>
      <c r="G22" s="48">
        <f>'Evolutive SFP'!F46</f>
        <v>0</v>
      </c>
      <c r="H22" s="48">
        <f>'Evolutive SFP'!G46</f>
        <v>0</v>
      </c>
      <c r="I22" s="48">
        <f>'Evolutive SFP'!H46</f>
        <v>0</v>
      </c>
      <c r="J22" s="48">
        <f>'Evolutive SFP'!I46</f>
        <v>0</v>
      </c>
      <c r="K22" s="48">
        <f>'Evolutive SFP'!J46</f>
        <v>0</v>
      </c>
      <c r="L22" s="48">
        <f>'Evolutive SFP'!K46</f>
        <v>0</v>
      </c>
      <c r="M22" s="48">
        <f>'Evolutive SFP'!L46</f>
        <v>0</v>
      </c>
      <c r="N22" s="48">
        <f>'Evolutive SFP'!M46</f>
        <v>0</v>
      </c>
      <c r="O22" s="48">
        <f>'Evolutive SFP'!N46</f>
        <v>0</v>
      </c>
      <c r="P22" s="48">
        <f>'Evolutive SFP'!O46</f>
        <v>0</v>
      </c>
      <c r="Q22" s="48">
        <f>'Evolutive SFP'!P46</f>
        <v>0</v>
      </c>
      <c r="R22" s="48">
        <f>'Evolutive SFP'!Q46</f>
        <v>0</v>
      </c>
      <c r="S22" s="48">
        <f>'Evolutive SFP'!R46</f>
        <v>0</v>
      </c>
      <c r="T22" s="48">
        <f>'Evolutive SFP'!S46</f>
        <v>0</v>
      </c>
      <c r="U22" s="48">
        <f>'Evolutive SFP'!T46</f>
        <v>0</v>
      </c>
      <c r="V22" s="48">
        <f>'Evolutive SFP'!U46</f>
        <v>0</v>
      </c>
      <c r="W22" s="48">
        <f>'Evolutive SFP'!V46</f>
        <v>0</v>
      </c>
      <c r="X22" s="48">
        <f>'Evolutive SFP'!W46</f>
        <v>0</v>
      </c>
      <c r="Y22" s="48">
        <f>'Evolutive SFP'!X46</f>
        <v>0</v>
      </c>
      <c r="Z22" s="48">
        <f>'Evolutive SFP'!Y46</f>
        <v>0</v>
      </c>
      <c r="AA22" s="48">
        <f>'Evolutive SFP'!Z46</f>
        <v>0</v>
      </c>
      <c r="AB22" s="48">
        <f>'Evolutive SFP'!AA46</f>
        <v>0</v>
      </c>
      <c r="AC22" s="48">
        <f>'Evolutive SFP'!AB46</f>
        <v>0</v>
      </c>
      <c r="AD22" s="48">
        <f>'Evolutive SFP'!AC46</f>
        <v>0</v>
      </c>
      <c r="AE22" s="48">
        <f>'Evolutive SFP'!AD46</f>
        <v>0</v>
      </c>
      <c r="AF22" s="48">
        <f>'Evolutive SFP'!AE46</f>
        <v>0</v>
      </c>
      <c r="AG22" s="48">
        <f>'Evolutive SFP'!AF46</f>
        <v>0</v>
      </c>
      <c r="AH22" s="48">
        <f>'Evolutive SFP'!AG46</f>
        <v>0</v>
      </c>
      <c r="AI22" s="48">
        <f>'Evolutive SFP'!AH46</f>
        <v>0</v>
      </c>
      <c r="AJ22" s="48">
        <f>'Evolutive SFP'!AI46</f>
        <v>0</v>
      </c>
      <c r="AK22" s="48">
        <f>'Evolutive SFP'!AJ46</f>
        <v>0</v>
      </c>
      <c r="AL22" s="48">
        <f>'Evolutive SFP'!AK46</f>
        <v>0</v>
      </c>
      <c r="AM22" s="48">
        <f>'Evolutive SFP'!AL46</f>
        <v>0</v>
      </c>
      <c r="AN22" s="48">
        <f>'Evolutive SFP'!AM46</f>
        <v>0</v>
      </c>
      <c r="AO22" s="48">
        <f>'Evolutive SFP'!AN46</f>
        <v>0</v>
      </c>
      <c r="AP22" s="48">
        <f>'Evolutive SFP'!AO46</f>
        <v>0</v>
      </c>
      <c r="AQ22" s="48">
        <f>'Evolutive SFP'!AP46</f>
        <v>0</v>
      </c>
      <c r="AR22" s="48">
        <f>'Evolutive SFP'!AQ46</f>
        <v>0</v>
      </c>
      <c r="AS22" s="48">
        <f>'Evolutive SFP'!AR46</f>
        <v>0</v>
      </c>
      <c r="AT22" s="48">
        <f>'Evolutive SFP'!AS46</f>
        <v>0</v>
      </c>
      <c r="AU22" s="48">
        <f>'Evolutive SFP'!AT46</f>
        <v>0</v>
      </c>
      <c r="AV22" s="48">
        <f>'Evolutive SFP'!AU46</f>
        <v>0</v>
      </c>
      <c r="AW22" s="48">
        <f>'Evolutive SFP'!AV46</f>
        <v>0</v>
      </c>
      <c r="AX22" s="48">
        <f>'Evolutive SFP'!AW46</f>
        <v>0</v>
      </c>
      <c r="AY22" s="48">
        <f>'Evolutive SFP'!AX46</f>
        <v>0</v>
      </c>
      <c r="AZ22" s="48">
        <f>'Evolutive SFP'!AY46</f>
        <v>0</v>
      </c>
      <c r="BA22" s="48">
        <f>'Evolutive SFP'!AZ46</f>
        <v>0</v>
      </c>
      <c r="BB22" s="48">
        <f>'Evolutive SFP'!BA46</f>
        <v>0</v>
      </c>
      <c r="BC22" s="48">
        <f>'Evolutive SFP'!BB46</f>
        <v>0</v>
      </c>
      <c r="BD22" s="48">
        <f>'Evolutive SFP'!BC46</f>
        <v>0</v>
      </c>
      <c r="BE22" s="48">
        <f>'Evolutive SFP'!BD46</f>
        <v>0</v>
      </c>
      <c r="BF22" s="48">
        <f>'Evolutive SFP'!BE46</f>
        <v>0</v>
      </c>
      <c r="BG22" s="48">
        <f>'Evolutive SFP'!BF46</f>
        <v>0</v>
      </c>
      <c r="BH22" s="48">
        <f>'Evolutive SFP'!BG46</f>
        <v>0</v>
      </c>
      <c r="BI22" s="48">
        <f>'Evolutive SFP'!BH46</f>
        <v>0</v>
      </c>
      <c r="BJ22" s="48">
        <f>'Evolutive SFP'!BI46</f>
        <v>0</v>
      </c>
      <c r="BK22" s="48">
        <f>'Evolutive SFP'!BJ46</f>
        <v>0</v>
      </c>
      <c r="BL22" s="48">
        <f>'Evolutive SFP'!BK46</f>
        <v>0</v>
      </c>
      <c r="BM22" s="48">
        <f>'Evolutive SFP'!BL46</f>
        <v>0</v>
      </c>
      <c r="BN22" s="48">
        <f>'Evolutive SFP'!BM46</f>
        <v>0</v>
      </c>
      <c r="BO22" s="48">
        <f>'Evolutive SFP'!BN46</f>
        <v>0</v>
      </c>
      <c r="BP22" s="48">
        <f>'Evolutive SFP'!BO46</f>
        <v>0</v>
      </c>
      <c r="BQ22" s="48">
        <f>'Evolutive SFP'!BP46</f>
        <v>0</v>
      </c>
      <c r="BR22" s="48">
        <f>'Evolutive SFP'!BQ46</f>
        <v>0</v>
      </c>
      <c r="BS22" s="48">
        <f>'Evolutive SFP'!BR46</f>
        <v>0</v>
      </c>
      <c r="BT22" s="48">
        <f>'Evolutive SFP'!BS46</f>
        <v>0</v>
      </c>
      <c r="BU22" s="48">
        <f>'Evolutive SFP'!BT46</f>
        <v>0</v>
      </c>
      <c r="BV22" s="48">
        <f>'Evolutive SFP'!BU46</f>
        <v>0</v>
      </c>
      <c r="BW22" s="48">
        <f>'Evolutive SFP'!BV46</f>
        <v>0</v>
      </c>
      <c r="BX22" s="48">
        <f>'Evolutive SFP'!BW46</f>
        <v>0</v>
      </c>
      <c r="BY22" s="48">
        <f>'Evolutive SFP'!BX46</f>
        <v>0</v>
      </c>
      <c r="BZ22" s="48">
        <f>'Evolutive SFP'!BY46</f>
        <v>0</v>
      </c>
      <c r="CA22" s="48">
        <f>'Evolutive SFP'!BZ46</f>
        <v>0</v>
      </c>
      <c r="CB22" s="48">
        <f>'Evolutive SFP'!CA46</f>
        <v>0</v>
      </c>
      <c r="CC22" s="48">
        <f>'Evolutive SFP'!CB46</f>
        <v>0</v>
      </c>
      <c r="CD22" s="48">
        <f>'Evolutive SFP'!CC46</f>
        <v>0</v>
      </c>
      <c r="CE22" s="48">
        <f>'Evolutive SFP'!CD46</f>
        <v>0</v>
      </c>
      <c r="CF22" s="48">
        <f>'Evolutive SFP'!CE46</f>
        <v>0</v>
      </c>
      <c r="CG22" s="48">
        <f>'Evolutive SFP'!CF46</f>
        <v>0</v>
      </c>
      <c r="CH22" s="48">
        <f>'Evolutive SFP'!CG46</f>
        <v>0</v>
      </c>
      <c r="CI22" s="48">
        <f>'Evolutive SFP'!CH46</f>
        <v>0</v>
      </c>
      <c r="CJ22" s="48">
        <f>'Evolutive SFP'!CI46</f>
        <v>0</v>
      </c>
      <c r="CK22" s="48">
        <f>'Evolutive SFP'!CJ46</f>
        <v>0</v>
      </c>
      <c r="CL22" s="48">
        <f>'Evolutive SFP'!CK46</f>
        <v>0</v>
      </c>
      <c r="CM22" s="48">
        <f>'Evolutive SFP'!CL46</f>
        <v>0</v>
      </c>
      <c r="CN22" s="48">
        <f>'Evolutive SFP'!CM46</f>
        <v>0</v>
      </c>
      <c r="CO22" s="48">
        <f>'Evolutive SFP'!CN46</f>
        <v>0</v>
      </c>
      <c r="CP22" s="48">
        <f>'Evolutive SFP'!CO46</f>
        <v>0</v>
      </c>
      <c r="CQ22" s="48">
        <f>'Evolutive SFP'!CP46</f>
        <v>0</v>
      </c>
      <c r="CR22" s="48">
        <f>'Evolutive SFP'!CQ46</f>
        <v>0</v>
      </c>
      <c r="CS22" s="48">
        <f>'Evolutive SFP'!CR46</f>
        <v>6000000</v>
      </c>
      <c r="CT22" s="48">
        <f>'Evolutive SFP'!CS47</f>
        <v>0</v>
      </c>
    </row>
    <row r="23" spans="1:98" x14ac:dyDescent="0.3">
      <c r="A23" s="31" t="s">
        <v>210</v>
      </c>
      <c r="B23" s="26" t="s">
        <v>211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</row>
    <row r="24" spans="1:98" x14ac:dyDescent="0.3">
      <c r="A24" s="25"/>
      <c r="B24" s="32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</row>
    <row r="25" spans="1:98" s="19" customFormat="1" x14ac:dyDescent="0.3">
      <c r="A25" s="35">
        <v>6</v>
      </c>
      <c r="B25" s="30" t="s">
        <v>212</v>
      </c>
      <c r="C25" s="49">
        <f>C26+C27+C28</f>
        <v>36066278</v>
      </c>
      <c r="D25" s="49">
        <f t="shared" ref="D25:BO25" si="10">D26+D27+D28</f>
        <v>19230840</v>
      </c>
      <c r="E25" s="49">
        <f t="shared" si="10"/>
        <v>19230840</v>
      </c>
      <c r="F25" s="49">
        <f t="shared" si="10"/>
        <v>34219861.519999996</v>
      </c>
      <c r="G25" s="49">
        <f t="shared" si="10"/>
        <v>35463780</v>
      </c>
      <c r="H25" s="49">
        <f t="shared" si="10"/>
        <v>36946632.549999997</v>
      </c>
      <c r="I25" s="49">
        <f t="shared" si="10"/>
        <v>36946632.549999997</v>
      </c>
      <c r="J25" s="49">
        <f t="shared" si="10"/>
        <v>73893265.099999994</v>
      </c>
      <c r="K25" s="49">
        <f t="shared" si="10"/>
        <v>36946632.549999997</v>
      </c>
      <c r="L25" s="49">
        <f t="shared" si="10"/>
        <v>36946632.549999997</v>
      </c>
      <c r="M25" s="49">
        <f t="shared" si="10"/>
        <v>37336066</v>
      </c>
      <c r="N25" s="49">
        <f t="shared" si="10"/>
        <v>37336066</v>
      </c>
      <c r="O25" s="49">
        <f t="shared" si="10"/>
        <v>37336066</v>
      </c>
      <c r="P25" s="49">
        <f t="shared" si="10"/>
        <v>37336066</v>
      </c>
      <c r="Q25" s="49">
        <f t="shared" si="10"/>
        <v>38461680</v>
      </c>
      <c r="R25" s="49">
        <f t="shared" si="10"/>
        <v>19230840</v>
      </c>
      <c r="S25" s="49">
        <f t="shared" si="10"/>
        <v>24230840</v>
      </c>
      <c r="T25" s="49">
        <f t="shared" si="10"/>
        <v>38461680</v>
      </c>
      <c r="U25" s="49">
        <f t="shared" si="10"/>
        <v>19230840</v>
      </c>
      <c r="V25" s="49">
        <f t="shared" si="10"/>
        <v>24230840</v>
      </c>
      <c r="W25" s="49">
        <f t="shared" si="10"/>
        <v>24230840</v>
      </c>
      <c r="X25" s="49">
        <f t="shared" si="10"/>
        <v>24230840</v>
      </c>
      <c r="Y25" s="49">
        <f t="shared" si="10"/>
        <v>24230840</v>
      </c>
      <c r="Z25" s="49">
        <f t="shared" si="10"/>
        <v>72692520</v>
      </c>
      <c r="AA25" s="49">
        <f t="shared" si="10"/>
        <v>48461680</v>
      </c>
      <c r="AB25" s="49">
        <f t="shared" si="10"/>
        <v>121154200</v>
      </c>
      <c r="AC25" s="49">
        <f t="shared" si="10"/>
        <v>48461680</v>
      </c>
      <c r="AD25" s="49">
        <f t="shared" si="10"/>
        <v>72692520</v>
      </c>
      <c r="AE25" s="49">
        <f t="shared" si="10"/>
        <v>24230840</v>
      </c>
      <c r="AF25" s="49">
        <f t="shared" si="10"/>
        <v>24230840</v>
      </c>
      <c r="AG25" s="49">
        <f t="shared" si="10"/>
        <v>24230840</v>
      </c>
      <c r="AH25" s="49">
        <f t="shared" si="10"/>
        <v>24230840</v>
      </c>
      <c r="AI25" s="49">
        <f t="shared" si="10"/>
        <v>24230840</v>
      </c>
      <c r="AJ25" s="49">
        <f t="shared" si="10"/>
        <v>24230840</v>
      </c>
      <c r="AK25" s="49">
        <f t="shared" si="10"/>
        <v>24230840</v>
      </c>
      <c r="AL25" s="49">
        <f t="shared" si="10"/>
        <v>24230840</v>
      </c>
      <c r="AM25" s="49">
        <f t="shared" si="10"/>
        <v>19230840</v>
      </c>
      <c r="AN25" s="49">
        <f t="shared" si="10"/>
        <v>19230840</v>
      </c>
      <c r="AO25" s="49">
        <f t="shared" si="10"/>
        <v>19230840</v>
      </c>
      <c r="AP25" s="49">
        <f t="shared" si="10"/>
        <v>19230840</v>
      </c>
      <c r="AQ25" s="49">
        <f t="shared" si="10"/>
        <v>19230840</v>
      </c>
      <c r="AR25" s="49">
        <f t="shared" si="10"/>
        <v>19230840</v>
      </c>
      <c r="AS25" s="49">
        <f t="shared" si="10"/>
        <v>175262790</v>
      </c>
      <c r="AT25" s="49">
        <f t="shared" si="10"/>
        <v>19230840</v>
      </c>
      <c r="AU25" s="49">
        <f t="shared" si="10"/>
        <v>19230840</v>
      </c>
      <c r="AV25" s="49">
        <f t="shared" si="10"/>
        <v>19230840</v>
      </c>
      <c r="AW25" s="49">
        <f t="shared" si="10"/>
        <v>19230840</v>
      </c>
      <c r="AX25" s="49">
        <f t="shared" si="10"/>
        <v>19230840</v>
      </c>
      <c r="AY25" s="49">
        <f t="shared" si="10"/>
        <v>19230840</v>
      </c>
      <c r="AZ25" s="49">
        <f t="shared" si="10"/>
        <v>19230840</v>
      </c>
      <c r="BA25" s="49">
        <f t="shared" si="10"/>
        <v>175262790</v>
      </c>
      <c r="BB25" s="49">
        <f t="shared" si="10"/>
        <v>175262790</v>
      </c>
      <c r="BC25" s="49">
        <f t="shared" si="10"/>
        <v>175262790</v>
      </c>
      <c r="BD25" s="49">
        <f t="shared" si="10"/>
        <v>175262790</v>
      </c>
      <c r="BE25" s="49">
        <f t="shared" si="10"/>
        <v>175262790</v>
      </c>
      <c r="BF25" s="49">
        <f t="shared" si="10"/>
        <v>0</v>
      </c>
      <c r="BG25" s="49">
        <f t="shared" si="10"/>
        <v>175262790</v>
      </c>
      <c r="BH25" s="49">
        <f t="shared" si="10"/>
        <v>175262790</v>
      </c>
      <c r="BI25" s="49">
        <f t="shared" si="10"/>
        <v>184451252</v>
      </c>
      <c r="BJ25" s="49">
        <f t="shared" si="10"/>
        <v>184451252</v>
      </c>
      <c r="BK25" s="49">
        <f t="shared" si="10"/>
        <v>184451252</v>
      </c>
      <c r="BL25" s="49">
        <f t="shared" si="10"/>
        <v>184451252</v>
      </c>
      <c r="BM25" s="49">
        <f t="shared" si="10"/>
        <v>0</v>
      </c>
      <c r="BN25" s="49">
        <f t="shared" si="10"/>
        <v>553353756</v>
      </c>
      <c r="BO25" s="49">
        <f t="shared" si="10"/>
        <v>184451252</v>
      </c>
      <c r="BP25" s="49">
        <f t="shared" ref="BP25:CT25" si="11">BP26+BP27+BP28</f>
        <v>184451252</v>
      </c>
      <c r="BQ25" s="49">
        <f t="shared" si="11"/>
        <v>368902504</v>
      </c>
      <c r="BR25" s="49">
        <f t="shared" si="11"/>
        <v>184230313</v>
      </c>
      <c r="BS25" s="49">
        <f t="shared" si="11"/>
        <v>130896272.03</v>
      </c>
      <c r="BT25" s="49">
        <f t="shared" si="11"/>
        <v>184230313</v>
      </c>
      <c r="BU25" s="49">
        <f t="shared" si="11"/>
        <v>184230313</v>
      </c>
      <c r="BV25" s="49">
        <f t="shared" si="11"/>
        <v>184230313</v>
      </c>
      <c r="BW25" s="49">
        <f t="shared" si="11"/>
        <v>184230313</v>
      </c>
      <c r="BX25" s="49">
        <f t="shared" si="11"/>
        <v>184230313</v>
      </c>
      <c r="BY25" s="49">
        <f t="shared" si="11"/>
        <v>130896271</v>
      </c>
      <c r="BZ25" s="49">
        <f t="shared" si="11"/>
        <v>130896271</v>
      </c>
      <c r="CA25" s="49">
        <f t="shared" si="11"/>
        <v>130896271</v>
      </c>
      <c r="CB25" s="49">
        <f t="shared" si="11"/>
        <v>130896271</v>
      </c>
      <c r="CC25" s="49">
        <f t="shared" si="11"/>
        <v>130896271</v>
      </c>
      <c r="CD25" s="49">
        <f t="shared" si="11"/>
        <v>0</v>
      </c>
      <c r="CE25" s="49">
        <f t="shared" si="11"/>
        <v>0</v>
      </c>
      <c r="CF25" s="49">
        <f t="shared" si="11"/>
        <v>184162473.90000001</v>
      </c>
      <c r="CG25" s="49">
        <f t="shared" si="11"/>
        <v>130896271</v>
      </c>
      <c r="CH25" s="49">
        <f t="shared" si="11"/>
        <v>130896271</v>
      </c>
      <c r="CI25" s="49">
        <f t="shared" si="11"/>
        <v>130896271</v>
      </c>
      <c r="CJ25" s="49">
        <f t="shared" si="11"/>
        <v>130896271</v>
      </c>
      <c r="CK25" s="49">
        <f t="shared" si="11"/>
        <v>130896271</v>
      </c>
      <c r="CL25" s="49">
        <f t="shared" si="11"/>
        <v>184162483.62</v>
      </c>
      <c r="CM25" s="49">
        <f t="shared" si="11"/>
        <v>184162483.62</v>
      </c>
      <c r="CN25" s="49">
        <f t="shared" si="11"/>
        <v>184162483.62</v>
      </c>
      <c r="CO25" s="49">
        <f t="shared" si="11"/>
        <v>184162483.62</v>
      </c>
      <c r="CP25" s="49">
        <f t="shared" si="11"/>
        <v>184162483.62</v>
      </c>
      <c r="CQ25" s="49">
        <f t="shared" si="11"/>
        <v>184162483.62</v>
      </c>
      <c r="CR25" s="49">
        <f t="shared" si="11"/>
        <v>184162483.62</v>
      </c>
      <c r="CS25" s="49">
        <f t="shared" si="11"/>
        <v>187564629.11000001</v>
      </c>
      <c r="CT25" s="49">
        <f t="shared" si="11"/>
        <v>184162483.62</v>
      </c>
    </row>
    <row r="26" spans="1:98" x14ac:dyDescent="0.3">
      <c r="A26" s="27">
        <v>6.1</v>
      </c>
      <c r="B26" s="26" t="s">
        <v>213</v>
      </c>
      <c r="C26" s="48">
        <f>'Evolutive SFP'!B12</f>
        <v>24166640</v>
      </c>
      <c r="D26" s="48">
        <f>'Evolutive SFP'!C12</f>
        <v>19230840</v>
      </c>
      <c r="E26" s="48">
        <f>'Evolutive SFP'!D12</f>
        <v>19230840</v>
      </c>
      <c r="F26" s="48">
        <f>'Evolutive SFP'!E12</f>
        <v>19103340</v>
      </c>
      <c r="G26" s="48">
        <f>'Evolutive SFP'!F12</f>
        <v>19103340</v>
      </c>
      <c r="H26" s="48">
        <f>'Evolutive SFP'!G12</f>
        <v>19103340</v>
      </c>
      <c r="I26" s="48">
        <f>'Evolutive SFP'!H12</f>
        <v>19103340</v>
      </c>
      <c r="J26" s="48">
        <f>'Evolutive SFP'!I12</f>
        <v>38206680</v>
      </c>
      <c r="K26" s="48">
        <f>'Evolutive SFP'!J12</f>
        <v>19103340</v>
      </c>
      <c r="L26" s="48">
        <f>'Evolutive SFP'!K12</f>
        <v>19103340</v>
      </c>
      <c r="M26" s="48">
        <f>'Evolutive SFP'!L12</f>
        <v>19103340</v>
      </c>
      <c r="N26" s="48">
        <f>'Evolutive SFP'!M12</f>
        <v>19103340</v>
      </c>
      <c r="O26" s="48">
        <f>'Evolutive SFP'!N12</f>
        <v>19103340</v>
      </c>
      <c r="P26" s="48">
        <f>'Evolutive SFP'!O12</f>
        <v>19103340</v>
      </c>
      <c r="Q26" s="48">
        <f>'Evolutive SFP'!P12</f>
        <v>38206680</v>
      </c>
      <c r="R26" s="48">
        <f>'Evolutive SFP'!Q12</f>
        <v>19103340</v>
      </c>
      <c r="S26" s="48">
        <f>'Evolutive SFP'!R12</f>
        <v>24230840</v>
      </c>
      <c r="T26" s="48">
        <f>'Evolutive SFP'!S12</f>
        <v>38206680</v>
      </c>
      <c r="U26" s="48">
        <f>'Evolutive SFP'!T12</f>
        <v>19103340</v>
      </c>
      <c r="V26" s="48">
        <f>'Evolutive SFP'!U12</f>
        <v>24103340</v>
      </c>
      <c r="W26" s="48">
        <f>'Evolutive SFP'!V12</f>
        <v>24103340</v>
      </c>
      <c r="X26" s="48">
        <f>'Evolutive SFP'!W12</f>
        <v>24103340</v>
      </c>
      <c r="Y26" s="48">
        <f>'Evolutive SFP'!X12</f>
        <v>24103340</v>
      </c>
      <c r="Z26" s="48">
        <f>'Evolutive SFP'!Y12</f>
        <v>72310020</v>
      </c>
      <c r="AA26" s="48">
        <f>'Evolutive SFP'!Z12</f>
        <v>48206680</v>
      </c>
      <c r="AB26" s="48">
        <f>'Evolutive SFP'!AA12</f>
        <v>120516700</v>
      </c>
      <c r="AC26" s="48">
        <f>'Evolutive SFP'!AB12</f>
        <v>48206680</v>
      </c>
      <c r="AD26" s="48">
        <f>'Evolutive SFP'!AC12</f>
        <v>72310020</v>
      </c>
      <c r="AE26" s="48">
        <f>'Evolutive SFP'!AD12</f>
        <v>24103340</v>
      </c>
      <c r="AF26" s="48">
        <f>'Evolutive SFP'!AE12</f>
        <v>24104590</v>
      </c>
      <c r="AG26" s="48">
        <f>'Evolutive SFP'!AF12</f>
        <v>24103340</v>
      </c>
      <c r="AH26" s="48">
        <f>'Evolutive SFP'!AG12</f>
        <v>24103340</v>
      </c>
      <c r="AI26" s="48">
        <f>'Evolutive SFP'!AH12</f>
        <v>24103340</v>
      </c>
      <c r="AJ26" s="48">
        <f>'Evolutive SFP'!AI12</f>
        <v>24103340</v>
      </c>
      <c r="AK26" s="48">
        <f>'Evolutive SFP'!AJ12</f>
        <v>24103340</v>
      </c>
      <c r="AL26" s="48">
        <f>'Evolutive SFP'!AK12</f>
        <v>24103340</v>
      </c>
      <c r="AM26" s="48">
        <f>'Evolutive SFP'!AL12</f>
        <v>19103340</v>
      </c>
      <c r="AN26" s="48">
        <f>'Evolutive SFP'!AM12</f>
        <v>19103340</v>
      </c>
      <c r="AO26" s="48">
        <f>'Evolutive SFP'!AN12</f>
        <v>19103340</v>
      </c>
      <c r="AP26" s="48">
        <f>'Evolutive SFP'!AO12</f>
        <v>19103340</v>
      </c>
      <c r="AQ26" s="48">
        <f>'Evolutive SFP'!AP12</f>
        <v>19103340</v>
      </c>
      <c r="AR26" s="48">
        <f>'Evolutive SFP'!AQ12</f>
        <v>19103340</v>
      </c>
      <c r="AS26" s="48">
        <f>'Evolutive SFP'!AR12</f>
        <v>175084290</v>
      </c>
      <c r="AT26" s="48">
        <f>'Evolutive SFP'!AS12</f>
        <v>19103340</v>
      </c>
      <c r="AU26" s="48">
        <f>'Evolutive SFP'!AT12</f>
        <v>19103340</v>
      </c>
      <c r="AV26" s="48">
        <f>'Evolutive SFP'!AU12</f>
        <v>19103340</v>
      </c>
      <c r="AW26" s="48">
        <f>'Evolutive SFP'!AV12</f>
        <v>19103340</v>
      </c>
      <c r="AX26" s="48">
        <f>'Evolutive SFP'!AW12</f>
        <v>19103340</v>
      </c>
      <c r="AY26" s="48">
        <f>'Evolutive SFP'!AX12</f>
        <v>19103340</v>
      </c>
      <c r="AZ26" s="48">
        <f>'Evolutive SFP'!AY12</f>
        <v>19103340</v>
      </c>
      <c r="BA26" s="48">
        <f>'Evolutive SFP'!AZ12</f>
        <v>175135290</v>
      </c>
      <c r="BB26" s="48">
        <f>'Evolutive SFP'!BA12</f>
        <v>175135290</v>
      </c>
      <c r="BC26" s="48">
        <f>'Evolutive SFP'!BB12</f>
        <v>175135290</v>
      </c>
      <c r="BD26" s="48">
        <f>'Evolutive SFP'!BC12</f>
        <v>175135290</v>
      </c>
      <c r="BE26" s="48">
        <f>'Evolutive SFP'!BD12</f>
        <v>175135290</v>
      </c>
      <c r="BF26" s="48">
        <f>'Evolutive SFP'!BE12</f>
        <v>0</v>
      </c>
      <c r="BG26" s="48">
        <f>'Evolutive SFP'!BF12</f>
        <v>175135290</v>
      </c>
      <c r="BH26" s="48">
        <f>'Evolutive SFP'!BG12</f>
        <v>175135290</v>
      </c>
      <c r="BI26" s="48">
        <f>'Evolutive SFP'!BH12</f>
        <v>184323752</v>
      </c>
      <c r="BJ26" s="48">
        <f>'Evolutive SFP'!BI12</f>
        <v>184323752</v>
      </c>
      <c r="BK26" s="48">
        <f>'Evolutive SFP'!BJ12</f>
        <v>184323752</v>
      </c>
      <c r="BL26" s="48">
        <f>'Evolutive SFP'!BK12</f>
        <v>184323752</v>
      </c>
      <c r="BM26" s="48">
        <f>'Evolutive SFP'!BL12</f>
        <v>0</v>
      </c>
      <c r="BN26" s="48">
        <f>'Evolutive SFP'!BM12</f>
        <v>552971256</v>
      </c>
      <c r="BO26" s="48">
        <f>'Evolutive SFP'!BN12</f>
        <v>184323752</v>
      </c>
      <c r="BP26" s="48">
        <f>'Evolutive SFP'!BO12</f>
        <v>184323752</v>
      </c>
      <c r="BQ26" s="48">
        <f>'Evolutive SFP'!BP12</f>
        <v>368647504</v>
      </c>
      <c r="BR26" s="48">
        <f>'Evolutive SFP'!BQ12</f>
        <v>184115313</v>
      </c>
      <c r="BS26" s="48">
        <f>'Evolutive SFP'!BR12</f>
        <v>5342.8</v>
      </c>
      <c r="BT26" s="48">
        <f>'Evolutive SFP'!BS12</f>
        <v>184115313</v>
      </c>
      <c r="BU26" s="48">
        <f>'Evolutive SFP'!BT12</f>
        <v>184115313</v>
      </c>
      <c r="BV26" s="48">
        <f>'Evolutive SFP'!BU12</f>
        <v>184115313</v>
      </c>
      <c r="BW26" s="48">
        <f>'Evolutive SFP'!BV12</f>
        <v>184115313</v>
      </c>
      <c r="BX26" s="48">
        <f>'Evolutive SFP'!BW12</f>
        <v>184115313</v>
      </c>
      <c r="BY26" s="48">
        <f>'Evolutive SFP'!BX12</f>
        <v>130781271</v>
      </c>
      <c r="BZ26" s="48">
        <f>'Evolutive SFP'!BY12</f>
        <v>130781271</v>
      </c>
      <c r="CA26" s="48">
        <f>'Evolutive SFP'!BZ12</f>
        <v>130781271</v>
      </c>
      <c r="CB26" s="48">
        <f>'Evolutive SFP'!CA12</f>
        <v>130781271</v>
      </c>
      <c r="CC26" s="48">
        <f>'Evolutive SFP'!CB12</f>
        <v>130781271</v>
      </c>
      <c r="CD26" s="48">
        <f>'Evolutive SFP'!CC12</f>
        <v>0</v>
      </c>
      <c r="CE26" s="48">
        <f>'Evolutive SFP'!CD12</f>
        <v>0</v>
      </c>
      <c r="CF26" s="48">
        <f>'Evolutive SFP'!CE12</f>
        <v>2812</v>
      </c>
      <c r="CG26" s="48">
        <f>'Evolutive SFP'!CF12</f>
        <v>115000</v>
      </c>
      <c r="CH26" s="48">
        <f>'Evolutive SFP'!CG12</f>
        <v>115000</v>
      </c>
      <c r="CI26" s="48">
        <f>'Evolutive SFP'!CH12</f>
        <v>115000</v>
      </c>
      <c r="CJ26" s="48">
        <f>'Evolutive SFP'!CI12</f>
        <v>115000</v>
      </c>
      <c r="CK26" s="48">
        <f>'Evolutive SFP'!CJ12</f>
        <v>115000</v>
      </c>
      <c r="CL26" s="48">
        <f>'Evolutive SFP'!CK12</f>
        <v>115000</v>
      </c>
      <c r="CM26" s="48">
        <f>'Evolutive SFP'!CL12</f>
        <v>115000</v>
      </c>
      <c r="CN26" s="48">
        <f>'Evolutive SFP'!CM12</f>
        <v>115000</v>
      </c>
      <c r="CO26" s="48">
        <f>'Evolutive SFP'!CN12</f>
        <v>115000</v>
      </c>
      <c r="CP26" s="48">
        <f>'Evolutive SFP'!CO12</f>
        <v>115000</v>
      </c>
      <c r="CQ26" s="48">
        <f>'Evolutive SFP'!CP12</f>
        <v>115000</v>
      </c>
      <c r="CR26" s="48">
        <f>'Evolutive SFP'!CQ12</f>
        <v>115000</v>
      </c>
      <c r="CS26" s="48">
        <f>'Evolutive SFP'!CR12</f>
        <v>43544.81</v>
      </c>
      <c r="CT26" s="48">
        <f>'Evolutive SFP'!CS12</f>
        <v>115000</v>
      </c>
    </row>
    <row r="27" spans="1:98" x14ac:dyDescent="0.3">
      <c r="A27" s="27">
        <v>6.2</v>
      </c>
      <c r="B27" s="26" t="s">
        <v>214</v>
      </c>
      <c r="C27" s="48">
        <f>'Evolutive SFP'!B10</f>
        <v>64200</v>
      </c>
      <c r="D27" s="48">
        <f>'Evolutive SFP'!C10</f>
        <v>0</v>
      </c>
      <c r="E27" s="48">
        <f>'Evolutive SFP'!D10</f>
        <v>0</v>
      </c>
      <c r="F27" s="48">
        <f>'Evolutive SFP'!E10</f>
        <v>0</v>
      </c>
      <c r="G27" s="48">
        <f>'Evolutive SFP'!F10</f>
        <v>0</v>
      </c>
      <c r="H27" s="48">
        <f>'Evolutive SFP'!G10</f>
        <v>0</v>
      </c>
      <c r="I27" s="48">
        <f>'Evolutive SFP'!H10</f>
        <v>0</v>
      </c>
      <c r="J27" s="48">
        <f>'Evolutive SFP'!I10</f>
        <v>0</v>
      </c>
      <c r="K27" s="48">
        <f>'Evolutive SFP'!J10</f>
        <v>0</v>
      </c>
      <c r="L27" s="48">
        <f>'Evolutive SFP'!K10</f>
        <v>0</v>
      </c>
      <c r="M27" s="48">
        <f>'Evolutive SFP'!L10</f>
        <v>0</v>
      </c>
      <c r="N27" s="48">
        <f>'Evolutive SFP'!M10</f>
        <v>0</v>
      </c>
      <c r="O27" s="48">
        <f>'Evolutive SFP'!N10</f>
        <v>0</v>
      </c>
      <c r="P27" s="48">
        <f>'Evolutive SFP'!O10</f>
        <v>0</v>
      </c>
      <c r="Q27" s="48">
        <f>'Evolutive SFP'!P10</f>
        <v>0</v>
      </c>
      <c r="R27" s="48">
        <f>'Evolutive SFP'!Q10</f>
        <v>0</v>
      </c>
      <c r="S27" s="48">
        <f>'Evolutive SFP'!R10</f>
        <v>0</v>
      </c>
      <c r="T27" s="48">
        <f>'Evolutive SFP'!S10</f>
        <v>0</v>
      </c>
      <c r="U27" s="48">
        <f>'Evolutive SFP'!T10</f>
        <v>0</v>
      </c>
      <c r="V27" s="48">
        <f>'Evolutive SFP'!U10</f>
        <v>0</v>
      </c>
      <c r="W27" s="48">
        <f>'Evolutive SFP'!V10</f>
        <v>0</v>
      </c>
      <c r="X27" s="48">
        <f>'Evolutive SFP'!W10</f>
        <v>0</v>
      </c>
      <c r="Y27" s="48">
        <f>'Evolutive SFP'!X10</f>
        <v>0</v>
      </c>
      <c r="Z27" s="48">
        <f>'Evolutive SFP'!Y10</f>
        <v>0</v>
      </c>
      <c r="AA27" s="48">
        <f>'Evolutive SFP'!Z10</f>
        <v>0</v>
      </c>
      <c r="AB27" s="48">
        <f>'Evolutive SFP'!AA10</f>
        <v>0</v>
      </c>
      <c r="AC27" s="48">
        <f>'Evolutive SFP'!AB10</f>
        <v>0</v>
      </c>
      <c r="AD27" s="48">
        <f>'Evolutive SFP'!AC10</f>
        <v>0</v>
      </c>
      <c r="AE27" s="48">
        <f>'Evolutive SFP'!AD10</f>
        <v>0</v>
      </c>
      <c r="AF27" s="48">
        <f>'Evolutive SFP'!AE10</f>
        <v>0</v>
      </c>
      <c r="AG27" s="48">
        <f>'Evolutive SFP'!AF10</f>
        <v>0</v>
      </c>
      <c r="AH27" s="48">
        <f>'Evolutive SFP'!AG10</f>
        <v>0</v>
      </c>
      <c r="AI27" s="48">
        <f>'Evolutive SFP'!AH10</f>
        <v>0</v>
      </c>
      <c r="AJ27" s="48">
        <f>'Evolutive SFP'!AI10</f>
        <v>0</v>
      </c>
      <c r="AK27" s="48">
        <f>'Evolutive SFP'!AJ10</f>
        <v>0</v>
      </c>
      <c r="AL27" s="48">
        <f>'Evolutive SFP'!AK10</f>
        <v>0</v>
      </c>
      <c r="AM27" s="48">
        <f>'Evolutive SFP'!AL10</f>
        <v>0</v>
      </c>
      <c r="AN27" s="48">
        <f>'Evolutive SFP'!AM10</f>
        <v>0</v>
      </c>
      <c r="AO27" s="48">
        <f>'Evolutive SFP'!AN10</f>
        <v>0</v>
      </c>
      <c r="AP27" s="48">
        <f>'Evolutive SFP'!AO10</f>
        <v>0</v>
      </c>
      <c r="AQ27" s="48">
        <f>'Evolutive SFP'!AP10</f>
        <v>0</v>
      </c>
      <c r="AR27" s="48">
        <f>'Evolutive SFP'!AQ10</f>
        <v>0</v>
      </c>
      <c r="AS27" s="48">
        <f>'Evolutive SFP'!AR10</f>
        <v>0</v>
      </c>
      <c r="AT27" s="48">
        <f>'Evolutive SFP'!AS10</f>
        <v>0</v>
      </c>
      <c r="AU27" s="48">
        <f>'Evolutive SFP'!AT10</f>
        <v>0</v>
      </c>
      <c r="AV27" s="48">
        <f>'Evolutive SFP'!AU10</f>
        <v>0</v>
      </c>
      <c r="AW27" s="48">
        <f>'Evolutive SFP'!AV10</f>
        <v>0</v>
      </c>
      <c r="AX27" s="48">
        <f>'Evolutive SFP'!AW10</f>
        <v>0</v>
      </c>
      <c r="AY27" s="48">
        <f>'Evolutive SFP'!AX10</f>
        <v>0</v>
      </c>
      <c r="AZ27" s="48">
        <f>'Evolutive SFP'!AY10</f>
        <v>0</v>
      </c>
      <c r="BA27" s="48">
        <f>'Evolutive SFP'!AZ10</f>
        <v>0</v>
      </c>
      <c r="BB27" s="48">
        <f>'Evolutive SFP'!BA10</f>
        <v>0</v>
      </c>
      <c r="BC27" s="48">
        <f>'Evolutive SFP'!BB10</f>
        <v>0</v>
      </c>
      <c r="BD27" s="48">
        <f>'Evolutive SFP'!BC10</f>
        <v>0</v>
      </c>
      <c r="BE27" s="48">
        <f>'Evolutive SFP'!BD10</f>
        <v>0</v>
      </c>
      <c r="BF27" s="48">
        <f>'Evolutive SFP'!BE10</f>
        <v>0</v>
      </c>
      <c r="BG27" s="48">
        <f>'Evolutive SFP'!BF10</f>
        <v>0</v>
      </c>
      <c r="BH27" s="48">
        <f>'Evolutive SFP'!BG10</f>
        <v>0</v>
      </c>
      <c r="BI27" s="48">
        <f>'Evolutive SFP'!BH10</f>
        <v>0</v>
      </c>
      <c r="BJ27" s="48">
        <f>'Evolutive SFP'!BI10</f>
        <v>0</v>
      </c>
      <c r="BK27" s="48">
        <f>'Evolutive SFP'!BJ10</f>
        <v>0</v>
      </c>
      <c r="BL27" s="48">
        <f>'Evolutive SFP'!BK10</f>
        <v>0</v>
      </c>
      <c r="BM27" s="48">
        <f>'Evolutive SFP'!BL10</f>
        <v>0</v>
      </c>
      <c r="BN27" s="48">
        <f>'Evolutive SFP'!BM10</f>
        <v>0</v>
      </c>
      <c r="BO27" s="48">
        <f>'Evolutive SFP'!BN10</f>
        <v>0</v>
      </c>
      <c r="BP27" s="48">
        <f>'Evolutive SFP'!BO10</f>
        <v>0</v>
      </c>
      <c r="BQ27" s="48">
        <f>'Evolutive SFP'!BP10</f>
        <v>0</v>
      </c>
      <c r="BR27" s="48">
        <f>'Evolutive SFP'!BQ10</f>
        <v>0</v>
      </c>
      <c r="BS27" s="48">
        <f>'Evolutive SFP'!BR10</f>
        <v>0</v>
      </c>
      <c r="BT27" s="48">
        <f>'Evolutive SFP'!BS10</f>
        <v>0</v>
      </c>
      <c r="BU27" s="48">
        <f>'Evolutive SFP'!BT10</f>
        <v>0</v>
      </c>
      <c r="BV27" s="48">
        <f>'Evolutive SFP'!BU10</f>
        <v>0</v>
      </c>
      <c r="BW27" s="48">
        <f>'Evolutive SFP'!BV10</f>
        <v>0</v>
      </c>
      <c r="BX27" s="48">
        <f>'Evolutive SFP'!BW10</f>
        <v>0</v>
      </c>
      <c r="BY27" s="48">
        <f>'Evolutive SFP'!BX10</f>
        <v>0</v>
      </c>
      <c r="BZ27" s="48">
        <f>'Evolutive SFP'!BY10</f>
        <v>0</v>
      </c>
      <c r="CA27" s="48">
        <f>'Evolutive SFP'!BZ10</f>
        <v>0</v>
      </c>
      <c r="CB27" s="48">
        <f>'Evolutive SFP'!CA10</f>
        <v>0</v>
      </c>
      <c r="CC27" s="48">
        <f>'Evolutive SFP'!CB10</f>
        <v>0</v>
      </c>
      <c r="CD27" s="48">
        <f>'Evolutive SFP'!CC10</f>
        <v>0</v>
      </c>
      <c r="CE27" s="48">
        <f>'Evolutive SFP'!CD10</f>
        <v>0</v>
      </c>
      <c r="CF27" s="48">
        <f>'Evolutive SFP'!CE10</f>
        <v>0</v>
      </c>
      <c r="CG27" s="48">
        <f>'Evolutive SFP'!CF10</f>
        <v>0</v>
      </c>
      <c r="CH27" s="48">
        <f>'Evolutive SFP'!CG10</f>
        <v>0</v>
      </c>
      <c r="CI27" s="48">
        <f>'Evolutive SFP'!CH10</f>
        <v>0</v>
      </c>
      <c r="CJ27" s="48">
        <f>'Evolutive SFP'!CI10</f>
        <v>0</v>
      </c>
      <c r="CK27" s="48">
        <f>'Evolutive SFP'!CJ10</f>
        <v>0</v>
      </c>
      <c r="CL27" s="48">
        <f>'Evolutive SFP'!CK10</f>
        <v>0</v>
      </c>
      <c r="CM27" s="48">
        <f>'Evolutive SFP'!CL10</f>
        <v>0</v>
      </c>
      <c r="CN27" s="48">
        <f>'Evolutive SFP'!CM10</f>
        <v>0</v>
      </c>
      <c r="CO27" s="48">
        <f>'Evolutive SFP'!CN10</f>
        <v>0</v>
      </c>
      <c r="CP27" s="48">
        <f>'Evolutive SFP'!CO10</f>
        <v>0</v>
      </c>
      <c r="CQ27" s="48">
        <f>'Evolutive SFP'!CP10</f>
        <v>0</v>
      </c>
      <c r="CR27" s="48">
        <f>'Evolutive SFP'!CQ10</f>
        <v>0</v>
      </c>
      <c r="CS27" s="48">
        <f>'Evolutive SFP'!CR10</f>
        <v>0</v>
      </c>
      <c r="CT27" s="48">
        <f>'Evolutive SFP'!CS10</f>
        <v>0</v>
      </c>
    </row>
    <row r="28" spans="1:98" x14ac:dyDescent="0.3">
      <c r="A28" s="27">
        <v>6.3</v>
      </c>
      <c r="B28" s="26" t="s">
        <v>215</v>
      </c>
      <c r="C28" s="48">
        <f>'Evolutive SFP'!B11</f>
        <v>11835438</v>
      </c>
      <c r="D28" s="48">
        <f>'Evolutive SFP'!C11</f>
        <v>0</v>
      </c>
      <c r="E28" s="48">
        <f>'Evolutive SFP'!D11</f>
        <v>0</v>
      </c>
      <c r="F28" s="48">
        <f>'Evolutive SFP'!E11</f>
        <v>15116521.52</v>
      </c>
      <c r="G28" s="48">
        <f>'Evolutive SFP'!F11</f>
        <v>16360440</v>
      </c>
      <c r="H28" s="48">
        <f>'Evolutive SFP'!G11</f>
        <v>17843292.550000001</v>
      </c>
      <c r="I28" s="48">
        <f>'Evolutive SFP'!H11</f>
        <v>17843292.550000001</v>
      </c>
      <c r="J28" s="48">
        <f>'Evolutive SFP'!I11</f>
        <v>35686585.100000001</v>
      </c>
      <c r="K28" s="48">
        <f>'Evolutive SFP'!J11</f>
        <v>17843292.550000001</v>
      </c>
      <c r="L28" s="48">
        <f>'Evolutive SFP'!K11</f>
        <v>17843292.550000001</v>
      </c>
      <c r="M28" s="48">
        <f>'Evolutive SFP'!L11</f>
        <v>18232726</v>
      </c>
      <c r="N28" s="48">
        <f>'Evolutive SFP'!M11</f>
        <v>18232726</v>
      </c>
      <c r="O28" s="48">
        <f>'Evolutive SFP'!N11</f>
        <v>18232726</v>
      </c>
      <c r="P28" s="48">
        <f>'Evolutive SFP'!O11</f>
        <v>18232726</v>
      </c>
      <c r="Q28" s="48">
        <f>'Evolutive SFP'!P11</f>
        <v>255000</v>
      </c>
      <c r="R28" s="48">
        <f>'Evolutive SFP'!Q11</f>
        <v>127500</v>
      </c>
      <c r="S28" s="48">
        <f>'Evolutive SFP'!R11</f>
        <v>0</v>
      </c>
      <c r="T28" s="48">
        <f>'Evolutive SFP'!S11</f>
        <v>255000</v>
      </c>
      <c r="U28" s="48">
        <f>'Evolutive SFP'!T11</f>
        <v>127500</v>
      </c>
      <c r="V28" s="48">
        <f>'Evolutive SFP'!U11</f>
        <v>127500</v>
      </c>
      <c r="W28" s="48">
        <f>'Evolutive SFP'!V11</f>
        <v>127500</v>
      </c>
      <c r="X28" s="48">
        <f>'Evolutive SFP'!W11</f>
        <v>127500</v>
      </c>
      <c r="Y28" s="48">
        <f>'Evolutive SFP'!X11</f>
        <v>127500</v>
      </c>
      <c r="Z28" s="48">
        <f>'Evolutive SFP'!Y11</f>
        <v>382500</v>
      </c>
      <c r="AA28" s="48">
        <f>'Evolutive SFP'!Z11</f>
        <v>255000</v>
      </c>
      <c r="AB28" s="48">
        <f>'Evolutive SFP'!AA11</f>
        <v>637500</v>
      </c>
      <c r="AC28" s="48">
        <f>'Evolutive SFP'!AB11</f>
        <v>255000</v>
      </c>
      <c r="AD28" s="48">
        <f>'Evolutive SFP'!AC11</f>
        <v>382500</v>
      </c>
      <c r="AE28" s="48">
        <f>'Evolutive SFP'!AD11</f>
        <v>127500</v>
      </c>
      <c r="AF28" s="48">
        <f>'Evolutive SFP'!AE11</f>
        <v>126250</v>
      </c>
      <c r="AG28" s="48">
        <f>'Evolutive SFP'!AF11</f>
        <v>127500</v>
      </c>
      <c r="AH28" s="48">
        <f>'Evolutive SFP'!AG11</f>
        <v>127500</v>
      </c>
      <c r="AI28" s="48">
        <f>'Evolutive SFP'!AH11</f>
        <v>127500</v>
      </c>
      <c r="AJ28" s="48">
        <f>'Evolutive SFP'!AI11</f>
        <v>127500</v>
      </c>
      <c r="AK28" s="48">
        <f>'Evolutive SFP'!AJ11</f>
        <v>127500</v>
      </c>
      <c r="AL28" s="48">
        <f>'Evolutive SFP'!AK11</f>
        <v>127500</v>
      </c>
      <c r="AM28" s="48">
        <f>'Evolutive SFP'!AL11</f>
        <v>127500</v>
      </c>
      <c r="AN28" s="48">
        <f>'Evolutive SFP'!AM11</f>
        <v>127500</v>
      </c>
      <c r="AO28" s="48">
        <f>'Evolutive SFP'!AN11</f>
        <v>127500</v>
      </c>
      <c r="AP28" s="48">
        <f>'Evolutive SFP'!AO11</f>
        <v>127500</v>
      </c>
      <c r="AQ28" s="48">
        <f>'Evolutive SFP'!AP11</f>
        <v>127500</v>
      </c>
      <c r="AR28" s="48">
        <f>'Evolutive SFP'!AQ11</f>
        <v>127500</v>
      </c>
      <c r="AS28" s="48">
        <f>'Evolutive SFP'!AR11</f>
        <v>178500</v>
      </c>
      <c r="AT28" s="48">
        <f>'Evolutive SFP'!AS11</f>
        <v>127500</v>
      </c>
      <c r="AU28" s="48">
        <f>'Evolutive SFP'!AT11</f>
        <v>127500</v>
      </c>
      <c r="AV28" s="48">
        <f>'Evolutive SFP'!AU11</f>
        <v>127500</v>
      </c>
      <c r="AW28" s="48">
        <f>'Evolutive SFP'!AV11</f>
        <v>127500</v>
      </c>
      <c r="AX28" s="48">
        <f>'Evolutive SFP'!AW11</f>
        <v>127500</v>
      </c>
      <c r="AY28" s="48">
        <f>'Evolutive SFP'!AX11</f>
        <v>127500</v>
      </c>
      <c r="AZ28" s="48">
        <f>'Evolutive SFP'!AY11</f>
        <v>127500</v>
      </c>
      <c r="BA28" s="48">
        <f>'Evolutive SFP'!AZ11</f>
        <v>127500</v>
      </c>
      <c r="BB28" s="48">
        <f>'Evolutive SFP'!BA11</f>
        <v>127500</v>
      </c>
      <c r="BC28" s="48">
        <f>'Evolutive SFP'!BB11</f>
        <v>127500</v>
      </c>
      <c r="BD28" s="48">
        <f>'Evolutive SFP'!BC11</f>
        <v>127500</v>
      </c>
      <c r="BE28" s="48">
        <f>'Evolutive SFP'!BD11</f>
        <v>127500</v>
      </c>
      <c r="BF28" s="48">
        <f>'Evolutive SFP'!BE11</f>
        <v>0</v>
      </c>
      <c r="BG28" s="48">
        <f>'Evolutive SFP'!BF11</f>
        <v>127500</v>
      </c>
      <c r="BH28" s="48">
        <f>'Evolutive SFP'!BG11</f>
        <v>127500</v>
      </c>
      <c r="BI28" s="48">
        <f>'Evolutive SFP'!BH11</f>
        <v>127500</v>
      </c>
      <c r="BJ28" s="48">
        <f>'Evolutive SFP'!BI11</f>
        <v>127500</v>
      </c>
      <c r="BK28" s="48">
        <f>'Evolutive SFP'!BJ11</f>
        <v>127500</v>
      </c>
      <c r="BL28" s="48">
        <f>'Evolutive SFP'!BK11</f>
        <v>127500</v>
      </c>
      <c r="BM28" s="48">
        <f>'Evolutive SFP'!BL11</f>
        <v>0</v>
      </c>
      <c r="BN28" s="48">
        <f>'Evolutive SFP'!BM11</f>
        <v>382500</v>
      </c>
      <c r="BO28" s="48">
        <f>'Evolutive SFP'!BN11</f>
        <v>127500</v>
      </c>
      <c r="BP28" s="48">
        <f>'Evolutive SFP'!BO11</f>
        <v>127500</v>
      </c>
      <c r="BQ28" s="48">
        <f>'Evolutive SFP'!BP11</f>
        <v>255000</v>
      </c>
      <c r="BR28" s="48">
        <f>'Evolutive SFP'!BQ11</f>
        <v>115000</v>
      </c>
      <c r="BS28" s="48">
        <f>'Evolutive SFP'!BR11</f>
        <v>130890929.23</v>
      </c>
      <c r="BT28" s="48">
        <f>'Evolutive SFP'!BS11</f>
        <v>115000</v>
      </c>
      <c r="BU28" s="48">
        <f>'Evolutive SFP'!BT11</f>
        <v>115000</v>
      </c>
      <c r="BV28" s="48">
        <f>'Evolutive SFP'!BU11</f>
        <v>115000</v>
      </c>
      <c r="BW28" s="48">
        <f>'Evolutive SFP'!BV11</f>
        <v>115000</v>
      </c>
      <c r="BX28" s="48">
        <f>'Evolutive SFP'!BW11</f>
        <v>115000</v>
      </c>
      <c r="BY28" s="48">
        <f>'Evolutive SFP'!BX11</f>
        <v>115000</v>
      </c>
      <c r="BZ28" s="48">
        <f>'Evolutive SFP'!BY11</f>
        <v>115000</v>
      </c>
      <c r="CA28" s="48">
        <f>'Evolutive SFP'!BZ11</f>
        <v>115000</v>
      </c>
      <c r="CB28" s="48">
        <f>'Evolutive SFP'!CA11</f>
        <v>115000</v>
      </c>
      <c r="CC28" s="48">
        <f>'Evolutive SFP'!CB11</f>
        <v>115000</v>
      </c>
      <c r="CD28" s="48">
        <f>'Evolutive SFP'!CC11</f>
        <v>0</v>
      </c>
      <c r="CE28" s="48">
        <f>'Evolutive SFP'!CD11</f>
        <v>0</v>
      </c>
      <c r="CF28" s="48">
        <f>'Evolutive SFP'!CE11</f>
        <v>184159661.90000001</v>
      </c>
      <c r="CG28" s="48">
        <f>'Evolutive SFP'!CF11</f>
        <v>130781271</v>
      </c>
      <c r="CH28" s="48">
        <f>'Evolutive SFP'!CG11</f>
        <v>130781271</v>
      </c>
      <c r="CI28" s="48">
        <f>'Evolutive SFP'!CH11</f>
        <v>130781271</v>
      </c>
      <c r="CJ28" s="48">
        <f>'Evolutive SFP'!CI11</f>
        <v>130781271</v>
      </c>
      <c r="CK28" s="48">
        <f>'Evolutive SFP'!CJ11</f>
        <v>130781271</v>
      </c>
      <c r="CL28" s="48">
        <f>'Evolutive SFP'!CK11</f>
        <v>184047483.62</v>
      </c>
      <c r="CM28" s="48">
        <f>'Evolutive SFP'!CL11</f>
        <v>184047483.62</v>
      </c>
      <c r="CN28" s="48">
        <f>'Evolutive SFP'!CM11</f>
        <v>184047483.62</v>
      </c>
      <c r="CO28" s="48">
        <f>'Evolutive SFP'!CN11</f>
        <v>184047483.62</v>
      </c>
      <c r="CP28" s="48">
        <f>'Evolutive SFP'!CO11</f>
        <v>184047483.62</v>
      </c>
      <c r="CQ28" s="48">
        <f>'Evolutive SFP'!CP11</f>
        <v>184047483.62</v>
      </c>
      <c r="CR28" s="48">
        <f>'Evolutive SFP'!CQ11</f>
        <v>184047483.62</v>
      </c>
      <c r="CS28" s="48">
        <f>'Evolutive SFP'!CR11</f>
        <v>187521084.30000001</v>
      </c>
      <c r="CT28" s="48">
        <f>'Evolutive SFP'!CS11</f>
        <v>184047483.62</v>
      </c>
    </row>
    <row r="29" spans="1:98" x14ac:dyDescent="0.3">
      <c r="A29" s="25"/>
      <c r="B29" s="26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</row>
    <row r="30" spans="1:98" x14ac:dyDescent="0.3">
      <c r="A30" s="27">
        <v>7</v>
      </c>
      <c r="B30" s="25" t="s">
        <v>216</v>
      </c>
      <c r="C30" s="48">
        <f>'Evolutive SFP'!B13</f>
        <v>84967805.629999995</v>
      </c>
      <c r="D30" s="48">
        <f>'Evolutive SFP'!C13</f>
        <v>94311039.75</v>
      </c>
      <c r="E30" s="48">
        <f>'Evolutive SFP'!D13</f>
        <v>93010285.069999993</v>
      </c>
      <c r="F30" s="48">
        <f>'Evolutive SFP'!E13</f>
        <v>133876410.55</v>
      </c>
      <c r="G30" s="48">
        <f>'Evolutive SFP'!F13</f>
        <v>130985570.27</v>
      </c>
      <c r="H30" s="48">
        <f>'Evolutive SFP'!G13</f>
        <v>138123222.24000001</v>
      </c>
      <c r="I30" s="48">
        <f>'Evolutive SFP'!H13</f>
        <v>135015209.81999999</v>
      </c>
      <c r="J30" s="48">
        <f>'Evolutive SFP'!I13</f>
        <v>265197089.63999999</v>
      </c>
      <c r="K30" s="48">
        <f>'Evolutive SFP'!J13</f>
        <v>127320505.81999999</v>
      </c>
      <c r="L30" s="48">
        <f>'Evolutive SFP'!K13</f>
        <v>121586775.31999999</v>
      </c>
      <c r="M30" s="48">
        <f>'Evolutive SFP'!L13</f>
        <v>121094475.31999999</v>
      </c>
      <c r="N30" s="48">
        <f>'Evolutive SFP'!M13</f>
        <v>123080173.89</v>
      </c>
      <c r="O30" s="48">
        <f>'Evolutive SFP'!N13</f>
        <v>121330173.98999999</v>
      </c>
      <c r="P30" s="48">
        <f>'Evolutive SFP'!O13</f>
        <v>58365358.460000001</v>
      </c>
      <c r="Q30" s="48">
        <f>'Evolutive SFP'!P13</f>
        <v>120069646.94000001</v>
      </c>
      <c r="R30" s="48">
        <f>'Evolutive SFP'!Q13</f>
        <v>37705165.609999999</v>
      </c>
      <c r="S30" s="48">
        <f>'Evolutive SFP'!R13</f>
        <v>37705165.230000004</v>
      </c>
      <c r="T30" s="48">
        <f>'Evolutive SFP'!S13</f>
        <v>202401644.81999999</v>
      </c>
      <c r="U30" s="48">
        <f>'Evolutive SFP'!T13</f>
        <v>122617764.68000001</v>
      </c>
      <c r="V30" s="48">
        <f>'Evolutive SFP'!U13</f>
        <v>118064382.41</v>
      </c>
      <c r="W30" s="48">
        <f>'Evolutive SFP'!V13</f>
        <v>115382888.22</v>
      </c>
      <c r="X30" s="48">
        <f>'Evolutive SFP'!W13</f>
        <v>112677689.51000001</v>
      </c>
      <c r="Y30" s="48">
        <f>'Evolutive SFP'!X13</f>
        <v>111646291.73</v>
      </c>
      <c r="Z30" s="48">
        <f>'Evolutive SFP'!Y13</f>
        <v>331520790.03000003</v>
      </c>
      <c r="AA30" s="48">
        <f>'Evolutive SFP'!Z13</f>
        <v>242970678.16</v>
      </c>
      <c r="AB30" s="48">
        <f>'Evolutive SFP'!AA13</f>
        <v>589908116.14999998</v>
      </c>
      <c r="AC30" s="48">
        <f>'Evolutive SFP'!AB13</f>
        <v>118323246.36</v>
      </c>
      <c r="AD30" s="48">
        <f>'Evolutive SFP'!AC13</f>
        <v>180541352.46000001</v>
      </c>
      <c r="AE30" s="48">
        <f>'Evolutive SFP'!AD13</f>
        <v>51178525.49000001</v>
      </c>
      <c r="AF30" s="48">
        <f>'Evolutive SFP'!AE13</f>
        <v>51178525.430000007</v>
      </c>
      <c r="AG30" s="48">
        <f>'Evolutive SFP'!AF13</f>
        <v>124962338.91</v>
      </c>
      <c r="AH30" s="48">
        <f>'Evolutive SFP'!AG13</f>
        <v>125999738.91</v>
      </c>
      <c r="AI30" s="48">
        <f>'Evolutive SFP'!AH13</f>
        <v>125643243.02</v>
      </c>
      <c r="AJ30" s="48">
        <f>'Evolutive SFP'!AI13</f>
        <v>125504247.52</v>
      </c>
      <c r="AK30" s="48">
        <f>'Evolutive SFP'!AJ13</f>
        <v>124816826.48</v>
      </c>
      <c r="AL30" s="48">
        <f>'Evolutive SFP'!AK13</f>
        <v>125152449.33</v>
      </c>
      <c r="AM30" s="48">
        <f>'Evolutive SFP'!AL13</f>
        <v>125689674.83</v>
      </c>
      <c r="AN30" s="48">
        <f>'Evolutive SFP'!AM13</f>
        <v>130430672.59</v>
      </c>
      <c r="AO30" s="48">
        <f>'Evolutive SFP'!AN13</f>
        <v>130985677.59</v>
      </c>
      <c r="AP30" s="48">
        <f>'Evolutive SFP'!AO13</f>
        <v>68975486.989999995</v>
      </c>
      <c r="AQ30" s="48">
        <f>'Evolutive SFP'!AP13</f>
        <v>69480671.989999995</v>
      </c>
      <c r="AR30" s="48">
        <f>'Evolutive SFP'!AQ13</f>
        <v>60562074.659999996</v>
      </c>
      <c r="AS30" s="48">
        <f>'Evolutive SFP'!AR13</f>
        <v>60562074.670000002</v>
      </c>
      <c r="AT30" s="48">
        <f>'Evolutive SFP'!AS13</f>
        <v>171690029.69999999</v>
      </c>
      <c r="AU30" s="48">
        <f>'Evolutive SFP'!AT13</f>
        <v>174517242.56</v>
      </c>
      <c r="AV30" s="48">
        <f>'Evolutive SFP'!AU13</f>
        <v>173747061.30000001</v>
      </c>
      <c r="AW30" s="48">
        <f>'Evolutive SFP'!AV13</f>
        <v>177477136.40000001</v>
      </c>
      <c r="AX30" s="48">
        <f>'Evolutive SFP'!AW13</f>
        <v>180108150.25999999</v>
      </c>
      <c r="AY30" s="48">
        <f>'Evolutive SFP'!AX13</f>
        <v>178845764.28999999</v>
      </c>
      <c r="AZ30" s="48">
        <f>'Evolutive SFP'!AY13</f>
        <v>178497194.28999999</v>
      </c>
      <c r="BA30" s="48">
        <f>'Evolutive SFP'!AZ13</f>
        <v>179065828.34</v>
      </c>
      <c r="BB30" s="48">
        <f>'Evolutive SFP'!BA13</f>
        <v>174127962.59</v>
      </c>
      <c r="BC30" s="48">
        <f>'Evolutive SFP'!BB13</f>
        <v>131582039.83000001</v>
      </c>
      <c r="BD30" s="48">
        <f>'Evolutive SFP'!BC13</f>
        <v>166835689.81999999</v>
      </c>
      <c r="BE30" s="48">
        <f>'Evolutive SFP'!BD13</f>
        <v>188085994.53999999</v>
      </c>
      <c r="BF30" s="48">
        <f>'Evolutive SFP'!BE13</f>
        <v>0</v>
      </c>
      <c r="BG30" s="48">
        <f>'Evolutive SFP'!BF13</f>
        <v>200964244.97</v>
      </c>
      <c r="BH30" s="48">
        <f>'Evolutive SFP'!BG13</f>
        <v>200612937.91</v>
      </c>
      <c r="BI30" s="48">
        <f>'Evolutive SFP'!BH13</f>
        <v>188671488.46000001</v>
      </c>
      <c r="BJ30" s="48">
        <f>'Evolutive SFP'!BI13</f>
        <v>184734736.11000001</v>
      </c>
      <c r="BK30" s="48">
        <f>'Evolutive SFP'!BJ13</f>
        <v>181476629.54999998</v>
      </c>
      <c r="BL30" s="48">
        <f>'Evolutive SFP'!BK13</f>
        <v>181155819.81</v>
      </c>
      <c r="BM30" s="48">
        <f>'Evolutive SFP'!BL13</f>
        <v>0</v>
      </c>
      <c r="BN30" s="48">
        <f>'Evolutive SFP'!BM13</f>
        <v>530676029.88</v>
      </c>
      <c r="BO30" s="48">
        <f>'Evolutive SFP'!BN13</f>
        <v>173724692.43000001</v>
      </c>
      <c r="BP30" s="48">
        <f>'Evolutive SFP'!BO13</f>
        <v>130578375.44</v>
      </c>
      <c r="BQ30" s="48">
        <f>'Evolutive SFP'!BP13</f>
        <v>314928965.10000002</v>
      </c>
      <c r="BR30" s="48">
        <f>'Evolutive SFP'!BQ13</f>
        <v>173543849.94999999</v>
      </c>
      <c r="BS30" s="48">
        <f>'Evolutive SFP'!BR13</f>
        <v>173543849.9285</v>
      </c>
      <c r="BT30" s="48">
        <f>'Evolutive SFP'!BS13</f>
        <v>188728998.81</v>
      </c>
      <c r="BU30" s="48">
        <f>'Evolutive SFP'!BT13</f>
        <v>191589108.75999999</v>
      </c>
      <c r="BV30" s="48">
        <f>'Evolutive SFP'!BU13</f>
        <v>193678604.75</v>
      </c>
      <c r="BW30" s="48">
        <f>'Evolutive SFP'!BV13</f>
        <v>190593205.79000002</v>
      </c>
      <c r="BX30" s="48">
        <f>'Evolutive SFP'!BW13</f>
        <v>191418548.08000001</v>
      </c>
      <c r="BY30" s="48">
        <f>'Evolutive SFP'!BX13</f>
        <v>168631413.75999999</v>
      </c>
      <c r="BZ30" s="48">
        <f>'Evolutive SFP'!BY13</f>
        <v>172315606.56</v>
      </c>
      <c r="CA30" s="48">
        <f>'Evolutive SFP'!BZ13</f>
        <v>172371773.85999998</v>
      </c>
      <c r="CB30" s="48">
        <f>'Evolutive SFP'!CA13</f>
        <v>170223519.85999998</v>
      </c>
      <c r="CC30" s="48">
        <f>'Evolutive SFP'!CB13</f>
        <v>136033933.47999999</v>
      </c>
      <c r="CD30" s="48">
        <f>'Evolutive SFP'!CC13</f>
        <v>0</v>
      </c>
      <c r="CE30" s="48">
        <f>'Evolutive SFP'!CD13</f>
        <v>0</v>
      </c>
      <c r="CF30" s="48">
        <f>'Evolutive SFP'!CE13</f>
        <v>160408239.25999999</v>
      </c>
      <c r="CG30" s="48">
        <f>'Evolutive SFP'!CF13</f>
        <v>156033772.84999999</v>
      </c>
      <c r="CH30" s="48">
        <f>'Evolutive SFP'!CG13</f>
        <v>157265253.79999998</v>
      </c>
      <c r="CI30" s="48">
        <f>'Evolutive SFP'!CH13</f>
        <v>156227362.59999999</v>
      </c>
      <c r="CJ30" s="48">
        <f>'Evolutive SFP'!CI13</f>
        <v>156446063.09999999</v>
      </c>
      <c r="CK30" s="48">
        <f>'Evolutive SFP'!CJ13</f>
        <v>165154404.74000001</v>
      </c>
      <c r="CL30" s="48">
        <f>'Evolutive SFP'!CK13</f>
        <v>165411473.97999999</v>
      </c>
      <c r="CM30" s="48">
        <f>'Evolutive SFP'!CL13</f>
        <v>145220831.5</v>
      </c>
      <c r="CN30" s="48">
        <f>'Evolutive SFP'!CM13</f>
        <v>157467431.44999999</v>
      </c>
      <c r="CO30" s="48">
        <f>'Evolutive SFP'!CN13</f>
        <v>166390430.28999999</v>
      </c>
      <c r="CP30" s="48">
        <f>'Evolutive SFP'!CO13</f>
        <v>173598494.22999999</v>
      </c>
      <c r="CQ30" s="48">
        <f>'Evolutive SFP'!CP13</f>
        <v>178664375.05000001</v>
      </c>
      <c r="CR30" s="48">
        <f>'Evolutive SFP'!CQ13</f>
        <v>189785651.97999999</v>
      </c>
      <c r="CS30" s="48">
        <f>'Evolutive SFP'!CR13</f>
        <v>189795651.97999999</v>
      </c>
      <c r="CT30" s="48">
        <f>'Evolutive SFP'!CS13</f>
        <v>192160658.09</v>
      </c>
    </row>
    <row r="31" spans="1:98" x14ac:dyDescent="0.3">
      <c r="A31" s="27">
        <v>7.1</v>
      </c>
      <c r="B31" s="25" t="s">
        <v>217</v>
      </c>
      <c r="C31" s="48">
        <f>'Evolutive SFP'!B14</f>
        <v>96723148.629999995</v>
      </c>
      <c r="D31" s="48">
        <f>'Evolutive SFP'!C14</f>
        <v>107070963.29000001</v>
      </c>
      <c r="E31" s="48">
        <f>'Evolutive SFP'!D14</f>
        <v>105894421</v>
      </c>
      <c r="F31" s="48">
        <f>'Evolutive SFP'!E14</f>
        <v>147398339.28999999</v>
      </c>
      <c r="G31" s="48">
        <f>'Evolutive SFP'!F14</f>
        <v>145637760</v>
      </c>
      <c r="H31" s="48">
        <f>'Evolutive SFP'!G14</f>
        <v>153667263.94</v>
      </c>
      <c r="I31" s="48">
        <f>'Evolutive SFP'!H14</f>
        <v>150403433</v>
      </c>
      <c r="J31" s="48">
        <f>'Evolutive SFP'!I14</f>
        <v>295755486</v>
      </c>
      <c r="K31" s="48">
        <f>'Evolutive SFP'!J14</f>
        <v>141927789</v>
      </c>
      <c r="L31" s="48">
        <f>'Evolutive SFP'!K14</f>
        <v>138000328</v>
      </c>
      <c r="M31" s="48">
        <f>'Evolutive SFP'!L14</f>
        <v>137495928</v>
      </c>
      <c r="N31" s="48">
        <f>'Evolutive SFP'!M14</f>
        <v>139566039</v>
      </c>
      <c r="O31" s="48">
        <f>'Evolutive SFP'!N14</f>
        <v>137451836</v>
      </c>
      <c r="P31" s="48">
        <f>'Evolutive SFP'!O14</f>
        <v>73197046.810000002</v>
      </c>
      <c r="Q31" s="48">
        <f>'Evolutive SFP'!P14</f>
        <v>148857659.30000001</v>
      </c>
      <c r="R31" s="48">
        <f>'Evolutive SFP'!Q14</f>
        <v>55593921</v>
      </c>
      <c r="S31" s="48">
        <f>'Evolutive SFP'!R14</f>
        <v>55593921</v>
      </c>
      <c r="T31" s="48">
        <f>'Evolutive SFP'!S14</f>
        <v>238215708.96000001</v>
      </c>
      <c r="U31" s="48">
        <f>'Evolutive SFP'!T14</f>
        <v>141015739</v>
      </c>
      <c r="V31" s="48">
        <f>'Evolutive SFP'!U14</f>
        <v>135436565</v>
      </c>
      <c r="W31" s="48">
        <f>'Evolutive SFP'!V14</f>
        <v>132727985</v>
      </c>
      <c r="X31" s="48">
        <f>'Evolutive SFP'!W14</f>
        <v>130022786.29000001</v>
      </c>
      <c r="Y31" s="48">
        <f>'Evolutive SFP'!X14</f>
        <v>128080317</v>
      </c>
      <c r="Z31" s="48">
        <f>'Evolutive SFP'!Y14</f>
        <v>380640013.29000002</v>
      </c>
      <c r="AA31" s="48">
        <f>'Evolutive SFP'!Z14</f>
        <v>276746700</v>
      </c>
      <c r="AB31" s="48">
        <f>'Evolutive SFP'!AA14</f>
        <v>676424635</v>
      </c>
      <c r="AC31" s="48">
        <f>'Evolutive SFP'!AB14</f>
        <v>152408112</v>
      </c>
      <c r="AD31" s="48">
        <f>'Evolutive SFP'!AC14</f>
        <v>231992676</v>
      </c>
      <c r="AE31" s="48">
        <f>'Evolutive SFP'!AD14</f>
        <v>68793951.400000006</v>
      </c>
      <c r="AF31" s="48">
        <f>'Evolutive SFP'!AE14</f>
        <v>68793951.400000006</v>
      </c>
      <c r="AG31" s="48">
        <f>'Evolutive SFP'!AF14</f>
        <v>141381095</v>
      </c>
      <c r="AH31" s="48">
        <f>'Evolutive SFP'!AG14</f>
        <v>141404734</v>
      </c>
      <c r="AI31" s="48">
        <f>'Evolutive SFP'!AH14</f>
        <v>141037223</v>
      </c>
      <c r="AJ31" s="48">
        <f>'Evolutive SFP'!AI14</f>
        <v>140863573</v>
      </c>
      <c r="AK31" s="48">
        <f>'Evolutive SFP'!AJ14</f>
        <v>139164157</v>
      </c>
      <c r="AL31" s="48">
        <f>'Evolutive SFP'!AK14</f>
        <v>139797860</v>
      </c>
      <c r="AM31" s="48">
        <f>'Evolutive SFP'!AL14</f>
        <v>141481310</v>
      </c>
      <c r="AN31" s="48">
        <f>'Evolutive SFP'!AM14</f>
        <v>146106598</v>
      </c>
      <c r="AO31" s="48">
        <f>'Evolutive SFP'!AN14</f>
        <v>146675802</v>
      </c>
      <c r="AP31" s="48">
        <f>'Evolutive SFP'!AO14</f>
        <v>82475169</v>
      </c>
      <c r="AQ31" s="48">
        <f>'Evolutive SFP'!AP14</f>
        <v>85885819</v>
      </c>
      <c r="AR31" s="48">
        <f>'Evolutive SFP'!AQ14</f>
        <v>79430797.920000002</v>
      </c>
      <c r="AS31" s="48">
        <f>'Evolutive SFP'!AR14</f>
        <v>79430797.920000002</v>
      </c>
      <c r="AT31" s="48">
        <f>'Evolutive SFP'!AS14</f>
        <v>187358350.41</v>
      </c>
      <c r="AU31" s="48">
        <f>'Evolutive SFP'!AT14</f>
        <v>190223858.66999999</v>
      </c>
      <c r="AV31" s="48">
        <f>'Evolutive SFP'!AU14</f>
        <v>189893676.41</v>
      </c>
      <c r="AW31" s="48">
        <f>'Evolutive SFP'!AV14</f>
        <v>193974163.41</v>
      </c>
      <c r="AX31" s="48">
        <f>'Evolutive SFP'!AW14</f>
        <v>196828677.41</v>
      </c>
      <c r="AY31" s="48">
        <f>'Evolutive SFP'!AX14</f>
        <v>195414124.41</v>
      </c>
      <c r="AZ31" s="48">
        <f>'Evolutive SFP'!AY14</f>
        <v>194977604.41</v>
      </c>
      <c r="BA31" s="48">
        <f>'Evolutive SFP'!AZ14</f>
        <v>195740191.41</v>
      </c>
      <c r="BB31" s="48">
        <f>'Evolutive SFP'!BA14</f>
        <v>190784370.41</v>
      </c>
      <c r="BC31" s="48">
        <f>'Evolutive SFP'!BB14</f>
        <v>151542953.40000001</v>
      </c>
      <c r="BD31" s="48">
        <f>'Evolutive SFP'!BC14</f>
        <v>190806195.41</v>
      </c>
      <c r="BE31" s="48">
        <f>'Evolutive SFP'!BD14</f>
        <v>209627236.78</v>
      </c>
      <c r="BF31" s="48">
        <f>'Evolutive SFP'!BE14</f>
        <v>0</v>
      </c>
      <c r="BG31" s="48">
        <f>'Evolutive SFP'!BF14</f>
        <v>220646237.06</v>
      </c>
      <c r="BH31" s="48">
        <f>'Evolutive SFP'!BG14</f>
        <v>220113280.43000001</v>
      </c>
      <c r="BI31" s="48">
        <f>'Evolutive SFP'!BH14</f>
        <v>215865344.93000001</v>
      </c>
      <c r="BJ31" s="48">
        <f>'Evolutive SFP'!BI14</f>
        <v>210001934.43000001</v>
      </c>
      <c r="BK31" s="48">
        <f>'Evolutive SFP'!BJ14</f>
        <v>205316996.91999999</v>
      </c>
      <c r="BL31" s="48">
        <f>'Evolutive SFP'!BK14</f>
        <v>203756115.43000001</v>
      </c>
      <c r="BM31" s="48">
        <f>'Evolutive SFP'!BL14</f>
        <v>0</v>
      </c>
      <c r="BN31" s="48">
        <f>'Evolutive SFP'!BM14</f>
        <v>596649847.28999996</v>
      </c>
      <c r="BO31" s="48">
        <f>'Evolutive SFP'!BN14</f>
        <v>194469461</v>
      </c>
      <c r="BP31" s="48">
        <f>'Evolutive SFP'!BO14</f>
        <v>147931620</v>
      </c>
      <c r="BQ31" s="48">
        <f>'Evolutive SFP'!BP14</f>
        <v>354277053.54000002</v>
      </c>
      <c r="BR31" s="48">
        <f>'Evolutive SFP'!BQ14</f>
        <v>186897163.31999999</v>
      </c>
      <c r="BS31" s="48">
        <f>'Evolutive SFP'!BR14</f>
        <v>187970704.03</v>
      </c>
      <c r="BT31" s="48">
        <f>'Evolutive SFP'!BS14</f>
        <v>201542442.12</v>
      </c>
      <c r="BU31" s="48">
        <f>'Evolutive SFP'!BT14</f>
        <v>203313359.56999999</v>
      </c>
      <c r="BV31" s="48">
        <f>'Evolutive SFP'!BU14</f>
        <v>205436814.33000001</v>
      </c>
      <c r="BW31" s="48">
        <f>'Evolutive SFP'!BV14</f>
        <v>203047285.52000001</v>
      </c>
      <c r="BX31" s="48">
        <f>'Evolutive SFP'!BW14</f>
        <v>204376974.80000001</v>
      </c>
      <c r="BY31" s="48">
        <f>'Evolutive SFP'!BX14</f>
        <v>181811626.94999999</v>
      </c>
      <c r="BZ31" s="48">
        <f>'Evolutive SFP'!BY14</f>
        <v>185810871</v>
      </c>
      <c r="CA31" s="48">
        <f>'Evolutive SFP'!BZ14</f>
        <v>188166867.94999999</v>
      </c>
      <c r="CB31" s="48">
        <f>'Evolutive SFP'!CA14</f>
        <v>185345769.63999999</v>
      </c>
      <c r="CC31" s="48">
        <f>'Evolutive SFP'!CB14</f>
        <v>149734733.59999999</v>
      </c>
      <c r="CD31" s="48">
        <f>'Evolutive SFP'!CC14</f>
        <v>0</v>
      </c>
      <c r="CE31" s="48">
        <f>'Evolutive SFP'!CD14</f>
        <v>0</v>
      </c>
      <c r="CF31" s="48">
        <f>'Evolutive SFP'!CE14</f>
        <v>173829766.34999999</v>
      </c>
      <c r="CG31" s="48">
        <f>'Evolutive SFP'!CF14</f>
        <v>171936742.97</v>
      </c>
      <c r="CH31" s="48">
        <f>'Evolutive SFP'!CG14</f>
        <v>173814351.69999999</v>
      </c>
      <c r="CI31" s="48">
        <f>'Evolutive SFP'!CH14</f>
        <v>172917439.28</v>
      </c>
      <c r="CJ31" s="48">
        <f>'Evolutive SFP'!CI14</f>
        <v>173143876.19999999</v>
      </c>
      <c r="CK31" s="48">
        <f>'Evolutive SFP'!CJ14</f>
        <v>182074357.49000001</v>
      </c>
      <c r="CL31" s="48">
        <f>'Evolutive SFP'!CK14</f>
        <v>185627447.97999999</v>
      </c>
      <c r="CM31" s="48">
        <f>'Evolutive SFP'!CL14</f>
        <v>163308792</v>
      </c>
      <c r="CN31" s="48">
        <f>'Evolutive SFP'!CM14</f>
        <v>176028234.78999999</v>
      </c>
      <c r="CO31" s="48">
        <f>'Evolutive SFP'!CN14</f>
        <v>185141641.09999999</v>
      </c>
      <c r="CP31" s="48">
        <f>'Evolutive SFP'!CO14</f>
        <v>192732676.22999999</v>
      </c>
      <c r="CQ31" s="48">
        <f>'Evolutive SFP'!CP14</f>
        <v>198522737.05000001</v>
      </c>
      <c r="CR31" s="48">
        <f>'Evolutive SFP'!CQ14</f>
        <v>202345748.97999999</v>
      </c>
      <c r="CS31" s="48">
        <f>'Evolutive SFP'!CR14</f>
        <v>202355748.97999999</v>
      </c>
      <c r="CT31" s="48">
        <f>'Evolutive SFP'!CS14</f>
        <v>206352266.09</v>
      </c>
    </row>
    <row r="32" spans="1:98" x14ac:dyDescent="0.3">
      <c r="A32" s="27">
        <v>7.2</v>
      </c>
      <c r="B32" s="25" t="s">
        <v>218</v>
      </c>
      <c r="C32" s="48">
        <f>'Evolutive SFP'!B15</f>
        <v>11755343</v>
      </c>
      <c r="D32" s="48">
        <f>'Evolutive SFP'!C15</f>
        <v>12759923.539999999</v>
      </c>
      <c r="E32" s="48">
        <f>'Evolutive SFP'!D15</f>
        <v>12884135.93</v>
      </c>
      <c r="F32" s="48">
        <f>'Evolutive SFP'!E15</f>
        <v>13521928.74</v>
      </c>
      <c r="G32" s="48">
        <f>'Evolutive SFP'!F15</f>
        <v>14652189.73</v>
      </c>
      <c r="H32" s="48">
        <f>'Evolutive SFP'!G15</f>
        <v>15544041.699999999</v>
      </c>
      <c r="I32" s="48">
        <f>'Evolutive SFP'!H15</f>
        <v>15388223.18</v>
      </c>
      <c r="J32" s="48">
        <f>'Evolutive SFP'!I15</f>
        <v>30558396.359999999</v>
      </c>
      <c r="K32" s="48">
        <f>'Evolutive SFP'!J15</f>
        <v>14607283.18</v>
      </c>
      <c r="L32" s="48">
        <f>'Evolutive SFP'!K15</f>
        <v>16413552.68</v>
      </c>
      <c r="M32" s="48">
        <f>'Evolutive SFP'!L15</f>
        <v>16401452.68</v>
      </c>
      <c r="N32" s="48">
        <f>'Evolutive SFP'!M15</f>
        <v>16485865.109999999</v>
      </c>
      <c r="O32" s="48">
        <f>'Evolutive SFP'!N15</f>
        <v>16121662.01</v>
      </c>
      <c r="P32" s="48">
        <f>'Evolutive SFP'!O15</f>
        <v>14831688.35</v>
      </c>
      <c r="Q32" s="48">
        <f>'Evolutive SFP'!P15</f>
        <v>28788012.359999999</v>
      </c>
      <c r="R32" s="48">
        <f>'Evolutive SFP'!Q15</f>
        <v>17888755.390000001</v>
      </c>
      <c r="S32" s="48">
        <f>'Evolutive SFP'!R15</f>
        <v>17888755.77</v>
      </c>
      <c r="T32" s="48">
        <f>'Evolutive SFP'!S15</f>
        <v>35814064.140000001</v>
      </c>
      <c r="U32" s="48">
        <f>'Evolutive SFP'!T15</f>
        <v>18397974.32</v>
      </c>
      <c r="V32" s="48">
        <f>'Evolutive SFP'!U15</f>
        <v>17372182.59</v>
      </c>
      <c r="W32" s="48">
        <f>'Evolutive SFP'!V15</f>
        <v>17345096.780000001</v>
      </c>
      <c r="X32" s="48">
        <f>'Evolutive SFP'!W15</f>
        <v>17345096.780000001</v>
      </c>
      <c r="Y32" s="48">
        <f>'Evolutive SFP'!X15</f>
        <v>16434025.27</v>
      </c>
      <c r="Z32" s="48">
        <f>'Evolutive SFP'!Y15</f>
        <v>49119223.259999998</v>
      </c>
      <c r="AA32" s="48">
        <f>'Evolutive SFP'!Z15</f>
        <v>33776021.840000004</v>
      </c>
      <c r="AB32" s="48">
        <f>'Evolutive SFP'!AA15</f>
        <v>86516518.849999994</v>
      </c>
      <c r="AC32" s="48">
        <f>'Evolutive SFP'!AB15</f>
        <v>34084865.640000001</v>
      </c>
      <c r="AD32" s="48">
        <f>'Evolutive SFP'!AC15</f>
        <v>51451323.539999999</v>
      </c>
      <c r="AE32" s="48">
        <f>'Evolutive SFP'!AD15</f>
        <v>17615425.91</v>
      </c>
      <c r="AF32" s="48">
        <f>'Evolutive SFP'!AE15</f>
        <v>17615425.969999999</v>
      </c>
      <c r="AG32" s="48">
        <f>'Evolutive SFP'!AF15</f>
        <v>16418756.09</v>
      </c>
      <c r="AH32" s="48">
        <f>'Evolutive SFP'!AG15</f>
        <v>15404995.09</v>
      </c>
      <c r="AI32" s="48">
        <f>'Evolutive SFP'!AH15</f>
        <v>15393979.98</v>
      </c>
      <c r="AJ32" s="48">
        <f>'Evolutive SFP'!AI15</f>
        <v>15359325.48</v>
      </c>
      <c r="AK32" s="48">
        <f>'Evolutive SFP'!AJ15</f>
        <v>14347330.52</v>
      </c>
      <c r="AL32" s="48">
        <f>'Evolutive SFP'!AK15</f>
        <v>14645410.67</v>
      </c>
      <c r="AM32" s="48">
        <f>'Evolutive SFP'!AL15</f>
        <v>15791635.17</v>
      </c>
      <c r="AN32" s="48">
        <f>'Evolutive SFP'!AM15</f>
        <v>15675925.41</v>
      </c>
      <c r="AO32" s="48">
        <f>'Evolutive SFP'!AN15</f>
        <v>15690124.41</v>
      </c>
      <c r="AP32" s="48">
        <f>'Evolutive SFP'!AO15</f>
        <v>13499682.01</v>
      </c>
      <c r="AQ32" s="48">
        <f>'Evolutive SFP'!AP15</f>
        <v>16405147.01</v>
      </c>
      <c r="AR32" s="48">
        <f>'Evolutive SFP'!AQ15</f>
        <v>18868723.260000002</v>
      </c>
      <c r="AS32" s="48">
        <f>'Evolutive SFP'!AR15</f>
        <v>18868723.25</v>
      </c>
      <c r="AT32" s="48">
        <f>'Evolutive SFP'!AS15</f>
        <v>15668320.710000001</v>
      </c>
      <c r="AU32" s="48">
        <f>'Evolutive SFP'!AT15</f>
        <v>15706616.109999999</v>
      </c>
      <c r="AV32" s="48">
        <f>'Evolutive SFP'!AU15</f>
        <v>16146615.109999999</v>
      </c>
      <c r="AW32" s="48">
        <f>'Evolutive SFP'!AV15</f>
        <v>16497027.01</v>
      </c>
      <c r="AX32" s="48">
        <f>'Evolutive SFP'!AW15</f>
        <v>16720527.15</v>
      </c>
      <c r="AY32" s="48">
        <f>'Evolutive SFP'!AX15</f>
        <v>16568360.119999999</v>
      </c>
      <c r="AZ32" s="48">
        <f>'Evolutive SFP'!AY15</f>
        <v>16480410.119999999</v>
      </c>
      <c r="BA32" s="48">
        <f>'Evolutive SFP'!AZ15</f>
        <v>16674363.07</v>
      </c>
      <c r="BB32" s="48">
        <f>'Evolutive SFP'!BA15</f>
        <v>16656407.82</v>
      </c>
      <c r="BC32" s="48">
        <f>'Evolutive SFP'!BB15</f>
        <v>19960913.57</v>
      </c>
      <c r="BD32" s="48">
        <f>'Evolutive SFP'!BC15</f>
        <v>23970505.59</v>
      </c>
      <c r="BE32" s="48">
        <f>'Evolutive SFP'!BD15</f>
        <v>21541242.239999998</v>
      </c>
      <c r="BF32" s="48">
        <f>'Evolutive SFP'!BE15</f>
        <v>0</v>
      </c>
      <c r="BG32" s="48">
        <f>'Evolutive SFP'!BF15</f>
        <v>19681992.09</v>
      </c>
      <c r="BH32" s="48">
        <f>'Evolutive SFP'!BG15</f>
        <v>19500342.52</v>
      </c>
      <c r="BI32" s="48">
        <f>'Evolutive SFP'!BH15</f>
        <v>27193856.469999999</v>
      </c>
      <c r="BJ32" s="48">
        <f>'Evolutive SFP'!BI15</f>
        <v>25267198.32</v>
      </c>
      <c r="BK32" s="48">
        <f>'Evolutive SFP'!BJ15</f>
        <v>23840367.370000001</v>
      </c>
      <c r="BL32" s="48">
        <f>'Evolutive SFP'!BK15</f>
        <v>22600295.620000001</v>
      </c>
      <c r="BM32" s="48">
        <f>'Evolutive SFP'!BL15</f>
        <v>0</v>
      </c>
      <c r="BN32" s="48">
        <f>'Evolutive SFP'!BM15</f>
        <v>65973817.409999996</v>
      </c>
      <c r="BO32" s="48">
        <f>'Evolutive SFP'!BN15</f>
        <v>20744768.57</v>
      </c>
      <c r="BP32" s="48">
        <f>'Evolutive SFP'!BO15</f>
        <v>17353244.559999999</v>
      </c>
      <c r="BQ32" s="48">
        <f>'Evolutive SFP'!BP15</f>
        <v>39348088.439999998</v>
      </c>
      <c r="BR32" s="48">
        <f>'Evolutive SFP'!BQ15</f>
        <v>13353313.369999999</v>
      </c>
      <c r="BS32" s="48">
        <f>'Evolutive SFP'!BR15</f>
        <v>14426854.101500001</v>
      </c>
      <c r="BT32" s="48">
        <f>'Evolutive SFP'!BS15</f>
        <v>12813443.310000001</v>
      </c>
      <c r="BU32" s="48">
        <f>'Evolutive SFP'!BT15</f>
        <v>11724250.810000001</v>
      </c>
      <c r="BV32" s="48">
        <f>'Evolutive SFP'!BU15</f>
        <v>11758209.58</v>
      </c>
      <c r="BW32" s="48">
        <f>'Evolutive SFP'!BV15</f>
        <v>12454079.73</v>
      </c>
      <c r="BX32" s="48">
        <f>'Evolutive SFP'!BW15</f>
        <v>12958426.720000001</v>
      </c>
      <c r="BY32" s="48">
        <f>'Evolutive SFP'!BX15</f>
        <v>13180213.189999999</v>
      </c>
      <c r="BZ32" s="48">
        <f>'Evolutive SFP'!BY15</f>
        <v>13495264.439999999</v>
      </c>
      <c r="CA32" s="48">
        <f>'Evolutive SFP'!BZ15</f>
        <v>15795094.09</v>
      </c>
      <c r="CB32" s="48">
        <f>'Evolutive SFP'!CA15</f>
        <v>15122249.779999999</v>
      </c>
      <c r="CC32" s="48">
        <f>'Evolutive SFP'!CB15</f>
        <v>13700800.119999999</v>
      </c>
      <c r="CD32" s="48">
        <f>'Evolutive SFP'!CC15</f>
        <v>0</v>
      </c>
      <c r="CE32" s="48">
        <f>'Evolutive SFP'!CD15</f>
        <v>0</v>
      </c>
      <c r="CF32" s="48">
        <f>'Evolutive SFP'!CE15</f>
        <v>13421527.09</v>
      </c>
      <c r="CG32" s="48">
        <f>'Evolutive SFP'!CF15</f>
        <v>15902970.119999999</v>
      </c>
      <c r="CH32" s="48">
        <f>'Evolutive SFP'!CG15</f>
        <v>16549097.9</v>
      </c>
      <c r="CI32" s="48">
        <f>'Evolutive SFP'!CH15</f>
        <v>16690076.68</v>
      </c>
      <c r="CJ32" s="48">
        <f>'Evolutive SFP'!CI15</f>
        <v>16697813.1</v>
      </c>
      <c r="CK32" s="48">
        <f>'Evolutive SFP'!CJ15</f>
        <v>16919952.75</v>
      </c>
      <c r="CL32" s="48">
        <f>'Evolutive SFP'!CK15</f>
        <v>20215974</v>
      </c>
      <c r="CM32" s="48">
        <f>'Evolutive SFP'!CL15</f>
        <v>18087960.5</v>
      </c>
      <c r="CN32" s="48">
        <f>'Evolutive SFP'!CM15</f>
        <v>18560803.34</v>
      </c>
      <c r="CO32" s="48">
        <f>'Evolutive SFP'!CN15</f>
        <v>18751210.809999999</v>
      </c>
      <c r="CP32" s="48">
        <f>'Evolutive SFP'!CO15</f>
        <v>19134182</v>
      </c>
      <c r="CQ32" s="48">
        <f>'Evolutive SFP'!CP15</f>
        <v>19858362</v>
      </c>
      <c r="CR32" s="48">
        <f>'Evolutive SFP'!CQ15</f>
        <v>12560097</v>
      </c>
      <c r="CS32" s="48">
        <f>'Evolutive SFP'!CR15</f>
        <v>12560097</v>
      </c>
      <c r="CT32" s="48">
        <f>'Evolutive SFP'!CS15</f>
        <v>14191608</v>
      </c>
    </row>
    <row r="33" spans="1:98" x14ac:dyDescent="0.3">
      <c r="A33" s="25"/>
      <c r="B33" s="25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</row>
    <row r="34" spans="1:98" x14ac:dyDescent="0.3">
      <c r="A34" s="27">
        <v>8</v>
      </c>
      <c r="B34" s="25" t="s">
        <v>219</v>
      </c>
      <c r="C34" s="48">
        <f>'Evolutive SFP'!B20+'Evolutive SFP'!B7</f>
        <v>161305301.06</v>
      </c>
      <c r="D34" s="48">
        <f>'Evolutive SFP'!C20+'Evolutive SFP'!C7</f>
        <v>189943960.63</v>
      </c>
      <c r="E34" s="48">
        <f>'Evolutive SFP'!D20+'Evolutive SFP'!D7</f>
        <v>191209340.30000001</v>
      </c>
      <c r="F34" s="48">
        <f>'Evolutive SFP'!E20+'Evolutive SFP'!E7</f>
        <v>189826600.73000002</v>
      </c>
      <c r="G34" s="48">
        <f>'Evolutive SFP'!F20+'Evolutive SFP'!F7</f>
        <v>188929637.25999999</v>
      </c>
      <c r="H34" s="48">
        <f>'Evolutive SFP'!G20+'Evolutive SFP'!G7</f>
        <v>188580318.19999999</v>
      </c>
      <c r="I34" s="48">
        <f>'Evolutive SFP'!H20+'Evolutive SFP'!H7</f>
        <v>188235328.42000002</v>
      </c>
      <c r="J34" s="48">
        <f>'Evolutive SFP'!I20+'Evolutive SFP'!I7</f>
        <v>375789157.82000005</v>
      </c>
      <c r="K34" s="48">
        <f>'Evolutive SFP'!J20+'Evolutive SFP'!J7</f>
        <v>190312232.47</v>
      </c>
      <c r="L34" s="48">
        <f>'Evolutive SFP'!K20+'Evolutive SFP'!K7</f>
        <v>189993924.75</v>
      </c>
      <c r="M34" s="48">
        <f>'Evolutive SFP'!L20+'Evolutive SFP'!L7</f>
        <v>190809503.78000003</v>
      </c>
      <c r="N34" s="48">
        <f>'Evolutive SFP'!M20+'Evolutive SFP'!M7</f>
        <v>191708340.00999999</v>
      </c>
      <c r="O34" s="48">
        <f>'Evolutive SFP'!N20+'Evolutive SFP'!N7</f>
        <v>190504168.30000001</v>
      </c>
      <c r="P34" s="48">
        <f>'Evolutive SFP'!O20+'Evolutive SFP'!O7</f>
        <v>189168033.87</v>
      </c>
      <c r="Q34" s="48">
        <f>'Evolutive SFP'!P20+'Evolutive SFP'!P7</f>
        <v>378234935.65999997</v>
      </c>
      <c r="R34" s="48">
        <f>'Evolutive SFP'!Q20+'Evolutive SFP'!Q7</f>
        <v>186667520.59</v>
      </c>
      <c r="S34" s="48">
        <f>'Evolutive SFP'!R20+'Evolutive SFP'!R7</f>
        <v>163187880.14999998</v>
      </c>
      <c r="T34" s="48">
        <f>'Evolutive SFP'!S20+'Evolutive SFP'!S7</f>
        <v>372451177.96000004</v>
      </c>
      <c r="U34" s="48">
        <f>'Evolutive SFP'!T20+'Evolutive SFP'!T7</f>
        <v>186255797.92000002</v>
      </c>
      <c r="V34" s="48">
        <f>'Evolutive SFP'!U20+'Evolutive SFP'!U7</f>
        <v>160061582.29000002</v>
      </c>
      <c r="W34" s="48">
        <f>'Evolutive SFP'!V20+'Evolutive SFP'!V7</f>
        <v>159704147.41</v>
      </c>
      <c r="X34" s="48">
        <f>'Evolutive SFP'!W20+'Evolutive SFP'!W7</f>
        <v>150613170.99000001</v>
      </c>
      <c r="Y34" s="48">
        <f>'Evolutive SFP'!X20+'Evolutive SFP'!X7</f>
        <v>136686193.62</v>
      </c>
      <c r="Z34" s="48">
        <f>'Evolutive SFP'!Y20+'Evolutive SFP'!Y7</f>
        <v>409016483.91000003</v>
      </c>
      <c r="AA34" s="48">
        <f>'Evolutive SFP'!Z20+'Evolutive SFP'!Z7</f>
        <v>277968570.54000002</v>
      </c>
      <c r="AB34" s="48">
        <f>'Evolutive SFP'!AA20+'Evolutive SFP'!AA7</f>
        <v>693170372.60000002</v>
      </c>
      <c r="AC34" s="48">
        <f>'Evolutive SFP'!AB20+'Evolutive SFP'!AB7</f>
        <v>276576213.63999999</v>
      </c>
      <c r="AD34" s="48">
        <f>'Evolutive SFP'!AC20+'Evolutive SFP'!AC7</f>
        <v>449734184.31000006</v>
      </c>
      <c r="AE34" s="48">
        <f>'Evolutive SFP'!AD20+'Evolutive SFP'!AD7</f>
        <v>141156230.53</v>
      </c>
      <c r="AF34" s="48">
        <f>'Evolutive SFP'!AE20+'Evolutive SFP'!AE7</f>
        <v>141164030.09</v>
      </c>
      <c r="AG34" s="48">
        <f>'Evolutive SFP'!AF20+'Evolutive SFP'!AF7</f>
        <v>140837781.14000002</v>
      </c>
      <c r="AH34" s="48">
        <f>'Evolutive SFP'!AG20+'Evolutive SFP'!AG7</f>
        <v>143226474.25999999</v>
      </c>
      <c r="AI34" s="48">
        <f>'Evolutive SFP'!AH20+'Evolutive SFP'!AH7</f>
        <v>142600798.62</v>
      </c>
      <c r="AJ34" s="48">
        <f>'Evolutive SFP'!AI20+'Evolutive SFP'!AI7</f>
        <v>142292712.80000001</v>
      </c>
      <c r="AK34" s="48">
        <f>'Evolutive SFP'!AJ20+'Evolutive SFP'!AJ7</f>
        <v>140907183.04999998</v>
      </c>
      <c r="AL34" s="48">
        <f>'Evolutive SFP'!AK20+'Evolutive SFP'!AK7</f>
        <v>151614058.93000001</v>
      </c>
      <c r="AM34" s="48">
        <f>'Evolutive SFP'!AL20+'Evolutive SFP'!AL7</f>
        <v>126415968.89</v>
      </c>
      <c r="AN34" s="48">
        <f>'Evolutive SFP'!AM20+'Evolutive SFP'!AM7</f>
        <v>126375588.06999999</v>
      </c>
      <c r="AO34" s="48">
        <f>'Evolutive SFP'!AN20+'Evolutive SFP'!AN7</f>
        <v>125324742.42999999</v>
      </c>
      <c r="AP34" s="48">
        <f>'Evolutive SFP'!AO20+'Evolutive SFP'!AO7</f>
        <v>117841090.74000001</v>
      </c>
      <c r="AQ34" s="48">
        <f>'Evolutive SFP'!AP20+'Evolutive SFP'!AP7</f>
        <v>118643599.89</v>
      </c>
      <c r="AR34" s="48">
        <f>'Evolutive SFP'!AQ20+'Evolutive SFP'!AQ7</f>
        <v>123149035.60999998</v>
      </c>
      <c r="AS34" s="48">
        <f>'Evolutive SFP'!AR20+'Evolutive SFP'!AR7</f>
        <v>118769085.35999998</v>
      </c>
      <c r="AT34" s="48">
        <f>'Evolutive SFP'!AS20+'Evolutive SFP'!AS7</f>
        <v>140732636.26999998</v>
      </c>
      <c r="AU34" s="48">
        <f>'Evolutive SFP'!AT20+'Evolutive SFP'!AT7</f>
        <v>140372828.09</v>
      </c>
      <c r="AV34" s="48">
        <f>'Evolutive SFP'!AU20+'Evolutive SFP'!AU7</f>
        <v>139545251.72</v>
      </c>
      <c r="AW34" s="48">
        <f>'Evolutive SFP'!AV20+'Evolutive SFP'!AV7</f>
        <v>136871597.40000001</v>
      </c>
      <c r="AX34" s="48">
        <f>'Evolutive SFP'!AW20+'Evolutive SFP'!AW7</f>
        <v>136602712.68000001</v>
      </c>
      <c r="AY34" s="48">
        <f>'Evolutive SFP'!AX20+'Evolutive SFP'!AX7</f>
        <v>135085397.50999999</v>
      </c>
      <c r="AZ34" s="48">
        <f>'Evolutive SFP'!AY20+'Evolutive SFP'!AY7</f>
        <v>133687618.44999999</v>
      </c>
      <c r="BA34" s="48">
        <f>'Evolutive SFP'!AZ20+'Evolutive SFP'!AZ7</f>
        <v>132085745.49000001</v>
      </c>
      <c r="BB34" s="48">
        <f>'Evolutive SFP'!BA20+'Evolutive SFP'!BA7</f>
        <v>130045422.34</v>
      </c>
      <c r="BC34" s="48">
        <f>'Evolutive SFP'!BB20+'Evolutive SFP'!BB7</f>
        <v>127744534.23999999</v>
      </c>
      <c r="BD34" s="48">
        <f>'Evolutive SFP'!BC20+'Evolutive SFP'!BC7</f>
        <v>140176051.56</v>
      </c>
      <c r="BE34" s="48">
        <f>'Evolutive SFP'!BD20+'Evolutive SFP'!BD7</f>
        <v>140762655.72999999</v>
      </c>
      <c r="BF34" s="48">
        <f>'Evolutive SFP'!BE20+'Evolutive SFP'!BE7</f>
        <v>0</v>
      </c>
      <c r="BG34" s="48">
        <f>'Evolutive SFP'!BF20+'Evolutive SFP'!BF7</f>
        <v>143072453.62</v>
      </c>
      <c r="BH34" s="48">
        <f>'Evolutive SFP'!BG20+'Evolutive SFP'!BG7</f>
        <v>135778483.63999999</v>
      </c>
      <c r="BI34" s="48">
        <f>'Evolutive SFP'!BH20+'Evolutive SFP'!BH7</f>
        <v>138762372.13999999</v>
      </c>
      <c r="BJ34" s="48">
        <f>'Evolutive SFP'!BI20+'Evolutive SFP'!BI7</f>
        <v>130346714.89</v>
      </c>
      <c r="BK34" s="48">
        <f>'Evolutive SFP'!BJ20+'Evolutive SFP'!BJ7</f>
        <v>133743076.44000001</v>
      </c>
      <c r="BL34" s="48">
        <f>'Evolutive SFP'!BK20+'Evolutive SFP'!BK7</f>
        <v>135760942.28999999</v>
      </c>
      <c r="BM34" s="48">
        <f>'Evolutive SFP'!BL20+'Evolutive SFP'!BL7</f>
        <v>0</v>
      </c>
      <c r="BN34" s="48">
        <f>'Evolutive SFP'!BM20+'Evolutive SFP'!BM7</f>
        <v>329126757.18000001</v>
      </c>
      <c r="BO34" s="48">
        <f>'Evolutive SFP'!BN20+'Evolutive SFP'!BN7</f>
        <v>111126254.47999999</v>
      </c>
      <c r="BP34" s="48">
        <f>'Evolutive SFP'!BO20+'Evolutive SFP'!BO7</f>
        <v>102267532.63</v>
      </c>
      <c r="BQ34" s="48">
        <f>'Evolutive SFP'!BP20+'Evolutive SFP'!BP7</f>
        <v>224658021.90000001</v>
      </c>
      <c r="BR34" s="48">
        <f>'Evolutive SFP'!BQ20+'Evolutive SFP'!BQ7</f>
        <v>121342512.17999998</v>
      </c>
      <c r="BS34" s="48">
        <f>'Evolutive SFP'!BR20+'Evolutive SFP'!BR7</f>
        <v>120928088.45</v>
      </c>
      <c r="BT34" s="48">
        <f>'Evolutive SFP'!BS20+'Evolutive SFP'!BS7</f>
        <v>123979769.41</v>
      </c>
      <c r="BU34" s="48">
        <f>'Evolutive SFP'!BT20+'Evolutive SFP'!BT7</f>
        <v>121383372.00999998</v>
      </c>
      <c r="BV34" s="48">
        <f>'Evolutive SFP'!BU20+'Evolutive SFP'!BU7</f>
        <v>121325763.25999999</v>
      </c>
      <c r="BW34" s="48">
        <f>'Evolutive SFP'!BV20+'Evolutive SFP'!BV7</f>
        <v>116381360.46000001</v>
      </c>
      <c r="BX34" s="48">
        <f>'Evolutive SFP'!BW20+'Evolutive SFP'!BW7</f>
        <v>115672259.64000002</v>
      </c>
      <c r="BY34" s="48">
        <f>'Evolutive SFP'!BX20+'Evolutive SFP'!BX7</f>
        <v>150447274.64000002</v>
      </c>
      <c r="BZ34" s="48">
        <f>'Evolutive SFP'!BY20+'Evolutive SFP'!BY7</f>
        <v>147698338.18000001</v>
      </c>
      <c r="CA34" s="48">
        <f>'Evolutive SFP'!BZ20+'Evolutive SFP'!BZ7</f>
        <v>153334356.51000002</v>
      </c>
      <c r="CB34" s="48">
        <f>'Evolutive SFP'!CA20+'Evolutive SFP'!CA7</f>
        <v>152481489.27999997</v>
      </c>
      <c r="CC34" s="48">
        <f>'Evolutive SFP'!CB20+'Evolutive SFP'!CB7</f>
        <v>152630297.83000001</v>
      </c>
      <c r="CD34" s="48">
        <f>'Evolutive SFP'!CC20+'Evolutive SFP'!CC7</f>
        <v>0</v>
      </c>
      <c r="CE34" s="48">
        <f>'Evolutive SFP'!CD20+'Evolutive SFP'!CD7</f>
        <v>0</v>
      </c>
      <c r="CF34" s="48">
        <f>'Evolutive SFP'!CE20+'Evolutive SFP'!CE7</f>
        <v>140446416.75</v>
      </c>
      <c r="CG34" s="48">
        <f>'Evolutive SFP'!CF20+'Evolutive SFP'!CF7</f>
        <v>160168358.18000001</v>
      </c>
      <c r="CH34" s="48">
        <f>'Evolutive SFP'!CG20+'Evolutive SFP'!CG7</f>
        <v>165990683.69</v>
      </c>
      <c r="CI34" s="48">
        <f>'Evolutive SFP'!CH20+'Evolutive SFP'!CH7</f>
        <v>146029017.22</v>
      </c>
      <c r="CJ34" s="48">
        <f>'Evolutive SFP'!CI20+'Evolutive SFP'!CI7</f>
        <v>146766736.36000001</v>
      </c>
      <c r="CK34" s="48">
        <f>'Evolutive SFP'!CJ20+'Evolutive SFP'!CJ7</f>
        <v>147106930.88999999</v>
      </c>
      <c r="CL34" s="48">
        <f>'Evolutive SFP'!CK20+'Evolutive SFP'!CK7</f>
        <v>142785379.92999998</v>
      </c>
      <c r="CM34" s="48">
        <f>'Evolutive SFP'!CL20+'Evolutive SFP'!CL7</f>
        <v>148687919.19999999</v>
      </c>
      <c r="CN34" s="48">
        <f>'Evolutive SFP'!CM20+'Evolutive SFP'!CM7</f>
        <v>151029607.15000001</v>
      </c>
      <c r="CO34" s="48">
        <f>'Evolutive SFP'!CN20+'Evolutive SFP'!CN7</f>
        <v>152119924.28999999</v>
      </c>
      <c r="CP34" s="48">
        <f>'Evolutive SFP'!CO20+'Evolutive SFP'!CO7</f>
        <v>148746280.16999999</v>
      </c>
      <c r="CQ34" s="48">
        <f>'Evolutive SFP'!CP20+'Evolutive SFP'!CP7</f>
        <v>149112714.65000001</v>
      </c>
      <c r="CR34" s="48">
        <f>'Evolutive SFP'!CQ20+'Evolutive SFP'!CQ7</f>
        <v>151740235.63</v>
      </c>
      <c r="CS34" s="48">
        <f>'Evolutive SFP'!CR20+'Evolutive SFP'!CR7</f>
        <v>151740247.98000002</v>
      </c>
      <c r="CT34" s="48">
        <f>'Evolutive SFP'!CS20+'Evolutive SFP'!CS7</f>
        <v>156413433.01999998</v>
      </c>
    </row>
    <row r="35" spans="1:98" x14ac:dyDescent="0.3">
      <c r="A35" s="27">
        <v>8.1</v>
      </c>
      <c r="B35" s="25" t="s">
        <v>84</v>
      </c>
      <c r="C35" s="48">
        <f>'Evolutive SFP'!B22</f>
        <v>84021813</v>
      </c>
      <c r="D35" s="48">
        <f>'Evolutive SFP'!C22</f>
        <v>88181510</v>
      </c>
      <c r="E35" s="48">
        <f>'Evolutive SFP'!D22</f>
        <v>84809160</v>
      </c>
      <c r="F35" s="48">
        <f>'Evolutive SFP'!E22</f>
        <v>12175558.75</v>
      </c>
      <c r="G35" s="48">
        <f>'Evolutive SFP'!F22</f>
        <v>10374562.07</v>
      </c>
      <c r="H35" s="48">
        <f>'Evolutive SFP'!G22</f>
        <v>10201657.609999999</v>
      </c>
      <c r="I35" s="48">
        <f>'Evolutive SFP'!H22</f>
        <v>10032024.32</v>
      </c>
      <c r="J35" s="48">
        <f>'Evolutive SFP'!I22</f>
        <v>19731189.02</v>
      </c>
      <c r="K35" s="48">
        <f>'Evolutive SFP'!J22</f>
        <v>9702301.9700000007</v>
      </c>
      <c r="L35" s="48">
        <f>'Evolutive SFP'!K22</f>
        <v>9542081.9399999995</v>
      </c>
      <c r="M35" s="48">
        <f>'Evolutive SFP'!L22</f>
        <v>10235385.57</v>
      </c>
      <c r="N35" s="48">
        <f>'Evolutive SFP'!M22</f>
        <v>10911809.52</v>
      </c>
      <c r="O35" s="48">
        <f>'Evolutive SFP'!N22</f>
        <v>10124623</v>
      </c>
      <c r="P35" s="48">
        <f>'Evolutive SFP'!O22</f>
        <v>9965700.1300000008</v>
      </c>
      <c r="Q35" s="48">
        <f>'Evolutive SFP'!P22</f>
        <v>20178832.579999998</v>
      </c>
      <c r="R35" s="48">
        <f>'Evolutive SFP'!Q22</f>
        <v>9921377.4000000004</v>
      </c>
      <c r="S35" s="48">
        <f>'Evolutive SFP'!R22</f>
        <v>85588701</v>
      </c>
      <c r="T35" s="48">
        <f>'Evolutive SFP'!S22</f>
        <v>19536076.460000001</v>
      </c>
      <c r="U35" s="48">
        <f>'Evolutive SFP'!T22</f>
        <v>9978528.7899999991</v>
      </c>
      <c r="V35" s="48">
        <f>'Evolutive SFP'!U22</f>
        <v>11257647.27</v>
      </c>
      <c r="W35" s="48">
        <f>'Evolutive SFP'!V22</f>
        <v>11078335.6</v>
      </c>
      <c r="X35" s="48">
        <f>'Evolutive SFP'!W22</f>
        <v>11084135.6</v>
      </c>
      <c r="Y35" s="48">
        <f>'Evolutive SFP'!X22</f>
        <v>11308526.98</v>
      </c>
      <c r="Z35" s="48">
        <f>'Evolutive SFP'!Y22</f>
        <v>33413606.940000001</v>
      </c>
      <c r="AA35" s="48">
        <f>'Evolutive SFP'!Z22</f>
        <v>21918020.699999999</v>
      </c>
      <c r="AB35" s="48">
        <f>'Evolutive SFP'!AA22</f>
        <v>53917402.049999997</v>
      </c>
      <c r="AC35" s="48">
        <f>'Evolutive SFP'!AB22</f>
        <v>21222420.059999999</v>
      </c>
      <c r="AD35" s="48">
        <f>'Evolutive SFP'!AC22</f>
        <v>31326394.920000002</v>
      </c>
      <c r="AE35" s="48">
        <f>'Evolutive SFP'!AD22</f>
        <v>9577525.4000000004</v>
      </c>
      <c r="AF35" s="48">
        <f>'Evolutive SFP'!AE22</f>
        <v>11922175</v>
      </c>
      <c r="AG35" s="48">
        <f>'Evolutive SFP'!AF22</f>
        <v>9432667.7300000004</v>
      </c>
      <c r="AH35" s="48">
        <f>'Evolutive SFP'!AG22</f>
        <v>9293059.0500000007</v>
      </c>
      <c r="AI35" s="48">
        <f>'Evolutive SFP'!AH22</f>
        <v>9153190.8399999999</v>
      </c>
      <c r="AJ35" s="48">
        <f>'Evolutive SFP'!AI22</f>
        <v>9015771.7200000007</v>
      </c>
      <c r="AK35" s="48">
        <f>'Evolutive SFP'!AJ22</f>
        <v>8880753.1300000008</v>
      </c>
      <c r="AL35" s="48">
        <f>'Evolutive SFP'!AK22</f>
        <v>8748087.5399999991</v>
      </c>
      <c r="AM35" s="48">
        <f>'Evolutive SFP'!AL22</f>
        <v>8617728.5299999993</v>
      </c>
      <c r="AN35" s="48">
        <f>'Evolutive SFP'!AM22</f>
        <v>8489630.5399999991</v>
      </c>
      <c r="AO35" s="48">
        <f>'Evolutive SFP'!AN22</f>
        <v>8363749.0899999999</v>
      </c>
      <c r="AP35" s="48">
        <f>'Evolutive SFP'!AO22</f>
        <v>8320575.6100000003</v>
      </c>
      <c r="AQ35" s="48">
        <f>'Evolutive SFP'!AP22</f>
        <v>8196984.1100000003</v>
      </c>
      <c r="AR35" s="48">
        <f>'Evolutive SFP'!AQ22</f>
        <v>7970556.4000000004</v>
      </c>
      <c r="AS35" s="48">
        <f>'Evolutive SFP'!AR22</f>
        <v>80017575</v>
      </c>
      <c r="AT35" s="48">
        <f>'Evolutive SFP'!AS22</f>
        <v>7852994.1699999999</v>
      </c>
      <c r="AU35" s="48">
        <f>'Evolutive SFP'!AT22</f>
        <v>7737453.9100000001</v>
      </c>
      <c r="AV35" s="48">
        <f>'Evolutive SFP'!AU22</f>
        <v>7623895.9900000002</v>
      </c>
      <c r="AW35" s="48">
        <f>'Evolutive SFP'!AV22</f>
        <v>7512281.6600000001</v>
      </c>
      <c r="AX35" s="48">
        <f>'Evolutive SFP'!AW22</f>
        <v>7402572.9500000002</v>
      </c>
      <c r="AY35" s="48">
        <f>'Evolutive SFP'!AX22</f>
        <v>7294732.7400000002</v>
      </c>
      <c r="AZ35" s="48">
        <f>'Evolutive SFP'!AY22</f>
        <v>7188724.6900000004</v>
      </c>
      <c r="BA35" s="48">
        <f>'Evolutive SFP'!AZ22</f>
        <v>7084513.2199999997</v>
      </c>
      <c r="BB35" s="48">
        <f>'Evolutive SFP'!BA22</f>
        <v>6982063.54</v>
      </c>
      <c r="BC35" s="48">
        <f>'Evolutive SFP'!BB22</f>
        <v>6911341.5599999996</v>
      </c>
      <c r="BD35" s="48">
        <f>'Evolutive SFP'!BC22</f>
        <v>6811563.9299999997</v>
      </c>
      <c r="BE35" s="48">
        <f>'Evolutive SFP'!BD22</f>
        <v>7542854.7999999998</v>
      </c>
      <c r="BF35" s="48">
        <f>'Evolutive SFP'!BE22</f>
        <v>0</v>
      </c>
      <c r="BG35" s="48">
        <f>'Evolutive SFP'!BF22</f>
        <v>7438423.4299999997</v>
      </c>
      <c r="BH35" s="48">
        <f>'Evolutive SFP'!BG22</f>
        <v>7337237.0099999998</v>
      </c>
      <c r="BI35" s="48">
        <f>'Evolutive SFP'!BH22</f>
        <v>7236111.96</v>
      </c>
      <c r="BJ35" s="48">
        <f>'Evolutive SFP'!BI22</f>
        <v>7136609.1399999997</v>
      </c>
      <c r="BK35" s="48">
        <f>'Evolutive SFP'!BJ22</f>
        <v>7038699.9299999997</v>
      </c>
      <c r="BL35" s="48">
        <f>'Evolutive SFP'!BK22</f>
        <v>6990645.8600000003</v>
      </c>
      <c r="BM35" s="48">
        <f>'Evolutive SFP'!BL22</f>
        <v>0</v>
      </c>
      <c r="BN35" s="48">
        <f>'Evolutive SFP'!BM22</f>
        <v>22188493.5</v>
      </c>
      <c r="BO35" s="48">
        <f>'Evolutive SFP'!BN22</f>
        <v>7396164.5</v>
      </c>
      <c r="BP35" s="48">
        <f>'Evolutive SFP'!BO22</f>
        <v>7293883.4900000002</v>
      </c>
      <c r="BQ35" s="48">
        <f>'Evolutive SFP'!BP22</f>
        <v>16730466</v>
      </c>
      <c r="BR35" s="48">
        <f>'Evolutive SFP'!BQ22</f>
        <v>6942588.7999999998</v>
      </c>
      <c r="BS35" s="48">
        <f>'Evolutive SFP'!BR22</f>
        <v>75544365.920000002</v>
      </c>
      <c r="BT35" s="48">
        <f>'Evolutive SFP'!BS22</f>
        <v>6944189.7999999998</v>
      </c>
      <c r="BU35" s="48">
        <f>'Evolutive SFP'!BT22</f>
        <v>9256307.5999999996</v>
      </c>
      <c r="BV35" s="48">
        <f>'Evolutive SFP'!BU22</f>
        <v>9391307.5999999996</v>
      </c>
      <c r="BW35" s="48">
        <f>'Evolutive SFP'!BV22</f>
        <v>8898183.1699999999</v>
      </c>
      <c r="BX35" s="48">
        <f>'Evolutive SFP'!BW22</f>
        <v>8777866.7799999993</v>
      </c>
      <c r="BY35" s="48">
        <f>'Evolutive SFP'!BX22</f>
        <v>8666662.2400000002</v>
      </c>
      <c r="BZ35" s="48">
        <f>'Evolutive SFP'!BY22</f>
        <v>8778147.4800000004</v>
      </c>
      <c r="CA35" s="48">
        <f>'Evolutive SFP'!BZ22</f>
        <v>8714498.2400000002</v>
      </c>
      <c r="CB35" s="48">
        <f>'Evolutive SFP'!CA22</f>
        <v>8599916.7400000002</v>
      </c>
      <c r="CC35" s="48">
        <f>'Evolutive SFP'!CB22</f>
        <v>8701620.3000000007</v>
      </c>
      <c r="CD35" s="48">
        <f>'Evolutive SFP'!CC22</f>
        <v>0</v>
      </c>
      <c r="CE35" s="48">
        <f>'Evolutive SFP'!CD22</f>
        <v>0</v>
      </c>
      <c r="CF35" s="48">
        <f>'Evolutive SFP'!CE22</f>
        <v>75445571.5</v>
      </c>
      <c r="CG35" s="48">
        <f>'Evolutive SFP'!CF22</f>
        <v>8370765.5800000001</v>
      </c>
      <c r="CH35" s="48">
        <f>'Evolutive SFP'!CG22</f>
        <v>8262848.6799999997</v>
      </c>
      <c r="CI35" s="48">
        <f>'Evolutive SFP'!CH22</f>
        <v>8156541.8399999999</v>
      </c>
      <c r="CJ35" s="48">
        <f>'Evolutive SFP'!CI22</f>
        <v>8055208.0800000001</v>
      </c>
      <c r="CK35" s="48">
        <f>'Evolutive SFP'!CJ22</f>
        <v>8158582.9900000002</v>
      </c>
      <c r="CL35" s="48">
        <f>'Evolutive SFP'!CK22</f>
        <v>7837621.25</v>
      </c>
      <c r="CM35" s="48">
        <f>'Evolutive SFP'!CL22</f>
        <v>7739505.2999999998</v>
      </c>
      <c r="CN35" s="48">
        <f>'Evolutive SFP'!CM22</f>
        <v>7642792.2999999998</v>
      </c>
      <c r="CO35" s="48">
        <f>'Evolutive SFP'!CN22</f>
        <v>8207148.0800000001</v>
      </c>
      <c r="CP35" s="48">
        <f>'Evolutive SFP'!CO22</f>
        <v>8630411.3000000007</v>
      </c>
      <c r="CQ35" s="48">
        <f>'Evolutive SFP'!CP22</f>
        <v>8764183.3000000007</v>
      </c>
      <c r="CR35" s="48">
        <f>'Evolutive SFP'!CQ22</f>
        <v>8660632.3000000007</v>
      </c>
      <c r="CS35" s="48">
        <f>'Evolutive SFP'!CR22</f>
        <v>8660634.3499999996</v>
      </c>
      <c r="CT35" s="48">
        <f>'Evolutive SFP'!CS22</f>
        <v>8551198.3000000007</v>
      </c>
    </row>
    <row r="36" spans="1:98" x14ac:dyDescent="0.3">
      <c r="A36" s="23"/>
      <c r="B36" s="25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</row>
    <row r="37" spans="1:98" x14ac:dyDescent="0.3">
      <c r="A37" s="27">
        <v>9</v>
      </c>
      <c r="B37" s="25" t="s">
        <v>52</v>
      </c>
      <c r="C37" s="48">
        <f>C38+C39+C40+C41</f>
        <v>63593389.060000002</v>
      </c>
      <c r="D37" s="48">
        <f t="shared" ref="D37:BO37" si="12">D38+D39+D40+D41</f>
        <v>81396739.229999989</v>
      </c>
      <c r="E37" s="48">
        <f t="shared" si="12"/>
        <v>75757597.980000004</v>
      </c>
      <c r="F37" s="48">
        <f t="shared" si="12"/>
        <v>5621897.8000000007</v>
      </c>
      <c r="G37" s="48">
        <f t="shared" si="12"/>
        <v>6095529</v>
      </c>
      <c r="H37" s="48">
        <f t="shared" si="12"/>
        <v>9930772.8499999996</v>
      </c>
      <c r="I37" s="48">
        <f t="shared" si="12"/>
        <v>13914970.85</v>
      </c>
      <c r="J37" s="48">
        <f t="shared" si="12"/>
        <v>35195599</v>
      </c>
      <c r="K37" s="48">
        <f t="shared" si="12"/>
        <v>21790571.199999999</v>
      </c>
      <c r="L37" s="48">
        <f t="shared" si="12"/>
        <v>26422041.5</v>
      </c>
      <c r="M37" s="48">
        <f t="shared" si="12"/>
        <v>44165711.5</v>
      </c>
      <c r="N37" s="48">
        <f t="shared" si="12"/>
        <v>145586834.40000001</v>
      </c>
      <c r="O37" s="48">
        <f t="shared" si="12"/>
        <v>52929323.799999997</v>
      </c>
      <c r="P37" s="48">
        <f t="shared" si="12"/>
        <v>74011405.75</v>
      </c>
      <c r="Q37" s="48">
        <f t="shared" si="12"/>
        <v>164798611.86000001</v>
      </c>
      <c r="R37" s="48">
        <f t="shared" si="12"/>
        <v>96712171.629999995</v>
      </c>
      <c r="S37" s="48">
        <f t="shared" si="12"/>
        <v>96712171.629999995</v>
      </c>
      <c r="T37" s="48">
        <f t="shared" si="12"/>
        <v>13477581.32</v>
      </c>
      <c r="U37" s="48">
        <f t="shared" si="12"/>
        <v>11223484.050000001</v>
      </c>
      <c r="V37" s="48">
        <f t="shared" si="12"/>
        <v>30045504.940000001</v>
      </c>
      <c r="W37" s="48">
        <f t="shared" si="12"/>
        <v>19025645.579999998</v>
      </c>
      <c r="X37" s="48">
        <f t="shared" si="12"/>
        <v>23295588.699999999</v>
      </c>
      <c r="Y37" s="48">
        <f t="shared" si="12"/>
        <v>44016463.729999997</v>
      </c>
      <c r="Z37" s="48">
        <f t="shared" si="12"/>
        <v>146976941.49000001</v>
      </c>
      <c r="AA37" s="48">
        <f t="shared" si="12"/>
        <v>106378921.66</v>
      </c>
      <c r="AB37" s="48">
        <f t="shared" si="12"/>
        <v>288395804.14999998</v>
      </c>
      <c r="AC37" s="48">
        <f t="shared" si="12"/>
        <v>157755908.92000002</v>
      </c>
      <c r="AD37" s="48">
        <f t="shared" si="12"/>
        <v>255668482.28999999</v>
      </c>
      <c r="AE37" s="48">
        <f t="shared" si="12"/>
        <v>89674544.450000003</v>
      </c>
      <c r="AF37" s="48">
        <f t="shared" si="12"/>
        <v>92449717.659999996</v>
      </c>
      <c r="AG37" s="48">
        <f t="shared" si="12"/>
        <v>8561523</v>
      </c>
      <c r="AH37" s="48">
        <f t="shared" si="12"/>
        <v>13302371.960000001</v>
      </c>
      <c r="AI37" s="48">
        <f t="shared" si="12"/>
        <v>18291784</v>
      </c>
      <c r="AJ37" s="48">
        <f t="shared" si="12"/>
        <v>21131369</v>
      </c>
      <c r="AK37" s="48">
        <f t="shared" si="12"/>
        <v>26506861</v>
      </c>
      <c r="AL37" s="48">
        <f t="shared" si="12"/>
        <v>56255823.489999995</v>
      </c>
      <c r="AM37" s="48">
        <f t="shared" si="12"/>
        <v>56255823.489999995</v>
      </c>
      <c r="AN37" s="48">
        <f t="shared" si="12"/>
        <v>66156151.090000004</v>
      </c>
      <c r="AO37" s="48">
        <f t="shared" si="12"/>
        <v>71249702.489999995</v>
      </c>
      <c r="AP37" s="48">
        <f t="shared" si="12"/>
        <v>95811717</v>
      </c>
      <c r="AQ37" s="48">
        <f t="shared" si="12"/>
        <v>102569083</v>
      </c>
      <c r="AR37" s="48">
        <f t="shared" si="12"/>
        <v>108746265.69</v>
      </c>
      <c r="AS37" s="48">
        <f t="shared" si="12"/>
        <v>123321265.69</v>
      </c>
      <c r="AT37" s="48">
        <f t="shared" si="12"/>
        <v>10622460</v>
      </c>
      <c r="AU37" s="48">
        <f t="shared" si="12"/>
        <v>16006653.43</v>
      </c>
      <c r="AV37" s="48">
        <f t="shared" si="12"/>
        <v>20825585.43</v>
      </c>
      <c r="AW37" s="48">
        <f t="shared" si="12"/>
        <v>25707614.43</v>
      </c>
      <c r="AX37" s="48">
        <f t="shared" si="12"/>
        <v>31681630.43</v>
      </c>
      <c r="AY37" s="48">
        <f t="shared" si="12"/>
        <v>60200716.479999997</v>
      </c>
      <c r="AZ37" s="48">
        <f t="shared" si="12"/>
        <v>68635188.430000007</v>
      </c>
      <c r="BA37" s="48">
        <f t="shared" si="12"/>
        <v>75333404.430000007</v>
      </c>
      <c r="BB37" s="48">
        <f t="shared" si="12"/>
        <v>81877690.430000007</v>
      </c>
      <c r="BC37" s="48">
        <f t="shared" si="12"/>
        <v>100746120.79000001</v>
      </c>
      <c r="BD37" s="48">
        <f t="shared" si="12"/>
        <v>107431309.05000001</v>
      </c>
      <c r="BE37" s="48">
        <f t="shared" si="12"/>
        <v>117425831.73</v>
      </c>
      <c r="BF37" s="48">
        <f t="shared" si="12"/>
        <v>0</v>
      </c>
      <c r="BG37" s="48">
        <f t="shared" si="12"/>
        <v>7834638.1299999999</v>
      </c>
      <c r="BH37" s="48">
        <f t="shared" si="12"/>
        <v>13334000</v>
      </c>
      <c r="BI37" s="48">
        <f t="shared" si="12"/>
        <v>17976097</v>
      </c>
      <c r="BJ37" s="48">
        <f t="shared" si="12"/>
        <v>24996793</v>
      </c>
      <c r="BK37" s="48">
        <f t="shared" si="12"/>
        <v>54362135</v>
      </c>
      <c r="BL37" s="48">
        <f t="shared" si="12"/>
        <v>61154215</v>
      </c>
      <c r="BM37" s="48">
        <f t="shared" si="12"/>
        <v>0</v>
      </c>
      <c r="BN37" s="48">
        <f t="shared" si="12"/>
        <v>224372574</v>
      </c>
      <c r="BO37" s="48">
        <f t="shared" si="12"/>
        <v>80004896</v>
      </c>
      <c r="BP37" s="48">
        <f t="shared" ref="BP37:CM37" si="13">BP38+BP39+BP40+BP41</f>
        <v>102681197.5</v>
      </c>
      <c r="BQ37" s="48">
        <f t="shared" si="13"/>
        <v>219132576</v>
      </c>
      <c r="BR37" s="48">
        <f t="shared" si="13"/>
        <v>118169989.55</v>
      </c>
      <c r="BS37" s="48">
        <f t="shared" si="13"/>
        <v>118169989.53</v>
      </c>
      <c r="BT37" s="48">
        <f t="shared" si="13"/>
        <v>9085439.6099999994</v>
      </c>
      <c r="BU37" s="48">
        <f t="shared" si="13"/>
        <v>14369442.75</v>
      </c>
      <c r="BV37" s="48">
        <f t="shared" si="13"/>
        <v>19960594.009999998</v>
      </c>
      <c r="BW37" s="48">
        <f t="shared" si="13"/>
        <v>48795807.100000009</v>
      </c>
      <c r="BX37" s="48">
        <f t="shared" si="13"/>
        <v>53864408.250000007</v>
      </c>
      <c r="BY37" s="48">
        <f t="shared" si="13"/>
        <v>62447706.970000006</v>
      </c>
      <c r="BZ37" s="48">
        <f t="shared" si="13"/>
        <v>68654855.280000001</v>
      </c>
      <c r="CA37" s="48">
        <f t="shared" si="13"/>
        <v>0</v>
      </c>
      <c r="CB37" s="48">
        <f t="shared" si="13"/>
        <v>0</v>
      </c>
      <c r="CC37" s="48">
        <f t="shared" si="13"/>
        <v>0</v>
      </c>
      <c r="CD37" s="48">
        <f t="shared" si="13"/>
        <v>0</v>
      </c>
      <c r="CE37" s="48">
        <f t="shared" si="13"/>
        <v>0</v>
      </c>
      <c r="CF37" s="48">
        <f t="shared" si="13"/>
        <v>113508062.29999998</v>
      </c>
      <c r="CG37" s="48">
        <f t="shared" si="13"/>
        <v>5589010.5800000001</v>
      </c>
      <c r="CH37" s="48">
        <f t="shared" si="13"/>
        <v>11919420</v>
      </c>
      <c r="CI37" s="48">
        <f t="shared" si="13"/>
        <v>18242170.48</v>
      </c>
      <c r="CJ37" s="48">
        <f t="shared" si="13"/>
        <v>26195350.420000002</v>
      </c>
      <c r="CK37" s="48">
        <f t="shared" si="13"/>
        <v>34261959.480000004</v>
      </c>
      <c r="CL37" s="48">
        <f t="shared" si="13"/>
        <v>65779572.409999996</v>
      </c>
      <c r="CM37" s="48">
        <f t="shared" si="13"/>
        <v>84492305.219999999</v>
      </c>
      <c r="CN37" s="48">
        <f t="shared" ref="CN37:CO37" si="14">CN38+CN39+CN40+CN41</f>
        <v>91020428.620000005</v>
      </c>
      <c r="CO37" s="48">
        <f t="shared" si="14"/>
        <v>98439010.099999994</v>
      </c>
      <c r="CP37" s="48">
        <f t="shared" ref="CP37:CT37" si="15">CP38+CP39+CP40+CP41</f>
        <v>104658045.06999999</v>
      </c>
      <c r="CQ37" s="48">
        <f t="shared" si="15"/>
        <v>111263138.66</v>
      </c>
      <c r="CR37" s="48">
        <f t="shared" si="15"/>
        <v>121836015.03</v>
      </c>
      <c r="CS37" s="48">
        <f t="shared" si="15"/>
        <v>122662913.45699999</v>
      </c>
      <c r="CT37" s="48">
        <f t="shared" si="15"/>
        <v>10341788.219999999</v>
      </c>
    </row>
    <row r="38" spans="1:98" x14ac:dyDescent="0.3">
      <c r="A38" s="25">
        <v>9.1</v>
      </c>
      <c r="B38" s="25" t="s">
        <v>220</v>
      </c>
      <c r="C38" s="48">
        <f>'Evolutitve SCI'!B5</f>
        <v>25181368.629999999</v>
      </c>
      <c r="D38" s="48">
        <f>'Evolutitve SCI'!C5</f>
        <v>23538214.359999999</v>
      </c>
      <c r="E38" s="48">
        <f>'Evolutitve SCI'!D5</f>
        <v>29443949</v>
      </c>
      <c r="F38" s="48">
        <f>'Evolutitve SCI'!E5</f>
        <v>2039868.35</v>
      </c>
      <c r="G38" s="48">
        <f>'Evolutitve SCI'!F5</f>
        <v>2097436</v>
      </c>
      <c r="H38" s="48">
        <f>'Evolutitve SCI'!G5</f>
        <v>3762373.85</v>
      </c>
      <c r="I38" s="48">
        <f>'Evolutitve SCI'!H5</f>
        <v>5471623.5499999998</v>
      </c>
      <c r="J38" s="48">
        <f>'Evolutitve SCI'!I5</f>
        <v>14148801.4</v>
      </c>
      <c r="K38" s="48">
        <f>'Evolutitve SCI'!J5</f>
        <v>8770411.6999999993</v>
      </c>
      <c r="L38" s="48">
        <f>'Evolutitve SCI'!K5</f>
        <v>10870080</v>
      </c>
      <c r="M38" s="48">
        <f>'Evolutitve SCI'!L5</f>
        <v>12560132</v>
      </c>
      <c r="N38" s="48">
        <f>'Evolutitve SCI'!M5</f>
        <v>43287729</v>
      </c>
      <c r="O38" s="48">
        <f>'Evolutitve SCI'!N5</f>
        <v>16069168</v>
      </c>
      <c r="P38" s="48">
        <f>'Evolutitve SCI'!O5</f>
        <v>22975128.329999998</v>
      </c>
      <c r="Q38" s="48">
        <f>'Evolutitve SCI'!P5</f>
        <v>47023005.020000003</v>
      </c>
      <c r="R38" s="48">
        <f>'Evolutitve SCI'!Q5</f>
        <v>28623656.670000002</v>
      </c>
      <c r="S38" s="48">
        <f>'Evolutitve SCI'!R5</f>
        <v>28623656.670000002</v>
      </c>
      <c r="T38" s="48">
        <f>'Evolutitve SCI'!S5</f>
        <v>3251748.3</v>
      </c>
      <c r="U38" s="48">
        <f>'Evolutitve SCI'!T5</f>
        <v>3744572.15</v>
      </c>
      <c r="V38" s="48">
        <f>'Evolutitve SCI'!U5</f>
        <v>9894010.3000000007</v>
      </c>
      <c r="W38" s="48">
        <f>'Evolutitve SCI'!V5</f>
        <v>6692411.1500000004</v>
      </c>
      <c r="X38" s="48">
        <f>'Evolutitve SCI'!W5</f>
        <v>8209384.04</v>
      </c>
      <c r="Y38" s="48">
        <f>'Evolutitve SCI'!X5</f>
        <v>9931747.4000000004</v>
      </c>
      <c r="Z38" s="48">
        <f>'Evolutitve SCI'!Y5</f>
        <v>35986882.200000003</v>
      </c>
      <c r="AA38" s="48">
        <f>'Evolutitve SCI'!Z5</f>
        <v>27526636.800000001</v>
      </c>
      <c r="AB38" s="48">
        <f>'Evolutitve SCI'!AA5</f>
        <v>79000162</v>
      </c>
      <c r="AC38" s="48">
        <f>'Evolutitve SCI'!AB5</f>
        <v>40622572.060000002</v>
      </c>
      <c r="AD38" s="48">
        <f>'Evolutitve SCI'!AC5</f>
        <v>74567253</v>
      </c>
      <c r="AE38" s="48">
        <f>'Evolutitve SCI'!AD5</f>
        <v>28045908.649999999</v>
      </c>
      <c r="AF38" s="48">
        <f>'Evolutitve SCI'!AE5</f>
        <v>28045908.649999999</v>
      </c>
      <c r="AG38" s="48">
        <f>'Evolutitve SCI'!AF5</f>
        <v>2434413</v>
      </c>
      <c r="AH38" s="48">
        <f>'Evolutitve SCI'!AG5</f>
        <v>4225347</v>
      </c>
      <c r="AI38" s="48">
        <f>'Evolutitve SCI'!AH5</f>
        <v>5816933</v>
      </c>
      <c r="AJ38" s="48">
        <f>'Evolutitve SCI'!AI5</f>
        <v>7695589</v>
      </c>
      <c r="AK38" s="48">
        <f>'Evolutitve SCI'!AJ5</f>
        <v>8871455</v>
      </c>
      <c r="AL38" s="48">
        <f>'Evolutitve SCI'!AK5</f>
        <v>12422417</v>
      </c>
      <c r="AM38" s="48">
        <f>'Evolutitve SCI'!AL5</f>
        <v>12422417</v>
      </c>
      <c r="AN38" s="48">
        <f>'Evolutitve SCI'!AM5</f>
        <v>17540097</v>
      </c>
      <c r="AO38" s="48">
        <f>'Evolutitve SCI'!AN5</f>
        <v>19780076</v>
      </c>
      <c r="AP38" s="48">
        <f>'Evolutitve SCI'!AO5</f>
        <v>28953004</v>
      </c>
      <c r="AQ38" s="48">
        <f>'Evolutitve SCI'!AP5</f>
        <v>30340681</v>
      </c>
      <c r="AR38" s="48">
        <f>'Evolutitve SCI'!AQ5</f>
        <v>31745220</v>
      </c>
      <c r="AS38" s="48">
        <f>'Evolutitve SCI'!AR5</f>
        <v>31745220</v>
      </c>
      <c r="AT38" s="48">
        <f>'Evolutitve SCI'!AS5</f>
        <v>3850476</v>
      </c>
      <c r="AU38" s="48">
        <f>'Evolutitve SCI'!AT5</f>
        <v>6061886.4299999997</v>
      </c>
      <c r="AV38" s="48">
        <f>'Evolutitve SCI'!AU5</f>
        <v>7922160.4299999997</v>
      </c>
      <c r="AW38" s="48">
        <f>'Evolutitve SCI'!AV5</f>
        <v>10177285.43</v>
      </c>
      <c r="AX38" s="48">
        <f>'Evolutitve SCI'!AW5</f>
        <v>13010854.43</v>
      </c>
      <c r="AY38" s="48">
        <f>'Evolutitve SCI'!AX5</f>
        <v>16219392.43</v>
      </c>
      <c r="AZ38" s="48">
        <f>'Evolutitve SCI'!AY5</f>
        <v>19332174.43</v>
      </c>
      <c r="BA38" s="48">
        <f>'Evolutitve SCI'!AZ5</f>
        <v>22914704.43</v>
      </c>
      <c r="BB38" s="48">
        <f>'Evolutitve SCI'!BA5</f>
        <v>26191579.43</v>
      </c>
      <c r="BC38" s="48">
        <f>'Evolutitve SCI'!BB5</f>
        <v>34520826.700000003</v>
      </c>
      <c r="BD38" s="48">
        <f>'Evolutitve SCI'!BC5</f>
        <v>38408095.700000003</v>
      </c>
      <c r="BE38" s="48">
        <f>'Evolutitve SCI'!BD5</f>
        <v>41522628.289999999</v>
      </c>
      <c r="BF38" s="48">
        <f>'Evolutitve SCI'!BE5</f>
        <v>0</v>
      </c>
      <c r="BG38" s="48">
        <f>'Evolutitve SCI'!BF5</f>
        <v>3837830</v>
      </c>
      <c r="BH38" s="48">
        <f>'Evolutitve SCI'!BG5</f>
        <v>6647370</v>
      </c>
      <c r="BI38" s="48">
        <f>'Evolutitve SCI'!BH5</f>
        <v>8208839</v>
      </c>
      <c r="BJ38" s="48">
        <f>'Evolutitve SCI'!BI5</f>
        <v>12749525</v>
      </c>
      <c r="BK38" s="48">
        <f>'Evolutitve SCI'!BJ5</f>
        <v>15194412</v>
      </c>
      <c r="BL38" s="48">
        <f>'Evolutitve SCI'!BK5</f>
        <v>18229495</v>
      </c>
      <c r="BM38" s="48">
        <f>'Evolutitve SCI'!BL5</f>
        <v>0</v>
      </c>
      <c r="BN38" s="48">
        <f>'Evolutitve SCI'!BM5</f>
        <v>74061501</v>
      </c>
      <c r="BO38" s="48">
        <f>'Evolutitve SCI'!BN5</f>
        <v>26967754</v>
      </c>
      <c r="BP38" s="48">
        <f>'Evolutitve SCI'!BO5</f>
        <v>35429011</v>
      </c>
      <c r="BQ38" s="48">
        <f>'Evolutitve SCI'!BP5</f>
        <v>74123784</v>
      </c>
      <c r="BR38" s="48">
        <f>'Evolutitve SCI'!BQ5</f>
        <v>41504075.859999999</v>
      </c>
      <c r="BS38" s="48">
        <f>'Evolutitve SCI'!BR5</f>
        <v>41504075.859999999</v>
      </c>
      <c r="BT38" s="48">
        <f>'Evolutitve SCI'!BS5</f>
        <v>4836890</v>
      </c>
      <c r="BU38" s="48">
        <f>'Evolutitve SCI'!BT5</f>
        <v>6924220</v>
      </c>
      <c r="BV38" s="48">
        <f>'Evolutitve SCI'!BU5</f>
        <v>9103670</v>
      </c>
      <c r="BW38" s="48">
        <f>'Evolutitve SCI'!BV5</f>
        <v>10555840</v>
      </c>
      <c r="BX38" s="48">
        <f>'Evolutitve SCI'!BW5</f>
        <v>12428200</v>
      </c>
      <c r="BY38" s="48">
        <f>'Evolutitve SCI'!BX5</f>
        <v>16901782</v>
      </c>
      <c r="BZ38" s="48">
        <f>'Evolutitve SCI'!BY5</f>
        <v>19418952</v>
      </c>
      <c r="CA38" s="48">
        <f>'Evolutitve SCI'!BZ5</f>
        <v>0</v>
      </c>
      <c r="CB38" s="48">
        <f>'Evolutitve SCI'!CA5</f>
        <v>0</v>
      </c>
      <c r="CC38" s="48">
        <f>'Evolutitve SCI'!CB5</f>
        <v>0</v>
      </c>
      <c r="CD38" s="48">
        <f>'Evolutitve SCI'!CC5</f>
        <v>0</v>
      </c>
      <c r="CE38" s="48">
        <f>'Evolutitve SCI'!CD5</f>
        <v>0</v>
      </c>
      <c r="CF38" s="48">
        <f>'Evolutitve SCI'!CE5</f>
        <v>43442457.530000001</v>
      </c>
      <c r="CG38" s="48">
        <f>'Evolutitve SCI'!CF5</f>
        <v>1766980</v>
      </c>
      <c r="CH38" s="48">
        <f>'Evolutitve SCI'!CG5</f>
        <v>4038920</v>
      </c>
      <c r="CI38" s="48">
        <f>'Evolutitve SCI'!CH5</f>
        <v>6488830</v>
      </c>
      <c r="CJ38" s="48">
        <f>'Evolutitve SCI'!CI5</f>
        <v>10238620</v>
      </c>
      <c r="CK38" s="48">
        <f>'Evolutitve SCI'!CJ5</f>
        <v>14423280</v>
      </c>
      <c r="CL38" s="48">
        <f>'Evolutitve SCI'!CK5</f>
        <v>18581520</v>
      </c>
      <c r="CM38" s="48">
        <f>'Evolutitve SCI'!CL5</f>
        <v>23620390</v>
      </c>
      <c r="CN38" s="48">
        <f>'Evolutitve SCI'!CM5</f>
        <v>27781245</v>
      </c>
      <c r="CO38" s="48">
        <f>'Evolutitve SCI'!CN5</f>
        <v>31646785</v>
      </c>
      <c r="CP38" s="48">
        <f>'Evolutitve SCI'!CO5</f>
        <v>35339325</v>
      </c>
      <c r="CQ38" s="48">
        <f>'Evolutitve SCI'!CP5</f>
        <v>39553235</v>
      </c>
      <c r="CR38" s="48">
        <f>'Evolutitve SCI'!CQ5</f>
        <v>47019726</v>
      </c>
      <c r="CS38" s="48">
        <f>'Evolutitve SCI'!CR5</f>
        <v>47019726.107000001</v>
      </c>
      <c r="CT38" s="48">
        <f>'Evolutitve SCI'!CS5</f>
        <v>4764670</v>
      </c>
    </row>
    <row r="39" spans="1:98" x14ac:dyDescent="0.3">
      <c r="A39" s="25">
        <v>9.1999999999999993</v>
      </c>
      <c r="B39" s="25" t="s">
        <v>221</v>
      </c>
      <c r="C39" s="48">
        <f>'Evolutitve SCI'!B7</f>
        <v>16420261.43</v>
      </c>
      <c r="D39" s="48">
        <f>'Evolutitve SCI'!C7</f>
        <v>33570387.469999999</v>
      </c>
      <c r="E39" s="48">
        <f>'Evolutitve SCI'!D7</f>
        <v>18290060.5</v>
      </c>
      <c r="F39" s="48">
        <f>'Evolutitve SCI'!E7</f>
        <v>2971441.45</v>
      </c>
      <c r="G39" s="48">
        <f>'Evolutitve SCI'!F7</f>
        <v>3320109</v>
      </c>
      <c r="H39" s="48">
        <f>'Evolutitve SCI'!G7</f>
        <v>5453601</v>
      </c>
      <c r="I39" s="48">
        <f>'Evolutitve SCI'!H7</f>
        <v>7714749.2999999998</v>
      </c>
      <c r="J39" s="48">
        <f>'Evolutitve SCI'!I7</f>
        <v>19489541.600000001</v>
      </c>
      <c r="K39" s="48">
        <f>'Evolutitve SCI'!J7</f>
        <v>12241531.5</v>
      </c>
      <c r="L39" s="48">
        <f>'Evolutitve SCI'!K7</f>
        <v>14716168.5</v>
      </c>
      <c r="M39" s="48">
        <f>'Evolutitve SCI'!L7</f>
        <v>30748286.5</v>
      </c>
      <c r="N39" s="48">
        <f>'Evolutitve SCI'!M7</f>
        <v>99387944.400000006</v>
      </c>
      <c r="O39" s="48">
        <f>'Evolutitve SCI'!N7</f>
        <v>35879268.799999997</v>
      </c>
      <c r="P39" s="48">
        <f>'Evolutitve SCI'!O7</f>
        <v>50049890.420000002</v>
      </c>
      <c r="Q39" s="48">
        <f>'Evolutitve SCI'!P7</f>
        <v>115776032.84</v>
      </c>
      <c r="R39" s="48">
        <f>'Evolutitve SCI'!Q7</f>
        <v>66736027.959999993</v>
      </c>
      <c r="S39" s="48">
        <f>'Evolutitve SCI'!R7</f>
        <v>28531980.07</v>
      </c>
      <c r="T39" s="48">
        <f>'Evolutitve SCI'!S7</f>
        <v>8697213.0199999996</v>
      </c>
      <c r="U39" s="48">
        <f>'Evolutitve SCI'!T7</f>
        <v>6667800.9000000004</v>
      </c>
      <c r="V39" s="48">
        <f>'Evolutitve SCI'!U7</f>
        <v>18580916.640000001</v>
      </c>
      <c r="W39" s="48">
        <f>'Evolutitve SCI'!V7</f>
        <v>11543445.43</v>
      </c>
      <c r="X39" s="48">
        <f>'Evolutitve SCI'!W7</f>
        <v>14289415.66</v>
      </c>
      <c r="Y39" s="48">
        <f>'Evolutitve SCI'!X7</f>
        <v>33281427.329999998</v>
      </c>
      <c r="Z39" s="48">
        <f>'Evolutitve SCI'!Y7</f>
        <v>108460276.28999999</v>
      </c>
      <c r="AA39" s="48">
        <f>'Evolutitve SCI'!Z7</f>
        <v>77045728.859999999</v>
      </c>
      <c r="AB39" s="48">
        <f>'Evolutitve SCI'!AA7</f>
        <v>204859252.15000001</v>
      </c>
      <c r="AC39" s="48">
        <f>'Evolutitve SCI'!AB7</f>
        <v>115318780.86</v>
      </c>
      <c r="AD39" s="48">
        <f>'Evolutitve SCI'!AC7</f>
        <v>178376242.28999999</v>
      </c>
      <c r="AE39" s="48">
        <f>'Evolutitve SCI'!AD7</f>
        <v>60389106.300000004</v>
      </c>
      <c r="AF39" s="48">
        <f>'Evolutitve SCI'!AE7</f>
        <v>22374054.260000002</v>
      </c>
      <c r="AG39" s="48">
        <f>'Evolutitve SCI'!AF7</f>
        <v>5375545</v>
      </c>
      <c r="AH39" s="48">
        <f>'Evolutitve SCI'!AG7</f>
        <v>8271579.96</v>
      </c>
      <c r="AI39" s="48">
        <f>'Evolutitve SCI'!AH7</f>
        <v>11638246</v>
      </c>
      <c r="AJ39" s="48">
        <f>'Evolutitve SCI'!AI7</f>
        <v>12566175</v>
      </c>
      <c r="AK39" s="48">
        <f>'Evolutitve SCI'!AJ7</f>
        <v>16751751</v>
      </c>
      <c r="AL39" s="48">
        <f>'Evolutitve SCI'!AK7</f>
        <v>42927001.489999995</v>
      </c>
      <c r="AM39" s="48">
        <f>'Evolutitve SCI'!AL7</f>
        <v>42927001.489999995</v>
      </c>
      <c r="AN39" s="48">
        <f>'Evolutitve SCI'!AM7</f>
        <v>47690449.090000004</v>
      </c>
      <c r="AO39" s="48">
        <f>'Evolutitve SCI'!AN7</f>
        <v>50532171.489999995</v>
      </c>
      <c r="AP39" s="48">
        <f>'Evolutitve SCI'!AO7</f>
        <v>65954493</v>
      </c>
      <c r="AQ39" s="48">
        <f>'Evolutitve SCI'!AP7</f>
        <v>71276947</v>
      </c>
      <c r="AR39" s="48">
        <f>'Evolutitve SCI'!AQ7</f>
        <v>75735640.689999998</v>
      </c>
      <c r="AS39" s="48">
        <f>'Evolutitve SCI'!AR7</f>
        <v>41778587.349999994</v>
      </c>
      <c r="AT39" s="48">
        <f>'Evolutitve SCI'!AS7</f>
        <v>5769962</v>
      </c>
      <c r="AU39" s="48">
        <f>'Evolutitve SCI'!AT7</f>
        <v>8870415</v>
      </c>
      <c r="AV39" s="48">
        <f>'Evolutitve SCI'!AU7</f>
        <v>11802053</v>
      </c>
      <c r="AW39" s="48">
        <f>'Evolutitve SCI'!AV7</f>
        <v>14397807</v>
      </c>
      <c r="AX39" s="48">
        <f>'Evolutitve SCI'!AW7</f>
        <v>17480724</v>
      </c>
      <c r="AY39" s="48">
        <f>'Evolutitve SCI'!AX7</f>
        <v>42773122.049999997</v>
      </c>
      <c r="AZ39" s="48">
        <f>'Evolutitve SCI'!AY7</f>
        <v>48070082</v>
      </c>
      <c r="BA39" s="48">
        <f>'Evolutitve SCI'!AZ7</f>
        <v>51175418</v>
      </c>
      <c r="BB39" s="48">
        <f>'Evolutitve SCI'!BA7</f>
        <v>54416379</v>
      </c>
      <c r="BC39" s="48">
        <f>'Evolutitve SCI'!BB7</f>
        <v>64646238.090000004</v>
      </c>
      <c r="BD39" s="48">
        <f>'Evolutitve SCI'!BC7</f>
        <v>66729383.350000001</v>
      </c>
      <c r="BE39" s="48">
        <f>'Evolutitve SCI'!BD7</f>
        <v>73164519.140000001</v>
      </c>
      <c r="BF39" s="48">
        <f>'Evolutitve SCI'!BE7</f>
        <v>0</v>
      </c>
      <c r="BG39" s="48">
        <f>'Evolutitve SCI'!BF7</f>
        <v>3485462.13</v>
      </c>
      <c r="BH39" s="48">
        <f>'Evolutitve SCI'!BG7</f>
        <v>6232450</v>
      </c>
      <c r="BI39" s="48">
        <f>'Evolutitve SCI'!BH7</f>
        <v>9241795</v>
      </c>
      <c r="BJ39" s="48">
        <f>'Evolutitve SCI'!BI7</f>
        <v>11732162</v>
      </c>
      <c r="BK39" s="48">
        <f>'Evolutitve SCI'!BJ7</f>
        <v>39039863</v>
      </c>
      <c r="BL39" s="48">
        <f>'Evolutitve SCI'!BK7</f>
        <v>42786080</v>
      </c>
      <c r="BM39" s="48">
        <f>'Evolutitve SCI'!BL7</f>
        <v>0</v>
      </c>
      <c r="BN39" s="48">
        <f>'Evolutitve SCI'!BM7</f>
        <v>149842113</v>
      </c>
      <c r="BO39" s="48">
        <f>'Evolutitve SCI'!BN7</f>
        <v>52868762</v>
      </c>
      <c r="BP39" s="48">
        <f>'Evolutitve SCI'!BO7</f>
        <v>67075386.5</v>
      </c>
      <c r="BQ39" s="48">
        <f>'Evolutitve SCI'!BP7</f>
        <v>144020652</v>
      </c>
      <c r="BR39" s="48">
        <f>'Evolutitve SCI'!BQ7</f>
        <v>73373968.489999995</v>
      </c>
      <c r="BS39" s="48">
        <f>'Evolutitve SCI'!BR7</f>
        <v>30579984.93</v>
      </c>
      <c r="BT39" s="48">
        <f>'Evolutitve SCI'!BS7</f>
        <v>3521779.61</v>
      </c>
      <c r="BU39" s="48">
        <f>'Evolutitve SCI'!BT7</f>
        <v>6442007.75</v>
      </c>
      <c r="BV39" s="48">
        <f>'Evolutitve SCI'!BU7</f>
        <v>9747176.1099999994</v>
      </c>
      <c r="BW39" s="48">
        <f>'Evolutitve SCI'!BV7</f>
        <v>37175633.900000006</v>
      </c>
      <c r="BX39" s="48">
        <f>'Evolutitve SCI'!BW7</f>
        <v>40219635.050000004</v>
      </c>
      <c r="BY39" s="48">
        <f>'Evolutitve SCI'!BX7</f>
        <v>44202511.770000003</v>
      </c>
      <c r="BZ39" s="48">
        <f>'Evolutitve SCI'!BY7</f>
        <v>47697630.079999998</v>
      </c>
      <c r="CA39" s="48">
        <f>'Evolutitve SCI'!BZ7</f>
        <v>0</v>
      </c>
      <c r="CB39" s="48">
        <f>'Evolutitve SCI'!CA7</f>
        <v>0</v>
      </c>
      <c r="CC39" s="48">
        <f>'Evolutitve SCI'!CB7</f>
        <v>0</v>
      </c>
      <c r="CD39" s="48">
        <f>'Evolutitve SCI'!CC7</f>
        <v>0</v>
      </c>
      <c r="CE39" s="48">
        <f>'Evolutitve SCI'!CD7</f>
        <v>0</v>
      </c>
      <c r="CF39" s="48">
        <f>'Evolutitve SCI'!CE7</f>
        <v>30183865.229999997</v>
      </c>
      <c r="CG39" s="48">
        <f>'Evolutitve SCI'!CF7</f>
        <v>3656390.58</v>
      </c>
      <c r="CH39" s="48">
        <f>'Evolutitve SCI'!CG7</f>
        <v>7542420</v>
      </c>
      <c r="CI39" s="48">
        <f>'Evolutitve SCI'!CH7</f>
        <v>11249120.48</v>
      </c>
      <c r="CJ39" s="48">
        <f>'Evolutitve SCI'!CI7</f>
        <v>15154850.42</v>
      </c>
      <c r="CK39" s="48">
        <f>'Evolutitve SCI'!CJ7</f>
        <v>18749579.48</v>
      </c>
      <c r="CL39" s="48">
        <f>'Evolutitve SCI'!CK7</f>
        <v>45907012.409999996</v>
      </c>
      <c r="CM39" s="48">
        <f>'Evolutitve SCI'!CL7</f>
        <v>59055125.219999999</v>
      </c>
      <c r="CN39" s="48">
        <f>'Evolutitve SCI'!CM7</f>
        <v>60966073.620000005</v>
      </c>
      <c r="CO39" s="48">
        <f>'Evolutitve SCI'!CN7</f>
        <v>64096715.099999994</v>
      </c>
      <c r="CP39" s="48">
        <f>'Evolutitve SCI'!CO7</f>
        <v>66688973.07</v>
      </c>
      <c r="CQ39" s="48">
        <f>'Evolutitve SCI'!CP7</f>
        <v>68869269.659999996</v>
      </c>
      <c r="CR39" s="48">
        <f>'Evolutitve SCI'!CQ7</f>
        <v>71522004.030000001</v>
      </c>
      <c r="CS39" s="48">
        <f>'Evolutitve SCI'!CR7</f>
        <v>30698305.059999999</v>
      </c>
      <c r="CT39" s="48">
        <f>'Evolutitve SCI'!CS7</f>
        <v>4993648.22</v>
      </c>
    </row>
    <row r="40" spans="1:98" x14ac:dyDescent="0.3">
      <c r="A40" s="25">
        <v>9.3000000000000007</v>
      </c>
      <c r="B40" s="25" t="s">
        <v>222</v>
      </c>
      <c r="C40" s="48">
        <f>'Evolutitve SCI'!B6</f>
        <v>21991759</v>
      </c>
      <c r="D40" s="48">
        <f>'Evolutitve SCI'!C6</f>
        <v>24288137.399999999</v>
      </c>
      <c r="E40" s="48">
        <f>'Evolutitve SCI'!D6</f>
        <v>28023588.48</v>
      </c>
      <c r="F40" s="48">
        <f>'Evolutitve SCI'!E6</f>
        <v>610588</v>
      </c>
      <c r="G40" s="48">
        <f>'Evolutitve SCI'!F6</f>
        <v>677984</v>
      </c>
      <c r="H40" s="48">
        <f>'Evolutitve SCI'!G6</f>
        <v>714798</v>
      </c>
      <c r="I40" s="48">
        <f>'Evolutitve SCI'!H6</f>
        <v>728598</v>
      </c>
      <c r="J40" s="48">
        <f>'Evolutitve SCI'!I6</f>
        <v>1557256</v>
      </c>
      <c r="K40" s="48">
        <f>'Evolutitve SCI'!J6</f>
        <v>778628</v>
      </c>
      <c r="L40" s="48">
        <f>'Evolutitve SCI'!K6</f>
        <v>835793</v>
      </c>
      <c r="M40" s="48">
        <f>'Evolutitve SCI'!L6</f>
        <v>857293</v>
      </c>
      <c r="N40" s="48">
        <f>'Evolutitve SCI'!M6</f>
        <v>2911161</v>
      </c>
      <c r="O40" s="48">
        <f>'Evolutitve SCI'!N6</f>
        <v>980887</v>
      </c>
      <c r="P40" s="48">
        <f>'Evolutitve SCI'!O6</f>
        <v>986387</v>
      </c>
      <c r="Q40" s="48">
        <f>'Evolutitve SCI'!P6</f>
        <v>1999574</v>
      </c>
      <c r="R40" s="48">
        <f>'Evolutitve SCI'!Q6</f>
        <v>1352487</v>
      </c>
      <c r="S40" s="48">
        <f>'Evolutitve SCI'!R6</f>
        <v>39556534.890000001</v>
      </c>
      <c r="T40" s="48">
        <f>'Evolutitve SCI'!S6</f>
        <v>1528620</v>
      </c>
      <c r="U40" s="48">
        <f>'Evolutitve SCI'!T6</f>
        <v>811111</v>
      </c>
      <c r="V40" s="48">
        <f>'Evolutitve SCI'!U6</f>
        <v>1570578</v>
      </c>
      <c r="W40" s="48">
        <f>'Evolutitve SCI'!V6</f>
        <v>789789</v>
      </c>
      <c r="X40" s="48">
        <f>'Evolutitve SCI'!W6</f>
        <v>796789</v>
      </c>
      <c r="Y40" s="48">
        <f>'Evolutitve SCI'!X6</f>
        <v>803289</v>
      </c>
      <c r="Z40" s="48">
        <f>'Evolutitve SCI'!Y6</f>
        <v>2529783</v>
      </c>
      <c r="AA40" s="48">
        <f>'Evolutitve SCI'!Z6</f>
        <v>1806556</v>
      </c>
      <c r="AB40" s="48">
        <f>'Evolutitve SCI'!AA6</f>
        <v>4536390</v>
      </c>
      <c r="AC40" s="48">
        <f>'Evolutitve SCI'!AB6</f>
        <v>1814556</v>
      </c>
      <c r="AD40" s="48">
        <f>'Evolutitve SCI'!AC6</f>
        <v>2724987</v>
      </c>
      <c r="AE40" s="48">
        <f>'Evolutitve SCI'!AD6</f>
        <v>1239529.5</v>
      </c>
      <c r="AF40" s="48">
        <f>'Evolutitve SCI'!AE6</f>
        <v>42029754.75</v>
      </c>
      <c r="AG40" s="48">
        <f>'Evolutitve SCI'!AF6</f>
        <v>751565</v>
      </c>
      <c r="AH40" s="48">
        <f>'Evolutitve SCI'!AG6</f>
        <v>805445</v>
      </c>
      <c r="AI40" s="48">
        <f>'Evolutitve SCI'!AH6</f>
        <v>836605</v>
      </c>
      <c r="AJ40" s="48">
        <f>'Evolutitve SCI'!AI6</f>
        <v>869605</v>
      </c>
      <c r="AK40" s="48">
        <f>'Evolutitve SCI'!AJ6</f>
        <v>883655</v>
      </c>
      <c r="AL40" s="48">
        <f>'Evolutitve SCI'!AK6</f>
        <v>906405</v>
      </c>
      <c r="AM40" s="48">
        <f>'Evolutitve SCI'!AL6</f>
        <v>906405</v>
      </c>
      <c r="AN40" s="48">
        <f>'Evolutitve SCI'!AM6</f>
        <v>925605</v>
      </c>
      <c r="AO40" s="48">
        <f>'Evolutitve SCI'!AN6</f>
        <v>937455</v>
      </c>
      <c r="AP40" s="48">
        <f>'Evolutitve SCI'!AO6</f>
        <v>904220</v>
      </c>
      <c r="AQ40" s="48">
        <f>'Evolutitve SCI'!AP6</f>
        <v>951455</v>
      </c>
      <c r="AR40" s="48">
        <f>'Evolutitve SCI'!AQ6</f>
        <v>1265405</v>
      </c>
      <c r="AS40" s="48">
        <f>'Evolutitve SCI'!AR6</f>
        <v>49797458.340000004</v>
      </c>
      <c r="AT40" s="48">
        <f>'Evolutitve SCI'!AS6</f>
        <v>1002022</v>
      </c>
      <c r="AU40" s="48">
        <f>'Evolutitve SCI'!AT6</f>
        <v>1074352</v>
      </c>
      <c r="AV40" s="48">
        <f>'Evolutitve SCI'!AU6</f>
        <v>1101372</v>
      </c>
      <c r="AW40" s="48">
        <f>'Evolutitve SCI'!AV6</f>
        <v>1132522</v>
      </c>
      <c r="AX40" s="48">
        <f>'Evolutitve SCI'!AW6</f>
        <v>1190052</v>
      </c>
      <c r="AY40" s="48">
        <f>'Evolutitve SCI'!AX6</f>
        <v>1208202</v>
      </c>
      <c r="AZ40" s="48">
        <f>'Evolutitve SCI'!AY6</f>
        <v>1232932</v>
      </c>
      <c r="BA40" s="48">
        <f>'Evolutitve SCI'!AZ6</f>
        <v>1243282</v>
      </c>
      <c r="BB40" s="48">
        <f>'Evolutitve SCI'!BA6</f>
        <v>1269732</v>
      </c>
      <c r="BC40" s="48">
        <f>'Evolutitve SCI'!BB6</f>
        <v>1579056</v>
      </c>
      <c r="BD40" s="48">
        <f>'Evolutitve SCI'!BC6</f>
        <v>2293830</v>
      </c>
      <c r="BE40" s="48">
        <f>'Evolutitve SCI'!BD6</f>
        <v>2738684.3</v>
      </c>
      <c r="BF40" s="48">
        <f>'Evolutitve SCI'!BE6</f>
        <v>0</v>
      </c>
      <c r="BG40" s="48">
        <f>'Evolutitve SCI'!BF6</f>
        <v>511346</v>
      </c>
      <c r="BH40" s="48">
        <f>'Evolutitve SCI'!BG6</f>
        <v>454180</v>
      </c>
      <c r="BI40" s="48">
        <f>'Evolutitve SCI'!BH6</f>
        <v>525463</v>
      </c>
      <c r="BJ40" s="48">
        <f>'Evolutitve SCI'!BI6</f>
        <v>515106</v>
      </c>
      <c r="BK40" s="48">
        <f>'Evolutitve SCI'!BJ6</f>
        <v>127860</v>
      </c>
      <c r="BL40" s="48">
        <f>'Evolutitve SCI'!BK6</f>
        <v>138640</v>
      </c>
      <c r="BM40" s="48">
        <f>'Evolutitve SCI'!BL6</f>
        <v>0</v>
      </c>
      <c r="BN40" s="48">
        <f>'Evolutitve SCI'!BM6</f>
        <v>468960</v>
      </c>
      <c r="BO40" s="48">
        <f>'Evolutitve SCI'!BN6</f>
        <v>168380</v>
      </c>
      <c r="BP40" s="48">
        <f>'Evolutitve SCI'!BO6</f>
        <v>176800</v>
      </c>
      <c r="BQ40" s="48">
        <f>'Evolutitve SCI'!BP6</f>
        <v>988140</v>
      </c>
      <c r="BR40" s="48">
        <f>'Evolutitve SCI'!BQ6</f>
        <v>3291945.2</v>
      </c>
      <c r="BS40" s="48">
        <f>'Evolutitve SCI'!BR6</f>
        <v>46085928.740000002</v>
      </c>
      <c r="BT40" s="48">
        <f>'Evolutitve SCI'!BS6</f>
        <v>726770</v>
      </c>
      <c r="BU40" s="48">
        <f>'Evolutitve SCI'!BT6</f>
        <v>1003215</v>
      </c>
      <c r="BV40" s="48">
        <f>'Evolutitve SCI'!BU6</f>
        <v>1109747.8999999999</v>
      </c>
      <c r="BW40" s="48">
        <f>'Evolutitve SCI'!BV6</f>
        <v>1064333.2</v>
      </c>
      <c r="BX40" s="48">
        <f>'Evolutitve SCI'!BW6</f>
        <v>1216573.2</v>
      </c>
      <c r="BY40" s="48">
        <f>'Evolutitve SCI'!BX6</f>
        <v>1343413.2</v>
      </c>
      <c r="BZ40" s="48">
        <f>'Evolutitve SCI'!BY6</f>
        <v>1538273.2</v>
      </c>
      <c r="CA40" s="48">
        <f>'Evolutitve SCI'!BZ6</f>
        <v>0</v>
      </c>
      <c r="CB40" s="48">
        <f>'Evolutitve SCI'!CA6</f>
        <v>0</v>
      </c>
      <c r="CC40" s="48">
        <f>'Evolutitve SCI'!CB6</f>
        <v>0</v>
      </c>
      <c r="CD40" s="48">
        <f>'Evolutitve SCI'!CC6</f>
        <v>0</v>
      </c>
      <c r="CE40" s="48">
        <f>'Evolutitve SCI'!CD6</f>
        <v>0</v>
      </c>
      <c r="CF40" s="48">
        <f>'Evolutitve SCI'!CE6</f>
        <v>39881739.539999999</v>
      </c>
      <c r="CG40" s="48">
        <f>'Evolutitve SCI'!CF6</f>
        <v>165640</v>
      </c>
      <c r="CH40" s="48">
        <f>'Evolutitve SCI'!CG6</f>
        <v>338080</v>
      </c>
      <c r="CI40" s="48">
        <f>'Evolutitve SCI'!CH6</f>
        <v>504220</v>
      </c>
      <c r="CJ40" s="48">
        <f>'Evolutitve SCI'!CI6</f>
        <v>801880</v>
      </c>
      <c r="CK40" s="48">
        <f>'Evolutitve SCI'!CJ6</f>
        <v>1089100</v>
      </c>
      <c r="CL40" s="48">
        <f>'Evolutitve SCI'!CK6</f>
        <v>1291040</v>
      </c>
      <c r="CM40" s="48">
        <f>'Evolutitve SCI'!CL6</f>
        <v>1816790</v>
      </c>
      <c r="CN40" s="48">
        <f>'Evolutitve SCI'!CM6</f>
        <v>2273110</v>
      </c>
      <c r="CO40" s="48">
        <f>'Evolutitve SCI'!CN6</f>
        <v>2695510</v>
      </c>
      <c r="CP40" s="48">
        <f>'Evolutitve SCI'!CO6</f>
        <v>2629747</v>
      </c>
      <c r="CQ40" s="48">
        <f>'Evolutitve SCI'!CP6</f>
        <v>2840634</v>
      </c>
      <c r="CR40" s="48">
        <f>'Evolutitve SCI'!CQ6</f>
        <v>3294285</v>
      </c>
      <c r="CS40" s="48">
        <f>'Evolutitve SCI'!CR6</f>
        <v>44944882.289999999</v>
      </c>
      <c r="CT40" s="48">
        <f>'Evolutitve SCI'!CS6</f>
        <v>583470</v>
      </c>
    </row>
    <row r="41" spans="1:98" x14ac:dyDescent="0.3">
      <c r="A41" s="25">
        <v>9.4</v>
      </c>
      <c r="B41" s="25" t="s">
        <v>223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</row>
    <row r="42" spans="1:98" x14ac:dyDescent="0.3">
      <c r="A42" s="25"/>
      <c r="B42" s="25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</row>
    <row r="43" spans="1:98" x14ac:dyDescent="0.3">
      <c r="A43" s="27">
        <v>10</v>
      </c>
      <c r="B43" s="33" t="s">
        <v>224</v>
      </c>
      <c r="C43" s="49">
        <f>SUM(C44:C47)</f>
        <v>55124263.180000007</v>
      </c>
      <c r="D43" s="49">
        <f t="shared" ref="D43:BO43" si="16">SUM(D44:D47)</f>
        <v>69217906.489999995</v>
      </c>
      <c r="E43" s="49">
        <f t="shared" si="16"/>
        <v>69517651.859999999</v>
      </c>
      <c r="F43" s="49">
        <f t="shared" si="16"/>
        <v>4578080.84</v>
      </c>
      <c r="G43" s="49">
        <f t="shared" si="16"/>
        <v>3543899.5</v>
      </c>
      <c r="H43" s="49">
        <f t="shared" si="16"/>
        <v>9740895.5</v>
      </c>
      <c r="I43" s="49">
        <f t="shared" si="16"/>
        <v>13618634.199999999</v>
      </c>
      <c r="J43" s="49">
        <f t="shared" si="16"/>
        <v>42685319.119999997</v>
      </c>
      <c r="K43" s="49">
        <f t="shared" si="16"/>
        <v>24620093.559999999</v>
      </c>
      <c r="L43" s="49">
        <f t="shared" si="16"/>
        <v>30876935</v>
      </c>
      <c r="M43" s="49">
        <f t="shared" si="16"/>
        <v>39873129</v>
      </c>
      <c r="N43" s="49">
        <f t="shared" si="16"/>
        <v>132179892</v>
      </c>
      <c r="O43" s="49">
        <f t="shared" si="16"/>
        <v>51752852</v>
      </c>
      <c r="P43" s="49">
        <f t="shared" si="16"/>
        <v>64981386.18</v>
      </c>
      <c r="Q43" s="49">
        <f t="shared" si="16"/>
        <v>143855576.30000001</v>
      </c>
      <c r="R43" s="49">
        <f t="shared" si="16"/>
        <v>81577551</v>
      </c>
      <c r="S43" s="49">
        <f t="shared" si="16"/>
        <v>81419503</v>
      </c>
      <c r="T43" s="49">
        <f t="shared" si="16"/>
        <v>8182880.7000000002</v>
      </c>
      <c r="U43" s="49">
        <f t="shared" si="16"/>
        <v>9389156.9499999993</v>
      </c>
      <c r="V43" s="49">
        <f t="shared" si="16"/>
        <v>31185714.020000003</v>
      </c>
      <c r="W43" s="49">
        <f t="shared" si="16"/>
        <v>19707427.460000001</v>
      </c>
      <c r="X43" s="49">
        <f t="shared" si="16"/>
        <v>24855049.16</v>
      </c>
      <c r="Y43" s="49">
        <f t="shared" si="16"/>
        <v>41814570.760000005</v>
      </c>
      <c r="Z43" s="49">
        <f t="shared" si="16"/>
        <v>160270192.04999998</v>
      </c>
      <c r="AA43" s="49">
        <f t="shared" si="16"/>
        <v>122983445.90000001</v>
      </c>
      <c r="AB43" s="49">
        <f t="shared" si="16"/>
        <v>330238593.5</v>
      </c>
      <c r="AC43" s="49">
        <f t="shared" si="16"/>
        <v>142840243.80000001</v>
      </c>
      <c r="AD43" s="49">
        <f t="shared" si="16"/>
        <v>234158638.41</v>
      </c>
      <c r="AE43" s="49">
        <f t="shared" si="16"/>
        <v>76613027.140000001</v>
      </c>
      <c r="AF43" s="49">
        <f t="shared" si="16"/>
        <v>76572026.189999998</v>
      </c>
      <c r="AG43" s="49">
        <f t="shared" si="16"/>
        <v>4728786.25</v>
      </c>
      <c r="AH43" s="49">
        <f t="shared" si="16"/>
        <v>9795951.25</v>
      </c>
      <c r="AI43" s="49">
        <f t="shared" si="16"/>
        <v>17768939.890000001</v>
      </c>
      <c r="AJ43" s="49">
        <f t="shared" si="16"/>
        <v>26107858.640000001</v>
      </c>
      <c r="AK43" s="49">
        <f t="shared" si="16"/>
        <v>32298890.640000001</v>
      </c>
      <c r="AL43" s="49">
        <f t="shared" si="16"/>
        <v>44105316.640000001</v>
      </c>
      <c r="AM43" s="49">
        <f t="shared" si="16"/>
        <v>44105316.640000001</v>
      </c>
      <c r="AN43" s="49">
        <f t="shared" si="16"/>
        <v>63183176.399999999</v>
      </c>
      <c r="AO43" s="49">
        <f t="shared" si="16"/>
        <v>68318517.400000006</v>
      </c>
      <c r="AP43" s="49">
        <f t="shared" si="16"/>
        <v>76234203.400000006</v>
      </c>
      <c r="AQ43" s="49">
        <f t="shared" si="16"/>
        <v>82375876.400000006</v>
      </c>
      <c r="AR43" s="49">
        <f t="shared" si="16"/>
        <v>89380858.420000017</v>
      </c>
      <c r="AS43" s="49">
        <f t="shared" si="16"/>
        <v>94261940.330000013</v>
      </c>
      <c r="AT43" s="49">
        <f t="shared" si="16"/>
        <v>7830916.9100000001</v>
      </c>
      <c r="AU43" s="49">
        <f t="shared" si="16"/>
        <v>13125184.08</v>
      </c>
      <c r="AV43" s="49">
        <f t="shared" si="16"/>
        <v>23362864</v>
      </c>
      <c r="AW43" s="49">
        <f t="shared" si="16"/>
        <v>28995583.800000001</v>
      </c>
      <c r="AX43" s="49">
        <f t="shared" si="16"/>
        <v>36247582.5</v>
      </c>
      <c r="AY43" s="49">
        <f t="shared" si="16"/>
        <v>43620595.5</v>
      </c>
      <c r="AZ43" s="49">
        <f t="shared" si="16"/>
        <v>51773419.600000001</v>
      </c>
      <c r="BA43" s="49">
        <f t="shared" si="16"/>
        <v>59331698.5</v>
      </c>
      <c r="BB43" s="49">
        <f t="shared" si="16"/>
        <v>69482900.549999997</v>
      </c>
      <c r="BC43" s="49">
        <f t="shared" si="16"/>
        <v>80294356.400000006</v>
      </c>
      <c r="BD43" s="49">
        <f t="shared" si="16"/>
        <v>89114667.400000006</v>
      </c>
      <c r="BE43" s="49">
        <f t="shared" si="16"/>
        <v>106595726.91</v>
      </c>
      <c r="BF43" s="49">
        <f t="shared" si="16"/>
        <v>0</v>
      </c>
      <c r="BG43" s="49">
        <f t="shared" si="16"/>
        <v>5283373</v>
      </c>
      <c r="BH43" s="49">
        <f t="shared" si="16"/>
        <v>11914915</v>
      </c>
      <c r="BI43" s="49">
        <f t="shared" si="16"/>
        <v>23381951</v>
      </c>
      <c r="BJ43" s="49">
        <f t="shared" si="16"/>
        <v>30020919.760000002</v>
      </c>
      <c r="BK43" s="49">
        <f t="shared" si="16"/>
        <v>47769551.269999996</v>
      </c>
      <c r="BL43" s="49">
        <f t="shared" si="16"/>
        <v>55072461.399999999</v>
      </c>
      <c r="BM43" s="49">
        <f t="shared" si="16"/>
        <v>0</v>
      </c>
      <c r="BN43" s="49">
        <f t="shared" si="16"/>
        <v>212714626.19999999</v>
      </c>
      <c r="BO43" s="49">
        <f t="shared" si="16"/>
        <v>82354481.400000006</v>
      </c>
      <c r="BP43" s="49">
        <f t="shared" ref="BP43:CM43" si="17">SUM(BP44:BP47)</f>
        <v>89992461.270000011</v>
      </c>
      <c r="BQ43" s="49">
        <f t="shared" si="17"/>
        <v>204184466</v>
      </c>
      <c r="BR43" s="49">
        <f t="shared" si="17"/>
        <v>115168817.64999999</v>
      </c>
      <c r="BS43" s="49">
        <f t="shared" si="17"/>
        <v>111139284.30999999</v>
      </c>
      <c r="BT43" s="49">
        <f t="shared" si="17"/>
        <v>5613634.4100000001</v>
      </c>
      <c r="BU43" s="49">
        <f t="shared" si="17"/>
        <v>15430289.67</v>
      </c>
      <c r="BV43" s="49">
        <f t="shared" si="17"/>
        <v>20343452.219999999</v>
      </c>
      <c r="BW43" s="49">
        <f t="shared" si="17"/>
        <v>45605306.930000007</v>
      </c>
      <c r="BX43" s="49">
        <f t="shared" si="17"/>
        <v>50950682.900000006</v>
      </c>
      <c r="BY43" s="49">
        <f t="shared" si="17"/>
        <v>59220404.039999992</v>
      </c>
      <c r="BZ43" s="49">
        <f t="shared" si="17"/>
        <v>65467176.269999996</v>
      </c>
      <c r="CA43" s="49">
        <f t="shared" si="17"/>
        <v>0</v>
      </c>
      <c r="CB43" s="49">
        <f t="shared" si="17"/>
        <v>0</v>
      </c>
      <c r="CC43" s="49">
        <f t="shared" si="17"/>
        <v>0</v>
      </c>
      <c r="CD43" s="49">
        <f t="shared" si="17"/>
        <v>0</v>
      </c>
      <c r="CE43" s="49">
        <f t="shared" si="17"/>
        <v>0</v>
      </c>
      <c r="CF43" s="49">
        <f t="shared" si="17"/>
        <v>103986630.62</v>
      </c>
      <c r="CG43" s="49">
        <f t="shared" si="17"/>
        <v>5413285.5800000001</v>
      </c>
      <c r="CH43" s="49">
        <f t="shared" si="17"/>
        <v>12924572.389999999</v>
      </c>
      <c r="CI43" s="49">
        <f t="shared" si="17"/>
        <v>22629532</v>
      </c>
      <c r="CJ43" s="49">
        <f t="shared" si="17"/>
        <v>27776373.77</v>
      </c>
      <c r="CK43" s="49">
        <f t="shared" si="17"/>
        <v>36157668.899999999</v>
      </c>
      <c r="CL43" s="49">
        <f t="shared" si="17"/>
        <v>54043114.370000005</v>
      </c>
      <c r="CM43" s="49">
        <f t="shared" si="17"/>
        <v>59282687.170000002</v>
      </c>
      <c r="CN43" s="49">
        <f t="shared" ref="CN43:CO43" si="18">SUM(CN44:CN47)</f>
        <v>67230752.090000004</v>
      </c>
      <c r="CO43" s="49">
        <f t="shared" si="18"/>
        <v>72638106.780000001</v>
      </c>
      <c r="CP43" s="49">
        <f t="shared" ref="CP43:CT43" si="19">SUM(CP44:CP47)</f>
        <v>80209161.75999999</v>
      </c>
      <c r="CQ43" s="49">
        <f t="shared" si="19"/>
        <v>93335202.659999996</v>
      </c>
      <c r="CR43" s="49">
        <f t="shared" si="19"/>
        <v>102228439.68000001</v>
      </c>
      <c r="CS43" s="49">
        <f t="shared" si="19"/>
        <v>104714637.16389059</v>
      </c>
      <c r="CT43" s="49">
        <f t="shared" si="19"/>
        <v>6490787.54</v>
      </c>
    </row>
    <row r="44" spans="1:98" x14ac:dyDescent="0.3">
      <c r="A44" s="25">
        <v>10.1</v>
      </c>
      <c r="B44" s="25" t="s">
        <v>225</v>
      </c>
      <c r="C44" s="48">
        <f>'Evolutitve SCI'!B13+'Evolutitve SCI'!B16</f>
        <v>205944.15</v>
      </c>
      <c r="D44" s="48">
        <f>'Evolutitve SCI'!C13+'Evolutitve SCI'!C16</f>
        <v>1261174</v>
      </c>
      <c r="E44" s="48">
        <f>'Evolutitve SCI'!D13+'Evolutitve SCI'!D16</f>
        <v>1665811.79</v>
      </c>
      <c r="F44" s="48">
        <f>'Evolutitve SCI'!E13+'Evolutitve SCI'!E16</f>
        <v>67513</v>
      </c>
      <c r="G44" s="48">
        <f>'Evolutitve SCI'!F13+'Evolutitve SCI'!F16</f>
        <v>99600</v>
      </c>
      <c r="H44" s="48">
        <f>'Evolutitve SCI'!G13+'Evolutitve SCI'!G16</f>
        <v>264375</v>
      </c>
      <c r="I44" s="48">
        <f>'Evolutitve SCI'!H13+'Evolutitve SCI'!H16</f>
        <v>452862</v>
      </c>
      <c r="J44" s="48">
        <f>'Evolutitve SCI'!I13+'Evolutitve SCI'!I16</f>
        <v>1242010</v>
      </c>
      <c r="K44" s="48">
        <f>'Evolutitve SCI'!J13+'Evolutitve SCI'!J16</f>
        <v>707325</v>
      </c>
      <c r="L44" s="48">
        <f>'Evolutitve SCI'!K13+'Evolutitve SCI'!K16</f>
        <v>911425</v>
      </c>
      <c r="M44" s="48">
        <f>'Evolutitve SCI'!L13+'Evolutitve SCI'!L16</f>
        <v>1020044</v>
      </c>
      <c r="N44" s="48">
        <f>'Evolutitve SCI'!M13+'Evolutitve SCI'!M16</f>
        <v>3603663</v>
      </c>
      <c r="O44" s="48">
        <f>'Evolutitve SCI'!N13+'Evolutitve SCI'!N16</f>
        <v>1419230</v>
      </c>
      <c r="P44" s="48">
        <f>'Evolutitve SCI'!O13+'Evolutitve SCI'!O16</f>
        <v>1670910</v>
      </c>
      <c r="Q44" s="48">
        <f>'Evolutitve SCI'!P13+'Evolutitve SCI'!P16</f>
        <v>3614950.5</v>
      </c>
      <c r="R44" s="48">
        <f>'Evolutitve SCI'!Q13+'Evolutitve SCI'!Q16</f>
        <v>1807475.25</v>
      </c>
      <c r="S44" s="48">
        <f>'Evolutitve SCI'!R13+'Evolutitve SCI'!R16</f>
        <v>1807475.25</v>
      </c>
      <c r="T44" s="48">
        <f>'Evolutitve SCI'!S13+'Evolutitve SCI'!S16</f>
        <v>406900</v>
      </c>
      <c r="U44" s="48">
        <f>'Evolutitve SCI'!T13+'Evolutitve SCI'!T16</f>
        <v>435229</v>
      </c>
      <c r="V44" s="48">
        <f>'Evolutitve SCI'!U13+'Evolutitve SCI'!U16</f>
        <v>1062056.6000000001</v>
      </c>
      <c r="W44" s="48">
        <f>'Evolutitve SCI'!V13+'Evolutitve SCI'!V16</f>
        <v>531028.30000000005</v>
      </c>
      <c r="X44" s="48">
        <f>'Evolutitve SCI'!W13+'Evolutitve SCI'!W16</f>
        <v>893002</v>
      </c>
      <c r="Y44" s="48">
        <f>'Evolutitve SCI'!X13+'Evolutitve SCI'!X16</f>
        <v>893002</v>
      </c>
      <c r="Z44" s="48">
        <f>'Evolutitve SCI'!Y13+'Evolutitve SCI'!Y16</f>
        <v>4458837</v>
      </c>
      <c r="AA44" s="48">
        <f>'Evolutitve SCI'!Z13+'Evolutitve SCI'!Z16</f>
        <v>3320996</v>
      </c>
      <c r="AB44" s="48">
        <f>'Evolutitve SCI'!AA13+'Evolutitve SCI'!AA16</f>
        <v>9515825</v>
      </c>
      <c r="AC44" s="48">
        <f>'Evolutitve SCI'!AB13+'Evolutitve SCI'!AB16</f>
        <v>4176960</v>
      </c>
      <c r="AD44" s="48">
        <f>'Evolutitve SCI'!AC13+'Evolutitve SCI'!AC16</f>
        <v>6966789</v>
      </c>
      <c r="AE44" s="48">
        <f>'Evolutitve SCI'!AD13+'Evolutitve SCI'!AD16</f>
        <v>2773391.9</v>
      </c>
      <c r="AF44" s="48">
        <f>'Evolutitve SCI'!AE13+'Evolutitve SCI'!AE16</f>
        <v>2773391</v>
      </c>
      <c r="AG44" s="48">
        <f>'Evolutitve SCI'!AF13+'Evolutitve SCI'!AF16</f>
        <v>472615</v>
      </c>
      <c r="AH44" s="48">
        <f>'Evolutitve SCI'!AG13+'Evolutitve SCI'!AG16</f>
        <v>667963</v>
      </c>
      <c r="AI44" s="48">
        <f>'Evolutitve SCI'!AH13+'Evolutitve SCI'!AH16</f>
        <v>904130</v>
      </c>
      <c r="AJ44" s="48">
        <f>'Evolutitve SCI'!AI13+'Evolutitve SCI'!AI16</f>
        <v>1121360</v>
      </c>
      <c r="AK44" s="48">
        <f>'Evolutitve SCI'!AJ13+'Evolutitve SCI'!AJ16</f>
        <v>1411748</v>
      </c>
      <c r="AL44" s="48">
        <f>'Evolutitve SCI'!AK13+'Evolutitve SCI'!AK16</f>
        <v>1574681</v>
      </c>
      <c r="AM44" s="48">
        <f>'Evolutitve SCI'!AL13+'Evolutitve SCI'!AL16</f>
        <v>1574681</v>
      </c>
      <c r="AN44" s="48">
        <f>'Evolutitve SCI'!AM13+'Evolutitve SCI'!AM16</f>
        <v>2386650</v>
      </c>
      <c r="AO44" s="48">
        <f>'Evolutitve SCI'!AN13+'Evolutitve SCI'!AN16</f>
        <v>2720208</v>
      </c>
      <c r="AP44" s="48">
        <f>'Evolutitve SCI'!AO13+'Evolutitve SCI'!AO16</f>
        <v>2977370</v>
      </c>
      <c r="AQ44" s="48">
        <f>'Evolutitve SCI'!AP13+'Evolutitve SCI'!AP16</f>
        <v>3287344</v>
      </c>
      <c r="AR44" s="48">
        <f>'Evolutitve SCI'!AQ13+'Evolutitve SCI'!AQ16</f>
        <v>3534897.17</v>
      </c>
      <c r="AS44" s="48">
        <f>'Evolutitve SCI'!AR13+'Evolutitve SCI'!AR16</f>
        <v>3534897.17</v>
      </c>
      <c r="AT44" s="48">
        <f>'Evolutitve SCI'!AS13+'Evolutitve SCI'!AS16</f>
        <v>497358</v>
      </c>
      <c r="AU44" s="48">
        <f>'Evolutitve SCI'!AT13+'Evolutitve SCI'!AT16</f>
        <v>883839</v>
      </c>
      <c r="AV44" s="48">
        <f>'Evolutitve SCI'!AU13+'Evolutitve SCI'!AU16</f>
        <v>1229434</v>
      </c>
      <c r="AW44" s="48">
        <f>'Evolutitve SCI'!AV13+'Evolutitve SCI'!AV16</f>
        <v>1535605</v>
      </c>
      <c r="AX44" s="48">
        <f>'Evolutitve SCI'!AW13+'Evolutitve SCI'!AW16</f>
        <v>1956946</v>
      </c>
      <c r="AY44" s="48">
        <f>'Evolutitve SCI'!AX13+'Evolutitve SCI'!AX16</f>
        <v>2301327</v>
      </c>
      <c r="AZ44" s="48">
        <f>'Evolutitve SCI'!AY13+'Evolutitve SCI'!AY16</f>
        <v>2801589</v>
      </c>
      <c r="BA44" s="48">
        <f>'Evolutitve SCI'!AZ13+'Evolutitve SCI'!AZ16</f>
        <v>3164094</v>
      </c>
      <c r="BB44" s="48">
        <f>'Evolutitve SCI'!BA13+'Evolutitve SCI'!BA16</f>
        <v>3592098</v>
      </c>
      <c r="BC44" s="48">
        <f>'Evolutitve SCI'!BB13+'Evolutitve SCI'!BB16</f>
        <v>4173610</v>
      </c>
      <c r="BD44" s="48">
        <f>'Evolutitve SCI'!BC13+'Evolutitve SCI'!BC16</f>
        <v>4636572</v>
      </c>
      <c r="BE44" s="48">
        <f>'Evolutitve SCI'!BD13+'Evolutitve SCI'!BD16</f>
        <v>5075420.22</v>
      </c>
      <c r="BF44" s="48">
        <f>'Evolutitve SCI'!BE13+'Evolutitve SCI'!BE16</f>
        <v>0</v>
      </c>
      <c r="BG44" s="48">
        <f>'Evolutitve SCI'!BF13+'Evolutitve SCI'!BF16</f>
        <v>538015</v>
      </c>
      <c r="BH44" s="48">
        <f>'Evolutitve SCI'!BG13+'Evolutitve SCI'!BG16</f>
        <v>1017335</v>
      </c>
      <c r="BI44" s="48">
        <f>'Evolutitve SCI'!BH13+'Evolutitve SCI'!BH16</f>
        <v>1445490</v>
      </c>
      <c r="BJ44" s="48">
        <f>'Evolutitve SCI'!BI13+'Evolutitve SCI'!BI16</f>
        <v>2134156</v>
      </c>
      <c r="BK44" s="48">
        <f>'Evolutitve SCI'!BJ13+'Evolutitve SCI'!BJ16</f>
        <v>2674598</v>
      </c>
      <c r="BL44" s="48">
        <f>'Evolutitve SCI'!BK13+'Evolutitve SCI'!BK16</f>
        <v>3054993</v>
      </c>
      <c r="BM44" s="48">
        <f>'Evolutitve SCI'!BL13+'Evolutitve SCI'!BL16</f>
        <v>0</v>
      </c>
      <c r="BN44" s="48">
        <f>'Evolutitve SCI'!BM13+'Evolutitve SCI'!BM16</f>
        <v>12595806</v>
      </c>
      <c r="BO44" s="48">
        <f>'Evolutitve SCI'!BN13+'Evolutitve SCI'!BN16</f>
        <v>4760846</v>
      </c>
      <c r="BP44" s="48">
        <f>'Evolutitve SCI'!BO13+'Evolutitve SCI'!BO16</f>
        <v>5667871</v>
      </c>
      <c r="BQ44" s="48">
        <f>'Evolutitve SCI'!BP13+'Evolutitve SCI'!BP16</f>
        <v>12237696</v>
      </c>
      <c r="BR44" s="48">
        <f>'Evolutitve SCI'!BQ13+'Evolutitve SCI'!BQ16</f>
        <v>7052257.2400000002</v>
      </c>
      <c r="BS44" s="48">
        <f>'Evolutitve SCI'!BR13+'Evolutitve SCI'!BR16</f>
        <v>0</v>
      </c>
      <c r="BT44" s="48">
        <f>'Evolutitve SCI'!BS13+'Evolutitve SCI'!BS16</f>
        <v>551916.05000000005</v>
      </c>
      <c r="BU44" s="48">
        <f>'Evolutitve SCI'!BT13+'Evolutitve SCI'!BT16</f>
        <v>940854.92</v>
      </c>
      <c r="BV44" s="48">
        <f>'Evolutitve SCI'!BU13+'Evolutitve SCI'!BU16</f>
        <v>1585442.46</v>
      </c>
      <c r="BW44" s="48">
        <f>'Evolutitve SCI'!BV13+'Evolutitve SCI'!BV16</f>
        <v>2575828.83</v>
      </c>
      <c r="BX44" s="48">
        <f>'Evolutitve SCI'!BW13+'Evolutitve SCI'!BW16</f>
        <v>2917006.25</v>
      </c>
      <c r="BY44" s="48">
        <f>'Evolutitve SCI'!BX13+'Evolutitve SCI'!BX16</f>
        <v>3538839.58</v>
      </c>
      <c r="BZ44" s="48">
        <f>'Evolutitve SCI'!BY13+'Evolutitve SCI'!BY16</f>
        <v>4408301.25</v>
      </c>
      <c r="CA44" s="48">
        <f>'Evolutitve SCI'!BZ13+'Evolutitve SCI'!BZ16</f>
        <v>0</v>
      </c>
      <c r="CB44" s="48">
        <f>'Evolutitve SCI'!CA13+'Evolutitve SCI'!CA16</f>
        <v>0</v>
      </c>
      <c r="CC44" s="48">
        <f>'Evolutitve SCI'!CB13+'Evolutitve SCI'!CB16</f>
        <v>0</v>
      </c>
      <c r="CD44" s="48">
        <f>'Evolutitve SCI'!CC13+'Evolutitve SCI'!CC16</f>
        <v>0</v>
      </c>
      <c r="CE44" s="48">
        <f>'Evolutitve SCI'!CD13+'Evolutitve SCI'!CD16</f>
        <v>0</v>
      </c>
      <c r="CF44" s="48">
        <f>'Evolutitve SCI'!CE13+'Evolutitve SCI'!CE16</f>
        <v>7539284.9900000002</v>
      </c>
      <c r="CG44" s="48">
        <f>'Evolutitve SCI'!CF13+'Evolutitve SCI'!CF16</f>
        <v>1061731.6599999999</v>
      </c>
      <c r="CH44" s="48">
        <f>'Evolutitve SCI'!CG13+'Evolutitve SCI'!CG16</f>
        <v>1405019.89</v>
      </c>
      <c r="CI44" s="48">
        <f>'Evolutitve SCI'!CH13+'Evolutitve SCI'!CH16</f>
        <v>1802571.81</v>
      </c>
      <c r="CJ44" s="48">
        <f>'Evolutitve SCI'!CI13+'Evolutitve SCI'!CI16</f>
        <v>3259805.51</v>
      </c>
      <c r="CK44" s="48">
        <f>'Evolutitve SCI'!CJ13+'Evolutitve SCI'!CJ16</f>
        <v>4039643</v>
      </c>
      <c r="CL44" s="48">
        <f>'Evolutitve SCI'!CK13+'Evolutitve SCI'!CK16</f>
        <v>4548205.17</v>
      </c>
      <c r="CM44" s="48">
        <f>'Evolutitve SCI'!CL13+'Evolutitve SCI'!CL16</f>
        <v>5534845.5899999999</v>
      </c>
      <c r="CN44" s="48">
        <f>'Evolutitve SCI'!CM13+'Evolutitve SCI'!CM16</f>
        <v>6473647.0899999999</v>
      </c>
      <c r="CO44" s="48">
        <f>'Evolutitve SCI'!CN13+'Evolutitve SCI'!CN16</f>
        <v>7172565.0099999998</v>
      </c>
      <c r="CP44" s="48">
        <f>'Evolutitve SCI'!CO13+'Evolutitve SCI'!CO16</f>
        <v>8840644.9100000001</v>
      </c>
      <c r="CQ44" s="48">
        <f>'Evolutitve SCI'!CP13+'Evolutitve SCI'!CP16</f>
        <v>9525665.8200000003</v>
      </c>
      <c r="CR44" s="48">
        <f>'Evolutitve SCI'!CQ13+'Evolutitve SCI'!CQ16</f>
        <v>10233640.41</v>
      </c>
      <c r="CS44" s="48">
        <f>'Evolutitve SCI'!CR13+'Evolutitve SCI'!CR16</f>
        <v>19227192.899999999</v>
      </c>
      <c r="CT44" s="48">
        <f>'Evolutitve SCI'!CS13+'Evolutitve SCI'!CS16</f>
        <v>911133.16</v>
      </c>
    </row>
    <row r="45" spans="1:98" x14ac:dyDescent="0.3">
      <c r="A45" s="25">
        <v>10.199999999999999</v>
      </c>
      <c r="B45" s="25" t="s">
        <v>226</v>
      </c>
      <c r="C45" s="48">
        <f>'Evolutitve SCI'!B15</f>
        <v>0</v>
      </c>
      <c r="D45" s="48">
        <f>'Evolutitve SCI'!C15</f>
        <v>0</v>
      </c>
      <c r="E45" s="48">
        <f>'Evolutitve SCI'!D15</f>
        <v>0</v>
      </c>
      <c r="F45" s="48">
        <f>'Evolutitve SCI'!E15</f>
        <v>0</v>
      </c>
      <c r="G45" s="48">
        <f>'Evolutitve SCI'!F15</f>
        <v>0</v>
      </c>
      <c r="H45" s="48">
        <f>'Evolutitve SCI'!G15</f>
        <v>0</v>
      </c>
      <c r="I45" s="48">
        <f>'Evolutitve SCI'!H15</f>
        <v>0</v>
      </c>
      <c r="J45" s="48">
        <f>'Evolutitve SCI'!I15</f>
        <v>0</v>
      </c>
      <c r="K45" s="48">
        <f>'Evolutitve SCI'!J15</f>
        <v>0</v>
      </c>
      <c r="L45" s="48">
        <f>'Evolutitve SCI'!K15</f>
        <v>0</v>
      </c>
      <c r="M45" s="48">
        <f>'Evolutitve SCI'!L15</f>
        <v>0</v>
      </c>
      <c r="N45" s="48">
        <f>'Evolutitve SCI'!M15</f>
        <v>0</v>
      </c>
      <c r="O45" s="48">
        <f>'Evolutitve SCI'!N15</f>
        <v>0</v>
      </c>
      <c r="P45" s="48">
        <f>'Evolutitve SCI'!O15</f>
        <v>0</v>
      </c>
      <c r="Q45" s="48">
        <f>'Evolutitve SCI'!P15</f>
        <v>0</v>
      </c>
      <c r="R45" s="48">
        <f>'Evolutitve SCI'!Q15</f>
        <v>0</v>
      </c>
      <c r="S45" s="48">
        <f>'Evolutitve SCI'!R15</f>
        <v>0</v>
      </c>
      <c r="T45" s="48">
        <f>'Evolutitve SCI'!S15</f>
        <v>0</v>
      </c>
      <c r="U45" s="48">
        <f>'Evolutitve SCI'!T15</f>
        <v>0</v>
      </c>
      <c r="V45" s="48">
        <f>'Evolutitve SCI'!U15</f>
        <v>0</v>
      </c>
      <c r="W45" s="48">
        <f>'Evolutitve SCI'!V15</f>
        <v>0</v>
      </c>
      <c r="X45" s="48">
        <f>'Evolutitve SCI'!W15</f>
        <v>0</v>
      </c>
      <c r="Y45" s="48">
        <f>'Evolutitve SCI'!X15</f>
        <v>0</v>
      </c>
      <c r="Z45" s="48">
        <f>'Evolutitve SCI'!Y15</f>
        <v>0</v>
      </c>
      <c r="AA45" s="48">
        <f>'Evolutitve SCI'!Z15</f>
        <v>0</v>
      </c>
      <c r="AB45" s="48">
        <f>'Evolutitve SCI'!AA15</f>
        <v>0</v>
      </c>
      <c r="AC45" s="48">
        <f>'Evolutitve SCI'!AB15</f>
        <v>0</v>
      </c>
      <c r="AD45" s="48">
        <f>'Evolutitve SCI'!AC15</f>
        <v>0</v>
      </c>
      <c r="AE45" s="48">
        <f>'Evolutitve SCI'!AD15</f>
        <v>0</v>
      </c>
      <c r="AF45" s="48">
        <f>'Evolutitve SCI'!AE15</f>
        <v>0</v>
      </c>
      <c r="AG45" s="48">
        <f>'Evolutitve SCI'!AF15</f>
        <v>0</v>
      </c>
      <c r="AH45" s="48">
        <f>'Evolutitve SCI'!AG15</f>
        <v>0</v>
      </c>
      <c r="AI45" s="48">
        <f>'Evolutitve SCI'!AH15</f>
        <v>0</v>
      </c>
      <c r="AJ45" s="48">
        <f>'Evolutitve SCI'!AI15</f>
        <v>0</v>
      </c>
      <c r="AK45" s="48">
        <f>'Evolutitve SCI'!AJ15</f>
        <v>0</v>
      </c>
      <c r="AL45" s="48">
        <f>'Evolutitve SCI'!AK15</f>
        <v>0</v>
      </c>
      <c r="AM45" s="48">
        <f>'Evolutitve SCI'!AL15</f>
        <v>0</v>
      </c>
      <c r="AN45" s="48">
        <f>'Evolutitve SCI'!AM15</f>
        <v>0</v>
      </c>
      <c r="AO45" s="48">
        <f>'Evolutitve SCI'!AN15</f>
        <v>0</v>
      </c>
      <c r="AP45" s="48">
        <f>'Evolutitve SCI'!AO15</f>
        <v>0</v>
      </c>
      <c r="AQ45" s="48">
        <f>'Evolutitve SCI'!AP15</f>
        <v>0</v>
      </c>
      <c r="AR45" s="48">
        <f>'Evolutitve SCI'!AQ15</f>
        <v>0</v>
      </c>
      <c r="AS45" s="48">
        <f>'Evolutitve SCI'!AR15</f>
        <v>0</v>
      </c>
      <c r="AT45" s="48">
        <f>'Evolutitve SCI'!AS15</f>
        <v>0</v>
      </c>
      <c r="AU45" s="48">
        <f>'Evolutitve SCI'!AT15</f>
        <v>0</v>
      </c>
      <c r="AV45" s="48">
        <f>'Evolutitve SCI'!AU15</f>
        <v>0</v>
      </c>
      <c r="AW45" s="48">
        <f>'Evolutitve SCI'!AV15</f>
        <v>0</v>
      </c>
      <c r="AX45" s="48">
        <f>'Evolutitve SCI'!AW15</f>
        <v>0</v>
      </c>
      <c r="AY45" s="48">
        <f>'Evolutitve SCI'!AX15</f>
        <v>0</v>
      </c>
      <c r="AZ45" s="48">
        <f>'Evolutitve SCI'!AY15</f>
        <v>0</v>
      </c>
      <c r="BA45" s="48">
        <f>'Evolutitve SCI'!AZ15</f>
        <v>0</v>
      </c>
      <c r="BB45" s="48">
        <f>'Evolutitve SCI'!BA15</f>
        <v>0</v>
      </c>
      <c r="BC45" s="48">
        <f>'Evolutitve SCI'!BB15</f>
        <v>0</v>
      </c>
      <c r="BD45" s="48">
        <f>'Evolutitve SCI'!BC15</f>
        <v>0</v>
      </c>
      <c r="BE45" s="48">
        <f>'Evolutitve SCI'!BD15</f>
        <v>0</v>
      </c>
      <c r="BF45" s="48">
        <f>'Evolutitve SCI'!BE15</f>
        <v>0</v>
      </c>
      <c r="BG45" s="48">
        <f>'Evolutitve SCI'!BF15</f>
        <v>0</v>
      </c>
      <c r="BH45" s="48">
        <f>'Evolutitve SCI'!BG15</f>
        <v>0</v>
      </c>
      <c r="BI45" s="48">
        <f>'Evolutitve SCI'!BH15</f>
        <v>0</v>
      </c>
      <c r="BJ45" s="48">
        <f>'Evolutitve SCI'!BI15</f>
        <v>0</v>
      </c>
      <c r="BK45" s="48">
        <f>'Evolutitve SCI'!BJ15</f>
        <v>0</v>
      </c>
      <c r="BL45" s="48">
        <f>'Evolutitve SCI'!BK15</f>
        <v>0</v>
      </c>
      <c r="BM45" s="48">
        <f>'Evolutitve SCI'!BL15</f>
        <v>0</v>
      </c>
      <c r="BN45" s="48">
        <f>'Evolutitve SCI'!BM15</f>
        <v>0</v>
      </c>
      <c r="BO45" s="48">
        <f>'Evolutitve SCI'!BN15</f>
        <v>0</v>
      </c>
      <c r="BP45" s="48">
        <f>'Evolutitve SCI'!BO15</f>
        <v>0</v>
      </c>
      <c r="BQ45" s="48">
        <f>'Evolutitve SCI'!BP15</f>
        <v>0</v>
      </c>
      <c r="BR45" s="48">
        <f>'Evolutitve SCI'!BQ15</f>
        <v>0</v>
      </c>
      <c r="BS45" s="48">
        <f>'Evolutitve SCI'!BR15</f>
        <v>0</v>
      </c>
      <c r="BT45" s="48">
        <f>'Evolutitve SCI'!BS15</f>
        <v>0</v>
      </c>
      <c r="BU45" s="48">
        <f>'Evolutitve SCI'!BT15</f>
        <v>0</v>
      </c>
      <c r="BV45" s="48">
        <f>'Evolutitve SCI'!BU15</f>
        <v>0</v>
      </c>
      <c r="BW45" s="48">
        <f>'Evolutitve SCI'!BV15</f>
        <v>0</v>
      </c>
      <c r="BX45" s="48">
        <f>'Evolutitve SCI'!BW15</f>
        <v>0</v>
      </c>
      <c r="BY45" s="48">
        <f>'Evolutitve SCI'!BX15</f>
        <v>0</v>
      </c>
      <c r="BZ45" s="48">
        <f>'Evolutitve SCI'!BY15</f>
        <v>0</v>
      </c>
      <c r="CA45" s="48">
        <f>'Evolutitve SCI'!BZ15</f>
        <v>0</v>
      </c>
      <c r="CB45" s="48">
        <f>'Evolutitve SCI'!CA15</f>
        <v>0</v>
      </c>
      <c r="CC45" s="48">
        <f>'Evolutitve SCI'!CB15</f>
        <v>0</v>
      </c>
      <c r="CD45" s="48">
        <f>'Evolutitve SCI'!CC15</f>
        <v>0</v>
      </c>
      <c r="CE45" s="48">
        <f>'Evolutitve SCI'!CD15</f>
        <v>0</v>
      </c>
      <c r="CF45" s="48">
        <f>'Evolutitve SCI'!CE15</f>
        <v>0</v>
      </c>
      <c r="CG45" s="48">
        <f>'Evolutitve SCI'!CF15</f>
        <v>0</v>
      </c>
      <c r="CH45" s="48">
        <f>'Evolutitve SCI'!CG15</f>
        <v>0</v>
      </c>
      <c r="CI45" s="48">
        <f>'Evolutitve SCI'!CH15</f>
        <v>0</v>
      </c>
      <c r="CJ45" s="48">
        <f>'Evolutitve SCI'!CI15</f>
        <v>0</v>
      </c>
      <c r="CK45" s="48">
        <f>'Evolutitve SCI'!CJ15</f>
        <v>0</v>
      </c>
      <c r="CL45" s="48">
        <f>'Evolutitve SCI'!CK15</f>
        <v>0</v>
      </c>
      <c r="CM45" s="48">
        <f>'Evolutitve SCI'!CL15</f>
        <v>0</v>
      </c>
      <c r="CN45" s="48">
        <f>'Evolutitve SCI'!CM15</f>
        <v>0</v>
      </c>
      <c r="CO45" s="48">
        <f>'Evolutitve SCI'!CN15</f>
        <v>0</v>
      </c>
      <c r="CP45" s="48">
        <f>'Evolutitve SCI'!CO15</f>
        <v>0</v>
      </c>
      <c r="CQ45" s="48">
        <f>'Evolutitve SCI'!CP15</f>
        <v>0</v>
      </c>
      <c r="CR45" s="48">
        <f>'Evolutitve SCI'!CQ15</f>
        <v>0</v>
      </c>
      <c r="CS45" s="48">
        <f>'Evolutitve SCI'!CR15</f>
        <v>6.9138905835170377</v>
      </c>
      <c r="CT45" s="48">
        <f>'Evolutitve SCI'!CS15</f>
        <v>0</v>
      </c>
    </row>
    <row r="46" spans="1:98" x14ac:dyDescent="0.3">
      <c r="A46" s="25">
        <v>10.3</v>
      </c>
      <c r="B46" s="25" t="s">
        <v>227</v>
      </c>
      <c r="C46" s="48">
        <f>'Evolutitve SCI'!B14</f>
        <v>12726209.050000001</v>
      </c>
      <c r="D46" s="48">
        <f>'Evolutitve SCI'!C14</f>
        <v>17604356.309999999</v>
      </c>
      <c r="E46" s="48">
        <f>'Evolutitve SCI'!D14</f>
        <v>20952972.100000001</v>
      </c>
      <c r="F46" s="48">
        <f>'Evolutitve SCI'!E14</f>
        <v>916952</v>
      </c>
      <c r="G46" s="48">
        <f>'Evolutitve SCI'!F14</f>
        <v>0</v>
      </c>
      <c r="H46" s="48">
        <f>'Evolutitve SCI'!G14</f>
        <v>2239285</v>
      </c>
      <c r="I46" s="48">
        <f>'Evolutitve SCI'!H14</f>
        <v>2173849</v>
      </c>
      <c r="J46" s="48">
        <f>'Evolutitve SCI'!I14</f>
        <v>12151667.119999999</v>
      </c>
      <c r="K46" s="48">
        <f>'Evolutitve SCI'!J14</f>
        <v>6076830.5599999996</v>
      </c>
      <c r="L46" s="48">
        <f>'Evolutitve SCI'!K14</f>
        <v>8460065</v>
      </c>
      <c r="M46" s="48">
        <f>'Evolutitve SCI'!L14</f>
        <v>12892735</v>
      </c>
      <c r="N46" s="48">
        <f>'Evolutitve SCI'!M14</f>
        <v>39470373</v>
      </c>
      <c r="O46" s="48">
        <f>'Evolutitve SCI'!N14</f>
        <v>16239500</v>
      </c>
      <c r="P46" s="48">
        <f>'Evolutitve SCI'!O14</f>
        <v>16817555.399999999</v>
      </c>
      <c r="Q46" s="48">
        <f>'Evolutitve SCI'!P14</f>
        <v>36288774.240000002</v>
      </c>
      <c r="R46" s="48">
        <f>'Evolutitve SCI'!Q14</f>
        <v>19731325</v>
      </c>
      <c r="S46" s="48">
        <f>'Evolutitve SCI'!R14</f>
        <v>19731325</v>
      </c>
      <c r="T46" s="48">
        <f>'Evolutitve SCI'!S14</f>
        <v>0</v>
      </c>
      <c r="U46" s="48">
        <f>'Evolutitve SCI'!T14</f>
        <v>946405</v>
      </c>
      <c r="V46" s="48">
        <f>'Evolutitve SCI'!U14</f>
        <v>5572980.1200000001</v>
      </c>
      <c r="W46" s="48">
        <f>'Evolutitve SCI'!V14</f>
        <v>2786490.06</v>
      </c>
      <c r="X46" s="48">
        <f>'Evolutitve SCI'!W14</f>
        <v>3047727.06</v>
      </c>
      <c r="Y46" s="48">
        <f>'Evolutitve SCI'!X14</f>
        <v>3047727.06</v>
      </c>
      <c r="Z46" s="48">
        <f>'Evolutitve SCI'!Y14</f>
        <v>26013733.199999999</v>
      </c>
      <c r="AA46" s="48">
        <f>'Evolutitve SCI'!Z14</f>
        <v>23277022</v>
      </c>
      <c r="AB46" s="48">
        <f>'Evolutitve SCI'!AA14</f>
        <v>58192555</v>
      </c>
      <c r="AC46" s="48">
        <f>'Evolutitve SCI'!AB14</f>
        <v>25772688</v>
      </c>
      <c r="AD46" s="48">
        <f>'Evolutitve SCI'!AC14</f>
        <v>38659032</v>
      </c>
      <c r="AE46" s="48">
        <f>'Evolutitve SCI'!AD14</f>
        <v>16976292.739999998</v>
      </c>
      <c r="AF46" s="48">
        <f>'Evolutitve SCI'!AE14</f>
        <v>16976292.739999998</v>
      </c>
      <c r="AG46" s="48">
        <f>'Evolutitve SCI'!AF14</f>
        <v>0</v>
      </c>
      <c r="AH46" s="48">
        <f>'Evolutitve SCI'!AG14</f>
        <v>0</v>
      </c>
      <c r="AI46" s="48">
        <f>'Evolutitve SCI'!AH14</f>
        <v>2970377</v>
      </c>
      <c r="AJ46" s="48">
        <f>'Evolutitve SCI'!AI14</f>
        <v>4543551</v>
      </c>
      <c r="AK46" s="48">
        <f>'Evolutitve SCI'!AJ14</f>
        <v>6543551</v>
      </c>
      <c r="AL46" s="48">
        <f>'Evolutitve SCI'!AK14</f>
        <v>9922478</v>
      </c>
      <c r="AM46" s="48">
        <f>'Evolutitve SCI'!AL14</f>
        <v>9922478</v>
      </c>
      <c r="AN46" s="48">
        <f>'Evolutitve SCI'!AM14</f>
        <v>14052865</v>
      </c>
      <c r="AO46" s="48">
        <f>'Evolutitve SCI'!AN14</f>
        <v>14052865</v>
      </c>
      <c r="AP46" s="48">
        <f>'Evolutitve SCI'!AO14</f>
        <v>16920290</v>
      </c>
      <c r="AQ46" s="48">
        <f>'Evolutitve SCI'!AP14</f>
        <v>16920290</v>
      </c>
      <c r="AR46" s="48">
        <f>'Evolutitve SCI'!AQ14</f>
        <v>17212726.449999999</v>
      </c>
      <c r="AS46" s="48">
        <f>'Evolutitve SCI'!AR14</f>
        <v>17212726.449999999</v>
      </c>
      <c r="AT46" s="48">
        <f>'Evolutitve SCI'!AS14</f>
        <v>159529</v>
      </c>
      <c r="AU46" s="48">
        <f>'Evolutitve SCI'!AT14</f>
        <v>268815</v>
      </c>
      <c r="AV46" s="48">
        <f>'Evolutitve SCI'!AU14</f>
        <v>2364701</v>
      </c>
      <c r="AW46" s="48">
        <f>'Evolutitve SCI'!AV14</f>
        <v>3461267</v>
      </c>
      <c r="AX46" s="48">
        <f>'Evolutitve SCI'!AW14</f>
        <v>4845959</v>
      </c>
      <c r="AY46" s="48">
        <f>'Evolutitve SCI'!AX14</f>
        <v>6261080</v>
      </c>
      <c r="AZ46" s="48">
        <f>'Evolutitve SCI'!AY14</f>
        <v>7887708</v>
      </c>
      <c r="BA46" s="48">
        <f>'Evolutitve SCI'!AZ14</f>
        <v>9236952</v>
      </c>
      <c r="BB46" s="48">
        <f>'Evolutitve SCI'!BA14</f>
        <v>12072077.550000001</v>
      </c>
      <c r="BC46" s="48">
        <f>'Evolutitve SCI'!BB14</f>
        <v>13492131</v>
      </c>
      <c r="BD46" s="48">
        <f>'Evolutitve SCI'!BC14</f>
        <v>15240514</v>
      </c>
      <c r="BE46" s="48">
        <f>'Evolutitve SCI'!BD14</f>
        <v>21392103.809999999</v>
      </c>
      <c r="BF46" s="48">
        <f>'Evolutitve SCI'!BE14</f>
        <v>0</v>
      </c>
      <c r="BG46" s="48">
        <f>'Evolutitve SCI'!BF14</f>
        <v>0</v>
      </c>
      <c r="BH46" s="48">
        <f>'Evolutitve SCI'!BG14</f>
        <v>0</v>
      </c>
      <c r="BI46" s="48">
        <f>'Evolutitve SCI'!BH14</f>
        <v>4327891</v>
      </c>
      <c r="BJ46" s="48">
        <f>'Evolutitve SCI'!BI14</f>
        <v>4327891</v>
      </c>
      <c r="BK46" s="48">
        <f>'Evolutitve SCI'!BJ14</f>
        <v>12374244</v>
      </c>
      <c r="BL46" s="48">
        <f>'Evolutitve SCI'!BK14</f>
        <v>13297621</v>
      </c>
      <c r="BM46" s="48">
        <f>'Evolutitve SCI'!BL14</f>
        <v>0</v>
      </c>
      <c r="BN46" s="48">
        <f>'Evolutitve SCI'!BM14</f>
        <v>48987030</v>
      </c>
      <c r="BO46" s="48">
        <f>'Evolutitve SCI'!BN14</f>
        <v>19360399</v>
      </c>
      <c r="BP46" s="48">
        <f>'Evolutitve SCI'!BO14</f>
        <v>20908523</v>
      </c>
      <c r="BQ46" s="48">
        <f>'Evolutitve SCI'!BP14</f>
        <v>44304900</v>
      </c>
      <c r="BR46" s="48">
        <f>'Evolutitve SCI'!BQ14</f>
        <v>29261041.09</v>
      </c>
      <c r="BS46" s="48">
        <f>'Evolutitve SCI'!BR14</f>
        <v>29108298.329999998</v>
      </c>
      <c r="BT46" s="48">
        <f>'Evolutitve SCI'!BS14</f>
        <v>467729.36</v>
      </c>
      <c r="BU46" s="48">
        <f>'Evolutitve SCI'!BT14</f>
        <v>293390.84999999998</v>
      </c>
      <c r="BV46" s="48">
        <f>'Evolutitve SCI'!BU14</f>
        <v>678271.96</v>
      </c>
      <c r="BW46" s="48">
        <f>'Evolutitve SCI'!BV14</f>
        <v>6044602.2300000004</v>
      </c>
      <c r="BX46" s="48">
        <f>'Evolutitve SCI'!BW14</f>
        <v>6044602.2300000004</v>
      </c>
      <c r="BY46" s="48">
        <f>'Evolutitve SCI'!BX14</f>
        <v>8894909.8599999994</v>
      </c>
      <c r="BZ46" s="48">
        <f>'Evolutitve SCI'!BY14</f>
        <v>8894909.8599999994</v>
      </c>
      <c r="CA46" s="48">
        <f>'Evolutitve SCI'!BZ14</f>
        <v>0</v>
      </c>
      <c r="CB46" s="48">
        <f>'Evolutitve SCI'!CA14</f>
        <v>0</v>
      </c>
      <c r="CC46" s="48">
        <f>'Evolutitve SCI'!CB14</f>
        <v>0</v>
      </c>
      <c r="CD46" s="48">
        <f>'Evolutitve SCI'!CC14</f>
        <v>0</v>
      </c>
      <c r="CE46" s="48">
        <f>'Evolutitve SCI'!CD14</f>
        <v>0</v>
      </c>
      <c r="CF46" s="48">
        <f>'Evolutitve SCI'!CE14</f>
        <v>19670749.23</v>
      </c>
      <c r="CG46" s="48">
        <f>'Evolutitve SCI'!CF14</f>
        <v>0</v>
      </c>
      <c r="CH46" s="48">
        <f>'Evolutitve SCI'!CG14</f>
        <v>686142.73</v>
      </c>
      <c r="CI46" s="48">
        <f>'Evolutitve SCI'!CH14</f>
        <v>2764677.95</v>
      </c>
      <c r="CJ46" s="48">
        <f>'Evolutitve SCI'!CI14</f>
        <v>2743246.35</v>
      </c>
      <c r="CK46" s="48">
        <f>'Evolutitve SCI'!CJ14</f>
        <v>4193684.68</v>
      </c>
      <c r="CL46" s="48">
        <f>'Evolutitve SCI'!CK14</f>
        <v>6464187.7800000003</v>
      </c>
      <c r="CM46" s="48">
        <f>'Evolutitve SCI'!CL14</f>
        <v>6464187.7800000003</v>
      </c>
      <c r="CN46" s="48">
        <f>'Evolutitve SCI'!CM14</f>
        <v>7537862.4400000004</v>
      </c>
      <c r="CO46" s="48">
        <f>'Evolutitve SCI'!CN14</f>
        <v>7537862.4400000004</v>
      </c>
      <c r="CP46" s="48">
        <f>'Evolutitve SCI'!CO14</f>
        <v>7537862.4400000004</v>
      </c>
      <c r="CQ46" s="48">
        <f>'Evolutitve SCI'!CP14</f>
        <v>11578288.51</v>
      </c>
      <c r="CR46" s="48">
        <f>'Evolutitve SCI'!CQ14</f>
        <v>12542214.74</v>
      </c>
      <c r="CS46" s="48">
        <f>'Evolutitve SCI'!CR14</f>
        <v>4518352.2300000004</v>
      </c>
      <c r="CT46" s="48">
        <f>'Evolutitve SCI'!CS14</f>
        <v>0</v>
      </c>
    </row>
    <row r="47" spans="1:98" x14ac:dyDescent="0.3">
      <c r="A47" s="25">
        <v>10.4</v>
      </c>
      <c r="B47" s="25" t="s">
        <v>228</v>
      </c>
      <c r="C47" s="48">
        <f>'Evolutitve SCI'!B23</f>
        <v>42192109.980000004</v>
      </c>
      <c r="D47" s="48">
        <f>'Evolutitve SCI'!C23</f>
        <v>50352376.18</v>
      </c>
      <c r="E47" s="48">
        <f>'Evolutitve SCI'!D23</f>
        <v>46898867.969999999</v>
      </c>
      <c r="F47" s="48">
        <f>'Evolutitve SCI'!E23</f>
        <v>3593615.84</v>
      </c>
      <c r="G47" s="48">
        <f>'Evolutitve SCI'!F23</f>
        <v>3444299.5</v>
      </c>
      <c r="H47" s="48">
        <f>'Evolutitve SCI'!G23</f>
        <v>7237235.5</v>
      </c>
      <c r="I47" s="48">
        <f>'Evolutitve SCI'!H23</f>
        <v>10991923.199999999</v>
      </c>
      <c r="J47" s="48">
        <f>'Evolutitve SCI'!I23</f>
        <v>29291642</v>
      </c>
      <c r="K47" s="48">
        <f>'Evolutitve SCI'!J23</f>
        <v>17835938</v>
      </c>
      <c r="L47" s="48">
        <f>'Evolutitve SCI'!K23</f>
        <v>21505445</v>
      </c>
      <c r="M47" s="48">
        <f>'Evolutitve SCI'!L23</f>
        <v>25960350</v>
      </c>
      <c r="N47" s="48">
        <f>'Evolutitve SCI'!M23</f>
        <v>89105856</v>
      </c>
      <c r="O47" s="48">
        <f>'Evolutitve SCI'!N23</f>
        <v>34094122</v>
      </c>
      <c r="P47" s="48">
        <f>'Evolutitve SCI'!O23</f>
        <v>46492920.780000001</v>
      </c>
      <c r="Q47" s="48">
        <f>'Evolutitve SCI'!P23</f>
        <v>103951851.56</v>
      </c>
      <c r="R47" s="48">
        <f>'Evolutitve SCI'!Q23</f>
        <v>60038750.75</v>
      </c>
      <c r="S47" s="48">
        <f>'Evolutitve SCI'!R23</f>
        <v>59880702.75</v>
      </c>
      <c r="T47" s="48">
        <f>'Evolutitve SCI'!S23</f>
        <v>7775980.7000000002</v>
      </c>
      <c r="U47" s="48">
        <f>'Evolutitve SCI'!T23</f>
        <v>8007522.9500000002</v>
      </c>
      <c r="V47" s="48">
        <f>'Evolutitve SCI'!U23</f>
        <v>24550677.300000001</v>
      </c>
      <c r="W47" s="48">
        <f>'Evolutitve SCI'!V23</f>
        <v>16389909.1</v>
      </c>
      <c r="X47" s="48">
        <f>'Evolutitve SCI'!W23</f>
        <v>20914320.100000001</v>
      </c>
      <c r="Y47" s="48">
        <f>'Evolutitve SCI'!X23</f>
        <v>37873841.700000003</v>
      </c>
      <c r="Z47" s="48">
        <f>'Evolutitve SCI'!Y23</f>
        <v>129797621.84999999</v>
      </c>
      <c r="AA47" s="48">
        <f>'Evolutitve SCI'!Z23</f>
        <v>96385427.900000006</v>
      </c>
      <c r="AB47" s="48">
        <f>'Evolutitve SCI'!AA23</f>
        <v>262530213.5</v>
      </c>
      <c r="AC47" s="48">
        <f>'Evolutitve SCI'!AB23</f>
        <v>112890595.8</v>
      </c>
      <c r="AD47" s="48">
        <f>'Evolutitve SCI'!AC23</f>
        <v>188532817.41</v>
      </c>
      <c r="AE47" s="48">
        <f>'Evolutitve SCI'!AD23</f>
        <v>56863342.5</v>
      </c>
      <c r="AF47" s="48">
        <f>'Evolutitve SCI'!AE23</f>
        <v>56822342.450000003</v>
      </c>
      <c r="AG47" s="48">
        <f>'Evolutitve SCI'!AF23</f>
        <v>4256171.25</v>
      </c>
      <c r="AH47" s="48">
        <f>'Evolutitve SCI'!AG23</f>
        <v>9127988.25</v>
      </c>
      <c r="AI47" s="48">
        <f>'Evolutitve SCI'!AH23</f>
        <v>13894432.890000001</v>
      </c>
      <c r="AJ47" s="48">
        <f>'Evolutitve SCI'!AI23</f>
        <v>20442947.640000001</v>
      </c>
      <c r="AK47" s="48">
        <f>'Evolutitve SCI'!AJ23</f>
        <v>24343591.640000001</v>
      </c>
      <c r="AL47" s="48">
        <f>'Evolutitve SCI'!AK23</f>
        <v>32608157.640000001</v>
      </c>
      <c r="AM47" s="48">
        <f>'Evolutitve SCI'!AL23</f>
        <v>32608157.640000001</v>
      </c>
      <c r="AN47" s="48">
        <f>'Evolutitve SCI'!AM23</f>
        <v>46743661.399999999</v>
      </c>
      <c r="AO47" s="48">
        <f>'Evolutitve SCI'!AN23</f>
        <v>51545444.399999999</v>
      </c>
      <c r="AP47" s="48">
        <f>'Evolutitve SCI'!AO23</f>
        <v>56336543.399999999</v>
      </c>
      <c r="AQ47" s="48">
        <f>'Evolutitve SCI'!AP23</f>
        <v>62168242.399999999</v>
      </c>
      <c r="AR47" s="48">
        <f>'Evolutitve SCI'!AQ23</f>
        <v>68633234.800000012</v>
      </c>
      <c r="AS47" s="48">
        <f>'Evolutitve SCI'!AR23</f>
        <v>73514316.710000008</v>
      </c>
      <c r="AT47" s="48">
        <f>'Evolutitve SCI'!AS23</f>
        <v>7174029.9100000001</v>
      </c>
      <c r="AU47" s="48">
        <f>'Evolutitve SCI'!AT23</f>
        <v>11972530.08</v>
      </c>
      <c r="AV47" s="48">
        <f>'Evolutitve SCI'!AU23</f>
        <v>19768729</v>
      </c>
      <c r="AW47" s="48">
        <f>'Evolutitve SCI'!AV23</f>
        <v>23998711.800000001</v>
      </c>
      <c r="AX47" s="48">
        <f>'Evolutitve SCI'!AW23</f>
        <v>29444677.5</v>
      </c>
      <c r="AY47" s="48">
        <f>'Evolutitve SCI'!AX23</f>
        <v>35058188.5</v>
      </c>
      <c r="AZ47" s="48">
        <f>'Evolutitve SCI'!AY23</f>
        <v>41084122.600000001</v>
      </c>
      <c r="BA47" s="48">
        <f>'Evolutitve SCI'!AZ23</f>
        <v>46930652.5</v>
      </c>
      <c r="BB47" s="48">
        <f>'Evolutitve SCI'!BA23</f>
        <v>53818725</v>
      </c>
      <c r="BC47" s="48">
        <f>'Evolutitve SCI'!BB23</f>
        <v>62628615.399999999</v>
      </c>
      <c r="BD47" s="48">
        <f>'Evolutitve SCI'!BC23</f>
        <v>69237581.400000006</v>
      </c>
      <c r="BE47" s="48">
        <f>'Evolutitve SCI'!BD23</f>
        <v>80128202.879999995</v>
      </c>
      <c r="BF47" s="48">
        <f>'Evolutitve SCI'!BE23</f>
        <v>0</v>
      </c>
      <c r="BG47" s="48">
        <f>'Evolutitve SCI'!BF23</f>
        <v>4745358</v>
      </c>
      <c r="BH47" s="48">
        <f>'Evolutitve SCI'!BG23</f>
        <v>10897580</v>
      </c>
      <c r="BI47" s="48">
        <f>'Evolutitve SCI'!BH23</f>
        <v>17608570</v>
      </c>
      <c r="BJ47" s="48">
        <f>'Evolutitve SCI'!BI23</f>
        <v>23558872.760000002</v>
      </c>
      <c r="BK47" s="48">
        <f>'Evolutitve SCI'!BJ23</f>
        <v>32720709.27</v>
      </c>
      <c r="BL47" s="48">
        <f>'Evolutitve SCI'!BK23</f>
        <v>38719847.399999999</v>
      </c>
      <c r="BM47" s="48">
        <f>'Evolutitve SCI'!BL23</f>
        <v>0</v>
      </c>
      <c r="BN47" s="48">
        <f>'Evolutitve SCI'!BM23</f>
        <v>151131790.19999999</v>
      </c>
      <c r="BO47" s="48">
        <f>'Evolutitve SCI'!BN23</f>
        <v>58233236.399999999</v>
      </c>
      <c r="BP47" s="48">
        <f>'Evolutitve SCI'!BO23</f>
        <v>63416067.270000003</v>
      </c>
      <c r="BQ47" s="48">
        <f>'Evolutitve SCI'!BP23</f>
        <v>147641870</v>
      </c>
      <c r="BR47" s="48">
        <f>'Evolutitve SCI'!BQ23</f>
        <v>78855519.319999993</v>
      </c>
      <c r="BS47" s="48">
        <f>'Evolutitve SCI'!BR23</f>
        <v>82030985.979999989</v>
      </c>
      <c r="BT47" s="48">
        <f>'Evolutitve SCI'!BS23</f>
        <v>4593989</v>
      </c>
      <c r="BU47" s="48">
        <f>'Evolutitve SCI'!BT23</f>
        <v>14196043.9</v>
      </c>
      <c r="BV47" s="48">
        <f>'Evolutitve SCI'!BU23</f>
        <v>18079737.800000001</v>
      </c>
      <c r="BW47" s="48">
        <f>'Evolutitve SCI'!BV23</f>
        <v>36984875.870000005</v>
      </c>
      <c r="BX47" s="48">
        <f>'Evolutitve SCI'!BW23</f>
        <v>41989074.420000002</v>
      </c>
      <c r="BY47" s="48">
        <f>'Evolutitve SCI'!BX23</f>
        <v>46786654.599999994</v>
      </c>
      <c r="BZ47" s="48">
        <f>'Evolutitve SCI'!BY23</f>
        <v>52163965.159999996</v>
      </c>
      <c r="CA47" s="48">
        <f>'Evolutitve SCI'!BZ23</f>
        <v>0</v>
      </c>
      <c r="CB47" s="48">
        <f>'Evolutitve SCI'!CA23</f>
        <v>0</v>
      </c>
      <c r="CC47" s="48">
        <f>'Evolutitve SCI'!CB23</f>
        <v>0</v>
      </c>
      <c r="CD47" s="48">
        <f>'Evolutitve SCI'!CC23</f>
        <v>0</v>
      </c>
      <c r="CE47" s="48">
        <f>'Evolutitve SCI'!CD23</f>
        <v>0</v>
      </c>
      <c r="CF47" s="48">
        <f>'Evolutitve SCI'!CE23</f>
        <v>76776596.400000006</v>
      </c>
      <c r="CG47" s="48">
        <f>'Evolutitve SCI'!CF23</f>
        <v>4351553.92</v>
      </c>
      <c r="CH47" s="48">
        <f>'Evolutitve SCI'!CG23</f>
        <v>10833409.77</v>
      </c>
      <c r="CI47" s="48">
        <f>'Evolutitve SCI'!CH23</f>
        <v>18062282.240000002</v>
      </c>
      <c r="CJ47" s="48">
        <f>'Evolutitve SCI'!CI23</f>
        <v>21773321.91</v>
      </c>
      <c r="CK47" s="48">
        <f>'Evolutitve SCI'!CJ23</f>
        <v>27924341.219999999</v>
      </c>
      <c r="CL47" s="48">
        <f>'Evolutitve SCI'!CK23</f>
        <v>43030721.420000002</v>
      </c>
      <c r="CM47" s="48">
        <f>'Evolutitve SCI'!CL23</f>
        <v>47283653.799999997</v>
      </c>
      <c r="CN47" s="48">
        <f>'Evolutitve SCI'!CM23</f>
        <v>53219242.560000002</v>
      </c>
      <c r="CO47" s="48">
        <f>'Evolutitve SCI'!CN23</f>
        <v>57927679.329999998</v>
      </c>
      <c r="CP47" s="48">
        <f>'Evolutitve SCI'!CO23</f>
        <v>63830654.409999996</v>
      </c>
      <c r="CQ47" s="48">
        <f>'Evolutitve SCI'!CP23</f>
        <v>72231248.329999998</v>
      </c>
      <c r="CR47" s="48">
        <f>'Evolutitve SCI'!CQ23</f>
        <v>79452584.530000001</v>
      </c>
      <c r="CS47" s="48">
        <f>'Evolutitve SCI'!CR23</f>
        <v>80969085.120000005</v>
      </c>
      <c r="CT47" s="48">
        <f>'Evolutitve SCI'!CS23</f>
        <v>5579654.3799999999</v>
      </c>
    </row>
    <row r="49" spans="91:91" x14ac:dyDescent="0.3">
      <c r="CM49" s="34">
        <f>CM44/'Evolutive SFP'!CL30</f>
        <v>2.0555369434068122E-2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8"/>
  <sheetViews>
    <sheetView workbookViewId="0">
      <selection activeCell="F18" sqref="F18"/>
    </sheetView>
  </sheetViews>
  <sheetFormatPr defaultRowHeight="14.4" x14ac:dyDescent="0.3"/>
  <cols>
    <col min="1" max="1" width="27.109375" customWidth="1"/>
    <col min="2" max="2" width="42.33203125" customWidth="1"/>
    <col min="3" max="3" width="16.33203125" bestFit="1" customWidth="1"/>
  </cols>
  <sheetData>
    <row r="2" spans="1:3" ht="15" thickBot="1" x14ac:dyDescent="0.35">
      <c r="B2" s="19" t="s">
        <v>229</v>
      </c>
    </row>
    <row r="3" spans="1:3" ht="15.6" x14ac:dyDescent="0.3">
      <c r="A3" s="186" t="s">
        <v>230</v>
      </c>
      <c r="B3" s="187" t="s">
        <v>231</v>
      </c>
      <c r="C3" s="188">
        <v>183567000</v>
      </c>
    </row>
    <row r="4" spans="1:3" ht="15.6" x14ac:dyDescent="0.3">
      <c r="A4" s="189"/>
      <c r="B4" s="190" t="s">
        <v>232</v>
      </c>
      <c r="C4" s="191">
        <v>45506.25</v>
      </c>
    </row>
    <row r="5" spans="1:3" ht="15.6" x14ac:dyDescent="0.3">
      <c r="A5" s="189"/>
      <c r="B5" s="190" t="s">
        <v>233</v>
      </c>
      <c r="C5" s="191">
        <v>2812</v>
      </c>
    </row>
    <row r="6" spans="1:3" ht="15.6" x14ac:dyDescent="0.3">
      <c r="A6" s="189"/>
      <c r="B6" s="190" t="s">
        <v>234</v>
      </c>
      <c r="C6" s="191">
        <v>368655.65</v>
      </c>
    </row>
    <row r="7" spans="1:3" ht="15.6" x14ac:dyDescent="0.3">
      <c r="A7" s="189" t="s">
        <v>235</v>
      </c>
      <c r="B7" s="192"/>
      <c r="C7" s="191">
        <f>SUM(C3:C6)</f>
        <v>183983973.90000001</v>
      </c>
    </row>
    <row r="8" spans="1:3" ht="15.6" x14ac:dyDescent="0.3">
      <c r="A8" s="189" t="s">
        <v>236</v>
      </c>
      <c r="B8" s="190" t="s">
        <v>237</v>
      </c>
      <c r="C8" s="191">
        <v>51000</v>
      </c>
    </row>
    <row r="9" spans="1:3" ht="15.6" x14ac:dyDescent="0.3">
      <c r="A9" s="189"/>
      <c r="B9" s="192" t="s">
        <v>238</v>
      </c>
      <c r="C9" s="191">
        <v>115000</v>
      </c>
    </row>
    <row r="10" spans="1:3" ht="15.6" x14ac:dyDescent="0.3">
      <c r="A10" s="189"/>
      <c r="B10" s="190" t="s">
        <v>239</v>
      </c>
      <c r="C10" s="191">
        <v>12500</v>
      </c>
    </row>
    <row r="11" spans="1:3" ht="15.6" x14ac:dyDescent="0.3">
      <c r="A11" s="189" t="s">
        <v>235</v>
      </c>
      <c r="B11" s="192"/>
      <c r="C11" s="191">
        <f>SUM(C8:C10)</f>
        <v>178500</v>
      </c>
    </row>
    <row r="12" spans="1:3" ht="15.6" x14ac:dyDescent="0.3">
      <c r="A12" s="193"/>
      <c r="B12" s="194"/>
      <c r="C12" s="195"/>
    </row>
    <row r="13" spans="1:3" ht="16.2" thickBot="1" x14ac:dyDescent="0.35">
      <c r="A13" s="196" t="s">
        <v>240</v>
      </c>
      <c r="B13" s="197"/>
      <c r="C13" s="198">
        <f>C7+C11</f>
        <v>184162473.90000001</v>
      </c>
    </row>
    <row r="17" spans="3:3" x14ac:dyDescent="0.3">
      <c r="C17" s="34">
        <f>C4+C5</f>
        <v>48318.25</v>
      </c>
    </row>
    <row r="18" spans="3:3" x14ac:dyDescent="0.3">
      <c r="C18" s="34">
        <f>C13-C17</f>
        <v>184114155.65000001</v>
      </c>
    </row>
  </sheetData>
  <hyperlinks>
    <hyperlink ref="B4" r:id="rId1" xr:uid="{00000000-0004-0000-0500-000000000000}"/>
    <hyperlink ref="B5" r:id="rId2" xr:uid="{00000000-0004-0000-0500-000001000000}"/>
    <hyperlink ref="B6" r:id="rId3" xr:uid="{00000000-0004-0000-0500-000002000000}"/>
    <hyperlink ref="B8" r:id="rId4" xr:uid="{00000000-0004-0000-0500-000003000000}"/>
    <hyperlink ref="B10" r:id="rId5" xr:uid="{00000000-0004-0000-0500-000004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6209F76A-04BD-40A2-B62A-D59033664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AAC594-9983-47E7-874D-6C3AF487F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E349C4-E6D3-46FC-A77A-30E9948F356E}">
  <ds:schemaRefs>
    <ds:schemaRef ds:uri="http://schemas.microsoft.com/office/2006/metadata/properties"/>
    <ds:schemaRef ds:uri="http://schemas.microsoft.com/office/infopath/2007/PartnerControls"/>
    <ds:schemaRef ds:uri="df647032-17c5-4266-af02-4596a72daf50"/>
    <ds:schemaRef ds:uri="6e3db4b3-2b3b-4352-9127-36718d9c05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CAELS (2)</vt:lpstr>
      <vt:lpstr>Evolutive SFP</vt:lpstr>
      <vt:lpstr>Evolutitve SCI</vt:lpstr>
      <vt:lpstr>FORM 4</vt:lpstr>
      <vt:lpstr>Financials</vt:lpstr>
      <vt:lpstr>Investments</vt:lpstr>
      <vt:lpstr>'CAELS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Evans Kimosop</cp:lastModifiedBy>
  <cp:revision/>
  <dcterms:created xsi:type="dcterms:W3CDTF">2012-11-01T05:11:14Z</dcterms:created>
  <dcterms:modified xsi:type="dcterms:W3CDTF">2023-03-28T09:28:00Z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2021-12-01T04:10:08Z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3ae32730-64fa-4a1a-aa54-2fa877f1a3b3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
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sodhiambo.SASRA\Desktop\"/>
    </mc:Choice>
  </mc:AlternateContent>
  <xr:revisionPtr revIDLastSave="2" documentId="13_ncr:1_{EBE26D66-0D1D-4433-8769-AB90DA9D7674}" xr6:coauthVersionLast="47" xr6:coauthVersionMax="47" xr10:uidLastSave="{55442549-9694-4161-ABB1-0DEB169EAAE2}"/>
  <bookViews>
    <workbookView xWindow="-108" yWindow="-108" windowWidth="23256" windowHeight="12576" xr2:uid="{00000000-000D-0000-FFFF-FFFF00000000}"/>
  </bookViews>
  <sheets>
    <sheet name="Balance Sheet" sheetId="1" r:id="rId1"/>
    <sheet name="InsiderLending" sheetId="6" r:id="rId2"/>
    <sheet name="Income Stat." sheetId="2" r:id="rId3"/>
    <sheet name="Form 4" sheetId="5" r:id="rId4"/>
    <sheet name="Financials" sheetId="3" r:id="rId5"/>
    <sheet name="CAEL" sheetId="4" r:id="rId6"/>
  </sheets>
  <definedNames>
    <definedName name="_xlnm._FilterDatabase" localSheetId="1" hidden="1">InsiderLending!$A$2:$M$15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P43" i="1"/>
  <c r="P41" i="1" s="1"/>
  <c r="Q43" i="1"/>
  <c r="Q41" i="1" s="1"/>
  <c r="R43" i="1"/>
  <c r="R41" i="1" s="1"/>
  <c r="S43" i="1"/>
  <c r="S41" i="1" s="1"/>
  <c r="T43" i="1"/>
  <c r="T41" i="1" s="1"/>
  <c r="U43" i="1"/>
  <c r="U41" i="1" s="1"/>
  <c r="V43" i="1"/>
  <c r="V41" i="1" s="1"/>
  <c r="W43" i="1"/>
  <c r="W41" i="1" s="1"/>
  <c r="X43" i="1"/>
  <c r="X41" i="1" s="1"/>
  <c r="Y43" i="1"/>
  <c r="Y41" i="1" s="1"/>
  <c r="Z43" i="1"/>
  <c r="Z41" i="1" s="1"/>
  <c r="AA43" i="1"/>
  <c r="AA41" i="1" s="1"/>
  <c r="AB43" i="1"/>
  <c r="AB41" i="1" s="1"/>
  <c r="AC43" i="1"/>
  <c r="AC41" i="1" s="1"/>
  <c r="AD43" i="1"/>
  <c r="AD41" i="1" s="1"/>
  <c r="AE43" i="1"/>
  <c r="AE41" i="1" s="1"/>
  <c r="AF43" i="1"/>
  <c r="AF41" i="1" s="1"/>
  <c r="P46" i="1"/>
  <c r="P44" i="1" s="1"/>
  <c r="Q46" i="1"/>
  <c r="Q44" i="1" s="1"/>
  <c r="R46" i="1"/>
  <c r="R44" i="1" s="1"/>
  <c r="S46" i="1"/>
  <c r="S44" i="1" s="1"/>
  <c r="T46" i="1"/>
  <c r="T44" i="1" s="1"/>
  <c r="U46" i="1"/>
  <c r="U44" i="1" s="1"/>
  <c r="V46" i="1"/>
  <c r="V44" i="1" s="1"/>
  <c r="W46" i="1"/>
  <c r="W44" i="1" s="1"/>
  <c r="X46" i="1"/>
  <c r="X44" i="1" s="1"/>
  <c r="Y46" i="1"/>
  <c r="Y44" i="1" s="1"/>
  <c r="Z46" i="1"/>
  <c r="Z44" i="1" s="1"/>
  <c r="AA46" i="1"/>
  <c r="AA44" i="1" s="1"/>
  <c r="AB46" i="1"/>
  <c r="AB44" i="1" s="1"/>
  <c r="AC46" i="1"/>
  <c r="AC44" i="1" s="1"/>
  <c r="AD46" i="1"/>
  <c r="AD44" i="1" s="1"/>
  <c r="AE46" i="1"/>
  <c r="AE44" i="1" s="1"/>
  <c r="AF46" i="1"/>
  <c r="AF44" i="1" s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N19" i="3"/>
  <c r="N7" i="3"/>
  <c r="N8" i="3"/>
  <c r="N9" i="3"/>
  <c r="N10" i="3"/>
  <c r="O31" i="2"/>
  <c r="O21" i="2"/>
  <c r="O8" i="2"/>
  <c r="O5" i="2"/>
  <c r="O29" i="2"/>
  <c r="O24" i="2" s="1"/>
  <c r="O14" i="2"/>
  <c r="O13" i="2" s="1"/>
  <c r="O43" i="1"/>
  <c r="O46" i="1"/>
  <c r="O20" i="1"/>
  <c r="D16" i="1"/>
  <c r="E16" i="1"/>
  <c r="F16" i="1"/>
  <c r="G16" i="1"/>
  <c r="H16" i="1"/>
  <c r="I16" i="1"/>
  <c r="J16" i="1"/>
  <c r="K16" i="1"/>
  <c r="L16" i="1"/>
  <c r="M16" i="1"/>
  <c r="N16" i="1"/>
  <c r="O16" i="1"/>
  <c r="C16" i="1"/>
  <c r="J4" i="1"/>
  <c r="K4" i="1"/>
  <c r="L4" i="1"/>
  <c r="M4" i="1"/>
  <c r="N4" i="1"/>
  <c r="O4" i="1"/>
  <c r="J8" i="1"/>
  <c r="K8" i="1"/>
  <c r="L8" i="1"/>
  <c r="M8" i="1"/>
  <c r="N8" i="1"/>
  <c r="O8" i="1"/>
  <c r="J13" i="1"/>
  <c r="K13" i="1"/>
  <c r="L13" i="1"/>
  <c r="M13" i="1"/>
  <c r="N13" i="1"/>
  <c r="O13" i="1"/>
  <c r="J20" i="1"/>
  <c r="K20" i="1"/>
  <c r="K26" i="1" s="1"/>
  <c r="L20" i="1"/>
  <c r="M20" i="1"/>
  <c r="N20" i="1"/>
  <c r="M26" i="1"/>
  <c r="J30" i="1"/>
  <c r="K30" i="1"/>
  <c r="L30" i="1"/>
  <c r="M30" i="1"/>
  <c r="N30" i="1"/>
  <c r="O30" i="1"/>
  <c r="J31" i="1"/>
  <c r="K31" i="1"/>
  <c r="L31" i="1"/>
  <c r="M31" i="1"/>
  <c r="N31" i="1"/>
  <c r="O31" i="1"/>
  <c r="N38" i="1"/>
  <c r="I41" i="1"/>
  <c r="J41" i="1"/>
  <c r="K41" i="1"/>
  <c r="L41" i="1"/>
  <c r="M41" i="1"/>
  <c r="N41" i="1"/>
  <c r="O41" i="1"/>
  <c r="I44" i="1"/>
  <c r="J44" i="1"/>
  <c r="K44" i="1"/>
  <c r="L44" i="1"/>
  <c r="L50" i="1" s="1"/>
  <c r="M44" i="1"/>
  <c r="M50" i="1" s="1"/>
  <c r="N44" i="1"/>
  <c r="O44" i="1"/>
  <c r="J50" i="1"/>
  <c r="K50" i="1"/>
  <c r="J8" i="4"/>
  <c r="J11" i="4"/>
  <c r="J15" i="4"/>
  <c r="J16" i="4"/>
  <c r="H7" i="3"/>
  <c r="H8" i="3"/>
  <c r="H9" i="3"/>
  <c r="H10" i="3"/>
  <c r="H16" i="3"/>
  <c r="H18" i="3"/>
  <c r="H19" i="3"/>
  <c r="H20" i="3"/>
  <c r="H21" i="3"/>
  <c r="H27" i="3"/>
  <c r="H28" i="3"/>
  <c r="H29" i="3"/>
  <c r="H32" i="3"/>
  <c r="H34" i="3"/>
  <c r="H35" i="3"/>
  <c r="H39" i="3"/>
  <c r="H40" i="3"/>
  <c r="H41" i="3"/>
  <c r="H42" i="3"/>
  <c r="H45" i="3"/>
  <c r="H46" i="3"/>
  <c r="H47" i="3"/>
  <c r="H48" i="3"/>
  <c r="G44" i="1"/>
  <c r="H44" i="1"/>
  <c r="G41" i="1"/>
  <c r="G50" i="1" s="1"/>
  <c r="H41" i="1"/>
  <c r="H50" i="1" s="1"/>
  <c r="G30" i="1"/>
  <c r="H30" i="1"/>
  <c r="I30" i="1"/>
  <c r="G31" i="1"/>
  <c r="H31" i="1"/>
  <c r="I31" i="1"/>
  <c r="G20" i="1"/>
  <c r="H20" i="1"/>
  <c r="I20" i="1"/>
  <c r="G13" i="1"/>
  <c r="H13" i="1"/>
  <c r="I13" i="1"/>
  <c r="H31" i="3" s="1"/>
  <c r="G8" i="1"/>
  <c r="H8" i="1"/>
  <c r="I8" i="1"/>
  <c r="H26" i="3" s="1"/>
  <c r="G4" i="1"/>
  <c r="G26" i="1" s="1"/>
  <c r="H4" i="1"/>
  <c r="H26" i="1" s="1"/>
  <c r="I19" i="4" s="1"/>
  <c r="I4" i="1"/>
  <c r="F10" i="3"/>
  <c r="G10" i="3"/>
  <c r="H19" i="4"/>
  <c r="F16" i="3"/>
  <c r="G16" i="3"/>
  <c r="F19" i="3"/>
  <c r="G19" i="3"/>
  <c r="F20" i="3"/>
  <c r="G20" i="3"/>
  <c r="F21" i="3"/>
  <c r="G21" i="3"/>
  <c r="F18" i="3"/>
  <c r="G18" i="3"/>
  <c r="G11" i="5"/>
  <c r="G12" i="5"/>
  <c r="G13" i="5"/>
  <c r="G14" i="5"/>
  <c r="G10" i="5"/>
  <c r="J17" i="4" l="1"/>
  <c r="J18" i="4"/>
  <c r="I26" i="1"/>
  <c r="J9" i="4"/>
  <c r="I38" i="1"/>
  <c r="H38" i="1"/>
  <c r="H51" i="1" s="1"/>
  <c r="G38" i="1"/>
  <c r="G51" i="1" s="1"/>
  <c r="M38" i="1"/>
  <c r="L38" i="1"/>
  <c r="K38" i="1"/>
  <c r="J38" i="1"/>
  <c r="L26" i="1"/>
  <c r="O4" i="2"/>
  <c r="O20" i="2"/>
  <c r="O30" i="2" s="1"/>
  <c r="O34" i="2" s="1"/>
  <c r="O36" i="2" s="1"/>
  <c r="O38" i="2" s="1"/>
  <c r="O38" i="1"/>
  <c r="O26" i="1"/>
  <c r="J26" i="1"/>
  <c r="N26" i="1"/>
  <c r="L51" i="1"/>
  <c r="M51" i="1"/>
  <c r="K51" i="1"/>
  <c r="J51" i="1"/>
  <c r="I50" i="1"/>
  <c r="I51" i="1" s="1"/>
  <c r="N50" i="1"/>
  <c r="N51" i="1" s="1"/>
  <c r="O50" i="1"/>
  <c r="H44" i="3"/>
  <c r="H38" i="3"/>
  <c r="H30" i="3"/>
  <c r="H25" i="3"/>
  <c r="H15" i="3"/>
  <c r="H6" i="3"/>
  <c r="B10" i="3"/>
  <c r="C10" i="3"/>
  <c r="D10" i="3"/>
  <c r="H5" i="3" l="1"/>
  <c r="J10" i="4"/>
  <c r="J19" i="4"/>
  <c r="O51" i="1"/>
  <c r="H13" i="3"/>
  <c r="J6" i="4"/>
  <c r="F4" i="1"/>
  <c r="F8" i="1"/>
  <c r="F13" i="1"/>
  <c r="F20" i="1"/>
  <c r="F26" i="1"/>
  <c r="G19" i="4" s="1"/>
  <c r="F30" i="1"/>
  <c r="F31" i="1"/>
  <c r="F38" i="1" s="1"/>
  <c r="F41" i="1"/>
  <c r="F44" i="1"/>
  <c r="J13" i="4" l="1"/>
  <c r="J14" i="4"/>
  <c r="H14" i="3"/>
  <c r="J3" i="4"/>
  <c r="J12" i="4"/>
  <c r="J4" i="4"/>
  <c r="J5" i="4"/>
  <c r="F50" i="1"/>
  <c r="F51" i="1" s="1"/>
  <c r="B16" i="3"/>
  <c r="C16" i="3"/>
  <c r="D16" i="3"/>
  <c r="B19" i="3"/>
  <c r="C19" i="3"/>
  <c r="D19" i="3"/>
  <c r="B20" i="3"/>
  <c r="C20" i="3"/>
  <c r="D20" i="3"/>
  <c r="B21" i="3"/>
  <c r="C21" i="3"/>
  <c r="D21" i="3"/>
  <c r="B7" i="3"/>
  <c r="C7" i="3"/>
  <c r="B8" i="3"/>
  <c r="C8" i="3"/>
  <c r="B9" i="3"/>
  <c r="C9" i="3"/>
  <c r="B27" i="3"/>
  <c r="C27" i="3"/>
  <c r="B28" i="3"/>
  <c r="C28" i="3"/>
  <c r="B29" i="3"/>
  <c r="C29" i="3"/>
  <c r="B32" i="3"/>
  <c r="C32" i="3"/>
  <c r="B34" i="3"/>
  <c r="C34" i="3"/>
  <c r="B35" i="3"/>
  <c r="C35" i="3"/>
  <c r="C4" i="1"/>
  <c r="D4" i="1"/>
  <c r="E4" i="1"/>
  <c r="C8" i="1"/>
  <c r="B26" i="3" s="1"/>
  <c r="D8" i="1"/>
  <c r="C26" i="3" s="1"/>
  <c r="E8" i="1"/>
  <c r="C13" i="1"/>
  <c r="B31" i="3" s="1"/>
  <c r="D13" i="1"/>
  <c r="C31" i="3" s="1"/>
  <c r="E13" i="1"/>
  <c r="C20" i="1"/>
  <c r="D20" i="1"/>
  <c r="E20" i="1"/>
  <c r="C26" i="1"/>
  <c r="D26" i="1"/>
  <c r="C30" i="1"/>
  <c r="D30" i="1"/>
  <c r="E30" i="1"/>
  <c r="C31" i="1"/>
  <c r="C38" i="1" s="1"/>
  <c r="D31" i="1"/>
  <c r="E31" i="1"/>
  <c r="D38" i="1"/>
  <c r="C41" i="1"/>
  <c r="B18" i="3" s="1"/>
  <c r="D41" i="1"/>
  <c r="C18" i="3" s="1"/>
  <c r="C15" i="3" s="1"/>
  <c r="E41" i="1"/>
  <c r="D18" i="3" s="1"/>
  <c r="C44" i="1"/>
  <c r="C50" i="1" s="1"/>
  <c r="D44" i="1"/>
  <c r="E44" i="1"/>
  <c r="C25" i="3" l="1"/>
  <c r="B25" i="3"/>
  <c r="E50" i="1"/>
  <c r="C13" i="3"/>
  <c r="E38" i="1"/>
  <c r="E19" i="4"/>
  <c r="C5" i="3"/>
  <c r="E6" i="4" s="1"/>
  <c r="D19" i="4"/>
  <c r="B5" i="3"/>
  <c r="C30" i="3"/>
  <c r="B30" i="3"/>
  <c r="C6" i="3"/>
  <c r="B6" i="3"/>
  <c r="B15" i="3"/>
  <c r="E26" i="1"/>
  <c r="F19" i="4" s="1"/>
  <c r="C51" i="1"/>
  <c r="D50" i="1"/>
  <c r="D51" i="1" s="1"/>
  <c r="E51" i="1" l="1"/>
  <c r="B13" i="3"/>
  <c r="D6" i="4"/>
  <c r="C14" i="3"/>
  <c r="E5" i="4"/>
  <c r="E4" i="4"/>
  <c r="E3" i="4"/>
  <c r="B14" i="3" l="1"/>
  <c r="D5" i="4"/>
  <c r="D4" i="4"/>
  <c r="D3" i="4"/>
  <c r="R13" i="2"/>
  <c r="Q1" i="1"/>
  <c r="E19" i="3"/>
  <c r="I19" i="3"/>
  <c r="J19" i="3"/>
  <c r="K19" i="3"/>
  <c r="L19" i="3"/>
  <c r="M19" i="3"/>
  <c r="O19" i="3"/>
  <c r="E21" i="3"/>
  <c r="I21" i="3"/>
  <c r="J21" i="3"/>
  <c r="K21" i="3"/>
  <c r="L21" i="3"/>
  <c r="M21" i="3"/>
  <c r="N21" i="3"/>
  <c r="O21" i="3"/>
  <c r="E20" i="3"/>
  <c r="I20" i="3"/>
  <c r="J20" i="3"/>
  <c r="K20" i="3"/>
  <c r="L20" i="3"/>
  <c r="M20" i="3"/>
  <c r="N20" i="3"/>
  <c r="D7" i="3"/>
  <c r="E7" i="3"/>
  <c r="F7" i="3"/>
  <c r="G7" i="3"/>
  <c r="I7" i="3"/>
  <c r="J7" i="3"/>
  <c r="K7" i="3"/>
  <c r="L7" i="3"/>
  <c r="M7" i="3"/>
  <c r="O7" i="3"/>
  <c r="D8" i="3"/>
  <c r="E8" i="3"/>
  <c r="F8" i="3"/>
  <c r="G8" i="3"/>
  <c r="I8" i="3"/>
  <c r="J8" i="3"/>
  <c r="K8" i="3"/>
  <c r="L8" i="3"/>
  <c r="M8" i="3"/>
  <c r="O8" i="3"/>
  <c r="D9" i="3"/>
  <c r="E9" i="3"/>
  <c r="F9" i="3"/>
  <c r="G9" i="3"/>
  <c r="I9" i="3"/>
  <c r="J9" i="3"/>
  <c r="K9" i="3"/>
  <c r="L9" i="3"/>
  <c r="M9" i="3"/>
  <c r="O9" i="3"/>
  <c r="O5" i="3"/>
  <c r="E8" i="4"/>
  <c r="F8" i="4"/>
  <c r="G8" i="4"/>
  <c r="H8" i="4"/>
  <c r="I8" i="4"/>
  <c r="K8" i="4"/>
  <c r="L8" i="4"/>
  <c r="M8" i="4"/>
  <c r="N8" i="4"/>
  <c r="O8" i="4"/>
  <c r="P8" i="4"/>
  <c r="E11" i="4"/>
  <c r="F11" i="4"/>
  <c r="G11" i="4"/>
  <c r="H11" i="4"/>
  <c r="I11" i="4"/>
  <c r="K11" i="4"/>
  <c r="L11" i="4"/>
  <c r="M11" i="4"/>
  <c r="N11" i="4"/>
  <c r="O11" i="4"/>
  <c r="P11" i="4"/>
  <c r="E15" i="4"/>
  <c r="F15" i="4"/>
  <c r="G15" i="4"/>
  <c r="H15" i="4"/>
  <c r="I15" i="4"/>
  <c r="K15" i="4"/>
  <c r="L15" i="4"/>
  <c r="M15" i="4"/>
  <c r="N15" i="4"/>
  <c r="O15" i="4"/>
  <c r="P15" i="4"/>
  <c r="E16" i="4"/>
  <c r="F16" i="4"/>
  <c r="G16" i="4"/>
  <c r="H16" i="4"/>
  <c r="I16" i="4"/>
  <c r="K16" i="4"/>
  <c r="L16" i="4"/>
  <c r="M16" i="4"/>
  <c r="N16" i="4"/>
  <c r="O16" i="4"/>
  <c r="P16" i="4"/>
  <c r="Q3" i="4"/>
  <c r="R3" i="4"/>
  <c r="S3" i="4"/>
  <c r="T3" i="4"/>
  <c r="O10" i="3"/>
  <c r="O16" i="3"/>
  <c r="O18" i="3"/>
  <c r="O20" i="3"/>
  <c r="O26" i="3"/>
  <c r="O27" i="3"/>
  <c r="O28" i="3"/>
  <c r="O29" i="3"/>
  <c r="O31" i="3"/>
  <c r="O32" i="3"/>
  <c r="O34" i="3"/>
  <c r="O35" i="3"/>
  <c r="O39" i="3"/>
  <c r="O40" i="3"/>
  <c r="O41" i="3"/>
  <c r="O42" i="3"/>
  <c r="O45" i="3"/>
  <c r="O46" i="3"/>
  <c r="O47" i="3"/>
  <c r="O48" i="3"/>
  <c r="M10" i="3"/>
  <c r="M16" i="3"/>
  <c r="N16" i="3"/>
  <c r="M27" i="3"/>
  <c r="N27" i="3"/>
  <c r="M28" i="3"/>
  <c r="N28" i="3"/>
  <c r="M29" i="3"/>
  <c r="N29" i="3"/>
  <c r="M32" i="3"/>
  <c r="N32" i="3"/>
  <c r="M34" i="3"/>
  <c r="N34" i="3"/>
  <c r="M35" i="3"/>
  <c r="N35" i="3"/>
  <c r="M39" i="3"/>
  <c r="N39" i="3"/>
  <c r="M40" i="3"/>
  <c r="N40" i="3"/>
  <c r="M41" i="3"/>
  <c r="N41" i="3"/>
  <c r="M42" i="3"/>
  <c r="N42" i="3"/>
  <c r="M45" i="3"/>
  <c r="N45" i="3"/>
  <c r="M46" i="3"/>
  <c r="N46" i="3"/>
  <c r="M47" i="3"/>
  <c r="N47" i="3"/>
  <c r="M48" i="3"/>
  <c r="N48" i="3"/>
  <c r="E10" i="3"/>
  <c r="I10" i="3"/>
  <c r="J10" i="3"/>
  <c r="K10" i="3"/>
  <c r="L10" i="3"/>
  <c r="E16" i="3"/>
  <c r="I16" i="3"/>
  <c r="J16" i="3"/>
  <c r="K16" i="3"/>
  <c r="L16" i="3"/>
  <c r="D27" i="3"/>
  <c r="E27" i="3"/>
  <c r="F27" i="3"/>
  <c r="G27" i="3"/>
  <c r="I27" i="3"/>
  <c r="J27" i="3"/>
  <c r="K27" i="3"/>
  <c r="L27" i="3"/>
  <c r="D28" i="3"/>
  <c r="E28" i="3"/>
  <c r="F28" i="3"/>
  <c r="G28" i="3"/>
  <c r="I28" i="3"/>
  <c r="J28" i="3"/>
  <c r="K28" i="3"/>
  <c r="L28" i="3"/>
  <c r="D29" i="3"/>
  <c r="E29" i="3"/>
  <c r="F29" i="3"/>
  <c r="G29" i="3"/>
  <c r="I29" i="3"/>
  <c r="J29" i="3"/>
  <c r="K29" i="3"/>
  <c r="L29" i="3"/>
  <c r="D32" i="3"/>
  <c r="E32" i="3"/>
  <c r="F32" i="3"/>
  <c r="G32" i="3"/>
  <c r="I32" i="3"/>
  <c r="J32" i="3"/>
  <c r="K32" i="3"/>
  <c r="L32" i="3"/>
  <c r="D34" i="3"/>
  <c r="E34" i="3"/>
  <c r="F34" i="3"/>
  <c r="G34" i="3"/>
  <c r="I34" i="3"/>
  <c r="J34" i="3"/>
  <c r="K34" i="3"/>
  <c r="L34" i="3"/>
  <c r="D35" i="3"/>
  <c r="E35" i="3"/>
  <c r="F35" i="3"/>
  <c r="G35" i="3"/>
  <c r="I35" i="3"/>
  <c r="J35" i="3"/>
  <c r="K35" i="3"/>
  <c r="L35" i="3"/>
  <c r="C39" i="3"/>
  <c r="D39" i="3"/>
  <c r="E39" i="3"/>
  <c r="F39" i="3"/>
  <c r="G39" i="3"/>
  <c r="I39" i="3"/>
  <c r="J39" i="3"/>
  <c r="K39" i="3"/>
  <c r="L39" i="3"/>
  <c r="C40" i="3"/>
  <c r="D40" i="3"/>
  <c r="E40" i="3"/>
  <c r="F40" i="3"/>
  <c r="G40" i="3"/>
  <c r="I40" i="3"/>
  <c r="J40" i="3"/>
  <c r="K40" i="3"/>
  <c r="L40" i="3"/>
  <c r="C41" i="3"/>
  <c r="D41" i="3"/>
  <c r="E41" i="3"/>
  <c r="F41" i="3"/>
  <c r="G41" i="3"/>
  <c r="I41" i="3"/>
  <c r="J41" i="3"/>
  <c r="K41" i="3"/>
  <c r="L41" i="3"/>
  <c r="C42" i="3"/>
  <c r="D42" i="3"/>
  <c r="E42" i="3"/>
  <c r="F42" i="3"/>
  <c r="G42" i="3"/>
  <c r="I42" i="3"/>
  <c r="J42" i="3"/>
  <c r="K42" i="3"/>
  <c r="L42" i="3"/>
  <c r="C45" i="3"/>
  <c r="D45" i="3"/>
  <c r="E45" i="3"/>
  <c r="F45" i="3"/>
  <c r="G45" i="3"/>
  <c r="I45" i="3"/>
  <c r="J45" i="3"/>
  <c r="K45" i="3"/>
  <c r="L45" i="3"/>
  <c r="C46" i="3"/>
  <c r="D46" i="3"/>
  <c r="E46" i="3"/>
  <c r="F46" i="3"/>
  <c r="G46" i="3"/>
  <c r="I46" i="3"/>
  <c r="J46" i="3"/>
  <c r="K46" i="3"/>
  <c r="L46" i="3"/>
  <c r="C47" i="3"/>
  <c r="D47" i="3"/>
  <c r="E47" i="3"/>
  <c r="F47" i="3"/>
  <c r="G47" i="3"/>
  <c r="I47" i="3"/>
  <c r="J47" i="3"/>
  <c r="K47" i="3"/>
  <c r="L47" i="3"/>
  <c r="C48" i="3"/>
  <c r="D48" i="3"/>
  <c r="E48" i="3"/>
  <c r="F48" i="3"/>
  <c r="G48" i="3"/>
  <c r="I48" i="3"/>
  <c r="J48" i="3"/>
  <c r="K48" i="3"/>
  <c r="L48" i="3"/>
  <c r="I18" i="3"/>
  <c r="J18" i="3"/>
  <c r="L18" i="3"/>
  <c r="M18" i="3"/>
  <c r="D31" i="3"/>
  <c r="E31" i="3"/>
  <c r="F31" i="3"/>
  <c r="G31" i="3"/>
  <c r="I31" i="3"/>
  <c r="J31" i="3"/>
  <c r="K31" i="3"/>
  <c r="L31" i="3"/>
  <c r="M31" i="3"/>
  <c r="D26" i="3"/>
  <c r="E26" i="3"/>
  <c r="F26" i="3"/>
  <c r="G26" i="3"/>
  <c r="I26" i="3"/>
  <c r="J26" i="3"/>
  <c r="K26" i="3"/>
  <c r="L26" i="3"/>
  <c r="M26" i="3"/>
  <c r="E18" i="4"/>
  <c r="F18" i="4"/>
  <c r="K17" i="4"/>
  <c r="N17" i="4"/>
  <c r="O18" i="4"/>
  <c r="N18" i="3"/>
  <c r="N31" i="3"/>
  <c r="N26" i="3"/>
  <c r="P17" i="4"/>
  <c r="L6" i="3" l="1"/>
  <c r="K6" i="3"/>
  <c r="K30" i="3"/>
  <c r="M25" i="3"/>
  <c r="I30" i="3"/>
  <c r="M30" i="3"/>
  <c r="F30" i="3"/>
  <c r="E25" i="3"/>
  <c r="J30" i="3"/>
  <c r="N44" i="3"/>
  <c r="G38" i="3"/>
  <c r="M44" i="3"/>
  <c r="I6" i="3"/>
  <c r="G25" i="3"/>
  <c r="J5" i="3"/>
  <c r="I25" i="3"/>
  <c r="D25" i="3"/>
  <c r="L30" i="3"/>
  <c r="G30" i="3"/>
  <c r="N18" i="4"/>
  <c r="N25" i="3"/>
  <c r="F25" i="3"/>
  <c r="E6" i="3"/>
  <c r="E10" i="4"/>
  <c r="M9" i="4"/>
  <c r="H10" i="4"/>
  <c r="N19" i="4"/>
  <c r="O17" i="4"/>
  <c r="G6" i="3"/>
  <c r="D15" i="3"/>
  <c r="O30" i="3"/>
  <c r="O25" i="3"/>
  <c r="M18" i="4"/>
  <c r="O6" i="3"/>
  <c r="F6" i="3"/>
  <c r="D9" i="4"/>
  <c r="K9" i="4"/>
  <c r="P18" i="4"/>
  <c r="L18" i="4"/>
  <c r="M17" i="4"/>
  <c r="F15" i="3"/>
  <c r="F13" i="3" s="1"/>
  <c r="H3" i="4" s="1"/>
  <c r="I10" i="4"/>
  <c r="E30" i="3"/>
  <c r="M5" i="3"/>
  <c r="O13" i="4" s="1"/>
  <c r="L17" i="4"/>
  <c r="E18" i="3"/>
  <c r="E15" i="3" s="1"/>
  <c r="E13" i="3" s="1"/>
  <c r="M38" i="3"/>
  <c r="L44" i="3"/>
  <c r="J38" i="3"/>
  <c r="K38" i="3"/>
  <c r="D30" i="3"/>
  <c r="G9" i="4"/>
  <c r="G10" i="4"/>
  <c r="E5" i="3"/>
  <c r="G13" i="4" s="1"/>
  <c r="I15" i="3"/>
  <c r="I13" i="3" s="1"/>
  <c r="K12" i="4" s="1"/>
  <c r="I18" i="4"/>
  <c r="H17" i="4"/>
  <c r="M6" i="3"/>
  <c r="D10" i="4"/>
  <c r="N30" i="3"/>
  <c r="H18" i="4"/>
  <c r="G17" i="4"/>
  <c r="J25" i="3"/>
  <c r="F10" i="4"/>
  <c r="K18" i="4"/>
  <c r="I17" i="4"/>
  <c r="D5" i="3"/>
  <c r="F14" i="4" s="1"/>
  <c r="N6" i="3"/>
  <c r="L25" i="3"/>
  <c r="G18" i="4"/>
  <c r="F17" i="4"/>
  <c r="K18" i="3"/>
  <c r="K15" i="3" s="1"/>
  <c r="K13" i="3" s="1"/>
  <c r="K25" i="3"/>
  <c r="E17" i="4"/>
  <c r="J6" i="3"/>
  <c r="L15" i="3"/>
  <c r="L13" i="3" s="1"/>
  <c r="N10" i="4"/>
  <c r="D6" i="3"/>
  <c r="P9" i="4"/>
  <c r="L5" i="3"/>
  <c r="E44" i="3"/>
  <c r="G44" i="3"/>
  <c r="D44" i="3"/>
  <c r="O38" i="3"/>
  <c r="F44" i="3"/>
  <c r="C44" i="3"/>
  <c r="N38" i="3"/>
  <c r="I44" i="3"/>
  <c r="L38" i="3"/>
  <c r="K44" i="3"/>
  <c r="J44" i="3"/>
  <c r="D38" i="3"/>
  <c r="F38" i="3"/>
  <c r="C38" i="3"/>
  <c r="E38" i="3"/>
  <c r="I38" i="3"/>
  <c r="O44" i="3"/>
  <c r="O15" i="3"/>
  <c r="N15" i="3"/>
  <c r="N13" i="3" s="1"/>
  <c r="G15" i="3"/>
  <c r="G13" i="3" s="1"/>
  <c r="M15" i="3"/>
  <c r="M13" i="3" s="1"/>
  <c r="J15" i="3"/>
  <c r="D17" i="4"/>
  <c r="B47" i="3"/>
  <c r="B46" i="3"/>
  <c r="B45" i="3"/>
  <c r="B42" i="3"/>
  <c r="B40" i="3"/>
  <c r="B39" i="3"/>
  <c r="D13" i="3" l="1"/>
  <c r="F12" i="4" s="1"/>
  <c r="F6" i="4"/>
  <c r="K5" i="4"/>
  <c r="O19" i="4"/>
  <c r="O10" i="4"/>
  <c r="L9" i="4"/>
  <c r="K19" i="4"/>
  <c r="L10" i="4"/>
  <c r="K10" i="4"/>
  <c r="F5" i="3"/>
  <c r="H14" i="4" s="1"/>
  <c r="H9" i="4"/>
  <c r="L19" i="4"/>
  <c r="O14" i="4"/>
  <c r="I5" i="3"/>
  <c r="K4" i="4" s="1"/>
  <c r="N4" i="4"/>
  <c r="M10" i="4"/>
  <c r="G5" i="3"/>
  <c r="I6" i="4" s="1"/>
  <c r="I9" i="4"/>
  <c r="K5" i="3"/>
  <c r="M6" i="4" s="1"/>
  <c r="M19" i="4"/>
  <c r="E9" i="4"/>
  <c r="N6" i="4"/>
  <c r="N12" i="4"/>
  <c r="F9" i="4"/>
  <c r="E14" i="4"/>
  <c r="O9" i="4"/>
  <c r="N9" i="4"/>
  <c r="O6" i="4"/>
  <c r="I14" i="3"/>
  <c r="K3" i="4"/>
  <c r="G14" i="4"/>
  <c r="I3" i="4"/>
  <c r="N13" i="4"/>
  <c r="N14" i="4"/>
  <c r="P19" i="4"/>
  <c r="N5" i="3"/>
  <c r="P4" i="4" s="1"/>
  <c r="P10" i="4"/>
  <c r="N14" i="3"/>
  <c r="P3" i="4"/>
  <c r="F13" i="4"/>
  <c r="E14" i="3"/>
  <c r="G3" i="4"/>
  <c r="L14" i="3"/>
  <c r="N3" i="4"/>
  <c r="N5" i="4"/>
  <c r="L14" i="4"/>
  <c r="L13" i="4"/>
  <c r="M5" i="4"/>
  <c r="M3" i="4"/>
  <c r="O5" i="4"/>
  <c r="O3" i="4"/>
  <c r="G6" i="4"/>
  <c r="O13" i="3"/>
  <c r="P12" i="4"/>
  <c r="G12" i="4"/>
  <c r="P5" i="4"/>
  <c r="G4" i="4"/>
  <c r="G5" i="4"/>
  <c r="J13" i="3"/>
  <c r="L3" i="4" s="1"/>
  <c r="L6" i="4"/>
  <c r="K14" i="3"/>
  <c r="M12" i="4"/>
  <c r="F14" i="3"/>
  <c r="H5" i="4"/>
  <c r="H12" i="4"/>
  <c r="G14" i="3"/>
  <c r="I12" i="4"/>
  <c r="I5" i="4"/>
  <c r="M14" i="3"/>
  <c r="O12" i="4"/>
  <c r="H4" i="4"/>
  <c r="O4" i="4"/>
  <c r="D8" i="4"/>
  <c r="D14" i="3" l="1"/>
  <c r="K6" i="4"/>
  <c r="F5" i="4"/>
  <c r="F4" i="4"/>
  <c r="F3" i="4"/>
  <c r="H6" i="4"/>
  <c r="K13" i="4"/>
  <c r="K14" i="4"/>
  <c r="H13" i="4"/>
  <c r="I4" i="4"/>
  <c r="E13" i="4"/>
  <c r="M14" i="4"/>
  <c r="M13" i="4"/>
  <c r="M4" i="4"/>
  <c r="I14" i="4"/>
  <c r="I13" i="4"/>
  <c r="P13" i="4"/>
  <c r="P6" i="4"/>
  <c r="P14" i="4"/>
  <c r="O14" i="3"/>
  <c r="J14" i="3"/>
  <c r="L12" i="4"/>
  <c r="L4" i="4"/>
  <c r="L5" i="4"/>
  <c r="E12" i="4"/>
  <c r="D11" i="4"/>
  <c r="D18" i="4"/>
  <c r="B41" i="3"/>
  <c r="B38" i="3" s="1"/>
  <c r="B48" i="3" l="1"/>
  <c r="B44" i="3" s="1"/>
  <c r="D15" i="4"/>
  <c r="D13" i="4"/>
  <c r="D16" i="4"/>
  <c r="D14" i="4" l="1"/>
  <c r="D12" i="4"/>
</calcChain>
</file>

<file path=xl/sharedStrings.xml><?xml version="1.0" encoding="utf-8"?>
<sst xmlns="http://schemas.openxmlformats.org/spreadsheetml/2006/main" count="352" uniqueCount="241">
  <si>
    <t>KENYA BANKERS SACCO SOCIETY</t>
  </si>
  <si>
    <t xml:space="preserve"> STATEMENT OF FINANCIAL POSITION</t>
  </si>
  <si>
    <t>FINANCIAL YEAR  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</si>
  <si>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</si>
  <si>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</si>
  <si>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</si>
  <si>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</si>
  <si>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</si>
  <si>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</si>
  <si>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</si>
  <si>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</si>
  <si>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</si>
  <si>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</si>
  <si>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</si>
  <si>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</si>
  <si>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Aud-21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</si>
  <si>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</si>
  <si>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</si>
  <si>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</si>
  <si>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</si>
  <si>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</si>
  <si>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</si>
  <si>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</si>
  <si>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</si>
  <si>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</si>
  <si>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</si>
  <si>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</si>
  <si>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</si>
  <si>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</si>
  <si>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</si>
  <si>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</si>
  <si>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</si>
  <si>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</si>
  <si>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</si>
  <si>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</si>
  <si>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</si>
  <si>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</si>
  <si>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</si>
  <si>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</si>
  <si>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</si>
  <si>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</si>
  <si>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</si>
  <si>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</si>
  <si>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</si>
  <si>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</si>
  <si>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</si>
  <si>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</si>
  <si>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</si>
  <si>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</si>
  <si>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</si>
  <si>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</si>
  <si>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</si>
  <si>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</si>
  <si>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</si>
  <si>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</si>
  <si>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</si>
  <si>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</si>
  <si>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</si>
  <si>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</si>
  <si>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</si>
  <si>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</si>
  <si>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</si>
  <si>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</si>
  <si>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</si>
  <si>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</si>
  <si>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</si>
  <si>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n</t>
  </si>
  <si>
    <t>No.</t>
  </si>
  <si>
    <t>Name</t>
  </si>
  <si>
    <t>Designation</t>
  </si>
  <si>
    <t>Loan Type/Name</t>
  </si>
  <si>
    <t>Ref No</t>
  </si>
  <si>
    <t>Amount Granted</t>
  </si>
  <si>
    <t>Disbursement Date</t>
  </si>
  <si>
    <t>BOSA Deposits</t>
  </si>
  <si>
    <t>Security</t>
  </si>
  <si>
    <t>Repayment Commencement</t>
  </si>
  <si>
    <t>Repayment Period</t>
  </si>
  <si>
    <t>Amnt. Outstanding</t>
  </si>
  <si>
    <t>Status</t>
  </si>
  <si>
    <t>Everlyne Kavetsa</t>
  </si>
  <si>
    <t>Tea Lady</t>
  </si>
  <si>
    <t>Staff Personal Loan</t>
  </si>
  <si>
    <t>28/09/2021</t>
  </si>
  <si>
    <t>Salary</t>
  </si>
  <si>
    <t>30/10/2021</t>
  </si>
  <si>
    <t>24M</t>
  </si>
  <si>
    <t>Land Purchase Loan</t>
  </si>
  <si>
    <t>28/08/2018</t>
  </si>
  <si>
    <t>Title</t>
  </si>
  <si>
    <t>30/09/2018</t>
  </si>
  <si>
    <t>72M</t>
  </si>
  <si>
    <t>Performing</t>
  </si>
  <si>
    <t>Development Loan</t>
  </si>
  <si>
    <t>Guarantors</t>
  </si>
  <si>
    <t>30/04/2020</t>
  </si>
  <si>
    <t>48M</t>
  </si>
  <si>
    <t>Samir Makokha</t>
  </si>
  <si>
    <t>Clerk</t>
  </si>
  <si>
    <t>Education Loan</t>
  </si>
  <si>
    <t>30/09/2021</t>
  </si>
  <si>
    <t>36M</t>
  </si>
  <si>
    <t>25/06/2021</t>
  </si>
  <si>
    <t>30/07/2021</t>
  </si>
  <si>
    <t>SDevelopment Loan</t>
  </si>
  <si>
    <t>30/03/2021</t>
  </si>
  <si>
    <t>Vincent Mutambu</t>
  </si>
  <si>
    <t>Director</t>
  </si>
  <si>
    <t>Micro Loan</t>
  </si>
  <si>
    <t>27/09/2021</t>
  </si>
  <si>
    <t>Super Loan</t>
  </si>
  <si>
    <t>30/12/2021</t>
  </si>
  <si>
    <t>Getrude Wambuga</t>
  </si>
  <si>
    <t>13/11/2020</t>
  </si>
  <si>
    <t>30/12/2020</t>
  </si>
  <si>
    <t>Yvonne Muhonja</t>
  </si>
  <si>
    <t>29/09/2021</t>
  </si>
  <si>
    <t>16/07/2021</t>
  </si>
  <si>
    <t>30/08/2021</t>
  </si>
  <si>
    <t>22/12/2020</t>
  </si>
  <si>
    <t>30/01/2021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</si>
  <si>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</si>
  <si>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</si>
  <si>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</si>
  <si>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</si>
  <si>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</si>
  <si>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</si>
  <si>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</si>
  <si>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</si>
  <si>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</si>
  <si>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</si>
  <si>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</si>
  <si>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</si>
  <si>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</si>
  <si>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</si>
  <si>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</si>
  <si>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</si>
  <si>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</si>
  <si>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</si>
  <si>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</si>
  <si>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</si>
  <si>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</si>
  <si>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</si>
  <si>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</si>
  <si>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</si>
  <si>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</si>
  <si>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</si>
  <si>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</si>
  <si>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</si>
  <si>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</si>
  <si>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</si>
  <si>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</si>
  <si>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</si>
  <si>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</si>
  <si>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</si>
  <si>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</si>
  <si>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FORM 4</t>
  </si>
  <si>
    <t xml:space="preserve"> June 2021</t>
  </si>
  <si>
    <t>CLASSIFICATION</t>
  </si>
  <si>
    <t>NO. OF A/Cs</t>
  </si>
  <si>
    <t>OUTSTANDING LOAN PORTFOLIO(Kshs)</t>
  </si>
  <si>
    <t>REQUIRED PROVISION</t>
  </si>
  <si>
    <t>REQUIRED PROVISION AMOUNT(Kshs)</t>
  </si>
  <si>
    <t>Watch</t>
  </si>
  <si>
    <t>Substandard</t>
  </si>
  <si>
    <t>Doubtful</t>
  </si>
  <si>
    <t>Loss</t>
  </si>
  <si>
    <t>subtotal</t>
  </si>
  <si>
    <t xml:space="preserve">  -   </t>
  </si>
  <si>
    <t>NPL</t>
  </si>
  <si>
    <t>PAR</t>
  </si>
  <si>
    <t>KENYA BANKERS SACCO FINANCIALS</t>
  </si>
  <si>
    <t>Year/month</t>
  </si>
  <si>
    <t>Aud-20</t>
  </si>
  <si>
    <t>Membership</t>
  </si>
  <si>
    <t>Total Deposits</t>
  </si>
  <si>
    <t>Deposits-Members(BOSA)</t>
  </si>
  <si>
    <t>Deposits-Customers(FOSA)</t>
  </si>
  <si>
    <t>Deposits-Term</t>
  </si>
  <si>
    <t>External Borrowing</t>
  </si>
  <si>
    <t>Share capital and Reserves</t>
  </si>
  <si>
    <t>Core Capital</t>
  </si>
  <si>
    <t>Institutional Capital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</si>
  <si>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</si>
  <si>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</si>
  <si>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</si>
  <si>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</si>
  <si>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</si>
  <si>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</si>
  <si>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</si>
  <si>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</si>
  <si>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</si>
  <si>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</si>
  <si>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</si>
  <si>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</si>
  <si>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</si>
  <si>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</si>
  <si>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</si>
  <si>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</si>
  <si>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</si>
  <si>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</si>
  <si>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</si>
  <si>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</si>
  <si>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</si>
  <si>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</si>
  <si>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</si>
  <si>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</si>
  <si>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</si>
  <si>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</si>
  <si>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</si>
  <si>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</si>
  <si>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</si>
  <si>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KENYA BANKERS SACCO CAELS 2020</t>
  </si>
  <si>
    <t>Regulatory Stds</t>
  </si>
  <si>
    <t xml:space="preserve">Jan 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</si>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</sst>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\-??_);_(@_)"/>
    <numFmt numFmtId="166" formatCode="0.0"/>
    <numFmt numFmtId="167" formatCode="_(* #,##0_);_(* \(#,##0\);_(* &quot;-&quot;??_);_(@_)"/>
    <numFmt numFmtId="168" formatCode="[$-10409]#,##0.00;\-\ #,##0.00"/>
    <numFmt numFmtId="169" formatCode="_(* #,##0.00_);_(* \(#,##0.00\);_(* \-??_);_(@_)"/>
    <numFmt numFmtId="170" formatCode="[$-10409]0.00;\-\ 0.00"/>
    <numFmt numFmtId="171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i/>
      <sz val="10"/>
      <name val="Cambria"/>
      <family val="1"/>
    </font>
    <font>
      <b/>
      <sz val="10"/>
      <color indexed="8"/>
      <name val="Cambria"/>
      <family val="1"/>
    </font>
    <font>
      <b/>
      <sz val="11"/>
      <color theme="1"/>
      <name val="Cambria"/>
      <family val="1"/>
    </font>
    <font>
      <sz val="10"/>
      <color rgb="FF000000"/>
      <name val="Cambria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11"/>
      <color theme="1"/>
      <name val="Cambria"/>
    </font>
    <font>
      <b/>
      <sz val="11"/>
      <color theme="1"/>
      <name val="Cambria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70AD47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6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167" fontId="4" fillId="5" borderId="1" xfId="1" applyNumberFormat="1" applyFont="1" applyFill="1" applyBorder="1"/>
    <xf numFmtId="168" fontId="5" fillId="0" borderId="3" xfId="0" applyNumberFormat="1" applyFont="1" applyBorder="1" applyAlignment="1" applyProtection="1">
      <alignment vertical="top" wrapText="1" readingOrder="1"/>
      <protection locked="0"/>
    </xf>
    <xf numFmtId="0" fontId="4" fillId="0" borderId="5" xfId="0" applyFont="1" applyBorder="1"/>
    <xf numFmtId="0" fontId="3" fillId="0" borderId="4" xfId="0" applyFont="1" applyBorder="1" applyAlignment="1">
      <alignment horizontal="right"/>
    </xf>
    <xf numFmtId="165" fontId="4" fillId="5" borderId="1" xfId="5" applyNumberFormat="1" applyFont="1" applyFill="1" applyBorder="1" applyAlignment="1" applyProtection="1"/>
    <xf numFmtId="170" fontId="5" fillId="0" borderId="3" xfId="0" applyNumberFormat="1" applyFont="1" applyBorder="1" applyAlignment="1" applyProtection="1">
      <alignment vertical="top" wrapText="1" readingOrder="1"/>
      <protection locked="0"/>
    </xf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17" fontId="8" fillId="6" borderId="1" xfId="0" applyNumberFormat="1" applyFont="1" applyFill="1" applyBorder="1"/>
    <xf numFmtId="0" fontId="8" fillId="0" borderId="0" xfId="0" applyFont="1"/>
    <xf numFmtId="9" fontId="7" fillId="0" borderId="1" xfId="2" applyFont="1" applyBorder="1"/>
    <xf numFmtId="171" fontId="7" fillId="0" borderId="1" xfId="2" applyNumberFormat="1" applyFont="1" applyBorder="1"/>
    <xf numFmtId="9" fontId="7" fillId="0" borderId="1" xfId="2" applyFont="1" applyBorder="1" applyAlignme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 applyAlignment="1">
      <alignment wrapText="1"/>
    </xf>
    <xf numFmtId="0" fontId="3" fillId="0" borderId="1" xfId="0" applyFont="1" applyBorder="1"/>
    <xf numFmtId="0" fontId="4" fillId="0" borderId="6" xfId="0" applyFont="1" applyBorder="1" applyAlignment="1">
      <alignment wrapText="1"/>
    </xf>
    <xf numFmtId="43" fontId="4" fillId="7" borderId="1" xfId="1" applyFont="1" applyFill="1" applyBorder="1" applyAlignment="1" applyProtection="1"/>
    <xf numFmtId="0" fontId="3" fillId="0" borderId="6" xfId="0" applyFont="1" applyBorder="1" applyAlignment="1">
      <alignment wrapText="1"/>
    </xf>
    <xf numFmtId="43" fontId="4" fillId="9" borderId="1" xfId="1" applyFont="1" applyFill="1" applyBorder="1" applyAlignment="1"/>
    <xf numFmtId="0" fontId="3" fillId="0" borderId="6" xfId="0" applyFont="1" applyBorder="1"/>
    <xf numFmtId="43" fontId="4" fillId="5" borderId="1" xfId="1" applyFont="1" applyFill="1" applyBorder="1" applyAlignment="1" applyProtection="1"/>
    <xf numFmtId="43" fontId="3" fillId="9" borderId="1" xfId="1" applyFont="1" applyFill="1" applyBorder="1" applyAlignment="1"/>
    <xf numFmtId="0" fontId="8" fillId="0" borderId="0" xfId="161" applyFont="1"/>
    <xf numFmtId="0" fontId="8" fillId="0" borderId="2" xfId="161" applyFont="1" applyBorder="1"/>
    <xf numFmtId="43" fontId="8" fillId="0" borderId="8" xfId="162" applyFont="1" applyFill="1" applyBorder="1"/>
    <xf numFmtId="3" fontId="3" fillId="0" borderId="9" xfId="161" applyNumberFormat="1" applyFont="1" applyBorder="1"/>
    <xf numFmtId="0" fontId="3" fillId="0" borderId="9" xfId="161" applyFont="1" applyBorder="1"/>
    <xf numFmtId="43" fontId="7" fillId="2" borderId="1" xfId="1" applyFont="1" applyFill="1" applyBorder="1"/>
    <xf numFmtId="0" fontId="4" fillId="0" borderId="9" xfId="161" applyFont="1" applyBorder="1"/>
    <xf numFmtId="43" fontId="8" fillId="2" borderId="1" xfId="1" applyFont="1" applyFill="1" applyBorder="1"/>
    <xf numFmtId="0" fontId="7" fillId="0" borderId="9" xfId="161" applyFont="1" applyBorder="1"/>
    <xf numFmtId="0" fontId="8" fillId="0" borderId="9" xfId="161" applyFont="1" applyBorder="1"/>
    <xf numFmtId="9" fontId="3" fillId="0" borderId="9" xfId="163" applyFont="1" applyFill="1" applyBorder="1"/>
    <xf numFmtId="43" fontId="4" fillId="2" borderId="1" xfId="1" applyFont="1" applyFill="1" applyBorder="1"/>
    <xf numFmtId="43" fontId="3" fillId="2" borderId="1" xfId="1" applyFont="1" applyFill="1" applyBorder="1"/>
    <xf numFmtId="0" fontId="3" fillId="0" borderId="10" xfId="161" applyFont="1" applyBorder="1"/>
    <xf numFmtId="0" fontId="3" fillId="0" borderId="0" xfId="161" applyFont="1"/>
    <xf numFmtId="0" fontId="8" fillId="6" borderId="2" xfId="0" applyFont="1" applyFill="1" applyBorder="1"/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center" wrapText="1"/>
    </xf>
    <xf numFmtId="167" fontId="7" fillId="0" borderId="12" xfId="1" applyNumberFormat="1" applyFont="1" applyBorder="1"/>
    <xf numFmtId="0" fontId="7" fillId="0" borderId="15" xfId="0" applyFont="1" applyBorder="1" applyAlignment="1">
      <alignment horizontal="left" vertical="top" wrapText="1"/>
    </xf>
    <xf numFmtId="9" fontId="7" fillId="0" borderId="15" xfId="0" applyNumberFormat="1" applyFont="1" applyBorder="1" applyAlignment="1">
      <alignment horizontal="center" vertical="center" wrapText="1"/>
    </xf>
    <xf numFmtId="171" fontId="7" fillId="0" borderId="15" xfId="2" applyNumberFormat="1" applyFont="1" applyBorder="1"/>
    <xf numFmtId="0" fontId="7" fillId="0" borderId="12" xfId="0" applyFont="1" applyBorder="1"/>
    <xf numFmtId="0" fontId="7" fillId="0" borderId="15" xfId="0" applyFont="1" applyBorder="1" applyAlignment="1">
      <alignment horizontal="center" vertical="center" wrapText="1"/>
    </xf>
    <xf numFmtId="9" fontId="7" fillId="0" borderId="15" xfId="2" applyFont="1" applyBorder="1"/>
    <xf numFmtId="0" fontId="7" fillId="0" borderId="12" xfId="0" applyFont="1" applyBorder="1" applyAlignment="1">
      <alignment horizontal="center" vertical="center"/>
    </xf>
    <xf numFmtId="9" fontId="7" fillId="0" borderId="12" xfId="2" applyFont="1" applyBorder="1" applyAlignment="1"/>
    <xf numFmtId="0" fontId="7" fillId="0" borderId="15" xfId="0" applyFont="1" applyBorder="1" applyAlignment="1">
      <alignment horizontal="left" vertical="top"/>
    </xf>
    <xf numFmtId="9" fontId="7" fillId="0" borderId="12" xfId="2" applyFont="1" applyBorder="1"/>
    <xf numFmtId="0" fontId="4" fillId="0" borderId="1" xfId="0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68" fontId="5" fillId="8" borderId="3" xfId="0" applyNumberFormat="1" applyFont="1" applyFill="1" applyBorder="1" applyAlignment="1" applyProtection="1">
      <alignment vertical="top" wrapText="1" readingOrder="1"/>
      <protection locked="0"/>
    </xf>
    <xf numFmtId="0" fontId="11" fillId="3" borderId="3" xfId="0" applyFont="1" applyFill="1" applyBorder="1" applyAlignment="1" applyProtection="1">
      <alignment vertical="top" wrapText="1" readingOrder="1"/>
      <protection locked="0"/>
    </xf>
    <xf numFmtId="43" fontId="7" fillId="0" borderId="0" xfId="1" applyFont="1"/>
    <xf numFmtId="43" fontId="5" fillId="8" borderId="3" xfId="1" applyFont="1" applyFill="1" applyBorder="1" applyAlignment="1" applyProtection="1">
      <alignment vertical="top" wrapText="1" readingOrder="1"/>
      <protection locked="0"/>
    </xf>
    <xf numFmtId="43" fontId="5" fillId="0" borderId="3" xfId="1" applyFont="1" applyBorder="1" applyAlignment="1" applyProtection="1">
      <alignment vertical="top" wrapText="1" readingOrder="1"/>
      <protection locked="0"/>
    </xf>
    <xf numFmtId="0" fontId="11" fillId="3" borderId="16" xfId="0" applyFont="1" applyFill="1" applyBorder="1" applyAlignment="1" applyProtection="1">
      <alignment vertical="top" wrapText="1" readingOrder="1"/>
      <protection locked="0"/>
    </xf>
    <xf numFmtId="164" fontId="7" fillId="0" borderId="0" xfId="0" applyNumberFormat="1" applyFont="1"/>
    <xf numFmtId="0" fontId="12" fillId="0" borderId="0" xfId="0" applyFont="1"/>
    <xf numFmtId="4" fontId="9" fillId="0" borderId="0" xfId="0" applyNumberFormat="1" applyFont="1"/>
    <xf numFmtId="9" fontId="9" fillId="0" borderId="0" xfId="0" applyNumberFormat="1" applyFont="1"/>
    <xf numFmtId="0" fontId="9" fillId="0" borderId="1" xfId="0" applyFont="1" applyBorder="1"/>
    <xf numFmtId="4" fontId="9" fillId="0" borderId="1" xfId="0" applyNumberFormat="1" applyFont="1" applyBorder="1"/>
    <xf numFmtId="9" fontId="9" fillId="0" borderId="1" xfId="0" applyNumberFormat="1" applyFont="1" applyBorder="1"/>
    <xf numFmtId="4" fontId="12" fillId="0" borderId="1" xfId="0" applyNumberFormat="1" applyFont="1" applyBorder="1"/>
    <xf numFmtId="0" fontId="12" fillId="0" borderId="1" xfId="0" applyFont="1" applyBorder="1"/>
    <xf numFmtId="165" fontId="4" fillId="4" borderId="1" xfId="5" applyNumberFormat="1" applyFont="1" applyFill="1" applyBorder="1" applyAlignment="1" applyProtection="1"/>
    <xf numFmtId="0" fontId="8" fillId="10" borderId="1" xfId="0" applyFont="1" applyFill="1" applyBorder="1"/>
    <xf numFmtId="43" fontId="5" fillId="8" borderId="16" xfId="1" applyFont="1" applyFill="1" applyBorder="1" applyAlignment="1" applyProtection="1">
      <alignment vertical="top" wrapText="1" readingOrder="1"/>
      <protection locked="0"/>
    </xf>
    <xf numFmtId="43" fontId="5" fillId="0" borderId="16" xfId="1" applyFont="1" applyBorder="1" applyAlignment="1" applyProtection="1">
      <alignment vertical="top" wrapText="1" readingOrder="1"/>
      <protection locked="0"/>
    </xf>
    <xf numFmtId="43" fontId="4" fillId="9" borderId="6" xfId="1" applyFont="1" applyFill="1" applyBorder="1" applyAlignment="1"/>
    <xf numFmtId="43" fontId="4" fillId="5" borderId="6" xfId="1" applyFont="1" applyFill="1" applyBorder="1" applyAlignment="1" applyProtection="1"/>
    <xf numFmtId="43" fontId="3" fillId="9" borderId="6" xfId="1" applyFont="1" applyFill="1" applyBorder="1" applyAlignment="1"/>
    <xf numFmtId="43" fontId="7" fillId="0" borderId="1" xfId="1" applyFont="1" applyBorder="1"/>
    <xf numFmtId="43" fontId="7" fillId="9" borderId="1" xfId="1" applyFont="1" applyFill="1" applyBorder="1"/>
    <xf numFmtId="43" fontId="8" fillId="9" borderId="1" xfId="1" applyFont="1" applyFill="1" applyBorder="1"/>
    <xf numFmtId="43" fontId="8" fillId="0" borderId="1" xfId="1" applyFont="1" applyBorder="1"/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9" fontId="7" fillId="0" borderId="2" xfId="2" applyFont="1" applyBorder="1"/>
    <xf numFmtId="0" fontId="7" fillId="0" borderId="1" xfId="0" applyFont="1" applyBorder="1"/>
    <xf numFmtId="9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43" fontId="7" fillId="0" borderId="0" xfId="0" applyNumberFormat="1" applyFont="1"/>
    <xf numFmtId="4" fontId="13" fillId="0" borderId="17" xfId="0" applyNumberFormat="1" applyFont="1" applyBorder="1" applyAlignment="1">
      <alignment wrapText="1" readingOrder="1"/>
    </xf>
    <xf numFmtId="0" fontId="13" fillId="0" borderId="17" xfId="0" applyFont="1" applyBorder="1" applyAlignment="1">
      <alignment wrapText="1" readingOrder="1"/>
    </xf>
    <xf numFmtId="4" fontId="15" fillId="12" borderId="18" xfId="0" applyNumberFormat="1" applyFont="1" applyFill="1" applyBorder="1" applyAlignment="1">
      <alignment wrapText="1" readingOrder="1"/>
    </xf>
    <xf numFmtId="4" fontId="14" fillId="12" borderId="18" xfId="0" applyNumberFormat="1" applyFont="1" applyFill="1" applyBorder="1" applyAlignment="1">
      <alignment wrapText="1" readingOrder="1"/>
    </xf>
    <xf numFmtId="4" fontId="14" fillId="0" borderId="18" xfId="0" applyNumberFormat="1" applyFont="1" applyBorder="1" applyAlignment="1">
      <alignment wrapText="1" readingOrder="1"/>
    </xf>
    <xf numFmtId="4" fontId="15" fillId="13" borderId="18" xfId="0" applyNumberFormat="1" applyFont="1" applyFill="1" applyBorder="1" applyAlignment="1">
      <alignment wrapText="1" readingOrder="1"/>
    </xf>
    <xf numFmtId="0" fontId="14" fillId="0" borderId="18" xfId="0" applyFont="1" applyBorder="1" applyAlignment="1">
      <alignment wrapText="1" readingOrder="1"/>
    </xf>
    <xf numFmtId="43" fontId="4" fillId="7" borderId="6" xfId="1" applyFont="1" applyFill="1" applyBorder="1" applyAlignment="1" applyProtection="1"/>
    <xf numFmtId="43" fontId="7" fillId="0" borderId="6" xfId="1" applyFont="1" applyBorder="1"/>
    <xf numFmtId="43" fontId="7" fillId="9" borderId="6" xfId="1" applyFont="1" applyFill="1" applyBorder="1"/>
    <xf numFmtId="43" fontId="8" fillId="9" borderId="6" xfId="1" applyFont="1" applyFill="1" applyBorder="1"/>
    <xf numFmtId="43" fontId="8" fillId="11" borderId="6" xfId="1" applyFont="1" applyFill="1" applyBorder="1"/>
    <xf numFmtId="43" fontId="4" fillId="7" borderId="19" xfId="1" applyFont="1" applyFill="1" applyBorder="1" applyAlignment="1" applyProtection="1"/>
    <xf numFmtId="43" fontId="7" fillId="0" borderId="19" xfId="1" applyFont="1" applyBorder="1"/>
    <xf numFmtId="43" fontId="7" fillId="9" borderId="19" xfId="1" applyFont="1" applyFill="1" applyBorder="1"/>
    <xf numFmtId="43" fontId="8" fillId="9" borderId="19" xfId="1" applyFont="1" applyFill="1" applyBorder="1"/>
    <xf numFmtId="43" fontId="8" fillId="0" borderId="19" xfId="1" applyFont="1" applyBorder="1"/>
    <xf numFmtId="0" fontId="11" fillId="3" borderId="20" xfId="0" applyFont="1" applyFill="1" applyBorder="1" applyAlignment="1" applyProtection="1">
      <alignment vertical="top" wrapText="1" readingOrder="1"/>
      <protection locked="0"/>
    </xf>
    <xf numFmtId="0" fontId="16" fillId="0" borderId="0" xfId="0" applyFont="1"/>
    <xf numFmtId="0" fontId="16" fillId="0" borderId="18" xfId="0" applyFont="1" applyBorder="1"/>
    <xf numFmtId="43" fontId="16" fillId="0" borderId="18" xfId="0" applyNumberFormat="1" applyFont="1" applyBorder="1"/>
    <xf numFmtId="0" fontId="17" fillId="0" borderId="18" xfId="0" applyFont="1" applyBorder="1"/>
    <xf numFmtId="14" fontId="16" fillId="0" borderId="18" xfId="0" applyNumberFormat="1" applyFont="1" applyBorder="1" applyAlignment="1">
      <alignment horizontal="left"/>
    </xf>
    <xf numFmtId="0" fontId="16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6" fillId="0" borderId="24" xfId="0" applyFont="1" applyBorder="1"/>
    <xf numFmtId="168" fontId="5" fillId="10" borderId="3" xfId="0" applyNumberFormat="1" applyFont="1" applyFill="1" applyBorder="1" applyAlignment="1" applyProtection="1">
      <alignment vertical="top" wrapText="1" readingOrder="1"/>
      <protection locked="0"/>
    </xf>
  </cellXfs>
  <cellStyles count="164">
    <cellStyle name="Comma" xfId="1" builtinId="3"/>
    <cellStyle name="Comma 10" xfId="5" xr:uid="{00000000-0005-0000-0000-000001000000}"/>
    <cellStyle name="Comma 10 10 2" xfId="3" xr:uid="{00000000-0005-0000-0000-000002000000}"/>
    <cellStyle name="Comma 18" xfId="4" xr:uid="{00000000-0005-0000-0000-000003000000}"/>
    <cellStyle name="Comma 369" xfId="162" xr:uid="{00000000-0005-0000-0000-000004000000}"/>
    <cellStyle name="Comma 375" xfId="37" xr:uid="{00000000-0005-0000-0000-000005000000}"/>
    <cellStyle name="Comma 376" xfId="57" xr:uid="{00000000-0005-0000-0000-000006000000}"/>
    <cellStyle name="Comma 380" xfId="86" xr:uid="{00000000-0005-0000-0000-000007000000}"/>
    <cellStyle name="Comma 398" xfId="6" xr:uid="{00000000-0005-0000-0000-000008000000}"/>
    <cellStyle name="Comma 399" xfId="13" xr:uid="{00000000-0005-0000-0000-000009000000}"/>
    <cellStyle name="Comma 400" xfId="19" xr:uid="{00000000-0005-0000-0000-00000A000000}"/>
    <cellStyle name="Comma 401" xfId="27" xr:uid="{00000000-0005-0000-0000-00000B000000}"/>
    <cellStyle name="Comma 402" xfId="35" xr:uid="{00000000-0005-0000-0000-00000C000000}"/>
    <cellStyle name="Comma 403" xfId="44" xr:uid="{00000000-0005-0000-0000-00000D000000}"/>
    <cellStyle name="Comma 404" xfId="52" xr:uid="{00000000-0005-0000-0000-00000E000000}"/>
    <cellStyle name="Comma 405" xfId="64" xr:uid="{00000000-0005-0000-0000-00000F000000}"/>
    <cellStyle name="Comma 406" xfId="74" xr:uid="{00000000-0005-0000-0000-000010000000}"/>
    <cellStyle name="Comma 407" xfId="84" xr:uid="{00000000-0005-0000-0000-000011000000}"/>
    <cellStyle name="Comma 408" xfId="93" xr:uid="{00000000-0005-0000-0000-000012000000}"/>
    <cellStyle name="Comma 409" xfId="102" xr:uid="{00000000-0005-0000-0000-000013000000}"/>
    <cellStyle name="Comma 410" xfId="111" xr:uid="{00000000-0005-0000-0000-000014000000}"/>
    <cellStyle name="Comma 412" xfId="121" xr:uid="{00000000-0005-0000-0000-000015000000}"/>
    <cellStyle name="Comma 413" xfId="133" xr:uid="{00000000-0005-0000-0000-000016000000}"/>
    <cellStyle name="Comma 414" xfId="151" xr:uid="{00000000-0005-0000-0000-000017000000}"/>
    <cellStyle name="Comma 415" xfId="142" xr:uid="{00000000-0005-0000-0000-000018000000}"/>
    <cellStyle name="Comma 416" xfId="110" xr:uid="{00000000-0005-0000-0000-000019000000}"/>
    <cellStyle name="Comma 417" xfId="119" xr:uid="{00000000-0005-0000-0000-00001A000000}"/>
    <cellStyle name="Comma 418" xfId="125" xr:uid="{00000000-0005-0000-0000-00001B000000}"/>
    <cellStyle name="Comma 419" xfId="132" xr:uid="{00000000-0005-0000-0000-00001C000000}"/>
    <cellStyle name="Comma 420" xfId="141" xr:uid="{00000000-0005-0000-0000-00001D000000}"/>
    <cellStyle name="Comma 421" xfId="150" xr:uid="{00000000-0005-0000-0000-00001E000000}"/>
    <cellStyle name="Comma 422" xfId="159" xr:uid="{00000000-0005-0000-0000-00001F000000}"/>
    <cellStyle name="Comma 426" xfId="28" xr:uid="{00000000-0005-0000-0000-000020000000}"/>
    <cellStyle name="Comma 431" xfId="76" xr:uid="{00000000-0005-0000-0000-000021000000}"/>
    <cellStyle name="Comma 435" xfId="112" xr:uid="{00000000-0005-0000-0000-000022000000}"/>
    <cellStyle name="Comma 436" xfId="120" xr:uid="{00000000-0005-0000-0000-000023000000}"/>
    <cellStyle name="Comma 437" xfId="134" xr:uid="{00000000-0005-0000-0000-000024000000}"/>
    <cellStyle name="Comma 438" xfId="143" xr:uid="{00000000-0005-0000-0000-000025000000}"/>
    <cellStyle name="Comma 439" xfId="152" xr:uid="{00000000-0005-0000-0000-000026000000}"/>
    <cellStyle name="Comma 440" xfId="160" xr:uid="{00000000-0005-0000-0000-000027000000}"/>
    <cellStyle name="Comma 441" xfId="14" xr:uid="{00000000-0005-0000-0000-000028000000}"/>
    <cellStyle name="Comma 442" xfId="20" xr:uid="{00000000-0005-0000-0000-000029000000}"/>
    <cellStyle name="Comma 443" xfId="36" xr:uid="{00000000-0005-0000-0000-00002A000000}"/>
    <cellStyle name="Comma 444" xfId="45" xr:uid="{00000000-0005-0000-0000-00002B000000}"/>
    <cellStyle name="Comma 445" xfId="53" xr:uid="{00000000-0005-0000-0000-00002C000000}"/>
    <cellStyle name="Comma 446" xfId="65" xr:uid="{00000000-0005-0000-0000-00002D000000}"/>
    <cellStyle name="Comma 447" xfId="75" xr:uid="{00000000-0005-0000-0000-00002E000000}"/>
    <cellStyle name="Comma 448" xfId="85" xr:uid="{00000000-0005-0000-0000-00002F000000}"/>
    <cellStyle name="Comma 449" xfId="94" xr:uid="{00000000-0005-0000-0000-000030000000}"/>
    <cellStyle name="Comma 450" xfId="103" xr:uid="{00000000-0005-0000-0000-000031000000}"/>
    <cellStyle name="Normal" xfId="0" builtinId="0"/>
    <cellStyle name="Normal 385" xfId="161" xr:uid="{00000000-0005-0000-0000-000033000000}"/>
    <cellStyle name="Normal 392" xfId="54" xr:uid="{00000000-0005-0000-0000-000034000000}"/>
    <cellStyle name="Normal 393" xfId="66" xr:uid="{00000000-0005-0000-0000-000035000000}"/>
    <cellStyle name="Normal 394" xfId="67" xr:uid="{00000000-0005-0000-0000-000036000000}"/>
    <cellStyle name="Normal 395" xfId="77" xr:uid="{00000000-0005-0000-0000-000037000000}"/>
    <cellStyle name="Normal 398" xfId="95" xr:uid="{00000000-0005-0000-0000-000038000000}"/>
    <cellStyle name="Normal 417" xfId="104" xr:uid="{00000000-0005-0000-0000-000039000000}"/>
    <cellStyle name="Normal 418" xfId="113" xr:uid="{00000000-0005-0000-0000-00003A000000}"/>
    <cellStyle name="Normal 419" xfId="122" xr:uid="{00000000-0005-0000-0000-00003B000000}"/>
    <cellStyle name="Normal 420" xfId="126" xr:uid="{00000000-0005-0000-0000-00003C000000}"/>
    <cellStyle name="Normal 421" xfId="135" xr:uid="{00000000-0005-0000-0000-00003D000000}"/>
    <cellStyle name="Normal 422" xfId="144" xr:uid="{00000000-0005-0000-0000-00003E000000}"/>
    <cellStyle name="Normal 423" xfId="153" xr:uid="{00000000-0005-0000-0000-00003F000000}"/>
    <cellStyle name="Normal 424" xfId="16" xr:uid="{00000000-0005-0000-0000-000040000000}"/>
    <cellStyle name="Normal 425" xfId="7" xr:uid="{00000000-0005-0000-0000-000041000000}"/>
    <cellStyle name="Normal 426" xfId="21" xr:uid="{00000000-0005-0000-0000-000042000000}"/>
    <cellStyle name="Normal 427" xfId="29" xr:uid="{00000000-0005-0000-0000-000043000000}"/>
    <cellStyle name="Normal 428" xfId="38" xr:uid="{00000000-0005-0000-0000-000044000000}"/>
    <cellStyle name="Normal 429" xfId="46" xr:uid="{00000000-0005-0000-0000-000045000000}"/>
    <cellStyle name="Normal 430" xfId="58" xr:uid="{00000000-0005-0000-0000-000046000000}"/>
    <cellStyle name="Normal 431" xfId="68" xr:uid="{00000000-0005-0000-0000-000047000000}"/>
    <cellStyle name="Normal 432" xfId="78" xr:uid="{00000000-0005-0000-0000-000048000000}"/>
    <cellStyle name="Normal 433" xfId="87" xr:uid="{00000000-0005-0000-0000-000049000000}"/>
    <cellStyle name="Normal 434" xfId="96" xr:uid="{00000000-0005-0000-0000-00004A000000}"/>
    <cellStyle name="Normal 435" xfId="105" xr:uid="{00000000-0005-0000-0000-00004B000000}"/>
    <cellStyle name="Normal 436" xfId="114" xr:uid="{00000000-0005-0000-0000-00004C000000}"/>
    <cellStyle name="Normal 437" xfId="123" xr:uid="{00000000-0005-0000-0000-00004D000000}"/>
    <cellStyle name="Normal 438" xfId="127" xr:uid="{00000000-0005-0000-0000-00004E000000}"/>
    <cellStyle name="Normal 439" xfId="136" xr:uid="{00000000-0005-0000-0000-00004F000000}"/>
    <cellStyle name="Normal 440" xfId="145" xr:uid="{00000000-0005-0000-0000-000050000000}"/>
    <cellStyle name="Normal 441" xfId="154" xr:uid="{00000000-0005-0000-0000-000051000000}"/>
    <cellStyle name="Normal 442" xfId="8" xr:uid="{00000000-0005-0000-0000-000052000000}"/>
    <cellStyle name="Normal 443" xfId="22" xr:uid="{00000000-0005-0000-0000-000053000000}"/>
    <cellStyle name="Normal 444" xfId="30" xr:uid="{00000000-0005-0000-0000-000054000000}"/>
    <cellStyle name="Normal 445" xfId="39" xr:uid="{00000000-0005-0000-0000-000055000000}"/>
    <cellStyle name="Normal 446" xfId="47" xr:uid="{00000000-0005-0000-0000-000056000000}"/>
    <cellStyle name="Normal 447" xfId="59" xr:uid="{00000000-0005-0000-0000-000057000000}"/>
    <cellStyle name="Normal 448" xfId="69" xr:uid="{00000000-0005-0000-0000-000058000000}"/>
    <cellStyle name="Normal 449" xfId="79" xr:uid="{00000000-0005-0000-0000-000059000000}"/>
    <cellStyle name="Normal 450" xfId="88" xr:uid="{00000000-0005-0000-0000-00005A000000}"/>
    <cellStyle name="Normal 451" xfId="97" xr:uid="{00000000-0005-0000-0000-00005B000000}"/>
    <cellStyle name="Normal 452" xfId="106" xr:uid="{00000000-0005-0000-0000-00005C000000}"/>
    <cellStyle name="Normal 453" xfId="115" xr:uid="{00000000-0005-0000-0000-00005D000000}"/>
    <cellStyle name="Normal 454" xfId="124" xr:uid="{00000000-0005-0000-0000-00005E000000}"/>
    <cellStyle name="Normal 455" xfId="128" xr:uid="{00000000-0005-0000-0000-00005F000000}"/>
    <cellStyle name="Normal 456" xfId="137" xr:uid="{00000000-0005-0000-0000-000060000000}"/>
    <cellStyle name="Normal 457" xfId="146" xr:uid="{00000000-0005-0000-0000-000061000000}"/>
    <cellStyle name="Normal 458" xfId="155" xr:uid="{00000000-0005-0000-0000-000062000000}"/>
    <cellStyle name="Normal 459" xfId="107" xr:uid="{00000000-0005-0000-0000-000063000000}"/>
    <cellStyle name="Normal 460" xfId="116" xr:uid="{00000000-0005-0000-0000-000064000000}"/>
    <cellStyle name="Normal 461" xfId="129" xr:uid="{00000000-0005-0000-0000-000065000000}"/>
    <cellStyle name="Normal 462" xfId="138" xr:uid="{00000000-0005-0000-0000-000066000000}"/>
    <cellStyle name="Normal 463" xfId="147" xr:uid="{00000000-0005-0000-0000-000067000000}"/>
    <cellStyle name="Normal 464" xfId="156" xr:uid="{00000000-0005-0000-0000-000068000000}"/>
    <cellStyle name="Normal 465" xfId="9" xr:uid="{00000000-0005-0000-0000-000069000000}"/>
    <cellStyle name="Normal 466" xfId="23" xr:uid="{00000000-0005-0000-0000-00006A000000}"/>
    <cellStyle name="Normal 467" xfId="31" xr:uid="{00000000-0005-0000-0000-00006B000000}"/>
    <cellStyle name="Normal 468" xfId="40" xr:uid="{00000000-0005-0000-0000-00006C000000}"/>
    <cellStyle name="Normal 469" xfId="48" xr:uid="{00000000-0005-0000-0000-00006D000000}"/>
    <cellStyle name="Normal 470" xfId="60" xr:uid="{00000000-0005-0000-0000-00006E000000}"/>
    <cellStyle name="Normal 471" xfId="70" xr:uid="{00000000-0005-0000-0000-00006F000000}"/>
    <cellStyle name="Normal 472" xfId="80" xr:uid="{00000000-0005-0000-0000-000070000000}"/>
    <cellStyle name="Normal 473" xfId="89" xr:uid="{00000000-0005-0000-0000-000071000000}"/>
    <cellStyle name="Normal 474" xfId="98" xr:uid="{00000000-0005-0000-0000-000072000000}"/>
    <cellStyle name="Normal 477" xfId="117" xr:uid="{00000000-0005-0000-0000-000073000000}"/>
    <cellStyle name="Normal 478" xfId="130" xr:uid="{00000000-0005-0000-0000-000074000000}"/>
    <cellStyle name="Normal 479" xfId="139" xr:uid="{00000000-0005-0000-0000-000075000000}"/>
    <cellStyle name="Normal 480" xfId="148" xr:uid="{00000000-0005-0000-0000-000076000000}"/>
    <cellStyle name="Normal 481" xfId="157" xr:uid="{00000000-0005-0000-0000-000077000000}"/>
    <cellStyle name="Normal 485" xfId="10" xr:uid="{00000000-0005-0000-0000-000078000000}"/>
    <cellStyle name="Normal 486" xfId="24" xr:uid="{00000000-0005-0000-0000-000079000000}"/>
    <cellStyle name="Normal 487" xfId="32" xr:uid="{00000000-0005-0000-0000-00007A000000}"/>
    <cellStyle name="Normal 488" xfId="41" xr:uid="{00000000-0005-0000-0000-00007B000000}"/>
    <cellStyle name="Normal 489" xfId="49" xr:uid="{00000000-0005-0000-0000-00007C000000}"/>
    <cellStyle name="Normal 490" xfId="61" xr:uid="{00000000-0005-0000-0000-00007D000000}"/>
    <cellStyle name="Normal 491" xfId="71" xr:uid="{00000000-0005-0000-0000-00007E000000}"/>
    <cellStyle name="Normal 492" xfId="81" xr:uid="{00000000-0005-0000-0000-00007F000000}"/>
    <cellStyle name="Normal 493" xfId="90" xr:uid="{00000000-0005-0000-0000-000080000000}"/>
    <cellStyle name="Normal 494" xfId="99" xr:uid="{00000000-0005-0000-0000-000081000000}"/>
    <cellStyle name="Normal 495" xfId="108" xr:uid="{00000000-0005-0000-0000-000082000000}"/>
    <cellStyle name="Normal 496" xfId="11" xr:uid="{00000000-0005-0000-0000-000083000000}"/>
    <cellStyle name="Normal 497" xfId="25" xr:uid="{00000000-0005-0000-0000-000084000000}"/>
    <cellStyle name="Normal 498" xfId="33" xr:uid="{00000000-0005-0000-0000-000085000000}"/>
    <cellStyle name="Normal 499" xfId="42" xr:uid="{00000000-0005-0000-0000-000086000000}"/>
    <cellStyle name="Normal 500" xfId="50" xr:uid="{00000000-0005-0000-0000-000087000000}"/>
    <cellStyle name="Normal 501" xfId="62" xr:uid="{00000000-0005-0000-0000-000088000000}"/>
    <cellStyle name="Normal 502" xfId="72" xr:uid="{00000000-0005-0000-0000-000089000000}"/>
    <cellStyle name="Normal 503" xfId="82" xr:uid="{00000000-0005-0000-0000-00008A000000}"/>
    <cellStyle name="Normal 504" xfId="91" xr:uid="{00000000-0005-0000-0000-00008B000000}"/>
    <cellStyle name="Normal 505" xfId="100" xr:uid="{00000000-0005-0000-0000-00008C000000}"/>
    <cellStyle name="Normal 506" xfId="109" xr:uid="{00000000-0005-0000-0000-00008D000000}"/>
    <cellStyle name="Normal 507" xfId="118" xr:uid="{00000000-0005-0000-0000-00008E000000}"/>
    <cellStyle name="Normal 508" xfId="131" xr:uid="{00000000-0005-0000-0000-00008F000000}"/>
    <cellStyle name="Normal 509" xfId="140" xr:uid="{00000000-0005-0000-0000-000090000000}"/>
    <cellStyle name="Normal 510" xfId="149" xr:uid="{00000000-0005-0000-0000-000091000000}"/>
    <cellStyle name="Normal 511" xfId="158" xr:uid="{00000000-0005-0000-0000-000092000000}"/>
    <cellStyle name="Normal 513" xfId="12" xr:uid="{00000000-0005-0000-0000-000093000000}"/>
    <cellStyle name="Normal 514" xfId="26" xr:uid="{00000000-0005-0000-0000-000094000000}"/>
    <cellStyle name="Normal 515" xfId="34" xr:uid="{00000000-0005-0000-0000-000095000000}"/>
    <cellStyle name="Normal 516" xfId="43" xr:uid="{00000000-0005-0000-0000-000096000000}"/>
    <cellStyle name="Normal 517" xfId="51" xr:uid="{00000000-0005-0000-0000-000097000000}"/>
    <cellStyle name="Normal 518" xfId="63" xr:uid="{00000000-0005-0000-0000-000098000000}"/>
    <cellStyle name="Normal 519" xfId="73" xr:uid="{00000000-0005-0000-0000-000099000000}"/>
    <cellStyle name="Normal 520" xfId="83" xr:uid="{00000000-0005-0000-0000-00009A000000}"/>
    <cellStyle name="Normal 521" xfId="92" xr:uid="{00000000-0005-0000-0000-00009B000000}"/>
    <cellStyle name="Normal 522" xfId="101" xr:uid="{00000000-0005-0000-0000-00009C000000}"/>
    <cellStyle name="Normal 527" xfId="17" xr:uid="{00000000-0005-0000-0000-00009D000000}"/>
    <cellStyle name="Normal 532" xfId="55" xr:uid="{00000000-0005-0000-0000-00009E000000}"/>
    <cellStyle name="Normal 569" xfId="18" xr:uid="{00000000-0005-0000-0000-00009F000000}"/>
    <cellStyle name="Normal 573" xfId="56" xr:uid="{00000000-0005-0000-0000-0000A0000000}"/>
    <cellStyle name="Normal 579" xfId="15" xr:uid="{00000000-0005-0000-0000-0000A1000000}"/>
    <cellStyle name="Per cent" xfId="2" builtinId="5"/>
    <cellStyle name="Percent 2 2" xfId="163" xr:uid="{00000000-0005-0000-0000-0000A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"/>
  <sheetViews>
    <sheetView tabSelected="1" topLeftCell="A19" workbookViewId="0">
      <pane xSplit="2" topLeftCell="N1" activePane="topRight" state="frozen"/>
      <selection pane="topRight" activeCell="Q57" sqref="Q57"/>
      <selection activeCell="A31" sqref="A31"/>
    </sheetView>
  </sheetViews>
  <sheetFormatPr defaultColWidth="9.140625" defaultRowHeight="13.15"/>
  <cols>
    <col min="1" max="1" width="5.42578125" style="18" bestFit="1" customWidth="1"/>
    <col min="2" max="2" width="47.28515625" style="18" bestFit="1" customWidth="1"/>
    <col min="3" max="7" width="15.42578125" style="18" customWidth="1"/>
    <col min="8" max="8" width="18.7109375" style="18" bestFit="1" customWidth="1"/>
    <col min="9" max="10" width="18.7109375" style="18" customWidth="1"/>
    <col min="11" max="11" width="18.7109375" style="18" bestFit="1" customWidth="1"/>
    <col min="12" max="13" width="18.7109375" style="18" customWidth="1"/>
    <col min="14" max="14" width="18.7109375" style="18" bestFit="1" customWidth="1"/>
    <col min="15" max="15" width="15.5703125" style="18" bestFit="1" customWidth="1"/>
    <col min="16" max="16" width="15.7109375" style="18" bestFit="1" customWidth="1"/>
    <col min="17" max="17" width="14.42578125" style="73" bestFit="1" customWidth="1"/>
    <col min="18" max="18" width="14.85546875" style="73" bestFit="1" customWidth="1"/>
    <col min="19" max="19" width="14.5703125" style="73" bestFit="1" customWidth="1"/>
    <col min="20" max="21" width="11.28515625" style="73" bestFit="1" customWidth="1"/>
    <col min="22" max="22" width="9.140625" style="73"/>
    <col min="23" max="16384" width="9.140625" style="18"/>
  </cols>
  <sheetData>
    <row r="1" spans="1:32">
      <c r="A1" s="1"/>
      <c r="B1" s="2" t="s">
        <v>0</v>
      </c>
      <c r="C1" s="3"/>
      <c r="D1" s="3"/>
      <c r="E1" s="3"/>
      <c r="F1" s="3"/>
      <c r="G1" s="3"/>
      <c r="Q1" s="73">
        <f>+V:V</f>
        <v>0</v>
      </c>
    </row>
    <row r="2" spans="1:32">
      <c r="A2" s="1"/>
      <c r="B2" s="4" t="s">
        <v>1</v>
      </c>
      <c r="C2" s="3"/>
      <c r="D2" s="3"/>
      <c r="E2" s="3"/>
      <c r="F2" s="3"/>
      <c r="G2" s="3"/>
    </row>
    <row r="3" spans="1:32">
      <c r="A3" s="5"/>
      <c r="B3" s="4" t="s">
        <v>2</v>
      </c>
      <c r="C3" s="4" t="s">
        <v>3</v>
      </c>
      <c r="D3" s="4" t="s">
        <v>4</v>
      </c>
      <c r="E3" s="67" t="s">
        <v>5</v>
      </c>
      <c r="F3" s="67" t="s">
        <v>6</v>
      </c>
      <c r="G3" s="67" t="s">
        <v>7</v>
      </c>
      <c r="H3" s="67" t="s">
        <v>8</v>
      </c>
      <c r="I3" s="67" t="s">
        <v>9</v>
      </c>
      <c r="J3" s="67" t="s">
        <v>10</v>
      </c>
      <c r="K3" s="67" t="s">
        <v>11</v>
      </c>
      <c r="L3" s="67" t="s">
        <v>12</v>
      </c>
      <c r="M3" s="67" t="s">
        <v>13</v>
      </c>
      <c r="N3" s="67" t="s">
        <v>14</v>
      </c>
      <c r="O3" s="67" t="s">
        <v>15</v>
      </c>
    </row>
    <row r="4" spans="1:32" ht="12.75">
      <c r="A4" s="6">
        <v>1</v>
      </c>
      <c r="B4" s="7" t="s">
        <v>16</v>
      </c>
      <c r="C4" s="8">
        <f t="shared" ref="C4:O4" si="0">C5+C6</f>
        <v>147291314.97</v>
      </c>
      <c r="D4" s="8">
        <f t="shared" si="0"/>
        <v>102599740.73</v>
      </c>
      <c r="E4" s="8">
        <f t="shared" si="0"/>
        <v>123579170.36999999</v>
      </c>
      <c r="F4" s="8">
        <f t="shared" si="0"/>
        <v>-2344782.4000000004</v>
      </c>
      <c r="G4" s="8">
        <f t="shared" si="0"/>
        <v>96062402.129999995</v>
      </c>
      <c r="H4" s="8">
        <f t="shared" si="0"/>
        <v>117987262.41</v>
      </c>
      <c r="I4" s="8">
        <f t="shared" si="0"/>
        <v>96460508.5</v>
      </c>
      <c r="J4" s="8">
        <f t="shared" si="0"/>
        <v>188640608.13</v>
      </c>
      <c r="K4" s="8">
        <f t="shared" si="0"/>
        <v>196750488.91999999</v>
      </c>
      <c r="L4" s="8">
        <f t="shared" si="0"/>
        <v>181269024.03999999</v>
      </c>
      <c r="M4" s="8">
        <f t="shared" si="0"/>
        <v>195018006.91999999</v>
      </c>
      <c r="N4" s="8">
        <f t="shared" si="0"/>
        <v>136268767.30000001</v>
      </c>
      <c r="O4" s="8">
        <f t="shared" si="0"/>
        <v>136268767.30000001</v>
      </c>
      <c r="P4" s="8">
        <f t="shared" ref="P4:AF4" si="1">P5+P6</f>
        <v>136268767.30000001</v>
      </c>
      <c r="Q4" s="8">
        <f t="shared" si="1"/>
        <v>136268767.30000001</v>
      </c>
      <c r="R4" s="8">
        <f t="shared" si="1"/>
        <v>136268767.30000001</v>
      </c>
      <c r="S4" s="8">
        <f t="shared" si="1"/>
        <v>136268767.30000001</v>
      </c>
      <c r="T4" s="8">
        <f t="shared" si="1"/>
        <v>136268767.30000001</v>
      </c>
      <c r="U4" s="8">
        <f t="shared" si="1"/>
        <v>136268767.30000001</v>
      </c>
      <c r="V4" s="8">
        <f t="shared" si="1"/>
        <v>136268767.30000001</v>
      </c>
      <c r="W4" s="8">
        <f t="shared" si="1"/>
        <v>136268767.30000001</v>
      </c>
      <c r="X4" s="8">
        <f t="shared" si="1"/>
        <v>136268767.30000001</v>
      </c>
      <c r="Y4" s="8">
        <f t="shared" si="1"/>
        <v>136268767.30000001</v>
      </c>
      <c r="Z4" s="8">
        <f t="shared" si="1"/>
        <v>136268767.30000001</v>
      </c>
      <c r="AA4" s="8">
        <f t="shared" si="1"/>
        <v>136268767.30000001</v>
      </c>
      <c r="AB4" s="8">
        <f t="shared" si="1"/>
        <v>136268767.30000001</v>
      </c>
      <c r="AC4" s="8">
        <f t="shared" si="1"/>
        <v>136268767.30000001</v>
      </c>
      <c r="AD4" s="8">
        <f t="shared" si="1"/>
        <v>136268767.30000001</v>
      </c>
      <c r="AE4" s="8">
        <f t="shared" si="1"/>
        <v>136268767.30000001</v>
      </c>
      <c r="AF4" s="8">
        <f t="shared" si="1"/>
        <v>136268767.30000001</v>
      </c>
    </row>
    <row r="5" spans="1:32" ht="12.75">
      <c r="A5" s="6">
        <v>1.1000000000000001</v>
      </c>
      <c r="B5" s="7" t="s">
        <v>17</v>
      </c>
      <c r="C5" s="9">
        <v>8079045.0499999998</v>
      </c>
      <c r="D5" s="9">
        <v>7800650.0499999998</v>
      </c>
      <c r="E5" s="9">
        <v>5143063.7699999996</v>
      </c>
      <c r="F5" s="9">
        <v>8703851.7699999996</v>
      </c>
      <c r="G5" s="9">
        <v>5808633.0499999998</v>
      </c>
      <c r="H5" s="9">
        <v>8497425</v>
      </c>
      <c r="I5" s="104">
        <v>4285853</v>
      </c>
      <c r="J5" s="9">
        <v>7941319</v>
      </c>
      <c r="K5" s="9">
        <v>6098657</v>
      </c>
      <c r="L5" s="9">
        <v>6699976</v>
      </c>
      <c r="M5" s="9">
        <v>7795055</v>
      </c>
      <c r="N5" s="9">
        <v>5445340</v>
      </c>
      <c r="O5" s="9">
        <v>5445340</v>
      </c>
      <c r="P5" s="9">
        <v>5445340</v>
      </c>
      <c r="Q5" s="9">
        <v>5445340</v>
      </c>
      <c r="R5" s="9">
        <v>5445340</v>
      </c>
      <c r="S5" s="9">
        <v>5445340</v>
      </c>
      <c r="T5" s="9">
        <v>5445340</v>
      </c>
      <c r="U5" s="9">
        <v>5445340</v>
      </c>
      <c r="V5" s="9">
        <v>5445340</v>
      </c>
      <c r="W5" s="9">
        <v>5445340</v>
      </c>
      <c r="X5" s="9">
        <v>5445340</v>
      </c>
      <c r="Y5" s="9">
        <v>5445340</v>
      </c>
      <c r="Z5" s="9">
        <v>5445340</v>
      </c>
      <c r="AA5" s="9">
        <v>5445340</v>
      </c>
      <c r="AB5" s="9">
        <v>5445340</v>
      </c>
      <c r="AC5" s="9">
        <v>5445340</v>
      </c>
      <c r="AD5" s="9">
        <v>5445340</v>
      </c>
      <c r="AE5" s="9">
        <v>5445340</v>
      </c>
      <c r="AF5" s="9">
        <v>5445340</v>
      </c>
    </row>
    <row r="6" spans="1:32" ht="12.75">
      <c r="A6" s="6">
        <v>1.2</v>
      </c>
      <c r="B6" s="7" t="s">
        <v>18</v>
      </c>
      <c r="C6" s="9">
        <v>139212269.91999999</v>
      </c>
      <c r="D6" s="9">
        <v>94799090.680000007</v>
      </c>
      <c r="E6" s="9">
        <v>118436106.59999999</v>
      </c>
      <c r="F6" s="9">
        <v>-11048634.17</v>
      </c>
      <c r="G6" s="9">
        <v>90253769.079999998</v>
      </c>
      <c r="H6" s="9">
        <v>109489837.41</v>
      </c>
      <c r="I6" s="104">
        <v>92174655.5</v>
      </c>
      <c r="J6" s="9">
        <v>180699289.13</v>
      </c>
      <c r="K6" s="9">
        <v>190651831.91999999</v>
      </c>
      <c r="L6" s="9">
        <v>174569048.03999999</v>
      </c>
      <c r="M6" s="9">
        <v>187222951.91999999</v>
      </c>
      <c r="N6" s="9">
        <v>130823427.3</v>
      </c>
      <c r="O6" s="9">
        <v>130823427.3</v>
      </c>
      <c r="P6" s="9">
        <v>130823427.3</v>
      </c>
      <c r="Q6" s="9">
        <v>130823427.3</v>
      </c>
      <c r="R6" s="9">
        <v>130823427.3</v>
      </c>
      <c r="S6" s="9">
        <v>130823427.3</v>
      </c>
      <c r="T6" s="9">
        <v>130823427.3</v>
      </c>
      <c r="U6" s="9">
        <v>130823427.3</v>
      </c>
      <c r="V6" s="9">
        <v>130823427.3</v>
      </c>
      <c r="W6" s="9">
        <v>130823427.3</v>
      </c>
      <c r="X6" s="9">
        <v>130823427.3</v>
      </c>
      <c r="Y6" s="9">
        <v>130823427.3</v>
      </c>
      <c r="Z6" s="9">
        <v>130823427.3</v>
      </c>
      <c r="AA6" s="9">
        <v>130823427.3</v>
      </c>
      <c r="AB6" s="9">
        <v>130823427.3</v>
      </c>
      <c r="AC6" s="9">
        <v>130823427.3</v>
      </c>
      <c r="AD6" s="9">
        <v>130823427.3</v>
      </c>
      <c r="AE6" s="9">
        <v>130823427.3</v>
      </c>
      <c r="AF6" s="9">
        <v>130823427.3</v>
      </c>
    </row>
    <row r="7" spans="1:32" ht="12.75">
      <c r="A7" s="6">
        <v>2</v>
      </c>
      <c r="B7" s="10" t="s">
        <v>19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105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880187024</v>
      </c>
      <c r="P7" s="9">
        <v>880187024</v>
      </c>
      <c r="Q7" s="9">
        <v>880187024</v>
      </c>
      <c r="R7" s="9">
        <v>880187024</v>
      </c>
      <c r="S7" s="9">
        <v>880187024</v>
      </c>
      <c r="T7" s="9">
        <v>880187024</v>
      </c>
      <c r="U7" s="9">
        <v>880187024</v>
      </c>
      <c r="V7" s="9">
        <v>880187024</v>
      </c>
      <c r="W7" s="9">
        <v>880187024</v>
      </c>
      <c r="X7" s="9">
        <v>880187024</v>
      </c>
      <c r="Y7" s="9">
        <v>880187024</v>
      </c>
      <c r="Z7" s="9">
        <v>880187024</v>
      </c>
      <c r="AA7" s="9">
        <v>880187024</v>
      </c>
      <c r="AB7" s="9">
        <v>880187024</v>
      </c>
      <c r="AC7" s="9">
        <v>880187024</v>
      </c>
      <c r="AD7" s="9">
        <v>880187024</v>
      </c>
      <c r="AE7" s="9">
        <v>880187024</v>
      </c>
      <c r="AF7" s="9">
        <v>880187024</v>
      </c>
    </row>
    <row r="8" spans="1:32" ht="12.75">
      <c r="A8" s="6">
        <v>3</v>
      </c>
      <c r="B8" s="10" t="s">
        <v>20</v>
      </c>
      <c r="C8" s="86">
        <f t="shared" ref="C8:O8" si="2">SUM(C9:C12)</f>
        <v>93386179</v>
      </c>
      <c r="D8" s="86">
        <f t="shared" si="2"/>
        <v>76980777.400000006</v>
      </c>
      <c r="E8" s="86">
        <f t="shared" si="2"/>
        <v>76980777.400000006</v>
      </c>
      <c r="F8" s="86">
        <f t="shared" si="2"/>
        <v>76980777.400000006</v>
      </c>
      <c r="G8" s="86">
        <f t="shared" si="2"/>
        <v>76980777.400000006</v>
      </c>
      <c r="H8" s="86">
        <f t="shared" si="2"/>
        <v>76980777.400000006</v>
      </c>
      <c r="I8" s="86">
        <f t="shared" si="2"/>
        <v>76980777.400000006</v>
      </c>
      <c r="J8" s="86">
        <f t="shared" si="2"/>
        <v>76980777.400000006</v>
      </c>
      <c r="K8" s="86">
        <f t="shared" si="2"/>
        <v>76980777.400000006</v>
      </c>
      <c r="L8" s="86">
        <f t="shared" si="2"/>
        <v>76980777.400000006</v>
      </c>
      <c r="M8" s="86">
        <f t="shared" si="2"/>
        <v>76980777.400000006</v>
      </c>
      <c r="N8" s="86">
        <f t="shared" si="2"/>
        <v>76980777.400000006</v>
      </c>
      <c r="O8" s="86">
        <f t="shared" si="2"/>
        <v>81097852</v>
      </c>
      <c r="P8" s="86">
        <f t="shared" ref="P8:AF8" si="3">SUM(P9:P12)</f>
        <v>81097853</v>
      </c>
      <c r="Q8" s="86">
        <f t="shared" si="3"/>
        <v>81097854</v>
      </c>
      <c r="R8" s="86">
        <f t="shared" si="3"/>
        <v>81097855</v>
      </c>
      <c r="S8" s="86">
        <f t="shared" si="3"/>
        <v>81097856</v>
      </c>
      <c r="T8" s="86">
        <f t="shared" si="3"/>
        <v>81097857</v>
      </c>
      <c r="U8" s="86">
        <f t="shared" si="3"/>
        <v>81097858</v>
      </c>
      <c r="V8" s="86">
        <f t="shared" si="3"/>
        <v>81097859</v>
      </c>
      <c r="W8" s="86">
        <f t="shared" si="3"/>
        <v>81097860</v>
      </c>
      <c r="X8" s="86">
        <f t="shared" si="3"/>
        <v>81097861</v>
      </c>
      <c r="Y8" s="86">
        <f t="shared" si="3"/>
        <v>81097862</v>
      </c>
      <c r="Z8" s="86">
        <f t="shared" si="3"/>
        <v>81097863</v>
      </c>
      <c r="AA8" s="86">
        <f t="shared" si="3"/>
        <v>81097864</v>
      </c>
      <c r="AB8" s="86">
        <f t="shared" si="3"/>
        <v>81097865</v>
      </c>
      <c r="AC8" s="86">
        <f t="shared" si="3"/>
        <v>81097866</v>
      </c>
      <c r="AD8" s="86">
        <f t="shared" si="3"/>
        <v>81097867</v>
      </c>
      <c r="AE8" s="86">
        <f t="shared" si="3"/>
        <v>81097868</v>
      </c>
      <c r="AF8" s="86">
        <f t="shared" si="3"/>
        <v>81097869</v>
      </c>
    </row>
    <row r="9" spans="1:32" ht="12.75">
      <c r="A9" s="6">
        <v>3.1</v>
      </c>
      <c r="B9" s="7" t="s">
        <v>21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105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ht="12.75">
      <c r="A10" s="6">
        <v>3.2</v>
      </c>
      <c r="B10" s="7" t="s">
        <v>22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5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ht="12.75">
      <c r="A11" s="6" t="s">
        <v>23</v>
      </c>
      <c r="B11" s="7" t="s">
        <v>24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5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12.75">
      <c r="A12" s="6" t="s">
        <v>25</v>
      </c>
      <c r="B12" s="7" t="s">
        <v>26</v>
      </c>
      <c r="C12" s="9">
        <v>93386179</v>
      </c>
      <c r="D12" s="9">
        <v>76980777.400000006</v>
      </c>
      <c r="E12" s="9">
        <v>76980777.400000006</v>
      </c>
      <c r="F12" s="9">
        <v>76980777.400000006</v>
      </c>
      <c r="G12" s="9">
        <v>76980777.400000006</v>
      </c>
      <c r="H12" s="9">
        <v>76980777.400000006</v>
      </c>
      <c r="I12" s="104">
        <v>76980777.400000006</v>
      </c>
      <c r="J12" s="9">
        <v>76980777.400000006</v>
      </c>
      <c r="K12" s="9">
        <v>76980777.400000006</v>
      </c>
      <c r="L12" s="9">
        <v>76980777.400000006</v>
      </c>
      <c r="M12" s="9">
        <v>76980777.400000006</v>
      </c>
      <c r="N12" s="9">
        <v>76980777.400000006</v>
      </c>
      <c r="O12" s="9">
        <v>81097852</v>
      </c>
      <c r="P12" s="9">
        <v>81097853</v>
      </c>
      <c r="Q12" s="9">
        <v>81097854</v>
      </c>
      <c r="R12" s="9">
        <v>81097855</v>
      </c>
      <c r="S12" s="9">
        <v>81097856</v>
      </c>
      <c r="T12" s="9">
        <v>81097857</v>
      </c>
      <c r="U12" s="9">
        <v>81097858</v>
      </c>
      <c r="V12" s="9">
        <v>81097859</v>
      </c>
      <c r="W12" s="9">
        <v>81097860</v>
      </c>
      <c r="X12" s="9">
        <v>81097861</v>
      </c>
      <c r="Y12" s="9">
        <v>81097862</v>
      </c>
      <c r="Z12" s="9">
        <v>81097863</v>
      </c>
      <c r="AA12" s="9">
        <v>81097864</v>
      </c>
      <c r="AB12" s="9">
        <v>81097865</v>
      </c>
      <c r="AC12" s="9">
        <v>81097866</v>
      </c>
      <c r="AD12" s="9">
        <v>81097867</v>
      </c>
      <c r="AE12" s="9">
        <v>81097868</v>
      </c>
      <c r="AF12" s="9">
        <v>81097869</v>
      </c>
    </row>
    <row r="13" spans="1:32" ht="12.75">
      <c r="A13" s="6">
        <v>4</v>
      </c>
      <c r="B13" s="10" t="s">
        <v>27</v>
      </c>
      <c r="C13" s="86">
        <f t="shared" ref="C13:O13" si="4">C14-C15</f>
        <v>5943077810.1399994</v>
      </c>
      <c r="D13" s="86">
        <f t="shared" si="4"/>
        <v>5973187019.0799999</v>
      </c>
      <c r="E13" s="86">
        <f t="shared" si="4"/>
        <v>6050055941.1499996</v>
      </c>
      <c r="F13" s="86">
        <f t="shared" si="4"/>
        <v>6065137954.75</v>
      </c>
      <c r="G13" s="86">
        <f t="shared" si="4"/>
        <v>6170914685.8099995</v>
      </c>
      <c r="H13" s="86">
        <f t="shared" si="4"/>
        <v>6228352332.2700005</v>
      </c>
      <c r="I13" s="86">
        <f t="shared" si="4"/>
        <v>6303176088.4200001</v>
      </c>
      <c r="J13" s="86">
        <f t="shared" si="4"/>
        <v>6351723638.3600006</v>
      </c>
      <c r="K13" s="86">
        <f t="shared" si="4"/>
        <v>6374993115.8299999</v>
      </c>
      <c r="L13" s="86">
        <f t="shared" si="4"/>
        <v>6444326833.5599995</v>
      </c>
      <c r="M13" s="86">
        <f t="shared" si="4"/>
        <v>6454710541.4499998</v>
      </c>
      <c r="N13" s="86">
        <f t="shared" si="4"/>
        <v>6662763891.4700003</v>
      </c>
      <c r="O13" s="86">
        <f t="shared" si="4"/>
        <v>6747324364.6700001</v>
      </c>
      <c r="P13" s="86">
        <f t="shared" ref="P13:AF13" si="5">P14-P15</f>
        <v>6747324364.6700001</v>
      </c>
      <c r="Q13" s="86">
        <f t="shared" si="5"/>
        <v>6747324364.6700001</v>
      </c>
      <c r="R13" s="86">
        <f t="shared" si="5"/>
        <v>6747324364.6700001</v>
      </c>
      <c r="S13" s="86">
        <f t="shared" si="5"/>
        <v>6747324364.6700001</v>
      </c>
      <c r="T13" s="86">
        <f t="shared" si="5"/>
        <v>6747324364.6700001</v>
      </c>
      <c r="U13" s="86">
        <f t="shared" si="5"/>
        <v>6747324364.6700001</v>
      </c>
      <c r="V13" s="86">
        <f t="shared" si="5"/>
        <v>6747324364.6700001</v>
      </c>
      <c r="W13" s="86">
        <f t="shared" si="5"/>
        <v>6747324364.6700001</v>
      </c>
      <c r="X13" s="86">
        <f t="shared" si="5"/>
        <v>6747324364.6700001</v>
      </c>
      <c r="Y13" s="86">
        <f t="shared" si="5"/>
        <v>6747324364.6700001</v>
      </c>
      <c r="Z13" s="86">
        <f t="shared" si="5"/>
        <v>6747324364.6700001</v>
      </c>
      <c r="AA13" s="86">
        <f t="shared" si="5"/>
        <v>6747324364.6700001</v>
      </c>
      <c r="AB13" s="86">
        <f t="shared" si="5"/>
        <v>6747324364.6700001</v>
      </c>
      <c r="AC13" s="86">
        <f t="shared" si="5"/>
        <v>6747324364.6700001</v>
      </c>
      <c r="AD13" s="86">
        <f t="shared" si="5"/>
        <v>6747324364.6700001</v>
      </c>
      <c r="AE13" s="86">
        <f t="shared" si="5"/>
        <v>6747324364.6700001</v>
      </c>
      <c r="AF13" s="86">
        <f t="shared" si="5"/>
        <v>6747324364.6700001</v>
      </c>
    </row>
    <row r="14" spans="1:32" ht="12.75">
      <c r="A14" s="11">
        <v>4.0999999999999996</v>
      </c>
      <c r="B14" s="7" t="s">
        <v>28</v>
      </c>
      <c r="C14" s="9">
        <v>6363027843.9399996</v>
      </c>
      <c r="D14" s="9">
        <v>6413672727.7399998</v>
      </c>
      <c r="E14" s="9">
        <v>6415138395.1599998</v>
      </c>
      <c r="F14" s="9">
        <v>6440637075.4300003</v>
      </c>
      <c r="G14" s="9">
        <v>6556830473.1599998</v>
      </c>
      <c r="H14" s="9">
        <v>6624684786.29</v>
      </c>
      <c r="I14" s="104">
        <v>6709925209.1099997</v>
      </c>
      <c r="J14" s="9">
        <v>6768889425.7200003</v>
      </c>
      <c r="K14" s="9">
        <v>6802168213.54</v>
      </c>
      <c r="L14" s="9">
        <v>6881918597.9399996</v>
      </c>
      <c r="M14" s="9">
        <v>6902718972.5</v>
      </c>
      <c r="N14" s="9">
        <v>7026325422.6700001</v>
      </c>
      <c r="O14" s="9">
        <v>7026325422.6700001</v>
      </c>
      <c r="P14" s="9">
        <v>7026325422.6700001</v>
      </c>
      <c r="Q14" s="9">
        <v>7026325422.6700001</v>
      </c>
      <c r="R14" s="9">
        <v>7026325422.6700001</v>
      </c>
      <c r="S14" s="9">
        <v>7026325422.6700001</v>
      </c>
      <c r="T14" s="9">
        <v>7026325422.6700001</v>
      </c>
      <c r="U14" s="9">
        <v>7026325422.6700001</v>
      </c>
      <c r="V14" s="9">
        <v>7026325422.6700001</v>
      </c>
      <c r="W14" s="9">
        <v>7026325422.6700001</v>
      </c>
      <c r="X14" s="9">
        <v>7026325422.6700001</v>
      </c>
      <c r="Y14" s="9">
        <v>7026325422.6700001</v>
      </c>
      <c r="Z14" s="9">
        <v>7026325422.6700001</v>
      </c>
      <c r="AA14" s="9">
        <v>7026325422.6700001</v>
      </c>
      <c r="AB14" s="9">
        <v>7026325422.6700001</v>
      </c>
      <c r="AC14" s="9">
        <v>7026325422.6700001</v>
      </c>
      <c r="AD14" s="9">
        <v>7026325422.6700001</v>
      </c>
      <c r="AE14" s="9">
        <v>7026325422.6700001</v>
      </c>
      <c r="AF14" s="9">
        <v>7026325422.6700001</v>
      </c>
    </row>
    <row r="15" spans="1:32" ht="12.75">
      <c r="A15" s="11">
        <v>4.2</v>
      </c>
      <c r="B15" s="7" t="s">
        <v>29</v>
      </c>
      <c r="C15" s="9">
        <v>419950033.80000001</v>
      </c>
      <c r="D15" s="9">
        <v>440485708.66000003</v>
      </c>
      <c r="E15" s="9">
        <v>365082454.00999999</v>
      </c>
      <c r="F15" s="9">
        <v>375499120.68000001</v>
      </c>
      <c r="G15" s="9">
        <v>385915787.35000002</v>
      </c>
      <c r="H15" s="9">
        <v>396332454.01999998</v>
      </c>
      <c r="I15" s="104">
        <v>406749120.69</v>
      </c>
      <c r="J15" s="9">
        <v>417165787.36000001</v>
      </c>
      <c r="K15" s="9">
        <v>427175097.70999998</v>
      </c>
      <c r="L15" s="9">
        <v>437591764.38</v>
      </c>
      <c r="M15" s="9">
        <v>448008431.05000001</v>
      </c>
      <c r="N15" s="131">
        <v>363561531.19999999</v>
      </c>
      <c r="O15" s="131">
        <v>279001058</v>
      </c>
      <c r="P15" s="131">
        <v>279001058</v>
      </c>
      <c r="Q15" s="131">
        <v>279001058</v>
      </c>
      <c r="R15" s="131">
        <v>279001058</v>
      </c>
      <c r="S15" s="131">
        <v>279001058</v>
      </c>
      <c r="T15" s="131">
        <v>279001058</v>
      </c>
      <c r="U15" s="131">
        <v>279001058</v>
      </c>
      <c r="V15" s="131">
        <v>279001058</v>
      </c>
      <c r="W15" s="131">
        <v>279001058</v>
      </c>
      <c r="X15" s="131">
        <v>279001058</v>
      </c>
      <c r="Y15" s="131">
        <v>279001058</v>
      </c>
      <c r="Z15" s="131">
        <v>279001058</v>
      </c>
      <c r="AA15" s="131">
        <v>279001058</v>
      </c>
      <c r="AB15" s="131">
        <v>279001058</v>
      </c>
      <c r="AC15" s="131">
        <v>279001058</v>
      </c>
      <c r="AD15" s="131">
        <v>279001058</v>
      </c>
      <c r="AE15" s="131">
        <v>279001058</v>
      </c>
      <c r="AF15" s="131">
        <v>279001058</v>
      </c>
    </row>
    <row r="16" spans="1:32" ht="12.75">
      <c r="A16" s="6">
        <v>5</v>
      </c>
      <c r="B16" s="10" t="s">
        <v>30</v>
      </c>
      <c r="C16" s="71">
        <f>C17+C18+C19</f>
        <v>28741928</v>
      </c>
      <c r="D16" s="71">
        <f t="shared" ref="D16:O16" si="6">D17+D18+D19</f>
        <v>28741928</v>
      </c>
      <c r="E16" s="71">
        <f t="shared" si="6"/>
        <v>28781528</v>
      </c>
      <c r="F16" s="71">
        <f t="shared" si="6"/>
        <v>24756888</v>
      </c>
      <c r="G16" s="71">
        <f t="shared" si="6"/>
        <v>25020226</v>
      </c>
      <c r="H16" s="71">
        <f t="shared" si="6"/>
        <v>26631261</v>
      </c>
      <c r="I16" s="71">
        <f t="shared" si="6"/>
        <v>26631261</v>
      </c>
      <c r="J16" s="71">
        <f t="shared" si="6"/>
        <v>26640315</v>
      </c>
      <c r="K16" s="71">
        <f t="shared" si="6"/>
        <v>28172061</v>
      </c>
      <c r="L16" s="71">
        <f t="shared" si="6"/>
        <v>28172061</v>
      </c>
      <c r="M16" s="71">
        <f t="shared" si="6"/>
        <v>28245554</v>
      </c>
      <c r="N16" s="71">
        <f t="shared" si="6"/>
        <v>29748787</v>
      </c>
      <c r="O16" s="71">
        <f t="shared" si="6"/>
        <v>23421537</v>
      </c>
      <c r="P16" s="71">
        <f t="shared" ref="P16:AF16" si="7">P17+P18+P19</f>
        <v>23421538</v>
      </c>
      <c r="Q16" s="71">
        <f t="shared" si="7"/>
        <v>23421539</v>
      </c>
      <c r="R16" s="71">
        <f t="shared" si="7"/>
        <v>23421540</v>
      </c>
      <c r="S16" s="71">
        <f t="shared" si="7"/>
        <v>23421541</v>
      </c>
      <c r="T16" s="71">
        <f t="shared" si="7"/>
        <v>23421542</v>
      </c>
      <c r="U16" s="71">
        <f t="shared" si="7"/>
        <v>23421543</v>
      </c>
      <c r="V16" s="71">
        <f t="shared" si="7"/>
        <v>23421544</v>
      </c>
      <c r="W16" s="71">
        <f t="shared" si="7"/>
        <v>23421545</v>
      </c>
      <c r="X16" s="71">
        <f t="shared" si="7"/>
        <v>23421546</v>
      </c>
      <c r="Y16" s="71">
        <f t="shared" si="7"/>
        <v>23421547</v>
      </c>
      <c r="Z16" s="71">
        <f t="shared" si="7"/>
        <v>23421548</v>
      </c>
      <c r="AA16" s="71">
        <f t="shared" si="7"/>
        <v>23421549</v>
      </c>
      <c r="AB16" s="71">
        <f t="shared" si="7"/>
        <v>23421550</v>
      </c>
      <c r="AC16" s="71">
        <f t="shared" si="7"/>
        <v>23421551</v>
      </c>
      <c r="AD16" s="71">
        <f t="shared" si="7"/>
        <v>23421552</v>
      </c>
      <c r="AE16" s="71">
        <f t="shared" si="7"/>
        <v>23421553</v>
      </c>
      <c r="AF16" s="71">
        <f t="shared" si="7"/>
        <v>23421554</v>
      </c>
    </row>
    <row r="17" spans="1:32" ht="12.75">
      <c r="A17" s="11">
        <v>5.0999999999999996</v>
      </c>
      <c r="B17" s="7" t="s">
        <v>31</v>
      </c>
      <c r="C17" s="9">
        <v>28741928</v>
      </c>
      <c r="D17" s="9">
        <v>28741928</v>
      </c>
      <c r="E17" s="9">
        <v>28781528</v>
      </c>
      <c r="F17" s="9">
        <v>24756888</v>
      </c>
      <c r="G17" s="9">
        <v>25020226</v>
      </c>
      <c r="H17" s="9">
        <v>26631261</v>
      </c>
      <c r="I17" s="104">
        <v>26631261</v>
      </c>
      <c r="J17" s="9">
        <v>26640315</v>
      </c>
      <c r="K17" s="9">
        <v>28172061</v>
      </c>
      <c r="L17" s="9">
        <v>28172061</v>
      </c>
      <c r="M17" s="9">
        <v>28245554</v>
      </c>
      <c r="N17" s="9">
        <v>29748787</v>
      </c>
      <c r="O17" s="9">
        <v>23421537</v>
      </c>
      <c r="P17" s="9">
        <v>23421538</v>
      </c>
      <c r="Q17" s="9">
        <v>23421539</v>
      </c>
      <c r="R17" s="9">
        <v>23421540</v>
      </c>
      <c r="S17" s="9">
        <v>23421541</v>
      </c>
      <c r="T17" s="9">
        <v>23421542</v>
      </c>
      <c r="U17" s="9">
        <v>23421543</v>
      </c>
      <c r="V17" s="9">
        <v>23421544</v>
      </c>
      <c r="W17" s="9">
        <v>23421545</v>
      </c>
      <c r="X17" s="9">
        <v>23421546</v>
      </c>
      <c r="Y17" s="9">
        <v>23421547</v>
      </c>
      <c r="Z17" s="9">
        <v>23421548</v>
      </c>
      <c r="AA17" s="9">
        <v>23421549</v>
      </c>
      <c r="AB17" s="9">
        <v>23421550</v>
      </c>
      <c r="AC17" s="9">
        <v>23421551</v>
      </c>
      <c r="AD17" s="9">
        <v>23421552</v>
      </c>
      <c r="AE17" s="9">
        <v>23421553</v>
      </c>
      <c r="AF17" s="9">
        <v>23421554</v>
      </c>
    </row>
    <row r="18" spans="1:32" ht="12.75">
      <c r="A18" s="11">
        <v>5.2</v>
      </c>
      <c r="B18" s="7" t="s">
        <v>32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105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ht="12.75">
      <c r="A19" s="11">
        <v>5.3</v>
      </c>
      <c r="B19" s="7" t="s">
        <v>33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5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ht="12.75">
      <c r="A20" s="6">
        <v>6</v>
      </c>
      <c r="B20" s="10" t="s">
        <v>34</v>
      </c>
      <c r="C20" s="86">
        <f t="shared" ref="C20:O20" si="8">SUM(C21:C25)</f>
        <v>2261228762.8800001</v>
      </c>
      <c r="D20" s="86">
        <f t="shared" si="8"/>
        <v>2265381497.3400002</v>
      </c>
      <c r="E20" s="86">
        <f t="shared" si="8"/>
        <v>2289441150.3400002</v>
      </c>
      <c r="F20" s="86">
        <f t="shared" si="8"/>
        <v>2258113220.6800003</v>
      </c>
      <c r="G20" s="86">
        <f t="shared" si="8"/>
        <v>2247617174.6300001</v>
      </c>
      <c r="H20" s="86">
        <f t="shared" si="8"/>
        <v>2275924606.8699999</v>
      </c>
      <c r="I20" s="86">
        <f t="shared" si="8"/>
        <v>2245250948.6300001</v>
      </c>
      <c r="J20" s="86">
        <f t="shared" si="8"/>
        <v>2219411856.96</v>
      </c>
      <c r="K20" s="86">
        <f t="shared" si="8"/>
        <v>2176628155.21</v>
      </c>
      <c r="L20" s="86">
        <f t="shared" si="8"/>
        <v>2154249089.4299998</v>
      </c>
      <c r="M20" s="86">
        <f t="shared" si="8"/>
        <v>2126289724.02</v>
      </c>
      <c r="N20" s="86">
        <f t="shared" si="8"/>
        <v>2097395358.2</v>
      </c>
      <c r="O20" s="86">
        <f t="shared" si="8"/>
        <v>1235037977.1599998</v>
      </c>
      <c r="P20" s="86">
        <f t="shared" ref="P20:AF20" si="9">SUM(P21:P25)</f>
        <v>1235037977.1599998</v>
      </c>
      <c r="Q20" s="86">
        <f t="shared" si="9"/>
        <v>1235037977.1599998</v>
      </c>
      <c r="R20" s="86">
        <f t="shared" si="9"/>
        <v>1235037977.1599998</v>
      </c>
      <c r="S20" s="86">
        <f t="shared" si="9"/>
        <v>1235037977.1599998</v>
      </c>
      <c r="T20" s="86">
        <f t="shared" si="9"/>
        <v>1235037977.1599998</v>
      </c>
      <c r="U20" s="86">
        <f t="shared" si="9"/>
        <v>1235037977.1599998</v>
      </c>
      <c r="V20" s="86">
        <f t="shared" si="9"/>
        <v>1235037977.1599998</v>
      </c>
      <c r="W20" s="86">
        <f t="shared" si="9"/>
        <v>1235037977.1599998</v>
      </c>
      <c r="X20" s="86">
        <f t="shared" si="9"/>
        <v>1235037977.1599998</v>
      </c>
      <c r="Y20" s="86">
        <f t="shared" si="9"/>
        <v>1235037977.1599998</v>
      </c>
      <c r="Z20" s="86">
        <f t="shared" si="9"/>
        <v>1235037977.1599998</v>
      </c>
      <c r="AA20" s="86">
        <f t="shared" si="9"/>
        <v>1235037977.1599998</v>
      </c>
      <c r="AB20" s="86">
        <f t="shared" si="9"/>
        <v>1235037977.1599998</v>
      </c>
      <c r="AC20" s="86">
        <f t="shared" si="9"/>
        <v>1235037977.1599998</v>
      </c>
      <c r="AD20" s="86">
        <f t="shared" si="9"/>
        <v>1235037977.1599998</v>
      </c>
      <c r="AE20" s="86">
        <f t="shared" si="9"/>
        <v>1235037977.1599998</v>
      </c>
      <c r="AF20" s="86">
        <f t="shared" si="9"/>
        <v>1235037977.1599998</v>
      </c>
    </row>
    <row r="21" spans="1:32" ht="12.75">
      <c r="A21" s="11">
        <v>6.1</v>
      </c>
      <c r="B21" s="7" t="s">
        <v>35</v>
      </c>
      <c r="C21" s="9">
        <v>292282109.87</v>
      </c>
      <c r="D21" s="9">
        <v>291467953.56999999</v>
      </c>
      <c r="E21" s="9">
        <v>290653797.26999998</v>
      </c>
      <c r="F21" s="9">
        <v>289839640.97000003</v>
      </c>
      <c r="G21" s="9">
        <v>289025484.67000002</v>
      </c>
      <c r="H21" s="9">
        <v>288211328.37</v>
      </c>
      <c r="I21" s="104">
        <v>287397172.06999999</v>
      </c>
      <c r="J21" s="9">
        <v>286583015.76999998</v>
      </c>
      <c r="K21" s="9">
        <v>285768859.47000003</v>
      </c>
      <c r="L21" s="9">
        <v>284954703.17000002</v>
      </c>
      <c r="M21" s="9">
        <v>284140546.87</v>
      </c>
      <c r="N21" s="9">
        <v>283326390.56999999</v>
      </c>
      <c r="O21" s="9">
        <v>283326390.56999999</v>
      </c>
      <c r="P21" s="9">
        <v>283326390.56999999</v>
      </c>
      <c r="Q21" s="9">
        <v>283326390.56999999</v>
      </c>
      <c r="R21" s="9">
        <v>283326390.56999999</v>
      </c>
      <c r="S21" s="9">
        <v>283326390.56999999</v>
      </c>
      <c r="T21" s="9">
        <v>283326390.56999999</v>
      </c>
      <c r="U21" s="9">
        <v>283326390.56999999</v>
      </c>
      <c r="V21" s="9">
        <v>283326390.56999999</v>
      </c>
      <c r="W21" s="9">
        <v>283326390.56999999</v>
      </c>
      <c r="X21" s="9">
        <v>283326390.56999999</v>
      </c>
      <c r="Y21" s="9">
        <v>283326390.56999999</v>
      </c>
      <c r="Z21" s="9">
        <v>283326390.56999999</v>
      </c>
      <c r="AA21" s="9">
        <v>283326390.56999999</v>
      </c>
      <c r="AB21" s="9">
        <v>283326390.56999999</v>
      </c>
      <c r="AC21" s="9">
        <v>283326390.56999999</v>
      </c>
      <c r="AD21" s="9">
        <v>283326390.56999999</v>
      </c>
      <c r="AE21" s="9">
        <v>283326390.56999999</v>
      </c>
      <c r="AF21" s="9">
        <v>283326390.56999999</v>
      </c>
    </row>
    <row r="22" spans="1:32" ht="12.75">
      <c r="A22" s="11">
        <v>6.2</v>
      </c>
      <c r="B22" s="7" t="s">
        <v>36</v>
      </c>
      <c r="C22" s="9">
        <v>911130383.12</v>
      </c>
      <c r="D22" s="9">
        <v>910315161.13999999</v>
      </c>
      <c r="E22" s="9">
        <v>909499939.15999997</v>
      </c>
      <c r="F22" s="9">
        <v>908684717.17999995</v>
      </c>
      <c r="G22" s="9">
        <v>907869495.20000005</v>
      </c>
      <c r="H22" s="9">
        <v>907054273.22000003</v>
      </c>
      <c r="I22" s="104">
        <v>906239051.24000001</v>
      </c>
      <c r="J22" s="9">
        <v>905423829.25999999</v>
      </c>
      <c r="K22" s="9">
        <v>904608607.27999997</v>
      </c>
      <c r="L22" s="9">
        <v>903793385.29999995</v>
      </c>
      <c r="M22" s="9">
        <v>902978163.32000005</v>
      </c>
      <c r="N22" s="9">
        <v>902162941.34000003</v>
      </c>
      <c r="O22" s="9">
        <v>922136847</v>
      </c>
      <c r="P22" s="9">
        <v>922136847</v>
      </c>
      <c r="Q22" s="9">
        <v>922136847</v>
      </c>
      <c r="R22" s="9">
        <v>922136847</v>
      </c>
      <c r="S22" s="9">
        <v>922136847</v>
      </c>
      <c r="T22" s="9">
        <v>922136847</v>
      </c>
      <c r="U22" s="9">
        <v>922136847</v>
      </c>
      <c r="V22" s="9">
        <v>922136847</v>
      </c>
      <c r="W22" s="9">
        <v>922136847</v>
      </c>
      <c r="X22" s="9">
        <v>922136847</v>
      </c>
      <c r="Y22" s="9">
        <v>922136847</v>
      </c>
      <c r="Z22" s="9">
        <v>922136847</v>
      </c>
      <c r="AA22" s="9">
        <v>922136847</v>
      </c>
      <c r="AB22" s="9">
        <v>922136847</v>
      </c>
      <c r="AC22" s="9">
        <v>922136847</v>
      </c>
      <c r="AD22" s="9">
        <v>922136847</v>
      </c>
      <c r="AE22" s="9">
        <v>922136847</v>
      </c>
      <c r="AF22" s="9">
        <v>922136847</v>
      </c>
    </row>
    <row r="23" spans="1:32" ht="12.75">
      <c r="A23" s="11">
        <v>6.3</v>
      </c>
      <c r="B23" s="7" t="s">
        <v>37</v>
      </c>
      <c r="C23" s="9">
        <v>14867672.01</v>
      </c>
      <c r="D23" s="9">
        <v>14826257.880000001</v>
      </c>
      <c r="E23" s="9">
        <v>14784843.75</v>
      </c>
      <c r="F23" s="9">
        <v>14743429.619999999</v>
      </c>
      <c r="G23" s="9">
        <v>14702015.49</v>
      </c>
      <c r="H23" s="9">
        <v>14660601.359999999</v>
      </c>
      <c r="I23" s="104">
        <v>14619187.23</v>
      </c>
      <c r="J23" s="9">
        <v>14577773.1</v>
      </c>
      <c r="K23" s="9">
        <v>14536358.970000001</v>
      </c>
      <c r="L23" s="9">
        <v>14494944.84</v>
      </c>
      <c r="M23" s="9">
        <v>14453530.710000001</v>
      </c>
      <c r="N23" s="9">
        <v>14412116.58</v>
      </c>
      <c r="O23" s="9">
        <v>14412116.58</v>
      </c>
      <c r="P23" s="9">
        <v>14412116.58</v>
      </c>
      <c r="Q23" s="9">
        <v>14412116.58</v>
      </c>
      <c r="R23" s="9">
        <v>14412116.58</v>
      </c>
      <c r="S23" s="9">
        <v>14412116.58</v>
      </c>
      <c r="T23" s="9">
        <v>14412116.58</v>
      </c>
      <c r="U23" s="9">
        <v>14412116.58</v>
      </c>
      <c r="V23" s="9">
        <v>14412116.58</v>
      </c>
      <c r="W23" s="9">
        <v>14412116.58</v>
      </c>
      <c r="X23" s="9">
        <v>14412116.58</v>
      </c>
      <c r="Y23" s="9">
        <v>14412116.58</v>
      </c>
      <c r="Z23" s="9">
        <v>14412116.58</v>
      </c>
      <c r="AA23" s="9">
        <v>14412116.58</v>
      </c>
      <c r="AB23" s="9">
        <v>14412116.58</v>
      </c>
      <c r="AC23" s="9">
        <v>14412116.58</v>
      </c>
      <c r="AD23" s="9">
        <v>14412116.58</v>
      </c>
      <c r="AE23" s="9">
        <v>14412116.58</v>
      </c>
      <c r="AF23" s="9">
        <v>14412116.58</v>
      </c>
    </row>
    <row r="24" spans="1:32" ht="12.75">
      <c r="A24" s="11">
        <v>6.4</v>
      </c>
      <c r="B24" s="7" t="s">
        <v>38</v>
      </c>
      <c r="C24" s="9">
        <v>8395745.4100000001</v>
      </c>
      <c r="D24" s="9">
        <v>17942523.800000001</v>
      </c>
      <c r="E24" s="9">
        <v>20303960.91</v>
      </c>
      <c r="F24" s="9">
        <v>20017479.940000001</v>
      </c>
      <c r="G24" s="9">
        <v>19072289.489999998</v>
      </c>
      <c r="H24" s="9">
        <v>18127099.039999999</v>
      </c>
      <c r="I24" s="104">
        <v>17181908.59</v>
      </c>
      <c r="J24" s="9">
        <v>16703384.810000001</v>
      </c>
      <c r="K24" s="9">
        <v>15741527.689999999</v>
      </c>
      <c r="L24" s="9">
        <v>14779670.57</v>
      </c>
      <c r="M24" s="9">
        <v>13817813.449999999</v>
      </c>
      <c r="N24" s="9">
        <v>15162623.01</v>
      </c>
      <c r="O24" s="9">
        <v>15162623.01</v>
      </c>
      <c r="P24" s="9">
        <v>15162623.01</v>
      </c>
      <c r="Q24" s="9">
        <v>15162623.01</v>
      </c>
      <c r="R24" s="9">
        <v>15162623.01</v>
      </c>
      <c r="S24" s="9">
        <v>15162623.01</v>
      </c>
      <c r="T24" s="9">
        <v>15162623.01</v>
      </c>
      <c r="U24" s="9">
        <v>15162623.01</v>
      </c>
      <c r="V24" s="9">
        <v>15162623.01</v>
      </c>
      <c r="W24" s="9">
        <v>15162623.01</v>
      </c>
      <c r="X24" s="9">
        <v>15162623.01</v>
      </c>
      <c r="Y24" s="9">
        <v>15162623.01</v>
      </c>
      <c r="Z24" s="9">
        <v>15162623.01</v>
      </c>
      <c r="AA24" s="9">
        <v>15162623.01</v>
      </c>
      <c r="AB24" s="9">
        <v>15162623.01</v>
      </c>
      <c r="AC24" s="9">
        <v>15162623.01</v>
      </c>
      <c r="AD24" s="9">
        <v>15162623.01</v>
      </c>
      <c r="AE24" s="9">
        <v>15162623.01</v>
      </c>
      <c r="AF24" s="9">
        <v>15162623.01</v>
      </c>
    </row>
    <row r="25" spans="1:32" ht="12.75">
      <c r="A25" s="11">
        <v>6.5</v>
      </c>
      <c r="B25" s="7" t="s">
        <v>39</v>
      </c>
      <c r="C25" s="9">
        <v>1034552852.47</v>
      </c>
      <c r="D25" s="9">
        <v>1030829600.95</v>
      </c>
      <c r="E25" s="9">
        <v>1054198609.25</v>
      </c>
      <c r="F25" s="9">
        <v>1024827952.97</v>
      </c>
      <c r="G25" s="9">
        <v>1016947889.78</v>
      </c>
      <c r="H25" s="9">
        <v>1047871304.88</v>
      </c>
      <c r="I25" s="104">
        <v>1019813629.5</v>
      </c>
      <c r="J25" s="9">
        <v>996123854.01999998</v>
      </c>
      <c r="K25" s="9">
        <v>955972801.79999995</v>
      </c>
      <c r="L25" s="9">
        <v>936226385.54999995</v>
      </c>
      <c r="M25" s="9">
        <v>910899669.66999996</v>
      </c>
      <c r="N25" s="9">
        <v>882331286.70000005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ht="12.75">
      <c r="A26" s="11"/>
      <c r="B26" s="10" t="s">
        <v>40</v>
      </c>
      <c r="C26" s="86">
        <f t="shared" ref="C26:O26" si="10">C4+C7+C8+C13+C16+C20</f>
        <v>8473725994.9899998</v>
      </c>
      <c r="D26" s="86">
        <f t="shared" si="10"/>
        <v>8446890962.5500002</v>
      </c>
      <c r="E26" s="86">
        <f t="shared" si="10"/>
        <v>8568838567.2600002</v>
      </c>
      <c r="F26" s="86">
        <f t="shared" si="10"/>
        <v>8422644058.4300003</v>
      </c>
      <c r="G26" s="86">
        <f t="shared" si="10"/>
        <v>8616595265.9699993</v>
      </c>
      <c r="H26" s="86">
        <f t="shared" si="10"/>
        <v>8725876239.9500008</v>
      </c>
      <c r="I26" s="86">
        <f t="shared" si="10"/>
        <v>8748499583.9500008</v>
      </c>
      <c r="J26" s="86">
        <f t="shared" si="10"/>
        <v>8863397195.8500004</v>
      </c>
      <c r="K26" s="86">
        <f t="shared" si="10"/>
        <v>8853524598.3600006</v>
      </c>
      <c r="L26" s="86">
        <f t="shared" si="10"/>
        <v>8884997785.4299984</v>
      </c>
      <c r="M26" s="86">
        <f t="shared" si="10"/>
        <v>8881244603.789999</v>
      </c>
      <c r="N26" s="86">
        <f t="shared" si="10"/>
        <v>9003157581.3700008</v>
      </c>
      <c r="O26" s="86">
        <f t="shared" si="10"/>
        <v>9103337522.1300011</v>
      </c>
      <c r="P26" s="86">
        <f t="shared" ref="P26:AF26" si="11">P4+P7+P8+P13+P16+P20</f>
        <v>9103337524.1300011</v>
      </c>
      <c r="Q26" s="86">
        <f t="shared" si="11"/>
        <v>9103337526.1300011</v>
      </c>
      <c r="R26" s="86">
        <f t="shared" si="11"/>
        <v>9103337528.1300011</v>
      </c>
      <c r="S26" s="86">
        <f t="shared" si="11"/>
        <v>9103337530.1300011</v>
      </c>
      <c r="T26" s="86">
        <f t="shared" si="11"/>
        <v>9103337532.1300011</v>
      </c>
      <c r="U26" s="86">
        <f t="shared" si="11"/>
        <v>9103337534.1300011</v>
      </c>
      <c r="V26" s="86">
        <f t="shared" si="11"/>
        <v>9103337536.1300011</v>
      </c>
      <c r="W26" s="86">
        <f t="shared" si="11"/>
        <v>9103337538.1300011</v>
      </c>
      <c r="X26" s="86">
        <f t="shared" si="11"/>
        <v>9103337540.1300011</v>
      </c>
      <c r="Y26" s="86">
        <f t="shared" si="11"/>
        <v>9103337542.1300011</v>
      </c>
      <c r="Z26" s="86">
        <f t="shared" si="11"/>
        <v>9103337544.1300011</v>
      </c>
      <c r="AA26" s="86">
        <f t="shared" si="11"/>
        <v>9103337546.1300011</v>
      </c>
      <c r="AB26" s="86">
        <f t="shared" si="11"/>
        <v>9103337548.1300011</v>
      </c>
      <c r="AC26" s="86">
        <f t="shared" si="11"/>
        <v>9103337550.1300011</v>
      </c>
      <c r="AD26" s="86">
        <f t="shared" si="11"/>
        <v>9103337552.1300011</v>
      </c>
      <c r="AE26" s="86">
        <f t="shared" si="11"/>
        <v>9103337554.1300011</v>
      </c>
      <c r="AF26" s="86">
        <f t="shared" si="11"/>
        <v>9103337556.1300011</v>
      </c>
    </row>
    <row r="27" spans="1:32" ht="12.75">
      <c r="A27" s="11">
        <v>7</v>
      </c>
      <c r="B27" s="7" t="s">
        <v>41</v>
      </c>
      <c r="C27" s="9">
        <v>249333909.97999999</v>
      </c>
      <c r="D27" s="9">
        <v>250707182.36000001</v>
      </c>
      <c r="E27" s="9">
        <v>248704345.88</v>
      </c>
      <c r="F27" s="9">
        <v>371663427.19</v>
      </c>
      <c r="G27" s="9">
        <v>332366234.42000002</v>
      </c>
      <c r="H27" s="9">
        <v>357641623.86000001</v>
      </c>
      <c r="I27" s="104">
        <v>312088339.42000002</v>
      </c>
      <c r="J27" s="9">
        <v>303473699.69</v>
      </c>
      <c r="K27" s="9">
        <v>288294962.91000003</v>
      </c>
      <c r="L27" s="9">
        <v>280980147.70999998</v>
      </c>
      <c r="M27" s="9">
        <v>279854560.80000001</v>
      </c>
      <c r="N27" s="9">
        <v>292235050.06</v>
      </c>
      <c r="O27" s="9">
        <v>292235050.06</v>
      </c>
      <c r="P27" s="9">
        <v>292235050.06</v>
      </c>
      <c r="Q27" s="9">
        <v>292235050.06</v>
      </c>
      <c r="R27" s="9">
        <v>292235050.06</v>
      </c>
      <c r="S27" s="9">
        <v>292235050.06</v>
      </c>
      <c r="T27" s="9">
        <v>292235050.06</v>
      </c>
      <c r="U27" s="9">
        <v>292235050.06</v>
      </c>
      <c r="V27" s="9">
        <v>292235050.06</v>
      </c>
      <c r="W27" s="9">
        <v>292235050.06</v>
      </c>
      <c r="X27" s="9">
        <v>292235050.06</v>
      </c>
      <c r="Y27" s="9">
        <v>292235050.06</v>
      </c>
      <c r="Z27" s="9">
        <v>292235050.06</v>
      </c>
      <c r="AA27" s="9">
        <v>292235050.06</v>
      </c>
      <c r="AB27" s="9">
        <v>292235050.06</v>
      </c>
      <c r="AC27" s="9">
        <v>292235050.06</v>
      </c>
      <c r="AD27" s="9">
        <v>292235050.06</v>
      </c>
      <c r="AE27" s="9">
        <v>292235050.06</v>
      </c>
      <c r="AF27" s="9">
        <v>292235050.06</v>
      </c>
    </row>
    <row r="28" spans="1:32" ht="12.75">
      <c r="A28" s="11">
        <v>8</v>
      </c>
      <c r="B28" s="7" t="s">
        <v>42</v>
      </c>
      <c r="C28" s="9">
        <v>0</v>
      </c>
      <c r="D28" s="9">
        <v>0</v>
      </c>
      <c r="E28" s="9">
        <v>0</v>
      </c>
      <c r="F28" s="9">
        <v>0</v>
      </c>
      <c r="G28" s="9">
        <v>394000</v>
      </c>
      <c r="H28" s="9">
        <v>7494000</v>
      </c>
      <c r="I28" s="104">
        <v>8039000</v>
      </c>
      <c r="J28" s="9">
        <v>9295000</v>
      </c>
      <c r="K28" s="9">
        <v>10158099.66</v>
      </c>
      <c r="L28" s="9">
        <v>9856066.7200000007</v>
      </c>
      <c r="M28" s="9">
        <v>10628184.24</v>
      </c>
      <c r="N28" s="9">
        <v>21109325.609999999</v>
      </c>
      <c r="O28" s="9">
        <v>21109325.609999999</v>
      </c>
      <c r="P28" s="9">
        <v>21109325.609999999</v>
      </c>
      <c r="Q28" s="9">
        <v>21109325.609999999</v>
      </c>
      <c r="R28" s="9">
        <v>21109325.609999999</v>
      </c>
      <c r="S28" s="9">
        <v>21109325.609999999</v>
      </c>
      <c r="T28" s="9">
        <v>21109325.609999999</v>
      </c>
      <c r="U28" s="9">
        <v>21109325.609999999</v>
      </c>
      <c r="V28" s="9">
        <v>21109325.609999999</v>
      </c>
      <c r="W28" s="9">
        <v>21109325.609999999</v>
      </c>
      <c r="X28" s="9">
        <v>21109325.609999999</v>
      </c>
      <c r="Y28" s="9">
        <v>21109325.609999999</v>
      </c>
      <c r="Z28" s="9">
        <v>21109325.609999999</v>
      </c>
      <c r="AA28" s="9">
        <v>21109325.609999999</v>
      </c>
      <c r="AB28" s="9">
        <v>21109325.609999999</v>
      </c>
      <c r="AC28" s="9">
        <v>21109325.609999999</v>
      </c>
      <c r="AD28" s="9">
        <v>21109325.609999999</v>
      </c>
      <c r="AE28" s="9">
        <v>21109325.609999999</v>
      </c>
      <c r="AF28" s="9">
        <v>21109325.609999999</v>
      </c>
    </row>
    <row r="29" spans="1:32" ht="12.75">
      <c r="A29" s="11">
        <v>9</v>
      </c>
      <c r="B29" s="7" t="s">
        <v>43</v>
      </c>
      <c r="C29" s="9">
        <v>6370738478.3100004</v>
      </c>
      <c r="D29" s="9">
        <v>6386834874.6099997</v>
      </c>
      <c r="E29" s="9">
        <v>6390516697.0200005</v>
      </c>
      <c r="F29" s="9">
        <v>6324672788.79</v>
      </c>
      <c r="G29" s="9">
        <v>6348092712.5</v>
      </c>
      <c r="H29" s="9">
        <v>6363003003.7700005</v>
      </c>
      <c r="I29" s="104">
        <v>6373671119.71</v>
      </c>
      <c r="J29" s="9">
        <v>6387211665.2700005</v>
      </c>
      <c r="K29" s="9">
        <v>6379073651.6199999</v>
      </c>
      <c r="L29" s="9">
        <v>6390194013.4099998</v>
      </c>
      <c r="M29" s="9">
        <v>6382164539.0100002</v>
      </c>
      <c r="N29" s="9">
        <v>6370731512.3699999</v>
      </c>
      <c r="O29" s="9">
        <v>6370731512.3699999</v>
      </c>
      <c r="P29" s="9">
        <v>6370731512.3699999</v>
      </c>
      <c r="Q29" s="9">
        <v>6370731512.3699999</v>
      </c>
      <c r="R29" s="9">
        <v>6370731512.3699999</v>
      </c>
      <c r="S29" s="9">
        <v>6370731512.3699999</v>
      </c>
      <c r="T29" s="9">
        <v>6370731512.3699999</v>
      </c>
      <c r="U29" s="9">
        <v>6370731512.3699999</v>
      </c>
      <c r="V29" s="9">
        <v>6370731512.3699999</v>
      </c>
      <c r="W29" s="9">
        <v>6370731512.3699999</v>
      </c>
      <c r="X29" s="9">
        <v>6370731512.3699999</v>
      </c>
      <c r="Y29" s="9">
        <v>6370731512.3699999</v>
      </c>
      <c r="Z29" s="9">
        <v>6370731512.3699999</v>
      </c>
      <c r="AA29" s="9">
        <v>6370731512.3699999</v>
      </c>
      <c r="AB29" s="9">
        <v>6370731512.3699999</v>
      </c>
      <c r="AC29" s="9">
        <v>6370731512.3699999</v>
      </c>
      <c r="AD29" s="9">
        <v>6370731512.3699999</v>
      </c>
      <c r="AE29" s="9">
        <v>6370731512.3699999</v>
      </c>
      <c r="AF29" s="9">
        <v>6370731512.3699999</v>
      </c>
    </row>
    <row r="30" spans="1:32" ht="12.75">
      <c r="A30" s="11"/>
      <c r="B30" s="10" t="s">
        <v>44</v>
      </c>
      <c r="C30" s="86">
        <f t="shared" ref="C30:E30" si="12">SUM(C27:C29)</f>
        <v>6620072388.29</v>
      </c>
      <c r="D30" s="86">
        <f t="shared" si="12"/>
        <v>6637542056.9699993</v>
      </c>
      <c r="E30" s="86">
        <f t="shared" si="12"/>
        <v>6639221042.9000006</v>
      </c>
      <c r="F30" s="86">
        <f t="shared" ref="F30:I30" si="13">SUM(F27:F29)</f>
        <v>6696336215.9799995</v>
      </c>
      <c r="G30" s="86">
        <f t="shared" si="13"/>
        <v>6680852946.9200001</v>
      </c>
      <c r="H30" s="86">
        <f t="shared" si="13"/>
        <v>6728138627.6300001</v>
      </c>
      <c r="I30" s="86">
        <f t="shared" si="13"/>
        <v>6693798459.1300001</v>
      </c>
      <c r="J30" s="86">
        <f t="shared" ref="J30:O30" si="14">SUM(J27:J29)</f>
        <v>6699980364.96</v>
      </c>
      <c r="K30" s="86">
        <f t="shared" si="14"/>
        <v>6677526714.1899996</v>
      </c>
      <c r="L30" s="86">
        <f t="shared" si="14"/>
        <v>6681030227.8400002</v>
      </c>
      <c r="M30" s="86">
        <f t="shared" si="14"/>
        <v>6672647284.0500002</v>
      </c>
      <c r="N30" s="86">
        <f t="shared" si="14"/>
        <v>6684075888.04</v>
      </c>
      <c r="O30" s="86">
        <f t="shared" si="14"/>
        <v>6684075888.04</v>
      </c>
      <c r="P30" s="86">
        <f t="shared" ref="P30:AF30" si="15">SUM(P27:P29)</f>
        <v>6684075888.04</v>
      </c>
      <c r="Q30" s="86">
        <f t="shared" si="15"/>
        <v>6684075888.04</v>
      </c>
      <c r="R30" s="86">
        <f t="shared" si="15"/>
        <v>6684075888.04</v>
      </c>
      <c r="S30" s="86">
        <f t="shared" si="15"/>
        <v>6684075888.04</v>
      </c>
      <c r="T30" s="86">
        <f t="shared" si="15"/>
        <v>6684075888.04</v>
      </c>
      <c r="U30" s="86">
        <f t="shared" si="15"/>
        <v>6684075888.04</v>
      </c>
      <c r="V30" s="86">
        <f t="shared" si="15"/>
        <v>6684075888.04</v>
      </c>
      <c r="W30" s="86">
        <f t="shared" si="15"/>
        <v>6684075888.04</v>
      </c>
      <c r="X30" s="86">
        <f t="shared" si="15"/>
        <v>6684075888.04</v>
      </c>
      <c r="Y30" s="86">
        <f t="shared" si="15"/>
        <v>6684075888.04</v>
      </c>
      <c r="Z30" s="86">
        <f t="shared" si="15"/>
        <v>6684075888.04</v>
      </c>
      <c r="AA30" s="86">
        <f t="shared" si="15"/>
        <v>6684075888.04</v>
      </c>
      <c r="AB30" s="86">
        <f t="shared" si="15"/>
        <v>6684075888.04</v>
      </c>
      <c r="AC30" s="86">
        <f t="shared" si="15"/>
        <v>6684075888.04</v>
      </c>
      <c r="AD30" s="86">
        <f t="shared" si="15"/>
        <v>6684075888.04</v>
      </c>
      <c r="AE30" s="86">
        <f t="shared" si="15"/>
        <v>6684075888.04</v>
      </c>
      <c r="AF30" s="86">
        <f t="shared" si="15"/>
        <v>6684075888.04</v>
      </c>
    </row>
    <row r="31" spans="1:32" ht="12.75">
      <c r="A31" s="11">
        <v>10</v>
      </c>
      <c r="B31" s="10" t="s">
        <v>45</v>
      </c>
      <c r="C31" s="12">
        <f t="shared" ref="C31:E31" si="16">SUM(C32:C37)</f>
        <v>598914065.76999998</v>
      </c>
      <c r="D31" s="12">
        <f t="shared" si="16"/>
        <v>566097925.38</v>
      </c>
      <c r="E31" s="12">
        <f t="shared" si="16"/>
        <v>574936834.77999997</v>
      </c>
      <c r="F31" s="12">
        <f t="shared" ref="F31:I31" si="17">SUM(F32:F37)</f>
        <v>567123013.65999997</v>
      </c>
      <c r="G31" s="12">
        <f t="shared" si="17"/>
        <v>778788418.55999994</v>
      </c>
      <c r="H31" s="12">
        <f t="shared" si="17"/>
        <v>847009552.1500001</v>
      </c>
      <c r="I31" s="12">
        <f t="shared" si="17"/>
        <v>877205645.05999994</v>
      </c>
      <c r="J31" s="12">
        <f t="shared" ref="J31:O31" si="18">SUM(J32:J37)</f>
        <v>967877780.15999997</v>
      </c>
      <c r="K31" s="12">
        <f t="shared" si="18"/>
        <v>943188335.31000006</v>
      </c>
      <c r="L31" s="12">
        <f t="shared" si="18"/>
        <v>944310620.75999999</v>
      </c>
      <c r="M31" s="12">
        <f t="shared" si="18"/>
        <v>919873584.73000002</v>
      </c>
      <c r="N31" s="12">
        <f t="shared" si="18"/>
        <v>916913975.11000001</v>
      </c>
      <c r="O31" s="12">
        <f t="shared" si="18"/>
        <v>1219517643.3499999</v>
      </c>
      <c r="P31" s="12">
        <f t="shared" ref="P31:AF31" si="19">SUM(P32:P37)</f>
        <v>1219517643.3499999</v>
      </c>
      <c r="Q31" s="12">
        <f t="shared" si="19"/>
        <v>1219517643.3499999</v>
      </c>
      <c r="R31" s="12">
        <f t="shared" si="19"/>
        <v>1219517643.3499999</v>
      </c>
      <c r="S31" s="12">
        <f t="shared" si="19"/>
        <v>1219517643.3499999</v>
      </c>
      <c r="T31" s="12">
        <f t="shared" si="19"/>
        <v>1219517643.3499999</v>
      </c>
      <c r="U31" s="12">
        <f t="shared" si="19"/>
        <v>1219517643.3499999</v>
      </c>
      <c r="V31" s="12">
        <f t="shared" si="19"/>
        <v>1219517643.3499999</v>
      </c>
      <c r="W31" s="12">
        <f t="shared" si="19"/>
        <v>1219517643.3499999</v>
      </c>
      <c r="X31" s="12">
        <f t="shared" si="19"/>
        <v>1219517643.3499999</v>
      </c>
      <c r="Y31" s="12">
        <f t="shared" si="19"/>
        <v>1219517643.3499999</v>
      </c>
      <c r="Z31" s="12">
        <f t="shared" si="19"/>
        <v>1219517643.3499999</v>
      </c>
      <c r="AA31" s="12">
        <f t="shared" si="19"/>
        <v>1219517643.3499999</v>
      </c>
      <c r="AB31" s="12">
        <f t="shared" si="19"/>
        <v>1219517643.3499999</v>
      </c>
      <c r="AC31" s="12">
        <f t="shared" si="19"/>
        <v>1219517643.3499999</v>
      </c>
      <c r="AD31" s="12">
        <f t="shared" si="19"/>
        <v>1219517643.3499999</v>
      </c>
      <c r="AE31" s="12">
        <f t="shared" si="19"/>
        <v>1219517643.3499999</v>
      </c>
      <c r="AF31" s="12">
        <f t="shared" si="19"/>
        <v>1219517643.3499999</v>
      </c>
    </row>
    <row r="32" spans="1:32" ht="12.75">
      <c r="A32" s="11">
        <v>10.1</v>
      </c>
      <c r="B32" s="7" t="s">
        <v>46</v>
      </c>
      <c r="C32" s="12">
        <v>0</v>
      </c>
      <c r="D32" s="12">
        <v>0</v>
      </c>
      <c r="E32" s="12">
        <v>0</v>
      </c>
      <c r="F32" s="9">
        <v>0</v>
      </c>
      <c r="G32" s="12">
        <v>0</v>
      </c>
      <c r="H32" s="12">
        <v>0</v>
      </c>
      <c r="I32" s="105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ht="12.75">
      <c r="A33" s="11">
        <v>10.199999999999999</v>
      </c>
      <c r="B33" s="7" t="s">
        <v>47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105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298281586</v>
      </c>
      <c r="P33" s="9">
        <v>298281586</v>
      </c>
      <c r="Q33" s="9">
        <v>298281586</v>
      </c>
      <c r="R33" s="9">
        <v>298281586</v>
      </c>
      <c r="S33" s="9">
        <v>298281586</v>
      </c>
      <c r="T33" s="9">
        <v>298281586</v>
      </c>
      <c r="U33" s="9">
        <v>298281586</v>
      </c>
      <c r="V33" s="9">
        <v>298281586</v>
      </c>
      <c r="W33" s="9">
        <v>298281586</v>
      </c>
      <c r="X33" s="9">
        <v>298281586</v>
      </c>
      <c r="Y33" s="9">
        <v>298281586</v>
      </c>
      <c r="Z33" s="9">
        <v>298281586</v>
      </c>
      <c r="AA33" s="9">
        <v>298281586</v>
      </c>
      <c r="AB33" s="9">
        <v>298281586</v>
      </c>
      <c r="AC33" s="9">
        <v>298281586</v>
      </c>
      <c r="AD33" s="9">
        <v>298281586</v>
      </c>
      <c r="AE33" s="9">
        <v>298281586</v>
      </c>
      <c r="AF33" s="9">
        <v>298281586</v>
      </c>
    </row>
    <row r="34" spans="1:32" ht="12.75">
      <c r="A34" s="11">
        <v>10.3</v>
      </c>
      <c r="B34" s="7" t="s">
        <v>48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105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1235123</v>
      </c>
      <c r="P34" s="9">
        <v>1235123</v>
      </c>
      <c r="Q34" s="9">
        <v>1235123</v>
      </c>
      <c r="R34" s="9">
        <v>1235123</v>
      </c>
      <c r="S34" s="9">
        <v>1235123</v>
      </c>
      <c r="T34" s="9">
        <v>1235123</v>
      </c>
      <c r="U34" s="9">
        <v>1235123</v>
      </c>
      <c r="V34" s="9">
        <v>1235123</v>
      </c>
      <c r="W34" s="9">
        <v>1235123</v>
      </c>
      <c r="X34" s="9">
        <v>1235123</v>
      </c>
      <c r="Y34" s="9">
        <v>1235123</v>
      </c>
      <c r="Z34" s="9">
        <v>1235123</v>
      </c>
      <c r="AA34" s="9">
        <v>1235123</v>
      </c>
      <c r="AB34" s="9">
        <v>1235123</v>
      </c>
      <c r="AC34" s="9">
        <v>1235123</v>
      </c>
      <c r="AD34" s="9">
        <v>1235123</v>
      </c>
      <c r="AE34" s="9">
        <v>1235123</v>
      </c>
      <c r="AF34" s="9">
        <v>1235123</v>
      </c>
    </row>
    <row r="35" spans="1:32" ht="12.75">
      <c r="A35" s="11">
        <v>10.4</v>
      </c>
      <c r="B35" s="7" t="s">
        <v>49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105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ht="12.75">
      <c r="A36" s="11">
        <v>10.5</v>
      </c>
      <c r="B36" s="7" t="s">
        <v>50</v>
      </c>
      <c r="C36" s="9">
        <v>111414045.78</v>
      </c>
      <c r="D36" s="9">
        <v>93521444.769999996</v>
      </c>
      <c r="E36" s="9">
        <v>112862054.84999999</v>
      </c>
      <c r="F36" s="103">
        <v>115549934.41</v>
      </c>
      <c r="G36" s="9">
        <v>156998736.28</v>
      </c>
      <c r="H36" s="9">
        <v>207283540.33000001</v>
      </c>
      <c r="I36" s="104">
        <v>172979876.69</v>
      </c>
      <c r="J36" s="18">
        <v>178711113.49000001</v>
      </c>
      <c r="K36" s="18">
        <v>164855001.97</v>
      </c>
      <c r="L36" s="18">
        <v>176830149.08000001</v>
      </c>
      <c r="M36" s="18">
        <v>163481165.53999999</v>
      </c>
      <c r="N36" s="18">
        <v>321080641.75999999</v>
      </c>
      <c r="O36" s="9">
        <v>324167601</v>
      </c>
      <c r="P36" s="9">
        <v>324167601</v>
      </c>
      <c r="Q36" s="9">
        <v>324167601</v>
      </c>
      <c r="R36" s="9">
        <v>324167601</v>
      </c>
      <c r="S36" s="9">
        <v>324167601</v>
      </c>
      <c r="T36" s="9">
        <v>324167601</v>
      </c>
      <c r="U36" s="9">
        <v>324167601</v>
      </c>
      <c r="V36" s="9">
        <v>324167601</v>
      </c>
      <c r="W36" s="9">
        <v>324167601</v>
      </c>
      <c r="X36" s="9">
        <v>324167601</v>
      </c>
      <c r="Y36" s="9">
        <v>324167601</v>
      </c>
      <c r="Z36" s="9">
        <v>324167601</v>
      </c>
      <c r="AA36" s="9">
        <v>324167601</v>
      </c>
      <c r="AB36" s="9">
        <v>324167601</v>
      </c>
      <c r="AC36" s="9">
        <v>324167601</v>
      </c>
      <c r="AD36" s="9">
        <v>324167601</v>
      </c>
      <c r="AE36" s="9">
        <v>324167601</v>
      </c>
      <c r="AF36" s="9">
        <v>324167601</v>
      </c>
    </row>
    <row r="37" spans="1:32" ht="12.75">
      <c r="A37" s="11">
        <v>10.6</v>
      </c>
      <c r="B37" s="7" t="s">
        <v>51</v>
      </c>
      <c r="C37" s="73">
        <v>487500019.99000001</v>
      </c>
      <c r="D37" s="73">
        <v>472576480.61000001</v>
      </c>
      <c r="E37" s="73">
        <v>462074779.93000001</v>
      </c>
      <c r="F37" s="75">
        <v>451573079.25</v>
      </c>
      <c r="G37" s="18">
        <v>621789682.27999997</v>
      </c>
      <c r="H37" s="18">
        <v>639726011.82000005</v>
      </c>
      <c r="I37" s="104">
        <v>704225768.37</v>
      </c>
      <c r="J37" s="9">
        <v>789166666.66999996</v>
      </c>
      <c r="K37" s="9">
        <v>778333333.34000003</v>
      </c>
      <c r="L37" s="9">
        <v>767480471.67999995</v>
      </c>
      <c r="M37" s="9">
        <v>756392419.19000006</v>
      </c>
      <c r="N37" s="9">
        <v>595833333.35000002</v>
      </c>
      <c r="O37" s="9">
        <v>595833333.35000002</v>
      </c>
      <c r="P37" s="9">
        <v>595833333.35000002</v>
      </c>
      <c r="Q37" s="9">
        <v>595833333.35000002</v>
      </c>
      <c r="R37" s="9">
        <v>595833333.35000002</v>
      </c>
      <c r="S37" s="9">
        <v>595833333.35000002</v>
      </c>
      <c r="T37" s="9">
        <v>595833333.35000002</v>
      </c>
      <c r="U37" s="9">
        <v>595833333.35000002</v>
      </c>
      <c r="V37" s="9">
        <v>595833333.35000002</v>
      </c>
      <c r="W37" s="9">
        <v>595833333.35000002</v>
      </c>
      <c r="X37" s="9">
        <v>595833333.35000002</v>
      </c>
      <c r="Y37" s="9">
        <v>595833333.35000002</v>
      </c>
      <c r="Z37" s="9">
        <v>595833333.35000002</v>
      </c>
      <c r="AA37" s="9">
        <v>595833333.35000002</v>
      </c>
      <c r="AB37" s="9">
        <v>595833333.35000002</v>
      </c>
      <c r="AC37" s="9">
        <v>595833333.35000002</v>
      </c>
      <c r="AD37" s="9">
        <v>595833333.35000002</v>
      </c>
      <c r="AE37" s="9">
        <v>595833333.35000002</v>
      </c>
      <c r="AF37" s="9">
        <v>595833333.35000002</v>
      </c>
    </row>
    <row r="38" spans="1:32" ht="12.75">
      <c r="A38" s="11"/>
      <c r="B38" s="10" t="s">
        <v>52</v>
      </c>
      <c r="C38" s="86">
        <f t="shared" ref="C38:O38" si="20">C30+C31</f>
        <v>7218986454.0599995</v>
      </c>
      <c r="D38" s="86">
        <f t="shared" si="20"/>
        <v>7203639982.3499994</v>
      </c>
      <c r="E38" s="86">
        <f t="shared" si="20"/>
        <v>7214157877.6800003</v>
      </c>
      <c r="F38" s="86">
        <f t="shared" si="20"/>
        <v>7263459229.6399994</v>
      </c>
      <c r="G38" s="86">
        <f t="shared" si="20"/>
        <v>7459641365.4799995</v>
      </c>
      <c r="H38" s="86">
        <f t="shared" si="20"/>
        <v>7575148179.7800007</v>
      </c>
      <c r="I38" s="86">
        <f t="shared" si="20"/>
        <v>7571004104.1900005</v>
      </c>
      <c r="J38" s="86">
        <f t="shared" si="20"/>
        <v>7667858145.1199999</v>
      </c>
      <c r="K38" s="86">
        <f t="shared" si="20"/>
        <v>7620715049.5</v>
      </c>
      <c r="L38" s="86">
        <f t="shared" si="20"/>
        <v>7625340848.6000004</v>
      </c>
      <c r="M38" s="86">
        <f t="shared" si="20"/>
        <v>7592520868.7800007</v>
      </c>
      <c r="N38" s="86">
        <f t="shared" si="20"/>
        <v>7600989863.1499996</v>
      </c>
      <c r="O38" s="86">
        <f t="shared" si="20"/>
        <v>7903593531.3899994</v>
      </c>
      <c r="P38" s="86">
        <f t="shared" ref="P38:AF38" si="21">P30+P31</f>
        <v>7903593531.3899994</v>
      </c>
      <c r="Q38" s="86">
        <f t="shared" si="21"/>
        <v>7903593531.3899994</v>
      </c>
      <c r="R38" s="86">
        <f t="shared" si="21"/>
        <v>7903593531.3899994</v>
      </c>
      <c r="S38" s="86">
        <f t="shared" si="21"/>
        <v>7903593531.3899994</v>
      </c>
      <c r="T38" s="86">
        <f t="shared" si="21"/>
        <v>7903593531.3899994</v>
      </c>
      <c r="U38" s="86">
        <f t="shared" si="21"/>
        <v>7903593531.3899994</v>
      </c>
      <c r="V38" s="86">
        <f t="shared" si="21"/>
        <v>7903593531.3899994</v>
      </c>
      <c r="W38" s="86">
        <f t="shared" si="21"/>
        <v>7903593531.3899994</v>
      </c>
      <c r="X38" s="86">
        <f t="shared" si="21"/>
        <v>7903593531.3899994</v>
      </c>
      <c r="Y38" s="86">
        <f t="shared" si="21"/>
        <v>7903593531.3899994</v>
      </c>
      <c r="Z38" s="86">
        <f t="shared" si="21"/>
        <v>7903593531.3899994</v>
      </c>
      <c r="AA38" s="86">
        <f t="shared" si="21"/>
        <v>7903593531.3899994</v>
      </c>
      <c r="AB38" s="86">
        <f t="shared" si="21"/>
        <v>7903593531.3899994</v>
      </c>
      <c r="AC38" s="86">
        <f t="shared" si="21"/>
        <v>7903593531.3899994</v>
      </c>
      <c r="AD38" s="86">
        <f t="shared" si="21"/>
        <v>7903593531.3899994</v>
      </c>
      <c r="AE38" s="86">
        <f t="shared" si="21"/>
        <v>7903593531.3899994</v>
      </c>
      <c r="AF38" s="86">
        <f t="shared" si="21"/>
        <v>7903593531.3899994</v>
      </c>
    </row>
    <row r="39" spans="1:32" ht="12.75">
      <c r="A39" s="11">
        <v>11</v>
      </c>
      <c r="B39" s="7" t="s">
        <v>53</v>
      </c>
      <c r="C39" s="86">
        <v>397734398.26999998</v>
      </c>
      <c r="D39" s="86">
        <v>397928670.26999998</v>
      </c>
      <c r="E39" s="86">
        <v>398584492.62</v>
      </c>
      <c r="F39" s="9">
        <v>436502813.99000001</v>
      </c>
      <c r="G39" s="86">
        <v>436547272.23000002</v>
      </c>
      <c r="H39" s="86">
        <v>436753461.38999999</v>
      </c>
      <c r="I39" s="104">
        <v>443332447.64999998</v>
      </c>
      <c r="J39" s="9">
        <v>447864852.98000002</v>
      </c>
      <c r="K39" s="9">
        <v>463554017.31999999</v>
      </c>
      <c r="L39" s="9">
        <v>466138987.80000001</v>
      </c>
      <c r="M39" s="9">
        <v>468993626.44999999</v>
      </c>
      <c r="N39" s="9">
        <v>472219390.64999998</v>
      </c>
      <c r="O39" s="9">
        <v>472219390.64999998</v>
      </c>
      <c r="P39" s="9">
        <v>472219391.64999998</v>
      </c>
      <c r="Q39" s="9">
        <v>472219392.64999998</v>
      </c>
      <c r="R39" s="9">
        <v>472219393.64999998</v>
      </c>
      <c r="S39" s="9">
        <v>472219394.64999998</v>
      </c>
      <c r="T39" s="9">
        <v>472219395.64999998</v>
      </c>
      <c r="U39" s="9">
        <v>472219396.64999998</v>
      </c>
      <c r="V39" s="9">
        <v>472219397.64999998</v>
      </c>
      <c r="W39" s="9">
        <v>472219398.64999998</v>
      </c>
      <c r="X39" s="9">
        <v>472219399.64999998</v>
      </c>
      <c r="Y39" s="9">
        <v>472219400.64999998</v>
      </c>
      <c r="Z39" s="9">
        <v>472219401.64999998</v>
      </c>
      <c r="AA39" s="9">
        <v>472219402.64999998</v>
      </c>
      <c r="AB39" s="9">
        <v>472219403.64999998</v>
      </c>
      <c r="AC39" s="9">
        <v>472219404.64999998</v>
      </c>
      <c r="AD39" s="9">
        <v>472219405.64999998</v>
      </c>
      <c r="AE39" s="9">
        <v>472219406.64999998</v>
      </c>
      <c r="AF39" s="9">
        <v>472219407.64999998</v>
      </c>
    </row>
    <row r="40" spans="1:32" ht="12.75">
      <c r="A40" s="11">
        <v>12</v>
      </c>
      <c r="B40" s="7" t="s">
        <v>54</v>
      </c>
      <c r="C40" s="9">
        <v>0</v>
      </c>
      <c r="D40" s="9">
        <v>0</v>
      </c>
      <c r="E40" s="9">
        <v>0</v>
      </c>
      <c r="F40" s="9"/>
      <c r="G40" s="9">
        <v>0</v>
      </c>
      <c r="H40" s="9">
        <v>0</v>
      </c>
      <c r="I40" s="105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ht="12.75">
      <c r="A41" s="11">
        <v>13</v>
      </c>
      <c r="B41" s="10" t="s">
        <v>55</v>
      </c>
      <c r="C41" s="8">
        <f t="shared" ref="C41:O41" si="22">SUM(C42+C43)</f>
        <v>184512785.47999999</v>
      </c>
      <c r="D41" s="8">
        <f t="shared" si="22"/>
        <v>231465403.84999999</v>
      </c>
      <c r="E41" s="8">
        <f t="shared" si="22"/>
        <v>328056250.31</v>
      </c>
      <c r="F41" s="8">
        <f t="shared" si="22"/>
        <v>93574466.469999999</v>
      </c>
      <c r="G41" s="8">
        <f t="shared" si="22"/>
        <v>100029021.54000001</v>
      </c>
      <c r="H41" s="8">
        <f t="shared" si="22"/>
        <v>97732847.109999999</v>
      </c>
      <c r="I41" s="8">
        <f t="shared" si="22"/>
        <v>115314542.5</v>
      </c>
      <c r="J41" s="8">
        <f t="shared" si="22"/>
        <v>129843836.09999999</v>
      </c>
      <c r="K41" s="8">
        <f t="shared" si="22"/>
        <v>152564172.46000001</v>
      </c>
      <c r="L41" s="8">
        <f t="shared" si="22"/>
        <v>176755203.69</v>
      </c>
      <c r="M41" s="8">
        <f t="shared" si="22"/>
        <v>202599982.77000001</v>
      </c>
      <c r="N41" s="8">
        <f t="shared" si="22"/>
        <v>318126700.29999995</v>
      </c>
      <c r="O41" s="8">
        <f t="shared" si="22"/>
        <v>-31530815.469999999</v>
      </c>
      <c r="P41" s="8">
        <f t="shared" ref="P41:AF41" si="23">SUM(P42+P43)</f>
        <v>-31530814.469999999</v>
      </c>
      <c r="Q41" s="8">
        <f t="shared" si="23"/>
        <v>-31530813.469999999</v>
      </c>
      <c r="R41" s="8">
        <f t="shared" si="23"/>
        <v>-31530812.469999999</v>
      </c>
      <c r="S41" s="8">
        <f t="shared" si="23"/>
        <v>-31530811.469999999</v>
      </c>
      <c r="T41" s="8">
        <f t="shared" si="23"/>
        <v>-31530810.469999999</v>
      </c>
      <c r="U41" s="8">
        <f t="shared" si="23"/>
        <v>-31530809.469999999</v>
      </c>
      <c r="V41" s="8">
        <f t="shared" si="23"/>
        <v>-31530808.469999999</v>
      </c>
      <c r="W41" s="8">
        <f t="shared" si="23"/>
        <v>-31530807.469999999</v>
      </c>
      <c r="X41" s="8">
        <f t="shared" si="23"/>
        <v>-31530806.469999999</v>
      </c>
      <c r="Y41" s="8">
        <f t="shared" si="23"/>
        <v>-31530805.469999999</v>
      </c>
      <c r="Z41" s="8">
        <f t="shared" si="23"/>
        <v>-31530804.469999999</v>
      </c>
      <c r="AA41" s="8">
        <f t="shared" si="23"/>
        <v>-31530803.469999999</v>
      </c>
      <c r="AB41" s="8">
        <f t="shared" si="23"/>
        <v>-31530802.469999999</v>
      </c>
      <c r="AC41" s="8">
        <f t="shared" si="23"/>
        <v>-31530801.469999999</v>
      </c>
      <c r="AD41" s="8">
        <f t="shared" si="23"/>
        <v>-31530800.469999999</v>
      </c>
      <c r="AE41" s="8">
        <f t="shared" si="23"/>
        <v>-31530799.469999999</v>
      </c>
      <c r="AF41" s="8">
        <f t="shared" si="23"/>
        <v>-31530798.469999999</v>
      </c>
    </row>
    <row r="42" spans="1:32" ht="12.75">
      <c r="A42" s="11">
        <v>13.1</v>
      </c>
      <c r="B42" s="7" t="s">
        <v>56</v>
      </c>
      <c r="C42" s="9">
        <v>146628118.75</v>
      </c>
      <c r="D42" s="9">
        <v>167991676.44</v>
      </c>
      <c r="E42" s="9">
        <v>237085251.59999999</v>
      </c>
      <c r="F42" s="9">
        <v>-15036989.18</v>
      </c>
      <c r="G42" s="9">
        <v>-32329269.469999999</v>
      </c>
      <c r="H42" s="9">
        <v>-32329269.469999999</v>
      </c>
      <c r="I42" s="104">
        <v>-32329269.469999999</v>
      </c>
      <c r="J42" s="9">
        <v>-32329269.469999999</v>
      </c>
      <c r="K42" s="9">
        <v>-32329269.469999999</v>
      </c>
      <c r="L42" s="9">
        <v>-32329269.469999999</v>
      </c>
      <c r="M42" s="9">
        <v>-32329269.469999999</v>
      </c>
      <c r="N42" s="9">
        <v>-32329269.469999999</v>
      </c>
      <c r="O42" s="9">
        <v>-32329269.469999999</v>
      </c>
      <c r="P42" s="9">
        <v>-32329268.469999999</v>
      </c>
      <c r="Q42" s="9">
        <v>-32329267.469999999</v>
      </c>
      <c r="R42" s="9">
        <v>-32329266.469999999</v>
      </c>
      <c r="S42" s="9">
        <v>-32329265.469999999</v>
      </c>
      <c r="T42" s="9">
        <v>-32329264.469999999</v>
      </c>
      <c r="U42" s="9">
        <v>-32329263.469999999</v>
      </c>
      <c r="V42" s="9">
        <v>-32329262.469999999</v>
      </c>
      <c r="W42" s="9">
        <v>-32329261.469999999</v>
      </c>
      <c r="X42" s="9">
        <v>-32329260.469999999</v>
      </c>
      <c r="Y42" s="9">
        <v>-32329259.469999999</v>
      </c>
      <c r="Z42" s="9">
        <v>-32329258.469999999</v>
      </c>
      <c r="AA42" s="9">
        <v>-32329257.469999999</v>
      </c>
      <c r="AB42" s="9">
        <v>-32329256.469999999</v>
      </c>
      <c r="AC42" s="9">
        <v>-32329255.469999999</v>
      </c>
      <c r="AD42" s="9">
        <v>-32329254.469999999</v>
      </c>
      <c r="AE42" s="9">
        <v>-32329253.469999999</v>
      </c>
      <c r="AF42" s="9">
        <v>-32329252.469999999</v>
      </c>
    </row>
    <row r="43" spans="1:32" ht="12.75">
      <c r="A43" s="11">
        <v>13.2</v>
      </c>
      <c r="B43" s="7" t="s">
        <v>57</v>
      </c>
      <c r="C43" s="8">
        <v>37884666.729999997</v>
      </c>
      <c r="D43" s="8">
        <v>63473727.409999996</v>
      </c>
      <c r="E43" s="8">
        <v>90970998.709999993</v>
      </c>
      <c r="F43" s="9">
        <v>108611455.65000001</v>
      </c>
      <c r="G43" s="8">
        <v>132358291.01000001</v>
      </c>
      <c r="H43" s="8">
        <v>130062116.58</v>
      </c>
      <c r="I43" s="104">
        <v>147643811.97</v>
      </c>
      <c r="J43" s="9">
        <v>162173105.56999999</v>
      </c>
      <c r="K43" s="9">
        <v>184893441.93000001</v>
      </c>
      <c r="L43" s="9">
        <v>209084473.16</v>
      </c>
      <c r="M43" s="9">
        <v>234929252.24000001</v>
      </c>
      <c r="N43" s="9">
        <v>350455969.76999998</v>
      </c>
      <c r="O43" s="9">
        <f>62847134-12569427-47221939-2257314</f>
        <v>798454</v>
      </c>
      <c r="P43" s="9">
        <f t="shared" ref="P43:AF43" si="24">62847134-12569427-47221939-2257314</f>
        <v>798454</v>
      </c>
      <c r="Q43" s="9">
        <f t="shared" si="24"/>
        <v>798454</v>
      </c>
      <c r="R43" s="9">
        <f t="shared" si="24"/>
        <v>798454</v>
      </c>
      <c r="S43" s="9">
        <f t="shared" si="24"/>
        <v>798454</v>
      </c>
      <c r="T43" s="9">
        <f t="shared" si="24"/>
        <v>798454</v>
      </c>
      <c r="U43" s="9">
        <f t="shared" si="24"/>
        <v>798454</v>
      </c>
      <c r="V43" s="9">
        <f t="shared" si="24"/>
        <v>798454</v>
      </c>
      <c r="W43" s="9">
        <f t="shared" si="24"/>
        <v>798454</v>
      </c>
      <c r="X43" s="9">
        <f t="shared" si="24"/>
        <v>798454</v>
      </c>
      <c r="Y43" s="9">
        <f t="shared" si="24"/>
        <v>798454</v>
      </c>
      <c r="Z43" s="9">
        <f t="shared" si="24"/>
        <v>798454</v>
      </c>
      <c r="AA43" s="9">
        <f t="shared" si="24"/>
        <v>798454</v>
      </c>
      <c r="AB43" s="9">
        <f t="shared" si="24"/>
        <v>798454</v>
      </c>
      <c r="AC43" s="9">
        <f t="shared" si="24"/>
        <v>798454</v>
      </c>
      <c r="AD43" s="9">
        <f t="shared" si="24"/>
        <v>798454</v>
      </c>
      <c r="AE43" s="9">
        <f t="shared" si="24"/>
        <v>798454</v>
      </c>
      <c r="AF43" s="9">
        <f t="shared" si="24"/>
        <v>798454</v>
      </c>
    </row>
    <row r="44" spans="1:32" ht="12.75">
      <c r="A44" s="11">
        <v>14</v>
      </c>
      <c r="B44" s="10" t="s">
        <v>58</v>
      </c>
      <c r="C44" s="8">
        <f t="shared" ref="C44:O44" si="25">SUM(C45:C49)</f>
        <v>672492357.18000007</v>
      </c>
      <c r="D44" s="8">
        <f t="shared" si="25"/>
        <v>613856906.07999992</v>
      </c>
      <c r="E44" s="8">
        <f t="shared" si="25"/>
        <v>628039946.64999998</v>
      </c>
      <c r="F44" s="8">
        <f t="shared" si="25"/>
        <v>629107548.32999992</v>
      </c>
      <c r="G44" s="8">
        <f t="shared" si="25"/>
        <v>620377606.72000003</v>
      </c>
      <c r="H44" s="8">
        <f t="shared" si="25"/>
        <v>616241751.67000008</v>
      </c>
      <c r="I44" s="8">
        <f t="shared" si="25"/>
        <v>618848489.6099999</v>
      </c>
      <c r="J44" s="8">
        <f t="shared" si="25"/>
        <v>617830361.64999998</v>
      </c>
      <c r="K44" s="8">
        <f t="shared" si="25"/>
        <v>616691359.07999992</v>
      </c>
      <c r="L44" s="8">
        <f t="shared" si="25"/>
        <v>616762745.33999991</v>
      </c>
      <c r="M44" s="8">
        <f t="shared" si="25"/>
        <v>617130125.78999996</v>
      </c>
      <c r="N44" s="8">
        <f t="shared" si="25"/>
        <v>611821627.26999998</v>
      </c>
      <c r="O44" s="8">
        <f>SUM(O45:O49)</f>
        <v>759055417</v>
      </c>
      <c r="P44" s="8">
        <f t="shared" ref="P44:AF44" si="26">SUM(P45:P49)</f>
        <v>759055419</v>
      </c>
      <c r="Q44" s="8">
        <f t="shared" si="26"/>
        <v>759055421</v>
      </c>
      <c r="R44" s="8">
        <f t="shared" si="26"/>
        <v>759055423</v>
      </c>
      <c r="S44" s="8">
        <f t="shared" si="26"/>
        <v>759055425</v>
      </c>
      <c r="T44" s="8">
        <f t="shared" si="26"/>
        <v>759055427</v>
      </c>
      <c r="U44" s="8">
        <f t="shared" si="26"/>
        <v>759055429</v>
      </c>
      <c r="V44" s="8">
        <f t="shared" si="26"/>
        <v>759055431</v>
      </c>
      <c r="W44" s="8">
        <f t="shared" si="26"/>
        <v>759055433</v>
      </c>
      <c r="X44" s="8">
        <f t="shared" si="26"/>
        <v>759055435</v>
      </c>
      <c r="Y44" s="8">
        <f t="shared" si="26"/>
        <v>759055437</v>
      </c>
      <c r="Z44" s="8">
        <f t="shared" si="26"/>
        <v>759055439</v>
      </c>
      <c r="AA44" s="8">
        <f t="shared" si="26"/>
        <v>759055441</v>
      </c>
      <c r="AB44" s="8">
        <f t="shared" si="26"/>
        <v>759055443</v>
      </c>
      <c r="AC44" s="8">
        <f t="shared" si="26"/>
        <v>759055445</v>
      </c>
      <c r="AD44" s="8">
        <f t="shared" si="26"/>
        <v>759055447</v>
      </c>
      <c r="AE44" s="8">
        <f t="shared" si="26"/>
        <v>759055449</v>
      </c>
      <c r="AF44" s="8">
        <f t="shared" si="26"/>
        <v>759055451</v>
      </c>
    </row>
    <row r="45" spans="1:32" ht="12.75">
      <c r="A45" s="11"/>
      <c r="B45" s="7" t="s">
        <v>59</v>
      </c>
      <c r="C45" s="9">
        <v>145522017</v>
      </c>
      <c r="D45" s="9">
        <v>145522017</v>
      </c>
      <c r="E45" s="9">
        <v>160648412</v>
      </c>
      <c r="F45" s="9">
        <v>160648412</v>
      </c>
      <c r="G45" s="9">
        <v>160648412</v>
      </c>
      <c r="H45" s="9">
        <v>160648412</v>
      </c>
      <c r="I45" s="104">
        <v>160648412</v>
      </c>
      <c r="J45" s="9">
        <v>160648412</v>
      </c>
      <c r="K45" s="9">
        <v>160648412</v>
      </c>
      <c r="L45" s="9">
        <v>160648412</v>
      </c>
      <c r="M45" s="9">
        <v>160648412</v>
      </c>
      <c r="N45" s="9">
        <v>160648412</v>
      </c>
      <c r="O45" s="9">
        <v>173217839</v>
      </c>
      <c r="P45" s="9">
        <v>173217840</v>
      </c>
      <c r="Q45" s="9">
        <v>173217841</v>
      </c>
      <c r="R45" s="9">
        <v>173217842</v>
      </c>
      <c r="S45" s="9">
        <v>173217843</v>
      </c>
      <c r="T45" s="9">
        <v>173217844</v>
      </c>
      <c r="U45" s="9">
        <v>173217845</v>
      </c>
      <c r="V45" s="9">
        <v>173217846</v>
      </c>
      <c r="W45" s="9">
        <v>173217847</v>
      </c>
      <c r="X45" s="9">
        <v>173217848</v>
      </c>
      <c r="Y45" s="9">
        <v>173217849</v>
      </c>
      <c r="Z45" s="9">
        <v>173217850</v>
      </c>
      <c r="AA45" s="9">
        <v>173217851</v>
      </c>
      <c r="AB45" s="9">
        <v>173217852</v>
      </c>
      <c r="AC45" s="9">
        <v>173217853</v>
      </c>
      <c r="AD45" s="9">
        <v>173217854</v>
      </c>
      <c r="AE45" s="9">
        <v>173217855</v>
      </c>
      <c r="AF45" s="9">
        <v>173217856</v>
      </c>
    </row>
    <row r="46" spans="1:32" ht="12.75">
      <c r="A46" s="11"/>
      <c r="B46" s="7" t="s">
        <v>60</v>
      </c>
      <c r="C46" s="9">
        <v>306883994.48000002</v>
      </c>
      <c r="D46" s="9">
        <v>248248543.38</v>
      </c>
      <c r="E46" s="9">
        <v>263710661.94999999</v>
      </c>
      <c r="F46" s="9">
        <v>264778263.63</v>
      </c>
      <c r="G46" s="9">
        <v>256048322.02000001</v>
      </c>
      <c r="H46" s="9">
        <v>251912466.97</v>
      </c>
      <c r="I46" s="104">
        <v>254519204.91</v>
      </c>
      <c r="J46" s="9">
        <v>253501076.94999999</v>
      </c>
      <c r="K46" s="9">
        <v>252362074.38</v>
      </c>
      <c r="L46" s="9">
        <v>252433460.63999999</v>
      </c>
      <c r="M46" s="9">
        <v>252800841.09</v>
      </c>
      <c r="N46" s="9">
        <v>247492342.56999999</v>
      </c>
      <c r="O46" s="9">
        <f>246907839+584500</f>
        <v>247492339</v>
      </c>
      <c r="P46" s="9">
        <f t="shared" ref="P46:AF46" si="27">246907839+584500</f>
        <v>247492339</v>
      </c>
      <c r="Q46" s="9">
        <f t="shared" si="27"/>
        <v>247492339</v>
      </c>
      <c r="R46" s="9">
        <f t="shared" si="27"/>
        <v>247492339</v>
      </c>
      <c r="S46" s="9">
        <f t="shared" si="27"/>
        <v>247492339</v>
      </c>
      <c r="T46" s="9">
        <f t="shared" si="27"/>
        <v>247492339</v>
      </c>
      <c r="U46" s="9">
        <f t="shared" si="27"/>
        <v>247492339</v>
      </c>
      <c r="V46" s="9">
        <f t="shared" si="27"/>
        <v>247492339</v>
      </c>
      <c r="W46" s="9">
        <f t="shared" si="27"/>
        <v>247492339</v>
      </c>
      <c r="X46" s="9">
        <f t="shared" si="27"/>
        <v>247492339</v>
      </c>
      <c r="Y46" s="9">
        <f t="shared" si="27"/>
        <v>247492339</v>
      </c>
      <c r="Z46" s="9">
        <f t="shared" si="27"/>
        <v>247492339</v>
      </c>
      <c r="AA46" s="9">
        <f t="shared" si="27"/>
        <v>247492339</v>
      </c>
      <c r="AB46" s="9">
        <f t="shared" si="27"/>
        <v>247492339</v>
      </c>
      <c r="AC46" s="9">
        <f t="shared" si="27"/>
        <v>247492339</v>
      </c>
      <c r="AD46" s="9">
        <f t="shared" si="27"/>
        <v>247492339</v>
      </c>
      <c r="AE46" s="9">
        <f t="shared" si="27"/>
        <v>247492339</v>
      </c>
      <c r="AF46" s="9">
        <f t="shared" si="27"/>
        <v>247492339</v>
      </c>
    </row>
    <row r="47" spans="1:32" ht="12.75">
      <c r="A47" s="11"/>
      <c r="B47" s="7" t="s">
        <v>61</v>
      </c>
      <c r="C47" s="8">
        <v>220086345.69999999</v>
      </c>
      <c r="D47" s="8">
        <v>220086345.69999999</v>
      </c>
      <c r="E47" s="8">
        <v>203680872.69999999</v>
      </c>
      <c r="F47" s="9">
        <v>203680872.69999999</v>
      </c>
      <c r="G47" s="8">
        <v>203680872.69999999</v>
      </c>
      <c r="H47" s="8">
        <v>203680872.69999999</v>
      </c>
      <c r="I47" s="104">
        <v>203680872.69999999</v>
      </c>
      <c r="J47" s="9">
        <v>203680872.69999999</v>
      </c>
      <c r="K47" s="9">
        <v>203680872.69999999</v>
      </c>
      <c r="L47" s="9">
        <v>203680872.69999999</v>
      </c>
      <c r="M47" s="9">
        <v>203680872.69999999</v>
      </c>
      <c r="N47" s="9">
        <v>203680872.69999999</v>
      </c>
      <c r="O47" s="9">
        <v>206562826</v>
      </c>
      <c r="P47" s="9">
        <v>206562827</v>
      </c>
      <c r="Q47" s="9">
        <v>206562828</v>
      </c>
      <c r="R47" s="9">
        <v>206562829</v>
      </c>
      <c r="S47" s="9">
        <v>206562830</v>
      </c>
      <c r="T47" s="9">
        <v>206562831</v>
      </c>
      <c r="U47" s="9">
        <v>206562832</v>
      </c>
      <c r="V47" s="9">
        <v>206562833</v>
      </c>
      <c r="W47" s="9">
        <v>206562834</v>
      </c>
      <c r="X47" s="9">
        <v>206562835</v>
      </c>
      <c r="Y47" s="9">
        <v>206562836</v>
      </c>
      <c r="Z47" s="9">
        <v>206562837</v>
      </c>
      <c r="AA47" s="9">
        <v>206562838</v>
      </c>
      <c r="AB47" s="9">
        <v>206562839</v>
      </c>
      <c r="AC47" s="9">
        <v>206562840</v>
      </c>
      <c r="AD47" s="9">
        <v>206562841</v>
      </c>
      <c r="AE47" s="9">
        <v>206562842</v>
      </c>
      <c r="AF47" s="9">
        <v>206562843</v>
      </c>
    </row>
    <row r="48" spans="1:32">
      <c r="A48" s="11"/>
      <c r="B48" s="7" t="s">
        <v>62</v>
      </c>
      <c r="C48" s="9">
        <v>0</v>
      </c>
      <c r="D48" s="9">
        <v>0</v>
      </c>
      <c r="E48" s="9">
        <v>0</v>
      </c>
      <c r="F48" s="13">
        <v>0</v>
      </c>
      <c r="G48" s="9">
        <v>0</v>
      </c>
      <c r="H48" s="9">
        <v>0</v>
      </c>
      <c r="I48" s="105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73">
        <v>47221939</v>
      </c>
      <c r="P48" s="73">
        <v>47221939</v>
      </c>
      <c r="Q48" s="73">
        <v>47221939</v>
      </c>
      <c r="R48" s="73">
        <v>47221939</v>
      </c>
      <c r="S48" s="73">
        <v>47221939</v>
      </c>
      <c r="T48" s="73">
        <v>47221939</v>
      </c>
      <c r="U48" s="73">
        <v>47221939</v>
      </c>
      <c r="V48" s="73">
        <v>47221939</v>
      </c>
      <c r="W48" s="73">
        <v>47221939</v>
      </c>
      <c r="X48" s="73">
        <v>47221939</v>
      </c>
      <c r="Y48" s="73">
        <v>47221939</v>
      </c>
      <c r="Z48" s="73">
        <v>47221939</v>
      </c>
      <c r="AA48" s="73">
        <v>47221939</v>
      </c>
      <c r="AB48" s="73">
        <v>47221939</v>
      </c>
      <c r="AC48" s="73">
        <v>47221939</v>
      </c>
      <c r="AD48" s="73">
        <v>47221939</v>
      </c>
      <c r="AE48" s="73">
        <v>47221939</v>
      </c>
      <c r="AF48" s="73">
        <v>47221939</v>
      </c>
    </row>
    <row r="49" spans="1:32" ht="12.75">
      <c r="A49" s="11"/>
      <c r="B49" s="7" t="s">
        <v>63</v>
      </c>
      <c r="C49" s="9">
        <v>0</v>
      </c>
      <c r="D49" s="9">
        <v>0</v>
      </c>
      <c r="E49" s="9">
        <v>0</v>
      </c>
      <c r="F49" s="13">
        <v>0</v>
      </c>
      <c r="G49" s="9">
        <v>0</v>
      </c>
      <c r="H49" s="9">
        <v>0</v>
      </c>
      <c r="I49" s="105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75">
        <v>84560474</v>
      </c>
      <c r="P49" s="75">
        <v>84560474</v>
      </c>
      <c r="Q49" s="75">
        <v>84560474</v>
      </c>
      <c r="R49" s="75">
        <v>84560474</v>
      </c>
      <c r="S49" s="75">
        <v>84560474</v>
      </c>
      <c r="T49" s="75">
        <v>84560474</v>
      </c>
      <c r="U49" s="75">
        <v>84560474</v>
      </c>
      <c r="V49" s="75">
        <v>84560474</v>
      </c>
      <c r="W49" s="75">
        <v>84560474</v>
      </c>
      <c r="X49" s="75">
        <v>84560474</v>
      </c>
      <c r="Y49" s="75">
        <v>84560474</v>
      </c>
      <c r="Z49" s="75">
        <v>84560474</v>
      </c>
      <c r="AA49" s="75">
        <v>84560474</v>
      </c>
      <c r="AB49" s="75">
        <v>84560474</v>
      </c>
      <c r="AC49" s="75">
        <v>84560474</v>
      </c>
      <c r="AD49" s="75">
        <v>84560474</v>
      </c>
      <c r="AE49" s="75">
        <v>84560474</v>
      </c>
      <c r="AF49" s="75">
        <v>84560474</v>
      </c>
    </row>
    <row r="50" spans="1:32" ht="12.75">
      <c r="A50" s="11"/>
      <c r="B50" s="10" t="s">
        <v>64</v>
      </c>
      <c r="C50" s="8">
        <f t="shared" ref="C50:E50" si="28">SUM(C39+C40+C41+C44)</f>
        <v>1254739540.9300001</v>
      </c>
      <c r="D50" s="8">
        <f t="shared" si="28"/>
        <v>1243250980.1999998</v>
      </c>
      <c r="E50" s="8">
        <f t="shared" si="28"/>
        <v>1354680689.5799999</v>
      </c>
      <c r="F50" s="8">
        <f t="shared" ref="F50" si="29">SUM(F39+F40+F41+F44)</f>
        <v>1159184828.79</v>
      </c>
      <c r="G50" s="8">
        <f t="shared" ref="G50:I50" si="30">SUM(G39+G40+G41+G44)</f>
        <v>1156953900.49</v>
      </c>
      <c r="H50" s="8">
        <f t="shared" si="30"/>
        <v>1150728060.1700001</v>
      </c>
      <c r="I50" s="8">
        <f t="shared" si="30"/>
        <v>1177495479.7599998</v>
      </c>
      <c r="J50" s="8">
        <f t="shared" ref="J50:O50" si="31">SUM(J39+J40+J41+J44)</f>
        <v>1195539050.73</v>
      </c>
      <c r="K50" s="8">
        <f t="shared" si="31"/>
        <v>1232809548.8599999</v>
      </c>
      <c r="L50" s="8">
        <f t="shared" si="31"/>
        <v>1259656936.8299999</v>
      </c>
      <c r="M50" s="8">
        <f t="shared" si="31"/>
        <v>1288723735.01</v>
      </c>
      <c r="N50" s="8">
        <f t="shared" si="31"/>
        <v>1402167718.2199998</v>
      </c>
      <c r="O50" s="8">
        <f t="shared" si="31"/>
        <v>1199743992.1799998</v>
      </c>
      <c r="P50" s="8">
        <f t="shared" ref="P50:AF50" si="32">SUM(P39+P40+P41+P44)</f>
        <v>1199743996.1799998</v>
      </c>
      <c r="Q50" s="8">
        <f t="shared" si="32"/>
        <v>1199744000.1799998</v>
      </c>
      <c r="R50" s="8">
        <f t="shared" si="32"/>
        <v>1199744004.1799998</v>
      </c>
      <c r="S50" s="8">
        <f t="shared" si="32"/>
        <v>1199744008.1799998</v>
      </c>
      <c r="T50" s="8">
        <f t="shared" si="32"/>
        <v>1199744012.1799998</v>
      </c>
      <c r="U50" s="8">
        <f t="shared" si="32"/>
        <v>1199744016.1799998</v>
      </c>
      <c r="V50" s="8">
        <f t="shared" si="32"/>
        <v>1199744020.1799998</v>
      </c>
      <c r="W50" s="8">
        <f t="shared" si="32"/>
        <v>1199744024.1799998</v>
      </c>
      <c r="X50" s="8">
        <f t="shared" si="32"/>
        <v>1199744028.1799998</v>
      </c>
      <c r="Y50" s="8">
        <f t="shared" si="32"/>
        <v>1199744032.1799998</v>
      </c>
      <c r="Z50" s="8">
        <f t="shared" si="32"/>
        <v>1199744036.1799998</v>
      </c>
      <c r="AA50" s="8">
        <f t="shared" si="32"/>
        <v>1199744040.1799998</v>
      </c>
      <c r="AB50" s="8">
        <f t="shared" si="32"/>
        <v>1199744044.1799998</v>
      </c>
      <c r="AC50" s="8">
        <f t="shared" si="32"/>
        <v>1199744048.1799998</v>
      </c>
      <c r="AD50" s="8">
        <f t="shared" si="32"/>
        <v>1199744052.1799998</v>
      </c>
      <c r="AE50" s="8">
        <f t="shared" si="32"/>
        <v>1199744056.1799998</v>
      </c>
      <c r="AF50" s="8">
        <f t="shared" si="32"/>
        <v>1199744060.1799998</v>
      </c>
    </row>
    <row r="51" spans="1:32" ht="12.75">
      <c r="A51" s="11"/>
      <c r="B51" s="10" t="s">
        <v>65</v>
      </c>
      <c r="C51" s="8">
        <f t="shared" ref="C51:E51" si="33">SUM(C38+C50)</f>
        <v>8473725994.9899998</v>
      </c>
      <c r="D51" s="8">
        <f t="shared" si="33"/>
        <v>8446890962.5499992</v>
      </c>
      <c r="E51" s="8">
        <f t="shared" si="33"/>
        <v>8568838567.2600002</v>
      </c>
      <c r="F51" s="8">
        <f t="shared" ref="F51" si="34">SUM(F38+F50)</f>
        <v>8422644058.4299994</v>
      </c>
      <c r="G51" s="8">
        <f t="shared" ref="G51:I51" si="35">SUM(G38+G50)</f>
        <v>8616595265.9699993</v>
      </c>
      <c r="H51" s="8">
        <f t="shared" si="35"/>
        <v>8725876239.9500008</v>
      </c>
      <c r="I51" s="8">
        <f t="shared" si="35"/>
        <v>8748499583.9500008</v>
      </c>
      <c r="J51" s="8">
        <f t="shared" ref="J51:O51" si="36">SUM(J38+J50)</f>
        <v>8863397195.8500004</v>
      </c>
      <c r="K51" s="8">
        <f t="shared" si="36"/>
        <v>8853524598.3600006</v>
      </c>
      <c r="L51" s="8">
        <f t="shared" si="36"/>
        <v>8884997785.4300003</v>
      </c>
      <c r="M51" s="8">
        <f t="shared" si="36"/>
        <v>8881244603.7900009</v>
      </c>
      <c r="N51" s="8">
        <f t="shared" si="36"/>
        <v>9003157581.3699989</v>
      </c>
      <c r="O51" s="8">
        <f t="shared" si="36"/>
        <v>9103337523.5699997</v>
      </c>
      <c r="P51" s="8">
        <f t="shared" ref="P51:AF51" si="37">SUM(P38+P50)</f>
        <v>9103337527.5699997</v>
      </c>
      <c r="Q51" s="8">
        <f t="shared" si="37"/>
        <v>9103337531.5699997</v>
      </c>
      <c r="R51" s="8">
        <f t="shared" si="37"/>
        <v>9103337535.5699997</v>
      </c>
      <c r="S51" s="8">
        <f t="shared" si="37"/>
        <v>9103337539.5699997</v>
      </c>
      <c r="T51" s="8">
        <f t="shared" si="37"/>
        <v>9103337543.5699997</v>
      </c>
      <c r="U51" s="8">
        <f t="shared" si="37"/>
        <v>9103337547.5699997</v>
      </c>
      <c r="V51" s="8">
        <f t="shared" si="37"/>
        <v>9103337551.5699997</v>
      </c>
      <c r="W51" s="8">
        <f t="shared" si="37"/>
        <v>9103337555.5699997</v>
      </c>
      <c r="X51" s="8">
        <f t="shared" si="37"/>
        <v>9103337559.5699997</v>
      </c>
      <c r="Y51" s="8">
        <f t="shared" si="37"/>
        <v>9103337563.5699997</v>
      </c>
      <c r="Z51" s="8">
        <f t="shared" si="37"/>
        <v>9103337567.5699997</v>
      </c>
      <c r="AA51" s="8">
        <f t="shared" si="37"/>
        <v>9103337571.5699997</v>
      </c>
      <c r="AB51" s="8">
        <f t="shared" si="37"/>
        <v>9103337575.5699997</v>
      </c>
      <c r="AC51" s="8">
        <f t="shared" si="37"/>
        <v>9103337579.5699997</v>
      </c>
      <c r="AD51" s="8">
        <f t="shared" si="37"/>
        <v>9103337583.5699997</v>
      </c>
      <c r="AE51" s="8">
        <f t="shared" si="37"/>
        <v>9103337587.5699997</v>
      </c>
      <c r="AF51" s="8">
        <f t="shared" si="37"/>
        <v>9103337591.5699997</v>
      </c>
    </row>
    <row r="52" spans="1:32">
      <c r="A52" s="1"/>
      <c r="B52" s="3"/>
      <c r="C52" s="3"/>
      <c r="D52" s="3"/>
      <c r="E52" s="3"/>
      <c r="F52" s="3"/>
      <c r="G52" s="3"/>
      <c r="P52" s="77"/>
    </row>
    <row r="53" spans="1:32">
      <c r="A53" s="1"/>
      <c r="B53" s="3"/>
      <c r="C53" s="3"/>
      <c r="D53" s="3"/>
      <c r="E53" s="3"/>
      <c r="F53" s="3"/>
      <c r="G53" s="3"/>
    </row>
    <row r="57" spans="1:32">
      <c r="Q57" s="73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5876-A466-4499-85D6-F6F5E91AF3A0}">
  <dimension ref="A2:M15"/>
  <sheetViews>
    <sheetView workbookViewId="0">
      <selection activeCell="K8" sqref="K8"/>
    </sheetView>
  </sheetViews>
  <sheetFormatPr defaultColWidth="9.140625" defaultRowHeight="13.9"/>
  <cols>
    <col min="1" max="1" width="5.7109375" style="122" customWidth="1"/>
    <col min="2" max="2" width="18.5703125" style="122" bestFit="1" customWidth="1"/>
    <col min="3" max="3" width="13.28515625" style="122" bestFit="1" customWidth="1"/>
    <col min="4" max="4" width="19.7109375" style="122" bestFit="1" customWidth="1"/>
    <col min="5" max="5" width="9.140625" style="122"/>
    <col min="6" max="6" width="16" style="122" bestFit="1" customWidth="1"/>
    <col min="7" max="7" width="18.28515625" style="122" bestFit="1" customWidth="1"/>
    <col min="8" max="8" width="14.140625" style="122" bestFit="1" customWidth="1"/>
    <col min="9" max="9" width="11.42578125" style="122" bestFit="1" customWidth="1"/>
    <col min="10" max="10" width="26.7109375" style="122" bestFit="1" customWidth="1"/>
    <col min="11" max="11" width="17.5703125" style="122" bestFit="1" customWidth="1"/>
    <col min="12" max="12" width="14.140625" style="122" bestFit="1" customWidth="1"/>
    <col min="13" max="13" width="11.5703125" style="122" bestFit="1" customWidth="1"/>
    <col min="14" max="16384" width="9.140625" style="122"/>
  </cols>
  <sheetData>
    <row r="2" spans="1:13">
      <c r="A2" s="125" t="s">
        <v>67</v>
      </c>
      <c r="B2" s="129" t="s">
        <v>68</v>
      </c>
      <c r="C2" s="128" t="s">
        <v>69</v>
      </c>
      <c r="D2" s="125" t="s">
        <v>70</v>
      </c>
      <c r="E2" s="125" t="s">
        <v>71</v>
      </c>
      <c r="F2" s="125" t="s">
        <v>72</v>
      </c>
      <c r="G2" s="125" t="s">
        <v>73</v>
      </c>
      <c r="H2" s="125" t="s">
        <v>74</v>
      </c>
      <c r="I2" s="125" t="s">
        <v>75</v>
      </c>
      <c r="J2" s="125" t="s">
        <v>76</v>
      </c>
      <c r="K2" s="125" t="s">
        <v>77</v>
      </c>
      <c r="L2" s="125" t="s">
        <v>78</v>
      </c>
      <c r="M2" s="125" t="s">
        <v>79</v>
      </c>
    </row>
    <row r="3" spans="1:13">
      <c r="A3" s="130">
        <v>1</v>
      </c>
      <c r="B3" s="123" t="s">
        <v>80</v>
      </c>
      <c r="C3" s="123" t="s">
        <v>81</v>
      </c>
      <c r="D3" s="127" t="s">
        <v>82</v>
      </c>
      <c r="E3" s="123">
        <v>3006</v>
      </c>
      <c r="F3" s="124">
        <v>30000</v>
      </c>
      <c r="G3" s="123" t="s">
        <v>83</v>
      </c>
      <c r="H3" s="123"/>
      <c r="I3" s="123" t="s">
        <v>84</v>
      </c>
      <c r="J3" s="123" t="s">
        <v>85</v>
      </c>
      <c r="K3" s="123" t="s">
        <v>86</v>
      </c>
      <c r="L3" s="124"/>
      <c r="M3" s="123"/>
    </row>
    <row r="4" spans="1:13">
      <c r="A4" s="123">
        <v>2</v>
      </c>
      <c r="B4" s="123" t="s">
        <v>80</v>
      </c>
      <c r="C4" s="123" t="s">
        <v>81</v>
      </c>
      <c r="D4" s="127" t="s">
        <v>87</v>
      </c>
      <c r="E4" s="123"/>
      <c r="F4" s="124">
        <v>486000</v>
      </c>
      <c r="G4" s="123" t="s">
        <v>88</v>
      </c>
      <c r="H4" s="123"/>
      <c r="I4" s="123" t="s">
        <v>89</v>
      </c>
      <c r="J4" s="123" t="s">
        <v>90</v>
      </c>
      <c r="K4" s="123" t="s">
        <v>91</v>
      </c>
      <c r="L4" s="124">
        <v>258085.12</v>
      </c>
      <c r="M4" s="123" t="s">
        <v>92</v>
      </c>
    </row>
    <row r="5" spans="1:13">
      <c r="A5" s="123">
        <v>3</v>
      </c>
      <c r="B5" s="123" t="s">
        <v>80</v>
      </c>
      <c r="C5" s="123" t="s">
        <v>81</v>
      </c>
      <c r="D5" s="127" t="s">
        <v>93</v>
      </c>
      <c r="E5" s="123"/>
      <c r="F5" s="124">
        <v>1092000</v>
      </c>
      <c r="G5" s="126">
        <v>43985</v>
      </c>
      <c r="H5" s="123"/>
      <c r="I5" s="123" t="s">
        <v>94</v>
      </c>
      <c r="J5" s="123" t="s">
        <v>95</v>
      </c>
      <c r="K5" s="123" t="s">
        <v>96</v>
      </c>
      <c r="L5" s="124">
        <v>747914.92</v>
      </c>
      <c r="M5" s="123" t="s">
        <v>92</v>
      </c>
    </row>
    <row r="6" spans="1:13">
      <c r="A6" s="123">
        <v>4</v>
      </c>
      <c r="B6" s="123" t="s">
        <v>97</v>
      </c>
      <c r="C6" s="123" t="s">
        <v>98</v>
      </c>
      <c r="D6" s="127" t="s">
        <v>99</v>
      </c>
      <c r="E6" s="123">
        <v>3011</v>
      </c>
      <c r="F6" s="124">
        <v>42000</v>
      </c>
      <c r="G6" s="123" t="s">
        <v>100</v>
      </c>
      <c r="H6" s="123"/>
      <c r="I6" s="123" t="s">
        <v>94</v>
      </c>
      <c r="J6" s="123" t="s">
        <v>85</v>
      </c>
      <c r="K6" s="123" t="s">
        <v>101</v>
      </c>
      <c r="L6" s="124"/>
      <c r="M6" s="123"/>
    </row>
    <row r="7" spans="1:13">
      <c r="A7" s="123">
        <v>5</v>
      </c>
      <c r="B7" s="123" t="s">
        <v>97</v>
      </c>
      <c r="C7" s="123" t="s">
        <v>98</v>
      </c>
      <c r="D7" s="127" t="s">
        <v>82</v>
      </c>
      <c r="E7" s="123"/>
      <c r="F7" s="124">
        <v>130000</v>
      </c>
      <c r="G7" s="123" t="s">
        <v>102</v>
      </c>
      <c r="H7" s="123"/>
      <c r="I7" s="123" t="s">
        <v>84</v>
      </c>
      <c r="J7" s="123" t="s">
        <v>103</v>
      </c>
      <c r="K7" s="123" t="s">
        <v>86</v>
      </c>
      <c r="L7" s="124">
        <v>114393.49</v>
      </c>
      <c r="M7" s="123" t="s">
        <v>92</v>
      </c>
    </row>
    <row r="8" spans="1:13">
      <c r="A8" s="123">
        <v>6</v>
      </c>
      <c r="B8" s="123" t="s">
        <v>97</v>
      </c>
      <c r="C8" s="123" t="s">
        <v>98</v>
      </c>
      <c r="D8" s="127" t="s">
        <v>104</v>
      </c>
      <c r="E8" s="123"/>
      <c r="F8" s="124">
        <v>320000</v>
      </c>
      <c r="G8" s="126">
        <v>44257</v>
      </c>
      <c r="H8" s="123"/>
      <c r="I8" s="123" t="s">
        <v>94</v>
      </c>
      <c r="J8" s="123" t="s">
        <v>105</v>
      </c>
      <c r="K8" s="123" t="s">
        <v>96</v>
      </c>
      <c r="L8" s="124">
        <v>285192.53000000003</v>
      </c>
      <c r="M8" s="123" t="s">
        <v>92</v>
      </c>
    </row>
    <row r="9" spans="1:13">
      <c r="A9" s="123">
        <v>7</v>
      </c>
      <c r="B9" s="123" t="s">
        <v>106</v>
      </c>
      <c r="C9" s="123" t="s">
        <v>107</v>
      </c>
      <c r="D9" s="127" t="s">
        <v>108</v>
      </c>
      <c r="E9" s="123">
        <v>3020</v>
      </c>
      <c r="F9" s="124">
        <v>300000</v>
      </c>
      <c r="G9" s="123" t="s">
        <v>109</v>
      </c>
      <c r="H9" s="123"/>
      <c r="I9" s="123" t="s">
        <v>94</v>
      </c>
      <c r="J9" s="123" t="s">
        <v>85</v>
      </c>
      <c r="K9" s="123" t="s">
        <v>101</v>
      </c>
      <c r="L9" s="124"/>
      <c r="M9" s="123"/>
    </row>
    <row r="10" spans="1:13">
      <c r="A10" s="123">
        <v>8</v>
      </c>
      <c r="B10" s="123" t="s">
        <v>106</v>
      </c>
      <c r="C10" s="123" t="s">
        <v>107</v>
      </c>
      <c r="D10" s="127" t="s">
        <v>110</v>
      </c>
      <c r="E10" s="123"/>
      <c r="F10" s="124">
        <v>3800000</v>
      </c>
      <c r="G10" s="126">
        <v>44116</v>
      </c>
      <c r="H10" s="123"/>
      <c r="I10" s="123" t="s">
        <v>94</v>
      </c>
      <c r="J10" s="123" t="s">
        <v>111</v>
      </c>
      <c r="K10" s="123" t="s">
        <v>91</v>
      </c>
      <c r="L10" s="124">
        <v>3514677.98</v>
      </c>
      <c r="M10" s="123" t="s">
        <v>92</v>
      </c>
    </row>
    <row r="11" spans="1:13">
      <c r="A11" s="123">
        <v>9</v>
      </c>
      <c r="B11" s="123" t="s">
        <v>112</v>
      </c>
      <c r="C11" s="123" t="s">
        <v>107</v>
      </c>
      <c r="D11" s="127" t="s">
        <v>108</v>
      </c>
      <c r="E11" s="123">
        <v>3020</v>
      </c>
      <c r="F11" s="124">
        <v>1000000</v>
      </c>
      <c r="G11" s="123" t="s">
        <v>100</v>
      </c>
      <c r="H11" s="123"/>
      <c r="I11" s="123" t="s">
        <v>94</v>
      </c>
      <c r="J11" s="123" t="s">
        <v>85</v>
      </c>
      <c r="K11" s="123" t="s">
        <v>101</v>
      </c>
      <c r="L11" s="124"/>
      <c r="M11" s="123"/>
    </row>
    <row r="12" spans="1:13">
      <c r="A12" s="123">
        <v>10</v>
      </c>
      <c r="B12" s="123" t="s">
        <v>112</v>
      </c>
      <c r="C12" s="123" t="s">
        <v>107</v>
      </c>
      <c r="D12" s="127" t="s">
        <v>110</v>
      </c>
      <c r="E12" s="123"/>
      <c r="F12" s="124">
        <v>10429000</v>
      </c>
      <c r="G12" s="123" t="s">
        <v>113</v>
      </c>
      <c r="H12" s="123"/>
      <c r="I12" s="123" t="s">
        <v>75</v>
      </c>
      <c r="J12" s="123" t="s">
        <v>114</v>
      </c>
      <c r="K12" s="123" t="s">
        <v>91</v>
      </c>
      <c r="L12" s="124">
        <v>9757941.7300000004</v>
      </c>
      <c r="M12" s="123" t="s">
        <v>92</v>
      </c>
    </row>
    <row r="13" spans="1:13">
      <c r="A13" s="123">
        <v>11</v>
      </c>
      <c r="B13" s="123" t="s">
        <v>115</v>
      </c>
      <c r="C13" s="123" t="s">
        <v>98</v>
      </c>
      <c r="D13" s="127" t="s">
        <v>82</v>
      </c>
      <c r="E13" s="123">
        <v>3006</v>
      </c>
      <c r="F13" s="124">
        <v>300000</v>
      </c>
      <c r="G13" s="123" t="s">
        <v>116</v>
      </c>
      <c r="H13" s="123"/>
      <c r="I13" s="123" t="s">
        <v>84</v>
      </c>
      <c r="J13" s="123" t="s">
        <v>85</v>
      </c>
      <c r="K13" s="123" t="s">
        <v>86</v>
      </c>
      <c r="L13" s="124"/>
      <c r="M13" s="123"/>
    </row>
    <row r="14" spans="1:13">
      <c r="A14" s="123">
        <v>12</v>
      </c>
      <c r="B14" s="123" t="s">
        <v>115</v>
      </c>
      <c r="C14" s="123" t="s">
        <v>98</v>
      </c>
      <c r="D14" s="127" t="s">
        <v>99</v>
      </c>
      <c r="E14" s="123"/>
      <c r="F14" s="124">
        <v>210000</v>
      </c>
      <c r="G14" s="123" t="s">
        <v>117</v>
      </c>
      <c r="H14" s="123"/>
      <c r="I14" s="123" t="s">
        <v>94</v>
      </c>
      <c r="J14" s="123" t="s">
        <v>118</v>
      </c>
      <c r="K14" s="123" t="s">
        <v>101</v>
      </c>
      <c r="L14" s="124">
        <v>198484.71</v>
      </c>
      <c r="M14" s="123" t="s">
        <v>92</v>
      </c>
    </row>
    <row r="15" spans="1:13">
      <c r="A15" s="123">
        <v>13</v>
      </c>
      <c r="B15" s="123" t="s">
        <v>115</v>
      </c>
      <c r="C15" s="123" t="s">
        <v>98</v>
      </c>
      <c r="D15" s="127" t="s">
        <v>104</v>
      </c>
      <c r="E15" s="123"/>
      <c r="F15" s="124">
        <v>744000</v>
      </c>
      <c r="G15" s="123" t="s">
        <v>119</v>
      </c>
      <c r="H15" s="123"/>
      <c r="I15" s="123" t="s">
        <v>94</v>
      </c>
      <c r="J15" s="123" t="s">
        <v>120</v>
      </c>
      <c r="K15" s="123" t="s">
        <v>96</v>
      </c>
      <c r="L15" s="124">
        <v>632288.43999999994</v>
      </c>
      <c r="M15" s="123" t="s">
        <v>92</v>
      </c>
    </row>
  </sheetData>
  <autoFilter ref="A2:M15" xr:uid="{9A125876-A466-4499-85D6-F6F5E91AF3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workbookViewId="0">
      <pane xSplit="2" topLeftCell="M1" activePane="topRight" state="frozen"/>
      <selection pane="topRight" activeCell="O14" sqref="O14"/>
    </sheetView>
  </sheetViews>
  <sheetFormatPr defaultColWidth="9.140625" defaultRowHeight="13.15"/>
  <cols>
    <col min="1" max="1" width="9.28515625" style="18" bestFit="1" customWidth="1"/>
    <col min="2" max="2" width="69.85546875" style="18" customWidth="1"/>
    <col min="3" max="4" width="17.140625" style="18" customWidth="1"/>
    <col min="5" max="5" width="17.140625" style="18" bestFit="1" customWidth="1"/>
    <col min="6" max="6" width="17.140625" style="18" customWidth="1"/>
    <col min="7" max="7" width="19" style="18" customWidth="1"/>
    <col min="8" max="8" width="16.7109375" style="18" bestFit="1" customWidth="1"/>
    <col min="9" max="10" width="16.7109375" style="18" customWidth="1"/>
    <col min="11" max="11" width="16.7109375" style="18" bestFit="1" customWidth="1"/>
    <col min="12" max="13" width="16.7109375" style="18" customWidth="1"/>
    <col min="14" max="14" width="16.7109375" style="18" bestFit="1" customWidth="1"/>
    <col min="15" max="15" width="17.85546875" style="18" bestFit="1" customWidth="1"/>
    <col min="16" max="16" width="15.7109375" style="18" bestFit="1" customWidth="1"/>
    <col min="17" max="16384" width="9.140625" style="18"/>
  </cols>
  <sheetData>
    <row r="1" spans="1:18">
      <c r="A1" s="67" t="s">
        <v>0</v>
      </c>
      <c r="B1" s="67"/>
      <c r="C1" s="3"/>
      <c r="D1" s="3"/>
      <c r="E1" s="3"/>
      <c r="F1" s="3"/>
      <c r="G1" s="3"/>
    </row>
    <row r="2" spans="1:18">
      <c r="A2" s="28" t="s">
        <v>121</v>
      </c>
      <c r="B2" s="29"/>
      <c r="C2" s="3"/>
      <c r="D2" s="3"/>
      <c r="E2" s="3"/>
      <c r="F2" s="3"/>
      <c r="G2" s="3"/>
    </row>
    <row r="3" spans="1:18">
      <c r="A3" s="20" t="s">
        <v>2</v>
      </c>
      <c r="B3" s="20"/>
      <c r="C3" s="72" t="s">
        <v>3</v>
      </c>
      <c r="D3" s="72" t="s">
        <v>4</v>
      </c>
      <c r="E3" s="72" t="s">
        <v>5</v>
      </c>
      <c r="F3" s="72" t="s">
        <v>6</v>
      </c>
      <c r="G3" s="72" t="s">
        <v>7</v>
      </c>
      <c r="H3" s="72" t="s">
        <v>8</v>
      </c>
      <c r="I3" s="121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6" t="s">
        <v>14</v>
      </c>
      <c r="O3" s="87" t="s">
        <v>15</v>
      </c>
    </row>
    <row r="4" spans="1:18">
      <c r="A4" s="30">
        <v>1</v>
      </c>
      <c r="B4" s="31" t="s">
        <v>122</v>
      </c>
      <c r="C4" s="32">
        <v>78948582.269999996</v>
      </c>
      <c r="D4" s="32">
        <v>153853479.84999999</v>
      </c>
      <c r="E4" s="32">
        <v>233084282.71000001</v>
      </c>
      <c r="F4" s="32">
        <v>314438118.29000002</v>
      </c>
      <c r="G4" s="32">
        <v>401781101.89999998</v>
      </c>
      <c r="H4" s="111">
        <v>483173041.68000001</v>
      </c>
      <c r="I4" s="106">
        <v>566817036.51999998</v>
      </c>
      <c r="J4" s="116">
        <v>654527351.91999996</v>
      </c>
      <c r="K4" s="32">
        <v>733906285.04999995</v>
      </c>
      <c r="L4" s="32">
        <v>816386630.52999997</v>
      </c>
      <c r="M4" s="32">
        <v>898147147.83000004</v>
      </c>
      <c r="N4" s="32">
        <v>982666758.02999997</v>
      </c>
      <c r="O4" s="32">
        <f>O8+O5</f>
        <v>1000687969.16</v>
      </c>
      <c r="P4" s="73"/>
    </row>
    <row r="5" spans="1:18">
      <c r="A5" s="67">
        <v>2</v>
      </c>
      <c r="B5" s="31" t="s">
        <v>123</v>
      </c>
      <c r="C5" s="74">
        <v>69094321.560000002</v>
      </c>
      <c r="D5" s="74">
        <v>133879117.13</v>
      </c>
      <c r="E5" s="74">
        <v>204299345.03999999</v>
      </c>
      <c r="F5" s="74">
        <v>276073411.93000001</v>
      </c>
      <c r="G5" s="88">
        <v>347755915.98000002</v>
      </c>
      <c r="H5" s="112">
        <v>420307900.97000003</v>
      </c>
      <c r="I5" s="107">
        <v>494604230.5</v>
      </c>
      <c r="J5" s="117">
        <v>569329144.05999994</v>
      </c>
      <c r="K5" s="93">
        <v>640353455.30999994</v>
      </c>
      <c r="L5" s="93">
        <v>713879173.88</v>
      </c>
      <c r="M5" s="93">
        <v>786409886.75999999</v>
      </c>
      <c r="N5" s="93">
        <v>861417825.92999995</v>
      </c>
      <c r="O5" s="93">
        <f>O6+O7</f>
        <v>948974631</v>
      </c>
      <c r="P5" s="77"/>
    </row>
    <row r="6" spans="1:18">
      <c r="A6" s="30">
        <v>2.1</v>
      </c>
      <c r="B6" s="33" t="s">
        <v>124</v>
      </c>
      <c r="C6" s="75">
        <v>67898220.469999999</v>
      </c>
      <c r="D6" s="75">
        <v>131654942.95999999</v>
      </c>
      <c r="E6" s="75">
        <v>200858454.94999999</v>
      </c>
      <c r="F6" s="75">
        <v>271307167.79000002</v>
      </c>
      <c r="G6" s="89">
        <v>341934322.31999999</v>
      </c>
      <c r="H6" s="112">
        <v>409414184.44</v>
      </c>
      <c r="I6" s="108">
        <v>481841090.19999999</v>
      </c>
      <c r="J6" s="117">
        <v>554495148.25999999</v>
      </c>
      <c r="K6" s="93">
        <v>621329951.36000001</v>
      </c>
      <c r="L6" s="93">
        <v>693153699.92999995</v>
      </c>
      <c r="M6" s="93">
        <v>761623421.77999997</v>
      </c>
      <c r="N6" s="93">
        <v>833871671.79999995</v>
      </c>
      <c r="O6" s="93">
        <v>948974631</v>
      </c>
    </row>
    <row r="7" spans="1:18">
      <c r="A7" s="30">
        <v>2.2000000000000002</v>
      </c>
      <c r="B7" s="33" t="s">
        <v>125</v>
      </c>
      <c r="C7" s="75">
        <v>1196101.0900000001</v>
      </c>
      <c r="D7" s="75">
        <v>2224174.17</v>
      </c>
      <c r="E7" s="75">
        <v>3440890.09</v>
      </c>
      <c r="F7" s="75">
        <v>4766244.1399999997</v>
      </c>
      <c r="G7" s="89">
        <v>5821593.6600000001</v>
      </c>
      <c r="H7" s="112">
        <v>10893716.529999999</v>
      </c>
      <c r="I7" s="108">
        <v>12763140.300000001</v>
      </c>
      <c r="J7" s="117">
        <v>14833995.800000001</v>
      </c>
      <c r="K7" s="93">
        <v>19023503.949999999</v>
      </c>
      <c r="L7" s="93">
        <v>20725473.949999999</v>
      </c>
      <c r="M7" s="93">
        <v>24786464.98</v>
      </c>
      <c r="N7" s="93">
        <v>27546154.129999999</v>
      </c>
      <c r="O7" s="93">
        <v>0</v>
      </c>
    </row>
    <row r="8" spans="1:18">
      <c r="A8" s="30">
        <v>3</v>
      </c>
      <c r="B8" s="31" t="s">
        <v>126</v>
      </c>
      <c r="C8" s="34">
        <v>41803.25</v>
      </c>
      <c r="D8" s="34">
        <v>476923</v>
      </c>
      <c r="E8" s="34">
        <v>622054.16</v>
      </c>
      <c r="F8" s="34">
        <v>622054.16</v>
      </c>
      <c r="G8" s="90">
        <v>7014046.7599999998</v>
      </c>
      <c r="H8" s="113">
        <v>7014046.7599999998</v>
      </c>
      <c r="I8" s="109">
        <v>7014046.7599999998</v>
      </c>
      <c r="J8" s="118">
        <v>11214046.76</v>
      </c>
      <c r="K8" s="95">
        <v>11214046.76</v>
      </c>
      <c r="L8" s="94">
        <v>11214046.76</v>
      </c>
      <c r="M8" s="94">
        <v>11214046.76</v>
      </c>
      <c r="N8" s="94">
        <v>11214046.76</v>
      </c>
      <c r="O8" s="94">
        <f>O9+O10+O11+O12</f>
        <v>51713338.159999996</v>
      </c>
    </row>
    <row r="9" spans="1:18">
      <c r="A9" s="30">
        <v>3.1</v>
      </c>
      <c r="B9" s="33" t="s">
        <v>127</v>
      </c>
      <c r="C9" s="75">
        <v>0</v>
      </c>
      <c r="D9" s="75">
        <v>0</v>
      </c>
      <c r="E9" s="75">
        <v>0</v>
      </c>
      <c r="F9" s="75">
        <v>0</v>
      </c>
      <c r="G9" s="89">
        <v>0</v>
      </c>
      <c r="H9" s="112">
        <v>0</v>
      </c>
      <c r="I9" s="110">
        <v>0</v>
      </c>
      <c r="J9" s="117">
        <v>0</v>
      </c>
      <c r="K9" s="93">
        <v>0</v>
      </c>
      <c r="L9" s="93">
        <v>0</v>
      </c>
      <c r="M9" s="93">
        <v>0</v>
      </c>
      <c r="N9" s="93">
        <v>0</v>
      </c>
      <c r="O9" s="93">
        <v>0</v>
      </c>
    </row>
    <row r="10" spans="1:18">
      <c r="A10" s="30">
        <v>3.2</v>
      </c>
      <c r="B10" s="33" t="s">
        <v>128</v>
      </c>
      <c r="C10" s="75">
        <v>41803.25</v>
      </c>
      <c r="D10" s="75">
        <v>0</v>
      </c>
      <c r="E10" s="75">
        <v>139131.16</v>
      </c>
      <c r="F10" s="75">
        <v>139131.16</v>
      </c>
      <c r="G10" s="89">
        <v>139131.16</v>
      </c>
      <c r="H10" s="112">
        <v>139131.16</v>
      </c>
      <c r="I10" s="108">
        <v>139131.16</v>
      </c>
      <c r="J10" s="117">
        <v>4339131.16</v>
      </c>
      <c r="K10" s="93">
        <v>4339131.16</v>
      </c>
      <c r="L10" s="93">
        <v>4339131.16</v>
      </c>
      <c r="M10" s="93">
        <v>4339131.16</v>
      </c>
      <c r="N10" s="93">
        <v>4339131.16</v>
      </c>
      <c r="O10" s="93">
        <v>4339131.16</v>
      </c>
    </row>
    <row r="11" spans="1:18">
      <c r="A11" s="30">
        <v>3.3</v>
      </c>
      <c r="B11" s="33" t="s">
        <v>129</v>
      </c>
      <c r="C11" s="75">
        <v>0</v>
      </c>
      <c r="D11" s="75">
        <v>476923</v>
      </c>
      <c r="E11" s="75">
        <v>482923</v>
      </c>
      <c r="F11" s="75">
        <v>482923</v>
      </c>
      <c r="G11" s="89">
        <v>6874915.5999999996</v>
      </c>
      <c r="H11" s="112">
        <v>6874915.5999999996</v>
      </c>
      <c r="I11" s="108">
        <v>6874915.5999999996</v>
      </c>
      <c r="J11" s="117">
        <v>6874915.5999999996</v>
      </c>
      <c r="K11" s="93">
        <v>6874915.5999999996</v>
      </c>
      <c r="L11" s="93">
        <v>6874915.5999999996</v>
      </c>
      <c r="M11" s="93">
        <v>6874915.5999999996</v>
      </c>
      <c r="N11" s="93">
        <v>6874915.5999999996</v>
      </c>
      <c r="O11" s="93"/>
    </row>
    <row r="12" spans="1:18">
      <c r="A12" s="30">
        <v>3.4</v>
      </c>
      <c r="B12" s="35" t="s">
        <v>130</v>
      </c>
      <c r="C12" s="74">
        <v>9812457.4600000009</v>
      </c>
      <c r="D12" s="74">
        <v>19497439.719999999</v>
      </c>
      <c r="E12" s="74">
        <v>28162883.510000002</v>
      </c>
      <c r="F12" s="74">
        <v>37742652.200000003</v>
      </c>
      <c r="G12" s="88">
        <v>47011139.159999996</v>
      </c>
      <c r="H12" s="112">
        <v>55851093.950000003</v>
      </c>
      <c r="I12" s="107">
        <v>65198759.259999998</v>
      </c>
      <c r="J12" s="117">
        <v>73984161.099999994</v>
      </c>
      <c r="K12" s="93">
        <v>82338782.980000004</v>
      </c>
      <c r="L12" s="93">
        <v>91293409.890000001</v>
      </c>
      <c r="M12" s="93">
        <v>100523214.31</v>
      </c>
      <c r="N12" s="93">
        <v>110034885.34</v>
      </c>
      <c r="O12" s="93">
        <v>47374207</v>
      </c>
    </row>
    <row r="13" spans="1:18">
      <c r="A13" s="30">
        <v>4</v>
      </c>
      <c r="B13" s="31" t="s">
        <v>131</v>
      </c>
      <c r="C13" s="34">
        <v>6240404.0499999998</v>
      </c>
      <c r="D13" s="34">
        <v>11742326.33</v>
      </c>
      <c r="E13" s="34">
        <v>17000143.420000002</v>
      </c>
      <c r="F13" s="34">
        <v>19746696.739999998</v>
      </c>
      <c r="G13" s="90">
        <v>35854014.210000001</v>
      </c>
      <c r="H13" s="114">
        <v>38295867.159999996</v>
      </c>
      <c r="I13" s="109">
        <v>54387955.850000001</v>
      </c>
      <c r="J13" s="119">
        <v>73436063.670000002</v>
      </c>
      <c r="K13" s="95">
        <v>81634156.390000001</v>
      </c>
      <c r="L13" s="95">
        <v>91380046.219999999</v>
      </c>
      <c r="M13" s="95">
        <v>99366544.319999993</v>
      </c>
      <c r="N13" s="95">
        <v>109354906.68000001</v>
      </c>
      <c r="O13" s="95">
        <f>O14+O15+O16+O17+O18+O19</f>
        <v>437365579.33000004</v>
      </c>
      <c r="R13" s="18">
        <f>30+16</f>
        <v>46</v>
      </c>
    </row>
    <row r="14" spans="1:18">
      <c r="A14" s="30">
        <v>4.2</v>
      </c>
      <c r="B14" s="33" t="s">
        <v>132</v>
      </c>
      <c r="C14" s="75">
        <v>792148.4</v>
      </c>
      <c r="D14" s="75">
        <v>1227938.6299999999</v>
      </c>
      <c r="E14" s="75">
        <v>1729489.09</v>
      </c>
      <c r="F14" s="75">
        <v>3104849.97</v>
      </c>
      <c r="G14" s="89">
        <v>4593995.66</v>
      </c>
      <c r="H14" s="112">
        <v>5791387.8700000001</v>
      </c>
      <c r="I14" s="108">
        <v>7346315.5899999999</v>
      </c>
      <c r="J14" s="117">
        <v>8483382.9100000001</v>
      </c>
      <c r="K14" s="93">
        <v>9397844.3800000008</v>
      </c>
      <c r="L14" s="93">
        <v>10242395.57</v>
      </c>
      <c r="M14" s="93">
        <v>10826021.83</v>
      </c>
      <c r="N14" s="93">
        <v>11451139.35</v>
      </c>
      <c r="O14" s="93">
        <f>384025545-74292819</f>
        <v>309732726</v>
      </c>
    </row>
    <row r="15" spans="1:18">
      <c r="A15" s="30">
        <v>4.3</v>
      </c>
      <c r="B15" s="33" t="s">
        <v>133</v>
      </c>
      <c r="C15" s="75">
        <v>4820856.05</v>
      </c>
      <c r="D15" s="75">
        <v>9394160.6400000006</v>
      </c>
      <c r="E15" s="75">
        <v>13661872.09</v>
      </c>
      <c r="F15" s="75">
        <v>14016361.720000001</v>
      </c>
      <c r="G15" s="89">
        <v>25214860.899999999</v>
      </c>
      <c r="H15" s="112">
        <v>25634747.870000001</v>
      </c>
      <c r="I15" s="108">
        <v>36339753.520000003</v>
      </c>
      <c r="J15" s="117">
        <v>40474314.289999999</v>
      </c>
      <c r="K15" s="93">
        <v>52245031.710000001</v>
      </c>
      <c r="L15" s="93">
        <v>60487785.93</v>
      </c>
      <c r="M15" s="93">
        <v>67147995.319999993</v>
      </c>
      <c r="N15" s="93">
        <v>74292819.359999999</v>
      </c>
      <c r="O15" s="93">
        <v>74292819.359999999</v>
      </c>
    </row>
    <row r="16" spans="1:18">
      <c r="A16" s="30">
        <v>4.4000000000000004</v>
      </c>
      <c r="B16" s="33" t="s">
        <v>134</v>
      </c>
      <c r="C16" s="75">
        <v>0</v>
      </c>
      <c r="D16" s="75">
        <v>0</v>
      </c>
      <c r="E16" s="75">
        <v>0</v>
      </c>
      <c r="F16" s="75">
        <v>0</v>
      </c>
      <c r="G16" s="89">
        <v>0</v>
      </c>
      <c r="H16" s="112">
        <v>0</v>
      </c>
      <c r="I16" s="110">
        <v>0</v>
      </c>
      <c r="J16" s="117">
        <v>0</v>
      </c>
      <c r="K16" s="93">
        <v>0</v>
      </c>
      <c r="L16" s="93">
        <v>0</v>
      </c>
      <c r="M16" s="93">
        <v>0</v>
      </c>
      <c r="N16" s="93">
        <v>0</v>
      </c>
      <c r="O16" s="93"/>
    </row>
    <row r="17" spans="1:15">
      <c r="A17" s="30">
        <v>4.5</v>
      </c>
      <c r="B17" s="33" t="s">
        <v>135</v>
      </c>
      <c r="C17" s="75">
        <v>0</v>
      </c>
      <c r="D17" s="75">
        <v>0</v>
      </c>
      <c r="E17" s="75">
        <v>0</v>
      </c>
      <c r="F17" s="75">
        <v>0</v>
      </c>
      <c r="G17" s="89">
        <v>0</v>
      </c>
      <c r="H17" s="112">
        <v>0</v>
      </c>
      <c r="I17" s="110">
        <v>0</v>
      </c>
      <c r="J17" s="117">
        <v>0</v>
      </c>
      <c r="K17" s="93">
        <v>0</v>
      </c>
      <c r="L17" s="93">
        <v>0</v>
      </c>
      <c r="M17" s="93">
        <v>0</v>
      </c>
      <c r="N17" s="93">
        <v>23610947.969999999</v>
      </c>
      <c r="O17" s="93">
        <v>23610947.969999999</v>
      </c>
    </row>
    <row r="18" spans="1:15">
      <c r="A18" s="30">
        <v>4.5999999999999996</v>
      </c>
      <c r="B18" s="33" t="s">
        <v>136</v>
      </c>
      <c r="C18" s="75">
        <v>627399.6</v>
      </c>
      <c r="D18" s="75">
        <v>1120227.06</v>
      </c>
      <c r="E18" s="75">
        <v>1608782.24</v>
      </c>
      <c r="F18" s="75">
        <v>2625485.0499999998</v>
      </c>
      <c r="G18" s="89">
        <v>6045157.6500000004</v>
      </c>
      <c r="H18" s="112">
        <v>6869731.4199999999</v>
      </c>
      <c r="I18" s="108">
        <v>10701886.74</v>
      </c>
      <c r="J18" s="117">
        <v>24478366.469999999</v>
      </c>
      <c r="K18" s="93">
        <v>19991280.300000001</v>
      </c>
      <c r="L18" s="93">
        <v>20649864.719999999</v>
      </c>
      <c r="M18" s="93">
        <v>21392527.170000002</v>
      </c>
      <c r="N18" s="93">
        <v>0</v>
      </c>
      <c r="O18" s="93">
        <v>496970</v>
      </c>
    </row>
    <row r="19" spans="1:15">
      <c r="A19" s="30">
        <v>4.7</v>
      </c>
      <c r="B19" s="33" t="s">
        <v>137</v>
      </c>
      <c r="C19" s="75">
        <v>0</v>
      </c>
      <c r="D19" s="75">
        <v>0</v>
      </c>
      <c r="E19" s="75">
        <v>0</v>
      </c>
      <c r="F19" s="75">
        <v>0</v>
      </c>
      <c r="G19" s="89">
        <v>0</v>
      </c>
      <c r="H19" s="112">
        <v>0</v>
      </c>
      <c r="I19" s="110">
        <v>0</v>
      </c>
      <c r="J19" s="117">
        <v>0</v>
      </c>
      <c r="K19" s="93">
        <v>0</v>
      </c>
      <c r="L19" s="93">
        <v>0</v>
      </c>
      <c r="M19" s="93">
        <v>0</v>
      </c>
      <c r="N19" s="93">
        <v>0</v>
      </c>
      <c r="O19" s="93">
        <v>29232116</v>
      </c>
    </row>
    <row r="20" spans="1:15">
      <c r="A20" s="30">
        <v>5</v>
      </c>
      <c r="B20" s="31" t="s">
        <v>138</v>
      </c>
      <c r="C20" s="34">
        <v>72708178.219999999</v>
      </c>
      <c r="D20" s="34">
        <v>142111153.52000001</v>
      </c>
      <c r="E20" s="34">
        <v>216084139.28999999</v>
      </c>
      <c r="F20" s="34">
        <v>294691421.55000001</v>
      </c>
      <c r="G20" s="90">
        <v>365927087.69</v>
      </c>
      <c r="H20" s="114">
        <v>444877174.51999998</v>
      </c>
      <c r="I20" s="109">
        <v>512429080.67000002</v>
      </c>
      <c r="J20" s="119">
        <v>581091288.25</v>
      </c>
      <c r="K20" s="95">
        <v>652272128.65999997</v>
      </c>
      <c r="L20" s="95">
        <v>725006584.30999994</v>
      </c>
      <c r="M20" s="95">
        <v>798780603.50999999</v>
      </c>
      <c r="N20" s="95">
        <v>873311851.35000002</v>
      </c>
      <c r="O20" s="95">
        <f>O4-O13</f>
        <v>563322389.82999992</v>
      </c>
    </row>
    <row r="21" spans="1:15">
      <c r="A21" s="30">
        <v>6</v>
      </c>
      <c r="B21" s="31" t="s">
        <v>29</v>
      </c>
      <c r="C21" s="34">
        <v>10416666.67</v>
      </c>
      <c r="D21" s="34">
        <v>20833333.34</v>
      </c>
      <c r="E21" s="34">
        <v>31250000.010000002</v>
      </c>
      <c r="F21" s="34">
        <v>56666666.68</v>
      </c>
      <c r="G21" s="90">
        <v>70833333.349999994</v>
      </c>
      <c r="H21" s="114">
        <v>85000000.019999996</v>
      </c>
      <c r="I21" s="109">
        <v>99166666.689999998</v>
      </c>
      <c r="J21" s="119">
        <v>113333333.36</v>
      </c>
      <c r="K21" s="95">
        <v>127500000.03</v>
      </c>
      <c r="L21" s="95">
        <v>141666666.69999999</v>
      </c>
      <c r="M21" s="95">
        <v>155833333.37</v>
      </c>
      <c r="N21" s="95">
        <v>75961193.310000002</v>
      </c>
      <c r="O21" s="95">
        <f>O22-O23</f>
        <v>29729076</v>
      </c>
    </row>
    <row r="22" spans="1:15">
      <c r="A22" s="30">
        <v>6.1</v>
      </c>
      <c r="B22" s="33" t="s">
        <v>139</v>
      </c>
      <c r="C22" s="75">
        <v>10416666.67</v>
      </c>
      <c r="D22" s="75">
        <v>20833333.34</v>
      </c>
      <c r="E22" s="75">
        <v>31250000.010000002</v>
      </c>
      <c r="F22" s="75">
        <v>56666666.68</v>
      </c>
      <c r="G22" s="89">
        <v>70833333.349999994</v>
      </c>
      <c r="H22" s="112">
        <v>85000000.019999996</v>
      </c>
      <c r="I22" s="108">
        <v>99166666.689999998</v>
      </c>
      <c r="J22" s="117">
        <v>113333333.36</v>
      </c>
      <c r="K22" s="93">
        <v>127500000.03</v>
      </c>
      <c r="L22" s="93">
        <v>141666666.69999999</v>
      </c>
      <c r="M22" s="93">
        <v>155833333.37</v>
      </c>
      <c r="N22" s="93">
        <v>75961193.310000002</v>
      </c>
      <c r="O22" s="93">
        <v>29729076</v>
      </c>
    </row>
    <row r="23" spans="1:15">
      <c r="A23" s="30">
        <v>6.2</v>
      </c>
      <c r="B23" s="33" t="s">
        <v>140</v>
      </c>
      <c r="C23" s="75">
        <v>0</v>
      </c>
      <c r="D23" s="75">
        <v>0</v>
      </c>
      <c r="E23" s="75">
        <v>0</v>
      </c>
      <c r="F23" s="75">
        <v>0</v>
      </c>
      <c r="G23" s="89">
        <v>0</v>
      </c>
      <c r="H23" s="112">
        <v>0</v>
      </c>
      <c r="I23" s="110">
        <v>0</v>
      </c>
      <c r="J23" s="117">
        <v>0</v>
      </c>
      <c r="K23" s="93">
        <v>0</v>
      </c>
      <c r="L23" s="93">
        <v>0</v>
      </c>
      <c r="M23" s="93">
        <v>0</v>
      </c>
      <c r="N23" s="93">
        <v>0</v>
      </c>
      <c r="O23" s="93"/>
    </row>
    <row r="24" spans="1:15">
      <c r="A24" s="30">
        <v>7</v>
      </c>
      <c r="B24" s="31" t="s">
        <v>141</v>
      </c>
      <c r="C24" s="34">
        <v>27660897.989999998</v>
      </c>
      <c r="D24" s="34">
        <v>60346992.310000002</v>
      </c>
      <c r="E24" s="34">
        <v>97812985.930000007</v>
      </c>
      <c r="F24" s="34">
        <v>132764948.01000001</v>
      </c>
      <c r="G24" s="90">
        <v>166522215.47</v>
      </c>
      <c r="H24" s="114">
        <v>234685122.5</v>
      </c>
      <c r="I24" s="109">
        <v>271491576.41000003</v>
      </c>
      <c r="J24" s="119">
        <v>313759014.20999998</v>
      </c>
      <c r="K24" s="95">
        <v>349422836.74000001</v>
      </c>
      <c r="L24" s="95">
        <v>384620473.66000003</v>
      </c>
      <c r="M24" s="95">
        <v>421385221.06</v>
      </c>
      <c r="N24" s="95">
        <v>462165063.69</v>
      </c>
      <c r="O24" s="95">
        <f>O25+O26+O27+O28+O29</f>
        <v>464418929.25</v>
      </c>
    </row>
    <row r="25" spans="1:15">
      <c r="A25" s="30">
        <v>7.1</v>
      </c>
      <c r="B25" s="33" t="s">
        <v>142</v>
      </c>
      <c r="C25" s="75">
        <v>15532705.66</v>
      </c>
      <c r="D25" s="75">
        <v>34822552</v>
      </c>
      <c r="E25" s="75">
        <v>49612509.399999999</v>
      </c>
      <c r="F25" s="75">
        <v>65001932.369999997</v>
      </c>
      <c r="G25" s="89">
        <v>79812699.150000006</v>
      </c>
      <c r="H25" s="112">
        <v>133788076.09</v>
      </c>
      <c r="I25" s="108">
        <v>153766043.02000001</v>
      </c>
      <c r="J25" s="117">
        <v>173527483.66</v>
      </c>
      <c r="K25" s="93">
        <v>193821552.12</v>
      </c>
      <c r="L25" s="93">
        <v>214102919.66999999</v>
      </c>
      <c r="M25" s="93">
        <v>234304965.03999999</v>
      </c>
      <c r="N25" s="93">
        <v>255700162.56999999</v>
      </c>
      <c r="O25" s="93">
        <v>255700162.56999999</v>
      </c>
    </row>
    <row r="26" spans="1:15">
      <c r="A26" s="30">
        <v>7.2</v>
      </c>
      <c r="B26" s="33" t="s">
        <v>143</v>
      </c>
      <c r="C26" s="75">
        <v>1785125.97</v>
      </c>
      <c r="D26" s="75">
        <v>4378692.58</v>
      </c>
      <c r="E26" s="75">
        <v>11262769.300000001</v>
      </c>
      <c r="F26" s="75">
        <v>17635998.649999999</v>
      </c>
      <c r="G26" s="89">
        <v>21596361.219999999</v>
      </c>
      <c r="H26" s="112">
        <v>24283076.789999999</v>
      </c>
      <c r="I26" s="108">
        <v>27135577.719999999</v>
      </c>
      <c r="J26" s="117">
        <v>29663456.899999999</v>
      </c>
      <c r="K26" s="93">
        <v>34423927.549999997</v>
      </c>
      <c r="L26" s="93">
        <v>36669983.520000003</v>
      </c>
      <c r="M26" s="93">
        <v>38138649.689999998</v>
      </c>
      <c r="N26" s="93">
        <v>40612972.68</v>
      </c>
      <c r="O26" s="93">
        <v>40612972.68</v>
      </c>
    </row>
    <row r="27" spans="1:15">
      <c r="A27" s="30">
        <v>7.3</v>
      </c>
      <c r="B27" s="33" t="s">
        <v>144</v>
      </c>
      <c r="C27" s="75">
        <v>2233906.67</v>
      </c>
      <c r="D27" s="75">
        <v>3871993.34</v>
      </c>
      <c r="E27" s="75">
        <v>4326200.01</v>
      </c>
      <c r="F27" s="75">
        <v>9115133.3499999996</v>
      </c>
      <c r="G27" s="89">
        <v>11811986.689999999</v>
      </c>
      <c r="H27" s="112">
        <v>13543150.029999999</v>
      </c>
      <c r="I27" s="108">
        <v>15209263.369999999</v>
      </c>
      <c r="J27" s="117">
        <v>17903956.710000001</v>
      </c>
      <c r="K27" s="93">
        <v>19481062</v>
      </c>
      <c r="L27" s="93">
        <v>21371907.989999998</v>
      </c>
      <c r="M27" s="93">
        <v>24026277.66</v>
      </c>
      <c r="N27" s="93">
        <v>26223260.379999999</v>
      </c>
      <c r="O27" s="93">
        <v>26323260</v>
      </c>
    </row>
    <row r="28" spans="1:15">
      <c r="A28" s="30">
        <v>7.4</v>
      </c>
      <c r="B28" s="35" t="s">
        <v>145</v>
      </c>
      <c r="C28" s="75">
        <v>2813890.33</v>
      </c>
      <c r="D28" s="75">
        <v>6220657.2999999998</v>
      </c>
      <c r="E28" s="75">
        <v>10012018.07</v>
      </c>
      <c r="F28" s="75">
        <v>13611556.76</v>
      </c>
      <c r="G28" s="89">
        <v>16998485.960000001</v>
      </c>
      <c r="H28" s="112">
        <v>20360243.16</v>
      </c>
      <c r="I28" s="108">
        <v>23770457.359999999</v>
      </c>
      <c r="J28" s="117">
        <v>27786898.890000001</v>
      </c>
      <c r="K28" s="93">
        <v>31197822.760000002</v>
      </c>
      <c r="L28" s="93">
        <v>34576246.630000003</v>
      </c>
      <c r="M28" s="93">
        <v>38101708.829999998</v>
      </c>
      <c r="N28" s="93">
        <v>41928144.719999999</v>
      </c>
      <c r="O28" s="93">
        <v>41431174</v>
      </c>
    </row>
    <row r="29" spans="1:15">
      <c r="A29" s="30">
        <v>7.5</v>
      </c>
      <c r="B29" s="33" t="s">
        <v>146</v>
      </c>
      <c r="C29" s="75">
        <v>5295269.3600000003</v>
      </c>
      <c r="D29" s="75">
        <v>11053097.09</v>
      </c>
      <c r="E29" s="75">
        <v>22599489.149999999</v>
      </c>
      <c r="F29" s="75">
        <v>27400326.879999999</v>
      </c>
      <c r="G29" s="89">
        <v>36302682.450000003</v>
      </c>
      <c r="H29" s="112">
        <v>42710576.43</v>
      </c>
      <c r="I29" s="108">
        <v>51610234.939999998</v>
      </c>
      <c r="J29" s="117">
        <v>64877218.049999997</v>
      </c>
      <c r="K29" s="93">
        <v>70498472.310000002</v>
      </c>
      <c r="L29" s="93">
        <v>77899415.849999994</v>
      </c>
      <c r="M29" s="93">
        <v>86813619.840000004</v>
      </c>
      <c r="N29" s="93">
        <v>97700523.340000004</v>
      </c>
      <c r="O29" s="93">
        <f>126674620-26323260</f>
        <v>100351360</v>
      </c>
    </row>
    <row r="30" spans="1:15">
      <c r="A30" s="30">
        <v>8</v>
      </c>
      <c r="B30" s="31" t="s">
        <v>147</v>
      </c>
      <c r="C30" s="36">
        <v>34630613.560000002</v>
      </c>
      <c r="D30" s="36">
        <v>60930827.869999997</v>
      </c>
      <c r="E30" s="36">
        <v>87021153.349999994</v>
      </c>
      <c r="F30" s="36">
        <v>105259806.86</v>
      </c>
      <c r="G30" s="91">
        <v>128571538.87</v>
      </c>
      <c r="H30" s="115">
        <v>125192052</v>
      </c>
      <c r="I30" s="106">
        <v>141770837.56999999</v>
      </c>
      <c r="J30" s="120">
        <v>153998940.68000001</v>
      </c>
      <c r="K30" s="96">
        <v>175349291.88999999</v>
      </c>
      <c r="L30" s="96">
        <v>198719443.94999999</v>
      </c>
      <c r="M30" s="96">
        <v>221562049.08000001</v>
      </c>
      <c r="N30" s="96">
        <v>335185594.35000002</v>
      </c>
      <c r="O30" s="96">
        <f>O20-O21-O24</f>
        <v>69174384.579999924</v>
      </c>
    </row>
    <row r="31" spans="1:15">
      <c r="A31" s="30">
        <v>9</v>
      </c>
      <c r="B31" s="31" t="s">
        <v>148</v>
      </c>
      <c r="C31" s="74">
        <v>3380093.17</v>
      </c>
      <c r="D31" s="74">
        <v>2688939.54</v>
      </c>
      <c r="E31" s="74">
        <v>4523860.3600000003</v>
      </c>
      <c r="F31" s="74">
        <v>3945663.79</v>
      </c>
      <c r="G31" s="88">
        <v>4432327.1399999997</v>
      </c>
      <c r="H31" s="112">
        <v>5376939.5800000001</v>
      </c>
      <c r="I31" s="107">
        <v>6399849.4000000004</v>
      </c>
      <c r="J31" s="117">
        <v>8819539.8900000006</v>
      </c>
      <c r="K31" s="93">
        <v>10189525.039999999</v>
      </c>
      <c r="L31" s="93">
        <v>11050404.210000001</v>
      </c>
      <c r="M31" s="93">
        <v>14052578.16</v>
      </c>
      <c r="N31" s="93">
        <v>15955750.42</v>
      </c>
      <c r="O31" s="93">
        <f>O32-O33</f>
        <v>0</v>
      </c>
    </row>
    <row r="32" spans="1:15">
      <c r="A32" s="30">
        <v>9.1</v>
      </c>
      <c r="B32" s="33" t="s">
        <v>149</v>
      </c>
      <c r="C32" s="75">
        <v>3380093.17</v>
      </c>
      <c r="D32" s="75">
        <v>2688939.54</v>
      </c>
      <c r="E32" s="75">
        <v>4523860.3600000003</v>
      </c>
      <c r="F32" s="75">
        <v>5220713.79</v>
      </c>
      <c r="G32" s="89">
        <v>5765377.1399999997</v>
      </c>
      <c r="H32" s="112">
        <v>7023839.5800000001</v>
      </c>
      <c r="I32" s="108">
        <v>8098309.4000000004</v>
      </c>
      <c r="J32" s="117">
        <v>10518999.890000001</v>
      </c>
      <c r="K32" s="93">
        <v>12254985.039999999</v>
      </c>
      <c r="L32" s="93">
        <v>13115864.210000001</v>
      </c>
      <c r="M32" s="93">
        <v>16118038.16</v>
      </c>
      <c r="N32" s="93">
        <v>18021210.420000002</v>
      </c>
      <c r="O32" s="93"/>
    </row>
    <row r="33" spans="1:15">
      <c r="A33" s="30">
        <v>9.1999999999999993</v>
      </c>
      <c r="B33" s="33" t="s">
        <v>150</v>
      </c>
      <c r="C33" s="75">
        <v>0</v>
      </c>
      <c r="D33" s="75">
        <v>0</v>
      </c>
      <c r="E33" s="75">
        <v>0</v>
      </c>
      <c r="F33" s="75">
        <v>1275050</v>
      </c>
      <c r="G33" s="89">
        <v>1333050</v>
      </c>
      <c r="H33" s="112">
        <v>1646900</v>
      </c>
      <c r="I33" s="108">
        <v>1698460</v>
      </c>
      <c r="J33" s="117">
        <v>1699460</v>
      </c>
      <c r="K33" s="93">
        <v>2065460</v>
      </c>
      <c r="L33" s="93">
        <v>2065460</v>
      </c>
      <c r="M33" s="93">
        <v>2065460</v>
      </c>
      <c r="N33" s="93">
        <v>2065460</v>
      </c>
      <c r="O33" s="93"/>
    </row>
    <row r="34" spans="1:15">
      <c r="A34" s="30">
        <v>10</v>
      </c>
      <c r="B34" s="33" t="s">
        <v>151</v>
      </c>
      <c r="C34" s="37">
        <v>38010706.729999997</v>
      </c>
      <c r="D34" s="37">
        <v>63619767.409999996</v>
      </c>
      <c r="E34" s="37">
        <v>91545013.709999993</v>
      </c>
      <c r="F34" s="37">
        <v>109205470.65000001</v>
      </c>
      <c r="G34" s="92">
        <v>133003866.01000001</v>
      </c>
      <c r="H34" s="114">
        <v>130568991.58</v>
      </c>
      <c r="I34" s="109">
        <v>148170686.97</v>
      </c>
      <c r="J34" s="119">
        <v>162818480.56999999</v>
      </c>
      <c r="K34" s="95">
        <v>185538816.93000001</v>
      </c>
      <c r="L34" s="95">
        <v>209769848.16</v>
      </c>
      <c r="M34" s="95">
        <v>235614627.24000001</v>
      </c>
      <c r="N34" s="95">
        <v>351141344.76999998</v>
      </c>
      <c r="O34" s="95">
        <f>O30+O31</f>
        <v>69174384.579999924</v>
      </c>
    </row>
    <row r="35" spans="1:15">
      <c r="A35" s="30">
        <v>11</v>
      </c>
      <c r="B35" s="33" t="s">
        <v>152</v>
      </c>
      <c r="C35" s="75">
        <v>0</v>
      </c>
      <c r="D35" s="75">
        <v>0</v>
      </c>
      <c r="E35" s="75">
        <v>0</v>
      </c>
      <c r="F35" s="75">
        <v>0</v>
      </c>
      <c r="G35" s="89">
        <v>0</v>
      </c>
      <c r="H35" s="112">
        <v>0</v>
      </c>
      <c r="I35" s="110">
        <v>0</v>
      </c>
      <c r="J35" s="117">
        <v>0</v>
      </c>
      <c r="K35" s="93">
        <v>0</v>
      </c>
      <c r="L35" s="93">
        <v>0</v>
      </c>
      <c r="M35" s="93">
        <v>0</v>
      </c>
      <c r="N35" s="93">
        <v>0</v>
      </c>
      <c r="O35" s="93">
        <v>6327250</v>
      </c>
    </row>
    <row r="36" spans="1:15">
      <c r="A36" s="30">
        <v>12</v>
      </c>
      <c r="B36" s="31" t="s">
        <v>153</v>
      </c>
      <c r="C36" s="34">
        <v>38010706.729999997</v>
      </c>
      <c r="D36" s="34">
        <v>63619767.409999996</v>
      </c>
      <c r="E36" s="34">
        <v>91545013.709999993</v>
      </c>
      <c r="F36" s="34">
        <v>109205470.65000001</v>
      </c>
      <c r="G36" s="90">
        <v>133003866.01000001</v>
      </c>
      <c r="H36" s="114">
        <v>130568991.58</v>
      </c>
      <c r="I36" s="109">
        <v>148170686.97</v>
      </c>
      <c r="J36" s="119">
        <v>162818480.56999999</v>
      </c>
      <c r="K36" s="95">
        <v>185538816.93000001</v>
      </c>
      <c r="L36" s="95">
        <v>209769848.16</v>
      </c>
      <c r="M36" s="95">
        <v>235614627.24000001</v>
      </c>
      <c r="N36" s="95">
        <v>351141344.76999998</v>
      </c>
      <c r="O36" s="95">
        <f>O34-O35</f>
        <v>62847134.579999924</v>
      </c>
    </row>
    <row r="37" spans="1:15">
      <c r="A37" s="30">
        <v>13</v>
      </c>
      <c r="B37" s="33" t="s">
        <v>154</v>
      </c>
      <c r="C37" s="75">
        <v>-126040</v>
      </c>
      <c r="D37" s="75">
        <v>-146040</v>
      </c>
      <c r="E37" s="75">
        <v>-574015</v>
      </c>
      <c r="F37" s="75">
        <v>-594015</v>
      </c>
      <c r="G37" s="89">
        <v>-645575</v>
      </c>
      <c r="H37" s="112">
        <v>-506875</v>
      </c>
      <c r="I37" s="108">
        <v>-526875</v>
      </c>
      <c r="J37" s="117">
        <v>-645375</v>
      </c>
      <c r="K37" s="93">
        <v>-645375</v>
      </c>
      <c r="L37" s="93">
        <v>-685375</v>
      </c>
      <c r="M37" s="93">
        <v>-685375</v>
      </c>
      <c r="N37" s="93">
        <v>-685375</v>
      </c>
      <c r="O37" s="93"/>
    </row>
    <row r="38" spans="1:15">
      <c r="A38" s="30">
        <v>14</v>
      </c>
      <c r="B38" s="31" t="s">
        <v>155</v>
      </c>
      <c r="C38" s="34">
        <v>38136746.729999997</v>
      </c>
      <c r="D38" s="34">
        <v>63765807.409999996</v>
      </c>
      <c r="E38" s="34">
        <v>92119028.709999993</v>
      </c>
      <c r="F38" s="34">
        <v>109799485.65000001</v>
      </c>
      <c r="G38" s="90">
        <v>133649441.01000001</v>
      </c>
      <c r="H38" s="114">
        <v>131075866.58</v>
      </c>
      <c r="I38" s="109">
        <v>148697561.97</v>
      </c>
      <c r="J38" s="119">
        <v>163463855.56999999</v>
      </c>
      <c r="K38" s="95">
        <v>186184191.93000001</v>
      </c>
      <c r="L38" s="95">
        <v>210455223.16</v>
      </c>
      <c r="M38" s="95">
        <v>236300002.24000001</v>
      </c>
      <c r="N38" s="95">
        <v>351826719.76999998</v>
      </c>
      <c r="O38" s="95">
        <f>O36-O37</f>
        <v>62847134.579999924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G28"/>
  <sheetViews>
    <sheetView topLeftCell="A4" workbookViewId="0">
      <selection activeCell="E8" sqref="E8"/>
    </sheetView>
  </sheetViews>
  <sheetFormatPr defaultColWidth="9.140625" defaultRowHeight="13.9"/>
  <cols>
    <col min="1" max="2" width="9.140625" style="19"/>
    <col min="3" max="3" width="18" style="19" bestFit="1" customWidth="1"/>
    <col min="4" max="4" width="12.85546875" style="19" bestFit="1" customWidth="1"/>
    <col min="5" max="5" width="41.28515625" style="19" bestFit="1" customWidth="1"/>
    <col min="6" max="6" width="23.7109375" style="19" bestFit="1" customWidth="1"/>
    <col min="7" max="7" width="40.140625" style="19" bestFit="1" customWidth="1"/>
    <col min="8" max="16384" width="9.140625" style="19"/>
  </cols>
  <sheetData>
    <row r="6" spans="3:7">
      <c r="C6" s="78" t="s">
        <v>156</v>
      </c>
    </row>
    <row r="7" spans="3:7">
      <c r="E7" s="78" t="s">
        <v>157</v>
      </c>
    </row>
    <row r="9" spans="3:7">
      <c r="C9" s="85" t="s">
        <v>158</v>
      </c>
      <c r="D9" s="85" t="s">
        <v>159</v>
      </c>
      <c r="E9" s="85" t="s">
        <v>160</v>
      </c>
      <c r="F9" s="85" t="s">
        <v>161</v>
      </c>
      <c r="G9" s="85" t="s">
        <v>162</v>
      </c>
    </row>
    <row r="10" spans="3:7">
      <c r="C10" s="81" t="s">
        <v>92</v>
      </c>
      <c r="D10" s="82"/>
      <c r="E10" s="82"/>
      <c r="F10" s="83">
        <v>0.01</v>
      </c>
      <c r="G10" s="82">
        <f>F10*E10</f>
        <v>0</v>
      </c>
    </row>
    <row r="11" spans="3:7">
      <c r="C11" s="81" t="s">
        <v>163</v>
      </c>
      <c r="D11" s="81"/>
      <c r="E11" s="82"/>
      <c r="F11" s="83">
        <v>0.05</v>
      </c>
      <c r="G11" s="82">
        <f t="shared" ref="G11:G14" si="0">F11*E11</f>
        <v>0</v>
      </c>
    </row>
    <row r="12" spans="3:7">
      <c r="C12" s="81" t="s">
        <v>164</v>
      </c>
      <c r="D12" s="81"/>
      <c r="E12" s="82"/>
      <c r="F12" s="83">
        <v>0.25</v>
      </c>
      <c r="G12" s="82">
        <f t="shared" si="0"/>
        <v>0</v>
      </c>
    </row>
    <row r="13" spans="3:7">
      <c r="C13" s="81" t="s">
        <v>165</v>
      </c>
      <c r="D13" s="81"/>
      <c r="E13" s="82"/>
      <c r="F13" s="83">
        <v>0.5</v>
      </c>
      <c r="G13" s="82">
        <f t="shared" si="0"/>
        <v>0</v>
      </c>
    </row>
    <row r="14" spans="3:7">
      <c r="C14" s="81" t="s">
        <v>166</v>
      </c>
      <c r="D14" s="81"/>
      <c r="E14" s="82"/>
      <c r="F14" s="83">
        <v>1</v>
      </c>
      <c r="G14" s="82">
        <f t="shared" si="0"/>
        <v>0</v>
      </c>
    </row>
    <row r="15" spans="3:7">
      <c r="C15" s="85" t="s">
        <v>167</v>
      </c>
      <c r="D15" s="84"/>
      <c r="E15" s="84"/>
      <c r="F15" s="85">
        <v>1.81</v>
      </c>
      <c r="G15" s="84"/>
    </row>
    <row r="16" spans="3:7">
      <c r="C16" s="81"/>
      <c r="D16" s="81"/>
      <c r="E16" s="81"/>
      <c r="F16" s="81"/>
      <c r="G16" s="81"/>
    </row>
    <row r="17" spans="3:7">
      <c r="C17" s="81" t="s">
        <v>92</v>
      </c>
      <c r="D17" s="81"/>
      <c r="E17" s="81"/>
      <c r="F17" s="83">
        <v>0.01</v>
      </c>
      <c r="G17" s="81" t="s">
        <v>168</v>
      </c>
    </row>
    <row r="18" spans="3:7">
      <c r="C18" s="81" t="s">
        <v>163</v>
      </c>
      <c r="D18" s="81"/>
      <c r="E18" s="81"/>
      <c r="F18" s="83">
        <v>0.05</v>
      </c>
      <c r="G18" s="81" t="s">
        <v>168</v>
      </c>
    </row>
    <row r="19" spans="3:7">
      <c r="C19" s="81" t="s">
        <v>164</v>
      </c>
      <c r="D19" s="81"/>
      <c r="E19" s="81"/>
      <c r="F19" s="83">
        <v>0.25</v>
      </c>
      <c r="G19" s="81" t="s">
        <v>168</v>
      </c>
    </row>
    <row r="20" spans="3:7">
      <c r="C20" s="81" t="s">
        <v>165</v>
      </c>
      <c r="D20" s="81"/>
      <c r="E20" s="81"/>
      <c r="F20" s="83">
        <v>0.5</v>
      </c>
      <c r="G20" s="81" t="s">
        <v>168</v>
      </c>
    </row>
    <row r="21" spans="3:7">
      <c r="C21" s="81" t="s">
        <v>166</v>
      </c>
      <c r="D21" s="81"/>
      <c r="E21" s="81"/>
      <c r="F21" s="83">
        <v>1</v>
      </c>
      <c r="G21" s="81" t="s">
        <v>168</v>
      </c>
    </row>
    <row r="22" spans="3:7">
      <c r="C22" s="81" t="s">
        <v>167</v>
      </c>
      <c r="D22" s="84"/>
      <c r="E22" s="84"/>
      <c r="F22" s="85"/>
      <c r="G22" s="84"/>
    </row>
    <row r="23" spans="3:7">
      <c r="C23" s="81"/>
    </row>
    <row r="26" spans="3:7">
      <c r="D26" s="78" t="s">
        <v>169</v>
      </c>
      <c r="E26" s="79"/>
    </row>
    <row r="27" spans="3:7">
      <c r="D27" s="78" t="s">
        <v>170</v>
      </c>
      <c r="E27" s="80"/>
    </row>
    <row r="28" spans="3:7">
      <c r="D28" s="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9"/>
  <sheetViews>
    <sheetView topLeftCell="F1" workbookViewId="0">
      <selection activeCell="M19" sqref="M19:N19"/>
    </sheetView>
  </sheetViews>
  <sheetFormatPr defaultColWidth="9.140625" defaultRowHeight="13.15"/>
  <cols>
    <col min="1" max="1" width="29.85546875" style="18" bestFit="1" customWidth="1"/>
    <col min="2" max="3" width="18.140625" style="18" customWidth="1"/>
    <col min="4" max="4" width="18.140625" style="18" bestFit="1" customWidth="1"/>
    <col min="5" max="6" width="18.140625" style="18" customWidth="1"/>
    <col min="7" max="7" width="18.140625" style="18" bestFit="1" customWidth="1"/>
    <col min="8" max="9" width="18.140625" style="18" customWidth="1"/>
    <col min="10" max="10" width="18.140625" style="18" bestFit="1" customWidth="1"/>
    <col min="11" max="12" width="18.140625" style="18" customWidth="1"/>
    <col min="13" max="14" width="18.140625" style="18" bestFit="1" customWidth="1"/>
    <col min="15" max="15" width="7.5703125" style="18" customWidth="1"/>
    <col min="16" max="16384" width="9.140625" style="18"/>
  </cols>
  <sheetData>
    <row r="1" spans="1:15">
      <c r="A1" s="38" t="s">
        <v>171</v>
      </c>
    </row>
    <row r="2" spans="1:15">
      <c r="A2" s="39"/>
    </row>
    <row r="3" spans="1:15">
      <c r="A3" s="40" t="s">
        <v>172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173</v>
      </c>
    </row>
    <row r="4" spans="1:15">
      <c r="A4" s="41" t="s">
        <v>174</v>
      </c>
    </row>
    <row r="5" spans="1:15">
      <c r="A5" s="42" t="s">
        <v>40</v>
      </c>
      <c r="B5" s="43">
        <f>'Balance Sheet'!C26</f>
        <v>8473725994.9899998</v>
      </c>
      <c r="C5" s="43">
        <f>'Balance Sheet'!D26</f>
        <v>8446890962.5500002</v>
      </c>
      <c r="D5" s="43">
        <f>'Balance Sheet'!E26</f>
        <v>8568838567.2600002</v>
      </c>
      <c r="E5" s="43">
        <f>'Balance Sheet'!F26</f>
        <v>8422644058.4300003</v>
      </c>
      <c r="F5" s="43">
        <f>'Balance Sheet'!G26</f>
        <v>8616595265.9699993</v>
      </c>
      <c r="G5" s="43">
        <f>'Balance Sheet'!H26</f>
        <v>8725876239.9500008</v>
      </c>
      <c r="H5" s="43">
        <f>'Balance Sheet'!I26</f>
        <v>8748499583.9500008</v>
      </c>
      <c r="I5" s="43">
        <f>'Balance Sheet'!J26</f>
        <v>8863397195.8500004</v>
      </c>
      <c r="J5" s="43">
        <f>'Balance Sheet'!K26</f>
        <v>8853524598.3600006</v>
      </c>
      <c r="K5" s="43">
        <f>'Balance Sheet'!L26</f>
        <v>8884997785.4299984</v>
      </c>
      <c r="L5" s="43">
        <f>'Balance Sheet'!M26</f>
        <v>8881244603.789999</v>
      </c>
      <c r="M5" s="43">
        <f>'Balance Sheet'!N26</f>
        <v>9003157581.3700008</v>
      </c>
      <c r="N5" s="43">
        <f>'Balance Sheet'!O26</f>
        <v>9103337522.1300011</v>
      </c>
      <c r="O5" s="43">
        <f>'Balance Sheet'!P26</f>
        <v>9103337524.1300011</v>
      </c>
    </row>
    <row r="6" spans="1:15">
      <c r="A6" s="44" t="s">
        <v>175</v>
      </c>
      <c r="B6" s="45">
        <f t="shared" ref="B6:O6" si="0">B7+B8</f>
        <v>6620072388.29</v>
      </c>
      <c r="C6" s="45">
        <f t="shared" si="0"/>
        <v>6637542056.9699993</v>
      </c>
      <c r="D6" s="45">
        <f t="shared" si="0"/>
        <v>6639221042.9000006</v>
      </c>
      <c r="E6" s="45">
        <f t="shared" si="0"/>
        <v>6696336215.9799995</v>
      </c>
      <c r="F6" s="45">
        <f t="shared" si="0"/>
        <v>6680458946.9200001</v>
      </c>
      <c r="G6" s="45">
        <f t="shared" si="0"/>
        <v>6720644627.6300001</v>
      </c>
      <c r="H6" s="45">
        <f t="shared" ref="H6" si="1">H7+H8</f>
        <v>6685759459.1300001</v>
      </c>
      <c r="I6" s="45">
        <f t="shared" si="0"/>
        <v>6690685364.96</v>
      </c>
      <c r="J6" s="45">
        <f t="shared" si="0"/>
        <v>6667368614.5299997</v>
      </c>
      <c r="K6" s="45">
        <f t="shared" si="0"/>
        <v>6671174161.1199999</v>
      </c>
      <c r="L6" s="45">
        <f t="shared" si="0"/>
        <v>6662019099.8100004</v>
      </c>
      <c r="M6" s="45">
        <f t="shared" si="0"/>
        <v>6662966562.4300003</v>
      </c>
      <c r="N6" s="45">
        <f t="shared" si="0"/>
        <v>6662966562.4300003</v>
      </c>
      <c r="O6" s="45">
        <f t="shared" si="0"/>
        <v>6662966562.4300003</v>
      </c>
    </row>
    <row r="7" spans="1:15">
      <c r="A7" s="46" t="s">
        <v>176</v>
      </c>
      <c r="B7" s="43">
        <f>'Balance Sheet'!C29</f>
        <v>6370738478.3100004</v>
      </c>
      <c r="C7" s="43">
        <f>'Balance Sheet'!D29</f>
        <v>6386834874.6099997</v>
      </c>
      <c r="D7" s="43">
        <f>'Balance Sheet'!E29</f>
        <v>6390516697.0200005</v>
      </c>
      <c r="E7" s="43">
        <f>'Balance Sheet'!F29</f>
        <v>6324672788.79</v>
      </c>
      <c r="F7" s="43">
        <f>'Balance Sheet'!G29</f>
        <v>6348092712.5</v>
      </c>
      <c r="G7" s="43">
        <f>'Balance Sheet'!H29</f>
        <v>6363003003.7700005</v>
      </c>
      <c r="H7" s="43">
        <f>'Balance Sheet'!I29</f>
        <v>6373671119.71</v>
      </c>
      <c r="I7" s="43">
        <f>'Balance Sheet'!J29</f>
        <v>6387211665.2700005</v>
      </c>
      <c r="J7" s="43">
        <f>'Balance Sheet'!K29</f>
        <v>6379073651.6199999</v>
      </c>
      <c r="K7" s="43">
        <f>'Balance Sheet'!L29</f>
        <v>6390194013.4099998</v>
      </c>
      <c r="L7" s="43">
        <f>'Balance Sheet'!M29</f>
        <v>6382164539.0100002</v>
      </c>
      <c r="M7" s="43">
        <f>'Balance Sheet'!N29</f>
        <v>6370731512.3699999</v>
      </c>
      <c r="N7" s="43">
        <f>'Balance Sheet'!O29</f>
        <v>6370731512.3699999</v>
      </c>
      <c r="O7" s="43">
        <f>'Balance Sheet'!P29</f>
        <v>6370731512.3699999</v>
      </c>
    </row>
    <row r="8" spans="1:15">
      <c r="A8" s="46" t="s">
        <v>177</v>
      </c>
      <c r="B8" s="43">
        <f>'Balance Sheet'!C27</f>
        <v>249333909.97999999</v>
      </c>
      <c r="C8" s="43">
        <f>'Balance Sheet'!D27</f>
        <v>250707182.36000001</v>
      </c>
      <c r="D8" s="43">
        <f>'Balance Sheet'!E27</f>
        <v>248704345.88</v>
      </c>
      <c r="E8" s="43">
        <f>'Balance Sheet'!F27</f>
        <v>371663427.19</v>
      </c>
      <c r="F8" s="43">
        <f>'Balance Sheet'!G27</f>
        <v>332366234.42000002</v>
      </c>
      <c r="G8" s="43">
        <f>'Balance Sheet'!H27</f>
        <v>357641623.86000001</v>
      </c>
      <c r="H8" s="43">
        <f>'Balance Sheet'!I27</f>
        <v>312088339.42000002</v>
      </c>
      <c r="I8" s="43">
        <f>'Balance Sheet'!J27</f>
        <v>303473699.69</v>
      </c>
      <c r="J8" s="43">
        <f>'Balance Sheet'!K27</f>
        <v>288294962.91000003</v>
      </c>
      <c r="K8" s="43">
        <f>'Balance Sheet'!L27</f>
        <v>280980147.70999998</v>
      </c>
      <c r="L8" s="43">
        <f>'Balance Sheet'!M27</f>
        <v>279854560.80000001</v>
      </c>
      <c r="M8" s="43">
        <f>'Balance Sheet'!N27</f>
        <v>292235050.06</v>
      </c>
      <c r="N8" s="43">
        <f>'Balance Sheet'!O27</f>
        <v>292235050.06</v>
      </c>
      <c r="O8" s="43">
        <f>'Balance Sheet'!P27</f>
        <v>292235050.06</v>
      </c>
    </row>
    <row r="9" spans="1:15">
      <c r="A9" s="46" t="s">
        <v>178</v>
      </c>
      <c r="B9" s="43">
        <f>'Balance Sheet'!C28</f>
        <v>0</v>
      </c>
      <c r="C9" s="43">
        <f>'Balance Sheet'!D28</f>
        <v>0</v>
      </c>
      <c r="D9" s="43">
        <f>'Balance Sheet'!E28</f>
        <v>0</v>
      </c>
      <c r="E9" s="43">
        <f>'Balance Sheet'!F28</f>
        <v>0</v>
      </c>
      <c r="F9" s="43">
        <f>'Balance Sheet'!G28</f>
        <v>394000</v>
      </c>
      <c r="G9" s="43">
        <f>'Balance Sheet'!H28</f>
        <v>7494000</v>
      </c>
      <c r="H9" s="43">
        <f>'Balance Sheet'!I28</f>
        <v>8039000</v>
      </c>
      <c r="I9" s="43">
        <f>'Balance Sheet'!J28</f>
        <v>9295000</v>
      </c>
      <c r="J9" s="43">
        <f>'Balance Sheet'!K28</f>
        <v>10158099.66</v>
      </c>
      <c r="K9" s="43">
        <f>'Balance Sheet'!L28</f>
        <v>9856066.7200000007</v>
      </c>
      <c r="L9" s="43">
        <f>'Balance Sheet'!M28</f>
        <v>10628184.24</v>
      </c>
      <c r="M9" s="43">
        <f>'Balance Sheet'!N28</f>
        <v>21109325.609999999</v>
      </c>
      <c r="N9" s="43">
        <f>'Balance Sheet'!O28</f>
        <v>21109325.609999999</v>
      </c>
      <c r="O9" s="43">
        <f>'Balance Sheet'!P28</f>
        <v>21109325.609999999</v>
      </c>
    </row>
    <row r="10" spans="1:15">
      <c r="A10" s="42" t="s">
        <v>179</v>
      </c>
      <c r="B10" s="43">
        <f>'Balance Sheet'!C37</f>
        <v>487500019.99000001</v>
      </c>
      <c r="C10" s="43">
        <f>'Balance Sheet'!D37</f>
        <v>472576480.61000001</v>
      </c>
      <c r="D10" s="43">
        <f>'Balance Sheet'!E37</f>
        <v>462074779.93000001</v>
      </c>
      <c r="E10" s="43">
        <f>'Balance Sheet'!F37</f>
        <v>451573079.25</v>
      </c>
      <c r="F10" s="43">
        <f>'Balance Sheet'!G37</f>
        <v>621789682.27999997</v>
      </c>
      <c r="G10" s="43">
        <f>'Balance Sheet'!H37</f>
        <v>639726011.82000005</v>
      </c>
      <c r="H10" s="43">
        <f>'Balance Sheet'!I37</f>
        <v>704225768.37</v>
      </c>
      <c r="I10" s="43">
        <f>'Balance Sheet'!J37</f>
        <v>789166666.66999996</v>
      </c>
      <c r="J10" s="43">
        <f>'Balance Sheet'!K37</f>
        <v>778333333.34000003</v>
      </c>
      <c r="K10" s="43">
        <f>'Balance Sheet'!L37</f>
        <v>767480471.67999995</v>
      </c>
      <c r="L10" s="43">
        <f>'Balance Sheet'!M37</f>
        <v>756392419.19000006</v>
      </c>
      <c r="M10" s="43">
        <f>'Balance Sheet'!N37</f>
        <v>595833333.35000002</v>
      </c>
      <c r="N10" s="43">
        <f>'Balance Sheet'!O37</f>
        <v>595833333.35000002</v>
      </c>
      <c r="O10" s="43">
        <f>'Balance Sheet'!P37</f>
        <v>595833333.35000002</v>
      </c>
    </row>
    <row r="11" spans="1:15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5">
      <c r="A12" s="47" t="s">
        <v>180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 spans="1:15">
      <c r="A13" s="47" t="s">
        <v>181</v>
      </c>
      <c r="B13" s="45">
        <f t="shared" ref="B13:L13" si="2">B15-B28</f>
        <v>1034653195.23</v>
      </c>
      <c r="C13" s="45">
        <f t="shared" si="2"/>
        <v>1023164634.5</v>
      </c>
      <c r="D13" s="45">
        <f t="shared" si="2"/>
        <v>1150999816.8800001</v>
      </c>
      <c r="E13" s="45">
        <f t="shared" si="2"/>
        <v>955503956.09000003</v>
      </c>
      <c r="F13" s="45">
        <f t="shared" si="2"/>
        <v>953273027.78999996</v>
      </c>
      <c r="G13" s="45">
        <f t="shared" si="2"/>
        <v>947047187.47000003</v>
      </c>
      <c r="H13" s="45">
        <f t="shared" ref="H13" si="3">H15-H28</f>
        <v>973814607.05999994</v>
      </c>
      <c r="I13" s="45">
        <f t="shared" si="2"/>
        <v>991858178.02999997</v>
      </c>
      <c r="J13" s="45">
        <f t="shared" si="2"/>
        <v>1029128676.16</v>
      </c>
      <c r="K13" s="45">
        <f t="shared" si="2"/>
        <v>1055976064.13</v>
      </c>
      <c r="L13" s="45">
        <f t="shared" si="2"/>
        <v>1085042862.3099999</v>
      </c>
      <c r="M13" s="45">
        <f t="shared" ref="M13:O13" si="4">M15-M28</f>
        <v>1198486845.52</v>
      </c>
      <c r="N13" s="45">
        <f t="shared" si="4"/>
        <v>908620692.17999995</v>
      </c>
      <c r="O13" s="45">
        <f t="shared" si="4"/>
        <v>941167228.17999995</v>
      </c>
    </row>
    <row r="14" spans="1:15">
      <c r="A14" s="47" t="s">
        <v>182</v>
      </c>
      <c r="B14" s="45">
        <f t="shared" ref="B14:L14" si="5">B13-B16</f>
        <v>636918796.96000004</v>
      </c>
      <c r="C14" s="45">
        <f t="shared" si="5"/>
        <v>625235964.23000002</v>
      </c>
      <c r="D14" s="45">
        <f t="shared" si="5"/>
        <v>752415324.26000011</v>
      </c>
      <c r="E14" s="45">
        <f t="shared" si="5"/>
        <v>519001142.10000002</v>
      </c>
      <c r="F14" s="45">
        <f t="shared" si="5"/>
        <v>516725755.55999994</v>
      </c>
      <c r="G14" s="45">
        <f t="shared" si="5"/>
        <v>510293726.08000004</v>
      </c>
      <c r="H14" s="45">
        <f t="shared" ref="H14" si="6">H13-H16</f>
        <v>530482159.40999997</v>
      </c>
      <c r="I14" s="45">
        <f t="shared" si="5"/>
        <v>543993325.04999995</v>
      </c>
      <c r="J14" s="45">
        <f t="shared" si="5"/>
        <v>565574658.83999991</v>
      </c>
      <c r="K14" s="45">
        <f t="shared" si="5"/>
        <v>589837076.32999992</v>
      </c>
      <c r="L14" s="45">
        <f t="shared" si="5"/>
        <v>616049235.8599999</v>
      </c>
      <c r="M14" s="45">
        <f t="shared" ref="M14:O14" si="7">M13-M16</f>
        <v>726267454.87</v>
      </c>
      <c r="N14" s="45">
        <f t="shared" si="7"/>
        <v>436401301.52999997</v>
      </c>
      <c r="O14" s="45">
        <f t="shared" si="7"/>
        <v>468947836.52999997</v>
      </c>
    </row>
    <row r="15" spans="1:15">
      <c r="A15" s="47" t="s">
        <v>183</v>
      </c>
      <c r="B15" s="45">
        <f t="shared" ref="B15:L15" si="8">B16+B17+B18+B19+B20+B21</f>
        <v>1034653195.23</v>
      </c>
      <c r="C15" s="45">
        <f t="shared" si="8"/>
        <v>1023164634.5</v>
      </c>
      <c r="D15" s="45">
        <f t="shared" si="8"/>
        <v>1150999816.8800001</v>
      </c>
      <c r="E15" s="45">
        <f t="shared" si="8"/>
        <v>955503956.09000003</v>
      </c>
      <c r="F15" s="45">
        <f t="shared" si="8"/>
        <v>953273027.78999996</v>
      </c>
      <c r="G15" s="45">
        <f t="shared" si="8"/>
        <v>947047187.47000003</v>
      </c>
      <c r="H15" s="45">
        <f t="shared" ref="H15" si="9">H16+H17+H18+H19+H20+H21</f>
        <v>973814607.05999994</v>
      </c>
      <c r="I15" s="45">
        <f t="shared" si="8"/>
        <v>991858178.02999997</v>
      </c>
      <c r="J15" s="45">
        <f t="shared" si="8"/>
        <v>1029128676.16</v>
      </c>
      <c r="K15" s="45">
        <f t="shared" si="8"/>
        <v>1055976064.13</v>
      </c>
      <c r="L15" s="45">
        <f t="shared" si="8"/>
        <v>1085042862.3099999</v>
      </c>
      <c r="M15" s="45">
        <f t="shared" ref="M15:O15" si="10">M16+M17+M18+M19+M20+M21</f>
        <v>1198486845.52</v>
      </c>
      <c r="N15" s="45">
        <f t="shared" si="10"/>
        <v>908620692.17999995</v>
      </c>
      <c r="O15" s="45">
        <f t="shared" si="10"/>
        <v>941167228.17999995</v>
      </c>
    </row>
    <row r="16" spans="1:15">
      <c r="A16" s="48" t="s">
        <v>184</v>
      </c>
      <c r="B16" s="43">
        <f>'Balance Sheet'!C39</f>
        <v>397734398.26999998</v>
      </c>
      <c r="C16" s="43">
        <f>'Balance Sheet'!D39</f>
        <v>397928670.26999998</v>
      </c>
      <c r="D16" s="43">
        <f>'Balance Sheet'!E39</f>
        <v>398584492.62</v>
      </c>
      <c r="E16" s="43">
        <f>'Balance Sheet'!F39</f>
        <v>436502813.99000001</v>
      </c>
      <c r="F16" s="43">
        <f>'Balance Sheet'!G39</f>
        <v>436547272.23000002</v>
      </c>
      <c r="G16" s="43">
        <f>'Balance Sheet'!H39</f>
        <v>436753461.38999999</v>
      </c>
      <c r="H16" s="43">
        <f>'Balance Sheet'!I39</f>
        <v>443332447.64999998</v>
      </c>
      <c r="I16" s="43">
        <f>'Balance Sheet'!J39</f>
        <v>447864852.98000002</v>
      </c>
      <c r="J16" s="43">
        <f>'Balance Sheet'!K39</f>
        <v>463554017.31999999</v>
      </c>
      <c r="K16" s="43">
        <f>'Balance Sheet'!L39</f>
        <v>466138987.80000001</v>
      </c>
      <c r="L16" s="43">
        <f>'Balance Sheet'!M39</f>
        <v>468993626.44999999</v>
      </c>
      <c r="M16" s="43">
        <f>'Balance Sheet'!N39</f>
        <v>472219390.64999998</v>
      </c>
      <c r="N16" s="43">
        <f>'Balance Sheet'!O39</f>
        <v>472219390.64999998</v>
      </c>
      <c r="O16" s="43">
        <f>'Balance Sheet'!P39</f>
        <v>472219391.64999998</v>
      </c>
    </row>
    <row r="17" spans="1:15">
      <c r="A17" s="42" t="s">
        <v>185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</row>
    <row r="18" spans="1:15">
      <c r="A18" s="42" t="s">
        <v>55</v>
      </c>
      <c r="B18" s="43">
        <f>'Balance Sheet'!C41</f>
        <v>184512785.47999999</v>
      </c>
      <c r="C18" s="43">
        <f>'Balance Sheet'!D41</f>
        <v>231465403.84999999</v>
      </c>
      <c r="D18" s="43">
        <f>'Balance Sheet'!E41</f>
        <v>328056250.31</v>
      </c>
      <c r="E18" s="43">
        <f>'Balance Sheet'!F41</f>
        <v>93574466.469999999</v>
      </c>
      <c r="F18" s="43">
        <f>'Balance Sheet'!G41</f>
        <v>100029021.54000001</v>
      </c>
      <c r="G18" s="43">
        <f>'Balance Sheet'!H41</f>
        <v>97732847.109999999</v>
      </c>
      <c r="H18" s="43">
        <f>'Balance Sheet'!I41</f>
        <v>115314542.5</v>
      </c>
      <c r="I18" s="43">
        <f>'Balance Sheet'!J41</f>
        <v>129843836.09999999</v>
      </c>
      <c r="J18" s="43">
        <f>'Balance Sheet'!K41</f>
        <v>152564172.46000001</v>
      </c>
      <c r="K18" s="43">
        <f>'Balance Sheet'!L41</f>
        <v>176755203.69</v>
      </c>
      <c r="L18" s="43">
        <f>'Balance Sheet'!M41</f>
        <v>202599982.77000001</v>
      </c>
      <c r="M18" s="43">
        <f>'Balance Sheet'!N41</f>
        <v>318126700.29999995</v>
      </c>
      <c r="N18" s="43">
        <f>'Balance Sheet'!O41</f>
        <v>-31530815.469999999</v>
      </c>
      <c r="O18" s="43">
        <f>'Balance Sheet'!P42</f>
        <v>-32329268.469999999</v>
      </c>
    </row>
    <row r="19" spans="1:15">
      <c r="A19" s="42" t="s">
        <v>186</v>
      </c>
      <c r="B19" s="43">
        <f>'Balance Sheet'!C48</f>
        <v>0</v>
      </c>
      <c r="C19" s="43">
        <f>'Balance Sheet'!D48</f>
        <v>0</v>
      </c>
      <c r="D19" s="43">
        <f>'Balance Sheet'!E48</f>
        <v>0</v>
      </c>
      <c r="E19" s="43">
        <f>'Balance Sheet'!F48</f>
        <v>0</v>
      </c>
      <c r="F19" s="43">
        <f>'Balance Sheet'!G48</f>
        <v>0</v>
      </c>
      <c r="G19" s="43">
        <f>'Balance Sheet'!H48</f>
        <v>0</v>
      </c>
      <c r="H19" s="43">
        <f>'Balance Sheet'!I48</f>
        <v>0</v>
      </c>
      <c r="I19" s="43">
        <f>'Balance Sheet'!J48</f>
        <v>0</v>
      </c>
      <c r="J19" s="43">
        <f>'Balance Sheet'!K48</f>
        <v>0</v>
      </c>
      <c r="K19" s="43">
        <f>'Balance Sheet'!L48</f>
        <v>0</v>
      </c>
      <c r="L19" s="43">
        <f>'Balance Sheet'!M48</f>
        <v>0</v>
      </c>
      <c r="M19" s="43">
        <f>'Balance Sheet'!N48</f>
        <v>0</v>
      </c>
      <c r="N19" s="43">
        <f>'Balance Sheet'!O48</f>
        <v>47221939</v>
      </c>
      <c r="O19" s="43">
        <f>'Balance Sheet'!P48</f>
        <v>47221939</v>
      </c>
    </row>
    <row r="20" spans="1:15">
      <c r="A20" s="42" t="s">
        <v>187</v>
      </c>
      <c r="B20" s="43">
        <f>'Balance Sheet'!C45</f>
        <v>145522017</v>
      </c>
      <c r="C20" s="43">
        <f>'Balance Sheet'!D45</f>
        <v>145522017</v>
      </c>
      <c r="D20" s="43">
        <f>'Balance Sheet'!E45</f>
        <v>160648412</v>
      </c>
      <c r="E20" s="43">
        <f>'Balance Sheet'!F45</f>
        <v>160648412</v>
      </c>
      <c r="F20" s="43">
        <f>'Balance Sheet'!G45</f>
        <v>160648412</v>
      </c>
      <c r="G20" s="43">
        <f>'Balance Sheet'!H45</f>
        <v>160648412</v>
      </c>
      <c r="H20" s="43">
        <f>'Balance Sheet'!I45</f>
        <v>160648412</v>
      </c>
      <c r="I20" s="43">
        <f>'Balance Sheet'!J45</f>
        <v>160648412</v>
      </c>
      <c r="J20" s="43">
        <f>'Balance Sheet'!K45</f>
        <v>160648412</v>
      </c>
      <c r="K20" s="43">
        <f>'Balance Sheet'!L45</f>
        <v>160648412</v>
      </c>
      <c r="L20" s="43">
        <f>'Balance Sheet'!M45</f>
        <v>160648412</v>
      </c>
      <c r="M20" s="43">
        <f>'Balance Sheet'!N45</f>
        <v>160648412</v>
      </c>
      <c r="N20" s="43">
        <f>'Balance Sheet'!O45</f>
        <v>173217839</v>
      </c>
      <c r="O20" s="43">
        <f>'Balance Sheet'!P47</f>
        <v>206562827</v>
      </c>
    </row>
    <row r="21" spans="1:15">
      <c r="A21" s="42" t="s">
        <v>188</v>
      </c>
      <c r="B21" s="43">
        <f>'Balance Sheet'!C46</f>
        <v>306883994.48000002</v>
      </c>
      <c r="C21" s="43">
        <f>'Balance Sheet'!D46</f>
        <v>248248543.38</v>
      </c>
      <c r="D21" s="43">
        <f>'Balance Sheet'!E46</f>
        <v>263710661.94999999</v>
      </c>
      <c r="E21" s="43">
        <f>'Balance Sheet'!F46</f>
        <v>264778263.63</v>
      </c>
      <c r="F21" s="43">
        <f>'Balance Sheet'!G46</f>
        <v>256048322.02000001</v>
      </c>
      <c r="G21" s="43">
        <f>'Balance Sheet'!H46</f>
        <v>251912466.97</v>
      </c>
      <c r="H21" s="43">
        <f>'Balance Sheet'!I46</f>
        <v>254519204.91</v>
      </c>
      <c r="I21" s="43">
        <f>'Balance Sheet'!J46</f>
        <v>253501076.94999999</v>
      </c>
      <c r="J21" s="43">
        <f>'Balance Sheet'!K46</f>
        <v>252362074.38</v>
      </c>
      <c r="K21" s="43">
        <f>'Balance Sheet'!L46</f>
        <v>252433460.63999999</v>
      </c>
      <c r="L21" s="43">
        <f>'Balance Sheet'!M46</f>
        <v>252800841.09</v>
      </c>
      <c r="M21" s="43">
        <f>'Balance Sheet'!N46</f>
        <v>247492342.56999999</v>
      </c>
      <c r="N21" s="43">
        <f>'Balance Sheet'!O46</f>
        <v>247492339</v>
      </c>
      <c r="O21" s="43">
        <f>'Balance Sheet'!P46</f>
        <v>247492339</v>
      </c>
    </row>
    <row r="22" spans="1:15">
      <c r="A22" s="44" t="s">
        <v>189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</row>
    <row r="23" spans="1:15">
      <c r="A23" s="42" t="s">
        <v>62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</row>
    <row r="24" spans="1:15">
      <c r="A24" s="42" t="s">
        <v>190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</row>
    <row r="25" spans="1:15">
      <c r="A25" s="44" t="s">
        <v>191</v>
      </c>
      <c r="B25" s="49">
        <f t="shared" ref="B25:L25" si="11">B26+B27+B29</f>
        <v>93386179</v>
      </c>
      <c r="C25" s="49">
        <f t="shared" si="11"/>
        <v>76980777.400000006</v>
      </c>
      <c r="D25" s="49">
        <f t="shared" si="11"/>
        <v>76980777.400000006</v>
      </c>
      <c r="E25" s="49">
        <f t="shared" si="11"/>
        <v>76980777.400000006</v>
      </c>
      <c r="F25" s="49">
        <f t="shared" si="11"/>
        <v>76980777.400000006</v>
      </c>
      <c r="G25" s="49">
        <f t="shared" si="11"/>
        <v>76980777.400000006</v>
      </c>
      <c r="H25" s="49">
        <f t="shared" ref="H25" si="12">H26+H27+H29</f>
        <v>76980777.400000006</v>
      </c>
      <c r="I25" s="49">
        <f t="shared" si="11"/>
        <v>76980777.400000006</v>
      </c>
      <c r="J25" s="49">
        <f t="shared" si="11"/>
        <v>76980777.400000006</v>
      </c>
      <c r="K25" s="49">
        <f t="shared" si="11"/>
        <v>76980777.400000006</v>
      </c>
      <c r="L25" s="49">
        <f t="shared" si="11"/>
        <v>76980777.400000006</v>
      </c>
      <c r="M25" s="49">
        <f t="shared" ref="M25:O25" si="13">M26+M27+M29</f>
        <v>76980777.400000006</v>
      </c>
      <c r="N25" s="49">
        <f t="shared" si="13"/>
        <v>81097852</v>
      </c>
      <c r="O25" s="49">
        <f t="shared" si="13"/>
        <v>81097853</v>
      </c>
    </row>
    <row r="26" spans="1:15">
      <c r="A26" s="42" t="s">
        <v>192</v>
      </c>
      <c r="B26" s="43">
        <f>'Balance Sheet'!C8</f>
        <v>93386179</v>
      </c>
      <c r="C26" s="43">
        <f>'Balance Sheet'!D8</f>
        <v>76980777.400000006</v>
      </c>
      <c r="D26" s="43">
        <f>'Balance Sheet'!E8</f>
        <v>76980777.400000006</v>
      </c>
      <c r="E26" s="43">
        <f>'Balance Sheet'!F8</f>
        <v>76980777.400000006</v>
      </c>
      <c r="F26" s="43">
        <f>'Balance Sheet'!G8</f>
        <v>76980777.400000006</v>
      </c>
      <c r="G26" s="43">
        <f>'Balance Sheet'!H8</f>
        <v>76980777.400000006</v>
      </c>
      <c r="H26" s="43">
        <f>'Balance Sheet'!I8</f>
        <v>76980777.400000006</v>
      </c>
      <c r="I26" s="43">
        <f>'Balance Sheet'!J8</f>
        <v>76980777.400000006</v>
      </c>
      <c r="J26" s="43">
        <f>'Balance Sheet'!K8</f>
        <v>76980777.400000006</v>
      </c>
      <c r="K26" s="43">
        <f>'Balance Sheet'!L8</f>
        <v>76980777.400000006</v>
      </c>
      <c r="L26" s="43">
        <f>'Balance Sheet'!M8</f>
        <v>76980777.400000006</v>
      </c>
      <c r="M26" s="43">
        <f>'Balance Sheet'!N8</f>
        <v>76980777.400000006</v>
      </c>
      <c r="N26" s="43">
        <f>'Balance Sheet'!O8</f>
        <v>81097852</v>
      </c>
      <c r="O26" s="43">
        <f>'Balance Sheet'!P8</f>
        <v>81097853</v>
      </c>
    </row>
    <row r="27" spans="1:15">
      <c r="A27" s="42" t="s">
        <v>193</v>
      </c>
      <c r="B27" s="43">
        <f>'Balance Sheet'!C11</f>
        <v>0</v>
      </c>
      <c r="C27" s="43">
        <f>'Balance Sheet'!D11</f>
        <v>0</v>
      </c>
      <c r="D27" s="43">
        <f>'Balance Sheet'!E11</f>
        <v>0</v>
      </c>
      <c r="E27" s="43">
        <f>'Balance Sheet'!F11</f>
        <v>0</v>
      </c>
      <c r="F27" s="43">
        <f>'Balance Sheet'!G11</f>
        <v>0</v>
      </c>
      <c r="G27" s="43">
        <f>'Balance Sheet'!H11</f>
        <v>0</v>
      </c>
      <c r="H27" s="43">
        <f>'Balance Sheet'!I11</f>
        <v>0</v>
      </c>
      <c r="I27" s="43">
        <f>'Balance Sheet'!J11</f>
        <v>0</v>
      </c>
      <c r="J27" s="43">
        <f>'Balance Sheet'!K11</f>
        <v>0</v>
      </c>
      <c r="K27" s="43">
        <f>'Balance Sheet'!L11</f>
        <v>0</v>
      </c>
      <c r="L27" s="43">
        <f>'Balance Sheet'!M11</f>
        <v>0</v>
      </c>
      <c r="M27" s="43">
        <f>'Balance Sheet'!N11</f>
        <v>0</v>
      </c>
      <c r="N27" s="43">
        <f>'Balance Sheet'!O11</f>
        <v>0</v>
      </c>
      <c r="O27" s="43">
        <f>'Balance Sheet'!P11</f>
        <v>0</v>
      </c>
    </row>
    <row r="28" spans="1:15">
      <c r="A28" s="42" t="s">
        <v>194</v>
      </c>
      <c r="B28" s="43">
        <f>'Balance Sheet'!C9</f>
        <v>0</v>
      </c>
      <c r="C28" s="43">
        <f>'Balance Sheet'!D9</f>
        <v>0</v>
      </c>
      <c r="D28" s="43">
        <f>'Balance Sheet'!E9</f>
        <v>0</v>
      </c>
      <c r="E28" s="43">
        <f>'Balance Sheet'!F9</f>
        <v>0</v>
      </c>
      <c r="F28" s="43">
        <f>'Balance Sheet'!G9</f>
        <v>0</v>
      </c>
      <c r="G28" s="43">
        <f>'Balance Sheet'!H9</f>
        <v>0</v>
      </c>
      <c r="H28" s="43">
        <f>'Balance Sheet'!I9</f>
        <v>0</v>
      </c>
      <c r="I28" s="43">
        <f>'Balance Sheet'!J9</f>
        <v>0</v>
      </c>
      <c r="J28" s="43">
        <f>'Balance Sheet'!K9</f>
        <v>0</v>
      </c>
      <c r="K28" s="43">
        <f>'Balance Sheet'!L9</f>
        <v>0</v>
      </c>
      <c r="L28" s="43">
        <f>'Balance Sheet'!M9</f>
        <v>0</v>
      </c>
      <c r="M28" s="43">
        <f>'Balance Sheet'!N9</f>
        <v>0</v>
      </c>
      <c r="N28" s="43">
        <f>'Balance Sheet'!O9</f>
        <v>0</v>
      </c>
      <c r="O28" s="43">
        <f>'Balance Sheet'!P9</f>
        <v>0</v>
      </c>
    </row>
    <row r="29" spans="1:15">
      <c r="A29" s="42" t="s">
        <v>195</v>
      </c>
      <c r="B29" s="43">
        <f>'Balance Sheet'!C10</f>
        <v>0</v>
      </c>
      <c r="C29" s="43">
        <f>'Balance Sheet'!D10</f>
        <v>0</v>
      </c>
      <c r="D29" s="43">
        <f>'Balance Sheet'!E10</f>
        <v>0</v>
      </c>
      <c r="E29" s="43">
        <f>'Balance Sheet'!F10</f>
        <v>0</v>
      </c>
      <c r="F29" s="43">
        <f>'Balance Sheet'!G10</f>
        <v>0</v>
      </c>
      <c r="G29" s="43">
        <f>'Balance Sheet'!H10</f>
        <v>0</v>
      </c>
      <c r="H29" s="43">
        <f>'Balance Sheet'!I10</f>
        <v>0</v>
      </c>
      <c r="I29" s="43">
        <f>'Balance Sheet'!J10</f>
        <v>0</v>
      </c>
      <c r="J29" s="43">
        <f>'Balance Sheet'!K10</f>
        <v>0</v>
      </c>
      <c r="K29" s="43">
        <f>'Balance Sheet'!L10</f>
        <v>0</v>
      </c>
      <c r="L29" s="43">
        <f>'Balance Sheet'!M10</f>
        <v>0</v>
      </c>
      <c r="M29" s="43">
        <f>'Balance Sheet'!N10</f>
        <v>0</v>
      </c>
      <c r="N29" s="43">
        <f>'Balance Sheet'!O10</f>
        <v>0</v>
      </c>
      <c r="O29" s="43">
        <f>'Balance Sheet'!P10</f>
        <v>0</v>
      </c>
    </row>
    <row r="30" spans="1:15">
      <c r="A30" s="44" t="s">
        <v>196</v>
      </c>
      <c r="B30" s="49">
        <f t="shared" ref="B30:L30" si="14">B31-B32</f>
        <v>-419950033.80000019</v>
      </c>
      <c r="C30" s="49">
        <f t="shared" si="14"/>
        <v>-440485708.65999985</v>
      </c>
      <c r="D30" s="49">
        <f t="shared" si="14"/>
        <v>-365082454.01000023</v>
      </c>
      <c r="E30" s="49">
        <f t="shared" si="14"/>
        <v>-375499120.68000031</v>
      </c>
      <c r="F30" s="49">
        <f t="shared" si="14"/>
        <v>-385915787.35000038</v>
      </c>
      <c r="G30" s="49">
        <f t="shared" si="14"/>
        <v>-396332454.0199995</v>
      </c>
      <c r="H30" s="49">
        <f t="shared" ref="H30" si="15">H31-H32</f>
        <v>-406749120.68999958</v>
      </c>
      <c r="I30" s="49">
        <f t="shared" si="14"/>
        <v>-417165787.35999966</v>
      </c>
      <c r="J30" s="49">
        <f t="shared" si="14"/>
        <v>-427175097.71000004</v>
      </c>
      <c r="K30" s="49">
        <f t="shared" si="14"/>
        <v>-437591764.38000011</v>
      </c>
      <c r="L30" s="49">
        <f t="shared" si="14"/>
        <v>-448008431.05000019</v>
      </c>
      <c r="M30" s="49">
        <f t="shared" ref="M30:O30" si="16">M31-M32</f>
        <v>-363561531.19999981</v>
      </c>
      <c r="N30" s="49">
        <f t="shared" si="16"/>
        <v>-279001058</v>
      </c>
      <c r="O30" s="49">
        <f t="shared" si="16"/>
        <v>-279001058</v>
      </c>
    </row>
    <row r="31" spans="1:15">
      <c r="A31" s="42" t="s">
        <v>197</v>
      </c>
      <c r="B31" s="43">
        <f>'Balance Sheet'!C13</f>
        <v>5943077810.1399994</v>
      </c>
      <c r="C31" s="43">
        <f>'Balance Sheet'!D13</f>
        <v>5973187019.0799999</v>
      </c>
      <c r="D31" s="43">
        <f>'Balance Sheet'!E13</f>
        <v>6050055941.1499996</v>
      </c>
      <c r="E31" s="43">
        <f>'Balance Sheet'!F13</f>
        <v>6065137954.75</v>
      </c>
      <c r="F31" s="43">
        <f>'Balance Sheet'!G13</f>
        <v>6170914685.8099995</v>
      </c>
      <c r="G31" s="43">
        <f>'Balance Sheet'!H13</f>
        <v>6228352332.2700005</v>
      </c>
      <c r="H31" s="43">
        <f>'Balance Sheet'!I13</f>
        <v>6303176088.4200001</v>
      </c>
      <c r="I31" s="43">
        <f>'Balance Sheet'!J13</f>
        <v>6351723638.3600006</v>
      </c>
      <c r="J31" s="43">
        <f>'Balance Sheet'!K13</f>
        <v>6374993115.8299999</v>
      </c>
      <c r="K31" s="43">
        <f>'Balance Sheet'!L13</f>
        <v>6444326833.5599995</v>
      </c>
      <c r="L31" s="43">
        <f>'Balance Sheet'!M13</f>
        <v>6454710541.4499998</v>
      </c>
      <c r="M31" s="43">
        <f>'Balance Sheet'!N13</f>
        <v>6662763891.4700003</v>
      </c>
      <c r="N31" s="43">
        <f>'Balance Sheet'!O13</f>
        <v>6747324364.6700001</v>
      </c>
      <c r="O31" s="43">
        <f>'Balance Sheet'!P13</f>
        <v>6747324364.6700001</v>
      </c>
    </row>
    <row r="32" spans="1:15">
      <c r="A32" s="42" t="s">
        <v>198</v>
      </c>
      <c r="B32" s="43">
        <f>'Balance Sheet'!C14</f>
        <v>6363027843.9399996</v>
      </c>
      <c r="C32" s="43">
        <f>'Balance Sheet'!D14</f>
        <v>6413672727.7399998</v>
      </c>
      <c r="D32" s="43">
        <f>'Balance Sheet'!E14</f>
        <v>6415138395.1599998</v>
      </c>
      <c r="E32" s="43">
        <f>'Balance Sheet'!F14</f>
        <v>6440637075.4300003</v>
      </c>
      <c r="F32" s="43">
        <f>'Balance Sheet'!G14</f>
        <v>6556830473.1599998</v>
      </c>
      <c r="G32" s="43">
        <f>'Balance Sheet'!H14</f>
        <v>6624684786.29</v>
      </c>
      <c r="H32" s="43">
        <f>'Balance Sheet'!I14</f>
        <v>6709925209.1099997</v>
      </c>
      <c r="I32" s="43">
        <f>'Balance Sheet'!J14</f>
        <v>6768889425.7200003</v>
      </c>
      <c r="J32" s="43">
        <f>'Balance Sheet'!K14</f>
        <v>6802168213.54</v>
      </c>
      <c r="K32" s="43">
        <f>'Balance Sheet'!L14</f>
        <v>6881918597.9399996</v>
      </c>
      <c r="L32" s="43">
        <f>'Balance Sheet'!M14</f>
        <v>6902718972.5</v>
      </c>
      <c r="M32" s="43">
        <f>'Balance Sheet'!N14</f>
        <v>7026325422.6700001</v>
      </c>
      <c r="N32" s="43">
        <f>'Balance Sheet'!O14</f>
        <v>7026325422.6700001</v>
      </c>
      <c r="O32" s="43">
        <f>'Balance Sheet'!P14</f>
        <v>7026325422.6700001</v>
      </c>
    </row>
    <row r="33" spans="1:15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</row>
    <row r="34" spans="1:15">
      <c r="A34" s="42" t="s">
        <v>199</v>
      </c>
      <c r="B34" s="43">
        <f>'Balance Sheet'!C6+'Balance Sheet'!C15+'Balance Sheet'!C19</f>
        <v>559162303.72000003</v>
      </c>
      <c r="C34" s="43">
        <f>'Balance Sheet'!D6+'Balance Sheet'!D15+'Balance Sheet'!D19</f>
        <v>535284799.34000003</v>
      </c>
      <c r="D34" s="43">
        <f>'Balance Sheet'!E6+'Balance Sheet'!E15+'Balance Sheet'!E19</f>
        <v>483518560.61000001</v>
      </c>
      <c r="E34" s="43">
        <f>'Balance Sheet'!F6+'Balance Sheet'!F15+'Balance Sheet'!F19</f>
        <v>364450486.50999999</v>
      </c>
      <c r="F34" s="43">
        <f>'Balance Sheet'!G6+'Balance Sheet'!G15+'Balance Sheet'!G19</f>
        <v>476169556.43000001</v>
      </c>
      <c r="G34" s="43">
        <f>'Balance Sheet'!H6+'Balance Sheet'!H15+'Balance Sheet'!H19</f>
        <v>505822291.42999995</v>
      </c>
      <c r="H34" s="43">
        <f>'Balance Sheet'!I6+'Balance Sheet'!I15+'Balance Sheet'!I19</f>
        <v>498923776.19</v>
      </c>
      <c r="I34" s="43">
        <f>'Balance Sheet'!J6+'Balance Sheet'!J15+'Balance Sheet'!J19</f>
        <v>597865076.49000001</v>
      </c>
      <c r="J34" s="43">
        <f>'Balance Sheet'!K6+'Balance Sheet'!K15+'Balance Sheet'!K19</f>
        <v>617826929.63</v>
      </c>
      <c r="K34" s="43">
        <f>'Balance Sheet'!L6+'Balance Sheet'!L15+'Balance Sheet'!L19</f>
        <v>612160812.41999996</v>
      </c>
      <c r="L34" s="43">
        <f>'Balance Sheet'!M6+'Balance Sheet'!M15+'Balance Sheet'!M19</f>
        <v>635231382.97000003</v>
      </c>
      <c r="M34" s="43">
        <f>'Balance Sheet'!N6+'Balance Sheet'!N15+'Balance Sheet'!N19</f>
        <v>494384958.5</v>
      </c>
      <c r="N34" s="43">
        <f>'Balance Sheet'!O6+'Balance Sheet'!O15+'Balance Sheet'!O19</f>
        <v>409824485.30000001</v>
      </c>
      <c r="O34" s="43">
        <f>'Balance Sheet'!P6+'Balance Sheet'!P15+'Balance Sheet'!P19</f>
        <v>409824485.30000001</v>
      </c>
    </row>
    <row r="35" spans="1:15">
      <c r="A35" s="42" t="s">
        <v>200</v>
      </c>
      <c r="B35" s="43">
        <f>'Balance Sheet'!C19</f>
        <v>0</v>
      </c>
      <c r="C35" s="43">
        <f>'Balance Sheet'!D19</f>
        <v>0</v>
      </c>
      <c r="D35" s="43">
        <f>'Balance Sheet'!E19</f>
        <v>0</v>
      </c>
      <c r="E35" s="43">
        <f>'Balance Sheet'!F19</f>
        <v>0</v>
      </c>
      <c r="F35" s="43">
        <f>'Balance Sheet'!G19</f>
        <v>0</v>
      </c>
      <c r="G35" s="43">
        <f>'Balance Sheet'!H19</f>
        <v>0</v>
      </c>
      <c r="H35" s="43">
        <f>'Balance Sheet'!I19</f>
        <v>0</v>
      </c>
      <c r="I35" s="43">
        <f>'Balance Sheet'!J19</f>
        <v>0</v>
      </c>
      <c r="J35" s="43">
        <f>'Balance Sheet'!K19</f>
        <v>0</v>
      </c>
      <c r="K35" s="43">
        <f>'Balance Sheet'!L19</f>
        <v>0</v>
      </c>
      <c r="L35" s="43">
        <f>'Balance Sheet'!M19</f>
        <v>0</v>
      </c>
      <c r="M35" s="43">
        <f>'Balance Sheet'!N19</f>
        <v>0</v>
      </c>
      <c r="N35" s="43">
        <f>'Balance Sheet'!O19</f>
        <v>0</v>
      </c>
      <c r="O35" s="43">
        <f>'Balance Sheet'!P19</f>
        <v>0</v>
      </c>
    </row>
    <row r="36" spans="1:15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</row>
    <row r="37" spans="1:15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</row>
    <row r="38" spans="1:15">
      <c r="A38" s="44" t="s">
        <v>201</v>
      </c>
      <c r="B38" s="49">
        <f t="shared" ref="B38:L38" si="17">B39+B41+B42</f>
        <v>69136124.810000002</v>
      </c>
      <c r="C38" s="49">
        <f t="shared" si="17"/>
        <v>134356040.13</v>
      </c>
      <c r="D38" s="49">
        <f t="shared" si="17"/>
        <v>204921399.19999999</v>
      </c>
      <c r="E38" s="49">
        <f t="shared" si="17"/>
        <v>276695466.09000003</v>
      </c>
      <c r="F38" s="49">
        <f t="shared" si="17"/>
        <v>354769962.74000001</v>
      </c>
      <c r="G38" s="49">
        <f t="shared" si="17"/>
        <v>427321947.72999996</v>
      </c>
      <c r="H38" s="49">
        <f t="shared" ref="H38" si="18">H39+H41+H42</f>
        <v>501618277.25999999</v>
      </c>
      <c r="I38" s="49">
        <f t="shared" si="17"/>
        <v>580543190.81999993</v>
      </c>
      <c r="J38" s="49">
        <f t="shared" si="17"/>
        <v>651567502.07000005</v>
      </c>
      <c r="K38" s="49">
        <f t="shared" si="17"/>
        <v>725093220.63999999</v>
      </c>
      <c r="L38" s="49">
        <f t="shared" si="17"/>
        <v>797623933.51999998</v>
      </c>
      <c r="M38" s="49">
        <f t="shared" ref="M38:O38" si="19">M39+M41+M42</f>
        <v>872631872.68999994</v>
      </c>
      <c r="N38" s="49">
        <f t="shared" si="19"/>
        <v>1000687969.16</v>
      </c>
      <c r="O38" s="49">
        <f t="shared" si="19"/>
        <v>0</v>
      </c>
    </row>
    <row r="39" spans="1:15">
      <c r="A39" s="42" t="s">
        <v>202</v>
      </c>
      <c r="B39" s="50">
        <f>'Income Stat.'!C6</f>
        <v>67898220.469999999</v>
      </c>
      <c r="C39" s="50">
        <f>'Income Stat.'!D6</f>
        <v>131654942.95999999</v>
      </c>
      <c r="D39" s="50">
        <f>'Income Stat.'!E6</f>
        <v>200858454.94999999</v>
      </c>
      <c r="E39" s="50">
        <f>'Income Stat.'!F6</f>
        <v>271307167.79000002</v>
      </c>
      <c r="F39" s="50">
        <f>'Income Stat.'!G6</f>
        <v>341934322.31999999</v>
      </c>
      <c r="G39" s="50">
        <f>'Income Stat.'!H6</f>
        <v>409414184.44</v>
      </c>
      <c r="H39" s="50">
        <f>'Income Stat.'!I6</f>
        <v>481841090.19999999</v>
      </c>
      <c r="I39" s="50">
        <f>'Income Stat.'!J6</f>
        <v>554495148.25999999</v>
      </c>
      <c r="J39" s="50">
        <f>'Income Stat.'!K6</f>
        <v>621329951.36000001</v>
      </c>
      <c r="K39" s="50">
        <f>'Income Stat.'!L6</f>
        <v>693153699.92999995</v>
      </c>
      <c r="L39" s="50">
        <f>'Income Stat.'!M6</f>
        <v>761623421.77999997</v>
      </c>
      <c r="M39" s="50">
        <f>'Income Stat.'!N6</f>
        <v>833871671.79999995</v>
      </c>
      <c r="N39" s="50">
        <f>'Income Stat.'!O6</f>
        <v>948974631</v>
      </c>
      <c r="O39" s="50">
        <f>'Income Stat.'!P6</f>
        <v>0</v>
      </c>
    </row>
    <row r="40" spans="1:15">
      <c r="A40" s="42" t="s">
        <v>203</v>
      </c>
      <c r="B40" s="50">
        <f>'Income Stat.'!C6/'Income Stat.'!C14</f>
        <v>85.714015795525171</v>
      </c>
      <c r="C40" s="50">
        <f>'Income Stat.'!D6/'Income Stat.'!D14</f>
        <v>107.21622379450673</v>
      </c>
      <c r="D40" s="50">
        <f>'Income Stat.'!E6/'Income Stat.'!E14</f>
        <v>116.13745129204601</v>
      </c>
      <c r="E40" s="50">
        <f>'Income Stat.'!F6/'Income Stat.'!F14</f>
        <v>87.381731939208649</v>
      </c>
      <c r="F40" s="50">
        <f>'Income Stat.'!G6/'Income Stat.'!G14</f>
        <v>74.430702078634525</v>
      </c>
      <c r="G40" s="50">
        <f>'Income Stat.'!H6/'Income Stat.'!H14</f>
        <v>70.693621914154406</v>
      </c>
      <c r="H40" s="50">
        <f>'Income Stat.'!I6/'Income Stat.'!I14</f>
        <v>65.589489628773222</v>
      </c>
      <c r="I40" s="50">
        <f>'Income Stat.'!J6/'Income Stat.'!J14</f>
        <v>65.362503866986245</v>
      </c>
      <c r="J40" s="50">
        <f>'Income Stat.'!K6/'Income Stat.'!K14</f>
        <v>66.11409236380652</v>
      </c>
      <c r="K40" s="50">
        <f>'Income Stat.'!L6/'Income Stat.'!L14</f>
        <v>67.674958967631426</v>
      </c>
      <c r="L40" s="50">
        <f>'Income Stat.'!M6/'Income Stat.'!M14</f>
        <v>70.351181046897992</v>
      </c>
      <c r="M40" s="50">
        <f>'Income Stat.'!N6/'Income Stat.'!N14</f>
        <v>72.819974180123836</v>
      </c>
      <c r="N40" s="50">
        <f>'Income Stat.'!O6/'Income Stat.'!O14</f>
        <v>3.063850059551021</v>
      </c>
      <c r="O40" s="50" t="e">
        <f>'Income Stat.'!P6/'Income Stat.'!P14</f>
        <v>#DIV/0!</v>
      </c>
    </row>
    <row r="41" spans="1:15">
      <c r="A41" s="42" t="s">
        <v>204</v>
      </c>
      <c r="B41" s="43">
        <f>'Income Stat.'!C8</f>
        <v>41803.25</v>
      </c>
      <c r="C41" s="43">
        <f>'Income Stat.'!D8</f>
        <v>476923</v>
      </c>
      <c r="D41" s="43">
        <f>'Income Stat.'!E8</f>
        <v>622054.16</v>
      </c>
      <c r="E41" s="43">
        <f>'Income Stat.'!F8</f>
        <v>622054.16</v>
      </c>
      <c r="F41" s="43">
        <f>'Income Stat.'!G8</f>
        <v>7014046.7599999998</v>
      </c>
      <c r="G41" s="43">
        <f>'Income Stat.'!H8</f>
        <v>7014046.7599999998</v>
      </c>
      <c r="H41" s="43">
        <f>'Income Stat.'!I8</f>
        <v>7014046.7599999998</v>
      </c>
      <c r="I41" s="43">
        <f>'Income Stat.'!J8</f>
        <v>11214046.76</v>
      </c>
      <c r="J41" s="43">
        <f>'Income Stat.'!K8</f>
        <v>11214046.76</v>
      </c>
      <c r="K41" s="43">
        <f>'Income Stat.'!L8</f>
        <v>11214046.76</v>
      </c>
      <c r="L41" s="43">
        <f>'Income Stat.'!M8</f>
        <v>11214046.76</v>
      </c>
      <c r="M41" s="43">
        <f>'Income Stat.'!N8</f>
        <v>11214046.76</v>
      </c>
      <c r="N41" s="43">
        <f>'Income Stat.'!O8</f>
        <v>51713338.159999996</v>
      </c>
      <c r="O41" s="43">
        <f>'Income Stat.'!P8</f>
        <v>0</v>
      </c>
    </row>
    <row r="42" spans="1:15">
      <c r="A42" s="42" t="s">
        <v>205</v>
      </c>
      <c r="B42" s="43">
        <f>'Income Stat.'!C7</f>
        <v>1196101.0900000001</v>
      </c>
      <c r="C42" s="43">
        <f>'Income Stat.'!D7</f>
        <v>2224174.17</v>
      </c>
      <c r="D42" s="43">
        <f>'Income Stat.'!E7</f>
        <v>3440890.09</v>
      </c>
      <c r="E42" s="43">
        <f>'Income Stat.'!F7</f>
        <v>4766244.1399999997</v>
      </c>
      <c r="F42" s="43">
        <f>'Income Stat.'!G7</f>
        <v>5821593.6600000001</v>
      </c>
      <c r="G42" s="43">
        <f>'Income Stat.'!H7</f>
        <v>10893716.529999999</v>
      </c>
      <c r="H42" s="43">
        <f>'Income Stat.'!I7</f>
        <v>12763140.300000001</v>
      </c>
      <c r="I42" s="43">
        <f>'Income Stat.'!J7</f>
        <v>14833995.800000001</v>
      </c>
      <c r="J42" s="43">
        <f>'Income Stat.'!K7</f>
        <v>19023503.949999999</v>
      </c>
      <c r="K42" s="43">
        <f>'Income Stat.'!L7</f>
        <v>20725473.949999999</v>
      </c>
      <c r="L42" s="43">
        <f>'Income Stat.'!M7</f>
        <v>24786464.98</v>
      </c>
      <c r="M42" s="43">
        <f>'Income Stat.'!N7</f>
        <v>27546154.129999999</v>
      </c>
      <c r="N42" s="43">
        <f>'Income Stat.'!O7</f>
        <v>0</v>
      </c>
      <c r="O42" s="43">
        <f>'Income Stat.'!P7</f>
        <v>0</v>
      </c>
    </row>
    <row r="43" spans="1:15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</row>
    <row r="44" spans="1:15">
      <c r="A44" s="44" t="s">
        <v>206</v>
      </c>
      <c r="B44" s="49">
        <f t="shared" ref="B44:L44" si="20">B45+B46+B47+B48</f>
        <v>40243618.010000005</v>
      </c>
      <c r="C44" s="49">
        <f t="shared" si="20"/>
        <v>71552927.140000001</v>
      </c>
      <c r="D44" s="49">
        <f t="shared" si="20"/>
        <v>102412514.53</v>
      </c>
      <c r="E44" s="49">
        <f t="shared" si="20"/>
        <v>122381018.55</v>
      </c>
      <c r="F44" s="49">
        <f t="shared" si="20"/>
        <v>158380395.43000001</v>
      </c>
      <c r="G44" s="49">
        <f t="shared" si="20"/>
        <v>156618187.74000001</v>
      </c>
      <c r="H44" s="49">
        <f t="shared" ref="H44" si="21">H45+H46+H47+H48</f>
        <v>185456906.68000001</v>
      </c>
      <c r="I44" s="49">
        <f t="shared" si="20"/>
        <v>202956637.88</v>
      </c>
      <c r="J44" s="49">
        <f t="shared" si="20"/>
        <v>236992167.97999999</v>
      </c>
      <c r="K44" s="49">
        <f t="shared" si="20"/>
        <v>269449625.44999999</v>
      </c>
      <c r="L44" s="49">
        <f t="shared" si="20"/>
        <v>299536066.23000002</v>
      </c>
      <c r="M44" s="49">
        <f t="shared" ref="M44:O44" si="22">M45+M46+M47+M48</f>
        <v>420929553.06</v>
      </c>
      <c r="N44" s="49">
        <f t="shared" si="22"/>
        <v>453199929.93999994</v>
      </c>
      <c r="O44" s="49">
        <f t="shared" si="22"/>
        <v>0</v>
      </c>
    </row>
    <row r="45" spans="1:15">
      <c r="A45" s="42" t="s">
        <v>207</v>
      </c>
      <c r="B45" s="43">
        <f>'Income Stat.'!C14</f>
        <v>792148.4</v>
      </c>
      <c r="C45" s="43">
        <f>'Income Stat.'!D14</f>
        <v>1227938.6299999999</v>
      </c>
      <c r="D45" s="43">
        <f>'Income Stat.'!E14</f>
        <v>1729489.09</v>
      </c>
      <c r="E45" s="43">
        <f>'Income Stat.'!F14</f>
        <v>3104849.97</v>
      </c>
      <c r="F45" s="43">
        <f>'Income Stat.'!G14</f>
        <v>4593995.66</v>
      </c>
      <c r="G45" s="43">
        <f>'Income Stat.'!H14</f>
        <v>5791387.8700000001</v>
      </c>
      <c r="H45" s="43">
        <f>'Income Stat.'!I14</f>
        <v>7346315.5899999999</v>
      </c>
      <c r="I45" s="43">
        <f>'Income Stat.'!J14</f>
        <v>8483382.9100000001</v>
      </c>
      <c r="J45" s="43">
        <f>'Income Stat.'!K14</f>
        <v>9397844.3800000008</v>
      </c>
      <c r="K45" s="43">
        <f>'Income Stat.'!L14</f>
        <v>10242395.57</v>
      </c>
      <c r="L45" s="43">
        <f>'Income Stat.'!M14</f>
        <v>10826021.83</v>
      </c>
      <c r="M45" s="43">
        <f>'Income Stat.'!N14</f>
        <v>11451139.35</v>
      </c>
      <c r="N45" s="43">
        <f>'Income Stat.'!O14</f>
        <v>309732726</v>
      </c>
      <c r="O45" s="43">
        <f>'Income Stat.'!P14</f>
        <v>0</v>
      </c>
    </row>
    <row r="46" spans="1:15">
      <c r="A46" s="42" t="s">
        <v>208</v>
      </c>
      <c r="B46" s="43">
        <f>'Income Stat.'!C16</f>
        <v>0</v>
      </c>
      <c r="C46" s="43">
        <f>'Income Stat.'!D16</f>
        <v>0</v>
      </c>
      <c r="D46" s="43">
        <f>'Income Stat.'!E16</f>
        <v>0</v>
      </c>
      <c r="E46" s="43">
        <f>'Income Stat.'!F16</f>
        <v>0</v>
      </c>
      <c r="F46" s="43">
        <f>'Income Stat.'!G16</f>
        <v>0</v>
      </c>
      <c r="G46" s="43">
        <f>'Income Stat.'!H16</f>
        <v>0</v>
      </c>
      <c r="H46" s="43">
        <f>'Income Stat.'!I16</f>
        <v>0</v>
      </c>
      <c r="I46" s="43">
        <f>'Income Stat.'!J16</f>
        <v>0</v>
      </c>
      <c r="J46" s="43">
        <f>'Income Stat.'!K16</f>
        <v>0</v>
      </c>
      <c r="K46" s="43">
        <f>'Income Stat.'!L16</f>
        <v>0</v>
      </c>
      <c r="L46" s="43">
        <f>'Income Stat.'!M16</f>
        <v>0</v>
      </c>
      <c r="M46" s="43">
        <f>'Income Stat.'!N16</f>
        <v>0</v>
      </c>
      <c r="N46" s="43">
        <f>'Income Stat.'!O16</f>
        <v>0</v>
      </c>
      <c r="O46" s="43">
        <f>'Income Stat.'!P16</f>
        <v>0</v>
      </c>
    </row>
    <row r="47" spans="1:15">
      <c r="A47" s="42" t="s">
        <v>209</v>
      </c>
      <c r="B47" s="43">
        <f>'Income Stat.'!C15</f>
        <v>4820856.05</v>
      </c>
      <c r="C47" s="43">
        <f>'Income Stat.'!D15</f>
        <v>9394160.6400000006</v>
      </c>
      <c r="D47" s="43">
        <f>'Income Stat.'!E15</f>
        <v>13661872.09</v>
      </c>
      <c r="E47" s="43">
        <f>'Income Stat.'!F15</f>
        <v>14016361.720000001</v>
      </c>
      <c r="F47" s="43">
        <f>'Income Stat.'!G15</f>
        <v>25214860.899999999</v>
      </c>
      <c r="G47" s="43">
        <f>'Income Stat.'!H15</f>
        <v>25634747.870000001</v>
      </c>
      <c r="H47" s="43">
        <f>'Income Stat.'!I15</f>
        <v>36339753.520000003</v>
      </c>
      <c r="I47" s="43">
        <f>'Income Stat.'!J15</f>
        <v>40474314.289999999</v>
      </c>
      <c r="J47" s="43">
        <f>'Income Stat.'!K15</f>
        <v>52245031.710000001</v>
      </c>
      <c r="K47" s="43">
        <f>'Income Stat.'!L15</f>
        <v>60487785.93</v>
      </c>
      <c r="L47" s="43">
        <f>'Income Stat.'!M15</f>
        <v>67147995.319999993</v>
      </c>
      <c r="M47" s="43">
        <f>'Income Stat.'!N15</f>
        <v>74292819.359999999</v>
      </c>
      <c r="N47" s="43">
        <f>'Income Stat.'!O15</f>
        <v>74292819.359999999</v>
      </c>
      <c r="O47" s="43">
        <f>'Income Stat.'!P15</f>
        <v>0</v>
      </c>
    </row>
    <row r="48" spans="1:15">
      <c r="A48" s="51" t="s">
        <v>210</v>
      </c>
      <c r="B48" s="43">
        <f>'Income Stat.'!C30</f>
        <v>34630613.560000002</v>
      </c>
      <c r="C48" s="43">
        <f>'Income Stat.'!D30</f>
        <v>60930827.869999997</v>
      </c>
      <c r="D48" s="43">
        <f>'Income Stat.'!E30</f>
        <v>87021153.349999994</v>
      </c>
      <c r="E48" s="43">
        <f>'Income Stat.'!F30</f>
        <v>105259806.86</v>
      </c>
      <c r="F48" s="43">
        <f>'Income Stat.'!G30</f>
        <v>128571538.87</v>
      </c>
      <c r="G48" s="43">
        <f>'Income Stat.'!H30</f>
        <v>125192052</v>
      </c>
      <c r="H48" s="43">
        <f>'Income Stat.'!I30</f>
        <v>141770837.56999999</v>
      </c>
      <c r="I48" s="43">
        <f>'Income Stat.'!J30</f>
        <v>153998940.68000001</v>
      </c>
      <c r="J48" s="43">
        <f>'Income Stat.'!K30</f>
        <v>175349291.88999999</v>
      </c>
      <c r="K48" s="43">
        <f>'Income Stat.'!L30</f>
        <v>198719443.94999999</v>
      </c>
      <c r="L48" s="43">
        <f>'Income Stat.'!M30</f>
        <v>221562049.08000001</v>
      </c>
      <c r="M48" s="43">
        <f>'Income Stat.'!N30</f>
        <v>335185594.35000002</v>
      </c>
      <c r="N48" s="43">
        <f>'Income Stat.'!O30</f>
        <v>69174384.579999924</v>
      </c>
      <c r="O48" s="43">
        <f>'Income Stat.'!P30</f>
        <v>0</v>
      </c>
    </row>
    <row r="49" spans="1:14">
      <c r="A49" s="52" t="s">
        <v>211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"/>
  <sheetViews>
    <sheetView topLeftCell="C1" workbookViewId="0">
      <selection activeCell="P6" sqref="P6"/>
    </sheetView>
  </sheetViews>
  <sheetFormatPr defaultColWidth="9.140625" defaultRowHeight="13.9"/>
  <cols>
    <col min="1" max="1" width="26.28515625" style="19" bestFit="1" customWidth="1"/>
    <col min="2" max="2" width="36.42578125" style="19" customWidth="1"/>
    <col min="3" max="3" width="15.140625" style="19" bestFit="1" customWidth="1"/>
    <col min="4" max="5" width="14" style="19" customWidth="1"/>
    <col min="6" max="6" width="14" style="19" bestFit="1" customWidth="1"/>
    <col min="7" max="8" width="12.28515625" style="19" customWidth="1"/>
    <col min="9" max="9" width="14" style="19" bestFit="1" customWidth="1"/>
    <col min="10" max="11" width="14" style="19" customWidth="1"/>
    <col min="12" max="12" width="14" style="19" bestFit="1" customWidth="1"/>
    <col min="13" max="14" width="14" style="19" customWidth="1"/>
    <col min="15" max="16" width="14" style="19" bestFit="1" customWidth="1"/>
    <col min="17" max="20" width="5" style="19" customWidth="1"/>
    <col min="21" max="16384" width="9.140625" style="19"/>
  </cols>
  <sheetData>
    <row r="1" spans="1:20">
      <c r="A1" s="17" t="s">
        <v>212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>
      <c r="A2" s="53"/>
      <c r="B2" s="53"/>
      <c r="C2" s="53" t="s">
        <v>213</v>
      </c>
      <c r="D2" s="21" t="s">
        <v>214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1" t="s">
        <v>13</v>
      </c>
      <c r="O2" s="21" t="s">
        <v>14</v>
      </c>
      <c r="P2" s="21" t="s">
        <v>15</v>
      </c>
      <c r="Q2" s="18"/>
      <c r="R2" s="18"/>
      <c r="S2" s="18"/>
      <c r="T2" s="18"/>
    </row>
    <row r="3" spans="1:20">
      <c r="A3" s="68" t="s">
        <v>215</v>
      </c>
      <c r="B3" s="54" t="s">
        <v>181</v>
      </c>
      <c r="C3" s="55" t="s">
        <v>216</v>
      </c>
      <c r="D3" s="56">
        <f>Financials!B13</f>
        <v>1034653195.23</v>
      </c>
      <c r="E3" s="56">
        <f>Financials!C13</f>
        <v>1023164634.5</v>
      </c>
      <c r="F3" s="56">
        <f>Financials!D13</f>
        <v>1150999816.8800001</v>
      </c>
      <c r="G3" s="56">
        <f>Financials!E13</f>
        <v>955503956.09000003</v>
      </c>
      <c r="H3" s="56">
        <f>Financials!F13</f>
        <v>953273027.78999996</v>
      </c>
      <c r="I3" s="56">
        <f>Financials!G13</f>
        <v>947047187.47000003</v>
      </c>
      <c r="J3" s="56">
        <f>Financials!H13</f>
        <v>973814607.05999994</v>
      </c>
      <c r="K3" s="56">
        <f>Financials!I13</f>
        <v>991858178.02999997</v>
      </c>
      <c r="L3" s="56">
        <f>Financials!J13</f>
        <v>1029128676.16</v>
      </c>
      <c r="M3" s="56">
        <f>Financials!K13</f>
        <v>1055976064.13</v>
      </c>
      <c r="N3" s="56">
        <f>Financials!L13</f>
        <v>1085042862.3099999</v>
      </c>
      <c r="O3" s="56">
        <f>Financials!M13</f>
        <v>1198486845.52</v>
      </c>
      <c r="P3" s="56">
        <f>Financials!N13</f>
        <v>908620692.17999995</v>
      </c>
      <c r="Q3" s="56">
        <f>Financials!U14</f>
        <v>0</v>
      </c>
      <c r="R3" s="56">
        <f>Financials!V14</f>
        <v>0</v>
      </c>
      <c r="S3" s="56">
        <f>Financials!W14</f>
        <v>0</v>
      </c>
      <c r="T3" s="56">
        <f>Financials!X14</f>
        <v>0</v>
      </c>
    </row>
    <row r="4" spans="1:20">
      <c r="A4" s="69"/>
      <c r="B4" s="16" t="s">
        <v>217</v>
      </c>
      <c r="C4" s="15">
        <v>0.1</v>
      </c>
      <c r="D4" s="22">
        <f>Financials!B13/Financials!B5</f>
        <v>0.12210132777974267</v>
      </c>
      <c r="E4" s="22">
        <f>Financials!C13/Financials!C5</f>
        <v>0.1211291395894994</v>
      </c>
      <c r="F4" s="22">
        <f>Financials!D13/Financials!D5</f>
        <v>0.13432390023984866</v>
      </c>
      <c r="G4" s="22">
        <f>Financials!E13/Financials!E5</f>
        <v>0.11344465579471585</v>
      </c>
      <c r="H4" s="22">
        <f>Financials!F13/Financials!F5</f>
        <v>0.11063221590026566</v>
      </c>
      <c r="I4" s="22">
        <f>Financials!G13/Financials!G5</f>
        <v>0.10853319041291223</v>
      </c>
      <c r="J4" s="22">
        <f>Financials!H13/Financials!H5</f>
        <v>0.11131218533136361</v>
      </c>
      <c r="K4" s="22">
        <f>Financials!I13/Financials!I5</f>
        <v>0.11190496782592634</v>
      </c>
      <c r="L4" s="22">
        <f>Financials!J13/Financials!J5</f>
        <v>0.1162394326380064</v>
      </c>
      <c r="M4" s="22">
        <f>Financials!K13/Financials!K5</f>
        <v>0.11884933340800996</v>
      </c>
      <c r="N4" s="22">
        <f>Financials!L13/Financials!L5</f>
        <v>0.12217238807351018</v>
      </c>
      <c r="O4" s="22">
        <f>Financials!M13/Financials!M5</f>
        <v>0.13311850144664775</v>
      </c>
      <c r="P4" s="22">
        <f>Financials!N13/Financials!N5</f>
        <v>9.9811820661506206E-2</v>
      </c>
      <c r="Q4" s="18"/>
      <c r="R4" s="18"/>
      <c r="S4" s="18"/>
      <c r="T4" s="18"/>
    </row>
    <row r="5" spans="1:20">
      <c r="A5" s="69"/>
      <c r="B5" s="16" t="s">
        <v>218</v>
      </c>
      <c r="C5" s="15">
        <v>0.08</v>
      </c>
      <c r="D5" s="22">
        <f>Financials!B13/Financials!B6</f>
        <v>0.15629031444734043</v>
      </c>
      <c r="E5" s="22">
        <f>Financials!C13/Financials!C6</f>
        <v>0.15414812075286027</v>
      </c>
      <c r="F5" s="22">
        <f>Financials!D13/Financials!D6</f>
        <v>0.1733636836976353</v>
      </c>
      <c r="G5" s="22">
        <f>Financials!E13/Financials!E6</f>
        <v>0.14269055872819006</v>
      </c>
      <c r="H5" s="22">
        <f>Financials!F13/Financials!F6</f>
        <v>0.14269573922454876</v>
      </c>
      <c r="I5" s="22">
        <f>Financials!G13/Financials!G6</f>
        <v>0.14091612336954815</v>
      </c>
      <c r="J5" s="22">
        <f>Financials!H13/Financials!H6</f>
        <v>0.14565504682196864</v>
      </c>
      <c r="K5" s="22">
        <f>Financials!I13/Financials!I6</f>
        <v>0.14824463024737225</v>
      </c>
      <c r="L5" s="22">
        <f>Financials!J13/Financials!J6</f>
        <v>0.15435304925503146</v>
      </c>
      <c r="M5" s="22">
        <f>Financials!K13/Financials!K6</f>
        <v>0.15828938633985773</v>
      </c>
      <c r="N5" s="22">
        <f>Financials!L13/Financials!L6</f>
        <v>0.16286997170886905</v>
      </c>
      <c r="O5" s="22">
        <f>Financials!M13/Financials!M6</f>
        <v>0.17987285907718992</v>
      </c>
      <c r="P5" s="22">
        <f>Financials!N13/Financials!N6</f>
        <v>0.13636879063799831</v>
      </c>
      <c r="Q5" s="18"/>
      <c r="R5" s="18"/>
      <c r="S5" s="18"/>
      <c r="T5" s="18"/>
    </row>
    <row r="6" spans="1:20">
      <c r="A6" s="70"/>
      <c r="B6" s="57" t="s">
        <v>219</v>
      </c>
      <c r="C6" s="58">
        <v>0.08</v>
      </c>
      <c r="D6" s="59">
        <f>(Financials!B15-Financials!B16)/Financials!B5</f>
        <v>7.516395943609358E-2</v>
      </c>
      <c r="E6" s="59">
        <f>(Financials!C15-Financials!C16)/Financials!C5</f>
        <v>7.4019656108032669E-2</v>
      </c>
      <c r="F6" s="59">
        <f>(Financials!D15-Financials!D16)/Financials!D5</f>
        <v>8.7808320620584981E-2</v>
      </c>
      <c r="G6" s="59">
        <f>(Financials!E15-Financials!E16)/Financials!E5</f>
        <v>6.1619740606341497E-2</v>
      </c>
      <c r="H6" s="59">
        <f>(Financials!F15-Financials!F16)/Financials!F5</f>
        <v>5.9968669713515943E-2</v>
      </c>
      <c r="I6" s="59">
        <f>(Financials!G15-Financials!G16)/Financials!G5</f>
        <v>5.8480513824354222E-2</v>
      </c>
      <c r="J6" s="59">
        <f>(Financials!H15-Financials!H16)/Financials!H5</f>
        <v>6.0636930289534749E-2</v>
      </c>
      <c r="K6" s="59">
        <f>(Financials!I15-Financials!I16)/Financials!I5</f>
        <v>6.1375261993754184E-2</v>
      </c>
      <c r="L6" s="59">
        <f>(Financials!J15-Financials!J16)/Financials!J5</f>
        <v>6.3881299764476304E-2</v>
      </c>
      <c r="M6" s="59">
        <f>(Financials!K15-Financials!K16)/Financials!K5</f>
        <v>6.638573138388848E-2</v>
      </c>
      <c r="N6" s="59">
        <f>(Financials!L15-Financials!L16)/Financials!L5</f>
        <v>6.9365191855779523E-2</v>
      </c>
      <c r="O6" s="59">
        <f>(Financials!M15-Financials!M16)/Financials!M5</f>
        <v>8.0668082092981055E-2</v>
      </c>
      <c r="P6" s="59">
        <f>(Financials!N15-Financials!N16)/Financials!N5</f>
        <v>4.79386049862612E-2</v>
      </c>
      <c r="Q6" s="18"/>
      <c r="R6" s="18"/>
      <c r="S6" s="18"/>
      <c r="T6" s="18"/>
    </row>
    <row r="7" spans="1:20">
      <c r="A7" s="68" t="s">
        <v>220</v>
      </c>
      <c r="B7" s="54" t="s">
        <v>221</v>
      </c>
      <c r="C7" s="5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18"/>
      <c r="R7" s="18"/>
      <c r="S7" s="18"/>
      <c r="T7" s="18"/>
    </row>
    <row r="8" spans="1:20">
      <c r="A8" s="69"/>
      <c r="B8" s="16" t="s">
        <v>222</v>
      </c>
      <c r="C8" s="16"/>
      <c r="D8" s="23">
        <f t="shared" ref="D8:P8" si="0">6.5%</f>
        <v>6.5000000000000002E-2</v>
      </c>
      <c r="E8" s="23">
        <f t="shared" si="0"/>
        <v>6.5000000000000002E-2</v>
      </c>
      <c r="F8" s="23">
        <f t="shared" si="0"/>
        <v>6.5000000000000002E-2</v>
      </c>
      <c r="G8" s="23">
        <f t="shared" si="0"/>
        <v>6.5000000000000002E-2</v>
      </c>
      <c r="H8" s="23">
        <f t="shared" si="0"/>
        <v>6.5000000000000002E-2</v>
      </c>
      <c r="I8" s="23">
        <f t="shared" si="0"/>
        <v>6.5000000000000002E-2</v>
      </c>
      <c r="J8" s="23">
        <f t="shared" si="0"/>
        <v>6.5000000000000002E-2</v>
      </c>
      <c r="K8" s="23">
        <f t="shared" si="0"/>
        <v>6.5000000000000002E-2</v>
      </c>
      <c r="L8" s="23">
        <f t="shared" si="0"/>
        <v>6.5000000000000002E-2</v>
      </c>
      <c r="M8" s="23">
        <f t="shared" si="0"/>
        <v>6.5000000000000002E-2</v>
      </c>
      <c r="N8" s="23">
        <f t="shared" si="0"/>
        <v>6.5000000000000002E-2</v>
      </c>
      <c r="O8" s="23">
        <f t="shared" si="0"/>
        <v>6.5000000000000002E-2</v>
      </c>
      <c r="P8" s="23">
        <f t="shared" si="0"/>
        <v>6.5000000000000002E-2</v>
      </c>
      <c r="Q8" s="18"/>
      <c r="R8" s="18"/>
      <c r="S8" s="18"/>
      <c r="T8" s="18"/>
    </row>
    <row r="9" spans="1:20">
      <c r="A9" s="69"/>
      <c r="B9" s="16" t="s">
        <v>223</v>
      </c>
      <c r="C9" s="14" t="s">
        <v>224</v>
      </c>
      <c r="D9" s="22">
        <f>('Balance Sheet'!C7+'Balance Sheet'!C20)/'Balance Sheet'!C26</f>
        <v>0.26685176794917931</v>
      </c>
      <c r="E9" s="22">
        <f>('Balance Sheet'!D7+'Balance Sheet'!D20)/'Balance Sheet'!D26</f>
        <v>0.26819116138514859</v>
      </c>
      <c r="F9" s="22">
        <f>('Balance Sheet'!E7+'Balance Sheet'!E20)/'Balance Sheet'!E26</f>
        <v>0.26718220122474301</v>
      </c>
      <c r="G9" s="22">
        <f>('Balance Sheet'!F7+'Balance Sheet'!F20)/'Balance Sheet'!F26</f>
        <v>0.26810027884532467</v>
      </c>
      <c r="H9" s="22">
        <f>('Balance Sheet'!G7+'Balance Sheet'!G20)/'Balance Sheet'!G26</f>
        <v>0.26084748154606263</v>
      </c>
      <c r="I9" s="22">
        <f>('Balance Sheet'!H7+'Balance Sheet'!H20)/'Balance Sheet'!H26</f>
        <v>0.26082476352919726</v>
      </c>
      <c r="J9" s="22">
        <f>('Balance Sheet'!I7+'Balance Sheet'!I20)/'Balance Sheet'!I26</f>
        <v>0.25664411675221865</v>
      </c>
      <c r="K9" s="22">
        <f>('Balance Sheet'!J7+'Balance Sheet'!J20)/'Balance Sheet'!J26</f>
        <v>0.25040194046580333</v>
      </c>
      <c r="L9" s="22">
        <f>('Balance Sheet'!K7+'Balance Sheet'!K20)/'Balance Sheet'!K26</f>
        <v>0.24584877254570364</v>
      </c>
      <c r="M9" s="22">
        <f>('Balance Sheet'!L7+'Balance Sheet'!L20)/'Balance Sheet'!L26</f>
        <v>0.24245915884893413</v>
      </c>
      <c r="N9" s="22">
        <f>('Balance Sheet'!M7+'Balance Sheet'!M20)/'Balance Sheet'!M26</f>
        <v>0.23941348525775577</v>
      </c>
      <c r="O9" s="22">
        <f>('Balance Sheet'!N7+'Balance Sheet'!N20)/'Balance Sheet'!N26</f>
        <v>0.23296219567900106</v>
      </c>
      <c r="P9" s="22">
        <f>('Balance Sheet'!O7+'Balance Sheet'!O20)/'Balance Sheet'!O26</f>
        <v>0.23235708837752497</v>
      </c>
      <c r="Q9" s="18"/>
      <c r="R9" s="18"/>
      <c r="S9" s="18"/>
      <c r="T9" s="18"/>
    </row>
    <row r="10" spans="1:20">
      <c r="A10" s="70"/>
      <c r="B10" s="57" t="s">
        <v>225</v>
      </c>
      <c r="C10" s="61" t="s">
        <v>226</v>
      </c>
      <c r="D10" s="62">
        <f>('Balance Sheet'!C21+'Balance Sheet'!C22)/'Balance Sheet'!C26</f>
        <v>0.14201692309870592</v>
      </c>
      <c r="E10" s="62">
        <f>('Balance Sheet'!D21+'Balance Sheet'!D22)/'Balance Sheet'!D26</f>
        <v>0.14227520161420412</v>
      </c>
      <c r="F10" s="62">
        <f>('Balance Sheet'!E21+'Balance Sheet'!E22)/'Balance Sheet'!E26</f>
        <v>0.14006025752609841</v>
      </c>
      <c r="G10" s="62">
        <f>('Balance Sheet'!F21+'Balance Sheet'!F22)/'Balance Sheet'!F26</f>
        <v>0.14229787580189013</v>
      </c>
      <c r="H10" s="62">
        <f>('Balance Sheet'!G21+'Balance Sheet'!G22)/'Balance Sheet'!G26</f>
        <v>0.13890579085186516</v>
      </c>
      <c r="I10" s="62">
        <f>('Balance Sheet'!H21+'Balance Sheet'!H22)/'Balance Sheet'!H26</f>
        <v>0.13697943549986094</v>
      </c>
      <c r="J10" s="62">
        <f>('Balance Sheet'!I21+'Balance Sheet'!I22)/'Balance Sheet'!I26</f>
        <v>0.13643896440251826</v>
      </c>
      <c r="K10" s="62">
        <f>('Balance Sheet'!J21+'Balance Sheet'!J22)/'Balance Sheet'!J26</f>
        <v>0.13448645239413604</v>
      </c>
      <c r="L10" s="62">
        <f>('Balance Sheet'!K21+'Balance Sheet'!K22)/'Balance Sheet'!K26</f>
        <v>0.1344523814809869</v>
      </c>
      <c r="M10" s="62">
        <f>('Balance Sheet'!L21+'Balance Sheet'!L22)/'Balance Sheet'!L26</f>
        <v>0.13379272760420496</v>
      </c>
      <c r="N10" s="62">
        <f>('Balance Sheet'!M21+'Balance Sheet'!M22)/'Balance Sheet'!M26</f>
        <v>0.13366580509261133</v>
      </c>
      <c r="O10" s="62">
        <f>('Balance Sheet'!N21+'Balance Sheet'!N22)/'Balance Sheet'!N26</f>
        <v>0.131674839765451</v>
      </c>
      <c r="P10" s="62">
        <f>('Balance Sheet'!O21+'Balance Sheet'!O22)/'Balance Sheet'!O26</f>
        <v>0.13241992122554469</v>
      </c>
      <c r="Q10" s="18"/>
      <c r="R10" s="18"/>
      <c r="S10" s="18"/>
      <c r="T10" s="18"/>
    </row>
    <row r="11" spans="1:20" ht="26.45">
      <c r="A11" s="68" t="s">
        <v>227</v>
      </c>
      <c r="B11" s="54" t="s">
        <v>228</v>
      </c>
      <c r="C11" s="63" t="s">
        <v>226</v>
      </c>
      <c r="D11" s="64">
        <f>'Balance Sheet'!C11/'Balance Sheet'!C29</f>
        <v>0</v>
      </c>
      <c r="E11" s="64">
        <f>'Balance Sheet'!D11/'Balance Sheet'!D29</f>
        <v>0</v>
      </c>
      <c r="F11" s="64">
        <f>'Balance Sheet'!E11/'Balance Sheet'!E29</f>
        <v>0</v>
      </c>
      <c r="G11" s="64">
        <f>'Balance Sheet'!F11/'Balance Sheet'!F29</f>
        <v>0</v>
      </c>
      <c r="H11" s="64">
        <f>'Balance Sheet'!G11/'Balance Sheet'!G29</f>
        <v>0</v>
      </c>
      <c r="I11" s="64">
        <f>'Balance Sheet'!H11/'Balance Sheet'!H29</f>
        <v>0</v>
      </c>
      <c r="J11" s="64">
        <f>'Balance Sheet'!I11/'Balance Sheet'!I29</f>
        <v>0</v>
      </c>
      <c r="K11" s="64">
        <f>'Balance Sheet'!J11/'Balance Sheet'!J29</f>
        <v>0</v>
      </c>
      <c r="L11" s="64">
        <f>'Balance Sheet'!K11/'Balance Sheet'!K29</f>
        <v>0</v>
      </c>
      <c r="M11" s="64">
        <f>'Balance Sheet'!L11/'Balance Sheet'!L29</f>
        <v>0</v>
      </c>
      <c r="N11" s="64">
        <f>'Balance Sheet'!M11/'Balance Sheet'!M29</f>
        <v>0</v>
      </c>
      <c r="O11" s="64">
        <f>'Balance Sheet'!N11/'Balance Sheet'!N29</f>
        <v>0</v>
      </c>
      <c r="P11" s="64">
        <f>'Balance Sheet'!O11/'Balance Sheet'!O29</f>
        <v>0</v>
      </c>
      <c r="Q11" s="18"/>
      <c r="R11" s="18"/>
      <c r="S11" s="18"/>
      <c r="T11" s="18"/>
    </row>
    <row r="12" spans="1:20" ht="26.45">
      <c r="A12" s="69"/>
      <c r="B12" s="25" t="s">
        <v>229</v>
      </c>
      <c r="C12" s="26" t="s">
        <v>230</v>
      </c>
      <c r="D12" s="24">
        <f>'Balance Sheet'!C11/Financials!B13</f>
        <v>0</v>
      </c>
      <c r="E12" s="24">
        <f>'Balance Sheet'!D11/Financials!C13</f>
        <v>0</v>
      </c>
      <c r="F12" s="24">
        <f>'Balance Sheet'!E11/Financials!D13</f>
        <v>0</v>
      </c>
      <c r="G12" s="24">
        <f>'Balance Sheet'!F11/Financials!E13</f>
        <v>0</v>
      </c>
      <c r="H12" s="24">
        <f>'Balance Sheet'!G11/Financials!F13</f>
        <v>0</v>
      </c>
      <c r="I12" s="24">
        <f>'Balance Sheet'!H11/Financials!G13</f>
        <v>0</v>
      </c>
      <c r="J12" s="24">
        <f>'Balance Sheet'!I11/Financials!H13</f>
        <v>0</v>
      </c>
      <c r="K12" s="24">
        <f>'Balance Sheet'!J11/Financials!I13</f>
        <v>0</v>
      </c>
      <c r="L12" s="24">
        <f>'Balance Sheet'!K11/Financials!J13</f>
        <v>0</v>
      </c>
      <c r="M12" s="24">
        <f>'Balance Sheet'!L11/Financials!K13</f>
        <v>0</v>
      </c>
      <c r="N12" s="24">
        <f>'Balance Sheet'!M11/Financials!L13</f>
        <v>0</v>
      </c>
      <c r="O12" s="24">
        <f>'Balance Sheet'!N11/Financials!M13</f>
        <v>0</v>
      </c>
      <c r="P12" s="24">
        <f>'Balance Sheet'!O11/Financials!N13</f>
        <v>0</v>
      </c>
      <c r="Q12" s="18"/>
      <c r="R12" s="18"/>
      <c r="S12" s="18"/>
      <c r="T12" s="18"/>
    </row>
    <row r="13" spans="1:20">
      <c r="A13" s="69"/>
      <c r="B13" s="27" t="s">
        <v>231</v>
      </c>
      <c r="C13" s="27"/>
      <c r="D13" s="22">
        <f>Financials!B31/Financials!B5</f>
        <v>0.70135355021554635</v>
      </c>
      <c r="E13" s="22">
        <f>Financials!C31/Financials!C5</f>
        <v>0.7071462204925606</v>
      </c>
      <c r="F13" s="22">
        <f>Financials!D31/Financials!D5</f>
        <v>0.70605320588792297</v>
      </c>
      <c r="G13" s="22">
        <f>Financials!E31/Financials!E5</f>
        <v>0.72009904641281441</v>
      </c>
      <c r="H13" s="22">
        <f>Financials!F31/Financials!F5</f>
        <v>0.71616624610200008</v>
      </c>
      <c r="I13" s="22">
        <f>Financials!G31/Financials!G5</f>
        <v>0.71377958625570526</v>
      </c>
      <c r="J13" s="22">
        <f>Financials!H31/Financials!H5</f>
        <v>0.72048652776800814</v>
      </c>
      <c r="K13" s="22">
        <f>Financials!I31/Financials!I5</f>
        <v>0.71662405486397363</v>
      </c>
      <c r="L13" s="22">
        <f>Financials!J31/Financials!J5</f>
        <v>0.72005143770774449</v>
      </c>
      <c r="M13" s="22">
        <f>Financials!K31/Financials!K5</f>
        <v>0.72530427009533804</v>
      </c>
      <c r="N13" s="22">
        <f>Financials!L31/Financials!L5</f>
        <v>0.72677995364472958</v>
      </c>
      <c r="O13" s="22">
        <f>Financials!M31/Financials!M5</f>
        <v>0.74004745904448943</v>
      </c>
      <c r="P13" s="22">
        <f>Financials!N31/Financials!N5</f>
        <v>0.74119237568280993</v>
      </c>
      <c r="Q13" s="18"/>
      <c r="R13" s="18"/>
      <c r="S13" s="18"/>
      <c r="T13" s="18"/>
    </row>
    <row r="14" spans="1:20">
      <c r="A14" s="69"/>
      <c r="B14" s="16" t="s">
        <v>232</v>
      </c>
      <c r="C14" s="16"/>
      <c r="D14" s="22">
        <f>'Income Stat.'!C38/Financials!B5</f>
        <v>4.5005876697627395E-3</v>
      </c>
      <c r="E14" s="22">
        <f>'Income Stat.'!D38/Financials!C5</f>
        <v>7.5490269369772921E-3</v>
      </c>
      <c r="F14" s="22">
        <f>'Income Stat.'!E38/Financials!D5</f>
        <v>1.0750468454613013E-2</v>
      </c>
      <c r="G14" s="22">
        <f>'Income Stat.'!F38/Financials!E5</f>
        <v>1.3036225309806915E-2</v>
      </c>
      <c r="H14" s="22">
        <f>'Income Stat.'!G38/Financials!F5</f>
        <v>1.551070195182884E-2</v>
      </c>
      <c r="I14" s="22">
        <f>'Income Stat.'!H38/Financials!G5</f>
        <v>1.5021513367321271E-2</v>
      </c>
      <c r="J14" s="22">
        <f>'Income Stat.'!I38/Financials!H5</f>
        <v>1.6996921648461935E-2</v>
      </c>
      <c r="K14" s="22">
        <f>'Income Stat.'!J38/Financials!I5</f>
        <v>1.8442573649586264E-2</v>
      </c>
      <c r="L14" s="22">
        <f>'Income Stat.'!K38/Financials!J5</f>
        <v>2.102938664274883E-2</v>
      </c>
      <c r="M14" s="22">
        <f>'Income Stat.'!L38/Financials!K5</f>
        <v>2.368658138611059E-2</v>
      </c>
      <c r="N14" s="22">
        <f>'Income Stat.'!M38/Financials!L5</f>
        <v>2.6606631478110727E-2</v>
      </c>
      <c r="O14" s="22">
        <f>'Income Stat.'!N38/Financials!M5</f>
        <v>3.9078147482170679E-2</v>
      </c>
      <c r="P14" s="22">
        <f>'Income Stat.'!O38/Financials!N5</f>
        <v>6.9037465025568925E-3</v>
      </c>
      <c r="Q14" s="18"/>
      <c r="R14" s="18"/>
      <c r="S14" s="18"/>
      <c r="T14" s="18"/>
    </row>
    <row r="15" spans="1:20">
      <c r="A15" s="69"/>
      <c r="B15" s="16" t="s">
        <v>233</v>
      </c>
      <c r="C15" s="16"/>
      <c r="D15" s="22">
        <f>'Income Stat.'!C24/('Income Stat.'!C20-'Income Stat.'!C22)</f>
        <v>0.44405565544507963</v>
      </c>
      <c r="E15" s="22">
        <f>'Income Stat.'!D24/('Income Stat.'!D20-'Income Stat.'!D22)</f>
        <v>0.49759298295791649</v>
      </c>
      <c r="F15" s="22">
        <f>'Income Stat.'!E24/('Income Stat.'!E20-'Income Stat.'!E22)</f>
        <v>0.52919328816104627</v>
      </c>
      <c r="G15" s="22">
        <f>'Income Stat.'!F24/('Income Stat.'!F20-'Income Stat.'!F22)</f>
        <v>0.55777790038061847</v>
      </c>
      <c r="H15" s="22">
        <f>'Income Stat.'!G24/('Income Stat.'!G20-'Income Stat.'!G22)</f>
        <v>0.56430274453771412</v>
      </c>
      <c r="I15" s="22">
        <f>'Income Stat.'!H24/('Income Stat.'!H20-'Income Stat.'!H22)</f>
        <v>0.6521256115397227</v>
      </c>
      <c r="J15" s="22">
        <f>'Income Stat.'!I24/('Income Stat.'!I20-'Income Stat.'!I22)</f>
        <v>0.65694717744919084</v>
      </c>
      <c r="K15" s="22">
        <f>'Income Stat.'!J24/('Income Stat.'!J20-'Income Stat.'!J22)</f>
        <v>0.67077216096471293</v>
      </c>
      <c r="L15" s="22">
        <f>'Income Stat.'!K24/('Income Stat.'!K20-'Income Stat.'!K22)</f>
        <v>0.66585631682121371</v>
      </c>
      <c r="M15" s="22">
        <f>'Income Stat.'!L24/('Income Stat.'!L20-'Income Stat.'!L22)</f>
        <v>0.65934194120612788</v>
      </c>
      <c r="N15" s="22">
        <f>'Income Stat.'!M24/('Income Stat.'!M20-'Income Stat.'!M22)</f>
        <v>0.65539623641024958</v>
      </c>
      <c r="O15" s="22">
        <f>'Income Stat.'!N24/('Income Stat.'!N20-'Income Stat.'!N22)</f>
        <v>0.57962586351413659</v>
      </c>
      <c r="P15" s="22">
        <f>'Income Stat.'!O24/('Income Stat.'!O20-'Income Stat.'!O22)</f>
        <v>0.87036122307552277</v>
      </c>
      <c r="Q15" s="18"/>
      <c r="R15" s="18"/>
      <c r="S15" s="18"/>
      <c r="T15" s="18"/>
    </row>
    <row r="16" spans="1:20">
      <c r="A16" s="70"/>
      <c r="B16" s="57" t="s">
        <v>234</v>
      </c>
      <c r="C16" s="65"/>
      <c r="D16" s="62">
        <f>'Income Stat.'!C24/'Income Stat.'!C4</f>
        <v>0.35036598751578824</v>
      </c>
      <c r="E16" s="62">
        <f>'Income Stat.'!D24/'Income Stat.'!D4</f>
        <v>0.39223677208234431</v>
      </c>
      <c r="F16" s="62">
        <f>'Income Stat.'!E24/'Income Stat.'!E4</f>
        <v>0.41964642485867426</v>
      </c>
      <c r="G16" s="62">
        <f>'Income Stat.'!F24/'Income Stat.'!F4</f>
        <v>0.42222917734024074</v>
      </c>
      <c r="H16" s="62">
        <f>'Income Stat.'!G24/'Income Stat.'!G4</f>
        <v>0.41446004971992439</v>
      </c>
      <c r="I16" s="62">
        <f>'Income Stat.'!H24/'Income Stat.'!H4</f>
        <v>0.48571650786640796</v>
      </c>
      <c r="J16" s="62">
        <f>'Income Stat.'!I24/'Income Stat.'!I4</f>
        <v>0.4789756816006015</v>
      </c>
      <c r="K16" s="62">
        <f>'Income Stat.'!J24/'Income Stat.'!J4</f>
        <v>0.47936730724791676</v>
      </c>
      <c r="L16" s="62">
        <f>'Income Stat.'!K24/'Income Stat.'!K4</f>
        <v>0.47611369987953484</v>
      </c>
      <c r="M16" s="62">
        <f>'Income Stat.'!L24/'Income Stat.'!L4</f>
        <v>0.47112539485158345</v>
      </c>
      <c r="N16" s="62">
        <f>'Income Stat.'!M24/'Income Stat.'!M4</f>
        <v>0.46917169650663876</v>
      </c>
      <c r="O16" s="62">
        <f>'Income Stat.'!N24/'Income Stat.'!N4</f>
        <v>0.47031718526484489</v>
      </c>
      <c r="P16" s="62">
        <f>'Income Stat.'!O24/'Income Stat.'!O4</f>
        <v>0.4640996430084432</v>
      </c>
      <c r="Q16" s="18"/>
      <c r="R16" s="18"/>
      <c r="S16" s="18"/>
      <c r="T16" s="18"/>
    </row>
    <row r="17" spans="1:20">
      <c r="A17" s="68" t="s">
        <v>235</v>
      </c>
      <c r="B17" s="54" t="s">
        <v>236</v>
      </c>
      <c r="C17" s="55" t="s">
        <v>237</v>
      </c>
      <c r="D17" s="66">
        <f>'Balance Sheet'!C4/'Balance Sheet'!C27</f>
        <v>0.5907392018270391</v>
      </c>
      <c r="E17" s="66">
        <f>'Balance Sheet'!D4/'Balance Sheet'!D27</f>
        <v>0.40924132992198492</v>
      </c>
      <c r="F17" s="66">
        <f>'Balance Sheet'!E4/'Balance Sheet'!E27</f>
        <v>0.49689188153401637</v>
      </c>
      <c r="G17" s="66">
        <f>'Balance Sheet'!F4/'Balance Sheet'!F27</f>
        <v>-6.3088865582712067E-3</v>
      </c>
      <c r="H17" s="66">
        <f>'Balance Sheet'!G4/'Balance Sheet'!G27</f>
        <v>0.28902575587329121</v>
      </c>
      <c r="I17" s="66">
        <f>'Balance Sheet'!H4/'Balance Sheet'!H27</f>
        <v>0.32990360891602061</v>
      </c>
      <c r="J17" s="66">
        <f>'Balance Sheet'!I4/'Balance Sheet'!I27</f>
        <v>0.3090807835988581</v>
      </c>
      <c r="K17" s="66">
        <f>'Balance Sheet'!J4/'Balance Sheet'!J27</f>
        <v>0.6216044695889541</v>
      </c>
      <c r="L17" s="66">
        <f>'Balance Sheet'!K4/'Balance Sheet'!K27</f>
        <v>0.68246245766500468</v>
      </c>
      <c r="M17" s="66">
        <f>'Balance Sheet'!L4/'Balance Sheet'!L27</f>
        <v>0.64513107248803936</v>
      </c>
      <c r="N17" s="66">
        <f>'Balance Sheet'!M4/'Balance Sheet'!M27</f>
        <v>0.69685484618337501</v>
      </c>
      <c r="O17" s="66">
        <f>'Balance Sheet'!N4/'Balance Sheet'!N27</f>
        <v>0.46629850619226576</v>
      </c>
      <c r="P17" s="66">
        <f>'Balance Sheet'!O4/'Balance Sheet'!O27</f>
        <v>0.46629850619226576</v>
      </c>
      <c r="Q17" s="18"/>
      <c r="R17" s="18"/>
      <c r="S17" s="18"/>
      <c r="T17" s="18"/>
    </row>
    <row r="18" spans="1:20">
      <c r="A18" s="70"/>
      <c r="B18" s="97" t="s">
        <v>238</v>
      </c>
      <c r="C18" s="98"/>
      <c r="D18" s="99">
        <f>'Balance Sheet'!C4/'Balance Sheet'!C29</f>
        <v>2.3119975097309717E-2</v>
      </c>
      <c r="E18" s="99">
        <f>'Balance Sheet'!D4/'Balance Sheet'!D29</f>
        <v>1.6064254477264072E-2</v>
      </c>
      <c r="F18" s="99">
        <f>'Balance Sheet'!E4/'Balance Sheet'!E29</f>
        <v>1.9337899614224767E-2</v>
      </c>
      <c r="G18" s="99">
        <f>'Balance Sheet'!F4/'Balance Sheet'!F29</f>
        <v>-3.7073576425265006E-4</v>
      </c>
      <c r="H18" s="99">
        <f>'Balance Sheet'!G4/'Balance Sheet'!G29</f>
        <v>1.5132482539337203E-2</v>
      </c>
      <c r="I18" s="99">
        <f>'Balance Sheet'!H4/'Balance Sheet'!H29</f>
        <v>1.8542701039131054E-2</v>
      </c>
      <c r="J18" s="99">
        <f>'Balance Sheet'!I4/'Balance Sheet'!I29</f>
        <v>1.5134214911356914E-2</v>
      </c>
      <c r="K18" s="99">
        <f>'Balance Sheet'!J4/'Balance Sheet'!J29</f>
        <v>2.9534109407352131E-2</v>
      </c>
      <c r="L18" s="99">
        <f>'Balance Sheet'!K4/'Balance Sheet'!K29</f>
        <v>3.0843112913429702E-2</v>
      </c>
      <c r="M18" s="99">
        <f>'Balance Sheet'!L4/'Balance Sheet'!L29</f>
        <v>2.8366748123703586E-2</v>
      </c>
      <c r="N18" s="99">
        <f>'Balance Sheet'!M4/'Balance Sheet'!M29</f>
        <v>3.0556718763357225E-2</v>
      </c>
      <c r="O18" s="99">
        <f>'Balance Sheet'!N4/'Balance Sheet'!N29</f>
        <v>2.1389814817247912E-2</v>
      </c>
      <c r="P18" s="99">
        <f>'Balance Sheet'!O4/'Balance Sheet'!O29</f>
        <v>2.1389814817247912E-2</v>
      </c>
      <c r="Q18" s="18"/>
      <c r="R18" s="18"/>
      <c r="S18" s="18"/>
      <c r="T18" s="18"/>
    </row>
    <row r="19" spans="1:20">
      <c r="A19" s="18"/>
      <c r="B19" s="100" t="s">
        <v>239</v>
      </c>
      <c r="C19" s="102" t="s">
        <v>240</v>
      </c>
      <c r="D19" s="101">
        <f>'Balance Sheet'!C37/'Balance Sheet'!C26</f>
        <v>5.7530774570505254E-2</v>
      </c>
      <c r="E19" s="101">
        <f>'Balance Sheet'!D37/'Balance Sheet'!D26</f>
        <v>5.5946795419191217E-2</v>
      </c>
      <c r="F19" s="101">
        <f>'Balance Sheet'!E37/'Balance Sheet'!E26</f>
        <v>5.3925018694541069E-2</v>
      </c>
      <c r="G19" s="101">
        <f>'Balance Sheet'!F37/'Balance Sheet'!F26</f>
        <v>5.3614171050957865E-2</v>
      </c>
      <c r="H19" s="101">
        <f>'Balance Sheet'!G37/'Balance Sheet'!G26</f>
        <v>7.2161876366140659E-2</v>
      </c>
      <c r="I19" s="101">
        <f>'Balance Sheet'!H37/'Balance Sheet'!H26</f>
        <v>7.3313670080618246E-2</v>
      </c>
      <c r="J19" s="101">
        <f>'Balance Sheet'!I37/'Balance Sheet'!I26</f>
        <v>8.0496748226629944E-2</v>
      </c>
      <c r="K19" s="101">
        <f>'Balance Sheet'!J37/'Balance Sheet'!J26</f>
        <v>8.9036590511762437E-2</v>
      </c>
      <c r="L19" s="101">
        <f>'Balance Sheet'!K37/'Balance Sheet'!K26</f>
        <v>8.7912257394549526E-2</v>
      </c>
      <c r="M19" s="101">
        <f>'Balance Sheet'!L37/'Balance Sheet'!L26</f>
        <v>8.6379365556910712E-2</v>
      </c>
      <c r="N19" s="101">
        <f>'Balance Sheet'!M37/'Balance Sheet'!M26</f>
        <v>8.5167389587177428E-2</v>
      </c>
      <c r="O19" s="101">
        <f>'Balance Sheet'!N37/'Balance Sheet'!N26</f>
        <v>6.6180484787130955E-2</v>
      </c>
      <c r="P19" s="101">
        <f>'Balance Sheet'!O37/'Balance Sheet'!O26</f>
        <v>6.5452185190491188E-2</v>
      </c>
      <c r="Q19" s="18"/>
      <c r="R19" s="18"/>
      <c r="S19" s="18"/>
      <c r="T19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61AAD7CB-238E-4194-8778-79A144AFBA2A}"/>
</file>

<file path=customXml/itemProps2.xml><?xml version="1.0" encoding="utf-8"?>
<ds:datastoreItem xmlns:ds="http://schemas.openxmlformats.org/officeDocument/2006/customXml" ds:itemID="{3FF6181C-CF15-441B-B8C3-B10C1E1921A8}"/>
</file>

<file path=customXml/itemProps3.xml><?xml version="1.0" encoding="utf-8"?>
<ds:datastoreItem xmlns:ds="http://schemas.openxmlformats.org/officeDocument/2006/customXml" ds:itemID="{916F42B2-F00A-48A7-B22C-E9A57551B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Steve Odhiambo</cp:lastModifiedBy>
  <cp:revision/>
  <dcterms:created xsi:type="dcterms:W3CDTF">2020-12-13T08:25:54Z</dcterms:created>
  <dcterms:modified xsi:type="dcterms:W3CDTF">2023-02-20T12:13:20Z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2021-07-29T08:00:09Z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bc567f2f-1695-4c5a-97cb-5a3ecf9e1fba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
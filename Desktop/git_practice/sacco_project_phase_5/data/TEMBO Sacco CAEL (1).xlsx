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-my.sharepoint.com/personal/dmwatu_sasra_go_ke/Documents/Documents/PORTFOLIO 5/TEMBO SACCO/"/>
    </mc:Choice>
  </mc:AlternateContent>
  <xr:revisionPtr revIDLastSave="425" documentId="8_{C47D1C7C-9E61-4D76-B964-A76FB8B28958}" xr6:coauthVersionLast="47" xr6:coauthVersionMax="47" xr10:uidLastSave="{52CCDF3A-64ED-4CD2-843F-AE930F1FD31D}"/>
  <bookViews>
    <workbookView xWindow="0" yWindow="0" windowWidth="19200" windowHeight="6930" activeTab="4" xr2:uid="{00000000-000D-0000-FFFF-FFFF00000000}"/>
  </bookViews>
  <sheets>
    <sheet name="Evolutive SFP" sheetId="1" r:id="rId1"/>
    <sheet name="Evolutitve SCI" sheetId="2" r:id="rId2"/>
    <sheet name="Dec 2019 report" sheetId="11" r:id="rId3"/>
    <sheet name="FORM 4" sheetId="4" r:id="rId4"/>
    <sheet name="CAELS" sheetId="3" r:id="rId5"/>
    <sheet name="Financials" sheetId="5" r:id="rId6"/>
    <sheet name="CASH FLOW" sheetId="6" r:id="rId7"/>
    <sheet name="Feedback report" sheetId="10" r:id="rId8"/>
    <sheet name="Prudential Ratios" sheetId="8" r:id="rId9"/>
    <sheet name="Assesment report Sept 2019" sheetId="13" r:id="rId10"/>
  </sheets>
  <externalReferences>
    <externalReference r:id="rId11"/>
    <externalReference r:id="rId12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6" i="8" l="1"/>
  <c r="DU6" i="8"/>
  <c r="DT7" i="8"/>
  <c r="DU7" i="8"/>
  <c r="DT8" i="8"/>
  <c r="DU8" i="8"/>
  <c r="DT9" i="8"/>
  <c r="DU9" i="8"/>
  <c r="DT10" i="8"/>
  <c r="DU10" i="8"/>
  <c r="DT14" i="8"/>
  <c r="DU14" i="8"/>
  <c r="DT15" i="8"/>
  <c r="DU15" i="8"/>
  <c r="DT19" i="8"/>
  <c r="DU19" i="8"/>
  <c r="DT20" i="8"/>
  <c r="DU20" i="8"/>
  <c r="DT21" i="8"/>
  <c r="DU21" i="8"/>
  <c r="DT24" i="8"/>
  <c r="DU24" i="8"/>
  <c r="DT25" i="8"/>
  <c r="DU25" i="8"/>
  <c r="DT26" i="8"/>
  <c r="DU26" i="8"/>
  <c r="DT27" i="8"/>
  <c r="DU27" i="8"/>
  <c r="CM4" i="5"/>
  <c r="CN4" i="5"/>
  <c r="CM5" i="5"/>
  <c r="CN5" i="5"/>
  <c r="CM6" i="5"/>
  <c r="CN6" i="5"/>
  <c r="CM7" i="5"/>
  <c r="CN7" i="5"/>
  <c r="CM8" i="5"/>
  <c r="CN8" i="5"/>
  <c r="CM9" i="5"/>
  <c r="CN9" i="5"/>
  <c r="CM15" i="5"/>
  <c r="CN15" i="5"/>
  <c r="CM17" i="5"/>
  <c r="CN17" i="5"/>
  <c r="CM18" i="5"/>
  <c r="CN18" i="5"/>
  <c r="CM19" i="5"/>
  <c r="CN19" i="5"/>
  <c r="CM20" i="5"/>
  <c r="CN20" i="5"/>
  <c r="CM22" i="5"/>
  <c r="CM21" i="5" s="1"/>
  <c r="CN22" i="5"/>
  <c r="CN21" i="5" s="1"/>
  <c r="CM26" i="5"/>
  <c r="CN26" i="5"/>
  <c r="CM27" i="5"/>
  <c r="CN27" i="5"/>
  <c r="CM28" i="5"/>
  <c r="CN28" i="5"/>
  <c r="CM30" i="5"/>
  <c r="CN30" i="5"/>
  <c r="CM31" i="5"/>
  <c r="CN31" i="5"/>
  <c r="CM32" i="5"/>
  <c r="CN32" i="5"/>
  <c r="CM34" i="5"/>
  <c r="CN34" i="5"/>
  <c r="CM35" i="5"/>
  <c r="CN35" i="5"/>
  <c r="CM38" i="5"/>
  <c r="CN38" i="5"/>
  <c r="CM39" i="5"/>
  <c r="CN39" i="5"/>
  <c r="CM40" i="5"/>
  <c r="CN40" i="5"/>
  <c r="CM41" i="5"/>
  <c r="CN41" i="5"/>
  <c r="CM44" i="5"/>
  <c r="CN44" i="5"/>
  <c r="CM45" i="5"/>
  <c r="CN45" i="5"/>
  <c r="CM46" i="5"/>
  <c r="CN46" i="5"/>
  <c r="CM47" i="5"/>
  <c r="CN47" i="5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AU4" i="2"/>
  <c r="AU3" i="2" s="1"/>
  <c r="AV4" i="2"/>
  <c r="AV3" i="2" s="1"/>
  <c r="AU12" i="2"/>
  <c r="AV12" i="2"/>
  <c r="AU7" i="2"/>
  <c r="AV7" i="2"/>
  <c r="AU23" i="2"/>
  <c r="AV23" i="2"/>
  <c r="AU19" i="2"/>
  <c r="AV19" i="2"/>
  <c r="AU20" i="2"/>
  <c r="AV20" i="2"/>
  <c r="AU39" i="2"/>
  <c r="AV39" i="2"/>
  <c r="AU29" i="2"/>
  <c r="AU33" i="2" s="1"/>
  <c r="AU35" i="2" s="1"/>
  <c r="AU37" i="2" s="1"/>
  <c r="AV29" i="2"/>
  <c r="AV33" i="2" s="1"/>
  <c r="AV35" i="2" s="1"/>
  <c r="AV37" i="2" s="1"/>
  <c r="AU30" i="2"/>
  <c r="AV30" i="2"/>
  <c r="AU8" i="1"/>
  <c r="AV8" i="1"/>
  <c r="AU4" i="1"/>
  <c r="AV4" i="1"/>
  <c r="AU14" i="1"/>
  <c r="AV14" i="1"/>
  <c r="AU17" i="1"/>
  <c r="AV17" i="1"/>
  <c r="AU21" i="1"/>
  <c r="AV21" i="1"/>
  <c r="AU27" i="1"/>
  <c r="AV27" i="1"/>
  <c r="AU31" i="1"/>
  <c r="AV31" i="1"/>
  <c r="AU38" i="1"/>
  <c r="AV38" i="1"/>
  <c r="AU48" i="1"/>
  <c r="AV48" i="1"/>
  <c r="AU49" i="1"/>
  <c r="AV49" i="1"/>
  <c r="AU51" i="1"/>
  <c r="AV51" i="1"/>
  <c r="BD3" i="3"/>
  <c r="BE3" i="3"/>
  <c r="BF3" i="3"/>
  <c r="BD4" i="3"/>
  <c r="BE4" i="3"/>
  <c r="BF4" i="3"/>
  <c r="BD5" i="3"/>
  <c r="BE5" i="3"/>
  <c r="BF5" i="3"/>
  <c r="BD6" i="3"/>
  <c r="BE6" i="3"/>
  <c r="BF6" i="3"/>
  <c r="BD8" i="3"/>
  <c r="BE8" i="3"/>
  <c r="BF8" i="3"/>
  <c r="BD9" i="3"/>
  <c r="BE9" i="3"/>
  <c r="BF9" i="3"/>
  <c r="BD10" i="3"/>
  <c r="BE10" i="3"/>
  <c r="BF10" i="3"/>
  <c r="BD11" i="3"/>
  <c r="BE11" i="3"/>
  <c r="BF11" i="3"/>
  <c r="BD12" i="3"/>
  <c r="BE12" i="3"/>
  <c r="BF12" i="3"/>
  <c r="BD13" i="3"/>
  <c r="BE13" i="3"/>
  <c r="BF13" i="3"/>
  <c r="BD14" i="3"/>
  <c r="BE14" i="3"/>
  <c r="BF14" i="3"/>
  <c r="BD15" i="3"/>
  <c r="BE15" i="3"/>
  <c r="BF15" i="3"/>
  <c r="BD16" i="3"/>
  <c r="BE16" i="3"/>
  <c r="BF16" i="3"/>
  <c r="BD17" i="3"/>
  <c r="BE17" i="3"/>
  <c r="BF17" i="3"/>
  <c r="BD18" i="3"/>
  <c r="BE18" i="3"/>
  <c r="BF18" i="3"/>
  <c r="BD19" i="3"/>
  <c r="BE19" i="3"/>
  <c r="BF19" i="3"/>
  <c r="BD20" i="3"/>
  <c r="BE20" i="3"/>
  <c r="BF20" i="3"/>
  <c r="BD21" i="3"/>
  <c r="BE21" i="3"/>
  <c r="BF21" i="3"/>
  <c r="BD22" i="3"/>
  <c r="BE22" i="3"/>
  <c r="BF22" i="3"/>
  <c r="BD23" i="3"/>
  <c r="BE23" i="3"/>
  <c r="BF23" i="3"/>
  <c r="BD24" i="3"/>
  <c r="BE24" i="3"/>
  <c r="BF24" i="3"/>
  <c r="BD25" i="3"/>
  <c r="BE25" i="3"/>
  <c r="BF25" i="3"/>
  <c r="BD26" i="3"/>
  <c r="BE26" i="3"/>
  <c r="BF26" i="3"/>
  <c r="BD27" i="3"/>
  <c r="BE27" i="3"/>
  <c r="BF27" i="3"/>
  <c r="BD28" i="3"/>
  <c r="BE28" i="3"/>
  <c r="BF28" i="3"/>
  <c r="BD29" i="3"/>
  <c r="BE29" i="3"/>
  <c r="BF29" i="3"/>
  <c r="BD30" i="3"/>
  <c r="BE30" i="3"/>
  <c r="BF30" i="3"/>
  <c r="BD32" i="3"/>
  <c r="BE32" i="3"/>
  <c r="BF32" i="3"/>
  <c r="BD33" i="3"/>
  <c r="BE33" i="3"/>
  <c r="BF33" i="3"/>
  <c r="BD34" i="3"/>
  <c r="BE34" i="3"/>
  <c r="BF34" i="3"/>
  <c r="BD35" i="3"/>
  <c r="BE35" i="3"/>
  <c r="BF35" i="3"/>
  <c r="BD36" i="3"/>
  <c r="BE36" i="3"/>
  <c r="BF36" i="3"/>
  <c r="BD37" i="3"/>
  <c r="BE37" i="3"/>
  <c r="BF37" i="3"/>
  <c r="BD38" i="3"/>
  <c r="BE38" i="3"/>
  <c r="BF38" i="3"/>
  <c r="BD39" i="3"/>
  <c r="BE39" i="3"/>
  <c r="BF39" i="3"/>
  <c r="DS6" i="8"/>
  <c r="DS7" i="8"/>
  <c r="DS8" i="8"/>
  <c r="DS9" i="8"/>
  <c r="DS10" i="8"/>
  <c r="DS14" i="8"/>
  <c r="DS15" i="8"/>
  <c r="DS19" i="8"/>
  <c r="DS20" i="8"/>
  <c r="DS21" i="8"/>
  <c r="DS24" i="8"/>
  <c r="DS25" i="8"/>
  <c r="DS26" i="8"/>
  <c r="DS27" i="8"/>
  <c r="CL4" i="5"/>
  <c r="CL5" i="5"/>
  <c r="CL6" i="5"/>
  <c r="CL7" i="5"/>
  <c r="CL8" i="5"/>
  <c r="CL9" i="5"/>
  <c r="CL15" i="5"/>
  <c r="CL17" i="5"/>
  <c r="CL18" i="5"/>
  <c r="CL19" i="5"/>
  <c r="CL20" i="5"/>
  <c r="CL22" i="5"/>
  <c r="CL21" i="5" s="1"/>
  <c r="CL26" i="5"/>
  <c r="CL27" i="5"/>
  <c r="CL28" i="5"/>
  <c r="CL30" i="5"/>
  <c r="CL31" i="5"/>
  <c r="CL32" i="5"/>
  <c r="CL34" i="5"/>
  <c r="CL35" i="5"/>
  <c r="CL38" i="5"/>
  <c r="CL39" i="5"/>
  <c r="CL40" i="5"/>
  <c r="CL41" i="5"/>
  <c r="CL44" i="5"/>
  <c r="CL45" i="5"/>
  <c r="CL46" i="5"/>
  <c r="CL47" i="5"/>
  <c r="AT48" i="1"/>
  <c r="AT31" i="1"/>
  <c r="AT38" i="1" s="1"/>
  <c r="AT49" i="1" s="1"/>
  <c r="AT21" i="1"/>
  <c r="AT17" i="1"/>
  <c r="AT14" i="1"/>
  <c r="AT8" i="1"/>
  <c r="AT4" i="1"/>
  <c r="AT27" i="1" s="1"/>
  <c r="AT51" i="1" s="1"/>
  <c r="AT30" i="2"/>
  <c r="AT23" i="2"/>
  <c r="AT20" i="2"/>
  <c r="AT12" i="2"/>
  <c r="AT39" i="2" s="1"/>
  <c r="AT7" i="2"/>
  <c r="AT4" i="2"/>
  <c r="AT3" i="2"/>
  <c r="AT19" i="2" s="1"/>
  <c r="AT29" i="2" s="1"/>
  <c r="AT33" i="2" s="1"/>
  <c r="AT35" i="2" s="1"/>
  <c r="AT37" i="2" s="1"/>
  <c r="DR6" i="8"/>
  <c r="DR7" i="8"/>
  <c r="DR8" i="8"/>
  <c r="DR9" i="8"/>
  <c r="DR10" i="8"/>
  <c r="DR14" i="8"/>
  <c r="DR15" i="8"/>
  <c r="DR19" i="8"/>
  <c r="DR20" i="8"/>
  <c r="DR21" i="8"/>
  <c r="DR24" i="8"/>
  <c r="DR25" i="8"/>
  <c r="DR26" i="8"/>
  <c r="DR27" i="8"/>
  <c r="CK4" i="5"/>
  <c r="CK5" i="5"/>
  <c r="CK6" i="5"/>
  <c r="CK7" i="5"/>
  <c r="CK8" i="5"/>
  <c r="CK9" i="5"/>
  <c r="CK15" i="5"/>
  <c r="CK17" i="5"/>
  <c r="CK18" i="5"/>
  <c r="CK19" i="5"/>
  <c r="CK20" i="5"/>
  <c r="CK22" i="5"/>
  <c r="CK21" i="5" s="1"/>
  <c r="CK26" i="5"/>
  <c r="CK27" i="5"/>
  <c r="CK28" i="5"/>
  <c r="CK30" i="5"/>
  <c r="CK31" i="5"/>
  <c r="CK32" i="5"/>
  <c r="CK34" i="5"/>
  <c r="CK35" i="5"/>
  <c r="CK38" i="5"/>
  <c r="CK39" i="5"/>
  <c r="CK40" i="5"/>
  <c r="CK41" i="5"/>
  <c r="CK44" i="5"/>
  <c r="CK45" i="5"/>
  <c r="CK46" i="5"/>
  <c r="CK47" i="5"/>
  <c r="AS30" i="2"/>
  <c r="AS23" i="2"/>
  <c r="AS20" i="2"/>
  <c r="AS12" i="2"/>
  <c r="AS39" i="2" s="1"/>
  <c r="AS7" i="2"/>
  <c r="AS4" i="2"/>
  <c r="AS3" i="2"/>
  <c r="AS19" i="2" s="1"/>
  <c r="AS29" i="2" s="1"/>
  <c r="AS33" i="2" s="1"/>
  <c r="AS35" i="2" s="1"/>
  <c r="AS37" i="2" s="1"/>
  <c r="AS48" i="1"/>
  <c r="AS31" i="1"/>
  <c r="AS38" i="1" s="1"/>
  <c r="AS49" i="1" s="1"/>
  <c r="AS21" i="1"/>
  <c r="AS17" i="1"/>
  <c r="AS14" i="1"/>
  <c r="AS8" i="1"/>
  <c r="AS4" i="1"/>
  <c r="AS27" i="1" s="1"/>
  <c r="AS51" i="1" s="1"/>
  <c r="DQ6" i="8"/>
  <c r="DQ7" i="8"/>
  <c r="DQ8" i="8"/>
  <c r="DQ9" i="8"/>
  <c r="DQ10" i="8"/>
  <c r="DQ14" i="8"/>
  <c r="DQ15" i="8"/>
  <c r="DQ19" i="8"/>
  <c r="DQ20" i="8"/>
  <c r="DQ21" i="8"/>
  <c r="DQ24" i="8"/>
  <c r="DQ25" i="8"/>
  <c r="DQ26" i="8"/>
  <c r="DQ27" i="8"/>
  <c r="CJ4" i="5"/>
  <c r="CJ5" i="5"/>
  <c r="CJ6" i="5"/>
  <c r="CJ7" i="5"/>
  <c r="CJ8" i="5"/>
  <c r="CJ9" i="5"/>
  <c r="CJ15" i="5"/>
  <c r="CJ17" i="5"/>
  <c r="CJ18" i="5"/>
  <c r="CJ19" i="5"/>
  <c r="CJ20" i="5"/>
  <c r="CJ22" i="5"/>
  <c r="CJ21" i="5" s="1"/>
  <c r="CJ26" i="5"/>
  <c r="CJ27" i="5"/>
  <c r="CJ28" i="5"/>
  <c r="CJ30" i="5"/>
  <c r="CJ31" i="5"/>
  <c r="CJ32" i="5"/>
  <c r="CJ34" i="5"/>
  <c r="CJ35" i="5"/>
  <c r="CJ38" i="5"/>
  <c r="CJ39" i="5"/>
  <c r="CJ40" i="5"/>
  <c r="CJ41" i="5"/>
  <c r="CJ44" i="5"/>
  <c r="CJ45" i="5"/>
  <c r="CJ46" i="5"/>
  <c r="CJ47" i="5"/>
  <c r="AR30" i="2"/>
  <c r="AR23" i="2"/>
  <c r="AR20" i="2"/>
  <c r="AR12" i="2"/>
  <c r="AR39" i="2" s="1"/>
  <c r="AR7" i="2"/>
  <c r="AR4" i="2"/>
  <c r="AR3" i="2"/>
  <c r="AR19" i="2" s="1"/>
  <c r="AR29" i="2" s="1"/>
  <c r="AR33" i="2" s="1"/>
  <c r="AR35" i="2" s="1"/>
  <c r="AR37" i="2" s="1"/>
  <c r="AR48" i="1"/>
  <c r="AR31" i="1"/>
  <c r="AR38" i="1" s="1"/>
  <c r="AR49" i="1" s="1"/>
  <c r="AR21" i="1"/>
  <c r="AR17" i="1"/>
  <c r="AR14" i="1"/>
  <c r="AR8" i="1"/>
  <c r="AR4" i="1"/>
  <c r="AR27" i="1" s="1"/>
  <c r="AR51" i="1" s="1"/>
  <c r="DN6" i="8"/>
  <c r="DO6" i="8"/>
  <c r="DP6" i="8"/>
  <c r="DN7" i="8"/>
  <c r="DO7" i="8"/>
  <c r="DP7" i="8"/>
  <c r="DN8" i="8"/>
  <c r="DO8" i="8"/>
  <c r="DP8" i="8"/>
  <c r="DN9" i="8"/>
  <c r="DO9" i="8"/>
  <c r="DP9" i="8"/>
  <c r="DN10" i="8"/>
  <c r="DO10" i="8"/>
  <c r="DP10" i="8"/>
  <c r="DN14" i="8"/>
  <c r="DO14" i="8"/>
  <c r="DP14" i="8"/>
  <c r="DN15" i="8"/>
  <c r="DO15" i="8"/>
  <c r="DP15" i="8"/>
  <c r="DN19" i="8"/>
  <c r="DO19" i="8"/>
  <c r="DP19" i="8"/>
  <c r="DN20" i="8"/>
  <c r="DO20" i="8"/>
  <c r="DP20" i="8"/>
  <c r="DN21" i="8"/>
  <c r="DO21" i="8"/>
  <c r="DP21" i="8"/>
  <c r="DN24" i="8"/>
  <c r="DO24" i="8"/>
  <c r="DP24" i="8"/>
  <c r="DN25" i="8"/>
  <c r="DO25" i="8"/>
  <c r="DP25" i="8"/>
  <c r="DN26" i="8"/>
  <c r="DO26" i="8"/>
  <c r="DP26" i="8"/>
  <c r="DN27" i="8"/>
  <c r="DO27" i="8"/>
  <c r="DP27" i="8"/>
  <c r="CG4" i="5"/>
  <c r="CH4" i="5"/>
  <c r="CI4" i="5"/>
  <c r="CG5" i="5"/>
  <c r="CH5" i="5"/>
  <c r="CI5" i="5"/>
  <c r="CG6" i="5"/>
  <c r="CH6" i="5"/>
  <c r="CI6" i="5"/>
  <c r="CG7" i="5"/>
  <c r="CH7" i="5"/>
  <c r="CI7" i="5"/>
  <c r="CG8" i="5"/>
  <c r="CH8" i="5"/>
  <c r="CI8" i="5"/>
  <c r="CG9" i="5"/>
  <c r="CH9" i="5"/>
  <c r="CI9" i="5"/>
  <c r="CG15" i="5"/>
  <c r="CH15" i="5"/>
  <c r="CI15" i="5"/>
  <c r="CG17" i="5"/>
  <c r="CH17" i="5"/>
  <c r="CI17" i="5"/>
  <c r="CG18" i="5"/>
  <c r="CH18" i="5"/>
  <c r="CI18" i="5"/>
  <c r="CG19" i="5"/>
  <c r="CH19" i="5"/>
  <c r="CI19" i="5"/>
  <c r="CG20" i="5"/>
  <c r="CH20" i="5"/>
  <c r="CI20" i="5"/>
  <c r="CG22" i="5"/>
  <c r="CG21" i="5" s="1"/>
  <c r="CH22" i="5"/>
  <c r="CH21" i="5" s="1"/>
  <c r="CI22" i="5"/>
  <c r="CI21" i="5" s="1"/>
  <c r="CG26" i="5"/>
  <c r="CH26" i="5"/>
  <c r="CI26" i="5"/>
  <c r="CG27" i="5"/>
  <c r="CH27" i="5"/>
  <c r="CI27" i="5"/>
  <c r="CG28" i="5"/>
  <c r="CH28" i="5"/>
  <c r="CI28" i="5"/>
  <c r="CG30" i="5"/>
  <c r="CH30" i="5"/>
  <c r="CI30" i="5"/>
  <c r="CG31" i="5"/>
  <c r="CH31" i="5"/>
  <c r="CI31" i="5"/>
  <c r="CG32" i="5"/>
  <c r="CH32" i="5"/>
  <c r="CI32" i="5"/>
  <c r="CG34" i="5"/>
  <c r="CH34" i="5"/>
  <c r="CI34" i="5"/>
  <c r="CG35" i="5"/>
  <c r="CH35" i="5"/>
  <c r="CI35" i="5"/>
  <c r="CG38" i="5"/>
  <c r="CH38" i="5"/>
  <c r="CI38" i="5"/>
  <c r="CG39" i="5"/>
  <c r="CH39" i="5"/>
  <c r="CI39" i="5"/>
  <c r="CG40" i="5"/>
  <c r="CH40" i="5"/>
  <c r="CI40" i="5"/>
  <c r="CG41" i="5"/>
  <c r="CH41" i="5"/>
  <c r="CI41" i="5"/>
  <c r="CG44" i="5"/>
  <c r="CH44" i="5"/>
  <c r="CI44" i="5"/>
  <c r="CG45" i="5"/>
  <c r="CH45" i="5"/>
  <c r="CI45" i="5"/>
  <c r="CG46" i="5"/>
  <c r="CH46" i="5"/>
  <c r="CI46" i="5"/>
  <c r="CG47" i="5"/>
  <c r="CH47" i="5"/>
  <c r="CI47" i="5"/>
  <c r="AO48" i="1"/>
  <c r="AP48" i="1"/>
  <c r="AQ48" i="1"/>
  <c r="AO31" i="1"/>
  <c r="AO38" i="1" s="1"/>
  <c r="AO49" i="1" s="1"/>
  <c r="AP31" i="1"/>
  <c r="AP38" i="1" s="1"/>
  <c r="AP49" i="1" s="1"/>
  <c r="AQ31" i="1"/>
  <c r="AQ38" i="1" s="1"/>
  <c r="AQ49" i="1" s="1"/>
  <c r="AO21" i="1"/>
  <c r="AP21" i="1"/>
  <c r="AQ21" i="1"/>
  <c r="AO17" i="1"/>
  <c r="AP17" i="1"/>
  <c r="AQ17" i="1"/>
  <c r="AO14" i="1"/>
  <c r="AP14" i="1"/>
  <c r="AQ14" i="1"/>
  <c r="AO8" i="1"/>
  <c r="AP8" i="1"/>
  <c r="AQ8" i="1"/>
  <c r="AO4" i="1"/>
  <c r="AO27" i="1" s="1"/>
  <c r="AO51" i="1" s="1"/>
  <c r="AP4" i="1"/>
  <c r="AP27" i="1" s="1"/>
  <c r="AP51" i="1" s="1"/>
  <c r="AQ4" i="1"/>
  <c r="AQ27" i="1" s="1"/>
  <c r="AQ51" i="1" s="1"/>
  <c r="AO30" i="2"/>
  <c r="AP30" i="2"/>
  <c r="AQ30" i="2"/>
  <c r="AO23" i="2"/>
  <c r="AP23" i="2"/>
  <c r="AQ23" i="2"/>
  <c r="AO20" i="2"/>
  <c r="AP20" i="2"/>
  <c r="AQ20" i="2"/>
  <c r="AO12" i="2"/>
  <c r="AO39" i="2" s="1"/>
  <c r="AP12" i="2"/>
  <c r="AP39" i="2" s="1"/>
  <c r="AQ12" i="2"/>
  <c r="AQ39" i="2" s="1"/>
  <c r="AO7" i="2"/>
  <c r="AP7" i="2"/>
  <c r="AQ7" i="2"/>
  <c r="AO4" i="2"/>
  <c r="AP4" i="2"/>
  <c r="AQ4" i="2"/>
  <c r="AO3" i="2"/>
  <c r="AO19" i="2" s="1"/>
  <c r="AO29" i="2" s="1"/>
  <c r="AO33" i="2" s="1"/>
  <c r="AO35" i="2" s="1"/>
  <c r="AO37" i="2" s="1"/>
  <c r="AP3" i="2"/>
  <c r="AP19" i="2" s="1"/>
  <c r="AP29" i="2" s="1"/>
  <c r="AP33" i="2" s="1"/>
  <c r="AP35" i="2" s="1"/>
  <c r="AP37" i="2" s="1"/>
  <c r="AQ3" i="2"/>
  <c r="AQ19" i="2" s="1"/>
  <c r="AQ29" i="2" s="1"/>
  <c r="AQ33" i="2" s="1"/>
  <c r="AQ35" i="2" s="1"/>
  <c r="AQ37" i="2" s="1"/>
  <c r="AN35" i="2"/>
  <c r="DM14" i="8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BT22" i="5"/>
  <c r="BT21" i="5" s="1"/>
  <c r="BU22" i="5"/>
  <c r="BU21" i="5" s="1"/>
  <c r="BV22" i="5"/>
  <c r="BV21" i="5" s="1"/>
  <c r="BW22" i="5"/>
  <c r="BW21" i="5" s="1"/>
  <c r="BX22" i="5"/>
  <c r="BX21" i="5" s="1"/>
  <c r="BY22" i="5"/>
  <c r="BY21" i="5" s="1"/>
  <c r="BZ22" i="5"/>
  <c r="BZ21" i="5" s="1"/>
  <c r="CA22" i="5"/>
  <c r="CA21" i="5" s="1"/>
  <c r="CB22" i="5"/>
  <c r="CB21" i="5" s="1"/>
  <c r="CC22" i="5"/>
  <c r="CC21" i="5" s="1"/>
  <c r="CD22" i="5"/>
  <c r="CD21" i="5" s="1"/>
  <c r="CE22" i="5"/>
  <c r="CE21" i="5" s="1"/>
  <c r="CF22" i="5"/>
  <c r="CF21" i="5" s="1"/>
  <c r="BT26" i="5"/>
  <c r="BU26" i="5"/>
  <c r="BV26" i="5"/>
  <c r="BW26" i="5"/>
  <c r="BX26" i="5"/>
  <c r="BY26" i="5"/>
  <c r="BZ26" i="5"/>
  <c r="CA26" i="5"/>
  <c r="CB26" i="5"/>
  <c r="CC26" i="5"/>
  <c r="CD26" i="5"/>
  <c r="CE26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BW6" i="5"/>
  <c r="BX6" i="5"/>
  <c r="BY6" i="5"/>
  <c r="BZ6" i="5"/>
  <c r="CA6" i="5"/>
  <c r="CB6" i="5"/>
  <c r="CC6" i="5"/>
  <c r="CD6" i="5"/>
  <c r="CE6" i="5"/>
  <c r="CF6" i="5"/>
  <c r="BW7" i="5"/>
  <c r="BX7" i="5"/>
  <c r="BY7" i="5"/>
  <c r="BZ7" i="5"/>
  <c r="CA7" i="5"/>
  <c r="CB7" i="5"/>
  <c r="CC7" i="5"/>
  <c r="CD7" i="5"/>
  <c r="CE7" i="5"/>
  <c r="CF7" i="5"/>
  <c r="BW8" i="5"/>
  <c r="BX8" i="5"/>
  <c r="BY8" i="5"/>
  <c r="BZ8" i="5"/>
  <c r="CA8" i="5"/>
  <c r="CB8" i="5"/>
  <c r="CC8" i="5"/>
  <c r="CD8" i="5"/>
  <c r="CE8" i="5"/>
  <c r="CF8" i="5"/>
  <c r="BW9" i="5"/>
  <c r="BX9" i="5"/>
  <c r="BY9" i="5"/>
  <c r="BZ9" i="5"/>
  <c r="CA9" i="5"/>
  <c r="CB9" i="5"/>
  <c r="CC9" i="5"/>
  <c r="CD9" i="5"/>
  <c r="CE9" i="5"/>
  <c r="BW15" i="5"/>
  <c r="BX15" i="5"/>
  <c r="BY15" i="5"/>
  <c r="BZ15" i="5"/>
  <c r="CA15" i="5"/>
  <c r="CB15" i="5"/>
  <c r="CC15" i="5"/>
  <c r="CD15" i="5"/>
  <c r="CE15" i="5"/>
  <c r="CF15" i="5"/>
  <c r="BW17" i="5"/>
  <c r="BX17" i="5"/>
  <c r="BY17" i="5"/>
  <c r="BZ17" i="5"/>
  <c r="CA17" i="5"/>
  <c r="CB17" i="5"/>
  <c r="CC17" i="5"/>
  <c r="CD17" i="5"/>
  <c r="CE17" i="5"/>
  <c r="BW18" i="5"/>
  <c r="BX18" i="5"/>
  <c r="BY18" i="5"/>
  <c r="BZ18" i="5"/>
  <c r="CA18" i="5"/>
  <c r="CB18" i="5"/>
  <c r="CC18" i="5"/>
  <c r="CD18" i="5"/>
  <c r="CE18" i="5"/>
  <c r="BT6" i="5"/>
  <c r="BU6" i="5"/>
  <c r="BV6" i="5"/>
  <c r="BT7" i="5"/>
  <c r="BU7" i="5"/>
  <c r="BV7" i="5"/>
  <c r="BT8" i="5"/>
  <c r="BU8" i="5"/>
  <c r="BV8" i="5"/>
  <c r="BV9" i="5"/>
  <c r="BT15" i="5"/>
  <c r="BU15" i="5"/>
  <c r="BV15" i="5"/>
  <c r="BT17" i="5"/>
  <c r="BU17" i="5"/>
  <c r="BV17" i="5"/>
  <c r="BT18" i="5"/>
  <c r="BU18" i="5"/>
  <c r="BV18" i="5"/>
  <c r="AN44" i="1"/>
  <c r="CF20" i="5" s="1"/>
  <c r="AN42" i="1"/>
  <c r="CF18" i="5" s="1"/>
  <c r="AN41" i="1"/>
  <c r="CF17" i="5" s="1"/>
  <c r="AN33" i="1"/>
  <c r="AN36" i="1"/>
  <c r="AN12" i="1"/>
  <c r="AN13" i="1"/>
  <c r="AN15" i="1"/>
  <c r="CF31" i="5" s="1"/>
  <c r="CF41" i="5" s="1"/>
  <c r="AN5" i="1"/>
  <c r="AN6" i="1" s="1"/>
  <c r="AN21" i="1"/>
  <c r="CF34" i="5" s="1"/>
  <c r="AN31" i="1"/>
  <c r="CF5" i="5" s="1"/>
  <c r="AN38" i="1"/>
  <c r="AN48" i="1"/>
  <c r="AN49" i="1"/>
  <c r="AN4" i="1"/>
  <c r="AN8" i="1"/>
  <c r="AN14" i="1"/>
  <c r="CF30" i="5" s="1"/>
  <c r="AN17" i="1"/>
  <c r="AN28" i="2"/>
  <c r="AN9" i="2"/>
  <c r="AN23" i="2"/>
  <c r="AN30" i="2"/>
  <c r="AN4" i="2"/>
  <c r="AN7" i="2"/>
  <c r="AN12" i="2"/>
  <c r="AN39" i="2" s="1"/>
  <c r="AN20" i="2"/>
  <c r="AB4" i="1"/>
  <c r="AC4" i="1"/>
  <c r="AD4" i="1"/>
  <c r="AE4" i="1"/>
  <c r="AF4" i="1"/>
  <c r="AG4" i="1"/>
  <c r="AH4" i="1"/>
  <c r="AI4" i="1"/>
  <c r="AJ4" i="1"/>
  <c r="AK4" i="1"/>
  <c r="AL4" i="1"/>
  <c r="AM4" i="1"/>
  <c r="AB8" i="1"/>
  <c r="AC8" i="1"/>
  <c r="AD8" i="1"/>
  <c r="AE8" i="1"/>
  <c r="AF8" i="1"/>
  <c r="AG8" i="1"/>
  <c r="AH8" i="1"/>
  <c r="AI8" i="1"/>
  <c r="AJ8" i="1"/>
  <c r="AK8" i="1"/>
  <c r="AL8" i="1"/>
  <c r="AM8" i="1"/>
  <c r="AB14" i="1"/>
  <c r="BT30" i="5" s="1"/>
  <c r="AC14" i="1"/>
  <c r="BU30" i="5" s="1"/>
  <c r="AD14" i="1"/>
  <c r="BV30" i="5" s="1"/>
  <c r="AE14" i="1"/>
  <c r="BW30" i="5" s="1"/>
  <c r="AF14" i="1"/>
  <c r="BX30" i="5" s="1"/>
  <c r="AG14" i="1"/>
  <c r="BY30" i="5" s="1"/>
  <c r="AH14" i="1"/>
  <c r="BZ30" i="5" s="1"/>
  <c r="AI14" i="1"/>
  <c r="CA30" i="5" s="1"/>
  <c r="AJ14" i="1"/>
  <c r="CB30" i="5" s="1"/>
  <c r="AK14" i="1"/>
  <c r="CC30" i="5" s="1"/>
  <c r="AL14" i="1"/>
  <c r="CD30" i="5" s="1"/>
  <c r="AM14" i="1"/>
  <c r="CE30" i="5" s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B21" i="1"/>
  <c r="BT34" i="5" s="1"/>
  <c r="AC21" i="1"/>
  <c r="BU34" i="5" s="1"/>
  <c r="AD21" i="1"/>
  <c r="BV34" i="5" s="1"/>
  <c r="AE21" i="1"/>
  <c r="BW34" i="5" s="1"/>
  <c r="AF21" i="1"/>
  <c r="BX34" i="5" s="1"/>
  <c r="AG21" i="1"/>
  <c r="BY34" i="5" s="1"/>
  <c r="AH21" i="1"/>
  <c r="BZ34" i="5" s="1"/>
  <c r="AI21" i="1"/>
  <c r="CA34" i="5" s="1"/>
  <c r="AJ21" i="1"/>
  <c r="CB34" i="5" s="1"/>
  <c r="AK21" i="1"/>
  <c r="CC34" i="5" s="1"/>
  <c r="AL21" i="1"/>
  <c r="CD34" i="5" s="1"/>
  <c r="AM21" i="1"/>
  <c r="CE34" i="5" s="1"/>
  <c r="AB27" i="1"/>
  <c r="BT4" i="5" s="1"/>
  <c r="AC27" i="1"/>
  <c r="BU4" i="5" s="1"/>
  <c r="AD27" i="1"/>
  <c r="BV4" i="5" s="1"/>
  <c r="AE27" i="1"/>
  <c r="BW4" i="5" s="1"/>
  <c r="AF27" i="1"/>
  <c r="BX4" i="5" s="1"/>
  <c r="AG27" i="1"/>
  <c r="BY4" i="5" s="1"/>
  <c r="AH27" i="1"/>
  <c r="BZ4" i="5" s="1"/>
  <c r="AI27" i="1"/>
  <c r="CA4" i="5" s="1"/>
  <c r="AJ27" i="1"/>
  <c r="CB4" i="5" s="1"/>
  <c r="AK27" i="1"/>
  <c r="CC4" i="5" s="1"/>
  <c r="AL27" i="1"/>
  <c r="CD4" i="5" s="1"/>
  <c r="AM27" i="1"/>
  <c r="CE4" i="5" s="1"/>
  <c r="AB31" i="1"/>
  <c r="BT5" i="5" s="1"/>
  <c r="DA24" i="8" s="1"/>
  <c r="AC31" i="1"/>
  <c r="BU5" i="5" s="1"/>
  <c r="DB24" i="8" s="1"/>
  <c r="AD31" i="1"/>
  <c r="BV5" i="5" s="1"/>
  <c r="DC24" i="8" s="1"/>
  <c r="AE31" i="1"/>
  <c r="BW5" i="5" s="1"/>
  <c r="DD24" i="8" s="1"/>
  <c r="AF31" i="1"/>
  <c r="BX5" i="5" s="1"/>
  <c r="DE24" i="8" s="1"/>
  <c r="AG31" i="1"/>
  <c r="BY5" i="5" s="1"/>
  <c r="DF24" i="8" s="1"/>
  <c r="AH31" i="1"/>
  <c r="BZ5" i="5" s="1"/>
  <c r="DG24" i="8" s="1"/>
  <c r="AI31" i="1"/>
  <c r="CA5" i="5" s="1"/>
  <c r="DH24" i="8" s="1"/>
  <c r="AJ31" i="1"/>
  <c r="CB5" i="5" s="1"/>
  <c r="DI24" i="8" s="1"/>
  <c r="AK31" i="1"/>
  <c r="CC5" i="5" s="1"/>
  <c r="DJ24" i="8" s="1"/>
  <c r="AL31" i="1"/>
  <c r="CD5" i="5" s="1"/>
  <c r="DK24" i="8" s="1"/>
  <c r="AM31" i="1"/>
  <c r="CE5" i="5" s="1"/>
  <c r="DL24" i="8" s="1"/>
  <c r="AB36" i="1"/>
  <c r="BT9" i="5" s="1"/>
  <c r="AC36" i="1"/>
  <c r="BU9" i="5" s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B4" i="2"/>
  <c r="AC4" i="2"/>
  <c r="AD4" i="2"/>
  <c r="AE4" i="2"/>
  <c r="AF4" i="2"/>
  <c r="AG4" i="2"/>
  <c r="AH4" i="2"/>
  <c r="AI4" i="2"/>
  <c r="AJ4" i="2"/>
  <c r="AK4" i="2"/>
  <c r="AL4" i="2"/>
  <c r="AM4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A26" i="2"/>
  <c r="AA27" i="2"/>
  <c r="AA28" i="2"/>
  <c r="CN43" i="5" l="1"/>
  <c r="CM43" i="5"/>
  <c r="CN37" i="5"/>
  <c r="CM37" i="5"/>
  <c r="CN25" i="5"/>
  <c r="CM25" i="5"/>
  <c r="CN14" i="5"/>
  <c r="CN11" i="5" s="1"/>
  <c r="CN12" i="5" s="1"/>
  <c r="CM14" i="5"/>
  <c r="CM11" i="5" s="1"/>
  <c r="CM12" i="5" s="1"/>
  <c r="CL43" i="5"/>
  <c r="CL37" i="5"/>
  <c r="CL25" i="5"/>
  <c r="CL14" i="5"/>
  <c r="CL11" i="5" s="1"/>
  <c r="CL12" i="5" s="1"/>
  <c r="CK43" i="5"/>
  <c r="CK37" i="5"/>
  <c r="CK25" i="5"/>
  <c r="CK14" i="5"/>
  <c r="CK11" i="5" s="1"/>
  <c r="CK12" i="5" s="1"/>
  <c r="CJ43" i="5"/>
  <c r="CJ37" i="5"/>
  <c r="CJ25" i="5"/>
  <c r="CJ14" i="5"/>
  <c r="CJ11" i="5" s="1"/>
  <c r="CJ12" i="5" s="1"/>
  <c r="CI43" i="5"/>
  <c r="CH43" i="5"/>
  <c r="CG43" i="5"/>
  <c r="CI37" i="5"/>
  <c r="CH37" i="5"/>
  <c r="CG37" i="5"/>
  <c r="CI25" i="5"/>
  <c r="CH25" i="5"/>
  <c r="CG25" i="5"/>
  <c r="CI14" i="5"/>
  <c r="CI11" i="5" s="1"/>
  <c r="CI12" i="5" s="1"/>
  <c r="CH14" i="5"/>
  <c r="CH11" i="5" s="1"/>
  <c r="CH12" i="5" s="1"/>
  <c r="CG14" i="5"/>
  <c r="CG11" i="5" s="1"/>
  <c r="CG12" i="5" s="1"/>
  <c r="DK14" i="8"/>
  <c r="DJ14" i="8"/>
  <c r="DI14" i="8"/>
  <c r="DH14" i="8"/>
  <c r="DG14" i="8"/>
  <c r="DF14" i="8"/>
  <c r="DE14" i="8"/>
  <c r="DD14" i="8"/>
  <c r="DC14" i="8"/>
  <c r="DB14" i="8"/>
  <c r="DA14" i="8"/>
  <c r="CZ14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F26" i="5"/>
  <c r="CF27" i="5"/>
  <c r="CF9" i="5"/>
  <c r="DC9" i="8"/>
  <c r="DB9" i="8"/>
  <c r="DA9" i="8"/>
  <c r="DC27" i="8"/>
  <c r="DB27" i="8"/>
  <c r="DA27" i="8"/>
  <c r="DC26" i="8"/>
  <c r="DB26" i="8"/>
  <c r="DA26" i="8"/>
  <c r="DC25" i="8"/>
  <c r="DB25" i="8"/>
  <c r="DA25" i="8"/>
  <c r="DL9" i="8"/>
  <c r="DK9" i="8"/>
  <c r="DJ9" i="8"/>
  <c r="DI9" i="8"/>
  <c r="DH9" i="8"/>
  <c r="DG9" i="8"/>
  <c r="DF9" i="8"/>
  <c r="DE9" i="8"/>
  <c r="DD9" i="8"/>
  <c r="DL27" i="8"/>
  <c r="DK27" i="8"/>
  <c r="DJ27" i="8"/>
  <c r="DI27" i="8"/>
  <c r="DH27" i="8"/>
  <c r="DG27" i="8"/>
  <c r="DF27" i="8"/>
  <c r="DE27" i="8"/>
  <c r="DD27" i="8"/>
  <c r="DL26" i="8"/>
  <c r="DK26" i="8"/>
  <c r="DJ26" i="8"/>
  <c r="DI26" i="8"/>
  <c r="DH26" i="8"/>
  <c r="DG26" i="8"/>
  <c r="DF26" i="8"/>
  <c r="DE26" i="8"/>
  <c r="DD26" i="8"/>
  <c r="DL25" i="8"/>
  <c r="DK25" i="8"/>
  <c r="DJ25" i="8"/>
  <c r="DI25" i="8"/>
  <c r="DH25" i="8"/>
  <c r="DG25" i="8"/>
  <c r="DF25" i="8"/>
  <c r="DE25" i="8"/>
  <c r="DD2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CF14" i="5"/>
  <c r="CF11" i="5" s="1"/>
  <c r="CE14" i="5"/>
  <c r="CE11" i="5" s="1"/>
  <c r="CD14" i="5"/>
  <c r="CD11" i="5" s="1"/>
  <c r="CC14" i="5"/>
  <c r="CC11" i="5" s="1"/>
  <c r="CB14" i="5"/>
  <c r="CB11" i="5" s="1"/>
  <c r="CA14" i="5"/>
  <c r="CA11" i="5" s="1"/>
  <c r="BZ14" i="5"/>
  <c r="BZ11" i="5" s="1"/>
  <c r="BY14" i="5"/>
  <c r="BY11" i="5" s="1"/>
  <c r="BX14" i="5"/>
  <c r="BX11" i="5" s="1"/>
  <c r="BW14" i="5"/>
  <c r="BW11" i="5" s="1"/>
  <c r="BV14" i="5"/>
  <c r="BV11" i="5" s="1"/>
  <c r="BU14" i="5"/>
  <c r="BU11" i="5" s="1"/>
  <c r="BT14" i="5"/>
  <c r="BT11" i="5" s="1"/>
  <c r="AN27" i="1"/>
  <c r="AN3" i="2"/>
  <c r="AN19" i="2" s="1"/>
  <c r="AN29" i="2" s="1"/>
  <c r="AN33" i="2" s="1"/>
  <c r="AN37" i="2" s="1"/>
  <c r="AM23" i="2"/>
  <c r="AM39" i="2" s="1"/>
  <c r="AL23" i="2"/>
  <c r="AL39" i="2" s="1"/>
  <c r="AK23" i="2"/>
  <c r="AK39" i="2" s="1"/>
  <c r="AJ23" i="2"/>
  <c r="AJ39" i="2" s="1"/>
  <c r="AI23" i="2"/>
  <c r="AI39" i="2" s="1"/>
  <c r="AH23" i="2"/>
  <c r="AH39" i="2" s="1"/>
  <c r="AG23" i="2"/>
  <c r="AG39" i="2" s="1"/>
  <c r="AF23" i="2"/>
  <c r="AF39" i="2" s="1"/>
  <c r="AE23" i="2"/>
  <c r="AE39" i="2" s="1"/>
  <c r="AD23" i="2"/>
  <c r="AD39" i="2" s="1"/>
  <c r="AC23" i="2"/>
  <c r="AC39" i="2" s="1"/>
  <c r="AB23" i="2"/>
  <c r="AB39" i="2" s="1"/>
  <c r="AM7" i="2"/>
  <c r="AL7" i="2"/>
  <c r="AK7" i="2"/>
  <c r="AJ7" i="2"/>
  <c r="AI7" i="2"/>
  <c r="AH7" i="2"/>
  <c r="AG7" i="2"/>
  <c r="AF7" i="2"/>
  <c r="AE7" i="2"/>
  <c r="AD7" i="2"/>
  <c r="AC7" i="2"/>
  <c r="AB7" i="2"/>
  <c r="AM3" i="2"/>
  <c r="AM19" i="2" s="1"/>
  <c r="AM29" i="2" s="1"/>
  <c r="AM33" i="2" s="1"/>
  <c r="AM35" i="2" s="1"/>
  <c r="AM37" i="2" s="1"/>
  <c r="AL3" i="2"/>
  <c r="AL19" i="2" s="1"/>
  <c r="AL29" i="2" s="1"/>
  <c r="AL33" i="2" s="1"/>
  <c r="AL35" i="2" s="1"/>
  <c r="AL37" i="2" s="1"/>
  <c r="AK3" i="2"/>
  <c r="AK19" i="2" s="1"/>
  <c r="AK29" i="2" s="1"/>
  <c r="AK33" i="2" s="1"/>
  <c r="AK35" i="2" s="1"/>
  <c r="AK37" i="2" s="1"/>
  <c r="AJ3" i="2"/>
  <c r="AJ19" i="2" s="1"/>
  <c r="AJ29" i="2" s="1"/>
  <c r="AJ33" i="2" s="1"/>
  <c r="AJ35" i="2" s="1"/>
  <c r="AJ37" i="2" s="1"/>
  <c r="AI3" i="2"/>
  <c r="AI19" i="2" s="1"/>
  <c r="AI29" i="2" s="1"/>
  <c r="AI33" i="2" s="1"/>
  <c r="AI35" i="2" s="1"/>
  <c r="AI37" i="2" s="1"/>
  <c r="AH3" i="2"/>
  <c r="AH19" i="2" s="1"/>
  <c r="AH29" i="2" s="1"/>
  <c r="AH33" i="2" s="1"/>
  <c r="AH35" i="2" s="1"/>
  <c r="AH37" i="2" s="1"/>
  <c r="AG3" i="2"/>
  <c r="AG19" i="2" s="1"/>
  <c r="AG29" i="2" s="1"/>
  <c r="AG33" i="2" s="1"/>
  <c r="AG35" i="2" s="1"/>
  <c r="AG37" i="2" s="1"/>
  <c r="AF3" i="2"/>
  <c r="AF19" i="2" s="1"/>
  <c r="AF29" i="2" s="1"/>
  <c r="AF33" i="2" s="1"/>
  <c r="AF35" i="2" s="1"/>
  <c r="AF37" i="2" s="1"/>
  <c r="AE3" i="2"/>
  <c r="AE19" i="2" s="1"/>
  <c r="AE29" i="2" s="1"/>
  <c r="AE33" i="2" s="1"/>
  <c r="AE35" i="2" s="1"/>
  <c r="AE37" i="2" s="1"/>
  <c r="AD3" i="2"/>
  <c r="AD19" i="2" s="1"/>
  <c r="AD29" i="2" s="1"/>
  <c r="AD33" i="2" s="1"/>
  <c r="AD35" i="2" s="1"/>
  <c r="AD37" i="2" s="1"/>
  <c r="AC3" i="2"/>
  <c r="AC19" i="2" s="1"/>
  <c r="AC29" i="2" s="1"/>
  <c r="AC33" i="2" s="1"/>
  <c r="AC35" i="2" s="1"/>
  <c r="AC37" i="2" s="1"/>
  <c r="AB3" i="2"/>
  <c r="AB19" i="2" s="1"/>
  <c r="AB29" i="2" s="1"/>
  <c r="AB33" i="2" s="1"/>
  <c r="AB35" i="2" s="1"/>
  <c r="AB37" i="2" s="1"/>
  <c r="AA42" i="1"/>
  <c r="AA36" i="1"/>
  <c r="AA12" i="1"/>
  <c r="AA13" i="1"/>
  <c r="AA15" i="1"/>
  <c r="AA6" i="1"/>
  <c r="AA11" i="2"/>
  <c r="AA9" i="2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G22" i="5"/>
  <c r="BG21" i="5" s="1"/>
  <c r="BH22" i="5"/>
  <c r="BH21" i="5" s="1"/>
  <c r="BI22" i="5"/>
  <c r="BI21" i="5" s="1"/>
  <c r="BJ22" i="5"/>
  <c r="BJ21" i="5" s="1"/>
  <c r="BK22" i="5"/>
  <c r="BK21" i="5" s="1"/>
  <c r="BL22" i="5"/>
  <c r="BL21" i="5" s="1"/>
  <c r="BM22" i="5"/>
  <c r="BM21" i="5" s="1"/>
  <c r="BN22" i="5"/>
  <c r="BN21" i="5" s="1"/>
  <c r="BO22" i="5"/>
  <c r="BO21" i="5" s="1"/>
  <c r="BP22" i="5"/>
  <c r="BP21" i="5" s="1"/>
  <c r="BQ22" i="5"/>
  <c r="BQ21" i="5" s="1"/>
  <c r="BR22" i="5"/>
  <c r="BR21" i="5" s="1"/>
  <c r="BS22" i="5"/>
  <c r="BS21" i="5" s="1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G38" i="5"/>
  <c r="BH38" i="5"/>
  <c r="BI38" i="5"/>
  <c r="BJ38" i="5"/>
  <c r="BK38" i="5"/>
  <c r="BL38" i="5"/>
  <c r="BM38" i="5"/>
  <c r="BN38" i="5"/>
  <c r="BO38" i="5"/>
  <c r="BO41" i="5" s="1"/>
  <c r="BP38" i="5"/>
  <c r="BQ38" i="5"/>
  <c r="BQ41" i="5" s="1"/>
  <c r="BR38" i="5"/>
  <c r="BS38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G41" i="5"/>
  <c r="BH41" i="5"/>
  <c r="BI41" i="5"/>
  <c r="BJ41" i="5"/>
  <c r="BK41" i="5"/>
  <c r="BL41" i="5"/>
  <c r="BM41" i="5"/>
  <c r="BN41" i="5"/>
  <c r="BR41" i="5"/>
  <c r="BS41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X4" i="2"/>
  <c r="Y4" i="2"/>
  <c r="Z4" i="2"/>
  <c r="AA4" i="2"/>
  <c r="X7" i="2"/>
  <c r="BP39" i="5" s="1"/>
  <c r="Y7" i="2"/>
  <c r="BQ39" i="5" s="1"/>
  <c r="Z7" i="2"/>
  <c r="BR39" i="5" s="1"/>
  <c r="AA7" i="2"/>
  <c r="BS39" i="5" s="1"/>
  <c r="X12" i="2"/>
  <c r="Y12" i="2"/>
  <c r="Z12" i="2"/>
  <c r="AA12" i="2"/>
  <c r="X20" i="2"/>
  <c r="Y20" i="2"/>
  <c r="Z20" i="2"/>
  <c r="AA20" i="2"/>
  <c r="X23" i="2"/>
  <c r="BP47" i="5" s="1"/>
  <c r="Y23" i="2"/>
  <c r="BQ47" i="5" s="1"/>
  <c r="Z23" i="2"/>
  <c r="BR47" i="5" s="1"/>
  <c r="AA23" i="2"/>
  <c r="BS47" i="5" s="1"/>
  <c r="X30" i="2"/>
  <c r="Y30" i="2"/>
  <c r="Z30" i="2"/>
  <c r="AA30" i="2"/>
  <c r="X39" i="2"/>
  <c r="Y39" i="2"/>
  <c r="Z39" i="2"/>
  <c r="AA39" i="2"/>
  <c r="W4" i="2"/>
  <c r="W7" i="2"/>
  <c r="BO39" i="5" s="1"/>
  <c r="W12" i="2"/>
  <c r="W20" i="2"/>
  <c r="W23" i="2"/>
  <c r="W39" i="2" s="1"/>
  <c r="W30" i="2"/>
  <c r="X4" i="1"/>
  <c r="Y4" i="1"/>
  <c r="Z4" i="1"/>
  <c r="AA4" i="1"/>
  <c r="X8" i="1"/>
  <c r="Y8" i="1"/>
  <c r="Z8" i="1"/>
  <c r="AA8" i="1"/>
  <c r="X14" i="1"/>
  <c r="BP30" i="5" s="1"/>
  <c r="Y14" i="1"/>
  <c r="BQ30" i="5" s="1"/>
  <c r="Z14" i="1"/>
  <c r="BR30" i="5" s="1"/>
  <c r="AA14" i="1"/>
  <c r="BS30" i="5" s="1"/>
  <c r="X17" i="1"/>
  <c r="Y17" i="1"/>
  <c r="Z17" i="1"/>
  <c r="AA17" i="1"/>
  <c r="X21" i="1"/>
  <c r="BP34" i="5" s="1"/>
  <c r="Y21" i="1"/>
  <c r="BQ34" i="5" s="1"/>
  <c r="Z21" i="1"/>
  <c r="BR34" i="5" s="1"/>
  <c r="AA21" i="1"/>
  <c r="BS34" i="5" s="1"/>
  <c r="AA27" i="1"/>
  <c r="X31" i="1"/>
  <c r="X38" i="1" s="1"/>
  <c r="Y31" i="1"/>
  <c r="Y38" i="1" s="1"/>
  <c r="Z31" i="1"/>
  <c r="Z38" i="1" s="1"/>
  <c r="AA31" i="1"/>
  <c r="BS5" i="5" s="1"/>
  <c r="AA38" i="1"/>
  <c r="X48" i="1"/>
  <c r="Y48" i="1"/>
  <c r="Z48" i="1"/>
  <c r="AA48" i="1"/>
  <c r="AA49" i="1"/>
  <c r="AA51" i="1"/>
  <c r="W4" i="1"/>
  <c r="W8" i="1"/>
  <c r="W14" i="1"/>
  <c r="BO30" i="5" s="1"/>
  <c r="W17" i="1"/>
  <c r="W21" i="1"/>
  <c r="BO34" i="5" s="1"/>
  <c r="W27" i="1"/>
  <c r="CU14" i="8" s="1"/>
  <c r="W31" i="1"/>
  <c r="BO5" i="5" s="1"/>
  <c r="W38" i="1"/>
  <c r="W48" i="1"/>
  <c r="V4" i="1"/>
  <c r="V8" i="1"/>
  <c r="V14" i="1"/>
  <c r="BN30" i="5" s="1"/>
  <c r="V17" i="1"/>
  <c r="V21" i="1"/>
  <c r="BN34" i="5" s="1"/>
  <c r="V27" i="1"/>
  <c r="BN4" i="5" s="1"/>
  <c r="V31" i="1"/>
  <c r="BN5" i="5" s="1"/>
  <c r="CU24" i="8" s="1"/>
  <c r="V38" i="1"/>
  <c r="V48" i="1"/>
  <c r="V49" i="1"/>
  <c r="V51" i="1"/>
  <c r="V4" i="2"/>
  <c r="V7" i="2"/>
  <c r="BN39" i="5" s="1"/>
  <c r="V12" i="2"/>
  <c r="V20" i="2"/>
  <c r="V23" i="2"/>
  <c r="BN47" i="5" s="1"/>
  <c r="V30" i="2"/>
  <c r="V39" i="2"/>
  <c r="U4" i="2"/>
  <c r="U7" i="2"/>
  <c r="BM39" i="5" s="1"/>
  <c r="U12" i="2"/>
  <c r="U20" i="2"/>
  <c r="U23" i="2"/>
  <c r="BM47" i="5" s="1"/>
  <c r="U30" i="2"/>
  <c r="U39" i="2"/>
  <c r="U4" i="1"/>
  <c r="U8" i="1"/>
  <c r="U14" i="1"/>
  <c r="BM30" i="5" s="1"/>
  <c r="U17" i="1"/>
  <c r="U21" i="1"/>
  <c r="BM34" i="5" s="1"/>
  <c r="U27" i="1"/>
  <c r="BM4" i="5" s="1"/>
  <c r="U31" i="1"/>
  <c r="BM5" i="5" s="1"/>
  <c r="CT24" i="8" s="1"/>
  <c r="U38" i="1"/>
  <c r="U48" i="1"/>
  <c r="U49" i="1"/>
  <c r="U51" i="1"/>
  <c r="T4" i="1"/>
  <c r="T8" i="1"/>
  <c r="T14" i="1"/>
  <c r="BL30" i="5" s="1"/>
  <c r="T17" i="1"/>
  <c r="T21" i="1"/>
  <c r="BL34" i="5" s="1"/>
  <c r="T31" i="1"/>
  <c r="BL5" i="5" s="1"/>
  <c r="T38" i="1"/>
  <c r="T48" i="1"/>
  <c r="T4" i="2"/>
  <c r="T7" i="2"/>
  <c r="BL39" i="5" s="1"/>
  <c r="T12" i="2"/>
  <c r="T20" i="2"/>
  <c r="T23" i="2"/>
  <c r="BL47" i="5" s="1"/>
  <c r="T30" i="2"/>
  <c r="R4" i="2"/>
  <c r="S4" i="2"/>
  <c r="R7" i="2"/>
  <c r="BJ39" i="5" s="1"/>
  <c r="S7" i="2"/>
  <c r="BK39" i="5" s="1"/>
  <c r="R12" i="2"/>
  <c r="S12" i="2"/>
  <c r="R20" i="2"/>
  <c r="S20" i="2"/>
  <c r="R23" i="2"/>
  <c r="BJ47" i="5" s="1"/>
  <c r="S23" i="2"/>
  <c r="BK47" i="5" s="1"/>
  <c r="R30" i="2"/>
  <c r="S30" i="2"/>
  <c r="R4" i="1"/>
  <c r="S4" i="1"/>
  <c r="R8" i="1"/>
  <c r="S8" i="1"/>
  <c r="R14" i="1"/>
  <c r="BJ30" i="5" s="1"/>
  <c r="S14" i="1"/>
  <c r="BK30" i="5" s="1"/>
  <c r="R17" i="1"/>
  <c r="S17" i="1"/>
  <c r="R21" i="1"/>
  <c r="BJ34" i="5" s="1"/>
  <c r="S21" i="1"/>
  <c r="BK34" i="5" s="1"/>
  <c r="R31" i="1"/>
  <c r="BJ5" i="5" s="1"/>
  <c r="R38" i="1"/>
  <c r="S31" i="1"/>
  <c r="BK5" i="5" s="1"/>
  <c r="S38" i="1"/>
  <c r="R48" i="1"/>
  <c r="R49" i="1" s="1"/>
  <c r="S48" i="1"/>
  <c r="B28" i="2"/>
  <c r="B27" i="2"/>
  <c r="B26" i="2"/>
  <c r="B25" i="2"/>
  <c r="B24" i="2"/>
  <c r="B17" i="2"/>
  <c r="B11" i="2"/>
  <c r="B6" i="2"/>
  <c r="B12" i="2"/>
  <c r="B39" i="1"/>
  <c r="B36" i="1"/>
  <c r="B30" i="1"/>
  <c r="B29" i="1"/>
  <c r="B28" i="1"/>
  <c r="AS7" i="5"/>
  <c r="B11" i="1"/>
  <c r="B7" i="1"/>
  <c r="B6" i="1"/>
  <c r="B5" i="1"/>
  <c r="N28" i="2"/>
  <c r="N25" i="2"/>
  <c r="N24" i="2"/>
  <c r="N13" i="2"/>
  <c r="N11" i="2"/>
  <c r="N10" i="2"/>
  <c r="N6" i="2"/>
  <c r="N5" i="2"/>
  <c r="N7" i="1"/>
  <c r="N46" i="1"/>
  <c r="N45" i="1"/>
  <c r="N44" i="1"/>
  <c r="N43" i="1"/>
  <c r="BF19" i="5"/>
  <c r="N42" i="1"/>
  <c r="BF18" i="5"/>
  <c r="N39" i="1"/>
  <c r="BF15" i="5"/>
  <c r="N36" i="1"/>
  <c r="N33" i="1"/>
  <c r="N30" i="1"/>
  <c r="N28" i="1"/>
  <c r="N25" i="1"/>
  <c r="N23" i="1"/>
  <c r="BF35" i="5"/>
  <c r="N13" i="1"/>
  <c r="N12" i="1"/>
  <c r="N5" i="1"/>
  <c r="N6" i="1"/>
  <c r="N4" i="1"/>
  <c r="P12" i="2"/>
  <c r="Q12" i="2"/>
  <c r="N12" i="2"/>
  <c r="O12" i="2"/>
  <c r="O4" i="2"/>
  <c r="P4" i="2"/>
  <c r="Q4" i="2"/>
  <c r="O7" i="2"/>
  <c r="BG39" i="5" s="1"/>
  <c r="P7" i="2"/>
  <c r="BH39" i="5" s="1"/>
  <c r="Q7" i="2"/>
  <c r="BI39" i="5" s="1"/>
  <c r="O20" i="2"/>
  <c r="P20" i="2"/>
  <c r="Q20" i="2"/>
  <c r="O23" i="2"/>
  <c r="BG47" i="5" s="1"/>
  <c r="P23" i="2"/>
  <c r="BH47" i="5" s="1"/>
  <c r="Q23" i="2"/>
  <c r="BI47" i="5" s="1"/>
  <c r="O30" i="2"/>
  <c r="P30" i="2"/>
  <c r="Q30" i="2"/>
  <c r="O4" i="1"/>
  <c r="P4" i="1"/>
  <c r="Q4" i="1"/>
  <c r="O8" i="1"/>
  <c r="P8" i="1"/>
  <c r="Q8" i="1"/>
  <c r="O14" i="1"/>
  <c r="BG30" i="5" s="1"/>
  <c r="P14" i="1"/>
  <c r="BH30" i="5" s="1"/>
  <c r="Q14" i="1"/>
  <c r="BI30" i="5" s="1"/>
  <c r="O17" i="1"/>
  <c r="P17" i="1"/>
  <c r="Q17" i="1"/>
  <c r="O21" i="1"/>
  <c r="BG34" i="5" s="1"/>
  <c r="P21" i="1"/>
  <c r="Q21" i="1"/>
  <c r="BI34" i="5" s="1"/>
  <c r="O31" i="1"/>
  <c r="BG5" i="5" s="1"/>
  <c r="O38" i="1"/>
  <c r="P31" i="1"/>
  <c r="BH5" i="5" s="1"/>
  <c r="P38" i="1"/>
  <c r="Q31" i="1"/>
  <c r="BI5" i="5" s="1"/>
  <c r="Q38" i="1"/>
  <c r="O48" i="1"/>
  <c r="O49" i="1" s="1"/>
  <c r="P48" i="1"/>
  <c r="Q48" i="1"/>
  <c r="BC6" i="5"/>
  <c r="BD6" i="5"/>
  <c r="BE6" i="5"/>
  <c r="BF6" i="5"/>
  <c r="BC7" i="5"/>
  <c r="BD7" i="5"/>
  <c r="BE7" i="5"/>
  <c r="BF7" i="5"/>
  <c r="BC8" i="5"/>
  <c r="BD8" i="5"/>
  <c r="BE8" i="5"/>
  <c r="BF8" i="5"/>
  <c r="BC9" i="5"/>
  <c r="BD9" i="5"/>
  <c r="BE9" i="5"/>
  <c r="BC15" i="5"/>
  <c r="BD15" i="5"/>
  <c r="BE15" i="5"/>
  <c r="BC17" i="5"/>
  <c r="BD17" i="5"/>
  <c r="BE17" i="5"/>
  <c r="BF17" i="5"/>
  <c r="BC18" i="5"/>
  <c r="BD18" i="5"/>
  <c r="BE18" i="5"/>
  <c r="BC19" i="5"/>
  <c r="BD19" i="5"/>
  <c r="BE19" i="5"/>
  <c r="BC20" i="5"/>
  <c r="BD20" i="5"/>
  <c r="BE20" i="5"/>
  <c r="BF20" i="5"/>
  <c r="BC22" i="5"/>
  <c r="BC21" i="5"/>
  <c r="BD22" i="5"/>
  <c r="BD21" i="5"/>
  <c r="BD14" i="5"/>
  <c r="BD11" i="5"/>
  <c r="BE22" i="5"/>
  <c r="BE21" i="5"/>
  <c r="BE14" i="5"/>
  <c r="BE11" i="5"/>
  <c r="BF22" i="5"/>
  <c r="BF21" i="5"/>
  <c r="BC26" i="5"/>
  <c r="BD26" i="5"/>
  <c r="BE26" i="5"/>
  <c r="BF26" i="5"/>
  <c r="BC27" i="5"/>
  <c r="BD27" i="5"/>
  <c r="BE27" i="5"/>
  <c r="BC28" i="5"/>
  <c r="BD28" i="5"/>
  <c r="BE28" i="5"/>
  <c r="BE25" i="5" s="1"/>
  <c r="BF28" i="5"/>
  <c r="BC31" i="5"/>
  <c r="BD31" i="5"/>
  <c r="BE31" i="5"/>
  <c r="BC32" i="5"/>
  <c r="BD32" i="5"/>
  <c r="BE32" i="5"/>
  <c r="BF32" i="5"/>
  <c r="BC35" i="5"/>
  <c r="BD35" i="5"/>
  <c r="BE35" i="5"/>
  <c r="BC38" i="5"/>
  <c r="BC41" i="5"/>
  <c r="BD38" i="5"/>
  <c r="BE38" i="5"/>
  <c r="BF38" i="5"/>
  <c r="BC40" i="5"/>
  <c r="BD40" i="5"/>
  <c r="BE40" i="5"/>
  <c r="BF40" i="5"/>
  <c r="BC44" i="5"/>
  <c r="BD44" i="5"/>
  <c r="BE44" i="5"/>
  <c r="BF44" i="5"/>
  <c r="BC45" i="5"/>
  <c r="BD45" i="5"/>
  <c r="BE45" i="5"/>
  <c r="BF45" i="5"/>
  <c r="BC46" i="5"/>
  <c r="BD46" i="5"/>
  <c r="BE46" i="5"/>
  <c r="BF46" i="5"/>
  <c r="N23" i="2"/>
  <c r="BF31" i="5"/>
  <c r="K4" i="2"/>
  <c r="L4" i="2"/>
  <c r="M4" i="2"/>
  <c r="N4" i="2"/>
  <c r="K7" i="2"/>
  <c r="K3" i="2" s="1"/>
  <c r="BC39" i="5"/>
  <c r="L7" i="2"/>
  <c r="BD39" i="5"/>
  <c r="M7" i="2"/>
  <c r="BE39" i="5"/>
  <c r="N7" i="2"/>
  <c r="K12" i="2"/>
  <c r="L12" i="2"/>
  <c r="M12" i="2"/>
  <c r="K20" i="2"/>
  <c r="L20" i="2"/>
  <c r="M20" i="2"/>
  <c r="N20" i="2"/>
  <c r="K23" i="2"/>
  <c r="K39" i="2" s="1"/>
  <c r="BC47" i="5"/>
  <c r="BC43" i="5"/>
  <c r="L23" i="2"/>
  <c r="BD47" i="5"/>
  <c r="M23" i="2"/>
  <c r="M39" i="2"/>
  <c r="BE47" i="5"/>
  <c r="K30" i="2"/>
  <c r="L30" i="2"/>
  <c r="M30" i="2"/>
  <c r="N30" i="2"/>
  <c r="K4" i="1"/>
  <c r="CJ52" i="8"/>
  <c r="L4" i="1"/>
  <c r="CK52" i="8"/>
  <c r="M4" i="1"/>
  <c r="CL52" i="8"/>
  <c r="K8" i="1"/>
  <c r="L8" i="1"/>
  <c r="M8" i="1"/>
  <c r="K14" i="1"/>
  <c r="BC30" i="5"/>
  <c r="L14" i="1"/>
  <c r="BD30" i="5"/>
  <c r="M14" i="1"/>
  <c r="K17" i="1"/>
  <c r="L17" i="1"/>
  <c r="M17" i="1"/>
  <c r="N17" i="1"/>
  <c r="K21" i="1"/>
  <c r="BC34" i="5"/>
  <c r="L21" i="1"/>
  <c r="BD34" i="5"/>
  <c r="M21" i="1"/>
  <c r="BE34" i="5"/>
  <c r="K31" i="1"/>
  <c r="BC5" i="5"/>
  <c r="L31" i="1"/>
  <c r="BD5" i="5"/>
  <c r="M31" i="1"/>
  <c r="BE5" i="5"/>
  <c r="N31" i="1"/>
  <c r="BF5" i="5"/>
  <c r="K48" i="1"/>
  <c r="L48" i="1"/>
  <c r="M48" i="1"/>
  <c r="CK63" i="8"/>
  <c r="D187" i="4"/>
  <c r="C187" i="4"/>
  <c r="D175" i="4"/>
  <c r="C175" i="4"/>
  <c r="D163" i="4"/>
  <c r="C163" i="4"/>
  <c r="D151" i="4"/>
  <c r="C151" i="4"/>
  <c r="D188" i="4"/>
  <c r="D189" i="4"/>
  <c r="F186" i="4"/>
  <c r="F185" i="4"/>
  <c r="F184" i="4"/>
  <c r="F183" i="4"/>
  <c r="F182" i="4"/>
  <c r="D138" i="4"/>
  <c r="C138" i="4"/>
  <c r="D126" i="4"/>
  <c r="C126" i="4"/>
  <c r="D176" i="4"/>
  <c r="D177" i="4"/>
  <c r="F174" i="4"/>
  <c r="F173" i="4"/>
  <c r="F172" i="4"/>
  <c r="F171" i="4"/>
  <c r="F170" i="4"/>
  <c r="D164" i="4"/>
  <c r="F162" i="4"/>
  <c r="F161" i="4"/>
  <c r="F160" i="4"/>
  <c r="F159" i="4"/>
  <c r="F158" i="4"/>
  <c r="D152" i="4"/>
  <c r="D153" i="4"/>
  <c r="F150" i="4"/>
  <c r="F149" i="4"/>
  <c r="F148" i="4"/>
  <c r="F147" i="4"/>
  <c r="F146" i="4"/>
  <c r="D139" i="4"/>
  <c r="D140" i="4"/>
  <c r="F137" i="4"/>
  <c r="F136" i="4"/>
  <c r="F135" i="4"/>
  <c r="F134" i="4"/>
  <c r="F133" i="4"/>
  <c r="D127" i="4"/>
  <c r="F125" i="4"/>
  <c r="F124" i="4"/>
  <c r="F123" i="4"/>
  <c r="F122" i="4"/>
  <c r="F121" i="4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T27" i="5"/>
  <c r="AU27" i="5"/>
  <c r="AV27" i="5"/>
  <c r="AW27" i="5"/>
  <c r="AX27" i="5"/>
  <c r="AY27" i="5"/>
  <c r="AZ27" i="5"/>
  <c r="BA27" i="5"/>
  <c r="BB27" i="5"/>
  <c r="F110" i="4"/>
  <c r="F111" i="4"/>
  <c r="F112" i="4"/>
  <c r="F113" i="4"/>
  <c r="F109" i="4"/>
  <c r="D115" i="4"/>
  <c r="D114" i="4"/>
  <c r="D116" i="4" s="1"/>
  <c r="I114" i="4"/>
  <c r="C114" i="4"/>
  <c r="AZ6" i="5"/>
  <c r="BA6" i="5"/>
  <c r="BB26" i="3"/>
  <c r="BB6" i="5"/>
  <c r="BC26" i="3"/>
  <c r="AZ7" i="5"/>
  <c r="BA7" i="5"/>
  <c r="BB27" i="3"/>
  <c r="BB7" i="5"/>
  <c r="BC27" i="3"/>
  <c r="AZ8" i="5"/>
  <c r="BA8" i="5"/>
  <c r="BB8" i="5"/>
  <c r="AZ9" i="5"/>
  <c r="BA9" i="5"/>
  <c r="BB9" i="5"/>
  <c r="AZ15" i="5"/>
  <c r="BA15" i="5"/>
  <c r="BB15" i="5"/>
  <c r="AZ17" i="5"/>
  <c r="BA17" i="5"/>
  <c r="BB17" i="5"/>
  <c r="AZ18" i="5"/>
  <c r="BA18" i="5"/>
  <c r="BB18" i="5"/>
  <c r="AZ19" i="5"/>
  <c r="BA19" i="5"/>
  <c r="BB19" i="5"/>
  <c r="AZ20" i="5"/>
  <c r="BA20" i="5"/>
  <c r="BB20" i="5"/>
  <c r="AZ22" i="5"/>
  <c r="AZ21" i="5"/>
  <c r="BA22" i="5"/>
  <c r="BA21" i="5"/>
  <c r="BA14" i="5"/>
  <c r="BA11" i="5"/>
  <c r="BB22" i="5"/>
  <c r="BB21" i="5"/>
  <c r="BB14" i="5"/>
  <c r="BB11" i="5"/>
  <c r="AZ26" i="5"/>
  <c r="BA26" i="5"/>
  <c r="BB26" i="5"/>
  <c r="AZ28" i="5"/>
  <c r="AZ25" i="5"/>
  <c r="BA28" i="5"/>
  <c r="BB28" i="5"/>
  <c r="AZ31" i="5"/>
  <c r="BA31" i="5"/>
  <c r="BB28" i="3"/>
  <c r="BB31" i="5"/>
  <c r="AZ32" i="5"/>
  <c r="BA32" i="5"/>
  <c r="BB32" i="5"/>
  <c r="AZ35" i="5"/>
  <c r="BA35" i="5"/>
  <c r="BB35" i="5"/>
  <c r="AZ38" i="5"/>
  <c r="BA38" i="5"/>
  <c r="BB38" i="5"/>
  <c r="AZ40" i="5"/>
  <c r="BA40" i="5"/>
  <c r="BB40" i="5"/>
  <c r="AZ44" i="5"/>
  <c r="BA33" i="3"/>
  <c r="BA44" i="5"/>
  <c r="BB33" i="3"/>
  <c r="BB44" i="5"/>
  <c r="BC33" i="3"/>
  <c r="AZ45" i="5"/>
  <c r="BA34" i="3"/>
  <c r="BA45" i="5"/>
  <c r="BB34" i="3"/>
  <c r="BB45" i="5"/>
  <c r="AZ46" i="5"/>
  <c r="BA46" i="5"/>
  <c r="BB46" i="5"/>
  <c r="BC35" i="3"/>
  <c r="AS3" i="3"/>
  <c r="AS19" i="3"/>
  <c r="AU3" i="3"/>
  <c r="AU19" i="3"/>
  <c r="AV3" i="3"/>
  <c r="AV19" i="3"/>
  <c r="AW3" i="3"/>
  <c r="AX3" i="3"/>
  <c r="AX19" i="3"/>
  <c r="AY3" i="3"/>
  <c r="AZ3" i="3"/>
  <c r="BA3" i="3"/>
  <c r="BA19" i="3"/>
  <c r="BB3" i="3"/>
  <c r="BC3" i="3"/>
  <c r="AS8" i="3"/>
  <c r="AU8" i="3"/>
  <c r="AV8" i="3"/>
  <c r="AW8" i="3"/>
  <c r="AX8" i="3"/>
  <c r="AY8" i="3"/>
  <c r="AZ8" i="3"/>
  <c r="BA8" i="3"/>
  <c r="BB8" i="3"/>
  <c r="BC8" i="3"/>
  <c r="AC3" i="3"/>
  <c r="AC19" i="3"/>
  <c r="AD3" i="3"/>
  <c r="AE3" i="3"/>
  <c r="AF3" i="3"/>
  <c r="AG3" i="3"/>
  <c r="AG19" i="3"/>
  <c r="AH3" i="3"/>
  <c r="AI3" i="3"/>
  <c r="AI19" i="3"/>
  <c r="AJ3" i="3"/>
  <c r="AK3" i="3"/>
  <c r="AK19" i="3"/>
  <c r="AL3" i="3"/>
  <c r="AM3" i="3"/>
  <c r="AN3" i="3"/>
  <c r="AO3" i="3"/>
  <c r="AP3" i="3"/>
  <c r="AP19" i="3"/>
  <c r="AQ3" i="3"/>
  <c r="AQ19" i="3"/>
  <c r="AR3" i="3"/>
  <c r="AR19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D19" i="3"/>
  <c r="I4" i="2"/>
  <c r="I7" i="2"/>
  <c r="BA39" i="5"/>
  <c r="I12" i="2"/>
  <c r="I20" i="2"/>
  <c r="I23" i="2"/>
  <c r="BA47" i="5"/>
  <c r="I30" i="2"/>
  <c r="J4" i="2"/>
  <c r="J7" i="2"/>
  <c r="BB39" i="5"/>
  <c r="J12" i="2"/>
  <c r="J20" i="2"/>
  <c r="J23" i="2"/>
  <c r="BB47" i="5"/>
  <c r="BB43" i="5"/>
  <c r="J30" i="2"/>
  <c r="F4" i="2"/>
  <c r="G4" i="2"/>
  <c r="H4" i="2"/>
  <c r="F7" i="2"/>
  <c r="AW39" i="5"/>
  <c r="G7" i="2"/>
  <c r="G3" i="2" s="1"/>
  <c r="AX39" i="5"/>
  <c r="H7" i="2"/>
  <c r="AY39" i="5"/>
  <c r="AZ39" i="5"/>
  <c r="F12" i="2"/>
  <c r="G12" i="2"/>
  <c r="H12" i="2"/>
  <c r="F20" i="2"/>
  <c r="G20" i="2"/>
  <c r="H20" i="2"/>
  <c r="F23" i="2"/>
  <c r="AW47" i="5"/>
  <c r="G23" i="2"/>
  <c r="AX47" i="5"/>
  <c r="H23" i="2"/>
  <c r="AY47" i="5"/>
  <c r="AZ47" i="5"/>
  <c r="F30" i="2"/>
  <c r="G30" i="2"/>
  <c r="H30" i="2"/>
  <c r="I4" i="1"/>
  <c r="BB12" i="3"/>
  <c r="I8" i="1"/>
  <c r="I14" i="1"/>
  <c r="I17" i="1"/>
  <c r="I21" i="1"/>
  <c r="BA34" i="5"/>
  <c r="I31" i="1"/>
  <c r="I38" i="1"/>
  <c r="I48" i="1"/>
  <c r="I49" i="1" s="1"/>
  <c r="J4" i="1"/>
  <c r="CI47" i="8"/>
  <c r="J8" i="1"/>
  <c r="J14" i="1"/>
  <c r="J17" i="1"/>
  <c r="J21" i="1"/>
  <c r="BB34" i="5"/>
  <c r="J31" i="1"/>
  <c r="J48" i="1"/>
  <c r="F4" i="1"/>
  <c r="G4" i="1"/>
  <c r="CE47" i="8"/>
  <c r="H4" i="1"/>
  <c r="AZ12" i="3"/>
  <c r="CG47" i="8"/>
  <c r="F8" i="1"/>
  <c r="G8" i="1"/>
  <c r="H8" i="1"/>
  <c r="F14" i="1"/>
  <c r="AW30" i="5"/>
  <c r="G14" i="1"/>
  <c r="H14" i="1"/>
  <c r="AY30" i="5"/>
  <c r="F17" i="1"/>
  <c r="G17" i="1"/>
  <c r="H17" i="1"/>
  <c r="F21" i="1"/>
  <c r="G21" i="1"/>
  <c r="AX34" i="5"/>
  <c r="H21" i="1"/>
  <c r="AZ34" i="5"/>
  <c r="F31" i="1"/>
  <c r="AX18" i="3"/>
  <c r="G31" i="1"/>
  <c r="AY18" i="3"/>
  <c r="H31" i="1"/>
  <c r="H38" i="1"/>
  <c r="BA18" i="3"/>
  <c r="F48" i="1"/>
  <c r="G48" i="1"/>
  <c r="H48" i="1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BG16" i="8"/>
  <c r="BJ16" i="8"/>
  <c r="BK16" i="8"/>
  <c r="BL16" i="8"/>
  <c r="BN16" i="8"/>
  <c r="BO16" i="8"/>
  <c r="BQ16" i="8"/>
  <c r="BR16" i="8"/>
  <c r="BT16" i="8"/>
  <c r="BU16" i="8"/>
  <c r="BW16" i="8"/>
  <c r="BX16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E37" i="8"/>
  <c r="F37" i="8"/>
  <c r="G37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B8" i="6"/>
  <c r="C8" i="6"/>
  <c r="B12" i="6"/>
  <c r="C12" i="6"/>
  <c r="B17" i="6"/>
  <c r="C17" i="6"/>
  <c r="B19" i="6"/>
  <c r="C19" i="6"/>
  <c r="B28" i="6"/>
  <c r="C28" i="6"/>
  <c r="E28" i="6"/>
  <c r="B36" i="6"/>
  <c r="C36" i="6"/>
  <c r="B37" i="6"/>
  <c r="C37" i="6"/>
  <c r="B39" i="6"/>
  <c r="C39" i="6"/>
  <c r="C6" i="5"/>
  <c r="D6" i="5"/>
  <c r="D26" i="3"/>
  <c r="E6" i="5"/>
  <c r="AL33" i="8"/>
  <c r="F6" i="5"/>
  <c r="G6" i="5"/>
  <c r="H6" i="5"/>
  <c r="I6" i="5"/>
  <c r="AP59" i="8"/>
  <c r="AP33" i="8"/>
  <c r="J6" i="5"/>
  <c r="K6" i="5"/>
  <c r="K26" i="3"/>
  <c r="L6" i="5"/>
  <c r="M6" i="5"/>
  <c r="N6" i="5"/>
  <c r="AU59" i="8"/>
  <c r="O6" i="5"/>
  <c r="AV33" i="8"/>
  <c r="P6" i="5"/>
  <c r="Q6" i="5"/>
  <c r="R6" i="5"/>
  <c r="S6" i="5"/>
  <c r="T6" i="5"/>
  <c r="U26" i="3"/>
  <c r="U6" i="5"/>
  <c r="V6" i="5"/>
  <c r="BC33" i="8"/>
  <c r="W6" i="5"/>
  <c r="X26" i="3"/>
  <c r="X6" i="5"/>
  <c r="Y6" i="5"/>
  <c r="Z6" i="5"/>
  <c r="AA6" i="5"/>
  <c r="AB6" i="5"/>
  <c r="AC26" i="3"/>
  <c r="AC6" i="5"/>
  <c r="AD6" i="5"/>
  <c r="AE6" i="5"/>
  <c r="AF6" i="5"/>
  <c r="AG26" i="3"/>
  <c r="AG6" i="5"/>
  <c r="AH26" i="3"/>
  <c r="AH6" i="5"/>
  <c r="AI6" i="5"/>
  <c r="AJ6" i="5"/>
  <c r="AK26" i="3"/>
  <c r="AK6" i="5"/>
  <c r="AL26" i="3"/>
  <c r="AL6" i="5"/>
  <c r="BS33" i="8"/>
  <c r="AM6" i="5"/>
  <c r="AN6" i="5"/>
  <c r="AO6" i="5"/>
  <c r="AP6" i="5"/>
  <c r="AQ26" i="3"/>
  <c r="AQ6" i="5"/>
  <c r="AR6" i="5"/>
  <c r="CL33" i="8" s="1"/>
  <c r="AS26" i="3"/>
  <c r="AS6" i="5"/>
  <c r="CM33" i="8"/>
  <c r="AT6" i="5"/>
  <c r="CA33" i="8"/>
  <c r="AU6" i="5"/>
  <c r="AV6" i="5"/>
  <c r="AW26" i="3"/>
  <c r="AW6" i="5"/>
  <c r="CD33" i="8"/>
  <c r="AX6" i="5"/>
  <c r="AY6" i="5"/>
  <c r="C7" i="5"/>
  <c r="D7" i="5"/>
  <c r="E7" i="5"/>
  <c r="AL32" i="8"/>
  <c r="F7" i="5"/>
  <c r="G7" i="5"/>
  <c r="AN32" i="8"/>
  <c r="H7" i="5"/>
  <c r="I7" i="5"/>
  <c r="J7" i="5"/>
  <c r="K7" i="5"/>
  <c r="L7" i="5"/>
  <c r="M7" i="5"/>
  <c r="N7" i="5"/>
  <c r="O7" i="5"/>
  <c r="P7" i="5"/>
  <c r="Q7" i="5"/>
  <c r="R7" i="5"/>
  <c r="S7" i="5"/>
  <c r="AZ60" i="8" s="1"/>
  <c r="T7" i="5"/>
  <c r="U7" i="5"/>
  <c r="V7" i="5"/>
  <c r="W7" i="5"/>
  <c r="BD32" i="8" s="1"/>
  <c r="X7" i="5"/>
  <c r="Y7" i="5"/>
  <c r="Z27" i="3"/>
  <c r="Z7" i="5"/>
  <c r="AA7" i="5"/>
  <c r="AB27" i="3"/>
  <c r="AB7" i="5"/>
  <c r="AC27" i="3"/>
  <c r="AC7" i="5"/>
  <c r="BJ60" i="8"/>
  <c r="AD7" i="5"/>
  <c r="AE7" i="5"/>
  <c r="AF27" i="3"/>
  <c r="AF7" i="5"/>
  <c r="AG7" i="5"/>
  <c r="AH27" i="3"/>
  <c r="AH7" i="5"/>
  <c r="AI27" i="3"/>
  <c r="AI7" i="5"/>
  <c r="AJ7" i="5"/>
  <c r="AK27" i="3"/>
  <c r="AK7" i="5"/>
  <c r="AL7" i="5"/>
  <c r="AM27" i="3"/>
  <c r="AM7" i="5"/>
  <c r="AN27" i="3"/>
  <c r="AN7" i="5"/>
  <c r="AO27" i="3"/>
  <c r="AO7" i="5"/>
  <c r="AP27" i="3"/>
  <c r="AP7" i="5"/>
  <c r="AQ7" i="5"/>
  <c r="AR27" i="3"/>
  <c r="AR7" i="5"/>
  <c r="AT7" i="5"/>
  <c r="CA60" i="8"/>
  <c r="AU7" i="5"/>
  <c r="AV27" i="3"/>
  <c r="AV7" i="5"/>
  <c r="CC32" i="8"/>
  <c r="AW7" i="5"/>
  <c r="AX7" i="5"/>
  <c r="A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D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T9" i="5"/>
  <c r="AU9" i="5"/>
  <c r="AV9" i="5"/>
  <c r="AW9" i="5"/>
  <c r="AX9" i="5"/>
  <c r="AY9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C18" i="5"/>
  <c r="D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T18" i="5"/>
  <c r="AU18" i="5"/>
  <c r="AV18" i="5"/>
  <c r="AW18" i="5"/>
  <c r="AX18" i="5"/>
  <c r="AY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C22" i="5"/>
  <c r="C21" i="5"/>
  <c r="D22" i="5"/>
  <c r="D21" i="5"/>
  <c r="D14" i="5"/>
  <c r="E22" i="5"/>
  <c r="E21" i="5"/>
  <c r="F22" i="5"/>
  <c r="F21" i="5"/>
  <c r="G22" i="5"/>
  <c r="G21" i="5"/>
  <c r="G14" i="5" s="1"/>
  <c r="H22" i="5"/>
  <c r="H21" i="5"/>
  <c r="H14" i="5"/>
  <c r="I22" i="5"/>
  <c r="I21" i="5"/>
  <c r="I14" i="5" s="1"/>
  <c r="J22" i="5"/>
  <c r="J21" i="5"/>
  <c r="K22" i="5"/>
  <c r="K21" i="5"/>
  <c r="K14" i="5"/>
  <c r="L22" i="5"/>
  <c r="L21" i="5"/>
  <c r="M22" i="5"/>
  <c r="M21" i="5"/>
  <c r="N22" i="5"/>
  <c r="N21" i="5"/>
  <c r="O22" i="5"/>
  <c r="O21" i="5"/>
  <c r="O14" i="5"/>
  <c r="P22" i="5"/>
  <c r="P21" i="5"/>
  <c r="P14" i="5"/>
  <c r="Q22" i="5"/>
  <c r="Q21" i="5"/>
  <c r="Q14" i="5"/>
  <c r="R22" i="5"/>
  <c r="R21" i="5"/>
  <c r="R14" i="5"/>
  <c r="S22" i="5"/>
  <c r="S21" i="5"/>
  <c r="T22" i="5"/>
  <c r="T21" i="5"/>
  <c r="T14" i="5"/>
  <c r="T11" i="5"/>
  <c r="U29" i="3"/>
  <c r="U22" i="5"/>
  <c r="U21" i="5"/>
  <c r="U14" i="5"/>
  <c r="U11" i="5"/>
  <c r="BB6" i="8"/>
  <c r="V22" i="5"/>
  <c r="V21" i="5"/>
  <c r="W22" i="5"/>
  <c r="W21" i="5"/>
  <c r="W14" i="5"/>
  <c r="W11" i="5"/>
  <c r="X22" i="5"/>
  <c r="X21" i="5"/>
  <c r="X14" i="5"/>
  <c r="X11" i="5"/>
  <c r="Y22" i="5"/>
  <c r="Y21" i="5"/>
  <c r="Z22" i="5"/>
  <c r="Z21" i="5"/>
  <c r="AA22" i="5"/>
  <c r="AA21" i="5"/>
  <c r="AA14" i="5"/>
  <c r="AA11" i="5"/>
  <c r="AB22" i="5"/>
  <c r="AB21" i="5"/>
  <c r="AB14" i="5"/>
  <c r="AB11" i="5"/>
  <c r="AC22" i="5"/>
  <c r="AC21" i="5"/>
  <c r="AD22" i="5"/>
  <c r="AD21" i="5"/>
  <c r="AD14" i="5"/>
  <c r="AD11" i="5"/>
  <c r="AE22" i="5"/>
  <c r="AE21" i="5"/>
  <c r="AE14" i="5"/>
  <c r="AE11" i="5"/>
  <c r="AF22" i="5"/>
  <c r="AF21" i="5"/>
  <c r="AF14" i="5"/>
  <c r="AF11" i="5"/>
  <c r="AG22" i="5"/>
  <c r="AG21" i="5"/>
  <c r="AG14" i="5"/>
  <c r="AG11" i="5"/>
  <c r="AH22" i="5"/>
  <c r="AH21" i="5"/>
  <c r="AI22" i="5"/>
  <c r="AI21" i="5"/>
  <c r="AJ22" i="5"/>
  <c r="AJ21" i="5"/>
  <c r="AJ14" i="5"/>
  <c r="AJ11" i="5"/>
  <c r="AK22" i="5"/>
  <c r="AK21" i="5"/>
  <c r="AK14" i="5"/>
  <c r="AK11" i="5"/>
  <c r="AK12" i="5"/>
  <c r="AL22" i="5"/>
  <c r="AL21" i="5"/>
  <c r="AL14" i="5"/>
  <c r="AL11" i="5"/>
  <c r="AM22" i="5"/>
  <c r="AM21" i="5"/>
  <c r="AN22" i="5"/>
  <c r="AN21" i="5"/>
  <c r="AN14" i="5"/>
  <c r="AN11" i="5"/>
  <c r="AN12" i="5"/>
  <c r="AO22" i="5"/>
  <c r="AO21" i="5"/>
  <c r="AO14" i="5"/>
  <c r="AP22" i="5"/>
  <c r="AP21" i="5"/>
  <c r="AP14" i="5" s="1"/>
  <c r="AP11" i="5" s="1"/>
  <c r="BW6" i="8" s="1"/>
  <c r="AQ22" i="5"/>
  <c r="AQ21" i="5"/>
  <c r="AQ14" i="5"/>
  <c r="AQ11" i="5"/>
  <c r="AR22" i="5"/>
  <c r="AR21" i="5"/>
  <c r="AR14" i="5"/>
  <c r="AR11" i="5"/>
  <c r="AS22" i="5"/>
  <c r="AS21" i="5"/>
  <c r="AT22" i="5"/>
  <c r="AT21" i="5"/>
  <c r="AT14" i="5"/>
  <c r="AT11" i="5"/>
  <c r="AU22" i="5"/>
  <c r="AU21" i="5"/>
  <c r="AU14" i="5"/>
  <c r="AU11" i="5"/>
  <c r="AV22" i="5"/>
  <c r="AV21" i="5"/>
  <c r="AW22" i="5"/>
  <c r="AW21" i="5"/>
  <c r="AX22" i="5"/>
  <c r="AX21" i="5"/>
  <c r="AX14" i="5"/>
  <c r="AX11" i="5"/>
  <c r="AY22" i="5"/>
  <c r="AY21" i="5"/>
  <c r="AY14" i="5"/>
  <c r="AY11" i="5"/>
  <c r="C26" i="5"/>
  <c r="D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T26" i="5"/>
  <c r="AU26" i="5"/>
  <c r="AV26" i="5"/>
  <c r="AW26" i="5"/>
  <c r="AX26" i="5"/>
  <c r="AY26" i="5"/>
  <c r="C27" i="5"/>
  <c r="D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C25" i="5" s="1"/>
  <c r="D28" i="5"/>
  <c r="D25" i="5" s="1"/>
  <c r="E28" i="5"/>
  <c r="F28" i="5"/>
  <c r="G28" i="5"/>
  <c r="H28" i="5"/>
  <c r="I28" i="5"/>
  <c r="J28" i="5"/>
  <c r="J25" i="5"/>
  <c r="K28" i="5"/>
  <c r="L28" i="5"/>
  <c r="M28" i="5"/>
  <c r="N28" i="5"/>
  <c r="O28" i="5"/>
  <c r="O25" i="5" s="1"/>
  <c r="P28" i="5"/>
  <c r="Q28" i="5"/>
  <c r="R28" i="5"/>
  <c r="S28" i="5"/>
  <c r="T28" i="5"/>
  <c r="U28" i="5"/>
  <c r="U25" i="5"/>
  <c r="V28" i="5"/>
  <c r="W28" i="5"/>
  <c r="X28" i="5"/>
  <c r="X25" i="5" s="1"/>
  <c r="Y28" i="5"/>
  <c r="Y25" i="5"/>
  <c r="Z28" i="5"/>
  <c r="Z25" i="5"/>
  <c r="AA28" i="5"/>
  <c r="AB28" i="5"/>
  <c r="AC28" i="5"/>
  <c r="AC25" i="5" s="1"/>
  <c r="AD28" i="5"/>
  <c r="AE28" i="5"/>
  <c r="AG28" i="5"/>
  <c r="AH28" i="5"/>
  <c r="AI28" i="5"/>
  <c r="AJ28" i="5"/>
  <c r="AJ25" i="5" s="1"/>
  <c r="AK28" i="5"/>
  <c r="AL28" i="5"/>
  <c r="AL25" i="5"/>
  <c r="AM28" i="5"/>
  <c r="AN28" i="5"/>
  <c r="AO28" i="5"/>
  <c r="AO25" i="5" s="1"/>
  <c r="AP28" i="5"/>
  <c r="AQ28" i="5"/>
  <c r="AQ25" i="5"/>
  <c r="AR28" i="5"/>
  <c r="AR25" i="5" s="1"/>
  <c r="AT28" i="5"/>
  <c r="AU28" i="5"/>
  <c r="AV28" i="5"/>
  <c r="AW28" i="5"/>
  <c r="AW25" i="5"/>
  <c r="AX28" i="5"/>
  <c r="AY28" i="5"/>
  <c r="C31" i="5"/>
  <c r="D31" i="5"/>
  <c r="F31" i="5"/>
  <c r="G31" i="5"/>
  <c r="H31" i="5"/>
  <c r="I31" i="5"/>
  <c r="J31" i="5"/>
  <c r="J28" i="3"/>
  <c r="K31" i="5"/>
  <c r="L31" i="5"/>
  <c r="M31" i="5"/>
  <c r="N31" i="5"/>
  <c r="N28" i="3" s="1"/>
  <c r="O31" i="5"/>
  <c r="O28" i="3"/>
  <c r="P31" i="5"/>
  <c r="Q31" i="5"/>
  <c r="R31" i="5"/>
  <c r="S31" i="5"/>
  <c r="T28" i="3"/>
  <c r="T31" i="5"/>
  <c r="U31" i="5"/>
  <c r="V28" i="3"/>
  <c r="V31" i="5"/>
  <c r="W31" i="5"/>
  <c r="X31" i="5"/>
  <c r="Y31" i="5"/>
  <c r="Z28" i="3"/>
  <c r="Z31" i="5"/>
  <c r="AA31" i="5"/>
  <c r="AB28" i="3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T31" i="5"/>
  <c r="AU31" i="5"/>
  <c r="AV31" i="5"/>
  <c r="AW31" i="5"/>
  <c r="AX31" i="5"/>
  <c r="AY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F37" i="11"/>
  <c r="AT35" i="5"/>
  <c r="AU35" i="5"/>
  <c r="AV35" i="5"/>
  <c r="AW35" i="5"/>
  <c r="AX35" i="5"/>
  <c r="AY35" i="5"/>
  <c r="C38" i="5"/>
  <c r="D38" i="5"/>
  <c r="E38" i="3"/>
  <c r="F38" i="5"/>
  <c r="G38" i="5"/>
  <c r="H38" i="5"/>
  <c r="I38" i="3"/>
  <c r="I38" i="5"/>
  <c r="J38" i="3"/>
  <c r="J38" i="5"/>
  <c r="K38" i="3"/>
  <c r="K38" i="5"/>
  <c r="L38" i="3"/>
  <c r="L38" i="5"/>
  <c r="M38" i="5"/>
  <c r="N38" i="3"/>
  <c r="N38" i="5"/>
  <c r="O38" i="5"/>
  <c r="P38" i="5"/>
  <c r="Q38" i="3"/>
  <c r="Q38" i="5"/>
  <c r="R38" i="5"/>
  <c r="S38" i="5"/>
  <c r="T38" i="5"/>
  <c r="U38" i="5"/>
  <c r="V38" i="3"/>
  <c r="V38" i="5"/>
  <c r="W38" i="3"/>
  <c r="W38" i="5"/>
  <c r="X38" i="5"/>
  <c r="Y38" i="5"/>
  <c r="Z38" i="5"/>
  <c r="AA38" i="3"/>
  <c r="AA38" i="5"/>
  <c r="AA41" i="5"/>
  <c r="AB38" i="5"/>
  <c r="AB41" i="5"/>
  <c r="AC38" i="5"/>
  <c r="AD38" i="5"/>
  <c r="AE38" i="5"/>
  <c r="AF38" i="5"/>
  <c r="AG38" i="3"/>
  <c r="AG38" i="5"/>
  <c r="AH38" i="5"/>
  <c r="AI38" i="5"/>
  <c r="AJ38" i="5"/>
  <c r="AK38" i="3"/>
  <c r="AK38" i="5"/>
  <c r="AL38" i="5"/>
  <c r="AL41" i="5"/>
  <c r="AM38" i="5"/>
  <c r="AN38" i="5"/>
  <c r="AO38" i="5"/>
  <c r="AP38" i="5"/>
  <c r="AP41" i="5"/>
  <c r="AQ38" i="5"/>
  <c r="AR38" i="5"/>
  <c r="AT38" i="5"/>
  <c r="AU38" i="5"/>
  <c r="AV38" i="5"/>
  <c r="AW38" i="5"/>
  <c r="AX38" i="5"/>
  <c r="AX41" i="5"/>
  <c r="AY38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C44" i="5"/>
  <c r="C43" i="5"/>
  <c r="D44" i="5"/>
  <c r="E33" i="3"/>
  <c r="F44" i="5"/>
  <c r="F43" i="5"/>
  <c r="G44" i="5"/>
  <c r="H33" i="3"/>
  <c r="H44" i="5"/>
  <c r="I33" i="3"/>
  <c r="I44" i="5"/>
  <c r="J33" i="3"/>
  <c r="J44" i="5"/>
  <c r="J43" i="5"/>
  <c r="K44" i="5"/>
  <c r="L33" i="3"/>
  <c r="L44" i="5"/>
  <c r="M33" i="3"/>
  <c r="M44" i="5"/>
  <c r="M43" i="5"/>
  <c r="N44" i="5"/>
  <c r="O33" i="3"/>
  <c r="O44" i="5"/>
  <c r="P33" i="3"/>
  <c r="P44" i="5"/>
  <c r="Q33" i="3"/>
  <c r="Q44" i="5"/>
  <c r="Q43" i="5"/>
  <c r="R44" i="5"/>
  <c r="S33" i="3"/>
  <c r="S44" i="5"/>
  <c r="T33" i="3"/>
  <c r="T44" i="5"/>
  <c r="U33" i="3"/>
  <c r="U44" i="5"/>
  <c r="V33" i="3"/>
  <c r="V44" i="5"/>
  <c r="W33" i="3"/>
  <c r="W44" i="5"/>
  <c r="X33" i="3"/>
  <c r="X44" i="5"/>
  <c r="X43" i="5"/>
  <c r="Y44" i="5"/>
  <c r="Z33" i="3"/>
  <c r="Z44" i="5"/>
  <c r="AA33" i="3"/>
  <c r="AA44" i="5"/>
  <c r="AB33" i="3"/>
  <c r="AB44" i="5"/>
  <c r="AC33" i="3"/>
  <c r="AC44" i="5"/>
  <c r="AD33" i="3"/>
  <c r="AD44" i="5"/>
  <c r="AD43" i="5"/>
  <c r="AE44" i="5"/>
  <c r="AF33" i="3"/>
  <c r="AF44" i="5"/>
  <c r="AG33" i="3"/>
  <c r="AG44" i="5"/>
  <c r="AH33" i="3"/>
  <c r="AH44" i="5"/>
  <c r="AI33" i="3"/>
  <c r="AI44" i="5"/>
  <c r="AJ33" i="3"/>
  <c r="AJ44" i="5"/>
  <c r="AK33" i="3"/>
  <c r="AK44" i="5"/>
  <c r="AL33" i="3"/>
  <c r="AL44" i="5"/>
  <c r="AM33" i="3"/>
  <c r="AM44" i="5"/>
  <c r="AN33" i="3"/>
  <c r="AN44" i="5"/>
  <c r="AO33" i="3"/>
  <c r="AO44" i="5"/>
  <c r="AP33" i="3"/>
  <c r="AP44" i="5"/>
  <c r="AQ33" i="3"/>
  <c r="AQ44" i="5"/>
  <c r="AR33" i="3"/>
  <c r="AR44" i="5"/>
  <c r="AS33" i="3"/>
  <c r="AT44" i="5"/>
  <c r="AU44" i="5"/>
  <c r="AV33" i="3"/>
  <c r="AV44" i="5"/>
  <c r="AW33" i="3"/>
  <c r="AW44" i="5"/>
  <c r="AX33" i="3"/>
  <c r="AX44" i="5"/>
  <c r="AY33" i="3"/>
  <c r="AY44" i="5"/>
  <c r="AZ33" i="3"/>
  <c r="C45" i="5"/>
  <c r="D45" i="5"/>
  <c r="E34" i="3"/>
  <c r="E45" i="5"/>
  <c r="F45" i="5"/>
  <c r="G45" i="5"/>
  <c r="H34" i="3"/>
  <c r="H45" i="5"/>
  <c r="I34" i="3"/>
  <c r="I45" i="5"/>
  <c r="J34" i="3"/>
  <c r="J45" i="5"/>
  <c r="K34" i="3"/>
  <c r="K45" i="5"/>
  <c r="L34" i="3"/>
  <c r="L45" i="5"/>
  <c r="M34" i="3"/>
  <c r="M45" i="5"/>
  <c r="N34" i="3"/>
  <c r="N45" i="5"/>
  <c r="O34" i="3"/>
  <c r="O45" i="5"/>
  <c r="P34" i="3"/>
  <c r="P45" i="5"/>
  <c r="Q34" i="3"/>
  <c r="Q45" i="5"/>
  <c r="R34" i="3"/>
  <c r="R45" i="5"/>
  <c r="S34" i="3"/>
  <c r="S45" i="5"/>
  <c r="T34" i="3"/>
  <c r="T45" i="5"/>
  <c r="U34" i="3"/>
  <c r="U45" i="5"/>
  <c r="V34" i="3"/>
  <c r="V45" i="5"/>
  <c r="W34" i="3"/>
  <c r="W45" i="5"/>
  <c r="X34" i="3"/>
  <c r="X45" i="5"/>
  <c r="Y34" i="3"/>
  <c r="Y45" i="5"/>
  <c r="Z34" i="3"/>
  <c r="Z45" i="5"/>
  <c r="AA34" i="3"/>
  <c r="AA45" i="5"/>
  <c r="AB34" i="3"/>
  <c r="AB45" i="5"/>
  <c r="AC34" i="3"/>
  <c r="AC45" i="5"/>
  <c r="AD34" i="3"/>
  <c r="AD45" i="5"/>
  <c r="AE34" i="3"/>
  <c r="AE45" i="5"/>
  <c r="AF34" i="3"/>
  <c r="AF45" i="5"/>
  <c r="AG34" i="3"/>
  <c r="AG45" i="5"/>
  <c r="AH45" i="5"/>
  <c r="AI34" i="3"/>
  <c r="AI45" i="5"/>
  <c r="AJ34" i="3"/>
  <c r="AJ45" i="5"/>
  <c r="AK34" i="3"/>
  <c r="AK45" i="5"/>
  <c r="AL34" i="3"/>
  <c r="AL45" i="5"/>
  <c r="AM34" i="3"/>
  <c r="AM45" i="5"/>
  <c r="AN34" i="3"/>
  <c r="AN45" i="5"/>
  <c r="AO34" i="3"/>
  <c r="AO45" i="5"/>
  <c r="AP34" i="3"/>
  <c r="AP45" i="5"/>
  <c r="AQ34" i="3"/>
  <c r="AQ45" i="5"/>
  <c r="AR34" i="3"/>
  <c r="AR45" i="5"/>
  <c r="AS34" i="3"/>
  <c r="AS45" i="5"/>
  <c r="AT34" i="3"/>
  <c r="AT45" i="5"/>
  <c r="AU34" i="3"/>
  <c r="AU45" i="5"/>
  <c r="AV34" i="3"/>
  <c r="AV45" i="5"/>
  <c r="AW34" i="3"/>
  <c r="AW45" i="5"/>
  <c r="AX34" i="3"/>
  <c r="AX45" i="5"/>
  <c r="AY34" i="3"/>
  <c r="AY45" i="5"/>
  <c r="AZ34" i="3"/>
  <c r="C46" i="5"/>
  <c r="D46" i="5"/>
  <c r="E46" i="5"/>
  <c r="F46" i="5"/>
  <c r="G46" i="5"/>
  <c r="H35" i="3"/>
  <c r="H46" i="5"/>
  <c r="I46" i="5"/>
  <c r="J46" i="5"/>
  <c r="K46" i="5"/>
  <c r="L46" i="5"/>
  <c r="M46" i="5"/>
  <c r="N46" i="5"/>
  <c r="O46" i="5"/>
  <c r="P46" i="5"/>
  <c r="Q46" i="5"/>
  <c r="R46" i="5"/>
  <c r="S46" i="5"/>
  <c r="T35" i="3"/>
  <c r="T46" i="5"/>
  <c r="U46" i="5"/>
  <c r="V46" i="5"/>
  <c r="W46" i="5"/>
  <c r="X46" i="5"/>
  <c r="Y46" i="5"/>
  <c r="Z46" i="5"/>
  <c r="AA46" i="5"/>
  <c r="AB46" i="5"/>
  <c r="AC46" i="5"/>
  <c r="AD46" i="5"/>
  <c r="AE46" i="5"/>
  <c r="AF35" i="3"/>
  <c r="AF46" i="5"/>
  <c r="AG46" i="5"/>
  <c r="AH46" i="5"/>
  <c r="AI46" i="5"/>
  <c r="AJ35" i="3"/>
  <c r="AJ46" i="5"/>
  <c r="AK46" i="5"/>
  <c r="AL46" i="5"/>
  <c r="AM46" i="5"/>
  <c r="AN46" i="5"/>
  <c r="AO46" i="5"/>
  <c r="AP46" i="5"/>
  <c r="AQ35" i="3"/>
  <c r="AQ46" i="5"/>
  <c r="AR46" i="5"/>
  <c r="AS46" i="5"/>
  <c r="AT46" i="5"/>
  <c r="AU46" i="5"/>
  <c r="AV46" i="5"/>
  <c r="AW46" i="5"/>
  <c r="AX46" i="5"/>
  <c r="AY46" i="5"/>
  <c r="C53" i="5"/>
  <c r="D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F55" i="5"/>
  <c r="C56" i="5"/>
  <c r="D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C59" i="5"/>
  <c r="D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D3" i="3"/>
  <c r="D4" i="3"/>
  <c r="E3" i="3"/>
  <c r="E5" i="3"/>
  <c r="G3" i="3"/>
  <c r="H3" i="3"/>
  <c r="H19" i="3"/>
  <c r="I3" i="3"/>
  <c r="J3" i="3"/>
  <c r="J19" i="3"/>
  <c r="K3" i="3"/>
  <c r="K19" i="3"/>
  <c r="L3" i="3"/>
  <c r="L19" i="3"/>
  <c r="M3" i="3"/>
  <c r="M5" i="3"/>
  <c r="N3" i="3"/>
  <c r="N19" i="3"/>
  <c r="O3" i="3"/>
  <c r="P3" i="3"/>
  <c r="P19" i="3"/>
  <c r="Q3" i="3"/>
  <c r="Q6" i="3"/>
  <c r="R3" i="3"/>
  <c r="S3" i="3"/>
  <c r="S19" i="3"/>
  <c r="T3" i="3"/>
  <c r="T5" i="3"/>
  <c r="U3" i="3"/>
  <c r="U6" i="3"/>
  <c r="V3" i="3"/>
  <c r="W3" i="3"/>
  <c r="W19" i="3"/>
  <c r="X3" i="3"/>
  <c r="X4" i="3"/>
  <c r="Y3" i="3"/>
  <c r="Y19" i="3"/>
  <c r="Z3" i="3"/>
  <c r="Z19" i="3"/>
  <c r="AA3" i="3"/>
  <c r="AB3" i="3"/>
  <c r="J7" i="3"/>
  <c r="M7" i="3"/>
  <c r="P7" i="3"/>
  <c r="S7" i="3"/>
  <c r="T7" i="3"/>
  <c r="V7" i="3"/>
  <c r="W7" i="3"/>
  <c r="X7" i="3"/>
  <c r="Y7" i="3"/>
  <c r="Z7" i="3"/>
  <c r="AA7" i="3"/>
  <c r="AB7" i="3"/>
  <c r="J8" i="3"/>
  <c r="M8" i="3"/>
  <c r="P8" i="3"/>
  <c r="S8" i="3"/>
  <c r="T8" i="3"/>
  <c r="V8" i="3"/>
  <c r="W8" i="3"/>
  <c r="X8" i="3"/>
  <c r="Y8" i="3"/>
  <c r="Z8" i="3"/>
  <c r="AA8" i="3"/>
  <c r="AB8" i="3"/>
  <c r="Y12" i="3"/>
  <c r="T26" i="3"/>
  <c r="Z26" i="3"/>
  <c r="AB26" i="3"/>
  <c r="O27" i="3"/>
  <c r="P27" i="3"/>
  <c r="Y27" i="3"/>
  <c r="F3" i="4"/>
  <c r="F4" i="4"/>
  <c r="F5" i="4"/>
  <c r="F6" i="4"/>
  <c r="F7" i="4"/>
  <c r="C8" i="4"/>
  <c r="D8" i="4"/>
  <c r="F12" i="4"/>
  <c r="F13" i="4"/>
  <c r="F14" i="4"/>
  <c r="F15" i="4"/>
  <c r="F16" i="4"/>
  <c r="C17" i="4"/>
  <c r="D17" i="4"/>
  <c r="D18" i="4"/>
  <c r="D19" i="4"/>
  <c r="F24" i="4"/>
  <c r="F25" i="4"/>
  <c r="F26" i="4"/>
  <c r="F27" i="4"/>
  <c r="C28" i="4"/>
  <c r="D28" i="4"/>
  <c r="D29" i="4"/>
  <c r="D30" i="4"/>
  <c r="F34" i="4"/>
  <c r="F35" i="4"/>
  <c r="F36" i="4"/>
  <c r="F37" i="4"/>
  <c r="F38" i="4"/>
  <c r="U7" i="3" s="1"/>
  <c r="C39" i="4"/>
  <c r="D39" i="4"/>
  <c r="F39" i="4"/>
  <c r="D40" i="4"/>
  <c r="D41" i="4"/>
  <c r="F45" i="4"/>
  <c r="C50" i="4"/>
  <c r="D50" i="4"/>
  <c r="H47" i="4" s="1"/>
  <c r="F50" i="4"/>
  <c r="F55" i="4"/>
  <c r="F56" i="4"/>
  <c r="F57" i="4"/>
  <c r="F58" i="4"/>
  <c r="F59" i="4"/>
  <c r="I60" i="4"/>
  <c r="BC16" i="8" s="1"/>
  <c r="F65" i="4"/>
  <c r="F66" i="4"/>
  <c r="F67" i="4"/>
  <c r="F68" i="4"/>
  <c r="C69" i="4"/>
  <c r="D69" i="4"/>
  <c r="I69" i="4"/>
  <c r="BF16" i="8"/>
  <c r="D70" i="4"/>
  <c r="D71" i="4"/>
  <c r="F76" i="4"/>
  <c r="F77" i="4"/>
  <c r="F78" i="4"/>
  <c r="F79" i="4"/>
  <c r="I80" i="4"/>
  <c r="D81" i="4"/>
  <c r="D82" i="4"/>
  <c r="F86" i="4"/>
  <c r="F87" i="4"/>
  <c r="F88" i="4"/>
  <c r="F89" i="4"/>
  <c r="F90" i="4"/>
  <c r="I91" i="4"/>
  <c r="D92" i="4"/>
  <c r="D93" i="4"/>
  <c r="F97" i="4"/>
  <c r="F102" i="4"/>
  <c r="C102" i="4"/>
  <c r="D102" i="4"/>
  <c r="I102" i="4"/>
  <c r="D103" i="4"/>
  <c r="D104" i="4"/>
  <c r="F42" i="11"/>
  <c r="U50" i="5"/>
  <c r="AH10" i="3"/>
  <c r="C4" i="2"/>
  <c r="D4" i="2"/>
  <c r="E4" i="2"/>
  <c r="B4" i="2"/>
  <c r="F48" i="11"/>
  <c r="C39" i="5"/>
  <c r="C37" i="5"/>
  <c r="D39" i="5"/>
  <c r="F39" i="5"/>
  <c r="F37" i="5" s="1"/>
  <c r="AM36" i="8" s="1"/>
  <c r="G39" i="5"/>
  <c r="G37" i="5" s="1"/>
  <c r="H39" i="5"/>
  <c r="I39" i="5"/>
  <c r="I37" i="5"/>
  <c r="J39" i="5"/>
  <c r="J37" i="5"/>
  <c r="K39" i="5"/>
  <c r="K37" i="5" s="1"/>
  <c r="L39" i="5"/>
  <c r="L37" i="5" s="1"/>
  <c r="M39" i="5"/>
  <c r="N39" i="5"/>
  <c r="O39" i="5"/>
  <c r="P39" i="5"/>
  <c r="P37" i="5"/>
  <c r="AW36" i="8" s="1"/>
  <c r="Q39" i="5"/>
  <c r="Q37" i="5" s="1"/>
  <c r="R39" i="5"/>
  <c r="R37" i="5" s="1"/>
  <c r="S39" i="5"/>
  <c r="U39" i="5"/>
  <c r="V39" i="5"/>
  <c r="W39" i="5"/>
  <c r="Y39" i="5"/>
  <c r="Z39" i="5"/>
  <c r="AA39" i="5"/>
  <c r="AA37" i="5" s="1"/>
  <c r="AE39" i="5"/>
  <c r="AF39" i="5"/>
  <c r="AG39" i="5"/>
  <c r="AH39" i="5"/>
  <c r="AJ39" i="5"/>
  <c r="AK39" i="5"/>
  <c r="AL39" i="5"/>
  <c r="AL37" i="5" s="1"/>
  <c r="AM39" i="5"/>
  <c r="AN39" i="5"/>
  <c r="AO39" i="5"/>
  <c r="AP39" i="5"/>
  <c r="AP37" i="5" s="1"/>
  <c r="AQ39" i="5"/>
  <c r="AR39" i="5"/>
  <c r="C7" i="2"/>
  <c r="C3" i="2"/>
  <c r="D7" i="2"/>
  <c r="AU39" i="5"/>
  <c r="E7" i="2"/>
  <c r="AV39" i="5"/>
  <c r="B7" i="2"/>
  <c r="H54" i="5"/>
  <c r="T54" i="5"/>
  <c r="U54" i="5"/>
  <c r="W54" i="5"/>
  <c r="AB32" i="3"/>
  <c r="AK32" i="3"/>
  <c r="C12" i="2"/>
  <c r="D12" i="2"/>
  <c r="E12" i="2"/>
  <c r="E44" i="5"/>
  <c r="E43" i="5"/>
  <c r="F46" i="11"/>
  <c r="C54" i="5"/>
  <c r="L52" i="5"/>
  <c r="R54" i="5"/>
  <c r="B20" i="2"/>
  <c r="C20" i="2"/>
  <c r="D20" i="2"/>
  <c r="E20" i="2"/>
  <c r="D54" i="5"/>
  <c r="F57" i="5"/>
  <c r="G47" i="5"/>
  <c r="H57" i="5"/>
  <c r="I47" i="5"/>
  <c r="J37" i="3"/>
  <c r="J57" i="5"/>
  <c r="L57" i="5"/>
  <c r="M57" i="5"/>
  <c r="N47" i="5"/>
  <c r="O57" i="5"/>
  <c r="P57" i="5"/>
  <c r="Q47" i="5"/>
  <c r="T32" i="3"/>
  <c r="T47" i="5"/>
  <c r="U57" i="5"/>
  <c r="V57" i="5"/>
  <c r="W57" i="5"/>
  <c r="X57" i="5"/>
  <c r="Y47" i="5"/>
  <c r="Y57" i="5"/>
  <c r="Z47" i="5"/>
  <c r="AB57" i="5"/>
  <c r="AC57" i="5"/>
  <c r="AE47" i="5"/>
  <c r="AG47" i="5"/>
  <c r="AH47" i="5"/>
  <c r="AI47" i="5"/>
  <c r="AJ47" i="5"/>
  <c r="AK47" i="5"/>
  <c r="AK43" i="5"/>
  <c r="AL47" i="5"/>
  <c r="AM47" i="5"/>
  <c r="AN47" i="5"/>
  <c r="AO47" i="5"/>
  <c r="AP47" i="5"/>
  <c r="AQ47" i="5"/>
  <c r="C23" i="2"/>
  <c r="AT47" i="5"/>
  <c r="D23" i="2"/>
  <c r="D39" i="2"/>
  <c r="AV32" i="3"/>
  <c r="E23" i="2"/>
  <c r="E39" i="2"/>
  <c r="AW32" i="3"/>
  <c r="AV47" i="5"/>
  <c r="B30" i="2"/>
  <c r="C30" i="2"/>
  <c r="D30" i="2"/>
  <c r="E30" i="2"/>
  <c r="AM47" i="8"/>
  <c r="G13" i="3"/>
  <c r="AN47" i="8"/>
  <c r="AO47" i="8"/>
  <c r="AP47" i="8"/>
  <c r="AQ47" i="8"/>
  <c r="AR47" i="8"/>
  <c r="AS47" i="8"/>
  <c r="AT47" i="8"/>
  <c r="N13" i="3"/>
  <c r="AU47" i="8"/>
  <c r="O12" i="3"/>
  <c r="AW47" i="8"/>
  <c r="Q12" i="3"/>
  <c r="AX47" i="8"/>
  <c r="AZ47" i="8"/>
  <c r="BB47" i="8"/>
  <c r="BD47" i="8"/>
  <c r="BE47" i="8"/>
  <c r="BF47" i="8"/>
  <c r="BG47" i="8"/>
  <c r="BH47" i="8"/>
  <c r="BI47" i="8"/>
  <c r="BK47" i="8"/>
  <c r="AE55" i="5"/>
  <c r="BY47" i="8"/>
  <c r="C4" i="1"/>
  <c r="D4" i="1"/>
  <c r="AV12" i="3"/>
  <c r="E4" i="1"/>
  <c r="B4" i="1"/>
  <c r="C58" i="5"/>
  <c r="F58" i="5"/>
  <c r="G58" i="5"/>
  <c r="H58" i="5"/>
  <c r="J58" i="5"/>
  <c r="K58" i="5"/>
  <c r="M58" i="5"/>
  <c r="N58" i="5"/>
  <c r="O58" i="5"/>
  <c r="P58" i="5"/>
  <c r="R58" i="5"/>
  <c r="S58" i="5"/>
  <c r="U58" i="5"/>
  <c r="V58" i="5"/>
  <c r="W58" i="5"/>
  <c r="X58" i="5"/>
  <c r="Z58" i="5"/>
  <c r="AA58" i="5"/>
  <c r="AC58" i="5"/>
  <c r="AD58" i="5"/>
  <c r="AE58" i="5"/>
  <c r="C8" i="1"/>
  <c r="D8" i="1"/>
  <c r="E8" i="1"/>
  <c r="AS28" i="5"/>
  <c r="AS26" i="5"/>
  <c r="D30" i="5"/>
  <c r="F30" i="5"/>
  <c r="H30" i="5"/>
  <c r="AO34" i="8"/>
  <c r="I30" i="5"/>
  <c r="AP34" i="8"/>
  <c r="J30" i="5"/>
  <c r="K30" i="5"/>
  <c r="AR34" i="8"/>
  <c r="O30" i="5"/>
  <c r="AV34" i="8"/>
  <c r="P30" i="5"/>
  <c r="R30" i="5"/>
  <c r="T38" i="3"/>
  <c r="S30" i="5"/>
  <c r="T30" i="5"/>
  <c r="U30" i="5"/>
  <c r="V30" i="5"/>
  <c r="W30" i="5"/>
  <c r="BD34" i="8"/>
  <c r="Y30" i="5"/>
  <c r="Z30" i="5"/>
  <c r="AB30" i="5"/>
  <c r="AG30" i="5"/>
  <c r="AH30" i="5"/>
  <c r="BO34" i="8"/>
  <c r="AI30" i="5"/>
  <c r="AL30" i="5"/>
  <c r="CF34" i="8" s="1"/>
  <c r="AM30" i="5"/>
  <c r="AN30" i="5"/>
  <c r="AQ30" i="5"/>
  <c r="C14" i="1"/>
  <c r="D14" i="1"/>
  <c r="AU30" i="5"/>
  <c r="CB34" i="8"/>
  <c r="E14" i="1"/>
  <c r="AV30" i="5"/>
  <c r="CC34" i="8"/>
  <c r="B14" i="1"/>
  <c r="AS30" i="5"/>
  <c r="C60" i="5"/>
  <c r="I60" i="5"/>
  <c r="L60" i="5"/>
  <c r="Q60" i="5"/>
  <c r="R60" i="5"/>
  <c r="S60" i="5"/>
  <c r="T60" i="5"/>
  <c r="AF23" i="3"/>
  <c r="B17" i="1"/>
  <c r="C17" i="1"/>
  <c r="D17" i="1"/>
  <c r="E17" i="1"/>
  <c r="C34" i="5"/>
  <c r="I34" i="5"/>
  <c r="O34" i="5"/>
  <c r="S14" i="3"/>
  <c r="S34" i="5"/>
  <c r="W34" i="5"/>
  <c r="AB34" i="5"/>
  <c r="AE34" i="5"/>
  <c r="AF34" i="5"/>
  <c r="AG34" i="5"/>
  <c r="AH34" i="5"/>
  <c r="AI34" i="5"/>
  <c r="AK34" i="5"/>
  <c r="AL34" i="5"/>
  <c r="AN34" i="5"/>
  <c r="AP34" i="5"/>
  <c r="C21" i="1"/>
  <c r="D21" i="1"/>
  <c r="D27" i="1"/>
  <c r="E21" i="1"/>
  <c r="AV34" i="5"/>
  <c r="D23" i="3"/>
  <c r="E5" i="5"/>
  <c r="I21" i="3"/>
  <c r="Q18" i="3"/>
  <c r="W5" i="3"/>
  <c r="AC5" i="5"/>
  <c r="AD5" i="5"/>
  <c r="BK8" i="8" s="1"/>
  <c r="AE5" i="5"/>
  <c r="AF5" i="5"/>
  <c r="AG25" i="3"/>
  <c r="AG5" i="5"/>
  <c r="AH25" i="3"/>
  <c r="AH5" i="5"/>
  <c r="AI25" i="3"/>
  <c r="AI5" i="5"/>
  <c r="AK5" i="5"/>
  <c r="AL5" i="5"/>
  <c r="AM5" i="5"/>
  <c r="AN5" i="5"/>
  <c r="AR5" i="5"/>
  <c r="B31" i="1"/>
  <c r="C31" i="1"/>
  <c r="AT5" i="5"/>
  <c r="D31" i="1"/>
  <c r="AU5" i="5"/>
  <c r="E31" i="1"/>
  <c r="AW18" i="3"/>
  <c r="AS9" i="5"/>
  <c r="F3" i="3"/>
  <c r="AT3" i="3"/>
  <c r="C48" i="1"/>
  <c r="D48" i="1"/>
  <c r="E48" i="1"/>
  <c r="F114" i="4"/>
  <c r="AH5" i="3"/>
  <c r="AH19" i="3"/>
  <c r="AN32" i="3"/>
  <c r="C50" i="5"/>
  <c r="I57" i="5"/>
  <c r="E53" i="5"/>
  <c r="M54" i="5"/>
  <c r="AS44" i="5"/>
  <c r="AT33" i="3"/>
  <c r="Z32" i="3"/>
  <c r="M32" i="3"/>
  <c r="I50" i="5"/>
  <c r="H47" i="5"/>
  <c r="S54" i="5"/>
  <c r="K54" i="5"/>
  <c r="P50" i="5"/>
  <c r="L50" i="5"/>
  <c r="M10" i="3"/>
  <c r="Q57" i="5"/>
  <c r="G54" i="5"/>
  <c r="J50" i="5"/>
  <c r="K10" i="3"/>
  <c r="E38" i="5"/>
  <c r="J10" i="3"/>
  <c r="Y32" i="3"/>
  <c r="J47" i="5"/>
  <c r="H50" i="5"/>
  <c r="J54" i="5"/>
  <c r="E39" i="5"/>
  <c r="S57" i="5"/>
  <c r="K57" i="5"/>
  <c r="C57" i="5"/>
  <c r="AD47" i="5"/>
  <c r="F47" i="5"/>
  <c r="M47" i="5"/>
  <c r="AB47" i="5"/>
  <c r="L47" i="5"/>
  <c r="K47" i="5"/>
  <c r="L37" i="3"/>
  <c r="C47" i="5"/>
  <c r="AY5" i="5"/>
  <c r="H4" i="5"/>
  <c r="I22" i="3"/>
  <c r="I23" i="3"/>
  <c r="T58" i="5"/>
  <c r="U55" i="5"/>
  <c r="V13" i="3"/>
  <c r="E36" i="5"/>
  <c r="E55" i="5"/>
  <c r="F12" i="3"/>
  <c r="D5" i="5"/>
  <c r="E18" i="3"/>
  <c r="Z34" i="5"/>
  <c r="R34" i="5"/>
  <c r="J34" i="5"/>
  <c r="AW14" i="8"/>
  <c r="P60" i="5"/>
  <c r="AO14" i="8"/>
  <c r="H60" i="5"/>
  <c r="AB55" i="5"/>
  <c r="L36" i="5"/>
  <c r="L55" i="5"/>
  <c r="M12" i="3"/>
  <c r="D36" i="5"/>
  <c r="AK47" i="8"/>
  <c r="D55" i="5"/>
  <c r="E12" i="3"/>
  <c r="E13" i="3"/>
  <c r="O19" i="3"/>
  <c r="M55" i="5"/>
  <c r="N12" i="3"/>
  <c r="M36" i="5"/>
  <c r="Q58" i="5"/>
  <c r="AP5" i="5"/>
  <c r="BW31" i="8"/>
  <c r="Z5" i="5"/>
  <c r="AA18" i="3"/>
  <c r="R5" i="5"/>
  <c r="S18" i="3"/>
  <c r="P4" i="5"/>
  <c r="Q14" i="3"/>
  <c r="Q22" i="3"/>
  <c r="Q23" i="3"/>
  <c r="Q20" i="3"/>
  <c r="P34" i="5"/>
  <c r="Q16" i="3"/>
  <c r="Q17" i="3"/>
  <c r="H34" i="5"/>
  <c r="I16" i="3"/>
  <c r="V60" i="5"/>
  <c r="AF28" i="5"/>
  <c r="AF58" i="5"/>
  <c r="AB58" i="5"/>
  <c r="AC55" i="5"/>
  <c r="Y58" i="5"/>
  <c r="J5" i="5"/>
  <c r="AQ31" i="8"/>
  <c r="K18" i="3"/>
  <c r="E9" i="5"/>
  <c r="E56" i="5"/>
  <c r="Z18" i="3"/>
  <c r="I5" i="5"/>
  <c r="J18" i="3"/>
  <c r="G34" i="5"/>
  <c r="BJ55" i="8"/>
  <c r="M60" i="5"/>
  <c r="E60" i="5"/>
  <c r="E59" i="5"/>
  <c r="E58" i="5"/>
  <c r="E27" i="5"/>
  <c r="I58" i="5"/>
  <c r="Q5" i="5"/>
  <c r="R18" i="3"/>
  <c r="V12" i="3"/>
  <c r="D58" i="5"/>
  <c r="X12" i="3"/>
  <c r="G55" i="5"/>
  <c r="G36" i="5"/>
  <c r="H12" i="3"/>
  <c r="H13" i="3"/>
  <c r="X5" i="5"/>
  <c r="Y25" i="3"/>
  <c r="Q21" i="3"/>
  <c r="H5" i="5"/>
  <c r="AO24" i="8"/>
  <c r="AO31" i="8"/>
  <c r="F34" i="5"/>
  <c r="AK14" i="8"/>
  <c r="AB12" i="3"/>
  <c r="AA55" i="5"/>
  <c r="AB13" i="3"/>
  <c r="T12" i="3"/>
  <c r="T13" i="3"/>
  <c r="K36" i="5"/>
  <c r="K55" i="5"/>
  <c r="L12" i="3"/>
  <c r="L13" i="3"/>
  <c r="D12" i="3"/>
  <c r="D13" i="3"/>
  <c r="D17" i="3"/>
  <c r="L5" i="3"/>
  <c r="W5" i="5"/>
  <c r="O5" i="5"/>
  <c r="U34" i="5"/>
  <c r="M34" i="5"/>
  <c r="N17" i="3"/>
  <c r="E34" i="5"/>
  <c r="Z55" i="5"/>
  <c r="AA12" i="3"/>
  <c r="AA13" i="3"/>
  <c r="S12" i="3"/>
  <c r="J55" i="5"/>
  <c r="K12" i="3"/>
  <c r="K13" i="3"/>
  <c r="J36" i="5"/>
  <c r="H21" i="3"/>
  <c r="M19" i="3"/>
  <c r="C55" i="5"/>
  <c r="N5" i="5"/>
  <c r="O18" i="3"/>
  <c r="F5" i="5"/>
  <c r="AM31" i="8"/>
  <c r="G18" i="3"/>
  <c r="T34" i="5"/>
  <c r="L34" i="5"/>
  <c r="D34" i="5"/>
  <c r="E17" i="3"/>
  <c r="Y55" i="5"/>
  <c r="Z12" i="3"/>
  <c r="Q55" i="5"/>
  <c r="R12" i="3"/>
  <c r="R13" i="3"/>
  <c r="I55" i="5"/>
  <c r="J12" i="3"/>
  <c r="J13" i="3"/>
  <c r="I36" i="5"/>
  <c r="Y18" i="3"/>
  <c r="I18" i="3"/>
  <c r="D15" i="3"/>
  <c r="U5" i="5"/>
  <c r="BB19" i="8" s="1"/>
  <c r="BB31" i="8"/>
  <c r="V18" i="3"/>
  <c r="M5" i="5"/>
  <c r="N18" i="3"/>
  <c r="C4" i="5"/>
  <c r="D11" i="3"/>
  <c r="D20" i="3"/>
  <c r="F18" i="3"/>
  <c r="E26" i="5"/>
  <c r="AF55" i="5"/>
  <c r="Y13" i="3"/>
  <c r="X55" i="5"/>
  <c r="Q13" i="3"/>
  <c r="Q15" i="3"/>
  <c r="H55" i="5"/>
  <c r="I13" i="3"/>
  <c r="H36" i="5"/>
  <c r="I15" i="3"/>
  <c r="X18" i="3"/>
  <c r="AB60" i="5"/>
  <c r="K60" i="5"/>
  <c r="AA5" i="5"/>
  <c r="AB18" i="3"/>
  <c r="S5" i="5"/>
  <c r="T18" i="3"/>
  <c r="K5" i="5"/>
  <c r="L18" i="3"/>
  <c r="C5" i="5"/>
  <c r="D18" i="3"/>
  <c r="D21" i="3"/>
  <c r="G60" i="5"/>
  <c r="V55" i="5"/>
  <c r="N55" i="5"/>
  <c r="F36" i="5"/>
  <c r="D16" i="3"/>
  <c r="O13" i="3"/>
  <c r="Z60" i="5"/>
  <c r="J60" i="5"/>
  <c r="P55" i="5"/>
  <c r="D10" i="3"/>
  <c r="L32" i="3"/>
  <c r="E57" i="5"/>
  <c r="E47" i="5"/>
  <c r="E54" i="5"/>
  <c r="F32" i="3"/>
  <c r="L51" i="5"/>
  <c r="I51" i="5"/>
  <c r="I52" i="5"/>
  <c r="J51" i="5"/>
  <c r="J52" i="5"/>
  <c r="E16" i="3"/>
  <c r="N22" i="3"/>
  <c r="E15" i="3"/>
  <c r="S25" i="3"/>
  <c r="E20" i="3"/>
  <c r="D4" i="5"/>
  <c r="AK27" i="8" s="1"/>
  <c r="AK21" i="8"/>
  <c r="E23" i="3"/>
  <c r="E14" i="3"/>
  <c r="E22" i="3"/>
  <c r="J20" i="3"/>
  <c r="J14" i="3"/>
  <c r="J23" i="3"/>
  <c r="E21" i="3"/>
  <c r="F13" i="3"/>
  <c r="F187" i="4"/>
  <c r="D165" i="4"/>
  <c r="D128" i="4"/>
  <c r="F175" i="4"/>
  <c r="F163" i="4"/>
  <c r="F151" i="4"/>
  <c r="F138" i="4"/>
  <c r="F126" i="4"/>
  <c r="BA5" i="3"/>
  <c r="AZ5" i="5"/>
  <c r="AZ30" i="5"/>
  <c r="BA13" i="3"/>
  <c r="G43" i="5"/>
  <c r="E11" i="3"/>
  <c r="D57" i="5"/>
  <c r="I54" i="5"/>
  <c r="I10" i="3"/>
  <c r="D47" i="5"/>
  <c r="V50" i="5"/>
  <c r="H51" i="5"/>
  <c r="D50" i="5"/>
  <c r="L54" i="5"/>
  <c r="G57" i="5"/>
  <c r="X54" i="5"/>
  <c r="X41" i="5"/>
  <c r="L3" i="2"/>
  <c r="L19" i="2"/>
  <c r="L29" i="2"/>
  <c r="L33" i="2"/>
  <c r="L35" i="2"/>
  <c r="L37" i="2"/>
  <c r="E50" i="5"/>
  <c r="U47" i="5"/>
  <c r="V32" i="3"/>
  <c r="N54" i="5"/>
  <c r="Q54" i="5"/>
  <c r="H52" i="5"/>
  <c r="I9" i="3"/>
  <c r="C52" i="5"/>
  <c r="C51" i="5"/>
  <c r="X39" i="5"/>
  <c r="X37" i="5"/>
  <c r="N57" i="5"/>
  <c r="F54" i="5"/>
  <c r="G32" i="3"/>
  <c r="R47" i="5"/>
  <c r="R57" i="5"/>
  <c r="U32" i="3"/>
  <c r="T39" i="5"/>
  <c r="F50" i="5"/>
  <c r="K32" i="3"/>
  <c r="AI39" i="5"/>
  <c r="M50" i="5"/>
  <c r="AR47" i="5"/>
  <c r="AD57" i="5"/>
  <c r="AC39" i="5"/>
  <c r="AR55" i="8"/>
  <c r="L22" i="3"/>
  <c r="L14" i="3"/>
  <c r="K4" i="5"/>
  <c r="L20" i="3"/>
  <c r="L21" i="3"/>
  <c r="L6" i="3"/>
  <c r="L17" i="3"/>
  <c r="L23" i="3"/>
  <c r="L4" i="3"/>
  <c r="BG55" i="8"/>
  <c r="AA15" i="3"/>
  <c r="AA23" i="3"/>
  <c r="Z4" i="5"/>
  <c r="AA21" i="3"/>
  <c r="AA20" i="3"/>
  <c r="AA17" i="3"/>
  <c r="AA14" i="3"/>
  <c r="AQ55" i="8"/>
  <c r="AQ56" i="8"/>
  <c r="AQ14" i="8"/>
  <c r="K21" i="3"/>
  <c r="J4" i="5"/>
  <c r="AQ15" i="8"/>
  <c r="K17" i="3"/>
  <c r="K11" i="3"/>
  <c r="K16" i="3"/>
  <c r="K14" i="3"/>
  <c r="K22" i="3"/>
  <c r="J16" i="3"/>
  <c r="G5" i="5"/>
  <c r="AN31" i="8"/>
  <c r="H5" i="3"/>
  <c r="H18" i="3"/>
  <c r="AO34" i="5"/>
  <c r="X60" i="5"/>
  <c r="X34" i="5"/>
  <c r="J9" i="3"/>
  <c r="J22" i="3"/>
  <c r="AR58" i="8"/>
  <c r="AC34" i="5"/>
  <c r="AC60" i="5"/>
  <c r="E31" i="5"/>
  <c r="K23" i="3"/>
  <c r="AA16" i="3"/>
  <c r="AN55" i="8"/>
  <c r="H14" i="3"/>
  <c r="H4" i="3"/>
  <c r="H23" i="3"/>
  <c r="H6" i="3"/>
  <c r="AN14" i="8"/>
  <c r="H20" i="3"/>
  <c r="H22" i="3"/>
  <c r="H11" i="3"/>
  <c r="H16" i="3"/>
  <c r="G4" i="5"/>
  <c r="AN25" i="8"/>
  <c r="H17" i="3"/>
  <c r="H15" i="3"/>
  <c r="F60" i="5"/>
  <c r="J21" i="3"/>
  <c r="AT58" i="8"/>
  <c r="AY14" i="8"/>
  <c r="K20" i="3"/>
  <c r="AQ34" i="8"/>
  <c r="AK15" i="8"/>
  <c r="K9" i="3"/>
  <c r="J17" i="3"/>
  <c r="I4" i="5"/>
  <c r="K36" i="3" s="1"/>
  <c r="AP57" i="8"/>
  <c r="BG14" i="8"/>
  <c r="AA22" i="3"/>
  <c r="AO30" i="5"/>
  <c r="J11" i="3"/>
  <c r="AP56" i="8"/>
  <c r="AP55" i="8"/>
  <c r="I11" i="3"/>
  <c r="J15" i="3"/>
  <c r="AP14" i="8"/>
  <c r="AY55" i="8"/>
  <c r="S17" i="3"/>
  <c r="S22" i="3"/>
  <c r="S23" i="3"/>
  <c r="S4" i="3"/>
  <c r="S6" i="3"/>
  <c r="S21" i="3"/>
  <c r="R4" i="5"/>
  <c r="AY15" i="8" s="1"/>
  <c r="AY26" i="8"/>
  <c r="S20" i="3"/>
  <c r="K34" i="5"/>
  <c r="L16" i="3"/>
  <c r="AR14" i="8"/>
  <c r="E18" i="5"/>
  <c r="M18" i="3"/>
  <c r="I20" i="3"/>
  <c r="AZ25" i="3"/>
  <c r="C38" i="1"/>
  <c r="C49" i="1"/>
  <c r="AP18" i="3"/>
  <c r="AL18" i="3"/>
  <c r="AH18" i="3"/>
  <c r="AD18" i="3"/>
  <c r="K15" i="3"/>
  <c r="AJ30" i="5"/>
  <c r="CD34" i="8" s="1"/>
  <c r="BM47" i="8"/>
  <c r="AG12" i="3"/>
  <c r="AG13" i="3"/>
  <c r="AL47" i="8"/>
  <c r="I12" i="3"/>
  <c r="AO58" i="8"/>
  <c r="L5" i="5"/>
  <c r="M25" i="3"/>
  <c r="AS18" i="3"/>
  <c r="D60" i="5"/>
  <c r="AE30" i="5"/>
  <c r="G30" i="5"/>
  <c r="C30" i="5"/>
  <c r="CC47" i="8"/>
  <c r="AW12" i="3"/>
  <c r="AF12" i="3"/>
  <c r="AF13" i="3"/>
  <c r="BL47" i="8"/>
  <c r="AO18" i="3"/>
  <c r="AG18" i="3"/>
  <c r="AO55" i="8"/>
  <c r="AO56" i="8"/>
  <c r="BS47" i="8"/>
  <c r="AM13" i="3"/>
  <c r="AM12" i="3"/>
  <c r="BC47" i="8"/>
  <c r="W12" i="3"/>
  <c r="AZ28" i="3"/>
  <c r="AQ28" i="3"/>
  <c r="AA28" i="3"/>
  <c r="S35" i="3"/>
  <c r="S28" i="3"/>
  <c r="AT55" i="8"/>
  <c r="I14" i="3"/>
  <c r="T6" i="3"/>
  <c r="CA47" i="8"/>
  <c r="AU13" i="3"/>
  <c r="AU12" i="3"/>
  <c r="BJ47" i="8"/>
  <c r="AD12" i="3"/>
  <c r="AD13" i="3"/>
  <c r="AD15" i="3"/>
  <c r="P5" i="5"/>
  <c r="I17" i="3"/>
  <c r="AS18" i="5"/>
  <c r="AS14" i="5"/>
  <c r="AS11" i="5"/>
  <c r="AR18" i="3"/>
  <c r="AJ18" i="3"/>
  <c r="AF18" i="3"/>
  <c r="AT14" i="8"/>
  <c r="AP31" i="8"/>
  <c r="AP58" i="8"/>
  <c r="AQ18" i="3"/>
  <c r="AI18" i="3"/>
  <c r="AW55" i="8"/>
  <c r="Y34" i="5"/>
  <c r="AC30" i="5"/>
  <c r="M30" i="5"/>
  <c r="AT34" i="8"/>
  <c r="AU18" i="3"/>
  <c r="AE18" i="3"/>
  <c r="D14" i="3"/>
  <c r="D22" i="3"/>
  <c r="S16" i="3"/>
  <c r="AQ13" i="3"/>
  <c r="BW47" i="8"/>
  <c r="AQ12" i="3"/>
  <c r="BO47" i="8"/>
  <c r="AI12" i="3"/>
  <c r="AI13" i="3"/>
  <c r="R5" i="3"/>
  <c r="R19" i="3"/>
  <c r="AM28" i="3"/>
  <c r="AE28" i="3"/>
  <c r="BR47" i="8"/>
  <c r="AL12" i="3"/>
  <c r="AL13" i="3"/>
  <c r="AU32" i="8"/>
  <c r="AU60" i="8"/>
  <c r="AM32" i="8"/>
  <c r="AM60" i="8"/>
  <c r="AP28" i="3"/>
  <c r="AH28" i="3"/>
  <c r="AC12" i="3"/>
  <c r="AJ5" i="3"/>
  <c r="AT32" i="8"/>
  <c r="AT60" i="8"/>
  <c r="AM33" i="8"/>
  <c r="AM59" i="8"/>
  <c r="AZ18" i="3"/>
  <c r="AE13" i="3"/>
  <c r="BB18" i="3"/>
  <c r="AZ33" i="8"/>
  <c r="BX47" i="8"/>
  <c r="AR12" i="3"/>
  <c r="AR13" i="3"/>
  <c r="BP47" i="8"/>
  <c r="AJ12" i="3"/>
  <c r="AJ13" i="3"/>
  <c r="Y28" i="3"/>
  <c r="G12" i="3"/>
  <c r="BI32" i="8"/>
  <c r="BI60" i="8"/>
  <c r="AT26" i="3"/>
  <c r="AN28" i="3"/>
  <c r="AN26" i="3"/>
  <c r="AF26" i="3"/>
  <c r="AU33" i="8"/>
  <c r="AY27" i="3"/>
  <c r="BY59" i="8"/>
  <c r="BQ33" i="8"/>
  <c r="AS33" i="8"/>
  <c r="AS59" i="8"/>
  <c r="AM26" i="3"/>
  <c r="AG5" i="3"/>
  <c r="BS59" i="8"/>
  <c r="BV47" i="8"/>
  <c r="AP12" i="3"/>
  <c r="AP13" i="3"/>
  <c r="BN47" i="8"/>
  <c r="AH12" i="3"/>
  <c r="AH13" i="3"/>
  <c r="L15" i="3"/>
  <c r="AQ41" i="5"/>
  <c r="CD60" i="8"/>
  <c r="BG32" i="8"/>
  <c r="CF59" i="8"/>
  <c r="CF33" i="8"/>
  <c r="AZ26" i="3"/>
  <c r="BH33" i="8"/>
  <c r="BH59" i="8"/>
  <c r="AZ59" i="8"/>
  <c r="AL28" i="3"/>
  <c r="AD28" i="3"/>
  <c r="BH32" i="8"/>
  <c r="BA5" i="5"/>
  <c r="BB25" i="3"/>
  <c r="BB5" i="3"/>
  <c r="AN12" i="3"/>
  <c r="BT47" i="8"/>
  <c r="U28" i="3"/>
  <c r="N27" i="3"/>
  <c r="S55" i="5"/>
  <c r="AY28" i="3"/>
  <c r="BU32" i="8"/>
  <c r="CH60" i="8"/>
  <c r="BV33" i="8"/>
  <c r="BV59" i="8"/>
  <c r="BF33" i="8"/>
  <c r="BF59" i="8"/>
  <c r="AY12" i="3"/>
  <c r="BB30" i="5"/>
  <c r="CI34" i="8"/>
  <c r="AJ27" i="3"/>
  <c r="AR26" i="3"/>
  <c r="AL19" i="3"/>
  <c r="AV60" i="8"/>
  <c r="AV32" i="8"/>
  <c r="AW33" i="8"/>
  <c r="AW59" i="8"/>
  <c r="AX12" i="3"/>
  <c r="CD47" i="8"/>
  <c r="AX13" i="3"/>
  <c r="AM35" i="3"/>
  <c r="AE12" i="3"/>
  <c r="BA28" i="3"/>
  <c r="CH33" i="8"/>
  <c r="AJ19" i="3"/>
  <c r="BB19" i="3"/>
  <c r="AS5" i="3"/>
  <c r="CH32" i="8"/>
  <c r="E52" i="5"/>
  <c r="J32" i="3"/>
  <c r="I32" i="3"/>
  <c r="H32" i="3"/>
  <c r="D32" i="3"/>
  <c r="E32" i="3"/>
  <c r="N50" i="5"/>
  <c r="U10" i="3"/>
  <c r="T50" i="5"/>
  <c r="E10" i="3"/>
  <c r="D51" i="5"/>
  <c r="X50" i="5"/>
  <c r="N10" i="3"/>
  <c r="M51" i="5"/>
  <c r="F52" i="5"/>
  <c r="G10" i="3"/>
  <c r="F51" i="5"/>
  <c r="G50" i="5"/>
  <c r="N32" i="3"/>
  <c r="E51" i="5"/>
  <c r="K50" i="5"/>
  <c r="AS58" i="8"/>
  <c r="AS31" i="8"/>
  <c r="L25" i="3"/>
  <c r="AM55" i="8"/>
  <c r="G16" i="3"/>
  <c r="G17" i="3"/>
  <c r="G14" i="3"/>
  <c r="G22" i="3"/>
  <c r="G11" i="3"/>
  <c r="G23" i="3"/>
  <c r="G20" i="3"/>
  <c r="G21" i="3"/>
  <c r="F4" i="5"/>
  <c r="AM15" i="8" s="1"/>
  <c r="AM57" i="8"/>
  <c r="G15" i="3"/>
  <c r="AQ30" i="8"/>
  <c r="AQ57" i="8"/>
  <c r="BA55" i="8"/>
  <c r="BA14" i="8"/>
  <c r="U15" i="3"/>
  <c r="S11" i="3"/>
  <c r="T4" i="5"/>
  <c r="BA57" i="8"/>
  <c r="U17" i="3"/>
  <c r="U11" i="3"/>
  <c r="U16" i="3"/>
  <c r="U20" i="3"/>
  <c r="U22" i="3"/>
  <c r="U23" i="3"/>
  <c r="U14" i="3"/>
  <c r="AM14" i="8"/>
  <c r="AN57" i="8"/>
  <c r="H24" i="3"/>
  <c r="AN15" i="8"/>
  <c r="E30" i="5"/>
  <c r="AL34" i="8"/>
  <c r="BL14" i="8"/>
  <c r="J24" i="3"/>
  <c r="BG26" i="8"/>
  <c r="BG27" i="8"/>
  <c r="BD55" i="8"/>
  <c r="X11" i="3"/>
  <c r="X16" i="3"/>
  <c r="X17" i="3"/>
  <c r="W4" i="5"/>
  <c r="BD7" i="8" s="1"/>
  <c r="BD57" i="8"/>
  <c r="X14" i="3"/>
  <c r="X22" i="3"/>
  <c r="X23" i="3"/>
  <c r="X15" i="3"/>
  <c r="BD14" i="8"/>
  <c r="X20" i="3"/>
  <c r="X21" i="3"/>
  <c r="X6" i="3"/>
  <c r="AR57" i="8"/>
  <c r="AR21" i="8"/>
  <c r="AR24" i="8"/>
  <c r="AR9" i="8"/>
  <c r="Z16" i="3"/>
  <c r="Z20" i="3"/>
  <c r="Z14" i="3"/>
  <c r="AZ55" i="8"/>
  <c r="T14" i="3"/>
  <c r="T20" i="3"/>
  <c r="T22" i="3"/>
  <c r="T23" i="3"/>
  <c r="AZ14" i="8"/>
  <c r="T15" i="3"/>
  <c r="T17" i="3"/>
  <c r="T16" i="3"/>
  <c r="T21" i="3"/>
  <c r="T4" i="3"/>
  <c r="S4" i="5"/>
  <c r="F10" i="3"/>
  <c r="N51" i="5"/>
  <c r="O10" i="3"/>
  <c r="L10" i="3"/>
  <c r="K51" i="5"/>
  <c r="H10" i="3"/>
  <c r="G51" i="5"/>
  <c r="E9" i="3"/>
  <c r="D52" i="5"/>
  <c r="M52" i="5"/>
  <c r="E4" i="5"/>
  <c r="F15" i="3"/>
  <c r="F17" i="3"/>
  <c r="F14" i="3"/>
  <c r="F11" i="3"/>
  <c r="F16" i="3"/>
  <c r="F20" i="3"/>
  <c r="F22" i="3"/>
  <c r="F23" i="3"/>
  <c r="AL14" i="8"/>
  <c r="F21" i="3"/>
  <c r="AM56" i="8"/>
  <c r="N52" i="5"/>
  <c r="G52" i="5"/>
  <c r="H9" i="3"/>
  <c r="AN56" i="8"/>
  <c r="K52" i="5"/>
  <c r="L9" i="3"/>
  <c r="AR56" i="8"/>
  <c r="AP38" i="3"/>
  <c r="BC34" i="3"/>
  <c r="S41" i="5"/>
  <c r="S37" i="5" s="1"/>
  <c r="Q19" i="3"/>
  <c r="AD5" i="3"/>
  <c r="AD6" i="3"/>
  <c r="Q5" i="3"/>
  <c r="AN30" i="8"/>
  <c r="AP9" i="8"/>
  <c r="AP25" i="8"/>
  <c r="AP27" i="8"/>
  <c r="AP30" i="8"/>
  <c r="AP26" i="8"/>
  <c r="AP15" i="8"/>
  <c r="BI34" i="8"/>
  <c r="AH34" i="3"/>
  <c r="R38" i="3"/>
  <c r="Q26" i="3"/>
  <c r="AQ26" i="8"/>
  <c r="AQ21" i="8"/>
  <c r="AQ27" i="8"/>
  <c r="AQ9" i="8"/>
  <c r="AR35" i="3"/>
  <c r="Y26" i="3"/>
  <c r="AW25" i="8"/>
  <c r="BJ33" i="8"/>
  <c r="J26" i="3"/>
  <c r="AQ25" i="8"/>
  <c r="AQ59" i="8"/>
  <c r="AQ33" i="8"/>
  <c r="AR15" i="8"/>
  <c r="L24" i="3"/>
  <c r="AR27" i="8"/>
  <c r="AR30" i="8"/>
  <c r="AA27" i="3"/>
  <c r="BT32" i="8"/>
  <c r="BT60" i="8"/>
  <c r="BG60" i="8"/>
  <c r="T27" i="3"/>
  <c r="AS60" i="8"/>
  <c r="AU33" i="3"/>
  <c r="P25" i="5"/>
  <c r="AW19" i="8"/>
  <c r="S27" i="3"/>
  <c r="R27" i="3"/>
  <c r="I25" i="3"/>
  <c r="Q25" i="5"/>
  <c r="AP26" i="3"/>
  <c r="BU60" i="8"/>
  <c r="BD41" i="5"/>
  <c r="BD37" i="5" s="1"/>
  <c r="N37" i="5"/>
  <c r="AU36" i="8"/>
  <c r="U38" i="3"/>
  <c r="H43" i="5"/>
  <c r="Z41" i="5"/>
  <c r="Z37" i="5"/>
  <c r="AZ38" i="3"/>
  <c r="N43" i="5"/>
  <c r="Z43" i="5"/>
  <c r="BA32" i="3"/>
  <c r="AS38" i="5"/>
  <c r="AT38" i="3"/>
  <c r="I39" i="2"/>
  <c r="BB32" i="3"/>
  <c r="AQ37" i="5"/>
  <c r="AR30" i="3"/>
  <c r="L43" i="5"/>
  <c r="Z50" i="5"/>
  <c r="AM32" i="3"/>
  <c r="Y43" i="5"/>
  <c r="AR43" i="5"/>
  <c r="AD54" i="5"/>
  <c r="AJ32" i="3"/>
  <c r="AC54" i="5"/>
  <c r="AH32" i="3"/>
  <c r="F3" i="2"/>
  <c r="F19" i="2"/>
  <c r="AE43" i="5"/>
  <c r="AS32" i="3"/>
  <c r="AA51" i="5"/>
  <c r="O37" i="5"/>
  <c r="AV36" i="8"/>
  <c r="AM43" i="5"/>
  <c r="AL43" i="5"/>
  <c r="AO32" i="3"/>
  <c r="M37" i="5"/>
  <c r="AT36" i="8"/>
  <c r="R51" i="5"/>
  <c r="R50" i="5"/>
  <c r="X52" i="5"/>
  <c r="Y10" i="3"/>
  <c r="X51" i="5"/>
  <c r="AQ43" i="5"/>
  <c r="AB54" i="5"/>
  <c r="AR32" i="3"/>
  <c r="H37" i="5"/>
  <c r="G39" i="2"/>
  <c r="AY32" i="3"/>
  <c r="Z57" i="5"/>
  <c r="R32" i="3"/>
  <c r="B23" i="2"/>
  <c r="F49" i="11"/>
  <c r="AC32" i="3"/>
  <c r="AA54" i="5"/>
  <c r="AQ32" i="3"/>
  <c r="AE32" i="3"/>
  <c r="AO10" i="3"/>
  <c r="J3" i="2"/>
  <c r="AB10" i="3"/>
  <c r="Z54" i="5"/>
  <c r="E37" i="5"/>
  <c r="AL36" i="8"/>
  <c r="AF32" i="3"/>
  <c r="AN43" i="5"/>
  <c r="AA32" i="3"/>
  <c r="P51" i="5"/>
  <c r="L39" i="2"/>
  <c r="AE57" i="5"/>
  <c r="X47" i="5"/>
  <c r="AL32" i="3"/>
  <c r="Y54" i="5"/>
  <c r="D3" i="2"/>
  <c r="N3" i="2"/>
  <c r="N19" i="2"/>
  <c r="AC47" i="5"/>
  <c r="AC43" i="5"/>
  <c r="AD50" i="5"/>
  <c r="W50" i="5"/>
  <c r="AD32" i="3"/>
  <c r="AE54" i="5"/>
  <c r="W32" i="3"/>
  <c r="AS10" i="3"/>
  <c r="C39" i="2"/>
  <c r="AU32" i="3"/>
  <c r="N39" i="3"/>
  <c r="P47" i="5"/>
  <c r="P43" i="5"/>
  <c r="AH43" i="5"/>
  <c r="H38" i="3"/>
  <c r="S32" i="3"/>
  <c r="AN41" i="5"/>
  <c r="AN37" i="5"/>
  <c r="AO39" i="3"/>
  <c r="O52" i="5"/>
  <c r="P54" i="5"/>
  <c r="Q10" i="3"/>
  <c r="O54" i="5"/>
  <c r="AL10" i="3"/>
  <c r="Y50" i="5"/>
  <c r="S51" i="5"/>
  <c r="AS39" i="5"/>
  <c r="X9" i="3"/>
  <c r="W51" i="5"/>
  <c r="X10" i="3"/>
  <c r="AM10" i="3"/>
  <c r="Z51" i="5"/>
  <c r="AI10" i="3"/>
  <c r="AB50" i="5"/>
  <c r="AR10" i="3"/>
  <c r="AQ10" i="3"/>
  <c r="T43" i="5"/>
  <c r="AK10" i="3"/>
  <c r="AD39" i="5"/>
  <c r="AA57" i="5"/>
  <c r="O47" i="5"/>
  <c r="P37" i="3"/>
  <c r="AG32" i="3"/>
  <c r="K33" i="3"/>
  <c r="AA10" i="3"/>
  <c r="W47" i="5"/>
  <c r="W43" i="5"/>
  <c r="X32" i="3"/>
  <c r="AM41" i="5"/>
  <c r="AM37" i="5"/>
  <c r="BT36" i="8" s="1"/>
  <c r="AN39" i="3"/>
  <c r="BF39" i="5"/>
  <c r="AI43" i="5"/>
  <c r="S47" i="5"/>
  <c r="S43" i="5"/>
  <c r="AP32" i="3"/>
  <c r="AZ41" i="5"/>
  <c r="AZ37" i="5"/>
  <c r="AA47" i="5"/>
  <c r="AA43" i="5"/>
  <c r="T57" i="5"/>
  <c r="AB39" i="5"/>
  <c r="AB37" i="5" s="1"/>
  <c r="AN10" i="3"/>
  <c r="O32" i="3"/>
  <c r="V47" i="5"/>
  <c r="V43" i="5"/>
  <c r="T51" i="5"/>
  <c r="AE35" i="3"/>
  <c r="S50" i="5"/>
  <c r="AI41" i="5"/>
  <c r="AO43" i="5"/>
  <c r="U43" i="5"/>
  <c r="AI32" i="3"/>
  <c r="AU41" i="5"/>
  <c r="AH41" i="5"/>
  <c r="L36" i="3"/>
  <c r="V54" i="5"/>
  <c r="AG41" i="5"/>
  <c r="AG37" i="5"/>
  <c r="N33" i="3"/>
  <c r="W10" i="3"/>
  <c r="BA35" i="3"/>
  <c r="AB43" i="5"/>
  <c r="T10" i="3"/>
  <c r="BF41" i="5"/>
  <c r="AA50" i="5"/>
  <c r="AO41" i="5"/>
  <c r="AO37" i="5"/>
  <c r="CA32" i="8"/>
  <c r="CI33" i="8"/>
  <c r="AY38" i="3"/>
  <c r="BA41" i="5"/>
  <c r="BA37" i="5"/>
  <c r="CB47" i="8"/>
  <c r="AV13" i="3"/>
  <c r="AI28" i="3"/>
  <c r="BC34" i="8"/>
  <c r="BV32" i="8"/>
  <c r="BX33" i="8"/>
  <c r="BA38" i="3"/>
  <c r="BV60" i="8"/>
  <c r="U4" i="3"/>
  <c r="BQ59" i="8"/>
  <c r="L35" i="3"/>
  <c r="AM9" i="8"/>
  <c r="I24" i="3"/>
  <c r="AQ32" i="8"/>
  <c r="AN33" i="8"/>
  <c r="AB35" i="3"/>
  <c r="AT31" i="8"/>
  <c r="AQ60" i="8"/>
  <c r="AN59" i="8"/>
  <c r="AV28" i="3"/>
  <c r="K28" i="3"/>
  <c r="AI5" i="3"/>
  <c r="AY32" i="8"/>
  <c r="BD33" i="8"/>
  <c r="K35" i="3"/>
  <c r="AW13" i="3"/>
  <c r="V25" i="3"/>
  <c r="J25" i="3"/>
  <c r="AR33" i="8"/>
  <c r="AY60" i="8"/>
  <c r="BD59" i="8"/>
  <c r="P35" i="3"/>
  <c r="AU27" i="3"/>
  <c r="AN25" i="5"/>
  <c r="BU19" i="8"/>
  <c r="AY59" i="8"/>
  <c r="BG15" i="8"/>
  <c r="AC35" i="3"/>
  <c r="AY5" i="3"/>
  <c r="AY13" i="3"/>
  <c r="AX5" i="5"/>
  <c r="CE31" i="8"/>
  <c r="CC60" i="8"/>
  <c r="AW27" i="3"/>
  <c r="AW5" i="5"/>
  <c r="AX25" i="3"/>
  <c r="AX30" i="5"/>
  <c r="AX5" i="3"/>
  <c r="AM24" i="8"/>
  <c r="BY33" i="8"/>
  <c r="BJ32" i="8"/>
  <c r="AT19" i="3"/>
  <c r="AQ5" i="3"/>
  <c r="Q27" i="3"/>
  <c r="AM25" i="8"/>
  <c r="BJ34" i="8"/>
  <c r="E25" i="3"/>
  <c r="K6" i="3"/>
  <c r="AT13" i="3"/>
  <c r="BD25" i="8"/>
  <c r="AN26" i="8"/>
  <c r="AM30" i="8"/>
  <c r="AN24" i="8"/>
  <c r="BN33" i="8"/>
  <c r="BZ59" i="8"/>
  <c r="AM58" i="8"/>
  <c r="H25" i="3"/>
  <c r="BM59" i="8"/>
  <c r="BN59" i="8"/>
  <c r="BZ33" i="8"/>
  <c r="BD21" i="8"/>
  <c r="BD27" i="8"/>
  <c r="G25" i="3"/>
  <c r="BM33" i="8"/>
  <c r="BA59" i="8"/>
  <c r="F25" i="3"/>
  <c r="BA33" i="8"/>
  <c r="AN58" i="8"/>
  <c r="AQ24" i="8"/>
  <c r="K4" i="3"/>
  <c r="BB58" i="8"/>
  <c r="D38" i="1"/>
  <c r="D49" i="1"/>
  <c r="K5" i="3"/>
  <c r="AN9" i="8"/>
  <c r="AY27" i="8"/>
  <c r="BN32" i="8"/>
  <c r="G27" i="3"/>
  <c r="BY58" i="8"/>
  <c r="BY31" i="8"/>
  <c r="AS25" i="3"/>
  <c r="N6" i="3"/>
  <c r="H27" i="3"/>
  <c r="F27" i="3"/>
  <c r="BB13" i="3"/>
  <c r="CH47" i="8"/>
  <c r="AQ58" i="8"/>
  <c r="AK24" i="8"/>
  <c r="K25" i="3"/>
  <c r="N25" i="5"/>
  <c r="AU19" i="8" s="1"/>
  <c r="BN60" i="8"/>
  <c r="AO26" i="8"/>
  <c r="U27" i="3"/>
  <c r="AT8" i="3"/>
  <c r="AX25" i="5"/>
  <c r="AO9" i="8"/>
  <c r="AN27" i="8"/>
  <c r="BB32" i="8"/>
  <c r="CB59" i="8"/>
  <c r="L26" i="3"/>
  <c r="N38" i="1"/>
  <c r="W25" i="5"/>
  <c r="BD19" i="8"/>
  <c r="AY24" i="8"/>
  <c r="BL32" i="8"/>
  <c r="AR59" i="8"/>
  <c r="AZ32" i="8"/>
  <c r="BA32" i="8"/>
  <c r="BL60" i="8"/>
  <c r="AY9" i="8"/>
  <c r="CG32" i="8"/>
  <c r="W26" i="3"/>
  <c r="F32" i="11"/>
  <c r="F10" i="11"/>
  <c r="BD24" i="8"/>
  <c r="V35" i="3"/>
  <c r="AT25" i="5"/>
  <c r="CG33" i="8"/>
  <c r="BC28" i="3"/>
  <c r="AO60" i="8"/>
  <c r="AO30" i="8"/>
  <c r="AW34" i="8"/>
  <c r="B21" i="1"/>
  <c r="AS34" i="5"/>
  <c r="F36" i="11"/>
  <c r="V25" i="5"/>
  <c r="BA12" i="3"/>
  <c r="BE59" i="8"/>
  <c r="AO32" i="8"/>
  <c r="BC59" i="8"/>
  <c r="BL58" i="8"/>
  <c r="R28" i="3"/>
  <c r="I35" i="3"/>
  <c r="BE33" i="8"/>
  <c r="AR25" i="8"/>
  <c r="AI26" i="3"/>
  <c r="BE58" i="8"/>
  <c r="AO27" i="8"/>
  <c r="BJ19" i="8"/>
  <c r="AU26" i="3"/>
  <c r="CA59" i="8"/>
  <c r="S5" i="3"/>
  <c r="BS34" i="8"/>
  <c r="CG34" i="8"/>
  <c r="BD9" i="8"/>
  <c r="P26" i="3"/>
  <c r="AX59" i="8"/>
  <c r="AP35" i="3"/>
  <c r="AM18" i="3"/>
  <c r="AS12" i="3"/>
  <c r="AL5" i="3"/>
  <c r="AR31" i="8"/>
  <c r="BE31" i="8"/>
  <c r="AA6" i="3"/>
  <c r="AS13" i="3"/>
  <c r="AO35" i="3"/>
  <c r="E28" i="3"/>
  <c r="AO21" i="8"/>
  <c r="AN38" i="3"/>
  <c r="AK25" i="8"/>
  <c r="X25" i="3"/>
  <c r="BR31" i="8"/>
  <c r="AS38" i="3"/>
  <c r="F38" i="1"/>
  <c r="K38" i="1"/>
  <c r="K49" i="1"/>
  <c r="AV26" i="3"/>
  <c r="BD58" i="8"/>
  <c r="AK9" i="8"/>
  <c r="BD25" i="5"/>
  <c r="BR59" i="8"/>
  <c r="BR33" i="8"/>
  <c r="BD26" i="8"/>
  <c r="AM27" i="8"/>
  <c r="AP24" i="8"/>
  <c r="AC28" i="3"/>
  <c r="CB33" i="8"/>
  <c r="AS27" i="5"/>
  <c r="AS25" i="5"/>
  <c r="BA34" i="8"/>
  <c r="BD31" i="8"/>
  <c r="B48" i="1"/>
  <c r="AB25" i="3"/>
  <c r="AR38" i="3"/>
  <c r="BN34" i="8"/>
  <c r="AO15" i="8"/>
  <c r="M25" i="5"/>
  <c r="BA22" i="3"/>
  <c r="AX33" i="8"/>
  <c r="BD15" i="8"/>
  <c r="AM26" i="8"/>
  <c r="AP21" i="8"/>
  <c r="K24" i="3"/>
  <c r="AP60" i="8"/>
  <c r="AO28" i="3"/>
  <c r="Q4" i="3"/>
  <c r="N8" i="1"/>
  <c r="BA25" i="3"/>
  <c r="J36" i="3"/>
  <c r="V27" i="3"/>
  <c r="AP32" i="8"/>
  <c r="AV5" i="3"/>
  <c r="E19" i="3"/>
  <c r="AM25" i="5"/>
  <c r="AA25" i="5"/>
  <c r="BH20" i="8" s="1"/>
  <c r="BH19" i="8"/>
  <c r="CD32" i="8"/>
  <c r="CI59" i="8"/>
  <c r="G27" i="1"/>
  <c r="AY4" i="3" s="1"/>
  <c r="AY20" i="3"/>
  <c r="BB35" i="3"/>
  <c r="BO32" i="8"/>
  <c r="BB34" i="8"/>
  <c r="AO38" i="3"/>
  <c r="CG59" i="8"/>
  <c r="BO60" i="8"/>
  <c r="BB60" i="8"/>
  <c r="AN18" i="3"/>
  <c r="E4" i="3"/>
  <c r="E6" i="3"/>
  <c r="I27" i="3"/>
  <c r="AW15" i="8"/>
  <c r="E26" i="3"/>
  <c r="BA26" i="3"/>
  <c r="AN13" i="3"/>
  <c r="AZ13" i="3"/>
  <c r="BD30" i="8"/>
  <c r="AV59" i="8"/>
  <c r="AO57" i="8"/>
  <c r="AV18" i="3"/>
  <c r="Y5" i="3"/>
  <c r="AD35" i="3"/>
  <c r="M38" i="1"/>
  <c r="M49" i="1"/>
  <c r="N21" i="1"/>
  <c r="BF34" i="5"/>
  <c r="AN17" i="3"/>
  <c r="BU31" i="8"/>
  <c r="BU58" i="8"/>
  <c r="AO25" i="3"/>
  <c r="AG27" i="3"/>
  <c r="BM60" i="8"/>
  <c r="AD34" i="5"/>
  <c r="AD60" i="5"/>
  <c r="F40" i="11"/>
  <c r="BZ47" i="8"/>
  <c r="AT12" i="3"/>
  <c r="BQ47" i="8"/>
  <c r="AK13" i="3"/>
  <c r="AK12" i="3"/>
  <c r="AO19" i="3"/>
  <c r="AO5" i="3"/>
  <c r="AI38" i="3"/>
  <c r="AA9" i="3"/>
  <c r="BF14" i="8"/>
  <c r="Z4" i="3"/>
  <c r="BF55" i="8"/>
  <c r="Z6" i="3"/>
  <c r="Z15" i="3"/>
  <c r="Z22" i="3"/>
  <c r="Z21" i="3"/>
  <c r="Z23" i="3"/>
  <c r="Z17" i="3"/>
  <c r="Y4" i="5"/>
  <c r="BF27" i="8"/>
  <c r="CF58" i="8"/>
  <c r="CF31" i="8"/>
  <c r="AL31" i="8"/>
  <c r="AY31" i="8"/>
  <c r="AY58" i="8"/>
  <c r="AA60" i="5"/>
  <c r="BV34" i="8"/>
  <c r="AQ27" i="3"/>
  <c r="BW32" i="8"/>
  <c r="BW60" i="8"/>
  <c r="AE25" i="3"/>
  <c r="BA26" i="8"/>
  <c r="AZ31" i="8"/>
  <c r="AQ25" i="3"/>
  <c r="AC18" i="3"/>
  <c r="AC5" i="3"/>
  <c r="AC13" i="3"/>
  <c r="AB5" i="5"/>
  <c r="BS14" i="8"/>
  <c r="AA30" i="5"/>
  <c r="BU34" i="8"/>
  <c r="AC38" i="3"/>
  <c r="AB38" i="3"/>
  <c r="M28" i="3"/>
  <c r="L28" i="3"/>
  <c r="P25" i="3"/>
  <c r="BR58" i="8"/>
  <c r="AL25" i="3"/>
  <c r="AM34" i="5"/>
  <c r="BT14" i="8"/>
  <c r="AN16" i="3"/>
  <c r="BT34" i="8"/>
  <c r="BG34" i="8"/>
  <c r="BG21" i="8"/>
  <c r="BA15" i="8"/>
  <c r="AW35" i="3"/>
  <c r="AW28" i="3"/>
  <c r="AJ28" i="3"/>
  <c r="J38" i="1"/>
  <c r="BB5" i="5"/>
  <c r="BC18" i="3"/>
  <c r="AJ5" i="5"/>
  <c r="AK5" i="3"/>
  <c r="AK18" i="3"/>
  <c r="AK30" i="5"/>
  <c r="AM38" i="3"/>
  <c r="BA23" i="3"/>
  <c r="AT30" i="5"/>
  <c r="AY34" i="5"/>
  <c r="F31" i="11"/>
  <c r="AT18" i="3"/>
  <c r="AT5" i="3"/>
  <c r="AS5" i="5"/>
  <c r="AJ34" i="5"/>
  <c r="AK17" i="3"/>
  <c r="CH31" i="8"/>
  <c r="AO59" i="8"/>
  <c r="AO33" i="8"/>
  <c r="F26" i="3"/>
  <c r="G26" i="3"/>
  <c r="H26" i="3"/>
  <c r="I26" i="3"/>
  <c r="AO25" i="8"/>
  <c r="CH58" i="8"/>
  <c r="BU47" i="8"/>
  <c r="AO12" i="3"/>
  <c r="AO13" i="3"/>
  <c r="AY26" i="3"/>
  <c r="CE59" i="8"/>
  <c r="CE33" i="8"/>
  <c r="AO26" i="3"/>
  <c r="CH59" i="8"/>
  <c r="BU59" i="8"/>
  <c r="BU33" i="8"/>
  <c r="BW59" i="8"/>
  <c r="BW33" i="8"/>
  <c r="BJ59" i="8"/>
  <c r="AD26" i="3"/>
  <c r="BA30" i="8"/>
  <c r="BA9" i="8"/>
  <c r="BA27" i="8"/>
  <c r="BA25" i="8"/>
  <c r="BA21" i="8"/>
  <c r="BM32" i="8"/>
  <c r="AR34" i="5"/>
  <c r="BY14" i="8"/>
  <c r="W4" i="3"/>
  <c r="AF21" i="3"/>
  <c r="AE4" i="5"/>
  <c r="BL27" i="8"/>
  <c r="AF16" i="3"/>
  <c r="BL55" i="8"/>
  <c r="AF14" i="3"/>
  <c r="AF20" i="3"/>
  <c r="AF17" i="3"/>
  <c r="AF22" i="3"/>
  <c r="AF15" i="3"/>
  <c r="AD11" i="3"/>
  <c r="BD60" i="8"/>
  <c r="X27" i="3"/>
  <c r="BQ32" i="8"/>
  <c r="BQ60" i="8"/>
  <c r="AR60" i="8"/>
  <c r="AR32" i="8"/>
  <c r="AR26" i="8"/>
  <c r="K27" i="3"/>
  <c r="BE32" i="8"/>
  <c r="BE60" i="8"/>
  <c r="AW19" i="3"/>
  <c r="AW5" i="3"/>
  <c r="BI59" i="8"/>
  <c r="AF28" i="3"/>
  <c r="W13" i="3"/>
  <c r="AO21" i="3"/>
  <c r="AR30" i="5"/>
  <c r="BY34" i="8"/>
  <c r="AD25" i="5"/>
  <c r="BK19" i="8"/>
  <c r="J27" i="3"/>
  <c r="O26" i="3"/>
  <c r="BI33" i="8"/>
  <c r="V34" i="5"/>
  <c r="D5" i="3"/>
  <c r="AJ38" i="3"/>
  <c r="F25" i="5"/>
  <c r="AM19" i="8"/>
  <c r="AE41" i="5"/>
  <c r="AE37" i="5"/>
  <c r="AF39" i="3"/>
  <c r="X13" i="3"/>
  <c r="N5" i="3"/>
  <c r="D19" i="3"/>
  <c r="AB25" i="5"/>
  <c r="AX27" i="3"/>
  <c r="BA60" i="8"/>
  <c r="N14" i="1"/>
  <c r="BF30" i="5"/>
  <c r="CM34" i="8"/>
  <c r="AD27" i="3"/>
  <c r="W55" i="5"/>
  <c r="AS31" i="5"/>
  <c r="AG25" i="5"/>
  <c r="BN19" i="8"/>
  <c r="BS60" i="8"/>
  <c r="D6" i="3"/>
  <c r="AD55" i="5"/>
  <c r="AF60" i="5"/>
  <c r="BO58" i="8"/>
  <c r="Y60" i="5"/>
  <c r="AK25" i="5"/>
  <c r="G38" i="1"/>
  <c r="G49" i="1"/>
  <c r="G51" i="1"/>
  <c r="BF9" i="5"/>
  <c r="CL59" i="8"/>
  <c r="AN60" i="8"/>
  <c r="BS32" i="8"/>
  <c r="AO17" i="3"/>
  <c r="BP14" i="8"/>
  <c r="BH60" i="8"/>
  <c r="CK59" i="8"/>
  <c r="BQ34" i="8"/>
  <c r="AR28" i="3"/>
  <c r="AO16" i="3"/>
  <c r="W60" i="5"/>
  <c r="AV25" i="5"/>
  <c r="AI25" i="5"/>
  <c r="CJ59" i="8"/>
  <c r="E25" i="5"/>
  <c r="AN35" i="3"/>
  <c r="AU25" i="5"/>
  <c r="AH25" i="5"/>
  <c r="E14" i="5"/>
  <c r="E11" i="5"/>
  <c r="AO11" i="5"/>
  <c r="BB38" i="3"/>
  <c r="K25" i="5"/>
  <c r="AR19" i="8"/>
  <c r="BC25" i="5"/>
  <c r="X28" i="3"/>
  <c r="Y35" i="3"/>
  <c r="W41" i="5"/>
  <c r="W37" i="5"/>
  <c r="N30" i="5"/>
  <c r="O38" i="3"/>
  <c r="P38" i="3"/>
  <c r="U18" i="3"/>
  <c r="T5" i="5"/>
  <c r="U21" i="3"/>
  <c r="AV14" i="8"/>
  <c r="O60" i="5"/>
  <c r="L11" i="3"/>
  <c r="L4" i="5"/>
  <c r="M21" i="3"/>
  <c r="M15" i="3"/>
  <c r="M20" i="3"/>
  <c r="M4" i="3"/>
  <c r="M9" i="3"/>
  <c r="M22" i="3"/>
  <c r="M16" i="3"/>
  <c r="M23" i="3"/>
  <c r="AT56" i="8"/>
  <c r="M17" i="3"/>
  <c r="M11" i="3"/>
  <c r="M14" i="3"/>
  <c r="AS56" i="8"/>
  <c r="N9" i="3"/>
  <c r="AS55" i="8"/>
  <c r="M6" i="3"/>
  <c r="AN21" i="8"/>
  <c r="AN34" i="8"/>
  <c r="W20" i="3"/>
  <c r="AV31" i="8"/>
  <c r="AV58" i="8"/>
  <c r="AK20" i="3"/>
  <c r="P12" i="3"/>
  <c r="AV47" i="8"/>
  <c r="O55" i="5"/>
  <c r="P13" i="3"/>
  <c r="P15" i="3"/>
  <c r="AD21" i="3"/>
  <c r="AC4" i="5"/>
  <c r="W21" i="3"/>
  <c r="AT34" i="5"/>
  <c r="Q34" i="5"/>
  <c r="R17" i="3"/>
  <c r="L30" i="5"/>
  <c r="F38" i="11"/>
  <c r="N16" i="3"/>
  <c r="N14" i="3"/>
  <c r="N23" i="3"/>
  <c r="N21" i="3"/>
  <c r="N4" i="3"/>
  <c r="N15" i="3"/>
  <c r="M4" i="5"/>
  <c r="N20" i="3"/>
  <c r="B8" i="1"/>
  <c r="F39" i="11"/>
  <c r="X19" i="3"/>
  <c r="X5" i="3"/>
  <c r="S25" i="5"/>
  <c r="AQ34" i="5"/>
  <c r="AD17" i="3"/>
  <c r="AD14" i="3"/>
  <c r="AD20" i="3"/>
  <c r="AD22" i="3"/>
  <c r="BJ14" i="8"/>
  <c r="AD23" i="3"/>
  <c r="AD4" i="3"/>
  <c r="AR5" i="3"/>
  <c r="AQ5" i="5"/>
  <c r="BX19" i="8" s="1"/>
  <c r="AP30" i="5"/>
  <c r="BW34" i="8"/>
  <c r="AQ38" i="3"/>
  <c r="AJ22" i="3"/>
  <c r="AJ4" i="3"/>
  <c r="AJ20" i="3"/>
  <c r="AJ14" i="3"/>
  <c r="AD16" i="3"/>
  <c r="N34" i="5"/>
  <c r="N60" i="5"/>
  <c r="AH38" i="3"/>
  <c r="Q30" i="5"/>
  <c r="S38" i="3"/>
  <c r="BA47" i="8"/>
  <c r="T55" i="5"/>
  <c r="U12" i="3"/>
  <c r="U13" i="3"/>
  <c r="U5" i="3"/>
  <c r="U19" i="3"/>
  <c r="BO31" i="8"/>
  <c r="AP5" i="3"/>
  <c r="AO5" i="5"/>
  <c r="Y5" i="5"/>
  <c r="BF19" i="8" s="1"/>
  <c r="Z5" i="3"/>
  <c r="Z13" i="3"/>
  <c r="P18" i="3"/>
  <c r="P5" i="3"/>
  <c r="AE60" i="5"/>
  <c r="Y38" i="3"/>
  <c r="X30" i="5"/>
  <c r="CJ31" i="8"/>
  <c r="CJ58" i="8"/>
  <c r="S15" i="3"/>
  <c r="R55" i="5"/>
  <c r="AY47" i="8"/>
  <c r="S13" i="3"/>
  <c r="J5" i="3"/>
  <c r="J6" i="3"/>
  <c r="J4" i="3"/>
  <c r="F41" i="11"/>
  <c r="F20" i="11"/>
  <c r="B38" i="1"/>
  <c r="B49" i="1"/>
  <c r="AF25" i="3"/>
  <c r="BL31" i="8"/>
  <c r="AE38" i="3"/>
  <c r="AD30" i="5"/>
  <c r="AF38" i="3"/>
  <c r="D28" i="3"/>
  <c r="E35" i="3"/>
  <c r="R11" i="5"/>
  <c r="F14" i="5"/>
  <c r="F11" i="5"/>
  <c r="AJ23" i="3"/>
  <c r="W18" i="3"/>
  <c r="V5" i="5"/>
  <c r="U60" i="5"/>
  <c r="BB14" i="8"/>
  <c r="V16" i="3"/>
  <c r="W15" i="3"/>
  <c r="BC55" i="8"/>
  <c r="V4" i="5"/>
  <c r="W17" i="3"/>
  <c r="W14" i="3"/>
  <c r="W22" i="3"/>
  <c r="BC14" i="8"/>
  <c r="W16" i="3"/>
  <c r="W23" i="3"/>
  <c r="W6" i="3"/>
  <c r="E38" i="1"/>
  <c r="E49" i="1"/>
  <c r="AV5" i="5"/>
  <c r="AM25" i="3"/>
  <c r="E27" i="1"/>
  <c r="E51" i="1" s="1"/>
  <c r="AW6" i="3"/>
  <c r="BH14" i="8"/>
  <c r="M13" i="3"/>
  <c r="L58" i="5"/>
  <c r="BV14" i="8"/>
  <c r="CK47" i="8"/>
  <c r="CK33" i="8"/>
  <c r="AO14" i="3"/>
  <c r="AS14" i="8"/>
  <c r="T19" i="3"/>
  <c r="N48" i="1"/>
  <c r="BF27" i="5"/>
  <c r="BF25" i="5"/>
  <c r="CJ33" i="8"/>
  <c r="AA34" i="5"/>
  <c r="AF30" i="5"/>
  <c r="Z38" i="3"/>
  <c r="BA30" i="5"/>
  <c r="CH34" i="8"/>
  <c r="CK60" i="8"/>
  <c r="CK32" i="8"/>
  <c r="X38" i="3"/>
  <c r="CJ60" i="8"/>
  <c r="CJ32" i="8"/>
  <c r="O30" i="3"/>
  <c r="P39" i="3"/>
  <c r="AA52" i="5"/>
  <c r="AF50" i="5"/>
  <c r="BA10" i="3"/>
  <c r="AC50" i="5"/>
  <c r="R52" i="5"/>
  <c r="S10" i="3"/>
  <c r="I39" i="3"/>
  <c r="AP10" i="3"/>
  <c r="AO36" i="8"/>
  <c r="P52" i="5"/>
  <c r="AJ10" i="3"/>
  <c r="AF54" i="5"/>
  <c r="P10" i="3"/>
  <c r="O51" i="5"/>
  <c r="O50" i="5"/>
  <c r="V10" i="3"/>
  <c r="U51" i="5"/>
  <c r="U52" i="5"/>
  <c r="V52" i="5"/>
  <c r="V51" i="5"/>
  <c r="AD10" i="3"/>
  <c r="AC51" i="5"/>
  <c r="AC52" i="5"/>
  <c r="AC10" i="3"/>
  <c r="AB52" i="5"/>
  <c r="AB51" i="5"/>
  <c r="Z52" i="5"/>
  <c r="BG56" i="8"/>
  <c r="Q32" i="3"/>
  <c r="P32" i="3"/>
  <c r="T9" i="3"/>
  <c r="S52" i="5"/>
  <c r="AZ56" i="8"/>
  <c r="Q50" i="5"/>
  <c r="AE10" i="3"/>
  <c r="AD51" i="5"/>
  <c r="AD52" i="5"/>
  <c r="AF51" i="5"/>
  <c r="AF52" i="5"/>
  <c r="AG10" i="3"/>
  <c r="AF57" i="5"/>
  <c r="AF47" i="5"/>
  <c r="U9" i="3"/>
  <c r="BA56" i="8"/>
  <c r="T52" i="5"/>
  <c r="W52" i="5"/>
  <c r="BD56" i="8"/>
  <c r="Z10" i="3"/>
  <c r="Y52" i="5"/>
  <c r="Y51" i="5"/>
  <c r="AE50" i="5"/>
  <c r="O43" i="5"/>
  <c r="F43" i="11"/>
  <c r="CD58" i="8"/>
  <c r="BZ31" i="8"/>
  <c r="BA4" i="3"/>
  <c r="CE55" i="8"/>
  <c r="BA6" i="3"/>
  <c r="BI19" i="8"/>
  <c r="F25" i="11"/>
  <c r="BL30" i="8"/>
  <c r="CD31" i="8"/>
  <c r="B27" i="1"/>
  <c r="BU56" i="8"/>
  <c r="AK9" i="3"/>
  <c r="AK14" i="3"/>
  <c r="BU14" i="8"/>
  <c r="BA21" i="3"/>
  <c r="AO22" i="3"/>
  <c r="AK23" i="3"/>
  <c r="AZ4" i="5"/>
  <c r="AP17" i="3"/>
  <c r="BL24" i="8"/>
  <c r="BZ58" i="8"/>
  <c r="BQ55" i="8"/>
  <c r="AT19" i="8"/>
  <c r="BA15" i="3"/>
  <c r="BA20" i="3"/>
  <c r="BA14" i="3"/>
  <c r="BO55" i="8"/>
  <c r="AI22" i="3"/>
  <c r="AI21" i="3"/>
  <c r="AI23" i="3"/>
  <c r="AI14" i="3"/>
  <c r="AI16" i="3"/>
  <c r="AI20" i="3"/>
  <c r="AI17" i="3"/>
  <c r="AI6" i="3"/>
  <c r="AI4" i="3"/>
  <c r="AH4" i="5"/>
  <c r="BO14" i="8"/>
  <c r="AI15" i="3"/>
  <c r="CG55" i="8"/>
  <c r="AO23" i="3"/>
  <c r="BA16" i="3"/>
  <c r="BQ56" i="8"/>
  <c r="BA17" i="3"/>
  <c r="BO19" i="8"/>
  <c r="AT25" i="3"/>
  <c r="AI4" i="5"/>
  <c r="BP9" i="8" s="1"/>
  <c r="BP57" i="8"/>
  <c r="BL25" i="8"/>
  <c r="AJ4" i="5"/>
  <c r="BQ26" i="8"/>
  <c r="AN14" i="3"/>
  <c r="AO9" i="3"/>
  <c r="AN20" i="3"/>
  <c r="AN22" i="3"/>
  <c r="AN15" i="3"/>
  <c r="AN23" i="3"/>
  <c r="AM4" i="5"/>
  <c r="BT56" i="8"/>
  <c r="AN21" i="3"/>
  <c r="BT55" i="8"/>
  <c r="BS56" i="8"/>
  <c r="BS55" i="8"/>
  <c r="AN9" i="3"/>
  <c r="AM21" i="3"/>
  <c r="AM17" i="3"/>
  <c r="AL4" i="5"/>
  <c r="BS27" i="8" s="1"/>
  <c r="AM22" i="3"/>
  <c r="AM16" i="3"/>
  <c r="AM23" i="3"/>
  <c r="AM11" i="3"/>
  <c r="AM14" i="3"/>
  <c r="AM15" i="3"/>
  <c r="AM20" i="3"/>
  <c r="BS58" i="8"/>
  <c r="AL16" i="3"/>
  <c r="AL11" i="3"/>
  <c r="AL20" i="3"/>
  <c r="BR56" i="8"/>
  <c r="AL6" i="3"/>
  <c r="AL21" i="3"/>
  <c r="AL22" i="3"/>
  <c r="AL17" i="3"/>
  <c r="AL15" i="3"/>
  <c r="AL23" i="3"/>
  <c r="AK4" i="5"/>
  <c r="BR10" i="8" s="1"/>
  <c r="AM24" i="3"/>
  <c r="BR14" i="8"/>
  <c r="AL4" i="3"/>
  <c r="AM9" i="3"/>
  <c r="BR55" i="8"/>
  <c r="AL14" i="3"/>
  <c r="BC25" i="3"/>
  <c r="BI58" i="8"/>
  <c r="BI31" i="8"/>
  <c r="AC25" i="3"/>
  <c r="BF26" i="8"/>
  <c r="BF25" i="8"/>
  <c r="BF15" i="8"/>
  <c r="AA36" i="3"/>
  <c r="AA24" i="3"/>
  <c r="BF21" i="8"/>
  <c r="AK11" i="3"/>
  <c r="AQ17" i="3"/>
  <c r="AQ16" i="3"/>
  <c r="BW55" i="8"/>
  <c r="AQ15" i="3"/>
  <c r="AQ6" i="3"/>
  <c r="AQ14" i="3"/>
  <c r="AQ22" i="3"/>
  <c r="AQ23" i="3"/>
  <c r="AQ11" i="3"/>
  <c r="AQ4" i="3"/>
  <c r="AP4" i="5"/>
  <c r="AQ20" i="3"/>
  <c r="BW14" i="8"/>
  <c r="AQ21" i="3"/>
  <c r="AO20" i="3"/>
  <c r="AO11" i="3"/>
  <c r="BU55" i="8"/>
  <c r="AO15" i="3"/>
  <c r="AO6" i="3"/>
  <c r="AN4" i="5"/>
  <c r="BU10" i="8" s="1"/>
  <c r="BL9" i="8"/>
  <c r="BL57" i="8"/>
  <c r="BL15" i="8"/>
  <c r="BL26" i="8"/>
  <c r="BL21" i="8"/>
  <c r="AJ16" i="3"/>
  <c r="BP56" i="8"/>
  <c r="AJ17" i="3"/>
  <c r="BP55" i="8"/>
  <c r="AJ21" i="3"/>
  <c r="AJ15" i="3"/>
  <c r="AJ11" i="3"/>
  <c r="AJ9" i="3"/>
  <c r="AJ6" i="3"/>
  <c r="AO4" i="3"/>
  <c r="AG16" i="3"/>
  <c r="AG4" i="3"/>
  <c r="AG11" i="3"/>
  <c r="AG14" i="3"/>
  <c r="AG20" i="3"/>
  <c r="AG23" i="3"/>
  <c r="BM14" i="8"/>
  <c r="AF4" i="5"/>
  <c r="AG36" i="3" s="1"/>
  <c r="AG21" i="3"/>
  <c r="BM55" i="8"/>
  <c r="AG22" i="3"/>
  <c r="AG6" i="3"/>
  <c r="AG17" i="3"/>
  <c r="AG15" i="3"/>
  <c r="AK16" i="3"/>
  <c r="AK21" i="3"/>
  <c r="AT28" i="3"/>
  <c r="AS17" i="3"/>
  <c r="AS21" i="3"/>
  <c r="AS23" i="3"/>
  <c r="AS20" i="3"/>
  <c r="BY55" i="8"/>
  <c r="AS22" i="3"/>
  <c r="AS6" i="3"/>
  <c r="AS4" i="3"/>
  <c r="AR4" i="5"/>
  <c r="AS15" i="3"/>
  <c r="AS16" i="3"/>
  <c r="AS14" i="3"/>
  <c r="AK6" i="3"/>
  <c r="AK4" i="3"/>
  <c r="AK22" i="3"/>
  <c r="AK15" i="3"/>
  <c r="BQ14" i="8"/>
  <c r="AI11" i="3"/>
  <c r="AL9" i="3"/>
  <c r="AB4" i="5"/>
  <c r="BI14" i="8"/>
  <c r="AD9" i="3"/>
  <c r="BI55" i="8"/>
  <c r="AA11" i="3"/>
  <c r="AC6" i="3"/>
  <c r="AC20" i="3"/>
  <c r="AC4" i="3"/>
  <c r="AC17" i="3"/>
  <c r="AC23" i="3"/>
  <c r="AC16" i="3"/>
  <c r="AC14" i="3"/>
  <c r="AC15" i="3"/>
  <c r="BJ56" i="8"/>
  <c r="AC21" i="3"/>
  <c r="AC22" i="3"/>
  <c r="BQ31" i="8"/>
  <c r="BQ58" i="8"/>
  <c r="AK25" i="3"/>
  <c r="BQ25" i="8"/>
  <c r="BQ15" i="8"/>
  <c r="BQ30" i="8"/>
  <c r="AS9" i="8"/>
  <c r="AS30" i="8"/>
  <c r="AS57" i="8"/>
  <c r="AS24" i="8"/>
  <c r="M24" i="3"/>
  <c r="N36" i="3"/>
  <c r="M36" i="3"/>
  <c r="AS25" i="8"/>
  <c r="AS27" i="8"/>
  <c r="AS15" i="8"/>
  <c r="BF30" i="8"/>
  <c r="BF57" i="8"/>
  <c r="AU34" i="8"/>
  <c r="BH34" i="8"/>
  <c r="BE34" i="8"/>
  <c r="AT9" i="8"/>
  <c r="AT26" i="8"/>
  <c r="AT57" i="8"/>
  <c r="AT30" i="8"/>
  <c r="BG57" i="8"/>
  <c r="N24" i="3"/>
  <c r="AT15" i="8"/>
  <c r="AT27" i="8"/>
  <c r="AT21" i="8"/>
  <c r="BG30" i="8"/>
  <c r="AT24" i="8"/>
  <c r="BN31" i="8"/>
  <c r="BN58" i="8"/>
  <c r="BA58" i="8"/>
  <c r="U25" i="3"/>
  <c r="BA31" i="8"/>
  <c r="BA24" i="8"/>
  <c r="W25" i="3"/>
  <c r="BC31" i="8"/>
  <c r="BC58" i="8"/>
  <c r="BC24" i="8"/>
  <c r="BC19" i="8"/>
  <c r="AT4" i="3"/>
  <c r="F29" i="11"/>
  <c r="AT17" i="3"/>
  <c r="AT14" i="3"/>
  <c r="N4" i="5"/>
  <c r="O15" i="3"/>
  <c r="N11" i="3"/>
  <c r="O20" i="3"/>
  <c r="O14" i="3"/>
  <c r="AU55" i="8"/>
  <c r="O17" i="3"/>
  <c r="O16" i="3"/>
  <c r="O21" i="3"/>
  <c r="P9" i="3"/>
  <c r="O22" i="3"/>
  <c r="AU14" i="8"/>
  <c r="O23" i="3"/>
  <c r="O9" i="3"/>
  <c r="O11" i="3"/>
  <c r="AU56" i="8"/>
  <c r="AH20" i="3"/>
  <c r="AI9" i="3"/>
  <c r="AH16" i="3"/>
  <c r="BN14" i="8"/>
  <c r="AH22" i="3"/>
  <c r="AH23" i="3"/>
  <c r="AH4" i="3"/>
  <c r="AH17" i="3"/>
  <c r="AF11" i="3"/>
  <c r="AG4" i="5"/>
  <c r="BN15" i="8" s="1"/>
  <c r="AH9" i="3"/>
  <c r="BN56" i="8"/>
  <c r="AH15" i="3"/>
  <c r="BN55" i="8"/>
  <c r="AH11" i="3"/>
  <c r="AH21" i="3"/>
  <c r="BO56" i="8"/>
  <c r="AH6" i="3"/>
  <c r="AH14" i="3"/>
  <c r="BV58" i="8"/>
  <c r="AP25" i="3"/>
  <c r="CI31" i="8"/>
  <c r="BV31" i="8"/>
  <c r="CI58" i="8"/>
  <c r="F12" i="11"/>
  <c r="AR22" i="3"/>
  <c r="AR15" i="3"/>
  <c r="AR23" i="3"/>
  <c r="AQ4" i="5"/>
  <c r="BX7" i="8" s="1"/>
  <c r="AR4" i="3"/>
  <c r="BX56" i="8"/>
  <c r="AR16" i="3"/>
  <c r="BX55" i="8"/>
  <c r="AR17" i="3"/>
  <c r="AR20" i="3"/>
  <c r="AR6" i="3"/>
  <c r="AR9" i="3"/>
  <c r="AR14" i="3"/>
  <c r="BX14" i="8"/>
  <c r="AR21" i="3"/>
  <c r="AS21" i="8"/>
  <c r="BF34" i="8"/>
  <c r="AS34" i="8"/>
  <c r="Y16" i="3"/>
  <c r="X4" i="5"/>
  <c r="W11" i="3"/>
  <c r="Y4" i="3"/>
  <c r="Y15" i="3"/>
  <c r="Y22" i="3"/>
  <c r="Y20" i="3"/>
  <c r="Y21" i="3"/>
  <c r="Y17" i="3"/>
  <c r="BE56" i="8"/>
  <c r="Y14" i="3"/>
  <c r="Y23" i="3"/>
  <c r="Y11" i="3"/>
  <c r="BE55" i="8"/>
  <c r="BE14" i="8"/>
  <c r="Y6" i="3"/>
  <c r="Y9" i="3"/>
  <c r="AR25" i="3"/>
  <c r="BX31" i="8"/>
  <c r="BX58" i="8"/>
  <c r="BS31" i="8"/>
  <c r="BC15" i="8"/>
  <c r="BC27" i="8"/>
  <c r="BC30" i="8"/>
  <c r="BC9" i="8"/>
  <c r="BC57" i="8"/>
  <c r="BC25" i="8"/>
  <c r="X36" i="3"/>
  <c r="BC21" i="8"/>
  <c r="X24" i="3"/>
  <c r="U4" i="5"/>
  <c r="W24" i="3"/>
  <c r="V22" i="3"/>
  <c r="V20" i="3"/>
  <c r="V17" i="3"/>
  <c r="T11" i="3"/>
  <c r="V11" i="3"/>
  <c r="W9" i="3"/>
  <c r="BB56" i="8"/>
  <c r="V9" i="3"/>
  <c r="V21" i="3"/>
  <c r="V14" i="3"/>
  <c r="V15" i="3"/>
  <c r="V23" i="3"/>
  <c r="BB55" i="8"/>
  <c r="AB20" i="3"/>
  <c r="AB14" i="3"/>
  <c r="AB11" i="3"/>
  <c r="AA4" i="5"/>
  <c r="BH27" i="8" s="1"/>
  <c r="AB21" i="3"/>
  <c r="BH55" i="8"/>
  <c r="AB16" i="3"/>
  <c r="AB22" i="3"/>
  <c r="AB23" i="3"/>
  <c r="Z11" i="3"/>
  <c r="AB17" i="3"/>
  <c r="AB15" i="3"/>
  <c r="BI56" i="8"/>
  <c r="AB9" i="3"/>
  <c r="AX14" i="8"/>
  <c r="AW15" i="3"/>
  <c r="AW14" i="3"/>
  <c r="AN11" i="3"/>
  <c r="AP6" i="3"/>
  <c r="AP21" i="3"/>
  <c r="AP11" i="3"/>
  <c r="AP14" i="3"/>
  <c r="AP15" i="3"/>
  <c r="BV55" i="8"/>
  <c r="AQ9" i="3"/>
  <c r="AP16" i="3"/>
  <c r="AP20" i="3"/>
  <c r="AP4" i="3"/>
  <c r="BW56" i="8"/>
  <c r="AP22" i="3"/>
  <c r="AP23" i="3"/>
  <c r="AO4" i="5"/>
  <c r="BV24" i="8"/>
  <c r="AD4" i="5"/>
  <c r="BK21" i="8"/>
  <c r="BK14" i="8"/>
  <c r="AE22" i="3"/>
  <c r="BK56" i="8"/>
  <c r="AE23" i="3"/>
  <c r="AE9" i="3"/>
  <c r="AE21" i="3"/>
  <c r="AE16" i="3"/>
  <c r="BK55" i="8"/>
  <c r="AC11" i="3"/>
  <c r="AE17" i="3"/>
  <c r="AE11" i="3"/>
  <c r="AE15" i="3"/>
  <c r="AE20" i="3"/>
  <c r="AE14" i="3"/>
  <c r="AX34" i="8"/>
  <c r="BP27" i="8"/>
  <c r="BF24" i="8"/>
  <c r="BF58" i="8"/>
  <c r="BF31" i="8"/>
  <c r="Z25" i="3"/>
  <c r="R21" i="3"/>
  <c r="R14" i="3"/>
  <c r="R15" i="3"/>
  <c r="R22" i="3"/>
  <c r="R23" i="3"/>
  <c r="R11" i="3"/>
  <c r="R6" i="3"/>
  <c r="Q11" i="3"/>
  <c r="R4" i="3"/>
  <c r="Q4" i="5"/>
  <c r="R36" i="3"/>
  <c r="AY56" i="8"/>
  <c r="R20" i="3"/>
  <c r="R16" i="3"/>
  <c r="AX55" i="8"/>
  <c r="P16" i="3"/>
  <c r="P14" i="3"/>
  <c r="P4" i="3"/>
  <c r="P11" i="3"/>
  <c r="O4" i="5"/>
  <c r="P20" i="3"/>
  <c r="P23" i="3"/>
  <c r="AV55" i="8"/>
  <c r="P6" i="3"/>
  <c r="P22" i="3"/>
  <c r="P21" i="3"/>
  <c r="P17" i="3"/>
  <c r="AV56" i="8"/>
  <c r="Q9" i="3"/>
  <c r="AW56" i="8"/>
  <c r="AS9" i="3"/>
  <c r="BY56" i="8"/>
  <c r="BH56" i="8"/>
  <c r="AG9" i="3"/>
  <c r="S9" i="3"/>
  <c r="AC9" i="3"/>
  <c r="AP9" i="3"/>
  <c r="BC56" i="8"/>
  <c r="BV56" i="8"/>
  <c r="BM56" i="8"/>
  <c r="Q51" i="5"/>
  <c r="R10" i="3"/>
  <c r="Z9" i="3"/>
  <c r="AF10" i="3"/>
  <c r="AE51" i="5"/>
  <c r="AF43" i="5"/>
  <c r="BF56" i="8"/>
  <c r="AK24" i="3"/>
  <c r="AT21" i="3"/>
  <c r="AT23" i="3"/>
  <c r="AS4" i="5"/>
  <c r="BZ21" i="8"/>
  <c r="AT20" i="3"/>
  <c r="AT22" i="3"/>
  <c r="AT15" i="3"/>
  <c r="AR11" i="3"/>
  <c r="AT16" i="3"/>
  <c r="AJ36" i="3"/>
  <c r="BZ55" i="8"/>
  <c r="AT6" i="3"/>
  <c r="BP26" i="8"/>
  <c r="AK36" i="3"/>
  <c r="BP30" i="8"/>
  <c r="BQ57" i="8"/>
  <c r="BQ9" i="8"/>
  <c r="AJ24" i="3"/>
  <c r="BP15" i="8"/>
  <c r="BQ27" i="8"/>
  <c r="BO24" i="8"/>
  <c r="BO26" i="8"/>
  <c r="BO9" i="8"/>
  <c r="BO21" i="8"/>
  <c r="BO25" i="8"/>
  <c r="BO15" i="8"/>
  <c r="BO27" i="8"/>
  <c r="CG57" i="8"/>
  <c r="BM25" i="8"/>
  <c r="BM24" i="8"/>
  <c r="BM27" i="8"/>
  <c r="BM9" i="8"/>
  <c r="BM26" i="8"/>
  <c r="BM15" i="8"/>
  <c r="BI24" i="8"/>
  <c r="O36" i="3"/>
  <c r="AG24" i="3"/>
  <c r="AN36" i="3"/>
  <c r="BS30" i="8"/>
  <c r="BS57" i="8"/>
  <c r="BS25" i="8"/>
  <c r="BS15" i="8"/>
  <c r="BS21" i="8"/>
  <c r="BS26" i="8"/>
  <c r="BS24" i="8"/>
  <c r="BU24" i="8"/>
  <c r="BU27" i="8"/>
  <c r="AO24" i="3"/>
  <c r="BU21" i="8"/>
  <c r="BU26" i="8"/>
  <c r="BU15" i="8"/>
  <c r="BU9" i="8"/>
  <c r="BU25" i="8"/>
  <c r="BT30" i="8"/>
  <c r="BT57" i="8"/>
  <c r="AN24" i="3"/>
  <c r="BT21" i="8"/>
  <c r="BT25" i="8"/>
  <c r="BT15" i="8"/>
  <c r="BT26" i="8"/>
  <c r="BT9" i="8"/>
  <c r="BT27" i="8"/>
  <c r="BQ21" i="8"/>
  <c r="BW25" i="8"/>
  <c r="BW27" i="8"/>
  <c r="BW26" i="8"/>
  <c r="BW9" i="8"/>
  <c r="BW24" i="8"/>
  <c r="BI15" i="8"/>
  <c r="BI25" i="8"/>
  <c r="BI21" i="8"/>
  <c r="BI27" i="8"/>
  <c r="BI26" i="8"/>
  <c r="BI9" i="8"/>
  <c r="BQ24" i="8"/>
  <c r="BY26" i="8"/>
  <c r="CG30" i="8"/>
  <c r="AV25" i="8"/>
  <c r="P24" i="3"/>
  <c r="AV21" i="8"/>
  <c r="AV24" i="8"/>
  <c r="Q24" i="3"/>
  <c r="AV27" i="8"/>
  <c r="BI30" i="8"/>
  <c r="BI57" i="8"/>
  <c r="AV9" i="8"/>
  <c r="AV57" i="8"/>
  <c r="AV15" i="8"/>
  <c r="AV30" i="8"/>
  <c r="AV26" i="8"/>
  <c r="AX57" i="8"/>
  <c r="AX27" i="8"/>
  <c r="AX9" i="8"/>
  <c r="BB27" i="8"/>
  <c r="BB57" i="8"/>
  <c r="BB30" i="8"/>
  <c r="BB24" i="8"/>
  <c r="V24" i="3"/>
  <c r="BO30" i="8"/>
  <c r="BO57" i="8"/>
  <c r="BB9" i="8"/>
  <c r="W36" i="3"/>
  <c r="BB26" i="8"/>
  <c r="BB21" i="8"/>
  <c r="BN25" i="8"/>
  <c r="BN9" i="8"/>
  <c r="BN30" i="8"/>
  <c r="BN26" i="8"/>
  <c r="BN24" i="8"/>
  <c r="AI24" i="3"/>
  <c r="BN57" i="8"/>
  <c r="BN21" i="8"/>
  <c r="AH24" i="3"/>
  <c r="BN27" i="8"/>
  <c r="AU30" i="8"/>
  <c r="O24" i="3"/>
  <c r="AU15" i="8"/>
  <c r="AU26" i="8"/>
  <c r="AU57" i="8"/>
  <c r="AU25" i="8"/>
  <c r="AU27" i="8"/>
  <c r="P36" i="3"/>
  <c r="AU21" i="8"/>
  <c r="F24" i="11"/>
  <c r="F21" i="11"/>
  <c r="F22" i="11"/>
  <c r="F30" i="11"/>
  <c r="BK9" i="8"/>
  <c r="BK24" i="8"/>
  <c r="BK15" i="8"/>
  <c r="BK27" i="8"/>
  <c r="BK25" i="8"/>
  <c r="BK57" i="8"/>
  <c r="AF24" i="3"/>
  <c r="AF36" i="3"/>
  <c r="AB24" i="3"/>
  <c r="BH25" i="8"/>
  <c r="BH24" i="8"/>
  <c r="BH15" i="8"/>
  <c r="BH26" i="8"/>
  <c r="BU30" i="8"/>
  <c r="BU57" i="8"/>
  <c r="BH9" i="8"/>
  <c r="AC24" i="3"/>
  <c r="AB36" i="3"/>
  <c r="BH30" i="8"/>
  <c r="BH57" i="8"/>
  <c r="BH21" i="8"/>
  <c r="BE30" i="8"/>
  <c r="BE57" i="8"/>
  <c r="BE15" i="8"/>
  <c r="BE27" i="8"/>
  <c r="BE25" i="8"/>
  <c r="Z24" i="3"/>
  <c r="BE9" i="8"/>
  <c r="Z36" i="3"/>
  <c r="BE26" i="8"/>
  <c r="BE24" i="8"/>
  <c r="Y24" i="3"/>
  <c r="BE21" i="8"/>
  <c r="BX30" i="8"/>
  <c r="BX57" i="8"/>
  <c r="AR24" i="3"/>
  <c r="BX9" i="8"/>
  <c r="BX27" i="8"/>
  <c r="BX15" i="8"/>
  <c r="BX21" i="8"/>
  <c r="BX26" i="8"/>
  <c r="BX25" i="8"/>
  <c r="AP24" i="3"/>
  <c r="BV9" i="8"/>
  <c r="BV25" i="8"/>
  <c r="BV15" i="8"/>
  <c r="BV26" i="8"/>
  <c r="BV27" i="8"/>
  <c r="BV30" i="8"/>
  <c r="AP36" i="3"/>
  <c r="BV21" i="8"/>
  <c r="BV57" i="8"/>
  <c r="AQ36" i="3"/>
  <c r="AQ24" i="3"/>
  <c r="BX24" i="8"/>
  <c r="Q52" i="5"/>
  <c r="R9" i="3"/>
  <c r="AX56" i="8"/>
  <c r="AE52" i="5"/>
  <c r="BL56" i="8"/>
  <c r="AF9" i="3"/>
  <c r="BZ15" i="8"/>
  <c r="BZ30" i="8"/>
  <c r="BZ27" i="8"/>
  <c r="BZ9" i="8"/>
  <c r="BZ25" i="8"/>
  <c r="O39" i="2"/>
  <c r="Q39" i="2"/>
  <c r="P39" i="2"/>
  <c r="P3" i="2"/>
  <c r="P19" i="2"/>
  <c r="O3" i="2"/>
  <c r="O19" i="2"/>
  <c r="O29" i="2"/>
  <c r="O33" i="2"/>
  <c r="O35" i="2"/>
  <c r="O37" i="2"/>
  <c r="O44" i="2"/>
  <c r="Q27" i="1"/>
  <c r="BI4" i="5" s="1"/>
  <c r="AX43" i="5"/>
  <c r="AW41" i="5"/>
  <c r="AX38" i="3"/>
  <c r="AW31" i="8"/>
  <c r="AW58" i="8"/>
  <c r="D25" i="3"/>
  <c r="E24" i="3"/>
  <c r="E36" i="3"/>
  <c r="BE8" i="8"/>
  <c r="M14" i="5"/>
  <c r="M11" i="5"/>
  <c r="AT6" i="8"/>
  <c r="BS9" i="8"/>
  <c r="AX32" i="8"/>
  <c r="AX60" i="8"/>
  <c r="AK26" i="8"/>
  <c r="E27" i="3"/>
  <c r="S24" i="3"/>
  <c r="AX21" i="8"/>
  <c r="R24" i="3"/>
  <c r="AX15" i="8"/>
  <c r="AX30" i="8"/>
  <c r="S36" i="3"/>
  <c r="O4" i="3"/>
  <c r="O6" i="3"/>
  <c r="AU9" i="8"/>
  <c r="AZ25" i="8"/>
  <c r="T24" i="3"/>
  <c r="AZ26" i="8"/>
  <c r="BM57" i="8"/>
  <c r="AZ24" i="8"/>
  <c r="AZ9" i="8"/>
  <c r="AZ30" i="8"/>
  <c r="AZ27" i="8"/>
  <c r="AZ15" i="8"/>
  <c r="T36" i="3"/>
  <c r="BM30" i="8"/>
  <c r="AZ21" i="8"/>
  <c r="AZ57" i="8"/>
  <c r="U24" i="3"/>
  <c r="BG9" i="8"/>
  <c r="O5" i="3"/>
  <c r="BP21" i="8"/>
  <c r="BP34" i="8"/>
  <c r="W28" i="3"/>
  <c r="V41" i="5"/>
  <c r="W35" i="3"/>
  <c r="BA27" i="3"/>
  <c r="CG60" i="8"/>
  <c r="BE20" i="8"/>
  <c r="AM36" i="3"/>
  <c r="AY57" i="8"/>
  <c r="BP19" i="8"/>
  <c r="AJ25" i="3"/>
  <c r="BP24" i="8"/>
  <c r="BP31" i="8"/>
  <c r="BP58" i="8"/>
  <c r="AS35" i="3"/>
  <c r="AR41" i="5"/>
  <c r="AR37" i="5"/>
  <c r="AS28" i="3"/>
  <c r="AH35" i="3"/>
  <c r="AF41" i="5"/>
  <c r="AF37" i="5"/>
  <c r="AG37" i="3"/>
  <c r="AG35" i="3"/>
  <c r="AG28" i="3"/>
  <c r="BK30" i="8"/>
  <c r="AX26" i="8"/>
  <c r="AM6" i="8"/>
  <c r="AM35" i="8"/>
  <c r="AM7" i="8"/>
  <c r="F12" i="5"/>
  <c r="AM10" i="8"/>
  <c r="BA7" i="8"/>
  <c r="BG59" i="8"/>
  <c r="N26" i="3"/>
  <c r="AT33" i="8"/>
  <c r="AT25" i="8"/>
  <c r="AT59" i="8"/>
  <c r="M26" i="3"/>
  <c r="AX25" i="8"/>
  <c r="CC58" i="8"/>
  <c r="AY35" i="8"/>
  <c r="R12" i="5"/>
  <c r="AY10" i="8"/>
  <c r="E12" i="5"/>
  <c r="AL6" i="8"/>
  <c r="BR19" i="8"/>
  <c r="O35" i="3"/>
  <c r="V5" i="3"/>
  <c r="V6" i="3"/>
  <c r="V19" i="3"/>
  <c r="V4" i="3"/>
  <c r="AF29" i="3"/>
  <c r="BL8" i="8"/>
  <c r="BL7" i="8"/>
  <c r="BB20" i="8"/>
  <c r="BB7" i="8"/>
  <c r="BM34" i="8"/>
  <c r="BZ34" i="8"/>
  <c r="BM21" i="8"/>
  <c r="AD12" i="5"/>
  <c r="BK10" i="8"/>
  <c r="BK6" i="8"/>
  <c r="BK20" i="8"/>
  <c r="BM7" i="8"/>
  <c r="BM8" i="8"/>
  <c r="BN6" i="8"/>
  <c r="AH29" i="3"/>
  <c r="BN35" i="8"/>
  <c r="CA34" i="8"/>
  <c r="BY6" i="8"/>
  <c r="BY35" i="8"/>
  <c r="BY8" i="8"/>
  <c r="BB33" i="8"/>
  <c r="V26" i="3"/>
  <c r="BB59" i="8"/>
  <c r="BO59" i="8"/>
  <c r="BO33" i="8"/>
  <c r="BB25" i="8"/>
  <c r="BX35" i="8"/>
  <c r="AR29" i="3"/>
  <c r="BX6" i="8"/>
  <c r="BX8" i="8"/>
  <c r="BX20" i="8"/>
  <c r="AQ12" i="5"/>
  <c r="BX10" i="8"/>
  <c r="AW9" i="8"/>
  <c r="AW30" i="8"/>
  <c r="BJ30" i="8"/>
  <c r="AW57" i="8"/>
  <c r="Q36" i="3"/>
  <c r="AW24" i="8"/>
  <c r="BJ57" i="8"/>
  <c r="AW26" i="8"/>
  <c r="AW21" i="8"/>
  <c r="AQ29" i="3"/>
  <c r="AP12" i="5"/>
  <c r="BW10" i="8"/>
  <c r="BW7" i="8"/>
  <c r="BW8" i="8"/>
  <c r="AE26" i="3"/>
  <c r="BX59" i="8"/>
  <c r="BK59" i="8"/>
  <c r="BK33" i="8"/>
  <c r="AB19" i="3"/>
  <c r="AB5" i="3"/>
  <c r="AB4" i="3"/>
  <c r="AB6" i="3"/>
  <c r="AW27" i="8"/>
  <c r="AE5" i="3"/>
  <c r="AE19" i="3"/>
  <c r="AE6" i="3"/>
  <c r="AE4" i="3"/>
  <c r="AL19" i="8"/>
  <c r="AL20" i="8"/>
  <c r="BD20" i="8"/>
  <c r="W12" i="5"/>
  <c r="BD10" i="8"/>
  <c r="X29" i="3"/>
  <c r="BD8" i="8"/>
  <c r="BD6" i="8"/>
  <c r="BY19" i="8"/>
  <c r="BY20" i="8"/>
  <c r="AF25" i="5"/>
  <c r="BM19" i="8"/>
  <c r="AM19" i="3"/>
  <c r="AM4" i="3"/>
  <c r="AM5" i="3"/>
  <c r="AM6" i="3"/>
  <c r="BK34" i="8"/>
  <c r="BX34" i="8"/>
  <c r="I19" i="3"/>
  <c r="I5" i="3"/>
  <c r="I4" i="3"/>
  <c r="I6" i="3"/>
  <c r="H11" i="5"/>
  <c r="AO35" i="8"/>
  <c r="CF32" i="8"/>
  <c r="CF60" i="8"/>
  <c r="AZ27" i="3"/>
  <c r="AO36" i="3"/>
  <c r="Y36" i="3"/>
  <c r="T41" i="5"/>
  <c r="T37" i="5"/>
  <c r="U39" i="3"/>
  <c r="N35" i="3"/>
  <c r="AT35" i="3"/>
  <c r="X35" i="3"/>
  <c r="U36" i="3"/>
  <c r="AC36" i="3"/>
  <c r="I36" i="3"/>
  <c r="AR36" i="3"/>
  <c r="AP30" i="3"/>
  <c r="AP39" i="3"/>
  <c r="AP37" i="3"/>
  <c r="AN30" i="3"/>
  <c r="CG36" i="8"/>
  <c r="AN37" i="3"/>
  <c r="BN36" i="8"/>
  <c r="AO30" i="3"/>
  <c r="X39" i="3"/>
  <c r="X37" i="3"/>
  <c r="X30" i="3"/>
  <c r="P30" i="3"/>
  <c r="Q39" i="3"/>
  <c r="Q37" i="3"/>
  <c r="AF30" i="3"/>
  <c r="I37" i="3"/>
  <c r="O39" i="3"/>
  <c r="AP43" i="5"/>
  <c r="BB41" i="5"/>
  <c r="BB37" i="5" s="1"/>
  <c r="D43" i="5"/>
  <c r="H36" i="3"/>
  <c r="AF37" i="3"/>
  <c r="AD38" i="3"/>
  <c r="N30" i="3"/>
  <c r="O37" i="3"/>
  <c r="AR39" i="3"/>
  <c r="I43" i="5"/>
  <c r="AH36" i="3"/>
  <c r="AR37" i="3"/>
  <c r="AJ43" i="5"/>
  <c r="AO37" i="3"/>
  <c r="K43" i="5"/>
  <c r="AE33" i="3"/>
  <c r="Y33" i="3"/>
  <c r="AK41" i="5"/>
  <c r="AK37" i="5" s="1"/>
  <c r="AC41" i="5"/>
  <c r="AC37" i="5"/>
  <c r="AL38" i="3"/>
  <c r="AS41" i="5"/>
  <c r="H12" i="5"/>
  <c r="AO10" i="8"/>
  <c r="AO8" i="8"/>
  <c r="AO7" i="8"/>
  <c r="BM20" i="8"/>
  <c r="AT7" i="8"/>
  <c r="M12" i="5"/>
  <c r="AT10" i="8"/>
  <c r="AT35" i="8"/>
  <c r="BS8" i="8"/>
  <c r="AL12" i="5"/>
  <c r="BS10" i="8"/>
  <c r="AM29" i="3"/>
  <c r="BS6" i="8"/>
  <c r="BS7" i="8"/>
  <c r="L39" i="3"/>
  <c r="AR36" i="8"/>
  <c r="K30" i="3"/>
  <c r="AB30" i="3"/>
  <c r="AB37" i="3"/>
  <c r="BU36" i="8"/>
  <c r="AB39" i="3"/>
  <c r="BH36" i="8"/>
  <c r="R37" i="3"/>
  <c r="R39" i="3"/>
  <c r="Q30" i="3"/>
  <c r="G30" i="3"/>
  <c r="AN36" i="8"/>
  <c r="F30" i="3"/>
  <c r="H37" i="3"/>
  <c r="H30" i="3"/>
  <c r="H39" i="3"/>
  <c r="AS30" i="3"/>
  <c r="BY36" i="8"/>
  <c r="L30" i="3"/>
  <c r="AS36" i="8"/>
  <c r="M30" i="3"/>
  <c r="M37" i="3"/>
  <c r="M39" i="3"/>
  <c r="Y37" i="3"/>
  <c r="Y30" i="3"/>
  <c r="Y39" i="3"/>
  <c r="BE36" i="8"/>
  <c r="AQ37" i="3"/>
  <c r="AQ30" i="3"/>
  <c r="AQ39" i="3"/>
  <c r="AQ36" i="8"/>
  <c r="K39" i="3"/>
  <c r="BD36" i="8"/>
  <c r="K37" i="3"/>
  <c r="J30" i="3"/>
  <c r="J39" i="3"/>
  <c r="I30" i="3"/>
  <c r="AP36" i="8"/>
  <c r="AL30" i="3"/>
  <c r="BR36" i="8"/>
  <c r="AL37" i="3"/>
  <c r="T37" i="3"/>
  <c r="T39" i="3"/>
  <c r="AZ36" i="8"/>
  <c r="AM37" i="3"/>
  <c r="AM39" i="3"/>
  <c r="AM30" i="3"/>
  <c r="AC30" i="3"/>
  <c r="AC39" i="3"/>
  <c r="BI36" i="8"/>
  <c r="BV36" i="8"/>
  <c r="AC37" i="3"/>
  <c r="S39" i="3"/>
  <c r="AY36" i="8"/>
  <c r="S37" i="3"/>
  <c r="S30" i="3"/>
  <c r="R30" i="3"/>
  <c r="D37" i="5"/>
  <c r="AX36" i="8"/>
  <c r="AG43" i="5"/>
  <c r="R33" i="3"/>
  <c r="I3" i="2"/>
  <c r="I19" i="2"/>
  <c r="AI37" i="5"/>
  <c r="E3" i="2"/>
  <c r="E19" i="2"/>
  <c r="AD41" i="5"/>
  <c r="AD37" i="5"/>
  <c r="U41" i="5"/>
  <c r="U37" i="5"/>
  <c r="AT39" i="5"/>
  <c r="AZ43" i="5"/>
  <c r="AI36" i="3"/>
  <c r="M38" i="3"/>
  <c r="V37" i="5"/>
  <c r="AU37" i="5"/>
  <c r="B3" i="2"/>
  <c r="R43" i="5"/>
  <c r="N37" i="3"/>
  <c r="AI35" i="3"/>
  <c r="M35" i="3"/>
  <c r="AS37" i="5"/>
  <c r="AT41" i="5"/>
  <c r="AT37" i="5"/>
  <c r="BW36" i="8"/>
  <c r="AD39" i="3"/>
  <c r="AD37" i="3"/>
  <c r="AD30" i="3"/>
  <c r="BJ36" i="8"/>
  <c r="BV35" i="8"/>
  <c r="AO12" i="5"/>
  <c r="BV10" i="8"/>
  <c r="BV7" i="8"/>
  <c r="BG25" i="8"/>
  <c r="BG33" i="8"/>
  <c r="BT33" i="8"/>
  <c r="AA26" i="3"/>
  <c r="BT59" i="8"/>
  <c r="BB35" i="8"/>
  <c r="AS37" i="3"/>
  <c r="U37" i="3"/>
  <c r="AE30" i="3"/>
  <c r="BW21" i="8"/>
  <c r="AL8" i="8"/>
  <c r="AL7" i="8"/>
  <c r="AL35" i="8"/>
  <c r="BW58" i="8"/>
  <c r="AD25" i="3"/>
  <c r="BJ58" i="8"/>
  <c r="BJ31" i="8"/>
  <c r="BJ24" i="8"/>
  <c r="I28" i="3"/>
  <c r="G28" i="3"/>
  <c r="F28" i="3"/>
  <c r="H28" i="3"/>
  <c r="J35" i="3"/>
  <c r="BQ8" i="8"/>
  <c r="BQ35" i="8"/>
  <c r="BQ6" i="8"/>
  <c r="AJ12" i="5"/>
  <c r="BQ10" i="8"/>
  <c r="BQ7" i="8"/>
  <c r="AK29" i="3"/>
  <c r="O11" i="5"/>
  <c r="L14" i="5"/>
  <c r="L11" i="5"/>
  <c r="BP33" i="8"/>
  <c r="BP59" i="8"/>
  <c r="CC59" i="8"/>
  <c r="BP25" i="8"/>
  <c r="CC33" i="8"/>
  <c r="AJ26" i="3"/>
  <c r="AN6" i="3"/>
  <c r="AN4" i="3"/>
  <c r="AN19" i="3"/>
  <c r="AN5" i="3"/>
  <c r="AH39" i="3"/>
  <c r="AH30" i="3"/>
  <c r="BP36" i="8"/>
  <c r="BA37" i="3"/>
  <c r="BA39" i="3"/>
  <c r="BA30" i="3"/>
  <c r="Y14" i="5"/>
  <c r="Y11" i="5"/>
  <c r="BF9" i="8"/>
  <c r="BR27" i="8"/>
  <c r="BR6" i="8"/>
  <c r="AT8" i="8"/>
  <c r="AO6" i="8"/>
  <c r="AJ30" i="3"/>
  <c r="BL36" i="8"/>
  <c r="U30" i="3"/>
  <c r="AH37" i="3"/>
  <c r="AT20" i="8"/>
  <c r="AG39" i="3"/>
  <c r="AM8" i="8"/>
  <c r="AM20" i="8"/>
  <c r="T25" i="3"/>
  <c r="BM31" i="8"/>
  <c r="BM58" i="8"/>
  <c r="AZ58" i="8"/>
  <c r="AZ19" i="8"/>
  <c r="BT24" i="8"/>
  <c r="BT19" i="8"/>
  <c r="BT58" i="8"/>
  <c r="CG31" i="8"/>
  <c r="BT31" i="8"/>
  <c r="CG58" i="8"/>
  <c r="AN25" i="3"/>
  <c r="BR60" i="8"/>
  <c r="BR26" i="8"/>
  <c r="CE60" i="8"/>
  <c r="CE32" i="8"/>
  <c r="AL27" i="3"/>
  <c r="BR32" i="8"/>
  <c r="BY27" i="8"/>
  <c r="BY57" i="8"/>
  <c r="AT24" i="3"/>
  <c r="BY30" i="8"/>
  <c r="BY9" i="8"/>
  <c r="BY24" i="8"/>
  <c r="BY25" i="8"/>
  <c r="BY21" i="8"/>
  <c r="AS24" i="3"/>
  <c r="S29" i="3"/>
  <c r="AY6" i="8"/>
  <c r="AY8" i="8"/>
  <c r="AY7" i="8"/>
  <c r="AL24" i="8"/>
  <c r="AL27" i="8"/>
  <c r="AL26" i="8"/>
  <c r="AL25" i="8"/>
  <c r="AY30" i="8"/>
  <c r="AL30" i="8"/>
  <c r="AL15" i="8"/>
  <c r="AS29" i="3"/>
  <c r="BY7" i="8"/>
  <c r="BE6" i="8"/>
  <c r="Y29" i="3"/>
  <c r="X12" i="5"/>
  <c r="BE10" i="8"/>
  <c r="BE7" i="8"/>
  <c r="AH14" i="5"/>
  <c r="AH11" i="5"/>
  <c r="V14" i="5"/>
  <c r="V11" i="5"/>
  <c r="AL39" i="3"/>
  <c r="BR20" i="8"/>
  <c r="AS39" i="3"/>
  <c r="BA36" i="8"/>
  <c r="AA37" i="3"/>
  <c r="AS36" i="3"/>
  <c r="AL9" i="8"/>
  <c r="F19" i="3"/>
  <c r="F6" i="3"/>
  <c r="F4" i="3"/>
  <c r="F5" i="3"/>
  <c r="R35" i="3"/>
  <c r="Q35" i="3"/>
  <c r="Q28" i="3"/>
  <c r="P28" i="3"/>
  <c r="BG19" i="8"/>
  <c r="BV19" i="8"/>
  <c r="BV20" i="8"/>
  <c r="BN8" i="8"/>
  <c r="AG12" i="5"/>
  <c r="BN10" i="8"/>
  <c r="BN7" i="8"/>
  <c r="BN20" i="8"/>
  <c r="D27" i="3"/>
  <c r="AW32" i="8"/>
  <c r="AW60" i="8"/>
  <c r="CL31" i="8"/>
  <c r="CL58" i="8"/>
  <c r="BE30" i="5"/>
  <c r="CL34" i="8"/>
  <c r="AL29" i="3"/>
  <c r="AA30" i="3"/>
  <c r="AR12" i="5"/>
  <c r="BY10" i="8"/>
  <c r="AL10" i="8"/>
  <c r="BV8" i="8"/>
  <c r="AL21" i="8"/>
  <c r="BW30" i="8"/>
  <c r="AA5" i="3"/>
  <c r="AA4" i="3"/>
  <c r="AA19" i="3"/>
  <c r="BS20" i="8"/>
  <c r="BS19" i="8"/>
  <c r="AK19" i="8"/>
  <c r="BM6" i="8"/>
  <c r="AF12" i="5"/>
  <c r="BM10" i="8"/>
  <c r="AG29" i="3"/>
  <c r="BF32" i="8"/>
  <c r="L27" i="3"/>
  <c r="AS26" i="8"/>
  <c r="M27" i="3"/>
  <c r="AS32" i="8"/>
  <c r="BF60" i="8"/>
  <c r="AE25" i="5"/>
  <c r="BR35" i="8"/>
  <c r="BG36" i="8"/>
  <c r="AP29" i="3"/>
  <c r="BR34" i="8"/>
  <c r="BR21" i="8"/>
  <c r="AA25" i="3"/>
  <c r="BG24" i="8"/>
  <c r="BG58" i="8"/>
  <c r="BG31" i="8"/>
  <c r="BL35" i="8"/>
  <c r="BL6" i="8"/>
  <c r="AE12" i="5"/>
  <c r="BL10" i="8"/>
  <c r="U12" i="5"/>
  <c r="BB10" i="8"/>
  <c r="BB8" i="8"/>
  <c r="V29" i="3"/>
  <c r="BH8" i="8"/>
  <c r="AB29" i="3"/>
  <c r="BH6" i="8"/>
  <c r="AA12" i="5"/>
  <c r="BH10" i="8"/>
  <c r="BR7" i="8"/>
  <c r="T30" i="3"/>
  <c r="AG30" i="3"/>
  <c r="AA39" i="3"/>
  <c r="BV6" i="8"/>
  <c r="BZ19" i="8"/>
  <c r="Q25" i="3"/>
  <c r="BK58" i="8"/>
  <c r="BK31" i="8"/>
  <c r="AX24" i="8"/>
  <c r="AX19" i="8"/>
  <c r="AX58" i="8"/>
  <c r="AX31" i="8"/>
  <c r="R25" i="3"/>
  <c r="AZ34" i="8"/>
  <c r="AM21" i="8"/>
  <c r="AM34" i="8"/>
  <c r="G6" i="3"/>
  <c r="G4" i="3"/>
  <c r="G5" i="3"/>
  <c r="G19" i="3"/>
  <c r="AX28" i="3"/>
  <c r="AY35" i="3"/>
  <c r="AX35" i="3"/>
  <c r="AK35" i="3"/>
  <c r="AJ41" i="5"/>
  <c r="AJ37" i="5"/>
  <c r="AK28" i="3"/>
  <c r="AL35" i="3"/>
  <c r="Z35" i="3"/>
  <c r="AA35" i="3"/>
  <c r="Y41" i="5"/>
  <c r="Y37" i="5"/>
  <c r="AV20" i="8"/>
  <c r="AV19" i="8"/>
  <c r="BA6" i="8"/>
  <c r="T12" i="5"/>
  <c r="BA10" i="8"/>
  <c r="BA8" i="8"/>
  <c r="AC14" i="5"/>
  <c r="AC11" i="5"/>
  <c r="BJ20" i="8"/>
  <c r="S14" i="5"/>
  <c r="S11" i="5"/>
  <c r="CL60" i="8"/>
  <c r="BY32" i="8"/>
  <c r="BY60" i="8"/>
  <c r="AS27" i="3"/>
  <c r="W27" i="3"/>
  <c r="BP60" i="8"/>
  <c r="BC26" i="8"/>
  <c r="BP32" i="8"/>
  <c r="BC60" i="8"/>
  <c r="BC32" i="8"/>
  <c r="AZ14" i="5"/>
  <c r="AZ11" i="5"/>
  <c r="BR8" i="8"/>
  <c r="BM36" i="8"/>
  <c r="BH7" i="8"/>
  <c r="BR9" i="8"/>
  <c r="BR15" i="8"/>
  <c r="BR25" i="8"/>
  <c r="AL36" i="3"/>
  <c r="BR57" i="8"/>
  <c r="AL24" i="3"/>
  <c r="BR30" i="8"/>
  <c r="CC31" i="8"/>
  <c r="C25" i="13"/>
  <c r="CB58" i="8"/>
  <c r="AQ19" i="8"/>
  <c r="BU20" i="8"/>
  <c r="BU6" i="8"/>
  <c r="BU8" i="8"/>
  <c r="AO29" i="3"/>
  <c r="BU35" i="8"/>
  <c r="BU7" i="8"/>
  <c r="BK7" i="8"/>
  <c r="AE29" i="3"/>
  <c r="AY25" i="8"/>
  <c r="AY33" i="8"/>
  <c r="BL33" i="8"/>
  <c r="R26" i="3"/>
  <c r="S26" i="3"/>
  <c r="BL59" i="8"/>
  <c r="BH58" i="8"/>
  <c r="AU24" i="8"/>
  <c r="AU58" i="8"/>
  <c r="BH31" i="8"/>
  <c r="O25" i="3"/>
  <c r="AU31" i="8"/>
  <c r="N25" i="3"/>
  <c r="AY34" i="8"/>
  <c r="BL34" i="8"/>
  <c r="AY21" i="8"/>
  <c r="BQ20" i="8"/>
  <c r="BQ19" i="8"/>
  <c r="AM14" i="5"/>
  <c r="AM11" i="5"/>
  <c r="CL32" i="8"/>
  <c r="AW25" i="3"/>
  <c r="BR24" i="8"/>
  <c r="AD24" i="3"/>
  <c r="BJ15" i="8"/>
  <c r="AD36" i="3"/>
  <c r="BJ21" i="8"/>
  <c r="BJ27" i="8"/>
  <c r="BJ9" i="8"/>
  <c r="BW57" i="8"/>
  <c r="AE24" i="3"/>
  <c r="BJ25" i="8"/>
  <c r="BJ26" i="8"/>
  <c r="AE36" i="3"/>
  <c r="AI14" i="5"/>
  <c r="AI11" i="5"/>
  <c r="CE34" i="8"/>
  <c r="BY15" i="8"/>
  <c r="AB12" i="5"/>
  <c r="BI10" i="8"/>
  <c r="BI8" i="8"/>
  <c r="BI20" i="8"/>
  <c r="BI6" i="8"/>
  <c r="AC29" i="3"/>
  <c r="BI7" i="8"/>
  <c r="BK32" i="8"/>
  <c r="BK26" i="8"/>
  <c r="BX32" i="8"/>
  <c r="BK60" i="8"/>
  <c r="BX60" i="8"/>
  <c r="AE27" i="3"/>
  <c r="AF4" i="3"/>
  <c r="AF6" i="3"/>
  <c r="AF19" i="3"/>
  <c r="AF5" i="3"/>
  <c r="CK34" i="8"/>
  <c r="BW15" i="8"/>
  <c r="AU38" i="3"/>
  <c r="AY25" i="5"/>
  <c r="U35" i="3"/>
  <c r="AZ5" i="3"/>
  <c r="CK31" i="8"/>
  <c r="CK58" i="8"/>
  <c r="L38" i="1"/>
  <c r="L49" i="1"/>
  <c r="CK53" i="8"/>
  <c r="O27" i="1"/>
  <c r="BG4" i="5" s="1"/>
  <c r="L27" i="1"/>
  <c r="CK55" i="8"/>
  <c r="BE41" i="5"/>
  <c r="F49" i="1"/>
  <c r="J49" i="1"/>
  <c r="AX26" i="3"/>
  <c r="CD59" i="8"/>
  <c r="CI60" i="8"/>
  <c r="AY25" i="3"/>
  <c r="CI32" i="8"/>
  <c r="CE58" i="8"/>
  <c r="BC5" i="3"/>
  <c r="AW34" i="5"/>
  <c r="AV39" i="3"/>
  <c r="AV30" i="3"/>
  <c r="AV38" i="3"/>
  <c r="AW37" i="5"/>
  <c r="AX37" i="3" s="1"/>
  <c r="AX39" i="3"/>
  <c r="AU35" i="3"/>
  <c r="AY41" i="5"/>
  <c r="BC38" i="3"/>
  <c r="AV35" i="3"/>
  <c r="AU28" i="3"/>
  <c r="I27" i="1"/>
  <c r="AW17" i="3"/>
  <c r="AW16" i="3"/>
  <c r="AZ19" i="3"/>
  <c r="AU5" i="3"/>
  <c r="AW23" i="3"/>
  <c r="BC19" i="3"/>
  <c r="CC55" i="8"/>
  <c r="AV4" i="5"/>
  <c r="AW21" i="3"/>
  <c r="AW4" i="3"/>
  <c r="AW22" i="3"/>
  <c r="AW20" i="3"/>
  <c r="AW11" i="3"/>
  <c r="AY23" i="3"/>
  <c r="AY16" i="3"/>
  <c r="AY11" i="3"/>
  <c r="K27" i="1"/>
  <c r="CJ55" i="8"/>
  <c r="AY14" i="3"/>
  <c r="CJ53" i="8"/>
  <c r="AY17" i="3"/>
  <c r="AY22" i="3"/>
  <c r="AY21" i="3"/>
  <c r="AY15" i="3"/>
  <c r="AX4" i="5"/>
  <c r="CJ47" i="8"/>
  <c r="BF47" i="5"/>
  <c r="BF43" i="5"/>
  <c r="Q3" i="2"/>
  <c r="Q19" i="2"/>
  <c r="Q29" i="2"/>
  <c r="Q33" i="2"/>
  <c r="Q35" i="2"/>
  <c r="Q37" i="2"/>
  <c r="BA43" i="5"/>
  <c r="AT43" i="5"/>
  <c r="J19" i="2"/>
  <c r="BC10" i="3"/>
  <c r="F39" i="2"/>
  <c r="AX32" i="3"/>
  <c r="J39" i="2"/>
  <c r="BC32" i="3"/>
  <c r="H3" i="2"/>
  <c r="H19" i="2"/>
  <c r="AW38" i="3"/>
  <c r="AX37" i="5"/>
  <c r="AY37" i="3" s="1"/>
  <c r="V30" i="3"/>
  <c r="BB36" i="8"/>
  <c r="V39" i="3"/>
  <c r="V37" i="3"/>
  <c r="AE37" i="3"/>
  <c r="AE39" i="3"/>
  <c r="BK36" i="8"/>
  <c r="BX36" i="8"/>
  <c r="F44" i="11"/>
  <c r="B19" i="2"/>
  <c r="W30" i="3"/>
  <c r="W39" i="3"/>
  <c r="BC36" i="8"/>
  <c r="W37" i="3"/>
  <c r="AJ39" i="3"/>
  <c r="AJ37" i="3"/>
  <c r="E37" i="3"/>
  <c r="D30" i="3"/>
  <c r="E39" i="3"/>
  <c r="E30" i="3"/>
  <c r="AV6" i="8"/>
  <c r="AV8" i="8"/>
  <c r="AV7" i="8"/>
  <c r="AV35" i="8"/>
  <c r="BI35" i="8"/>
  <c r="O12" i="5"/>
  <c r="AV10" i="8"/>
  <c r="AZ12" i="5"/>
  <c r="CG10" i="8" s="1"/>
  <c r="BA29" i="3"/>
  <c r="CG35" i="8"/>
  <c r="CD36" i="8"/>
  <c r="Z30" i="3"/>
  <c r="BS36" i="8"/>
  <c r="BF36" i="8"/>
  <c r="Z37" i="3"/>
  <c r="Z39" i="3"/>
  <c r="W29" i="3"/>
  <c r="V12" i="5"/>
  <c r="BC10" i="8"/>
  <c r="BC7" i="8"/>
  <c r="BC6" i="8"/>
  <c r="BC8" i="8"/>
  <c r="BC20" i="8"/>
  <c r="BP35" i="8"/>
  <c r="BP7" i="8"/>
  <c r="BP20" i="8"/>
  <c r="AI12" i="5"/>
  <c r="BP10" i="8"/>
  <c r="BP6" i="8"/>
  <c r="AJ29" i="3"/>
  <c r="BP8" i="8"/>
  <c r="BL19" i="8"/>
  <c r="BL20" i="8"/>
  <c r="BO35" i="8"/>
  <c r="BO8" i="8"/>
  <c r="BO20" i="8"/>
  <c r="BO6" i="8"/>
  <c r="BO7" i="8"/>
  <c r="AI29" i="3"/>
  <c r="AH12" i="5"/>
  <c r="BO10" i="8"/>
  <c r="AX30" i="3"/>
  <c r="T29" i="3"/>
  <c r="AZ35" i="8"/>
  <c r="AZ8" i="8"/>
  <c r="AZ7" i="8"/>
  <c r="AZ6" i="8"/>
  <c r="AZ20" i="8"/>
  <c r="BM35" i="8"/>
  <c r="S12" i="5"/>
  <c r="AZ10" i="8"/>
  <c r="BQ36" i="8"/>
  <c r="AK30" i="3"/>
  <c r="AK39" i="3"/>
  <c r="AK37" i="3"/>
  <c r="BJ7" i="8"/>
  <c r="BJ6" i="8"/>
  <c r="BJ8" i="8"/>
  <c r="AD29" i="3"/>
  <c r="AC12" i="5"/>
  <c r="BJ10" i="8"/>
  <c r="BW35" i="8"/>
  <c r="AN29" i="3"/>
  <c r="BT8" i="8"/>
  <c r="BT6" i="8"/>
  <c r="AM12" i="5"/>
  <c r="BT10" i="8"/>
  <c r="BT20" i="8"/>
  <c r="BT7" i="8"/>
  <c r="Y12" i="5"/>
  <c r="BF10" i="8"/>
  <c r="BF8" i="8"/>
  <c r="BS35" i="8"/>
  <c r="BF7" i="8"/>
  <c r="BF35" i="8"/>
  <c r="BF20" i="8"/>
  <c r="Z29" i="3"/>
  <c r="BF6" i="8"/>
  <c r="AS35" i="8"/>
  <c r="AS7" i="8"/>
  <c r="AS8" i="8"/>
  <c r="AS6" i="8"/>
  <c r="L12" i="5"/>
  <c r="AS10" i="8"/>
  <c r="M29" i="3"/>
  <c r="BD4" i="5"/>
  <c r="BB20" i="3"/>
  <c r="BB17" i="3"/>
  <c r="BB15" i="3"/>
  <c r="BB6" i="3"/>
  <c r="BB21" i="3"/>
  <c r="BB23" i="3"/>
  <c r="CH55" i="8"/>
  <c r="BB16" i="3"/>
  <c r="BB14" i="3"/>
  <c r="BA4" i="5"/>
  <c r="CH57" i="8"/>
  <c r="BB22" i="3"/>
  <c r="BB4" i="3"/>
  <c r="BB11" i="3"/>
  <c r="CE30" i="8"/>
  <c r="CE57" i="8"/>
  <c r="AY39" i="3"/>
  <c r="AY30" i="3"/>
  <c r="CE36" i="8"/>
  <c r="F27" i="11"/>
  <c r="F45" i="11"/>
  <c r="CH30" i="8"/>
  <c r="BB36" i="3"/>
  <c r="P29" i="2"/>
  <c r="P33" i="2"/>
  <c r="P35" i="2"/>
  <c r="P37" i="2"/>
  <c r="AU47" i="5"/>
  <c r="H39" i="2"/>
  <c r="AZ32" i="3"/>
  <c r="AY43" i="5"/>
  <c r="D19" i="2"/>
  <c r="AV10" i="3"/>
  <c r="C19" i="2"/>
  <c r="G19" i="2"/>
  <c r="AZ35" i="3"/>
  <c r="K19" i="2"/>
  <c r="K29" i="2"/>
  <c r="K33" i="2"/>
  <c r="K35" i="2"/>
  <c r="K37" i="2"/>
  <c r="AW43" i="5"/>
  <c r="AV43" i="5"/>
  <c r="C29" i="2"/>
  <c r="C33" i="2"/>
  <c r="C35" i="2"/>
  <c r="C37" i="2"/>
  <c r="AU10" i="3"/>
  <c r="BC37" i="3"/>
  <c r="CI36" i="8"/>
  <c r="BC30" i="3"/>
  <c r="BC39" i="3"/>
  <c r="M3" i="2"/>
  <c r="M19" i="2"/>
  <c r="M29" i="2"/>
  <c r="M33" i="2"/>
  <c r="M35" i="2"/>
  <c r="M37" i="2"/>
  <c r="AY37" i="5"/>
  <c r="AZ30" i="3"/>
  <c r="BE37" i="5"/>
  <c r="CL36" i="8"/>
  <c r="BC37" i="5"/>
  <c r="CJ36" i="8"/>
  <c r="AZ10" i="3"/>
  <c r="H29" i="2"/>
  <c r="H33" i="2"/>
  <c r="H35" i="2"/>
  <c r="H37" i="2"/>
  <c r="E29" i="2"/>
  <c r="E33" i="2"/>
  <c r="E35" i="2"/>
  <c r="E37" i="2"/>
  <c r="AW10" i="3"/>
  <c r="I29" i="2"/>
  <c r="I33" i="2"/>
  <c r="BB10" i="3"/>
  <c r="AX10" i="3"/>
  <c r="F29" i="2"/>
  <c r="F33" i="2"/>
  <c r="F35" i="2"/>
  <c r="F37" i="2"/>
  <c r="BB30" i="3"/>
  <c r="BB39" i="3"/>
  <c r="CH36" i="8"/>
  <c r="BB37" i="3"/>
  <c r="AY10" i="3"/>
  <c r="G29" i="2"/>
  <c r="G33" i="2"/>
  <c r="G35" i="2"/>
  <c r="G37" i="2"/>
  <c r="AV41" i="5"/>
  <c r="AV37" i="5" s="1"/>
  <c r="C15" i="13"/>
  <c r="J29" i="2"/>
  <c r="J33" i="2"/>
  <c r="J35" i="2"/>
  <c r="J37" i="2"/>
  <c r="Q49" i="1"/>
  <c r="Q51" i="1"/>
  <c r="P49" i="1"/>
  <c r="O51" i="1"/>
  <c r="CE35" i="8"/>
  <c r="AY29" i="3"/>
  <c r="AX12" i="5"/>
  <c r="CE10" i="8" s="1"/>
  <c r="BD12" i="5"/>
  <c r="CK10" i="8" s="1"/>
  <c r="CK35" i="8"/>
  <c r="BC14" i="5"/>
  <c r="BC11" i="5"/>
  <c r="AU12" i="5"/>
  <c r="CB35" i="8"/>
  <c r="AV29" i="3"/>
  <c r="AU29" i="3"/>
  <c r="CA35" i="8"/>
  <c r="AT12" i="5"/>
  <c r="BC29" i="3"/>
  <c r="CI35" i="8"/>
  <c r="BB12" i="5"/>
  <c r="BB29" i="3"/>
  <c r="CH35" i="8"/>
  <c r="BA12" i="5"/>
  <c r="CH10" i="8" s="1"/>
  <c r="AW14" i="5"/>
  <c r="AW11" i="5"/>
  <c r="CF35" i="8"/>
  <c r="AZ29" i="3"/>
  <c r="AY12" i="5"/>
  <c r="BE12" i="5"/>
  <c r="CL35" i="8"/>
  <c r="AY6" i="3"/>
  <c r="AY19" i="3"/>
  <c r="H49" i="1"/>
  <c r="CA31" i="8"/>
  <c r="AU25" i="3"/>
  <c r="CA58" i="8"/>
  <c r="CB31" i="8"/>
  <c r="AV25" i="3"/>
  <c r="CB32" i="8"/>
  <c r="CB60" i="8"/>
  <c r="I51" i="1"/>
  <c r="AV16" i="3"/>
  <c r="AV4" i="3"/>
  <c r="AV20" i="3"/>
  <c r="AU34" i="5"/>
  <c r="K51" i="1"/>
  <c r="C27" i="1"/>
  <c r="BC4" i="5"/>
  <c r="BB24" i="3"/>
  <c r="AU30" i="3"/>
  <c r="AU37" i="3"/>
  <c r="CA36" i="8"/>
  <c r="AU39" i="3"/>
  <c r="AZ37" i="3"/>
  <c r="CJ34" i="8"/>
  <c r="L51" i="1"/>
  <c r="F27" i="1"/>
  <c r="AX14" i="3"/>
  <c r="CK56" i="8"/>
  <c r="AX16" i="3"/>
  <c r="AX6" i="3"/>
  <c r="AX4" i="3"/>
  <c r="AX20" i="3"/>
  <c r="AW4" i="5"/>
  <c r="AX36" i="3"/>
  <c r="AX15" i="3"/>
  <c r="D51" i="1"/>
  <c r="CC57" i="8"/>
  <c r="AV21" i="3"/>
  <c r="C24" i="13"/>
  <c r="AV6" i="3"/>
  <c r="AV11" i="3"/>
  <c r="AV15" i="3"/>
  <c r="AV17" i="3"/>
  <c r="CC30" i="8"/>
  <c r="AV23" i="3"/>
  <c r="AV22" i="3"/>
  <c r="AT11" i="3"/>
  <c r="AV14" i="3"/>
  <c r="CB55" i="8"/>
  <c r="AU4" i="5"/>
  <c r="CK30" i="8"/>
  <c r="CI53" i="8"/>
  <c r="CL47" i="8"/>
  <c r="BC12" i="3"/>
  <c r="J27" i="1"/>
  <c r="CI52" i="8"/>
  <c r="CF47" i="8"/>
  <c r="CK57" i="8"/>
  <c r="M27" i="1"/>
  <c r="H27" i="1"/>
  <c r="AZ15" i="3"/>
  <c r="CL53" i="8"/>
  <c r="BC13" i="3"/>
  <c r="AU43" i="5"/>
  <c r="AV37" i="3"/>
  <c r="D29" i="2"/>
  <c r="D33" i="2"/>
  <c r="D35" i="2"/>
  <c r="D37" i="2"/>
  <c r="AZ39" i="3"/>
  <c r="CF36" i="8"/>
  <c r="AW9" i="3"/>
  <c r="AW39" i="3"/>
  <c r="CC36" i="8"/>
  <c r="AW30" i="3"/>
  <c r="AW37" i="3"/>
  <c r="CE56" i="8"/>
  <c r="CC56" i="8"/>
  <c r="I35" i="2"/>
  <c r="I37" i="2"/>
  <c r="CH56" i="8"/>
  <c r="BB9" i="3"/>
  <c r="CJ35" i="8"/>
  <c r="BC12" i="5"/>
  <c r="CJ10" i="8" s="1"/>
  <c r="AX29" i="3"/>
  <c r="AW12" i="5"/>
  <c r="CD10" i="8" s="1"/>
  <c r="CD35" i="8"/>
  <c r="CD56" i="8"/>
  <c r="AU17" i="3"/>
  <c r="AX17" i="3"/>
  <c r="AX23" i="3"/>
  <c r="AU21" i="3"/>
  <c r="AU22" i="3"/>
  <c r="AU14" i="3"/>
  <c r="AU15" i="3"/>
  <c r="AU6" i="3"/>
  <c r="CA55" i="8"/>
  <c r="AU9" i="3"/>
  <c r="AU4" i="3"/>
  <c r="AS11" i="3"/>
  <c r="AU23" i="3"/>
  <c r="AU20" i="3"/>
  <c r="AU11" i="3"/>
  <c r="CA56" i="8"/>
  <c r="AT4" i="5"/>
  <c r="C51" i="1"/>
  <c r="AU16" i="3"/>
  <c r="CD55" i="8"/>
  <c r="CJ30" i="8"/>
  <c r="CJ57" i="8"/>
  <c r="AV36" i="3"/>
  <c r="AX22" i="3"/>
  <c r="AX9" i="3"/>
  <c r="AX21" i="3"/>
  <c r="AY9" i="3"/>
  <c r="F51" i="1"/>
  <c r="CB57" i="8"/>
  <c r="AW36" i="3"/>
  <c r="AX24" i="3"/>
  <c r="AY36" i="3"/>
  <c r="CD30" i="8"/>
  <c r="AY24" i="3"/>
  <c r="CD57" i="8"/>
  <c r="AW24" i="3"/>
  <c r="CB30" i="8"/>
  <c r="CL56" i="8"/>
  <c r="M51" i="1"/>
  <c r="CL55" i="8"/>
  <c r="BE4" i="5"/>
  <c r="BA11" i="3"/>
  <c r="BC23" i="3"/>
  <c r="BC14" i="3"/>
  <c r="BC4" i="3"/>
  <c r="CI56" i="8"/>
  <c r="BC21" i="3"/>
  <c r="J51" i="1"/>
  <c r="BC17" i="3"/>
  <c r="BC9" i="3"/>
  <c r="CI55" i="8"/>
  <c r="BC16" i="3"/>
  <c r="BB4" i="5"/>
  <c r="CJ56" i="8"/>
  <c r="BC15" i="3"/>
  <c r="BC22" i="3"/>
  <c r="BC20" i="3"/>
  <c r="BC6" i="3"/>
  <c r="BC11" i="3"/>
  <c r="AZ23" i="3"/>
  <c r="AZ14" i="3"/>
  <c r="AZ16" i="3"/>
  <c r="AZ11" i="3"/>
  <c r="AZ20" i="3"/>
  <c r="AZ21" i="3"/>
  <c r="AZ6" i="3"/>
  <c r="AZ4" i="3"/>
  <c r="AY4" i="5"/>
  <c r="AX11" i="3"/>
  <c r="AZ22" i="3"/>
  <c r="CG56" i="8"/>
  <c r="BA9" i="3"/>
  <c r="AZ9" i="3"/>
  <c r="CF56" i="8"/>
  <c r="AZ17" i="3"/>
  <c r="H51" i="1"/>
  <c r="CF55" i="8"/>
  <c r="CB56" i="8"/>
  <c r="AV9" i="3"/>
  <c r="CA57" i="8"/>
  <c r="CA30" i="8"/>
  <c r="AU36" i="3"/>
  <c r="AU24" i="3"/>
  <c r="AV24" i="3"/>
  <c r="CI57" i="8"/>
  <c r="BC36" i="3"/>
  <c r="BC24" i="3"/>
  <c r="CI30" i="8"/>
  <c r="CL30" i="8"/>
  <c r="CL57" i="8"/>
  <c r="CF30" i="8"/>
  <c r="BA36" i="3"/>
  <c r="CF57" i="8"/>
  <c r="AZ36" i="3"/>
  <c r="BA24" i="3"/>
  <c r="AZ24" i="3"/>
  <c r="N39" i="2"/>
  <c r="BF37" i="5"/>
  <c r="CM36" i="8"/>
  <c r="BF14" i="5"/>
  <c r="BF11" i="5"/>
  <c r="BF12" i="5"/>
  <c r="N49" i="1"/>
  <c r="CM31" i="8"/>
  <c r="CM58" i="8"/>
  <c r="CM59" i="8"/>
  <c r="CM53" i="8"/>
  <c r="CM52" i="8"/>
  <c r="CM47" i="8"/>
  <c r="N27" i="1"/>
  <c r="N51" i="1"/>
  <c r="BF4" i="5"/>
  <c r="CM55" i="8"/>
  <c r="CM30" i="8"/>
  <c r="CM57" i="8"/>
  <c r="N29" i="2"/>
  <c r="N33" i="2"/>
  <c r="N35" i="2"/>
  <c r="N37" i="2"/>
  <c r="AS47" i="5"/>
  <c r="B29" i="2"/>
  <c r="B33" i="2"/>
  <c r="AT9" i="3"/>
  <c r="B39" i="2"/>
  <c r="AT32" i="3"/>
  <c r="AT37" i="3"/>
  <c r="AT10" i="3"/>
  <c r="F47" i="11"/>
  <c r="F18" i="11"/>
  <c r="AT39" i="3"/>
  <c r="F16" i="11"/>
  <c r="BZ56" i="8"/>
  <c r="F15" i="11"/>
  <c r="BZ8" i="8"/>
  <c r="BZ35" i="8"/>
  <c r="AT29" i="3"/>
  <c r="BZ20" i="8"/>
  <c r="BZ6" i="8"/>
  <c r="F33" i="11"/>
  <c r="AS12" i="5"/>
  <c r="CM35" i="8"/>
  <c r="AT27" i="3"/>
  <c r="BZ26" i="8"/>
  <c r="BZ32" i="8"/>
  <c r="BZ60" i="8"/>
  <c r="CM60" i="8"/>
  <c r="CM32" i="8"/>
  <c r="B51" i="1"/>
  <c r="BZ36" i="8"/>
  <c r="AT30" i="3"/>
  <c r="F11" i="11"/>
  <c r="BZ14" i="8"/>
  <c r="BZ24" i="8"/>
  <c r="BZ57" i="8"/>
  <c r="CI63" i="8"/>
  <c r="F26" i="11"/>
  <c r="BZ7" i="8"/>
  <c r="CM56" i="8"/>
  <c r="AS43" i="5"/>
  <c r="AT36" i="3"/>
  <c r="B35" i="2"/>
  <c r="B37" i="2"/>
  <c r="F50" i="11"/>
  <c r="F17" i="11"/>
  <c r="F34" i="11"/>
  <c r="F8" i="11"/>
  <c r="BZ10" i="8"/>
  <c r="F13" i="11"/>
  <c r="F6" i="11"/>
  <c r="F7" i="11"/>
  <c r="S3" i="2"/>
  <c r="S19" i="2"/>
  <c r="S29" i="2"/>
  <c r="S33" i="2"/>
  <c r="S35" i="2"/>
  <c r="S37" i="2"/>
  <c r="R3" i="2"/>
  <c r="R19" i="2"/>
  <c r="R29" i="2"/>
  <c r="R33" i="2"/>
  <c r="R35" i="2"/>
  <c r="R37" i="2"/>
  <c r="S27" i="1"/>
  <c r="BK4" i="5" s="1"/>
  <c r="R27" i="1"/>
  <c r="BJ4" i="5" s="1"/>
  <c r="S49" i="1"/>
  <c r="R51" i="1"/>
  <c r="S51" i="1"/>
  <c r="T49" i="1"/>
  <c r="T27" i="1"/>
  <c r="BL4" i="5" s="1"/>
  <c r="T3" i="2"/>
  <c r="T19" i="2"/>
  <c r="T29" i="2"/>
  <c r="T33" i="2"/>
  <c r="T35" i="2"/>
  <c r="T37" i="2"/>
  <c r="T51" i="1"/>
  <c r="CN29" i="3" l="1"/>
  <c r="CO29" i="3"/>
  <c r="CN30" i="3"/>
  <c r="CN37" i="3"/>
  <c r="CN39" i="3"/>
  <c r="CO30" i="3"/>
  <c r="CO37" i="3"/>
  <c r="CO39" i="3"/>
  <c r="CY14" i="8"/>
  <c r="AN51" i="1"/>
  <c r="CF4" i="5"/>
  <c r="DL14" i="8"/>
  <c r="BT12" i="5"/>
  <c r="DA10" i="8" s="1"/>
  <c r="DA6" i="8"/>
  <c r="DA7" i="8"/>
  <c r="DA8" i="8"/>
  <c r="BU12" i="5"/>
  <c r="DB10" i="8" s="1"/>
  <c r="DB6" i="8"/>
  <c r="DB7" i="8"/>
  <c r="DB8" i="8"/>
  <c r="BV12" i="5"/>
  <c r="DC10" i="8" s="1"/>
  <c r="DC6" i="8"/>
  <c r="DC7" i="8"/>
  <c r="DC8" i="8"/>
  <c r="BW12" i="5"/>
  <c r="DD10" i="8" s="1"/>
  <c r="DD6" i="8"/>
  <c r="DD7" i="8"/>
  <c r="DD8" i="8"/>
  <c r="BX12" i="5"/>
  <c r="DE10" i="8" s="1"/>
  <c r="DE6" i="8"/>
  <c r="DE7" i="8"/>
  <c r="DE8" i="8"/>
  <c r="BY12" i="5"/>
  <c r="DF10" i="8" s="1"/>
  <c r="DF6" i="8"/>
  <c r="DF7" i="8"/>
  <c r="DF8" i="8"/>
  <c r="BZ12" i="5"/>
  <c r="DG10" i="8" s="1"/>
  <c r="DG6" i="8"/>
  <c r="DG7" i="8"/>
  <c r="DG8" i="8"/>
  <c r="CA12" i="5"/>
  <c r="DH10" i="8" s="1"/>
  <c r="DH6" i="8"/>
  <c r="DH7" i="8"/>
  <c r="DH8" i="8"/>
  <c r="CB12" i="5"/>
  <c r="DI10" i="8" s="1"/>
  <c r="DI6" i="8"/>
  <c r="DI7" i="8"/>
  <c r="DI8" i="8"/>
  <c r="CC12" i="5"/>
  <c r="DJ10" i="8" s="1"/>
  <c r="DJ6" i="8"/>
  <c r="DJ7" i="8"/>
  <c r="DJ8" i="8"/>
  <c r="CD12" i="5"/>
  <c r="DK10" i="8" s="1"/>
  <c r="DK6" i="8"/>
  <c r="DK7" i="8"/>
  <c r="DK8" i="8"/>
  <c r="CE12" i="5"/>
  <c r="DL10" i="8" s="1"/>
  <c r="DL6" i="8"/>
  <c r="DL7" i="8"/>
  <c r="DL8" i="8"/>
  <c r="CF12" i="5"/>
  <c r="DM10" i="8" s="1"/>
  <c r="DM6" i="8"/>
  <c r="DM7" i="8"/>
  <c r="DM8" i="8"/>
  <c r="DA19" i="8"/>
  <c r="DA20" i="8"/>
  <c r="DB19" i="8"/>
  <c r="DB20" i="8"/>
  <c r="DC19" i="8"/>
  <c r="DC20" i="8"/>
  <c r="DD19" i="8"/>
  <c r="DD20" i="8"/>
  <c r="DE19" i="8"/>
  <c r="DE20" i="8"/>
  <c r="DF19" i="8"/>
  <c r="DF20" i="8"/>
  <c r="DG19" i="8"/>
  <c r="DG20" i="8"/>
  <c r="DH19" i="8"/>
  <c r="DH20" i="8"/>
  <c r="DI19" i="8"/>
  <c r="DI20" i="8"/>
  <c r="DJ19" i="8"/>
  <c r="DJ20" i="8"/>
  <c r="DK19" i="8"/>
  <c r="DK20" i="8"/>
  <c r="DL19" i="8"/>
  <c r="DL20" i="8"/>
  <c r="DM19" i="8"/>
  <c r="DM20" i="8"/>
  <c r="CM10" i="8"/>
  <c r="CM6" i="8"/>
  <c r="CM7" i="8"/>
  <c r="CM8" i="8"/>
  <c r="CL10" i="8"/>
  <c r="CF10" i="8"/>
  <c r="D8" i="13" s="1"/>
  <c r="CD6" i="8"/>
  <c r="CD7" i="8"/>
  <c r="CD8" i="8"/>
  <c r="CI10" i="8"/>
  <c r="E8" i="13" s="1"/>
  <c r="CA10" i="8"/>
  <c r="CB10" i="8"/>
  <c r="CJ6" i="8"/>
  <c r="CJ7" i="8"/>
  <c r="CJ8" i="8"/>
  <c r="CF19" i="8"/>
  <c r="CF20" i="8"/>
  <c r="CG6" i="8"/>
  <c r="CG7" i="8"/>
  <c r="CG8" i="8"/>
  <c r="CL21" i="8"/>
  <c r="CH21" i="8"/>
  <c r="CM19" i="8"/>
  <c r="CM20" i="8"/>
  <c r="CC24" i="8"/>
  <c r="CJ19" i="8"/>
  <c r="CJ20" i="8"/>
  <c r="CB19" i="8"/>
  <c r="CB20" i="8"/>
  <c r="CC19" i="8"/>
  <c r="CM21" i="8"/>
  <c r="CA21" i="8"/>
  <c r="CI24" i="8"/>
  <c r="CK19" i="8"/>
  <c r="CK20" i="8"/>
  <c r="CA19" i="8"/>
  <c r="CA20" i="8"/>
  <c r="CE19" i="8"/>
  <c r="CE20" i="8"/>
  <c r="CE21" i="8"/>
  <c r="CD24" i="8"/>
  <c r="CE24" i="8"/>
  <c r="CI21" i="8"/>
  <c r="CH24" i="8"/>
  <c r="CG21" i="8"/>
  <c r="CG24" i="8"/>
  <c r="CF24" i="8"/>
  <c r="CB24" i="8"/>
  <c r="CA24" i="8"/>
  <c r="CC14" i="8"/>
  <c r="CB14" i="8"/>
  <c r="CA14" i="8"/>
  <c r="CC21" i="8"/>
  <c r="CB21" i="8"/>
  <c r="CF15" i="8"/>
  <c r="CE15" i="8"/>
  <c r="CD15" i="8"/>
  <c r="CC15" i="8"/>
  <c r="CB15" i="8"/>
  <c r="CA15" i="8"/>
  <c r="CD19" i="8"/>
  <c r="CD20" i="8"/>
  <c r="CF6" i="8"/>
  <c r="D6" i="13" s="1"/>
  <c r="CF7" i="8"/>
  <c r="D7" i="13" s="1"/>
  <c r="CF8" i="8"/>
  <c r="CE6" i="8"/>
  <c r="CE7" i="8"/>
  <c r="CE8" i="8"/>
  <c r="CB6" i="8"/>
  <c r="CB7" i="8"/>
  <c r="CB8" i="8"/>
  <c r="CA6" i="8"/>
  <c r="CA7" i="8"/>
  <c r="CA8" i="8"/>
  <c r="CF9" i="8"/>
  <c r="CE9" i="8"/>
  <c r="CD9" i="8"/>
  <c r="CC9" i="8"/>
  <c r="CB9" i="8"/>
  <c r="CA9" i="8"/>
  <c r="CF27" i="8"/>
  <c r="CE27" i="8"/>
  <c r="CD27" i="8"/>
  <c r="CC27" i="8"/>
  <c r="CB27" i="8"/>
  <c r="CA27" i="8"/>
  <c r="CF26" i="8"/>
  <c r="CE26" i="8"/>
  <c r="CD26" i="8"/>
  <c r="CC26" i="8"/>
  <c r="CB26" i="8"/>
  <c r="CA26" i="8"/>
  <c r="CF25" i="8"/>
  <c r="CE25" i="8"/>
  <c r="CD25" i="8"/>
  <c r="CC25" i="8"/>
  <c r="CB25" i="8"/>
  <c r="CA25" i="8"/>
  <c r="CF14" i="8"/>
  <c r="CE14" i="8"/>
  <c r="CD14" i="8"/>
  <c r="CF21" i="8"/>
  <c r="CD21" i="8"/>
  <c r="CH14" i="8"/>
  <c r="CG14" i="8"/>
  <c r="CI15" i="8"/>
  <c r="CH15" i="8"/>
  <c r="CG15" i="8"/>
  <c r="CG19" i="8"/>
  <c r="CG20" i="8"/>
  <c r="CI6" i="8"/>
  <c r="E6" i="13" s="1"/>
  <c r="CI7" i="8"/>
  <c r="E7" i="13" s="1"/>
  <c r="CI8" i="8"/>
  <c r="CH6" i="8"/>
  <c r="CH7" i="8"/>
  <c r="CH8" i="8"/>
  <c r="CI9" i="8"/>
  <c r="CH9" i="8"/>
  <c r="CG9" i="8"/>
  <c r="CI27" i="8"/>
  <c r="CH27" i="8"/>
  <c r="CG27" i="8"/>
  <c r="CI26" i="8"/>
  <c r="CH26" i="8"/>
  <c r="CG26" i="8"/>
  <c r="CI25" i="8"/>
  <c r="CH25" i="8"/>
  <c r="CG25" i="8"/>
  <c r="CM24" i="8"/>
  <c r="CL24" i="8"/>
  <c r="CK24" i="8"/>
  <c r="CJ24" i="8"/>
  <c r="CK14" i="8"/>
  <c r="CJ14" i="8"/>
  <c r="CI14" i="8"/>
  <c r="CK21" i="8"/>
  <c r="CJ21" i="8"/>
  <c r="CL15" i="8"/>
  <c r="CK15" i="8"/>
  <c r="CJ15" i="8"/>
  <c r="CL19" i="8"/>
  <c r="CL20" i="8"/>
  <c r="CL6" i="8"/>
  <c r="CL7" i="8"/>
  <c r="CL8" i="8"/>
  <c r="CK6" i="8"/>
  <c r="CK7" i="8"/>
  <c r="CK8" i="8"/>
  <c r="CL9" i="8"/>
  <c r="CK9" i="8"/>
  <c r="CJ9" i="8"/>
  <c r="CM27" i="8"/>
  <c r="CL27" i="8"/>
  <c r="CK27" i="8"/>
  <c r="CJ27" i="8"/>
  <c r="CM26" i="8"/>
  <c r="CL26" i="8"/>
  <c r="CK26" i="8"/>
  <c r="CJ26" i="8"/>
  <c r="CM25" i="8"/>
  <c r="CL25" i="8"/>
  <c r="CK25" i="8"/>
  <c r="CJ25" i="8"/>
  <c r="CP24" i="8"/>
  <c r="CN24" i="8"/>
  <c r="P27" i="1"/>
  <c r="BH34" i="5"/>
  <c r="CO14" i="8"/>
  <c r="CN14" i="8"/>
  <c r="CM14" i="8"/>
  <c r="CP21" i="8"/>
  <c r="CN21" i="8"/>
  <c r="CM15" i="8"/>
  <c r="CM9" i="8"/>
  <c r="CL14" i="8"/>
  <c r="CR24" i="8"/>
  <c r="CQ24" i="8"/>
  <c r="CQ14" i="8"/>
  <c r="CP14" i="8"/>
  <c r="CR21" i="8"/>
  <c r="CQ21" i="8"/>
  <c r="CS24" i="8"/>
  <c r="CR14" i="8"/>
  <c r="CS21" i="8"/>
  <c r="CS14" i="8"/>
  <c r="CT21" i="8"/>
  <c r="CT14" i="8"/>
  <c r="CU21" i="8"/>
  <c r="Y49" i="1"/>
  <c r="CU15" i="8"/>
  <c r="CT15" i="8"/>
  <c r="CS15" i="8"/>
  <c r="CR15" i="8"/>
  <c r="CQ15" i="8"/>
  <c r="CP15" i="8"/>
  <c r="CN15" i="8"/>
  <c r="BP41" i="5"/>
  <c r="CU9" i="8"/>
  <c r="CT9" i="8"/>
  <c r="CS9" i="8"/>
  <c r="CR9" i="8"/>
  <c r="CQ9" i="8"/>
  <c r="CP9" i="8"/>
  <c r="CN9" i="8"/>
  <c r="CU27" i="8"/>
  <c r="CT27" i="8"/>
  <c r="CS27" i="8"/>
  <c r="CR27" i="8"/>
  <c r="CQ27" i="8"/>
  <c r="CP27" i="8"/>
  <c r="CN27" i="8"/>
  <c r="CU26" i="8"/>
  <c r="CT26" i="8"/>
  <c r="CS26" i="8"/>
  <c r="CR26" i="8"/>
  <c r="CQ26" i="8"/>
  <c r="CP26" i="8"/>
  <c r="CN26" i="8"/>
  <c r="CU25" i="8"/>
  <c r="CT25" i="8"/>
  <c r="CS25" i="8"/>
  <c r="CR25" i="8"/>
  <c r="CQ25" i="8"/>
  <c r="CP25" i="8"/>
  <c r="CN25" i="8"/>
  <c r="BO47" i="5"/>
  <c r="BO43" i="5" s="1"/>
  <c r="W49" i="1"/>
  <c r="X49" i="1"/>
  <c r="Z49" i="1"/>
  <c r="BR5" i="5"/>
  <c r="BQ5" i="5"/>
  <c r="BP5" i="5"/>
  <c r="X27" i="1"/>
  <c r="BP4" i="5" s="1"/>
  <c r="Z27" i="1"/>
  <c r="Y27" i="1"/>
  <c r="Y51" i="1"/>
  <c r="BO4" i="5"/>
  <c r="W51" i="1"/>
  <c r="BS4" i="5"/>
  <c r="CZ9" i="8"/>
  <c r="BS43" i="5"/>
  <c r="BR43" i="5"/>
  <c r="BQ43" i="5"/>
  <c r="BP43" i="5"/>
  <c r="BN43" i="5"/>
  <c r="BM43" i="5"/>
  <c r="BL43" i="5"/>
  <c r="BK43" i="5"/>
  <c r="BJ43" i="5"/>
  <c r="BI43" i="5"/>
  <c r="BH43" i="5"/>
  <c r="BG43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S14" i="5"/>
  <c r="BS11" i="5" s="1"/>
  <c r="BR14" i="5"/>
  <c r="BR11" i="5" s="1"/>
  <c r="BQ14" i="5"/>
  <c r="BQ11" i="5" s="1"/>
  <c r="BP14" i="5"/>
  <c r="BP11" i="5" s="1"/>
  <c r="BO14" i="5"/>
  <c r="BO11" i="5" s="1"/>
  <c r="BN14" i="5"/>
  <c r="BN11" i="5" s="1"/>
  <c r="BM14" i="5"/>
  <c r="BM11" i="5" s="1"/>
  <c r="BL14" i="5"/>
  <c r="BL11" i="5" s="1"/>
  <c r="BK14" i="5"/>
  <c r="BK11" i="5" s="1"/>
  <c r="BJ14" i="5"/>
  <c r="BJ11" i="5" s="1"/>
  <c r="BI14" i="5"/>
  <c r="BI11" i="5" s="1"/>
  <c r="BH14" i="5"/>
  <c r="BH11" i="5" s="1"/>
  <c r="BG14" i="5"/>
  <c r="BG11" i="5" s="1"/>
  <c r="AA3" i="2"/>
  <c r="AA19" i="2" s="1"/>
  <c r="AA29" i="2" s="1"/>
  <c r="AA33" i="2" s="1"/>
  <c r="AA35" i="2" s="1"/>
  <c r="AA37" i="2" s="1"/>
  <c r="Z3" i="2"/>
  <c r="Z19" i="2" s="1"/>
  <c r="Z29" i="2" s="1"/>
  <c r="Z33" i="2" s="1"/>
  <c r="Z35" i="2" s="1"/>
  <c r="Z37" i="2" s="1"/>
  <c r="Y3" i="2"/>
  <c r="Y19" i="2" s="1"/>
  <c r="Y29" i="2" s="1"/>
  <c r="Y33" i="2" s="1"/>
  <c r="Y35" i="2" s="1"/>
  <c r="Y37" i="2" s="1"/>
  <c r="X3" i="2"/>
  <c r="X19" i="2" s="1"/>
  <c r="X29" i="2" s="1"/>
  <c r="X33" i="2" s="1"/>
  <c r="X35" i="2" s="1"/>
  <c r="X37" i="2" s="1"/>
  <c r="W3" i="2"/>
  <c r="W19" i="2" s="1"/>
  <c r="W29" i="2" s="1"/>
  <c r="W33" i="2" s="1"/>
  <c r="W35" i="2" s="1"/>
  <c r="W37" i="2" s="1"/>
  <c r="V3" i="2"/>
  <c r="V19" i="2" s="1"/>
  <c r="V29" i="2" s="1"/>
  <c r="V33" i="2" s="1"/>
  <c r="V35" i="2" s="1"/>
  <c r="V37" i="2" s="1"/>
  <c r="U3" i="2"/>
  <c r="U19" i="2" s="1"/>
  <c r="U29" i="2" s="1"/>
  <c r="U33" i="2" s="1"/>
  <c r="U35" i="2" s="1"/>
  <c r="U37" i="2" s="1"/>
  <c r="BB15" i="8"/>
  <c r="V36" i="3"/>
  <c r="CK36" i="8"/>
  <c r="AH37" i="5"/>
  <c r="F91" i="4"/>
  <c r="F80" i="4"/>
  <c r="F69" i="4"/>
  <c r="F60" i="4"/>
  <c r="U8" i="3"/>
  <c r="F28" i="4"/>
  <c r="F17" i="4"/>
  <c r="F8" i="4"/>
  <c r="BE19" i="8"/>
  <c r="R25" i="5"/>
  <c r="L25" i="5"/>
  <c r="I25" i="5"/>
  <c r="H25" i="5"/>
  <c r="G25" i="5"/>
  <c r="AP25" i="5"/>
  <c r="T25" i="5"/>
  <c r="Q11" i="5"/>
  <c r="P11" i="5"/>
  <c r="K11" i="5"/>
  <c r="G11" i="5"/>
  <c r="D11" i="5"/>
  <c r="I11" i="5"/>
  <c r="AV14" i="5"/>
  <c r="AV11" i="5" s="1"/>
  <c r="Z14" i="5"/>
  <c r="Z11" i="5" s="1"/>
  <c r="J14" i="5"/>
  <c r="J11" i="5" s="1"/>
  <c r="N14" i="5"/>
  <c r="N11" i="5" s="1"/>
  <c r="C14" i="5"/>
  <c r="C11" i="5" s="1"/>
  <c r="C12" i="5" s="1"/>
  <c r="BB25" i="5"/>
  <c r="BA25" i="5"/>
  <c r="BE43" i="5"/>
  <c r="BD43" i="5"/>
  <c r="S39" i="2"/>
  <c r="R39" i="2"/>
  <c r="T39" i="2"/>
  <c r="CW19" i="8" l="1"/>
  <c r="CW20" i="8"/>
  <c r="CX19" i="8"/>
  <c r="CX20" i="8"/>
  <c r="CY19" i="8"/>
  <c r="CY20" i="8"/>
  <c r="CZ19" i="8"/>
  <c r="CZ20" i="8"/>
  <c r="CZ24" i="8"/>
  <c r="CZ21" i="8"/>
  <c r="CZ15" i="8"/>
  <c r="CZ27" i="8"/>
  <c r="CZ26" i="8"/>
  <c r="CZ25" i="8"/>
  <c r="BQ4" i="5"/>
  <c r="CW14" i="8"/>
  <c r="BR4" i="5"/>
  <c r="CX14" i="8"/>
  <c r="CW21" i="8"/>
  <c r="CW15" i="8"/>
  <c r="CW27" i="8"/>
  <c r="CW26" i="8"/>
  <c r="CW25" i="8"/>
  <c r="CW24" i="8"/>
  <c r="CX24" i="8"/>
  <c r="CY24" i="8"/>
  <c r="DM21" i="8"/>
  <c r="DM24" i="8"/>
  <c r="DM9" i="8"/>
  <c r="DM27" i="8"/>
  <c r="DM26" i="8"/>
  <c r="DM25" i="8"/>
  <c r="DM15" i="8"/>
  <c r="CH19" i="8"/>
  <c r="CH20" i="8"/>
  <c r="CI19" i="8"/>
  <c r="CI20" i="8"/>
  <c r="CC6" i="8"/>
  <c r="CC7" i="8"/>
  <c r="CC8" i="8"/>
  <c r="CC20" i="8"/>
  <c r="BG12" i="5"/>
  <c r="CN10" i="8" s="1"/>
  <c r="CN6" i="8"/>
  <c r="CN7" i="8"/>
  <c r="CN8" i="8"/>
  <c r="BH12" i="5"/>
  <c r="CO6" i="8"/>
  <c r="CO8" i="8"/>
  <c r="BI12" i="5"/>
  <c r="CP10" i="8" s="1"/>
  <c r="CP6" i="8"/>
  <c r="CP7" i="8"/>
  <c r="CP8" i="8"/>
  <c r="BJ12" i="5"/>
  <c r="CQ10" i="8" s="1"/>
  <c r="CQ6" i="8"/>
  <c r="CQ7" i="8"/>
  <c r="CQ8" i="8"/>
  <c r="BK12" i="5"/>
  <c r="CR10" i="8" s="1"/>
  <c r="CR6" i="8"/>
  <c r="CR7" i="8"/>
  <c r="CR8" i="8"/>
  <c r="BL12" i="5"/>
  <c r="CS10" i="8" s="1"/>
  <c r="CS6" i="8"/>
  <c r="CS7" i="8"/>
  <c r="CS8" i="8"/>
  <c r="BM12" i="5"/>
  <c r="CT10" i="8" s="1"/>
  <c r="CT6" i="8"/>
  <c r="CT7" i="8"/>
  <c r="CT8" i="8"/>
  <c r="BN12" i="5"/>
  <c r="CU10" i="8" s="1"/>
  <c r="CU6" i="8"/>
  <c r="CU7" i="8"/>
  <c r="CU8" i="8"/>
  <c r="CN19" i="8"/>
  <c r="CN20" i="8"/>
  <c r="CO19" i="8"/>
  <c r="CO20" i="8"/>
  <c r="CP19" i="8"/>
  <c r="CP20" i="8"/>
  <c r="CQ19" i="8"/>
  <c r="CQ20" i="8"/>
  <c r="CR19" i="8"/>
  <c r="CR20" i="8"/>
  <c r="CS19" i="8"/>
  <c r="CS20" i="8"/>
  <c r="CT19" i="8"/>
  <c r="CT20" i="8"/>
  <c r="CU19" i="8"/>
  <c r="CU20" i="8"/>
  <c r="CW8" i="8"/>
  <c r="BH4" i="5"/>
  <c r="P51" i="1"/>
  <c r="BQ12" i="5"/>
  <c r="CX6" i="8"/>
  <c r="BR12" i="5"/>
  <c r="CY10" i="8" s="1"/>
  <c r="CY6" i="8"/>
  <c r="CY8" i="8"/>
  <c r="BO12" i="5"/>
  <c r="CV10" i="8" s="1"/>
  <c r="CV6" i="8"/>
  <c r="CX8" i="8"/>
  <c r="BP12" i="5"/>
  <c r="CW6" i="8"/>
  <c r="CV8" i="8"/>
  <c r="X51" i="1"/>
  <c r="CV14" i="8"/>
  <c r="Z51" i="1"/>
  <c r="CV19" i="8"/>
  <c r="CV20" i="8"/>
  <c r="CV15" i="8"/>
  <c r="CV24" i="8"/>
  <c r="CV7" i="8"/>
  <c r="CV21" i="8"/>
  <c r="CV27" i="8"/>
  <c r="CV26" i="8"/>
  <c r="CV9" i="8"/>
  <c r="CV25" i="8"/>
  <c r="CW9" i="8"/>
  <c r="CW7" i="8"/>
  <c r="CW10" i="8"/>
  <c r="CX10" i="8"/>
  <c r="CX9" i="8"/>
  <c r="CX7" i="8"/>
  <c r="CY7" i="8"/>
  <c r="CY9" i="8"/>
  <c r="BS12" i="5"/>
  <c r="CZ10" i="8" s="1"/>
  <c r="CZ6" i="8"/>
  <c r="CZ8" i="8"/>
  <c r="CZ7" i="8"/>
  <c r="N12" i="5"/>
  <c r="AU10" i="8" s="1"/>
  <c r="AU20" i="8"/>
  <c r="AU7" i="8"/>
  <c r="AU8" i="8"/>
  <c r="AU35" i="8"/>
  <c r="AU6" i="8"/>
  <c r="BH35" i="8"/>
  <c r="N29" i="3"/>
  <c r="O29" i="3"/>
  <c r="J29" i="3"/>
  <c r="AQ6" i="8"/>
  <c r="AQ7" i="8"/>
  <c r="AQ8" i="8"/>
  <c r="AQ35" i="8"/>
  <c r="J12" i="5"/>
  <c r="AQ10" i="8" s="1"/>
  <c r="BD35" i="8"/>
  <c r="AQ20" i="8"/>
  <c r="BG7" i="8"/>
  <c r="AA29" i="3"/>
  <c r="BG8" i="8"/>
  <c r="Z12" i="5"/>
  <c r="BG10" i="8" s="1"/>
  <c r="BG6" i="8"/>
  <c r="BG20" i="8"/>
  <c r="BG35" i="8"/>
  <c r="BT35" i="8"/>
  <c r="C6" i="13"/>
  <c r="AV12" i="5"/>
  <c r="CC35" i="8"/>
  <c r="AW29" i="3"/>
  <c r="C7" i="13"/>
  <c r="AP35" i="8"/>
  <c r="AP8" i="8"/>
  <c r="I12" i="5"/>
  <c r="AP10" i="8" s="1"/>
  <c r="AP7" i="8"/>
  <c r="AP6" i="8"/>
  <c r="I29" i="3"/>
  <c r="BC35" i="8"/>
  <c r="D29" i="3"/>
  <c r="AK20" i="8"/>
  <c r="AK6" i="8"/>
  <c r="D12" i="5"/>
  <c r="AK10" i="8" s="1"/>
  <c r="AK7" i="8"/>
  <c r="AK8" i="8"/>
  <c r="AN8" i="8"/>
  <c r="AN7" i="8"/>
  <c r="AN35" i="8"/>
  <c r="AN6" i="8"/>
  <c r="BA35" i="8"/>
  <c r="G29" i="3"/>
  <c r="E29" i="3"/>
  <c r="H29" i="3"/>
  <c r="F29" i="3"/>
  <c r="G12" i="5"/>
  <c r="AN10" i="8" s="1"/>
  <c r="AR6" i="8"/>
  <c r="BE35" i="8"/>
  <c r="AR8" i="8"/>
  <c r="AR35" i="8"/>
  <c r="K29" i="3"/>
  <c r="AR7" i="8"/>
  <c r="K12" i="5"/>
  <c r="AR10" i="8" s="1"/>
  <c r="AR20" i="8"/>
  <c r="L29" i="3"/>
  <c r="AW8" i="8"/>
  <c r="AW35" i="8"/>
  <c r="AW7" i="8"/>
  <c r="P12" i="5"/>
  <c r="AW10" i="8" s="1"/>
  <c r="AW20" i="8"/>
  <c r="AW6" i="8"/>
  <c r="P29" i="3"/>
  <c r="BJ35" i="8"/>
  <c r="Q12" i="5"/>
  <c r="AX10" i="8" s="1"/>
  <c r="R29" i="3"/>
  <c r="BK35" i="8"/>
  <c r="AX35" i="8"/>
  <c r="AX7" i="8"/>
  <c r="AX8" i="8"/>
  <c r="AX6" i="8"/>
  <c r="Q29" i="3"/>
  <c r="AX20" i="8"/>
  <c r="BA20" i="8"/>
  <c r="BA19" i="8"/>
  <c r="BW19" i="8"/>
  <c r="BW20" i="8"/>
  <c r="AN20" i="8"/>
  <c r="AN19" i="8"/>
  <c r="AO19" i="8"/>
  <c r="AO20" i="8"/>
  <c r="AP19" i="8"/>
  <c r="AP20" i="8"/>
  <c r="AS19" i="8"/>
  <c r="AS20" i="8"/>
  <c r="AY19" i="8"/>
  <c r="AY20" i="8"/>
  <c r="AI37" i="3"/>
  <c r="AI30" i="3"/>
  <c r="AI39" i="3"/>
  <c r="CB36" i="8"/>
  <c r="BO36" i="8"/>
  <c r="CY21" i="8" l="1"/>
  <c r="CY15" i="8"/>
  <c r="CY27" i="8"/>
  <c r="CY26" i="8"/>
  <c r="CY25" i="8"/>
  <c r="CX21" i="8"/>
  <c r="CX15" i="8"/>
  <c r="CX27" i="8"/>
  <c r="CX26" i="8"/>
  <c r="CX25" i="8"/>
  <c r="CC10" i="8"/>
  <c r="C8" i="13" s="1"/>
  <c r="CO24" i="8"/>
  <c r="CO21" i="8"/>
  <c r="CO15" i="8"/>
  <c r="CO9" i="8"/>
  <c r="CO27" i="8"/>
  <c r="CO26" i="8"/>
  <c r="CO25" i="8"/>
  <c r="CO7" i="8"/>
  <c r="CO10" i="8"/>
</calcChain>
</file>

<file path=xl/sharedStrings.xml><?xml version="1.0" encoding="utf-8"?>
<sst xmlns="http://schemas.openxmlformats.org/spreadsheetml/2006/main" count="797" uniqueCount="374">
  <si>
    <t>AUDITED 2019</t>
  </si>
  <si>
    <t>Audited 2020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</si>
  <si>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</si>
  <si>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</si>
  <si>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</si>
  <si>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</si>
  <si>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</si>
  <si>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</si>
  <si>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</si>
  <si>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</si>
  <si>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</si>
  <si>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</si>
  <si>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</si>
  <si>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</si>
  <si>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</si>
  <si>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</si>
  <si>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</si>
  <si>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</si>
  <si>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</si>
  <si>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</si>
  <si>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</si>
  <si>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</si>
  <si>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</si>
  <si>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</si>
  <si>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</si>
  <si>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</si>
  <si>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</si>
  <si>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</si>
  <si>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</si>
  <si>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</si>
  <si>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</si>
  <si>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</si>
  <si>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</si>
  <si>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</si>
  <si>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</si>
  <si>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</si>
  <si>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</si>
  <si>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</si>
  <si>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</si>
  <si>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</si>
  <si>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</si>
  <si>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</si>
  <si>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</si>
  <si>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</si>
  <si>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</si>
  <si>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</si>
  <si>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</si>
  <si>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</si>
  <si>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</si>
  <si>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</si>
  <si>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"000"</t>
  </si>
  <si>
    <t>Audited 2019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</si>
  <si>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</si>
  <si>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</si>
  <si>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</si>
  <si>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</si>
  <si>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</si>
  <si>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</si>
  <si>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</si>
  <si>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</si>
  <si>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</si>
  <si>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</si>
  <si>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</si>
  <si>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</si>
  <si>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</si>
  <si>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</si>
  <si>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</si>
  <si>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</si>
  <si>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</si>
  <si>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</si>
  <si>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</si>
  <si>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</si>
  <si>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</si>
  <si>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</si>
  <si>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</si>
  <si>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</si>
  <si>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</si>
  <si>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</si>
  <si>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</si>
  <si>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</si>
  <si>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</si>
  <si>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</si>
  <si>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</si>
  <si>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</si>
  <si>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</si>
  <si>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</si>
  <si>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</si>
  <si>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</si>
  <si>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STIMA SACCO SOCIETY LIMITED</t>
  </si>
  <si>
    <t>PERFORMANCE AND COMPLIANCE REPORT AS AT :  31st December , 2019</t>
  </si>
  <si>
    <t>Prudential Standard</t>
  </si>
  <si>
    <t>Audited</t>
  </si>
  <si>
    <t>Returns</t>
  </si>
  <si>
    <t>Aggregate for all Licensed Saccos</t>
  </si>
  <si>
    <t xml:space="preserve"> 30th September  , 2019</t>
  </si>
  <si>
    <t xml:space="preserve"> 31st December  , 2019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</si>
  <si>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</si>
  <si>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</si>
  <si>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</si>
  <si>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</si>
  <si>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</si>
  <si>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t>Institutional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</si>
  <si>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</si>
  <si>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</si>
  <si>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</si>
  <si>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</si>
  <si>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</si>
  <si>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</si>
  <si>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</si>
  <si>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</si>
  <si>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</si>
  <si>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</si>
  <si>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</si>
  <si>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</si>
  <si>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</si>
  <si>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</si>
  <si>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</si>
  <si>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</si>
  <si>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</si>
  <si>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</si>
  <si>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</si>
  <si>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</si>
  <si>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</si>
  <si>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</si>
  <si>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</si>
  <si>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</si>
  <si>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</si>
  <si>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</si>
  <si>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</si>
  <si>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</si>
  <si>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</si>
  <si>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</si>
  <si>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</si>
  <si>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</si>
  <si>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</si>
  <si>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</si>
  <si>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</si>
  <si>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</si>
  <si>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</si>
  <si>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</si>
  <si>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</si>
  <si>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</si>
  <si>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</si>
  <si>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</si>
  <si>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</si>
  <si>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</si>
  <si>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</si>
  <si>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</si>
  <si>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</si>
  <si>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</si>
  <si>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</si>
  <si>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</si>
  <si>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</si>
  <si>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</si>
  <si>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</si>
  <si>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</si>
  <si>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</si>
  <si>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</si>
  <si>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</si>
  <si>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</si>
  <si>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</si>
  <si>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</si>
  <si>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</si>
  <si>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</si>
  <si>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</si>
  <si>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NPL</t>
  </si>
  <si>
    <t>PAR</t>
  </si>
  <si>
    <t>Audited 2017</t>
  </si>
  <si>
    <t>Audited 2018</t>
  </si>
  <si>
    <t>Sub-total</t>
  </si>
  <si>
    <t>STIMA</t>
  </si>
  <si>
    <t xml:space="preserve">MOMBASA PORT </t>
  </si>
  <si>
    <t>STIMA SACCO 2017 CAELS</t>
  </si>
  <si>
    <t>2013 Audited</t>
  </si>
  <si>
    <t>2014 Audited</t>
  </si>
  <si>
    <t>2015 Audited</t>
  </si>
  <si>
    <t>2016 Audited</t>
  </si>
  <si>
    <t>Audited 2021</t>
  </si>
  <si>
    <t>Audited 2022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</si>
  <si>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</si>
  <si>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</si>
  <si>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</si>
  <si>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</si>
  <si>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</si>
  <si>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</si>
  <si>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</si>
  <si>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</si>
  <si>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</si>
  <si>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</si>
  <si>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</si>
  <si>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</si>
  <si>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</si>
  <si>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</si>
  <si>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</si>
  <si>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</si>
  <si>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</si>
  <si>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</si>
  <si>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</si>
  <si>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</si>
  <si>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</si>
  <si>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</si>
  <si>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</si>
  <si>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</si>
  <si>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</si>
  <si>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</si>
  <si>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</si>
  <si>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</si>
  <si>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</si>
  <si>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</si>
  <si>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</si>
  <si>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</si>
  <si>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</si>
  <si>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</si>
  <si>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</si>
  <si>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</si>
  <si>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</si>
  <si>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</si>
  <si>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</si>
  <si>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</si>
  <si>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</si>
  <si>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</si>
  <si>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</si>
  <si>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</si>
  <si>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</si>
  <si>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</si>
  <si>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</si>
  <si>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</si>
  <si>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</si>
  <si>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</si>
  <si>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</si>
  <si>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 xml:space="preserve">TEMBO Sacco Financial </t>
  </si>
  <si>
    <t>Year</t>
  </si>
  <si>
    <t>Deposits-Members(BOSA)</t>
  </si>
  <si>
    <t>Deposits-Customers(FOSA)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</si>
  <si>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</si>
  <si>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</si>
  <si>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</si>
  <si>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</si>
  <si>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</si>
  <si>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</si>
  <si>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</si>
  <si>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</si>
  <si>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</si>
  <si>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</si>
  <si>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</si>
  <si>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</si>
  <si>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</si>
  <si>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</si>
  <si>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</si>
  <si>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</si>
  <si>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</si>
  <si>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</si>
  <si>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</si>
  <si>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</si>
  <si>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</si>
  <si>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</si>
  <si>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</si>
  <si>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</si>
  <si>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</si>
  <si>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</si>
  <si>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</si>
  <si>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Cash &amp; Cash Equivalents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</si>
  <si>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</si>
  <si>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</si>
  <si>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</si>
  <si>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</si>
  <si>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</si>
  <si>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</si>
  <si>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</si>
  <si>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</si>
  <si>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</si>
  <si>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Div + Int on Deposits</t>
  </si>
  <si>
    <t>Short term (Deposits + Liabilities)</t>
  </si>
  <si>
    <t>STATEMENT OF CASHFLOWS FOR THE YEAR ENDED 31ST DECEMBER 2015</t>
  </si>
  <si>
    <t>Cash flows from operating activities</t>
  </si>
  <si>
    <t>Interest receipts</t>
  </si>
  <si>
    <t>Interest Payments</t>
  </si>
  <si>
    <t>Payment to employees and suppliers</t>
  </si>
  <si>
    <t>Other receipts</t>
  </si>
  <si>
    <t>(Increase)/Decrease in Operating assets</t>
  </si>
  <si>
    <t>Net loans to members</t>
  </si>
  <si>
    <t>Recievables and prepayments</t>
  </si>
  <si>
    <t>Short term investments</t>
  </si>
  <si>
    <t>Increase/(Decrease) in Operating liabilities</t>
  </si>
  <si>
    <t>Deposits from members</t>
  </si>
  <si>
    <t>Decrease/Increase Risk Fund</t>
  </si>
  <si>
    <t>Increase/decrease on Interest bearing Liabilities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</si>
  <si>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</si>
  <si>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</si>
  <si>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</si>
  <si>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</si>
  <si>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</si>
  <si>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</si>
  <si>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</si>
  <si>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Purchase of financial assets</t>
  </si>
  <si>
    <t>Movement of other reserves-</t>
  </si>
  <si>
    <t>Issue of Bonus</t>
  </si>
  <si>
    <t>Dividends Received</t>
  </si>
  <si>
    <t>Net Cash from investing activities</t>
  </si>
  <si>
    <t>Cashflow from financing activities</t>
  </si>
  <si>
    <t>Share capital contributions</t>
  </si>
  <si>
    <t>Contribution to sinking fund</t>
  </si>
  <si>
    <t>Repayments of long term borrowings</t>
  </si>
  <si>
    <t>Dividend paid</t>
  </si>
  <si>
    <t>Honorarium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</si>
  <si>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</si>
  <si>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</si>
  <si>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</si>
  <si>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</si>
  <si>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STIMA SACCO SOCIETY LIMITED     CS/NO: 2207</t>
  </si>
  <si>
    <t>PERFORMANCE AND COMPLIANCE REPORT AS AT :  30TH JUNE , 2018</t>
  </si>
  <si>
    <t>Validated</t>
  </si>
  <si>
    <t>Average for all Licensed Saccos</t>
  </si>
  <si>
    <t>Net Income/Average Assets</t>
  </si>
  <si>
    <t>Operating Expenses/Net Income (OPEX)</t>
  </si>
  <si>
    <t>Short-term (Deposits + liabilities)</t>
  </si>
  <si>
    <t>G. AREAS OF IMPROVEMENT/REGULARTORY CONCERNS</t>
  </si>
  <si>
    <t>1. The ratio of NPL is above the prescribed limit</t>
  </si>
  <si>
    <t>Prepared by: Daniel Mwatu</t>
  </si>
  <si>
    <t>Approved by: Peter Njuguna</t>
  </si>
  <si>
    <t>TEMBO SACCO SOCIETY LTD</t>
  </si>
  <si>
    <t>TEMBO Sacco Financial Perfo</t>
  </si>
  <si>
    <t>FINANCIAL SOUNDNESS INDICATORS</t>
  </si>
  <si>
    <t>Prude.  Std</t>
  </si>
  <si>
    <t>Ref. #</t>
  </si>
  <si>
    <t>2011</t>
  </si>
  <si>
    <t>Dec 2013 audited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</si>
  <si>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</si>
  <si>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</si>
  <si>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</si>
  <si>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</si>
  <si>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</si>
  <si>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</si>
  <si>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</si>
  <si>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</si>
  <si>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</si>
  <si>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</si>
  <si>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</si>
  <si>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</si>
  <si>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</si>
  <si>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</si>
  <si>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</si>
  <si>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</si>
  <si>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</si>
  <si>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</si>
  <si>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</si>
  <si>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</si>
  <si>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</si>
  <si>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</si>
  <si>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</si>
  <si>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</si>
  <si>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</si>
  <si>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</si>
  <si>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</si>
  <si>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</si>
  <si>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</si>
  <si>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>GROWTH RATIOS (Annualized)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</si>
  <si>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</si>
  <si>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</si>
  <si>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</si>
  <si>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</si>
  <si>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</si>
  <si>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</si>
  <si>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</si>
  <si>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</si>
  <si>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</si>
  <si>
    <t>Minimum Liquidity</t>
  </si>
  <si>
    <t>Technical Liquidity</t>
  </si>
  <si>
    <t>Net Interest Margin</t>
  </si>
  <si>
    <t>Assets Growth Ratio</t>
  </si>
  <si>
    <t>Deposits Growth Ratio</t>
  </si>
  <si>
    <t>BOSA Growth Ratio</t>
  </si>
  <si>
    <t>FOSA Growth Ratio</t>
  </si>
  <si>
    <t>PERFORMANCE AND COMPLIANCE REPORT AS AT :  30th September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</si>
</sst>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_(* #,##0.0_);_(* \(#,##0.0\);_(* \-??_);_(@_)"/>
    <numFmt numFmtId="173" formatCode="#,##0.00_);\-#,##0.00"/>
    <numFmt numFmtId="174" formatCode="0.0"/>
    <numFmt numFmtId="175" formatCode="_(* #,##0_);_(* \(#,##0\);_(* &quot;-&quot;??_);_(@_)"/>
    <numFmt numFmtId="176" formatCode="[$-10409]#,##0;\-\ #,##0"/>
    <numFmt numFmtId="177" formatCode="[$-409]mmm\-yy;@"/>
    <numFmt numFmtId="178" formatCode="&quot;£&quot;#,##0;\-&quot;£&quot;#,##0"/>
    <numFmt numFmtId="179" formatCode="_-* #,##0_-;\-* #,##0_-;_-* &quot;-&quot;??_-;_-@_-"/>
  </numFmts>
  <fonts count="8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8"/>
      <name val="Cambria"/>
      <family val="1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name val="Cambria"/>
      <family val="1"/>
    </font>
    <font>
      <b/>
      <sz val="12"/>
      <name val="Cambria"/>
      <family val="1"/>
    </font>
    <font>
      <i/>
      <sz val="10"/>
      <color indexed="8"/>
      <name val="Cambria"/>
      <family val="1"/>
    </font>
    <font>
      <i/>
      <sz val="10"/>
      <name val="Cambria"/>
      <family val="1"/>
    </font>
    <font>
      <sz val="10"/>
      <name val="Arial Narrow"/>
      <family val="2"/>
    </font>
    <font>
      <b/>
      <sz val="10"/>
      <name val="Cambria"/>
      <family val="1"/>
    </font>
    <font>
      <sz val="10"/>
      <name val="Lohit Hindi"/>
      <family val="2"/>
    </font>
    <font>
      <sz val="12"/>
      <name val="Times New Roman"/>
      <family val="1"/>
    </font>
    <font>
      <b/>
      <u/>
      <sz val="10"/>
      <color indexed="11"/>
      <name val="Cambria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8"/>
      <color indexed="13"/>
      <name val="Arial"/>
      <family val="2"/>
    </font>
    <font>
      <sz val="12"/>
      <name val="Cambria"/>
      <family val="1"/>
    </font>
    <font>
      <sz val="12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sz val="11"/>
      <color indexed="8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5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/>
      </top>
      <bottom style="thin">
        <color theme="3"/>
      </bottom>
      <diagonal/>
    </border>
    <border>
      <left style="thin">
        <color theme="3" tint="0.39997558519241921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8">
    <xf numFmtId="0" fontId="0" fillId="0" borderId="0"/>
    <xf numFmtId="0" fontId="8" fillId="2" borderId="0" applyNumberFormat="0" applyBorder="0" applyAlignment="0" applyProtection="0"/>
    <xf numFmtId="0" fontId="47" fillId="14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3" borderId="0" applyNumberFormat="0" applyBorder="0" applyAlignment="0" applyProtection="0"/>
    <xf numFmtId="0" fontId="48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9" fillId="4" borderId="0" applyNumberFormat="0" applyBorder="0" applyAlignment="0" applyProtection="0"/>
    <xf numFmtId="0" fontId="48" fillId="16" borderId="0" applyNumberFormat="0" applyBorder="0" applyAlignment="0" applyProtection="0"/>
    <xf numFmtId="0" fontId="10" fillId="5" borderId="2" applyNumberFormat="0" applyAlignment="0" applyProtection="0"/>
    <xf numFmtId="0" fontId="49" fillId="17" borderId="42" applyNumberFormat="0" applyAlignment="0" applyProtection="0"/>
    <xf numFmtId="43" fontId="46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4" fontId="2" fillId="0" borderId="0" applyFill="0" applyBorder="0" applyAlignment="0" applyProtection="0"/>
    <xf numFmtId="174" fontId="2" fillId="0" borderId="0" applyFill="0" applyBorder="0" applyAlignment="0" applyProtection="0"/>
    <xf numFmtId="174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8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13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9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4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3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46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1" fillId="6" borderId="1" applyNumberFormat="0" applyAlignment="0" applyProtection="0"/>
    <xf numFmtId="0" fontId="50" fillId="18" borderId="41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46" fillId="0" borderId="0"/>
    <xf numFmtId="0" fontId="12" fillId="0" borderId="0"/>
    <xf numFmtId="0" fontId="46" fillId="0" borderId="0"/>
    <xf numFmtId="0" fontId="12" fillId="0" borderId="0"/>
    <xf numFmtId="0" fontId="46" fillId="0" borderId="0"/>
    <xf numFmtId="0" fontId="12" fillId="0" borderId="0"/>
    <xf numFmtId="0" fontId="46" fillId="0" borderId="0"/>
    <xf numFmtId="0" fontId="46" fillId="0" borderId="0"/>
    <xf numFmtId="0" fontId="22" fillId="0" borderId="0"/>
    <xf numFmtId="0" fontId="46" fillId="0" borderId="0"/>
    <xf numFmtId="0" fontId="23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2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46" fillId="0" borderId="0"/>
    <xf numFmtId="0" fontId="2" fillId="0" borderId="0"/>
    <xf numFmtId="0" fontId="51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13" fillId="0" borderId="0"/>
    <xf numFmtId="0" fontId="52" fillId="0" borderId="0"/>
    <xf numFmtId="0" fontId="2" fillId="7" borderId="3" applyNumberFormat="0" applyAlignment="0" applyProtection="0"/>
    <xf numFmtId="0" fontId="2" fillId="19" borderId="43" applyNumberFormat="0" applyFont="0" applyAlignment="0" applyProtection="0"/>
    <xf numFmtId="9" fontId="4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4" fillId="0" borderId="44" applyNumberFormat="0" applyFill="0" applyAlignment="0" applyProtection="0"/>
    <xf numFmtId="0" fontId="54" fillId="0" borderId="44" applyNumberFormat="0" applyFill="0" applyAlignment="0" applyProtection="0"/>
  </cellStyleXfs>
  <cellXfs count="416">
    <xf numFmtId="0" fontId="0" fillId="0" borderId="0" xfId="0"/>
    <xf numFmtId="0" fontId="16" fillId="0" borderId="5" xfId="540" applyFont="1" applyBorder="1" applyAlignment="1">
      <alignment horizontal="left" vertical="top" wrapText="1"/>
    </xf>
    <xf numFmtId="0" fontId="0" fillId="0" borderId="6" xfId="0" applyBorder="1"/>
    <xf numFmtId="0" fontId="56" fillId="0" borderId="6" xfId="0" applyFont="1" applyBorder="1" applyAlignment="1">
      <alignment horizontal="left" vertical="top" wrapText="1"/>
    </xf>
    <xf numFmtId="0" fontId="57" fillId="0" borderId="6" xfId="0" applyFont="1" applyBorder="1" applyAlignment="1">
      <alignment horizontal="left" vertical="top" wrapText="1"/>
    </xf>
    <xf numFmtId="10" fontId="46" fillId="0" borderId="6" xfId="713" applyNumberFormat="1" applyFont="1" applyBorder="1"/>
    <xf numFmtId="17" fontId="53" fillId="0" borderId="0" xfId="0" applyNumberFormat="1" applyFont="1"/>
    <xf numFmtId="0" fontId="15" fillId="0" borderId="5" xfId="494" applyFont="1" applyBorder="1" applyAlignment="1">
      <alignment wrapText="1"/>
    </xf>
    <xf numFmtId="0" fontId="16" fillId="0" borderId="5" xfId="494" applyFont="1" applyBorder="1" applyAlignment="1">
      <alignment wrapText="1"/>
    </xf>
    <xf numFmtId="43" fontId="2" fillId="0" borderId="5" xfId="186" applyBorder="1" applyAlignment="1">
      <alignment wrapText="1"/>
    </xf>
    <xf numFmtId="43" fontId="2" fillId="0" borderId="5" xfId="186" applyBorder="1" applyAlignment="1">
      <alignment horizontal="center" wrapText="1"/>
    </xf>
    <xf numFmtId="0" fontId="56" fillId="0" borderId="6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center" vertical="center" wrapText="1"/>
    </xf>
    <xf numFmtId="1" fontId="15" fillId="0" borderId="5" xfId="494" applyNumberFormat="1" applyFont="1" applyBorder="1" applyAlignment="1">
      <alignment wrapText="1"/>
    </xf>
    <xf numFmtId="0" fontId="53" fillId="0" borderId="0" xfId="0" applyFont="1"/>
    <xf numFmtId="43" fontId="15" fillId="0" borderId="5" xfId="53" applyFont="1" applyBorder="1" applyAlignment="1">
      <alignment wrapText="1"/>
    </xf>
    <xf numFmtId="0" fontId="58" fillId="0" borderId="6" xfId="0" applyFont="1" applyBorder="1"/>
    <xf numFmtId="43" fontId="58" fillId="0" borderId="6" xfId="53" applyFont="1" applyBorder="1"/>
    <xf numFmtId="0" fontId="59" fillId="0" borderId="6" xfId="0" applyFont="1" applyBorder="1"/>
    <xf numFmtId="0" fontId="60" fillId="0" borderId="6" xfId="0" applyFont="1" applyBorder="1"/>
    <xf numFmtId="174" fontId="59" fillId="0" borderId="6" xfId="0" applyNumberFormat="1" applyFont="1" applyBorder="1"/>
    <xf numFmtId="9" fontId="60" fillId="0" borderId="6" xfId="713" applyFont="1" applyBorder="1"/>
    <xf numFmtId="0" fontId="61" fillId="0" borderId="6" xfId="0" applyFont="1" applyBorder="1"/>
    <xf numFmtId="0" fontId="62" fillId="0" borderId="6" xfId="0" applyFont="1" applyBorder="1"/>
    <xf numFmtId="174" fontId="59" fillId="0" borderId="6" xfId="0" applyNumberFormat="1" applyFont="1" applyBorder="1" applyAlignment="1">
      <alignment horizontal="right"/>
    </xf>
    <xf numFmtId="175" fontId="60" fillId="0" borderId="6" xfId="0" applyNumberFormat="1" applyFont="1" applyBorder="1"/>
    <xf numFmtId="0" fontId="63" fillId="0" borderId="6" xfId="0" applyFont="1" applyBorder="1"/>
    <xf numFmtId="43" fontId="0" fillId="0" borderId="0" xfId="0" applyNumberFormat="1"/>
    <xf numFmtId="174" fontId="63" fillId="0" borderId="6" xfId="0" applyNumberFormat="1" applyFont="1" applyBorder="1"/>
    <xf numFmtId="171" fontId="46" fillId="0" borderId="6" xfId="713" applyNumberFormat="1" applyFont="1" applyBorder="1"/>
    <xf numFmtId="0" fontId="0" fillId="0" borderId="6" xfId="0" applyBorder="1" applyAlignment="1">
      <alignment horizontal="center" vertical="center"/>
    </xf>
    <xf numFmtId="0" fontId="57" fillId="0" borderId="6" xfId="0" applyFont="1" applyBorder="1" applyAlignment="1">
      <alignment vertical="top" wrapText="1"/>
    </xf>
    <xf numFmtId="0" fontId="59" fillId="0" borderId="6" xfId="494" applyFont="1" applyBorder="1"/>
    <xf numFmtId="0" fontId="60" fillId="0" borderId="6" xfId="494" applyFont="1" applyBorder="1"/>
    <xf numFmtId="9" fontId="46" fillId="0" borderId="6" xfId="713" applyFont="1" applyBorder="1"/>
    <xf numFmtId="0" fontId="0" fillId="0" borderId="7" xfId="0" applyBorder="1"/>
    <xf numFmtId="0" fontId="0" fillId="0" borderId="8" xfId="0" applyBorder="1"/>
    <xf numFmtId="17" fontId="53" fillId="0" borderId="8" xfId="0" applyNumberFormat="1" applyFont="1" applyBorder="1"/>
    <xf numFmtId="9" fontId="46" fillId="0" borderId="9" xfId="713" applyFont="1" applyBorder="1"/>
    <xf numFmtId="0" fontId="0" fillId="0" borderId="9" xfId="0" applyBorder="1"/>
    <xf numFmtId="171" fontId="46" fillId="0" borderId="9" xfId="713" applyNumberFormat="1" applyFont="1" applyBorder="1"/>
    <xf numFmtId="10" fontId="46" fillId="0" borderId="9" xfId="713" applyNumberFormat="1" applyFont="1" applyBorder="1"/>
    <xf numFmtId="0" fontId="63" fillId="0" borderId="10" xfId="494" applyFont="1" applyBorder="1"/>
    <xf numFmtId="0" fontId="0" fillId="0" borderId="10" xfId="0" applyBorder="1"/>
    <xf numFmtId="0" fontId="59" fillId="0" borderId="10" xfId="494" applyFont="1" applyBorder="1"/>
    <xf numFmtId="0" fontId="63" fillId="0" borderId="11" xfId="494" applyFont="1" applyBorder="1"/>
    <xf numFmtId="0" fontId="0" fillId="0" borderId="12" xfId="0" applyBorder="1"/>
    <xf numFmtId="0" fontId="0" fillId="0" borderId="13" xfId="0" applyBorder="1"/>
    <xf numFmtId="0" fontId="58" fillId="0" borderId="14" xfId="0" applyFont="1" applyBorder="1"/>
    <xf numFmtId="0" fontId="20" fillId="20" borderId="6" xfId="0" applyFont="1" applyFill="1" applyBorder="1" applyAlignment="1" applyProtection="1">
      <alignment horizontal="center" vertical="top" readingOrder="1"/>
      <protection locked="0"/>
    </xf>
    <xf numFmtId="0" fontId="20" fillId="20" borderId="6" xfId="0" applyFont="1" applyFill="1" applyBorder="1" applyAlignment="1" applyProtection="1">
      <alignment vertical="top" readingOrder="1"/>
      <protection locked="0"/>
    </xf>
    <xf numFmtId="17" fontId="7" fillId="9" borderId="6" xfId="0" applyNumberFormat="1" applyFont="1" applyFill="1" applyBorder="1" applyAlignment="1" applyProtection="1">
      <alignment vertical="top" wrapText="1" readingOrder="1"/>
      <protection locked="0"/>
    </xf>
    <xf numFmtId="175" fontId="0" fillId="0" borderId="6" xfId="0" applyNumberFormat="1" applyBorder="1"/>
    <xf numFmtId="175" fontId="53" fillId="0" borderId="6" xfId="0" applyNumberFormat="1" applyFont="1" applyBorder="1"/>
    <xf numFmtId="9" fontId="2" fillId="0" borderId="5" xfId="713" applyFont="1" applyBorder="1" applyAlignment="1">
      <alignment horizontal="center" wrapText="1"/>
    </xf>
    <xf numFmtId="175" fontId="46" fillId="0" borderId="6" xfId="53" applyNumberFormat="1" applyFont="1" applyBorder="1"/>
    <xf numFmtId="0" fontId="64" fillId="0" borderId="0" xfId="0" applyFont="1"/>
    <xf numFmtId="0" fontId="54" fillId="0" borderId="0" xfId="0" applyFont="1"/>
    <xf numFmtId="0" fontId="54" fillId="21" borderId="45" xfId="0" applyFont="1" applyFill="1" applyBorder="1"/>
    <xf numFmtId="0" fontId="64" fillId="21" borderId="15" xfId="0" applyFont="1" applyFill="1" applyBorder="1"/>
    <xf numFmtId="0" fontId="64" fillId="21" borderId="46" xfId="0" applyFont="1" applyFill="1" applyBorder="1"/>
    <xf numFmtId="0" fontId="64" fillId="0" borderId="47" xfId="0" applyFont="1" applyBorder="1"/>
    <xf numFmtId="175" fontId="64" fillId="0" borderId="48" xfId="53" applyNumberFormat="1" applyFont="1" applyBorder="1"/>
    <xf numFmtId="175" fontId="64" fillId="0" borderId="15" xfId="53" applyNumberFormat="1" applyFont="1" applyBorder="1"/>
    <xf numFmtId="175" fontId="64" fillId="22" borderId="15" xfId="53" applyNumberFormat="1" applyFont="1" applyFill="1" applyBorder="1"/>
    <xf numFmtId="175" fontId="64" fillId="0" borderId="49" xfId="53" applyNumberFormat="1" applyFont="1" applyBorder="1"/>
    <xf numFmtId="175" fontId="65" fillId="22" borderId="15" xfId="53" applyNumberFormat="1" applyFont="1" applyFill="1" applyBorder="1"/>
    <xf numFmtId="175" fontId="65" fillId="0" borderId="49" xfId="53" applyNumberFormat="1" applyFont="1" applyBorder="1"/>
    <xf numFmtId="0" fontId="54" fillId="21" borderId="47" xfId="0" applyFont="1" applyFill="1" applyBorder="1"/>
    <xf numFmtId="175" fontId="66" fillId="21" borderId="15" xfId="53" applyNumberFormat="1" applyFont="1" applyFill="1" applyBorder="1"/>
    <xf numFmtId="175" fontId="66" fillId="21" borderId="49" xfId="53" applyNumberFormat="1" applyFont="1" applyFill="1" applyBorder="1"/>
    <xf numFmtId="0" fontId="0" fillId="0" borderId="50" xfId="0" applyBorder="1"/>
    <xf numFmtId="0" fontId="0" fillId="0" borderId="51" xfId="0" applyBorder="1"/>
    <xf numFmtId="175" fontId="65" fillId="0" borderId="15" xfId="53" applyNumberFormat="1" applyFont="1" applyBorder="1"/>
    <xf numFmtId="0" fontId="54" fillId="21" borderId="52" xfId="0" applyFont="1" applyFill="1" applyBorder="1"/>
    <xf numFmtId="175" fontId="54" fillId="21" borderId="15" xfId="53" applyNumberFormat="1" applyFont="1" applyFill="1" applyBorder="1"/>
    <xf numFmtId="175" fontId="54" fillId="21" borderId="49" xfId="53" applyNumberFormat="1" applyFont="1" applyFill="1" applyBorder="1"/>
    <xf numFmtId="0" fontId="64" fillId="0" borderId="53" xfId="0" applyFont="1" applyBorder="1"/>
    <xf numFmtId="0" fontId="54" fillId="21" borderId="53" xfId="0" applyFont="1" applyFill="1" applyBorder="1"/>
    <xf numFmtId="175" fontId="54" fillId="21" borderId="49" xfId="0" applyNumberFormat="1" applyFont="1" applyFill="1" applyBorder="1"/>
    <xf numFmtId="175" fontId="66" fillId="21" borderId="15" xfId="0" applyNumberFormat="1" applyFont="1" applyFill="1" applyBorder="1"/>
    <xf numFmtId="175" fontId="66" fillId="21" borderId="49" xfId="0" applyNumberFormat="1" applyFont="1" applyFill="1" applyBorder="1"/>
    <xf numFmtId="0" fontId="64" fillId="0" borderId="15" xfId="0" applyFont="1" applyBorder="1"/>
    <xf numFmtId="0" fontId="64" fillId="0" borderId="49" xfId="0" applyFont="1" applyBorder="1"/>
    <xf numFmtId="0" fontId="64" fillId="21" borderId="49" xfId="0" applyFont="1" applyFill="1" applyBorder="1"/>
    <xf numFmtId="175" fontId="64" fillId="21" borderId="15" xfId="0" applyNumberFormat="1" applyFont="1" applyFill="1" applyBorder="1"/>
    <xf numFmtId="175" fontId="64" fillId="21" borderId="49" xfId="0" applyNumberFormat="1" applyFont="1" applyFill="1" applyBorder="1"/>
    <xf numFmtId="175" fontId="65" fillId="0" borderId="15" xfId="0" applyNumberFormat="1" applyFont="1" applyBorder="1"/>
    <xf numFmtId="175" fontId="65" fillId="0" borderId="49" xfId="0" applyNumberFormat="1" applyFont="1" applyBorder="1"/>
    <xf numFmtId="175" fontId="66" fillId="21" borderId="54" xfId="0" applyNumberFormat="1" applyFont="1" applyFill="1" applyBorder="1"/>
    <xf numFmtId="9" fontId="56" fillId="0" borderId="6" xfId="0" applyNumberFormat="1" applyFont="1" applyBorder="1" applyAlignment="1">
      <alignment horizontal="center" vertical="center" wrapText="1"/>
    </xf>
    <xf numFmtId="9" fontId="56" fillId="0" borderId="6" xfId="713" applyFont="1" applyBorder="1" applyAlignment="1">
      <alignment horizontal="center" vertical="center" wrapText="1"/>
    </xf>
    <xf numFmtId="176" fontId="20" fillId="22" borderId="5" xfId="186" applyNumberFormat="1" applyFont="1" applyFill="1" applyBorder="1" applyAlignment="1">
      <alignment wrapText="1"/>
    </xf>
    <xf numFmtId="43" fontId="20" fillId="0" borderId="5" xfId="186" applyFont="1" applyBorder="1" applyAlignment="1">
      <alignment wrapText="1"/>
    </xf>
    <xf numFmtId="171" fontId="56" fillId="0" borderId="6" xfId="713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49" fontId="29" fillId="0" borderId="6" xfId="56" applyNumberFormat="1" applyFont="1" applyFill="1" applyBorder="1" applyAlignment="1">
      <alignment horizontal="right"/>
    </xf>
    <xf numFmtId="177" fontId="29" fillId="0" borderId="6" xfId="56" applyNumberFormat="1" applyFont="1" applyFill="1" applyBorder="1" applyAlignment="1">
      <alignment horizontal="right"/>
    </xf>
    <xf numFmtId="0" fontId="28" fillId="8" borderId="12" xfId="0" applyFont="1" applyFill="1" applyBorder="1"/>
    <xf numFmtId="0" fontId="33" fillId="0" borderId="0" xfId="672" applyFont="1"/>
    <xf numFmtId="0" fontId="28" fillId="0" borderId="0" xfId="672" applyFont="1" applyAlignment="1">
      <alignment horizontal="center"/>
    </xf>
    <xf numFmtId="0" fontId="28" fillId="0" borderId="0" xfId="672" applyFont="1"/>
    <xf numFmtId="175" fontId="28" fillId="0" borderId="0" xfId="672" applyNumberFormat="1" applyFont="1"/>
    <xf numFmtId="0" fontId="27" fillId="0" borderId="0" xfId="672" applyFont="1"/>
    <xf numFmtId="0" fontId="27" fillId="0" borderId="16" xfId="672" applyFont="1" applyBorder="1"/>
    <xf numFmtId="0" fontId="27" fillId="0" borderId="17" xfId="672" applyFont="1" applyBorder="1" applyAlignment="1">
      <alignment horizontal="center"/>
    </xf>
    <xf numFmtId="0" fontId="27" fillId="0" borderId="18" xfId="672" applyFont="1" applyBorder="1"/>
    <xf numFmtId="0" fontId="27" fillId="11" borderId="19" xfId="672" applyFont="1" applyFill="1" applyBorder="1"/>
    <xf numFmtId="0" fontId="27" fillId="11" borderId="20" xfId="672" applyFont="1" applyFill="1" applyBorder="1" applyAlignment="1">
      <alignment horizontal="center"/>
    </xf>
    <xf numFmtId="0" fontId="27" fillId="11" borderId="0" xfId="672" applyFont="1" applyFill="1" applyAlignment="1">
      <alignment horizontal="center"/>
    </xf>
    <xf numFmtId="17" fontId="29" fillId="0" borderId="6" xfId="0" applyNumberFormat="1" applyFont="1" applyBorder="1"/>
    <xf numFmtId="17" fontId="67" fillId="0" borderId="6" xfId="0" applyNumberFormat="1" applyFont="1" applyBorder="1"/>
    <xf numFmtId="14" fontId="29" fillId="0" borderId="6" xfId="0" applyNumberFormat="1" applyFont="1" applyBorder="1"/>
    <xf numFmtId="16" fontId="29" fillId="0" borderId="6" xfId="0" applyNumberFormat="1" applyFont="1" applyBorder="1"/>
    <xf numFmtId="17" fontId="24" fillId="0" borderId="6" xfId="672" applyNumberFormat="1" applyFont="1" applyBorder="1"/>
    <xf numFmtId="17" fontId="24" fillId="0" borderId="6" xfId="672" applyNumberFormat="1" applyFont="1" applyBorder="1" applyAlignment="1">
      <alignment wrapText="1"/>
    </xf>
    <xf numFmtId="0" fontId="27" fillId="0" borderId="21" xfId="672" applyFont="1" applyBorder="1"/>
    <xf numFmtId="0" fontId="27" fillId="0" borderId="22" xfId="672" applyFont="1" applyBorder="1" applyAlignment="1">
      <alignment horizontal="center"/>
    </xf>
    <xf numFmtId="0" fontId="27" fillId="0" borderId="23" xfId="672" applyFont="1" applyBorder="1"/>
    <xf numFmtId="0" fontId="27" fillId="0" borderId="6" xfId="672" applyFont="1" applyBorder="1"/>
    <xf numFmtId="0" fontId="28" fillId="0" borderId="21" xfId="672" applyFont="1" applyBorder="1"/>
    <xf numFmtId="0" fontId="26" fillId="0" borderId="22" xfId="672" applyFont="1" applyBorder="1" applyAlignment="1">
      <alignment horizontal="center"/>
    </xf>
    <xf numFmtId="0" fontId="26" fillId="0" borderId="23" xfId="672" applyFont="1" applyBorder="1" applyAlignment="1">
      <alignment horizontal="center"/>
    </xf>
    <xf numFmtId="175" fontId="28" fillId="0" borderId="6" xfId="136" applyNumberFormat="1" applyFont="1" applyBorder="1" applyAlignment="1">
      <alignment horizontal="right"/>
    </xf>
    <xf numFmtId="43" fontId="28" fillId="0" borderId="6" xfId="136" applyFont="1" applyBorder="1" applyAlignment="1">
      <alignment horizontal="right"/>
    </xf>
    <xf numFmtId="171" fontId="26" fillId="0" borderId="6" xfId="715" applyNumberFormat="1" applyFont="1" applyBorder="1"/>
    <xf numFmtId="0" fontId="28" fillId="10" borderId="21" xfId="672" applyFont="1" applyFill="1" applyBorder="1"/>
    <xf numFmtId="9" fontId="26" fillId="0" borderId="22" xfId="715" applyFont="1" applyBorder="1" applyAlignment="1">
      <alignment horizontal="center"/>
    </xf>
    <xf numFmtId="9" fontId="26" fillId="0" borderId="23" xfId="715" applyFont="1" applyBorder="1" applyAlignment="1">
      <alignment horizontal="center"/>
    </xf>
    <xf numFmtId="171" fontId="26" fillId="0" borderId="10" xfId="715" applyNumberFormat="1" applyFont="1" applyBorder="1"/>
    <xf numFmtId="171" fontId="26" fillId="0" borderId="22" xfId="715" applyNumberFormat="1" applyFont="1" applyBorder="1" applyAlignment="1">
      <alignment horizontal="center"/>
    </xf>
    <xf numFmtId="0" fontId="28" fillId="0" borderId="23" xfId="672" applyFont="1" applyBorder="1"/>
    <xf numFmtId="14" fontId="27" fillId="11" borderId="6" xfId="672" applyNumberFormat="1" applyFont="1" applyFill="1" applyBorder="1" applyAlignment="1">
      <alignment horizontal="center"/>
    </xf>
    <xf numFmtId="171" fontId="26" fillId="0" borderId="23" xfId="715" applyNumberFormat="1" applyFont="1" applyBorder="1" applyAlignment="1">
      <alignment horizontal="center"/>
    </xf>
    <xf numFmtId="0" fontId="31" fillId="0" borderId="21" xfId="672" applyFont="1" applyBorder="1"/>
    <xf numFmtId="171" fontId="30" fillId="0" borderId="22" xfId="715" applyNumberFormat="1" applyFont="1" applyBorder="1" applyAlignment="1">
      <alignment horizontal="center"/>
    </xf>
    <xf numFmtId="171" fontId="30" fillId="0" borderId="23" xfId="715" applyNumberFormat="1" applyFont="1" applyBorder="1" applyAlignment="1">
      <alignment horizontal="center"/>
    </xf>
    <xf numFmtId="171" fontId="30" fillId="0" borderId="6" xfId="715" applyNumberFormat="1" applyFont="1" applyBorder="1"/>
    <xf numFmtId="0" fontId="28" fillId="0" borderId="22" xfId="672" applyFont="1" applyBorder="1" applyAlignment="1">
      <alignment horizontal="center"/>
    </xf>
    <xf numFmtId="171" fontId="26" fillId="0" borderId="6" xfId="715" applyNumberFormat="1" applyFont="1" applyBorder="1" applyAlignment="1">
      <alignment horizontal="right"/>
    </xf>
    <xf numFmtId="0" fontId="30" fillId="10" borderId="21" xfId="672" applyFont="1" applyFill="1" applyBorder="1"/>
    <xf numFmtId="9" fontId="26" fillId="0" borderId="6" xfId="715" applyFont="1" applyBorder="1" applyAlignment="1">
      <alignment horizontal="right"/>
    </xf>
    <xf numFmtId="9" fontId="28" fillId="0" borderId="6" xfId="718" applyFont="1" applyBorder="1" applyAlignment="1">
      <alignment horizontal="right"/>
    </xf>
    <xf numFmtId="175" fontId="26" fillId="0" borderId="6" xfId="56" applyNumberFormat="1" applyFont="1" applyBorder="1" applyAlignment="1">
      <alignment horizontal="right"/>
    </xf>
    <xf numFmtId="0" fontId="33" fillId="10" borderId="21" xfId="672" applyFont="1" applyFill="1" applyBorder="1"/>
    <xf numFmtId="14" fontId="27" fillId="11" borderId="6" xfId="672" applyNumberFormat="1" applyFont="1" applyFill="1" applyBorder="1" applyAlignment="1">
      <alignment horizontal="right"/>
    </xf>
    <xf numFmtId="9" fontId="28" fillId="0" borderId="6" xfId="715" applyFont="1" applyBorder="1" applyAlignment="1">
      <alignment horizontal="right"/>
    </xf>
    <xf numFmtId="0" fontId="28" fillId="0" borderId="6" xfId="672" applyFont="1" applyBorder="1" applyAlignment="1">
      <alignment horizontal="right"/>
    </xf>
    <xf numFmtId="9" fontId="26" fillId="0" borderId="22" xfId="672" applyNumberFormat="1" applyFont="1" applyBorder="1" applyAlignment="1">
      <alignment horizontal="center"/>
    </xf>
    <xf numFmtId="171" fontId="28" fillId="10" borderId="21" xfId="715" applyNumberFormat="1" applyFont="1" applyFill="1" applyBorder="1"/>
    <xf numFmtId="171" fontId="28" fillId="0" borderId="6" xfId="715" applyNumberFormat="1" applyFont="1" applyBorder="1" applyAlignment="1">
      <alignment horizontal="right"/>
    </xf>
    <xf numFmtId="0" fontId="28" fillId="10" borderId="24" xfId="672" applyFont="1" applyFill="1" applyBorder="1"/>
    <xf numFmtId="9" fontId="26" fillId="0" borderId="25" xfId="672" applyNumberFormat="1" applyFont="1" applyBorder="1" applyAlignment="1">
      <alignment horizontal="center"/>
    </xf>
    <xf numFmtId="0" fontId="26" fillId="0" borderId="26" xfId="672" applyFont="1" applyBorder="1" applyAlignment="1">
      <alignment horizontal="center"/>
    </xf>
    <xf numFmtId="171" fontId="26" fillId="0" borderId="12" xfId="715" applyNumberFormat="1" applyFont="1" applyBorder="1" applyAlignment="1">
      <alignment horizontal="right"/>
    </xf>
    <xf numFmtId="171" fontId="28" fillId="0" borderId="0" xfId="715" applyNumberFormat="1" applyFont="1" applyBorder="1"/>
    <xf numFmtId="0" fontId="59" fillId="20" borderId="6" xfId="0" applyFont="1" applyFill="1" applyBorder="1"/>
    <xf numFmtId="177" fontId="29" fillId="0" borderId="6" xfId="56" applyNumberFormat="1" applyFont="1" applyFill="1" applyBorder="1" applyAlignment="1">
      <alignment horizontal="right" wrapText="1"/>
    </xf>
    <xf numFmtId="0" fontId="36" fillId="0" borderId="6" xfId="0" applyFont="1" applyBorder="1" applyAlignment="1" applyProtection="1">
      <alignment vertical="top" wrapText="1" readingOrder="1"/>
      <protection locked="0"/>
    </xf>
    <xf numFmtId="0" fontId="27" fillId="0" borderId="6" xfId="0" applyFont="1" applyBorder="1" applyAlignment="1" applyProtection="1">
      <alignment vertical="top" wrapText="1" readingOrder="1"/>
      <protection locked="0"/>
    </xf>
    <xf numFmtId="0" fontId="26" fillId="0" borderId="6" xfId="0" applyFont="1" applyBorder="1" applyAlignment="1" applyProtection="1">
      <alignment vertical="top" wrapText="1" readingOrder="1"/>
      <protection locked="0"/>
    </xf>
    <xf numFmtId="0" fontId="68" fillId="0" borderId="6" xfId="0" applyFont="1" applyBorder="1"/>
    <xf numFmtId="0" fontId="68" fillId="0" borderId="5" xfId="494" applyFont="1" applyBorder="1" applyAlignment="1">
      <alignment wrapText="1"/>
    </xf>
    <xf numFmtId="164" fontId="68" fillId="0" borderId="5" xfId="187" applyNumberFormat="1" applyFont="1" applyBorder="1" applyAlignment="1">
      <alignment wrapText="1"/>
    </xf>
    <xf numFmtId="0" fontId="16" fillId="0" borderId="0" xfId="494" applyFont="1" applyAlignment="1">
      <alignment wrapText="1"/>
    </xf>
    <xf numFmtId="43" fontId="2" fillId="0" borderId="0" xfId="186" applyBorder="1" applyAlignment="1">
      <alignment wrapText="1"/>
    </xf>
    <xf numFmtId="9" fontId="46" fillId="0" borderId="0" xfId="713" applyFont="1"/>
    <xf numFmtId="0" fontId="3" fillId="0" borderId="6" xfId="0" applyFont="1" applyBorder="1" applyAlignment="1" applyProtection="1">
      <alignment vertical="top" wrapText="1" readingOrder="1"/>
      <protection locked="0"/>
    </xf>
    <xf numFmtId="43" fontId="4" fillId="0" borderId="6" xfId="53" applyFont="1" applyBorder="1" applyAlignment="1" applyProtection="1">
      <alignment vertical="top" wrapText="1" readingOrder="1"/>
      <protection locked="0"/>
    </xf>
    <xf numFmtId="43" fontId="5" fillId="0" borderId="6" xfId="53" applyFont="1" applyBorder="1" applyAlignment="1" applyProtection="1">
      <alignment vertical="top" wrapText="1" readingOrder="1"/>
      <protection locked="0"/>
    </xf>
    <xf numFmtId="43" fontId="4" fillId="12" borderId="6" xfId="53" applyFont="1" applyFill="1" applyBorder="1" applyAlignment="1" applyProtection="1">
      <alignment vertical="top" wrapText="1" readingOrder="1"/>
      <protection locked="0"/>
    </xf>
    <xf numFmtId="43" fontId="46" fillId="0" borderId="6" xfId="53" applyFont="1" applyBorder="1"/>
    <xf numFmtId="0" fontId="69" fillId="0" borderId="0" xfId="0" applyFont="1"/>
    <xf numFmtId="17" fontId="67" fillId="0" borderId="0" xfId="0" applyNumberFormat="1" applyFont="1"/>
    <xf numFmtId="0" fontId="63" fillId="0" borderId="5" xfId="540" applyFont="1" applyBorder="1" applyAlignment="1">
      <alignment horizontal="left" vertical="top" wrapText="1"/>
    </xf>
    <xf numFmtId="0" fontId="59" fillId="0" borderId="5" xfId="494" applyFont="1" applyBorder="1" applyAlignment="1">
      <alignment wrapText="1"/>
    </xf>
    <xf numFmtId="9" fontId="70" fillId="0" borderId="5" xfId="713" applyFont="1" applyBorder="1" applyAlignment="1">
      <alignment horizontal="center" wrapText="1"/>
    </xf>
    <xf numFmtId="43" fontId="70" fillId="0" borderId="5" xfId="186" applyFont="1" applyBorder="1" applyAlignment="1">
      <alignment wrapText="1"/>
    </xf>
    <xf numFmtId="0" fontId="63" fillId="0" borderId="5" xfId="494" applyFont="1" applyBorder="1" applyAlignment="1">
      <alignment wrapText="1"/>
    </xf>
    <xf numFmtId="179" fontId="71" fillId="0" borderId="5" xfId="494" applyNumberFormat="1" applyFont="1" applyBorder="1" applyAlignment="1">
      <alignment wrapText="1"/>
    </xf>
    <xf numFmtId="43" fontId="72" fillId="0" borderId="5" xfId="186" applyFont="1" applyBorder="1" applyAlignment="1">
      <alignment wrapText="1"/>
    </xf>
    <xf numFmtId="43" fontId="69" fillId="0" borderId="0" xfId="0" applyNumberFormat="1" applyFont="1"/>
    <xf numFmtId="0" fontId="69" fillId="0" borderId="5" xfId="494" applyFont="1" applyBorder="1" applyAlignment="1">
      <alignment wrapText="1"/>
    </xf>
    <xf numFmtId="164" fontId="69" fillId="0" borderId="5" xfId="187" applyNumberFormat="1" applyFont="1" applyBorder="1" applyAlignment="1">
      <alignment wrapText="1"/>
    </xf>
    <xf numFmtId="176" fontId="72" fillId="22" borderId="5" xfId="186" applyNumberFormat="1" applyFont="1" applyFill="1" applyBorder="1" applyAlignment="1">
      <alignment wrapText="1"/>
    </xf>
    <xf numFmtId="0" fontId="63" fillId="0" borderId="0" xfId="494" applyFont="1" applyAlignment="1">
      <alignment wrapText="1"/>
    </xf>
    <xf numFmtId="43" fontId="70" fillId="0" borderId="0" xfId="186" applyFont="1" applyBorder="1" applyAlignment="1">
      <alignment wrapText="1"/>
    </xf>
    <xf numFmtId="9" fontId="69" fillId="0" borderId="0" xfId="713" applyFont="1"/>
    <xf numFmtId="43" fontId="70" fillId="0" borderId="5" xfId="186" applyFont="1" applyBorder="1" applyAlignment="1">
      <alignment horizontal="center" wrapText="1"/>
    </xf>
    <xf numFmtId="17" fontId="67" fillId="0" borderId="0" xfId="0" applyNumberFormat="1" applyFont="1" applyAlignment="1">
      <alignment horizontal="right"/>
    </xf>
    <xf numFmtId="1" fontId="59" fillId="0" borderId="5" xfId="494" applyNumberFormat="1" applyFont="1" applyBorder="1" applyAlignment="1">
      <alignment wrapText="1"/>
    </xf>
    <xf numFmtId="43" fontId="59" fillId="0" borderId="5" xfId="53" applyFont="1" applyBorder="1" applyAlignment="1">
      <alignment wrapText="1"/>
    </xf>
    <xf numFmtId="0" fontId="0" fillId="0" borderId="0" xfId="0" applyProtection="1">
      <protection locked="0"/>
    </xf>
    <xf numFmtId="0" fontId="0" fillId="22" borderId="0" xfId="0" applyFill="1" applyProtection="1">
      <protection locked="0"/>
    </xf>
    <xf numFmtId="171" fontId="2" fillId="0" borderId="0" xfId="715" applyNumberFormat="1" applyFont="1" applyProtection="1">
      <protection locked="0"/>
    </xf>
    <xf numFmtId="0" fontId="73" fillId="0" borderId="10" xfId="0" applyFont="1" applyBorder="1"/>
    <xf numFmtId="171" fontId="73" fillId="0" borderId="6" xfId="713" applyNumberFormat="1" applyFont="1" applyBorder="1" applyProtection="1"/>
    <xf numFmtId="171" fontId="73" fillId="0" borderId="6" xfId="713" applyNumberFormat="1" applyFont="1" applyBorder="1" applyAlignment="1" applyProtection="1">
      <alignment horizontal="right"/>
    </xf>
    <xf numFmtId="43" fontId="15" fillId="0" borderId="6" xfId="53" applyFont="1" applyBorder="1" applyProtection="1">
      <protection locked="0"/>
    </xf>
    <xf numFmtId="43" fontId="28" fillId="0" borderId="6" xfId="53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5" fillId="0" borderId="0" xfId="0" applyFont="1" applyProtection="1">
      <protection locked="0"/>
    </xf>
    <xf numFmtId="0" fontId="38" fillId="0" borderId="0" xfId="0" applyFont="1"/>
    <xf numFmtId="0" fontId="26" fillId="0" borderId="0" xfId="0" applyFont="1"/>
    <xf numFmtId="0" fontId="2" fillId="0" borderId="0" xfId="524"/>
    <xf numFmtId="43" fontId="15" fillId="0" borderId="6" xfId="248" applyFont="1" applyBorder="1" applyProtection="1">
      <protection locked="0"/>
    </xf>
    <xf numFmtId="0" fontId="74" fillId="22" borderId="28" xfId="0" applyFont="1" applyFill="1" applyBorder="1"/>
    <xf numFmtId="9" fontId="28" fillId="0" borderId="0" xfId="713" applyFont="1" applyBorder="1"/>
    <xf numFmtId="17" fontId="24" fillId="0" borderId="6" xfId="672" applyNumberFormat="1" applyFont="1" applyBorder="1" applyAlignment="1">
      <alignment horizontal="left" wrapText="1"/>
    </xf>
    <xf numFmtId="179" fontId="68" fillId="0" borderId="5" xfId="494" applyNumberFormat="1" applyFont="1" applyBorder="1" applyAlignment="1">
      <alignment wrapText="1"/>
    </xf>
    <xf numFmtId="17" fontId="24" fillId="9" borderId="6" xfId="0" applyNumberFormat="1" applyFont="1" applyFill="1" applyBorder="1" applyAlignment="1" applyProtection="1">
      <alignment vertical="top" wrapText="1" readingOrder="1"/>
      <protection locked="0"/>
    </xf>
    <xf numFmtId="43" fontId="24" fillId="21" borderId="6" xfId="53" applyFont="1" applyFill="1" applyBorder="1" applyAlignment="1" applyProtection="1">
      <alignment vertical="top" wrapText="1" readingOrder="1"/>
      <protection locked="0"/>
    </xf>
    <xf numFmtId="17" fontId="25" fillId="9" borderId="22" xfId="0" applyNumberFormat="1" applyFont="1" applyFill="1" applyBorder="1" applyAlignment="1" applyProtection="1">
      <alignment vertical="top" wrapText="1" readingOrder="1"/>
      <protection locked="0"/>
    </xf>
    <xf numFmtId="43" fontId="25" fillId="21" borderId="22" xfId="53" applyFont="1" applyFill="1" applyBorder="1" applyAlignment="1" applyProtection="1">
      <alignment vertical="top" wrapText="1" readingOrder="1"/>
      <protection locked="0"/>
    </xf>
    <xf numFmtId="0" fontId="68" fillId="0" borderId="22" xfId="0" applyFont="1" applyBorder="1" applyAlignment="1">
      <alignment wrapText="1" readingOrder="1"/>
    </xf>
    <xf numFmtId="165" fontId="68" fillId="0" borderId="22" xfId="0" applyNumberFormat="1" applyFont="1" applyBorder="1" applyAlignment="1">
      <alignment wrapText="1" readingOrder="1"/>
    </xf>
    <xf numFmtId="43" fontId="24" fillId="0" borderId="6" xfId="53" applyFont="1" applyBorder="1" applyAlignment="1" applyProtection="1">
      <alignment vertical="top" wrapText="1" readingOrder="1"/>
      <protection locked="0"/>
    </xf>
    <xf numFmtId="43" fontId="24" fillId="23" borderId="6" xfId="53" applyFont="1" applyFill="1" applyBorder="1" applyAlignment="1" applyProtection="1">
      <alignment vertical="top" wrapText="1" readingOrder="1"/>
      <protection locked="0"/>
    </xf>
    <xf numFmtId="0" fontId="15" fillId="0" borderId="5" xfId="494" applyFont="1" applyBorder="1"/>
    <xf numFmtId="43" fontId="75" fillId="0" borderId="6" xfId="53" applyFont="1" applyBorder="1"/>
    <xf numFmtId="43" fontId="24" fillId="9" borderId="6" xfId="53" applyFont="1" applyFill="1" applyBorder="1" applyAlignment="1" applyProtection="1">
      <alignment vertical="top" wrapText="1" readingOrder="1"/>
      <protection locked="0"/>
    </xf>
    <xf numFmtId="0" fontId="53" fillId="0" borderId="6" xfId="0" applyFont="1" applyBorder="1" applyAlignment="1" applyProtection="1">
      <alignment horizontal="right"/>
      <protection locked="0"/>
    </xf>
    <xf numFmtId="17" fontId="53" fillId="0" borderId="0" xfId="0" applyNumberFormat="1" applyFont="1" applyProtection="1">
      <protection locked="0"/>
    </xf>
    <xf numFmtId="17" fontId="53" fillId="0" borderId="9" xfId="0" applyNumberFormat="1" applyFont="1" applyBorder="1" applyAlignment="1" applyProtection="1">
      <alignment horizontal="right" wrapText="1"/>
      <protection locked="0"/>
    </xf>
    <xf numFmtId="0" fontId="0" fillId="0" borderId="6" xfId="0" applyBorder="1" applyAlignment="1" applyProtection="1">
      <alignment horizontal="center"/>
      <protection locked="0"/>
    </xf>
    <xf numFmtId="171" fontId="46" fillId="0" borderId="0" xfId="715" applyNumberFormat="1" applyFont="1" applyProtection="1">
      <protection locked="0"/>
    </xf>
    <xf numFmtId="0" fontId="68" fillId="22" borderId="10" xfId="0" applyFont="1" applyFill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0" fillId="0" borderId="23" xfId="0" applyBorder="1" applyProtection="1">
      <protection locked="0"/>
    </xf>
    <xf numFmtId="0" fontId="55" fillId="0" borderId="9" xfId="0" applyFont="1" applyBorder="1" applyProtection="1">
      <protection locked="0"/>
    </xf>
    <xf numFmtId="0" fontId="55" fillId="0" borderId="9" xfId="0" applyFont="1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26" xfId="0" applyBorder="1" applyProtection="1">
      <protection locked="0"/>
    </xf>
    <xf numFmtId="0" fontId="55" fillId="0" borderId="13" xfId="0" applyFont="1" applyBorder="1" applyProtection="1">
      <protection locked="0"/>
    </xf>
    <xf numFmtId="0" fontId="68" fillId="0" borderId="10" xfId="0" applyFont="1" applyBorder="1"/>
    <xf numFmtId="0" fontId="68" fillId="0" borderId="6" xfId="0" applyFont="1" applyBorder="1" applyAlignment="1">
      <alignment horizontal="center"/>
    </xf>
    <xf numFmtId="9" fontId="68" fillId="0" borderId="6" xfId="0" applyNumberFormat="1" applyFont="1" applyBorder="1" applyAlignment="1">
      <alignment horizontal="center"/>
    </xf>
    <xf numFmtId="171" fontId="46" fillId="22" borderId="6" xfId="713" applyNumberFormat="1" applyFont="1" applyFill="1" applyBorder="1" applyAlignment="1" applyProtection="1">
      <alignment horizontal="right"/>
    </xf>
    <xf numFmtId="0" fontId="68" fillId="22" borderId="10" xfId="0" applyFont="1" applyFill="1" applyBorder="1"/>
    <xf numFmtId="0" fontId="68" fillId="2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8" fillId="22" borderId="10" xfId="0" applyFont="1" applyFill="1" applyBorder="1" applyAlignment="1">
      <alignment horizontal="left"/>
    </xf>
    <xf numFmtId="9" fontId="68" fillId="22" borderId="6" xfId="0" applyNumberFormat="1" applyFont="1" applyFill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43" fontId="73" fillId="0" borderId="6" xfId="53" applyFont="1" applyBorder="1" applyAlignment="1" applyProtection="1">
      <alignment horizontal="center"/>
    </xf>
    <xf numFmtId="0" fontId="53" fillId="22" borderId="10" xfId="0" applyFont="1" applyFill="1" applyBorder="1"/>
    <xf numFmtId="0" fontId="53" fillId="22" borderId="27" xfId="0" applyFont="1" applyFill="1" applyBorder="1"/>
    <xf numFmtId="0" fontId="53" fillId="22" borderId="11" xfId="0" applyFont="1" applyFill="1" applyBorder="1"/>
    <xf numFmtId="171" fontId="68" fillId="22" borderId="6" xfId="713" applyNumberFormat="1" applyFont="1" applyFill="1" applyBorder="1" applyAlignment="1" applyProtection="1">
      <alignment horizontal="right"/>
    </xf>
    <xf numFmtId="171" fontId="68" fillId="0" borderId="6" xfId="713" applyNumberFormat="1" applyFont="1" applyFill="1" applyBorder="1" applyAlignment="1" applyProtection="1">
      <alignment horizontal="right"/>
    </xf>
    <xf numFmtId="0" fontId="53" fillId="0" borderId="23" xfId="0" applyFont="1" applyBorder="1" applyAlignment="1">
      <alignment horizontal="right"/>
    </xf>
    <xf numFmtId="0" fontId="0" fillId="0" borderId="9" xfId="0" applyBorder="1" applyProtection="1">
      <protection locked="0"/>
    </xf>
    <xf numFmtId="0" fontId="76" fillId="22" borderId="28" xfId="0" applyFont="1" applyFill="1" applyBorder="1"/>
    <xf numFmtId="43" fontId="46" fillId="0" borderId="0" xfId="53" applyFont="1"/>
    <xf numFmtId="0" fontId="15" fillId="20" borderId="5" xfId="494" applyFont="1" applyFill="1" applyBorder="1"/>
    <xf numFmtId="175" fontId="68" fillId="0" borderId="6" xfId="56" applyNumberFormat="1" applyFont="1" applyBorder="1" applyAlignment="1" applyProtection="1">
      <alignment horizontal="right"/>
    </xf>
    <xf numFmtId="171" fontId="68" fillId="0" borderId="6" xfId="713" applyNumberFormat="1" applyFont="1" applyBorder="1" applyAlignment="1" applyProtection="1">
      <alignment horizontal="right"/>
    </xf>
    <xf numFmtId="43" fontId="73" fillId="0" borderId="6" xfId="53" applyFont="1" applyBorder="1" applyProtection="1">
      <protection locked="0"/>
    </xf>
    <xf numFmtId="165" fontId="40" fillId="0" borderId="29" xfId="582" applyNumberFormat="1" applyFont="1" applyBorder="1" applyAlignment="1" applyProtection="1">
      <alignment vertical="top" wrapText="1" readingOrder="1"/>
      <protection locked="0"/>
    </xf>
    <xf numFmtId="165" fontId="40" fillId="0" borderId="29" xfId="586" applyNumberFormat="1" applyFont="1" applyBorder="1" applyAlignment="1" applyProtection="1">
      <alignment vertical="top" wrapText="1" readingOrder="1"/>
      <protection locked="0"/>
    </xf>
    <xf numFmtId="165" fontId="40" fillId="0" borderId="29" xfId="619" applyNumberFormat="1" applyFont="1" applyBorder="1" applyAlignment="1" applyProtection="1">
      <alignment vertical="top" wrapText="1" readingOrder="1"/>
      <protection locked="0"/>
    </xf>
    <xf numFmtId="165" fontId="40" fillId="0" borderId="29" xfId="620" applyNumberFormat="1" applyFont="1" applyBorder="1" applyAlignment="1" applyProtection="1">
      <alignment vertical="top" wrapText="1" readingOrder="1"/>
      <protection locked="0"/>
    </xf>
    <xf numFmtId="166" fontId="40" fillId="0" borderId="29" xfId="620" applyNumberFormat="1" applyFont="1" applyBorder="1" applyAlignment="1" applyProtection="1">
      <alignment vertical="top" wrapText="1" readingOrder="1"/>
      <protection locked="0"/>
    </xf>
    <xf numFmtId="43" fontId="69" fillId="0" borderId="0" xfId="53" applyFont="1"/>
    <xf numFmtId="10" fontId="69" fillId="0" borderId="0" xfId="713" applyNumberFormat="1" applyFont="1"/>
    <xf numFmtId="9" fontId="28" fillId="0" borderId="0" xfId="713" applyFont="1"/>
    <xf numFmtId="9" fontId="28" fillId="0" borderId="6" xfId="713" applyFont="1" applyBorder="1"/>
    <xf numFmtId="164" fontId="0" fillId="0" borderId="0" xfId="0" applyNumberFormat="1"/>
    <xf numFmtId="17" fontId="53" fillId="0" borderId="6" xfId="0" applyNumberFormat="1" applyFont="1" applyBorder="1" applyAlignment="1" applyProtection="1">
      <alignment horizontal="right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17" fillId="0" borderId="0" xfId="0" applyFont="1" applyAlignment="1" applyProtection="1">
      <alignment vertical="top" wrapText="1" readingOrder="1"/>
      <protection locked="0"/>
    </xf>
    <xf numFmtId="43" fontId="15" fillId="0" borderId="0" xfId="53" applyFont="1" applyFill="1" applyBorder="1" applyAlignment="1" applyProtection="1">
      <protection locked="0"/>
    </xf>
    <xf numFmtId="43" fontId="15" fillId="24" borderId="0" xfId="53" applyFont="1" applyFill="1" applyBorder="1" applyAlignment="1" applyProtection="1">
      <protection locked="0"/>
    </xf>
    <xf numFmtId="173" fontId="77" fillId="0" borderId="6" xfId="0" applyNumberFormat="1" applyFont="1" applyBorder="1" applyAlignment="1" applyProtection="1">
      <alignment horizontal="right" vertical="center"/>
      <protection locked="0"/>
    </xf>
    <xf numFmtId="172" fontId="59" fillId="0" borderId="6" xfId="53" applyNumberFormat="1" applyFont="1" applyBorder="1" applyAlignment="1" applyProtection="1">
      <alignment horizontal="right" vertical="center"/>
      <protection locked="0"/>
    </xf>
    <xf numFmtId="172" fontId="59" fillId="0" borderId="6" xfId="53" applyNumberFormat="1" applyFont="1" applyFill="1" applyBorder="1" applyAlignment="1" applyProtection="1">
      <protection locked="0"/>
    </xf>
    <xf numFmtId="0" fontId="78" fillId="0" borderId="0" xfId="0" applyFont="1"/>
    <xf numFmtId="17" fontId="24" fillId="9" borderId="22" xfId="0" applyNumberFormat="1" applyFont="1" applyFill="1" applyBorder="1" applyAlignment="1" applyProtection="1">
      <alignment vertical="top" wrapText="1" readingOrder="1"/>
      <protection locked="0"/>
    </xf>
    <xf numFmtId="43" fontId="24" fillId="21" borderId="22" xfId="53" applyFont="1" applyFill="1" applyBorder="1" applyAlignment="1" applyProtection="1">
      <alignment vertical="top" wrapText="1" readingOrder="1"/>
      <protection locked="0"/>
    </xf>
    <xf numFmtId="43" fontId="44" fillId="0" borderId="0" xfId="53" applyFont="1" applyFill="1" applyBorder="1" applyAlignment="1" applyProtection="1">
      <protection locked="0"/>
    </xf>
    <xf numFmtId="43" fontId="44" fillId="24" borderId="0" xfId="53" applyFont="1" applyFill="1" applyBorder="1" applyAlignment="1" applyProtection="1">
      <protection locked="0"/>
    </xf>
    <xf numFmtId="43" fontId="44" fillId="0" borderId="0" xfId="53" applyFont="1" applyFill="1" applyBorder="1" applyAlignment="1" applyProtection="1"/>
    <xf numFmtId="165" fontId="45" fillId="0" borderId="29" xfId="0" applyNumberFormat="1" applyFont="1" applyBorder="1" applyAlignment="1" applyProtection="1">
      <alignment vertical="top" wrapText="1" readingOrder="1"/>
      <protection locked="0"/>
    </xf>
    <xf numFmtId="166" fontId="45" fillId="0" borderId="29" xfId="0" applyNumberFormat="1" applyFont="1" applyBorder="1" applyAlignment="1" applyProtection="1">
      <alignment vertical="top" wrapText="1" readingOrder="1"/>
      <protection locked="0"/>
    </xf>
    <xf numFmtId="0" fontId="56" fillId="0" borderId="22" xfId="0" applyFont="1" applyBorder="1" applyAlignment="1">
      <alignment wrapText="1" readingOrder="1"/>
    </xf>
    <xf numFmtId="165" fontId="56" fillId="0" borderId="22" xfId="0" applyNumberFormat="1" applyFont="1" applyBorder="1" applyAlignment="1">
      <alignment wrapText="1" readingOrder="1"/>
    </xf>
    <xf numFmtId="166" fontId="40" fillId="0" borderId="29" xfId="0" applyNumberFormat="1" applyFont="1" applyBorder="1" applyAlignment="1" applyProtection="1">
      <alignment vertical="top" wrapText="1" readingOrder="1"/>
      <protection locked="0"/>
    </xf>
    <xf numFmtId="165" fontId="5" fillId="0" borderId="29" xfId="0" applyNumberFormat="1" applyFont="1" applyBorder="1" applyAlignment="1" applyProtection="1">
      <alignment vertical="top" wrapText="1" readingOrder="1"/>
      <protection locked="0"/>
    </xf>
    <xf numFmtId="165" fontId="5" fillId="13" borderId="29" xfId="0" applyNumberFormat="1" applyFont="1" applyFill="1" applyBorder="1" applyAlignment="1" applyProtection="1">
      <alignment vertical="top" wrapText="1" readingOrder="1"/>
      <protection locked="0"/>
    </xf>
    <xf numFmtId="0" fontId="81" fillId="0" borderId="55" xfId="0" applyFont="1" applyBorder="1" applyAlignment="1">
      <alignment wrapText="1" readingOrder="1"/>
    </xf>
    <xf numFmtId="4" fontId="81" fillId="0" borderId="55" xfId="0" applyNumberFormat="1" applyFont="1" applyBorder="1" applyAlignment="1">
      <alignment wrapText="1" readingOrder="1"/>
    </xf>
    <xf numFmtId="0" fontId="81" fillId="0" borderId="56" xfId="0" applyFont="1" applyBorder="1" applyAlignment="1">
      <alignment wrapText="1" readingOrder="1"/>
    </xf>
    <xf numFmtId="4" fontId="81" fillId="0" borderId="56" xfId="0" applyNumberFormat="1" applyFont="1" applyBorder="1" applyAlignment="1">
      <alignment wrapText="1" readingOrder="1"/>
    </xf>
    <xf numFmtId="0" fontId="82" fillId="0" borderId="55" xfId="0" applyFont="1" applyBorder="1" applyAlignment="1">
      <alignment wrapText="1" readingOrder="1"/>
    </xf>
    <xf numFmtId="4" fontId="82" fillId="0" borderId="55" xfId="0" applyNumberFormat="1" applyFont="1" applyBorder="1" applyAlignment="1">
      <alignment wrapText="1" readingOrder="1"/>
    </xf>
    <xf numFmtId="0" fontId="82" fillId="0" borderId="56" xfId="0" applyFont="1" applyBorder="1" applyAlignment="1">
      <alignment wrapText="1" readingOrder="1"/>
    </xf>
    <xf numFmtId="4" fontId="82" fillId="0" borderId="56" xfId="0" applyNumberFormat="1" applyFont="1" applyBorder="1" applyAlignment="1">
      <alignment wrapText="1" readingOrder="1"/>
    </xf>
    <xf numFmtId="0" fontId="43" fillId="9" borderId="29" xfId="0" applyFont="1" applyFill="1" applyBorder="1" applyAlignment="1" applyProtection="1">
      <alignment vertical="top" wrapText="1" readingOrder="1"/>
      <protection locked="0"/>
    </xf>
    <xf numFmtId="165" fontId="40" fillId="0" borderId="29" xfId="0" applyNumberFormat="1" applyFont="1" applyBorder="1" applyAlignment="1" applyProtection="1">
      <alignment vertical="top" wrapText="1" readingOrder="1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4" fontId="82" fillId="27" borderId="56" xfId="0" applyNumberFormat="1" applyFont="1" applyFill="1" applyBorder="1" applyAlignment="1">
      <alignment wrapText="1" readingOrder="1"/>
    </xf>
    <xf numFmtId="17" fontId="7" fillId="0" borderId="6" xfId="0" applyNumberFormat="1" applyFont="1" applyBorder="1" applyAlignment="1" applyProtection="1">
      <alignment vertical="top" wrapText="1" readingOrder="1"/>
      <protection locked="0"/>
    </xf>
    <xf numFmtId="43" fontId="24" fillId="9" borderId="6" xfId="0" applyNumberFormat="1" applyFont="1" applyFill="1" applyBorder="1" applyAlignment="1" applyProtection="1">
      <alignment vertical="top" wrapText="1" readingOrder="1"/>
      <protection locked="0"/>
    </xf>
    <xf numFmtId="43" fontId="82" fillId="0" borderId="55" xfId="0" applyNumberFormat="1" applyFont="1" applyBorder="1" applyAlignment="1">
      <alignment wrapText="1" readingOrder="1"/>
    </xf>
    <xf numFmtId="43" fontId="82" fillId="0" borderId="56" xfId="0" applyNumberFormat="1" applyFont="1" applyBorder="1" applyAlignment="1">
      <alignment wrapText="1" readingOrder="1"/>
    </xf>
    <xf numFmtId="43" fontId="82" fillId="27" borderId="56" xfId="0" applyNumberFormat="1" applyFont="1" applyFill="1" applyBorder="1" applyAlignment="1">
      <alignment wrapText="1" readingOrder="1"/>
    </xf>
    <xf numFmtId="43" fontId="25" fillId="9" borderId="22" xfId="0" applyNumberFormat="1" applyFont="1" applyFill="1" applyBorder="1" applyAlignment="1" applyProtection="1">
      <alignment vertical="top" wrapText="1" readingOrder="1"/>
      <protection locked="0"/>
    </xf>
    <xf numFmtId="43" fontId="81" fillId="0" borderId="55" xfId="0" applyNumberFormat="1" applyFont="1" applyBorder="1" applyAlignment="1">
      <alignment wrapText="1" readingOrder="1"/>
    </xf>
    <xf numFmtId="43" fontId="81" fillId="0" borderId="56" xfId="0" applyNumberFormat="1" applyFont="1" applyBorder="1" applyAlignment="1">
      <alignment wrapText="1" readingOrder="1"/>
    </xf>
    <xf numFmtId="43" fontId="68" fillId="0" borderId="22" xfId="0" applyNumberFormat="1" applyFont="1" applyBorder="1" applyAlignment="1">
      <alignment wrapText="1" readingOrder="1"/>
    </xf>
    <xf numFmtId="0" fontId="82" fillId="0" borderId="57" xfId="0" applyFont="1" applyBorder="1" applyAlignment="1">
      <alignment wrapText="1" readingOrder="1"/>
    </xf>
    <xf numFmtId="4" fontId="82" fillId="0" borderId="57" xfId="0" applyNumberFormat="1" applyFont="1" applyBorder="1" applyAlignment="1">
      <alignment wrapText="1" readingOrder="1"/>
    </xf>
    <xf numFmtId="0" fontId="82" fillId="0" borderId="58" xfId="0" applyFont="1" applyBorder="1" applyAlignment="1">
      <alignment wrapText="1" readingOrder="1"/>
    </xf>
    <xf numFmtId="4" fontId="82" fillId="0" borderId="58" xfId="0" applyNumberFormat="1" applyFont="1" applyBorder="1" applyAlignment="1">
      <alignment wrapText="1" readingOrder="1"/>
    </xf>
    <xf numFmtId="4" fontId="82" fillId="28" borderId="55" xfId="0" applyNumberFormat="1" applyFont="1" applyFill="1" applyBorder="1" applyAlignment="1">
      <alignment wrapText="1" readingOrder="1"/>
    </xf>
    <xf numFmtId="4" fontId="82" fillId="28" borderId="57" xfId="0" applyNumberFormat="1" applyFont="1" applyFill="1" applyBorder="1" applyAlignment="1">
      <alignment wrapText="1" readingOrder="1"/>
    </xf>
    <xf numFmtId="0" fontId="81" fillId="0" borderId="57" xfId="0" applyFont="1" applyBorder="1" applyAlignment="1">
      <alignment wrapText="1" readingOrder="1"/>
    </xf>
    <xf numFmtId="4" fontId="81" fillId="0" borderId="57" xfId="0" applyNumberFormat="1" applyFont="1" applyBorder="1" applyAlignment="1">
      <alignment wrapText="1" readingOrder="1"/>
    </xf>
    <xf numFmtId="0" fontId="81" fillId="0" borderId="58" xfId="0" applyFont="1" applyBorder="1" applyAlignment="1">
      <alignment wrapText="1" readingOrder="1"/>
    </xf>
    <xf numFmtId="4" fontId="81" fillId="0" borderId="58" xfId="0" applyNumberFormat="1" applyFont="1" applyBorder="1" applyAlignment="1">
      <alignment wrapText="1" readingOrder="1"/>
    </xf>
    <xf numFmtId="43" fontId="82" fillId="0" borderId="57" xfId="0" applyNumberFormat="1" applyFont="1" applyBorder="1" applyAlignment="1">
      <alignment wrapText="1" readingOrder="1"/>
    </xf>
    <xf numFmtId="43" fontId="82" fillId="0" borderId="58" xfId="0" applyNumberFormat="1" applyFont="1" applyBorder="1" applyAlignment="1">
      <alignment wrapText="1" readingOrder="1"/>
    </xf>
    <xf numFmtId="43" fontId="82" fillId="28" borderId="57" xfId="0" applyNumberFormat="1" applyFont="1" applyFill="1" applyBorder="1" applyAlignment="1">
      <alignment wrapText="1" readingOrder="1"/>
    </xf>
    <xf numFmtId="43" fontId="81" fillId="0" borderId="57" xfId="0" applyNumberFormat="1" applyFont="1" applyBorder="1" applyAlignment="1">
      <alignment wrapText="1" readingOrder="1"/>
    </xf>
    <xf numFmtId="43" fontId="81" fillId="0" borderId="58" xfId="0" applyNumberFormat="1" applyFont="1" applyBorder="1" applyAlignment="1">
      <alignment wrapText="1" readingOrder="1"/>
    </xf>
    <xf numFmtId="43" fontId="24" fillId="9" borderId="23" xfId="0" applyNumberFormat="1" applyFont="1" applyFill="1" applyBorder="1" applyAlignment="1" applyProtection="1">
      <alignment vertical="top" wrapText="1" readingOrder="1"/>
      <protection locked="0"/>
    </xf>
    <xf numFmtId="17" fontId="53" fillId="20" borderId="59" xfId="0" applyNumberFormat="1" applyFont="1" applyFill="1" applyBorder="1"/>
    <xf numFmtId="43" fontId="25" fillId="9" borderId="15" xfId="0" applyNumberFormat="1" applyFont="1" applyFill="1" applyBorder="1" applyAlignment="1" applyProtection="1">
      <alignment vertical="top" wrapText="1" readingOrder="1"/>
      <protection locked="0"/>
    </xf>
    <xf numFmtId="0" fontId="83" fillId="0" borderId="55" xfId="0" applyFont="1" applyBorder="1" applyAlignment="1">
      <alignment wrapText="1" readingOrder="1"/>
    </xf>
    <xf numFmtId="4" fontId="83" fillId="0" borderId="55" xfId="0" applyNumberFormat="1" applyFont="1" applyBorder="1" applyAlignment="1">
      <alignment wrapText="1" readingOrder="1"/>
    </xf>
    <xf numFmtId="0" fontId="83" fillId="0" borderId="57" xfId="0" applyFont="1" applyBorder="1" applyAlignment="1">
      <alignment wrapText="1" readingOrder="1"/>
    </xf>
    <xf numFmtId="4" fontId="83" fillId="0" borderId="57" xfId="0" applyNumberFormat="1" applyFont="1" applyBorder="1" applyAlignment="1">
      <alignment wrapText="1" readingOrder="1"/>
    </xf>
    <xf numFmtId="0" fontId="83" fillId="0" borderId="56" xfId="0" applyFont="1" applyBorder="1" applyAlignment="1">
      <alignment wrapText="1" readingOrder="1"/>
    </xf>
    <xf numFmtId="4" fontId="83" fillId="0" borderId="56" xfId="0" applyNumberFormat="1" applyFont="1" applyBorder="1" applyAlignment="1">
      <alignment wrapText="1" readingOrder="1"/>
    </xf>
    <xf numFmtId="0" fontId="83" fillId="0" borderId="58" xfId="0" applyFont="1" applyBorder="1" applyAlignment="1">
      <alignment wrapText="1" readingOrder="1"/>
    </xf>
    <xf numFmtId="4" fontId="83" fillId="0" borderId="58" xfId="0" applyNumberFormat="1" applyFont="1" applyBorder="1" applyAlignment="1">
      <alignment wrapText="1" readingOrder="1"/>
    </xf>
    <xf numFmtId="0" fontId="84" fillId="0" borderId="55" xfId="0" applyFont="1" applyBorder="1" applyAlignment="1">
      <alignment wrapText="1" readingOrder="1"/>
    </xf>
    <xf numFmtId="4" fontId="84" fillId="0" borderId="55" xfId="0" applyNumberFormat="1" applyFont="1" applyBorder="1" applyAlignment="1">
      <alignment wrapText="1" readingOrder="1"/>
    </xf>
    <xf numFmtId="0" fontId="84" fillId="0" borderId="57" xfId="0" applyFont="1" applyBorder="1" applyAlignment="1">
      <alignment wrapText="1" readingOrder="1"/>
    </xf>
    <xf numFmtId="4" fontId="84" fillId="0" borderId="57" xfId="0" applyNumberFormat="1" applyFont="1" applyBorder="1" applyAlignment="1">
      <alignment wrapText="1" readingOrder="1"/>
    </xf>
    <xf numFmtId="0" fontId="84" fillId="0" borderId="56" xfId="0" applyFont="1" applyBorder="1" applyAlignment="1">
      <alignment wrapText="1" readingOrder="1"/>
    </xf>
    <xf numFmtId="4" fontId="84" fillId="0" borderId="56" xfId="0" applyNumberFormat="1" applyFont="1" applyBorder="1" applyAlignment="1">
      <alignment wrapText="1" readingOrder="1"/>
    </xf>
    <xf numFmtId="0" fontId="84" fillId="0" borderId="58" xfId="0" applyFont="1" applyBorder="1" applyAlignment="1">
      <alignment wrapText="1" readingOrder="1"/>
    </xf>
    <xf numFmtId="4" fontId="84" fillId="0" borderId="58" xfId="0" applyNumberFormat="1" applyFont="1" applyBorder="1" applyAlignment="1">
      <alignment wrapText="1" readingOrder="1"/>
    </xf>
    <xf numFmtId="4" fontId="84" fillId="28" borderId="55" xfId="0" applyNumberFormat="1" applyFont="1" applyFill="1" applyBorder="1" applyAlignment="1">
      <alignment wrapText="1" readingOrder="1"/>
    </xf>
    <xf numFmtId="4" fontId="84" fillId="28" borderId="57" xfId="0" applyNumberFormat="1" applyFont="1" applyFill="1" applyBorder="1" applyAlignment="1">
      <alignment wrapText="1" readingOrder="1"/>
    </xf>
    <xf numFmtId="17" fontId="7" fillId="9" borderId="23" xfId="0" applyNumberFormat="1" applyFont="1" applyFill="1" applyBorder="1" applyAlignment="1" applyProtection="1">
      <alignment vertical="top" wrapText="1" readingOrder="1"/>
      <protection locked="0"/>
    </xf>
    <xf numFmtId="17" fontId="27" fillId="0" borderId="59" xfId="672" applyNumberFormat="1" applyFont="1" applyBorder="1"/>
    <xf numFmtId="17" fontId="7" fillId="0" borderId="23" xfId="0" applyNumberFormat="1" applyFont="1" applyBorder="1" applyAlignment="1" applyProtection="1">
      <alignment vertical="top" wrapText="1" readingOrder="1"/>
      <protection locked="0"/>
    </xf>
    <xf numFmtId="17" fontId="53" fillId="20" borderId="0" xfId="0" applyNumberFormat="1" applyFont="1" applyFill="1"/>
    <xf numFmtId="4" fontId="0" fillId="0" borderId="0" xfId="0" applyNumberFormat="1"/>
    <xf numFmtId="4" fontId="84" fillId="28" borderId="56" xfId="0" applyNumberFormat="1" applyFont="1" applyFill="1" applyBorder="1" applyAlignment="1">
      <alignment wrapText="1" readingOrder="1"/>
    </xf>
    <xf numFmtId="0" fontId="0" fillId="0" borderId="23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71" fillId="25" borderId="10" xfId="0" applyFont="1" applyFill="1" applyBorder="1" applyAlignment="1">
      <alignment horizontal="left"/>
    </xf>
    <xf numFmtId="0" fontId="71" fillId="25" borderId="6" xfId="0" applyFont="1" applyFill="1" applyBorder="1" applyAlignment="1">
      <alignment horizontal="left"/>
    </xf>
    <xf numFmtId="0" fontId="71" fillId="25" borderId="23" xfId="0" applyFont="1" applyFill="1" applyBorder="1" applyAlignment="1">
      <alignment horizontal="left"/>
    </xf>
    <xf numFmtId="0" fontId="71" fillId="25" borderId="9" xfId="0" applyFont="1" applyFill="1" applyBorder="1" applyAlignment="1">
      <alignment horizontal="left"/>
    </xf>
    <xf numFmtId="0" fontId="79" fillId="26" borderId="36" xfId="0" applyFont="1" applyFill="1" applyBorder="1" applyAlignment="1">
      <alignment horizontal="left"/>
    </xf>
    <xf numFmtId="0" fontId="79" fillId="26" borderId="37" xfId="0" applyFont="1" applyFill="1" applyBorder="1" applyAlignment="1">
      <alignment horizontal="left"/>
    </xf>
    <xf numFmtId="0" fontId="79" fillId="26" borderId="38" xfId="0" applyFont="1" applyFill="1" applyBorder="1" applyAlignment="1">
      <alignment horizontal="left"/>
    </xf>
    <xf numFmtId="0" fontId="71" fillId="0" borderId="30" xfId="0" applyFont="1" applyBorder="1" applyAlignment="1">
      <alignment horizontal="center" wrapText="1"/>
    </xf>
    <xf numFmtId="0" fontId="71" fillId="0" borderId="31" xfId="0" applyFont="1" applyBorder="1" applyAlignment="1">
      <alignment horizontal="center" wrapText="1"/>
    </xf>
    <xf numFmtId="0" fontId="53" fillId="0" borderId="14" xfId="0" applyFont="1" applyBorder="1" applyAlignment="1">
      <alignment horizontal="center"/>
    </xf>
    <xf numFmtId="0" fontId="53" fillId="0" borderId="32" xfId="0" applyFont="1" applyBorder="1" applyAlignment="1">
      <alignment horizontal="center"/>
    </xf>
    <xf numFmtId="0" fontId="53" fillId="0" borderId="7" xfId="0" applyFont="1" applyBorder="1" applyAlignment="1" applyProtection="1">
      <alignment horizontal="center"/>
      <protection locked="0"/>
    </xf>
    <xf numFmtId="0" fontId="53" fillId="0" borderId="8" xfId="0" applyFont="1" applyBorder="1" applyAlignment="1" applyProtection="1">
      <alignment horizontal="center"/>
      <protection locked="0"/>
    </xf>
    <xf numFmtId="0" fontId="53" fillId="0" borderId="33" xfId="0" applyFont="1" applyBorder="1" applyAlignment="1" applyProtection="1">
      <alignment horizontal="center"/>
      <protection locked="0"/>
    </xf>
    <xf numFmtId="0" fontId="53" fillId="0" borderId="34" xfId="0" applyFont="1" applyBorder="1" applyAlignment="1" applyProtection="1">
      <alignment horizontal="center"/>
      <protection locked="0"/>
    </xf>
    <xf numFmtId="0" fontId="53" fillId="0" borderId="10" xfId="0" applyFont="1" applyBorder="1" applyAlignment="1" applyProtection="1">
      <alignment horizontal="center"/>
      <protection locked="0"/>
    </xf>
    <xf numFmtId="0" fontId="53" fillId="0" borderId="6" xfId="0" applyFont="1" applyBorder="1" applyAlignment="1" applyProtection="1">
      <alignment horizontal="center"/>
      <protection locked="0"/>
    </xf>
    <xf numFmtId="0" fontId="53" fillId="0" borderId="23" xfId="0" applyFont="1" applyBorder="1" applyAlignment="1" applyProtection="1">
      <alignment horizontal="center"/>
      <protection locked="0"/>
    </xf>
    <xf numFmtId="0" fontId="53" fillId="0" borderId="9" xfId="0" applyFont="1" applyBorder="1" applyAlignment="1" applyProtection="1">
      <alignment horizontal="center"/>
      <protection locked="0"/>
    </xf>
    <xf numFmtId="0" fontId="53" fillId="0" borderId="15" xfId="0" applyFont="1" applyBorder="1" applyAlignment="1" applyProtection="1">
      <alignment horizontal="center"/>
      <protection locked="0"/>
    </xf>
    <xf numFmtId="0" fontId="53" fillId="0" borderId="35" xfId="0" applyFont="1" applyBorder="1" applyAlignment="1" applyProtection="1">
      <alignment horizontal="center"/>
      <protection locked="0"/>
    </xf>
    <xf numFmtId="17" fontId="53" fillId="0" borderId="30" xfId="0" applyNumberFormat="1" applyFont="1" applyBorder="1" applyAlignment="1" applyProtection="1">
      <alignment horizontal="center" wrapText="1"/>
      <protection locked="0"/>
    </xf>
    <xf numFmtId="17" fontId="53" fillId="0" borderId="31" xfId="0" applyNumberFormat="1" applyFont="1" applyBorder="1" applyAlignment="1" applyProtection="1">
      <alignment horizontal="center" wrapText="1"/>
      <protection locked="0"/>
    </xf>
    <xf numFmtId="0" fontId="43" fillId="9" borderId="29" xfId="0" applyFont="1" applyFill="1" applyBorder="1" applyAlignment="1" applyProtection="1">
      <alignment vertical="top" wrapText="1" readingOrder="1"/>
      <protection locked="0"/>
    </xf>
    <xf numFmtId="0" fontId="0" fillId="0" borderId="39" xfId="0" applyBorder="1" applyAlignment="1" applyProtection="1">
      <alignment vertical="top" wrapText="1"/>
      <protection locked="0"/>
    </xf>
    <xf numFmtId="165" fontId="40" fillId="0" borderId="29" xfId="0" applyNumberFormat="1" applyFont="1" applyBorder="1" applyAlignment="1" applyProtection="1">
      <alignment vertical="top" wrapText="1" readingOrder="1"/>
      <protection locked="0"/>
    </xf>
    <xf numFmtId="0" fontId="58" fillId="0" borderId="10" xfId="494" applyFont="1" applyBorder="1" applyAlignment="1">
      <alignment horizontal="left" vertical="top"/>
    </xf>
    <xf numFmtId="0" fontId="58" fillId="0" borderId="10" xfId="494" applyFont="1" applyBorder="1" applyAlignment="1">
      <alignment horizontal="left" vertical="top" wrapText="1"/>
    </xf>
    <xf numFmtId="0" fontId="75" fillId="0" borderId="10" xfId="0" applyFont="1" applyBorder="1" applyAlignment="1">
      <alignment horizontal="center" vertical="top" wrapText="1"/>
    </xf>
    <xf numFmtId="0" fontId="80" fillId="0" borderId="0" xfId="0" applyFont="1" applyAlignment="1">
      <alignment horizontal="center"/>
    </xf>
    <xf numFmtId="0" fontId="75" fillId="0" borderId="10" xfId="0" applyFont="1" applyBorder="1" applyAlignment="1">
      <alignment horizontal="center" vertical="top"/>
    </xf>
    <xf numFmtId="0" fontId="54" fillId="0" borderId="0" xfId="0" applyFont="1" applyAlignment="1">
      <alignment horizontal="center"/>
    </xf>
    <xf numFmtId="0" fontId="0" fillId="0" borderId="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53" fillId="0" borderId="14" xfId="0" applyFont="1" applyBorder="1" applyAlignment="1">
      <alignment horizontal="center" wrapText="1"/>
    </xf>
    <xf numFmtId="0" fontId="53" fillId="0" borderId="32" xfId="0" applyFont="1" applyBorder="1" applyAlignment="1">
      <alignment horizontal="center" wrapText="1"/>
    </xf>
    <xf numFmtId="0" fontId="27" fillId="0" borderId="40" xfId="672" applyFont="1" applyBorder="1" applyAlignment="1">
      <alignment horizontal="center"/>
    </xf>
    <xf numFmtId="0" fontId="83" fillId="0" borderId="55" xfId="0" applyFont="1" applyFill="1" applyBorder="1" applyAlignment="1">
      <alignment wrapText="1" readingOrder="1"/>
    </xf>
    <xf numFmtId="4" fontId="83" fillId="0" borderId="55" xfId="0" applyNumberFormat="1" applyFont="1" applyFill="1" applyBorder="1" applyAlignment="1">
      <alignment wrapText="1" readingOrder="1"/>
    </xf>
    <xf numFmtId="0" fontId="83" fillId="0" borderId="57" xfId="0" applyFont="1" applyFill="1" applyBorder="1" applyAlignment="1">
      <alignment wrapText="1" readingOrder="1"/>
    </xf>
    <xf numFmtId="4" fontId="83" fillId="0" borderId="57" xfId="0" applyNumberFormat="1" applyFont="1" applyFill="1" applyBorder="1" applyAlignment="1">
      <alignment wrapText="1" readingOrder="1"/>
    </xf>
    <xf numFmtId="0" fontId="83" fillId="0" borderId="56" xfId="0" applyFont="1" applyFill="1" applyBorder="1" applyAlignment="1">
      <alignment wrapText="1" readingOrder="1"/>
    </xf>
    <xf numFmtId="4" fontId="83" fillId="0" borderId="56" xfId="0" applyNumberFormat="1" applyFont="1" applyFill="1" applyBorder="1" applyAlignment="1">
      <alignment wrapText="1" readingOrder="1"/>
    </xf>
    <xf numFmtId="0" fontId="83" fillId="0" borderId="58" xfId="0" applyFont="1" applyFill="1" applyBorder="1" applyAlignment="1">
      <alignment wrapText="1" readingOrder="1"/>
    </xf>
    <xf numFmtId="4" fontId="83" fillId="0" borderId="58" xfId="0" applyNumberFormat="1" applyFont="1" applyFill="1" applyBorder="1" applyAlignment="1">
      <alignment wrapText="1" readingOrder="1"/>
    </xf>
    <xf numFmtId="0" fontId="84" fillId="0" borderId="55" xfId="0" applyFont="1" applyFill="1" applyBorder="1" applyAlignment="1">
      <alignment wrapText="1" readingOrder="1"/>
    </xf>
    <xf numFmtId="4" fontId="84" fillId="0" borderId="55" xfId="0" applyNumberFormat="1" applyFont="1" applyFill="1" applyBorder="1" applyAlignment="1">
      <alignment wrapText="1" readingOrder="1"/>
    </xf>
    <xf numFmtId="0" fontId="84" fillId="0" borderId="57" xfId="0" applyFont="1" applyFill="1" applyBorder="1" applyAlignment="1">
      <alignment wrapText="1" readingOrder="1"/>
    </xf>
    <xf numFmtId="4" fontId="84" fillId="0" borderId="57" xfId="0" applyNumberFormat="1" applyFont="1" applyFill="1" applyBorder="1" applyAlignment="1">
      <alignment wrapText="1" readingOrder="1"/>
    </xf>
    <xf numFmtId="0" fontId="84" fillId="0" borderId="56" xfId="0" applyFont="1" applyFill="1" applyBorder="1" applyAlignment="1">
      <alignment wrapText="1" readingOrder="1"/>
    </xf>
    <xf numFmtId="4" fontId="84" fillId="0" borderId="56" xfId="0" applyNumberFormat="1" applyFont="1" applyFill="1" applyBorder="1" applyAlignment="1">
      <alignment wrapText="1" readingOrder="1"/>
    </xf>
    <xf numFmtId="0" fontId="84" fillId="0" borderId="58" xfId="0" applyFont="1" applyFill="1" applyBorder="1" applyAlignment="1">
      <alignment wrapText="1" readingOrder="1"/>
    </xf>
    <xf numFmtId="4" fontId="84" fillId="0" borderId="58" xfId="0" applyNumberFormat="1" applyFont="1" applyFill="1" applyBorder="1" applyAlignment="1">
      <alignment wrapText="1" readingOrder="1"/>
    </xf>
    <xf numFmtId="4" fontId="84" fillId="28" borderId="58" xfId="0" applyNumberFormat="1" applyFont="1" applyFill="1" applyBorder="1" applyAlignment="1">
      <alignment wrapText="1" readingOrder="1"/>
    </xf>
  </cellXfs>
  <cellStyles count="72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 2" xfId="491" xr:uid="{00000000-0005-0000-0000-0000EA010000}"/>
    <cellStyle name="Input 2 2" xfId="492" xr:uid="{00000000-0005-0000-0000-0000EB010000}"/>
    <cellStyle name="Jun" xfId="493" xr:uid="{00000000-0005-0000-0000-0000EC010000}"/>
    <cellStyle name="Normal" xfId="0" builtinId="0"/>
    <cellStyle name="Normal 10" xfId="494" xr:uid="{00000000-0005-0000-0000-0000EE010000}"/>
    <cellStyle name="Normal 10 2" xfId="495" xr:uid="{00000000-0005-0000-0000-0000EF010000}"/>
    <cellStyle name="Normal 10 2 2" xfId="496" xr:uid="{00000000-0005-0000-0000-0000F0010000}"/>
    <cellStyle name="Normal 10 3" xfId="497" xr:uid="{00000000-0005-0000-0000-0000F1010000}"/>
    <cellStyle name="Normal 10 4" xfId="498" xr:uid="{00000000-0005-0000-0000-0000F2010000}"/>
    <cellStyle name="Normal 10 5" xfId="499" xr:uid="{00000000-0005-0000-0000-0000F3010000}"/>
    <cellStyle name="Normal 11" xfId="500" xr:uid="{00000000-0005-0000-0000-0000F4010000}"/>
    <cellStyle name="Normal 12" xfId="501" xr:uid="{00000000-0005-0000-0000-0000F5010000}"/>
    <cellStyle name="Normal 12 2" xfId="502" xr:uid="{00000000-0005-0000-0000-0000F6010000}"/>
    <cellStyle name="Normal 12 3" xfId="503" xr:uid="{00000000-0005-0000-0000-0000F7010000}"/>
    <cellStyle name="Normal 12 4" xfId="504" xr:uid="{00000000-0005-0000-0000-0000F8010000}"/>
    <cellStyle name="Normal 12 5" xfId="505" xr:uid="{00000000-0005-0000-0000-0000F9010000}"/>
    <cellStyle name="Normal 13" xfId="506" xr:uid="{00000000-0005-0000-0000-0000FA010000}"/>
    <cellStyle name="Normal 13 2" xfId="507" xr:uid="{00000000-0005-0000-0000-0000FB010000}"/>
    <cellStyle name="Normal 13 3" xfId="508" xr:uid="{00000000-0005-0000-0000-0000FC010000}"/>
    <cellStyle name="Normal 13 4" xfId="509" xr:uid="{00000000-0005-0000-0000-0000FD010000}"/>
    <cellStyle name="Normal 13 5" xfId="510" xr:uid="{00000000-0005-0000-0000-0000FE010000}"/>
    <cellStyle name="Normal 14" xfId="511" xr:uid="{00000000-0005-0000-0000-0000FF010000}"/>
    <cellStyle name="Normal 14 10" xfId="512" xr:uid="{00000000-0005-0000-0000-000000020000}"/>
    <cellStyle name="Normal 14 11" xfId="513" xr:uid="{00000000-0005-0000-0000-000001020000}"/>
    <cellStyle name="Normal 14 12" xfId="514" xr:uid="{00000000-0005-0000-0000-000002020000}"/>
    <cellStyle name="Normal 14 2" xfId="515" xr:uid="{00000000-0005-0000-0000-000003020000}"/>
    <cellStyle name="Normal 14 3" xfId="516" xr:uid="{00000000-0005-0000-0000-000004020000}"/>
    <cellStyle name="Normal 14 4" xfId="517" xr:uid="{00000000-0005-0000-0000-000005020000}"/>
    <cellStyle name="Normal 14 5" xfId="518" xr:uid="{00000000-0005-0000-0000-000006020000}"/>
    <cellStyle name="Normal 14 6" xfId="519" xr:uid="{00000000-0005-0000-0000-000007020000}"/>
    <cellStyle name="Normal 14 7" xfId="520" xr:uid="{00000000-0005-0000-0000-000008020000}"/>
    <cellStyle name="Normal 14 8" xfId="521" xr:uid="{00000000-0005-0000-0000-000009020000}"/>
    <cellStyle name="Normal 14 9" xfId="522" xr:uid="{00000000-0005-0000-0000-00000A020000}"/>
    <cellStyle name="Normal 15" xfId="523" xr:uid="{00000000-0005-0000-0000-00000B020000}"/>
    <cellStyle name="Normal 15 2" xfId="524" xr:uid="{00000000-0005-0000-0000-00000C020000}"/>
    <cellStyle name="Normal 16" xfId="525" xr:uid="{00000000-0005-0000-0000-00000D020000}"/>
    <cellStyle name="Normal 17" xfId="526" xr:uid="{00000000-0005-0000-0000-00000E020000}"/>
    <cellStyle name="Normal 17 2" xfId="527" xr:uid="{00000000-0005-0000-0000-00000F020000}"/>
    <cellStyle name="Normal 17 2 2" xfId="528" xr:uid="{00000000-0005-0000-0000-000010020000}"/>
    <cellStyle name="Normal 17 3" xfId="529" xr:uid="{00000000-0005-0000-0000-000011020000}"/>
    <cellStyle name="Normal 17 3 2" xfId="530" xr:uid="{00000000-0005-0000-0000-000012020000}"/>
    <cellStyle name="Normal 17 4" xfId="531" xr:uid="{00000000-0005-0000-0000-000013020000}"/>
    <cellStyle name="Normal 17 4 2" xfId="532" xr:uid="{00000000-0005-0000-0000-000014020000}"/>
    <cellStyle name="Normal 17 5" xfId="533" xr:uid="{00000000-0005-0000-0000-000015020000}"/>
    <cellStyle name="Normal 17 5 2" xfId="534" xr:uid="{00000000-0005-0000-0000-000016020000}"/>
    <cellStyle name="Normal 17 6" xfId="535" xr:uid="{00000000-0005-0000-0000-000017020000}"/>
    <cellStyle name="Normal 18" xfId="536" xr:uid="{00000000-0005-0000-0000-000018020000}"/>
    <cellStyle name="Normal 18 2" xfId="537" xr:uid="{00000000-0005-0000-0000-000019020000}"/>
    <cellStyle name="Normal 19" xfId="538" xr:uid="{00000000-0005-0000-0000-00001A020000}"/>
    <cellStyle name="Normal 19 2" xfId="539" xr:uid="{00000000-0005-0000-0000-00001B020000}"/>
    <cellStyle name="Normal 2" xfId="540" xr:uid="{00000000-0005-0000-0000-00001C020000}"/>
    <cellStyle name="Normal 2 10" xfId="541" xr:uid="{00000000-0005-0000-0000-00001D020000}"/>
    <cellStyle name="Normal 2 11" xfId="542" xr:uid="{00000000-0005-0000-0000-00001E020000}"/>
    <cellStyle name="Normal 2 12" xfId="543" xr:uid="{00000000-0005-0000-0000-00001F020000}"/>
    <cellStyle name="Normal 2 13" xfId="544" xr:uid="{00000000-0005-0000-0000-000020020000}"/>
    <cellStyle name="Normal 2 14" xfId="545" xr:uid="{00000000-0005-0000-0000-000021020000}"/>
    <cellStyle name="Normal 2 15" xfId="546" xr:uid="{00000000-0005-0000-0000-000022020000}"/>
    <cellStyle name="Normal 2 16" xfId="547" xr:uid="{00000000-0005-0000-0000-000023020000}"/>
    <cellStyle name="Normal 2 17" xfId="548" xr:uid="{00000000-0005-0000-0000-000024020000}"/>
    <cellStyle name="Normal 2 18" xfId="549" xr:uid="{00000000-0005-0000-0000-000025020000}"/>
    <cellStyle name="Normal 2 19" xfId="550" xr:uid="{00000000-0005-0000-0000-000026020000}"/>
    <cellStyle name="Normal 2 2" xfId="551" xr:uid="{00000000-0005-0000-0000-000027020000}"/>
    <cellStyle name="Normal 2 2 2" xfId="552" xr:uid="{00000000-0005-0000-0000-000028020000}"/>
    <cellStyle name="Normal 2 20" xfId="553" xr:uid="{00000000-0005-0000-0000-000029020000}"/>
    <cellStyle name="Normal 2 21" xfId="554" xr:uid="{00000000-0005-0000-0000-00002A020000}"/>
    <cellStyle name="Normal 2 3" xfId="555" xr:uid="{00000000-0005-0000-0000-00002B020000}"/>
    <cellStyle name="Normal 2 4" xfId="556" xr:uid="{00000000-0005-0000-0000-00002C020000}"/>
    <cellStyle name="Normal 2 5" xfId="557" xr:uid="{00000000-0005-0000-0000-00002D020000}"/>
    <cellStyle name="Normal 2 6" xfId="558" xr:uid="{00000000-0005-0000-0000-00002E020000}"/>
    <cellStyle name="Normal 2 7" xfId="559" xr:uid="{00000000-0005-0000-0000-00002F020000}"/>
    <cellStyle name="Normal 2 8" xfId="560" xr:uid="{00000000-0005-0000-0000-000030020000}"/>
    <cellStyle name="Normal 2 9" xfId="561" xr:uid="{00000000-0005-0000-0000-000031020000}"/>
    <cellStyle name="Normal 2_deposits mobilized" xfId="562" xr:uid="{00000000-0005-0000-0000-000032020000}"/>
    <cellStyle name="Normal 20" xfId="563" xr:uid="{00000000-0005-0000-0000-000033020000}"/>
    <cellStyle name="Normal 21" xfId="564" xr:uid="{00000000-0005-0000-0000-000034020000}"/>
    <cellStyle name="Normal 21 10" xfId="565" xr:uid="{00000000-0005-0000-0000-000035020000}"/>
    <cellStyle name="Normal 21 11" xfId="566" xr:uid="{00000000-0005-0000-0000-000036020000}"/>
    <cellStyle name="Normal 21 12" xfId="567" xr:uid="{00000000-0005-0000-0000-000037020000}"/>
    <cellStyle name="Normal 21 13" xfId="568" xr:uid="{00000000-0005-0000-0000-000038020000}"/>
    <cellStyle name="Normal 21 14" xfId="569" xr:uid="{00000000-0005-0000-0000-000039020000}"/>
    <cellStyle name="Normal 21 15" xfId="570" xr:uid="{00000000-0005-0000-0000-00003A020000}"/>
    <cellStyle name="Normal 21 16" xfId="571" xr:uid="{00000000-0005-0000-0000-00003B020000}"/>
    <cellStyle name="Normal 21 2" xfId="572" xr:uid="{00000000-0005-0000-0000-00003C020000}"/>
    <cellStyle name="Normal 21 3" xfId="573" xr:uid="{00000000-0005-0000-0000-00003D020000}"/>
    <cellStyle name="Normal 21 4" xfId="574" xr:uid="{00000000-0005-0000-0000-00003E020000}"/>
    <cellStyle name="Normal 21 5" xfId="575" xr:uid="{00000000-0005-0000-0000-00003F020000}"/>
    <cellStyle name="Normal 21 6" xfId="576" xr:uid="{00000000-0005-0000-0000-000040020000}"/>
    <cellStyle name="Normal 21 7" xfId="577" xr:uid="{00000000-0005-0000-0000-000041020000}"/>
    <cellStyle name="Normal 21 8" xfId="578" xr:uid="{00000000-0005-0000-0000-000042020000}"/>
    <cellStyle name="Normal 21 9" xfId="579" xr:uid="{00000000-0005-0000-0000-000043020000}"/>
    <cellStyle name="Normal 22" xfId="580" xr:uid="{00000000-0005-0000-0000-000044020000}"/>
    <cellStyle name="Normal 23" xfId="581" xr:uid="{00000000-0005-0000-0000-000045020000}"/>
    <cellStyle name="Normal 24" xfId="582" xr:uid="{00000000-0005-0000-0000-000046020000}"/>
    <cellStyle name="Normal 25" xfId="583" xr:uid="{00000000-0005-0000-0000-000047020000}"/>
    <cellStyle name="Normal 26" xfId="584" xr:uid="{00000000-0005-0000-0000-000048020000}"/>
    <cellStyle name="Normal 27" xfId="585" xr:uid="{00000000-0005-0000-0000-000049020000}"/>
    <cellStyle name="Normal 28" xfId="586" xr:uid="{00000000-0005-0000-0000-00004A020000}"/>
    <cellStyle name="Normal 29" xfId="587" xr:uid="{00000000-0005-0000-0000-00004B020000}"/>
    <cellStyle name="Normal 3" xfId="588" xr:uid="{00000000-0005-0000-0000-00004C020000}"/>
    <cellStyle name="Normal 3 10" xfId="589" xr:uid="{00000000-0005-0000-0000-00004D020000}"/>
    <cellStyle name="Normal 3 11" xfId="590" xr:uid="{00000000-0005-0000-0000-00004E020000}"/>
    <cellStyle name="Normal 3 12" xfId="591" xr:uid="{00000000-0005-0000-0000-00004F020000}"/>
    <cellStyle name="Normal 3 13" xfId="592" xr:uid="{00000000-0005-0000-0000-000050020000}"/>
    <cellStyle name="Normal 3 14" xfId="593" xr:uid="{00000000-0005-0000-0000-000051020000}"/>
    <cellStyle name="Normal 3 15" xfId="594" xr:uid="{00000000-0005-0000-0000-000052020000}"/>
    <cellStyle name="Normal 3 16" xfId="595" xr:uid="{00000000-0005-0000-0000-000053020000}"/>
    <cellStyle name="Normal 3 17" xfId="596" xr:uid="{00000000-0005-0000-0000-000054020000}"/>
    <cellStyle name="Normal 3 18" xfId="597" xr:uid="{00000000-0005-0000-0000-000055020000}"/>
    <cellStyle name="Normal 3 19" xfId="598" xr:uid="{00000000-0005-0000-0000-000056020000}"/>
    <cellStyle name="Normal 3 2" xfId="599" xr:uid="{00000000-0005-0000-0000-000057020000}"/>
    <cellStyle name="Normal 3 20" xfId="600" xr:uid="{00000000-0005-0000-0000-000058020000}"/>
    <cellStyle name="Normal 3 21" xfId="601" xr:uid="{00000000-0005-0000-0000-000059020000}"/>
    <cellStyle name="Normal 3 22" xfId="602" xr:uid="{00000000-0005-0000-0000-00005A020000}"/>
    <cellStyle name="Normal 3 23" xfId="603" xr:uid="{00000000-0005-0000-0000-00005B020000}"/>
    <cellStyle name="Normal 3 24" xfId="604" xr:uid="{00000000-0005-0000-0000-00005C020000}"/>
    <cellStyle name="Normal 3 25" xfId="605" xr:uid="{00000000-0005-0000-0000-00005D020000}"/>
    <cellStyle name="Normal 3 26" xfId="606" xr:uid="{00000000-0005-0000-0000-00005E020000}"/>
    <cellStyle name="Normal 3 27" xfId="607" xr:uid="{00000000-0005-0000-0000-00005F020000}"/>
    <cellStyle name="Normal 3 28" xfId="608" xr:uid="{00000000-0005-0000-0000-000060020000}"/>
    <cellStyle name="Normal 3 29" xfId="609" xr:uid="{00000000-0005-0000-0000-000061020000}"/>
    <cellStyle name="Normal 3 3" xfId="610" xr:uid="{00000000-0005-0000-0000-000062020000}"/>
    <cellStyle name="Normal 3 30" xfId="611" xr:uid="{00000000-0005-0000-0000-000063020000}"/>
    <cellStyle name="Normal 3 4" xfId="612" xr:uid="{00000000-0005-0000-0000-000064020000}"/>
    <cellStyle name="Normal 3 5" xfId="613" xr:uid="{00000000-0005-0000-0000-000065020000}"/>
    <cellStyle name="Normal 3 6" xfId="614" xr:uid="{00000000-0005-0000-0000-000066020000}"/>
    <cellStyle name="Normal 3 7" xfId="615" xr:uid="{00000000-0005-0000-0000-000067020000}"/>
    <cellStyle name="Normal 3 8" xfId="616" xr:uid="{00000000-0005-0000-0000-000068020000}"/>
    <cellStyle name="Normal 3 9" xfId="617" xr:uid="{00000000-0005-0000-0000-000069020000}"/>
    <cellStyle name="Normal 3_deposits mobilized" xfId="618" xr:uid="{00000000-0005-0000-0000-00006A020000}"/>
    <cellStyle name="Normal 30" xfId="619" xr:uid="{00000000-0005-0000-0000-00006B020000}"/>
    <cellStyle name="Normal 31" xfId="620" xr:uid="{00000000-0005-0000-0000-00006C020000}"/>
    <cellStyle name="Normal 34" xfId="621" xr:uid="{00000000-0005-0000-0000-00006D020000}"/>
    <cellStyle name="Normal 4" xfId="622" xr:uid="{00000000-0005-0000-0000-00006E020000}"/>
    <cellStyle name="Normal 4 10" xfId="623" xr:uid="{00000000-0005-0000-0000-00006F020000}"/>
    <cellStyle name="Normal 4 11" xfId="624" xr:uid="{00000000-0005-0000-0000-000070020000}"/>
    <cellStyle name="Normal 4 12" xfId="625" xr:uid="{00000000-0005-0000-0000-000071020000}"/>
    <cellStyle name="Normal 4 13" xfId="626" xr:uid="{00000000-0005-0000-0000-000072020000}"/>
    <cellStyle name="Normal 4 14" xfId="627" xr:uid="{00000000-0005-0000-0000-000073020000}"/>
    <cellStyle name="Normal 4 15" xfId="628" xr:uid="{00000000-0005-0000-0000-000074020000}"/>
    <cellStyle name="Normal 4 16" xfId="629" xr:uid="{00000000-0005-0000-0000-000075020000}"/>
    <cellStyle name="Normal 4 17" xfId="630" xr:uid="{00000000-0005-0000-0000-000076020000}"/>
    <cellStyle name="Normal 4 18" xfId="631" xr:uid="{00000000-0005-0000-0000-000077020000}"/>
    <cellStyle name="Normal 4 19" xfId="632" xr:uid="{00000000-0005-0000-0000-000078020000}"/>
    <cellStyle name="Normal 4 2" xfId="633" xr:uid="{00000000-0005-0000-0000-000079020000}"/>
    <cellStyle name="Normal 4 20" xfId="634" xr:uid="{00000000-0005-0000-0000-00007A020000}"/>
    <cellStyle name="Normal 4 21" xfId="635" xr:uid="{00000000-0005-0000-0000-00007B020000}"/>
    <cellStyle name="Normal 4 22" xfId="636" xr:uid="{00000000-0005-0000-0000-00007C020000}"/>
    <cellStyle name="Normal 4 23" xfId="637" xr:uid="{00000000-0005-0000-0000-00007D020000}"/>
    <cellStyle name="Normal 4 24" xfId="638" xr:uid="{00000000-0005-0000-0000-00007E020000}"/>
    <cellStyle name="Normal 4 25" xfId="639" xr:uid="{00000000-0005-0000-0000-00007F020000}"/>
    <cellStyle name="Normal 4 26" xfId="640" xr:uid="{00000000-0005-0000-0000-000080020000}"/>
    <cellStyle name="Normal 4 27" xfId="641" xr:uid="{00000000-0005-0000-0000-000081020000}"/>
    <cellStyle name="Normal 4 28" xfId="642" xr:uid="{00000000-0005-0000-0000-000082020000}"/>
    <cellStyle name="Normal 4 29" xfId="643" xr:uid="{00000000-0005-0000-0000-000083020000}"/>
    <cellStyle name="Normal 4 3" xfId="644" xr:uid="{00000000-0005-0000-0000-000084020000}"/>
    <cellStyle name="Normal 4 30" xfId="645" xr:uid="{00000000-0005-0000-0000-000085020000}"/>
    <cellStyle name="Normal 4 4" xfId="646" xr:uid="{00000000-0005-0000-0000-000086020000}"/>
    <cellStyle name="Normal 4 5" xfId="647" xr:uid="{00000000-0005-0000-0000-000087020000}"/>
    <cellStyle name="Normal 4 6" xfId="648" xr:uid="{00000000-0005-0000-0000-000088020000}"/>
    <cellStyle name="Normal 4 7" xfId="649" xr:uid="{00000000-0005-0000-0000-000089020000}"/>
    <cellStyle name="Normal 4 8" xfId="650" xr:uid="{00000000-0005-0000-0000-00008A020000}"/>
    <cellStyle name="Normal 4 9" xfId="651" xr:uid="{00000000-0005-0000-0000-00008B020000}"/>
    <cellStyle name="Normal 5" xfId="652" xr:uid="{00000000-0005-0000-0000-00008C020000}"/>
    <cellStyle name="Normal 5 10" xfId="653" xr:uid="{00000000-0005-0000-0000-00008D020000}"/>
    <cellStyle name="Normal 5 11" xfId="654" xr:uid="{00000000-0005-0000-0000-00008E020000}"/>
    <cellStyle name="Normal 5 12" xfId="655" xr:uid="{00000000-0005-0000-0000-00008F020000}"/>
    <cellStyle name="Normal 5 13" xfId="656" xr:uid="{00000000-0005-0000-0000-000090020000}"/>
    <cellStyle name="Normal 5 14" xfId="657" xr:uid="{00000000-0005-0000-0000-000091020000}"/>
    <cellStyle name="Normal 5 15" xfId="658" xr:uid="{00000000-0005-0000-0000-000092020000}"/>
    <cellStyle name="Normal 5 2" xfId="659" xr:uid="{00000000-0005-0000-0000-000093020000}"/>
    <cellStyle name="Normal 5 3" xfId="660" xr:uid="{00000000-0005-0000-0000-000094020000}"/>
    <cellStyle name="Normal 5 4" xfId="661" xr:uid="{00000000-0005-0000-0000-000095020000}"/>
    <cellStyle name="Normal 5 5" xfId="662" xr:uid="{00000000-0005-0000-0000-000096020000}"/>
    <cellStyle name="Normal 5 6" xfId="663" xr:uid="{00000000-0005-0000-0000-000097020000}"/>
    <cellStyle name="Normal 5 7" xfId="664" xr:uid="{00000000-0005-0000-0000-000098020000}"/>
    <cellStyle name="Normal 5 8" xfId="665" xr:uid="{00000000-0005-0000-0000-000099020000}"/>
    <cellStyle name="Normal 5 9" xfId="666" xr:uid="{00000000-0005-0000-0000-00009A020000}"/>
    <cellStyle name="Normal 6" xfId="667" xr:uid="{00000000-0005-0000-0000-00009B020000}"/>
    <cellStyle name="Normal 6 2" xfId="668" xr:uid="{00000000-0005-0000-0000-00009C020000}"/>
    <cellStyle name="Normal 6 3" xfId="669" xr:uid="{00000000-0005-0000-0000-00009D020000}"/>
    <cellStyle name="Normal 6 4" xfId="670" xr:uid="{00000000-0005-0000-0000-00009E020000}"/>
    <cellStyle name="Normal 6 5" xfId="671" xr:uid="{00000000-0005-0000-0000-00009F020000}"/>
    <cellStyle name="Normal 7" xfId="672" xr:uid="{00000000-0005-0000-0000-0000A0020000}"/>
    <cellStyle name="Normal 7 2" xfId="673" xr:uid="{00000000-0005-0000-0000-0000A1020000}"/>
    <cellStyle name="Normal 7 3" xfId="674" xr:uid="{00000000-0005-0000-0000-0000A2020000}"/>
    <cellStyle name="Normal 7 4" xfId="675" xr:uid="{00000000-0005-0000-0000-0000A3020000}"/>
    <cellStyle name="Normal 7 5" xfId="676" xr:uid="{00000000-0005-0000-0000-0000A4020000}"/>
    <cellStyle name="Normal 7 6" xfId="677" xr:uid="{00000000-0005-0000-0000-0000A5020000}"/>
    <cellStyle name="Normal 8" xfId="678" xr:uid="{00000000-0005-0000-0000-0000A6020000}"/>
    <cellStyle name="Normal 85" xfId="679" xr:uid="{00000000-0005-0000-0000-0000A7020000}"/>
    <cellStyle name="Normal 9" xfId="680" xr:uid="{00000000-0005-0000-0000-0000A8020000}"/>
    <cellStyle name="Normal 9 10" xfId="681" xr:uid="{00000000-0005-0000-0000-0000A9020000}"/>
    <cellStyle name="Normal 9 10 2" xfId="682" xr:uid="{00000000-0005-0000-0000-0000AA020000}"/>
    <cellStyle name="Normal 9 11" xfId="683" xr:uid="{00000000-0005-0000-0000-0000AB020000}"/>
    <cellStyle name="Normal 9 11 2" xfId="684" xr:uid="{00000000-0005-0000-0000-0000AC020000}"/>
    <cellStyle name="Normal 9 12" xfId="685" xr:uid="{00000000-0005-0000-0000-0000AD020000}"/>
    <cellStyle name="Normal 9 12 2" xfId="686" xr:uid="{00000000-0005-0000-0000-0000AE020000}"/>
    <cellStyle name="Normal 9 13" xfId="687" xr:uid="{00000000-0005-0000-0000-0000AF020000}"/>
    <cellStyle name="Normal 9 14" xfId="688" xr:uid="{00000000-0005-0000-0000-0000B0020000}"/>
    <cellStyle name="Normal 9 15" xfId="689" xr:uid="{00000000-0005-0000-0000-0000B1020000}"/>
    <cellStyle name="Normal 9 2" xfId="690" xr:uid="{00000000-0005-0000-0000-0000B2020000}"/>
    <cellStyle name="Normal 9 2 2" xfId="691" xr:uid="{00000000-0005-0000-0000-0000B3020000}"/>
    <cellStyle name="Normal 9 2 2 2" xfId="692" xr:uid="{00000000-0005-0000-0000-0000B4020000}"/>
    <cellStyle name="Normal 9 2 3" xfId="693" xr:uid="{00000000-0005-0000-0000-0000B5020000}"/>
    <cellStyle name="Normal 9 2 3 2" xfId="694" xr:uid="{00000000-0005-0000-0000-0000B6020000}"/>
    <cellStyle name="Normal 9 2 4" xfId="695" xr:uid="{00000000-0005-0000-0000-0000B7020000}"/>
    <cellStyle name="Normal 9 2 4 2" xfId="696" xr:uid="{00000000-0005-0000-0000-0000B8020000}"/>
    <cellStyle name="Normal 9 3" xfId="697" xr:uid="{00000000-0005-0000-0000-0000B9020000}"/>
    <cellStyle name="Normal 9 3 2" xfId="698" xr:uid="{00000000-0005-0000-0000-0000BA020000}"/>
    <cellStyle name="Normal 9 4" xfId="699" xr:uid="{00000000-0005-0000-0000-0000BB020000}"/>
    <cellStyle name="Normal 9 4 2" xfId="700" xr:uid="{00000000-0005-0000-0000-0000BC020000}"/>
    <cellStyle name="Normal 9 5" xfId="701" xr:uid="{00000000-0005-0000-0000-0000BD020000}"/>
    <cellStyle name="Normal 9 5 2" xfId="702" xr:uid="{00000000-0005-0000-0000-0000BE020000}"/>
    <cellStyle name="Normal 9 6" xfId="703" xr:uid="{00000000-0005-0000-0000-0000BF020000}"/>
    <cellStyle name="Normal 9 6 2" xfId="704" xr:uid="{00000000-0005-0000-0000-0000C0020000}"/>
    <cellStyle name="Normal 9 7" xfId="705" xr:uid="{00000000-0005-0000-0000-0000C1020000}"/>
    <cellStyle name="Normal 9 7 2" xfId="706" xr:uid="{00000000-0005-0000-0000-0000C2020000}"/>
    <cellStyle name="Normal 9 8" xfId="707" xr:uid="{00000000-0005-0000-0000-0000C3020000}"/>
    <cellStyle name="Normal 9 8 2" xfId="708" xr:uid="{00000000-0005-0000-0000-0000C4020000}"/>
    <cellStyle name="Normal 9 9" xfId="709" xr:uid="{00000000-0005-0000-0000-0000C5020000}"/>
    <cellStyle name="Normal 9 9 2" xfId="710" xr:uid="{00000000-0005-0000-0000-0000C6020000}"/>
    <cellStyle name="Note 2" xfId="711" xr:uid="{00000000-0005-0000-0000-0000C7020000}"/>
    <cellStyle name="Note 2 2" xfId="712" xr:uid="{00000000-0005-0000-0000-0000C8020000}"/>
    <cellStyle name="Percent" xfId="713" builtinId="5"/>
    <cellStyle name="Percent 2" xfId="714" xr:uid="{00000000-0005-0000-0000-0000CA020000}"/>
    <cellStyle name="Percent 2 2" xfId="715" xr:uid="{00000000-0005-0000-0000-0000CB020000}"/>
    <cellStyle name="Percent 3" xfId="716" xr:uid="{00000000-0005-0000-0000-0000CC020000}"/>
    <cellStyle name="Percent 3 2" xfId="717" xr:uid="{00000000-0005-0000-0000-0000CD020000}"/>
    <cellStyle name="Percent 3 3" xfId="718" xr:uid="{00000000-0005-0000-0000-0000CE020000}"/>
    <cellStyle name="Percent 3 4" xfId="719" xr:uid="{00000000-0005-0000-0000-0000CF020000}"/>
    <cellStyle name="Percent 4" xfId="720" xr:uid="{00000000-0005-0000-0000-0000D0020000}"/>
    <cellStyle name="Percent 5" xfId="721" xr:uid="{00000000-0005-0000-0000-0000D1020000}"/>
    <cellStyle name="Percent 5 2" xfId="722" xr:uid="{00000000-0005-0000-0000-0000D2020000}"/>
    <cellStyle name="Percent 6" xfId="723" xr:uid="{00000000-0005-0000-0000-0000D3020000}"/>
    <cellStyle name="Total 2" xfId="724" xr:uid="{00000000-0005-0000-0000-0000D4020000}"/>
    <cellStyle name="Total 2 2" xfId="725" xr:uid="{00000000-0005-0000-0000-0000D5020000}"/>
    <cellStyle name="Total 2 2 2" xfId="726" xr:uid="{00000000-0005-0000-0000-0000D6020000}"/>
    <cellStyle name="Total 2 3" xfId="727" xr:uid="{00000000-0005-0000-0000-0000D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Saccos\kenya%20police\ACCOUNTS%20APPROVALS\Accounts%20Approval%202016\Kenya%20Police%20CAELS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"/>
      <sheetName val="Financials"/>
      <sheetName val="Form 4"/>
      <sheetName val="CAELS"/>
      <sheetName val="Liquidity"/>
      <sheetName val="Prudential Ratios"/>
      <sheetName val="Sheet1"/>
    </sheetNames>
    <sheetDataSet>
      <sheetData sheetId="0"/>
      <sheetData sheetId="1">
        <row r="4">
          <cell r="C4">
            <v>3879</v>
          </cell>
          <cell r="D4">
            <v>4029</v>
          </cell>
          <cell r="E4">
            <v>5856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8622637171.8199997</v>
          </cell>
          <cell r="K5">
            <v>9439076803</v>
          </cell>
          <cell r="L5">
            <v>9653435750</v>
          </cell>
          <cell r="M5">
            <v>10068305908</v>
          </cell>
          <cell r="N5">
            <v>10271126412</v>
          </cell>
          <cell r="O5">
            <v>10122233255</v>
          </cell>
          <cell r="P5">
            <v>10318568794</v>
          </cell>
          <cell r="Q5">
            <v>10550988667</v>
          </cell>
          <cell r="R5">
            <v>10843547824</v>
          </cell>
          <cell r="S5">
            <v>10989586561</v>
          </cell>
          <cell r="T5">
            <v>11341887880</v>
          </cell>
          <cell r="U5">
            <v>11559301102</v>
          </cell>
          <cell r="V5">
            <v>11673888528</v>
          </cell>
          <cell r="W5">
            <v>11522841000</v>
          </cell>
          <cell r="X5">
            <v>12119414091</v>
          </cell>
          <cell r="Y5">
            <v>11644780616</v>
          </cell>
          <cell r="Z5">
            <v>12429571179</v>
          </cell>
          <cell r="AA5">
            <v>12331043813</v>
          </cell>
          <cell r="AB5">
            <v>12430515421</v>
          </cell>
          <cell r="AC5">
            <v>12898144484</v>
          </cell>
          <cell r="AD5">
            <v>13116968220</v>
          </cell>
          <cell r="AE5">
            <v>13695043650</v>
          </cell>
          <cell r="AF5">
            <v>13932299945</v>
          </cell>
          <cell r="AG5">
            <v>14174150635.240002</v>
          </cell>
          <cell r="AH5">
            <v>14586021015.84</v>
          </cell>
          <cell r="AI5">
            <v>15120125821.630001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7499808341.9499998</v>
          </cell>
          <cell r="K6">
            <v>7657056272</v>
          </cell>
          <cell r="L6">
            <v>7772124469</v>
          </cell>
          <cell r="M6">
            <v>7886904308</v>
          </cell>
          <cell r="N6">
            <v>8012639661</v>
          </cell>
          <cell r="O6">
            <v>7658721099</v>
          </cell>
          <cell r="P6">
            <v>7726182320</v>
          </cell>
          <cell r="Q6">
            <v>7851894857</v>
          </cell>
          <cell r="R6">
            <v>7938196381</v>
          </cell>
          <cell r="S6">
            <v>8023544906</v>
          </cell>
          <cell r="T6">
            <v>8192589047</v>
          </cell>
          <cell r="U6">
            <v>8356616504</v>
          </cell>
          <cell r="V6">
            <v>8462449118</v>
          </cell>
          <cell r="W6">
            <v>8462973000</v>
          </cell>
          <cell r="X6">
            <v>8641894569</v>
          </cell>
          <cell r="Y6">
            <v>8710775292</v>
          </cell>
          <cell r="Z6">
            <v>8766907405</v>
          </cell>
          <cell r="AA6">
            <v>9210270961</v>
          </cell>
          <cell r="AB6">
            <v>9052556962</v>
          </cell>
          <cell r="AC6">
            <v>9182657718</v>
          </cell>
          <cell r="AD6">
            <v>9350278059</v>
          </cell>
          <cell r="AE6">
            <v>9534096845</v>
          </cell>
          <cell r="AF6">
            <v>9685745647</v>
          </cell>
          <cell r="AG6">
            <v>9881119668.4599991</v>
          </cell>
          <cell r="AH6">
            <v>10051763145.440001</v>
          </cell>
          <cell r="AI6">
            <v>10253841760.129999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6998384717.71</v>
          </cell>
          <cell r="K7">
            <v>7131161460</v>
          </cell>
          <cell r="L7">
            <v>7259891129</v>
          </cell>
          <cell r="M7">
            <v>7376090301</v>
          </cell>
          <cell r="N7">
            <v>6942661725</v>
          </cell>
          <cell r="O7">
            <v>7064066211</v>
          </cell>
          <cell r="P7">
            <v>7160656183</v>
          </cell>
          <cell r="Q7">
            <v>7281750149</v>
          </cell>
          <cell r="R7">
            <v>7342676364</v>
          </cell>
          <cell r="S7">
            <v>7456667633</v>
          </cell>
          <cell r="T7">
            <v>7587651017</v>
          </cell>
          <cell r="U7">
            <v>7718819946</v>
          </cell>
          <cell r="V7">
            <v>7827920031</v>
          </cell>
          <cell r="W7">
            <v>7828070000</v>
          </cell>
          <cell r="X7">
            <v>7960077154</v>
          </cell>
          <cell r="Y7">
            <v>8081683754</v>
          </cell>
          <cell r="Z7">
            <v>8172989961</v>
          </cell>
          <cell r="AA7">
            <v>8270741384</v>
          </cell>
          <cell r="AB7">
            <v>8382202455</v>
          </cell>
          <cell r="AC7">
            <v>8513770479</v>
          </cell>
          <cell r="AD7">
            <v>8648788303</v>
          </cell>
          <cell r="AE7">
            <v>8808884365</v>
          </cell>
          <cell r="AF7">
            <v>8975846471</v>
          </cell>
          <cell r="AG7">
            <v>9141197067.1299992</v>
          </cell>
          <cell r="AH7">
            <v>9300389957.8400002</v>
          </cell>
          <cell r="AI7">
            <v>9455324224.9799995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501423624.24000001</v>
          </cell>
          <cell r="K8">
            <v>525894812</v>
          </cell>
          <cell r="L8">
            <v>512233340</v>
          </cell>
          <cell r="M8">
            <v>510814007</v>
          </cell>
          <cell r="N8">
            <v>1069977936</v>
          </cell>
          <cell r="O8">
            <v>594654888</v>
          </cell>
          <cell r="P8">
            <v>565526137</v>
          </cell>
          <cell r="Q8">
            <v>570144708</v>
          </cell>
          <cell r="R8">
            <v>595520017</v>
          </cell>
          <cell r="S8">
            <v>566877273</v>
          </cell>
          <cell r="T8">
            <v>604938030</v>
          </cell>
          <cell r="U8">
            <v>637796558</v>
          </cell>
          <cell r="V8">
            <v>634529087</v>
          </cell>
          <cell r="W8">
            <v>634903000</v>
          </cell>
          <cell r="X8">
            <v>681817415</v>
          </cell>
          <cell r="Y8">
            <v>629091538</v>
          </cell>
          <cell r="Z8">
            <v>593917444</v>
          </cell>
          <cell r="AA8">
            <v>939529577</v>
          </cell>
          <cell r="AB8">
            <v>670354507</v>
          </cell>
          <cell r="AC8">
            <v>668887239</v>
          </cell>
          <cell r="AD8">
            <v>701489756</v>
          </cell>
          <cell r="AE8">
            <v>725212480</v>
          </cell>
          <cell r="AF8">
            <v>709899176</v>
          </cell>
          <cell r="AG8">
            <v>739922601.33000004</v>
          </cell>
          <cell r="AH8">
            <v>751373187.60000002</v>
          </cell>
          <cell r="AI8">
            <v>798517535.14999998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200000000</v>
          </cell>
          <cell r="N9">
            <v>191666667</v>
          </cell>
          <cell r="O9">
            <v>333333333</v>
          </cell>
          <cell r="P9">
            <v>325000000</v>
          </cell>
          <cell r="Q9">
            <v>358020067</v>
          </cell>
          <cell r="R9">
            <v>436407259</v>
          </cell>
          <cell r="S9">
            <v>373424504</v>
          </cell>
          <cell r="T9">
            <v>435113294</v>
          </cell>
          <cell r="U9">
            <v>412055220</v>
          </cell>
          <cell r="V9">
            <v>403994010</v>
          </cell>
          <cell r="W9">
            <v>410774000</v>
          </cell>
          <cell r="X9">
            <v>585767304</v>
          </cell>
          <cell r="Y9">
            <v>590076260</v>
          </cell>
          <cell r="Z9">
            <v>791029065</v>
          </cell>
          <cell r="AA9">
            <v>756156645</v>
          </cell>
          <cell r="AB9">
            <v>915589072</v>
          </cell>
          <cell r="AC9">
            <v>1085923242</v>
          </cell>
          <cell r="AD9">
            <v>1018363068</v>
          </cell>
          <cell r="AE9">
            <v>1251386754</v>
          </cell>
          <cell r="AF9">
            <v>1132343445</v>
          </cell>
          <cell r="AG9">
            <v>1045781061.75</v>
          </cell>
          <cell r="AH9">
            <v>975100573.19000006</v>
          </cell>
          <cell r="AI9">
            <v>1136778256.73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736957929.62</v>
          </cell>
          <cell r="K10">
            <v>207468344</v>
          </cell>
          <cell r="L10">
            <v>220047806</v>
          </cell>
          <cell r="M10">
            <v>227993481</v>
          </cell>
          <cell r="N10">
            <v>292670136</v>
          </cell>
          <cell r="O10">
            <v>271479568</v>
          </cell>
          <cell r="P10">
            <v>265553781</v>
          </cell>
          <cell r="Q10">
            <v>234811831</v>
          </cell>
          <cell r="R10">
            <v>246266916</v>
          </cell>
          <cell r="S10">
            <v>254605482</v>
          </cell>
          <cell r="T10">
            <v>256173358</v>
          </cell>
          <cell r="U10">
            <v>259308340</v>
          </cell>
          <cell r="V10">
            <v>165695135</v>
          </cell>
          <cell r="W10">
            <v>974805000</v>
          </cell>
          <cell r="X10">
            <v>133792518</v>
          </cell>
          <cell r="Y10">
            <v>392508747</v>
          </cell>
          <cell r="Z10">
            <v>1001914145</v>
          </cell>
          <cell r="AA10">
            <v>224331493</v>
          </cell>
          <cell r="AB10">
            <v>231708088</v>
          </cell>
          <cell r="AC10">
            <v>261460606</v>
          </cell>
          <cell r="AD10">
            <v>200561773</v>
          </cell>
          <cell r="AE10">
            <v>172275053</v>
          </cell>
          <cell r="AF10">
            <v>160238969</v>
          </cell>
          <cell r="AG10">
            <v>171439966.8499999</v>
          </cell>
          <cell r="AH10">
            <v>289652506.67000008</v>
          </cell>
          <cell r="AI10">
            <v>302088742.63000011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817084042.54999995</v>
          </cell>
          <cell r="K13">
            <v>1566884483</v>
          </cell>
          <cell r="L13">
            <v>1661263476</v>
          </cell>
          <cell r="M13">
            <v>1753408121</v>
          </cell>
          <cell r="N13">
            <v>1756149950</v>
          </cell>
          <cell r="O13">
            <v>1858699255</v>
          </cell>
          <cell r="P13">
            <v>2001832695</v>
          </cell>
          <cell r="Q13">
            <v>2106261913</v>
          </cell>
          <cell r="R13">
            <v>2222677271</v>
          </cell>
          <cell r="S13">
            <v>2338011669</v>
          </cell>
          <cell r="T13">
            <v>2458012182</v>
          </cell>
          <cell r="U13">
            <v>2531321039</v>
          </cell>
          <cell r="V13">
            <v>2641750266</v>
          </cell>
          <cell r="W13">
            <v>1674378000</v>
          </cell>
          <cell r="X13">
            <v>2757959700</v>
          </cell>
          <cell r="Y13">
            <v>1951420317</v>
          </cell>
          <cell r="Z13">
            <v>1869720565</v>
          </cell>
          <cell r="AA13">
            <v>2140284713</v>
          </cell>
          <cell r="AB13">
            <v>2230661298</v>
          </cell>
          <cell r="AC13">
            <v>2368102918</v>
          </cell>
          <cell r="AD13">
            <v>2547765320</v>
          </cell>
          <cell r="AE13">
            <v>2737284999</v>
          </cell>
          <cell r="AF13">
            <v>2911157896</v>
          </cell>
          <cell r="AG13">
            <v>3040407686.8299999</v>
          </cell>
          <cell r="AH13">
            <v>3108002593.8499999</v>
          </cell>
          <cell r="AI13">
            <v>3266190144.6399999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705212042.54999995</v>
          </cell>
          <cell r="K14">
            <v>1454992483</v>
          </cell>
          <cell r="L14">
            <v>1549319476</v>
          </cell>
          <cell r="M14">
            <v>1641414201</v>
          </cell>
          <cell r="N14">
            <v>1094079030</v>
          </cell>
          <cell r="O14">
            <v>1195053075</v>
          </cell>
          <cell r="P14">
            <v>1327765775</v>
          </cell>
          <cell r="Q14">
            <v>1431831993</v>
          </cell>
          <cell r="R14">
            <v>1540919351</v>
          </cell>
          <cell r="S14">
            <v>1655921869</v>
          </cell>
          <cell r="T14">
            <v>1775818382</v>
          </cell>
          <cell r="U14">
            <v>1849013239</v>
          </cell>
          <cell r="V14">
            <v>1953456466</v>
          </cell>
          <cell r="W14">
            <v>986084000</v>
          </cell>
          <cell r="X14">
            <v>2069621900</v>
          </cell>
          <cell r="Y14">
            <v>1262821517</v>
          </cell>
          <cell r="Z14">
            <v>1180988765</v>
          </cell>
          <cell r="AA14">
            <v>1445273646</v>
          </cell>
          <cell r="AB14">
            <v>1535616231</v>
          </cell>
          <cell r="AC14">
            <v>1673062209</v>
          </cell>
          <cell r="AD14">
            <v>1852505411</v>
          </cell>
          <cell r="AE14">
            <v>2041991090</v>
          </cell>
          <cell r="AF14">
            <v>2215725987</v>
          </cell>
          <cell r="AG14">
            <v>2344920778.02</v>
          </cell>
          <cell r="AH14">
            <v>2412485685.04</v>
          </cell>
          <cell r="AI14">
            <v>2570620235.8299999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111872000</v>
          </cell>
          <cell r="K17">
            <v>111892000</v>
          </cell>
          <cell r="L17">
            <v>111944000</v>
          </cell>
          <cell r="M17">
            <v>111993920</v>
          </cell>
          <cell r="N17">
            <v>662070920</v>
          </cell>
          <cell r="O17">
            <v>663646180</v>
          </cell>
          <cell r="P17">
            <v>674066920</v>
          </cell>
          <cell r="Q17">
            <v>674429920</v>
          </cell>
          <cell r="R17">
            <v>681757920</v>
          </cell>
          <cell r="S17">
            <v>682089800</v>
          </cell>
          <cell r="T17">
            <v>682193800</v>
          </cell>
          <cell r="U17">
            <v>682307800</v>
          </cell>
          <cell r="V17">
            <v>688293800</v>
          </cell>
          <cell r="W17">
            <v>688294000</v>
          </cell>
          <cell r="X17">
            <v>688337800</v>
          </cell>
          <cell r="Y17">
            <v>688598800</v>
          </cell>
          <cell r="Z17">
            <v>688731800</v>
          </cell>
          <cell r="AA17">
            <v>695011067</v>
          </cell>
          <cell r="AB17">
            <v>695045067</v>
          </cell>
          <cell r="AC17">
            <v>695040709</v>
          </cell>
          <cell r="AD17">
            <v>695259909</v>
          </cell>
          <cell r="AE17">
            <v>695293909</v>
          </cell>
          <cell r="AF17">
            <v>695431909</v>
          </cell>
          <cell r="AG17">
            <v>695486908.80999994</v>
          </cell>
          <cell r="AH17">
            <v>695516908.80999994</v>
          </cell>
          <cell r="AI17">
            <v>695569908.80999994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237486595</v>
          </cell>
          <cell r="K25">
            <v>234922302</v>
          </cell>
          <cell r="L25">
            <v>234922302</v>
          </cell>
          <cell r="M25">
            <v>234922302</v>
          </cell>
          <cell r="N25">
            <v>233036089</v>
          </cell>
          <cell r="O25">
            <v>253036089</v>
          </cell>
          <cell r="P25">
            <v>253036089</v>
          </cell>
          <cell r="Q25">
            <v>253036089</v>
          </cell>
          <cell r="R25">
            <v>253036089</v>
          </cell>
          <cell r="S25">
            <v>253036089</v>
          </cell>
          <cell r="T25">
            <v>253036089</v>
          </cell>
          <cell r="U25">
            <v>252686089</v>
          </cell>
          <cell r="V25">
            <v>252886089</v>
          </cell>
          <cell r="W25">
            <v>316943000</v>
          </cell>
          <cell r="X25">
            <v>252886089</v>
          </cell>
          <cell r="Y25">
            <v>363887108</v>
          </cell>
          <cell r="Z25">
            <v>363887108</v>
          </cell>
          <cell r="AA25">
            <v>363887108</v>
          </cell>
          <cell r="AB25">
            <v>393887108</v>
          </cell>
          <cell r="AC25">
            <v>441026231</v>
          </cell>
          <cell r="AD25">
            <v>423863969</v>
          </cell>
          <cell r="AE25">
            <v>423863969</v>
          </cell>
          <cell r="AF25">
            <v>423863969</v>
          </cell>
          <cell r="AG25">
            <v>423863969</v>
          </cell>
          <cell r="AH25">
            <v>513852821.60000002</v>
          </cell>
          <cell r="AI25">
            <v>513852821.60000002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7518407820.8100004</v>
          </cell>
          <cell r="K30">
            <v>7977839513</v>
          </cell>
          <cell r="L30">
            <v>8201549382</v>
          </cell>
          <cell r="M30">
            <v>8283962217</v>
          </cell>
          <cell r="N30">
            <v>8403122469</v>
          </cell>
          <cell r="O30">
            <v>8559550410</v>
          </cell>
          <cell r="P30">
            <v>8716910445</v>
          </cell>
          <cell r="Q30">
            <v>8905238017</v>
          </cell>
          <cell r="R30">
            <v>9213073206</v>
          </cell>
          <cell r="S30">
            <v>9410908364</v>
          </cell>
          <cell r="T30">
            <v>9624910295</v>
          </cell>
          <cell r="U30">
            <v>9898480575</v>
          </cell>
          <cell r="V30">
            <v>10096214655</v>
          </cell>
          <cell r="W30">
            <v>10135363000</v>
          </cell>
          <cell r="X30">
            <v>10598368851</v>
          </cell>
          <cell r="Y30">
            <v>10827997660</v>
          </cell>
          <cell r="Z30">
            <v>10826198178</v>
          </cell>
          <cell r="AA30">
            <v>10939546320</v>
          </cell>
          <cell r="AB30">
            <v>10989995775</v>
          </cell>
          <cell r="AC30">
            <v>11098416785</v>
          </cell>
          <cell r="AD30">
            <v>11321678585</v>
          </cell>
          <cell r="AE30">
            <v>11634666891</v>
          </cell>
          <cell r="AF30">
            <v>11923045337</v>
          </cell>
          <cell r="AG30">
            <v>12125057598.440001</v>
          </cell>
          <cell r="AH30">
            <v>12280212418.459999</v>
          </cell>
          <cell r="AI30">
            <v>12536479498.040001</v>
          </cell>
        </row>
        <row r="31">
          <cell r="AC31">
            <v>11098416785</v>
          </cell>
          <cell r="AD31">
            <v>11321678585</v>
          </cell>
          <cell r="AE31">
            <v>11634666891</v>
          </cell>
          <cell r="AF31">
            <v>11923045337</v>
          </cell>
          <cell r="AG31">
            <v>12125057598.440001</v>
          </cell>
          <cell r="AH31">
            <v>12280212418.459999</v>
          </cell>
          <cell r="AI31">
            <v>12536479498.040001</v>
          </cell>
        </row>
        <row r="34">
          <cell r="J34">
            <v>0</v>
          </cell>
          <cell r="M34">
            <v>65076151.822500005</v>
          </cell>
          <cell r="P34">
            <v>29595600.890000001</v>
          </cell>
          <cell r="S34">
            <v>24072891.017500002</v>
          </cell>
          <cell r="V34">
            <v>40084672.210000001</v>
          </cell>
          <cell r="W34">
            <v>40084672.210000001</v>
          </cell>
          <cell r="Z34">
            <v>46624706.18</v>
          </cell>
          <cell r="AC34">
            <v>33276284.835000001</v>
          </cell>
          <cell r="AD34">
            <v>0</v>
          </cell>
          <cell r="AE34">
            <v>11911981080.85</v>
          </cell>
          <cell r="AF34">
            <v>1.5</v>
          </cell>
          <cell r="AG34">
            <v>159192593.7245</v>
          </cell>
          <cell r="AH34">
            <v>0</v>
          </cell>
          <cell r="AI34">
            <v>198633837.57999998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21645179.560000002</v>
          </cell>
          <cell r="K36">
            <v>179692777</v>
          </cell>
          <cell r="L36">
            <v>89290530</v>
          </cell>
          <cell r="M36">
            <v>383895437</v>
          </cell>
          <cell r="N36">
            <v>413452777</v>
          </cell>
          <cell r="O36">
            <v>104501315</v>
          </cell>
          <cell r="P36">
            <v>125780447</v>
          </cell>
          <cell r="Q36">
            <v>114028361</v>
          </cell>
          <cell r="R36">
            <v>269318181</v>
          </cell>
          <cell r="S36">
            <v>130891820</v>
          </cell>
          <cell r="T36">
            <v>247458374</v>
          </cell>
          <cell r="U36">
            <v>97955956</v>
          </cell>
          <cell r="V36">
            <v>669580829</v>
          </cell>
          <cell r="W36">
            <v>688062000</v>
          </cell>
          <cell r="X36">
            <v>57494994</v>
          </cell>
          <cell r="Y36">
            <v>40324718</v>
          </cell>
          <cell r="Z36">
            <v>267838306</v>
          </cell>
          <cell r="AA36">
            <v>35975325</v>
          </cell>
          <cell r="AB36">
            <v>11615896</v>
          </cell>
          <cell r="AC36">
            <v>945601543</v>
          </cell>
          <cell r="AD36">
            <v>223627872</v>
          </cell>
          <cell r="AE36">
            <v>488478118</v>
          </cell>
          <cell r="AF36">
            <v>341792297</v>
          </cell>
          <cell r="AG36">
            <v>298305940.58999997</v>
          </cell>
          <cell r="AH36">
            <v>218168467.52000001</v>
          </cell>
          <cell r="AI36">
            <v>1173356520.3599999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165513808.75</v>
          </cell>
          <cell r="K38">
            <v>260499130</v>
          </cell>
          <cell r="L38">
            <v>262011225</v>
          </cell>
          <cell r="M38">
            <v>285714579</v>
          </cell>
          <cell r="N38">
            <v>308703283</v>
          </cell>
          <cell r="O38">
            <v>308888775</v>
          </cell>
          <cell r="P38">
            <v>337710076</v>
          </cell>
          <cell r="Q38">
            <v>358495224</v>
          </cell>
          <cell r="R38">
            <v>378861279</v>
          </cell>
          <cell r="S38">
            <v>398255176</v>
          </cell>
          <cell r="T38">
            <v>414268018</v>
          </cell>
          <cell r="U38">
            <v>408053985</v>
          </cell>
          <cell r="V38">
            <v>397392435</v>
          </cell>
          <cell r="W38">
            <v>368563000</v>
          </cell>
          <cell r="X38">
            <v>398084252</v>
          </cell>
          <cell r="Y38">
            <v>393181964</v>
          </cell>
          <cell r="Z38">
            <v>355314996</v>
          </cell>
          <cell r="AA38">
            <v>355777488</v>
          </cell>
          <cell r="AB38">
            <v>381173972</v>
          </cell>
          <cell r="AC38">
            <v>381173972</v>
          </cell>
          <cell r="AD38">
            <v>429823175</v>
          </cell>
          <cell r="AE38">
            <v>432589499</v>
          </cell>
          <cell r="AF38">
            <v>499649256</v>
          </cell>
          <cell r="AG38">
            <v>569491776.40999997</v>
          </cell>
          <cell r="AH38">
            <v>582550831.08000004</v>
          </cell>
          <cell r="AI38">
            <v>638809048.36000001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165513808.75</v>
          </cell>
          <cell r="K39">
            <v>260499130</v>
          </cell>
          <cell r="L39">
            <v>262011225</v>
          </cell>
          <cell r="M39">
            <v>285714579</v>
          </cell>
          <cell r="N39">
            <v>308703283</v>
          </cell>
          <cell r="O39">
            <v>308888775</v>
          </cell>
          <cell r="P39">
            <v>337710076</v>
          </cell>
          <cell r="Q39">
            <v>358495224</v>
          </cell>
          <cell r="R39">
            <v>378861279</v>
          </cell>
          <cell r="S39">
            <v>398255176</v>
          </cell>
          <cell r="T39">
            <v>414268018</v>
          </cell>
          <cell r="U39">
            <v>408053985</v>
          </cell>
          <cell r="V39">
            <v>397392435</v>
          </cell>
          <cell r="W39">
            <v>368563000</v>
          </cell>
          <cell r="X39">
            <v>398084252</v>
          </cell>
          <cell r="Y39">
            <v>393181964</v>
          </cell>
          <cell r="Z39">
            <v>355314996</v>
          </cell>
          <cell r="AA39">
            <v>355777488</v>
          </cell>
          <cell r="AB39">
            <v>381173972</v>
          </cell>
          <cell r="AC39">
            <v>381173972</v>
          </cell>
          <cell r="AD39">
            <v>429823175</v>
          </cell>
          <cell r="AE39">
            <v>432589499</v>
          </cell>
          <cell r="AF39">
            <v>499649256</v>
          </cell>
          <cell r="AG39">
            <v>569491776.40999997</v>
          </cell>
          <cell r="AH39">
            <v>582550831.08000004</v>
          </cell>
          <cell r="AI39">
            <v>638809048.36000001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1179328626.8800001</v>
          </cell>
          <cell r="K42">
            <v>118247860.28999999</v>
          </cell>
          <cell r="L42">
            <v>227374949.64999998</v>
          </cell>
          <cell r="M42">
            <v>334961295.68999994</v>
          </cell>
          <cell r="N42">
            <v>451220587</v>
          </cell>
          <cell r="O42">
            <v>573134013</v>
          </cell>
          <cell r="P42">
            <v>726007564</v>
          </cell>
          <cell r="Q42">
            <v>852064986</v>
          </cell>
          <cell r="R42">
            <v>990012760</v>
          </cell>
          <cell r="S42">
            <v>1127124455</v>
          </cell>
          <cell r="T42">
            <v>1270982730</v>
          </cell>
          <cell r="U42">
            <v>1419341653</v>
          </cell>
          <cell r="V42">
            <v>1566976776</v>
          </cell>
          <cell r="W42">
            <v>1577820000</v>
          </cell>
          <cell r="X42">
            <v>166931392.56</v>
          </cell>
          <cell r="Y42">
            <v>310834447.06999999</v>
          </cell>
          <cell r="Z42">
            <v>426417980.56999999</v>
          </cell>
          <cell r="AA42">
            <v>696993651</v>
          </cell>
          <cell r="AB42">
            <v>850055068</v>
          </cell>
          <cell r="AC42">
            <v>1011536632</v>
          </cell>
          <cell r="AD42">
            <v>1218070524</v>
          </cell>
          <cell r="AE42">
            <v>1396709858</v>
          </cell>
          <cell r="AF42">
            <v>1582193875</v>
          </cell>
          <cell r="AG42">
            <v>1750708823.4300001</v>
          </cell>
          <cell r="AH42">
            <v>1962179353.9400001</v>
          </cell>
          <cell r="AI42">
            <v>2148935192.71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603269331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1974416</v>
          </cell>
          <cell r="P49">
            <v>1974416</v>
          </cell>
          <cell r="Q49">
            <v>2420963</v>
          </cell>
          <cell r="R49">
            <v>3273405</v>
          </cell>
          <cell r="S49">
            <v>3273405</v>
          </cell>
          <cell r="T49">
            <v>3723609</v>
          </cell>
          <cell r="U49">
            <v>4693092</v>
          </cell>
          <cell r="V49">
            <v>5156598</v>
          </cell>
          <cell r="W49">
            <v>694433000</v>
          </cell>
          <cell r="X49">
            <v>7553.2</v>
          </cell>
          <cell r="Y49">
            <v>15643.4</v>
          </cell>
          <cell r="Z49">
            <v>38893.4</v>
          </cell>
          <cell r="AA49">
            <v>38926</v>
          </cell>
          <cell r="AB49">
            <v>41140903</v>
          </cell>
          <cell r="AC49">
            <v>41140903</v>
          </cell>
          <cell r="AD49">
            <v>42246818</v>
          </cell>
          <cell r="AE49">
            <v>4145469</v>
          </cell>
          <cell r="AF49">
            <v>4177019</v>
          </cell>
          <cell r="AG49">
            <v>4179519.05</v>
          </cell>
          <cell r="AH49">
            <v>4185019.05</v>
          </cell>
          <cell r="AI49">
            <v>4185019.05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83311000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17735472.850000001</v>
          </cell>
          <cell r="K51">
            <v>0</v>
          </cell>
          <cell r="L51">
            <v>0</v>
          </cell>
          <cell r="M51">
            <v>0</v>
          </cell>
          <cell r="N51">
            <v>2378082</v>
          </cell>
          <cell r="O51">
            <v>8581279</v>
          </cell>
          <cell r="P51">
            <v>10639726</v>
          </cell>
          <cell r="Q51">
            <v>14558809</v>
          </cell>
          <cell r="R51">
            <v>16996811</v>
          </cell>
          <cell r="S51">
            <v>18797671</v>
          </cell>
          <cell r="T51">
            <v>21879720</v>
          </cell>
          <cell r="U51">
            <v>27130702</v>
          </cell>
          <cell r="V51">
            <v>32854892</v>
          </cell>
          <cell r="W51">
            <v>39634000</v>
          </cell>
          <cell r="X51">
            <v>5505055.9400000004</v>
          </cell>
          <cell r="Y51">
            <v>12440324.699999999</v>
          </cell>
          <cell r="Z51">
            <v>21008575.699999999</v>
          </cell>
          <cell r="AA51">
            <v>27627245</v>
          </cell>
          <cell r="AB51">
            <v>35417247</v>
          </cell>
          <cell r="AC51">
            <v>38915118</v>
          </cell>
          <cell r="AD51">
            <v>40564433</v>
          </cell>
          <cell r="AE51">
            <v>43102417</v>
          </cell>
          <cell r="AF51">
            <v>47437216</v>
          </cell>
          <cell r="AG51">
            <v>49595531.829999998</v>
          </cell>
          <cell r="AH51">
            <v>51573834.640000001</v>
          </cell>
          <cell r="AI51">
            <v>55472399.670000002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137496741.13</v>
          </cell>
          <cell r="K53">
            <v>16988575.699999999</v>
          </cell>
          <cell r="L53">
            <v>27835041.879999999</v>
          </cell>
          <cell r="M53">
            <v>40457848.409999996</v>
          </cell>
          <cell r="N53">
            <v>63168518</v>
          </cell>
          <cell r="O53">
            <v>73106613</v>
          </cell>
          <cell r="P53">
            <v>83294767</v>
          </cell>
          <cell r="Q53">
            <v>96712410</v>
          </cell>
          <cell r="R53">
            <v>112724540</v>
          </cell>
          <cell r="S53">
            <v>128075312</v>
          </cell>
          <cell r="T53">
            <v>144766144</v>
          </cell>
          <cell r="U53">
            <v>153385995</v>
          </cell>
          <cell r="V53">
            <v>156905648</v>
          </cell>
          <cell r="W53">
            <v>209328000</v>
          </cell>
          <cell r="X53">
            <v>1440257.2000000002</v>
          </cell>
          <cell r="Y53">
            <v>8496061.7599999998</v>
          </cell>
          <cell r="Z53">
            <v>69714738.150000006</v>
          </cell>
          <cell r="AA53">
            <v>63679678</v>
          </cell>
          <cell r="AB53">
            <v>96765834</v>
          </cell>
          <cell r="AC53">
            <v>109777176</v>
          </cell>
          <cell r="AD53">
            <v>126041623</v>
          </cell>
          <cell r="AE53">
            <v>136889028</v>
          </cell>
          <cell r="AF53">
            <v>137103359</v>
          </cell>
          <cell r="AG53">
            <v>158322755.34999999</v>
          </cell>
          <cell r="AH53">
            <v>178990730.20000002</v>
          </cell>
          <cell r="AI53">
            <v>195655362.68000001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52843138</v>
          </cell>
          <cell r="K54">
            <v>2016434</v>
          </cell>
          <cell r="L54">
            <v>6512320</v>
          </cell>
          <cell r="M54">
            <v>9589390</v>
          </cell>
          <cell r="N54">
            <v>25310019</v>
          </cell>
          <cell r="O54">
            <v>28046442</v>
          </cell>
          <cell r="P54">
            <v>30746511</v>
          </cell>
          <cell r="Q54">
            <v>33726879</v>
          </cell>
          <cell r="R54">
            <v>37778396</v>
          </cell>
          <cell r="S54">
            <v>42120879</v>
          </cell>
          <cell r="T54">
            <v>46747128</v>
          </cell>
          <cell r="U54">
            <v>52146939</v>
          </cell>
          <cell r="V54">
            <v>47693123</v>
          </cell>
          <cell r="W54">
            <v>110151000</v>
          </cell>
          <cell r="X54">
            <v>3798757.1</v>
          </cell>
          <cell r="Y54">
            <v>31651713.789999999</v>
          </cell>
          <cell r="Z54">
            <v>32863444.969999999</v>
          </cell>
          <cell r="AA54">
            <v>41072449</v>
          </cell>
          <cell r="AB54">
            <v>46395476</v>
          </cell>
          <cell r="AC54">
            <v>49707976</v>
          </cell>
          <cell r="AD54">
            <v>55224358</v>
          </cell>
          <cell r="AE54">
            <v>60908281</v>
          </cell>
          <cell r="AF54">
            <v>55630238</v>
          </cell>
          <cell r="AG54">
            <v>62351002.439999998</v>
          </cell>
          <cell r="AH54">
            <v>68187119.239999995</v>
          </cell>
          <cell r="AI54">
            <v>66646982.130000003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1"/>
  <sheetViews>
    <sheetView zoomScale="93" zoomScaleNormal="93" workbookViewId="0">
      <pane xSplit="1" ySplit="3" topLeftCell="AR4" activePane="bottomRight" state="frozen"/>
      <selection pane="bottomRight" activeCell="AX8" sqref="AX8"/>
      <selection pane="bottomLeft" activeCell="A4" sqref="A4"/>
      <selection pane="topRight" activeCell="B1" sqref="B1"/>
    </sheetView>
  </sheetViews>
  <sheetFormatPr defaultRowHeight="15.6"/>
  <cols>
    <col min="1" max="1" width="40.85546875" customWidth="1"/>
    <col min="2" max="2" width="22.7109375" style="281" bestFit="1" customWidth="1"/>
    <col min="3" max="8" width="22.42578125" hidden="1" customWidth="1"/>
    <col min="9" max="9" width="23.140625" hidden="1" customWidth="1"/>
    <col min="10" max="10" width="23" hidden="1" customWidth="1"/>
    <col min="11" max="11" width="22.28515625" hidden="1" customWidth="1"/>
    <col min="12" max="12" width="22.85546875" hidden="1" customWidth="1"/>
    <col min="13" max="13" width="22.5703125" hidden="1" customWidth="1"/>
    <col min="14" max="14" width="24" customWidth="1"/>
    <col min="15" max="15" width="22.42578125" bestFit="1" customWidth="1"/>
    <col min="16" max="16" width="23.140625" customWidth="1"/>
    <col min="17" max="17" width="22.42578125" bestFit="1" customWidth="1"/>
    <col min="18" max="19" width="17.5703125" customWidth="1"/>
    <col min="20" max="20" width="21.140625" bestFit="1" customWidth="1"/>
    <col min="21" max="21" width="19" bestFit="1" customWidth="1"/>
    <col min="22" max="22" width="17.28515625" customWidth="1"/>
    <col min="23" max="23" width="19.85546875" customWidth="1"/>
    <col min="24" max="26" width="15.140625" bestFit="1" customWidth="1"/>
    <col min="27" max="27" width="21.28515625" style="27" customWidth="1"/>
    <col min="28" max="28" width="20.5703125" customWidth="1"/>
    <col min="29" max="29" width="23.42578125" customWidth="1"/>
    <col min="30" max="30" width="31.7109375" customWidth="1"/>
    <col min="31" max="31" width="25" customWidth="1"/>
    <col min="32" max="32" width="26.85546875" customWidth="1"/>
    <col min="33" max="33" width="21.7109375" customWidth="1"/>
    <col min="34" max="34" width="19" customWidth="1"/>
    <col min="35" max="35" width="20.140625" customWidth="1"/>
    <col min="36" max="36" width="21.5703125" customWidth="1"/>
    <col min="37" max="37" width="25.28515625" customWidth="1"/>
    <col min="38" max="38" width="21.5703125" customWidth="1"/>
    <col min="39" max="39" width="22.85546875" customWidth="1"/>
    <col min="40" max="40" width="22.28515625" style="27" customWidth="1"/>
    <col min="41" max="41" width="20.5703125" customWidth="1"/>
    <col min="42" max="43" width="21.42578125" customWidth="1"/>
    <col min="44" max="44" width="20.42578125" customWidth="1"/>
    <col min="45" max="45" width="21.28515625" customWidth="1"/>
    <col min="46" max="46" width="19" customWidth="1"/>
    <col min="47" max="48" width="17.7109375" customWidth="1"/>
  </cols>
  <sheetData>
    <row r="1" spans="1:48" ht="15" customHeight="1">
      <c r="A1" s="274"/>
    </row>
    <row r="3" spans="1:48" ht="12.6" customHeight="1">
      <c r="A3" s="159"/>
      <c r="B3" s="282" t="s">
        <v>0</v>
      </c>
      <c r="C3" s="213">
        <v>43831</v>
      </c>
      <c r="D3" s="213">
        <v>43862</v>
      </c>
      <c r="E3" s="213">
        <v>43891</v>
      </c>
      <c r="F3" s="213">
        <v>43922</v>
      </c>
      <c r="G3" s="213">
        <v>43952</v>
      </c>
      <c r="H3" s="213">
        <v>43983</v>
      </c>
      <c r="I3" s="213">
        <v>44044</v>
      </c>
      <c r="J3" s="213">
        <v>44075</v>
      </c>
      <c r="K3" s="213">
        <v>44105</v>
      </c>
      <c r="L3" s="213">
        <v>44136</v>
      </c>
      <c r="M3" s="213">
        <v>44166</v>
      </c>
      <c r="N3" s="213" t="s">
        <v>1</v>
      </c>
      <c r="O3" s="213">
        <v>44197</v>
      </c>
      <c r="P3" s="213">
        <v>44228</v>
      </c>
      <c r="Q3" s="213">
        <v>44256</v>
      </c>
      <c r="R3" s="213">
        <v>44287</v>
      </c>
      <c r="S3" s="213">
        <v>44317</v>
      </c>
      <c r="T3" s="213">
        <v>44348</v>
      </c>
      <c r="U3" s="213">
        <v>44378</v>
      </c>
      <c r="V3" s="213">
        <v>44409</v>
      </c>
      <c r="W3" s="213">
        <v>44440</v>
      </c>
      <c r="X3" s="213">
        <v>44470</v>
      </c>
      <c r="Y3" s="213">
        <v>44501</v>
      </c>
      <c r="Z3" s="213">
        <v>44531</v>
      </c>
      <c r="AA3" s="312" t="s">
        <v>2</v>
      </c>
      <c r="AB3" s="213">
        <v>44562</v>
      </c>
      <c r="AC3" s="213">
        <v>44593</v>
      </c>
      <c r="AD3" s="213">
        <v>44621</v>
      </c>
      <c r="AE3" s="213">
        <v>44652</v>
      </c>
      <c r="AF3" s="213">
        <v>44682</v>
      </c>
      <c r="AG3" s="213">
        <v>44713</v>
      </c>
      <c r="AH3" s="213">
        <v>44743</v>
      </c>
      <c r="AI3" s="213">
        <v>44774</v>
      </c>
      <c r="AJ3" s="213">
        <v>44805</v>
      </c>
      <c r="AK3" s="213">
        <v>44835</v>
      </c>
      <c r="AL3" s="213">
        <v>44866</v>
      </c>
      <c r="AM3" s="213">
        <v>44896</v>
      </c>
      <c r="AN3" s="333" t="s">
        <v>3</v>
      </c>
      <c r="AO3" s="332">
        <v>44927</v>
      </c>
      <c r="AP3" s="332">
        <v>44958</v>
      </c>
      <c r="AQ3" s="332">
        <v>44986</v>
      </c>
      <c r="AR3" s="355">
        <v>45017</v>
      </c>
      <c r="AS3" s="355">
        <v>45047</v>
      </c>
      <c r="AT3" s="355">
        <v>45078</v>
      </c>
      <c r="AU3" s="355">
        <v>45108</v>
      </c>
      <c r="AV3" s="355">
        <v>45139</v>
      </c>
    </row>
    <row r="4" spans="1:48" ht="15.75">
      <c r="A4" s="160" t="s">
        <v>4</v>
      </c>
      <c r="B4" s="283">
        <f t="shared" ref="B4:N4" si="0">(B5+B6)</f>
        <v>60942574.029999994</v>
      </c>
      <c r="C4" s="214">
        <f t="shared" si="0"/>
        <v>561024.02</v>
      </c>
      <c r="D4" s="214">
        <f t="shared" si="0"/>
        <v>611197.36</v>
      </c>
      <c r="E4" s="214">
        <f t="shared" si="0"/>
        <v>606233.05999999994</v>
      </c>
      <c r="F4" s="214">
        <f t="shared" si="0"/>
        <v>675951.44000000006</v>
      </c>
      <c r="G4" s="214">
        <f t="shared" si="0"/>
        <v>807920.76</v>
      </c>
      <c r="H4" s="214">
        <f t="shared" si="0"/>
        <v>874010.45000000007</v>
      </c>
      <c r="I4" s="214">
        <f t="shared" si="0"/>
        <v>813996.37</v>
      </c>
      <c r="J4" s="214">
        <f t="shared" si="0"/>
        <v>763658.71000000008</v>
      </c>
      <c r="K4" s="214">
        <f t="shared" si="0"/>
        <v>747920.29</v>
      </c>
      <c r="L4" s="214">
        <f t="shared" si="0"/>
        <v>784547.96</v>
      </c>
      <c r="M4" s="214">
        <f t="shared" si="0"/>
        <v>781567.35000000009</v>
      </c>
      <c r="N4" s="214">
        <f t="shared" si="0"/>
        <v>783294992</v>
      </c>
      <c r="O4" s="214">
        <f t="shared" ref="O4:T4" si="1">(O5+O6)</f>
        <v>814742.97</v>
      </c>
      <c r="P4" s="214">
        <f t="shared" si="1"/>
        <v>835460.95000000007</v>
      </c>
      <c r="Q4" s="214">
        <f t="shared" si="1"/>
        <v>786730.27</v>
      </c>
      <c r="R4" s="214">
        <f t="shared" si="1"/>
        <v>801313.16999999993</v>
      </c>
      <c r="S4" s="214">
        <f t="shared" si="1"/>
        <v>806309.3</v>
      </c>
      <c r="T4" s="214">
        <f t="shared" si="1"/>
        <v>807286.28999999992</v>
      </c>
      <c r="U4" s="214">
        <f t="shared" ref="U4:V4" si="2">(U5+U6)</f>
        <v>821135.45</v>
      </c>
      <c r="V4" s="214">
        <f t="shared" si="2"/>
        <v>820346.9800000001</v>
      </c>
      <c r="W4" s="214">
        <f t="shared" ref="W4:AA4" si="3">(W5+W6)</f>
        <v>836705.15</v>
      </c>
      <c r="X4" s="214">
        <f t="shared" si="3"/>
        <v>921809.61</v>
      </c>
      <c r="Y4" s="214">
        <f t="shared" si="3"/>
        <v>970285.7699999999</v>
      </c>
      <c r="Z4" s="214">
        <f t="shared" si="3"/>
        <v>1018727.25</v>
      </c>
      <c r="AA4" s="214">
        <f t="shared" si="3"/>
        <v>1021706818</v>
      </c>
      <c r="AB4" s="214">
        <f t="shared" ref="AB4:AM4" si="4">(AB5+AB6)</f>
        <v>1035713221.1900001</v>
      </c>
      <c r="AC4" s="214">
        <f t="shared" si="4"/>
        <v>1074033095.54</v>
      </c>
      <c r="AD4" s="214">
        <f t="shared" si="4"/>
        <v>1022334409.5700001</v>
      </c>
      <c r="AE4" s="214">
        <f t="shared" si="4"/>
        <v>1014884799.64</v>
      </c>
      <c r="AF4" s="214">
        <f t="shared" si="4"/>
        <v>1046984558.77</v>
      </c>
      <c r="AG4" s="214">
        <f t="shared" si="4"/>
        <v>1096348488.4300001</v>
      </c>
      <c r="AH4" s="214">
        <f t="shared" si="4"/>
        <v>1093606330.79</v>
      </c>
      <c r="AI4" s="214">
        <f t="shared" si="4"/>
        <v>1203684371.45</v>
      </c>
      <c r="AJ4" s="214">
        <f t="shared" si="4"/>
        <v>1269131920.0699999</v>
      </c>
      <c r="AK4" s="214">
        <f t="shared" si="4"/>
        <v>1301559270.8</v>
      </c>
      <c r="AL4" s="214">
        <f t="shared" si="4"/>
        <v>1349752199.98</v>
      </c>
      <c r="AM4" s="214">
        <f t="shared" si="4"/>
        <v>1365280592.02</v>
      </c>
      <c r="AN4" s="214">
        <f t="shared" ref="AN4:AV4" si="5">(AN5+AN6)</f>
        <v>1366906242</v>
      </c>
      <c r="AO4" s="214">
        <f t="shared" si="5"/>
        <v>1367644900.3</v>
      </c>
      <c r="AP4" s="214">
        <f t="shared" si="5"/>
        <v>1438935059.29</v>
      </c>
      <c r="AQ4" s="214">
        <f t="shared" si="5"/>
        <v>1350622183.54</v>
      </c>
      <c r="AR4" s="214">
        <f t="shared" si="5"/>
        <v>1345268083.0999999</v>
      </c>
      <c r="AS4" s="214">
        <f t="shared" si="5"/>
        <v>1365900870</v>
      </c>
      <c r="AT4" s="214">
        <f t="shared" si="5"/>
        <v>1056644097.29</v>
      </c>
      <c r="AU4" s="214">
        <f t="shared" si="5"/>
        <v>928221425.26999998</v>
      </c>
      <c r="AV4" s="214">
        <f t="shared" si="5"/>
        <v>755592383.16999996</v>
      </c>
    </row>
    <row r="5" spans="1:48" ht="15.75">
      <c r="A5" s="161" t="s">
        <v>5</v>
      </c>
      <c r="B5" s="284">
        <f>1162643.9+734230</f>
        <v>1896873.9</v>
      </c>
      <c r="C5" s="303">
        <v>8563.6</v>
      </c>
      <c r="D5" s="303">
        <v>3071.76</v>
      </c>
      <c r="E5" s="303">
        <v>4222.1099999999997</v>
      </c>
      <c r="F5" s="303">
        <v>3757.31</v>
      </c>
      <c r="G5" s="303">
        <v>2627.48</v>
      </c>
      <c r="H5" s="303">
        <v>818.9</v>
      </c>
      <c r="I5" s="303">
        <v>235.72</v>
      </c>
      <c r="J5" s="303">
        <v>1089.42</v>
      </c>
      <c r="K5" s="303">
        <v>857.98</v>
      </c>
      <c r="L5" s="303">
        <v>1286.58</v>
      </c>
      <c r="M5" s="303">
        <v>307.54000000000002</v>
      </c>
      <c r="N5" s="276">
        <f>307542</f>
        <v>307542</v>
      </c>
      <c r="O5" s="303">
        <v>2093.34</v>
      </c>
      <c r="P5" s="303">
        <v>3397.41</v>
      </c>
      <c r="Q5" s="303">
        <v>3247.9</v>
      </c>
      <c r="R5" s="303">
        <v>1321.57</v>
      </c>
      <c r="S5" s="303">
        <v>2447.67</v>
      </c>
      <c r="T5" s="303">
        <v>3347.33</v>
      </c>
      <c r="U5" s="295">
        <v>1517.75</v>
      </c>
      <c r="V5" s="294">
        <v>608.92999999999995</v>
      </c>
      <c r="W5" s="303">
        <v>1257.06</v>
      </c>
      <c r="X5" s="303">
        <v>2537.21</v>
      </c>
      <c r="Y5" s="303">
        <v>3164.44</v>
      </c>
      <c r="Z5" s="303">
        <v>4092.18</v>
      </c>
      <c r="AA5" s="313">
        <v>4092180</v>
      </c>
      <c r="AB5" s="295">
        <v>2218350</v>
      </c>
      <c r="AC5" s="323">
        <v>2406493</v>
      </c>
      <c r="AD5" s="323">
        <v>3885985</v>
      </c>
      <c r="AE5" s="323">
        <v>1832448</v>
      </c>
      <c r="AF5" s="323">
        <v>4398483</v>
      </c>
      <c r="AG5" s="323">
        <v>2003607</v>
      </c>
      <c r="AH5" s="323">
        <v>3395790</v>
      </c>
      <c r="AI5" s="323">
        <v>1437868</v>
      </c>
      <c r="AJ5" s="323">
        <v>1981939</v>
      </c>
      <c r="AK5" s="323">
        <v>2234037</v>
      </c>
      <c r="AL5" s="323">
        <v>2635973</v>
      </c>
      <c r="AM5" s="323">
        <v>1113513</v>
      </c>
      <c r="AN5" s="329">
        <f>1137278+1804064+47533789+15376525+19583</f>
        <v>65871239</v>
      </c>
      <c r="AO5" s="335">
        <v>2612139</v>
      </c>
      <c r="AP5" s="337">
        <v>1820465</v>
      </c>
      <c r="AQ5" s="337">
        <v>1513765</v>
      </c>
      <c r="AR5" s="335">
        <v>837550</v>
      </c>
      <c r="AS5" s="335">
        <v>1582832</v>
      </c>
      <c r="AT5" s="335">
        <v>1959660</v>
      </c>
      <c r="AU5" s="400">
        <v>3347156</v>
      </c>
      <c r="AV5" s="402">
        <v>1466424</v>
      </c>
    </row>
    <row r="6" spans="1:48" ht="15.75">
      <c r="A6" s="161" t="s">
        <v>6</v>
      </c>
      <c r="B6" s="284">
        <f>15822167+4245336+223711.48+118700+34335785.65+4300000</f>
        <v>59045700.129999995</v>
      </c>
      <c r="C6" s="303">
        <v>552460.42000000004</v>
      </c>
      <c r="D6" s="303">
        <v>608125.6</v>
      </c>
      <c r="E6" s="303">
        <v>602010.94999999995</v>
      </c>
      <c r="F6" s="303">
        <v>672194.13</v>
      </c>
      <c r="G6" s="303">
        <v>805293.28</v>
      </c>
      <c r="H6" s="303">
        <v>873191.55</v>
      </c>
      <c r="I6" s="303">
        <v>813760.65</v>
      </c>
      <c r="J6" s="303">
        <v>762569.29</v>
      </c>
      <c r="K6" s="303">
        <v>747062.31</v>
      </c>
      <c r="L6" s="303">
        <v>783261.38</v>
      </c>
      <c r="M6" s="303">
        <v>781259.81</v>
      </c>
      <c r="N6" s="276">
        <f>783294992-N5</f>
        <v>782987450</v>
      </c>
      <c r="O6" s="303">
        <v>812649.63</v>
      </c>
      <c r="P6" s="303">
        <v>832063.54</v>
      </c>
      <c r="Q6" s="303">
        <v>783482.37</v>
      </c>
      <c r="R6" s="303">
        <v>799991.6</v>
      </c>
      <c r="S6" s="303">
        <v>803861.63</v>
      </c>
      <c r="T6" s="303">
        <v>803938.96</v>
      </c>
      <c r="U6" s="297">
        <v>819617.7</v>
      </c>
      <c r="V6" s="297">
        <v>819738.05</v>
      </c>
      <c r="W6" s="303">
        <v>835448.09</v>
      </c>
      <c r="X6" s="303">
        <v>919272.4</v>
      </c>
      <c r="Y6" s="303">
        <v>967121.33</v>
      </c>
      <c r="Z6" s="303">
        <v>1014635.07</v>
      </c>
      <c r="AA6" s="314">
        <f>1021706818-AA5</f>
        <v>1017614638</v>
      </c>
      <c r="AB6" s="297">
        <v>1033494871.1900001</v>
      </c>
      <c r="AC6" s="325">
        <v>1071626602.54</v>
      </c>
      <c r="AD6" s="325">
        <v>1018448424.5700001</v>
      </c>
      <c r="AE6" s="325">
        <v>1013052351.64</v>
      </c>
      <c r="AF6" s="325">
        <v>1042586075.77</v>
      </c>
      <c r="AG6" s="325">
        <v>1094344881.4300001</v>
      </c>
      <c r="AH6" s="325">
        <v>1090210540.79</v>
      </c>
      <c r="AI6" s="325">
        <v>1202246503.45</v>
      </c>
      <c r="AJ6" s="325">
        <v>1267149981.0699999</v>
      </c>
      <c r="AK6" s="325">
        <v>1299325233.8</v>
      </c>
      <c r="AL6" s="325">
        <v>1347116226.98</v>
      </c>
      <c r="AM6" s="323">
        <v>1364167079.02</v>
      </c>
      <c r="AN6" s="329">
        <f>1366906242-AN5</f>
        <v>1301035003</v>
      </c>
      <c r="AO6" s="339">
        <v>1365032761.3</v>
      </c>
      <c r="AP6" s="341">
        <v>1437114594.29</v>
      </c>
      <c r="AQ6" s="341">
        <v>1349108418.54</v>
      </c>
      <c r="AR6" s="339">
        <v>1344430533.0999999</v>
      </c>
      <c r="AS6" s="339">
        <v>1364318038</v>
      </c>
      <c r="AT6" s="339">
        <v>1054684437.29</v>
      </c>
      <c r="AU6" s="404">
        <v>924874269.26999998</v>
      </c>
      <c r="AV6" s="406">
        <v>754125959.16999996</v>
      </c>
    </row>
    <row r="7" spans="1:48" s="14" customFormat="1" ht="15.75">
      <c r="A7" s="160" t="s">
        <v>7</v>
      </c>
      <c r="B7" s="285">
        <f>734299+7607765+1608382+1262141+451626</f>
        <v>11664213</v>
      </c>
      <c r="C7" s="303">
        <v>0</v>
      </c>
      <c r="D7" s="303">
        <v>0</v>
      </c>
      <c r="E7" s="303">
        <v>0</v>
      </c>
      <c r="F7" s="303">
        <v>0</v>
      </c>
      <c r="G7" s="303">
        <v>0</v>
      </c>
      <c r="H7" s="303">
        <v>0</v>
      </c>
      <c r="I7" s="303">
        <v>0</v>
      </c>
      <c r="J7" s="303">
        <v>0</v>
      </c>
      <c r="K7" s="303">
        <v>0</v>
      </c>
      <c r="L7" s="303">
        <v>0</v>
      </c>
      <c r="M7" s="303">
        <v>0</v>
      </c>
      <c r="N7" s="277">
        <f>16398297+1605749+10000+4475468+806444</f>
        <v>23295958</v>
      </c>
      <c r="O7" s="303">
        <v>0</v>
      </c>
      <c r="P7" s="303">
        <v>0</v>
      </c>
      <c r="Q7" s="303">
        <v>0</v>
      </c>
      <c r="R7" s="303">
        <v>0</v>
      </c>
      <c r="S7" s="303">
        <v>0</v>
      </c>
      <c r="T7" s="303">
        <v>0</v>
      </c>
      <c r="U7" s="296">
        <v>0</v>
      </c>
      <c r="V7" s="296">
        <v>0</v>
      </c>
      <c r="W7" s="303">
        <v>0</v>
      </c>
      <c r="X7" s="303">
        <v>0</v>
      </c>
      <c r="Y7" s="303">
        <v>0</v>
      </c>
      <c r="Z7" s="303">
        <v>0</v>
      </c>
      <c r="AA7" s="314">
        <v>43313613</v>
      </c>
      <c r="AB7" s="296">
        <v>0</v>
      </c>
      <c r="AC7" s="324">
        <v>0</v>
      </c>
      <c r="AD7" s="324">
        <v>0</v>
      </c>
      <c r="AE7" s="324">
        <v>0</v>
      </c>
      <c r="AF7" s="324">
        <v>0</v>
      </c>
      <c r="AG7" s="324">
        <v>0</v>
      </c>
      <c r="AH7" s="324">
        <v>0</v>
      </c>
      <c r="AI7" s="324">
        <v>0</v>
      </c>
      <c r="AJ7" s="324">
        <v>0</v>
      </c>
      <c r="AK7" s="324">
        <v>0</v>
      </c>
      <c r="AL7" s="324">
        <v>0</v>
      </c>
      <c r="AM7" s="322">
        <v>0</v>
      </c>
      <c r="AN7" s="329">
        <v>75065390</v>
      </c>
      <c r="AO7" s="338">
        <v>0</v>
      </c>
      <c r="AP7" s="340">
        <v>0</v>
      </c>
      <c r="AQ7" s="340">
        <v>0</v>
      </c>
      <c r="AR7" s="338">
        <v>0</v>
      </c>
      <c r="AS7" s="338">
        <v>0</v>
      </c>
      <c r="AT7" s="338">
        <v>0</v>
      </c>
      <c r="AU7" s="403">
        <v>0</v>
      </c>
      <c r="AV7" s="405">
        <v>0</v>
      </c>
    </row>
    <row r="8" spans="1:48" ht="15.75">
      <c r="A8" s="160" t="s">
        <v>8</v>
      </c>
      <c r="B8" s="283">
        <f t="shared" ref="B8:N8" si="6">(B9+B10+B11+B13+B12)</f>
        <v>115855</v>
      </c>
      <c r="C8" s="214">
        <f t="shared" si="6"/>
        <v>213810.41999999998</v>
      </c>
      <c r="D8" s="214">
        <f t="shared" si="6"/>
        <v>213810.41999999998</v>
      </c>
      <c r="E8" s="214">
        <f t="shared" si="6"/>
        <v>216168.91999999998</v>
      </c>
      <c r="F8" s="214">
        <f t="shared" si="6"/>
        <v>216168.91999999998</v>
      </c>
      <c r="G8" s="214">
        <f t="shared" si="6"/>
        <v>216168.91999999998</v>
      </c>
      <c r="H8" s="214">
        <f t="shared" si="6"/>
        <v>216168.91999999998</v>
      </c>
      <c r="I8" s="214">
        <f t="shared" si="6"/>
        <v>216418.91999999998</v>
      </c>
      <c r="J8" s="214">
        <f t="shared" si="6"/>
        <v>216480.84999999998</v>
      </c>
      <c r="K8" s="214">
        <f t="shared" si="6"/>
        <v>216480.84999999998</v>
      </c>
      <c r="L8" s="214">
        <f t="shared" si="6"/>
        <v>216637.4</v>
      </c>
      <c r="M8" s="214">
        <f t="shared" si="6"/>
        <v>216687.4</v>
      </c>
      <c r="N8" s="214">
        <f t="shared" si="6"/>
        <v>213810421</v>
      </c>
      <c r="O8" s="214">
        <f t="shared" ref="O8:T8" si="7">(O9+O10+O11+O13+O12)</f>
        <v>216687.4</v>
      </c>
      <c r="P8" s="214">
        <f t="shared" si="7"/>
        <v>216694.34</v>
      </c>
      <c r="Q8" s="214">
        <f t="shared" si="7"/>
        <v>216744.34</v>
      </c>
      <c r="R8" s="214">
        <f t="shared" si="7"/>
        <v>216894.34</v>
      </c>
      <c r="S8" s="214">
        <f t="shared" si="7"/>
        <v>216894.34</v>
      </c>
      <c r="T8" s="214">
        <f t="shared" si="7"/>
        <v>216894.34</v>
      </c>
      <c r="U8" s="214">
        <f t="shared" ref="U8:V8" si="8">(U9+U10+U11+U13+U12)</f>
        <v>217059.41</v>
      </c>
      <c r="V8" s="214">
        <f t="shared" si="8"/>
        <v>217109.41</v>
      </c>
      <c r="W8" s="214">
        <f t="shared" ref="W8:AA8" si="9">(W9+W10+W11+W13+W12)</f>
        <v>217720.19</v>
      </c>
      <c r="X8" s="214">
        <f t="shared" si="9"/>
        <v>217778.31</v>
      </c>
      <c r="Y8" s="214">
        <f t="shared" si="9"/>
        <v>217828.31</v>
      </c>
      <c r="Z8" s="214">
        <f t="shared" si="9"/>
        <v>217878.31</v>
      </c>
      <c r="AA8" s="214">
        <f t="shared" si="9"/>
        <v>214371201</v>
      </c>
      <c r="AB8" s="214">
        <f t="shared" ref="AB8:AM8" si="10">(AB9+AB10+AB11+AB13+AB12)</f>
        <v>217928312.81999999</v>
      </c>
      <c r="AC8" s="214">
        <f t="shared" si="10"/>
        <v>217978312.81999999</v>
      </c>
      <c r="AD8" s="214">
        <f t="shared" si="10"/>
        <v>217978312.81999999</v>
      </c>
      <c r="AE8" s="214">
        <f t="shared" si="10"/>
        <v>218078312.81999999</v>
      </c>
      <c r="AF8" s="214">
        <f t="shared" si="10"/>
        <v>218078312.81999999</v>
      </c>
      <c r="AG8" s="214">
        <f t="shared" si="10"/>
        <v>218195744.71000001</v>
      </c>
      <c r="AH8" s="214">
        <f t="shared" si="10"/>
        <v>218195744.71000001</v>
      </c>
      <c r="AI8" s="214">
        <f t="shared" si="10"/>
        <v>218295744.71000001</v>
      </c>
      <c r="AJ8" s="214">
        <f t="shared" si="10"/>
        <v>218345744.71000001</v>
      </c>
      <c r="AK8" s="214">
        <f t="shared" si="10"/>
        <v>218395744.71000001</v>
      </c>
      <c r="AL8" s="214">
        <f t="shared" si="10"/>
        <v>218445744.71000001</v>
      </c>
      <c r="AM8" s="214">
        <f t="shared" si="10"/>
        <v>218495744.71000001</v>
      </c>
      <c r="AN8" s="214">
        <f t="shared" ref="AN8:AV8" si="11">(AN9+AN10+AN11+AN13+AN12)</f>
        <v>213516227</v>
      </c>
      <c r="AO8" s="214">
        <f t="shared" si="11"/>
        <v>218574874.66</v>
      </c>
      <c r="AP8" s="214">
        <f t="shared" si="11"/>
        <v>217769874.66</v>
      </c>
      <c r="AQ8" s="214">
        <f t="shared" si="11"/>
        <v>217769874.66</v>
      </c>
      <c r="AR8" s="214">
        <f t="shared" si="11"/>
        <v>217869874.66</v>
      </c>
      <c r="AS8" s="214">
        <f t="shared" si="11"/>
        <v>217869874.66</v>
      </c>
      <c r="AT8" s="214">
        <f t="shared" si="11"/>
        <v>572135655.37</v>
      </c>
      <c r="AU8" s="214">
        <f t="shared" si="11"/>
        <v>729384950.37</v>
      </c>
      <c r="AV8" s="214">
        <f t="shared" si="11"/>
        <v>791642624.82000005</v>
      </c>
    </row>
    <row r="9" spans="1:48" ht="15">
      <c r="A9" s="161" t="s">
        <v>9</v>
      </c>
      <c r="B9" s="284"/>
      <c r="C9" s="303">
        <v>0</v>
      </c>
      <c r="D9" s="303">
        <v>0</v>
      </c>
      <c r="E9" s="303">
        <v>0</v>
      </c>
      <c r="F9" s="303">
        <v>0</v>
      </c>
      <c r="G9" s="303">
        <v>0</v>
      </c>
      <c r="H9" s="303">
        <v>0</v>
      </c>
      <c r="I9" s="303">
        <v>0</v>
      </c>
      <c r="J9" s="303">
        <v>0</v>
      </c>
      <c r="K9" s="303">
        <v>0</v>
      </c>
      <c r="L9" s="303">
        <v>0</v>
      </c>
      <c r="M9" s="303">
        <v>0</v>
      </c>
      <c r="N9" s="263"/>
      <c r="O9" s="303">
        <v>0</v>
      </c>
      <c r="P9" s="303">
        <v>0</v>
      </c>
      <c r="Q9" s="303">
        <v>0</v>
      </c>
      <c r="R9" s="303">
        <v>0</v>
      </c>
      <c r="S9" s="303">
        <v>0</v>
      </c>
      <c r="T9" s="303"/>
      <c r="U9" s="294">
        <v>0</v>
      </c>
      <c r="V9" s="294">
        <v>0</v>
      </c>
      <c r="W9" s="294"/>
      <c r="X9" s="294"/>
      <c r="Y9" s="294"/>
      <c r="Z9" s="294"/>
      <c r="AA9" s="313"/>
      <c r="AB9" s="294">
        <v>0</v>
      </c>
      <c r="AC9" s="322">
        <v>0</v>
      </c>
      <c r="AD9" s="322">
        <v>0</v>
      </c>
      <c r="AE9" s="322">
        <v>0</v>
      </c>
      <c r="AF9" s="322">
        <v>0</v>
      </c>
      <c r="AG9" s="322">
        <v>0</v>
      </c>
      <c r="AH9" s="322">
        <v>0</v>
      </c>
      <c r="AI9" s="322">
        <v>0</v>
      </c>
      <c r="AJ9" s="322">
        <v>0</v>
      </c>
      <c r="AK9" s="322">
        <v>0</v>
      </c>
      <c r="AL9" s="322">
        <v>0</v>
      </c>
      <c r="AM9" s="322">
        <v>0</v>
      </c>
      <c r="AN9" s="329"/>
      <c r="AO9" s="334">
        <v>0</v>
      </c>
      <c r="AP9" s="336">
        <v>0</v>
      </c>
      <c r="AQ9" s="336">
        <v>0</v>
      </c>
      <c r="AR9">
        <v>0</v>
      </c>
      <c r="AS9" s="334">
        <v>0</v>
      </c>
      <c r="AT9" s="335">
        <v>350000000</v>
      </c>
      <c r="AU9" s="400">
        <v>507249295</v>
      </c>
      <c r="AV9" s="402">
        <v>569506969.45000005</v>
      </c>
    </row>
    <row r="10" spans="1:48" ht="15">
      <c r="A10" s="161" t="s">
        <v>10</v>
      </c>
      <c r="B10" s="284"/>
      <c r="C10" s="303">
        <v>0</v>
      </c>
      <c r="D10" s="303">
        <v>0</v>
      </c>
      <c r="E10" s="303">
        <v>0</v>
      </c>
      <c r="F10" s="303">
        <v>0</v>
      </c>
      <c r="G10" s="303">
        <v>0</v>
      </c>
      <c r="H10" s="303">
        <v>0</v>
      </c>
      <c r="I10" s="303">
        <v>0</v>
      </c>
      <c r="J10" s="303">
        <v>0</v>
      </c>
      <c r="K10" s="303">
        <v>0</v>
      </c>
      <c r="L10" s="303">
        <v>0</v>
      </c>
      <c r="M10" s="303">
        <v>0</v>
      </c>
      <c r="N10" s="263"/>
      <c r="O10" s="303">
        <v>0</v>
      </c>
      <c r="P10" s="303">
        <v>0</v>
      </c>
      <c r="Q10" s="303">
        <v>0</v>
      </c>
      <c r="R10" s="303">
        <v>0</v>
      </c>
      <c r="S10" s="303">
        <v>0</v>
      </c>
      <c r="T10" s="303"/>
      <c r="U10" s="296">
        <v>0</v>
      </c>
      <c r="V10" s="296">
        <v>0</v>
      </c>
      <c r="W10" s="303">
        <v>0</v>
      </c>
      <c r="X10" s="303">
        <v>0</v>
      </c>
      <c r="Y10" s="303">
        <v>0</v>
      </c>
      <c r="Z10" s="303">
        <v>0</v>
      </c>
      <c r="AA10" s="314"/>
      <c r="AB10" s="296">
        <v>0</v>
      </c>
      <c r="AC10" s="324">
        <v>0</v>
      </c>
      <c r="AD10" s="324">
        <v>0</v>
      </c>
      <c r="AE10" s="324">
        <v>0</v>
      </c>
      <c r="AF10" s="324">
        <v>0</v>
      </c>
      <c r="AG10" s="324">
        <v>0</v>
      </c>
      <c r="AH10" s="324">
        <v>0</v>
      </c>
      <c r="AI10" s="324">
        <v>0</v>
      </c>
      <c r="AJ10" s="324">
        <v>0</v>
      </c>
      <c r="AK10" s="324">
        <v>0</v>
      </c>
      <c r="AL10" s="324">
        <v>0</v>
      </c>
      <c r="AM10" s="322">
        <v>0</v>
      </c>
      <c r="AN10" s="329"/>
      <c r="AO10" s="338">
        <v>0</v>
      </c>
      <c r="AP10" s="340">
        <v>0</v>
      </c>
      <c r="AQ10" s="340">
        <v>0</v>
      </c>
      <c r="AR10">
        <v>0</v>
      </c>
      <c r="AS10" s="338">
        <v>0</v>
      </c>
      <c r="AT10" s="338">
        <v>0</v>
      </c>
      <c r="AU10" s="403">
        <v>0</v>
      </c>
      <c r="AV10" s="405">
        <v>0</v>
      </c>
    </row>
    <row r="11" spans="1:48" ht="15.75">
      <c r="A11" s="219" t="s">
        <v>11</v>
      </c>
      <c r="B11" s="284">
        <f>115855</f>
        <v>115855</v>
      </c>
      <c r="C11" s="303">
        <v>8093.93</v>
      </c>
      <c r="D11" s="303">
        <v>8093.93</v>
      </c>
      <c r="E11" s="303">
        <v>10452.43</v>
      </c>
      <c r="F11" s="303">
        <v>10452.43</v>
      </c>
      <c r="G11" s="303">
        <v>10452.43</v>
      </c>
      <c r="H11" s="303">
        <v>10452.43</v>
      </c>
      <c r="I11" s="303">
        <v>10702.43</v>
      </c>
      <c r="J11" s="303">
        <v>10764.36</v>
      </c>
      <c r="K11" s="303">
        <v>10764.36</v>
      </c>
      <c r="L11" s="303">
        <v>10920.91</v>
      </c>
      <c r="M11" s="303">
        <v>10970.91</v>
      </c>
      <c r="N11" s="263"/>
      <c r="O11" s="303">
        <v>10970.91</v>
      </c>
      <c r="P11" s="303">
        <v>10977.85</v>
      </c>
      <c r="Q11" s="303">
        <v>11027.85</v>
      </c>
      <c r="R11" s="303">
        <v>11177.85</v>
      </c>
      <c r="S11" s="303">
        <v>11177.85</v>
      </c>
      <c r="T11" s="303">
        <v>11177.85</v>
      </c>
      <c r="U11" s="303"/>
      <c r="V11" s="297"/>
      <c r="W11" s="303">
        <v>0</v>
      </c>
      <c r="X11" s="303">
        <v>0</v>
      </c>
      <c r="Y11" s="303">
        <v>0</v>
      </c>
      <c r="Z11" s="303">
        <v>0</v>
      </c>
      <c r="AA11" s="314"/>
      <c r="AB11" s="297">
        <v>11651040.039999999</v>
      </c>
      <c r="AC11" s="325">
        <v>11701040.039999999</v>
      </c>
      <c r="AD11" s="325">
        <v>11701040.039999999</v>
      </c>
      <c r="AE11" s="325">
        <v>11801040.039999999</v>
      </c>
      <c r="AF11" s="325">
        <v>11801040.039999999</v>
      </c>
      <c r="AG11" s="325">
        <v>11918471.93</v>
      </c>
      <c r="AH11" s="325">
        <v>11918471.93</v>
      </c>
      <c r="AI11" s="325">
        <v>12018471.93</v>
      </c>
      <c r="AJ11" s="325">
        <v>12068471.93</v>
      </c>
      <c r="AK11" s="325">
        <v>12118471.93</v>
      </c>
      <c r="AL11" s="325">
        <v>12168471.93</v>
      </c>
      <c r="AM11" s="323">
        <v>12218471.93</v>
      </c>
      <c r="AN11" s="329"/>
      <c r="AO11" s="339">
        <v>12297601.880000001</v>
      </c>
      <c r="AP11" s="341">
        <v>12347601.880000001</v>
      </c>
      <c r="AQ11" s="341">
        <v>12347601.880000001</v>
      </c>
      <c r="AR11" s="335">
        <v>12447601.880000001</v>
      </c>
      <c r="AS11" s="339">
        <v>12447601.880000001</v>
      </c>
      <c r="AT11" s="339">
        <v>12547601.880000001</v>
      </c>
      <c r="AU11" s="404">
        <v>12547601.880000001</v>
      </c>
      <c r="AV11" s="406">
        <v>12547601.880000001</v>
      </c>
    </row>
    <row r="12" spans="1:48" ht="15.75">
      <c r="A12" s="259" t="s">
        <v>12</v>
      </c>
      <c r="B12" s="284"/>
      <c r="C12" s="303">
        <v>205716.49</v>
      </c>
      <c r="D12" s="303">
        <v>205716.49</v>
      </c>
      <c r="E12" s="303">
        <v>205716.49</v>
      </c>
      <c r="F12" s="303">
        <v>205716.49</v>
      </c>
      <c r="G12" s="303">
        <v>205716.49</v>
      </c>
      <c r="H12" s="303">
        <v>205716.49</v>
      </c>
      <c r="I12" s="303">
        <v>205716.49</v>
      </c>
      <c r="J12" s="303">
        <v>205716.49</v>
      </c>
      <c r="K12" s="303">
        <v>205716.49</v>
      </c>
      <c r="L12" s="303">
        <v>205716.49</v>
      </c>
      <c r="M12" s="303">
        <v>205716.49</v>
      </c>
      <c r="N12" s="276">
        <f>53232144+895992+8093928</f>
        <v>62222064</v>
      </c>
      <c r="O12" s="303"/>
      <c r="P12" s="303"/>
      <c r="Q12" s="303"/>
      <c r="R12" s="303"/>
      <c r="S12" s="303"/>
      <c r="T12" s="303"/>
      <c r="U12" s="295">
        <v>11342.92</v>
      </c>
      <c r="V12" s="297">
        <v>11392.92</v>
      </c>
      <c r="W12" s="303">
        <v>11442.92</v>
      </c>
      <c r="X12" s="303">
        <v>11501.04</v>
      </c>
      <c r="Y12" s="303">
        <v>11551.04</v>
      </c>
      <c r="Z12" s="303">
        <v>11601.04</v>
      </c>
      <c r="AA12" s="314">
        <f>53232144+895992+8093928</f>
        <v>62222064</v>
      </c>
      <c r="AB12" s="297">
        <v>206277272.78</v>
      </c>
      <c r="AC12" s="325">
        <v>206277272.78</v>
      </c>
      <c r="AD12" s="325">
        <v>206277272.78</v>
      </c>
      <c r="AE12" s="325">
        <v>206277272.78</v>
      </c>
      <c r="AF12" s="325">
        <v>206277272.78</v>
      </c>
      <c r="AG12" s="325">
        <v>206277272.78</v>
      </c>
      <c r="AH12" s="325">
        <v>206277272.78</v>
      </c>
      <c r="AI12" s="325">
        <v>206277272.78</v>
      </c>
      <c r="AJ12" s="325">
        <v>206277272.78</v>
      </c>
      <c r="AK12" s="325">
        <v>206277272.78</v>
      </c>
      <c r="AL12" s="325">
        <v>206277272.78</v>
      </c>
      <c r="AM12" s="323">
        <v>206277272.78</v>
      </c>
      <c r="AN12" s="329">
        <f>53232144+895992+8093928</f>
        <v>62222064</v>
      </c>
      <c r="AO12" s="339">
        <v>206277272.78</v>
      </c>
      <c r="AP12" s="341">
        <v>205422272.78</v>
      </c>
      <c r="AQ12" s="341">
        <v>205422272.78</v>
      </c>
      <c r="AR12" s="339">
        <v>205422272.78</v>
      </c>
      <c r="AS12" s="339">
        <v>205422272.78</v>
      </c>
      <c r="AT12" s="339">
        <v>209588053.49000001</v>
      </c>
      <c r="AU12" s="404">
        <v>209588053.49000001</v>
      </c>
      <c r="AV12" s="406">
        <v>209588053.49000001</v>
      </c>
    </row>
    <row r="13" spans="1:48" ht="15.75">
      <c r="A13" s="219" t="s">
        <v>13</v>
      </c>
      <c r="B13" s="286"/>
      <c r="C13" s="303"/>
      <c r="D13" s="303"/>
      <c r="E13" s="303"/>
      <c r="F13" s="303"/>
      <c r="G13" s="303"/>
      <c r="H13" s="303"/>
      <c r="I13" s="303"/>
      <c r="J13" s="303"/>
      <c r="K13" s="303"/>
      <c r="L13" s="303"/>
      <c r="M13" s="303"/>
      <c r="N13" s="276">
        <f>4339+25001118+126582900</f>
        <v>151588357</v>
      </c>
      <c r="O13" s="303">
        <v>205716.49</v>
      </c>
      <c r="P13" s="303">
        <v>205716.49</v>
      </c>
      <c r="Q13" s="303">
        <v>205716.49</v>
      </c>
      <c r="R13" s="303">
        <v>205716.49</v>
      </c>
      <c r="S13" s="303">
        <v>205716.49</v>
      </c>
      <c r="T13" s="303">
        <v>205716.49</v>
      </c>
      <c r="U13" s="297">
        <v>205716.49</v>
      </c>
      <c r="V13" s="297">
        <v>205716.49</v>
      </c>
      <c r="W13" s="303">
        <v>206277.27</v>
      </c>
      <c r="X13" s="303">
        <v>206277.27</v>
      </c>
      <c r="Y13" s="303">
        <v>206277.27</v>
      </c>
      <c r="Z13" s="303">
        <v>206277.27</v>
      </c>
      <c r="AA13" s="314">
        <f>4339+25001118+127143680</f>
        <v>152149137</v>
      </c>
      <c r="AB13" s="314">
        <v>0</v>
      </c>
      <c r="AC13" s="314">
        <v>0</v>
      </c>
      <c r="AD13" s="314">
        <v>0</v>
      </c>
      <c r="AE13" s="314">
        <v>0</v>
      </c>
      <c r="AF13" s="314">
        <v>0</v>
      </c>
      <c r="AG13" s="314">
        <v>0</v>
      </c>
      <c r="AH13" s="314">
        <v>0</v>
      </c>
      <c r="AI13" s="314">
        <v>0</v>
      </c>
      <c r="AJ13" s="314">
        <v>0</v>
      </c>
      <c r="AK13" s="314">
        <v>0</v>
      </c>
      <c r="AL13" s="314">
        <v>0</v>
      </c>
      <c r="AM13" s="314">
        <v>0</v>
      </c>
      <c r="AN13" s="314">
        <f>126288680+25001144+4339</f>
        <v>151294163</v>
      </c>
    </row>
    <row r="14" spans="1:48" ht="15.75">
      <c r="A14" s="160" t="s">
        <v>14</v>
      </c>
      <c r="B14" s="283">
        <f t="shared" ref="B14:N14" si="12">(B15-B16)</f>
        <v>216882733</v>
      </c>
      <c r="C14" s="214">
        <f t="shared" si="12"/>
        <v>2218881.4900000002</v>
      </c>
      <c r="D14" s="214">
        <f t="shared" si="12"/>
        <v>2194730.46</v>
      </c>
      <c r="E14" s="214">
        <f t="shared" si="12"/>
        <v>2142502.75</v>
      </c>
      <c r="F14" s="214">
        <f t="shared" si="12"/>
        <v>2083076.2000000002</v>
      </c>
      <c r="G14" s="214">
        <f t="shared" si="12"/>
        <v>2085200.93</v>
      </c>
      <c r="H14" s="214">
        <f t="shared" si="12"/>
        <v>2041178.09</v>
      </c>
      <c r="I14" s="214">
        <f t="shared" si="12"/>
        <v>2220959.62</v>
      </c>
      <c r="J14" s="214">
        <f t="shared" si="12"/>
        <v>2309725.0399999996</v>
      </c>
      <c r="K14" s="214">
        <f t="shared" si="12"/>
        <v>2379361.5099999998</v>
      </c>
      <c r="L14" s="214">
        <f t="shared" si="12"/>
        <v>2404986.6300000004</v>
      </c>
      <c r="M14" s="214">
        <f t="shared" si="12"/>
        <v>2478695.71</v>
      </c>
      <c r="N14" s="214">
        <f t="shared" si="12"/>
        <v>2478581524</v>
      </c>
      <c r="O14" s="214">
        <f t="shared" ref="O14:T14" si="13">(O15-O16)</f>
        <v>2479489.27</v>
      </c>
      <c r="P14" s="214">
        <f t="shared" si="13"/>
        <v>2481869.13</v>
      </c>
      <c r="Q14" s="214">
        <f t="shared" si="13"/>
        <v>2489170.7799999998</v>
      </c>
      <c r="R14" s="214">
        <f t="shared" si="13"/>
        <v>2545237.94</v>
      </c>
      <c r="S14" s="214">
        <f t="shared" si="13"/>
        <v>2587624.06</v>
      </c>
      <c r="T14" s="214">
        <f t="shared" si="13"/>
        <v>2642068.23</v>
      </c>
      <c r="U14" s="214">
        <f t="shared" ref="U14:V14" si="14">(U15-U16)</f>
        <v>2677521.4700000002</v>
      </c>
      <c r="V14" s="214">
        <f t="shared" si="14"/>
        <v>2712461.08</v>
      </c>
      <c r="W14" s="214">
        <f t="shared" ref="W14:AA14" si="15">(W15-W16)</f>
        <v>2723851.9</v>
      </c>
      <c r="X14" s="214">
        <f t="shared" si="15"/>
        <v>2746202.14</v>
      </c>
      <c r="Y14" s="214">
        <f t="shared" si="15"/>
        <v>2767953.4699999997</v>
      </c>
      <c r="Z14" s="214">
        <f t="shared" si="15"/>
        <v>2800804.5900000003</v>
      </c>
      <c r="AA14" s="214">
        <f t="shared" si="15"/>
        <v>2800698147</v>
      </c>
      <c r="AB14" s="214">
        <f t="shared" ref="AB14:AM14" si="16">(AB15-AB16)</f>
        <v>2827840614.25</v>
      </c>
      <c r="AC14" s="214">
        <f t="shared" si="16"/>
        <v>2843894899.1100001</v>
      </c>
      <c r="AD14" s="214">
        <f t="shared" si="16"/>
        <v>2809594950.1799998</v>
      </c>
      <c r="AE14" s="214">
        <f t="shared" si="16"/>
        <v>2829817574.4700003</v>
      </c>
      <c r="AF14" s="214">
        <f t="shared" si="16"/>
        <v>2866028703.5599999</v>
      </c>
      <c r="AG14" s="214">
        <f t="shared" si="16"/>
        <v>2942369878.2600002</v>
      </c>
      <c r="AH14" s="214">
        <f t="shared" si="16"/>
        <v>2951836113.4099998</v>
      </c>
      <c r="AI14" s="214">
        <f t="shared" si="16"/>
        <v>2980890806.7599998</v>
      </c>
      <c r="AJ14" s="214">
        <f t="shared" si="16"/>
        <v>2995097276.75</v>
      </c>
      <c r="AK14" s="214">
        <f t="shared" si="16"/>
        <v>3041490180.29</v>
      </c>
      <c r="AL14" s="214">
        <f t="shared" si="16"/>
        <v>3056773780.5</v>
      </c>
      <c r="AM14" s="214">
        <f t="shared" si="16"/>
        <v>3151807563.5099998</v>
      </c>
      <c r="AN14" s="214">
        <f t="shared" ref="AN14:AV14" si="17">(AN15-AN16)</f>
        <v>3151612610</v>
      </c>
      <c r="AO14" s="214">
        <f t="shared" si="17"/>
        <v>3232491088.9699998</v>
      </c>
      <c r="AP14" s="214">
        <f t="shared" si="17"/>
        <v>3265633037.8200002</v>
      </c>
      <c r="AQ14" s="214">
        <f t="shared" si="17"/>
        <v>3256291613.7599998</v>
      </c>
      <c r="AR14" s="214">
        <f t="shared" si="17"/>
        <v>3295806067.6199999</v>
      </c>
      <c r="AS14" s="214">
        <f t="shared" si="17"/>
        <v>3347375948.73</v>
      </c>
      <c r="AT14" s="214">
        <f t="shared" si="17"/>
        <v>3458486780.1900001</v>
      </c>
      <c r="AU14" s="214">
        <f t="shared" si="17"/>
        <v>3520624247.96</v>
      </c>
      <c r="AV14" s="214">
        <f t="shared" si="17"/>
        <v>3615258961.1799998</v>
      </c>
    </row>
    <row r="15" spans="1:48" ht="15.75">
      <c r="A15" s="161" t="s">
        <v>15</v>
      </c>
      <c r="B15" s="284">
        <v>238201977</v>
      </c>
      <c r="C15" s="303">
        <v>2254469.56</v>
      </c>
      <c r="D15" s="303">
        <v>2281291.9</v>
      </c>
      <c r="E15" s="303">
        <v>2236181.1</v>
      </c>
      <c r="F15" s="303">
        <v>2187771.9700000002</v>
      </c>
      <c r="G15" s="303">
        <v>2148831.42</v>
      </c>
      <c r="H15" s="303">
        <v>2152614.87</v>
      </c>
      <c r="I15" s="303">
        <v>2334271.62</v>
      </c>
      <c r="J15" s="303">
        <v>2423796.5299999998</v>
      </c>
      <c r="K15" s="303">
        <v>2482872.7999999998</v>
      </c>
      <c r="L15" s="303">
        <v>2516422.2400000002</v>
      </c>
      <c r="M15" s="303">
        <v>2564682.81</v>
      </c>
      <c r="N15" s="276">
        <v>2564485165</v>
      </c>
      <c r="O15" s="303">
        <v>2578503.35</v>
      </c>
      <c r="P15" s="303">
        <v>2602511.08</v>
      </c>
      <c r="Q15" s="303">
        <v>2595432.17</v>
      </c>
      <c r="R15" s="303">
        <v>2656255.7999999998</v>
      </c>
      <c r="S15" s="303">
        <v>2698251.62</v>
      </c>
      <c r="T15" s="303">
        <v>2757238.38</v>
      </c>
      <c r="U15" s="295">
        <v>2792413.31</v>
      </c>
      <c r="V15" s="295">
        <v>2817998.86</v>
      </c>
      <c r="W15" s="303">
        <v>2816968.34</v>
      </c>
      <c r="X15" s="303">
        <v>2834290.12</v>
      </c>
      <c r="Y15" s="303">
        <v>2851108.55</v>
      </c>
      <c r="Z15" s="303">
        <v>2876131.18</v>
      </c>
      <c r="AA15" s="313">
        <f>2800698147+75353662</f>
        <v>2876051809</v>
      </c>
      <c r="AB15" s="295">
        <v>2903167200.0300002</v>
      </c>
      <c r="AC15" s="323">
        <v>2912615929.5300002</v>
      </c>
      <c r="AD15" s="323">
        <v>2880768445.0999999</v>
      </c>
      <c r="AE15" s="323">
        <v>2902913607.6700001</v>
      </c>
      <c r="AF15" s="323">
        <v>2940415985.9400001</v>
      </c>
      <c r="AG15" s="323">
        <v>3024870171.5700002</v>
      </c>
      <c r="AH15" s="323">
        <v>3039570485.04</v>
      </c>
      <c r="AI15" s="323">
        <v>3068549066.9699998</v>
      </c>
      <c r="AJ15" s="323">
        <v>3077972780.6199999</v>
      </c>
      <c r="AK15" s="323">
        <v>3124390301.4499998</v>
      </c>
      <c r="AL15" s="323">
        <v>3144642734.3299999</v>
      </c>
      <c r="AM15" s="323">
        <v>3216427161.5599999</v>
      </c>
      <c r="AN15" s="329">
        <f>535593771+796044441+196669398+17584351+59907125+43671628+45944280+924150+2980750+39500+9731035+6426737+1280530506+225500+3338973+190127173+26490921</f>
        <v>3216230239</v>
      </c>
      <c r="AO15" s="335">
        <v>3304516342.5799999</v>
      </c>
      <c r="AP15" s="337">
        <v>3338762484.9200001</v>
      </c>
      <c r="AQ15" s="337">
        <v>3325741824.4499998</v>
      </c>
      <c r="AR15" s="335">
        <v>3365602731.9699998</v>
      </c>
      <c r="AS15" s="335">
        <v>3417586187.9400001</v>
      </c>
      <c r="AT15" s="335">
        <v>3538640424.8400002</v>
      </c>
      <c r="AU15" s="400">
        <v>3614806616.3299999</v>
      </c>
      <c r="AV15" s="402">
        <v>3716702526.1799998</v>
      </c>
    </row>
    <row r="16" spans="1:48" ht="15.75">
      <c r="A16" s="161" t="s">
        <v>16</v>
      </c>
      <c r="B16" s="284">
        <v>21319244</v>
      </c>
      <c r="C16" s="303">
        <v>35588.07</v>
      </c>
      <c r="D16" s="303">
        <v>86561.44</v>
      </c>
      <c r="E16" s="303">
        <v>93678.35</v>
      </c>
      <c r="F16" s="303">
        <v>104695.77</v>
      </c>
      <c r="G16" s="303">
        <v>63630.49</v>
      </c>
      <c r="H16" s="303">
        <v>111436.78</v>
      </c>
      <c r="I16" s="303">
        <v>113312</v>
      </c>
      <c r="J16" s="303">
        <v>114071.49</v>
      </c>
      <c r="K16" s="303">
        <v>103511.29</v>
      </c>
      <c r="L16" s="303">
        <v>111435.61</v>
      </c>
      <c r="M16" s="303">
        <v>85987.1</v>
      </c>
      <c r="N16" s="276">
        <v>85903641</v>
      </c>
      <c r="O16" s="303">
        <v>99014.080000000002</v>
      </c>
      <c r="P16" s="303">
        <v>120641.95</v>
      </c>
      <c r="Q16" s="303">
        <v>106261.39</v>
      </c>
      <c r="R16" s="303">
        <v>111017.86</v>
      </c>
      <c r="S16" s="303">
        <v>110627.56</v>
      </c>
      <c r="T16" s="303">
        <v>115170.15</v>
      </c>
      <c r="U16" s="297">
        <v>114891.84</v>
      </c>
      <c r="V16" s="297">
        <v>105537.78</v>
      </c>
      <c r="W16" s="303">
        <v>93116.44</v>
      </c>
      <c r="X16" s="303">
        <v>88087.98</v>
      </c>
      <c r="Y16" s="303">
        <v>83155.08</v>
      </c>
      <c r="Z16" s="303">
        <v>75326.59</v>
      </c>
      <c r="AA16" s="314">
        <v>75353662</v>
      </c>
      <c r="AB16" s="297">
        <v>75326585.780000001</v>
      </c>
      <c r="AC16" s="325">
        <v>68721030.420000002</v>
      </c>
      <c r="AD16" s="325">
        <v>71173494.920000002</v>
      </c>
      <c r="AE16" s="325">
        <v>73096033.200000003</v>
      </c>
      <c r="AF16" s="325">
        <v>74387282.379999995</v>
      </c>
      <c r="AG16" s="325">
        <v>82500293.310000002</v>
      </c>
      <c r="AH16" s="325">
        <v>87734371.629999995</v>
      </c>
      <c r="AI16" s="325">
        <v>87658260.209999993</v>
      </c>
      <c r="AJ16" s="325">
        <v>82875503.870000005</v>
      </c>
      <c r="AK16" s="325">
        <v>82900121.159999996</v>
      </c>
      <c r="AL16" s="325">
        <v>87868953.829999998</v>
      </c>
      <c r="AM16" s="323">
        <v>64619598.049999997</v>
      </c>
      <c r="AN16" s="329">
        <v>64617629</v>
      </c>
      <c r="AO16" s="339">
        <v>72025253.609999999</v>
      </c>
      <c r="AP16" s="341">
        <v>73129447.099999994</v>
      </c>
      <c r="AQ16" s="341">
        <v>69450210.689999998</v>
      </c>
      <c r="AR16" s="339">
        <v>69796664.349999994</v>
      </c>
      <c r="AS16" s="339">
        <v>70210239.209999993</v>
      </c>
      <c r="AT16" s="339">
        <v>80153644.650000006</v>
      </c>
      <c r="AU16" s="404">
        <v>94182368.370000005</v>
      </c>
      <c r="AV16" s="406">
        <v>101443565</v>
      </c>
    </row>
    <row r="17" spans="1:48" ht="15.75">
      <c r="A17" s="160" t="s">
        <v>17</v>
      </c>
      <c r="B17" s="283">
        <f t="shared" ref="B17:N17" si="18">(B18+B19+B20)</f>
        <v>0</v>
      </c>
      <c r="C17" s="214">
        <f t="shared" si="18"/>
        <v>6806.19</v>
      </c>
      <c r="D17" s="214">
        <f t="shared" si="18"/>
        <v>-428.76</v>
      </c>
      <c r="E17" s="214">
        <f t="shared" si="18"/>
        <v>-428.76</v>
      </c>
      <c r="F17" s="214">
        <f t="shared" si="18"/>
        <v>4501.59</v>
      </c>
      <c r="G17" s="214">
        <f t="shared" si="18"/>
        <v>4501.59</v>
      </c>
      <c r="H17" s="214">
        <f t="shared" si="18"/>
        <v>7698.28</v>
      </c>
      <c r="I17" s="214">
        <f t="shared" si="18"/>
        <v>7698.28</v>
      </c>
      <c r="J17" s="214">
        <f t="shared" si="18"/>
        <v>10845.55</v>
      </c>
      <c r="K17" s="214">
        <f t="shared" si="18"/>
        <v>10845.55</v>
      </c>
      <c r="L17" s="214">
        <f t="shared" si="18"/>
        <v>10845.55</v>
      </c>
      <c r="M17" s="214">
        <f t="shared" si="18"/>
        <v>13947.5</v>
      </c>
      <c r="N17" s="214">
        <f t="shared" si="18"/>
        <v>5044613</v>
      </c>
      <c r="O17" s="214">
        <f t="shared" ref="O17:T17" si="19">(O18+O19+O20)</f>
        <v>13947.5</v>
      </c>
      <c r="P17" s="214">
        <f t="shared" si="19"/>
        <v>5044.6099999999997</v>
      </c>
      <c r="Q17" s="214">
        <f t="shared" si="19"/>
        <v>5044.6099999999997</v>
      </c>
      <c r="R17" s="214">
        <f t="shared" si="19"/>
        <v>7960.02</v>
      </c>
      <c r="S17" s="214">
        <f t="shared" si="19"/>
        <v>7960.02</v>
      </c>
      <c r="T17" s="214">
        <f t="shared" si="19"/>
        <v>4258.3999999999996</v>
      </c>
      <c r="U17" s="214">
        <f t="shared" ref="U17:V17" si="20">(U18+U19+U20)</f>
        <v>4258.3999999999996</v>
      </c>
      <c r="V17" s="214">
        <f t="shared" si="20"/>
        <v>4258.3999999999996</v>
      </c>
      <c r="W17" s="214">
        <f t="shared" ref="W17:AA17" si="21">(W18+W19+W20)</f>
        <v>2915.41</v>
      </c>
      <c r="X17" s="214">
        <f t="shared" si="21"/>
        <v>2915.41</v>
      </c>
      <c r="Y17" s="214">
        <f t="shared" si="21"/>
        <v>7173.82</v>
      </c>
      <c r="Z17" s="214">
        <f t="shared" si="21"/>
        <v>10089.23</v>
      </c>
      <c r="AA17" s="214">
        <f t="shared" si="21"/>
        <v>5044614</v>
      </c>
      <c r="AB17" s="214">
        <f t="shared" ref="AB17:AM17" si="22">(AB18+AB19+AB20)</f>
        <v>5044613.72</v>
      </c>
      <c r="AC17" s="214">
        <f t="shared" si="22"/>
        <v>5044613.72</v>
      </c>
      <c r="AD17" s="214">
        <f t="shared" si="22"/>
        <v>5044613.72</v>
      </c>
      <c r="AE17" s="214">
        <f t="shared" si="22"/>
        <v>3986441.28</v>
      </c>
      <c r="AF17" s="214">
        <f t="shared" si="22"/>
        <v>0</v>
      </c>
      <c r="AG17" s="214">
        <f t="shared" si="22"/>
        <v>329986.71999999997</v>
      </c>
      <c r="AH17" s="214">
        <f t="shared" si="22"/>
        <v>329986.71999999997</v>
      </c>
      <c r="AI17" s="214">
        <f t="shared" si="22"/>
        <v>329986.71999999997</v>
      </c>
      <c r="AJ17" s="214">
        <f t="shared" si="22"/>
        <v>4626676.72</v>
      </c>
      <c r="AK17" s="214">
        <f t="shared" si="22"/>
        <v>4626676.72</v>
      </c>
      <c r="AL17" s="214">
        <f t="shared" si="22"/>
        <v>4626676.72</v>
      </c>
      <c r="AM17" s="214">
        <f t="shared" si="22"/>
        <v>8923366.7200000007</v>
      </c>
      <c r="AN17" s="214">
        <f t="shared" ref="AN17:AV17" si="23">(AN18+AN19+AN20)</f>
        <v>0</v>
      </c>
      <c r="AO17" s="214">
        <f t="shared" si="23"/>
        <v>8923366.7200000007</v>
      </c>
      <c r="AP17" s="214">
        <f t="shared" si="23"/>
        <v>0</v>
      </c>
      <c r="AQ17" s="214">
        <f t="shared" si="23"/>
        <v>0</v>
      </c>
      <c r="AR17" s="214">
        <f t="shared" si="23"/>
        <v>0</v>
      </c>
      <c r="AS17" s="214">
        <f t="shared" si="23"/>
        <v>0</v>
      </c>
      <c r="AT17" s="214">
        <f t="shared" si="23"/>
        <v>0</v>
      </c>
      <c r="AU17" s="214">
        <f t="shared" si="23"/>
        <v>120186.72</v>
      </c>
      <c r="AV17" s="214">
        <f t="shared" si="23"/>
        <v>120186.72</v>
      </c>
    </row>
    <row r="18" spans="1:48" ht="15">
      <c r="A18" s="161" t="s">
        <v>18</v>
      </c>
      <c r="B18" s="287"/>
      <c r="C18" s="303">
        <v>6806.19</v>
      </c>
      <c r="D18" s="303">
        <v>-428.76</v>
      </c>
      <c r="E18" s="303">
        <v>-428.76</v>
      </c>
      <c r="F18" s="303">
        <v>4501.59</v>
      </c>
      <c r="G18" s="303">
        <v>4501.59</v>
      </c>
      <c r="H18" s="303">
        <v>7698.28</v>
      </c>
      <c r="I18" s="303">
        <v>7698.28</v>
      </c>
      <c r="J18" s="303">
        <v>10845.55</v>
      </c>
      <c r="K18" s="303">
        <v>10845.55</v>
      </c>
      <c r="L18" s="303">
        <v>10845.55</v>
      </c>
      <c r="M18" s="303">
        <v>13947.5</v>
      </c>
      <c r="N18" s="276">
        <v>5044613</v>
      </c>
      <c r="O18" s="303">
        <v>13947.5</v>
      </c>
      <c r="P18" s="303">
        <v>5044.6099999999997</v>
      </c>
      <c r="Q18" s="303">
        <v>5044.6099999999997</v>
      </c>
      <c r="R18" s="303">
        <v>7960.02</v>
      </c>
      <c r="S18" s="303">
        <v>7960.02</v>
      </c>
      <c r="T18" s="303">
        <v>4258.3999999999996</v>
      </c>
      <c r="U18" s="295">
        <v>4258.3999999999996</v>
      </c>
      <c r="V18" s="295">
        <v>4258.3999999999996</v>
      </c>
      <c r="W18" s="303">
        <v>2915.41</v>
      </c>
      <c r="X18" s="303">
        <v>2915.41</v>
      </c>
      <c r="Y18" s="303">
        <v>7173.82</v>
      </c>
      <c r="Z18" s="303">
        <v>10089.23</v>
      </c>
      <c r="AA18" s="313">
        <v>5044614</v>
      </c>
      <c r="AB18" s="295">
        <v>5044613.72</v>
      </c>
      <c r="AC18" s="323">
        <v>5044613.72</v>
      </c>
      <c r="AD18" s="323">
        <v>5044613.72</v>
      </c>
      <c r="AE18" s="323">
        <v>3986441.28</v>
      </c>
      <c r="AF18" s="322">
        <v>0</v>
      </c>
      <c r="AG18" s="323">
        <v>329986.71999999997</v>
      </c>
      <c r="AH18" s="323">
        <v>329986.71999999997</v>
      </c>
      <c r="AI18" s="323">
        <v>329986.71999999997</v>
      </c>
      <c r="AJ18" s="323">
        <v>4626676.72</v>
      </c>
      <c r="AK18" s="323">
        <v>4626676.72</v>
      </c>
      <c r="AL18" s="323">
        <v>4626676.72</v>
      </c>
      <c r="AM18" s="323">
        <v>8923366.7200000007</v>
      </c>
      <c r="AN18" s="329"/>
      <c r="AO18" s="335">
        <v>8923366.7200000007</v>
      </c>
      <c r="AP18" s="336">
        <v>0</v>
      </c>
      <c r="AQ18" s="336">
        <v>0</v>
      </c>
      <c r="AR18" s="334">
        <v>0</v>
      </c>
      <c r="AS18">
        <v>0</v>
      </c>
      <c r="AT18" s="334">
        <v>0</v>
      </c>
      <c r="AU18" s="400">
        <v>120186.72</v>
      </c>
      <c r="AV18" s="402">
        <v>120186.72</v>
      </c>
    </row>
    <row r="19" spans="1:48" ht="15">
      <c r="A19" s="161" t="s">
        <v>19</v>
      </c>
      <c r="B19" s="287"/>
      <c r="C19" s="303">
        <v>0</v>
      </c>
      <c r="D19" s="303">
        <v>0</v>
      </c>
      <c r="E19" s="303">
        <v>0</v>
      </c>
      <c r="F19" s="303">
        <v>0</v>
      </c>
      <c r="G19" s="303">
        <v>0</v>
      </c>
      <c r="H19" s="303">
        <v>0</v>
      </c>
      <c r="I19" s="303">
        <v>0</v>
      </c>
      <c r="J19" s="303">
        <v>0</v>
      </c>
      <c r="K19" s="303">
        <v>0</v>
      </c>
      <c r="L19" s="303">
        <v>0</v>
      </c>
      <c r="M19" s="303">
        <v>0</v>
      </c>
      <c r="N19" s="303"/>
      <c r="O19" s="303">
        <v>0</v>
      </c>
      <c r="P19" s="303">
        <v>0</v>
      </c>
      <c r="Q19" s="303">
        <v>0</v>
      </c>
      <c r="R19" s="303">
        <v>0</v>
      </c>
      <c r="S19" s="303">
        <v>0</v>
      </c>
      <c r="T19" s="303">
        <v>0</v>
      </c>
      <c r="U19" s="296">
        <v>0</v>
      </c>
      <c r="V19" s="296">
        <v>0</v>
      </c>
      <c r="W19" s="303">
        <v>0</v>
      </c>
      <c r="X19" s="303">
        <v>0</v>
      </c>
      <c r="Y19" s="303">
        <v>0</v>
      </c>
      <c r="Z19" s="303">
        <v>0</v>
      </c>
      <c r="AA19" s="314"/>
      <c r="AB19" s="296">
        <v>0</v>
      </c>
      <c r="AC19" s="324">
        <v>0</v>
      </c>
      <c r="AD19" s="324">
        <v>0</v>
      </c>
      <c r="AE19" s="324">
        <v>0</v>
      </c>
      <c r="AF19" s="324">
        <v>0</v>
      </c>
      <c r="AG19" s="324">
        <v>0</v>
      </c>
      <c r="AH19" s="324">
        <v>0</v>
      </c>
      <c r="AI19" s="324">
        <v>0</v>
      </c>
      <c r="AJ19" s="324">
        <v>0</v>
      </c>
      <c r="AK19" s="324">
        <v>0</v>
      </c>
      <c r="AL19" s="324">
        <v>0</v>
      </c>
      <c r="AM19" s="322">
        <v>0</v>
      </c>
      <c r="AN19" s="329"/>
      <c r="AO19" s="338">
        <v>0</v>
      </c>
      <c r="AP19" s="340">
        <v>0</v>
      </c>
      <c r="AQ19" s="340">
        <v>0</v>
      </c>
      <c r="AR19" s="338">
        <v>0</v>
      </c>
      <c r="AS19">
        <v>0</v>
      </c>
      <c r="AT19" s="338">
        <v>0</v>
      </c>
      <c r="AU19" s="403">
        <v>0</v>
      </c>
      <c r="AV19" s="405">
        <v>0</v>
      </c>
    </row>
    <row r="20" spans="1:48" ht="15">
      <c r="A20" s="161" t="s">
        <v>20</v>
      </c>
      <c r="B20" s="287"/>
      <c r="C20" s="303">
        <v>0</v>
      </c>
      <c r="D20" s="303">
        <v>0</v>
      </c>
      <c r="E20" s="303">
        <v>0</v>
      </c>
      <c r="F20" s="303">
        <v>0</v>
      </c>
      <c r="G20" s="303">
        <v>0</v>
      </c>
      <c r="H20" s="303">
        <v>0</v>
      </c>
      <c r="I20" s="303">
        <v>0</v>
      </c>
      <c r="J20" s="303">
        <v>0</v>
      </c>
      <c r="K20" s="303">
        <v>0</v>
      </c>
      <c r="L20" s="303">
        <v>0</v>
      </c>
      <c r="M20" s="303">
        <v>0</v>
      </c>
      <c r="N20" s="303"/>
      <c r="O20" s="303">
        <v>0</v>
      </c>
      <c r="P20" s="303">
        <v>0</v>
      </c>
      <c r="Q20" s="303">
        <v>0</v>
      </c>
      <c r="R20" s="303">
        <v>0</v>
      </c>
      <c r="S20" s="303">
        <v>0</v>
      </c>
      <c r="T20" s="303">
        <v>0</v>
      </c>
      <c r="U20" s="296">
        <v>0</v>
      </c>
      <c r="V20" s="296">
        <v>0</v>
      </c>
      <c r="W20" s="303">
        <v>0</v>
      </c>
      <c r="X20" s="303">
        <v>0</v>
      </c>
      <c r="Y20" s="303">
        <v>0</v>
      </c>
      <c r="Z20" s="303">
        <v>0</v>
      </c>
      <c r="AA20" s="314"/>
      <c r="AB20" s="296">
        <v>0</v>
      </c>
      <c r="AC20" s="324">
        <v>0</v>
      </c>
      <c r="AD20" s="324">
        <v>0</v>
      </c>
      <c r="AE20" s="324">
        <v>0</v>
      </c>
      <c r="AF20" s="324">
        <v>0</v>
      </c>
      <c r="AG20" s="324">
        <v>0</v>
      </c>
      <c r="AH20" s="324">
        <v>0</v>
      </c>
      <c r="AI20" s="324">
        <v>0</v>
      </c>
      <c r="AJ20" s="324">
        <v>0</v>
      </c>
      <c r="AK20" s="324">
        <v>0</v>
      </c>
      <c r="AL20" s="324">
        <v>0</v>
      </c>
      <c r="AM20" s="322">
        <v>0</v>
      </c>
      <c r="AN20" s="329"/>
      <c r="AO20" s="338">
        <v>0</v>
      </c>
      <c r="AP20" s="340">
        <v>0</v>
      </c>
      <c r="AQ20" s="340">
        <v>0</v>
      </c>
      <c r="AR20" s="338">
        <v>0</v>
      </c>
      <c r="AS20">
        <v>0</v>
      </c>
      <c r="AT20" s="338">
        <v>0</v>
      </c>
      <c r="AU20" s="403">
        <v>0</v>
      </c>
      <c r="AV20" s="405">
        <v>0</v>
      </c>
    </row>
    <row r="21" spans="1:48" ht="15.75">
      <c r="A21" s="160" t="s">
        <v>21</v>
      </c>
      <c r="B21" s="283">
        <f t="shared" ref="B21:N21" si="24">(B22+B23+B24+B25+B26)</f>
        <v>3806303</v>
      </c>
      <c r="C21" s="214">
        <f t="shared" si="24"/>
        <v>165873.14000000001</v>
      </c>
      <c r="D21" s="214">
        <f t="shared" si="24"/>
        <v>139478.98000000001</v>
      </c>
      <c r="E21" s="214">
        <f t="shared" si="24"/>
        <v>134978.1</v>
      </c>
      <c r="F21" s="214">
        <f t="shared" si="24"/>
        <v>188305.43</v>
      </c>
      <c r="G21" s="214">
        <f t="shared" si="24"/>
        <v>136868.63</v>
      </c>
      <c r="H21" s="214">
        <f t="shared" si="24"/>
        <v>138808.23000000001</v>
      </c>
      <c r="I21" s="214">
        <f t="shared" si="24"/>
        <v>137972.94</v>
      </c>
      <c r="J21" s="214">
        <f t="shared" si="24"/>
        <v>137846.07</v>
      </c>
      <c r="K21" s="214">
        <f t="shared" si="24"/>
        <v>141879.87</v>
      </c>
      <c r="L21" s="214">
        <f t="shared" si="24"/>
        <v>138243.07</v>
      </c>
      <c r="M21" s="214">
        <f t="shared" si="24"/>
        <v>137353.5</v>
      </c>
      <c r="N21" s="214">
        <f t="shared" si="24"/>
        <v>113520983</v>
      </c>
      <c r="O21" s="214">
        <f t="shared" ref="O21:T21" si="25">(O22+O23+O24+O25+O26)</f>
        <v>139776.85</v>
      </c>
      <c r="P21" s="214">
        <f t="shared" si="25"/>
        <v>143284.94</v>
      </c>
      <c r="Q21" s="214">
        <f t="shared" si="25"/>
        <v>141812.34</v>
      </c>
      <c r="R21" s="214">
        <f t="shared" si="25"/>
        <v>138892.79999999999</v>
      </c>
      <c r="S21" s="214">
        <f t="shared" si="25"/>
        <v>140683.69</v>
      </c>
      <c r="T21" s="214">
        <f t="shared" si="25"/>
        <v>151122.1</v>
      </c>
      <c r="U21" s="214">
        <f t="shared" ref="U21:V21" si="26">(U22+U23+U24+U25+U26)</f>
        <v>153383.82</v>
      </c>
      <c r="V21" s="214">
        <f t="shared" si="26"/>
        <v>150428.1</v>
      </c>
      <c r="W21" s="214">
        <f t="shared" ref="W21:AA21" si="27">(W22+W23+W24+W25+W26)</f>
        <v>209557.71999999997</v>
      </c>
      <c r="X21" s="214">
        <f t="shared" si="27"/>
        <v>158969.66</v>
      </c>
      <c r="Y21" s="214">
        <f t="shared" si="27"/>
        <v>156363.08000000002</v>
      </c>
      <c r="Z21" s="214">
        <f t="shared" si="27"/>
        <v>168059.22</v>
      </c>
      <c r="AA21" s="214">
        <f t="shared" si="27"/>
        <v>114601701</v>
      </c>
      <c r="AB21" s="214">
        <f t="shared" ref="AB21:AM21" si="28">(AB22+AB23+AB24+AB25+AB26)</f>
        <v>165338015.71000001</v>
      </c>
      <c r="AC21" s="214">
        <f t="shared" si="28"/>
        <v>170008228.72</v>
      </c>
      <c r="AD21" s="214">
        <f t="shared" si="28"/>
        <v>175271233.31</v>
      </c>
      <c r="AE21" s="214">
        <f t="shared" si="28"/>
        <v>158338272.21000001</v>
      </c>
      <c r="AF21" s="214">
        <f t="shared" si="28"/>
        <v>164714184.81999999</v>
      </c>
      <c r="AG21" s="214">
        <f t="shared" si="28"/>
        <v>177745241.81</v>
      </c>
      <c r="AH21" s="214">
        <f t="shared" si="28"/>
        <v>223189872.16000003</v>
      </c>
      <c r="AI21" s="214">
        <f t="shared" si="28"/>
        <v>165668171.02000001</v>
      </c>
      <c r="AJ21" s="214">
        <f t="shared" si="28"/>
        <v>174167241.30000001</v>
      </c>
      <c r="AK21" s="214">
        <f t="shared" si="28"/>
        <v>181455680.56999999</v>
      </c>
      <c r="AL21" s="214">
        <f t="shared" si="28"/>
        <v>196559100.33999997</v>
      </c>
      <c r="AM21" s="214">
        <f t="shared" si="28"/>
        <v>183471548.18000001</v>
      </c>
      <c r="AN21" s="214">
        <f t="shared" ref="AN21:AV21" si="29">(AN22+AN23+AN24+AN25+AN26)</f>
        <v>113654775</v>
      </c>
      <c r="AO21" s="214">
        <f t="shared" si="29"/>
        <v>197682333.82999998</v>
      </c>
      <c r="AP21" s="214">
        <f t="shared" si="29"/>
        <v>207788816.47</v>
      </c>
      <c r="AQ21" s="214">
        <f t="shared" si="29"/>
        <v>201160171.40000001</v>
      </c>
      <c r="AR21" s="214">
        <f t="shared" si="29"/>
        <v>183250395.56</v>
      </c>
      <c r="AS21" s="214">
        <f t="shared" si="29"/>
        <v>207569336.54000002</v>
      </c>
      <c r="AT21" s="214">
        <f t="shared" si="29"/>
        <v>201362001.06</v>
      </c>
      <c r="AU21" s="214">
        <f t="shared" si="29"/>
        <v>179175110.41</v>
      </c>
      <c r="AV21" s="214">
        <f t="shared" si="29"/>
        <v>227076138.44999999</v>
      </c>
    </row>
    <row r="22" spans="1:48" ht="15">
      <c r="A22" s="161" t="s">
        <v>22</v>
      </c>
      <c r="B22" s="287"/>
      <c r="C22" s="303">
        <v>0</v>
      </c>
      <c r="D22" s="303">
        <v>0</v>
      </c>
      <c r="E22" s="303">
        <v>0</v>
      </c>
      <c r="F22" s="303">
        <v>0</v>
      </c>
      <c r="G22" s="303">
        <v>0</v>
      </c>
      <c r="H22" s="303">
        <v>0</v>
      </c>
      <c r="I22" s="303">
        <v>0</v>
      </c>
      <c r="J22" s="303">
        <v>0</v>
      </c>
      <c r="K22" s="303">
        <v>0</v>
      </c>
      <c r="L22" s="303">
        <v>0</v>
      </c>
      <c r="M22" s="303">
        <v>0</v>
      </c>
      <c r="N22" s="276"/>
      <c r="O22" s="303">
        <v>0</v>
      </c>
      <c r="P22" s="303">
        <v>0</v>
      </c>
      <c r="Q22" s="303">
        <v>0</v>
      </c>
      <c r="R22" s="303">
        <v>0</v>
      </c>
      <c r="S22" s="303">
        <v>0</v>
      </c>
      <c r="T22" s="303">
        <v>0</v>
      </c>
      <c r="U22" s="294">
        <v>0</v>
      </c>
      <c r="V22" s="294">
        <v>0</v>
      </c>
      <c r="W22" s="303">
        <v>0</v>
      </c>
      <c r="X22" s="303">
        <v>0</v>
      </c>
      <c r="Y22" s="303">
        <v>0</v>
      </c>
      <c r="Z22" s="303">
        <v>0</v>
      </c>
      <c r="AA22" s="313"/>
      <c r="AB22" s="294">
        <v>0</v>
      </c>
      <c r="AC22" s="322">
        <v>0</v>
      </c>
      <c r="AD22" s="322">
        <v>0</v>
      </c>
      <c r="AE22" s="322">
        <v>0</v>
      </c>
      <c r="AF22" s="322">
        <v>0</v>
      </c>
      <c r="AG22" s="322">
        <v>0</v>
      </c>
      <c r="AH22" s="322">
        <v>0</v>
      </c>
      <c r="AI22" s="322">
        <v>0</v>
      </c>
      <c r="AJ22" s="322">
        <v>0</v>
      </c>
      <c r="AK22" s="322">
        <v>0</v>
      </c>
      <c r="AL22" s="322">
        <v>0</v>
      </c>
      <c r="AM22" s="322">
        <v>0</v>
      </c>
      <c r="AN22" s="329"/>
      <c r="AO22" s="334">
        <v>0</v>
      </c>
      <c r="AP22" s="336">
        <v>0</v>
      </c>
      <c r="AQ22" s="336">
        <v>0</v>
      </c>
      <c r="AR22" s="334">
        <v>0</v>
      </c>
      <c r="AS22" s="334">
        <v>0</v>
      </c>
      <c r="AT22" s="334">
        <v>0</v>
      </c>
      <c r="AU22" s="399">
        <v>0</v>
      </c>
      <c r="AV22" s="401">
        <v>0</v>
      </c>
    </row>
    <row r="23" spans="1:48" ht="15.75">
      <c r="A23" s="161" t="s">
        <v>23</v>
      </c>
      <c r="B23" s="284">
        <v>3806303</v>
      </c>
      <c r="C23" s="303">
        <v>109066.07</v>
      </c>
      <c r="D23" s="303">
        <v>108792.8</v>
      </c>
      <c r="E23" s="303">
        <v>108491.82</v>
      </c>
      <c r="F23" s="303">
        <v>108202.08</v>
      </c>
      <c r="G23" s="303">
        <v>108014.06</v>
      </c>
      <c r="H23" s="303">
        <v>107724.2</v>
      </c>
      <c r="I23" s="303">
        <v>109023.81</v>
      </c>
      <c r="J23" s="303">
        <v>111726.02</v>
      </c>
      <c r="K23" s="303">
        <v>111386.02</v>
      </c>
      <c r="L23" s="303">
        <v>111058.25</v>
      </c>
      <c r="M23" s="303">
        <v>110720.85</v>
      </c>
      <c r="N23" s="276">
        <f>110878048</f>
        <v>110878048</v>
      </c>
      <c r="O23" s="303">
        <v>110558.85</v>
      </c>
      <c r="P23" s="303">
        <v>110271.65</v>
      </c>
      <c r="Q23" s="303">
        <v>110081.29</v>
      </c>
      <c r="R23" s="303">
        <v>109775.86</v>
      </c>
      <c r="S23" s="303">
        <v>109461.41</v>
      </c>
      <c r="T23" s="303">
        <v>111584.85</v>
      </c>
      <c r="U23" s="297">
        <v>112504.36</v>
      </c>
      <c r="V23" s="297">
        <v>111877.42</v>
      </c>
      <c r="W23" s="303">
        <v>111526.01</v>
      </c>
      <c r="X23" s="303">
        <v>111311.28</v>
      </c>
      <c r="Y23" s="303">
        <v>110961.91</v>
      </c>
      <c r="Z23" s="303">
        <v>110601.93</v>
      </c>
      <c r="AA23" s="314">
        <v>110601955</v>
      </c>
      <c r="AB23" s="297">
        <v>110270974.5</v>
      </c>
      <c r="AC23" s="325">
        <v>109972910.70999999</v>
      </c>
      <c r="AD23" s="325">
        <v>109643849.3</v>
      </c>
      <c r="AE23" s="325">
        <v>109334623.53</v>
      </c>
      <c r="AF23" s="325">
        <v>110023098.48999999</v>
      </c>
      <c r="AG23" s="325">
        <v>112177605.62</v>
      </c>
      <c r="AH23" s="325">
        <v>112204862.43000001</v>
      </c>
      <c r="AI23" s="325">
        <v>111920029.54000001</v>
      </c>
      <c r="AJ23" s="325">
        <v>111585414.2</v>
      </c>
      <c r="AK23" s="325">
        <v>111240503.31999999</v>
      </c>
      <c r="AL23" s="325">
        <v>111729030.98999999</v>
      </c>
      <c r="AM23" s="323">
        <v>110181366.70999999</v>
      </c>
      <c r="AN23" s="329">
        <v>110181392</v>
      </c>
      <c r="AO23" s="339">
        <v>109664888.06999999</v>
      </c>
      <c r="AP23" s="341">
        <v>109199086.45999999</v>
      </c>
      <c r="AQ23" s="341">
        <v>109431376.89</v>
      </c>
      <c r="AR23" s="339">
        <v>109362527.48999999</v>
      </c>
      <c r="AS23" s="339">
        <v>108847164.87</v>
      </c>
      <c r="AT23" s="339">
        <v>110007612.70999999</v>
      </c>
      <c r="AU23" s="404">
        <v>110147863.56999999</v>
      </c>
      <c r="AV23" s="406">
        <v>110035919.20999999</v>
      </c>
    </row>
    <row r="24" spans="1:48" ht="15">
      <c r="A24" s="161" t="s">
        <v>24</v>
      </c>
      <c r="B24" s="287"/>
      <c r="C24" s="303">
        <v>0</v>
      </c>
      <c r="D24" s="303">
        <v>0</v>
      </c>
      <c r="E24" s="303">
        <v>0</v>
      </c>
      <c r="F24" s="303">
        <v>0</v>
      </c>
      <c r="G24" s="303">
        <v>0</v>
      </c>
      <c r="H24" s="303">
        <v>0</v>
      </c>
      <c r="I24" s="303">
        <v>0</v>
      </c>
      <c r="J24" s="303">
        <v>0</v>
      </c>
      <c r="K24" s="303">
        <v>0</v>
      </c>
      <c r="L24" s="303">
        <v>0</v>
      </c>
      <c r="M24" s="303">
        <v>0</v>
      </c>
      <c r="N24" s="276"/>
      <c r="O24" s="303">
        <v>0</v>
      </c>
      <c r="P24" s="303">
        <v>0</v>
      </c>
      <c r="Q24" s="303">
        <v>0</v>
      </c>
      <c r="R24" s="303">
        <v>0</v>
      </c>
      <c r="S24" s="303">
        <v>0</v>
      </c>
      <c r="T24" s="303">
        <v>0</v>
      </c>
      <c r="U24" s="296">
        <v>0</v>
      </c>
      <c r="V24" s="296">
        <v>0</v>
      </c>
      <c r="W24" s="303">
        <v>0</v>
      </c>
      <c r="X24" s="303">
        <v>0</v>
      </c>
      <c r="Y24" s="303">
        <v>0</v>
      </c>
      <c r="Z24" s="303">
        <v>0</v>
      </c>
      <c r="AA24" s="314"/>
      <c r="AB24" s="296">
        <v>0</v>
      </c>
      <c r="AC24" s="324">
        <v>0</v>
      </c>
      <c r="AD24" s="324">
        <v>0</v>
      </c>
      <c r="AE24" s="324">
        <v>0</v>
      </c>
      <c r="AF24" s="324">
        <v>0</v>
      </c>
      <c r="AG24" s="324">
        <v>0</v>
      </c>
      <c r="AH24" s="324">
        <v>0</v>
      </c>
      <c r="AI24" s="324">
        <v>0</v>
      </c>
      <c r="AJ24" s="324">
        <v>0</v>
      </c>
      <c r="AK24" s="324">
        <v>0</v>
      </c>
      <c r="AL24" s="324">
        <v>0</v>
      </c>
      <c r="AM24" s="322">
        <v>0</v>
      </c>
      <c r="AN24" s="329"/>
      <c r="AO24" s="338">
        <v>0</v>
      </c>
      <c r="AP24" s="340">
        <v>0</v>
      </c>
      <c r="AQ24" s="340">
        <v>0</v>
      </c>
      <c r="AR24" s="338">
        <v>0</v>
      </c>
      <c r="AS24" s="338">
        <v>0</v>
      </c>
      <c r="AT24" s="338">
        <v>0</v>
      </c>
      <c r="AU24" s="403">
        <v>0</v>
      </c>
      <c r="AV24" s="405">
        <v>0</v>
      </c>
    </row>
    <row r="25" spans="1:48" ht="15">
      <c r="A25" s="161" t="s">
        <v>25</v>
      </c>
      <c r="B25" s="287"/>
      <c r="C25" s="303">
        <v>4451.05</v>
      </c>
      <c r="D25" s="303">
        <v>4372.5200000000004</v>
      </c>
      <c r="E25" s="303">
        <v>4293.99</v>
      </c>
      <c r="F25" s="303">
        <v>4215.47</v>
      </c>
      <c r="G25" s="303">
        <v>4136.9399999999996</v>
      </c>
      <c r="H25" s="303">
        <v>3884.8</v>
      </c>
      <c r="I25" s="303">
        <v>3363.7</v>
      </c>
      <c r="J25" s="303">
        <v>3111.56</v>
      </c>
      <c r="K25" s="303">
        <v>2851.02</v>
      </c>
      <c r="L25" s="303">
        <v>2642.93</v>
      </c>
      <c r="M25" s="303">
        <v>2642.93</v>
      </c>
      <c r="N25" s="276">
        <f>2642935</f>
        <v>2642935</v>
      </c>
      <c r="O25" s="303">
        <v>2642.93</v>
      </c>
      <c r="P25" s="303">
        <v>2642.93</v>
      </c>
      <c r="Q25" s="303">
        <v>2642.93</v>
      </c>
      <c r="R25" s="303">
        <v>2642.93</v>
      </c>
      <c r="S25" s="303">
        <v>2642.93</v>
      </c>
      <c r="T25" s="303">
        <v>4320.67</v>
      </c>
      <c r="U25" s="297">
        <v>4320.67</v>
      </c>
      <c r="V25" s="297">
        <v>4320.67</v>
      </c>
      <c r="W25" s="303">
        <v>4320.67</v>
      </c>
      <c r="X25" s="303">
        <v>4053.38</v>
      </c>
      <c r="Y25" s="303">
        <v>4027</v>
      </c>
      <c r="Z25" s="303">
        <v>3999.75</v>
      </c>
      <c r="AA25" s="314">
        <v>3999746</v>
      </c>
      <c r="AB25" s="297">
        <v>3972489.29</v>
      </c>
      <c r="AC25" s="325">
        <v>3947870.23</v>
      </c>
      <c r="AD25" s="325">
        <v>3920613.42</v>
      </c>
      <c r="AE25" s="325">
        <v>3894235.86</v>
      </c>
      <c r="AF25" s="325">
        <v>3866979.05</v>
      </c>
      <c r="AG25" s="325">
        <v>3840601.49</v>
      </c>
      <c r="AH25" s="325">
        <v>3813344.68</v>
      </c>
      <c r="AI25" s="325">
        <v>3786087.87</v>
      </c>
      <c r="AJ25" s="325">
        <v>3759710</v>
      </c>
      <c r="AK25" s="325">
        <v>4124638.31</v>
      </c>
      <c r="AL25" s="325">
        <v>3626547.86</v>
      </c>
      <c r="AM25" s="323">
        <v>3473383.13</v>
      </c>
      <c r="AN25" s="329">
        <v>3473383</v>
      </c>
      <c r="AO25" s="339">
        <v>3446126.32</v>
      </c>
      <c r="AP25" s="341">
        <v>3421507.26</v>
      </c>
      <c r="AQ25" s="341">
        <v>4601748.59</v>
      </c>
      <c r="AR25" s="339">
        <v>4541360.07</v>
      </c>
      <c r="AS25" s="339">
        <v>6263969.4199999999</v>
      </c>
      <c r="AT25" s="339">
        <v>6153303.4400000004</v>
      </c>
      <c r="AU25" s="404">
        <v>6038948.5899999999</v>
      </c>
      <c r="AV25" s="406">
        <v>5924593.7400000002</v>
      </c>
    </row>
    <row r="26" spans="1:48" ht="15">
      <c r="A26" s="161" t="s">
        <v>26</v>
      </c>
      <c r="B26" s="287"/>
      <c r="C26" s="303">
        <v>52356.02</v>
      </c>
      <c r="D26" s="303">
        <v>26313.66</v>
      </c>
      <c r="E26" s="303">
        <v>22192.29</v>
      </c>
      <c r="F26" s="303">
        <v>75887.88</v>
      </c>
      <c r="G26" s="303">
        <v>24717.63</v>
      </c>
      <c r="H26" s="303">
        <v>27199.23</v>
      </c>
      <c r="I26" s="303">
        <v>25585.43</v>
      </c>
      <c r="J26" s="303">
        <v>23008.49</v>
      </c>
      <c r="K26" s="303">
        <v>27642.83</v>
      </c>
      <c r="L26" s="303">
        <v>24541.89</v>
      </c>
      <c r="M26" s="303">
        <v>23989.72</v>
      </c>
      <c r="N26" s="264"/>
      <c r="O26" s="303">
        <v>26575.07</v>
      </c>
      <c r="P26" s="303">
        <v>30370.36</v>
      </c>
      <c r="Q26" s="303">
        <v>29088.12</v>
      </c>
      <c r="R26" s="303">
        <v>26474.01</v>
      </c>
      <c r="S26" s="303">
        <v>28579.35</v>
      </c>
      <c r="T26" s="303">
        <v>35216.58</v>
      </c>
      <c r="U26" s="297">
        <v>36558.79</v>
      </c>
      <c r="V26" s="297">
        <v>34230.01</v>
      </c>
      <c r="W26" s="303">
        <v>93711.039999999994</v>
      </c>
      <c r="X26" s="303">
        <v>43605</v>
      </c>
      <c r="Y26" s="303">
        <v>41374.17</v>
      </c>
      <c r="Z26" s="303">
        <v>53457.54</v>
      </c>
      <c r="AA26" s="314"/>
      <c r="AB26" s="297">
        <v>51094551.920000002</v>
      </c>
      <c r="AC26" s="325">
        <v>56087447.780000001</v>
      </c>
      <c r="AD26" s="325">
        <v>61706770.590000004</v>
      </c>
      <c r="AE26" s="325">
        <v>45109412.82</v>
      </c>
      <c r="AF26" s="325">
        <v>50824107.280000001</v>
      </c>
      <c r="AG26" s="325">
        <v>61727034.700000003</v>
      </c>
      <c r="AH26" s="325">
        <v>107171665.05</v>
      </c>
      <c r="AI26" s="325">
        <v>49962053.609999999</v>
      </c>
      <c r="AJ26" s="325">
        <v>58822117.100000001</v>
      </c>
      <c r="AK26" s="325">
        <v>66090538.939999998</v>
      </c>
      <c r="AL26" s="325">
        <v>81203521.489999995</v>
      </c>
      <c r="AM26" s="323">
        <v>69816798.340000004</v>
      </c>
      <c r="AN26" s="329"/>
      <c r="AO26" s="339">
        <v>84571319.439999998</v>
      </c>
      <c r="AP26" s="341">
        <v>95168222.75</v>
      </c>
      <c r="AQ26" s="341">
        <v>87127045.920000002</v>
      </c>
      <c r="AR26" s="339">
        <v>69346508</v>
      </c>
      <c r="AS26" s="339">
        <v>92458202.25</v>
      </c>
      <c r="AT26" s="339">
        <v>85201084.909999996</v>
      </c>
      <c r="AU26" s="404">
        <v>62988298.25</v>
      </c>
      <c r="AV26" s="406">
        <v>111115625.5</v>
      </c>
    </row>
    <row r="27" spans="1:48" ht="15.75">
      <c r="A27" s="160" t="s">
        <v>27</v>
      </c>
      <c r="B27" s="212">
        <f>(B21+B17+B14+B8+B7+B4)</f>
        <v>293411678.02999997</v>
      </c>
      <c r="C27" s="212">
        <f t="shared" ref="C27:J27" si="30">(C21+C17+C14+C8+C7+C4)</f>
        <v>3166395.2600000002</v>
      </c>
      <c r="D27" s="212">
        <f t="shared" si="30"/>
        <v>3158788.46</v>
      </c>
      <c r="E27" s="212">
        <f t="shared" si="30"/>
        <v>3099454.07</v>
      </c>
      <c r="F27" s="212">
        <f t="shared" si="30"/>
        <v>3168003.58</v>
      </c>
      <c r="G27" s="212">
        <f t="shared" si="30"/>
        <v>3250660.83</v>
      </c>
      <c r="H27" s="212">
        <f t="shared" si="30"/>
        <v>3277863.97</v>
      </c>
      <c r="I27" s="212">
        <f t="shared" si="30"/>
        <v>3397046.1300000004</v>
      </c>
      <c r="J27" s="212">
        <f t="shared" si="30"/>
        <v>3438556.2199999997</v>
      </c>
      <c r="K27" s="212">
        <f t="shared" ref="K27:Q27" si="31">(K21+K17+K14+K8+K7+K4)</f>
        <v>3496488.07</v>
      </c>
      <c r="L27" s="212">
        <f t="shared" si="31"/>
        <v>3555260.6100000003</v>
      </c>
      <c r="M27" s="212">
        <f t="shared" si="31"/>
        <v>3628251.46</v>
      </c>
      <c r="N27" s="212">
        <f t="shared" si="31"/>
        <v>3617548491</v>
      </c>
      <c r="O27" s="212">
        <f t="shared" si="31"/>
        <v>3664643.99</v>
      </c>
      <c r="P27" s="212">
        <f t="shared" si="31"/>
        <v>3682353.9699999997</v>
      </c>
      <c r="Q27" s="212">
        <f t="shared" si="31"/>
        <v>3639502.34</v>
      </c>
      <c r="R27" s="212">
        <f t="shared" ref="R27:W27" si="32">(R21+R17+R14+R8+R7+R4)</f>
        <v>3710298.2699999996</v>
      </c>
      <c r="S27" s="212">
        <f t="shared" si="32"/>
        <v>3759471.41</v>
      </c>
      <c r="T27" s="212">
        <f t="shared" si="32"/>
        <v>3821629.36</v>
      </c>
      <c r="U27" s="212">
        <f t="shared" si="32"/>
        <v>3873358.5500000007</v>
      </c>
      <c r="V27" s="212">
        <f t="shared" si="32"/>
        <v>3904603.97</v>
      </c>
      <c r="W27" s="212">
        <f t="shared" si="32"/>
        <v>3990750.3699999996</v>
      </c>
      <c r="X27" s="212">
        <f t="shared" ref="X27:AA27" si="33">(X21+X17+X14+X8+X7+X4)</f>
        <v>4047675.13</v>
      </c>
      <c r="Y27" s="212">
        <f t="shared" si="33"/>
        <v>4119604.4499999997</v>
      </c>
      <c r="Z27" s="212">
        <f t="shared" si="33"/>
        <v>4215558.6000000006</v>
      </c>
      <c r="AA27" s="212">
        <f t="shared" si="33"/>
        <v>4199736094</v>
      </c>
      <c r="AB27" s="212">
        <f t="shared" ref="AB27:AM27" si="34">(AB21+AB17+AB14+AB8+AB7+AB4)</f>
        <v>4251864777.6900001</v>
      </c>
      <c r="AC27" s="212">
        <f t="shared" si="34"/>
        <v>4310959149.9099998</v>
      </c>
      <c r="AD27" s="212">
        <f t="shared" si="34"/>
        <v>4230223519.6000004</v>
      </c>
      <c r="AE27" s="212">
        <f t="shared" si="34"/>
        <v>4225105400.4200001</v>
      </c>
      <c r="AF27" s="212">
        <f t="shared" si="34"/>
        <v>4295805759.9700003</v>
      </c>
      <c r="AG27" s="212">
        <f t="shared" si="34"/>
        <v>4434989339.9300003</v>
      </c>
      <c r="AH27" s="212">
        <f t="shared" si="34"/>
        <v>4487158047.79</v>
      </c>
      <c r="AI27" s="212">
        <f t="shared" si="34"/>
        <v>4568869080.6599998</v>
      </c>
      <c r="AJ27" s="212">
        <f t="shared" si="34"/>
        <v>4661368859.5500002</v>
      </c>
      <c r="AK27" s="212">
        <f t="shared" si="34"/>
        <v>4747527553.0900002</v>
      </c>
      <c r="AL27" s="212">
        <f t="shared" si="34"/>
        <v>4826157502.25</v>
      </c>
      <c r="AM27" s="212">
        <f t="shared" si="34"/>
        <v>4927978815.1399994</v>
      </c>
      <c r="AN27" s="212">
        <f t="shared" ref="AN27:AV27" si="35">(AN21+AN17+AN14+AN8+AN7+AN4)</f>
        <v>4920755244</v>
      </c>
      <c r="AO27" s="212">
        <f t="shared" si="35"/>
        <v>5025316564.4799995</v>
      </c>
      <c r="AP27" s="212">
        <f t="shared" si="35"/>
        <v>5130126788.2399998</v>
      </c>
      <c r="AQ27" s="212">
        <f t="shared" si="35"/>
        <v>5025843843.3599997</v>
      </c>
      <c r="AR27" s="212">
        <f t="shared" si="35"/>
        <v>5042194420.9399996</v>
      </c>
      <c r="AS27" s="212">
        <f t="shared" si="35"/>
        <v>5138716029.9300003</v>
      </c>
      <c r="AT27" s="212">
        <f t="shared" si="35"/>
        <v>5288628533.9099998</v>
      </c>
      <c r="AU27" s="212">
        <f t="shared" si="35"/>
        <v>5357525920.7299995</v>
      </c>
      <c r="AV27" s="212">
        <f t="shared" si="35"/>
        <v>5389690294.3400002</v>
      </c>
    </row>
    <row r="28" spans="1:48" ht="15.75">
      <c r="A28" s="161" t="s">
        <v>28</v>
      </c>
      <c r="B28" s="284">
        <f>779515+307095</f>
        <v>1086610</v>
      </c>
      <c r="C28" s="303">
        <v>193470.46</v>
      </c>
      <c r="D28" s="303">
        <v>186159.48</v>
      </c>
      <c r="E28" s="303">
        <v>254375.76</v>
      </c>
      <c r="F28" s="303">
        <v>293204.33</v>
      </c>
      <c r="G28" s="303">
        <v>237548.07</v>
      </c>
      <c r="H28" s="303">
        <v>240820.5</v>
      </c>
      <c r="I28" s="303">
        <v>258173.25</v>
      </c>
      <c r="J28" s="303">
        <v>249034.45</v>
      </c>
      <c r="K28" s="303">
        <v>230501.03</v>
      </c>
      <c r="L28" s="303">
        <v>225764.21</v>
      </c>
      <c r="M28" s="303">
        <v>216919.81</v>
      </c>
      <c r="N28" s="276">
        <f>240216344</f>
        <v>240216344</v>
      </c>
      <c r="O28" s="303">
        <v>237906.65</v>
      </c>
      <c r="P28" s="303">
        <v>244165.3</v>
      </c>
      <c r="Q28" s="303">
        <v>363250.51</v>
      </c>
      <c r="R28" s="303">
        <v>335920.07</v>
      </c>
      <c r="S28" s="303">
        <v>302635.39</v>
      </c>
      <c r="T28" s="303">
        <v>296376.24</v>
      </c>
      <c r="U28" s="295">
        <v>296183.59999999998</v>
      </c>
      <c r="V28" s="295">
        <v>264760.15000000002</v>
      </c>
      <c r="W28" s="303">
        <v>266605.84000000003</v>
      </c>
      <c r="X28" s="303">
        <v>257457.54</v>
      </c>
      <c r="Y28" s="303">
        <v>251394.13</v>
      </c>
      <c r="Z28" s="303">
        <v>256477.4</v>
      </c>
      <c r="AA28" s="313">
        <v>264135882</v>
      </c>
      <c r="AB28" s="313">
        <v>264135882</v>
      </c>
      <c r="AC28" s="313">
        <v>264135882</v>
      </c>
      <c r="AD28" s="313">
        <v>264135882</v>
      </c>
      <c r="AE28" s="313">
        <v>264135882</v>
      </c>
      <c r="AF28" s="313">
        <v>264135882</v>
      </c>
      <c r="AG28" s="313">
        <v>264135882</v>
      </c>
      <c r="AH28" s="313">
        <v>264135882</v>
      </c>
      <c r="AI28" s="313">
        <v>264135882</v>
      </c>
      <c r="AJ28" s="313">
        <v>264135882</v>
      </c>
      <c r="AK28" s="313">
        <v>264135882</v>
      </c>
      <c r="AL28" s="313">
        <v>264135882</v>
      </c>
      <c r="AM28" s="313">
        <v>264135882</v>
      </c>
      <c r="AN28" s="313">
        <v>272831599</v>
      </c>
      <c r="AO28" s="335">
        <v>297438389.93000001</v>
      </c>
      <c r="AP28" s="337">
        <v>298900282.13999999</v>
      </c>
      <c r="AQ28" s="337">
        <v>435171896.31999999</v>
      </c>
      <c r="AR28" s="335">
        <v>374225964.47000003</v>
      </c>
      <c r="AS28" s="335">
        <v>377404200.13999999</v>
      </c>
      <c r="AT28" s="335">
        <v>374951128.99000001</v>
      </c>
      <c r="AU28" s="400">
        <v>372441217.14999998</v>
      </c>
      <c r="AV28" s="402">
        <v>343289115.94</v>
      </c>
    </row>
    <row r="29" spans="1:48" ht="15.75">
      <c r="A29" s="161" t="s">
        <v>29</v>
      </c>
      <c r="B29" s="284">
        <f>257941+920333.21+11500+708204</f>
        <v>1897978.21</v>
      </c>
      <c r="C29" s="303">
        <v>40185.32</v>
      </c>
      <c r="D29" s="303">
        <v>40369.839999999997</v>
      </c>
      <c r="E29" s="303">
        <v>40369.839999999997</v>
      </c>
      <c r="F29" s="303">
        <v>6526.47</v>
      </c>
      <c r="G29" s="303">
        <v>42141.29</v>
      </c>
      <c r="H29" s="303">
        <v>42141.29</v>
      </c>
      <c r="I29" s="303">
        <v>31714.15</v>
      </c>
      <c r="J29" s="303">
        <v>33185</v>
      </c>
      <c r="K29" s="303">
        <v>33185</v>
      </c>
      <c r="L29" s="303">
        <v>33185</v>
      </c>
      <c r="M29" s="303">
        <v>33185</v>
      </c>
      <c r="N29" s="276">
        <v>33185000</v>
      </c>
      <c r="O29" s="303">
        <v>29000</v>
      </c>
      <c r="P29" s="303">
        <v>29000</v>
      </c>
      <c r="Q29" s="303">
        <v>29000</v>
      </c>
      <c r="R29" s="303">
        <v>25650</v>
      </c>
      <c r="S29" s="303">
        <v>25650</v>
      </c>
      <c r="T29" s="303">
        <v>25650</v>
      </c>
      <c r="U29" s="297">
        <v>19073.89</v>
      </c>
      <c r="V29" s="297">
        <v>19073.89</v>
      </c>
      <c r="W29" s="303">
        <v>19073.89</v>
      </c>
      <c r="X29" s="303">
        <v>9300</v>
      </c>
      <c r="Y29" s="303">
        <v>9300</v>
      </c>
      <c r="Z29" s="303">
        <v>9300</v>
      </c>
      <c r="AA29" s="314"/>
      <c r="AB29" s="314"/>
      <c r="AC29" s="314"/>
      <c r="AD29" s="314"/>
      <c r="AE29" s="314"/>
      <c r="AF29" s="314"/>
      <c r="AG29" s="314"/>
      <c r="AH29" s="314"/>
      <c r="AI29" s="314"/>
      <c r="AJ29" s="314"/>
      <c r="AK29" s="314"/>
      <c r="AL29" s="314"/>
      <c r="AM29" s="314"/>
      <c r="AN29" s="314"/>
      <c r="AO29" s="338">
        <v>0</v>
      </c>
      <c r="AP29" s="340">
        <v>0</v>
      </c>
      <c r="AQ29" s="340">
        <v>0</v>
      </c>
      <c r="AR29" s="338">
        <v>0</v>
      </c>
      <c r="AS29" s="338">
        <v>0</v>
      </c>
      <c r="AT29" s="338">
        <v>0</v>
      </c>
      <c r="AU29" s="403">
        <v>0</v>
      </c>
      <c r="AV29" s="405">
        <v>0</v>
      </c>
    </row>
    <row r="30" spans="1:48" ht="15.75">
      <c r="A30" s="161" t="s">
        <v>30</v>
      </c>
      <c r="B30" s="284">
        <f>254720687</f>
        <v>254720687</v>
      </c>
      <c r="C30" s="303">
        <v>1945035.44</v>
      </c>
      <c r="D30" s="303">
        <v>1977350.27</v>
      </c>
      <c r="E30" s="303">
        <v>2031574.28</v>
      </c>
      <c r="F30" s="303">
        <v>2045230.03</v>
      </c>
      <c r="G30" s="303">
        <v>2077883.37</v>
      </c>
      <c r="H30" s="303">
        <v>2112548.0499999998</v>
      </c>
      <c r="I30" s="303">
        <v>2167038.16</v>
      </c>
      <c r="J30" s="303">
        <v>2178440.58</v>
      </c>
      <c r="K30" s="303">
        <v>2210562.7000000002</v>
      </c>
      <c r="L30" s="303">
        <v>2242846.73</v>
      </c>
      <c r="M30" s="303">
        <v>2264393.89</v>
      </c>
      <c r="N30" s="276">
        <f>2251239383+13294425</f>
        <v>2264533808</v>
      </c>
      <c r="O30" s="303">
        <v>2286736.06</v>
      </c>
      <c r="P30" s="303">
        <v>2314451.31</v>
      </c>
      <c r="Q30" s="303">
        <v>2362532.91</v>
      </c>
      <c r="R30" s="303">
        <v>2404572.9500000002</v>
      </c>
      <c r="S30" s="303">
        <v>2456518.2200000002</v>
      </c>
      <c r="T30" s="303">
        <v>2498819.3199999998</v>
      </c>
      <c r="U30" s="297">
        <v>2526891.48</v>
      </c>
      <c r="V30" s="297">
        <v>2556991.1</v>
      </c>
      <c r="W30" s="303">
        <v>2590046.2000000002</v>
      </c>
      <c r="X30" s="303">
        <v>2628051.81</v>
      </c>
      <c r="Y30" s="303">
        <v>2653804.9700000002</v>
      </c>
      <c r="Z30" s="303">
        <v>2694159.29</v>
      </c>
      <c r="AA30" s="314">
        <v>2694094259</v>
      </c>
      <c r="AB30" s="314">
        <v>2694094259</v>
      </c>
      <c r="AC30" s="314">
        <v>2694094259</v>
      </c>
      <c r="AD30" s="314">
        <v>2694094259</v>
      </c>
      <c r="AE30" s="314">
        <v>2694094259</v>
      </c>
      <c r="AF30" s="314">
        <v>2694094259</v>
      </c>
      <c r="AG30" s="314">
        <v>2694094259</v>
      </c>
      <c r="AH30" s="314">
        <v>2694094259</v>
      </c>
      <c r="AI30" s="314">
        <v>2694094259</v>
      </c>
      <c r="AJ30" s="314">
        <v>2694094259</v>
      </c>
      <c r="AK30" s="314">
        <v>2694094259</v>
      </c>
      <c r="AL30" s="314">
        <v>2694094259</v>
      </c>
      <c r="AM30" s="314">
        <v>2694094259</v>
      </c>
      <c r="AN30" s="314">
        <v>3251984807</v>
      </c>
      <c r="AO30" s="339">
        <v>3293913252.5900002</v>
      </c>
      <c r="AP30" s="341">
        <v>3362329044.52</v>
      </c>
      <c r="AQ30" s="341">
        <v>3438768880.5700002</v>
      </c>
      <c r="AR30" s="339">
        <v>3501686271.3899999</v>
      </c>
      <c r="AS30" s="339">
        <v>3551105342.71</v>
      </c>
      <c r="AT30" s="339">
        <v>3597760914.8800001</v>
      </c>
      <c r="AU30" s="404">
        <v>3649410995.02</v>
      </c>
      <c r="AV30" s="406">
        <v>3691203723.02</v>
      </c>
    </row>
    <row r="31" spans="1:48" ht="15.75">
      <c r="A31" s="160" t="s">
        <v>31</v>
      </c>
      <c r="B31" s="283">
        <f t="shared" ref="B31:N31" si="36">SUM(B28:B30)</f>
        <v>257705275.21000001</v>
      </c>
      <c r="C31" s="214">
        <f t="shared" si="36"/>
        <v>2178691.2199999997</v>
      </c>
      <c r="D31" s="214">
        <f t="shared" si="36"/>
        <v>2203879.59</v>
      </c>
      <c r="E31" s="214">
        <f t="shared" si="36"/>
        <v>2326319.88</v>
      </c>
      <c r="F31" s="214">
        <f t="shared" si="36"/>
        <v>2344960.83</v>
      </c>
      <c r="G31" s="214">
        <f t="shared" si="36"/>
        <v>2357572.73</v>
      </c>
      <c r="H31" s="214">
        <f t="shared" si="36"/>
        <v>2395509.84</v>
      </c>
      <c r="I31" s="214">
        <f t="shared" si="36"/>
        <v>2456925.56</v>
      </c>
      <c r="J31" s="214">
        <f t="shared" si="36"/>
        <v>2460660.0300000003</v>
      </c>
      <c r="K31" s="214">
        <f t="shared" si="36"/>
        <v>2474248.7300000004</v>
      </c>
      <c r="L31" s="214">
        <f t="shared" si="36"/>
        <v>2501795.94</v>
      </c>
      <c r="M31" s="214">
        <f t="shared" si="36"/>
        <v>2514498.7000000002</v>
      </c>
      <c r="N31" s="214">
        <f t="shared" si="36"/>
        <v>2537935152</v>
      </c>
      <c r="O31" s="214">
        <f t="shared" ref="O31:T31" si="37">SUM(O28:O30)</f>
        <v>2553642.71</v>
      </c>
      <c r="P31" s="214">
        <f t="shared" si="37"/>
        <v>2587616.61</v>
      </c>
      <c r="Q31" s="214">
        <f t="shared" si="37"/>
        <v>2754783.42</v>
      </c>
      <c r="R31" s="214">
        <f t="shared" si="37"/>
        <v>2766143.02</v>
      </c>
      <c r="S31" s="214">
        <f t="shared" si="37"/>
        <v>2784803.6100000003</v>
      </c>
      <c r="T31" s="214">
        <f t="shared" si="37"/>
        <v>2820845.5599999996</v>
      </c>
      <c r="U31" s="214">
        <f t="shared" ref="U31:V31" si="38">SUM(U28:U30)</f>
        <v>2842148.9699999997</v>
      </c>
      <c r="V31" s="214">
        <f t="shared" si="38"/>
        <v>2840825.14</v>
      </c>
      <c r="W31" s="214">
        <f t="shared" ref="W31:AA31" si="39">SUM(W28:W30)</f>
        <v>2875725.93</v>
      </c>
      <c r="X31" s="214">
        <f t="shared" si="39"/>
        <v>2894809.35</v>
      </c>
      <c r="Y31" s="214">
        <f t="shared" si="39"/>
        <v>2914499.1</v>
      </c>
      <c r="Z31" s="214">
        <f t="shared" si="39"/>
        <v>2959936.69</v>
      </c>
      <c r="AA31" s="214">
        <f t="shared" si="39"/>
        <v>2958230141</v>
      </c>
      <c r="AB31" s="214">
        <f t="shared" ref="AB31:AM31" si="40">SUM(AB28:AB30)</f>
        <v>2958230141</v>
      </c>
      <c r="AC31" s="214">
        <f t="shared" si="40"/>
        <v>2958230141</v>
      </c>
      <c r="AD31" s="214">
        <f t="shared" si="40"/>
        <v>2958230141</v>
      </c>
      <c r="AE31" s="214">
        <f t="shared" si="40"/>
        <v>2958230141</v>
      </c>
      <c r="AF31" s="214">
        <f t="shared" si="40"/>
        <v>2958230141</v>
      </c>
      <c r="AG31" s="214">
        <f t="shared" si="40"/>
        <v>2958230141</v>
      </c>
      <c r="AH31" s="214">
        <f t="shared" si="40"/>
        <v>2958230141</v>
      </c>
      <c r="AI31" s="214">
        <f t="shared" si="40"/>
        <v>2958230141</v>
      </c>
      <c r="AJ31" s="214">
        <f t="shared" si="40"/>
        <v>2958230141</v>
      </c>
      <c r="AK31" s="214">
        <f t="shared" si="40"/>
        <v>2958230141</v>
      </c>
      <c r="AL31" s="214">
        <f t="shared" si="40"/>
        <v>2958230141</v>
      </c>
      <c r="AM31" s="214">
        <f t="shared" si="40"/>
        <v>2958230141</v>
      </c>
      <c r="AN31" s="214">
        <f t="shared" ref="AN31:AV31" si="41">SUM(AN28:AN30)</f>
        <v>3524816406</v>
      </c>
      <c r="AO31" s="214">
        <f t="shared" si="41"/>
        <v>3591351642.52</v>
      </c>
      <c r="AP31" s="214">
        <f t="shared" si="41"/>
        <v>3661229326.6599998</v>
      </c>
      <c r="AQ31" s="214">
        <f t="shared" si="41"/>
        <v>3873940776.8900003</v>
      </c>
      <c r="AR31" s="214">
        <f t="shared" si="41"/>
        <v>3875912235.8599997</v>
      </c>
      <c r="AS31" s="214">
        <f t="shared" si="41"/>
        <v>3928509542.8499999</v>
      </c>
      <c r="AT31" s="214">
        <f t="shared" si="41"/>
        <v>3972712043.8699999</v>
      </c>
      <c r="AU31" s="214">
        <f t="shared" si="41"/>
        <v>4021852212.1700001</v>
      </c>
      <c r="AV31" s="214">
        <f t="shared" si="41"/>
        <v>4034492838.96</v>
      </c>
    </row>
    <row r="32" spans="1:48" ht="15.75">
      <c r="A32" s="161" t="s">
        <v>32</v>
      </c>
      <c r="B32" s="284">
        <v>14602</v>
      </c>
      <c r="C32" s="303">
        <v>0</v>
      </c>
      <c r="D32" s="303">
        <v>0</v>
      </c>
      <c r="E32" s="303">
        <v>0</v>
      </c>
      <c r="F32" s="303">
        <v>0</v>
      </c>
      <c r="G32" s="303">
        <v>0</v>
      </c>
      <c r="H32" s="303">
        <v>0</v>
      </c>
      <c r="I32" s="303">
        <v>0</v>
      </c>
      <c r="J32" s="303">
        <v>0</v>
      </c>
      <c r="K32" s="303">
        <v>0</v>
      </c>
      <c r="L32" s="303">
        <v>0</v>
      </c>
      <c r="M32" s="303">
        <v>0</v>
      </c>
      <c r="N32" s="276"/>
      <c r="O32" s="303">
        <v>0</v>
      </c>
      <c r="P32" s="303">
        <v>0</v>
      </c>
      <c r="Q32" s="303">
        <v>0</v>
      </c>
      <c r="R32" s="303">
        <v>0</v>
      </c>
      <c r="S32" s="303">
        <v>0</v>
      </c>
      <c r="T32" s="303">
        <v>0</v>
      </c>
      <c r="U32" s="294">
        <v>0</v>
      </c>
      <c r="V32" s="294">
        <v>0</v>
      </c>
      <c r="W32" s="303">
        <v>0</v>
      </c>
      <c r="X32" s="303">
        <v>0</v>
      </c>
      <c r="Y32" s="303">
        <v>0</v>
      </c>
      <c r="Z32" s="303">
        <v>0</v>
      </c>
      <c r="AA32" s="313"/>
      <c r="AB32" s="313"/>
      <c r="AC32" s="313"/>
      <c r="AD32" s="294">
        <v>0</v>
      </c>
      <c r="AE32" s="322">
        <v>0</v>
      </c>
      <c r="AF32" s="322">
        <v>0</v>
      </c>
      <c r="AG32" s="322">
        <v>0</v>
      </c>
      <c r="AH32" s="323">
        <v>3966703.28</v>
      </c>
      <c r="AI32" s="322">
        <v>0</v>
      </c>
      <c r="AJ32" s="322">
        <v>0</v>
      </c>
      <c r="AK32" s="322">
        <v>0</v>
      </c>
      <c r="AL32" s="322">
        <v>0</v>
      </c>
      <c r="AM32" s="322">
        <v>0</v>
      </c>
      <c r="AN32" s="329">
        <v>5221111</v>
      </c>
      <c r="AO32" s="334">
        <v>0</v>
      </c>
      <c r="AP32" s="336">
        <v>0</v>
      </c>
      <c r="AQ32" s="336">
        <v>0</v>
      </c>
      <c r="AR32" s="334">
        <v>0</v>
      </c>
      <c r="AS32" s="334">
        <v>0</v>
      </c>
      <c r="AT32" s="334">
        <v>0</v>
      </c>
      <c r="AU32" s="399">
        <v>0</v>
      </c>
      <c r="AV32" s="401">
        <v>0</v>
      </c>
    </row>
    <row r="33" spans="1:48" ht="15">
      <c r="A33" s="161" t="s">
        <v>33</v>
      </c>
      <c r="B33" s="287"/>
      <c r="C33" s="303">
        <v>0</v>
      </c>
      <c r="D33" s="303">
        <v>0</v>
      </c>
      <c r="E33" s="303">
        <v>0</v>
      </c>
      <c r="F33" s="303">
        <v>0</v>
      </c>
      <c r="G33" s="303">
        <v>0</v>
      </c>
      <c r="H33" s="303">
        <v>0</v>
      </c>
      <c r="I33" s="303">
        <v>0</v>
      </c>
      <c r="J33" s="303">
        <v>0</v>
      </c>
      <c r="K33" s="303">
        <v>0</v>
      </c>
      <c r="L33" s="303">
        <v>0</v>
      </c>
      <c r="M33" s="303">
        <v>0</v>
      </c>
      <c r="N33" s="276">
        <f>233587603+13868910+2413564</f>
        <v>249870077</v>
      </c>
      <c r="O33" s="303">
        <v>0</v>
      </c>
      <c r="P33" s="303">
        <v>0</v>
      </c>
      <c r="Q33" s="303">
        <v>0</v>
      </c>
      <c r="R33" s="303">
        <v>0</v>
      </c>
      <c r="S33" s="303">
        <v>0</v>
      </c>
      <c r="T33" s="303">
        <v>0</v>
      </c>
      <c r="U33" s="296">
        <v>0</v>
      </c>
      <c r="V33" s="297">
        <v>224885.07</v>
      </c>
      <c r="W33" s="303">
        <v>213050.42</v>
      </c>
      <c r="X33" s="303">
        <v>238508.38</v>
      </c>
      <c r="Y33" s="303">
        <v>275168.39</v>
      </c>
      <c r="Z33" s="303">
        <v>280308.32</v>
      </c>
      <c r="AA33" s="314">
        <v>287852165</v>
      </c>
      <c r="AB33" s="314">
        <v>287852166</v>
      </c>
      <c r="AC33" s="314">
        <v>287852167</v>
      </c>
      <c r="AD33" s="297">
        <v>317914291.73000002</v>
      </c>
      <c r="AE33" s="325">
        <v>378285251.73000002</v>
      </c>
      <c r="AF33" s="325">
        <v>82018662.409999996</v>
      </c>
      <c r="AG33" s="325">
        <v>173759.35999999999</v>
      </c>
      <c r="AH33" s="325">
        <v>177249433.36000001</v>
      </c>
      <c r="AI33" s="325">
        <v>161383260</v>
      </c>
      <c r="AJ33" s="325">
        <v>184461930</v>
      </c>
      <c r="AK33" s="325">
        <v>234092200</v>
      </c>
      <c r="AL33" s="325">
        <v>270460340</v>
      </c>
      <c r="AM33" s="325">
        <v>308079893.25999999</v>
      </c>
      <c r="AN33" s="330">
        <f>344439618+42749380</f>
        <v>387188998</v>
      </c>
      <c r="AO33" s="339">
        <v>365578075.75</v>
      </c>
      <c r="AP33" s="341">
        <v>398919729.64999998</v>
      </c>
      <c r="AQ33" s="341">
        <v>100327083.11</v>
      </c>
      <c r="AR33" s="339">
        <v>138348216.13</v>
      </c>
      <c r="AS33" s="339">
        <v>175088352.09</v>
      </c>
      <c r="AT33" s="339">
        <v>218047046.02000001</v>
      </c>
      <c r="AU33" s="404">
        <v>246586734.24000001</v>
      </c>
      <c r="AV33" s="406">
        <v>275954010.05000001</v>
      </c>
    </row>
    <row r="34" spans="1:48" ht="15">
      <c r="A34" s="161" t="s">
        <v>34</v>
      </c>
      <c r="B34" s="287"/>
      <c r="C34" s="303">
        <v>0</v>
      </c>
      <c r="D34" s="303">
        <v>0</v>
      </c>
      <c r="E34" s="303">
        <v>0</v>
      </c>
      <c r="F34" s="303">
        <v>0</v>
      </c>
      <c r="G34" s="303">
        <v>0</v>
      </c>
      <c r="H34" s="303">
        <v>0</v>
      </c>
      <c r="I34" s="303">
        <v>0</v>
      </c>
      <c r="J34" s="303">
        <v>0</v>
      </c>
      <c r="K34" s="303">
        <v>0</v>
      </c>
      <c r="L34" s="303">
        <v>0</v>
      </c>
      <c r="M34" s="303">
        <v>0</v>
      </c>
      <c r="N34" s="276"/>
      <c r="O34" s="303">
        <v>0</v>
      </c>
      <c r="P34" s="303">
        <v>0</v>
      </c>
      <c r="Q34" s="303">
        <v>0</v>
      </c>
      <c r="R34" s="303">
        <v>0</v>
      </c>
      <c r="S34" s="303">
        <v>0</v>
      </c>
      <c r="T34" s="303">
        <v>0</v>
      </c>
      <c r="U34" s="296">
        <v>0</v>
      </c>
      <c r="V34" s="296">
        <v>0</v>
      </c>
      <c r="W34" s="303">
        <v>0</v>
      </c>
      <c r="X34" s="303">
        <v>0</v>
      </c>
      <c r="Y34" s="303">
        <v>0</v>
      </c>
      <c r="Z34" s="303">
        <v>0</v>
      </c>
      <c r="AA34" s="314"/>
      <c r="AB34" s="314"/>
      <c r="AC34" s="314"/>
      <c r="AD34" s="296">
        <v>0</v>
      </c>
      <c r="AE34" s="324">
        <v>0</v>
      </c>
      <c r="AF34" s="324">
        <v>0</v>
      </c>
      <c r="AG34" s="324">
        <v>0</v>
      </c>
      <c r="AH34" s="324">
        <v>0</v>
      </c>
      <c r="AI34" s="324">
        <v>0</v>
      </c>
      <c r="AJ34" s="324">
        <v>0</v>
      </c>
      <c r="AK34" s="324">
        <v>0</v>
      </c>
      <c r="AL34" s="324">
        <v>0</v>
      </c>
      <c r="AM34" s="324">
        <v>0</v>
      </c>
      <c r="AN34" s="330"/>
      <c r="AO34" s="338">
        <v>0</v>
      </c>
      <c r="AP34" s="340">
        <v>0</v>
      </c>
      <c r="AQ34" s="340">
        <v>0</v>
      </c>
      <c r="AR34" s="338">
        <v>0</v>
      </c>
      <c r="AS34" s="338">
        <v>0</v>
      </c>
      <c r="AT34" s="338">
        <v>0</v>
      </c>
      <c r="AU34" s="403">
        <v>0</v>
      </c>
      <c r="AV34" s="405">
        <v>0</v>
      </c>
    </row>
    <row r="35" spans="1:48" ht="15">
      <c r="A35" s="161" t="s">
        <v>35</v>
      </c>
      <c r="B35" s="287"/>
      <c r="C35" s="303">
        <v>0</v>
      </c>
      <c r="D35" s="303">
        <v>0</v>
      </c>
      <c r="E35" s="303">
        <v>0</v>
      </c>
      <c r="F35" s="303">
        <v>0</v>
      </c>
      <c r="G35" s="303">
        <v>0</v>
      </c>
      <c r="H35" s="303">
        <v>0</v>
      </c>
      <c r="I35" s="303">
        <v>0</v>
      </c>
      <c r="J35" s="303">
        <v>0</v>
      </c>
      <c r="K35" s="303">
        <v>0</v>
      </c>
      <c r="L35" s="303">
        <v>0</v>
      </c>
      <c r="M35" s="303">
        <v>0</v>
      </c>
      <c r="N35" s="276"/>
      <c r="O35" s="303">
        <v>0</v>
      </c>
      <c r="P35" s="303">
        <v>0</v>
      </c>
      <c r="Q35" s="303">
        <v>0</v>
      </c>
      <c r="R35" s="303">
        <v>0</v>
      </c>
      <c r="S35" s="303">
        <v>0</v>
      </c>
      <c r="T35" s="303">
        <v>0</v>
      </c>
      <c r="U35" s="296">
        <v>0</v>
      </c>
      <c r="V35" s="296">
        <v>0</v>
      </c>
      <c r="W35" s="303">
        <v>0</v>
      </c>
      <c r="X35" s="303">
        <v>0</v>
      </c>
      <c r="Y35" s="303">
        <v>0</v>
      </c>
      <c r="Z35" s="303">
        <v>0</v>
      </c>
      <c r="AA35" s="314"/>
      <c r="AB35" s="314"/>
      <c r="AC35" s="314"/>
      <c r="AD35" s="296">
        <v>0</v>
      </c>
      <c r="AE35" s="324">
        <v>0</v>
      </c>
      <c r="AF35" s="324">
        <v>0</v>
      </c>
      <c r="AG35" s="324">
        <v>0</v>
      </c>
      <c r="AH35" s="324">
        <v>0</v>
      </c>
      <c r="AI35" s="324">
        <v>0</v>
      </c>
      <c r="AJ35" s="324">
        <v>0</v>
      </c>
      <c r="AK35" s="324">
        <v>0</v>
      </c>
      <c r="AL35" s="324">
        <v>0</v>
      </c>
      <c r="AM35" s="324">
        <v>0</v>
      </c>
      <c r="AN35" s="330"/>
      <c r="AO35" s="338">
        <v>0</v>
      </c>
      <c r="AP35" s="340">
        <v>0</v>
      </c>
      <c r="AQ35" s="340">
        <v>0</v>
      </c>
      <c r="AR35" s="338">
        <v>0</v>
      </c>
      <c r="AS35" s="338">
        <v>0</v>
      </c>
      <c r="AT35" s="338">
        <v>0</v>
      </c>
      <c r="AU35" s="403">
        <v>0</v>
      </c>
      <c r="AV35" s="405">
        <v>0</v>
      </c>
    </row>
    <row r="36" spans="1:48" ht="15.75">
      <c r="A36" s="161" t="s">
        <v>36</v>
      </c>
      <c r="B36" s="284">
        <f>348519+50000</f>
        <v>398519</v>
      </c>
      <c r="C36" s="303">
        <v>296589.86</v>
      </c>
      <c r="D36" s="303">
        <v>312712.62</v>
      </c>
      <c r="E36" s="303">
        <v>132547.51999999999</v>
      </c>
      <c r="F36" s="303">
        <v>131340.20000000001</v>
      </c>
      <c r="G36" s="303">
        <v>153270.03</v>
      </c>
      <c r="H36" s="303">
        <v>184267.37</v>
      </c>
      <c r="I36" s="303">
        <v>222326.61</v>
      </c>
      <c r="J36" s="303">
        <v>247837.32</v>
      </c>
      <c r="K36" s="303">
        <v>276810.27</v>
      </c>
      <c r="L36" s="303">
        <v>309841.09000000003</v>
      </c>
      <c r="M36" s="303">
        <v>334588.40000000002</v>
      </c>
      <c r="N36" s="276">
        <f>8987436+7593662+1429711+3383752+(22529647)</f>
        <v>43924208</v>
      </c>
      <c r="O36" s="303">
        <v>366554.49</v>
      </c>
      <c r="P36" s="303">
        <v>367425.41</v>
      </c>
      <c r="Q36" s="303">
        <v>143958.96</v>
      </c>
      <c r="R36" s="303">
        <v>146538.20000000001</v>
      </c>
      <c r="S36" s="303">
        <v>172038.61</v>
      </c>
      <c r="T36" s="303">
        <v>171532.99</v>
      </c>
      <c r="U36" s="297">
        <v>221259.99</v>
      </c>
      <c r="V36" s="297">
        <v>35163.279999999999</v>
      </c>
      <c r="W36" s="303">
        <v>39835.68</v>
      </c>
      <c r="X36" s="303">
        <v>41817.26</v>
      </c>
      <c r="Y36" s="303">
        <v>41991.360000000001</v>
      </c>
      <c r="Z36" s="303">
        <v>50581.09</v>
      </c>
      <c r="AA36" s="314">
        <f>23307476+16247642</f>
        <v>39555118</v>
      </c>
      <c r="AB36" s="314">
        <f t="shared" ref="AB36:AM36" si="42">23307476+16247642</f>
        <v>39555118</v>
      </c>
      <c r="AC36" s="314">
        <f t="shared" si="42"/>
        <v>39555118</v>
      </c>
      <c r="AD36" s="297">
        <v>60216647.880000003</v>
      </c>
      <c r="AE36" s="325">
        <v>42686351</v>
      </c>
      <c r="AF36" s="325">
        <v>69061235.609999999</v>
      </c>
      <c r="AG36" s="325">
        <v>152654546</v>
      </c>
      <c r="AH36" s="324">
        <v>0</v>
      </c>
      <c r="AI36" s="325">
        <v>51531221.100000001</v>
      </c>
      <c r="AJ36" s="325">
        <v>57841412.310000002</v>
      </c>
      <c r="AK36" s="325">
        <v>55314342.020000003</v>
      </c>
      <c r="AL36" s="325">
        <v>38865029.18</v>
      </c>
      <c r="AM36" s="325">
        <v>38179296.539999999</v>
      </c>
      <c r="AN36" s="330">
        <f>23413633+24422444</f>
        <v>47836077</v>
      </c>
      <c r="AO36" s="339">
        <v>49316020.210000001</v>
      </c>
      <c r="AP36" s="341">
        <v>54416902.32</v>
      </c>
      <c r="AQ36" s="341">
        <v>61008874.020000003</v>
      </c>
      <c r="AR36" s="339">
        <v>32350329.289999999</v>
      </c>
      <c r="AS36" s="339">
        <v>29754893.739999998</v>
      </c>
      <c r="AT36" s="339">
        <v>33607792.710000001</v>
      </c>
      <c r="AU36" s="404">
        <v>14028019.25</v>
      </c>
      <c r="AV36" s="406">
        <v>16055590.119999999</v>
      </c>
    </row>
    <row r="37" spans="1:48" ht="15">
      <c r="A37" s="161" t="s">
        <v>37</v>
      </c>
      <c r="B37" s="287"/>
      <c r="C37" s="303">
        <v>0</v>
      </c>
      <c r="D37" s="303">
        <v>0</v>
      </c>
      <c r="E37" s="303">
        <v>0</v>
      </c>
      <c r="F37" s="303">
        <v>0</v>
      </c>
      <c r="G37" s="303">
        <v>0</v>
      </c>
      <c r="H37" s="303">
        <v>0</v>
      </c>
      <c r="I37" s="303">
        <v>0</v>
      </c>
      <c r="J37" s="303">
        <v>0</v>
      </c>
      <c r="K37" s="303">
        <v>0</v>
      </c>
      <c r="L37" s="303">
        <v>0</v>
      </c>
      <c r="M37" s="303">
        <v>0</v>
      </c>
      <c r="N37" s="265"/>
      <c r="O37" s="303">
        <v>0</v>
      </c>
      <c r="P37" s="303">
        <v>0</v>
      </c>
      <c r="Q37" s="303">
        <v>0</v>
      </c>
      <c r="R37" s="303">
        <v>0</v>
      </c>
      <c r="S37" s="303">
        <v>0</v>
      </c>
      <c r="T37" s="303">
        <v>0</v>
      </c>
      <c r="U37" s="296">
        <v>0</v>
      </c>
      <c r="V37" s="296">
        <v>0</v>
      </c>
      <c r="W37" s="303">
        <v>0</v>
      </c>
      <c r="X37" s="303">
        <v>0</v>
      </c>
      <c r="Y37" s="303">
        <v>0</v>
      </c>
      <c r="Z37" s="303">
        <v>0</v>
      </c>
      <c r="AA37" s="314"/>
      <c r="AB37" s="314"/>
      <c r="AC37" s="314"/>
      <c r="AD37" s="296">
        <v>0</v>
      </c>
      <c r="AE37" s="324">
        <v>0</v>
      </c>
      <c r="AF37" s="324">
        <v>0</v>
      </c>
      <c r="AG37" s="324">
        <v>0</v>
      </c>
      <c r="AH37" s="324">
        <v>0</v>
      </c>
      <c r="AI37" s="324">
        <v>0</v>
      </c>
      <c r="AJ37" s="324">
        <v>0</v>
      </c>
      <c r="AK37" s="324">
        <v>0</v>
      </c>
      <c r="AL37" s="324">
        <v>0</v>
      </c>
      <c r="AM37" s="324">
        <v>0</v>
      </c>
      <c r="AN37" s="330"/>
      <c r="AO37" s="338">
        <v>0</v>
      </c>
      <c r="AP37" s="340">
        <v>0</v>
      </c>
      <c r="AQ37" s="340">
        <v>0</v>
      </c>
      <c r="AR37" s="338">
        <v>0</v>
      </c>
      <c r="AS37" s="338">
        <v>0</v>
      </c>
      <c r="AT37" s="338">
        <v>0</v>
      </c>
      <c r="AU37" s="403">
        <v>0</v>
      </c>
      <c r="AV37" s="405">
        <v>0</v>
      </c>
    </row>
    <row r="38" spans="1:48" ht="15.75">
      <c r="A38" s="160" t="s">
        <v>38</v>
      </c>
      <c r="B38" s="283">
        <f t="shared" ref="B38:N38" si="43">SUM(B31:B37)</f>
        <v>258118396.21000001</v>
      </c>
      <c r="C38" s="214">
        <f t="shared" si="43"/>
        <v>2475281.0799999996</v>
      </c>
      <c r="D38" s="214">
        <f t="shared" si="43"/>
        <v>2516592.21</v>
      </c>
      <c r="E38" s="214">
        <f t="shared" si="43"/>
        <v>2458867.4</v>
      </c>
      <c r="F38" s="214">
        <f t="shared" si="43"/>
        <v>2476301.0300000003</v>
      </c>
      <c r="G38" s="214">
        <f t="shared" si="43"/>
        <v>2510842.7599999998</v>
      </c>
      <c r="H38" s="214">
        <f t="shared" si="43"/>
        <v>2579777.21</v>
      </c>
      <c r="I38" s="214">
        <f t="shared" si="43"/>
        <v>2679252.17</v>
      </c>
      <c r="J38" s="214">
        <f t="shared" si="43"/>
        <v>2708497.35</v>
      </c>
      <c r="K38" s="214">
        <f t="shared" si="43"/>
        <v>2751059.0000000005</v>
      </c>
      <c r="L38" s="214">
        <f t="shared" si="43"/>
        <v>2811637.03</v>
      </c>
      <c r="M38" s="214">
        <f t="shared" si="43"/>
        <v>2849087.1</v>
      </c>
      <c r="N38" s="214">
        <f t="shared" si="43"/>
        <v>2831729437</v>
      </c>
      <c r="O38" s="214">
        <f t="shared" ref="O38:T38" si="44">SUM(O31:O37)</f>
        <v>2920197.2</v>
      </c>
      <c r="P38" s="214">
        <f t="shared" si="44"/>
        <v>2955042.02</v>
      </c>
      <c r="Q38" s="214">
        <f t="shared" si="44"/>
        <v>2898742.38</v>
      </c>
      <c r="R38" s="214">
        <f t="shared" si="44"/>
        <v>2912681.22</v>
      </c>
      <c r="S38" s="214">
        <f t="shared" si="44"/>
        <v>2956842.22</v>
      </c>
      <c r="T38" s="214">
        <f t="shared" si="44"/>
        <v>2992378.55</v>
      </c>
      <c r="U38" s="214">
        <f t="shared" ref="U38:V38" si="45">SUM(U31:U37)</f>
        <v>3063408.96</v>
      </c>
      <c r="V38" s="214">
        <f t="shared" si="45"/>
        <v>3100873.4899999998</v>
      </c>
      <c r="W38" s="214">
        <f t="shared" ref="W38:AA38" si="46">SUM(W31:W37)</f>
        <v>3128612.0300000003</v>
      </c>
      <c r="X38" s="214">
        <f t="shared" si="46"/>
        <v>3175134.9899999998</v>
      </c>
      <c r="Y38" s="214">
        <f t="shared" si="46"/>
        <v>3231658.85</v>
      </c>
      <c r="Z38" s="214">
        <f t="shared" si="46"/>
        <v>3290826.0999999996</v>
      </c>
      <c r="AA38" s="214">
        <f t="shared" si="46"/>
        <v>3285637424</v>
      </c>
      <c r="AB38" s="214">
        <f t="shared" ref="AB38:AM38" si="47">SUM(AB31:AB37)</f>
        <v>3285637425</v>
      </c>
      <c r="AC38" s="214">
        <f t="shared" si="47"/>
        <v>3285637426</v>
      </c>
      <c r="AD38" s="214">
        <f t="shared" si="47"/>
        <v>3336361080.6100001</v>
      </c>
      <c r="AE38" s="214">
        <f t="shared" si="47"/>
        <v>3379201743.73</v>
      </c>
      <c r="AF38" s="214">
        <f t="shared" si="47"/>
        <v>3109310039.02</v>
      </c>
      <c r="AG38" s="214">
        <f t="shared" si="47"/>
        <v>3111058446.3600001</v>
      </c>
      <c r="AH38" s="214">
        <f t="shared" si="47"/>
        <v>3139446277.6400003</v>
      </c>
      <c r="AI38" s="214">
        <f t="shared" si="47"/>
        <v>3171144622.0999999</v>
      </c>
      <c r="AJ38" s="214">
        <f t="shared" si="47"/>
        <v>3200533483.3099999</v>
      </c>
      <c r="AK38" s="214">
        <f t="shared" si="47"/>
        <v>3247636683.02</v>
      </c>
      <c r="AL38" s="214">
        <f t="shared" si="47"/>
        <v>3267555510.1799998</v>
      </c>
      <c r="AM38" s="214">
        <f t="shared" si="47"/>
        <v>3304489330.8000002</v>
      </c>
      <c r="AN38" s="214">
        <f t="shared" ref="AN38:AV38" si="48">SUM(AN31:AN37)</f>
        <v>3965062592</v>
      </c>
      <c r="AO38" s="214">
        <f t="shared" si="48"/>
        <v>4006245738.48</v>
      </c>
      <c r="AP38" s="214">
        <f t="shared" si="48"/>
        <v>4114565958.6300001</v>
      </c>
      <c r="AQ38" s="214">
        <f t="shared" si="48"/>
        <v>4035276734.0200005</v>
      </c>
      <c r="AR38" s="214">
        <f t="shared" si="48"/>
        <v>4046610781.2799997</v>
      </c>
      <c r="AS38" s="214">
        <f t="shared" si="48"/>
        <v>4133352788.6799998</v>
      </c>
      <c r="AT38" s="214">
        <f t="shared" si="48"/>
        <v>4224366882.5999999</v>
      </c>
      <c r="AU38" s="214">
        <f t="shared" si="48"/>
        <v>4282466965.6599998</v>
      </c>
      <c r="AV38" s="214">
        <f t="shared" si="48"/>
        <v>4326502439.1300001</v>
      </c>
    </row>
    <row r="39" spans="1:48" ht="15.75">
      <c r="A39" s="161" t="s">
        <v>39</v>
      </c>
      <c r="B39" s="284">
        <f>7840346+11129788</f>
        <v>18970134</v>
      </c>
      <c r="C39" s="303">
        <v>182486.39</v>
      </c>
      <c r="D39" s="303">
        <v>183425.59</v>
      </c>
      <c r="E39" s="303">
        <v>184649.41</v>
      </c>
      <c r="F39" s="303">
        <v>184691.41</v>
      </c>
      <c r="G39" s="303">
        <v>185829</v>
      </c>
      <c r="H39" s="303">
        <v>186876.42</v>
      </c>
      <c r="I39" s="303">
        <v>188826.42</v>
      </c>
      <c r="J39" s="303">
        <v>189342.42</v>
      </c>
      <c r="K39" s="303">
        <v>190311.74</v>
      </c>
      <c r="L39" s="303">
        <v>190771.94</v>
      </c>
      <c r="M39" s="303">
        <v>191310.14</v>
      </c>
      <c r="N39" s="276">
        <f>181839389+9448550</f>
        <v>191287939</v>
      </c>
      <c r="O39" s="303">
        <v>192296.14</v>
      </c>
      <c r="P39" s="303">
        <v>192676.34</v>
      </c>
      <c r="Q39" s="303">
        <v>193182.94</v>
      </c>
      <c r="R39" s="303">
        <v>194221.94</v>
      </c>
      <c r="S39" s="303">
        <v>195341.47</v>
      </c>
      <c r="T39" s="303">
        <v>196489.31</v>
      </c>
      <c r="U39" s="295">
        <v>197709.31</v>
      </c>
      <c r="V39" s="295">
        <v>198169.31</v>
      </c>
      <c r="W39" s="303">
        <v>200492.12</v>
      </c>
      <c r="X39" s="303">
        <v>201143.69</v>
      </c>
      <c r="Y39" s="303">
        <v>202339.19</v>
      </c>
      <c r="Z39" s="303">
        <v>204354.23</v>
      </c>
      <c r="AA39" s="313">
        <v>204354229</v>
      </c>
      <c r="AB39" s="295">
        <v>204394229</v>
      </c>
      <c r="AC39" s="323">
        <v>205224229</v>
      </c>
      <c r="AD39" s="323">
        <v>208952661</v>
      </c>
      <c r="AE39" s="323">
        <v>210951661</v>
      </c>
      <c r="AF39" s="323">
        <v>211314384.94999999</v>
      </c>
      <c r="AG39" s="323">
        <v>211314384.94999999</v>
      </c>
      <c r="AH39" s="323">
        <v>214398769.94999999</v>
      </c>
      <c r="AI39" s="323">
        <v>215946269.94999999</v>
      </c>
      <c r="AJ39" s="323">
        <v>217119009.94999999</v>
      </c>
      <c r="AK39" s="323">
        <v>218398405.94999999</v>
      </c>
      <c r="AL39" s="323">
        <v>219367405.94999999</v>
      </c>
      <c r="AM39" s="323">
        <v>220879405.94999999</v>
      </c>
      <c r="AN39" s="329">
        <v>220601770</v>
      </c>
      <c r="AO39" s="335">
        <v>221841405.94999999</v>
      </c>
      <c r="AP39" s="337">
        <v>223465770.41</v>
      </c>
      <c r="AQ39" s="337">
        <v>227247383.41</v>
      </c>
      <c r="AR39" s="335">
        <v>228177283.41</v>
      </c>
      <c r="AS39" s="335">
        <v>229958283.41</v>
      </c>
      <c r="AT39" s="335">
        <v>231028961.41</v>
      </c>
      <c r="AU39" s="400">
        <v>233102392.41</v>
      </c>
      <c r="AV39" s="402">
        <v>233916892.41</v>
      </c>
    </row>
    <row r="40" spans="1:48" ht="15">
      <c r="A40" s="161" t="s">
        <v>40</v>
      </c>
      <c r="B40" s="287"/>
      <c r="C40" s="303">
        <v>0</v>
      </c>
      <c r="D40" s="303">
        <v>0</v>
      </c>
      <c r="E40" s="303">
        <v>0</v>
      </c>
      <c r="F40" s="303">
        <v>0</v>
      </c>
      <c r="G40" s="303">
        <v>0</v>
      </c>
      <c r="H40" s="303">
        <v>0</v>
      </c>
      <c r="I40" s="303">
        <v>0</v>
      </c>
      <c r="J40" s="303">
        <v>0</v>
      </c>
      <c r="K40" s="303">
        <v>0</v>
      </c>
      <c r="L40" s="303">
        <v>0</v>
      </c>
      <c r="M40" s="303">
        <v>0</v>
      </c>
      <c r="N40" s="266"/>
      <c r="O40" s="303">
        <v>0</v>
      </c>
      <c r="P40" s="303">
        <v>0</v>
      </c>
      <c r="Q40" s="303">
        <v>0</v>
      </c>
      <c r="R40" s="303">
        <v>0</v>
      </c>
      <c r="S40" s="303">
        <v>0</v>
      </c>
      <c r="T40" s="303">
        <v>0</v>
      </c>
      <c r="U40" s="296">
        <v>0</v>
      </c>
      <c r="V40" s="296">
        <v>0</v>
      </c>
      <c r="W40" s="303">
        <v>0</v>
      </c>
      <c r="X40" s="303">
        <v>0</v>
      </c>
      <c r="Y40" s="303">
        <v>0</v>
      </c>
      <c r="Z40" s="303">
        <v>0</v>
      </c>
      <c r="AA40" s="314"/>
      <c r="AB40" s="296">
        <v>0</v>
      </c>
      <c r="AC40" s="324">
        <v>0</v>
      </c>
      <c r="AD40" s="324">
        <v>0</v>
      </c>
      <c r="AE40" s="324">
        <v>0</v>
      </c>
      <c r="AF40" s="324">
        <v>0</v>
      </c>
      <c r="AG40" s="324">
        <v>0</v>
      </c>
      <c r="AH40" s="324">
        <v>0</v>
      </c>
      <c r="AI40" s="324">
        <v>0</v>
      </c>
      <c r="AJ40" s="324">
        <v>0</v>
      </c>
      <c r="AK40" s="324">
        <v>0</v>
      </c>
      <c r="AL40" s="324">
        <v>0</v>
      </c>
      <c r="AM40" s="322">
        <v>0</v>
      </c>
      <c r="AN40" s="329"/>
      <c r="AO40" s="338">
        <v>0</v>
      </c>
      <c r="AP40" s="340">
        <v>0</v>
      </c>
      <c r="AQ40" s="340">
        <v>0</v>
      </c>
      <c r="AR40" s="338">
        <v>0</v>
      </c>
      <c r="AS40" s="338">
        <v>0</v>
      </c>
      <c r="AT40" s="338">
        <v>0</v>
      </c>
      <c r="AU40" s="403">
        <v>0</v>
      </c>
      <c r="AV40" s="405">
        <v>0</v>
      </c>
    </row>
    <row r="41" spans="1:48" ht="15.75">
      <c r="A41" s="161" t="s">
        <v>41</v>
      </c>
      <c r="B41" s="284">
        <v>10520537</v>
      </c>
      <c r="C41" s="303">
        <v>361564.84</v>
      </c>
      <c r="D41" s="303">
        <v>274938.86</v>
      </c>
      <c r="E41" s="303">
        <v>274938.86</v>
      </c>
      <c r="F41" s="303">
        <v>274938.86</v>
      </c>
      <c r="G41" s="303">
        <v>274938.86</v>
      </c>
      <c r="H41" s="303">
        <v>274938.86</v>
      </c>
      <c r="I41" s="303">
        <v>274938.86</v>
      </c>
      <c r="J41" s="303">
        <v>274938.86</v>
      </c>
      <c r="K41" s="303">
        <v>274938.86</v>
      </c>
      <c r="L41" s="303">
        <v>274938.86</v>
      </c>
      <c r="M41" s="303">
        <v>274938.86</v>
      </c>
      <c r="N41" s="276">
        <v>274955772</v>
      </c>
      <c r="O41" s="303">
        <v>401563.2</v>
      </c>
      <c r="P41" s="303">
        <v>361219.33</v>
      </c>
      <c r="Q41" s="303">
        <v>361219.33</v>
      </c>
      <c r="R41" s="303">
        <v>361219.33</v>
      </c>
      <c r="S41" s="303">
        <v>361219.33</v>
      </c>
      <c r="T41" s="303">
        <v>361219.33</v>
      </c>
      <c r="U41" s="297">
        <v>361219.33</v>
      </c>
      <c r="V41" s="297">
        <v>361219.33</v>
      </c>
      <c r="W41" s="303">
        <v>361219.33</v>
      </c>
      <c r="X41" s="303">
        <v>361219.33</v>
      </c>
      <c r="Y41" s="303">
        <v>361219.33</v>
      </c>
      <c r="Z41" s="303">
        <v>361219.33</v>
      </c>
      <c r="AA41" s="314">
        <v>361237243</v>
      </c>
      <c r="AB41" s="297">
        <v>477214465.94999999</v>
      </c>
      <c r="AC41" s="325">
        <v>442110065</v>
      </c>
      <c r="AD41" s="325">
        <v>442110065</v>
      </c>
      <c r="AE41" s="325">
        <v>442110065</v>
      </c>
      <c r="AF41" s="325">
        <v>442110065</v>
      </c>
      <c r="AG41" s="325">
        <v>442110065</v>
      </c>
      <c r="AH41" s="325">
        <v>442110065</v>
      </c>
      <c r="AI41" s="325">
        <v>424493844.94999999</v>
      </c>
      <c r="AJ41" s="325">
        <v>424493844.94999999</v>
      </c>
      <c r="AK41" s="325">
        <v>424493844.94999999</v>
      </c>
      <c r="AL41" s="325">
        <v>424493844.94999999</v>
      </c>
      <c r="AM41" s="323">
        <v>381779098.24000001</v>
      </c>
      <c r="AN41" s="329">
        <f>442110173-9866173</f>
        <v>432244000</v>
      </c>
      <c r="AO41" s="339">
        <v>514641484.72000003</v>
      </c>
      <c r="AP41" s="341">
        <v>466744944.99000001</v>
      </c>
      <c r="AQ41" s="341">
        <v>466744944.99000001</v>
      </c>
      <c r="AR41" s="335">
        <v>466744944.99000001</v>
      </c>
      <c r="AS41" s="339">
        <v>466744944.99000001</v>
      </c>
      <c r="AT41" s="339">
        <v>466744944.99000001</v>
      </c>
      <c r="AU41" s="404">
        <v>466744944.99000001</v>
      </c>
      <c r="AV41" s="406">
        <v>466744944.99000001</v>
      </c>
    </row>
    <row r="42" spans="1:48" ht="15.75">
      <c r="A42" s="161" t="s">
        <v>42</v>
      </c>
      <c r="B42" s="284">
        <v>17320</v>
      </c>
      <c r="C42" s="303">
        <v>-929.2</v>
      </c>
      <c r="D42" s="303">
        <v>16583.599999999999</v>
      </c>
      <c r="E42" s="303">
        <v>10631.9</v>
      </c>
      <c r="F42" s="303">
        <v>58625.5</v>
      </c>
      <c r="G42" s="303">
        <v>102430.39999999999</v>
      </c>
      <c r="H42" s="303">
        <v>56449.79</v>
      </c>
      <c r="I42" s="303">
        <v>67717.8</v>
      </c>
      <c r="J42" s="303">
        <v>76242.2</v>
      </c>
      <c r="K42" s="303">
        <v>87325.8</v>
      </c>
      <c r="L42" s="303">
        <v>81803.899999999994</v>
      </c>
      <c r="M42" s="303">
        <v>113519.3</v>
      </c>
      <c r="N42" s="276">
        <f>157859891-(31571978+37440175+2574774+16879)</f>
        <v>86256085</v>
      </c>
      <c r="O42" s="303">
        <v>-13751.5</v>
      </c>
      <c r="P42" s="303">
        <v>-25718.6</v>
      </c>
      <c r="Q42" s="303">
        <v>-12777.2</v>
      </c>
      <c r="R42" s="303">
        <v>36515.300000000003</v>
      </c>
      <c r="S42" s="303">
        <v>37077.599999999999</v>
      </c>
      <c r="T42" s="303">
        <v>59180.9</v>
      </c>
      <c r="U42" s="297">
        <v>35242.5</v>
      </c>
      <c r="V42" s="297">
        <v>25206.89</v>
      </c>
      <c r="W42" s="303">
        <v>77640.7</v>
      </c>
      <c r="X42" s="303">
        <v>83940.800000000003</v>
      </c>
      <c r="Y42" s="303">
        <v>94579.199999999997</v>
      </c>
      <c r="Z42" s="303">
        <v>126955.31</v>
      </c>
      <c r="AA42" s="314">
        <f>159056344-31811269-39505233-3261503</f>
        <v>84478339</v>
      </c>
      <c r="AB42" s="297">
        <v>15529500.300000001</v>
      </c>
      <c r="AC42" s="325">
        <v>16361200</v>
      </c>
      <c r="AD42" s="325">
        <v>6339279.2999999998</v>
      </c>
      <c r="AE42" s="325">
        <v>5871320</v>
      </c>
      <c r="AF42" s="325">
        <v>-2066494.3</v>
      </c>
      <c r="AG42" s="325">
        <v>43633197.799999997</v>
      </c>
      <c r="AH42" s="325">
        <v>37091552.600000001</v>
      </c>
      <c r="AI42" s="325">
        <v>43141259.299999997</v>
      </c>
      <c r="AJ42" s="325">
        <v>48515771.399999999</v>
      </c>
      <c r="AK42" s="325">
        <v>46993755.100000001</v>
      </c>
      <c r="AL42" s="325">
        <v>42563465.700000003</v>
      </c>
      <c r="AM42" s="323">
        <v>105546613.59999999</v>
      </c>
      <c r="AN42" s="329">
        <f>121663493-24332699-4074234-5864891-42749380</f>
        <v>44642289</v>
      </c>
      <c r="AO42" s="339">
        <v>12122.9</v>
      </c>
      <c r="AP42" s="341">
        <v>16148758.5</v>
      </c>
      <c r="AQ42" s="341">
        <v>23907360</v>
      </c>
      <c r="AR42" s="339">
        <v>24144810.600000001</v>
      </c>
      <c r="AS42" s="339">
        <v>28192040.800000001</v>
      </c>
      <c r="AT42" s="339">
        <v>82080067</v>
      </c>
      <c r="AU42" s="404">
        <v>77451671.5</v>
      </c>
      <c r="AV42" s="406">
        <v>77160420.799999997</v>
      </c>
    </row>
    <row r="43" spans="1:48" ht="15.75">
      <c r="A43" s="161" t="s">
        <v>43</v>
      </c>
      <c r="B43" s="284">
        <v>5785290</v>
      </c>
      <c r="C43" s="303">
        <v>96887.35</v>
      </c>
      <c r="D43" s="303">
        <v>113070.67</v>
      </c>
      <c r="E43" s="303">
        <v>113070.67</v>
      </c>
      <c r="F43" s="303">
        <v>113070.67</v>
      </c>
      <c r="G43" s="303">
        <v>113070.67</v>
      </c>
      <c r="H43" s="303">
        <v>113070.67</v>
      </c>
      <c r="I43" s="303">
        <v>113070.67</v>
      </c>
      <c r="J43" s="303">
        <v>113070.67</v>
      </c>
      <c r="K43" s="303">
        <v>113070.67</v>
      </c>
      <c r="L43" s="303">
        <v>113070.67</v>
      </c>
      <c r="M43" s="303">
        <v>113070.67</v>
      </c>
      <c r="N43" s="276">
        <f>113070667+31571978</f>
        <v>144642645</v>
      </c>
      <c r="O43" s="303">
        <v>113070.67</v>
      </c>
      <c r="P43" s="303">
        <v>144648.99</v>
      </c>
      <c r="Q43" s="303">
        <v>144648.99</v>
      </c>
      <c r="R43" s="303">
        <v>144648.99</v>
      </c>
      <c r="S43" s="303">
        <v>144648.99</v>
      </c>
      <c r="T43" s="303">
        <v>144648.99</v>
      </c>
      <c r="U43" s="297">
        <v>144648.99</v>
      </c>
      <c r="V43" s="297">
        <v>144648.99</v>
      </c>
      <c r="W43" s="303">
        <v>144648.99</v>
      </c>
      <c r="X43" s="303">
        <v>144648.99</v>
      </c>
      <c r="Y43" s="303">
        <v>144648.99</v>
      </c>
      <c r="Z43" s="303">
        <v>144648.99</v>
      </c>
      <c r="AA43" s="314">
        <v>176460261</v>
      </c>
      <c r="AB43" s="297">
        <v>144648991</v>
      </c>
      <c r="AC43" s="325">
        <v>176460260</v>
      </c>
      <c r="AD43" s="325">
        <v>176460260</v>
      </c>
      <c r="AE43" s="325">
        <v>176460260</v>
      </c>
      <c r="AF43" s="325">
        <v>176460260</v>
      </c>
      <c r="AG43" s="325">
        <v>176460260</v>
      </c>
      <c r="AH43" s="325">
        <v>176460260</v>
      </c>
      <c r="AI43" s="325">
        <v>176460260</v>
      </c>
      <c r="AJ43" s="325">
        <v>176460260</v>
      </c>
      <c r="AK43" s="325">
        <v>176460260</v>
      </c>
      <c r="AL43" s="325">
        <v>176460260</v>
      </c>
      <c r="AM43" s="323">
        <v>176460260</v>
      </c>
      <c r="AN43" s="329">
        <v>200792959</v>
      </c>
      <c r="AO43" s="339">
        <v>176460260</v>
      </c>
      <c r="AP43" s="341">
        <v>198645752</v>
      </c>
      <c r="AQ43" s="341">
        <v>198645752</v>
      </c>
      <c r="AR43" s="339">
        <v>198645752</v>
      </c>
      <c r="AS43" s="339">
        <v>198645752</v>
      </c>
      <c r="AT43" s="339">
        <v>198645752</v>
      </c>
      <c r="AU43" s="404">
        <v>198645752</v>
      </c>
      <c r="AV43" s="406">
        <v>198645752</v>
      </c>
    </row>
    <row r="44" spans="1:48" ht="15">
      <c r="A44" s="161" t="s">
        <v>44</v>
      </c>
      <c r="B44" s="287"/>
      <c r="C44" s="303">
        <v>0</v>
      </c>
      <c r="D44" s="303">
        <v>0</v>
      </c>
      <c r="E44" s="303">
        <v>0</v>
      </c>
      <c r="F44" s="303">
        <v>0</v>
      </c>
      <c r="G44" s="303">
        <v>0</v>
      </c>
      <c r="H44" s="303">
        <v>0</v>
      </c>
      <c r="I44" s="303">
        <v>0</v>
      </c>
      <c r="J44" s="303">
        <v>0</v>
      </c>
      <c r="K44" s="303">
        <v>0</v>
      </c>
      <c r="L44" s="303">
        <v>0</v>
      </c>
      <c r="M44" s="303">
        <v>0</v>
      </c>
      <c r="N44" s="276">
        <f>40906816</f>
        <v>40906816</v>
      </c>
      <c r="O44" s="303">
        <v>0</v>
      </c>
      <c r="P44" s="303">
        <v>0</v>
      </c>
      <c r="Q44" s="303">
        <v>0</v>
      </c>
      <c r="R44" s="303">
        <v>0</v>
      </c>
      <c r="S44" s="303">
        <v>0</v>
      </c>
      <c r="T44" s="303">
        <v>0</v>
      </c>
      <c r="U44" s="296">
        <v>0</v>
      </c>
      <c r="V44" s="296">
        <v>0</v>
      </c>
      <c r="W44" s="303">
        <v>0</v>
      </c>
      <c r="X44" s="303">
        <v>0</v>
      </c>
      <c r="Y44" s="303">
        <v>0</v>
      </c>
      <c r="Z44" s="303">
        <v>0</v>
      </c>
      <c r="AA44" s="314">
        <v>40906816</v>
      </c>
      <c r="AB44" s="296">
        <v>0</v>
      </c>
      <c r="AC44" s="324">
        <v>0</v>
      </c>
      <c r="AD44" s="324">
        <v>0</v>
      </c>
      <c r="AE44" s="324">
        <v>0</v>
      </c>
      <c r="AF44" s="324">
        <v>0</v>
      </c>
      <c r="AG44" s="324">
        <v>0</v>
      </c>
      <c r="AH44" s="324">
        <v>0</v>
      </c>
      <c r="AI44" s="324">
        <v>0</v>
      </c>
      <c r="AJ44" s="324">
        <v>0</v>
      </c>
      <c r="AK44" s="324">
        <v>0</v>
      </c>
      <c r="AL44" s="324">
        <v>0</v>
      </c>
      <c r="AM44" s="322">
        <v>0</v>
      </c>
      <c r="AN44" s="329">
        <f>40906816</f>
        <v>40906816</v>
      </c>
      <c r="AO44" s="338">
        <v>0</v>
      </c>
      <c r="AP44" s="340">
        <v>0</v>
      </c>
      <c r="AQ44" s="340">
        <v>0</v>
      </c>
      <c r="AR44" s="338">
        <v>0</v>
      </c>
      <c r="AS44" s="338">
        <v>0</v>
      </c>
      <c r="AT44" s="338">
        <v>0</v>
      </c>
      <c r="AU44" s="403">
        <v>0</v>
      </c>
      <c r="AV44" s="405">
        <v>0</v>
      </c>
    </row>
    <row r="45" spans="1:48" ht="15">
      <c r="A45" s="161" t="s">
        <v>45</v>
      </c>
      <c r="B45" s="287"/>
      <c r="C45" s="303">
        <v>48063.37</v>
      </c>
      <c r="D45" s="303">
        <v>48063.37</v>
      </c>
      <c r="E45" s="303">
        <v>48063.37</v>
      </c>
      <c r="F45" s="303">
        <v>48063.37</v>
      </c>
      <c r="G45" s="303">
        <v>48063.37</v>
      </c>
      <c r="H45" s="303">
        <v>48063.37</v>
      </c>
      <c r="I45" s="303">
        <v>48063.37</v>
      </c>
      <c r="J45" s="303">
        <v>48063.37</v>
      </c>
      <c r="K45" s="303">
        <v>48063.37</v>
      </c>
      <c r="L45" s="303">
        <v>48063.37</v>
      </c>
      <c r="M45" s="303">
        <v>48063.37</v>
      </c>
      <c r="N45" s="276">
        <f>7156548</f>
        <v>7156548</v>
      </c>
      <c r="O45" s="303">
        <v>48063.37</v>
      </c>
      <c r="P45" s="303">
        <v>48063.37</v>
      </c>
      <c r="Q45" s="303">
        <v>48063.37</v>
      </c>
      <c r="R45" s="303">
        <v>48063.37</v>
      </c>
      <c r="S45" s="303">
        <v>48063.37</v>
      </c>
      <c r="T45" s="303">
        <v>48063.37</v>
      </c>
      <c r="U45" s="297">
        <v>48063.37</v>
      </c>
      <c r="V45" s="297">
        <v>48063.37</v>
      </c>
      <c r="W45" s="303">
        <v>48063.37</v>
      </c>
      <c r="X45" s="303">
        <v>48063.37</v>
      </c>
      <c r="Y45" s="303">
        <v>48063.37</v>
      </c>
      <c r="Z45" s="303">
        <v>48063.37</v>
      </c>
      <c r="AA45" s="314">
        <v>7156548</v>
      </c>
      <c r="AB45" s="297">
        <v>48063367.780000001</v>
      </c>
      <c r="AC45" s="325">
        <v>48063367.780000001</v>
      </c>
      <c r="AD45" s="325">
        <v>48063367.780000001</v>
      </c>
      <c r="AE45" s="325">
        <v>48063367.780000001</v>
      </c>
      <c r="AF45" s="325">
        <v>48063367.780000001</v>
      </c>
      <c r="AG45" s="325">
        <v>48063367.780000001</v>
      </c>
      <c r="AH45" s="325">
        <v>48063367.780000001</v>
      </c>
      <c r="AI45" s="325">
        <v>48063367.780000001</v>
      </c>
      <c r="AJ45" s="325">
        <v>48063367.780000001</v>
      </c>
      <c r="AK45" s="325">
        <v>52030326.210000001</v>
      </c>
      <c r="AL45" s="325">
        <v>52030326.210000001</v>
      </c>
      <c r="AM45" s="323">
        <v>56082525.140000001</v>
      </c>
      <c r="AN45" s="329">
        <v>7156548</v>
      </c>
      <c r="AO45" s="339">
        <v>59668815.439999998</v>
      </c>
      <c r="AP45" s="341">
        <v>60357364.479999997</v>
      </c>
      <c r="AQ45" s="341">
        <v>62659029.770000003</v>
      </c>
      <c r="AR45" s="339">
        <v>62659029.770000003</v>
      </c>
      <c r="AS45" s="339">
        <v>62659029.770000003</v>
      </c>
      <c r="AT45" s="339">
        <v>62659029.770000003</v>
      </c>
      <c r="AU45" s="404">
        <v>71918919.060000002</v>
      </c>
      <c r="AV45" s="406">
        <v>55530926.020000003</v>
      </c>
    </row>
    <row r="46" spans="1:48" ht="15">
      <c r="A46" s="161" t="s">
        <v>46</v>
      </c>
      <c r="B46" s="288"/>
      <c r="C46" s="291">
        <v>3041.44</v>
      </c>
      <c r="D46" s="291">
        <v>6114.19</v>
      </c>
      <c r="E46" s="291">
        <v>9232.4699999999993</v>
      </c>
      <c r="F46" s="291">
        <v>12312.76</v>
      </c>
      <c r="G46" s="291">
        <v>15485.78</v>
      </c>
      <c r="H46" s="291">
        <v>18687.64</v>
      </c>
      <c r="I46" s="291">
        <v>25176.86</v>
      </c>
      <c r="J46" s="291">
        <v>28401.360000000001</v>
      </c>
      <c r="K46" s="291">
        <v>31718.62</v>
      </c>
      <c r="L46" s="291">
        <v>34974.86</v>
      </c>
      <c r="M46" s="291">
        <v>38262.03</v>
      </c>
      <c r="N46" s="276">
        <f>37440175</f>
        <v>37440175</v>
      </c>
      <c r="O46" s="291">
        <v>3204.94</v>
      </c>
      <c r="P46" s="291">
        <v>6422.54</v>
      </c>
      <c r="Q46" s="291">
        <v>6422.54</v>
      </c>
      <c r="R46" s="291">
        <v>12948.13</v>
      </c>
      <c r="S46" s="291">
        <v>16278.46</v>
      </c>
      <c r="T46" s="291">
        <v>19648.93</v>
      </c>
      <c r="U46" s="296">
        <v>23066.09</v>
      </c>
      <c r="V46" s="296">
        <v>26422.58</v>
      </c>
      <c r="W46" s="291">
        <v>30073.82</v>
      </c>
      <c r="X46" s="291">
        <v>33523.949999999997</v>
      </c>
      <c r="Y46" s="291">
        <v>37095.519999999997</v>
      </c>
      <c r="Z46" s="291">
        <v>39491.269999999997</v>
      </c>
      <c r="AA46" s="314">
        <v>39505233</v>
      </c>
      <c r="AB46" s="296">
        <v>3406570.48</v>
      </c>
      <c r="AC46" s="324">
        <v>6840807.6299999999</v>
      </c>
      <c r="AD46" s="324">
        <v>10447633.050000001</v>
      </c>
      <c r="AE46" s="324">
        <v>14063444.07</v>
      </c>
      <c r="AF46" s="324">
        <v>17609532.079999998</v>
      </c>
      <c r="AG46" s="324">
        <v>21332877</v>
      </c>
      <c r="AH46" s="324">
        <v>25013189.829999998</v>
      </c>
      <c r="AI46" s="324">
        <v>28792835.989999998</v>
      </c>
      <c r="AJ46" s="324">
        <v>32567851.489999998</v>
      </c>
      <c r="AK46" s="324">
        <v>32567851.489999998</v>
      </c>
      <c r="AL46" s="324">
        <v>40217357.759999998</v>
      </c>
      <c r="AM46" s="322">
        <v>42749380.219999999</v>
      </c>
      <c r="AN46" s="329">
        <v>9348352</v>
      </c>
      <c r="AO46" s="338">
        <v>46446736.990000002</v>
      </c>
      <c r="AP46" s="340">
        <v>50198239.229999997</v>
      </c>
      <c r="AQ46" s="340">
        <v>11362639.17</v>
      </c>
      <c r="AR46" s="338">
        <v>15211818.890000001</v>
      </c>
      <c r="AS46" s="338">
        <v>19163190.280000001</v>
      </c>
      <c r="AT46" s="338">
        <v>23102896.140000001</v>
      </c>
      <c r="AU46" s="403">
        <v>27195279.109999999</v>
      </c>
      <c r="AV46" s="405">
        <v>31188918.989999998</v>
      </c>
    </row>
    <row r="47" spans="1:48" ht="15">
      <c r="A47" s="161" t="s">
        <v>47</v>
      </c>
      <c r="B47" s="288"/>
      <c r="C47" s="291">
        <v>0</v>
      </c>
      <c r="D47" s="291">
        <v>0</v>
      </c>
      <c r="E47" s="291">
        <v>0</v>
      </c>
      <c r="F47" s="291">
        <v>0</v>
      </c>
      <c r="G47" s="291">
        <v>0</v>
      </c>
      <c r="H47" s="291">
        <v>0</v>
      </c>
      <c r="I47" s="291">
        <v>0</v>
      </c>
      <c r="J47" s="291">
        <v>0</v>
      </c>
      <c r="K47" s="291">
        <v>0</v>
      </c>
      <c r="L47" s="291">
        <v>0</v>
      </c>
      <c r="M47" s="291">
        <v>0</v>
      </c>
      <c r="N47" s="267"/>
      <c r="O47" s="291">
        <v>0</v>
      </c>
      <c r="P47" s="291">
        <v>0</v>
      </c>
      <c r="Q47" s="291">
        <v>0</v>
      </c>
      <c r="R47" s="291">
        <v>0</v>
      </c>
      <c r="S47" s="291">
        <v>0</v>
      </c>
      <c r="T47" s="291">
        <v>0</v>
      </c>
      <c r="U47" s="296">
        <v>0</v>
      </c>
      <c r="V47" s="296">
        <v>0</v>
      </c>
      <c r="W47" s="291">
        <v>0</v>
      </c>
      <c r="X47" s="291">
        <v>0</v>
      </c>
      <c r="Y47" s="291">
        <v>0</v>
      </c>
      <c r="Z47" s="291">
        <v>0</v>
      </c>
      <c r="AA47" s="314"/>
      <c r="AB47" s="296">
        <v>0</v>
      </c>
      <c r="AC47" s="324">
        <v>0</v>
      </c>
      <c r="AD47" s="324">
        <v>0</v>
      </c>
      <c r="AE47" s="324">
        <v>0</v>
      </c>
      <c r="AF47" s="324">
        <v>0</v>
      </c>
      <c r="AG47" s="324">
        <v>0</v>
      </c>
      <c r="AH47" s="324">
        <v>0</v>
      </c>
      <c r="AI47" s="324">
        <v>0</v>
      </c>
      <c r="AJ47" s="324">
        <v>0</v>
      </c>
      <c r="AK47" s="324">
        <v>0</v>
      </c>
      <c r="AL47" s="324">
        <v>0</v>
      </c>
      <c r="AM47" s="322">
        <v>0</v>
      </c>
      <c r="AN47" s="329"/>
      <c r="AO47" s="338">
        <v>0</v>
      </c>
      <c r="AP47" s="340">
        <v>0</v>
      </c>
      <c r="AQ47" s="340">
        <v>0</v>
      </c>
      <c r="AR47" s="338">
        <v>0</v>
      </c>
      <c r="AS47" s="338">
        <v>0</v>
      </c>
      <c r="AT47" s="338">
        <v>0</v>
      </c>
      <c r="AU47" s="403">
        <v>0</v>
      </c>
      <c r="AV47" s="405">
        <v>0</v>
      </c>
    </row>
    <row r="48" spans="1:48" ht="15.75">
      <c r="A48" s="160" t="s">
        <v>48</v>
      </c>
      <c r="B48" s="283">
        <f t="shared" ref="B48:N48" si="49">SUM(B39:B47)</f>
        <v>35293281</v>
      </c>
      <c r="C48" s="214">
        <f t="shared" si="49"/>
        <v>691114.19</v>
      </c>
      <c r="D48" s="214">
        <f t="shared" si="49"/>
        <v>642196.27999999991</v>
      </c>
      <c r="E48" s="214">
        <f t="shared" si="49"/>
        <v>640586.68000000005</v>
      </c>
      <c r="F48" s="214">
        <f t="shared" si="49"/>
        <v>691702.57000000007</v>
      </c>
      <c r="G48" s="214">
        <f t="shared" si="49"/>
        <v>739818.08000000007</v>
      </c>
      <c r="H48" s="214">
        <f t="shared" si="49"/>
        <v>698086.75</v>
      </c>
      <c r="I48" s="214">
        <f t="shared" si="49"/>
        <v>717793.9800000001</v>
      </c>
      <c r="J48" s="214">
        <f t="shared" si="49"/>
        <v>730058.88</v>
      </c>
      <c r="K48" s="214">
        <f t="shared" si="49"/>
        <v>745429.06</v>
      </c>
      <c r="L48" s="214">
        <f t="shared" si="49"/>
        <v>743623.6</v>
      </c>
      <c r="M48" s="214">
        <f t="shared" si="49"/>
        <v>779164.37000000011</v>
      </c>
      <c r="N48" s="214">
        <f t="shared" si="49"/>
        <v>782645980</v>
      </c>
      <c r="O48" s="214">
        <f t="shared" ref="O48:T48" si="50">SUM(O39:O47)</f>
        <v>744446.82000000007</v>
      </c>
      <c r="P48" s="214">
        <f t="shared" si="50"/>
        <v>727311.97000000009</v>
      </c>
      <c r="Q48" s="214">
        <f t="shared" si="50"/>
        <v>740759.97000000009</v>
      </c>
      <c r="R48" s="214">
        <f t="shared" si="50"/>
        <v>797617.06</v>
      </c>
      <c r="S48" s="214">
        <f t="shared" si="50"/>
        <v>802629.22</v>
      </c>
      <c r="T48" s="214">
        <f t="shared" si="50"/>
        <v>829250.83000000007</v>
      </c>
      <c r="U48" s="214">
        <f t="shared" ref="U48:V48" si="51">SUM(U39:U47)</f>
        <v>809949.59</v>
      </c>
      <c r="V48" s="214">
        <f t="shared" si="51"/>
        <v>803730.47</v>
      </c>
      <c r="W48" s="214">
        <f t="shared" ref="W48:AA48" si="52">SUM(W39:W47)</f>
        <v>862138.32999999984</v>
      </c>
      <c r="X48" s="214">
        <f t="shared" si="52"/>
        <v>872540.13</v>
      </c>
      <c r="Y48" s="214">
        <f t="shared" si="52"/>
        <v>887945.6</v>
      </c>
      <c r="Z48" s="214">
        <f t="shared" si="52"/>
        <v>924732.50000000012</v>
      </c>
      <c r="AA48" s="214">
        <f t="shared" si="52"/>
        <v>914098669</v>
      </c>
      <c r="AB48" s="214">
        <f t="shared" ref="AB48:AM48" si="53">SUM(AB39:AB47)</f>
        <v>893257124.50999999</v>
      </c>
      <c r="AC48" s="214">
        <f t="shared" si="53"/>
        <v>895059929.40999997</v>
      </c>
      <c r="AD48" s="214">
        <f t="shared" si="53"/>
        <v>892373266.12999988</v>
      </c>
      <c r="AE48" s="214">
        <f t="shared" si="53"/>
        <v>897520117.85000002</v>
      </c>
      <c r="AF48" s="214">
        <f t="shared" si="53"/>
        <v>893491115.51000011</v>
      </c>
      <c r="AG48" s="214">
        <f t="shared" si="53"/>
        <v>942914152.52999997</v>
      </c>
      <c r="AH48" s="214">
        <f t="shared" si="53"/>
        <v>943137205.16000009</v>
      </c>
      <c r="AI48" s="214">
        <f t="shared" si="53"/>
        <v>936897837.96999991</v>
      </c>
      <c r="AJ48" s="214">
        <f t="shared" si="53"/>
        <v>947220105.56999993</v>
      </c>
      <c r="AK48" s="214">
        <f t="shared" si="53"/>
        <v>950944443.70000005</v>
      </c>
      <c r="AL48" s="214">
        <f t="shared" si="53"/>
        <v>955132660.57000005</v>
      </c>
      <c r="AM48" s="214">
        <f t="shared" si="53"/>
        <v>983497283.1500001</v>
      </c>
      <c r="AN48" s="214">
        <f t="shared" ref="AN48:AT48" si="54">SUM(AN39:AN47)</f>
        <v>955692734</v>
      </c>
      <c r="AO48" s="214">
        <f>SUM(AO39:AO47)</f>
        <v>1019070826</v>
      </c>
      <c r="AP48" s="214">
        <f t="shared" si="54"/>
        <v>1015560829.61</v>
      </c>
      <c r="AQ48" s="214">
        <f t="shared" si="54"/>
        <v>990567109.33999991</v>
      </c>
      <c r="AR48" s="214">
        <f t="shared" si="54"/>
        <v>995583639.65999997</v>
      </c>
      <c r="AS48" s="214">
        <f t="shared" si="54"/>
        <v>1005363241.2499999</v>
      </c>
      <c r="AT48" s="214">
        <f t="shared" si="54"/>
        <v>1064261651.3099999</v>
      </c>
      <c r="AU48" s="214">
        <f t="shared" ref="AU48:AV48" si="55">SUM(AU39:AU47)</f>
        <v>1075058959.0699999</v>
      </c>
      <c r="AV48" s="214">
        <f t="shared" si="55"/>
        <v>1063187855.2099999</v>
      </c>
    </row>
    <row r="49" spans="1:48" ht="15.75">
      <c r="A49" s="160" t="s">
        <v>49</v>
      </c>
      <c r="B49" s="283">
        <f t="shared" ref="B49:N49" si="56">SUM(B48+B38)</f>
        <v>293411677.21000004</v>
      </c>
      <c r="C49" s="214">
        <f t="shared" si="56"/>
        <v>3166395.2699999996</v>
      </c>
      <c r="D49" s="214">
        <f t="shared" si="56"/>
        <v>3158788.4899999998</v>
      </c>
      <c r="E49" s="214">
        <f t="shared" si="56"/>
        <v>3099454.08</v>
      </c>
      <c r="F49" s="214">
        <f t="shared" si="56"/>
        <v>3168003.6000000006</v>
      </c>
      <c r="G49" s="214">
        <f t="shared" si="56"/>
        <v>3250660.84</v>
      </c>
      <c r="H49" s="214">
        <f t="shared" si="56"/>
        <v>3277863.96</v>
      </c>
      <c r="I49" s="214">
        <f t="shared" si="56"/>
        <v>3397046.15</v>
      </c>
      <c r="J49" s="214">
        <f t="shared" si="56"/>
        <v>3438556.23</v>
      </c>
      <c r="K49" s="214">
        <f t="shared" si="56"/>
        <v>3496488.0600000005</v>
      </c>
      <c r="L49" s="214">
        <f t="shared" si="56"/>
        <v>3555260.63</v>
      </c>
      <c r="M49" s="214">
        <f t="shared" si="56"/>
        <v>3628251.47</v>
      </c>
      <c r="N49" s="214">
        <f t="shared" si="56"/>
        <v>3614375417</v>
      </c>
      <c r="O49" s="214">
        <f t="shared" ref="O49:T49" si="57">SUM(O48+O38)</f>
        <v>3664644.0200000005</v>
      </c>
      <c r="P49" s="214">
        <f t="shared" si="57"/>
        <v>3682353.99</v>
      </c>
      <c r="Q49" s="214">
        <f t="shared" si="57"/>
        <v>3639502.35</v>
      </c>
      <c r="R49" s="214">
        <f t="shared" si="57"/>
        <v>3710298.2800000003</v>
      </c>
      <c r="S49" s="214">
        <f t="shared" si="57"/>
        <v>3759471.4400000004</v>
      </c>
      <c r="T49" s="214">
        <f t="shared" si="57"/>
        <v>3821629.38</v>
      </c>
      <c r="U49" s="214">
        <f t="shared" ref="U49:V49" si="58">SUM(U48+U38)</f>
        <v>3873358.55</v>
      </c>
      <c r="V49" s="214">
        <f t="shared" si="58"/>
        <v>3904603.96</v>
      </c>
      <c r="W49" s="214">
        <f t="shared" ref="W49:AA49" si="59">SUM(W48+W38)</f>
        <v>3990750.3600000003</v>
      </c>
      <c r="X49" s="214">
        <f t="shared" si="59"/>
        <v>4047675.1199999996</v>
      </c>
      <c r="Y49" s="214">
        <f t="shared" si="59"/>
        <v>4119604.45</v>
      </c>
      <c r="Z49" s="214">
        <f t="shared" si="59"/>
        <v>4215558.5999999996</v>
      </c>
      <c r="AA49" s="214">
        <f t="shared" si="59"/>
        <v>4199736093</v>
      </c>
      <c r="AB49" s="214">
        <f t="shared" ref="AB49:AM49" si="60">SUM(AB48+AB38)</f>
        <v>4178894549.5100002</v>
      </c>
      <c r="AC49" s="214">
        <f t="shared" si="60"/>
        <v>4180697355.4099998</v>
      </c>
      <c r="AD49" s="214">
        <f t="shared" si="60"/>
        <v>4228734346.7399998</v>
      </c>
      <c r="AE49" s="214">
        <f t="shared" si="60"/>
        <v>4276721861.5799999</v>
      </c>
      <c r="AF49" s="214">
        <f t="shared" si="60"/>
        <v>4002801154.5300002</v>
      </c>
      <c r="AG49" s="214">
        <f t="shared" si="60"/>
        <v>4053972598.8900003</v>
      </c>
      <c r="AH49" s="214">
        <f t="shared" si="60"/>
        <v>4082583482.8000002</v>
      </c>
      <c r="AI49" s="214">
        <f t="shared" si="60"/>
        <v>4108042460.0699997</v>
      </c>
      <c r="AJ49" s="214">
        <f t="shared" si="60"/>
        <v>4147753588.8800001</v>
      </c>
      <c r="AK49" s="214">
        <f t="shared" si="60"/>
        <v>4198581126.7200003</v>
      </c>
      <c r="AL49" s="214">
        <f t="shared" si="60"/>
        <v>4222688170.75</v>
      </c>
      <c r="AM49" s="214">
        <f t="shared" si="60"/>
        <v>4287986613.9500003</v>
      </c>
      <c r="AN49" s="214">
        <f t="shared" ref="AN49:AT49" si="61">SUM(AN48+AN38)</f>
        <v>4920755326</v>
      </c>
      <c r="AO49" s="214">
        <f t="shared" si="61"/>
        <v>5025316564.4799995</v>
      </c>
      <c r="AP49" s="214">
        <f t="shared" si="61"/>
        <v>5130126788.2399998</v>
      </c>
      <c r="AQ49" s="214">
        <f t="shared" si="61"/>
        <v>5025843843.3600006</v>
      </c>
      <c r="AR49" s="214">
        <f t="shared" si="61"/>
        <v>5042194420.9399996</v>
      </c>
      <c r="AS49" s="214">
        <f t="shared" si="61"/>
        <v>5138716029.9299994</v>
      </c>
      <c r="AT49" s="214">
        <f t="shared" si="61"/>
        <v>5288628533.9099998</v>
      </c>
      <c r="AU49" s="214">
        <f t="shared" ref="AU49:AV49" si="62">SUM(AU48+AU38)</f>
        <v>5357525924.7299995</v>
      </c>
      <c r="AV49" s="214">
        <f t="shared" si="62"/>
        <v>5389690294.3400002</v>
      </c>
    </row>
    <row r="50" spans="1:48">
      <c r="A50" s="162"/>
      <c r="B50" s="289"/>
      <c r="C50" s="215"/>
      <c r="D50" s="215"/>
      <c r="E50" s="215"/>
      <c r="F50" s="215"/>
      <c r="G50" s="215"/>
      <c r="H50" s="215"/>
      <c r="I50" s="215"/>
      <c r="J50" s="215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</row>
    <row r="51" spans="1:48" ht="15.75">
      <c r="A51" s="162"/>
      <c r="B51" s="290">
        <f>B49-B27</f>
        <v>-0.81999993324279785</v>
      </c>
      <c r="C51" s="216">
        <f>C49-C27</f>
        <v>9.9999993108212948E-3</v>
      </c>
      <c r="D51" s="216">
        <f>D49-D27</f>
        <v>2.9999999795109034E-2</v>
      </c>
      <c r="E51" s="216">
        <f>E49-E27</f>
        <v>1.0000000242143869E-2</v>
      </c>
      <c r="F51" s="216">
        <f t="shared" ref="F51:N51" si="63">F49-F27</f>
        <v>2.0000000484287739E-2</v>
      </c>
      <c r="G51" s="216">
        <f t="shared" si="63"/>
        <v>9.9999997764825821E-3</v>
      </c>
      <c r="H51" s="216">
        <f t="shared" si="63"/>
        <v>-1.0000000242143869E-2</v>
      </c>
      <c r="I51" s="216">
        <f t="shared" si="63"/>
        <v>1.9999999552965164E-2</v>
      </c>
      <c r="J51" s="216">
        <f t="shared" si="63"/>
        <v>1.0000000242143869E-2</v>
      </c>
      <c r="K51" s="216">
        <f t="shared" si="63"/>
        <v>-9.9999993108212948E-3</v>
      </c>
      <c r="L51" s="216">
        <f t="shared" si="63"/>
        <v>1.9999999552965164E-2</v>
      </c>
      <c r="M51" s="216">
        <f t="shared" si="63"/>
        <v>1.0000000242143869E-2</v>
      </c>
      <c r="N51" s="216">
        <f t="shared" si="63"/>
        <v>-3173074</v>
      </c>
      <c r="O51" s="216">
        <f t="shared" ref="O51:T51" si="64">O49-O27</f>
        <v>3.0000000260770321E-2</v>
      </c>
      <c r="P51" s="216">
        <f t="shared" si="64"/>
        <v>2.0000000484287739E-2</v>
      </c>
      <c r="Q51" s="216">
        <f t="shared" si="64"/>
        <v>1.0000000242143869E-2</v>
      </c>
      <c r="R51" s="216">
        <f t="shared" si="64"/>
        <v>1.0000000707805157E-2</v>
      </c>
      <c r="S51" s="216">
        <f t="shared" si="64"/>
        <v>3.0000000260770321E-2</v>
      </c>
      <c r="T51" s="216">
        <f t="shared" si="64"/>
        <v>2.0000000018626451E-2</v>
      </c>
      <c r="U51" s="216">
        <f t="shared" ref="U51:V51" si="65">U49-U27</f>
        <v>0</v>
      </c>
      <c r="V51" s="216">
        <f t="shared" si="65"/>
        <v>-1.0000000242143869E-2</v>
      </c>
      <c r="W51" s="216">
        <f t="shared" ref="W51:AA51" si="66">W49-W27</f>
        <v>-9.9999993108212948E-3</v>
      </c>
      <c r="X51" s="216">
        <f t="shared" si="66"/>
        <v>-1.0000000242143869E-2</v>
      </c>
      <c r="Y51" s="216">
        <f t="shared" si="66"/>
        <v>0</v>
      </c>
      <c r="Z51" s="216">
        <f t="shared" si="66"/>
        <v>0</v>
      </c>
      <c r="AA51" s="315">
        <f t="shared" si="66"/>
        <v>-1</v>
      </c>
      <c r="AB51" s="315">
        <f t="shared" ref="AB51:AM51" si="67">AB49-AB27</f>
        <v>-72970228.179999828</v>
      </c>
      <c r="AC51" s="315">
        <f t="shared" si="67"/>
        <v>-130261794.5</v>
      </c>
      <c r="AD51" s="315">
        <f t="shared" si="67"/>
        <v>-1489172.8600006104</v>
      </c>
      <c r="AE51" s="315">
        <f t="shared" si="67"/>
        <v>51616461.159999847</v>
      </c>
      <c r="AF51" s="315">
        <f t="shared" si="67"/>
        <v>-293004605.44000006</v>
      </c>
      <c r="AG51" s="315">
        <f t="shared" si="67"/>
        <v>-381016741.03999996</v>
      </c>
      <c r="AH51" s="315">
        <f t="shared" si="67"/>
        <v>-404574564.98999977</v>
      </c>
      <c r="AI51" s="315">
        <f t="shared" si="67"/>
        <v>-460826620.59000015</v>
      </c>
      <c r="AJ51" s="315">
        <f t="shared" si="67"/>
        <v>-513615270.67000008</v>
      </c>
      <c r="AK51" s="315">
        <f t="shared" si="67"/>
        <v>-548946426.36999989</v>
      </c>
      <c r="AL51" s="315">
        <f t="shared" si="67"/>
        <v>-603469331.5</v>
      </c>
      <c r="AM51" s="315">
        <f t="shared" si="67"/>
        <v>-639992201.1899991</v>
      </c>
      <c r="AN51" s="315">
        <f t="shared" ref="AN51:AV51" si="68">AN49-AN27</f>
        <v>82</v>
      </c>
      <c r="AO51" s="315">
        <f t="shared" si="68"/>
        <v>0</v>
      </c>
      <c r="AP51" s="315">
        <f t="shared" si="68"/>
        <v>0</v>
      </c>
      <c r="AQ51" s="315">
        <f t="shared" si="68"/>
        <v>0</v>
      </c>
      <c r="AR51" s="315">
        <f t="shared" si="68"/>
        <v>0</v>
      </c>
      <c r="AS51" s="315">
        <f t="shared" si="68"/>
        <v>0</v>
      </c>
      <c r="AT51" s="315">
        <f t="shared" si="68"/>
        <v>0</v>
      </c>
      <c r="AU51" s="315">
        <f t="shared" si="68"/>
        <v>4</v>
      </c>
      <c r="AV51" s="315">
        <f t="shared" si="68"/>
        <v>0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4"/>
  <sheetViews>
    <sheetView workbookViewId="0">
      <pane xSplit="1" ySplit="2" topLeftCell="AR3" activePane="bottomRight" state="frozen"/>
      <selection pane="bottomRight" activeCell="AW5" sqref="AW5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2" width="21.7109375" style="258" bestFit="1" customWidth="1"/>
    <col min="3" max="13" width="21.28515625" customWidth="1"/>
    <col min="14" max="14" width="21.28515625" bestFit="1" customWidth="1"/>
    <col min="15" max="15" width="19.42578125" bestFit="1" customWidth="1"/>
    <col min="16" max="16" width="20.42578125" bestFit="1" customWidth="1"/>
    <col min="17" max="19" width="14.85546875" bestFit="1" customWidth="1"/>
    <col min="20" max="20" width="15.42578125" bestFit="1" customWidth="1"/>
    <col min="21" max="21" width="18" customWidth="1"/>
    <col min="22" max="22" width="14.28515625" bestFit="1" customWidth="1"/>
    <col min="23" max="23" width="18.140625" customWidth="1"/>
    <col min="24" max="26" width="14.140625" bestFit="1" customWidth="1"/>
    <col min="27" max="27" width="18.85546875" style="27" customWidth="1"/>
    <col min="28" max="39" width="19" bestFit="1" customWidth="1"/>
    <col min="40" max="40" width="21" style="27" customWidth="1"/>
    <col min="41" max="41" width="18.5703125" customWidth="1"/>
    <col min="42" max="43" width="18" customWidth="1"/>
    <col min="44" max="44" width="19.140625" customWidth="1"/>
    <col min="45" max="45" width="18.28515625" customWidth="1"/>
    <col min="46" max="46" width="19" bestFit="1" customWidth="1"/>
    <col min="47" max="48" width="17.5703125" customWidth="1"/>
  </cols>
  <sheetData>
    <row r="1" spans="1:48" ht="15" customHeight="1">
      <c r="A1" s="275"/>
      <c r="B1" s="258" t="s">
        <v>50</v>
      </c>
    </row>
    <row r="2" spans="1:48" ht="24.6" customHeight="1">
      <c r="A2" s="168"/>
      <c r="B2" s="221" t="s">
        <v>51</v>
      </c>
      <c r="C2" s="211">
        <v>43831</v>
      </c>
      <c r="D2" s="211">
        <v>43862</v>
      </c>
      <c r="E2" s="211">
        <v>43891</v>
      </c>
      <c r="F2" s="211">
        <v>43922</v>
      </c>
      <c r="G2" s="211">
        <v>43952</v>
      </c>
      <c r="H2" s="211">
        <v>43983</v>
      </c>
      <c r="I2" s="211">
        <v>44044</v>
      </c>
      <c r="J2" s="211">
        <v>44075</v>
      </c>
      <c r="K2" s="211">
        <v>44105</v>
      </c>
      <c r="L2" s="211">
        <v>44136</v>
      </c>
      <c r="M2" s="211">
        <v>44166</v>
      </c>
      <c r="N2" s="211" t="s">
        <v>1</v>
      </c>
      <c r="O2" s="211">
        <v>44197</v>
      </c>
      <c r="P2" s="211">
        <v>44228</v>
      </c>
      <c r="Q2" s="211">
        <v>44256</v>
      </c>
      <c r="R2" s="211">
        <v>44287</v>
      </c>
      <c r="S2" s="211">
        <v>44317</v>
      </c>
      <c r="T2" s="211">
        <v>44348</v>
      </c>
      <c r="U2" s="211">
        <v>44378</v>
      </c>
      <c r="V2" s="211">
        <v>44409</v>
      </c>
      <c r="W2" s="211">
        <v>44440</v>
      </c>
      <c r="X2" s="211">
        <v>44470</v>
      </c>
      <c r="Y2" s="211">
        <v>44501</v>
      </c>
      <c r="Z2" s="211">
        <v>44531</v>
      </c>
      <c r="AA2" s="308" t="s">
        <v>2</v>
      </c>
      <c r="AB2" s="211">
        <v>44562</v>
      </c>
      <c r="AC2" s="211">
        <v>44593</v>
      </c>
      <c r="AD2" s="211">
        <v>44621</v>
      </c>
      <c r="AE2" s="211">
        <v>44652</v>
      </c>
      <c r="AF2" s="211">
        <v>44682</v>
      </c>
      <c r="AG2" s="211">
        <v>44713</v>
      </c>
      <c r="AH2" s="211">
        <v>44743</v>
      </c>
      <c r="AI2" s="211">
        <v>44774</v>
      </c>
      <c r="AJ2" s="211">
        <v>44805</v>
      </c>
      <c r="AK2" s="211">
        <v>44835</v>
      </c>
      <c r="AL2" s="211">
        <v>44866</v>
      </c>
      <c r="AM2" s="211">
        <v>44896</v>
      </c>
      <c r="AN2" s="331" t="s">
        <v>3</v>
      </c>
      <c r="AO2" s="332">
        <v>44927</v>
      </c>
      <c r="AP2" s="332">
        <v>44958</v>
      </c>
      <c r="AQ2" s="332">
        <v>44986</v>
      </c>
      <c r="AR2" s="355">
        <v>45017</v>
      </c>
      <c r="AS2" s="355">
        <v>45047</v>
      </c>
      <c r="AT2" s="355">
        <v>45078</v>
      </c>
      <c r="AU2" s="355">
        <v>45108</v>
      </c>
      <c r="AV2" s="355">
        <v>45139</v>
      </c>
    </row>
    <row r="3" spans="1:48" ht="20.45" customHeight="1">
      <c r="A3" s="169" t="s">
        <v>52</v>
      </c>
      <c r="B3" s="212">
        <f t="shared" ref="B3:N3" si="0">B4+B7</f>
        <v>34090071</v>
      </c>
      <c r="C3" s="212">
        <f t="shared" si="0"/>
        <v>29420.2</v>
      </c>
      <c r="D3" s="212">
        <f t="shared" si="0"/>
        <v>61985.58</v>
      </c>
      <c r="E3" s="212">
        <f t="shared" si="0"/>
        <v>97033.22</v>
      </c>
      <c r="F3" s="212">
        <f t="shared" si="0"/>
        <v>186241.78999999998</v>
      </c>
      <c r="G3" s="212">
        <f t="shared" si="0"/>
        <v>219204.82</v>
      </c>
      <c r="H3" s="212">
        <f t="shared" si="0"/>
        <v>251569.3</v>
      </c>
      <c r="I3" s="212">
        <f t="shared" si="0"/>
        <v>331911.58</v>
      </c>
      <c r="J3" s="212">
        <f t="shared" si="0"/>
        <v>368151.5</v>
      </c>
      <c r="K3" s="212">
        <f t="shared" si="0"/>
        <v>405652.11</v>
      </c>
      <c r="L3" s="212">
        <f t="shared" si="0"/>
        <v>439553.48</v>
      </c>
      <c r="M3" s="212">
        <f t="shared" si="0"/>
        <v>481966.13</v>
      </c>
      <c r="N3" s="212">
        <f t="shared" si="0"/>
        <v>478994352</v>
      </c>
      <c r="O3" s="212">
        <f t="shared" ref="O3:T3" si="1">O4+O7</f>
        <v>30788.9</v>
      </c>
      <c r="P3" s="212">
        <f t="shared" si="1"/>
        <v>71265.709999999992</v>
      </c>
      <c r="Q3" s="212">
        <f t="shared" si="1"/>
        <v>113274.57</v>
      </c>
      <c r="R3" s="212">
        <f t="shared" si="1"/>
        <v>199033.90000000002</v>
      </c>
      <c r="S3" s="212">
        <f t="shared" si="1"/>
        <v>236305.21000000002</v>
      </c>
      <c r="T3" s="212">
        <f t="shared" si="1"/>
        <v>274346.69</v>
      </c>
      <c r="U3" s="212">
        <f t="shared" ref="U3:V3" si="2">U4+U7</f>
        <v>312794.93999999994</v>
      </c>
      <c r="V3" s="212">
        <f t="shared" si="2"/>
        <v>329401.34999999998</v>
      </c>
      <c r="W3" s="212">
        <f t="shared" ref="W3:AA3" si="3">W4+W7</f>
        <v>405405.16000000003</v>
      </c>
      <c r="X3" s="212">
        <f t="shared" si="3"/>
        <v>444471.88</v>
      </c>
      <c r="Y3" s="212">
        <f t="shared" si="3"/>
        <v>487793.58</v>
      </c>
      <c r="Z3" s="212">
        <f t="shared" si="3"/>
        <v>529083.93999999994</v>
      </c>
      <c r="AA3" s="212">
        <f t="shared" si="3"/>
        <v>189770646.71000001</v>
      </c>
      <c r="AB3" s="212">
        <f t="shared" ref="AB3:AM3" si="4">AB4+AB7</f>
        <v>40607066.399999999</v>
      </c>
      <c r="AC3" s="212">
        <f t="shared" si="4"/>
        <v>81790.260000000009</v>
      </c>
      <c r="AD3" s="212">
        <f t="shared" si="4"/>
        <v>124884222.09</v>
      </c>
      <c r="AE3" s="212">
        <f t="shared" si="4"/>
        <v>166295352.78</v>
      </c>
      <c r="AF3" s="212">
        <f t="shared" si="4"/>
        <v>203187348.10999998</v>
      </c>
      <c r="AG3" s="212">
        <f t="shared" si="4"/>
        <v>303328733.06999999</v>
      </c>
      <c r="AH3" s="212">
        <f t="shared" si="4"/>
        <v>348200108.83000004</v>
      </c>
      <c r="AI3" s="212">
        <f t="shared" si="4"/>
        <v>393396300.61000001</v>
      </c>
      <c r="AJ3" s="212">
        <f t="shared" si="4"/>
        <v>439915200.94000006</v>
      </c>
      <c r="AK3" s="212">
        <f t="shared" si="4"/>
        <v>486004113.19</v>
      </c>
      <c r="AL3" s="212">
        <f t="shared" si="4"/>
        <v>533275550.88999999</v>
      </c>
      <c r="AM3" s="212">
        <f t="shared" si="4"/>
        <v>588091514.92000008</v>
      </c>
      <c r="AN3" s="212">
        <f t="shared" ref="AN3:AT3" si="5">AN4+AN7</f>
        <v>600806868</v>
      </c>
      <c r="AO3" s="212">
        <f t="shared" si="5"/>
        <v>48946646.399999999</v>
      </c>
      <c r="AP3" s="212">
        <f t="shared" si="5"/>
        <v>97490925.799999997</v>
      </c>
      <c r="AQ3" s="212">
        <f t="shared" si="5"/>
        <v>150863729.80000001</v>
      </c>
      <c r="AR3" s="212">
        <f t="shared" si="5"/>
        <v>199847966.09999999</v>
      </c>
      <c r="AS3" s="212">
        <f t="shared" si="5"/>
        <v>253108996.91999999</v>
      </c>
      <c r="AT3" s="212">
        <f t="shared" si="5"/>
        <v>368528170.56</v>
      </c>
      <c r="AU3" s="212">
        <f t="shared" ref="AU3:AV3" si="6">AU4+AU7</f>
        <v>431590465.63999999</v>
      </c>
      <c r="AV3" s="212">
        <f t="shared" si="6"/>
        <v>490901316.01000005</v>
      </c>
    </row>
    <row r="4" spans="1:48" ht="15.75">
      <c r="A4" s="169" t="s">
        <v>53</v>
      </c>
      <c r="B4" s="212">
        <f t="shared" ref="B4:N4" si="7">SUM(B5:B6)</f>
        <v>30319703</v>
      </c>
      <c r="C4" s="212">
        <f t="shared" si="7"/>
        <v>27930.98</v>
      </c>
      <c r="D4" s="212">
        <f t="shared" si="7"/>
        <v>54999.58</v>
      </c>
      <c r="E4" s="212">
        <f t="shared" si="7"/>
        <v>84817.46</v>
      </c>
      <c r="F4" s="212">
        <f t="shared" si="7"/>
        <v>112824.84</v>
      </c>
      <c r="G4" s="212">
        <f t="shared" si="7"/>
        <v>138803.67000000001</v>
      </c>
      <c r="H4" s="212">
        <f t="shared" si="7"/>
        <v>164850.91999999998</v>
      </c>
      <c r="I4" s="212">
        <f t="shared" si="7"/>
        <v>218686.30000000002</v>
      </c>
      <c r="J4" s="212">
        <f t="shared" si="7"/>
        <v>248490.47999999998</v>
      </c>
      <c r="K4" s="212">
        <f t="shared" si="7"/>
        <v>279508.44</v>
      </c>
      <c r="L4" s="212">
        <f t="shared" si="7"/>
        <v>308196.28999999998</v>
      </c>
      <c r="M4" s="212">
        <f t="shared" si="7"/>
        <v>340502.74</v>
      </c>
      <c r="N4" s="212">
        <f t="shared" si="7"/>
        <v>361213143</v>
      </c>
      <c r="O4" s="212">
        <f t="shared" ref="O4:T4" si="8">SUM(O5:O6)</f>
        <v>29912.47</v>
      </c>
      <c r="P4" s="212">
        <f t="shared" si="8"/>
        <v>57814.77</v>
      </c>
      <c r="Q4" s="212">
        <f t="shared" si="8"/>
        <v>91379.180000000008</v>
      </c>
      <c r="R4" s="212">
        <f t="shared" si="8"/>
        <v>123223.8</v>
      </c>
      <c r="S4" s="212">
        <f t="shared" si="8"/>
        <v>153693.79</v>
      </c>
      <c r="T4" s="212">
        <f t="shared" si="8"/>
        <v>184906.36000000002</v>
      </c>
      <c r="U4" s="212">
        <f t="shared" ref="U4:V4" si="9">SUM(U5:U6)</f>
        <v>216531.44999999998</v>
      </c>
      <c r="V4" s="212">
        <f t="shared" si="9"/>
        <v>217106.75</v>
      </c>
      <c r="W4" s="212">
        <f t="shared" ref="W4:AA4" si="10">SUM(W5:W6)</f>
        <v>285937.64</v>
      </c>
      <c r="X4" s="212">
        <f t="shared" si="10"/>
        <v>317893.43</v>
      </c>
      <c r="Y4" s="212">
        <f t="shared" si="10"/>
        <v>352951.45</v>
      </c>
      <c r="Z4" s="212">
        <f t="shared" si="10"/>
        <v>384548.17</v>
      </c>
      <c r="AA4" s="212">
        <f t="shared" si="10"/>
        <v>32665863.710000001</v>
      </c>
      <c r="AB4" s="212">
        <f t="shared" ref="AB4:AM4" si="11">SUM(AB5:AB6)</f>
        <v>32665863.710000001</v>
      </c>
      <c r="AC4" s="212">
        <f t="shared" si="11"/>
        <v>65317.83</v>
      </c>
      <c r="AD4" s="212">
        <f t="shared" si="11"/>
        <v>100056552.78</v>
      </c>
      <c r="AE4" s="212">
        <f t="shared" si="11"/>
        <v>133218294.95</v>
      </c>
      <c r="AF4" s="212">
        <f t="shared" si="11"/>
        <v>166876440.13999999</v>
      </c>
      <c r="AG4" s="212">
        <f t="shared" si="11"/>
        <v>202563128.88</v>
      </c>
      <c r="AH4" s="212">
        <f t="shared" si="11"/>
        <v>238941374.80000001</v>
      </c>
      <c r="AI4" s="212">
        <f t="shared" si="11"/>
        <v>274951983.75</v>
      </c>
      <c r="AJ4" s="212">
        <f t="shared" si="11"/>
        <v>311386952.29000002</v>
      </c>
      <c r="AK4" s="212">
        <f t="shared" si="11"/>
        <v>346903954.19999999</v>
      </c>
      <c r="AL4" s="212">
        <f t="shared" si="11"/>
        <v>383975793.88999999</v>
      </c>
      <c r="AM4" s="212">
        <f t="shared" si="11"/>
        <v>422460138.05000001</v>
      </c>
      <c r="AN4" s="212">
        <f t="shared" ref="AN4:AT4" si="12">SUM(AN5:AN6)</f>
        <v>408125862</v>
      </c>
      <c r="AO4" s="212">
        <f t="shared" si="12"/>
        <v>36997846.899999999</v>
      </c>
      <c r="AP4" s="212">
        <f t="shared" si="12"/>
        <v>74363714.950000003</v>
      </c>
      <c r="AQ4" s="212">
        <f t="shared" si="12"/>
        <v>112946460.27</v>
      </c>
      <c r="AR4" s="212">
        <f t="shared" si="12"/>
        <v>149505680.59</v>
      </c>
      <c r="AS4" s="212">
        <f t="shared" si="12"/>
        <v>189935550.84999999</v>
      </c>
      <c r="AT4" s="212">
        <f t="shared" si="12"/>
        <v>228078708.91</v>
      </c>
      <c r="AU4" s="212">
        <f t="shared" ref="AU4:AV4" si="13">SUM(AU5:AU6)</f>
        <v>271990638.05000001</v>
      </c>
      <c r="AV4" s="212">
        <f t="shared" si="13"/>
        <v>316020352.27000004</v>
      </c>
    </row>
    <row r="5" spans="1:48" ht="15">
      <c r="A5" s="170" t="s">
        <v>54</v>
      </c>
      <c r="B5" s="278">
        <v>29009435</v>
      </c>
      <c r="C5" s="292">
        <v>27556.48</v>
      </c>
      <c r="D5" s="292">
        <v>52711.18</v>
      </c>
      <c r="E5" s="292">
        <v>80152.960000000006</v>
      </c>
      <c r="F5" s="292">
        <v>107236.44</v>
      </c>
      <c r="G5" s="292">
        <v>132726.17000000001</v>
      </c>
      <c r="H5" s="292">
        <v>158047.62</v>
      </c>
      <c r="I5" s="292">
        <v>210504.7</v>
      </c>
      <c r="J5" s="292">
        <v>239816.08</v>
      </c>
      <c r="K5" s="292">
        <v>270226.24</v>
      </c>
      <c r="L5" s="292">
        <v>298209.19</v>
      </c>
      <c r="M5" s="292">
        <v>329605.24</v>
      </c>
      <c r="N5" s="278">
        <f>313623358+15818648</f>
        <v>329442006</v>
      </c>
      <c r="O5" s="292">
        <v>29095.27</v>
      </c>
      <c r="P5" s="292">
        <v>56168.57</v>
      </c>
      <c r="Q5" s="292">
        <v>87302.88</v>
      </c>
      <c r="R5" s="292">
        <v>118136.3</v>
      </c>
      <c r="S5" s="292">
        <v>147823.89000000001</v>
      </c>
      <c r="T5" s="292">
        <v>178267.76</v>
      </c>
      <c r="U5" s="299">
        <v>208794.15</v>
      </c>
      <c r="V5" s="299">
        <v>208794.15</v>
      </c>
      <c r="W5" s="292">
        <v>276987.24</v>
      </c>
      <c r="X5" s="292">
        <v>308149.63</v>
      </c>
      <c r="Y5" s="292">
        <v>342176.15</v>
      </c>
      <c r="Z5" s="292">
        <v>372917.87</v>
      </c>
      <c r="AA5" s="309">
        <v>31487658.109999999</v>
      </c>
      <c r="AB5" s="299">
        <v>31487658.109999999</v>
      </c>
      <c r="AC5" s="317">
        <v>63529.73</v>
      </c>
      <c r="AD5" s="317">
        <v>95819981.780000001</v>
      </c>
      <c r="AE5" s="317">
        <v>128014865.65000001</v>
      </c>
      <c r="AF5" s="317">
        <v>161004543.63999999</v>
      </c>
      <c r="AG5" s="317">
        <v>195984590.68000001</v>
      </c>
      <c r="AH5" s="317">
        <v>231577996</v>
      </c>
      <c r="AI5" s="317">
        <v>266677786.94999999</v>
      </c>
      <c r="AJ5" s="317">
        <v>302301070.79000002</v>
      </c>
      <c r="AK5" s="317">
        <v>336544389.69999999</v>
      </c>
      <c r="AL5" s="317">
        <v>371838632.69</v>
      </c>
      <c r="AM5" s="317">
        <v>407992702.55000001</v>
      </c>
      <c r="AN5" s="326">
        <v>408125862</v>
      </c>
      <c r="AO5" s="343">
        <v>35529347.899999999</v>
      </c>
      <c r="AP5" s="345">
        <v>71630081.150000006</v>
      </c>
      <c r="AQ5" s="345">
        <v>109848209.27</v>
      </c>
      <c r="AR5" s="343">
        <v>145422646.49000001</v>
      </c>
      <c r="AS5" s="343">
        <v>184815778.65000001</v>
      </c>
      <c r="AT5" s="343">
        <v>221427982.81</v>
      </c>
      <c r="AU5" s="408">
        <v>264300954.65000001</v>
      </c>
      <c r="AV5" s="410">
        <v>306935602.47000003</v>
      </c>
    </row>
    <row r="6" spans="1:48" ht="15">
      <c r="A6" s="170" t="s">
        <v>55</v>
      </c>
      <c r="B6" s="279">
        <f>623888+686380</f>
        <v>1310268</v>
      </c>
      <c r="C6" s="292">
        <v>374.5</v>
      </c>
      <c r="D6" s="292">
        <v>2288.4</v>
      </c>
      <c r="E6" s="292">
        <v>4664.5</v>
      </c>
      <c r="F6" s="292">
        <v>5588.4</v>
      </c>
      <c r="G6" s="292">
        <v>6077.5</v>
      </c>
      <c r="H6" s="292">
        <v>6803.3</v>
      </c>
      <c r="I6" s="292">
        <v>8181.6</v>
      </c>
      <c r="J6" s="292">
        <v>8674.4</v>
      </c>
      <c r="K6" s="292">
        <v>9282.2000000000007</v>
      </c>
      <c r="L6" s="292">
        <v>9987.1</v>
      </c>
      <c r="M6" s="292">
        <v>10897.5</v>
      </c>
      <c r="N6" s="279">
        <f>10964559+20806578</f>
        <v>31771137</v>
      </c>
      <c r="O6" s="292">
        <v>817.2</v>
      </c>
      <c r="P6" s="292">
        <v>1646.2</v>
      </c>
      <c r="Q6" s="292">
        <v>4076.3</v>
      </c>
      <c r="R6" s="292">
        <v>5087.5</v>
      </c>
      <c r="S6" s="292">
        <v>5869.9</v>
      </c>
      <c r="T6" s="292">
        <v>6638.6</v>
      </c>
      <c r="U6" s="301">
        <v>7737.3</v>
      </c>
      <c r="V6" s="301">
        <v>8312.6</v>
      </c>
      <c r="W6" s="292">
        <v>8950.4</v>
      </c>
      <c r="X6" s="292">
        <v>9743.7999999999993</v>
      </c>
      <c r="Y6" s="292">
        <v>10775.3</v>
      </c>
      <c r="Z6" s="292">
        <v>11630.3</v>
      </c>
      <c r="AA6" s="310">
        <v>1178205.6000000001</v>
      </c>
      <c r="AB6" s="301">
        <v>1178205.6000000001</v>
      </c>
      <c r="AC6" s="319">
        <v>1788.1</v>
      </c>
      <c r="AD6" s="319">
        <v>4236571</v>
      </c>
      <c r="AE6" s="319">
        <v>5203429.3</v>
      </c>
      <c r="AF6" s="319">
        <v>5871896.5</v>
      </c>
      <c r="AG6" s="319">
        <v>6578538.2000000002</v>
      </c>
      <c r="AH6" s="319">
        <v>7363378.7999999998</v>
      </c>
      <c r="AI6" s="319">
        <v>8274196.7999999998</v>
      </c>
      <c r="AJ6" s="319">
        <v>9085881.5</v>
      </c>
      <c r="AK6" s="319">
        <v>10359564.5</v>
      </c>
      <c r="AL6" s="319">
        <v>12137161.199999999</v>
      </c>
      <c r="AM6" s="319">
        <v>14467435.5</v>
      </c>
      <c r="AN6" s="327"/>
      <c r="AO6" s="347">
        <v>1468499</v>
      </c>
      <c r="AP6" s="349">
        <v>2733633.8</v>
      </c>
      <c r="AQ6" s="349">
        <v>3098251</v>
      </c>
      <c r="AR6" s="347">
        <v>4083034.1</v>
      </c>
      <c r="AS6" s="347">
        <v>5119772.2</v>
      </c>
      <c r="AT6" s="347">
        <v>6650726.0999999996</v>
      </c>
      <c r="AU6" s="412">
        <v>7689683.4000000004</v>
      </c>
      <c r="AV6" s="414">
        <v>9084749.8000000007</v>
      </c>
    </row>
    <row r="7" spans="1:48" ht="15.75">
      <c r="A7" s="169" t="s">
        <v>56</v>
      </c>
      <c r="B7" s="212">
        <f>SUM(B8:B11)</f>
        <v>3770368</v>
      </c>
      <c r="C7" s="212">
        <f t="shared" ref="C7:J7" si="14">SUM(C8:C11)</f>
        <v>1489.22</v>
      </c>
      <c r="D7" s="212">
        <f t="shared" si="14"/>
        <v>6986</v>
      </c>
      <c r="E7" s="212">
        <f t="shared" si="14"/>
        <v>12215.76</v>
      </c>
      <c r="F7" s="212">
        <f t="shared" si="14"/>
        <v>73416.95</v>
      </c>
      <c r="G7" s="212">
        <f t="shared" si="14"/>
        <v>80401.149999999994</v>
      </c>
      <c r="H7" s="212">
        <f t="shared" si="14"/>
        <v>86718.37999999999</v>
      </c>
      <c r="I7" s="212">
        <f t="shared" si="14"/>
        <v>113225.28</v>
      </c>
      <c r="J7" s="212">
        <f t="shared" si="14"/>
        <v>119661.02</v>
      </c>
      <c r="K7" s="212">
        <f t="shared" ref="K7:Q7" si="15">SUM(K8:K11)</f>
        <v>126143.67</v>
      </c>
      <c r="L7" s="212">
        <f t="shared" si="15"/>
        <v>131357.19</v>
      </c>
      <c r="M7" s="212">
        <f t="shared" si="15"/>
        <v>141463.39000000001</v>
      </c>
      <c r="N7" s="212">
        <f t="shared" si="15"/>
        <v>117781209</v>
      </c>
      <c r="O7" s="212">
        <f t="shared" si="15"/>
        <v>876.43</v>
      </c>
      <c r="P7" s="212">
        <f t="shared" si="15"/>
        <v>13450.94</v>
      </c>
      <c r="Q7" s="212">
        <f t="shared" si="15"/>
        <v>21895.39</v>
      </c>
      <c r="R7" s="212">
        <f t="shared" ref="R7:W7" si="16">SUM(R8:R11)</f>
        <v>75810.100000000006</v>
      </c>
      <c r="S7" s="212">
        <f t="shared" si="16"/>
        <v>82611.42</v>
      </c>
      <c r="T7" s="212">
        <f t="shared" si="16"/>
        <v>89440.33</v>
      </c>
      <c r="U7" s="212">
        <f t="shared" si="16"/>
        <v>96263.489999999991</v>
      </c>
      <c r="V7" s="212">
        <f t="shared" si="16"/>
        <v>112294.6</v>
      </c>
      <c r="W7" s="212">
        <f t="shared" si="16"/>
        <v>119467.52</v>
      </c>
      <c r="X7" s="212">
        <f t="shared" ref="X7:AA7" si="17">SUM(X8:X11)</f>
        <v>126578.45000000001</v>
      </c>
      <c r="Y7" s="212">
        <f t="shared" si="17"/>
        <v>134842.13</v>
      </c>
      <c r="Z7" s="212">
        <f t="shared" si="17"/>
        <v>144535.76999999999</v>
      </c>
      <c r="AA7" s="212">
        <f t="shared" si="17"/>
        <v>157104783</v>
      </c>
      <c r="AB7" s="212">
        <f t="shared" ref="AB7:AM7" si="18">SUM(AB8:AB11)</f>
        <v>7941202.6899999995</v>
      </c>
      <c r="AC7" s="212">
        <f t="shared" si="18"/>
        <v>16472.43</v>
      </c>
      <c r="AD7" s="212">
        <f t="shared" si="18"/>
        <v>24827669.309999999</v>
      </c>
      <c r="AE7" s="212">
        <f t="shared" si="18"/>
        <v>33077057.829999998</v>
      </c>
      <c r="AF7" s="212">
        <f t="shared" si="18"/>
        <v>36310907.969999999</v>
      </c>
      <c r="AG7" s="212">
        <f t="shared" si="18"/>
        <v>100765604.19</v>
      </c>
      <c r="AH7" s="212">
        <f t="shared" si="18"/>
        <v>109258734.03</v>
      </c>
      <c r="AI7" s="212">
        <f t="shared" si="18"/>
        <v>118444316.86000001</v>
      </c>
      <c r="AJ7" s="212">
        <f t="shared" si="18"/>
        <v>128528248.65000001</v>
      </c>
      <c r="AK7" s="212">
        <f t="shared" si="18"/>
        <v>139100158.99000001</v>
      </c>
      <c r="AL7" s="212">
        <f t="shared" si="18"/>
        <v>149299757</v>
      </c>
      <c r="AM7" s="212">
        <f t="shared" si="18"/>
        <v>165631376.87</v>
      </c>
      <c r="AN7" s="212">
        <f t="shared" ref="AN7:AV7" si="19">SUM(AN8:AN11)</f>
        <v>192681006</v>
      </c>
      <c r="AO7" s="212">
        <f t="shared" si="19"/>
        <v>11948799.5</v>
      </c>
      <c r="AP7" s="212">
        <f t="shared" si="19"/>
        <v>23127210.849999998</v>
      </c>
      <c r="AQ7" s="212">
        <f t="shared" si="19"/>
        <v>37917269.530000001</v>
      </c>
      <c r="AR7" s="212">
        <f t="shared" si="19"/>
        <v>50342285.509999998</v>
      </c>
      <c r="AS7" s="212">
        <f t="shared" si="19"/>
        <v>63173446.07</v>
      </c>
      <c r="AT7" s="212">
        <f t="shared" si="19"/>
        <v>140449461.65000001</v>
      </c>
      <c r="AU7" s="212">
        <f t="shared" si="19"/>
        <v>159599827.59</v>
      </c>
      <c r="AV7" s="212">
        <f t="shared" si="19"/>
        <v>174880963.74000001</v>
      </c>
    </row>
    <row r="8" spans="1:48" ht="15">
      <c r="A8" s="170" t="s">
        <v>57</v>
      </c>
      <c r="C8" s="292">
        <v>0</v>
      </c>
      <c r="D8" s="292">
        <v>0</v>
      </c>
      <c r="E8" s="292">
        <v>0</v>
      </c>
      <c r="F8" s="292">
        <v>0</v>
      </c>
      <c r="G8" s="292">
        <v>0</v>
      </c>
      <c r="H8" s="292">
        <v>0</v>
      </c>
      <c r="I8" s="292">
        <v>0</v>
      </c>
      <c r="J8" s="292">
        <v>0</v>
      </c>
      <c r="K8" s="292">
        <v>0</v>
      </c>
      <c r="L8" s="292">
        <v>0</v>
      </c>
      <c r="M8" s="292">
        <v>0</v>
      </c>
      <c r="N8" s="292">
        <v>0</v>
      </c>
      <c r="O8" s="292">
        <v>0</v>
      </c>
      <c r="P8" s="292">
        <v>0</v>
      </c>
      <c r="Q8" s="292">
        <v>0</v>
      </c>
      <c r="R8" s="292">
        <v>0</v>
      </c>
      <c r="S8" s="292">
        <v>0</v>
      </c>
      <c r="T8" s="292">
        <v>0</v>
      </c>
      <c r="U8" s="298">
        <v>0</v>
      </c>
      <c r="V8" s="298">
        <v>0</v>
      </c>
      <c r="W8" s="292">
        <v>0</v>
      </c>
      <c r="X8" s="292">
        <v>0</v>
      </c>
      <c r="Y8" s="292">
        <v>0</v>
      </c>
      <c r="Z8" s="292">
        <v>0</v>
      </c>
      <c r="AA8" s="309"/>
      <c r="AB8" s="298">
        <v>0</v>
      </c>
      <c r="AC8" s="316">
        <v>0</v>
      </c>
      <c r="AD8" s="316">
        <v>0</v>
      </c>
      <c r="AE8" s="316">
        <v>0</v>
      </c>
      <c r="AF8" s="316">
        <v>0</v>
      </c>
      <c r="AG8" s="316">
        <v>0</v>
      </c>
      <c r="AH8" s="316">
        <v>0</v>
      </c>
      <c r="AI8" s="316">
        <v>0</v>
      </c>
      <c r="AJ8" s="316">
        <v>0</v>
      </c>
      <c r="AK8" s="316">
        <v>0</v>
      </c>
      <c r="AL8" s="316">
        <v>0</v>
      </c>
      <c r="AM8" s="316">
        <v>0</v>
      </c>
      <c r="AN8" s="326"/>
      <c r="AO8" s="342">
        <v>0</v>
      </c>
      <c r="AP8" s="344">
        <v>0</v>
      </c>
      <c r="AQ8" s="344">
        <v>0</v>
      </c>
      <c r="AR8" s="342">
        <v>0</v>
      </c>
      <c r="AS8" s="342">
        <v>0</v>
      </c>
      <c r="AT8" s="342">
        <v>0</v>
      </c>
      <c r="AU8" s="407">
        <v>0</v>
      </c>
      <c r="AV8" s="409">
        <v>0</v>
      </c>
    </row>
    <row r="9" spans="1:48" ht="15">
      <c r="A9" s="170" t="s">
        <v>58</v>
      </c>
      <c r="C9" s="292">
        <v>0</v>
      </c>
      <c r="D9" s="292">
        <v>0</v>
      </c>
      <c r="E9" s="292">
        <v>0</v>
      </c>
      <c r="F9" s="292">
        <v>0</v>
      </c>
      <c r="G9" s="292">
        <v>0</v>
      </c>
      <c r="H9" s="292">
        <v>0</v>
      </c>
      <c r="I9" s="292">
        <v>0</v>
      </c>
      <c r="J9" s="292">
        <v>0</v>
      </c>
      <c r="K9" s="292">
        <v>0</v>
      </c>
      <c r="L9" s="292">
        <v>0</v>
      </c>
      <c r="M9" s="292">
        <v>0</v>
      </c>
      <c r="N9" s="292">
        <v>0</v>
      </c>
      <c r="O9" s="292">
        <v>0</v>
      </c>
      <c r="P9" s="292">
        <v>0</v>
      </c>
      <c r="Q9" s="292">
        <v>0</v>
      </c>
      <c r="R9" s="292">
        <v>0</v>
      </c>
      <c r="S9" s="292">
        <v>0</v>
      </c>
      <c r="T9" s="292">
        <v>0</v>
      </c>
      <c r="U9" s="300">
        <v>0</v>
      </c>
      <c r="V9" s="300">
        <v>0</v>
      </c>
      <c r="W9" s="292">
        <v>0</v>
      </c>
      <c r="X9" s="292">
        <v>0</v>
      </c>
      <c r="Y9" s="292">
        <v>0</v>
      </c>
      <c r="Z9" s="292">
        <v>0</v>
      </c>
      <c r="AA9" s="310">
        <f>67087378+47961448</f>
        <v>115048826</v>
      </c>
      <c r="AB9" s="300">
        <v>0</v>
      </c>
      <c r="AC9" s="318">
        <v>0</v>
      </c>
      <c r="AD9" s="318">
        <v>0</v>
      </c>
      <c r="AE9" s="318">
        <v>0</v>
      </c>
      <c r="AF9" s="318">
        <v>0</v>
      </c>
      <c r="AG9" s="318">
        <v>0</v>
      </c>
      <c r="AH9" s="318">
        <v>0</v>
      </c>
      <c r="AI9" s="318">
        <v>0</v>
      </c>
      <c r="AJ9" s="318">
        <v>0</v>
      </c>
      <c r="AK9" s="318">
        <v>0</v>
      </c>
      <c r="AL9" s="318">
        <v>0</v>
      </c>
      <c r="AM9" s="318">
        <v>0</v>
      </c>
      <c r="AN9" s="327">
        <f>96765393+50042492</f>
        <v>146807885</v>
      </c>
      <c r="AO9" s="346">
        <v>0</v>
      </c>
      <c r="AP9" s="348">
        <v>0</v>
      </c>
      <c r="AQ9" s="348">
        <v>0</v>
      </c>
      <c r="AR9" s="346">
        <v>0</v>
      </c>
      <c r="AS9" s="346">
        <v>0</v>
      </c>
      <c r="AT9" s="346">
        <v>0</v>
      </c>
      <c r="AU9" s="411">
        <v>0</v>
      </c>
      <c r="AV9" s="413">
        <v>0</v>
      </c>
    </row>
    <row r="10" spans="1:48" ht="15">
      <c r="A10" s="170" t="s">
        <v>59</v>
      </c>
      <c r="B10" s="278">
        <v>1255802</v>
      </c>
      <c r="C10" s="292">
        <v>0</v>
      </c>
      <c r="D10" s="292">
        <v>5776.27</v>
      </c>
      <c r="E10" s="292">
        <v>9523.11</v>
      </c>
      <c r="F10" s="292">
        <v>69979.97</v>
      </c>
      <c r="G10" s="292">
        <v>74865.62</v>
      </c>
      <c r="H10" s="292">
        <v>80146.73</v>
      </c>
      <c r="I10" s="292">
        <v>91534.75</v>
      </c>
      <c r="J10" s="292">
        <v>96736.99</v>
      </c>
      <c r="K10" s="292">
        <v>101839.05</v>
      </c>
      <c r="L10" s="292">
        <v>105888.06</v>
      </c>
      <c r="M10" s="292">
        <v>109457.8</v>
      </c>
      <c r="N10" s="278">
        <f>48056583+25426+5057818+56353713</f>
        <v>109493540</v>
      </c>
      <c r="O10" s="292">
        <v>0</v>
      </c>
      <c r="P10" s="292">
        <v>10524.62</v>
      </c>
      <c r="Q10" s="292">
        <v>15195.45</v>
      </c>
      <c r="R10" s="292">
        <v>67539.8</v>
      </c>
      <c r="S10" s="292">
        <v>72727.87</v>
      </c>
      <c r="T10" s="292">
        <v>78247.02</v>
      </c>
      <c r="U10" s="301">
        <v>83611.62</v>
      </c>
      <c r="V10" s="301">
        <v>89299.33</v>
      </c>
      <c r="W10" s="292">
        <v>94653.74</v>
      </c>
      <c r="X10" s="292">
        <v>100448.13</v>
      </c>
      <c r="Y10" s="292">
        <v>107094.59</v>
      </c>
      <c r="Z10" s="292">
        <v>115048.83</v>
      </c>
      <c r="AA10" s="310"/>
      <c r="AB10" s="301">
        <v>7388347.0599999996</v>
      </c>
      <c r="AC10" s="319">
        <v>14514.92</v>
      </c>
      <c r="AD10" s="319">
        <v>21875756.59</v>
      </c>
      <c r="AE10" s="319">
        <v>29441494.18</v>
      </c>
      <c r="AF10" s="319">
        <v>30648930.289999999</v>
      </c>
      <c r="AG10" s="319">
        <v>93957763.959999993</v>
      </c>
      <c r="AH10" s="319">
        <v>101502559.20999999</v>
      </c>
      <c r="AI10" s="319">
        <v>109586976.54000001</v>
      </c>
      <c r="AJ10" s="319">
        <v>118048846.89</v>
      </c>
      <c r="AK10" s="319">
        <v>127549668.76000001</v>
      </c>
      <c r="AL10" s="319">
        <v>136594223.80000001</v>
      </c>
      <c r="AM10" s="319">
        <v>146778755.72</v>
      </c>
      <c r="AN10" s="327"/>
      <c r="AO10" s="347">
        <v>10202578.65</v>
      </c>
      <c r="AP10" s="349">
        <v>19575990.489999998</v>
      </c>
      <c r="AQ10" s="349">
        <v>30235183.84</v>
      </c>
      <c r="AR10" s="347">
        <v>40802577.189999998</v>
      </c>
      <c r="AS10" s="347">
        <v>51202678.460000001</v>
      </c>
      <c r="AT10" s="347">
        <v>128538413.81999999</v>
      </c>
      <c r="AU10" s="412">
        <v>143943376.19</v>
      </c>
      <c r="AV10" s="414">
        <v>157944388.05000001</v>
      </c>
    </row>
    <row r="11" spans="1:48" s="14" customFormat="1" ht="15">
      <c r="A11" s="169" t="s">
        <v>60</v>
      </c>
      <c r="B11" s="278">
        <f>231000+2283566</f>
        <v>2514566</v>
      </c>
      <c r="C11" s="293">
        <v>1489.22</v>
      </c>
      <c r="D11" s="293">
        <v>1209.73</v>
      </c>
      <c r="E11" s="293">
        <v>2692.65</v>
      </c>
      <c r="F11" s="293">
        <v>3436.98</v>
      </c>
      <c r="G11" s="293">
        <v>5535.53</v>
      </c>
      <c r="H11" s="293">
        <v>6571.65</v>
      </c>
      <c r="I11" s="293">
        <v>21690.53</v>
      </c>
      <c r="J11" s="293">
        <v>22924.03</v>
      </c>
      <c r="K11" s="293">
        <v>24304.62</v>
      </c>
      <c r="L11" s="293">
        <v>25469.13</v>
      </c>
      <c r="M11" s="293">
        <v>32005.59</v>
      </c>
      <c r="N11" s="278">
        <f>2779021+1042767+3905955+104297+455629</f>
        <v>8287669</v>
      </c>
      <c r="O11" s="293">
        <v>876.43</v>
      </c>
      <c r="P11" s="293">
        <v>2926.32</v>
      </c>
      <c r="Q11" s="293">
        <v>6699.94</v>
      </c>
      <c r="R11" s="293">
        <v>8270.2999999999993</v>
      </c>
      <c r="S11" s="293">
        <v>9883.5499999999993</v>
      </c>
      <c r="T11" s="293">
        <v>11193.31</v>
      </c>
      <c r="U11" s="306">
        <v>12651.87</v>
      </c>
      <c r="V11" s="306">
        <v>22995.27</v>
      </c>
      <c r="W11" s="293">
        <v>24813.78</v>
      </c>
      <c r="X11" s="293">
        <v>26130.32</v>
      </c>
      <c r="Y11" s="293">
        <v>27747.54</v>
      </c>
      <c r="Z11" s="293">
        <v>29486.94</v>
      </c>
      <c r="AA11" s="311">
        <f>90017405-47961448</f>
        <v>42055957</v>
      </c>
      <c r="AB11" s="320">
        <v>552855.63</v>
      </c>
      <c r="AC11" s="321">
        <v>1957.51</v>
      </c>
      <c r="AD11" s="321">
        <v>2951912.72</v>
      </c>
      <c r="AE11" s="321">
        <v>3635563.65</v>
      </c>
      <c r="AF11" s="321">
        <v>5661977.6799999997</v>
      </c>
      <c r="AG11" s="321">
        <v>6807840.2300000004</v>
      </c>
      <c r="AH11" s="321">
        <v>7756174.8200000003</v>
      </c>
      <c r="AI11" s="321">
        <v>8857340.3200000003</v>
      </c>
      <c r="AJ11" s="321">
        <v>10479401.76</v>
      </c>
      <c r="AK11" s="321">
        <v>11550490.23</v>
      </c>
      <c r="AL11" s="321">
        <v>12705533.199999999</v>
      </c>
      <c r="AM11" s="321">
        <v>18852621.149999999</v>
      </c>
      <c r="AN11" s="328">
        <v>45873121</v>
      </c>
      <c r="AO11" s="350">
        <v>1746220.85</v>
      </c>
      <c r="AP11" s="351">
        <v>3551220.36</v>
      </c>
      <c r="AQ11" s="351">
        <v>7682085.6900000004</v>
      </c>
      <c r="AR11" s="350">
        <v>9539708.3200000003</v>
      </c>
      <c r="AS11" s="350">
        <v>11970767.609999999</v>
      </c>
      <c r="AT11" s="357">
        <v>11911047.83</v>
      </c>
      <c r="AU11" s="357">
        <v>15656451.4</v>
      </c>
      <c r="AV11" s="415">
        <v>16936575.690000001</v>
      </c>
    </row>
    <row r="12" spans="1:48" ht="15.75">
      <c r="A12" s="169" t="s">
        <v>61</v>
      </c>
      <c r="B12" s="212">
        <f>SUM(B13:B18)</f>
        <v>138384</v>
      </c>
      <c r="C12" s="212">
        <f t="shared" ref="C12:J12" si="20">SUM(C13:C18)</f>
        <v>23525.59</v>
      </c>
      <c r="D12" s="212">
        <f t="shared" si="20"/>
        <v>45462.8</v>
      </c>
      <c r="E12" s="212">
        <f t="shared" si="20"/>
        <v>69909.759999999995</v>
      </c>
      <c r="F12" s="212">
        <f t="shared" si="20"/>
        <v>92941.56</v>
      </c>
      <c r="G12" s="212">
        <f t="shared" si="20"/>
        <v>119422.38</v>
      </c>
      <c r="H12" s="212">
        <f t="shared" si="20"/>
        <v>145581.66</v>
      </c>
      <c r="I12" s="212">
        <f t="shared" si="20"/>
        <v>199320.28000000003</v>
      </c>
      <c r="J12" s="212">
        <f t="shared" si="20"/>
        <v>221416.41999999998</v>
      </c>
      <c r="K12" s="212">
        <f t="shared" ref="K12:Q12" si="21">SUM(K13:K18)</f>
        <v>252748.59</v>
      </c>
      <c r="L12" s="212">
        <f t="shared" si="21"/>
        <v>281274.34000000003</v>
      </c>
      <c r="M12" s="212">
        <f t="shared" si="21"/>
        <v>311930.96999999997</v>
      </c>
      <c r="N12" s="212">
        <f t="shared" si="21"/>
        <v>254881440</v>
      </c>
      <c r="O12" s="212">
        <f t="shared" si="21"/>
        <v>26313.309999999998</v>
      </c>
      <c r="P12" s="212">
        <f t="shared" si="21"/>
        <v>52385.17</v>
      </c>
      <c r="Q12" s="212">
        <f t="shared" si="21"/>
        <v>79647.09</v>
      </c>
      <c r="R12" s="212">
        <f t="shared" ref="R12:W12" si="22">SUM(R13:R18)</f>
        <v>107567.26000000001</v>
      </c>
      <c r="S12" s="212">
        <f t="shared" si="22"/>
        <v>136789.62</v>
      </c>
      <c r="T12" s="212">
        <f t="shared" si="22"/>
        <v>143390.79999999999</v>
      </c>
      <c r="U12" s="212">
        <f t="shared" si="22"/>
        <v>197136.63</v>
      </c>
      <c r="V12" s="212">
        <f t="shared" si="22"/>
        <v>227638.13</v>
      </c>
      <c r="W12" s="212">
        <f t="shared" si="22"/>
        <v>258987.57</v>
      </c>
      <c r="X12" s="212">
        <f t="shared" ref="X12:AA12" si="23">SUM(X13:X18)</f>
        <v>291298.81</v>
      </c>
      <c r="Y12" s="212">
        <f t="shared" si="23"/>
        <v>323341.04000000004</v>
      </c>
      <c r="Z12" s="212">
        <f t="shared" si="23"/>
        <v>332839.01</v>
      </c>
      <c r="AA12" s="212">
        <f t="shared" si="23"/>
        <v>292462951</v>
      </c>
      <c r="AB12" s="212">
        <f t="shared" ref="AB12:AM12" si="24">SUM(AB13:AB18)</f>
        <v>30053335.830000002</v>
      </c>
      <c r="AC12" s="212">
        <f t="shared" si="24"/>
        <v>60477.58</v>
      </c>
      <c r="AD12" s="212">
        <f t="shared" si="24"/>
        <v>92864804.140000001</v>
      </c>
      <c r="AE12" s="212">
        <f t="shared" si="24"/>
        <v>125042719.58999999</v>
      </c>
      <c r="AF12" s="212">
        <f t="shared" si="24"/>
        <v>158938148.46999997</v>
      </c>
      <c r="AG12" s="212">
        <f t="shared" si="24"/>
        <v>194395551</v>
      </c>
      <c r="AH12" s="212">
        <f t="shared" si="24"/>
        <v>229275988.82999998</v>
      </c>
      <c r="AI12" s="212">
        <f t="shared" si="24"/>
        <v>265619984.07000002</v>
      </c>
      <c r="AJ12" s="212">
        <f t="shared" si="24"/>
        <v>304027347.77999997</v>
      </c>
      <c r="AK12" s="212">
        <f t="shared" si="24"/>
        <v>343520324.41999996</v>
      </c>
      <c r="AL12" s="212">
        <f t="shared" si="24"/>
        <v>382933982.34999996</v>
      </c>
      <c r="AM12" s="212">
        <f t="shared" si="24"/>
        <v>389680798.95999992</v>
      </c>
      <c r="AN12" s="212">
        <f t="shared" ref="AN12:AV12" si="25">SUM(AN13:AN18)</f>
        <v>347331874</v>
      </c>
      <c r="AO12" s="212">
        <f t="shared" si="25"/>
        <v>35846972.649999999</v>
      </c>
      <c r="AP12" s="212">
        <f t="shared" si="25"/>
        <v>73084929.140000001</v>
      </c>
      <c r="AQ12" s="212">
        <f t="shared" si="25"/>
        <v>111811288.63</v>
      </c>
      <c r="AR12" s="212">
        <f t="shared" si="25"/>
        <v>151712533.18000001</v>
      </c>
      <c r="AS12" s="212">
        <f t="shared" si="25"/>
        <v>191961238.16000003</v>
      </c>
      <c r="AT12" s="212">
        <f t="shared" si="25"/>
        <v>233106603.99000001</v>
      </c>
      <c r="AU12" s="212">
        <f t="shared" si="25"/>
        <v>274142048.81999999</v>
      </c>
      <c r="AV12" s="212">
        <f t="shared" si="25"/>
        <v>317515165.48000002</v>
      </c>
    </row>
    <row r="13" spans="1:48" ht="15">
      <c r="A13" s="170" t="s">
        <v>62</v>
      </c>
      <c r="C13" s="292">
        <v>20484.150000000001</v>
      </c>
      <c r="D13" s="292">
        <v>39348.61</v>
      </c>
      <c r="E13" s="292">
        <v>60677.29</v>
      </c>
      <c r="F13" s="292">
        <v>80628.800000000003</v>
      </c>
      <c r="G13" s="292">
        <v>103936.6</v>
      </c>
      <c r="H13" s="292">
        <v>126894.02</v>
      </c>
      <c r="I13" s="292">
        <v>174143.42</v>
      </c>
      <c r="J13" s="292">
        <v>193015.06</v>
      </c>
      <c r="K13" s="292">
        <v>221026.63</v>
      </c>
      <c r="L13" s="292">
        <v>246299.48</v>
      </c>
      <c r="M13" s="292">
        <v>273668.94</v>
      </c>
      <c r="N13" s="278">
        <f>233587603+13868910+2628623+4796304</f>
        <v>254881440</v>
      </c>
      <c r="O13" s="292">
        <v>23108.37</v>
      </c>
      <c r="P13" s="292">
        <v>45962.63</v>
      </c>
      <c r="Q13" s="292">
        <v>69987.94</v>
      </c>
      <c r="R13" s="292">
        <v>94619.13</v>
      </c>
      <c r="S13" s="292">
        <v>120511.16</v>
      </c>
      <c r="T13" s="292">
        <v>123741.87</v>
      </c>
      <c r="U13" s="299">
        <v>174070.54</v>
      </c>
      <c r="V13" s="299">
        <v>201215.55</v>
      </c>
      <c r="W13" s="292">
        <v>228913.75</v>
      </c>
      <c r="X13" s="292">
        <v>257774.86</v>
      </c>
      <c r="Y13" s="292">
        <v>286245.52</v>
      </c>
      <c r="Z13" s="292">
        <v>292462.95</v>
      </c>
      <c r="AA13" s="309">
        <v>292462951</v>
      </c>
      <c r="AB13" s="299">
        <v>26601299.390000001</v>
      </c>
      <c r="AC13" s="317">
        <v>53530.55</v>
      </c>
      <c r="AD13" s="317">
        <v>82320061.299999997</v>
      </c>
      <c r="AE13" s="317">
        <v>110742014.13</v>
      </c>
      <c r="AF13" s="317">
        <v>141010662.94</v>
      </c>
      <c r="AG13" s="317">
        <v>172676665.25</v>
      </c>
      <c r="AH13" s="317">
        <v>203809428.25</v>
      </c>
      <c r="AI13" s="317">
        <v>236270201.83000001</v>
      </c>
      <c r="AJ13" s="317">
        <v>270835820.75999999</v>
      </c>
      <c r="AK13" s="317">
        <v>306425972.89999998</v>
      </c>
      <c r="AL13" s="317">
        <v>341963655.39999998</v>
      </c>
      <c r="AM13" s="317">
        <v>346070605.58999997</v>
      </c>
      <c r="AN13" s="326">
        <v>346443817</v>
      </c>
      <c r="AO13" s="343">
        <v>32058913.879999999</v>
      </c>
      <c r="AP13" s="345">
        <v>65400567.780000001</v>
      </c>
      <c r="AQ13" s="345">
        <v>100327083.11</v>
      </c>
      <c r="AR13" s="343">
        <v>136185177.66</v>
      </c>
      <c r="AS13" s="343">
        <v>172450042.80000001</v>
      </c>
      <c r="AT13" s="343">
        <v>209472634.91999999</v>
      </c>
      <c r="AU13" s="408">
        <v>246346360.78</v>
      </c>
      <c r="AV13" s="410">
        <v>285587662.38</v>
      </c>
    </row>
    <row r="14" spans="1:48" ht="15">
      <c r="A14" s="170" t="s">
        <v>63</v>
      </c>
      <c r="C14" s="292">
        <v>0</v>
      </c>
      <c r="D14" s="292">
        <v>0</v>
      </c>
      <c r="E14" s="292">
        <v>0</v>
      </c>
      <c r="F14" s="292">
        <v>0</v>
      </c>
      <c r="G14" s="292">
        <v>0</v>
      </c>
      <c r="H14" s="292">
        <v>0</v>
      </c>
      <c r="I14" s="292">
        <v>0</v>
      </c>
      <c r="J14" s="292">
        <v>0</v>
      </c>
      <c r="K14" s="292">
        <v>0</v>
      </c>
      <c r="L14" s="292">
        <v>0</v>
      </c>
      <c r="M14" s="292">
        <v>0</v>
      </c>
      <c r="N14" s="292">
        <v>0</v>
      </c>
      <c r="O14" s="292">
        <v>0</v>
      </c>
      <c r="P14" s="292">
        <v>0</v>
      </c>
      <c r="Q14" s="292">
        <v>0</v>
      </c>
      <c r="R14" s="292">
        <v>0</v>
      </c>
      <c r="S14" s="292">
        <v>0</v>
      </c>
      <c r="T14" s="292">
        <v>0</v>
      </c>
      <c r="U14" s="300">
        <v>0</v>
      </c>
      <c r="V14" s="300">
        <v>0</v>
      </c>
      <c r="W14" s="292">
        <v>0</v>
      </c>
      <c r="X14" s="292">
        <v>0</v>
      </c>
      <c r="Y14" s="292">
        <v>0</v>
      </c>
      <c r="Z14" s="292">
        <v>0</v>
      </c>
      <c r="AA14" s="310"/>
      <c r="AB14" s="300">
        <v>0</v>
      </c>
      <c r="AC14" s="318">
        <v>0</v>
      </c>
      <c r="AD14" s="318">
        <v>0</v>
      </c>
      <c r="AE14" s="318">
        <v>0</v>
      </c>
      <c r="AF14" s="318">
        <v>0</v>
      </c>
      <c r="AG14" s="318">
        <v>0</v>
      </c>
      <c r="AH14" s="318">
        <v>0</v>
      </c>
      <c r="AI14" s="318">
        <v>0</v>
      </c>
      <c r="AJ14" s="318">
        <v>0</v>
      </c>
      <c r="AK14" s="318">
        <v>0</v>
      </c>
      <c r="AL14" s="318">
        <v>0</v>
      </c>
      <c r="AM14" s="318">
        <v>0</v>
      </c>
      <c r="AN14" s="327"/>
      <c r="AO14" s="346">
        <v>0</v>
      </c>
      <c r="AP14" s="348">
        <v>0</v>
      </c>
      <c r="AQ14" s="348">
        <v>0</v>
      </c>
      <c r="AR14" s="346">
        <v>0</v>
      </c>
      <c r="AS14" s="346">
        <v>0</v>
      </c>
      <c r="AT14" s="346">
        <v>0</v>
      </c>
      <c r="AU14" s="411">
        <v>0</v>
      </c>
      <c r="AV14" s="413">
        <v>0</v>
      </c>
    </row>
    <row r="15" spans="1:48" ht="15">
      <c r="A15" s="170" t="s">
        <v>64</v>
      </c>
      <c r="C15" s="292">
        <v>3041.44</v>
      </c>
      <c r="D15" s="292">
        <v>6114.19</v>
      </c>
      <c r="E15" s="292">
        <v>9232.4699999999993</v>
      </c>
      <c r="F15" s="292">
        <v>12312.76</v>
      </c>
      <c r="G15" s="292">
        <v>15485.78</v>
      </c>
      <c r="H15" s="292">
        <v>18687.64</v>
      </c>
      <c r="I15" s="292">
        <v>25176.86</v>
      </c>
      <c r="J15" s="292">
        <v>28401.360000000001</v>
      </c>
      <c r="K15" s="292">
        <v>31721.96</v>
      </c>
      <c r="L15" s="292">
        <v>34974.86</v>
      </c>
      <c r="M15" s="292">
        <v>38262.03</v>
      </c>
      <c r="N15" s="292">
        <v>0</v>
      </c>
      <c r="O15" s="292">
        <v>3204.94</v>
      </c>
      <c r="P15" s="292">
        <v>6422.54</v>
      </c>
      <c r="Q15" s="292">
        <v>9659.15</v>
      </c>
      <c r="R15" s="292">
        <v>12948.13</v>
      </c>
      <c r="S15" s="292">
        <v>16278.46</v>
      </c>
      <c r="T15" s="292">
        <v>19648.93</v>
      </c>
      <c r="U15" s="301">
        <v>23066.09</v>
      </c>
      <c r="V15" s="301">
        <v>26422.58</v>
      </c>
      <c r="W15" s="292">
        <v>30073.82</v>
      </c>
      <c r="X15" s="292">
        <v>33523.949999999997</v>
      </c>
      <c r="Y15" s="292">
        <v>37095.519999999997</v>
      </c>
      <c r="Z15" s="292">
        <v>39491.269999999997</v>
      </c>
      <c r="AA15" s="310"/>
      <c r="AB15" s="301">
        <v>3406570.48</v>
      </c>
      <c r="AC15" s="319">
        <v>6840.81</v>
      </c>
      <c r="AD15" s="319">
        <v>10447633.050000001</v>
      </c>
      <c r="AE15" s="319">
        <v>14063444.07</v>
      </c>
      <c r="AF15" s="319">
        <v>17609532.079999998</v>
      </c>
      <c r="AG15" s="319">
        <v>21332877</v>
      </c>
      <c r="AH15" s="319">
        <v>25013189.829999998</v>
      </c>
      <c r="AI15" s="319">
        <v>28792835.989999998</v>
      </c>
      <c r="AJ15" s="319">
        <v>32567851.489999998</v>
      </c>
      <c r="AK15" s="319">
        <v>36399734.329999998</v>
      </c>
      <c r="AL15" s="319">
        <v>40217357.759999998</v>
      </c>
      <c r="AM15" s="319">
        <v>42749380.219999999</v>
      </c>
      <c r="AN15" s="327"/>
      <c r="AO15" s="347">
        <v>3697356.77</v>
      </c>
      <c r="AP15" s="349">
        <v>7448859.0099999998</v>
      </c>
      <c r="AQ15" s="349">
        <v>11362369.17</v>
      </c>
      <c r="AR15" s="347">
        <v>15211818.890000001</v>
      </c>
      <c r="AS15" s="347">
        <v>19163190.280000001</v>
      </c>
      <c r="AT15" s="347">
        <v>23102896.140000001</v>
      </c>
      <c r="AU15" s="412">
        <v>27195279.109999999</v>
      </c>
      <c r="AV15" s="414">
        <v>31188918.989999998</v>
      </c>
    </row>
    <row r="16" spans="1:48" ht="15">
      <c r="A16" s="170" t="s">
        <v>65</v>
      </c>
      <c r="C16" s="292">
        <v>0</v>
      </c>
      <c r="D16" s="292">
        <v>0</v>
      </c>
      <c r="E16" s="292">
        <v>0</v>
      </c>
      <c r="F16" s="292">
        <v>0</v>
      </c>
      <c r="G16" s="292">
        <v>0</v>
      </c>
      <c r="H16" s="292">
        <v>0</v>
      </c>
      <c r="I16" s="292">
        <v>0</v>
      </c>
      <c r="J16" s="292">
        <v>0</v>
      </c>
      <c r="K16" s="292">
        <v>0</v>
      </c>
      <c r="L16" s="292">
        <v>0</v>
      </c>
      <c r="M16" s="292">
        <v>0</v>
      </c>
      <c r="N16" s="292">
        <v>0</v>
      </c>
      <c r="O16" s="292">
        <v>0</v>
      </c>
      <c r="P16" s="292">
        <v>0</v>
      </c>
      <c r="Q16" s="292">
        <v>0</v>
      </c>
      <c r="R16" s="292">
        <v>0</v>
      </c>
      <c r="S16" s="292">
        <v>0</v>
      </c>
      <c r="T16" s="292">
        <v>0</v>
      </c>
      <c r="U16" s="300">
        <v>0</v>
      </c>
      <c r="V16" s="300">
        <v>0</v>
      </c>
      <c r="W16" s="292">
        <v>0</v>
      </c>
      <c r="X16" s="292">
        <v>0</v>
      </c>
      <c r="Y16" s="292">
        <v>0</v>
      </c>
      <c r="Z16" s="292">
        <v>884.79</v>
      </c>
      <c r="AA16" s="310"/>
      <c r="AB16" s="301">
        <v>45465.96</v>
      </c>
      <c r="AC16" s="318">
        <v>106.22</v>
      </c>
      <c r="AD16" s="319">
        <v>97109.79</v>
      </c>
      <c r="AE16" s="319">
        <v>237261.39</v>
      </c>
      <c r="AF16" s="319">
        <v>317953.45</v>
      </c>
      <c r="AG16" s="319">
        <v>386008.75</v>
      </c>
      <c r="AH16" s="319">
        <v>453370.75</v>
      </c>
      <c r="AI16" s="319">
        <v>556946.25</v>
      </c>
      <c r="AJ16" s="319">
        <v>623675.53</v>
      </c>
      <c r="AK16" s="319">
        <v>694617.19</v>
      </c>
      <c r="AL16" s="319">
        <v>752969.19</v>
      </c>
      <c r="AM16" s="319">
        <v>860813.15</v>
      </c>
      <c r="AN16" s="327">
        <v>888057</v>
      </c>
      <c r="AO16" s="347">
        <v>90702</v>
      </c>
      <c r="AP16" s="349">
        <v>235502.35</v>
      </c>
      <c r="AQ16" s="349">
        <v>121836.35</v>
      </c>
      <c r="AR16" s="347">
        <v>315536.63</v>
      </c>
      <c r="AS16" s="347">
        <v>348005.08</v>
      </c>
      <c r="AT16" s="347">
        <v>531072.93000000005</v>
      </c>
      <c r="AU16" s="412">
        <v>600408.93000000005</v>
      </c>
      <c r="AV16" s="414">
        <v>738584.11</v>
      </c>
    </row>
    <row r="17" spans="1:48" ht="15">
      <c r="A17" s="170" t="s">
        <v>66</v>
      </c>
      <c r="B17" s="279">
        <f>109986+28398</f>
        <v>138384</v>
      </c>
      <c r="C17" s="292">
        <v>0</v>
      </c>
      <c r="D17" s="292">
        <v>0</v>
      </c>
      <c r="E17" s="292">
        <v>0</v>
      </c>
      <c r="F17" s="292">
        <v>0</v>
      </c>
      <c r="G17" s="292">
        <v>0</v>
      </c>
      <c r="H17" s="292">
        <v>0</v>
      </c>
      <c r="I17" s="292">
        <v>0</v>
      </c>
      <c r="J17" s="292">
        <v>0</v>
      </c>
      <c r="K17" s="292">
        <v>0</v>
      </c>
      <c r="L17" s="292">
        <v>0</v>
      </c>
      <c r="M17" s="292">
        <v>0</v>
      </c>
      <c r="N17" s="292">
        <v>0</v>
      </c>
      <c r="O17" s="292">
        <v>0</v>
      </c>
      <c r="P17" s="292">
        <v>0</v>
      </c>
      <c r="Q17" s="292">
        <v>0</v>
      </c>
      <c r="R17" s="292">
        <v>0</v>
      </c>
      <c r="S17" s="292">
        <v>0</v>
      </c>
      <c r="T17" s="292">
        <v>0</v>
      </c>
      <c r="U17" s="300">
        <v>0</v>
      </c>
      <c r="V17" s="300">
        <v>0</v>
      </c>
      <c r="W17" s="292">
        <v>0</v>
      </c>
      <c r="X17" s="292">
        <v>0</v>
      </c>
      <c r="Y17" s="292">
        <v>0</v>
      </c>
      <c r="Z17" s="292">
        <v>0</v>
      </c>
      <c r="AA17" s="310"/>
      <c r="AB17" s="300">
        <v>0</v>
      </c>
      <c r="AC17" s="318">
        <v>0</v>
      </c>
      <c r="AD17" s="318">
        <v>0</v>
      </c>
      <c r="AE17" s="318">
        <v>0</v>
      </c>
      <c r="AF17" s="318">
        <v>0</v>
      </c>
      <c r="AG17" s="318">
        <v>0</v>
      </c>
      <c r="AH17" s="318">
        <v>0</v>
      </c>
      <c r="AI17" s="318">
        <v>0</v>
      </c>
      <c r="AJ17" s="318">
        <v>0</v>
      </c>
      <c r="AK17" s="318">
        <v>0</v>
      </c>
      <c r="AL17" s="318">
        <v>0</v>
      </c>
      <c r="AM17" s="318">
        <v>0</v>
      </c>
      <c r="AN17" s="327"/>
      <c r="AO17" s="346">
        <v>0</v>
      </c>
      <c r="AP17" s="348">
        <v>0</v>
      </c>
      <c r="AQ17" s="348">
        <v>0</v>
      </c>
      <c r="AR17" s="346">
        <v>0</v>
      </c>
      <c r="AS17" s="346">
        <v>0</v>
      </c>
      <c r="AT17" s="346">
        <v>0</v>
      </c>
      <c r="AU17" s="411">
        <v>0</v>
      </c>
      <c r="AV17" s="413">
        <v>0</v>
      </c>
    </row>
    <row r="18" spans="1:48" ht="15">
      <c r="A18" s="170" t="s">
        <v>67</v>
      </c>
      <c r="C18" s="292">
        <v>0</v>
      </c>
      <c r="D18" s="292">
        <v>0</v>
      </c>
      <c r="E18" s="292">
        <v>0</v>
      </c>
      <c r="F18" s="292">
        <v>0</v>
      </c>
      <c r="G18" s="292">
        <v>0</v>
      </c>
      <c r="H18" s="292">
        <v>0</v>
      </c>
      <c r="I18" s="292">
        <v>0</v>
      </c>
      <c r="J18" s="292">
        <v>0</v>
      </c>
      <c r="K18" s="292">
        <v>0</v>
      </c>
      <c r="L18" s="292">
        <v>0</v>
      </c>
      <c r="M18" s="292">
        <v>0</v>
      </c>
      <c r="N18" s="292">
        <v>0</v>
      </c>
      <c r="O18" s="292">
        <v>0</v>
      </c>
      <c r="P18" s="292">
        <v>0</v>
      </c>
      <c r="Q18" s="292">
        <v>0</v>
      </c>
      <c r="R18" s="292">
        <v>0</v>
      </c>
      <c r="S18" s="292">
        <v>0</v>
      </c>
      <c r="T18" s="292">
        <v>0</v>
      </c>
      <c r="U18" s="300">
        <v>0</v>
      </c>
      <c r="V18" s="300">
        <v>0</v>
      </c>
      <c r="W18" s="292">
        <v>0</v>
      </c>
      <c r="X18" s="292">
        <v>0</v>
      </c>
      <c r="Y18" s="292">
        <v>0</v>
      </c>
      <c r="Z18" s="292">
        <v>0</v>
      </c>
      <c r="AA18" s="310"/>
      <c r="AB18" s="300">
        <v>0</v>
      </c>
      <c r="AC18" s="318">
        <v>0</v>
      </c>
      <c r="AD18" s="318">
        <v>0</v>
      </c>
      <c r="AE18" s="318">
        <v>0</v>
      </c>
      <c r="AF18" s="318">
        <v>0</v>
      </c>
      <c r="AG18" s="318">
        <v>0</v>
      </c>
      <c r="AH18" s="318">
        <v>0</v>
      </c>
      <c r="AI18" s="318">
        <v>0</v>
      </c>
      <c r="AJ18" s="318">
        <v>0</v>
      </c>
      <c r="AK18" s="318">
        <v>0</v>
      </c>
      <c r="AL18" s="318">
        <v>0</v>
      </c>
      <c r="AM18" s="318">
        <v>0</v>
      </c>
      <c r="AN18" s="327"/>
      <c r="AO18" s="346">
        <v>0</v>
      </c>
      <c r="AP18" s="348">
        <v>0</v>
      </c>
      <c r="AQ18" s="348">
        <v>0</v>
      </c>
      <c r="AR18" s="346">
        <v>0</v>
      </c>
      <c r="AS18" s="346">
        <v>0</v>
      </c>
      <c r="AT18" s="346">
        <v>0</v>
      </c>
      <c r="AU18" s="411">
        <v>0</v>
      </c>
      <c r="AV18" s="413">
        <v>0</v>
      </c>
    </row>
    <row r="19" spans="1:48" ht="15.75">
      <c r="A19" s="169" t="s">
        <v>68</v>
      </c>
      <c r="B19" s="212">
        <f t="shared" ref="B19:N19" si="26">B3-B12</f>
        <v>33951687</v>
      </c>
      <c r="C19" s="212">
        <f t="shared" si="26"/>
        <v>5894.6100000000006</v>
      </c>
      <c r="D19" s="212">
        <f t="shared" si="26"/>
        <v>16522.78</v>
      </c>
      <c r="E19" s="212">
        <f t="shared" si="26"/>
        <v>27123.460000000006</v>
      </c>
      <c r="F19" s="212">
        <f t="shared" si="26"/>
        <v>93300.229999999981</v>
      </c>
      <c r="G19" s="212">
        <f t="shared" si="26"/>
        <v>99782.44</v>
      </c>
      <c r="H19" s="212">
        <f t="shared" si="26"/>
        <v>105987.63999999998</v>
      </c>
      <c r="I19" s="212">
        <f t="shared" si="26"/>
        <v>132591.29999999999</v>
      </c>
      <c r="J19" s="212">
        <f t="shared" si="26"/>
        <v>146735.08000000002</v>
      </c>
      <c r="K19" s="212">
        <f t="shared" si="26"/>
        <v>152903.51999999999</v>
      </c>
      <c r="L19" s="212">
        <f t="shared" si="26"/>
        <v>158279.13999999996</v>
      </c>
      <c r="M19" s="212">
        <f t="shared" si="26"/>
        <v>170035.16000000003</v>
      </c>
      <c r="N19" s="212">
        <f t="shared" si="26"/>
        <v>224112912</v>
      </c>
      <c r="O19" s="212">
        <f t="shared" ref="O19:T19" si="27">O3-O12</f>
        <v>4475.5900000000038</v>
      </c>
      <c r="P19" s="212">
        <f t="shared" si="27"/>
        <v>18880.539999999994</v>
      </c>
      <c r="Q19" s="212">
        <f t="shared" si="27"/>
        <v>33627.48000000001</v>
      </c>
      <c r="R19" s="212">
        <f t="shared" si="27"/>
        <v>91466.640000000014</v>
      </c>
      <c r="S19" s="212">
        <f t="shared" si="27"/>
        <v>99515.590000000026</v>
      </c>
      <c r="T19" s="212">
        <f t="shared" si="27"/>
        <v>130955.89000000001</v>
      </c>
      <c r="U19" s="212">
        <f t="shared" ref="U19:V19" si="28">U3-U12</f>
        <v>115658.30999999994</v>
      </c>
      <c r="V19" s="212">
        <f t="shared" si="28"/>
        <v>101763.21999999997</v>
      </c>
      <c r="W19" s="212">
        <f t="shared" ref="W19:AA19" si="29">W3-W12</f>
        <v>146417.59000000003</v>
      </c>
      <c r="X19" s="212">
        <f t="shared" si="29"/>
        <v>153173.07</v>
      </c>
      <c r="Y19" s="212">
        <f t="shared" si="29"/>
        <v>164452.53999999998</v>
      </c>
      <c r="Z19" s="212">
        <f t="shared" si="29"/>
        <v>196244.92999999993</v>
      </c>
      <c r="AA19" s="212">
        <f t="shared" si="29"/>
        <v>-102692304.28999999</v>
      </c>
      <c r="AB19" s="212">
        <f t="shared" ref="AB19:AM19" si="30">AB3-AB12</f>
        <v>10553730.569999997</v>
      </c>
      <c r="AC19" s="212">
        <f t="shared" si="30"/>
        <v>21312.680000000008</v>
      </c>
      <c r="AD19" s="212">
        <f t="shared" si="30"/>
        <v>32019417.950000003</v>
      </c>
      <c r="AE19" s="212">
        <f t="shared" si="30"/>
        <v>41252633.190000013</v>
      </c>
      <c r="AF19" s="212">
        <f t="shared" si="30"/>
        <v>44249199.640000015</v>
      </c>
      <c r="AG19" s="212">
        <f t="shared" si="30"/>
        <v>108933182.06999999</v>
      </c>
      <c r="AH19" s="212">
        <f t="shared" si="30"/>
        <v>118924120.00000006</v>
      </c>
      <c r="AI19" s="212">
        <f t="shared" si="30"/>
        <v>127776316.53999999</v>
      </c>
      <c r="AJ19" s="212">
        <f t="shared" si="30"/>
        <v>135887853.16000009</v>
      </c>
      <c r="AK19" s="212">
        <f t="shared" si="30"/>
        <v>142483788.77000004</v>
      </c>
      <c r="AL19" s="212">
        <f t="shared" si="30"/>
        <v>150341568.54000002</v>
      </c>
      <c r="AM19" s="212">
        <f t="shared" si="30"/>
        <v>198410715.96000016</v>
      </c>
      <c r="AN19" s="212">
        <f t="shared" ref="AN19:AT19" si="31">AN3-AN12</f>
        <v>253474994</v>
      </c>
      <c r="AO19" s="212">
        <f t="shared" si="31"/>
        <v>13099673.75</v>
      </c>
      <c r="AP19" s="212">
        <f t="shared" si="31"/>
        <v>24405996.659999996</v>
      </c>
      <c r="AQ19" s="212">
        <f t="shared" si="31"/>
        <v>39052441.170000017</v>
      </c>
      <c r="AR19" s="212">
        <f t="shared" si="31"/>
        <v>48135432.919999987</v>
      </c>
      <c r="AS19" s="212">
        <f t="shared" si="31"/>
        <v>61147758.759999961</v>
      </c>
      <c r="AT19" s="212">
        <f t="shared" si="31"/>
        <v>135421566.56999999</v>
      </c>
      <c r="AU19" s="212">
        <f t="shared" ref="AU19:AV19" si="32">AU3-AU12</f>
        <v>157448416.81999999</v>
      </c>
      <c r="AV19" s="212">
        <f t="shared" si="32"/>
        <v>173386150.53000003</v>
      </c>
    </row>
    <row r="20" spans="1:48" ht="15.75">
      <c r="A20" s="169" t="s">
        <v>69</v>
      </c>
      <c r="B20" s="212">
        <f t="shared" ref="B20:N20" si="33">B21-B22</f>
        <v>19858888</v>
      </c>
      <c r="C20" s="212">
        <f t="shared" si="33"/>
        <v>1974</v>
      </c>
      <c r="D20" s="212">
        <f t="shared" si="33"/>
        <v>-9320.6</v>
      </c>
      <c r="E20" s="212">
        <f t="shared" si="33"/>
        <v>-2203.6999999999998</v>
      </c>
      <c r="F20" s="212">
        <f t="shared" si="33"/>
        <v>7950.9</v>
      </c>
      <c r="G20" s="212">
        <f t="shared" si="33"/>
        <v>-33114.400000000001</v>
      </c>
      <c r="H20" s="212">
        <f t="shared" si="33"/>
        <v>14691.9</v>
      </c>
      <c r="I20" s="212">
        <f t="shared" si="33"/>
        <v>16567.099999999999</v>
      </c>
      <c r="J20" s="212">
        <f t="shared" si="33"/>
        <v>17326.599999999999</v>
      </c>
      <c r="K20" s="212">
        <f t="shared" si="33"/>
        <v>6766.4</v>
      </c>
      <c r="L20" s="212">
        <f t="shared" si="33"/>
        <v>14690.7</v>
      </c>
      <c r="M20" s="212">
        <f t="shared" si="33"/>
        <v>-10757.8</v>
      </c>
      <c r="N20" s="212">
        <f t="shared" si="33"/>
        <v>-10841221</v>
      </c>
      <c r="O20" s="212">
        <f t="shared" ref="O20:T20" si="34">O21-O22</f>
        <v>13027</v>
      </c>
      <c r="P20" s="212">
        <f t="shared" si="34"/>
        <v>34770</v>
      </c>
      <c r="Q20" s="212">
        <f t="shared" si="34"/>
        <v>20389.5</v>
      </c>
      <c r="R20" s="212">
        <f t="shared" si="34"/>
        <v>25146</v>
      </c>
      <c r="S20" s="212">
        <f t="shared" si="34"/>
        <v>24755.599999999999</v>
      </c>
      <c r="T20" s="212">
        <f t="shared" si="34"/>
        <v>24755.599999999999</v>
      </c>
      <c r="U20" s="212">
        <f t="shared" ref="U20:V20" si="35">U21-U22</f>
        <v>29019.9</v>
      </c>
      <c r="V20" s="212">
        <f t="shared" si="35"/>
        <v>19665.900000000001</v>
      </c>
      <c r="W20" s="212">
        <f t="shared" ref="W20:AA20" si="36">W21-W22</f>
        <v>7244.5</v>
      </c>
      <c r="X20" s="212">
        <f t="shared" si="36"/>
        <v>2216.1</v>
      </c>
      <c r="Y20" s="212">
        <f t="shared" si="36"/>
        <v>-2716.8</v>
      </c>
      <c r="Z20" s="212">
        <f t="shared" si="36"/>
        <v>-10545.3</v>
      </c>
      <c r="AA20" s="212">
        <f t="shared" si="36"/>
        <v>-10518248</v>
      </c>
      <c r="AB20" s="212">
        <f t="shared" ref="AB20:AM20" si="37">AB21-AB22</f>
        <v>-10545310.4</v>
      </c>
      <c r="AC20" s="212">
        <f t="shared" si="37"/>
        <v>-6605.6</v>
      </c>
      <c r="AD20" s="212">
        <f t="shared" si="37"/>
        <v>-4153090.9</v>
      </c>
      <c r="AE20" s="212">
        <f t="shared" si="37"/>
        <v>-2230552.6</v>
      </c>
      <c r="AF20" s="212">
        <f t="shared" si="37"/>
        <v>-939303.4</v>
      </c>
      <c r="AG20" s="212">
        <f t="shared" si="37"/>
        <v>7173707.5</v>
      </c>
      <c r="AH20" s="212">
        <f t="shared" si="37"/>
        <v>12407785.800000001</v>
      </c>
      <c r="AI20" s="212">
        <f t="shared" si="37"/>
        <v>12331674.4</v>
      </c>
      <c r="AJ20" s="212">
        <f t="shared" si="37"/>
        <v>7548918.0999999996</v>
      </c>
      <c r="AK20" s="212">
        <f t="shared" si="37"/>
        <v>7573535.4000000004</v>
      </c>
      <c r="AL20" s="212">
        <f t="shared" si="37"/>
        <v>12542368.1</v>
      </c>
      <c r="AM20" s="212">
        <f t="shared" si="37"/>
        <v>-10706987.699999999</v>
      </c>
      <c r="AN20" s="212">
        <f t="shared" ref="AN20:AT20" si="38">AN21-AN22</f>
        <v>0</v>
      </c>
      <c r="AO20" s="212">
        <f t="shared" si="38"/>
        <v>7405655.5999999996</v>
      </c>
      <c r="AP20" s="212">
        <f t="shared" si="38"/>
        <v>7405655.5999999996</v>
      </c>
      <c r="AQ20" s="212">
        <f t="shared" si="38"/>
        <v>-5903451.2999999998</v>
      </c>
      <c r="AR20" s="212">
        <f t="shared" si="38"/>
        <v>-5556997.7000000002</v>
      </c>
      <c r="AS20" s="212">
        <f t="shared" si="38"/>
        <v>-5143422.8</v>
      </c>
      <c r="AT20" s="212">
        <f t="shared" si="38"/>
        <v>4799982.7</v>
      </c>
      <c r="AU20" s="212">
        <f t="shared" ref="AU20:AV20" si="39">AU21-AU22</f>
        <v>18828706.399999999</v>
      </c>
      <c r="AV20" s="212">
        <f t="shared" si="39"/>
        <v>26089903</v>
      </c>
    </row>
    <row r="21" spans="1:48" ht="14.25">
      <c r="A21" s="170" t="s">
        <v>70</v>
      </c>
      <c r="B21" s="280">
        <v>19858888</v>
      </c>
      <c r="C21" s="292">
        <v>1974</v>
      </c>
      <c r="D21" s="292">
        <v>0</v>
      </c>
      <c r="E21" s="292">
        <v>0</v>
      </c>
      <c r="F21" s="292">
        <v>7950.9</v>
      </c>
      <c r="G21" s="292">
        <v>0</v>
      </c>
      <c r="H21" s="292">
        <v>14691.9</v>
      </c>
      <c r="I21" s="292">
        <v>16567.099999999999</v>
      </c>
      <c r="J21" s="292">
        <v>17326.599999999999</v>
      </c>
      <c r="K21" s="292">
        <v>6766.4</v>
      </c>
      <c r="L21" s="292">
        <v>14690.7</v>
      </c>
      <c r="M21" s="292">
        <v>-10757.8</v>
      </c>
      <c r="N21" s="280">
        <v>-10841221</v>
      </c>
      <c r="O21" s="292">
        <v>13027</v>
      </c>
      <c r="P21" s="292">
        <v>34770</v>
      </c>
      <c r="Q21" s="292">
        <v>20389.5</v>
      </c>
      <c r="R21" s="292">
        <v>25146</v>
      </c>
      <c r="S21" s="292">
        <v>24755.599999999999</v>
      </c>
      <c r="T21" s="292">
        <v>24755.599999999999</v>
      </c>
      <c r="U21" s="299">
        <v>29019.9</v>
      </c>
      <c r="V21" s="299">
        <v>19665.900000000001</v>
      </c>
      <c r="W21" s="292">
        <v>7244.5</v>
      </c>
      <c r="X21" s="292">
        <v>2216.1</v>
      </c>
      <c r="Y21" s="292">
        <v>-2716.8</v>
      </c>
      <c r="Z21" s="292">
        <v>-10545.3</v>
      </c>
      <c r="AA21" s="309">
        <v>-10518248</v>
      </c>
      <c r="AB21" s="299">
        <v>-10545310.4</v>
      </c>
      <c r="AC21" s="317">
        <v>-6605.6</v>
      </c>
      <c r="AD21" s="317">
        <v>-4153090.9</v>
      </c>
      <c r="AE21" s="317">
        <v>-2230552.6</v>
      </c>
      <c r="AF21" s="317">
        <v>-939303.4</v>
      </c>
      <c r="AG21" s="317">
        <v>7173707.5</v>
      </c>
      <c r="AH21" s="317">
        <v>12407785.800000001</v>
      </c>
      <c r="AI21" s="317">
        <v>12331674.4</v>
      </c>
      <c r="AJ21" s="317">
        <v>7548918.0999999996</v>
      </c>
      <c r="AK21" s="317">
        <v>7573535.4000000004</v>
      </c>
      <c r="AL21" s="317">
        <v>12542368.1</v>
      </c>
      <c r="AM21" s="317">
        <v>-10706987.699999999</v>
      </c>
      <c r="AN21" s="326"/>
      <c r="AO21" s="343">
        <v>7405655.5999999996</v>
      </c>
      <c r="AP21" s="345">
        <v>7405655.5999999996</v>
      </c>
      <c r="AQ21" s="345">
        <v>-5903451.2999999998</v>
      </c>
      <c r="AR21" s="343">
        <v>-5556997.7000000002</v>
      </c>
      <c r="AS21" s="356">
        <v>-5143422.8</v>
      </c>
      <c r="AT21" s="343">
        <v>4799982.7</v>
      </c>
      <c r="AU21" s="408">
        <v>18828706.399999999</v>
      </c>
      <c r="AV21" s="410">
        <v>26089903</v>
      </c>
    </row>
    <row r="22" spans="1:48" ht="14.25">
      <c r="A22" s="170" t="s">
        <v>71</v>
      </c>
      <c r="C22" s="292">
        <v>0</v>
      </c>
      <c r="D22" s="292">
        <v>9320.6</v>
      </c>
      <c r="E22" s="292">
        <v>2203.6999999999998</v>
      </c>
      <c r="F22" s="292">
        <v>0</v>
      </c>
      <c r="G22" s="292">
        <v>33114.400000000001</v>
      </c>
      <c r="H22" s="292">
        <v>0</v>
      </c>
      <c r="I22" s="292">
        <v>0</v>
      </c>
      <c r="J22" s="292">
        <v>0</v>
      </c>
      <c r="K22" s="292">
        <v>0</v>
      </c>
      <c r="L22" s="292">
        <v>0</v>
      </c>
      <c r="M22" s="292">
        <v>0</v>
      </c>
      <c r="N22" s="292">
        <v>0</v>
      </c>
      <c r="O22" s="292">
        <v>0</v>
      </c>
      <c r="P22" s="292">
        <v>0</v>
      </c>
      <c r="Q22" s="292">
        <v>0</v>
      </c>
      <c r="R22" s="292">
        <v>0</v>
      </c>
      <c r="S22" s="292">
        <v>0</v>
      </c>
      <c r="T22" s="292">
        <v>0</v>
      </c>
      <c r="U22" s="300">
        <v>0</v>
      </c>
      <c r="V22" s="300">
        <v>0</v>
      </c>
      <c r="W22" s="292">
        <v>0</v>
      </c>
      <c r="X22" s="292">
        <v>0</v>
      </c>
      <c r="Y22" s="292">
        <v>0</v>
      </c>
      <c r="Z22" s="292">
        <v>0</v>
      </c>
      <c r="AA22" s="310"/>
      <c r="AB22" s="300">
        <v>0</v>
      </c>
      <c r="AC22" s="318">
        <v>0</v>
      </c>
      <c r="AD22" s="318">
        <v>0</v>
      </c>
      <c r="AE22" s="318">
        <v>0</v>
      </c>
      <c r="AF22" s="318">
        <v>0</v>
      </c>
      <c r="AG22" s="318">
        <v>0</v>
      </c>
      <c r="AH22" s="318">
        <v>0</v>
      </c>
      <c r="AI22" s="318">
        <v>0</v>
      </c>
      <c r="AJ22" s="318">
        <v>0</v>
      </c>
      <c r="AK22" s="318">
        <v>0</v>
      </c>
      <c r="AL22" s="318">
        <v>0</v>
      </c>
      <c r="AM22" s="318">
        <v>0</v>
      </c>
      <c r="AN22" s="327"/>
      <c r="AO22" s="346">
        <v>0</v>
      </c>
      <c r="AP22" s="348">
        <v>0</v>
      </c>
      <c r="AQ22" s="348">
        <v>0</v>
      </c>
      <c r="AR22" s="346">
        <v>0</v>
      </c>
      <c r="AS22">
        <v>0</v>
      </c>
      <c r="AT22" s="346">
        <v>0</v>
      </c>
      <c r="AU22" s="411">
        <v>0</v>
      </c>
      <c r="AV22" s="413">
        <v>0</v>
      </c>
    </row>
    <row r="23" spans="1:48" ht="15.75">
      <c r="A23" s="169" t="s">
        <v>72</v>
      </c>
      <c r="B23" s="212">
        <f>SUM(B24:B28)</f>
        <v>14056547.52</v>
      </c>
      <c r="C23" s="212">
        <f t="shared" ref="C23:J23" si="40">SUM(C24:C28)</f>
        <v>4849.74</v>
      </c>
      <c r="D23" s="212">
        <f t="shared" si="40"/>
        <v>9259.7999999999993</v>
      </c>
      <c r="E23" s="212">
        <f t="shared" si="40"/>
        <v>18695.189999999999</v>
      </c>
      <c r="F23" s="212">
        <f t="shared" si="40"/>
        <v>26723.84</v>
      </c>
      <c r="G23" s="212">
        <f t="shared" si="40"/>
        <v>30466.41</v>
      </c>
      <c r="H23" s="212">
        <f t="shared" si="40"/>
        <v>34845.96</v>
      </c>
      <c r="I23" s="212">
        <f t="shared" si="40"/>
        <v>48306.38</v>
      </c>
      <c r="J23" s="212">
        <f t="shared" si="40"/>
        <v>53166.12999999999</v>
      </c>
      <c r="K23" s="212">
        <f t="shared" ref="K23:Q23" si="41">SUM(K24:K28)</f>
        <v>58811.28</v>
      </c>
      <c r="L23" s="212">
        <f t="shared" si="41"/>
        <v>61784.56</v>
      </c>
      <c r="M23" s="212">
        <f t="shared" si="41"/>
        <v>70255.34</v>
      </c>
      <c r="N23" s="212">
        <f t="shared" si="41"/>
        <v>68296970</v>
      </c>
      <c r="O23" s="212">
        <f t="shared" si="41"/>
        <v>5200.1000000000004</v>
      </c>
      <c r="P23" s="212">
        <f t="shared" si="41"/>
        <v>9829.11</v>
      </c>
      <c r="Q23" s="212">
        <f t="shared" si="41"/>
        <v>26015.22</v>
      </c>
      <c r="R23" s="212">
        <f t="shared" ref="R23:W23" si="42">SUM(R24:R28)</f>
        <v>29805.320000000003</v>
      </c>
      <c r="S23" s="212">
        <f t="shared" si="42"/>
        <v>37682.31</v>
      </c>
      <c r="T23" s="212">
        <f t="shared" si="42"/>
        <v>42476.83</v>
      </c>
      <c r="U23" s="212">
        <f t="shared" si="42"/>
        <v>51395.87</v>
      </c>
      <c r="V23" s="212">
        <f t="shared" si="42"/>
        <v>56890.53</v>
      </c>
      <c r="W23" s="212">
        <f t="shared" si="42"/>
        <v>61532.279999999992</v>
      </c>
      <c r="X23" s="212">
        <f t="shared" ref="X23:AA23" si="43">SUM(X24:X28)</f>
        <v>67016.13</v>
      </c>
      <c r="Y23" s="212">
        <f t="shared" si="43"/>
        <v>72590.11</v>
      </c>
      <c r="Z23" s="212">
        <f t="shared" si="43"/>
        <v>79834.899999999994</v>
      </c>
      <c r="AA23" s="212">
        <f t="shared" si="43"/>
        <v>77370571</v>
      </c>
      <c r="AB23" s="212">
        <f t="shared" ref="AB23:AM23" si="44">SUM(AB24:AB28)</f>
        <v>5569540.6399999997</v>
      </c>
      <c r="AC23" s="212">
        <f t="shared" si="44"/>
        <v>11557.029999999999</v>
      </c>
      <c r="AD23" s="212">
        <f t="shared" si="44"/>
        <v>29833229.41</v>
      </c>
      <c r="AE23" s="212">
        <f t="shared" si="44"/>
        <v>37611865.730000004</v>
      </c>
      <c r="AF23" s="212">
        <f t="shared" si="44"/>
        <v>47254997.329999998</v>
      </c>
      <c r="AG23" s="212">
        <f t="shared" si="44"/>
        <v>58126276.61999999</v>
      </c>
      <c r="AH23" s="212">
        <f t="shared" si="44"/>
        <v>69424781.539999992</v>
      </c>
      <c r="AI23" s="212">
        <f t="shared" si="44"/>
        <v>72303382.789999992</v>
      </c>
      <c r="AJ23" s="212">
        <f t="shared" si="44"/>
        <v>79823163.599999994</v>
      </c>
      <c r="AK23" s="212">
        <f t="shared" si="44"/>
        <v>87916498.310000002</v>
      </c>
      <c r="AL23" s="212">
        <f t="shared" si="44"/>
        <v>95235734.789999992</v>
      </c>
      <c r="AM23" s="212">
        <f t="shared" si="44"/>
        <v>103571090.07000001</v>
      </c>
      <c r="AN23" s="212">
        <f t="shared" ref="AN23:AV23" si="45">SUM(AN24:AN28)</f>
        <v>109369779</v>
      </c>
      <c r="AO23" s="212">
        <f t="shared" si="45"/>
        <v>5681895.2700000005</v>
      </c>
      <c r="AP23" s="212">
        <f t="shared" si="45"/>
        <v>10481453.049999999</v>
      </c>
      <c r="AQ23" s="212">
        <f t="shared" si="45"/>
        <v>21048532.41</v>
      </c>
      <c r="AR23" s="212">
        <f t="shared" si="45"/>
        <v>29547619.969999999</v>
      </c>
      <c r="AS23" s="212">
        <f t="shared" si="45"/>
        <v>38099140.710000001</v>
      </c>
      <c r="AT23" s="212">
        <f t="shared" si="45"/>
        <v>48541516.909999996</v>
      </c>
      <c r="AU23" s="212">
        <f t="shared" si="45"/>
        <v>61168039.010000005</v>
      </c>
      <c r="AV23" s="212">
        <f t="shared" si="45"/>
        <v>70135826.710000008</v>
      </c>
    </row>
    <row r="24" spans="1:48" ht="15">
      <c r="A24" s="170" t="s">
        <v>73</v>
      </c>
      <c r="B24" s="280">
        <f>5461132+192375+127300</f>
        <v>5780807</v>
      </c>
      <c r="C24" s="292">
        <v>1702</v>
      </c>
      <c r="D24" s="292">
        <v>3752.1</v>
      </c>
      <c r="E24" s="292">
        <v>6141</v>
      </c>
      <c r="F24" s="292">
        <v>12427.9</v>
      </c>
      <c r="G24" s="292">
        <v>14214.6</v>
      </c>
      <c r="H24" s="292">
        <v>16329.7</v>
      </c>
      <c r="I24" s="292">
        <v>22415.8</v>
      </c>
      <c r="J24" s="292">
        <v>24701.8</v>
      </c>
      <c r="K24" s="292">
        <v>26974.9</v>
      </c>
      <c r="L24" s="292">
        <v>28377.200000000001</v>
      </c>
      <c r="M24" s="292">
        <v>31011.4</v>
      </c>
      <c r="N24" s="280">
        <f>22423701+1890459+969721+18680+2077296+32200+3599332+818200</f>
        <v>31829589</v>
      </c>
      <c r="O24" s="292">
        <v>2138.6</v>
      </c>
      <c r="P24" s="292">
        <v>4491.5</v>
      </c>
      <c r="Q24" s="292">
        <v>11730.7</v>
      </c>
      <c r="R24" s="292">
        <v>14274.7</v>
      </c>
      <c r="S24" s="292">
        <v>18170.7</v>
      </c>
      <c r="T24" s="292">
        <v>21148.3</v>
      </c>
      <c r="U24" s="299">
        <v>24084.400000000001</v>
      </c>
      <c r="V24" s="299">
        <v>26668.3</v>
      </c>
      <c r="W24" s="292">
        <v>29258.7</v>
      </c>
      <c r="X24" s="292">
        <v>31829.3</v>
      </c>
      <c r="Y24" s="292">
        <v>34238.699999999997</v>
      </c>
      <c r="Z24" s="292">
        <v>37473.800000000003</v>
      </c>
      <c r="AA24" s="309">
        <v>39627677</v>
      </c>
      <c r="AB24" s="299">
        <v>2620938</v>
      </c>
      <c r="AC24" s="317">
        <v>5201.7</v>
      </c>
      <c r="AD24" s="317">
        <v>13757818.800000001</v>
      </c>
      <c r="AE24" s="317">
        <v>18483484.300000001</v>
      </c>
      <c r="AF24" s="317">
        <v>21461383.800000001</v>
      </c>
      <c r="AG24" s="317">
        <v>24548611.300000001</v>
      </c>
      <c r="AH24" s="317">
        <v>28492715.800000001</v>
      </c>
      <c r="AI24" s="317">
        <v>31715516.300000001</v>
      </c>
      <c r="AJ24" s="317">
        <v>35576163.5</v>
      </c>
      <c r="AK24" s="317">
        <v>38702340</v>
      </c>
      <c r="AL24" s="317">
        <v>42794064.5</v>
      </c>
      <c r="AM24" s="317">
        <v>46791541</v>
      </c>
      <c r="AN24" s="326">
        <v>53961102</v>
      </c>
      <c r="AO24" s="343">
        <v>3086648.5</v>
      </c>
      <c r="AP24" s="345">
        <v>6760836</v>
      </c>
      <c r="AQ24" s="345">
        <v>11247665.5</v>
      </c>
      <c r="AR24" s="343">
        <v>15109860.5</v>
      </c>
      <c r="AS24" s="343">
        <v>19005633.5</v>
      </c>
      <c r="AT24" s="343">
        <v>23909126.899999999</v>
      </c>
      <c r="AU24" s="408">
        <v>27415374.699999999</v>
      </c>
      <c r="AV24" s="410">
        <v>31419809.600000001</v>
      </c>
    </row>
    <row r="25" spans="1:48" ht="15">
      <c r="A25" s="170" t="s">
        <v>74</v>
      </c>
      <c r="B25" s="278">
        <f>133506+438192+683920+1371094</f>
        <v>2626712</v>
      </c>
      <c r="C25" s="292">
        <v>165</v>
      </c>
      <c r="D25" s="292">
        <v>1040.5999999999999</v>
      </c>
      <c r="E25" s="292">
        <v>5565.93</v>
      </c>
      <c r="F25" s="292">
        <v>5715.93</v>
      </c>
      <c r="G25" s="292">
        <v>5985.93</v>
      </c>
      <c r="H25" s="292">
        <v>6315.11</v>
      </c>
      <c r="I25" s="292">
        <v>6709.11</v>
      </c>
      <c r="J25" s="292">
        <v>7378.11</v>
      </c>
      <c r="K25" s="292">
        <v>7714.11</v>
      </c>
      <c r="L25" s="292">
        <v>8165.71</v>
      </c>
      <c r="M25" s="292">
        <v>9210.51</v>
      </c>
      <c r="N25" s="278">
        <f>2243174+2634000+1160217</f>
        <v>6037391</v>
      </c>
      <c r="O25" s="292">
        <v>429.63</v>
      </c>
      <c r="P25" s="292">
        <v>477</v>
      </c>
      <c r="Q25" s="292">
        <v>6036.25</v>
      </c>
      <c r="R25" s="292">
        <v>6232.25</v>
      </c>
      <c r="S25" s="292">
        <v>6588.25</v>
      </c>
      <c r="T25" s="292">
        <v>6814.25</v>
      </c>
      <c r="U25" s="301">
        <v>7121.86</v>
      </c>
      <c r="V25" s="301">
        <v>8391.86</v>
      </c>
      <c r="W25" s="292">
        <v>9086.36</v>
      </c>
      <c r="X25" s="292">
        <v>9329.36</v>
      </c>
      <c r="Y25" s="292">
        <v>10145.91</v>
      </c>
      <c r="Z25" s="292">
        <v>10769.47</v>
      </c>
      <c r="AA25" s="310">
        <v>6427970</v>
      </c>
      <c r="AB25" s="301">
        <v>120000</v>
      </c>
      <c r="AC25" s="318">
        <v>515.29999999999995</v>
      </c>
      <c r="AD25" s="319">
        <v>6421123</v>
      </c>
      <c r="AE25" s="319">
        <v>6829389.7999999998</v>
      </c>
      <c r="AF25" s="319">
        <v>7321847</v>
      </c>
      <c r="AG25" s="319">
        <v>7853647</v>
      </c>
      <c r="AH25" s="319">
        <v>9090640</v>
      </c>
      <c r="AI25" s="319">
        <v>6102737</v>
      </c>
      <c r="AJ25" s="319">
        <v>7506487</v>
      </c>
      <c r="AK25" s="319">
        <v>10081787</v>
      </c>
      <c r="AL25" s="319">
        <v>10400850</v>
      </c>
      <c r="AM25" s="319">
        <v>11314010</v>
      </c>
      <c r="AN25" s="327">
        <v>10121714</v>
      </c>
      <c r="AO25" s="347">
        <v>343800</v>
      </c>
      <c r="AP25" s="349">
        <v>718600</v>
      </c>
      <c r="AQ25" s="349">
        <v>3642301</v>
      </c>
      <c r="AR25" s="347">
        <v>4528076</v>
      </c>
      <c r="AS25" s="347">
        <v>4966076</v>
      </c>
      <c r="AT25" s="347">
        <v>5318076</v>
      </c>
      <c r="AU25" s="412">
        <v>5807076</v>
      </c>
      <c r="AV25" s="414">
        <v>6270278</v>
      </c>
    </row>
    <row r="26" spans="1:48" ht="15">
      <c r="A26" s="170" t="s">
        <v>75</v>
      </c>
      <c r="B26" s="278">
        <f>90080</f>
        <v>90080</v>
      </c>
      <c r="C26" s="292">
        <v>152.86000000000001</v>
      </c>
      <c r="D26" s="292">
        <v>161.36000000000001</v>
      </c>
      <c r="E26" s="292">
        <v>301.16000000000003</v>
      </c>
      <c r="F26" s="292">
        <v>311.16000000000003</v>
      </c>
      <c r="G26" s="292">
        <v>411.16</v>
      </c>
      <c r="H26" s="292">
        <v>501.16</v>
      </c>
      <c r="I26" s="292">
        <v>442.36</v>
      </c>
      <c r="J26" s="292">
        <v>745.36</v>
      </c>
      <c r="K26" s="292">
        <v>785.36</v>
      </c>
      <c r="L26" s="292">
        <v>785.36</v>
      </c>
      <c r="M26" s="292">
        <v>836.79</v>
      </c>
      <c r="N26" s="292">
        <v>0</v>
      </c>
      <c r="O26" s="292">
        <v>246.95</v>
      </c>
      <c r="P26" s="292">
        <v>278.95</v>
      </c>
      <c r="Q26" s="292">
        <v>533.88</v>
      </c>
      <c r="R26" s="292">
        <v>533.88</v>
      </c>
      <c r="S26" s="292">
        <v>563.88</v>
      </c>
      <c r="T26" s="292">
        <v>563.88</v>
      </c>
      <c r="U26" s="300">
        <v>573.88</v>
      </c>
      <c r="V26" s="300">
        <v>965.34</v>
      </c>
      <c r="W26" s="292">
        <v>982.84</v>
      </c>
      <c r="X26" s="292">
        <v>1102.8399999999999</v>
      </c>
      <c r="Y26" s="292">
        <v>1102.8399999999999</v>
      </c>
      <c r="Z26" s="292">
        <v>1703.09</v>
      </c>
      <c r="AA26" s="310">
        <f>532748+763294</f>
        <v>1296042</v>
      </c>
      <c r="AB26" s="301">
        <v>229000</v>
      </c>
      <c r="AC26" s="318">
        <v>617.99</v>
      </c>
      <c r="AD26" s="319">
        <v>1367630</v>
      </c>
      <c r="AE26" s="319">
        <v>1373630</v>
      </c>
      <c r="AF26" s="319">
        <v>4575426</v>
      </c>
      <c r="AG26" s="319">
        <v>8391294.8900000006</v>
      </c>
      <c r="AH26" s="319">
        <v>8460334.8900000006</v>
      </c>
      <c r="AI26" s="319">
        <v>9048734.8900000006</v>
      </c>
      <c r="AJ26" s="319">
        <v>9450984.8900000006</v>
      </c>
      <c r="AK26" s="319">
        <v>9677484.8900000006</v>
      </c>
      <c r="AL26" s="319">
        <v>9682383.8900000006</v>
      </c>
      <c r="AM26" s="319">
        <v>10285883.890000001</v>
      </c>
      <c r="AN26" s="327">
        <v>8306151</v>
      </c>
      <c r="AO26" s="347">
        <v>483060</v>
      </c>
      <c r="AP26" s="349">
        <v>497060</v>
      </c>
      <c r="AQ26" s="349">
        <v>1238690</v>
      </c>
      <c r="AR26" s="347">
        <v>1446690</v>
      </c>
      <c r="AS26" s="347">
        <v>1692330</v>
      </c>
      <c r="AT26" s="347">
        <v>1711330</v>
      </c>
      <c r="AU26" s="412">
        <v>1846330</v>
      </c>
      <c r="AV26" s="414">
        <v>1962480</v>
      </c>
    </row>
    <row r="27" spans="1:48" ht="15">
      <c r="A27" s="170" t="s">
        <v>76</v>
      </c>
      <c r="B27" s="278">
        <f>543202.33</f>
        <v>543202.32999999996</v>
      </c>
      <c r="C27" s="292">
        <v>525.66</v>
      </c>
      <c r="D27" s="292">
        <v>877.45</v>
      </c>
      <c r="E27" s="292">
        <v>1256.96</v>
      </c>
      <c r="F27" s="292">
        <v>1625.23</v>
      </c>
      <c r="G27" s="292">
        <v>2017.17</v>
      </c>
      <c r="H27" s="292">
        <v>2559.1799999999998</v>
      </c>
      <c r="I27" s="292">
        <v>4050.65</v>
      </c>
      <c r="J27" s="292">
        <v>4633.13</v>
      </c>
      <c r="K27" s="292">
        <v>5233.68</v>
      </c>
      <c r="L27" s="292">
        <v>5769.53</v>
      </c>
      <c r="M27" s="292">
        <v>6106.93</v>
      </c>
      <c r="N27" s="292">
        <v>0</v>
      </c>
      <c r="O27" s="292">
        <v>319.17</v>
      </c>
      <c r="P27" s="292">
        <v>606.37</v>
      </c>
      <c r="Q27" s="292">
        <v>923.17</v>
      </c>
      <c r="R27" s="292">
        <v>1228.6099999999999</v>
      </c>
      <c r="S27" s="292">
        <v>1543.05</v>
      </c>
      <c r="T27" s="292">
        <v>1798.93</v>
      </c>
      <c r="U27" s="301">
        <v>2128.09</v>
      </c>
      <c r="V27" s="301">
        <v>2785.02</v>
      </c>
      <c r="W27" s="292">
        <v>3136.42</v>
      </c>
      <c r="X27" s="292">
        <v>3765.77</v>
      </c>
      <c r="Y27" s="292">
        <v>4141.51</v>
      </c>
      <c r="Z27" s="292">
        <v>4528.76</v>
      </c>
      <c r="AA27" s="310">
        <f>320927+4207829</f>
        <v>4528756</v>
      </c>
      <c r="AB27" s="301">
        <v>358210.84</v>
      </c>
      <c r="AC27" s="318">
        <v>680.89</v>
      </c>
      <c r="AD27" s="319">
        <v>1037211.91</v>
      </c>
      <c r="AE27" s="319">
        <v>1372815.24</v>
      </c>
      <c r="AF27" s="319">
        <v>1743849.09</v>
      </c>
      <c r="AG27" s="319">
        <v>2106710.48</v>
      </c>
      <c r="AH27" s="319">
        <v>2480764.2999999998</v>
      </c>
      <c r="AI27" s="319">
        <v>2807748.18</v>
      </c>
      <c r="AJ27" s="319">
        <v>3168741.08</v>
      </c>
      <c r="AK27" s="319">
        <v>3665171.32</v>
      </c>
      <c r="AL27" s="319">
        <v>4636658.16</v>
      </c>
      <c r="AM27" s="319">
        <v>5337679.17</v>
      </c>
      <c r="AN27" s="327">
        <v>5337678</v>
      </c>
      <c r="AO27" s="347">
        <v>543761.19999999995</v>
      </c>
      <c r="AP27" s="349">
        <v>1034181.87</v>
      </c>
      <c r="AQ27" s="349">
        <v>1612792.91</v>
      </c>
      <c r="AR27" s="347">
        <v>2172680.83</v>
      </c>
      <c r="AS27" s="347">
        <v>2802398.3</v>
      </c>
      <c r="AT27" s="347">
        <v>3501761.44</v>
      </c>
      <c r="AU27" s="412">
        <v>4231605.43</v>
      </c>
      <c r="AV27" s="414">
        <v>4960686.92</v>
      </c>
    </row>
    <row r="28" spans="1:48" ht="15">
      <c r="A28" s="170" t="s">
        <v>77</v>
      </c>
      <c r="B28" s="278">
        <f>49200+61443+67825+177326+79656+59878+190056.14+30096+50000+85000+137100+427336+143797+15000+53172.19+1793226+29000+259063.86+47571+1260000</f>
        <v>5015746.1899999995</v>
      </c>
      <c r="C28" s="292">
        <v>2304.2199999999998</v>
      </c>
      <c r="D28" s="292">
        <v>3428.29</v>
      </c>
      <c r="E28" s="292">
        <v>5430.14</v>
      </c>
      <c r="F28" s="292">
        <v>6643.62</v>
      </c>
      <c r="G28" s="292">
        <v>7837.55</v>
      </c>
      <c r="H28" s="292">
        <v>9140.81</v>
      </c>
      <c r="I28" s="292">
        <v>14688.46</v>
      </c>
      <c r="J28" s="292">
        <v>15707.73</v>
      </c>
      <c r="K28" s="292">
        <v>18103.23</v>
      </c>
      <c r="L28" s="292">
        <v>18686.759999999998</v>
      </c>
      <c r="M28" s="292">
        <v>23089.71</v>
      </c>
      <c r="N28" s="278">
        <f>30429990</f>
        <v>30429990</v>
      </c>
      <c r="O28" s="292">
        <v>2065.75</v>
      </c>
      <c r="P28" s="292">
        <v>3975.29</v>
      </c>
      <c r="Q28" s="292">
        <v>6791.22</v>
      </c>
      <c r="R28" s="292">
        <v>7535.88</v>
      </c>
      <c r="S28" s="292">
        <v>10816.43</v>
      </c>
      <c r="T28" s="292">
        <v>12151.47</v>
      </c>
      <c r="U28" s="301">
        <v>17487.64</v>
      </c>
      <c r="V28" s="301">
        <v>18080.009999999998</v>
      </c>
      <c r="W28" s="292">
        <v>19067.96</v>
      </c>
      <c r="X28" s="292">
        <v>20988.86</v>
      </c>
      <c r="Y28" s="292">
        <v>22961.15</v>
      </c>
      <c r="Z28" s="292">
        <v>25359.78</v>
      </c>
      <c r="AA28" s="310">
        <f>31314924-AA27-AA26</f>
        <v>25490126</v>
      </c>
      <c r="AB28" s="301">
        <v>2241391.7999999998</v>
      </c>
      <c r="AC28" s="319">
        <v>4541.1499999999996</v>
      </c>
      <c r="AD28" s="319">
        <v>7249445.7000000002</v>
      </c>
      <c r="AE28" s="319">
        <v>9552546.3900000006</v>
      </c>
      <c r="AF28" s="319">
        <v>12152491.439999999</v>
      </c>
      <c r="AG28" s="319">
        <v>15226012.949999999</v>
      </c>
      <c r="AH28" s="319">
        <v>20900326.550000001</v>
      </c>
      <c r="AI28" s="319">
        <v>22628646.420000002</v>
      </c>
      <c r="AJ28" s="319">
        <v>24120787.129999999</v>
      </c>
      <c r="AK28" s="319">
        <v>25789715.100000001</v>
      </c>
      <c r="AL28" s="319">
        <v>27721778.239999998</v>
      </c>
      <c r="AM28" s="319">
        <v>29841976.010000002</v>
      </c>
      <c r="AN28" s="327">
        <f>39949285-AN26</f>
        <v>31643134</v>
      </c>
      <c r="AO28" s="347">
        <v>1224625.57</v>
      </c>
      <c r="AP28" s="349">
        <v>1470775.18</v>
      </c>
      <c r="AQ28" s="349">
        <v>3307083</v>
      </c>
      <c r="AR28" s="347">
        <v>6290312.6399999997</v>
      </c>
      <c r="AS28" s="347">
        <v>9632702.9100000001</v>
      </c>
      <c r="AT28" s="347">
        <v>14101222.57</v>
      </c>
      <c r="AU28" s="412">
        <v>21867652.879999999</v>
      </c>
      <c r="AV28" s="414">
        <v>25522572.190000001</v>
      </c>
    </row>
    <row r="29" spans="1:48" ht="15.75">
      <c r="A29" s="169" t="s">
        <v>78</v>
      </c>
      <c r="B29" s="212">
        <f t="shared" ref="B29:N29" si="46">B19-B20-B23</f>
        <v>36251.480000000447</v>
      </c>
      <c r="C29" s="212">
        <f t="shared" si="46"/>
        <v>-929.1299999999992</v>
      </c>
      <c r="D29" s="212">
        <f t="shared" si="46"/>
        <v>16583.579999999998</v>
      </c>
      <c r="E29" s="212">
        <f t="shared" si="46"/>
        <v>10631.970000000008</v>
      </c>
      <c r="F29" s="212">
        <f t="shared" si="46"/>
        <v>58625.489999999991</v>
      </c>
      <c r="G29" s="212">
        <f t="shared" si="46"/>
        <v>102430.43</v>
      </c>
      <c r="H29" s="212">
        <f t="shared" si="46"/>
        <v>56449.779999999992</v>
      </c>
      <c r="I29" s="212">
        <f t="shared" si="46"/>
        <v>67717.819999999978</v>
      </c>
      <c r="J29" s="212">
        <f t="shared" si="46"/>
        <v>76242.35000000002</v>
      </c>
      <c r="K29" s="212">
        <f t="shared" si="46"/>
        <v>87325.84</v>
      </c>
      <c r="L29" s="212">
        <f t="shared" si="46"/>
        <v>81803.879999999946</v>
      </c>
      <c r="M29" s="212">
        <f t="shared" si="46"/>
        <v>110537.62000000002</v>
      </c>
      <c r="N29" s="212">
        <f t="shared" si="46"/>
        <v>166657163</v>
      </c>
      <c r="O29" s="212">
        <f t="shared" ref="O29:T29" si="47">O19-O20-O23</f>
        <v>-13751.509999999997</v>
      </c>
      <c r="P29" s="212">
        <f t="shared" si="47"/>
        <v>-25718.570000000007</v>
      </c>
      <c r="Q29" s="212">
        <f t="shared" si="47"/>
        <v>-12777.239999999991</v>
      </c>
      <c r="R29" s="212">
        <f t="shared" si="47"/>
        <v>36515.320000000007</v>
      </c>
      <c r="S29" s="212">
        <f t="shared" si="47"/>
        <v>37077.680000000022</v>
      </c>
      <c r="T29" s="212">
        <f t="shared" si="47"/>
        <v>63723.460000000006</v>
      </c>
      <c r="U29" s="212">
        <f t="shared" ref="U29:V29" si="48">U19-U20-U23</f>
        <v>35242.539999999943</v>
      </c>
      <c r="V29" s="212">
        <f t="shared" si="48"/>
        <v>25206.789999999979</v>
      </c>
      <c r="W29" s="212">
        <f t="shared" ref="W29:AA29" si="49">W19-W20-W23</f>
        <v>77640.810000000027</v>
      </c>
      <c r="X29" s="212">
        <f t="shared" si="49"/>
        <v>83940.84</v>
      </c>
      <c r="Y29" s="212">
        <f t="shared" si="49"/>
        <v>94579.229999999967</v>
      </c>
      <c r="Z29" s="212">
        <f t="shared" si="49"/>
        <v>126955.32999999993</v>
      </c>
      <c r="AA29" s="212">
        <f t="shared" si="49"/>
        <v>-169544627.28999999</v>
      </c>
      <c r="AB29" s="212">
        <f t="shared" ref="AB29:AM29" si="50">AB19-AB20-AB23</f>
        <v>15529500.329999998</v>
      </c>
      <c r="AC29" s="212">
        <f t="shared" si="50"/>
        <v>16361.250000000007</v>
      </c>
      <c r="AD29" s="212">
        <f t="shared" si="50"/>
        <v>6339279.4400000013</v>
      </c>
      <c r="AE29" s="212">
        <f t="shared" si="50"/>
        <v>5871320.0600000098</v>
      </c>
      <c r="AF29" s="212">
        <f t="shared" si="50"/>
        <v>-2066494.2899999842</v>
      </c>
      <c r="AG29" s="212">
        <f t="shared" si="50"/>
        <v>43633197.950000003</v>
      </c>
      <c r="AH29" s="212">
        <f t="shared" si="50"/>
        <v>37091552.660000071</v>
      </c>
      <c r="AI29" s="212">
        <f t="shared" si="50"/>
        <v>43141259.349999994</v>
      </c>
      <c r="AJ29" s="212">
        <f t="shared" si="50"/>
        <v>48515771.460000098</v>
      </c>
      <c r="AK29" s="212">
        <f t="shared" si="50"/>
        <v>46993755.060000032</v>
      </c>
      <c r="AL29" s="212">
        <f t="shared" si="50"/>
        <v>42563465.650000036</v>
      </c>
      <c r="AM29" s="212">
        <f t="shared" si="50"/>
        <v>105546613.59000014</v>
      </c>
      <c r="AN29" s="212">
        <f t="shared" ref="AN29:AT29" si="51">AN19-AN20-AN23</f>
        <v>144105215</v>
      </c>
      <c r="AO29" s="212">
        <f t="shared" si="51"/>
        <v>12122.879999999888</v>
      </c>
      <c r="AP29" s="212">
        <f t="shared" si="51"/>
        <v>6518888.0099999961</v>
      </c>
      <c r="AQ29" s="212">
        <f t="shared" si="51"/>
        <v>23907360.060000014</v>
      </c>
      <c r="AR29" s="212">
        <f t="shared" si="51"/>
        <v>24144810.649999991</v>
      </c>
      <c r="AS29" s="212">
        <f t="shared" si="51"/>
        <v>28192040.849999957</v>
      </c>
      <c r="AT29" s="212">
        <f t="shared" si="51"/>
        <v>82080066.959999993</v>
      </c>
      <c r="AU29" s="212">
        <f t="shared" ref="AU29:AV29" si="52">AU19-AU20-AU23</f>
        <v>77451671.409999982</v>
      </c>
      <c r="AV29" s="212">
        <f t="shared" si="52"/>
        <v>77160420.820000023</v>
      </c>
    </row>
    <row r="30" spans="1:48" ht="15.75">
      <c r="A30" s="169" t="s">
        <v>79</v>
      </c>
      <c r="B30" s="212">
        <f t="shared" ref="B30:N30" si="53">B31-B32</f>
        <v>0</v>
      </c>
      <c r="C30" s="212">
        <f t="shared" si="53"/>
        <v>0</v>
      </c>
      <c r="D30" s="212">
        <f t="shared" si="53"/>
        <v>0</v>
      </c>
      <c r="E30" s="212">
        <f t="shared" si="53"/>
        <v>0</v>
      </c>
      <c r="F30" s="212">
        <f t="shared" si="53"/>
        <v>0</v>
      </c>
      <c r="G30" s="212">
        <f t="shared" si="53"/>
        <v>0</v>
      </c>
      <c r="H30" s="212">
        <f t="shared" si="53"/>
        <v>0</v>
      </c>
      <c r="I30" s="212">
        <f t="shared" si="53"/>
        <v>0</v>
      </c>
      <c r="J30" s="212">
        <f t="shared" si="53"/>
        <v>0</v>
      </c>
      <c r="K30" s="212">
        <f t="shared" si="53"/>
        <v>0</v>
      </c>
      <c r="L30" s="212">
        <f t="shared" si="53"/>
        <v>0</v>
      </c>
      <c r="M30" s="212">
        <f t="shared" si="53"/>
        <v>0</v>
      </c>
      <c r="N30" s="212">
        <f t="shared" si="53"/>
        <v>0</v>
      </c>
      <c r="O30" s="212">
        <f t="shared" ref="O30:T30" si="54">O31-O32</f>
        <v>0</v>
      </c>
      <c r="P30" s="212">
        <f t="shared" si="54"/>
        <v>0</v>
      </c>
      <c r="Q30" s="212">
        <f t="shared" si="54"/>
        <v>0</v>
      </c>
      <c r="R30" s="212">
        <f t="shared" si="54"/>
        <v>0</v>
      </c>
      <c r="S30" s="212">
        <f t="shared" si="54"/>
        <v>0</v>
      </c>
      <c r="T30" s="212">
        <f t="shared" si="54"/>
        <v>0</v>
      </c>
      <c r="U30" s="212">
        <f t="shared" ref="U30:V30" si="55">U31-U32</f>
        <v>0</v>
      </c>
      <c r="V30" s="212">
        <f t="shared" si="55"/>
        <v>0</v>
      </c>
      <c r="W30" s="212">
        <f t="shared" ref="W30:AA30" si="56">W31-W32</f>
        <v>0</v>
      </c>
      <c r="X30" s="212">
        <f t="shared" si="56"/>
        <v>0</v>
      </c>
      <c r="Y30" s="212">
        <f t="shared" si="56"/>
        <v>0</v>
      </c>
      <c r="Z30" s="212">
        <f t="shared" si="56"/>
        <v>0</v>
      </c>
      <c r="AA30" s="212">
        <f t="shared" si="56"/>
        <v>0</v>
      </c>
      <c r="AB30" s="212">
        <f t="shared" ref="AB30:AM30" si="57">AB31-AB32</f>
        <v>0</v>
      </c>
      <c r="AC30" s="212">
        <f t="shared" si="57"/>
        <v>0</v>
      </c>
      <c r="AD30" s="212">
        <f t="shared" si="57"/>
        <v>0</v>
      </c>
      <c r="AE30" s="212">
        <f t="shared" si="57"/>
        <v>0</v>
      </c>
      <c r="AF30" s="212">
        <f t="shared" si="57"/>
        <v>0</v>
      </c>
      <c r="AG30" s="212">
        <f t="shared" si="57"/>
        <v>0</v>
      </c>
      <c r="AH30" s="212">
        <f t="shared" si="57"/>
        <v>0</v>
      </c>
      <c r="AI30" s="212">
        <f t="shared" si="57"/>
        <v>0</v>
      </c>
      <c r="AJ30" s="212">
        <f t="shared" si="57"/>
        <v>0</v>
      </c>
      <c r="AK30" s="212">
        <f t="shared" si="57"/>
        <v>0</v>
      </c>
      <c r="AL30" s="212">
        <f t="shared" si="57"/>
        <v>0</v>
      </c>
      <c r="AM30" s="212">
        <f t="shared" si="57"/>
        <v>0</v>
      </c>
      <c r="AN30" s="212">
        <f t="shared" ref="AN30:AT30" si="58">AN31-AN32</f>
        <v>0</v>
      </c>
      <c r="AO30" s="212">
        <f t="shared" si="58"/>
        <v>0</v>
      </c>
      <c r="AP30" s="212">
        <f t="shared" si="58"/>
        <v>0</v>
      </c>
      <c r="AQ30" s="212">
        <f t="shared" si="58"/>
        <v>0</v>
      </c>
      <c r="AR30" s="212">
        <f t="shared" si="58"/>
        <v>0</v>
      </c>
      <c r="AS30" s="212">
        <f t="shared" si="58"/>
        <v>0</v>
      </c>
      <c r="AT30" s="212">
        <f t="shared" si="58"/>
        <v>0</v>
      </c>
      <c r="AU30" s="212">
        <f t="shared" ref="AU30:AV30" si="59">AU31-AU32</f>
        <v>0</v>
      </c>
      <c r="AV30" s="212">
        <f t="shared" si="59"/>
        <v>0</v>
      </c>
    </row>
    <row r="31" spans="1:48" ht="15">
      <c r="A31" s="170" t="s">
        <v>80</v>
      </c>
      <c r="B31" s="292"/>
      <c r="C31" s="292">
        <v>0</v>
      </c>
      <c r="D31" s="292">
        <v>0</v>
      </c>
      <c r="E31" s="292">
        <v>0</v>
      </c>
      <c r="F31" s="292">
        <v>0</v>
      </c>
      <c r="G31" s="292">
        <v>0</v>
      </c>
      <c r="H31" s="292">
        <v>0</v>
      </c>
      <c r="I31" s="292">
        <v>0</v>
      </c>
      <c r="J31" s="292">
        <v>0</v>
      </c>
      <c r="K31" s="292">
        <v>0</v>
      </c>
      <c r="L31" s="292">
        <v>0</v>
      </c>
      <c r="M31" s="292">
        <v>0</v>
      </c>
      <c r="N31" s="292">
        <v>0</v>
      </c>
      <c r="O31" s="292">
        <v>0</v>
      </c>
      <c r="P31" s="292">
        <v>0</v>
      </c>
      <c r="Q31" s="292">
        <v>0</v>
      </c>
      <c r="R31" s="292">
        <v>0</v>
      </c>
      <c r="S31" s="292">
        <v>0</v>
      </c>
      <c r="T31" s="292">
        <v>0</v>
      </c>
      <c r="U31" s="298">
        <v>0</v>
      </c>
      <c r="V31" s="298">
        <v>0</v>
      </c>
      <c r="W31" s="298">
        <v>0</v>
      </c>
      <c r="X31" s="298">
        <v>0</v>
      </c>
      <c r="Y31" s="298">
        <v>0</v>
      </c>
      <c r="Z31" s="298">
        <v>0</v>
      </c>
      <c r="AA31" s="309">
        <v>0</v>
      </c>
      <c r="AB31" s="309">
        <v>0</v>
      </c>
      <c r="AC31" s="309">
        <v>0</v>
      </c>
      <c r="AD31" s="309">
        <v>0</v>
      </c>
      <c r="AE31" s="309">
        <v>0</v>
      </c>
      <c r="AF31" s="309">
        <v>0</v>
      </c>
      <c r="AG31" s="309">
        <v>0</v>
      </c>
      <c r="AH31" s="309">
        <v>0</v>
      </c>
      <c r="AI31" s="309">
        <v>0</v>
      </c>
      <c r="AJ31" s="309">
        <v>0</v>
      </c>
      <c r="AK31" s="309">
        <v>0</v>
      </c>
      <c r="AL31" s="309">
        <v>0</v>
      </c>
      <c r="AM31" s="309">
        <v>0</v>
      </c>
      <c r="AN31" s="309">
        <v>0</v>
      </c>
      <c r="AO31" s="342">
        <v>0</v>
      </c>
      <c r="AP31" s="344">
        <v>0</v>
      </c>
      <c r="AQ31" s="344">
        <v>0</v>
      </c>
      <c r="AR31" s="342">
        <v>0</v>
      </c>
      <c r="AS31" s="342">
        <v>0</v>
      </c>
      <c r="AT31" s="342">
        <v>0</v>
      </c>
      <c r="AU31" s="407">
        <v>0</v>
      </c>
      <c r="AV31" s="409">
        <v>0</v>
      </c>
    </row>
    <row r="32" spans="1:48" ht="15">
      <c r="A32" s="170" t="s">
        <v>81</v>
      </c>
      <c r="B32" s="292"/>
      <c r="C32" s="292">
        <v>0</v>
      </c>
      <c r="D32" s="292">
        <v>0</v>
      </c>
      <c r="E32" s="292">
        <v>0</v>
      </c>
      <c r="F32" s="292">
        <v>0</v>
      </c>
      <c r="G32" s="292">
        <v>0</v>
      </c>
      <c r="H32" s="292">
        <v>0</v>
      </c>
      <c r="I32" s="292">
        <v>0</v>
      </c>
      <c r="J32" s="292">
        <v>0</v>
      </c>
      <c r="K32" s="292">
        <v>0</v>
      </c>
      <c r="L32" s="292">
        <v>0</v>
      </c>
      <c r="M32" s="292">
        <v>0</v>
      </c>
      <c r="N32" s="292">
        <v>0</v>
      </c>
      <c r="O32" s="292">
        <v>0</v>
      </c>
      <c r="P32" s="292">
        <v>0</v>
      </c>
      <c r="Q32" s="292">
        <v>0</v>
      </c>
      <c r="R32" s="292">
        <v>0</v>
      </c>
      <c r="S32" s="292">
        <v>0</v>
      </c>
      <c r="T32" s="292">
        <v>0</v>
      </c>
      <c r="U32" s="300">
        <v>0</v>
      </c>
      <c r="V32" s="300">
        <v>0</v>
      </c>
      <c r="W32" s="300">
        <v>0</v>
      </c>
      <c r="X32" s="300">
        <v>0</v>
      </c>
      <c r="Y32" s="300">
        <v>0</v>
      </c>
      <c r="Z32" s="300">
        <v>0</v>
      </c>
      <c r="AA32" s="310">
        <v>0</v>
      </c>
      <c r="AB32" s="310">
        <v>0</v>
      </c>
      <c r="AC32" s="310">
        <v>0</v>
      </c>
      <c r="AD32" s="310">
        <v>0</v>
      </c>
      <c r="AE32" s="310">
        <v>0</v>
      </c>
      <c r="AF32" s="310">
        <v>0</v>
      </c>
      <c r="AG32" s="310">
        <v>0</v>
      </c>
      <c r="AH32" s="310">
        <v>0</v>
      </c>
      <c r="AI32" s="310">
        <v>0</v>
      </c>
      <c r="AJ32" s="310">
        <v>0</v>
      </c>
      <c r="AK32" s="310">
        <v>0</v>
      </c>
      <c r="AL32" s="310">
        <v>0</v>
      </c>
      <c r="AM32" s="310">
        <v>0</v>
      </c>
      <c r="AN32" s="310">
        <v>0</v>
      </c>
      <c r="AO32" s="346">
        <v>0</v>
      </c>
      <c r="AP32" s="348">
        <v>0</v>
      </c>
      <c r="AQ32" s="348">
        <v>0</v>
      </c>
      <c r="AR32" s="346">
        <v>0</v>
      </c>
      <c r="AS32" s="346">
        <v>0</v>
      </c>
      <c r="AT32" s="346">
        <v>0</v>
      </c>
      <c r="AU32" s="411">
        <v>0</v>
      </c>
      <c r="AV32" s="413">
        <v>0</v>
      </c>
    </row>
    <row r="33" spans="1:48" ht="15.75">
      <c r="A33" s="171" t="s">
        <v>82</v>
      </c>
      <c r="B33" s="218">
        <f>B29+B30</f>
        <v>36251.480000000447</v>
      </c>
      <c r="C33" s="218">
        <f t="shared" ref="C33:J33" si="60">C29+C30</f>
        <v>-929.1299999999992</v>
      </c>
      <c r="D33" s="218">
        <f t="shared" si="60"/>
        <v>16583.579999999998</v>
      </c>
      <c r="E33" s="218">
        <f t="shared" si="60"/>
        <v>10631.970000000008</v>
      </c>
      <c r="F33" s="218">
        <f t="shared" si="60"/>
        <v>58625.489999999991</v>
      </c>
      <c r="G33" s="218">
        <f t="shared" si="60"/>
        <v>102430.43</v>
      </c>
      <c r="H33" s="218">
        <f t="shared" si="60"/>
        <v>56449.779999999992</v>
      </c>
      <c r="I33" s="218">
        <f t="shared" si="60"/>
        <v>67717.819999999978</v>
      </c>
      <c r="J33" s="218">
        <f t="shared" si="60"/>
        <v>76242.35000000002</v>
      </c>
      <c r="K33" s="218">
        <f t="shared" ref="K33:Q33" si="61">K29+K30</f>
        <v>87325.84</v>
      </c>
      <c r="L33" s="218">
        <f t="shared" si="61"/>
        <v>81803.879999999946</v>
      </c>
      <c r="M33" s="218">
        <f t="shared" si="61"/>
        <v>110537.62000000002</v>
      </c>
      <c r="N33" s="218">
        <f t="shared" si="61"/>
        <v>166657163</v>
      </c>
      <c r="O33" s="218">
        <f t="shared" si="61"/>
        <v>-13751.509999999997</v>
      </c>
      <c r="P33" s="218">
        <f t="shared" si="61"/>
        <v>-25718.570000000007</v>
      </c>
      <c r="Q33" s="218">
        <f t="shared" si="61"/>
        <v>-12777.239999999991</v>
      </c>
      <c r="R33" s="218">
        <f t="shared" ref="R33:W33" si="62">R29+R30</f>
        <v>36515.320000000007</v>
      </c>
      <c r="S33" s="218">
        <f t="shared" si="62"/>
        <v>37077.680000000022</v>
      </c>
      <c r="T33" s="218">
        <f t="shared" si="62"/>
        <v>63723.460000000006</v>
      </c>
      <c r="U33" s="218">
        <f t="shared" si="62"/>
        <v>35242.539999999943</v>
      </c>
      <c r="V33" s="218">
        <f t="shared" si="62"/>
        <v>25206.789999999979</v>
      </c>
      <c r="W33" s="218">
        <f t="shared" si="62"/>
        <v>77640.810000000027</v>
      </c>
      <c r="X33" s="218">
        <f t="shared" ref="X33:AA33" si="63">X29+X30</f>
        <v>83940.84</v>
      </c>
      <c r="Y33" s="218">
        <f t="shared" si="63"/>
        <v>94579.229999999967</v>
      </c>
      <c r="Z33" s="218">
        <f t="shared" si="63"/>
        <v>126955.32999999993</v>
      </c>
      <c r="AA33" s="218">
        <f t="shared" si="63"/>
        <v>-169544627.28999999</v>
      </c>
      <c r="AB33" s="218">
        <f t="shared" ref="AB33:AM33" si="64">AB29+AB30</f>
        <v>15529500.329999998</v>
      </c>
      <c r="AC33" s="218">
        <f t="shared" si="64"/>
        <v>16361.250000000007</v>
      </c>
      <c r="AD33" s="218">
        <f t="shared" si="64"/>
        <v>6339279.4400000013</v>
      </c>
      <c r="AE33" s="218">
        <f t="shared" si="64"/>
        <v>5871320.0600000098</v>
      </c>
      <c r="AF33" s="218">
        <f t="shared" si="64"/>
        <v>-2066494.2899999842</v>
      </c>
      <c r="AG33" s="218">
        <f t="shared" si="64"/>
        <v>43633197.950000003</v>
      </c>
      <c r="AH33" s="218">
        <f t="shared" si="64"/>
        <v>37091552.660000071</v>
      </c>
      <c r="AI33" s="218">
        <f t="shared" si="64"/>
        <v>43141259.349999994</v>
      </c>
      <c r="AJ33" s="218">
        <f t="shared" si="64"/>
        <v>48515771.460000098</v>
      </c>
      <c r="AK33" s="218">
        <f t="shared" si="64"/>
        <v>46993755.060000032</v>
      </c>
      <c r="AL33" s="218">
        <f t="shared" si="64"/>
        <v>42563465.650000036</v>
      </c>
      <c r="AM33" s="218">
        <f t="shared" si="64"/>
        <v>105546613.59000014</v>
      </c>
      <c r="AN33" s="218">
        <f t="shared" ref="AN33:AV33" si="65">AN29+AN30</f>
        <v>144105215</v>
      </c>
      <c r="AO33" s="218">
        <f t="shared" si="65"/>
        <v>12122.879999999888</v>
      </c>
      <c r="AP33" s="218">
        <f t="shared" si="65"/>
        <v>6518888.0099999961</v>
      </c>
      <c r="AQ33" s="218">
        <f t="shared" si="65"/>
        <v>23907360.060000014</v>
      </c>
      <c r="AR33" s="218">
        <f t="shared" si="65"/>
        <v>24144810.649999991</v>
      </c>
      <c r="AS33" s="218">
        <f t="shared" si="65"/>
        <v>28192040.849999957</v>
      </c>
      <c r="AT33" s="218">
        <f t="shared" si="65"/>
        <v>82080066.959999993</v>
      </c>
      <c r="AU33" s="218">
        <f t="shared" si="65"/>
        <v>77451671.409999982</v>
      </c>
      <c r="AV33" s="218">
        <f t="shared" si="65"/>
        <v>77160420.820000023</v>
      </c>
    </row>
    <row r="34" spans="1:48" ht="14.25">
      <c r="A34" s="170" t="s">
        <v>83</v>
      </c>
      <c r="B34" s="280">
        <v>14602</v>
      </c>
      <c r="C34" s="292">
        <v>0</v>
      </c>
      <c r="D34" s="292">
        <v>0</v>
      </c>
      <c r="E34" s="292">
        <v>0</v>
      </c>
      <c r="F34" s="292">
        <v>0</v>
      </c>
      <c r="G34" s="292">
        <v>0</v>
      </c>
      <c r="H34" s="292">
        <v>0</v>
      </c>
      <c r="I34" s="292">
        <v>0</v>
      </c>
      <c r="J34" s="292">
        <v>0</v>
      </c>
      <c r="K34" s="292">
        <v>0</v>
      </c>
      <c r="L34" s="292">
        <v>0</v>
      </c>
      <c r="M34" s="292">
        <v>0</v>
      </c>
      <c r="N34" s="280">
        <v>8797271</v>
      </c>
      <c r="O34" s="292">
        <v>0</v>
      </c>
      <c r="P34" s="292">
        <v>0</v>
      </c>
      <c r="Q34" s="292">
        <v>0</v>
      </c>
      <c r="R34" s="292">
        <v>0</v>
      </c>
      <c r="S34" s="292">
        <v>0</v>
      </c>
      <c r="T34" s="292">
        <v>0</v>
      </c>
      <c r="U34" s="298">
        <v>0</v>
      </c>
      <c r="V34" s="298">
        <v>0</v>
      </c>
      <c r="W34" s="298"/>
      <c r="X34" s="298"/>
      <c r="Y34" s="298"/>
      <c r="Z34" s="298"/>
      <c r="AA34" s="309">
        <v>11661643</v>
      </c>
      <c r="AB34" s="309">
        <v>0</v>
      </c>
      <c r="AC34" s="309">
        <v>0</v>
      </c>
      <c r="AD34" s="309">
        <v>0</v>
      </c>
      <c r="AE34" s="309">
        <v>0</v>
      </c>
      <c r="AF34" s="309">
        <v>0</v>
      </c>
      <c r="AG34" s="309">
        <v>0</v>
      </c>
      <c r="AH34" s="309">
        <v>0</v>
      </c>
      <c r="AI34" s="309">
        <v>0</v>
      </c>
      <c r="AJ34" s="309">
        <v>0</v>
      </c>
      <c r="AK34" s="309">
        <v>0</v>
      </c>
      <c r="AL34" s="309">
        <v>0</v>
      </c>
      <c r="AM34" s="309">
        <v>0</v>
      </c>
      <c r="AN34" s="309">
        <v>22441722</v>
      </c>
      <c r="AO34" s="342">
        <v>0</v>
      </c>
      <c r="AP34" s="344">
        <v>0</v>
      </c>
      <c r="AQ34" s="344">
        <v>0</v>
      </c>
      <c r="AR34">
        <v>0</v>
      </c>
      <c r="AS34">
        <v>0</v>
      </c>
      <c r="AT34" s="342">
        <v>0</v>
      </c>
      <c r="AU34" s="407">
        <v>0</v>
      </c>
      <c r="AV34" s="409">
        <v>0</v>
      </c>
    </row>
    <row r="35" spans="1:48" ht="15.75">
      <c r="A35" s="169" t="s">
        <v>84</v>
      </c>
      <c r="B35" s="212">
        <f t="shared" ref="B35:N35" si="66">B33-B34</f>
        <v>21649.480000000447</v>
      </c>
      <c r="C35" s="212">
        <f t="shared" si="66"/>
        <v>-929.1299999999992</v>
      </c>
      <c r="D35" s="212">
        <f t="shared" si="66"/>
        <v>16583.579999999998</v>
      </c>
      <c r="E35" s="212">
        <f t="shared" si="66"/>
        <v>10631.970000000008</v>
      </c>
      <c r="F35" s="212">
        <f t="shared" si="66"/>
        <v>58625.489999999991</v>
      </c>
      <c r="G35" s="212">
        <f t="shared" si="66"/>
        <v>102430.43</v>
      </c>
      <c r="H35" s="212">
        <f t="shared" si="66"/>
        <v>56449.779999999992</v>
      </c>
      <c r="I35" s="212">
        <f t="shared" si="66"/>
        <v>67717.819999999978</v>
      </c>
      <c r="J35" s="212">
        <f t="shared" si="66"/>
        <v>76242.35000000002</v>
      </c>
      <c r="K35" s="212">
        <f t="shared" si="66"/>
        <v>87325.84</v>
      </c>
      <c r="L35" s="212">
        <f t="shared" si="66"/>
        <v>81803.879999999946</v>
      </c>
      <c r="M35" s="212">
        <f t="shared" si="66"/>
        <v>110537.62000000002</v>
      </c>
      <c r="N35" s="212">
        <f t="shared" si="66"/>
        <v>157859892</v>
      </c>
      <c r="O35" s="212">
        <f t="shared" ref="O35:T35" si="67">O33-O34</f>
        <v>-13751.509999999997</v>
      </c>
      <c r="P35" s="212">
        <f t="shared" si="67"/>
        <v>-25718.570000000007</v>
      </c>
      <c r="Q35" s="212">
        <f t="shared" si="67"/>
        <v>-12777.239999999991</v>
      </c>
      <c r="R35" s="212">
        <f t="shared" si="67"/>
        <v>36515.320000000007</v>
      </c>
      <c r="S35" s="212">
        <f t="shared" si="67"/>
        <v>37077.680000000022</v>
      </c>
      <c r="T35" s="212">
        <f t="shared" si="67"/>
        <v>63723.460000000006</v>
      </c>
      <c r="U35" s="212">
        <f t="shared" ref="U35:V35" si="68">U33-U34</f>
        <v>35242.539999999943</v>
      </c>
      <c r="V35" s="212">
        <f t="shared" si="68"/>
        <v>25206.789999999979</v>
      </c>
      <c r="W35" s="212">
        <f t="shared" ref="W35:AA35" si="69">W33-W34</f>
        <v>77640.810000000027</v>
      </c>
      <c r="X35" s="212">
        <f t="shared" si="69"/>
        <v>83940.84</v>
      </c>
      <c r="Y35" s="212">
        <f t="shared" si="69"/>
        <v>94579.229999999967</v>
      </c>
      <c r="Z35" s="212">
        <f t="shared" si="69"/>
        <v>126955.32999999993</v>
      </c>
      <c r="AA35" s="212">
        <f t="shared" si="69"/>
        <v>-181206270.28999999</v>
      </c>
      <c r="AB35" s="212">
        <f t="shared" ref="AB35:AM35" si="70">AB33-AB34</f>
        <v>15529500.329999998</v>
      </c>
      <c r="AC35" s="212">
        <f t="shared" si="70"/>
        <v>16361.250000000007</v>
      </c>
      <c r="AD35" s="212">
        <f t="shared" si="70"/>
        <v>6339279.4400000013</v>
      </c>
      <c r="AE35" s="212">
        <f t="shared" si="70"/>
        <v>5871320.0600000098</v>
      </c>
      <c r="AF35" s="212">
        <f t="shared" si="70"/>
        <v>-2066494.2899999842</v>
      </c>
      <c r="AG35" s="212">
        <f t="shared" si="70"/>
        <v>43633197.950000003</v>
      </c>
      <c r="AH35" s="212">
        <f t="shared" si="70"/>
        <v>37091552.660000071</v>
      </c>
      <c r="AI35" s="212">
        <f t="shared" si="70"/>
        <v>43141259.349999994</v>
      </c>
      <c r="AJ35" s="212">
        <f t="shared" si="70"/>
        <v>48515771.460000098</v>
      </c>
      <c r="AK35" s="212">
        <f t="shared" si="70"/>
        <v>46993755.060000032</v>
      </c>
      <c r="AL35" s="212">
        <f t="shared" si="70"/>
        <v>42563465.650000036</v>
      </c>
      <c r="AM35" s="212">
        <f t="shared" si="70"/>
        <v>105546613.59000014</v>
      </c>
      <c r="AN35" s="212">
        <f t="shared" ref="AN35:AV35" si="71">AN33-AN34</f>
        <v>121663493</v>
      </c>
      <c r="AO35" s="212">
        <f t="shared" si="71"/>
        <v>12122.879999999888</v>
      </c>
      <c r="AP35" s="212">
        <f t="shared" si="71"/>
        <v>6518888.0099999961</v>
      </c>
      <c r="AQ35" s="212">
        <f t="shared" si="71"/>
        <v>23907360.060000014</v>
      </c>
      <c r="AR35" s="212">
        <f t="shared" si="71"/>
        <v>24144810.649999991</v>
      </c>
      <c r="AS35" s="212">
        <f t="shared" si="71"/>
        <v>28192040.849999957</v>
      </c>
      <c r="AT35" s="212">
        <f t="shared" si="71"/>
        <v>82080066.959999993</v>
      </c>
      <c r="AU35" s="212">
        <f t="shared" si="71"/>
        <v>77451671.409999982</v>
      </c>
      <c r="AV35" s="212">
        <f t="shared" si="71"/>
        <v>77160420.820000023</v>
      </c>
    </row>
    <row r="36" spans="1:48" ht="15.75">
      <c r="A36" s="170" t="s">
        <v>85</v>
      </c>
      <c r="B36" s="217"/>
      <c r="C36" s="292">
        <v>0</v>
      </c>
      <c r="D36" s="292">
        <v>0</v>
      </c>
      <c r="E36" s="292">
        <v>0</v>
      </c>
      <c r="F36" s="292">
        <v>0</v>
      </c>
      <c r="G36" s="292">
        <v>0</v>
      </c>
      <c r="H36" s="292">
        <v>0</v>
      </c>
      <c r="I36" s="292">
        <v>0</v>
      </c>
      <c r="J36" s="292">
        <v>0</v>
      </c>
      <c r="K36" s="292">
        <v>0</v>
      </c>
      <c r="L36" s="292">
        <v>0</v>
      </c>
      <c r="M36" s="292">
        <v>0</v>
      </c>
      <c r="N36" s="292">
        <v>0</v>
      </c>
      <c r="O36" s="292">
        <v>0</v>
      </c>
      <c r="P36" s="292">
        <v>0</v>
      </c>
      <c r="Q36" s="292">
        <v>0</v>
      </c>
      <c r="R36" s="292">
        <v>0</v>
      </c>
      <c r="S36" s="292">
        <v>0</v>
      </c>
      <c r="T36" s="292">
        <v>0</v>
      </c>
      <c r="U36" s="298">
        <v>0</v>
      </c>
      <c r="V36" s="298">
        <v>0</v>
      </c>
      <c r="W36" s="298"/>
      <c r="X36" s="298"/>
      <c r="Y36" s="298"/>
      <c r="Z36" s="298"/>
      <c r="AA36" s="309"/>
      <c r="AB36" s="309"/>
      <c r="AC36" s="309"/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42">
        <v>0</v>
      </c>
      <c r="AP36" s="344">
        <v>0</v>
      </c>
      <c r="AQ36" s="344">
        <v>0</v>
      </c>
      <c r="AR36">
        <v>0</v>
      </c>
      <c r="AS36">
        <v>0</v>
      </c>
      <c r="AT36" s="342">
        <v>0</v>
      </c>
      <c r="AU36" s="407">
        <v>0</v>
      </c>
      <c r="AV36" s="409">
        <v>0</v>
      </c>
    </row>
    <row r="37" spans="1:48" ht="15.75">
      <c r="A37" s="169" t="s">
        <v>86</v>
      </c>
      <c r="B37" s="212">
        <f t="shared" ref="B37:N37" si="72">B35-B36</f>
        <v>21649.480000000447</v>
      </c>
      <c r="C37" s="212">
        <f t="shared" si="72"/>
        <v>-929.1299999999992</v>
      </c>
      <c r="D37" s="212">
        <f t="shared" si="72"/>
        <v>16583.579999999998</v>
      </c>
      <c r="E37" s="212">
        <f t="shared" si="72"/>
        <v>10631.970000000008</v>
      </c>
      <c r="F37" s="212">
        <f t="shared" si="72"/>
        <v>58625.489999999991</v>
      </c>
      <c r="G37" s="212">
        <f t="shared" si="72"/>
        <v>102430.43</v>
      </c>
      <c r="H37" s="212">
        <f t="shared" si="72"/>
        <v>56449.779999999992</v>
      </c>
      <c r="I37" s="212">
        <f t="shared" si="72"/>
        <v>67717.819999999978</v>
      </c>
      <c r="J37" s="212">
        <f t="shared" si="72"/>
        <v>76242.35000000002</v>
      </c>
      <c r="K37" s="212">
        <f t="shared" si="72"/>
        <v>87325.84</v>
      </c>
      <c r="L37" s="212">
        <f t="shared" si="72"/>
        <v>81803.879999999946</v>
      </c>
      <c r="M37" s="212">
        <f t="shared" si="72"/>
        <v>110537.62000000002</v>
      </c>
      <c r="N37" s="212">
        <f t="shared" si="72"/>
        <v>157859892</v>
      </c>
      <c r="O37" s="212">
        <f t="shared" ref="O37:T37" si="73">O35-O36</f>
        <v>-13751.509999999997</v>
      </c>
      <c r="P37" s="212">
        <f t="shared" si="73"/>
        <v>-25718.570000000007</v>
      </c>
      <c r="Q37" s="212">
        <f t="shared" si="73"/>
        <v>-12777.239999999991</v>
      </c>
      <c r="R37" s="212">
        <f t="shared" si="73"/>
        <v>36515.320000000007</v>
      </c>
      <c r="S37" s="212">
        <f t="shared" si="73"/>
        <v>37077.680000000022</v>
      </c>
      <c r="T37" s="212">
        <f t="shared" si="73"/>
        <v>63723.460000000006</v>
      </c>
      <c r="U37" s="212">
        <f t="shared" ref="U37:V37" si="74">U35-U36</f>
        <v>35242.539999999943</v>
      </c>
      <c r="V37" s="212">
        <f t="shared" si="74"/>
        <v>25206.789999999979</v>
      </c>
      <c r="W37" s="212">
        <f t="shared" ref="W37:AA37" si="75">W35-W36</f>
        <v>77640.810000000027</v>
      </c>
      <c r="X37" s="212">
        <f t="shared" si="75"/>
        <v>83940.84</v>
      </c>
      <c r="Y37" s="212">
        <f t="shared" si="75"/>
        <v>94579.229999999967</v>
      </c>
      <c r="Z37" s="212">
        <f t="shared" si="75"/>
        <v>126955.32999999993</v>
      </c>
      <c r="AA37" s="212">
        <f t="shared" si="75"/>
        <v>-181206270.28999999</v>
      </c>
      <c r="AB37" s="212">
        <f t="shared" ref="AB37:AM37" si="76">AB35-AB36</f>
        <v>15529500.329999998</v>
      </c>
      <c r="AC37" s="212">
        <f t="shared" si="76"/>
        <v>16361.250000000007</v>
      </c>
      <c r="AD37" s="212">
        <f t="shared" si="76"/>
        <v>6339279.4400000013</v>
      </c>
      <c r="AE37" s="212">
        <f t="shared" si="76"/>
        <v>5871320.0600000098</v>
      </c>
      <c r="AF37" s="212">
        <f t="shared" si="76"/>
        <v>-2066494.2899999842</v>
      </c>
      <c r="AG37" s="212">
        <f t="shared" si="76"/>
        <v>43633197.950000003</v>
      </c>
      <c r="AH37" s="212">
        <f t="shared" si="76"/>
        <v>37091552.660000071</v>
      </c>
      <c r="AI37" s="212">
        <f t="shared" si="76"/>
        <v>43141259.349999994</v>
      </c>
      <c r="AJ37" s="212">
        <f t="shared" si="76"/>
        <v>48515771.460000098</v>
      </c>
      <c r="AK37" s="212">
        <f t="shared" si="76"/>
        <v>46993755.060000032</v>
      </c>
      <c r="AL37" s="212">
        <f t="shared" si="76"/>
        <v>42563465.650000036</v>
      </c>
      <c r="AM37" s="212">
        <f t="shared" si="76"/>
        <v>105546613.59000014</v>
      </c>
      <c r="AN37" s="212">
        <f t="shared" ref="AN37:AV37" si="77">AN35-AN36</f>
        <v>121663493</v>
      </c>
      <c r="AO37" s="212">
        <f t="shared" si="77"/>
        <v>12122.879999999888</v>
      </c>
      <c r="AP37" s="212">
        <f t="shared" si="77"/>
        <v>6518888.0099999961</v>
      </c>
      <c r="AQ37" s="212">
        <f t="shared" si="77"/>
        <v>23907360.060000014</v>
      </c>
      <c r="AR37" s="212">
        <f t="shared" si="77"/>
        <v>24144810.649999991</v>
      </c>
      <c r="AS37" s="212">
        <f t="shared" si="77"/>
        <v>28192040.849999957</v>
      </c>
      <c r="AT37" s="212">
        <f t="shared" si="77"/>
        <v>82080066.959999993</v>
      </c>
      <c r="AU37" s="212">
        <f t="shared" si="77"/>
        <v>77451671.409999982</v>
      </c>
      <c r="AV37" s="212">
        <f t="shared" si="77"/>
        <v>77160420.820000023</v>
      </c>
    </row>
    <row r="38" spans="1:48"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48" ht="15.75">
      <c r="A39" t="s">
        <v>87</v>
      </c>
      <c r="B39" s="220">
        <f>B12+B23</f>
        <v>14194931.52</v>
      </c>
      <c r="C39" s="220">
        <f t="shared" ref="C39:J39" si="78">C12+C23</f>
        <v>28375.33</v>
      </c>
      <c r="D39" s="220">
        <f t="shared" si="78"/>
        <v>54722.600000000006</v>
      </c>
      <c r="E39" s="220">
        <f t="shared" si="78"/>
        <v>88604.95</v>
      </c>
      <c r="F39" s="220">
        <f t="shared" si="78"/>
        <v>119665.4</v>
      </c>
      <c r="G39" s="220">
        <f t="shared" si="78"/>
        <v>149888.79</v>
      </c>
      <c r="H39" s="220">
        <f t="shared" si="78"/>
        <v>180427.62</v>
      </c>
      <c r="I39" s="220">
        <f t="shared" si="78"/>
        <v>247626.66000000003</v>
      </c>
      <c r="J39" s="220">
        <f t="shared" si="78"/>
        <v>274582.55</v>
      </c>
      <c r="K39" s="220">
        <f t="shared" ref="K39:T39" si="79">K12+K23</f>
        <v>311559.87</v>
      </c>
      <c r="L39" s="220">
        <f t="shared" si="79"/>
        <v>343058.9</v>
      </c>
      <c r="M39" s="220">
        <f t="shared" si="79"/>
        <v>382186.30999999994</v>
      </c>
      <c r="N39" s="220">
        <f t="shared" si="79"/>
        <v>323178410</v>
      </c>
      <c r="O39" s="220">
        <f t="shared" si="79"/>
        <v>31513.409999999996</v>
      </c>
      <c r="P39" s="220">
        <f t="shared" si="79"/>
        <v>62214.28</v>
      </c>
      <c r="Q39" s="220">
        <f t="shared" si="79"/>
        <v>105662.31</v>
      </c>
      <c r="R39" s="220">
        <f t="shared" si="79"/>
        <v>137372.58000000002</v>
      </c>
      <c r="S39" s="220">
        <f t="shared" si="79"/>
        <v>174471.93</v>
      </c>
      <c r="T39" s="220">
        <f t="shared" si="79"/>
        <v>185867.63</v>
      </c>
      <c r="U39" s="220">
        <f t="shared" ref="U39:V39" si="80">U12+U23</f>
        <v>248532.5</v>
      </c>
      <c r="V39" s="220">
        <f t="shared" si="80"/>
        <v>284528.66000000003</v>
      </c>
      <c r="W39" s="220">
        <f t="shared" ref="W39:AA39" si="81">W12+W23</f>
        <v>320519.84999999998</v>
      </c>
      <c r="X39" s="220">
        <f t="shared" si="81"/>
        <v>358314.94</v>
      </c>
      <c r="Y39" s="220">
        <f t="shared" si="81"/>
        <v>395931.15</v>
      </c>
      <c r="Z39" s="220">
        <f t="shared" si="81"/>
        <v>412673.91000000003</v>
      </c>
      <c r="AA39" s="220">
        <f t="shared" si="81"/>
        <v>369833522</v>
      </c>
      <c r="AB39" s="220">
        <f t="shared" ref="AB39:AM39" si="82">AB12+AB23</f>
        <v>35622876.469999999</v>
      </c>
      <c r="AC39" s="220">
        <f t="shared" si="82"/>
        <v>72034.61</v>
      </c>
      <c r="AD39" s="220">
        <f t="shared" si="82"/>
        <v>122698033.55</v>
      </c>
      <c r="AE39" s="220">
        <f t="shared" si="82"/>
        <v>162654585.31999999</v>
      </c>
      <c r="AF39" s="220">
        <f t="shared" si="82"/>
        <v>206193145.79999995</v>
      </c>
      <c r="AG39" s="220">
        <f t="shared" si="82"/>
        <v>252521827.62</v>
      </c>
      <c r="AH39" s="220">
        <f t="shared" si="82"/>
        <v>298700770.37</v>
      </c>
      <c r="AI39" s="220">
        <f t="shared" si="82"/>
        <v>337923366.86000001</v>
      </c>
      <c r="AJ39" s="220">
        <f t="shared" si="82"/>
        <v>383850511.38</v>
      </c>
      <c r="AK39" s="220">
        <f t="shared" si="82"/>
        <v>431436822.72999996</v>
      </c>
      <c r="AL39" s="220">
        <f t="shared" si="82"/>
        <v>478169717.13999999</v>
      </c>
      <c r="AM39" s="220">
        <f t="shared" si="82"/>
        <v>493251889.02999991</v>
      </c>
      <c r="AN39" s="220">
        <f t="shared" ref="AN39:AV39" si="83">AN12+AN23</f>
        <v>456701653</v>
      </c>
      <c r="AO39" s="220">
        <f t="shared" si="83"/>
        <v>41528867.920000002</v>
      </c>
      <c r="AP39" s="220">
        <f t="shared" si="83"/>
        <v>83566382.189999998</v>
      </c>
      <c r="AQ39" s="220">
        <f t="shared" si="83"/>
        <v>132859821.03999999</v>
      </c>
      <c r="AR39" s="220">
        <f t="shared" si="83"/>
        <v>181260153.15000001</v>
      </c>
      <c r="AS39" s="220">
        <f t="shared" si="83"/>
        <v>230060378.87000003</v>
      </c>
      <c r="AT39" s="220">
        <f t="shared" si="83"/>
        <v>281648120.89999998</v>
      </c>
      <c r="AU39" s="220">
        <f t="shared" si="83"/>
        <v>335310087.82999998</v>
      </c>
      <c r="AV39" s="220">
        <f t="shared" si="83"/>
        <v>387650992.19000006</v>
      </c>
    </row>
    <row r="44" spans="1:48">
      <c r="O44" s="272">
        <f>O37-164292468.04</f>
        <v>-164306219.54999998</v>
      </c>
    </row>
  </sheetData>
  <phoneticPr fontId="3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D17" sqref="D17"/>
    </sheetView>
  </sheetViews>
  <sheetFormatPr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6" width="19" bestFit="1" customWidth="1"/>
    <col min="7" max="7" width="26.5703125" customWidth="1"/>
  </cols>
  <sheetData>
    <row r="1" spans="1:7">
      <c r="A1" s="372" t="s">
        <v>88</v>
      </c>
      <c r="B1" s="373"/>
      <c r="C1" s="373"/>
      <c r="D1" s="373"/>
      <c r="E1" s="373"/>
      <c r="F1" s="374"/>
      <c r="G1" s="375"/>
    </row>
    <row r="2" spans="1:7">
      <c r="A2" s="376" t="s">
        <v>89</v>
      </c>
      <c r="B2" s="377"/>
      <c r="C2" s="377"/>
      <c r="D2" s="377"/>
      <c r="E2" s="377"/>
      <c r="F2" s="378"/>
      <c r="G2" s="379"/>
    </row>
    <row r="3" spans="1:7">
      <c r="A3" s="248"/>
      <c r="B3" s="370" t="s">
        <v>90</v>
      </c>
      <c r="C3" s="255" t="s">
        <v>91</v>
      </c>
      <c r="D3" s="380" t="s">
        <v>92</v>
      </c>
      <c r="E3" s="381"/>
      <c r="F3" s="382" t="s">
        <v>51</v>
      </c>
      <c r="G3" s="368" t="s">
        <v>93</v>
      </c>
    </row>
    <row r="4" spans="1:7" ht="29.1">
      <c r="A4" s="43"/>
      <c r="B4" s="371"/>
      <c r="C4" s="222">
        <v>2018</v>
      </c>
      <c r="D4" s="223" t="s">
        <v>94</v>
      </c>
      <c r="E4" s="224" t="s">
        <v>95</v>
      </c>
      <c r="F4" s="383"/>
      <c r="G4" s="369"/>
    </row>
    <row r="5" spans="1:7">
      <c r="A5" s="361" t="s">
        <v>96</v>
      </c>
      <c r="B5" s="362"/>
      <c r="C5" s="362"/>
      <c r="D5" s="362"/>
      <c r="E5" s="362"/>
      <c r="F5" s="363"/>
      <c r="G5" s="364"/>
    </row>
    <row r="6" spans="1:7">
      <c r="A6" s="238" t="s">
        <v>97</v>
      </c>
      <c r="B6" s="239" t="s">
        <v>98</v>
      </c>
      <c r="C6" s="260">
        <v>4057843000</v>
      </c>
      <c r="D6" s="260">
        <v>3934092558.7950001</v>
      </c>
      <c r="E6" s="260">
        <v>4252451960.625</v>
      </c>
      <c r="F6" s="260">
        <f>F33</f>
        <v>35293281</v>
      </c>
      <c r="G6" s="260">
        <v>85755077156.473999</v>
      </c>
    </row>
    <row r="7" spans="1:7">
      <c r="A7" s="238" t="s">
        <v>99</v>
      </c>
      <c r="B7" s="240" t="s">
        <v>100</v>
      </c>
      <c r="C7" s="261">
        <v>0.12567652466497223</v>
      </c>
      <c r="D7" s="261">
        <v>0.11408248238907637</v>
      </c>
      <c r="E7" s="261">
        <v>0.11481093518842959</v>
      </c>
      <c r="F7" s="261">
        <f>F6/F29</f>
        <v>0.12028587695269384</v>
      </c>
      <c r="G7" s="261">
        <v>0.15609441564063267</v>
      </c>
    </row>
    <row r="8" spans="1:7">
      <c r="A8" s="238" t="s">
        <v>101</v>
      </c>
      <c r="B8" s="240" t="s">
        <v>102</v>
      </c>
      <c r="C8" s="254">
        <v>7.939347116474714E-2</v>
      </c>
      <c r="D8" s="254">
        <v>6.4591681395525E-2</v>
      </c>
      <c r="E8" s="254">
        <v>6.7244176471871406E-2</v>
      </c>
      <c r="F8" s="261">
        <f>F34/F29</f>
        <v>5.5632233555240544E-2</v>
      </c>
      <c r="G8" s="261">
        <v>9.1531093473091296E-2</v>
      </c>
    </row>
    <row r="9" spans="1:7">
      <c r="A9" s="361" t="s">
        <v>103</v>
      </c>
      <c r="B9" s="362"/>
      <c r="C9" s="362"/>
      <c r="D9" s="362"/>
      <c r="E9" s="362"/>
      <c r="F9" s="363"/>
      <c r="G9" s="364"/>
    </row>
    <row r="10" spans="1:7">
      <c r="A10" s="238" t="s">
        <v>104</v>
      </c>
      <c r="B10" s="239" t="s">
        <v>105</v>
      </c>
      <c r="C10" s="254">
        <v>0</v>
      </c>
      <c r="D10" s="254">
        <v>5.4329847368460672E-2</v>
      </c>
      <c r="E10" s="254">
        <v>4.7637751786981562E-2</v>
      </c>
      <c r="F10" s="254">
        <f>F35/F32</f>
        <v>0</v>
      </c>
      <c r="G10" s="254">
        <v>7.4348009968905268E-2</v>
      </c>
    </row>
    <row r="11" spans="1:7">
      <c r="A11" s="238" t="s">
        <v>106</v>
      </c>
      <c r="B11" s="239" t="s">
        <v>107</v>
      </c>
      <c r="C11" s="261">
        <v>3.5863732015568014E-2</v>
      </c>
      <c r="D11" s="261">
        <v>3.5724113719546605E-2</v>
      </c>
      <c r="E11" s="261">
        <v>3.7274684303679397E-2</v>
      </c>
      <c r="F11" s="261">
        <f>F36/F29</f>
        <v>5.272631308975443E-2</v>
      </c>
      <c r="G11" s="261">
        <v>0.10558072758579623</v>
      </c>
    </row>
    <row r="12" spans="1:7">
      <c r="A12" s="238" t="s">
        <v>108</v>
      </c>
      <c r="B12" s="239" t="s">
        <v>105</v>
      </c>
      <c r="C12" s="241">
        <v>0</v>
      </c>
      <c r="D12" s="241">
        <v>2.4842843896891877E-2</v>
      </c>
      <c r="E12" s="241">
        <v>2.3590605458073042E-2</v>
      </c>
      <c r="F12" s="241">
        <f>F38/F31</f>
        <v>0</v>
      </c>
      <c r="G12" s="241">
        <v>3.4793573937293563E-2</v>
      </c>
    </row>
    <row r="13" spans="1:7">
      <c r="A13" s="242" t="s">
        <v>109</v>
      </c>
      <c r="B13" s="239" t="s">
        <v>110</v>
      </c>
      <c r="C13" s="253">
        <v>0</v>
      </c>
      <c r="D13" s="253">
        <v>0.16950928215940569</v>
      </c>
      <c r="E13" s="253">
        <v>0.15682039721196223</v>
      </c>
      <c r="F13" s="253">
        <f>F38/F33</f>
        <v>0</v>
      </c>
      <c r="G13" s="253">
        <v>0.15319581944703795</v>
      </c>
    </row>
    <row r="14" spans="1:7">
      <c r="A14" s="361" t="s">
        <v>111</v>
      </c>
      <c r="B14" s="362"/>
      <c r="C14" s="362"/>
      <c r="D14" s="362"/>
      <c r="E14" s="362"/>
      <c r="F14" s="363"/>
      <c r="G14" s="364"/>
    </row>
    <row r="15" spans="1:7">
      <c r="A15" s="238" t="s">
        <v>112</v>
      </c>
      <c r="B15" s="239"/>
      <c r="C15" s="254">
        <v>0.15191120603145614</v>
      </c>
      <c r="D15" s="254">
        <v>0.11822951769172337</v>
      </c>
      <c r="E15" s="254">
        <v>0.14554509630234633</v>
      </c>
      <c r="F15" s="254">
        <f>F48/F32</f>
        <v>0.12728568999240505</v>
      </c>
      <c r="G15" s="254">
        <v>0.16355248817800369</v>
      </c>
    </row>
    <row r="16" spans="1:7">
      <c r="A16" s="238" t="s">
        <v>113</v>
      </c>
      <c r="B16" s="239"/>
      <c r="C16" s="254">
        <v>0.75439891938219117</v>
      </c>
      <c r="D16" s="254">
        <v>0.75528665926855931</v>
      </c>
      <c r="E16" s="254">
        <v>0.71866389954127208</v>
      </c>
      <c r="F16" s="254">
        <f>F49/F44</f>
        <v>0.41639489457208817</v>
      </c>
      <c r="G16" s="254">
        <v>0.70158636091463378</v>
      </c>
    </row>
    <row r="17" spans="1:9">
      <c r="A17" s="238" t="s">
        <v>114</v>
      </c>
      <c r="B17" s="239"/>
      <c r="C17" s="253">
        <v>2.7896699632328412E-2</v>
      </c>
      <c r="D17" s="253">
        <v>2.0089744462633077E-2</v>
      </c>
      <c r="E17" s="253">
        <v>3.1914695778920928E-2</v>
      </c>
      <c r="F17" s="253">
        <f>F50/F30</f>
        <v>1.328946918341554E-6</v>
      </c>
      <c r="G17" s="253">
        <v>3.8444701921891138E-2</v>
      </c>
    </row>
    <row r="18" spans="1:9">
      <c r="A18" s="242" t="s">
        <v>115</v>
      </c>
      <c r="B18" s="243"/>
      <c r="C18" s="253">
        <v>0.25221238938053098</v>
      </c>
      <c r="D18" s="253">
        <v>0.25235898336566515</v>
      </c>
      <c r="E18" s="253">
        <v>0.24257735301328517</v>
      </c>
      <c r="F18" s="253">
        <f>F47/F45</f>
        <v>0.41401617304023802</v>
      </c>
      <c r="G18" s="253">
        <v>0.31925833057103398</v>
      </c>
    </row>
    <row r="19" spans="1:9">
      <c r="A19" s="361" t="s">
        <v>116</v>
      </c>
      <c r="B19" s="362"/>
      <c r="C19" s="362"/>
      <c r="D19" s="362"/>
      <c r="E19" s="362"/>
      <c r="F19" s="363"/>
      <c r="G19" s="364"/>
    </row>
    <row r="20" spans="1:9">
      <c r="A20" s="238" t="s">
        <v>117</v>
      </c>
      <c r="B20" s="244" t="s">
        <v>118</v>
      </c>
      <c r="C20" s="261">
        <v>0.22714377726005494</v>
      </c>
      <c r="D20" s="261">
        <v>0.72775005972782347</v>
      </c>
      <c r="E20" s="261">
        <v>0.53145528916848561</v>
      </c>
      <c r="F20" s="261">
        <f>F40/F41</f>
        <v>0.23756555118163317</v>
      </c>
      <c r="G20" s="261">
        <v>0.55040229586479805</v>
      </c>
      <c r="I20" s="195"/>
    </row>
    <row r="21" spans="1:9">
      <c r="A21" s="238" t="s">
        <v>119</v>
      </c>
      <c r="B21" s="239" t="s">
        <v>120</v>
      </c>
      <c r="C21" s="261">
        <v>1.020404023229067E-2</v>
      </c>
      <c r="D21" s="261">
        <v>0</v>
      </c>
      <c r="E21" s="261">
        <v>0</v>
      </c>
      <c r="F21" s="261">
        <f>F42/F29</f>
        <v>0</v>
      </c>
      <c r="G21" s="261">
        <v>3.9104229608170366E-2</v>
      </c>
      <c r="I21" s="226"/>
    </row>
    <row r="22" spans="1:9">
      <c r="A22" s="238" t="s">
        <v>121</v>
      </c>
      <c r="B22" s="239"/>
      <c r="C22" s="261">
        <v>6.0313562362729556E-2</v>
      </c>
      <c r="D22" s="261">
        <v>0.18011195963077606</v>
      </c>
      <c r="E22" s="261">
        <v>0.14005066561964608</v>
      </c>
      <c r="F22" s="261">
        <f>F40/F29</f>
        <v>0.20809815560155398</v>
      </c>
      <c r="G22" s="261">
        <v>0.11043073047162359</v>
      </c>
    </row>
    <row r="23" spans="1:9">
      <c r="A23" s="361" t="s">
        <v>122</v>
      </c>
      <c r="B23" s="362"/>
      <c r="C23" s="362"/>
      <c r="D23" s="362"/>
      <c r="E23" s="362"/>
      <c r="F23" s="363"/>
      <c r="G23" s="364"/>
    </row>
    <row r="24" spans="1:9">
      <c r="A24" s="245" t="s">
        <v>123</v>
      </c>
      <c r="B24" s="243" t="s">
        <v>124</v>
      </c>
      <c r="C24" s="253">
        <v>0.79999742938513219</v>
      </c>
      <c r="D24" s="253">
        <v>0.78004370176864635</v>
      </c>
      <c r="E24" s="253">
        <v>0.82085193072931428</v>
      </c>
      <c r="F24" s="253">
        <f>F32/F29</f>
        <v>0.81183536592447747</v>
      </c>
      <c r="G24" s="253">
        <v>0.75950447914329211</v>
      </c>
    </row>
    <row r="25" spans="1:9">
      <c r="A25" s="245" t="s">
        <v>125</v>
      </c>
      <c r="B25" s="246" t="s">
        <v>126</v>
      </c>
      <c r="C25" s="253">
        <v>1.0373556354194142</v>
      </c>
      <c r="D25" s="253">
        <v>1.0020924674729887</v>
      </c>
      <c r="E25" s="253">
        <v>1.0755190502537706</v>
      </c>
      <c r="F25" s="253">
        <f>F32/F31</f>
        <v>0.9243193675639465</v>
      </c>
      <c r="G25" s="253">
        <v>1.1050835145534323</v>
      </c>
    </row>
    <row r="26" spans="1:9">
      <c r="A26" s="245" t="s">
        <v>127</v>
      </c>
      <c r="B26" s="246"/>
      <c r="C26" s="253">
        <v>0.18797700512029003</v>
      </c>
      <c r="D26" s="253">
        <v>3.4489796241056907E-2</v>
      </c>
      <c r="E26" s="253">
        <v>3.3529933949658523E-2</v>
      </c>
      <c r="F26" s="253">
        <f>F38/F29</f>
        <v>0</v>
      </c>
      <c r="G26" s="253">
        <v>5.9615079282689193E-2</v>
      </c>
    </row>
    <row r="27" spans="1:9">
      <c r="A27" s="245" t="s">
        <v>128</v>
      </c>
      <c r="B27" s="247"/>
      <c r="C27" s="253">
        <v>0.49156614829115142</v>
      </c>
      <c r="D27" s="253">
        <v>0.49594541357881816</v>
      </c>
      <c r="E27" s="253">
        <v>0.47078016782048138</v>
      </c>
      <c r="F27" s="253">
        <f>F46/F44</f>
        <v>0</v>
      </c>
      <c r="G27" s="253">
        <v>0.31522369755498014</v>
      </c>
    </row>
    <row r="28" spans="1:9">
      <c r="A28" s="361" t="s">
        <v>129</v>
      </c>
      <c r="B28" s="362"/>
      <c r="C28" s="362">
        <v>2015</v>
      </c>
      <c r="D28" s="362">
        <v>2016</v>
      </c>
      <c r="E28" s="362">
        <v>2017</v>
      </c>
      <c r="F28" s="363"/>
      <c r="G28" s="364" t="s">
        <v>130</v>
      </c>
    </row>
    <row r="29" spans="1:9">
      <c r="A29" s="196" t="s">
        <v>27</v>
      </c>
      <c r="B29" s="249"/>
      <c r="C29" s="262">
        <v>32287995000</v>
      </c>
      <c r="D29" s="262">
        <v>34484633191.779999</v>
      </c>
      <c r="E29" s="262">
        <v>37038736368.150002</v>
      </c>
      <c r="F29" s="262">
        <f>'Evolutive SFP'!B27</f>
        <v>293411678.02999997</v>
      </c>
      <c r="G29" s="199">
        <v>549379532922.58099</v>
      </c>
    </row>
    <row r="30" spans="1:9">
      <c r="A30" s="196" t="s">
        <v>131</v>
      </c>
      <c r="B30" s="249"/>
      <c r="C30" s="262">
        <v>30426610000</v>
      </c>
      <c r="D30" s="262">
        <v>32935176890.91</v>
      </c>
      <c r="E30" s="262">
        <v>34818535526.945</v>
      </c>
      <c r="F30" s="262">
        <f>(C29+F29)/2</f>
        <v>16290703339.014999</v>
      </c>
      <c r="G30" s="199">
        <v>521751637377.84802</v>
      </c>
    </row>
    <row r="31" spans="1:9">
      <c r="A31" s="196" t="s">
        <v>132</v>
      </c>
      <c r="B31" s="249"/>
      <c r="C31" s="199">
        <v>24900152000</v>
      </c>
      <c r="D31" s="199">
        <v>26843352087.939999</v>
      </c>
      <c r="E31" s="199">
        <v>28268507426.619999</v>
      </c>
      <c r="F31" s="199">
        <f>'Evolutive SFP'!B31</f>
        <v>257705275.21000001</v>
      </c>
      <c r="G31" s="199">
        <v>377578898345.03998</v>
      </c>
    </row>
    <row r="32" spans="1:9">
      <c r="A32" s="196" t="s">
        <v>133</v>
      </c>
      <c r="B32" s="249"/>
      <c r="C32" s="200">
        <v>25830313000</v>
      </c>
      <c r="D32" s="200">
        <v>26899520929.049999</v>
      </c>
      <c r="E32" s="200">
        <v>30403318259.57</v>
      </c>
      <c r="F32" s="200">
        <f>'Evolutive SFP'!B15</f>
        <v>238201977</v>
      </c>
      <c r="G32" s="199">
        <v>417256216004.34998</v>
      </c>
    </row>
    <row r="33" spans="1:7">
      <c r="A33" s="196" t="s">
        <v>134</v>
      </c>
      <c r="B33" s="249"/>
      <c r="C33" s="262">
        <v>4057843000</v>
      </c>
      <c r="D33" s="262">
        <v>3934092558.7950001</v>
      </c>
      <c r="E33" s="262">
        <v>4252451960.625</v>
      </c>
      <c r="F33" s="262">
        <f>Financials!AS11</f>
        <v>35293281</v>
      </c>
      <c r="G33" s="199">
        <v>85755077156.473999</v>
      </c>
    </row>
    <row r="34" spans="1:7">
      <c r="A34" s="196" t="s">
        <v>135</v>
      </c>
      <c r="B34" s="249"/>
      <c r="C34" s="262">
        <v>2563456000</v>
      </c>
      <c r="D34" s="262">
        <v>2227420440.165</v>
      </c>
      <c r="E34" s="262">
        <v>2490639324.6350002</v>
      </c>
      <c r="F34" s="262">
        <f>Financials!AS12</f>
        <v>16323147</v>
      </c>
      <c r="G34" s="199">
        <v>50285309380.139999</v>
      </c>
    </row>
    <row r="35" spans="1:7">
      <c r="A35" s="196" t="s">
        <v>136</v>
      </c>
      <c r="B35" s="249"/>
      <c r="C35" s="199">
        <v>0</v>
      </c>
      <c r="D35" s="199">
        <v>1461446866.3599999</v>
      </c>
      <c r="E35" s="199">
        <v>1448345728.75</v>
      </c>
      <c r="F35" s="199"/>
      <c r="G35" s="199">
        <v>31022169307.079102</v>
      </c>
    </row>
    <row r="36" spans="1:7">
      <c r="A36" s="196" t="s">
        <v>106</v>
      </c>
      <c r="B36" s="249"/>
      <c r="C36" s="200">
        <v>1157968000</v>
      </c>
      <c r="D36" s="200">
        <v>1231932957.72</v>
      </c>
      <c r="E36" s="200">
        <v>1380607205.1300001</v>
      </c>
      <c r="F36" s="200">
        <f>Financials!AS34</f>
        <v>15470516</v>
      </c>
      <c r="G36" s="199">
        <v>58003890806.710999</v>
      </c>
    </row>
    <row r="37" spans="1:7">
      <c r="A37" s="196" t="s">
        <v>23</v>
      </c>
      <c r="B37" s="249"/>
      <c r="C37" s="262">
        <v>320370000</v>
      </c>
      <c r="D37" s="262">
        <v>303851448.54000002</v>
      </c>
      <c r="E37" s="262">
        <v>301707498.67000002</v>
      </c>
      <c r="F37" s="200">
        <f>Financials!AS35</f>
        <v>3806303</v>
      </c>
      <c r="G37" s="199">
        <v>17808789765.341</v>
      </c>
    </row>
    <row r="38" spans="1:7">
      <c r="A38" s="196" t="s">
        <v>137</v>
      </c>
      <c r="B38" s="249"/>
      <c r="C38" s="262">
        <v>0</v>
      </c>
      <c r="D38" s="262">
        <v>666865205.59000003</v>
      </c>
      <c r="E38" s="262">
        <v>666871205.59000003</v>
      </c>
      <c r="F38" s="262">
        <f>'Evolutive SFP'!B12+'Evolutive SFP'!B13</f>
        <v>0</v>
      </c>
      <c r="G38" s="199">
        <v>13137319316.73</v>
      </c>
    </row>
    <row r="39" spans="1:7">
      <c r="A39" s="196" t="s">
        <v>138</v>
      </c>
      <c r="B39" s="249"/>
      <c r="C39" s="262">
        <v>4680656000</v>
      </c>
      <c r="D39" s="262">
        <v>925821743.94000006</v>
      </c>
      <c r="E39" s="262">
        <v>947841186.87</v>
      </c>
      <c r="F39" s="262">
        <f>'Evolutive SFP'!B8</f>
        <v>115855</v>
      </c>
      <c r="G39" s="199">
        <v>22509395960.310001</v>
      </c>
    </row>
    <row r="40" spans="1:7">
      <c r="A40" s="196" t="s">
        <v>139</v>
      </c>
      <c r="B40" s="249"/>
      <c r="C40" s="262">
        <v>1947404000</v>
      </c>
      <c r="D40" s="262">
        <v>6211094861.3199997</v>
      </c>
      <c r="E40" s="262">
        <v>5187299682.0699997</v>
      </c>
      <c r="F40" s="262">
        <f>'Evolutive SFP'!B4+'Evolutive SFP'!B11+'Evolutive SFP'!B10+'Evolutive SFP'!B9</f>
        <v>61058429.029999994</v>
      </c>
      <c r="G40" s="199">
        <v>60668383126.800003</v>
      </c>
    </row>
    <row r="41" spans="1:7">
      <c r="A41" s="196" t="s">
        <v>140</v>
      </c>
      <c r="B41" s="249"/>
      <c r="C41" s="262">
        <v>8573442000</v>
      </c>
      <c r="D41" s="262">
        <v>8534653866.8000002</v>
      </c>
      <c r="E41" s="262">
        <v>9760557073.7399998</v>
      </c>
      <c r="F41" s="262">
        <f>'Evolutive SFP'!B29+'Evolutive SFP'!B30+'Evolutive SFP'!B33+'Evolutive SFP'!B34+'Evolutive SFP'!B35+'Evolutive SFP'!B36+'Evolutive SFP'!B37</f>
        <v>257017184.21000001</v>
      </c>
      <c r="G41" s="199">
        <v>110225527005.619</v>
      </c>
    </row>
    <row r="42" spans="1:7">
      <c r="A42" s="196" t="s">
        <v>141</v>
      </c>
      <c r="B42" s="249"/>
      <c r="C42" s="262">
        <v>329468000</v>
      </c>
      <c r="D42" s="262">
        <v>0</v>
      </c>
      <c r="E42" s="262">
        <v>0</v>
      </c>
      <c r="F42" s="262">
        <f>'Evolutive SFP'!B37</f>
        <v>0</v>
      </c>
      <c r="G42" s="199">
        <v>21483063397.433998</v>
      </c>
    </row>
    <row r="43" spans="1:7">
      <c r="A43" s="196" t="s">
        <v>142</v>
      </c>
      <c r="B43" s="249"/>
      <c r="C43" s="262">
        <v>24572016000</v>
      </c>
      <c r="D43" s="262">
        <v>25854910046.814999</v>
      </c>
      <c r="E43" s="262">
        <v>28116815764.915001</v>
      </c>
      <c r="F43" s="262">
        <f>(C43+F32)/2</f>
        <v>12405108988.5</v>
      </c>
      <c r="G43" s="199">
        <v>394279646458.67999</v>
      </c>
    </row>
    <row r="44" spans="1:7">
      <c r="A44" s="196" t="s">
        <v>143</v>
      </c>
      <c r="B44" s="249"/>
      <c r="C44" s="262">
        <v>4601812000</v>
      </c>
      <c r="D44" s="262">
        <v>3667447515.0700002</v>
      </c>
      <c r="E44" s="262">
        <v>5236445384.25</v>
      </c>
      <c r="F44" s="262">
        <f>'Evolutitve SCI'!B3</f>
        <v>34090071</v>
      </c>
      <c r="G44" s="199">
        <v>80901352029.100006</v>
      </c>
    </row>
    <row r="45" spans="1:7">
      <c r="A45" s="196" t="s">
        <v>144</v>
      </c>
      <c r="B45" s="249"/>
      <c r="C45" s="262">
        <v>2290844000</v>
      </c>
      <c r="D45" s="262">
        <v>1822986659.8199999</v>
      </c>
      <c r="E45" s="262">
        <v>2743444185.1799998</v>
      </c>
      <c r="F45" s="262">
        <f>'Evolutitve SCI'!B19</f>
        <v>33951687</v>
      </c>
      <c r="G45" s="199">
        <v>48226248246.550003</v>
      </c>
    </row>
    <row r="46" spans="1:7">
      <c r="A46" s="196" t="s">
        <v>145</v>
      </c>
      <c r="B46" s="249"/>
      <c r="C46" s="262">
        <v>2262095000</v>
      </c>
      <c r="D46" s="262">
        <v>1818853774.6400001</v>
      </c>
      <c r="E46" s="262">
        <v>2465214636.7800002</v>
      </c>
      <c r="F46" s="262">
        <f>'Evolutitve SCI'!B14+'Evolutitve SCI'!B16</f>
        <v>0</v>
      </c>
      <c r="G46" s="199">
        <v>25502023323.810001</v>
      </c>
    </row>
    <row r="47" spans="1:7">
      <c r="A47" s="196" t="s">
        <v>146</v>
      </c>
      <c r="B47" s="249"/>
      <c r="C47" s="262">
        <v>1160634000</v>
      </c>
      <c r="D47" s="262">
        <v>925513326.45000005</v>
      </c>
      <c r="E47" s="262">
        <v>1270243060.51</v>
      </c>
      <c r="F47" s="262">
        <f>'Evolutitve SCI'!B23</f>
        <v>14056547.52</v>
      </c>
      <c r="G47" s="199">
        <v>25828430589.75</v>
      </c>
    </row>
    <row r="48" spans="1:7">
      <c r="A48" s="196" t="s">
        <v>147</v>
      </c>
      <c r="B48" s="249"/>
      <c r="C48" s="262">
        <v>3923914000</v>
      </c>
      <c r="D48" s="262">
        <v>3180317385.5799999</v>
      </c>
      <c r="E48" s="262">
        <v>4425053884</v>
      </c>
      <c r="F48" s="262">
        <f>'Evolutitve SCI'!B4</f>
        <v>30319703</v>
      </c>
      <c r="G48" s="199">
        <v>68243292335.25</v>
      </c>
    </row>
    <row r="49" spans="1:7">
      <c r="A49" s="196" t="s">
        <v>87</v>
      </c>
      <c r="B49" s="249"/>
      <c r="C49" s="262">
        <v>3471602000</v>
      </c>
      <c r="D49" s="262">
        <v>2769974181.6999998</v>
      </c>
      <c r="E49" s="262">
        <v>3763244259.5799999</v>
      </c>
      <c r="F49" s="262">
        <f>'Evolutitve SCI'!B23+'Evolutitve SCI'!B12</f>
        <v>14194931.52</v>
      </c>
      <c r="G49" s="199">
        <v>56759285163.169998</v>
      </c>
    </row>
    <row r="50" spans="1:7">
      <c r="A50" s="196" t="s">
        <v>148</v>
      </c>
      <c r="B50" s="249"/>
      <c r="C50" s="262">
        <v>848802000</v>
      </c>
      <c r="D50" s="262">
        <v>661659287.57000005</v>
      </c>
      <c r="E50" s="262">
        <v>1111222968.8099999</v>
      </c>
      <c r="F50" s="262">
        <f>'Evolutitve SCI'!B37</f>
        <v>21649.480000000447</v>
      </c>
      <c r="G50" s="199">
        <v>20058586176.25</v>
      </c>
    </row>
    <row r="51" spans="1:7">
      <c r="A51" s="365" t="s">
        <v>149</v>
      </c>
      <c r="B51" s="366"/>
      <c r="C51" s="366"/>
      <c r="D51" s="366"/>
      <c r="E51" s="366"/>
      <c r="F51" s="366"/>
      <c r="G51" s="367"/>
    </row>
    <row r="52" spans="1:7">
      <c r="A52" s="228">
        <v>1</v>
      </c>
      <c r="B52" s="225"/>
      <c r="C52" s="229"/>
      <c r="D52" s="229"/>
      <c r="E52" s="229"/>
      <c r="F52" s="230"/>
      <c r="G52" s="231"/>
    </row>
    <row r="53" spans="1:7">
      <c r="A53" s="228">
        <v>2</v>
      </c>
      <c r="B53" s="225"/>
      <c r="C53" s="229"/>
      <c r="D53" s="229"/>
      <c r="E53" s="229"/>
      <c r="F53" s="230"/>
      <c r="G53" s="231"/>
    </row>
    <row r="54" spans="1:7">
      <c r="A54" s="228">
        <v>3</v>
      </c>
      <c r="B54" s="225"/>
      <c r="C54" s="229"/>
      <c r="D54" s="229"/>
      <c r="E54" s="229"/>
      <c r="F54" s="230"/>
      <c r="G54" s="231"/>
    </row>
    <row r="55" spans="1:7">
      <c r="A55" s="227">
        <v>4</v>
      </c>
      <c r="B55" s="229"/>
      <c r="C55" s="229"/>
      <c r="D55" s="229"/>
      <c r="E55" s="230"/>
      <c r="F55" s="230"/>
      <c r="G55" s="256"/>
    </row>
    <row r="56" spans="1:7">
      <c r="A56" s="250" t="s">
        <v>150</v>
      </c>
      <c r="B56" s="225"/>
      <c r="C56" s="358"/>
      <c r="D56" s="359"/>
      <c r="E56" s="359"/>
      <c r="F56" s="359"/>
      <c r="G56" s="360"/>
    </row>
    <row r="57" spans="1:7">
      <c r="A57" s="250"/>
      <c r="B57" s="225"/>
      <c r="C57" s="304"/>
      <c r="D57" s="304"/>
      <c r="E57" s="305"/>
      <c r="F57" s="305"/>
      <c r="G57" s="232"/>
    </row>
    <row r="58" spans="1:7">
      <c r="A58" s="251" t="s">
        <v>151</v>
      </c>
      <c r="B58" s="233"/>
      <c r="C58" s="358"/>
      <c r="D58" s="359"/>
      <c r="E58" s="359"/>
      <c r="F58" s="359"/>
      <c r="G58" s="360"/>
    </row>
    <row r="59" spans="1:7">
      <c r="A59" s="43"/>
      <c r="B59" s="225"/>
      <c r="C59" s="229"/>
      <c r="D59" s="229"/>
      <c r="E59" s="229"/>
      <c r="F59" s="230"/>
      <c r="G59" s="231"/>
    </row>
    <row r="60" spans="1:7">
      <c r="A60" s="250" t="s">
        <v>152</v>
      </c>
      <c r="B60" s="225"/>
      <c r="C60" s="358"/>
      <c r="D60" s="359"/>
      <c r="E60" s="359"/>
      <c r="F60" s="359"/>
      <c r="G60" s="360"/>
    </row>
    <row r="61" spans="1:7" ht="15" thickBot="1">
      <c r="A61" s="252"/>
      <c r="B61" s="234"/>
      <c r="C61" s="235"/>
      <c r="D61" s="235"/>
      <c r="E61" s="235"/>
      <c r="F61" s="236"/>
      <c r="G61" s="237"/>
    </row>
    <row r="62" spans="1:7">
      <c r="A62" s="257" t="s">
        <v>153</v>
      </c>
    </row>
    <row r="63" spans="1:7">
      <c r="A63" s="194"/>
    </row>
    <row r="64" spans="1:7">
      <c r="A64" s="194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91"/>
  <sheetViews>
    <sheetView topLeftCell="A174" workbookViewId="0">
      <selection activeCell="I186" sqref="I186"/>
    </sheetView>
  </sheetViews>
  <sheetFormatPr defaultRowHeight="14.45"/>
  <cols>
    <col min="2" max="2" width="19.42578125" customWidth="1"/>
    <col min="3" max="3" width="10.28515625" bestFit="1" customWidth="1"/>
    <col min="4" max="4" width="19.28515625" customWidth="1"/>
    <col min="5" max="5" width="15.28515625" bestFit="1" customWidth="1"/>
    <col min="6" max="6" width="16.7109375" customWidth="1"/>
    <col min="7" max="7" width="16.28515625" bestFit="1" customWidth="1"/>
    <col min="8" max="8" width="15.28515625" bestFit="1" customWidth="1"/>
    <col min="10" max="10" width="18" bestFit="1" customWidth="1"/>
    <col min="11" max="11" width="15.28515625" bestFit="1" customWidth="1"/>
  </cols>
  <sheetData>
    <row r="1" spans="2:6">
      <c r="D1" s="6">
        <v>42795</v>
      </c>
    </row>
    <row r="2" spans="2:6" ht="42"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</row>
    <row r="3" spans="2:6">
      <c r="B3" s="7" t="s">
        <v>159</v>
      </c>
      <c r="C3" s="163">
        <v>56175</v>
      </c>
      <c r="D3" s="164">
        <v>19937009805.419998</v>
      </c>
      <c r="E3" s="54">
        <v>0</v>
      </c>
      <c r="F3" s="9">
        <f>D3*E3</f>
        <v>0</v>
      </c>
    </row>
    <row r="4" spans="2:6">
      <c r="B4" s="7" t="s">
        <v>160</v>
      </c>
      <c r="C4" s="163">
        <v>342</v>
      </c>
      <c r="D4" s="164">
        <v>609646086.78999996</v>
      </c>
      <c r="E4" s="54">
        <v>0.05</v>
      </c>
      <c r="F4" s="9">
        <f>D4*E4</f>
        <v>30482304.339499999</v>
      </c>
    </row>
    <row r="5" spans="2:6">
      <c r="B5" s="7" t="s">
        <v>161</v>
      </c>
      <c r="C5" s="163">
        <v>721</v>
      </c>
      <c r="D5" s="164">
        <v>531767556.41000003</v>
      </c>
      <c r="E5" s="54">
        <v>0.25</v>
      </c>
      <c r="F5" s="9">
        <f>D5*E5</f>
        <v>132941889.10250001</v>
      </c>
    </row>
    <row r="6" spans="2:6">
      <c r="B6" s="7" t="s">
        <v>162</v>
      </c>
      <c r="C6" s="163">
        <v>182</v>
      </c>
      <c r="D6" s="164">
        <v>133021988.66</v>
      </c>
      <c r="E6" s="54">
        <v>0.5</v>
      </c>
      <c r="F6" s="9">
        <f>D6*E6</f>
        <v>66510994.329999998</v>
      </c>
    </row>
    <row r="7" spans="2:6">
      <c r="B7" s="7" t="s">
        <v>163</v>
      </c>
      <c r="C7" s="163">
        <v>285</v>
      </c>
      <c r="D7" s="164">
        <v>53640300.170000002</v>
      </c>
      <c r="E7" s="54">
        <v>1</v>
      </c>
      <c r="F7" s="9">
        <f>D7*E7</f>
        <v>53640300.170000002</v>
      </c>
    </row>
    <row r="8" spans="2:6">
      <c r="B8" s="8" t="s">
        <v>164</v>
      </c>
      <c r="C8" s="9">
        <f>SUM(C3:C7)</f>
        <v>57705</v>
      </c>
      <c r="D8" s="9">
        <f>SUM(D3:D7)</f>
        <v>21265085737.449997</v>
      </c>
      <c r="E8" s="9"/>
      <c r="F8" s="9">
        <f>SUM(F3:F7)</f>
        <v>283575487.94200003</v>
      </c>
    </row>
    <row r="10" spans="2:6">
      <c r="D10" s="6">
        <v>42887</v>
      </c>
    </row>
    <row r="11" spans="2:6" ht="42">
      <c r="B11" s="1" t="s">
        <v>154</v>
      </c>
      <c r="C11" s="1" t="s">
        <v>155</v>
      </c>
      <c r="D11" s="1" t="s">
        <v>156</v>
      </c>
      <c r="E11" s="1" t="s">
        <v>157</v>
      </c>
      <c r="F11" s="1" t="s">
        <v>158</v>
      </c>
    </row>
    <row r="12" spans="2:6">
      <c r="B12" s="7" t="s">
        <v>159</v>
      </c>
      <c r="C12" s="163">
        <v>52931</v>
      </c>
      <c r="D12" s="164">
        <v>20932768544.220001</v>
      </c>
      <c r="E12" s="54">
        <v>0.01</v>
      </c>
      <c r="F12" s="9">
        <f>D12*E12</f>
        <v>209327685.44220001</v>
      </c>
    </row>
    <row r="13" spans="2:6">
      <c r="B13" s="7" t="s">
        <v>160</v>
      </c>
      <c r="C13" s="163">
        <v>1072</v>
      </c>
      <c r="D13" s="164">
        <v>693028461.50999999</v>
      </c>
      <c r="E13" s="54">
        <v>0.05</v>
      </c>
      <c r="F13" s="9">
        <f>D13*E13</f>
        <v>34651423.075500004</v>
      </c>
    </row>
    <row r="14" spans="2:6">
      <c r="B14" s="7" t="s">
        <v>161</v>
      </c>
      <c r="C14" s="163">
        <v>237</v>
      </c>
      <c r="D14" s="164">
        <v>211014184.63</v>
      </c>
      <c r="E14" s="54">
        <v>0.25</v>
      </c>
      <c r="F14" s="9">
        <f>D14*E14</f>
        <v>52753546.157499999</v>
      </c>
    </row>
    <row r="15" spans="2:6">
      <c r="B15" s="7" t="s">
        <v>162</v>
      </c>
      <c r="C15" s="163">
        <v>75</v>
      </c>
      <c r="D15" s="164">
        <v>31560414.329999998</v>
      </c>
      <c r="E15" s="54">
        <v>0.5</v>
      </c>
      <c r="F15" s="9">
        <f>D15*E15</f>
        <v>15780207.164999999</v>
      </c>
    </row>
    <row r="16" spans="2:6">
      <c r="B16" s="7" t="s">
        <v>163</v>
      </c>
      <c r="C16" s="163">
        <v>16</v>
      </c>
      <c r="D16" s="164">
        <v>4449341.3099999996</v>
      </c>
      <c r="E16" s="54">
        <v>1</v>
      </c>
      <c r="F16" s="9">
        <f>D16*E16</f>
        <v>4449341.3099999996</v>
      </c>
    </row>
    <row r="17" spans="2:7">
      <c r="B17" s="8" t="s">
        <v>164</v>
      </c>
      <c r="C17" s="92">
        <f>SUM(C12:C16)</f>
        <v>54331</v>
      </c>
      <c r="D17" s="93">
        <f>SUM(D12:D16)</f>
        <v>21872820946.000004</v>
      </c>
      <c r="E17" s="9">
        <v>1.81</v>
      </c>
      <c r="F17" s="9">
        <f>SUM(F12:F16)</f>
        <v>316962203.15020001</v>
      </c>
    </row>
    <row r="18" spans="2:7">
      <c r="B18" s="165"/>
      <c r="C18" s="166" t="s">
        <v>165</v>
      </c>
      <c r="D18" s="166">
        <f>SUM(D14:D16)</f>
        <v>247023940.26999998</v>
      </c>
      <c r="E18" s="166"/>
      <c r="F18" s="166"/>
    </row>
    <row r="19" spans="2:7">
      <c r="B19" s="165"/>
      <c r="C19" t="s">
        <v>166</v>
      </c>
      <c r="D19" s="167">
        <f>D18/D17</f>
        <v>1.1293647988060476E-2</v>
      </c>
      <c r="E19" s="166"/>
      <c r="F19" s="166"/>
    </row>
    <row r="21" spans="2:7">
      <c r="D21" s="6">
        <v>42979</v>
      </c>
    </row>
    <row r="22" spans="2:7" ht="42"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158</v>
      </c>
    </row>
    <row r="23" spans="2:7">
      <c r="B23" s="7" t="s">
        <v>159</v>
      </c>
      <c r="C23" s="163">
        <v>48840</v>
      </c>
      <c r="D23" s="164">
        <v>19551006671</v>
      </c>
      <c r="E23" s="54">
        <v>0.01</v>
      </c>
      <c r="F23" s="9"/>
    </row>
    <row r="24" spans="2:7">
      <c r="B24" s="7" t="s">
        <v>160</v>
      </c>
      <c r="C24" s="163">
        <v>2088</v>
      </c>
      <c r="D24" s="164">
        <v>1043706144.11</v>
      </c>
      <c r="E24" s="54">
        <v>0.05</v>
      </c>
      <c r="F24" s="9">
        <f>D24*E24</f>
        <v>52185307.205500007</v>
      </c>
    </row>
    <row r="25" spans="2:7">
      <c r="B25" s="7" t="s">
        <v>161</v>
      </c>
      <c r="C25" s="163">
        <v>4389</v>
      </c>
      <c r="D25" s="164">
        <v>1512518495.1099999</v>
      </c>
      <c r="E25" s="54">
        <v>0.25</v>
      </c>
      <c r="F25" s="9">
        <f>D25*E25</f>
        <v>378129623.77749997</v>
      </c>
      <c r="G25" s="27"/>
    </row>
    <row r="26" spans="2:7">
      <c r="B26" s="7" t="s">
        <v>162</v>
      </c>
      <c r="C26" s="163">
        <v>927</v>
      </c>
      <c r="D26" s="164">
        <v>421150238.88</v>
      </c>
      <c r="E26" s="54">
        <v>0.5</v>
      </c>
      <c r="F26" s="9">
        <f>D26*E26</f>
        <v>210575119.44</v>
      </c>
      <c r="G26" s="167"/>
    </row>
    <row r="27" spans="2:7">
      <c r="B27" s="7" t="s">
        <v>163</v>
      </c>
      <c r="C27" s="163">
        <v>1102</v>
      </c>
      <c r="D27" s="164">
        <v>229316298</v>
      </c>
      <c r="E27" s="54">
        <v>1</v>
      </c>
      <c r="F27" s="9">
        <f>D27*E27</f>
        <v>229316298</v>
      </c>
    </row>
    <row r="28" spans="2:7">
      <c r="B28" s="8" t="s">
        <v>164</v>
      </c>
      <c r="C28" s="9">
        <f>SUM(C23:C27)</f>
        <v>57346</v>
      </c>
      <c r="D28" s="9">
        <f>SUM(D23:D27)</f>
        <v>22757697847.100002</v>
      </c>
      <c r="E28" s="9"/>
      <c r="F28" s="9">
        <f>SUM(F23:F27)</f>
        <v>870206348.42299998</v>
      </c>
    </row>
    <row r="29" spans="2:7">
      <c r="B29" s="165"/>
      <c r="C29" s="166" t="s">
        <v>165</v>
      </c>
      <c r="D29" s="166">
        <f>SUM(D25:D27)</f>
        <v>2162985031.9899998</v>
      </c>
      <c r="E29" s="166"/>
      <c r="F29" s="166"/>
    </row>
    <row r="30" spans="2:7">
      <c r="C30" t="s">
        <v>166</v>
      </c>
      <c r="D30" s="167">
        <f>D29/D28</f>
        <v>9.5044105362600523E-2</v>
      </c>
    </row>
    <row r="31" spans="2:7">
      <c r="D31" s="167"/>
    </row>
    <row r="32" spans="2:7">
      <c r="D32" s="6">
        <v>43070</v>
      </c>
    </row>
    <row r="33" spans="2:8" ht="42"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158</v>
      </c>
    </row>
    <row r="34" spans="2:8">
      <c r="B34" s="7" t="s">
        <v>159</v>
      </c>
      <c r="C34" s="163">
        <v>50625</v>
      </c>
      <c r="D34" s="164">
        <v>20056569306.52</v>
      </c>
      <c r="E34" s="10">
        <v>0</v>
      </c>
      <c r="F34" s="9">
        <f>D34*E34</f>
        <v>0</v>
      </c>
    </row>
    <row r="35" spans="2:8">
      <c r="B35" s="7" t="s">
        <v>160</v>
      </c>
      <c r="C35" s="163">
        <v>1985</v>
      </c>
      <c r="D35" s="164">
        <v>817339191</v>
      </c>
      <c r="E35" s="10">
        <v>0.05</v>
      </c>
      <c r="F35" s="9">
        <f>D35*E35</f>
        <v>40866959.550000004</v>
      </c>
    </row>
    <row r="36" spans="2:8">
      <c r="B36" s="7" t="s">
        <v>161</v>
      </c>
      <c r="C36" s="163">
        <v>4389</v>
      </c>
      <c r="D36" s="164">
        <v>1210704621.0999999</v>
      </c>
      <c r="E36" s="10">
        <v>0.25</v>
      </c>
      <c r="F36" s="9">
        <f>D36*E36</f>
        <v>302676155.27499998</v>
      </c>
    </row>
    <row r="37" spans="2:8">
      <c r="B37" s="7" t="s">
        <v>162</v>
      </c>
      <c r="C37" s="163">
        <v>1012</v>
      </c>
      <c r="D37" s="164">
        <v>640418237.69000006</v>
      </c>
      <c r="E37" s="10">
        <v>0.5</v>
      </c>
      <c r="F37" s="9">
        <f>D37*E37</f>
        <v>320209118.84500003</v>
      </c>
    </row>
    <row r="38" spans="2:8">
      <c r="B38" s="7" t="s">
        <v>163</v>
      </c>
      <c r="C38" s="163">
        <v>1121</v>
      </c>
      <c r="D38" s="164">
        <v>481248640.63</v>
      </c>
      <c r="E38" s="10">
        <v>1</v>
      </c>
      <c r="F38" s="9">
        <f>D38*E38</f>
        <v>481248640.63</v>
      </c>
    </row>
    <row r="39" spans="2:8">
      <c r="B39" s="8" t="s">
        <v>164</v>
      </c>
      <c r="C39" s="9">
        <f>SUM(C34:C38)</f>
        <v>59132</v>
      </c>
      <c r="D39" s="9">
        <f>SUM(D34:D38)</f>
        <v>23206279996.939999</v>
      </c>
      <c r="E39" s="9">
        <v>1.81</v>
      </c>
      <c r="F39" s="9">
        <f>SUM(F34:F38)</f>
        <v>1145000874.3000002</v>
      </c>
    </row>
    <row r="40" spans="2:8">
      <c r="C40" s="166" t="s">
        <v>165</v>
      </c>
      <c r="D40" s="166">
        <f>SUM(D36:D38)</f>
        <v>2332371499.4200001</v>
      </c>
    </row>
    <row r="41" spans="2:8">
      <c r="C41" t="s">
        <v>166</v>
      </c>
      <c r="D41" s="167">
        <f>D40/D39</f>
        <v>0.10050604835103036</v>
      </c>
    </row>
    <row r="43" spans="2:8">
      <c r="D43" s="6" t="s">
        <v>167</v>
      </c>
    </row>
    <row r="44" spans="2:8" ht="42">
      <c r="B44" s="1" t="s">
        <v>154</v>
      </c>
      <c r="C44" s="1" t="s">
        <v>155</v>
      </c>
      <c r="D44" s="1" t="s">
        <v>156</v>
      </c>
      <c r="E44" s="1" t="s">
        <v>157</v>
      </c>
      <c r="F44" s="1" t="s">
        <v>158</v>
      </c>
      <c r="H44" s="258"/>
    </row>
    <row r="45" spans="2:8">
      <c r="B45" s="7" t="s">
        <v>159</v>
      </c>
      <c r="C45" s="13"/>
      <c r="D45" s="15"/>
      <c r="E45" s="10">
        <v>0</v>
      </c>
      <c r="F45" s="9">
        <f>D45*E45</f>
        <v>0</v>
      </c>
    </row>
    <row r="46" spans="2:8">
      <c r="B46" s="7" t="s">
        <v>160</v>
      </c>
      <c r="C46" s="13"/>
      <c r="D46" s="15"/>
      <c r="E46" s="10">
        <v>0.05</v>
      </c>
      <c r="F46" s="9">
        <v>6739000</v>
      </c>
    </row>
    <row r="47" spans="2:8">
      <c r="B47" s="7" t="s">
        <v>161</v>
      </c>
      <c r="C47" s="13"/>
      <c r="D47" s="15"/>
      <c r="E47" s="10">
        <v>0.25</v>
      </c>
      <c r="F47" s="9">
        <v>54183000</v>
      </c>
      <c r="H47" s="167" t="e">
        <f>SUM(D47:D49)/D50</f>
        <v>#DIV/0!</v>
      </c>
    </row>
    <row r="48" spans="2:8">
      <c r="B48" s="7" t="s">
        <v>162</v>
      </c>
      <c r="C48" s="13"/>
      <c r="D48" s="15"/>
      <c r="E48" s="10">
        <v>0.5</v>
      </c>
      <c r="F48" s="9">
        <v>33315000</v>
      </c>
    </row>
    <row r="49" spans="2:10">
      <c r="B49" s="7" t="s">
        <v>163</v>
      </c>
      <c r="C49" s="13"/>
      <c r="D49" s="15"/>
      <c r="E49" s="10">
        <v>1</v>
      </c>
      <c r="F49" s="9">
        <v>11377000</v>
      </c>
    </row>
    <row r="50" spans="2:10">
      <c r="B50" s="8" t="s">
        <v>164</v>
      </c>
      <c r="C50" s="9">
        <f>SUM(C45:C49)</f>
        <v>0</v>
      </c>
      <c r="D50" s="9">
        <f>SUM(D45:D49)</f>
        <v>0</v>
      </c>
      <c r="E50" s="9">
        <v>1.81</v>
      </c>
      <c r="F50" s="9">
        <f>SUM(F45:F49)</f>
        <v>105614000</v>
      </c>
      <c r="J50" s="27"/>
    </row>
    <row r="53" spans="2:10" ht="15.6">
      <c r="B53" s="173"/>
      <c r="C53" s="173"/>
      <c r="D53" s="174">
        <v>43160</v>
      </c>
      <c r="E53" s="173"/>
      <c r="F53" s="173"/>
      <c r="G53" s="173"/>
      <c r="H53" s="173"/>
      <c r="I53" s="173"/>
    </row>
    <row r="54" spans="2:10" ht="42">
      <c r="B54" s="175" t="s">
        <v>154</v>
      </c>
      <c r="C54" s="175" t="s">
        <v>155</v>
      </c>
      <c r="D54" s="175" t="s">
        <v>156</v>
      </c>
      <c r="E54" s="175" t="s">
        <v>157</v>
      </c>
      <c r="F54" s="175" t="s">
        <v>158</v>
      </c>
      <c r="G54" s="173"/>
      <c r="H54" s="173"/>
      <c r="I54" s="173"/>
    </row>
    <row r="55" spans="2:10">
      <c r="B55" s="176" t="s">
        <v>159</v>
      </c>
      <c r="C55" s="163">
        <v>47697</v>
      </c>
      <c r="D55" s="164">
        <v>21205446512.380001</v>
      </c>
      <c r="E55" s="177">
        <v>0</v>
      </c>
      <c r="F55" s="178">
        <f>D55*E55</f>
        <v>0</v>
      </c>
      <c r="G55" s="173"/>
      <c r="H55" s="173"/>
      <c r="I55" s="173"/>
    </row>
    <row r="56" spans="2:10">
      <c r="B56" s="176" t="s">
        <v>160</v>
      </c>
      <c r="C56" s="163">
        <v>26917</v>
      </c>
      <c r="D56" s="164">
        <v>679334117.84000003</v>
      </c>
      <c r="E56" s="177">
        <v>0.05</v>
      </c>
      <c r="F56" s="178">
        <f>D56*E56</f>
        <v>33966705.892000005</v>
      </c>
      <c r="G56" s="173"/>
      <c r="H56" s="173"/>
      <c r="I56" s="173"/>
    </row>
    <row r="57" spans="2:10">
      <c r="B57" s="176" t="s">
        <v>161</v>
      </c>
      <c r="C57" s="163">
        <v>3726</v>
      </c>
      <c r="D57" s="164">
        <v>1003759004.14</v>
      </c>
      <c r="E57" s="177">
        <v>0.25</v>
      </c>
      <c r="F57" s="178">
        <f>D57*E57</f>
        <v>250939751.035</v>
      </c>
      <c r="G57" s="173"/>
      <c r="H57" s="173"/>
      <c r="I57" s="173"/>
    </row>
    <row r="58" spans="2:10">
      <c r="B58" s="176" t="s">
        <v>162</v>
      </c>
      <c r="C58" s="163">
        <v>2799</v>
      </c>
      <c r="D58" s="164">
        <v>349180885.67000002</v>
      </c>
      <c r="E58" s="177">
        <v>0.5</v>
      </c>
      <c r="F58" s="178">
        <f>D58*E58</f>
        <v>174590442.83500001</v>
      </c>
      <c r="G58" s="173"/>
      <c r="H58" s="173"/>
      <c r="I58" s="173"/>
    </row>
    <row r="59" spans="2:10">
      <c r="B59" s="176" t="s">
        <v>163</v>
      </c>
      <c r="C59" s="163">
        <v>1768</v>
      </c>
      <c r="D59" s="164">
        <v>291922505.44999999</v>
      </c>
      <c r="E59" s="177">
        <v>1</v>
      </c>
      <c r="F59" s="178">
        <f>D59*E59</f>
        <v>291922505.44999999</v>
      </c>
      <c r="G59" s="173"/>
      <c r="H59" s="173"/>
      <c r="I59" s="173"/>
    </row>
    <row r="60" spans="2:10">
      <c r="B60" s="179" t="s">
        <v>164</v>
      </c>
      <c r="C60" s="180">
        <v>82907</v>
      </c>
      <c r="D60" s="180">
        <v>23529643025.48</v>
      </c>
      <c r="E60" s="181"/>
      <c r="F60" s="181">
        <f>SUM(F55:F59)</f>
        <v>751419405.21199989</v>
      </c>
      <c r="G60" s="173"/>
      <c r="H60" s="173" t="s">
        <v>165</v>
      </c>
      <c r="I60" s="188">
        <f>(D57+D58+D59)/D60</f>
        <v>6.9905964721980532E-2</v>
      </c>
    </row>
    <row r="61" spans="2:10">
      <c r="B61" s="173"/>
      <c r="C61" s="173"/>
      <c r="D61" s="173"/>
      <c r="E61" s="173"/>
      <c r="F61" s="173"/>
      <c r="G61" s="173"/>
      <c r="H61" s="173"/>
      <c r="I61" s="173"/>
    </row>
    <row r="62" spans="2:10" ht="15.6">
      <c r="B62" s="173"/>
      <c r="C62" s="173"/>
      <c r="D62" s="174">
        <v>43252</v>
      </c>
      <c r="E62" s="173"/>
      <c r="F62" s="173"/>
      <c r="G62" s="173"/>
      <c r="H62" s="173"/>
      <c r="I62" s="173"/>
    </row>
    <row r="63" spans="2:10" ht="42">
      <c r="B63" s="175" t="s">
        <v>154</v>
      </c>
      <c r="C63" s="175" t="s">
        <v>155</v>
      </c>
      <c r="D63" s="175" t="s">
        <v>156</v>
      </c>
      <c r="E63" s="175" t="s">
        <v>157</v>
      </c>
      <c r="F63" s="175" t="s">
        <v>158</v>
      </c>
      <c r="G63" s="173"/>
      <c r="H63" s="173"/>
      <c r="I63" s="173"/>
    </row>
    <row r="64" spans="2:10">
      <c r="B64" s="176" t="s">
        <v>159</v>
      </c>
      <c r="C64" s="183">
        <v>49406</v>
      </c>
      <c r="D64" s="184">
        <v>21905083798.699989</v>
      </c>
      <c r="E64" s="177">
        <v>0.01</v>
      </c>
      <c r="F64" s="178"/>
      <c r="G64" s="173"/>
      <c r="H64" s="173"/>
      <c r="I64" s="173"/>
    </row>
    <row r="65" spans="2:9">
      <c r="B65" s="176" t="s">
        <v>160</v>
      </c>
      <c r="C65" s="183">
        <v>3346</v>
      </c>
      <c r="D65" s="184">
        <v>642855120.53000247</v>
      </c>
      <c r="E65" s="177">
        <v>0.05</v>
      </c>
      <c r="F65" s="178">
        <f>D65*E65</f>
        <v>32142756.026500124</v>
      </c>
      <c r="G65" s="173"/>
      <c r="H65" s="173"/>
      <c r="I65" s="173"/>
    </row>
    <row r="66" spans="2:9">
      <c r="B66" s="176" t="s">
        <v>161</v>
      </c>
      <c r="C66" s="183">
        <v>4337</v>
      </c>
      <c r="D66" s="184">
        <v>983189685.46000159</v>
      </c>
      <c r="E66" s="177">
        <v>0.25</v>
      </c>
      <c r="F66" s="178">
        <f>D66*E66</f>
        <v>245797421.3650004</v>
      </c>
      <c r="G66" s="173"/>
      <c r="H66" s="173"/>
      <c r="I66" s="173"/>
    </row>
    <row r="67" spans="2:9">
      <c r="B67" s="176" t="s">
        <v>162</v>
      </c>
      <c r="C67" s="183">
        <v>1945</v>
      </c>
      <c r="D67" s="184">
        <v>206613780.05999917</v>
      </c>
      <c r="E67" s="177">
        <v>0.5</v>
      </c>
      <c r="F67" s="178">
        <f>D67*E67</f>
        <v>103306890.02999958</v>
      </c>
      <c r="G67" s="173"/>
      <c r="H67" s="173"/>
      <c r="I67" s="173"/>
    </row>
    <row r="68" spans="2:9">
      <c r="B68" s="176" t="s">
        <v>163</v>
      </c>
      <c r="C68" s="183">
        <v>2419</v>
      </c>
      <c r="D68" s="184">
        <v>355254366.22999889</v>
      </c>
      <c r="E68" s="177">
        <v>1</v>
      </c>
      <c r="F68" s="178">
        <f>D68*E68</f>
        <v>355254366.22999889</v>
      </c>
      <c r="G68" s="173"/>
      <c r="H68" s="173"/>
      <c r="I68" s="173"/>
    </row>
    <row r="69" spans="2:9">
      <c r="B69" s="179" t="s">
        <v>164</v>
      </c>
      <c r="C69" s="185">
        <f>SUM(C64:C68)</f>
        <v>61453</v>
      </c>
      <c r="D69" s="185">
        <f>SUM(D64:D68)</f>
        <v>24092996750.979992</v>
      </c>
      <c r="E69" s="185"/>
      <c r="F69" s="185">
        <f>SUM(F64:F68)</f>
        <v>736501433.65149903</v>
      </c>
      <c r="G69" s="173"/>
      <c r="H69" s="173" t="s">
        <v>165</v>
      </c>
      <c r="I69" s="182">
        <f>(D66+D67+D68)/D69</f>
        <v>6.4128918777493035E-2</v>
      </c>
    </row>
    <row r="70" spans="2:9">
      <c r="B70" s="186"/>
      <c r="C70" s="187" t="s">
        <v>165</v>
      </c>
      <c r="D70" s="187">
        <f>SUM(D66:D68)</f>
        <v>1545057831.7499995</v>
      </c>
      <c r="E70" s="187"/>
      <c r="F70" s="187"/>
      <c r="G70" s="173"/>
      <c r="H70" s="173"/>
      <c r="I70" s="173"/>
    </row>
    <row r="71" spans="2:9">
      <c r="B71" s="186"/>
      <c r="C71" s="173" t="s">
        <v>166</v>
      </c>
      <c r="D71" s="188">
        <f>D70/D69</f>
        <v>6.4128918777493035E-2</v>
      </c>
      <c r="E71" s="187"/>
      <c r="F71" s="187"/>
      <c r="G71" s="173"/>
      <c r="H71" s="173"/>
      <c r="I71" s="173"/>
    </row>
    <row r="72" spans="2:9">
      <c r="B72" s="173"/>
      <c r="C72" s="173"/>
      <c r="D72" s="173"/>
      <c r="E72" s="173"/>
      <c r="F72" s="173"/>
      <c r="G72" s="173"/>
      <c r="H72" s="173"/>
      <c r="I72" s="173"/>
    </row>
    <row r="73" spans="2:9" ht="15.6">
      <c r="B73" s="173"/>
      <c r="C73" s="173"/>
      <c r="D73" s="174">
        <v>43344</v>
      </c>
      <c r="E73" s="173"/>
      <c r="F73" s="173"/>
      <c r="G73" s="173"/>
      <c r="H73" s="173"/>
      <c r="I73" s="173"/>
    </row>
    <row r="74" spans="2:9" ht="42">
      <c r="B74" s="175" t="s">
        <v>154</v>
      </c>
      <c r="C74" s="175" t="s">
        <v>155</v>
      </c>
      <c r="D74" s="175" t="s">
        <v>156</v>
      </c>
      <c r="E74" s="175" t="s">
        <v>157</v>
      </c>
      <c r="F74" s="175" t="s">
        <v>158</v>
      </c>
      <c r="G74" s="173"/>
      <c r="H74" s="173"/>
      <c r="I74" s="173"/>
    </row>
    <row r="75" spans="2:9">
      <c r="B75" s="176" t="s">
        <v>159</v>
      </c>
      <c r="C75" s="163">
        <v>52325</v>
      </c>
      <c r="D75" s="164">
        <v>23771722681.889999</v>
      </c>
      <c r="E75" s="177">
        <v>0.01</v>
      </c>
      <c r="F75" s="178"/>
      <c r="G75" s="173"/>
      <c r="H75" s="173"/>
      <c r="I75" s="173"/>
    </row>
    <row r="76" spans="2:9">
      <c r="B76" s="176" t="s">
        <v>160</v>
      </c>
      <c r="C76" s="163">
        <v>3425</v>
      </c>
      <c r="D76" s="164">
        <v>570533993.13999999</v>
      </c>
      <c r="E76" s="177">
        <v>0.05</v>
      </c>
      <c r="F76" s="178">
        <f>D76*E76</f>
        <v>28526699.657000002</v>
      </c>
      <c r="G76" s="173"/>
      <c r="H76" s="173"/>
      <c r="I76" s="173"/>
    </row>
    <row r="77" spans="2:9">
      <c r="B77" s="176" t="s">
        <v>161</v>
      </c>
      <c r="C77" s="163">
        <v>3825</v>
      </c>
      <c r="D77" s="164">
        <v>290218253.19</v>
      </c>
      <c r="E77" s="177">
        <v>0.25</v>
      </c>
      <c r="F77" s="178">
        <f>D77*E77</f>
        <v>72554563.297499999</v>
      </c>
      <c r="G77" s="173"/>
      <c r="H77" s="173"/>
      <c r="I77" s="173"/>
    </row>
    <row r="78" spans="2:9">
      <c r="B78" s="176" t="s">
        <v>162</v>
      </c>
      <c r="C78" s="163">
        <v>1852</v>
      </c>
      <c r="D78" s="164">
        <v>27072771.289999999</v>
      </c>
      <c r="E78" s="177">
        <v>0.5</v>
      </c>
      <c r="F78" s="178">
        <f>D78*E78</f>
        <v>13536385.645</v>
      </c>
      <c r="G78" s="173"/>
      <c r="H78" s="173"/>
      <c r="I78" s="173"/>
    </row>
    <row r="79" spans="2:9">
      <c r="B79" s="176" t="s">
        <v>163</v>
      </c>
      <c r="C79" s="163">
        <v>2325</v>
      </c>
      <c r="D79" s="164">
        <v>150751465.06999999</v>
      </c>
      <c r="E79" s="177">
        <v>1</v>
      </c>
      <c r="F79" s="178">
        <f>D79*E79</f>
        <v>150751465.06999999</v>
      </c>
      <c r="G79" s="173"/>
      <c r="H79" s="173"/>
      <c r="I79" s="173"/>
    </row>
    <row r="80" spans="2:9">
      <c r="B80" s="179" t="s">
        <v>164</v>
      </c>
      <c r="C80" s="210">
        <v>63752</v>
      </c>
      <c r="D80" s="210">
        <v>24810299164.579998</v>
      </c>
      <c r="E80" s="178"/>
      <c r="F80" s="178">
        <f>SUM(F75:F79)</f>
        <v>265369113.66949999</v>
      </c>
      <c r="G80" s="173"/>
      <c r="H80" s="173" t="s">
        <v>165</v>
      </c>
      <c r="I80" s="182">
        <f>(D77+D78+D79)/D80</f>
        <v>1.8864846668926627E-2</v>
      </c>
    </row>
    <row r="81" spans="2:9">
      <c r="B81" s="186"/>
      <c r="C81" s="187" t="s">
        <v>165</v>
      </c>
      <c r="D81" s="187">
        <f>SUM(D77:D79)</f>
        <v>468042489.55000001</v>
      </c>
      <c r="E81" s="187"/>
      <c r="F81" s="187"/>
      <c r="G81" s="173"/>
      <c r="H81" s="173"/>
      <c r="I81" s="173"/>
    </row>
    <row r="82" spans="2:9">
      <c r="B82" s="173"/>
      <c r="C82" s="173" t="s">
        <v>166</v>
      </c>
      <c r="D82" s="188">
        <f>D81/D80</f>
        <v>1.8864846668926627E-2</v>
      </c>
      <c r="E82" s="173"/>
      <c r="F82" s="173"/>
      <c r="G82" s="173"/>
      <c r="H82" s="173"/>
      <c r="I82" s="173"/>
    </row>
    <row r="83" spans="2:9">
      <c r="B83" s="173"/>
      <c r="C83" s="173"/>
      <c r="D83" s="188"/>
      <c r="E83" s="173"/>
      <c r="F83" s="173"/>
      <c r="G83" s="173"/>
      <c r="H83" s="173"/>
      <c r="I83" s="173"/>
    </row>
    <row r="84" spans="2:9" ht="15.6">
      <c r="B84" s="173"/>
      <c r="C84" s="173"/>
      <c r="D84" s="174">
        <v>43435</v>
      </c>
      <c r="E84" s="173"/>
      <c r="F84" s="173"/>
      <c r="G84" s="173"/>
      <c r="H84" s="173"/>
      <c r="I84" s="173"/>
    </row>
    <row r="85" spans="2:9" ht="42">
      <c r="B85" s="175" t="s">
        <v>154</v>
      </c>
      <c r="C85" s="175" t="s">
        <v>155</v>
      </c>
      <c r="D85" s="175" t="s">
        <v>156</v>
      </c>
      <c r="E85" s="175" t="s">
        <v>157</v>
      </c>
      <c r="F85" s="175" t="s">
        <v>158</v>
      </c>
      <c r="G85" s="173"/>
      <c r="H85" s="173"/>
      <c r="I85" s="173"/>
    </row>
    <row r="86" spans="2:9">
      <c r="B86" s="176" t="s">
        <v>159</v>
      </c>
      <c r="C86" s="183"/>
      <c r="D86" s="184"/>
      <c r="E86" s="189">
        <v>0</v>
      </c>
      <c r="F86" s="178">
        <f>D86*E86</f>
        <v>0</v>
      </c>
      <c r="G86" s="173"/>
      <c r="H86" s="173"/>
      <c r="I86" s="173"/>
    </row>
    <row r="87" spans="2:9">
      <c r="B87" s="176" t="s">
        <v>160</v>
      </c>
      <c r="C87" s="183"/>
      <c r="D87" s="184"/>
      <c r="E87" s="189">
        <v>0.05</v>
      </c>
      <c r="F87" s="178">
        <f>D87*E87</f>
        <v>0</v>
      </c>
      <c r="G87" s="173"/>
      <c r="H87" s="173"/>
      <c r="I87" s="173"/>
    </row>
    <row r="88" spans="2:9">
      <c r="B88" s="176" t="s">
        <v>161</v>
      </c>
      <c r="C88" s="183"/>
      <c r="D88" s="184"/>
      <c r="E88" s="189">
        <v>0.25</v>
      </c>
      <c r="F88" s="178">
        <f>D88*E88</f>
        <v>0</v>
      </c>
      <c r="G88" s="173"/>
      <c r="H88" s="173"/>
      <c r="I88" s="173"/>
    </row>
    <row r="89" spans="2:9">
      <c r="B89" s="176" t="s">
        <v>162</v>
      </c>
      <c r="C89" s="183"/>
      <c r="D89" s="184"/>
      <c r="E89" s="189">
        <v>0.5</v>
      </c>
      <c r="F89" s="178">
        <f>D89*E89</f>
        <v>0</v>
      </c>
      <c r="G89" s="173"/>
      <c r="H89" s="173"/>
      <c r="I89" s="173"/>
    </row>
    <row r="90" spans="2:9">
      <c r="B90" s="176" t="s">
        <v>163</v>
      </c>
      <c r="C90" s="183"/>
      <c r="D90" s="184"/>
      <c r="E90" s="189">
        <v>1</v>
      </c>
      <c r="F90" s="178">
        <f>D90*E90</f>
        <v>0</v>
      </c>
      <c r="G90" s="173"/>
      <c r="H90" s="173"/>
      <c r="I90" s="173"/>
    </row>
    <row r="91" spans="2:9">
      <c r="B91" s="179" t="s">
        <v>164</v>
      </c>
      <c r="C91" s="178"/>
      <c r="D91" s="178"/>
      <c r="E91" s="178">
        <v>1.81</v>
      </c>
      <c r="F91" s="178">
        <f>SUM(F86:F90)</f>
        <v>0</v>
      </c>
      <c r="G91" s="173"/>
      <c r="H91" s="173" t="s">
        <v>165</v>
      </c>
      <c r="I91" s="182" t="e">
        <f>(D88+D89+D90)/D91</f>
        <v>#DIV/0!</v>
      </c>
    </row>
    <row r="92" spans="2:9">
      <c r="B92" s="173"/>
      <c r="C92" s="187" t="s">
        <v>165</v>
      </c>
      <c r="D92" s="187">
        <f>SUM(D88:D90)</f>
        <v>0</v>
      </c>
      <c r="E92" s="173"/>
      <c r="F92" s="173"/>
      <c r="G92" s="173"/>
      <c r="H92" s="173"/>
      <c r="I92" s="173"/>
    </row>
    <row r="93" spans="2:9">
      <c r="B93" s="173"/>
      <c r="C93" s="173" t="s">
        <v>166</v>
      </c>
      <c r="D93" s="188" t="e">
        <f>D92/D91</f>
        <v>#DIV/0!</v>
      </c>
      <c r="E93" s="173"/>
      <c r="F93" s="173"/>
      <c r="G93" s="173"/>
      <c r="H93" s="173"/>
      <c r="I93" s="173"/>
    </row>
    <row r="94" spans="2:9">
      <c r="B94" s="173"/>
      <c r="C94" s="173"/>
      <c r="D94" s="173"/>
      <c r="E94" s="173"/>
      <c r="F94" s="173"/>
      <c r="G94" s="173"/>
      <c r="H94" s="173"/>
      <c r="I94" s="173"/>
    </row>
    <row r="95" spans="2:9" ht="15.6">
      <c r="B95" s="173"/>
      <c r="C95" s="173"/>
      <c r="D95" s="190" t="s">
        <v>168</v>
      </c>
      <c r="E95" s="173"/>
      <c r="F95" s="173"/>
      <c r="G95" s="173"/>
      <c r="H95" s="173"/>
      <c r="I95" s="173"/>
    </row>
    <row r="96" spans="2:9" ht="42">
      <c r="B96" s="175" t="s">
        <v>154</v>
      </c>
      <c r="C96" s="175" t="s">
        <v>155</v>
      </c>
      <c r="D96" s="175" t="s">
        <v>156</v>
      </c>
      <c r="E96" s="175" t="s">
        <v>157</v>
      </c>
      <c r="F96" s="175" t="s">
        <v>158</v>
      </c>
      <c r="G96" s="173"/>
      <c r="H96" s="173"/>
      <c r="I96" s="173"/>
    </row>
    <row r="97" spans="2:9">
      <c r="B97" s="176" t="s">
        <v>159</v>
      </c>
      <c r="C97" s="191">
        <v>61808</v>
      </c>
      <c r="D97" s="192">
        <v>23864790000</v>
      </c>
      <c r="E97" s="189">
        <v>0</v>
      </c>
      <c r="F97" s="178">
        <f>D97*E97</f>
        <v>0</v>
      </c>
      <c r="G97" s="173"/>
      <c r="H97" s="173"/>
      <c r="I97" s="173"/>
    </row>
    <row r="98" spans="2:9">
      <c r="B98" s="176" t="s">
        <v>160</v>
      </c>
      <c r="C98" s="191">
        <v>2558</v>
      </c>
      <c r="D98" s="192">
        <v>543816000</v>
      </c>
      <c r="E98" s="189">
        <v>0.05</v>
      </c>
      <c r="F98" s="178">
        <v>6739000</v>
      </c>
      <c r="G98" s="173"/>
      <c r="H98" s="173"/>
      <c r="I98" s="173"/>
    </row>
    <row r="99" spans="2:9">
      <c r="B99" s="176" t="s">
        <v>161</v>
      </c>
      <c r="C99" s="191">
        <v>3972</v>
      </c>
      <c r="D99" s="192">
        <v>838253000</v>
      </c>
      <c r="E99" s="189">
        <v>0.25</v>
      </c>
      <c r="F99" s="178">
        <v>54183000</v>
      </c>
      <c r="G99" s="173"/>
      <c r="H99" s="173"/>
      <c r="I99" s="173"/>
    </row>
    <row r="100" spans="2:9">
      <c r="B100" s="176" t="s">
        <v>162</v>
      </c>
      <c r="C100" s="191">
        <v>2510</v>
      </c>
      <c r="D100" s="192">
        <v>373254000</v>
      </c>
      <c r="E100" s="189">
        <v>0.5</v>
      </c>
      <c r="F100" s="178">
        <v>33315000</v>
      </c>
      <c r="G100" s="173"/>
      <c r="H100" s="173"/>
      <c r="I100" s="173"/>
    </row>
    <row r="101" spans="2:9">
      <c r="B101" s="176" t="s">
        <v>163</v>
      </c>
      <c r="C101" s="191">
        <v>2139</v>
      </c>
      <c r="D101" s="192">
        <v>210209000</v>
      </c>
      <c r="E101" s="189">
        <v>1</v>
      </c>
      <c r="F101" s="178">
        <v>11377000</v>
      </c>
      <c r="G101" s="173"/>
      <c r="H101" s="173"/>
      <c r="I101" s="173"/>
    </row>
    <row r="102" spans="2:9">
      <c r="B102" s="179" t="s">
        <v>164</v>
      </c>
      <c r="C102" s="178">
        <f>SUM(C97:C101)</f>
        <v>72987</v>
      </c>
      <c r="D102" s="178">
        <f>SUM(D97:D101)</f>
        <v>25830322000</v>
      </c>
      <c r="E102" s="178">
        <v>1.81</v>
      </c>
      <c r="F102" s="178">
        <f>SUM(F97:F101)</f>
        <v>105614000</v>
      </c>
      <c r="G102" s="173"/>
      <c r="H102" s="173" t="s">
        <v>165</v>
      </c>
      <c r="I102" s="182">
        <f>(D99+D100+D101)/D102</f>
        <v>5.5040583698492025E-2</v>
      </c>
    </row>
    <row r="103" spans="2:9">
      <c r="C103" s="187" t="s">
        <v>165</v>
      </c>
      <c r="D103" s="187">
        <f>SUM(D99:D101)</f>
        <v>1421716000</v>
      </c>
    </row>
    <row r="104" spans="2:9">
      <c r="C104" s="173" t="s">
        <v>166</v>
      </c>
      <c r="D104" s="188">
        <f>D103/D102</f>
        <v>5.5040583698492025E-2</v>
      </c>
    </row>
    <row r="107" spans="2:9" ht="15.6">
      <c r="B107" s="173"/>
      <c r="C107" s="173"/>
      <c r="D107" s="190">
        <v>44075</v>
      </c>
      <c r="E107" s="173"/>
      <c r="F107" s="173"/>
      <c r="G107" s="173"/>
      <c r="H107" s="173"/>
      <c r="I107" s="173"/>
    </row>
    <row r="108" spans="2:9" ht="42">
      <c r="B108" s="175" t="s">
        <v>154</v>
      </c>
      <c r="C108" s="175" t="s">
        <v>155</v>
      </c>
      <c r="D108" s="175" t="s">
        <v>156</v>
      </c>
      <c r="E108" s="175" t="s">
        <v>157</v>
      </c>
      <c r="F108" s="175" t="s">
        <v>158</v>
      </c>
      <c r="G108" s="173"/>
      <c r="H108" s="173"/>
      <c r="I108" s="173"/>
    </row>
    <row r="109" spans="2:9">
      <c r="B109" s="176" t="s">
        <v>159</v>
      </c>
      <c r="C109" s="191">
        <v>56618</v>
      </c>
      <c r="D109" s="192">
        <v>31475040558.970001</v>
      </c>
      <c r="E109" s="189">
        <v>0.01</v>
      </c>
      <c r="F109" s="178">
        <f>D109*E109</f>
        <v>314750405.58970004</v>
      </c>
      <c r="G109" s="268"/>
      <c r="H109" s="173"/>
      <c r="I109" s="173"/>
    </row>
    <row r="110" spans="2:9">
      <c r="B110" s="176" t="s">
        <v>160</v>
      </c>
      <c r="C110" s="191">
        <v>2064</v>
      </c>
      <c r="D110" s="192">
        <v>472657639.95999998</v>
      </c>
      <c r="E110" s="189">
        <v>0.05</v>
      </c>
      <c r="F110" s="178">
        <f>D110*E110</f>
        <v>23632881.998</v>
      </c>
      <c r="G110" s="268"/>
      <c r="H110" s="173"/>
      <c r="I110" s="173"/>
    </row>
    <row r="111" spans="2:9">
      <c r="B111" s="176" t="s">
        <v>161</v>
      </c>
      <c r="C111" s="191">
        <v>4931</v>
      </c>
      <c r="D111" s="192">
        <v>800139813.21000004</v>
      </c>
      <c r="E111" s="189">
        <v>0.25</v>
      </c>
      <c r="F111" s="178">
        <f>D111*E111</f>
        <v>200034953.30250001</v>
      </c>
      <c r="G111" s="268"/>
      <c r="H111" s="173"/>
      <c r="I111" s="173"/>
    </row>
    <row r="112" spans="2:9">
      <c r="B112" s="176" t="s">
        <v>162</v>
      </c>
      <c r="C112" s="191">
        <v>2310</v>
      </c>
      <c r="D112" s="192">
        <v>131644844.06999999</v>
      </c>
      <c r="E112" s="189">
        <v>0.5</v>
      </c>
      <c r="F112" s="178">
        <f>D112*E112</f>
        <v>65822422.034999996</v>
      </c>
      <c r="G112" s="268"/>
      <c r="H112" s="173"/>
      <c r="I112" s="173"/>
    </row>
    <row r="113" spans="2:9">
      <c r="B113" s="176" t="s">
        <v>163</v>
      </c>
      <c r="C113" s="191">
        <v>6478</v>
      </c>
      <c r="D113" s="192">
        <v>564712671.96000004</v>
      </c>
      <c r="E113" s="189">
        <v>1</v>
      </c>
      <c r="F113" s="178">
        <f>D113*E113</f>
        <v>564712671.96000004</v>
      </c>
      <c r="G113" s="268"/>
      <c r="H113" s="173"/>
      <c r="I113" s="173"/>
    </row>
    <row r="114" spans="2:9">
      <c r="B114" s="179" t="s">
        <v>169</v>
      </c>
      <c r="C114" s="178">
        <f>SUM(C109:C113)</f>
        <v>72401</v>
      </c>
      <c r="D114" s="178">
        <f>SUM(D109:D113)</f>
        <v>33444195528.169998</v>
      </c>
      <c r="E114" s="178">
        <v>1.81</v>
      </c>
      <c r="F114" s="178">
        <f>SUM(F109:F113)</f>
        <v>1168953334.8852</v>
      </c>
      <c r="G114" s="173"/>
      <c r="H114" s="173" t="s">
        <v>165</v>
      </c>
      <c r="I114" s="182">
        <f>(D111+D112+D113)/D114</f>
        <v>4.4746100350343376E-2</v>
      </c>
    </row>
    <row r="115" spans="2:9">
      <c r="C115" s="187" t="s">
        <v>165</v>
      </c>
      <c r="D115" s="187">
        <f>SUM(D111:D113)</f>
        <v>1496497329.24</v>
      </c>
    </row>
    <row r="116" spans="2:9">
      <c r="C116" s="173" t="s">
        <v>166</v>
      </c>
      <c r="D116" s="269">
        <f>D115/D114</f>
        <v>4.4746100350343376E-2</v>
      </c>
    </row>
    <row r="119" spans="2:9" ht="15.6">
      <c r="B119" s="173"/>
      <c r="C119" s="173"/>
      <c r="D119" s="190">
        <v>43525</v>
      </c>
      <c r="E119" s="173"/>
      <c r="F119" s="173"/>
    </row>
    <row r="120" spans="2:9" ht="42">
      <c r="B120" s="175" t="s">
        <v>154</v>
      </c>
      <c r="C120" s="175" t="s">
        <v>155</v>
      </c>
      <c r="D120" s="175" t="s">
        <v>156</v>
      </c>
      <c r="E120" s="175" t="s">
        <v>157</v>
      </c>
      <c r="F120" s="175" t="s">
        <v>158</v>
      </c>
    </row>
    <row r="121" spans="2:9">
      <c r="B121" s="176" t="s">
        <v>159</v>
      </c>
      <c r="C121" s="303">
        <v>59498</v>
      </c>
      <c r="D121" s="303">
        <v>24048389842.73</v>
      </c>
      <c r="E121" s="189">
        <v>0.01</v>
      </c>
      <c r="F121" s="178">
        <f>D121*E121</f>
        <v>240483898.42730001</v>
      </c>
      <c r="I121" s="303"/>
    </row>
    <row r="122" spans="2:9">
      <c r="B122" s="176" t="s">
        <v>160</v>
      </c>
      <c r="C122" s="303">
        <v>2175</v>
      </c>
      <c r="D122" s="303">
        <v>700103518.71000004</v>
      </c>
      <c r="E122" s="189">
        <v>0.05</v>
      </c>
      <c r="F122" s="178">
        <f>D122*E122</f>
        <v>35005175.935500003</v>
      </c>
      <c r="I122" s="303"/>
    </row>
    <row r="123" spans="2:9">
      <c r="B123" s="176" t="s">
        <v>161</v>
      </c>
      <c r="C123" s="303">
        <v>3526</v>
      </c>
      <c r="D123" s="303">
        <v>761289032.15999997</v>
      </c>
      <c r="E123" s="189">
        <v>0.25</v>
      </c>
      <c r="F123" s="178">
        <f>D123*E123</f>
        <v>190322258.03999999</v>
      </c>
      <c r="I123" s="303"/>
    </row>
    <row r="124" spans="2:9">
      <c r="B124" s="176" t="s">
        <v>162</v>
      </c>
      <c r="C124" s="303">
        <v>1925</v>
      </c>
      <c r="D124" s="303">
        <v>213567817.93000001</v>
      </c>
      <c r="E124" s="189">
        <v>0.5</v>
      </c>
      <c r="F124" s="178">
        <f>D124*E124</f>
        <v>106783908.965</v>
      </c>
      <c r="I124" s="303"/>
    </row>
    <row r="125" spans="2:9">
      <c r="B125" s="176" t="s">
        <v>163</v>
      </c>
      <c r="C125" s="303">
        <v>2210</v>
      </c>
      <c r="D125" s="303">
        <v>264038576.66</v>
      </c>
      <c r="E125" s="189">
        <v>1</v>
      </c>
      <c r="F125" s="178">
        <f>D125*E125</f>
        <v>264038576.66</v>
      </c>
      <c r="I125" s="303"/>
    </row>
    <row r="126" spans="2:9">
      <c r="B126" s="179" t="s">
        <v>169</v>
      </c>
      <c r="C126" s="178">
        <f>SUM(C121:C125)</f>
        <v>69334</v>
      </c>
      <c r="D126" s="178">
        <f>SUM(D121:D125)</f>
        <v>25987388788.189999</v>
      </c>
      <c r="E126" s="178">
        <v>1.81</v>
      </c>
      <c r="F126" s="178">
        <f>SUM(F121:F125)</f>
        <v>836633818.02779996</v>
      </c>
      <c r="I126" s="302"/>
    </row>
    <row r="127" spans="2:9">
      <c r="C127" s="187" t="s">
        <v>165</v>
      </c>
      <c r="D127" s="187">
        <f>SUM(D123:D125)</f>
        <v>1238895426.75</v>
      </c>
      <c r="I127" s="303"/>
    </row>
    <row r="128" spans="2:9">
      <c r="C128" s="173" t="s">
        <v>166</v>
      </c>
      <c r="D128" s="269">
        <f>D127/D126</f>
        <v>4.7672947707351712E-2</v>
      </c>
      <c r="I128" s="303"/>
    </row>
    <row r="129" spans="2:9">
      <c r="I129" s="303"/>
    </row>
    <row r="130" spans="2:9">
      <c r="I130" s="303"/>
    </row>
    <row r="131" spans="2:9" ht="15.6">
      <c r="B131" s="173"/>
      <c r="C131" s="173"/>
      <c r="D131" s="190">
        <v>43617</v>
      </c>
      <c r="E131" s="173"/>
      <c r="F131" s="173"/>
      <c r="I131" s="303"/>
    </row>
    <row r="132" spans="2:9" ht="42">
      <c r="B132" s="175" t="s">
        <v>154</v>
      </c>
      <c r="C132" s="175" t="s">
        <v>155</v>
      </c>
      <c r="D132" s="175" t="s">
        <v>156</v>
      </c>
      <c r="E132" s="175" t="s">
        <v>157</v>
      </c>
      <c r="F132" s="175" t="s">
        <v>158</v>
      </c>
      <c r="I132" s="384"/>
    </row>
    <row r="133" spans="2:9">
      <c r="B133" s="176" t="s">
        <v>159</v>
      </c>
      <c r="C133" s="303">
        <v>58864</v>
      </c>
      <c r="D133" s="303">
        <v>24325389616.130001</v>
      </c>
      <c r="E133" s="189">
        <v>0.01</v>
      </c>
      <c r="F133" s="178">
        <f>D133*E133</f>
        <v>243253896.1613</v>
      </c>
      <c r="I133" s="385"/>
    </row>
    <row r="134" spans="2:9">
      <c r="B134" s="176" t="s">
        <v>160</v>
      </c>
      <c r="C134" s="303">
        <v>2382</v>
      </c>
      <c r="D134" s="303">
        <v>604049242.45000005</v>
      </c>
      <c r="E134" s="189">
        <v>0.05</v>
      </c>
      <c r="F134" s="178">
        <f>D134*E134</f>
        <v>30202462.122500002</v>
      </c>
      <c r="I134" s="386"/>
    </row>
    <row r="135" spans="2:9">
      <c r="B135" s="176" t="s">
        <v>161</v>
      </c>
      <c r="C135" s="303">
        <v>6259</v>
      </c>
      <c r="D135" s="303">
        <v>791440638.92999995</v>
      </c>
      <c r="E135" s="189">
        <v>0.25</v>
      </c>
      <c r="F135" s="178">
        <f>D135*E135</f>
        <v>197860159.73249999</v>
      </c>
      <c r="I135" s="385"/>
    </row>
    <row r="136" spans="2:9">
      <c r="B136" s="176" t="s">
        <v>162</v>
      </c>
      <c r="C136" s="303">
        <v>2030</v>
      </c>
      <c r="D136" s="303">
        <v>288666784.00999999</v>
      </c>
      <c r="E136" s="189">
        <v>0.5</v>
      </c>
      <c r="F136" s="178">
        <f>D136*E136</f>
        <v>144333392.005</v>
      </c>
      <c r="I136" s="303"/>
    </row>
    <row r="137" spans="2:9">
      <c r="B137" s="176" t="s">
        <v>163</v>
      </c>
      <c r="C137" s="303">
        <v>1942</v>
      </c>
      <c r="D137" s="303">
        <v>303371549.05000001</v>
      </c>
      <c r="E137" s="189">
        <v>1</v>
      </c>
      <c r="F137" s="178">
        <f>D137*E137</f>
        <v>303371549.05000001</v>
      </c>
      <c r="I137" s="303"/>
    </row>
    <row r="138" spans="2:9">
      <c r="B138" s="179" t="s">
        <v>169</v>
      </c>
      <c r="C138" s="178">
        <f>SUM(C133:C137)</f>
        <v>71477</v>
      </c>
      <c r="D138" s="178">
        <f>SUM(D133:D137)</f>
        <v>26312917830.57</v>
      </c>
      <c r="E138" s="178">
        <v>1.81</v>
      </c>
      <c r="F138" s="178">
        <f>SUM(F133:F137)</f>
        <v>919021459.07130003</v>
      </c>
      <c r="I138" s="303"/>
    </row>
    <row r="139" spans="2:9">
      <c r="C139" s="187" t="s">
        <v>165</v>
      </c>
      <c r="D139" s="187">
        <f>SUM(D135:D137)</f>
        <v>1383478971.99</v>
      </c>
      <c r="I139" s="303"/>
    </row>
    <row r="140" spans="2:9">
      <c r="C140" s="173" t="s">
        <v>166</v>
      </c>
      <c r="D140" s="269">
        <f>D139/D138</f>
        <v>5.2577938368457658E-2</v>
      </c>
    </row>
    <row r="142" spans="2:9">
      <c r="I142" s="303">
        <v>58059</v>
      </c>
    </row>
    <row r="143" spans="2:9">
      <c r="I143" s="303">
        <v>2213</v>
      </c>
    </row>
    <row r="144" spans="2:9" ht="15.6">
      <c r="B144" s="173"/>
      <c r="C144" s="173"/>
      <c r="D144" s="190">
        <v>43709</v>
      </c>
      <c r="E144" s="173"/>
      <c r="F144" s="173"/>
      <c r="I144" s="303">
        <v>5719</v>
      </c>
    </row>
    <row r="145" spans="2:9" ht="42">
      <c r="B145" s="175" t="s">
        <v>154</v>
      </c>
      <c r="C145" s="175" t="s">
        <v>155</v>
      </c>
      <c r="D145" s="175" t="s">
        <v>156</v>
      </c>
      <c r="E145" s="175" t="s">
        <v>157</v>
      </c>
      <c r="F145" s="175" t="s">
        <v>158</v>
      </c>
      <c r="I145" s="303">
        <v>3375</v>
      </c>
    </row>
    <row r="146" spans="2:9">
      <c r="B146" s="176" t="s">
        <v>159</v>
      </c>
      <c r="C146" s="303">
        <v>58059</v>
      </c>
      <c r="D146" s="303">
        <v>24955003513.07</v>
      </c>
      <c r="E146" s="189">
        <v>0.01</v>
      </c>
      <c r="F146" s="178">
        <f>D146*E146</f>
        <v>249550035.13069999</v>
      </c>
      <c r="I146" s="303">
        <v>2831</v>
      </c>
    </row>
    <row r="147" spans="2:9">
      <c r="B147" s="176" t="s">
        <v>160</v>
      </c>
      <c r="C147" s="303">
        <v>2213</v>
      </c>
      <c r="D147" s="303">
        <v>514753153.87</v>
      </c>
      <c r="E147" s="189">
        <v>0.05</v>
      </c>
      <c r="F147" s="178">
        <f>D147*E147</f>
        <v>25737657.693500001</v>
      </c>
      <c r="I147" s="302" t="s">
        <v>170</v>
      </c>
    </row>
    <row r="148" spans="2:9">
      <c r="B148" s="176" t="s">
        <v>161</v>
      </c>
      <c r="C148" s="303">
        <v>5719</v>
      </c>
      <c r="D148" s="303">
        <v>808477948.41999996</v>
      </c>
      <c r="E148" s="189">
        <v>0.25</v>
      </c>
      <c r="F148" s="178">
        <f>D148*E148</f>
        <v>202119487.10499999</v>
      </c>
      <c r="I148" s="303">
        <v>24955003513.07</v>
      </c>
    </row>
    <row r="149" spans="2:9">
      <c r="B149" s="176" t="s">
        <v>162</v>
      </c>
      <c r="C149" s="303">
        <v>3375</v>
      </c>
      <c r="D149" s="303">
        <v>230363099.72999999</v>
      </c>
      <c r="E149" s="189">
        <v>0.5</v>
      </c>
      <c r="F149" s="178">
        <f>D149*E149</f>
        <v>115181549.86499999</v>
      </c>
      <c r="I149" s="303">
        <v>514753153.87</v>
      </c>
    </row>
    <row r="150" spans="2:9">
      <c r="B150" s="176" t="s">
        <v>163</v>
      </c>
      <c r="C150" s="303">
        <v>2831</v>
      </c>
      <c r="D150" s="303">
        <v>422605818.20999998</v>
      </c>
      <c r="E150" s="189">
        <v>1</v>
      </c>
      <c r="F150" s="178">
        <f>D150*E150</f>
        <v>422605818.20999998</v>
      </c>
      <c r="I150" s="303">
        <v>808477948.41999996</v>
      </c>
    </row>
    <row r="151" spans="2:9">
      <c r="B151" s="179" t="s">
        <v>169</v>
      </c>
      <c r="C151" s="178">
        <f>SUM(C146:C150)</f>
        <v>72197</v>
      </c>
      <c r="D151" s="178">
        <f>SUM(D146:D150)</f>
        <v>26931203533.299995</v>
      </c>
      <c r="E151" s="178">
        <v>1.81</v>
      </c>
      <c r="F151" s="178">
        <f>SUM(F146:F150)</f>
        <v>1015194548.0042</v>
      </c>
      <c r="I151" s="303">
        <v>230363099.72999999</v>
      </c>
    </row>
    <row r="152" spans="2:9">
      <c r="C152" s="187" t="s">
        <v>165</v>
      </c>
      <c r="D152" s="187">
        <f>SUM(D148:D150)</f>
        <v>1461446866.3599999</v>
      </c>
      <c r="I152" s="303">
        <v>422605818.20999998</v>
      </c>
    </row>
    <row r="153" spans="2:9">
      <c r="C153" s="173" t="s">
        <v>166</v>
      </c>
      <c r="D153" s="269">
        <f>D152/D151</f>
        <v>5.4265932250407767E-2</v>
      </c>
    </row>
    <row r="156" spans="2:9" ht="15.6">
      <c r="B156" s="173"/>
      <c r="C156" s="173"/>
      <c r="D156" s="190">
        <v>43800</v>
      </c>
      <c r="E156" s="173"/>
      <c r="F156" s="173"/>
    </row>
    <row r="157" spans="2:9" ht="42">
      <c r="B157" s="175" t="s">
        <v>154</v>
      </c>
      <c r="C157" s="175" t="s">
        <v>155</v>
      </c>
      <c r="D157" s="175" t="s">
        <v>156</v>
      </c>
      <c r="E157" s="175" t="s">
        <v>157</v>
      </c>
      <c r="F157" s="175" t="s">
        <v>158</v>
      </c>
      <c r="I157" s="303">
        <v>60961</v>
      </c>
    </row>
    <row r="158" spans="2:9">
      <c r="B158" s="176" t="s">
        <v>159</v>
      </c>
      <c r="C158" s="303">
        <v>60961</v>
      </c>
      <c r="D158" s="303">
        <v>28334470802.610001</v>
      </c>
      <c r="E158" s="189">
        <v>0.01</v>
      </c>
      <c r="F158" s="178">
        <f>D158*E158</f>
        <v>283344708.02610004</v>
      </c>
      <c r="I158" s="303">
        <v>2605</v>
      </c>
    </row>
    <row r="159" spans="2:9">
      <c r="B159" s="176" t="s">
        <v>160</v>
      </c>
      <c r="C159" s="303">
        <v>2605</v>
      </c>
      <c r="D159" s="303">
        <v>620546912.94000006</v>
      </c>
      <c r="E159" s="189">
        <v>0.05</v>
      </c>
      <c r="F159" s="178">
        <f>D159*E159</f>
        <v>31027345.647000004</v>
      </c>
      <c r="I159" s="303">
        <v>4524</v>
      </c>
    </row>
    <row r="160" spans="2:9">
      <c r="B160" s="176" t="s">
        <v>161</v>
      </c>
      <c r="C160" s="303">
        <v>4524</v>
      </c>
      <c r="D160" s="303">
        <v>711891933.12</v>
      </c>
      <c r="E160" s="189">
        <v>0.25</v>
      </c>
      <c r="F160" s="178">
        <f>D160*E160</f>
        <v>177972983.28</v>
      </c>
      <c r="I160" s="303">
        <v>4616</v>
      </c>
    </row>
    <row r="161" spans="2:9">
      <c r="B161" s="176" t="s">
        <v>162</v>
      </c>
      <c r="C161" s="303">
        <v>4616</v>
      </c>
      <c r="D161" s="303">
        <v>275129720.85000002</v>
      </c>
      <c r="E161" s="189">
        <v>0.5</v>
      </c>
      <c r="F161" s="178">
        <f>D161*E161</f>
        <v>137564860.42500001</v>
      </c>
      <c r="I161" s="303">
        <v>3841</v>
      </c>
    </row>
    <row r="162" spans="2:9">
      <c r="B162" s="176" t="s">
        <v>163</v>
      </c>
      <c r="C162" s="303">
        <v>3841</v>
      </c>
      <c r="D162" s="303">
        <v>461324074.77999997</v>
      </c>
      <c r="E162" s="189">
        <v>1</v>
      </c>
      <c r="F162" s="178">
        <f>D162*E162</f>
        <v>461324074.77999997</v>
      </c>
      <c r="I162" s="302" t="s">
        <v>170</v>
      </c>
    </row>
    <row r="163" spans="2:9">
      <c r="B163" s="179" t="s">
        <v>169</v>
      </c>
      <c r="C163" s="178">
        <f>SUM(C158:C162)</f>
        <v>76547</v>
      </c>
      <c r="D163" s="178">
        <f>SUM(D158:D162)</f>
        <v>30403363444.299995</v>
      </c>
      <c r="E163" s="178">
        <v>1.81</v>
      </c>
      <c r="F163" s="178">
        <f>SUM(F158:F162)</f>
        <v>1091233972.1581001</v>
      </c>
      <c r="I163" s="303">
        <v>28334470802.610001</v>
      </c>
    </row>
    <row r="164" spans="2:9">
      <c r="C164" s="187" t="s">
        <v>165</v>
      </c>
      <c r="D164" s="187">
        <f>SUM(D160:D162)</f>
        <v>1448345728.75</v>
      </c>
      <c r="I164" s="303">
        <v>620546912.94000006</v>
      </c>
    </row>
    <row r="165" spans="2:9">
      <c r="C165" s="173" t="s">
        <v>166</v>
      </c>
      <c r="D165" s="269">
        <f>D164/D163</f>
        <v>4.7637680988928052E-2</v>
      </c>
      <c r="I165" s="303">
        <v>711891933.12</v>
      </c>
    </row>
    <row r="166" spans="2:9">
      <c r="I166" s="303">
        <v>275129720.85000002</v>
      </c>
    </row>
    <row r="167" spans="2:9">
      <c r="I167" s="303">
        <v>461324074.77999997</v>
      </c>
    </row>
    <row r="168" spans="2:9" ht="15.6">
      <c r="B168" s="173"/>
      <c r="C168" s="173"/>
      <c r="D168" s="190">
        <v>43891</v>
      </c>
      <c r="E168" s="173"/>
      <c r="F168" s="173"/>
    </row>
    <row r="169" spans="2:9" ht="42">
      <c r="B169" s="175" t="s">
        <v>154</v>
      </c>
      <c r="C169" s="175" t="s">
        <v>155</v>
      </c>
      <c r="D169" s="175" t="s">
        <v>156</v>
      </c>
      <c r="E169" s="175" t="s">
        <v>157</v>
      </c>
      <c r="F169" s="175" t="s">
        <v>158</v>
      </c>
      <c r="I169" s="303">
        <v>56758</v>
      </c>
    </row>
    <row r="170" spans="2:9">
      <c r="B170" s="176" t="s">
        <v>159</v>
      </c>
      <c r="C170" s="303">
        <v>56758</v>
      </c>
      <c r="D170" s="303">
        <v>30056177689.529999</v>
      </c>
      <c r="E170" s="189">
        <v>0.01</v>
      </c>
      <c r="F170" s="178">
        <f>D170*E170</f>
        <v>300561776.89529997</v>
      </c>
      <c r="I170" s="303">
        <v>2568</v>
      </c>
    </row>
    <row r="171" spans="2:9">
      <c r="B171" s="176" t="s">
        <v>160</v>
      </c>
      <c r="C171" s="303">
        <v>2568</v>
      </c>
      <c r="D171" s="303">
        <v>405982466.37</v>
      </c>
      <c r="E171" s="189">
        <v>0.05</v>
      </c>
      <c r="F171" s="178">
        <f>D171*E171</f>
        <v>20299123.318500001</v>
      </c>
      <c r="I171" s="303">
        <v>3414</v>
      </c>
    </row>
    <row r="172" spans="2:9">
      <c r="B172" s="176" t="s">
        <v>161</v>
      </c>
      <c r="C172" s="303">
        <v>3414</v>
      </c>
      <c r="D172" s="303">
        <v>466168711.44999999</v>
      </c>
      <c r="E172" s="189">
        <v>0.25</v>
      </c>
      <c r="F172" s="178">
        <f>D172*E172</f>
        <v>116542177.8625</v>
      </c>
      <c r="I172" s="303">
        <v>3444</v>
      </c>
    </row>
    <row r="173" spans="2:9">
      <c r="B173" s="176" t="s">
        <v>162</v>
      </c>
      <c r="C173" s="303">
        <v>3444</v>
      </c>
      <c r="D173" s="303">
        <v>265834595.13</v>
      </c>
      <c r="E173" s="189">
        <v>0.5</v>
      </c>
      <c r="F173" s="178">
        <f>D173*E173</f>
        <v>132917297.565</v>
      </c>
      <c r="I173" s="303">
        <v>4405</v>
      </c>
    </row>
    <row r="174" spans="2:9">
      <c r="B174" s="176" t="s">
        <v>163</v>
      </c>
      <c r="C174" s="303">
        <v>4405</v>
      </c>
      <c r="D174" s="303">
        <v>508511168.82999998</v>
      </c>
      <c r="E174" s="189">
        <v>1</v>
      </c>
      <c r="F174" s="178">
        <f>D174*E174</f>
        <v>508511168.82999998</v>
      </c>
      <c r="I174" s="302" t="s">
        <v>170</v>
      </c>
    </row>
    <row r="175" spans="2:9">
      <c r="B175" s="179" t="s">
        <v>169</v>
      </c>
      <c r="C175" s="178">
        <f>SUM(C170:C174)</f>
        <v>70589</v>
      </c>
      <c r="D175" s="178">
        <f>SUM(D170:D174)</f>
        <v>31702674631.310001</v>
      </c>
      <c r="E175" s="178">
        <v>1.81</v>
      </c>
      <c r="F175" s="178">
        <f>SUM(F170:F174)</f>
        <v>1078831544.4712999</v>
      </c>
      <c r="I175" s="303">
        <v>30056177689.529999</v>
      </c>
    </row>
    <row r="176" spans="2:9">
      <c r="C176" s="187" t="s">
        <v>165</v>
      </c>
      <c r="D176" s="187">
        <f>SUM(D172:D174)</f>
        <v>1240514475.4099998</v>
      </c>
      <c r="I176" s="303">
        <v>405982466.37</v>
      </c>
    </row>
    <row r="177" spans="2:11">
      <c r="C177" s="173" t="s">
        <v>166</v>
      </c>
      <c r="D177" s="269">
        <f>D176/D175</f>
        <v>3.9129647256476288E-2</v>
      </c>
      <c r="I177" s="303">
        <v>466168711.44999999</v>
      </c>
    </row>
    <row r="178" spans="2:11">
      <c r="I178" s="303">
        <v>265834595.13</v>
      </c>
    </row>
    <row r="179" spans="2:11">
      <c r="I179" s="303">
        <v>508511168.82999998</v>
      </c>
      <c r="K179" s="303">
        <v>9442</v>
      </c>
    </row>
    <row r="180" spans="2:11" ht="15.6">
      <c r="B180" s="173"/>
      <c r="C180" s="173"/>
      <c r="D180" s="190">
        <v>43983</v>
      </c>
      <c r="E180" s="173"/>
      <c r="F180" s="173"/>
      <c r="K180" s="303">
        <v>489</v>
      </c>
    </row>
    <row r="181" spans="2:11" ht="42">
      <c r="B181" s="175" t="s">
        <v>154</v>
      </c>
      <c r="C181" s="175" t="s">
        <v>155</v>
      </c>
      <c r="D181" s="175" t="s">
        <v>156</v>
      </c>
      <c r="E181" s="175" t="s">
        <v>157</v>
      </c>
      <c r="F181" s="175" t="s">
        <v>158</v>
      </c>
      <c r="I181" s="303">
        <v>54032</v>
      </c>
      <c r="K181" s="303">
        <v>334</v>
      </c>
    </row>
    <row r="182" spans="2:11">
      <c r="B182" s="176" t="s">
        <v>159</v>
      </c>
      <c r="C182" s="191">
        <v>54032</v>
      </c>
      <c r="D182" s="303">
        <v>31136802305.599998</v>
      </c>
      <c r="E182" s="189">
        <v>0.01</v>
      </c>
      <c r="F182" s="178">
        <f>D182*E182</f>
        <v>311368023.05599999</v>
      </c>
      <c r="I182" s="303">
        <v>2868</v>
      </c>
      <c r="K182" s="303">
        <v>213</v>
      </c>
    </row>
    <row r="183" spans="2:11">
      <c r="B183" s="176" t="s">
        <v>160</v>
      </c>
      <c r="C183" s="191">
        <v>2868</v>
      </c>
      <c r="D183" s="303">
        <v>556851603.25</v>
      </c>
      <c r="E183" s="189">
        <v>0.05</v>
      </c>
      <c r="F183" s="178">
        <f>D183*E183</f>
        <v>27842580.162500001</v>
      </c>
      <c r="I183" s="303">
        <v>5490</v>
      </c>
      <c r="K183" s="303">
        <v>179</v>
      </c>
    </row>
    <row r="184" spans="2:11">
      <c r="B184" s="176" t="s">
        <v>161</v>
      </c>
      <c r="C184" s="191">
        <v>5490</v>
      </c>
      <c r="D184" s="303">
        <v>939774847.50999999</v>
      </c>
      <c r="E184" s="189">
        <v>0.25</v>
      </c>
      <c r="F184" s="178">
        <f>D184*E184</f>
        <v>234943711.8775</v>
      </c>
      <c r="I184" s="303">
        <v>2090</v>
      </c>
      <c r="K184" s="302" t="s">
        <v>171</v>
      </c>
    </row>
    <row r="185" spans="2:11">
      <c r="B185" s="176" t="s">
        <v>162</v>
      </c>
      <c r="C185" s="191">
        <v>2090</v>
      </c>
      <c r="D185" s="303">
        <v>166560152.63</v>
      </c>
      <c r="E185" s="189">
        <v>0.5</v>
      </c>
      <c r="F185" s="178">
        <f>D185*E185</f>
        <v>83280076.314999998</v>
      </c>
      <c r="I185" s="303">
        <v>6252</v>
      </c>
      <c r="K185" s="303">
        <v>3881544668.5</v>
      </c>
    </row>
    <row r="186" spans="2:11">
      <c r="B186" s="176" t="s">
        <v>163</v>
      </c>
      <c r="C186" s="191">
        <v>6252</v>
      </c>
      <c r="D186" s="303">
        <v>566668718.28999996</v>
      </c>
      <c r="E186" s="189">
        <v>1</v>
      </c>
      <c r="F186" s="178">
        <f>D186*E186</f>
        <v>566668718.28999996</v>
      </c>
      <c r="I186" s="302" t="s">
        <v>170</v>
      </c>
      <c r="K186" s="303">
        <v>160468933.56999999</v>
      </c>
    </row>
    <row r="187" spans="2:11">
      <c r="B187" s="179" t="s">
        <v>169</v>
      </c>
      <c r="C187" s="178">
        <f>SUM(C182:C186)</f>
        <v>70732</v>
      </c>
      <c r="D187" s="178">
        <f>SUM(D182:D186)</f>
        <v>33366657627.279999</v>
      </c>
      <c r="E187" s="178">
        <v>1.81</v>
      </c>
      <c r="F187" s="178">
        <f>SUM(F182:F186)</f>
        <v>1224103109.701</v>
      </c>
      <c r="I187" s="303">
        <v>31136802305.599998</v>
      </c>
      <c r="K187" s="303">
        <v>89254258.359999999</v>
      </c>
    </row>
    <row r="188" spans="2:11">
      <c r="C188" s="187" t="s">
        <v>165</v>
      </c>
      <c r="D188" s="187">
        <f>SUM(D184:D186)</f>
        <v>1673003718.4299998</v>
      </c>
      <c r="I188" s="303">
        <v>556851603.25</v>
      </c>
      <c r="K188" s="303">
        <v>65250224.869999997</v>
      </c>
    </row>
    <row r="189" spans="2:11">
      <c r="C189" s="173" t="s">
        <v>166</v>
      </c>
      <c r="D189" s="269">
        <f>D188/D187</f>
        <v>5.0139985164776621E-2</v>
      </c>
      <c r="I189" s="303">
        <v>939774847.50999999</v>
      </c>
      <c r="K189" s="303">
        <v>64838378.710000001</v>
      </c>
    </row>
    <row r="190" spans="2:11">
      <c r="I190" s="303">
        <v>166560152.63</v>
      </c>
    </row>
    <row r="191" spans="2:11">
      <c r="I191" s="303">
        <v>566668718.28999996</v>
      </c>
    </row>
  </sheetData>
  <mergeCells count="2">
    <mergeCell ref="I132:I133"/>
    <mergeCell ref="I134:I135"/>
  </mergeCells>
  <dataValidations count="2">
    <dataValidation type="decimal" showErrorMessage="1" errorTitle="Error Msg" error="Enter a NO" sqref="C3:C7 C12:C16 C23:C27 C34:C38 C86:C90 C64:C68 C55:C59 C75:C79" xr:uid="{00000000-0002-0000-0300-000000000000}">
      <formula1>0</formula1>
      <formula2>999999999999</formula2>
    </dataValidation>
    <dataValidation type="decimal" showErrorMessage="1" errorTitle="Error Msg" error="Enter a number" sqref="D3:D7 D12:D16 D23:D27 D34:D38 D86:D90 D64:D68 D55:D59 D75:D79" xr:uid="{00000000-0002-0000-0300-000001000000}">
      <formula1>0</formula1>
      <formula2>999999999999</formula2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42"/>
  <sheetViews>
    <sheetView tabSelected="1" workbookViewId="0">
      <pane xSplit="3" ySplit="2" topLeftCell="CN3" activePane="bottomRight" state="frozen"/>
      <selection pane="bottomRight" activeCell="CQ6" sqref="CQ6"/>
      <selection pane="bottomLeft" activeCell="A3" sqref="A3"/>
      <selection pane="topRight" activeCell="D1" sqref="D1"/>
    </sheetView>
  </sheetViews>
  <sheetFormatPr defaultRowHeight="14.45"/>
  <cols>
    <col min="1" max="1" width="25.42578125" bestFit="1" customWidth="1"/>
    <col min="2" max="2" width="31.42578125" bestFit="1" customWidth="1"/>
    <col min="3" max="3" width="10.5703125" bestFit="1" customWidth="1"/>
    <col min="4" max="4" width="12.5703125" bestFit="1" customWidth="1"/>
    <col min="5" max="7" width="12.5703125" customWidth="1"/>
    <col min="8" max="16" width="9.5703125" bestFit="1" customWidth="1"/>
    <col min="17" max="17" width="10.42578125" customWidth="1"/>
    <col min="18" max="18" width="9.5703125" customWidth="1"/>
    <col min="19" max="19" width="9.5703125" bestFit="1" customWidth="1"/>
    <col min="20" max="20" width="13.7109375" bestFit="1" customWidth="1"/>
    <col min="21" max="27" width="9.5703125" bestFit="1" customWidth="1"/>
    <col min="46" max="46" width="12.140625" bestFit="1" customWidth="1"/>
    <col min="55" max="55" width="9.85546875" customWidth="1"/>
    <col min="59" max="59" width="12" customWidth="1"/>
    <col min="72" max="72" width="12.140625" customWidth="1"/>
    <col min="85" max="85" width="13.5703125" customWidth="1"/>
  </cols>
  <sheetData>
    <row r="1" spans="1:93" ht="18.75">
      <c r="A1" s="390" t="s">
        <v>172</v>
      </c>
      <c r="B1" s="390"/>
    </row>
    <row r="2" spans="1:93" ht="15">
      <c r="A2" s="35"/>
      <c r="B2" s="36"/>
      <c r="C2" s="36"/>
      <c r="D2" s="37" t="s">
        <v>173</v>
      </c>
      <c r="E2" s="37" t="s">
        <v>174</v>
      </c>
      <c r="F2" s="37" t="s">
        <v>175</v>
      </c>
      <c r="G2" s="37" t="s">
        <v>176</v>
      </c>
      <c r="H2" s="37">
        <v>42736</v>
      </c>
      <c r="I2" s="37">
        <v>42767</v>
      </c>
      <c r="J2" s="37">
        <v>42795</v>
      </c>
      <c r="K2" s="37">
        <v>42826</v>
      </c>
      <c r="L2" s="37">
        <v>42856</v>
      </c>
      <c r="M2" s="37">
        <v>42887</v>
      </c>
      <c r="N2" s="37">
        <v>42917</v>
      </c>
      <c r="O2" s="37">
        <v>42948</v>
      </c>
      <c r="P2" s="37">
        <v>42979</v>
      </c>
      <c r="Q2" s="37">
        <v>43009</v>
      </c>
      <c r="R2" s="37">
        <v>43040</v>
      </c>
      <c r="S2" s="37">
        <v>43070</v>
      </c>
      <c r="T2" s="37" t="s">
        <v>167</v>
      </c>
      <c r="U2" s="37">
        <v>43101</v>
      </c>
      <c r="V2" s="37">
        <v>43132</v>
      </c>
      <c r="W2" s="37">
        <v>43160</v>
      </c>
      <c r="X2" s="37">
        <v>43191</v>
      </c>
      <c r="Y2" s="37">
        <v>43221</v>
      </c>
      <c r="Z2" s="37">
        <v>43252</v>
      </c>
      <c r="AA2" s="37">
        <v>43282</v>
      </c>
      <c r="AB2" s="37">
        <v>43313</v>
      </c>
      <c r="AC2" s="37">
        <v>43344</v>
      </c>
      <c r="AD2" s="37">
        <v>43374</v>
      </c>
      <c r="AE2" s="37">
        <v>43405</v>
      </c>
      <c r="AF2" s="37">
        <v>43435</v>
      </c>
      <c r="AG2" s="37" t="s">
        <v>168</v>
      </c>
      <c r="AH2" s="37">
        <v>43466</v>
      </c>
      <c r="AI2" s="37">
        <v>43497</v>
      </c>
      <c r="AJ2" s="37">
        <v>43525</v>
      </c>
      <c r="AK2" s="37">
        <v>43556</v>
      </c>
      <c r="AL2" s="37">
        <v>43586</v>
      </c>
      <c r="AM2" s="37">
        <v>43617</v>
      </c>
      <c r="AN2" s="37">
        <v>43647</v>
      </c>
      <c r="AO2" s="37">
        <v>43678</v>
      </c>
      <c r="AP2" s="37">
        <v>43709</v>
      </c>
      <c r="AQ2" s="37">
        <v>43739</v>
      </c>
      <c r="AR2" s="37">
        <v>43770</v>
      </c>
      <c r="AS2" s="37">
        <v>43800</v>
      </c>
      <c r="AT2" s="37" t="s">
        <v>51</v>
      </c>
      <c r="AU2" s="37">
        <v>43831</v>
      </c>
      <c r="AV2" s="37">
        <v>43862</v>
      </c>
      <c r="AW2" s="37">
        <v>43891</v>
      </c>
      <c r="AX2" s="37">
        <v>43922</v>
      </c>
      <c r="AY2" s="37">
        <v>43952</v>
      </c>
      <c r="AZ2" s="37">
        <v>43983</v>
      </c>
      <c r="BA2" s="37">
        <v>44013</v>
      </c>
      <c r="BB2" s="37">
        <v>44044</v>
      </c>
      <c r="BC2" s="37">
        <v>44075</v>
      </c>
      <c r="BD2" s="37">
        <v>44105</v>
      </c>
      <c r="BE2" s="37">
        <v>44136</v>
      </c>
      <c r="BF2" s="37">
        <v>44166</v>
      </c>
      <c r="BG2" t="s">
        <v>1</v>
      </c>
      <c r="BH2" s="6">
        <v>44197</v>
      </c>
      <c r="BI2" s="6">
        <v>44228</v>
      </c>
      <c r="BJ2" s="6">
        <v>44256</v>
      </c>
      <c r="BK2" s="6">
        <v>44287</v>
      </c>
      <c r="BL2" s="6">
        <v>44317</v>
      </c>
      <c r="BM2" s="6">
        <v>44348</v>
      </c>
      <c r="BN2" s="6">
        <v>44378</v>
      </c>
      <c r="BO2" s="6">
        <v>44409</v>
      </c>
      <c r="BP2" s="6">
        <v>44440</v>
      </c>
      <c r="BQ2" s="6">
        <v>44470</v>
      </c>
      <c r="BR2" s="6">
        <v>44501</v>
      </c>
      <c r="BS2" s="6">
        <v>44531</v>
      </c>
      <c r="BT2" s="14" t="s">
        <v>177</v>
      </c>
      <c r="BU2" s="6">
        <v>44562</v>
      </c>
      <c r="BV2" s="6">
        <v>44593</v>
      </c>
      <c r="BW2" s="6">
        <v>44621</v>
      </c>
      <c r="BX2" s="6">
        <v>44652</v>
      </c>
      <c r="BY2" s="6">
        <v>44682</v>
      </c>
      <c r="BZ2" s="6">
        <v>44713</v>
      </c>
      <c r="CA2" s="6">
        <v>44743</v>
      </c>
      <c r="CB2" s="6">
        <v>44774</v>
      </c>
      <c r="CC2" s="6">
        <v>44805</v>
      </c>
      <c r="CD2" s="6">
        <v>44835</v>
      </c>
      <c r="CE2" s="6">
        <v>44866</v>
      </c>
      <c r="CF2" s="6">
        <v>44896</v>
      </c>
      <c r="CG2" s="6" t="s">
        <v>178</v>
      </c>
      <c r="CH2" s="6">
        <v>44927</v>
      </c>
      <c r="CI2" s="6">
        <v>44958</v>
      </c>
      <c r="CJ2" s="6">
        <v>44986</v>
      </c>
      <c r="CK2" s="6">
        <v>45017</v>
      </c>
      <c r="CL2" s="6">
        <v>45047</v>
      </c>
      <c r="CM2" s="6">
        <v>45078</v>
      </c>
      <c r="CN2" s="6">
        <v>45108</v>
      </c>
      <c r="CO2" s="6">
        <v>45139</v>
      </c>
    </row>
    <row r="3" spans="1:93" ht="15.75">
      <c r="A3" s="391" t="s">
        <v>179</v>
      </c>
      <c r="B3" s="3" t="s">
        <v>134</v>
      </c>
      <c r="C3" s="11" t="s">
        <v>180</v>
      </c>
      <c r="D3" s="172" t="e">
        <f>(('Evolutive SFP'!#REF!+'Evolutive SFP'!#REF!+'Evolutive SFP'!#REF!+'Evolutive SFP'!#REF!+'Evolutive SFP'!#REF!+'Evolutive SFP'!#REF!)-'Evolutive SFP'!#REF!)/1000000</f>
        <v>#REF!</v>
      </c>
      <c r="E3" s="172" t="e">
        <f>(('Evolutive SFP'!#REF!+'Evolutive SFP'!#REF!+'Evolutive SFP'!#REF!+'Evolutive SFP'!#REF!+'Evolutive SFP'!#REF!+'Evolutive SFP'!#REF!)-'Evolutive SFP'!#REF!)/1000000</f>
        <v>#REF!</v>
      </c>
      <c r="F3" s="172" t="e">
        <f>(('Evolutive SFP'!#REF!+'Evolutive SFP'!#REF!+'Evolutive SFP'!#REF!+'Evolutive SFP'!#REF!+'Evolutive SFP'!#REF!+'Evolutive SFP'!#REF!)-'Evolutive SFP'!#REF!)/1000000</f>
        <v>#REF!</v>
      </c>
      <c r="G3" s="172" t="e">
        <f>(('Evolutive SFP'!#REF!+'Evolutive SFP'!#REF!+'Evolutive SFP'!#REF!+'Evolutive SFP'!#REF!+'Evolutive SFP'!#REF!+'Evolutive SFP'!#REF!)-'Evolutive SFP'!#REF!)/1000000</f>
        <v>#REF!</v>
      </c>
      <c r="H3" s="172" t="e">
        <f>(('Evolutive SFP'!#REF!+'Evolutive SFP'!#REF!+'Evolutive SFP'!#REF!+'Evolutive SFP'!#REF!+'Evolutive SFP'!#REF!+'Evolutive SFP'!#REF!)-'Evolutive SFP'!#REF!)/1000000</f>
        <v>#REF!</v>
      </c>
      <c r="I3" s="172" t="e">
        <f>(('Evolutive SFP'!#REF!+'Evolutive SFP'!#REF!+'Evolutive SFP'!#REF!+'Evolutive SFP'!#REF!+'Evolutive SFP'!#REF!+'Evolutive SFP'!#REF!)-'Evolutive SFP'!#REF!)/1000000</f>
        <v>#REF!</v>
      </c>
      <c r="J3" s="172" t="e">
        <f>(('Evolutive SFP'!#REF!+'Evolutive SFP'!#REF!+'Evolutive SFP'!#REF!+'Evolutive SFP'!#REF!+'Evolutive SFP'!#REF!+'Evolutive SFP'!#REF!)-'Evolutive SFP'!#REF!)/1000000</f>
        <v>#REF!</v>
      </c>
      <c r="K3" s="172" t="e">
        <f>(('Evolutive SFP'!#REF!+'Evolutive SFP'!#REF!+'Evolutive SFP'!#REF!+'Evolutive SFP'!#REF!+'Evolutive SFP'!#REF!+'Evolutive SFP'!#REF!)-'Evolutive SFP'!#REF!)/1000000</f>
        <v>#REF!</v>
      </c>
      <c r="L3" s="172" t="e">
        <f>(('Evolutive SFP'!#REF!+'Evolutive SFP'!#REF!+'Evolutive SFP'!#REF!+'Evolutive SFP'!#REF!+'Evolutive SFP'!#REF!+'Evolutive SFP'!#REF!)-'Evolutive SFP'!#REF!)/1000000</f>
        <v>#REF!</v>
      </c>
      <c r="M3" s="172" t="e">
        <f>(('Evolutive SFP'!#REF!+'Evolutive SFP'!#REF!+'Evolutive SFP'!#REF!+'Evolutive SFP'!#REF!+'Evolutive SFP'!#REF!+'Evolutive SFP'!#REF!)-'Evolutive SFP'!#REF!)/1000000</f>
        <v>#REF!</v>
      </c>
      <c r="N3" s="172" t="e">
        <f>(('Evolutive SFP'!#REF!+'Evolutive SFP'!#REF!+'Evolutive SFP'!#REF!+'Evolutive SFP'!#REF!+'Evolutive SFP'!#REF!+'Evolutive SFP'!#REF!)-'Evolutive SFP'!#REF!)/1000000</f>
        <v>#REF!</v>
      </c>
      <c r="O3" s="172" t="e">
        <f>(('Evolutive SFP'!#REF!+'Evolutive SFP'!#REF!+'Evolutive SFP'!#REF!+'Evolutive SFP'!#REF!+'Evolutive SFP'!#REF!+'Evolutive SFP'!#REF!)-'Evolutive SFP'!#REF!)/1000000</f>
        <v>#REF!</v>
      </c>
      <c r="P3" s="172" t="e">
        <f>(('Evolutive SFP'!#REF!+'Evolutive SFP'!#REF!+'Evolutive SFP'!#REF!+'Evolutive SFP'!#REF!+'Evolutive SFP'!#REF!+'Evolutive SFP'!#REF!)-'Evolutive SFP'!#REF!)/1000000</f>
        <v>#REF!</v>
      </c>
      <c r="Q3" s="172" t="e">
        <f>(('Evolutive SFP'!#REF!+'Evolutive SFP'!#REF!+'Evolutive SFP'!#REF!+'Evolutive SFP'!#REF!+'Evolutive SFP'!#REF!+'Evolutive SFP'!#REF!)-'Evolutive SFP'!#REF!)/1000000</f>
        <v>#REF!</v>
      </c>
      <c r="R3" s="172" t="e">
        <f>(('Evolutive SFP'!#REF!+'Evolutive SFP'!#REF!+'Evolutive SFP'!#REF!+'Evolutive SFP'!#REF!+'Evolutive SFP'!#REF!+'Evolutive SFP'!#REF!)-'Evolutive SFP'!#REF!)/1000000</f>
        <v>#REF!</v>
      </c>
      <c r="S3" s="172" t="e">
        <f>(('Evolutive SFP'!#REF!+'Evolutive SFP'!#REF!+'Evolutive SFP'!#REF!+'Evolutive SFP'!#REF!+'Evolutive SFP'!#REF!+'Evolutive SFP'!#REF!)-'Evolutive SFP'!#REF!)/1000000</f>
        <v>#REF!</v>
      </c>
      <c r="T3" s="172" t="e">
        <f>(('Evolutive SFP'!#REF!+'Evolutive SFP'!#REF!+'Evolutive SFP'!#REF!+'Evolutive SFP'!#REF!+'Evolutive SFP'!#REF!+'Evolutive SFP'!#REF!)-'Evolutive SFP'!#REF!)/1000000</f>
        <v>#REF!</v>
      </c>
      <c r="U3" s="172" t="e">
        <f>(('Evolutive SFP'!#REF!+'Evolutive SFP'!#REF!+'Evolutive SFP'!#REF!+'Evolutive SFP'!#REF!+'Evolutive SFP'!#REF!+'Evolutive SFP'!#REF!)-'Evolutive SFP'!#REF!)/1000000</f>
        <v>#REF!</v>
      </c>
      <c r="V3" s="172" t="e">
        <f>(('Evolutive SFP'!#REF!+'Evolutive SFP'!#REF!+'Evolutive SFP'!#REF!+'Evolutive SFP'!#REF!+'Evolutive SFP'!#REF!+'Evolutive SFP'!#REF!)-'Evolutive SFP'!#REF!)/1000000</f>
        <v>#REF!</v>
      </c>
      <c r="W3" s="172" t="e">
        <f>(('Evolutive SFP'!#REF!+'Evolutive SFP'!#REF!+'Evolutive SFP'!#REF!+'Evolutive SFP'!#REF!+'Evolutive SFP'!#REF!+'Evolutive SFP'!#REF!)-'Evolutive SFP'!#REF!)/1000000</f>
        <v>#REF!</v>
      </c>
      <c r="X3" s="172" t="e">
        <f>(('Evolutive SFP'!#REF!+'Evolutive SFP'!#REF!+'Evolutive SFP'!#REF!+'Evolutive SFP'!#REF!+'Evolutive SFP'!#REF!+'Evolutive SFP'!#REF!)-'Evolutive SFP'!#REF!)/1000000</f>
        <v>#REF!</v>
      </c>
      <c r="Y3" s="172" t="e">
        <f>(('Evolutive SFP'!#REF!+'Evolutive SFP'!#REF!+'Evolutive SFP'!#REF!+'Evolutive SFP'!#REF!+'Evolutive SFP'!#REF!+'Evolutive SFP'!#REF!)-'Evolutive SFP'!#REF!)/1000000</f>
        <v>#REF!</v>
      </c>
      <c r="Z3" s="172" t="e">
        <f>(('Evolutive SFP'!#REF!+'Evolutive SFP'!#REF!+'Evolutive SFP'!#REF!+'Evolutive SFP'!#REF!+'Evolutive SFP'!#REF!+'Evolutive SFP'!#REF!)-'Evolutive SFP'!#REF!)/1000000</f>
        <v>#REF!</v>
      </c>
      <c r="AA3" s="172" t="e">
        <f>(('Evolutive SFP'!#REF!+'Evolutive SFP'!#REF!+'Evolutive SFP'!#REF!+'Evolutive SFP'!#REF!+'Evolutive SFP'!#REF!+'Evolutive SFP'!#REF!)-'Evolutive SFP'!#REF!)/1000000</f>
        <v>#REF!</v>
      </c>
      <c r="AB3" s="172" t="e">
        <f>(('Evolutive SFP'!#REF!+'Evolutive SFP'!#REF!+'Evolutive SFP'!#REF!+'Evolutive SFP'!#REF!+'Evolutive SFP'!#REF!+'Evolutive SFP'!#REF!)-'Evolutive SFP'!#REF!)/1000000</f>
        <v>#REF!</v>
      </c>
      <c r="AC3" s="172" t="e">
        <f>(('Evolutive SFP'!#REF!+'Evolutive SFP'!#REF!+'Evolutive SFP'!#REF!+'Evolutive SFP'!#REF!+'Evolutive SFP'!#REF!+'Evolutive SFP'!#REF!)-'Evolutive SFP'!#REF!)/1000000</f>
        <v>#REF!</v>
      </c>
      <c r="AD3" s="172" t="e">
        <f>(('Evolutive SFP'!#REF!+'Evolutive SFP'!#REF!+'Evolutive SFP'!#REF!+'Evolutive SFP'!#REF!+'Evolutive SFP'!#REF!+'Evolutive SFP'!#REF!)-'Evolutive SFP'!#REF!)/1000000</f>
        <v>#REF!</v>
      </c>
      <c r="AE3" s="172" t="e">
        <f>(('Evolutive SFP'!#REF!+'Evolutive SFP'!#REF!+'Evolutive SFP'!#REF!+'Evolutive SFP'!#REF!+'Evolutive SFP'!#REF!+'Evolutive SFP'!#REF!)-'Evolutive SFP'!#REF!)/1000000</f>
        <v>#REF!</v>
      </c>
      <c r="AF3" s="172" t="e">
        <f>(('Evolutive SFP'!#REF!+'Evolutive SFP'!#REF!+'Evolutive SFP'!#REF!+'Evolutive SFP'!#REF!+'Evolutive SFP'!#REF!+'Evolutive SFP'!#REF!)-'Evolutive SFP'!#REF!)/1000000</f>
        <v>#REF!</v>
      </c>
      <c r="AG3" s="172" t="e">
        <f>(('Evolutive SFP'!#REF!+'Evolutive SFP'!#REF!+'Evolutive SFP'!#REF!+'Evolutive SFP'!#REF!+'Evolutive SFP'!#REF!+'Evolutive SFP'!#REF!)-'Evolutive SFP'!#REF!)/1000000</f>
        <v>#REF!</v>
      </c>
      <c r="AH3" s="172" t="e">
        <f>(('Evolutive SFP'!#REF!+'Evolutive SFP'!#REF!+'Evolutive SFP'!#REF!+'Evolutive SFP'!#REF!+'Evolutive SFP'!#REF!+'Evolutive SFP'!#REF!)-'Evolutive SFP'!#REF!)/1000000</f>
        <v>#REF!</v>
      </c>
      <c r="AI3" s="172" t="e">
        <f>(('Evolutive SFP'!#REF!+'Evolutive SFP'!#REF!+'Evolutive SFP'!#REF!+'Evolutive SFP'!#REF!+'Evolutive SFP'!#REF!+'Evolutive SFP'!#REF!)-'Evolutive SFP'!#REF!)/1000000</f>
        <v>#REF!</v>
      </c>
      <c r="AJ3" s="172" t="e">
        <f>(('Evolutive SFP'!#REF!+'Evolutive SFP'!#REF!+'Evolutive SFP'!#REF!+'Evolutive SFP'!#REF!+'Evolutive SFP'!#REF!+'Evolutive SFP'!#REF!)-'Evolutive SFP'!#REF!)/1000000</f>
        <v>#REF!</v>
      </c>
      <c r="AK3" s="172" t="e">
        <f>(('Evolutive SFP'!#REF!+'Evolutive SFP'!#REF!+'Evolutive SFP'!#REF!+'Evolutive SFP'!#REF!+'Evolutive SFP'!#REF!+'Evolutive SFP'!#REF!)-'Evolutive SFP'!#REF!)/1000000</f>
        <v>#REF!</v>
      </c>
      <c r="AL3" s="172" t="e">
        <f>(('Evolutive SFP'!#REF!+'Evolutive SFP'!#REF!+'Evolutive SFP'!#REF!+'Evolutive SFP'!#REF!+'Evolutive SFP'!#REF!+'Evolutive SFP'!#REF!)-'Evolutive SFP'!#REF!)/1000000</f>
        <v>#REF!</v>
      </c>
      <c r="AM3" s="172" t="e">
        <f>(('Evolutive SFP'!#REF!+'Evolutive SFP'!#REF!+'Evolutive SFP'!#REF!+'Evolutive SFP'!#REF!+'Evolutive SFP'!#REF!+'Evolutive SFP'!#REF!)-'Evolutive SFP'!#REF!)/1000000</f>
        <v>#REF!</v>
      </c>
      <c r="AN3" s="172" t="e">
        <f>(('Evolutive SFP'!#REF!+'Evolutive SFP'!#REF!+'Evolutive SFP'!#REF!+'Evolutive SFP'!#REF!+'Evolutive SFP'!#REF!+'Evolutive SFP'!#REF!)-'Evolutive SFP'!#REF!)/1000000</f>
        <v>#REF!</v>
      </c>
      <c r="AO3" s="172" t="e">
        <f>(('Evolutive SFP'!#REF!+'Evolutive SFP'!#REF!+'Evolutive SFP'!#REF!+'Evolutive SFP'!#REF!+'Evolutive SFP'!#REF!+'Evolutive SFP'!#REF!)-'Evolutive SFP'!#REF!)/1000000</f>
        <v>#REF!</v>
      </c>
      <c r="AP3" s="172" t="e">
        <f>(('Evolutive SFP'!#REF!+'Evolutive SFP'!#REF!+'Evolutive SFP'!#REF!+'Evolutive SFP'!#REF!+'Evolutive SFP'!#REF!+'Evolutive SFP'!#REF!)-'Evolutive SFP'!#REF!)/1000000</f>
        <v>#REF!</v>
      </c>
      <c r="AQ3" s="172" t="e">
        <f>(('Evolutive SFP'!#REF!+'Evolutive SFP'!#REF!+'Evolutive SFP'!#REF!+'Evolutive SFP'!#REF!+'Evolutive SFP'!#REF!+'Evolutive SFP'!#REF!)-'Evolutive SFP'!#REF!)/1000000</f>
        <v>#REF!</v>
      </c>
      <c r="AR3" s="172" t="e">
        <f>(('Evolutive SFP'!#REF!+'Evolutive SFP'!#REF!+'Evolutive SFP'!#REF!+'Evolutive SFP'!#REF!+'Evolutive SFP'!#REF!+'Evolutive SFP'!#REF!)-'Evolutive SFP'!#REF!)/1000000</f>
        <v>#REF!</v>
      </c>
      <c r="AS3" s="172" t="e">
        <f>(('Evolutive SFP'!#REF!+'Evolutive SFP'!#REF!+'Evolutive SFP'!#REF!+'Evolutive SFP'!#REF!+'Evolutive SFP'!#REF!+'Evolutive SFP'!#REF!)-'Evolutive SFP'!#REF!)/1000000</f>
        <v>#REF!</v>
      </c>
      <c r="AT3" s="172">
        <f>(('Evolutive SFP'!B39+'Evolutive SFP'!B40+'Evolutive SFP'!B41+'Evolutive SFP'!B42+'Evolutive SFP'!B43+'Evolutive SFP'!B44)-'Evolutive SFP'!B10)/1000000</f>
        <v>35.293281</v>
      </c>
      <c r="AU3" s="172">
        <f>(('Evolutive SFP'!C39+'Evolutive SFP'!C40+'Evolutive SFP'!C41+'Evolutive SFP'!C42+'Evolutive SFP'!C43+'Evolutive SFP'!C44)-'Evolutive SFP'!C10)/1000000</f>
        <v>0.64000937999999996</v>
      </c>
      <c r="AV3" s="172">
        <f>(('Evolutive SFP'!D39+'Evolutive SFP'!D40+'Evolutive SFP'!D41+'Evolutive SFP'!D42+'Evolutive SFP'!D43+'Evolutive SFP'!D44)-'Evolutive SFP'!D10)/1000000</f>
        <v>0.58801871999999999</v>
      </c>
      <c r="AW3" s="172">
        <f>(('Evolutive SFP'!E39+'Evolutive SFP'!E40+'Evolutive SFP'!E41+'Evolutive SFP'!E42+'Evolutive SFP'!E43+'Evolutive SFP'!E44)-'Evolutive SFP'!E10)/1000000</f>
        <v>0.58329084000000009</v>
      </c>
      <c r="AX3" s="172">
        <f>(('Evolutive SFP'!F39+'Evolutive SFP'!F40+'Evolutive SFP'!F41+'Evolutive SFP'!F42+'Evolutive SFP'!F43+'Evolutive SFP'!F44)-'Evolutive SFP'!F10)/1000000</f>
        <v>0.63132644000000004</v>
      </c>
      <c r="AY3" s="172">
        <f>(('Evolutive SFP'!G39+'Evolutive SFP'!G40+'Evolutive SFP'!G41+'Evolutive SFP'!G42+'Evolutive SFP'!G43+'Evolutive SFP'!G44)-'Evolutive SFP'!G10)/1000000</f>
        <v>0.6762689300000001</v>
      </c>
      <c r="AZ3" s="172">
        <f>(('Evolutive SFP'!H39+'Evolutive SFP'!H40+'Evolutive SFP'!H41+'Evolutive SFP'!H42+'Evolutive SFP'!H43+'Evolutive SFP'!H44)-'Evolutive SFP'!H10)/1000000</f>
        <v>0.63133574000000003</v>
      </c>
      <c r="BA3" s="172" t="e">
        <f>(('Evolutive SFP'!#REF!+'Evolutive SFP'!#REF!+'Evolutive SFP'!#REF!+'Evolutive SFP'!#REF!+'Evolutive SFP'!#REF!+'Evolutive SFP'!#REF!)-'Evolutive SFP'!#REF!)/1000000</f>
        <v>#REF!</v>
      </c>
      <c r="BB3" s="172">
        <f>(('Evolutive SFP'!I39+'Evolutive SFP'!I40+'Evolutive SFP'!I41+'Evolutive SFP'!I42+'Evolutive SFP'!I43+'Evolutive SFP'!I44)-'Evolutive SFP'!I10)/1000000</f>
        <v>0.64455375000000015</v>
      </c>
      <c r="BC3" s="172">
        <f>(('Evolutive SFP'!J39+'Evolutive SFP'!J40+'Evolutive SFP'!J41+'Evolutive SFP'!J42+'Evolutive SFP'!J43+'Evolutive SFP'!J44)-'Evolutive SFP'!J10)/1000000</f>
        <v>0.65359414999999998</v>
      </c>
      <c r="BD3" s="172">
        <f>(('Evolutive SFP'!K39+'Evolutive SFP'!K40+'Evolutive SFP'!K41+'Evolutive SFP'!K42+'Evolutive SFP'!K43+'Evolutive SFP'!K44)-'Evolutive SFP'!K10)/1000000</f>
        <v>0.66564707000000012</v>
      </c>
      <c r="BE3" s="172">
        <f>(('Evolutive SFP'!L39+'Evolutive SFP'!L40+'Evolutive SFP'!L41+'Evolutive SFP'!L42+'Evolutive SFP'!L43+'Evolutive SFP'!L44)-'Evolutive SFP'!L10)/1000000</f>
        <v>0.66058536999999995</v>
      </c>
      <c r="BF3" s="172">
        <f>(('Evolutive SFP'!M39+'Evolutive SFP'!M40+'Evolutive SFP'!M41+'Evolutive SFP'!M42+'Evolutive SFP'!M43+'Evolutive SFP'!M44)-'Evolutive SFP'!M10)/1000000</f>
        <v>0.69283897000000005</v>
      </c>
      <c r="BG3" s="172">
        <f>(('Evolutive SFP'!N39+'Evolutive SFP'!N40+'Evolutive SFP'!N41+'Evolutive SFP'!N42+'Evolutive SFP'!N43+'Evolutive SFP'!N44)-'Evolutive SFP'!N10)/1000000</f>
        <v>738.04925700000001</v>
      </c>
      <c r="BH3" s="172">
        <f>(('Evolutive SFP'!O39+'Evolutive SFP'!O40+'Evolutive SFP'!O41+'Evolutive SFP'!O42+'Evolutive SFP'!O43+'Evolutive SFP'!O44)-'Evolutive SFP'!O10)/1000000</f>
        <v>0.69317851000000008</v>
      </c>
      <c r="BI3" s="172">
        <f>(('Evolutive SFP'!P39+'Evolutive SFP'!P40+'Evolutive SFP'!P41+'Evolutive SFP'!P42+'Evolutive SFP'!P43+'Evolutive SFP'!P44)-'Evolutive SFP'!P10)/1000000</f>
        <v>0.67282606</v>
      </c>
      <c r="BJ3" s="172">
        <f>(('Evolutive SFP'!Q39+'Evolutive SFP'!Q40+'Evolutive SFP'!Q41+'Evolutive SFP'!Q42+'Evolutive SFP'!Q43+'Evolutive SFP'!Q44)-'Evolutive SFP'!Q10)/1000000</f>
        <v>0.68627406000000002</v>
      </c>
      <c r="BK3" s="172">
        <f>(('Evolutive SFP'!R39+'Evolutive SFP'!R40+'Evolutive SFP'!R41+'Evolutive SFP'!R42+'Evolutive SFP'!R43+'Evolutive SFP'!R44)-'Evolutive SFP'!R10)/1000000</f>
        <v>0.7366055600000001</v>
      </c>
      <c r="BL3" s="172">
        <f>(('Evolutive SFP'!S39+'Evolutive SFP'!S40+'Evolutive SFP'!S41+'Evolutive SFP'!S42+'Evolutive SFP'!S43+'Evolutive SFP'!S44)-'Evolutive SFP'!S10)/1000000</f>
        <v>0.73828738999999999</v>
      </c>
      <c r="BM3" s="172">
        <f>(('Evolutive SFP'!T39+'Evolutive SFP'!T40+'Evolutive SFP'!T41+'Evolutive SFP'!T42+'Evolutive SFP'!T43+'Evolutive SFP'!T44)-'Evolutive SFP'!T10)/1000000</f>
        <v>0.76153853000000005</v>
      </c>
      <c r="BN3" s="172">
        <f>(('Evolutive SFP'!U39+'Evolutive SFP'!U40+'Evolutive SFP'!U41+'Evolutive SFP'!U42+'Evolutive SFP'!U43+'Evolutive SFP'!U44)-'Evolutive SFP'!U10)/1000000</f>
        <v>0.73882013000000002</v>
      </c>
      <c r="BO3" s="172">
        <f>(('Evolutive SFP'!V39+'Evolutive SFP'!V40+'Evolutive SFP'!V41+'Evolutive SFP'!V42+'Evolutive SFP'!V43+'Evolutive SFP'!V44)-'Evolutive SFP'!V10)/1000000</f>
        <v>0.72924452000000006</v>
      </c>
      <c r="BP3" s="172">
        <f>(('Evolutive SFP'!W39+'Evolutive SFP'!W40+'Evolutive SFP'!W41+'Evolutive SFP'!W42+'Evolutive SFP'!W43+'Evolutive SFP'!W44)-'Evolutive SFP'!W10)/1000000</f>
        <v>0.78400113999999987</v>
      </c>
      <c r="BQ3" s="172">
        <f>(('Evolutive SFP'!X39+'Evolutive SFP'!X40+'Evolutive SFP'!X41+'Evolutive SFP'!X42+'Evolutive SFP'!X43+'Evolutive SFP'!X44)-'Evolutive SFP'!X10)/1000000</f>
        <v>0.79095281000000006</v>
      </c>
      <c r="BR3" s="172">
        <f>(('Evolutive SFP'!Y39+'Evolutive SFP'!Y40+'Evolutive SFP'!Y41+'Evolutive SFP'!Y42+'Evolutive SFP'!Y43+'Evolutive SFP'!Y44)-'Evolutive SFP'!Y10)/1000000</f>
        <v>0.80278671000000001</v>
      </c>
      <c r="BS3" s="172">
        <f>(('Evolutive SFP'!Z39+'Evolutive SFP'!Z40+'Evolutive SFP'!Z41+'Evolutive SFP'!Z42+'Evolutive SFP'!Z43+'Evolutive SFP'!Z44)-'Evolutive SFP'!Z10)/1000000</f>
        <v>0.83717786000000005</v>
      </c>
      <c r="BT3" s="172">
        <f>(('Evolutive SFP'!AA39+'Evolutive SFP'!AA40+'Evolutive SFP'!AA41+'Evolutive SFP'!AA42+'Evolutive SFP'!AA43+'Evolutive SFP'!AA44)-'Evolutive SFP'!AA10)/1000000</f>
        <v>867.43688799999995</v>
      </c>
      <c r="BU3" s="172">
        <f>(('Evolutive SFP'!AB39+'Evolutive SFP'!AB40+'Evolutive SFP'!AB41+'Evolutive SFP'!AB42+'Evolutive SFP'!AB43+'Evolutive SFP'!AB44)-'Evolutive SFP'!AB10)/1000000</f>
        <v>841.78718624999999</v>
      </c>
      <c r="BV3" s="172">
        <f>(('Evolutive SFP'!AC39+'Evolutive SFP'!AC40+'Evolutive SFP'!AC41+'Evolutive SFP'!AC42+'Evolutive SFP'!AC43+'Evolutive SFP'!AC44)-'Evolutive SFP'!AC10)/1000000</f>
        <v>840.155754</v>
      </c>
      <c r="BW3" s="172">
        <f>(('Evolutive SFP'!AD39+'Evolutive SFP'!AD40+'Evolutive SFP'!AD41+'Evolutive SFP'!AD42+'Evolutive SFP'!AD43+'Evolutive SFP'!AD44)-'Evolutive SFP'!AD10)/1000000</f>
        <v>833.86226529999999</v>
      </c>
      <c r="BX3" s="172">
        <f>(('Evolutive SFP'!AE39+'Evolutive SFP'!AE40+'Evolutive SFP'!AE41+'Evolutive SFP'!AE42+'Evolutive SFP'!AE43+'Evolutive SFP'!AE44)-'Evolutive SFP'!AE10)/1000000</f>
        <v>835.39330600000005</v>
      </c>
      <c r="BY3" s="172">
        <f>(('Evolutive SFP'!AF39+'Evolutive SFP'!AF40+'Evolutive SFP'!AF41+'Evolutive SFP'!AF42+'Evolutive SFP'!AF43+'Evolutive SFP'!AF44)-'Evolutive SFP'!AF10)/1000000</f>
        <v>827.81821565000007</v>
      </c>
      <c r="BZ3" s="172">
        <f>(('Evolutive SFP'!AG39+'Evolutive SFP'!AG40+'Evolutive SFP'!AG41+'Evolutive SFP'!AG42+'Evolutive SFP'!AG43+'Evolutive SFP'!AG44)-'Evolutive SFP'!AG10)/1000000</f>
        <v>873.51790774999995</v>
      </c>
      <c r="CA3" s="172">
        <f>(('Evolutive SFP'!AH39+'Evolutive SFP'!AH40+'Evolutive SFP'!AH41+'Evolutive SFP'!AH42+'Evolutive SFP'!AH43+'Evolutive SFP'!AH44)-'Evolutive SFP'!AH10)/1000000</f>
        <v>870.06064755000011</v>
      </c>
      <c r="CB3" s="172">
        <f>(('Evolutive SFP'!AI39+'Evolutive SFP'!AI40+'Evolutive SFP'!AI41+'Evolutive SFP'!AI42+'Evolutive SFP'!AI43+'Evolutive SFP'!AI44)-'Evolutive SFP'!AI10)/1000000</f>
        <v>860.04163419999998</v>
      </c>
      <c r="CC3" s="172">
        <f>(('Evolutive SFP'!AJ39+'Evolutive SFP'!AJ40+'Evolutive SFP'!AJ41+'Evolutive SFP'!AJ42+'Evolutive SFP'!AJ43+'Evolutive SFP'!AJ44)-'Evolutive SFP'!AJ10)/1000000</f>
        <v>866.5888862999999</v>
      </c>
      <c r="CD3" s="172">
        <f>(('Evolutive SFP'!AK39+'Evolutive SFP'!AK40+'Evolutive SFP'!AK41+'Evolutive SFP'!AK42+'Evolutive SFP'!AK43+'Evolutive SFP'!AK44)-'Evolutive SFP'!AK10)/1000000</f>
        <v>866.34626600000001</v>
      </c>
      <c r="CE3" s="172">
        <f>(('Evolutive SFP'!AL39+'Evolutive SFP'!AL40+'Evolutive SFP'!AL41+'Evolutive SFP'!AL42+'Evolutive SFP'!AL43+'Evolutive SFP'!AL44)-'Evolutive SFP'!AL10)/1000000</f>
        <v>862.88497660000007</v>
      </c>
      <c r="CF3" s="172">
        <f>(('Evolutive SFP'!AM39+'Evolutive SFP'!AM40+'Evolutive SFP'!AM41+'Evolutive SFP'!AM42+'Evolutive SFP'!AM43+'Evolutive SFP'!AM44)-'Evolutive SFP'!AM10)/1000000</f>
        <v>884.66537779000009</v>
      </c>
      <c r="CG3" s="172">
        <f>(('Evolutive SFP'!AN39+'Evolutive SFP'!AN40+'Evolutive SFP'!AN41+'Evolutive SFP'!AN42+'Evolutive SFP'!AN43+'Evolutive SFP'!AN44)-'Evolutive SFP'!AN10)/1000000</f>
        <v>939.18783399999995</v>
      </c>
      <c r="CH3" s="172">
        <f>(('Evolutive SFP'!AO39+'Evolutive SFP'!AO40+'Evolutive SFP'!AO41+'Evolutive SFP'!AO42+'Evolutive SFP'!AO43+'Evolutive SFP'!AO44)-'Evolutive SFP'!AO10)/1000000</f>
        <v>912.95527357000003</v>
      </c>
      <c r="CI3" s="172">
        <f>(('Evolutive SFP'!AP39+'Evolutive SFP'!AP40+'Evolutive SFP'!AP41+'Evolutive SFP'!AP42+'Evolutive SFP'!AP43+'Evolutive SFP'!AP44)-'Evolutive SFP'!AP10)/1000000</f>
        <v>905.00522590000003</v>
      </c>
      <c r="CJ3" s="172">
        <f>(('Evolutive SFP'!AQ39+'Evolutive SFP'!AQ40+'Evolutive SFP'!AQ41+'Evolutive SFP'!AQ42+'Evolutive SFP'!AQ43+'Evolutive SFP'!AQ44)-'Evolutive SFP'!AQ10)/1000000</f>
        <v>916.54544039999996</v>
      </c>
      <c r="CK3" s="172">
        <f>(('Evolutive SFP'!AR39+'Evolutive SFP'!AR40+'Evolutive SFP'!AR41+'Evolutive SFP'!AR42+'Evolutive SFP'!AR43+'Evolutive SFP'!AR44)-'Evolutive SFP'!AR10)/1000000</f>
        <v>917.71279100000004</v>
      </c>
      <c r="CL3" s="172">
        <f>(('Evolutive SFP'!AS39+'Evolutive SFP'!AS40+'Evolutive SFP'!AS41+'Evolutive SFP'!AS42+'Evolutive SFP'!AS43+'Evolutive SFP'!AS44)-'Evolutive SFP'!AS10)/1000000</f>
        <v>923.54102119999993</v>
      </c>
      <c r="CM3" s="172">
        <f>(('Evolutive SFP'!AT39+'Evolutive SFP'!AT40+'Evolutive SFP'!AT41+'Evolutive SFP'!AT42+'Evolutive SFP'!AT43+'Evolutive SFP'!AT44)-'Evolutive SFP'!AT10)/1000000</f>
        <v>978.49972539999999</v>
      </c>
      <c r="CN3" s="172">
        <f>(('Evolutive SFP'!AU39+'Evolutive SFP'!AU40+'Evolutive SFP'!AU41+'Evolutive SFP'!AU42+'Evolutive SFP'!AU43+'Evolutive SFP'!AU44)-'Evolutive SFP'!AU10)/1000000</f>
        <v>975.94476090000001</v>
      </c>
      <c r="CO3" s="172">
        <f>(('Evolutive SFP'!AV39+'Evolutive SFP'!AV40+'Evolutive SFP'!AV41+'Evolutive SFP'!AV42+'Evolutive SFP'!AV43+'Evolutive SFP'!AV44)-'Evolutive SFP'!AV10)/1000000</f>
        <v>976.46801019999998</v>
      </c>
    </row>
    <row r="4" spans="1:93" ht="15.75">
      <c r="A4" s="391"/>
      <c r="B4" s="3" t="s">
        <v>181</v>
      </c>
      <c r="C4" s="11" t="s">
        <v>182</v>
      </c>
      <c r="D4" s="34" t="e">
        <f>D3/(('Evolutive SFP'!#REF!)/1000000)</f>
        <v>#REF!</v>
      </c>
      <c r="E4" s="34" t="e">
        <f>E3/(('Evolutive SFP'!#REF!)/1000000)</f>
        <v>#REF!</v>
      </c>
      <c r="F4" s="34" t="e">
        <f>F3/(('Evolutive SFP'!#REF!)/1000000)</f>
        <v>#REF!</v>
      </c>
      <c r="G4" s="34" t="e">
        <f>G3/(('Evolutive SFP'!#REF!)/1000000)</f>
        <v>#REF!</v>
      </c>
      <c r="H4" s="34" t="e">
        <f>H3/(('Evolutive SFP'!#REF!)/1000000)</f>
        <v>#REF!</v>
      </c>
      <c r="I4" s="34" t="e">
        <f>I3/(('Evolutive SFP'!#REF!)/1000000)</f>
        <v>#REF!</v>
      </c>
      <c r="J4" s="34" t="e">
        <f>J3/(('Evolutive SFP'!#REF!)/1000000)</f>
        <v>#REF!</v>
      </c>
      <c r="K4" s="34" t="e">
        <f>K3/(('Evolutive SFP'!#REF!)/1000000)</f>
        <v>#REF!</v>
      </c>
      <c r="L4" s="34" t="e">
        <f>L3/(('Evolutive SFP'!#REF!)/1000000)</f>
        <v>#REF!</v>
      </c>
      <c r="M4" s="34" t="e">
        <f>M3/(('Evolutive SFP'!#REF!)/1000000)</f>
        <v>#REF!</v>
      </c>
      <c r="N4" s="34" t="e">
        <f>N3/(('Evolutive SFP'!#REF!)/1000000)</f>
        <v>#REF!</v>
      </c>
      <c r="O4" s="34" t="e">
        <f>O3/(('Evolutive SFP'!#REF!)/1000000)</f>
        <v>#REF!</v>
      </c>
      <c r="P4" s="34" t="e">
        <f>P3/(('Evolutive SFP'!#REF!)/1000000)</f>
        <v>#REF!</v>
      </c>
      <c r="Q4" s="34" t="e">
        <f>Q3/(('Evolutive SFP'!#REF!)/1000000)</f>
        <v>#REF!</v>
      </c>
      <c r="R4" s="34" t="e">
        <f>R3/(('Evolutive SFP'!#REF!)/1000000)</f>
        <v>#REF!</v>
      </c>
      <c r="S4" s="38" t="e">
        <f>S3/(('Evolutive SFP'!#REF!)/1000000)</f>
        <v>#REF!</v>
      </c>
      <c r="T4" s="38" t="e">
        <f>T3/(('Evolutive SFP'!#REF!)/1000000)</f>
        <v>#REF!</v>
      </c>
      <c r="U4" s="38" t="e">
        <f>U3/(('Evolutive SFP'!#REF!)/1000000)</f>
        <v>#REF!</v>
      </c>
      <c r="V4" s="38" t="e">
        <f>V3/(('Evolutive SFP'!#REF!)/1000000)</f>
        <v>#REF!</v>
      </c>
      <c r="W4" s="38" t="e">
        <f>W3/(('Evolutive SFP'!#REF!)/1000000)</f>
        <v>#REF!</v>
      </c>
      <c r="X4" s="38" t="e">
        <f>X3/(('Evolutive SFP'!#REF!)/1000000)</f>
        <v>#REF!</v>
      </c>
      <c r="Y4" s="38" t="e">
        <f>Y3/(('Evolutive SFP'!#REF!)/1000000)</f>
        <v>#REF!</v>
      </c>
      <c r="Z4" s="38" t="e">
        <f>Z3/(('Evolutive SFP'!#REF!)/1000000)</f>
        <v>#REF!</v>
      </c>
      <c r="AA4" s="38" t="e">
        <f>AA3/(('Evolutive SFP'!#REF!)/1000000)</f>
        <v>#REF!</v>
      </c>
      <c r="AB4" s="38" t="e">
        <f>AB3/(('Evolutive SFP'!#REF!)/1000000)</f>
        <v>#REF!</v>
      </c>
      <c r="AC4" s="38" t="e">
        <f>AC3/(('Evolutive SFP'!#REF!)/1000000)</f>
        <v>#REF!</v>
      </c>
      <c r="AD4" s="38" t="e">
        <f>AD3/(('Evolutive SFP'!#REF!)/1000000)</f>
        <v>#REF!</v>
      </c>
      <c r="AE4" s="38" t="e">
        <f>AE3/(('Evolutive SFP'!#REF!)/1000000)</f>
        <v>#REF!</v>
      </c>
      <c r="AF4" s="38" t="e">
        <f>AF3/(('Evolutive SFP'!#REF!)/1000000)</f>
        <v>#REF!</v>
      </c>
      <c r="AG4" s="38" t="e">
        <f>AG3/(('Evolutive SFP'!#REF!)/1000000)</f>
        <v>#REF!</v>
      </c>
      <c r="AH4" s="38" t="e">
        <f>AH3/(('Evolutive SFP'!#REF!)/1000000)</f>
        <v>#REF!</v>
      </c>
      <c r="AI4" s="38" t="e">
        <f>AI3/(('Evolutive SFP'!#REF!)/1000000)</f>
        <v>#REF!</v>
      </c>
      <c r="AJ4" s="38" t="e">
        <f>AJ3/(('Evolutive SFP'!#REF!)/1000000)</f>
        <v>#REF!</v>
      </c>
      <c r="AK4" s="38" t="e">
        <f>AK3/(('Evolutive SFP'!#REF!)/1000000)</f>
        <v>#REF!</v>
      </c>
      <c r="AL4" s="38" t="e">
        <f>AL3/(('Evolutive SFP'!#REF!)/1000000)</f>
        <v>#REF!</v>
      </c>
      <c r="AM4" s="38" t="e">
        <f>AM3/(('Evolutive SFP'!#REF!)/1000000)</f>
        <v>#REF!</v>
      </c>
      <c r="AN4" s="38" t="e">
        <f>AN3/(('Evolutive SFP'!#REF!)/1000000)</f>
        <v>#REF!</v>
      </c>
      <c r="AO4" s="38" t="e">
        <f>AO3/(('Evolutive SFP'!#REF!)/1000000)</f>
        <v>#REF!</v>
      </c>
      <c r="AP4" s="38" t="e">
        <f>AP3/(('Evolutive SFP'!#REF!)/1000000)</f>
        <v>#REF!</v>
      </c>
      <c r="AQ4" s="38" t="e">
        <f>AQ3/(('Evolutive SFP'!#REF!)/1000000)</f>
        <v>#REF!</v>
      </c>
      <c r="AR4" s="38" t="e">
        <f>AR3/(('Evolutive SFP'!#REF!)/1000000)</f>
        <v>#REF!</v>
      </c>
      <c r="AS4" s="38" t="e">
        <f>AS3/(('Evolutive SFP'!#REF!)/1000000)</f>
        <v>#REF!</v>
      </c>
      <c r="AT4" s="38">
        <f>AT3/(('Evolutive SFP'!B27)/1000000)</f>
        <v>0.12028587695269385</v>
      </c>
      <c r="AU4" s="38">
        <f>AU3/(('Evolutive SFP'!C27)/1000000)</f>
        <v>0.20212554891204579</v>
      </c>
      <c r="AV4" s="38">
        <f>AV3/(('Evolutive SFP'!D27)/1000000)</f>
        <v>0.18615324433596292</v>
      </c>
      <c r="AW4" s="38">
        <f>AW3/(('Evolutive SFP'!E27)/1000000)</f>
        <v>0.18819147721714752</v>
      </c>
      <c r="AX4" s="38">
        <f>AX3/(('Evolutive SFP'!F27)/1000000)</f>
        <v>0.19928211065973606</v>
      </c>
      <c r="AY4" s="38">
        <f>AY3/(('Evolutive SFP'!G27)/1000000)</f>
        <v>0.20804044634825838</v>
      </c>
      <c r="AZ4" s="38">
        <f>AZ3/(('Evolutive SFP'!H27)/1000000)</f>
        <v>0.19260583897872979</v>
      </c>
      <c r="BA4" s="38" t="e">
        <f>BA3/(('Evolutive SFP'!#REF!)/1000000)</f>
        <v>#REF!</v>
      </c>
      <c r="BB4" s="38">
        <f>BB3/(('Evolutive SFP'!I27)/1000000)</f>
        <v>0.18973947521872481</v>
      </c>
      <c r="BC4" s="38">
        <f>BC3/(('Evolutive SFP'!J27)/1000000)</f>
        <v>0.190078075850102</v>
      </c>
      <c r="BD4" s="38">
        <f>BD3/(('Evolutive SFP'!K27)/1000000)</f>
        <v>0.19037590195467194</v>
      </c>
      <c r="BE4" s="38">
        <f>BE3/(('Evolutive SFP'!L27)/1000000)</f>
        <v>0.18580504847997623</v>
      </c>
      <c r="BF4" s="38">
        <f>BF3/(('Evolutive SFP'!M27)/1000000)</f>
        <v>0.19095671224507688</v>
      </c>
      <c r="BG4" s="38">
        <f>BG3/(('Evolutive SFP'!N27)/1000000)</f>
        <v>0.20401917454214438</v>
      </c>
      <c r="BH4" s="38">
        <f>BH3/(('Evolutive SFP'!O27)/1000000)</f>
        <v>0.18915302875027706</v>
      </c>
      <c r="BI4" s="38">
        <f>BI3/(('Evolutive SFP'!P27)/1000000)</f>
        <v>0.18271629112287649</v>
      </c>
      <c r="BJ4" s="38">
        <f>BJ3/(('Evolutive SFP'!Q27)/1000000)</f>
        <v>0.1885626099089141</v>
      </c>
      <c r="BK4" s="38">
        <f>BK3/(('Evolutive SFP'!R27)/1000000)</f>
        <v>0.19853001198202866</v>
      </c>
      <c r="BL4" s="38">
        <f>BL3/(('Evolutive SFP'!S27)/1000000)</f>
        <v>0.19638063692576396</v>
      </c>
      <c r="BM4" s="38">
        <f>BM3/(('Evolutive SFP'!T27)/1000000)</f>
        <v>0.19927064041605544</v>
      </c>
      <c r="BN4" s="38">
        <f>BN3/(('Evolutive SFP'!U27)/1000000)</f>
        <v>0.19074405853803539</v>
      </c>
      <c r="BO4" s="38">
        <f>BO3/(('Evolutive SFP'!V27)/1000000)</f>
        <v>0.18676529696813274</v>
      </c>
      <c r="BP4" s="38">
        <f>BP3/(('Evolutive SFP'!W27)/1000000)</f>
        <v>0.19645456801649058</v>
      </c>
      <c r="BQ4" s="38">
        <f>BQ3/(('Evolutive SFP'!X27)/1000000)</f>
        <v>0.19540916318548521</v>
      </c>
      <c r="BR4" s="38">
        <f>BR3/(('Evolutive SFP'!Y27)/1000000)</f>
        <v>0.19486985212864311</v>
      </c>
      <c r="BS4" s="38">
        <f>BS3/(('Evolutive SFP'!Z27)/1000000)</f>
        <v>0.19859239057903263</v>
      </c>
      <c r="BT4" s="38">
        <f>BT3/(('Evolutive SFP'!AA27)/1000000)</f>
        <v>0.20654557062270493</v>
      </c>
      <c r="BU4" s="38">
        <f>BU3/(('Evolutive SFP'!AB27)/1000000)</f>
        <v>0.19798070499959208</v>
      </c>
      <c r="BV4" s="38">
        <f>BV3/(('Evolutive SFP'!AC27)/1000000)</f>
        <v>0.1948883588974718</v>
      </c>
      <c r="BW4" s="38">
        <f>BW3/(('Evolutive SFP'!AD27)/1000000)</f>
        <v>0.19712014304597503</v>
      </c>
      <c r="BX4" s="38">
        <f>BX3/(('Evolutive SFP'!AE27)/1000000)</f>
        <v>0.19772129374972683</v>
      </c>
      <c r="BY4" s="38">
        <f>BY3/(('Evolutive SFP'!AF27)/1000000)</f>
        <v>0.19270382831643232</v>
      </c>
      <c r="BZ4" s="38">
        <f>BZ3/(('Evolutive SFP'!AG27)/1000000)</f>
        <v>0.19696054281018568</v>
      </c>
      <c r="CA4" s="38">
        <f>CA3/(('Evolutive SFP'!AH27)/1000000)</f>
        <v>0.19390015646507472</v>
      </c>
      <c r="CB4" s="38">
        <f>CB3/(('Evolutive SFP'!AI27)/1000000)</f>
        <v>0.18823950063278283</v>
      </c>
      <c r="CC4" s="38">
        <f>CC3/(('Evolutive SFP'!AJ27)/1000000)</f>
        <v>0.18590867026636868</v>
      </c>
      <c r="CD4" s="38">
        <f>CD3/(('Evolutive SFP'!AK27)/1000000)</f>
        <v>0.18248367309340321</v>
      </c>
      <c r="CE4" s="38">
        <f>CE3/(('Evolutive SFP'!AL27)/1000000)</f>
        <v>0.17879337261531869</v>
      </c>
      <c r="CF4" s="38">
        <f>CF3/(('Evolutive SFP'!AM27)/1000000)</f>
        <v>0.1795189084563602</v>
      </c>
      <c r="CG4" s="38">
        <f>CG3/(('Evolutive SFP'!AN27)/1000000)</f>
        <v>0.19086253784826529</v>
      </c>
      <c r="CH4" s="38">
        <f>CH3/(('Evolutive SFP'!AO27)/1000000)</f>
        <v>0.18167119660141634</v>
      </c>
      <c r="CI4" s="38">
        <f>CI3/(('Evolutive SFP'!AP27)/1000000)</f>
        <v>0.17640991407358209</v>
      </c>
      <c r="CJ4" s="38">
        <f>CJ3/(('Evolutive SFP'!AQ27)/1000000)</f>
        <v>0.18236647794199048</v>
      </c>
      <c r="CK4" s="38">
        <f>CK3/(('Evolutive SFP'!AR27)/1000000)</f>
        <v>0.18200662536707854</v>
      </c>
      <c r="CL4" s="38">
        <f>CL3/(('Evolutive SFP'!AS27)/1000000)</f>
        <v>0.17972213600068895</v>
      </c>
      <c r="CM4" s="38">
        <f>CM3/(('Evolutive SFP'!AT27)/1000000)</f>
        <v>0.18501956019901697</v>
      </c>
      <c r="CN4" s="38">
        <f>CN3/(('Evolutive SFP'!AU27)/1000000)</f>
        <v>0.18216332974213978</v>
      </c>
      <c r="CO4" s="38">
        <f>CO3/(('Evolutive SFP'!AV27)/1000000)</f>
        <v>0.18117330623346595</v>
      </c>
    </row>
    <row r="5" spans="1:93" ht="15.75">
      <c r="A5" s="391"/>
      <c r="B5" s="3" t="s">
        <v>183</v>
      </c>
      <c r="C5" s="11" t="s">
        <v>184</v>
      </c>
      <c r="D5" s="34" t="e">
        <f>D3/('Evolutive SFP'!#REF!/1000000)</f>
        <v>#REF!</v>
      </c>
      <c r="E5" s="34" t="e">
        <f>E3/('Evolutive SFP'!#REF!/1000000)</f>
        <v>#REF!</v>
      </c>
      <c r="F5" s="34" t="e">
        <f>F3/('Evolutive SFP'!#REF!/1000000)</f>
        <v>#REF!</v>
      </c>
      <c r="G5" s="34" t="e">
        <f>G3/('Evolutive SFP'!#REF!/1000000)</f>
        <v>#REF!</v>
      </c>
      <c r="H5" s="34" t="e">
        <f>H3/('Evolutive SFP'!#REF!/1000000)</f>
        <v>#REF!</v>
      </c>
      <c r="I5" s="34" t="e">
        <f>I3/('Evolutive SFP'!#REF!/1000000)</f>
        <v>#REF!</v>
      </c>
      <c r="J5" s="34" t="e">
        <f>J3/('Evolutive SFP'!#REF!/1000000)</f>
        <v>#REF!</v>
      </c>
      <c r="K5" s="34" t="e">
        <f>K3/('Evolutive SFP'!#REF!/1000000)</f>
        <v>#REF!</v>
      </c>
      <c r="L5" s="34" t="e">
        <f>L3/('Evolutive SFP'!#REF!/1000000)</f>
        <v>#REF!</v>
      </c>
      <c r="M5" s="34" t="e">
        <f>M3/('Evolutive SFP'!#REF!/1000000)</f>
        <v>#REF!</v>
      </c>
      <c r="N5" s="34" t="e">
        <f>N3/('Evolutive SFP'!#REF!/1000000)</f>
        <v>#REF!</v>
      </c>
      <c r="O5" s="34" t="e">
        <f>O3/('Evolutive SFP'!#REF!/1000000)</f>
        <v>#REF!</v>
      </c>
      <c r="P5" s="34" t="e">
        <f>P3/('Evolutive SFP'!#REF!/1000000)</f>
        <v>#REF!</v>
      </c>
      <c r="Q5" s="34" t="e">
        <f>Q3/('Evolutive SFP'!#REF!/1000000)</f>
        <v>#REF!</v>
      </c>
      <c r="R5" s="34" t="e">
        <f>R3/('Evolutive SFP'!#REF!/1000000)</f>
        <v>#REF!</v>
      </c>
      <c r="S5" s="38" t="e">
        <f>S3/('Evolutive SFP'!#REF!/1000000)</f>
        <v>#REF!</v>
      </c>
      <c r="T5" s="38" t="e">
        <f>T3/('Evolutive SFP'!#REF!/1000000)</f>
        <v>#REF!</v>
      </c>
      <c r="U5" s="38" t="e">
        <f>U3/('Evolutive SFP'!#REF!/1000000)</f>
        <v>#REF!</v>
      </c>
      <c r="V5" s="38" t="e">
        <f>V3/('Evolutive SFP'!#REF!/1000000)</f>
        <v>#REF!</v>
      </c>
      <c r="W5" s="38" t="e">
        <f>W3/('Evolutive SFP'!#REF!/1000000)</f>
        <v>#REF!</v>
      </c>
      <c r="X5" s="38" t="e">
        <f>X3/('Evolutive SFP'!#REF!/1000000)</f>
        <v>#REF!</v>
      </c>
      <c r="Y5" s="38" t="e">
        <f>Y3/('Evolutive SFP'!#REF!/1000000)</f>
        <v>#REF!</v>
      </c>
      <c r="Z5" s="38" t="e">
        <f>Z3/('Evolutive SFP'!#REF!/1000000)</f>
        <v>#REF!</v>
      </c>
      <c r="AA5" s="38" t="e">
        <f>AA3/('Evolutive SFP'!#REF!/1000000)</f>
        <v>#REF!</v>
      </c>
      <c r="AB5" s="38" t="e">
        <f>AB3/('Evolutive SFP'!#REF!/1000000)</f>
        <v>#REF!</v>
      </c>
      <c r="AC5" s="38" t="e">
        <f>AC3/('Evolutive SFP'!#REF!/1000000)</f>
        <v>#REF!</v>
      </c>
      <c r="AD5" s="38" t="e">
        <f>AD3/('Evolutive SFP'!#REF!/1000000)</f>
        <v>#REF!</v>
      </c>
      <c r="AE5" s="38" t="e">
        <f>AE3/('Evolutive SFP'!#REF!/1000000)</f>
        <v>#REF!</v>
      </c>
      <c r="AF5" s="38" t="e">
        <f>AF3/('Evolutive SFP'!#REF!/1000000)</f>
        <v>#REF!</v>
      </c>
      <c r="AG5" s="38" t="e">
        <f>AG3/('Evolutive SFP'!#REF!/1000000)</f>
        <v>#REF!</v>
      </c>
      <c r="AH5" s="38" t="e">
        <f>AH3/('Evolutive SFP'!#REF!/1000000)</f>
        <v>#REF!</v>
      </c>
      <c r="AI5" s="38" t="e">
        <f>AI3/('Evolutive SFP'!#REF!/1000000)</f>
        <v>#REF!</v>
      </c>
      <c r="AJ5" s="38" t="e">
        <f>AJ3/('Evolutive SFP'!#REF!/1000000)</f>
        <v>#REF!</v>
      </c>
      <c r="AK5" s="38" t="e">
        <f>AK3/('Evolutive SFP'!#REF!/1000000)</f>
        <v>#REF!</v>
      </c>
      <c r="AL5" s="38" t="e">
        <f>AL3/('Evolutive SFP'!#REF!/1000000)</f>
        <v>#REF!</v>
      </c>
      <c r="AM5" s="38" t="e">
        <f>AM3/('Evolutive SFP'!#REF!/1000000)</f>
        <v>#REF!</v>
      </c>
      <c r="AN5" s="38" t="e">
        <f>AN3/('Evolutive SFP'!#REF!/1000000)</f>
        <v>#REF!</v>
      </c>
      <c r="AO5" s="38" t="e">
        <f>AO3/('Evolutive SFP'!#REF!/1000000)</f>
        <v>#REF!</v>
      </c>
      <c r="AP5" s="38" t="e">
        <f>AP3/('Evolutive SFP'!#REF!/1000000)</f>
        <v>#REF!</v>
      </c>
      <c r="AQ5" s="38" t="e">
        <f>AQ3/('Evolutive SFP'!#REF!/1000000)</f>
        <v>#REF!</v>
      </c>
      <c r="AR5" s="38" t="e">
        <f>AR3/('Evolutive SFP'!#REF!/1000000)</f>
        <v>#REF!</v>
      </c>
      <c r="AS5" s="38" t="e">
        <f>AS3/('Evolutive SFP'!#REF!/1000000)</f>
        <v>#REF!</v>
      </c>
      <c r="AT5" s="38">
        <f>AT3/('Evolutive SFP'!B31/1000000)</f>
        <v>0.13695210923113643</v>
      </c>
      <c r="AU5" s="38">
        <f>AU3/('Evolutive SFP'!C31/1000000)</f>
        <v>0.29375864469679192</v>
      </c>
      <c r="AV5" s="38">
        <f>AV3/('Evolutive SFP'!D31/1000000)</f>
        <v>0.26681072898361025</v>
      </c>
      <c r="AW5" s="38">
        <f>AW3/('Evolutive SFP'!E31/1000000)</f>
        <v>0.25073544056202629</v>
      </c>
      <c r="AX5" s="38">
        <f>AX3/('Evolutive SFP'!F31/1000000)</f>
        <v>0.26922685953777742</v>
      </c>
      <c r="AY5" s="38">
        <f>AY3/('Evolutive SFP'!G31/1000000)</f>
        <v>0.28684965744407814</v>
      </c>
      <c r="AZ5" s="38">
        <f>AZ3/('Evolutive SFP'!H31/1000000)</f>
        <v>0.2635496333423536</v>
      </c>
      <c r="BA5" s="38" t="e">
        <f>BA3/('Evolutive SFP'!#REF!/1000000)</f>
        <v>#REF!</v>
      </c>
      <c r="BB5" s="38">
        <f>BB3/('Evolutive SFP'!I31/1000000)</f>
        <v>0.26234158677562869</v>
      </c>
      <c r="BC5" s="38">
        <f>BC3/('Evolutive SFP'!J31/1000000)</f>
        <v>0.26561741241434311</v>
      </c>
      <c r="BD5" s="38">
        <f>BD3/('Evolutive SFP'!K31/1000000)</f>
        <v>0.26902997339317625</v>
      </c>
      <c r="BE5" s="38">
        <f>BE3/('Evolutive SFP'!L31/1000000)</f>
        <v>0.26404446479355942</v>
      </c>
      <c r="BF5" s="38">
        <f>BF3/('Evolutive SFP'!M31/1000000)</f>
        <v>0.27553761312344283</v>
      </c>
      <c r="BG5" s="38">
        <f>BG3/('Evolutive SFP'!N31/1000000)</f>
        <v>0.29080698000434962</v>
      </c>
      <c r="BH5" s="38">
        <f>BH3/('Evolutive SFP'!O31/1000000)</f>
        <v>0.27144694411850595</v>
      </c>
      <c r="BI5" s="38">
        <f>BI3/('Evolutive SFP'!P31/1000000)</f>
        <v>0.26001767703910356</v>
      </c>
      <c r="BJ5" s="38">
        <f>BJ3/('Evolutive SFP'!Q31/1000000)</f>
        <v>0.24912087644262068</v>
      </c>
      <c r="BK5" s="38">
        <f>BK3/('Evolutive SFP'!R31/1000000)</f>
        <v>0.2662933748089425</v>
      </c>
      <c r="BL5" s="38">
        <f>BL3/('Evolutive SFP'!S31/1000000)</f>
        <v>0.26511291042171548</v>
      </c>
      <c r="BM5" s="38">
        <f>BM3/('Evolutive SFP'!T31/1000000)</f>
        <v>0.26996817578343429</v>
      </c>
      <c r="BN5" s="38">
        <f>BN3/('Evolutive SFP'!U31/1000000)</f>
        <v>0.25995123330920972</v>
      </c>
      <c r="BO5" s="38">
        <f>BO3/('Evolutive SFP'!V31/1000000)</f>
        <v>0.25670165675878243</v>
      </c>
      <c r="BP5" s="38">
        <f>BP3/('Evolutive SFP'!W31/1000000)</f>
        <v>0.27262721103606691</v>
      </c>
      <c r="BQ5" s="38">
        <f>BQ3/('Evolutive SFP'!X31/1000000)</f>
        <v>0.27323139950477227</v>
      </c>
      <c r="BR5" s="38">
        <f>BR3/('Evolutive SFP'!Y31/1000000)</f>
        <v>0.27544585963330714</v>
      </c>
      <c r="BS5" s="38">
        <f>BS3/('Evolutive SFP'!Z31/1000000)</f>
        <v>0.28283640755843331</v>
      </c>
      <c r="BT5" s="38">
        <f>BT3/('Evolutive SFP'!AA31/1000000)</f>
        <v>0.29322833135178983</v>
      </c>
      <c r="BU5" s="38">
        <f>BU3/('Evolutive SFP'!AB31/1000000)</f>
        <v>0.28455770718550055</v>
      </c>
      <c r="BV5" s="38">
        <f>BV3/('Evolutive SFP'!AC31/1000000)</f>
        <v>0.28400621789215957</v>
      </c>
      <c r="BW5" s="38">
        <f>BW3/('Evolutive SFP'!AD31/1000000)</f>
        <v>0.28187876722063321</v>
      </c>
      <c r="BX5" s="38">
        <f>BX3/('Evolutive SFP'!AE31/1000000)</f>
        <v>0.28239632015837812</v>
      </c>
      <c r="BY5" s="38">
        <f>BY3/('Evolutive SFP'!AF31/1000000)</f>
        <v>0.27983563691571489</v>
      </c>
      <c r="BZ5" s="38">
        <f>BZ3/('Evolutive SFP'!AG31/1000000)</f>
        <v>0.29528395902785171</v>
      </c>
      <c r="CA5" s="38">
        <f>CA3/('Evolutive SFP'!AH31/1000000)</f>
        <v>0.29411526692642137</v>
      </c>
      <c r="CB5" s="38">
        <f>CB3/('Evolutive SFP'!AI31/1000000)</f>
        <v>0.29072844004938425</v>
      </c>
      <c r="CC5" s="38">
        <f>CC3/('Evolutive SFP'!AJ31/1000000)</f>
        <v>0.29294167289062178</v>
      </c>
      <c r="CD5" s="38">
        <f>CD3/('Evolutive SFP'!AK31/1000000)</f>
        <v>0.2928596575339944</v>
      </c>
      <c r="CE5" s="38">
        <f>CE3/('Evolutive SFP'!AL31/1000000)</f>
        <v>0.29168960340195521</v>
      </c>
      <c r="CF5" s="38">
        <f>CF3/('Evolutive SFP'!AM31/1000000)</f>
        <v>0.29905224935979724</v>
      </c>
      <c r="CG5" s="38">
        <f>CG3/('Evolutive SFP'!AN31/1000000)</f>
        <v>0.26645014259502964</v>
      </c>
      <c r="CH5" s="38">
        <f>CH3/('Evolutive SFP'!AO31/1000000)</f>
        <v>0.25420937976694269</v>
      </c>
      <c r="CI5" s="38">
        <f>CI3/('Evolutive SFP'!AP31/1000000)</f>
        <v>0.24718616212047057</v>
      </c>
      <c r="CJ5" s="38">
        <f>CJ3/('Evolutive SFP'!AQ31/1000000)</f>
        <v>0.23659252765753497</v>
      </c>
      <c r="CK5" s="38">
        <f>CK3/('Evolutive SFP'!AR31/1000000)</f>
        <v>0.23677336718548658</v>
      </c>
      <c r="CL5" s="38">
        <f>CL3/('Evolutive SFP'!AS31/1000000)</f>
        <v>0.23508687229253933</v>
      </c>
      <c r="CM5" s="38">
        <f>CM3/('Evolutive SFP'!AT31/1000000)</f>
        <v>0.2463052228791289</v>
      </c>
      <c r="CN5" s="38">
        <f>CN3/('Evolutive SFP'!AU31/1000000)</f>
        <v>0.24266052291698373</v>
      </c>
      <c r="CO5" s="38">
        <f>CO3/('Evolutive SFP'!AV31/1000000)</f>
        <v>0.24202992771991413</v>
      </c>
    </row>
    <row r="6" spans="1:93" ht="15.75">
      <c r="A6" s="391"/>
      <c r="B6" s="3" t="s">
        <v>185</v>
      </c>
      <c r="C6" s="11" t="s">
        <v>184</v>
      </c>
      <c r="D6" s="34" t="e">
        <f>((D3*1000000)-'Evolutive SFP'!#REF!)/'Evolutive SFP'!#REF!</f>
        <v>#REF!</v>
      </c>
      <c r="E6" s="34" t="e">
        <f>((E3*1000000)-'Evolutive SFP'!#REF!)/'Evolutive SFP'!#REF!</f>
        <v>#REF!</v>
      </c>
      <c r="F6" s="34" t="e">
        <f>((F3*1000000)-'Evolutive SFP'!#REF!)/'Evolutive SFP'!#REF!</f>
        <v>#REF!</v>
      </c>
      <c r="G6" s="34" t="e">
        <f>((G3*1000000)-'Evolutive SFP'!#REF!)/'Evolutive SFP'!#REF!</f>
        <v>#REF!</v>
      </c>
      <c r="H6" s="34" t="e">
        <f>((H3*1000000)-'Evolutive SFP'!#REF!)/'Evolutive SFP'!#REF!</f>
        <v>#REF!</v>
      </c>
      <c r="I6" s="34" t="e">
        <f>((I3*1000000)-'Evolutive SFP'!#REF!)/'Evolutive SFP'!#REF!</f>
        <v>#REF!</v>
      </c>
      <c r="J6" s="34" t="e">
        <f>((J3*1000000)-'Evolutive SFP'!#REF!)/'Evolutive SFP'!#REF!</f>
        <v>#REF!</v>
      </c>
      <c r="K6" s="34" t="e">
        <f>((K3*1000000)-'Evolutive SFP'!#REF!)/'Evolutive SFP'!#REF!</f>
        <v>#REF!</v>
      </c>
      <c r="L6" s="34" t="e">
        <f>((L3*1000000)-'Evolutive SFP'!#REF!)/'Evolutive SFP'!#REF!</f>
        <v>#REF!</v>
      </c>
      <c r="M6" s="34" t="e">
        <f>((M3*1000000)-'Evolutive SFP'!#REF!)/'Evolutive SFP'!#REF!</f>
        <v>#REF!</v>
      </c>
      <c r="N6" s="34" t="e">
        <f>((N3*1000000)-'Evolutive SFP'!#REF!)/'Evolutive SFP'!#REF!</f>
        <v>#REF!</v>
      </c>
      <c r="O6" s="34" t="e">
        <f>((O3*1000000)-'Evolutive SFP'!#REF!)/'Evolutive SFP'!#REF!</f>
        <v>#REF!</v>
      </c>
      <c r="P6" s="34" t="e">
        <f>((P3*1000000)-'Evolutive SFP'!#REF!)/'Evolutive SFP'!#REF!</f>
        <v>#REF!</v>
      </c>
      <c r="Q6" s="34" t="e">
        <f>((Q3*1000000)-'Evolutive SFP'!#REF!)/'Evolutive SFP'!#REF!</f>
        <v>#REF!</v>
      </c>
      <c r="R6" s="34" t="e">
        <f>((R3*1000000)-'Evolutive SFP'!#REF!)/'Evolutive SFP'!#REF!</f>
        <v>#REF!</v>
      </c>
      <c r="S6" s="38" t="e">
        <f>((S3*1000000)-'Evolutive SFP'!#REF!)/'Evolutive SFP'!#REF!</f>
        <v>#REF!</v>
      </c>
      <c r="T6" s="38" t="e">
        <f>((T3*1000000)-'Evolutive SFP'!#REF!)/'Evolutive SFP'!#REF!</f>
        <v>#REF!</v>
      </c>
      <c r="U6" s="38" t="e">
        <f>((U3*1000000)-'Evolutive SFP'!#REF!)/'Evolutive SFP'!#REF!</f>
        <v>#REF!</v>
      </c>
      <c r="V6" s="38" t="e">
        <f>((V3*1000000)-'Evolutive SFP'!#REF!)/'Evolutive SFP'!#REF!</f>
        <v>#REF!</v>
      </c>
      <c r="W6" s="38" t="e">
        <f>((W3*1000000)-'Evolutive SFP'!#REF!)/'Evolutive SFP'!#REF!</f>
        <v>#REF!</v>
      </c>
      <c r="X6" s="38" t="e">
        <f>((X3*1000000)-'Evolutive SFP'!#REF!)/'Evolutive SFP'!#REF!</f>
        <v>#REF!</v>
      </c>
      <c r="Y6" s="38" t="e">
        <f>((Y3*1000000)-'Evolutive SFP'!#REF!)/'Evolutive SFP'!#REF!</f>
        <v>#REF!</v>
      </c>
      <c r="Z6" s="38" t="e">
        <f>((Z3*1000000)-'Evolutive SFP'!#REF!)/'Evolutive SFP'!#REF!</f>
        <v>#REF!</v>
      </c>
      <c r="AA6" s="38" t="e">
        <f>((AA3*1000000)-'Evolutive SFP'!#REF!)/'Evolutive SFP'!#REF!</f>
        <v>#REF!</v>
      </c>
      <c r="AB6" s="38" t="e">
        <f>((AB3*1000000)-'Evolutive SFP'!#REF!)/'Evolutive SFP'!#REF!</f>
        <v>#REF!</v>
      </c>
      <c r="AC6" s="38" t="e">
        <f>((AC3*1000000)-'Evolutive SFP'!#REF!)/'Evolutive SFP'!#REF!</f>
        <v>#REF!</v>
      </c>
      <c r="AD6" s="38" t="e">
        <f>((AD3*1000000)-'Evolutive SFP'!#REF!)/'Evolutive SFP'!#REF!</f>
        <v>#REF!</v>
      </c>
      <c r="AE6" s="38" t="e">
        <f>((AE3*1000000)-'Evolutive SFP'!#REF!)/'Evolutive SFP'!#REF!</f>
        <v>#REF!</v>
      </c>
      <c r="AF6" s="38" t="e">
        <f>((AF3*1000000)-'Evolutive SFP'!#REF!)/'Evolutive SFP'!#REF!</f>
        <v>#REF!</v>
      </c>
      <c r="AG6" s="38" t="e">
        <f>((AG3*1000000)-'Evolutive SFP'!#REF!)/'Evolutive SFP'!#REF!</f>
        <v>#REF!</v>
      </c>
      <c r="AH6" s="38" t="e">
        <f>((AH3*1000000)-'Evolutive SFP'!#REF!)/'Evolutive SFP'!#REF!</f>
        <v>#REF!</v>
      </c>
      <c r="AI6" s="38" t="e">
        <f>((AI3*1000000)-'Evolutive SFP'!#REF!)/'Evolutive SFP'!#REF!</f>
        <v>#REF!</v>
      </c>
      <c r="AJ6" s="38" t="e">
        <f>((AJ3*1000000)-'Evolutive SFP'!#REF!)/'Evolutive SFP'!#REF!</f>
        <v>#REF!</v>
      </c>
      <c r="AK6" s="38" t="e">
        <f>((AK3*1000000)-'Evolutive SFP'!#REF!)/'Evolutive SFP'!#REF!</f>
        <v>#REF!</v>
      </c>
      <c r="AL6" s="38" t="e">
        <f>((AL3*1000000)-'Evolutive SFP'!#REF!)/'Evolutive SFP'!#REF!</f>
        <v>#REF!</v>
      </c>
      <c r="AM6" s="38" t="e">
        <f>((AM3*1000000)-'Evolutive SFP'!#REF!)/'Evolutive SFP'!#REF!</f>
        <v>#REF!</v>
      </c>
      <c r="AN6" s="38" t="e">
        <f>((AN3*1000000)-'Evolutive SFP'!#REF!)/'Evolutive SFP'!#REF!</f>
        <v>#REF!</v>
      </c>
      <c r="AO6" s="38" t="e">
        <f>((AO3*1000000)-'Evolutive SFP'!#REF!)/'Evolutive SFP'!#REF!</f>
        <v>#REF!</v>
      </c>
      <c r="AP6" s="38" t="e">
        <f>((AP3*1000000)-'Evolutive SFP'!#REF!)/'Evolutive SFP'!#REF!</f>
        <v>#REF!</v>
      </c>
      <c r="AQ6" s="38" t="e">
        <f>((AQ3*1000000)-'Evolutive SFP'!#REF!)/'Evolutive SFP'!#REF!</f>
        <v>#REF!</v>
      </c>
      <c r="AR6" s="38" t="e">
        <f>((AR3*1000000)-'Evolutive SFP'!#REF!)/'Evolutive SFP'!#REF!</f>
        <v>#REF!</v>
      </c>
      <c r="AS6" s="38" t="e">
        <f>((AS3*1000000)-'Evolutive SFP'!#REF!)/'Evolutive SFP'!#REF!</f>
        <v>#REF!</v>
      </c>
      <c r="AT6" s="38">
        <f>((AT3*1000000)-'Evolutive SFP'!B39)/'Evolutive SFP'!B27</f>
        <v>5.5632233555240544E-2</v>
      </c>
      <c r="AU6" s="38">
        <f>((AU3*1000000)-'Evolutive SFP'!C39)/'Evolutive SFP'!C27</f>
        <v>0.14449332835345388</v>
      </c>
      <c r="AV6" s="38">
        <f>((AV3*1000000)-'Evolutive SFP'!D39)/'Evolutive SFP'!D27</f>
        <v>0.1280849082245919</v>
      </c>
      <c r="AW6" s="38">
        <f>((AW3*1000000)-'Evolutive SFP'!E39)/'Evolutive SFP'!E27</f>
        <v>0.12861665990101284</v>
      </c>
      <c r="AX6" s="38">
        <f>((AX3*1000000)-'Evolutive SFP'!F39)/'Evolutive SFP'!F27</f>
        <v>0.1409831203536708</v>
      </c>
      <c r="AY6" s="38">
        <f>((AY3*1000000)-'Evolutive SFP'!G39)/'Evolutive SFP'!G27</f>
        <v>0.15087391630458108</v>
      </c>
      <c r="AZ6" s="38">
        <f>((AZ3*1000000)-'Evolutive SFP'!H39)/'Evolutive SFP'!H27</f>
        <v>0.13559419306835968</v>
      </c>
      <c r="BA6" s="38" t="e">
        <f>((BA3*1000000)-'Evolutive SFP'!#REF!)/'Evolutive SFP'!#REF!</f>
        <v>#REF!</v>
      </c>
      <c r="BB6" s="38">
        <f>((BB3*1000000)-'Evolutive SFP'!I39)/'Evolutive SFP'!I27</f>
        <v>0.13415400102323605</v>
      </c>
      <c r="BC6" s="38">
        <f>((BC3*1000000)-'Evolutive SFP'!J39)/'Evolutive SFP'!J27</f>
        <v>0.13501356391956856</v>
      </c>
      <c r="BD6" s="38">
        <f>((BD3*1000000)-'Evolutive SFP'!K39)/'Evolutive SFP'!K27</f>
        <v>0.13594650417325752</v>
      </c>
      <c r="BE6" s="38">
        <f>((BE3*1000000)-'Evolutive SFP'!L39)/'Evolutive SFP'!L27</f>
        <v>0.13214598915155196</v>
      </c>
      <c r="BF6" s="38">
        <f>((BF3*1000000)-'Evolutive SFP'!M39)/'Evolutive SFP'!M27</f>
        <v>0.13822879575165942</v>
      </c>
      <c r="BG6" s="38">
        <f>((BG3*1000000)-'Evolutive SFP'!N39)/'Evolutive SFP'!N27</f>
        <v>0.1511413929516833</v>
      </c>
      <c r="BH6" s="38">
        <f>((BH3*1000000)-'Evolutive SFP'!O39)/'Evolutive SFP'!O27</f>
        <v>0.13667968058201477</v>
      </c>
      <c r="BI6" s="38">
        <f>((BI3*1000000)-'Evolutive SFP'!P39)/'Evolutive SFP'!P27</f>
        <v>0.13039206005499795</v>
      </c>
      <c r="BJ6" s="38">
        <f>((BJ3*1000000)-'Evolutive SFP'!Q39)/'Evolutive SFP'!Q27</f>
        <v>0.13548311662852236</v>
      </c>
      <c r="BK6" s="38">
        <f>((BK3*1000000)-'Evolutive SFP'!R39)/'Evolutive SFP'!R27</f>
        <v>0.1461832932369613</v>
      </c>
      <c r="BL6" s="38">
        <f>((BL3*1000000)-'Evolutive SFP'!S39)/'Evolutive SFP'!S27</f>
        <v>0.14442081366965365</v>
      </c>
      <c r="BM6" s="38">
        <f>((BM3*1000000)-'Evolutive SFP'!T39)/'Evolutive SFP'!T27</f>
        <v>0.14785557854307463</v>
      </c>
      <c r="BN6" s="38">
        <f>((BN3*1000000)-'Evolutive SFP'!U39)/'Evolutive SFP'!U27</f>
        <v>0.13970067914316892</v>
      </c>
      <c r="BO6" s="38">
        <f>((BO3*1000000)-'Evolutive SFP'!V39)/'Evolutive SFP'!V27</f>
        <v>0.13601256723610819</v>
      </c>
      <c r="BP6" s="38">
        <f>((BP3*1000000)-'Evolutive SFP'!W39)/'Evolutive SFP'!W27</f>
        <v>0.14621536450549774</v>
      </c>
      <c r="BQ6" s="38">
        <f>((BQ3*1000000)-'Evolutive SFP'!X39)/'Evolutive SFP'!X27</f>
        <v>0.14571552831118642</v>
      </c>
      <c r="BR6" s="38">
        <f>((BR3*1000000)-'Evolutive SFP'!Y39)/'Evolutive SFP'!Y27</f>
        <v>0.14575368273524417</v>
      </c>
      <c r="BS6" s="38">
        <f>((BS3*1000000)-'Evolutive SFP'!Z39)/'Evolutive SFP'!Z27</f>
        <v>0.15011619812377891</v>
      </c>
      <c r="BT6" s="38">
        <f>((BT3*1000000)-'Evolutive SFP'!AA39)/'Evolutive SFP'!AA27</f>
        <v>0.15788674434741756</v>
      </c>
      <c r="BU6" s="38">
        <f>((BU3*1000000)-'Evolutive SFP'!AB39)/'Evolutive SFP'!AB27</f>
        <v>0.14990903769905162</v>
      </c>
      <c r="BV6" s="38">
        <f>((BV3*1000000)-'Evolutive SFP'!AC39)/'Evolutive SFP'!AC27</f>
        <v>0.14728312260004958</v>
      </c>
      <c r="BW6" s="38">
        <f>((BW3*1000000)-'Evolutive SFP'!AD39)/'Evolutive SFP'!AD27</f>
        <v>0.14772496096354973</v>
      </c>
      <c r="BX6" s="38">
        <f>((BX3*1000000)-'Evolutive SFP'!AE39)/'Evolutive SFP'!AE27</f>
        <v>0.14779315208040181</v>
      </c>
      <c r="BY6" s="38">
        <f>((BY3*1000000)-'Evolutive SFP'!AF39)/'Evolutive SFP'!AF27</f>
        <v>0.14351296710033401</v>
      </c>
      <c r="BZ6" s="38">
        <f>((BZ3*1000000)-'Evolutive SFP'!AG39)/'Evolutive SFP'!AG27</f>
        <v>0.14931344182451897</v>
      </c>
      <c r="CA6" s="38">
        <f>((CA3*1000000)-'Evolutive SFP'!AH39)/'Evolutive SFP'!AH27</f>
        <v>0.14611963087035112</v>
      </c>
      <c r="CB6" s="38">
        <f>((CB3*1000000)-'Evolutive SFP'!AI39)/'Evolutive SFP'!AI27</f>
        <v>0.14097479110890976</v>
      </c>
      <c r="CC6" s="38">
        <f>((CC3*1000000)-'Evolutive SFP'!AJ39)/'Evolutive SFP'!AJ27</f>
        <v>0.13933029029002836</v>
      </c>
      <c r="CD6" s="38">
        <f>((CD3*1000000)-'Evolutive SFP'!AK39)/'Evolutive SFP'!AK27</f>
        <v>0.13648111628720791</v>
      </c>
      <c r="CE6" s="38">
        <f>((CE3*1000000)-'Evolutive SFP'!AL39)/'Evolutive SFP'!AL27</f>
        <v>0.13333952950146905</v>
      </c>
      <c r="CF6" s="38">
        <f>((CF3*1000000)-'Evolutive SFP'!AM39)/'Evolutive SFP'!AM27</f>
        <v>0.13469740774872682</v>
      </c>
      <c r="CG6" s="38">
        <f>((CG3*1000000)-'Evolutive SFP'!AN39)/'Evolutive SFP'!AN27</f>
        <v>0.14603166147639429</v>
      </c>
      <c r="CH6" s="38">
        <f>((CH3*1000000)-'Evolutive SFP'!AO39)/'Evolutive SFP'!AO27</f>
        <v>0.13752643415639507</v>
      </c>
      <c r="CI6" s="38">
        <f>((CI3*1000000)-'Evolutive SFP'!AP39)/'Evolutive SFP'!AP27</f>
        <v>0.13285041162185715</v>
      </c>
      <c r="CJ6" s="38">
        <f>((CJ3*1000000)-'Evolutive SFP'!AQ39)/'Evolutive SFP'!AQ27</f>
        <v>0.13715071109912833</v>
      </c>
      <c r="CK6" s="38">
        <f>((CK3*1000000)-'Evolutive SFP'!AR39)/'Evolutive SFP'!AR27</f>
        <v>0.13675305829667952</v>
      </c>
      <c r="CL6" s="38">
        <f>((CL3*1000000)-'Evolutive SFP'!AS39)/'Evolutive SFP'!AS27</f>
        <v>0.13497199178749872</v>
      </c>
      <c r="CM6" s="38">
        <f>((CM3*1000000)-'Evolutive SFP'!AT39)/'Evolutive SFP'!AT27</f>
        <v>0.14133546328642946</v>
      </c>
      <c r="CN6" s="38">
        <f>((CN3*1000000)-'Evolutive SFP'!AU39)/'Evolutive SFP'!AU27</f>
        <v>0.13865399430279987</v>
      </c>
      <c r="CO6" s="38">
        <f>((CO3*1000000)-'Evolutive SFP'!AV39)/'Evolutive SFP'!AV27</f>
        <v>0.13777250217323106</v>
      </c>
    </row>
    <row r="7" spans="1:93" ht="15.75">
      <c r="A7" s="391" t="s">
        <v>186</v>
      </c>
      <c r="B7" s="3" t="s">
        <v>187</v>
      </c>
      <c r="C7" s="11"/>
      <c r="D7" s="11"/>
      <c r="E7" s="11"/>
      <c r="F7" s="91">
        <v>0.36</v>
      </c>
      <c r="G7" s="94">
        <v>0.52149976577094925</v>
      </c>
      <c r="H7" s="2"/>
      <c r="I7" s="2"/>
      <c r="J7" s="34" t="e">
        <f>'Evolutive SFP'!#REF!/('FORM 4'!D5+'FORM 4'!D6+'FORM 4'!D7)</f>
        <v>#REF!</v>
      </c>
      <c r="K7" s="2"/>
      <c r="L7" s="2"/>
      <c r="M7" s="34" t="e">
        <f>'Evolutive SFP'!#REF!/('FORM 4'!D14+'FORM 4'!D15+'FORM 4'!D16)</f>
        <v>#REF!</v>
      </c>
      <c r="N7" s="2"/>
      <c r="O7" s="2"/>
      <c r="P7" s="34" t="e">
        <f>'Evolutive SFP'!#REF!/('FORM 4'!D25+'FORM 4'!D26+'FORM 4'!D27)</f>
        <v>#REF!</v>
      </c>
      <c r="Q7" s="2"/>
      <c r="R7" s="2"/>
      <c r="S7" s="38" t="e">
        <f>'Evolutive SFP'!#REF!/('FORM 4'!D36+'FORM 4'!D37+'FORM 4'!D38)</f>
        <v>#REF!</v>
      </c>
      <c r="T7" s="38" t="e">
        <f>'Evolutive SFP'!#REF!/('FORM 4'!E36+'FORM 4'!E37+'FORM 4'!E38)</f>
        <v>#REF!</v>
      </c>
      <c r="U7" s="38" t="e">
        <f>'Evolutive SFP'!#REF!/('FORM 4'!F36+'FORM 4'!F37+'FORM 4'!F38)</f>
        <v>#REF!</v>
      </c>
      <c r="V7" s="38" t="e">
        <f>'Evolutive SFP'!#REF!/('FORM 4'!G36+'FORM 4'!G37+'FORM 4'!G38)</f>
        <v>#REF!</v>
      </c>
      <c r="W7" s="38" t="e">
        <f>'Evolutive SFP'!#REF!/('FORM 4'!H36+'FORM 4'!H37+'FORM 4'!H38)</f>
        <v>#REF!</v>
      </c>
      <c r="X7" s="38" t="e">
        <f>'Evolutive SFP'!#REF!/('FORM 4'!I36+'FORM 4'!I37+'FORM 4'!I38)</f>
        <v>#REF!</v>
      </c>
      <c r="Y7" s="38" t="e">
        <f>'Evolutive SFP'!#REF!/('FORM 4'!J36+'FORM 4'!J37+'FORM 4'!J38)</f>
        <v>#REF!</v>
      </c>
      <c r="Z7" s="38" t="e">
        <f>'Evolutive SFP'!#REF!/('FORM 4'!#REF!+'FORM 4'!#REF!+'FORM 4'!#REF!)</f>
        <v>#REF!</v>
      </c>
      <c r="AA7" s="38" t="e">
        <f>'Evolutive SFP'!#REF!/('FORM 4'!K36+'FORM 4'!K37+'FORM 4'!K38)</f>
        <v>#REF!</v>
      </c>
      <c r="AB7" s="38" t="e">
        <f>'Evolutive SFP'!#REF!/('FORM 4'!L36+'FORM 4'!L37+'FORM 4'!L38)</f>
        <v>#REF!</v>
      </c>
      <c r="AC7" s="38" t="e">
        <f>'Evolutive SFP'!#REF!/('FORM 4'!M36+'FORM 4'!M37+'FORM 4'!M38)</f>
        <v>#REF!</v>
      </c>
      <c r="AD7" s="38" t="e">
        <f>'Evolutive SFP'!#REF!/('FORM 4'!N36+'FORM 4'!N37+'FORM 4'!N38)</f>
        <v>#REF!</v>
      </c>
      <c r="AE7" s="38" t="e">
        <f>'Evolutive SFP'!#REF!/('FORM 4'!O36+'FORM 4'!O37+'FORM 4'!O38)</f>
        <v>#REF!</v>
      </c>
      <c r="AF7" s="38" t="e">
        <f>'Evolutive SFP'!#REF!/('FORM 4'!P36+'FORM 4'!P37+'FORM 4'!P38)</f>
        <v>#REF!</v>
      </c>
      <c r="AG7" s="38" t="e">
        <f>'Evolutive SFP'!#REF!/('FORM 4'!Q36+'FORM 4'!Q37+'FORM 4'!Q38)</f>
        <v>#REF!</v>
      </c>
      <c r="AH7" s="38" t="e">
        <f>'Evolutive SFP'!#REF!/('FORM 4'!R36+'FORM 4'!R37+'FORM 4'!R38)</f>
        <v>#REF!</v>
      </c>
      <c r="AI7" s="38" t="e">
        <f>'Evolutive SFP'!#REF!/('FORM 4'!S36+'FORM 4'!S37+'FORM 4'!S38)</f>
        <v>#REF!</v>
      </c>
      <c r="AJ7" s="38" t="e">
        <f>'Evolutive SFP'!#REF!/('FORM 4'!T36+'FORM 4'!T37+'FORM 4'!T38)</f>
        <v>#REF!</v>
      </c>
      <c r="AK7" s="38" t="e">
        <f>'Evolutive SFP'!#REF!/('FORM 4'!U36+'FORM 4'!U37+'FORM 4'!U38)</f>
        <v>#REF!</v>
      </c>
      <c r="AL7" s="38" t="e">
        <f>'Evolutive SFP'!#REF!/('FORM 4'!V36+'FORM 4'!V37+'FORM 4'!V38)</f>
        <v>#REF!</v>
      </c>
      <c r="AM7" s="38" t="e">
        <f>'Evolutive SFP'!#REF!/('FORM 4'!W36+'FORM 4'!W37+'FORM 4'!W38)</f>
        <v>#REF!</v>
      </c>
      <c r="AN7" s="38" t="e">
        <f>'Evolutive SFP'!#REF!/('FORM 4'!X36+'FORM 4'!X37+'FORM 4'!X38)</f>
        <v>#REF!</v>
      </c>
      <c r="AO7" s="38" t="e">
        <f>'Evolutive SFP'!#REF!/('FORM 4'!Y36+'FORM 4'!Y37+'FORM 4'!Y38)</f>
        <v>#REF!</v>
      </c>
      <c r="AP7" s="38" t="e">
        <f>'Evolutive SFP'!#REF!/('FORM 4'!Z36+'FORM 4'!Z37+'FORM 4'!Z38)</f>
        <v>#REF!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ht="15.75">
      <c r="A8" s="391"/>
      <c r="B8" s="3" t="s">
        <v>188</v>
      </c>
      <c r="C8" s="11"/>
      <c r="D8" s="11"/>
      <c r="E8" s="11"/>
      <c r="F8" s="90">
        <v>0.02</v>
      </c>
      <c r="G8" s="94">
        <v>5.1294613851202153E-2</v>
      </c>
      <c r="H8" s="2"/>
      <c r="I8" s="2"/>
      <c r="J8" s="34" t="e">
        <f>('FORM 4'!D5+'FORM 4'!D6+'FORM 4'!D7)/'Evolutive SFP'!#REF!</f>
        <v>#REF!</v>
      </c>
      <c r="K8" s="2"/>
      <c r="L8" s="2"/>
      <c r="M8" s="34" t="e">
        <f>('FORM 4'!D14+'FORM 4'!D15+'FORM 4'!D16)/'Evolutive SFP'!#REF!</f>
        <v>#REF!</v>
      </c>
      <c r="N8" s="2"/>
      <c r="O8" s="2"/>
      <c r="P8" s="29" t="e">
        <f>('FORM 4'!D25+'FORM 4'!D26+'FORM 4'!D27)/'Evolutive SFP'!#REF!</f>
        <v>#REF!</v>
      </c>
      <c r="Q8" s="2"/>
      <c r="R8" s="2"/>
      <c r="S8" s="40" t="e">
        <f>('FORM 4'!D36+'FORM 4'!D37+'FORM 4'!D38)/'Evolutive SFP'!#REF!</f>
        <v>#REF!</v>
      </c>
      <c r="T8" s="40" t="e">
        <f>('FORM 4'!E36+'FORM 4'!E37+'FORM 4'!E38)/'Evolutive SFP'!#REF!</f>
        <v>#REF!</v>
      </c>
      <c r="U8" s="40" t="e">
        <f>('FORM 4'!F36+'FORM 4'!F37+'FORM 4'!F38)/'Evolutive SFP'!#REF!</f>
        <v>#REF!</v>
      </c>
      <c r="V8" s="40" t="e">
        <f>('FORM 4'!G36+'FORM 4'!G37+'FORM 4'!G38)/'Evolutive SFP'!#REF!</f>
        <v>#REF!</v>
      </c>
      <c r="W8" s="40" t="e">
        <f>('FORM 4'!H36+'FORM 4'!H37+'FORM 4'!H38)/'Evolutive SFP'!#REF!</f>
        <v>#REF!</v>
      </c>
      <c r="X8" s="40" t="e">
        <f>('FORM 4'!I36+'FORM 4'!I37+'FORM 4'!I38)/'Evolutive SFP'!#REF!</f>
        <v>#REF!</v>
      </c>
      <c r="Y8" s="40" t="e">
        <f>('FORM 4'!J36+'FORM 4'!J37+'FORM 4'!J38)/'Evolutive SFP'!#REF!</f>
        <v>#REF!</v>
      </c>
      <c r="Z8" s="40" t="e">
        <f>('FORM 4'!#REF!+'FORM 4'!#REF!+'FORM 4'!#REF!)/'Evolutive SFP'!#REF!</f>
        <v>#REF!</v>
      </c>
      <c r="AA8" s="40" t="e">
        <f>('FORM 4'!K36+'FORM 4'!K37+'FORM 4'!K38)/'Evolutive SFP'!#REF!</f>
        <v>#REF!</v>
      </c>
      <c r="AB8" s="40" t="e">
        <f>('FORM 4'!L36+'FORM 4'!L37+'FORM 4'!L38)/'Evolutive SFP'!#REF!</f>
        <v>#REF!</v>
      </c>
      <c r="AC8" s="40" t="e">
        <f>('FORM 4'!M36+'FORM 4'!M37+'FORM 4'!M38)/'Evolutive SFP'!#REF!</f>
        <v>#REF!</v>
      </c>
      <c r="AD8" s="40" t="e">
        <f>('FORM 4'!N36+'FORM 4'!N37+'FORM 4'!N38)/'Evolutive SFP'!#REF!</f>
        <v>#REF!</v>
      </c>
      <c r="AE8" s="40" t="e">
        <f>('FORM 4'!O36+'FORM 4'!O37+'FORM 4'!O38)/'Evolutive SFP'!#REF!</f>
        <v>#REF!</v>
      </c>
      <c r="AF8" s="40" t="e">
        <f>('FORM 4'!P36+'FORM 4'!P37+'FORM 4'!P38)/'Evolutive SFP'!#REF!</f>
        <v>#REF!</v>
      </c>
      <c r="AG8" s="40" t="e">
        <f>('FORM 4'!Q36+'FORM 4'!Q37+'FORM 4'!Q38)/'Evolutive SFP'!#REF!</f>
        <v>#REF!</v>
      </c>
      <c r="AH8" s="40" t="e">
        <f>('FORM 4'!R36+'FORM 4'!R37+'FORM 4'!R38)/'Evolutive SFP'!#REF!</f>
        <v>#REF!</v>
      </c>
      <c r="AI8" s="40" t="e">
        <f>('FORM 4'!S36+'FORM 4'!S37+'FORM 4'!S38)/'Evolutive SFP'!#REF!</f>
        <v>#REF!</v>
      </c>
      <c r="AJ8" s="40" t="e">
        <f>('FORM 4'!T36+'FORM 4'!T37+'FORM 4'!T38)/'Evolutive SFP'!#REF!</f>
        <v>#REF!</v>
      </c>
      <c r="AK8" s="40" t="e">
        <f>('FORM 4'!U36+'FORM 4'!U37+'FORM 4'!U38)/'Evolutive SFP'!#REF!</f>
        <v>#REF!</v>
      </c>
      <c r="AL8" s="40" t="e">
        <f>('FORM 4'!V36+'FORM 4'!V37+'FORM 4'!V38)/'Evolutive SFP'!#REF!</f>
        <v>#REF!</v>
      </c>
      <c r="AM8" s="40" t="e">
        <f>('FORM 4'!W36+'FORM 4'!W37+'FORM 4'!W38)/'Evolutive SFP'!#REF!</f>
        <v>#REF!</v>
      </c>
      <c r="AN8" s="40" t="e">
        <f>('FORM 4'!X36+'FORM 4'!X37+'FORM 4'!X38)/'Evolutive SFP'!#REF!</f>
        <v>#REF!</v>
      </c>
      <c r="AO8" s="40" t="e">
        <f>('FORM 4'!Y36+'FORM 4'!Y37+'FORM 4'!Y38)/'Evolutive SFP'!#REF!</f>
        <v>#REF!</v>
      </c>
      <c r="AP8" s="40" t="e">
        <f>('FORM 4'!Z36+'FORM 4'!Z37+'FORM 4'!Z38)/'Evolutive SFP'!#REF!</f>
        <v>#REF!</v>
      </c>
      <c r="AQ8" s="40" t="e">
        <f>('FORM 4'!AA36+'FORM 4'!AA37+'FORM 4'!AA38)/'Evolutive SFP'!#REF!</f>
        <v>#REF!</v>
      </c>
      <c r="AR8" s="40" t="e">
        <f>('FORM 4'!AB36+'FORM 4'!AB37+'FORM 4'!AB38)/'Evolutive SFP'!#REF!</f>
        <v>#REF!</v>
      </c>
      <c r="AS8" s="40" t="e">
        <f>('FORM 4'!AC36+'FORM 4'!AC37+'FORM 4'!AC38)/'Evolutive SFP'!#REF!</f>
        <v>#REF!</v>
      </c>
      <c r="AT8" s="40">
        <f>('FORM 4'!AD36+'FORM 4'!AD37+'FORM 4'!AD38)/'Evolutive SFP'!B15</f>
        <v>0</v>
      </c>
      <c r="AU8" s="40">
        <f>('FORM 4'!AE36+'FORM 4'!AE37+'FORM 4'!AE38)/'Evolutive SFP'!C15</f>
        <v>0</v>
      </c>
      <c r="AV8" s="40">
        <f>('FORM 4'!AF36+'FORM 4'!AF37+'FORM 4'!AF38)/'Evolutive SFP'!D15</f>
        <v>0</v>
      </c>
      <c r="AW8" s="40">
        <f>('FORM 4'!AG36+'FORM 4'!AG37+'FORM 4'!AG38)/'Evolutive SFP'!E15</f>
        <v>0</v>
      </c>
      <c r="AX8" s="40">
        <f>('FORM 4'!AH36+'FORM 4'!AH37+'FORM 4'!AH38)/'Evolutive SFP'!F15</f>
        <v>0</v>
      </c>
      <c r="AY8" s="40">
        <f>('FORM 4'!AI36+'FORM 4'!AI37+'FORM 4'!AI38)/'Evolutive SFP'!G15</f>
        <v>0</v>
      </c>
      <c r="AZ8" s="40">
        <f>('FORM 4'!AJ36+'FORM 4'!AJ37+'FORM 4'!AJ38)/'Evolutive SFP'!H15</f>
        <v>0</v>
      </c>
      <c r="BA8" s="40" t="e">
        <f>('FORM 4'!AK36+'FORM 4'!AK37+'FORM 4'!AK38)/'Evolutive SFP'!#REF!</f>
        <v>#REF!</v>
      </c>
      <c r="BB8" s="40">
        <f>('FORM 4'!AL36+'FORM 4'!AL37+'FORM 4'!AL38)/'Evolutive SFP'!I15</f>
        <v>0</v>
      </c>
      <c r="BC8" s="40">
        <f>('FORM 4'!AM36+'FORM 4'!AM37+'FORM 4'!AM38)/'Evolutive SFP'!J15</f>
        <v>0</v>
      </c>
      <c r="BD8" s="40">
        <f>('FORM 4'!AN36+'FORM 4'!AN37+'FORM 4'!AN38)/'Evolutive SFP'!K15</f>
        <v>0</v>
      </c>
      <c r="BE8" s="40">
        <f>('FORM 4'!AO36+'FORM 4'!AO37+'FORM 4'!AO38)/'Evolutive SFP'!L15</f>
        <v>0</v>
      </c>
      <c r="BF8" s="40">
        <f>('FORM 4'!AP36+'FORM 4'!AP37+'FORM 4'!AP38)/'Evolutive SFP'!M15</f>
        <v>0</v>
      </c>
      <c r="BG8" s="40">
        <f>('FORM 4'!AQ36+'FORM 4'!AQ37+'FORM 4'!AQ38)/'Evolutive SFP'!N15</f>
        <v>0</v>
      </c>
      <c r="BH8" s="40">
        <f>('FORM 4'!AR36+'FORM 4'!AR37+'FORM 4'!AR38)/'Evolutive SFP'!O15</f>
        <v>0</v>
      </c>
      <c r="BI8" s="40">
        <f>('FORM 4'!AS36+'FORM 4'!AS37+'FORM 4'!AS38)/'Evolutive SFP'!P15</f>
        <v>0</v>
      </c>
      <c r="BJ8" s="40">
        <f>('FORM 4'!AT36+'FORM 4'!AT37+'FORM 4'!AT38)/'Evolutive SFP'!Q15</f>
        <v>0</v>
      </c>
      <c r="BK8" s="40">
        <f>('FORM 4'!AU36+'FORM 4'!AU37+'FORM 4'!AU38)/'Evolutive SFP'!R15</f>
        <v>0</v>
      </c>
      <c r="BL8" s="40">
        <f>('FORM 4'!AV36+'FORM 4'!AV37+'FORM 4'!AV38)/'Evolutive SFP'!S15</f>
        <v>0</v>
      </c>
      <c r="BM8" s="40">
        <f>('FORM 4'!AW36+'FORM 4'!AW37+'FORM 4'!AW38)/'Evolutive SFP'!T15</f>
        <v>0</v>
      </c>
      <c r="BN8" s="40">
        <f>('FORM 4'!AX36+'FORM 4'!AX37+'FORM 4'!AX38)/'Evolutive SFP'!U15</f>
        <v>0</v>
      </c>
      <c r="BO8" s="40">
        <f>('FORM 4'!AY36+'FORM 4'!AY37+'FORM 4'!AY38)/'Evolutive SFP'!V15</f>
        <v>0</v>
      </c>
      <c r="BP8" s="40">
        <f>('FORM 4'!AZ36+'FORM 4'!AZ37+'FORM 4'!AZ38)/'Evolutive SFP'!W15</f>
        <v>0</v>
      </c>
      <c r="BQ8" s="40">
        <f>('FORM 4'!BA36+'FORM 4'!BA37+'FORM 4'!BA38)/'Evolutive SFP'!X15</f>
        <v>0</v>
      </c>
      <c r="BR8" s="40">
        <f>('FORM 4'!BB36+'FORM 4'!BB37+'FORM 4'!BB38)/'Evolutive SFP'!Y15</f>
        <v>0</v>
      </c>
      <c r="BS8" s="40">
        <f>('FORM 4'!BC36+'FORM 4'!BC37+'FORM 4'!BC38)/'Evolutive SFP'!Z15</f>
        <v>0</v>
      </c>
      <c r="BT8" s="40">
        <f>('FORM 4'!BD36+'FORM 4'!BD37+'FORM 4'!BD38)/'Evolutive SFP'!AA15</f>
        <v>0</v>
      </c>
      <c r="BU8" s="40">
        <f>('FORM 4'!BE36+'FORM 4'!BE37+'FORM 4'!BE38)/'Evolutive SFP'!AB15</f>
        <v>0</v>
      </c>
      <c r="BV8" s="40">
        <f>('FORM 4'!BF36+'FORM 4'!BF37+'FORM 4'!BF38)/'Evolutive SFP'!AC15</f>
        <v>0</v>
      </c>
      <c r="BW8" s="40">
        <f>('FORM 4'!BG36+'FORM 4'!BG37+'FORM 4'!BG38)/'Evolutive SFP'!AD15</f>
        <v>0</v>
      </c>
      <c r="BX8" s="40">
        <f>('FORM 4'!BH36+'FORM 4'!BH37+'FORM 4'!BH38)/'Evolutive SFP'!AE15</f>
        <v>0</v>
      </c>
      <c r="BY8" s="40">
        <f>('FORM 4'!BI36+'FORM 4'!BI37+'FORM 4'!BI38)/'Evolutive SFP'!AF15</f>
        <v>0</v>
      </c>
      <c r="BZ8" s="40">
        <f>('FORM 4'!BJ36+'FORM 4'!BJ37+'FORM 4'!BJ38)/'Evolutive SFP'!AG15</f>
        <v>0</v>
      </c>
      <c r="CA8" s="40">
        <f>('FORM 4'!BK36+'FORM 4'!BK37+'FORM 4'!BK38)/'Evolutive SFP'!AH15</f>
        <v>0</v>
      </c>
      <c r="CB8" s="40">
        <f>('FORM 4'!BL36+'FORM 4'!BL37+'FORM 4'!BL38)/'Evolutive SFP'!AI15</f>
        <v>0</v>
      </c>
      <c r="CC8" s="40">
        <f>('FORM 4'!BM36+'FORM 4'!BM37+'FORM 4'!BM38)/'Evolutive SFP'!AJ15</f>
        <v>0</v>
      </c>
      <c r="CD8" s="40">
        <f>('FORM 4'!BN36+'FORM 4'!BN37+'FORM 4'!BN38)/'Evolutive SFP'!AK15</f>
        <v>0</v>
      </c>
      <c r="CE8" s="40">
        <f>('FORM 4'!BO36+'FORM 4'!BO37+'FORM 4'!BO38)/'Evolutive SFP'!AL15</f>
        <v>0</v>
      </c>
      <c r="CF8" s="40">
        <f>('FORM 4'!BP36+'FORM 4'!BP37+'FORM 4'!BP38)/'Evolutive SFP'!AM15</f>
        <v>0</v>
      </c>
      <c r="CG8" s="40">
        <f>('FORM 4'!BQ36+'FORM 4'!BQ37+'FORM 4'!BQ38)/'Evolutive SFP'!AN15</f>
        <v>0</v>
      </c>
      <c r="CH8" s="40">
        <f>('FORM 4'!BR36+'FORM 4'!BR37+'FORM 4'!BR38)/'Evolutive SFP'!AO15</f>
        <v>0</v>
      </c>
      <c r="CI8" s="40">
        <f>('FORM 4'!BS36+'FORM 4'!BS37+'FORM 4'!BS38)/'Evolutive SFP'!AP15</f>
        <v>0</v>
      </c>
      <c r="CJ8" s="40">
        <f>('FORM 4'!BT36+'FORM 4'!BT37+'FORM 4'!BT38)/'Evolutive SFP'!AQ15</f>
        <v>0</v>
      </c>
      <c r="CK8" s="40">
        <f>('FORM 4'!BU36+'FORM 4'!BU37+'FORM 4'!BU38)/'Evolutive SFP'!AR15</f>
        <v>0</v>
      </c>
      <c r="CL8" s="40">
        <f>('FORM 4'!BV36+'FORM 4'!BV37+'FORM 4'!BV38)/'Evolutive SFP'!AS15</f>
        <v>0</v>
      </c>
      <c r="CM8" s="40">
        <f>('FORM 4'!BW36+'FORM 4'!BW37+'FORM 4'!BW38)/'Evolutive SFP'!AT15</f>
        <v>0</v>
      </c>
      <c r="CN8" s="40">
        <f>('FORM 4'!BX36+'FORM 4'!BX37+'FORM 4'!BX38)/'Evolutive SFP'!AU15</f>
        <v>0</v>
      </c>
      <c r="CO8" s="40">
        <f>('FORM 4'!BY36+'FORM 4'!BY37+'FORM 4'!BY38)/'Evolutive SFP'!AV15</f>
        <v>0</v>
      </c>
    </row>
    <row r="9" spans="1:93" ht="15.75">
      <c r="A9" s="389" t="s">
        <v>189</v>
      </c>
      <c r="B9" s="3" t="s">
        <v>190</v>
      </c>
      <c r="C9" s="11"/>
      <c r="D9" s="11"/>
      <c r="E9" s="5" t="e">
        <f>'Evolutitve SCI'!#REF!/(('Evolutive SFP'!#REF!+'Evolutive SFP'!#REF!)/2)</f>
        <v>#REF!</v>
      </c>
      <c r="F9" s="5"/>
      <c r="G9" s="11"/>
      <c r="H9" s="5" t="e">
        <f>'Evolutitve SCI'!#REF!/(('Evolutive SFP'!#REF!+'Evolutive SFP'!#REF!)/2)</f>
        <v>#REF!</v>
      </c>
      <c r="I9" s="5" t="e">
        <f>'Evolutitve SCI'!#REF!/(('Evolutive SFP'!#REF!+'Evolutive SFP'!#REF!)/2)</f>
        <v>#REF!</v>
      </c>
      <c r="J9" s="5" t="e">
        <f>'Evolutitve SCI'!#REF!/(('Evolutive SFP'!#REF!+'Evolutive SFP'!#REF!)/2)</f>
        <v>#REF!</v>
      </c>
      <c r="K9" s="5" t="e">
        <f>'Evolutitve SCI'!#REF!/(('Evolutive SFP'!#REF!+'Evolutive SFP'!#REF!)/2)</f>
        <v>#REF!</v>
      </c>
      <c r="L9" s="5" t="e">
        <f>'Evolutitve SCI'!#REF!/(('Evolutive SFP'!#REF!+'Evolutive SFP'!#REF!)/2)</f>
        <v>#REF!</v>
      </c>
      <c r="M9" s="5" t="e">
        <f>'Evolutitve SCI'!#REF!/(('Evolutive SFP'!#REF!+'Evolutive SFP'!#REF!)/2)</f>
        <v>#REF!</v>
      </c>
      <c r="N9" s="5" t="e">
        <f>'Evolutitve SCI'!#REF!/(('Evolutive SFP'!#REF!+'Evolutive SFP'!#REF!)/2)</f>
        <v>#REF!</v>
      </c>
      <c r="O9" s="5" t="e">
        <f>'Evolutitve SCI'!#REF!/(('Evolutive SFP'!#REF!+'Evolutive SFP'!#REF!)/2)</f>
        <v>#REF!</v>
      </c>
      <c r="P9" s="5" t="e">
        <f>'Evolutitve SCI'!#REF!/(('Evolutive SFP'!#REF!+'Evolutive SFP'!#REF!)/2)</f>
        <v>#REF!</v>
      </c>
      <c r="Q9" s="5" t="e">
        <f>'Evolutitve SCI'!#REF!/(('Evolutive SFP'!#REF!+'Evolutive SFP'!#REF!)/2)</f>
        <v>#REF!</v>
      </c>
      <c r="R9" s="5" t="e">
        <f>'Evolutitve SCI'!#REF!/(('Evolutive SFP'!#REF!+'Evolutive SFP'!#REF!)/2)</f>
        <v>#REF!</v>
      </c>
      <c r="S9" s="41" t="e">
        <f>'Evolutitve SCI'!#REF!/(('Evolutive SFP'!#REF!+'Evolutive SFP'!#REF!)/2)</f>
        <v>#REF!</v>
      </c>
      <c r="T9" s="41" t="e">
        <f>'Evolutitve SCI'!#REF!/(('Evolutive SFP'!#REF!+'Evolutive SFP'!#REF!)/2)</f>
        <v>#REF!</v>
      </c>
      <c r="U9" s="41" t="e">
        <f>'Evolutitve SCI'!#REF!/(('Evolutive SFP'!#REF!+'Evolutive SFP'!#REF!)/2)</f>
        <v>#REF!</v>
      </c>
      <c r="V9" s="41" t="e">
        <f>'Evolutitve SCI'!#REF!/(('Evolutive SFP'!#REF!+'Evolutive SFP'!#REF!)/2)</f>
        <v>#REF!</v>
      </c>
      <c r="W9" s="41" t="e">
        <f>'Evolutitve SCI'!#REF!/(('Evolutive SFP'!#REF!+'Evolutive SFP'!#REF!)/2)</f>
        <v>#REF!</v>
      </c>
      <c r="X9" s="41" t="e">
        <f>'Evolutitve SCI'!#REF!/(('Evolutive SFP'!#REF!+'Evolutive SFP'!#REF!)/2)</f>
        <v>#REF!</v>
      </c>
      <c r="Y9" s="41" t="e">
        <f>'Evolutitve SCI'!#REF!/(('Evolutive SFP'!#REF!+'Evolutive SFP'!#REF!)/2)</f>
        <v>#REF!</v>
      </c>
      <c r="Z9" s="41" t="e">
        <f>'Evolutitve SCI'!#REF!/(('Evolutive SFP'!#REF!+'Evolutive SFP'!#REF!)/2)</f>
        <v>#REF!</v>
      </c>
      <c r="AA9" s="41" t="e">
        <f>'Evolutitve SCI'!#REF!/(('Evolutive SFP'!#REF!+'Evolutive SFP'!#REF!)/2)</f>
        <v>#REF!</v>
      </c>
      <c r="AB9" s="41" t="e">
        <f>'Evolutitve SCI'!#REF!/(('Evolutive SFP'!#REF!+'Evolutive SFP'!#REF!)/2)</f>
        <v>#REF!</v>
      </c>
      <c r="AC9" s="41" t="e">
        <f>'Evolutitve SCI'!#REF!/(('Evolutive SFP'!#REF!+'Evolutive SFP'!#REF!)/2)</f>
        <v>#REF!</v>
      </c>
      <c r="AD9" s="41" t="e">
        <f>'Evolutitve SCI'!#REF!/(('Evolutive SFP'!#REF!+'Evolutive SFP'!#REF!)/2)</f>
        <v>#REF!</v>
      </c>
      <c r="AE9" s="41" t="e">
        <f>'Evolutitve SCI'!#REF!/(('Evolutive SFP'!#REF!+'Evolutive SFP'!#REF!)/2)</f>
        <v>#REF!</v>
      </c>
      <c r="AF9" s="41" t="e">
        <f>'Evolutitve SCI'!#REF!/(('Evolutive SFP'!#REF!+'Evolutive SFP'!#REF!)/2)</f>
        <v>#REF!</v>
      </c>
      <c r="AG9" s="41" t="e">
        <f>'Evolutitve SCI'!#REF!/(('Evolutive SFP'!#REF!+'Evolutive SFP'!#REF!)/2)</f>
        <v>#REF!</v>
      </c>
      <c r="AH9" s="41" t="e">
        <f>'Evolutitve SCI'!#REF!/(('Evolutive SFP'!#REF!+'Evolutive SFP'!#REF!)/2)</f>
        <v>#REF!</v>
      </c>
      <c r="AI9" s="41" t="e">
        <f>'Evolutitve SCI'!#REF!/(('Evolutive SFP'!#REF!+'Evolutive SFP'!#REF!)/2)</f>
        <v>#REF!</v>
      </c>
      <c r="AJ9" s="41" t="e">
        <f>'Evolutitve SCI'!#REF!/(('Evolutive SFP'!#REF!+'Evolutive SFP'!#REF!)/2)</f>
        <v>#REF!</v>
      </c>
      <c r="AK9" s="41" t="e">
        <f>'Evolutitve SCI'!#REF!/(('Evolutive SFP'!#REF!+'Evolutive SFP'!#REF!)/2)</f>
        <v>#REF!</v>
      </c>
      <c r="AL9" s="41" t="e">
        <f>'Evolutitve SCI'!#REF!/(('Evolutive SFP'!#REF!+'Evolutive SFP'!#REF!)/2)</f>
        <v>#REF!</v>
      </c>
      <c r="AM9" s="41" t="e">
        <f>'Evolutitve SCI'!#REF!/(('Evolutive SFP'!#REF!+'Evolutive SFP'!#REF!)/2)</f>
        <v>#REF!</v>
      </c>
      <c r="AN9" s="41" t="e">
        <f>'Evolutitve SCI'!#REF!/(('Evolutive SFP'!#REF!+'Evolutive SFP'!#REF!)/2)</f>
        <v>#REF!</v>
      </c>
      <c r="AO9" s="41" t="e">
        <f>'Evolutitve SCI'!#REF!/(('Evolutive SFP'!#REF!+'Evolutive SFP'!#REF!)/2)</f>
        <v>#REF!</v>
      </c>
      <c r="AP9" s="41" t="e">
        <f>'Evolutitve SCI'!#REF!/(('Evolutive SFP'!#REF!+'Evolutive SFP'!#REF!)/2)</f>
        <v>#REF!</v>
      </c>
      <c r="AQ9" s="41" t="e">
        <f>'Evolutitve SCI'!#REF!/(('Evolutive SFP'!#REF!+'Evolutive SFP'!#REF!)/2)</f>
        <v>#REF!</v>
      </c>
      <c r="AR9" s="41" t="e">
        <f>'Evolutitve SCI'!#REF!/(('Evolutive SFP'!#REF!+'Evolutive SFP'!#REF!)/2)</f>
        <v>#REF!</v>
      </c>
      <c r="AS9" s="41" t="e">
        <f>'Evolutitve SCI'!#REF!/(('Evolutive SFP'!#REF!+'Evolutive SFP'!#REF!)/2)</f>
        <v>#REF!</v>
      </c>
      <c r="AT9" s="41" t="e">
        <f>'Evolutitve SCI'!B33/(('Evolutive SFP'!#REF!+'Evolutive SFP'!B27)/2)</f>
        <v>#REF!</v>
      </c>
      <c r="AU9" s="41">
        <f>'Evolutitve SCI'!C33/(('Evolutive SFP'!B27+'Evolutive SFP'!C27)/2)</f>
        <v>-6.2656688654894411E-6</v>
      </c>
      <c r="AV9" s="41">
        <f>'Evolutitve SCI'!D33/(('Evolutive SFP'!C27+'Evolutive SFP'!D27)/2)</f>
        <v>5.2436674519234349E-3</v>
      </c>
      <c r="AW9" s="41">
        <f>'Evolutitve SCI'!E33/(('Evolutive SFP'!D27+'Evolutive SFP'!E27)/2)</f>
        <v>3.3977494317402267E-3</v>
      </c>
      <c r="AX9" s="41">
        <f>'Evolutitve SCI'!F33/(('Evolutive SFP'!E27+'Evolutive SFP'!F27)/2)</f>
        <v>1.8707901440706182E-2</v>
      </c>
      <c r="AY9" s="41">
        <f>'Evolutitve SCI'!G33/(('Evolutive SFP'!F27+'Evolutive SFP'!G27)/2)</f>
        <v>3.1916431038338078E-2</v>
      </c>
      <c r="AZ9" s="41">
        <f>'Evolutitve SCI'!H33/(('Evolutive SFP'!G27+'Evolutive SFP'!H27)/2)</f>
        <v>1.7293272746700752E-2</v>
      </c>
      <c r="BA9" s="41" t="e">
        <f>'Evolutitve SCI'!#REF!/(('Evolutive SFP'!H27+'Evolutive SFP'!#REF!)/2)</f>
        <v>#REF!</v>
      </c>
      <c r="BB9" s="41" t="e">
        <f>'Evolutitve SCI'!I33/(('Evolutive SFP'!#REF!+'Evolutive SFP'!I27)/2)</f>
        <v>#REF!</v>
      </c>
      <c r="BC9" s="41">
        <f>'Evolutitve SCI'!J33/(('Evolutive SFP'!I27+'Evolutive SFP'!J27)/2)</f>
        <v>2.2307426938022522E-2</v>
      </c>
      <c r="BD9" s="41">
        <f>'Evolutitve SCI'!K33/(('Evolutive SFP'!J27+'Evolutive SFP'!K27)/2)</f>
        <v>2.5183931449700953E-2</v>
      </c>
      <c r="BE9" s="41">
        <f>'Evolutitve SCI'!L33/(('Evolutive SFP'!K27+'Evolutive SFP'!L27)/2)</f>
        <v>2.3201019693742105E-2</v>
      </c>
      <c r="BF9" s="41">
        <f>'Evolutitve SCI'!M33/(('Evolutive SFP'!L27+'Evolutive SFP'!M27)/2)</f>
        <v>3.0775369741948527E-2</v>
      </c>
      <c r="BG9" s="41">
        <f>'Evolutitve SCI'!N33/(('Evolutive SFP'!M27+'Evolutive SFP'!N27)/2)</f>
        <v>9.2045859593577084E-2</v>
      </c>
      <c r="BH9" s="41">
        <f>'Evolutitve SCI'!O33/(('Evolutive SFP'!N27+'Evolutive SFP'!O27)/2)</f>
        <v>-7.594974108055627E-6</v>
      </c>
      <c r="BI9" s="41">
        <f>'Evolutitve SCI'!P33/(('Evolutive SFP'!O27+'Evolutive SFP'!P27)/2)</f>
        <v>-7.0011098791702966E-3</v>
      </c>
      <c r="BJ9" s="41">
        <f>'Evolutitve SCI'!Q33/(('Evolutive SFP'!P27+'Evolutive SFP'!Q27)/2)</f>
        <v>-3.4901640947389723E-3</v>
      </c>
      <c r="BK9" s="41">
        <f>'Evolutitve SCI'!R33/(('Evolutive SFP'!Q27+'Evolutive SFP'!R27)/2)</f>
        <v>9.9364110504761051E-3</v>
      </c>
      <c r="BL9" s="41">
        <f>'Evolutitve SCI'!S33/(('Evolutive SFP'!R27+'Evolutive SFP'!S27)/2)</f>
        <v>9.9273957801601243E-3</v>
      </c>
      <c r="BM9" s="41">
        <f>'Evolutitve SCI'!T33/(('Evolutive SFP'!S27+'Evolutive SFP'!T27)/2)</f>
        <v>1.6811136517843703E-2</v>
      </c>
      <c r="BN9" s="41">
        <f>'Evolutitve SCI'!U33/(('Evolutive SFP'!T27+'Evolutive SFP'!U27)/2)</f>
        <v>9.15986884247098E-3</v>
      </c>
      <c r="BO9" s="41">
        <f>'Evolutitve SCI'!V33/(('Evolutive SFP'!U27+'Evolutive SFP'!V27)/2)</f>
        <v>6.4815920455219616E-3</v>
      </c>
      <c r="BP9" s="41">
        <f>'Evolutitve SCI'!W33/(('Evolutive SFP'!V27+'Evolutive SFP'!W27)/2)</f>
        <v>1.9667466881543413E-2</v>
      </c>
      <c r="BQ9" s="41">
        <f>'Evolutitve SCI'!X33/(('Evolutive SFP'!W27+'Evolutive SFP'!X27)/2)</f>
        <v>2.0884895928935335E-2</v>
      </c>
      <c r="BR9" s="41">
        <f>'Evolutitve SCI'!Y33/(('Evolutive SFP'!X27+'Evolutive SFP'!Y27)/2)</f>
        <v>2.3160522196792478E-2</v>
      </c>
      <c r="BS9" s="41">
        <f>'Evolutitve SCI'!Z33/(('Evolutive SFP'!Y27+'Evolutive SFP'!Z27)/2)</f>
        <v>3.0462590650821141E-2</v>
      </c>
      <c r="BT9" s="41">
        <f>'Evolutitve SCI'!AA33/(('Evolutive SFP'!Z27+'Evolutive SFP'!AA27)/2)</f>
        <v>-8.0659646589961359E-2</v>
      </c>
      <c r="BU9" s="41">
        <f>'Evolutitve SCI'!AB33/(('Evolutive SFP'!AA27+'Evolutive SFP'!AB27)/2)</f>
        <v>3.6749251569648924E-3</v>
      </c>
      <c r="BV9" s="41">
        <f>'Evolutitve SCI'!AC33/(('Evolutive SFP'!AB27+'Evolutive SFP'!AC27)/2)</f>
        <v>3.8214612698653862E-6</v>
      </c>
      <c r="BW9" s="41">
        <f>'Evolutitve SCI'!AD33/(('Evolutive SFP'!AC27+'Evolutive SFP'!AD27)/2)</f>
        <v>1.4844031992500824E-3</v>
      </c>
      <c r="BX9" s="41">
        <f>'Evolutitve SCI'!AE33/(('Evolutive SFP'!AD27+'Evolutive SFP'!AE27)/2)</f>
        <v>1.3887857268564123E-3</v>
      </c>
      <c r="BY9" s="41">
        <f>'Evolutitve SCI'!AF33/(('Evolutive SFP'!AE27+'Evolutive SFP'!AF27)/2)</f>
        <v>-4.850406842888387E-4</v>
      </c>
      <c r="BZ9" s="41">
        <f>'Evolutitve SCI'!AG33/(('Evolutive SFP'!AF27+'Evolutive SFP'!AG27)/2)</f>
        <v>9.9952403992391841E-3</v>
      </c>
      <c r="CA9" s="41">
        <f>'Evolutitve SCI'!AH33/(('Evolutive SFP'!AG27+'Evolutive SFP'!AH27)/2)</f>
        <v>8.3144900096698768E-3</v>
      </c>
      <c r="CB9" s="41">
        <f>'Evolutitve SCI'!AI33/(('Evolutive SFP'!AH27+'Evolutive SFP'!AI27)/2)</f>
        <v>9.5276347427161266E-3</v>
      </c>
      <c r="CC9" s="41">
        <f>'Evolutitve SCI'!AJ33/(('Evolutive SFP'!AI27+'Evolutive SFP'!AJ27)/2)</f>
        <v>1.0512355537152341E-2</v>
      </c>
      <c r="CD9" s="41">
        <f>'Evolutitve SCI'!AK33/(('Evolutive SFP'!AJ27+'Evolutive SFP'!AK27)/2)</f>
        <v>9.9892172257031505E-3</v>
      </c>
      <c r="CE9" s="41">
        <f>'Evolutitve SCI'!AL33/(('Evolutive SFP'!AK27+'Evolutive SFP'!AL27)/2)</f>
        <v>8.8917622428490127E-3</v>
      </c>
      <c r="CF9" s="41">
        <f>'Evolutitve SCI'!AM33/(('Evolutive SFP'!AL27+'Evolutive SFP'!AM27)/2)</f>
        <v>2.164140630305281E-2</v>
      </c>
      <c r="CG9" s="41">
        <f>'Evolutitve SCI'!AN33/(('Evolutive SFP'!AM27+'Evolutive SFP'!AN27)/2)</f>
        <v>2.9263703159141532E-2</v>
      </c>
      <c r="CH9" s="41">
        <f>'Evolutitve SCI'!AO33/(('Evolutive SFP'!AN27+'Evolutive SFP'!AO27)/2)</f>
        <v>2.4377221949401064E-6</v>
      </c>
      <c r="CI9" s="41">
        <f>'Evolutitve SCI'!AP33/(('Evolutive SFP'!AO27+'Evolutive SFP'!AP27)/2)</f>
        <v>1.2838214509372453E-3</v>
      </c>
      <c r="CJ9" s="41">
        <f>'Evolutitve SCI'!AQ33/(('Evolutive SFP'!AP27+'Evolutive SFP'!AQ27)/2)</f>
        <v>4.7080404083905047E-3</v>
      </c>
      <c r="CK9" s="41">
        <f>'Evolutitve SCI'!AR33/(('Evolutive SFP'!AQ27+'Evolutive SFP'!AR27)/2)</f>
        <v>4.7963287417399792E-3</v>
      </c>
      <c r="CL9" s="41">
        <f>'Evolutitve SCI'!AS33/(('Evolutive SFP'!AR27+'Evolutive SFP'!AS27)/2)</f>
        <v>5.5382160536714738E-3</v>
      </c>
      <c r="CM9" s="41">
        <f>'Evolutitve SCI'!AT33/(('Evolutive SFP'!AS27+'Evolutive SFP'!AT27)/2)</f>
        <v>1.5743234810641566E-2</v>
      </c>
      <c r="CN9" s="41">
        <f>'Evolutitve SCI'!AU33/(('Evolutive SFP'!AT27+'Evolutive SFP'!AU27)/2)</f>
        <v>1.4550168652915531E-2</v>
      </c>
      <c r="CO9" s="41">
        <f>'Evolutitve SCI'!AV33/(('Evolutive SFP'!AU27+'Evolutive SFP'!AV27)/2)</f>
        <v>1.4359145526783738E-2</v>
      </c>
    </row>
    <row r="10" spans="1:93" ht="15.75">
      <c r="A10" s="389"/>
      <c r="B10" s="3" t="s">
        <v>191</v>
      </c>
      <c r="C10" s="11"/>
      <c r="D10" s="34" t="e">
        <f>'Evolutitve SCI'!#REF!/'Evolutitve SCI'!#REF!</f>
        <v>#REF!</v>
      </c>
      <c r="E10" s="34" t="e">
        <f>'Evolutitve SCI'!#REF!/'Evolutitve SCI'!#REF!</f>
        <v>#REF!</v>
      </c>
      <c r="F10" s="34" t="e">
        <f>'Evolutitve SCI'!#REF!/'Evolutitve SCI'!#REF!</f>
        <v>#REF!</v>
      </c>
      <c r="G10" s="34" t="e">
        <f>'Evolutitve SCI'!#REF!/'Evolutitve SCI'!#REF!</f>
        <v>#REF!</v>
      </c>
      <c r="H10" s="34" t="e">
        <f>'Evolutitve SCI'!#REF!/'Evolutitve SCI'!#REF!</f>
        <v>#REF!</v>
      </c>
      <c r="I10" s="34" t="e">
        <f>'Evolutitve SCI'!#REF!/'Evolutitve SCI'!#REF!</f>
        <v>#REF!</v>
      </c>
      <c r="J10" s="34" t="e">
        <f>'Evolutitve SCI'!#REF!/'Evolutitve SCI'!#REF!</f>
        <v>#REF!</v>
      </c>
      <c r="K10" s="34" t="e">
        <f>'Evolutitve SCI'!#REF!/'Evolutitve SCI'!#REF!</f>
        <v>#REF!</v>
      </c>
      <c r="L10" s="34" t="e">
        <f>'Evolutitve SCI'!#REF!/'Evolutitve SCI'!#REF!</f>
        <v>#REF!</v>
      </c>
      <c r="M10" s="34" t="e">
        <f>'Evolutitve SCI'!#REF!/'Evolutitve SCI'!#REF!</f>
        <v>#REF!</v>
      </c>
      <c r="N10" s="34" t="e">
        <f>'Evolutitve SCI'!#REF!/'Evolutitve SCI'!#REF!</f>
        <v>#REF!</v>
      </c>
      <c r="O10" s="34" t="e">
        <f>'Evolutitve SCI'!#REF!/'Evolutitve SCI'!#REF!</f>
        <v>#REF!</v>
      </c>
      <c r="P10" s="34" t="e">
        <f>'Evolutitve SCI'!#REF!/'Evolutitve SCI'!#REF!</f>
        <v>#REF!</v>
      </c>
      <c r="Q10" s="34" t="e">
        <f>'Evolutitve SCI'!#REF!/'Evolutitve SCI'!#REF!</f>
        <v>#REF!</v>
      </c>
      <c r="R10" s="34" t="e">
        <f>'Evolutitve SCI'!#REF!/'Evolutitve SCI'!#REF!</f>
        <v>#REF!</v>
      </c>
      <c r="S10" s="38" t="e">
        <f>'Evolutitve SCI'!#REF!/'Evolutitve SCI'!#REF!</f>
        <v>#REF!</v>
      </c>
      <c r="T10" s="38" t="e">
        <f>'Evolutitve SCI'!#REF!/'Evolutitve SCI'!#REF!</f>
        <v>#REF!</v>
      </c>
      <c r="U10" s="38" t="e">
        <f>'Evolutitve SCI'!#REF!/'Evolutitve SCI'!#REF!</f>
        <v>#REF!</v>
      </c>
      <c r="V10" s="38" t="e">
        <f>'Evolutitve SCI'!#REF!/'Evolutitve SCI'!#REF!</f>
        <v>#REF!</v>
      </c>
      <c r="W10" s="38" t="e">
        <f>'Evolutitve SCI'!#REF!/'Evolutitve SCI'!#REF!</f>
        <v>#REF!</v>
      </c>
      <c r="X10" s="38" t="e">
        <f>'Evolutitve SCI'!#REF!/'Evolutitve SCI'!#REF!</f>
        <v>#REF!</v>
      </c>
      <c r="Y10" s="38" t="e">
        <f>'Evolutitve SCI'!#REF!/'Evolutitve SCI'!#REF!</f>
        <v>#REF!</v>
      </c>
      <c r="Z10" s="38" t="e">
        <f>'Evolutitve SCI'!#REF!/'Evolutitve SCI'!#REF!</f>
        <v>#REF!</v>
      </c>
      <c r="AA10" s="38" t="e">
        <f>'Evolutitve SCI'!#REF!/'Evolutitve SCI'!#REF!</f>
        <v>#REF!</v>
      </c>
      <c r="AB10" s="38" t="e">
        <f>'Evolutitve SCI'!#REF!/'Evolutitve SCI'!#REF!</f>
        <v>#REF!</v>
      </c>
      <c r="AC10" s="38" t="e">
        <f>'Evolutitve SCI'!#REF!/'Evolutitve SCI'!#REF!</f>
        <v>#REF!</v>
      </c>
      <c r="AD10" s="38" t="e">
        <f>'Evolutitve SCI'!#REF!/'Evolutitve SCI'!#REF!</f>
        <v>#REF!</v>
      </c>
      <c r="AE10" s="38" t="e">
        <f>'Evolutitve SCI'!#REF!/'Evolutitve SCI'!#REF!</f>
        <v>#REF!</v>
      </c>
      <c r="AF10" s="38" t="e">
        <f>'Evolutitve SCI'!#REF!/'Evolutitve SCI'!#REF!</f>
        <v>#REF!</v>
      </c>
      <c r="AG10" s="38" t="e">
        <f>'Evolutitve SCI'!#REF!/'Evolutitve SCI'!#REF!</f>
        <v>#REF!</v>
      </c>
      <c r="AH10" s="38" t="e">
        <f>'Evolutitve SCI'!#REF!/'Evolutitve SCI'!#REF!</f>
        <v>#REF!</v>
      </c>
      <c r="AI10" s="38" t="e">
        <f>'Evolutitve SCI'!#REF!/'Evolutitve SCI'!#REF!</f>
        <v>#REF!</v>
      </c>
      <c r="AJ10" s="38" t="e">
        <f>'Evolutitve SCI'!#REF!/'Evolutitve SCI'!#REF!</f>
        <v>#REF!</v>
      </c>
      <c r="AK10" s="38" t="e">
        <f>'Evolutitve SCI'!#REF!/'Evolutitve SCI'!#REF!</f>
        <v>#REF!</v>
      </c>
      <c r="AL10" s="38" t="e">
        <f>'Evolutitve SCI'!#REF!/'Evolutitve SCI'!#REF!</f>
        <v>#REF!</v>
      </c>
      <c r="AM10" s="38" t="e">
        <f>'Evolutitve SCI'!#REF!/'Evolutitve SCI'!#REF!</f>
        <v>#REF!</v>
      </c>
      <c r="AN10" s="38" t="e">
        <f>'Evolutitve SCI'!#REF!/'Evolutitve SCI'!#REF!</f>
        <v>#REF!</v>
      </c>
      <c r="AO10" s="38" t="e">
        <f>'Evolutitve SCI'!#REF!/'Evolutitve SCI'!#REF!</f>
        <v>#REF!</v>
      </c>
      <c r="AP10" s="38" t="e">
        <f>'Evolutitve SCI'!#REF!/'Evolutitve SCI'!#REF!</f>
        <v>#REF!</v>
      </c>
      <c r="AQ10" s="38" t="e">
        <f>'Evolutitve SCI'!#REF!/'Evolutitve SCI'!#REF!</f>
        <v>#REF!</v>
      </c>
      <c r="AR10" s="38" t="e">
        <f>'Evolutitve SCI'!#REF!/'Evolutitve SCI'!#REF!</f>
        <v>#REF!</v>
      </c>
      <c r="AS10" s="38" t="e">
        <f>'Evolutitve SCI'!#REF!/'Evolutitve SCI'!#REF!</f>
        <v>#REF!</v>
      </c>
      <c r="AT10" s="38">
        <f>'Evolutitve SCI'!B23/'Evolutitve SCI'!B19</f>
        <v>0.41401617304023802</v>
      </c>
      <c r="AU10" s="38">
        <f>'Evolutitve SCI'!C23/'Evolutitve SCI'!C19</f>
        <v>0.82274145363306461</v>
      </c>
      <c r="AV10" s="38">
        <f>'Evolutitve SCI'!D23/'Evolutitve SCI'!D19</f>
        <v>0.56042627209222662</v>
      </c>
      <c r="AW10" s="38">
        <f>'Evolutitve SCI'!E23/'Evolutitve SCI'!E19</f>
        <v>0.68926272680550327</v>
      </c>
      <c r="AX10" s="38">
        <f>'Evolutitve SCI'!F23/'Evolutitve SCI'!F19</f>
        <v>0.28642844717531785</v>
      </c>
      <c r="AY10" s="38">
        <f>'Evolutitve SCI'!G23/'Evolutitve SCI'!G19</f>
        <v>0.30532837240700866</v>
      </c>
      <c r="AZ10" s="38">
        <f>'Evolutitve SCI'!H23/'Evolutitve SCI'!H19</f>
        <v>0.32877380796477784</v>
      </c>
      <c r="BA10" s="38" t="e">
        <f>'Evolutitve SCI'!#REF!/'Evolutitve SCI'!#REF!</f>
        <v>#REF!</v>
      </c>
      <c r="BB10" s="38">
        <f>'Evolutitve SCI'!I23/'Evolutitve SCI'!I19</f>
        <v>0.36432541199912816</v>
      </c>
      <c r="BC10" s="38">
        <f>'Evolutitve SCI'!J23/'Evolutitve SCI'!J19</f>
        <v>0.36232733167828707</v>
      </c>
      <c r="BD10" s="38">
        <f>'Evolutitve SCI'!K23/'Evolutitve SCI'!K19</f>
        <v>0.38462999412963156</v>
      </c>
      <c r="BE10" s="38">
        <f>'Evolutitve SCI'!L23/'Evolutitve SCI'!L19</f>
        <v>0.39035188086061129</v>
      </c>
      <c r="BF10" s="38">
        <f>'Evolutitve SCI'!M23/'Evolutitve SCI'!M19</f>
        <v>0.4131812502778836</v>
      </c>
      <c r="BG10" s="38">
        <f>'Evolutitve SCI'!N23/'Evolutitve SCI'!N19</f>
        <v>0.3047435749708165</v>
      </c>
      <c r="BH10" s="38">
        <f>'Evolutitve SCI'!O23/'Evolutitve SCI'!O19</f>
        <v>1.1618803330957475</v>
      </c>
      <c r="BI10" s="38">
        <f>'Evolutitve SCI'!P23/'Evolutitve SCI'!P19</f>
        <v>0.52059474993829646</v>
      </c>
      <c r="BJ10" s="38">
        <f>'Evolutitve SCI'!Q23/'Evolutitve SCI'!Q19</f>
        <v>0.77362978135738969</v>
      </c>
      <c r="BK10" s="38">
        <f>'Evolutitve SCI'!R23/'Evolutitve SCI'!R19</f>
        <v>0.32586000753936079</v>
      </c>
      <c r="BL10" s="38">
        <f>'Evolutitve SCI'!S23/'Evolutitve SCI'!S19</f>
        <v>0.37865735408894213</v>
      </c>
      <c r="BM10" s="38">
        <f>'Evolutitve SCI'!T23/'Evolutitve SCI'!T19</f>
        <v>0.32435982833609084</v>
      </c>
      <c r="BN10" s="38">
        <f>'Evolutitve SCI'!U23/'Evolutitve SCI'!U19</f>
        <v>0.44437680266986462</v>
      </c>
      <c r="BO10" s="38">
        <f>'Evolutitve SCI'!V23/'Evolutitve SCI'!V19</f>
        <v>0.55904805292128157</v>
      </c>
      <c r="BP10" s="38">
        <f>'Evolutitve SCI'!W23/'Evolutitve SCI'!W19</f>
        <v>0.42025196562790018</v>
      </c>
      <c r="BQ10" s="38">
        <f>'Evolutitve SCI'!X23/'Evolutitve SCI'!X19</f>
        <v>0.43751901035867469</v>
      </c>
      <c r="BR10" s="38">
        <f>'Evolutitve SCI'!Y23/'Evolutitve SCI'!Y19</f>
        <v>0.441404614364728</v>
      </c>
      <c r="BS10" s="38">
        <f>'Evolutitve SCI'!Z23/'Evolutitve SCI'!Z19</f>
        <v>0.40681254797257704</v>
      </c>
      <c r="BT10" s="38">
        <f>'Evolutitve SCI'!AA23/'Evolutitve SCI'!AA19</f>
        <v>-0.75342131559837067</v>
      </c>
      <c r="BU10" s="38">
        <f>'Evolutitve SCI'!AB23/'Evolutitve SCI'!AB19</f>
        <v>0.52773193356214332</v>
      </c>
      <c r="BV10" s="38">
        <f>'Evolutitve SCI'!AC23/'Evolutitve SCI'!AC19</f>
        <v>0.54226075744580193</v>
      </c>
      <c r="BW10" s="38">
        <f>'Evolutitve SCI'!AD23/'Evolutitve SCI'!AD19</f>
        <v>0.93172303933151279</v>
      </c>
      <c r="BX10" s="38">
        <f>'Evolutitve SCI'!AE23/'Evolutitve SCI'!AE19</f>
        <v>0.91174460444181871</v>
      </c>
      <c r="BY10" s="38">
        <f>'Evolutitve SCI'!AF23/'Evolutitve SCI'!AF19</f>
        <v>1.0679288600574557</v>
      </c>
      <c r="BZ10" s="38">
        <f>'Evolutitve SCI'!AG23/'Evolutitve SCI'!AG19</f>
        <v>0.53359569155565745</v>
      </c>
      <c r="CA10" s="38">
        <f>'Evolutitve SCI'!AH23/'Evolutitve SCI'!AH19</f>
        <v>0.58377376717187357</v>
      </c>
      <c r="CB10" s="38">
        <f>'Evolutitve SCI'!AI23/'Evolutitve SCI'!AI19</f>
        <v>0.56585903200117393</v>
      </c>
      <c r="CC10" s="38">
        <f>'Evolutitve SCI'!AJ23/'Evolutitve SCI'!AJ19</f>
        <v>0.58741941787845331</v>
      </c>
      <c r="CD10" s="38">
        <f>'Evolutitve SCI'!AK23/'Evolutitve SCI'!AK19</f>
        <v>0.61702807785323865</v>
      </c>
      <c r="CE10" s="38">
        <f>'Evolutitve SCI'!AL23/'Evolutitve SCI'!AL19</f>
        <v>0.63346242635922401</v>
      </c>
      <c r="CF10" s="38">
        <f>'Evolutitve SCI'!AM23/'Evolutitve SCI'!AM19</f>
        <v>0.522003509583021</v>
      </c>
      <c r="CG10" s="38">
        <f>'Evolutitve SCI'!AN23/'Evolutitve SCI'!AN19</f>
        <v>0.43148153304621439</v>
      </c>
      <c r="CH10" s="38">
        <f>'Evolutitve SCI'!AO23/'Evolutitve SCI'!AO19</f>
        <v>0.43374326555270132</v>
      </c>
      <c r="CI10" s="38">
        <f>'Evolutitve SCI'!AP23/'Evolutitve SCI'!AP19</f>
        <v>0.42946220127852791</v>
      </c>
      <c r="CJ10" s="38">
        <f>'Evolutitve SCI'!AQ23/'Evolutitve SCI'!AQ19</f>
        <v>0.53898122062006781</v>
      </c>
      <c r="CK10" s="38">
        <f>'Evolutitve SCI'!AR23/'Evolutitve SCI'!AR19</f>
        <v>0.61384344499627708</v>
      </c>
      <c r="CL10" s="38">
        <f>'Evolutitve SCI'!AS23/'Evolutitve SCI'!AS19</f>
        <v>0.62306683814097041</v>
      </c>
      <c r="CM10" s="38">
        <f>'Evolutitve SCI'!AT23/'Evolutitve SCI'!AT19</f>
        <v>0.35844746253846266</v>
      </c>
      <c r="CN10" s="38">
        <f>'Evolutitve SCI'!AU23/'Evolutitve SCI'!AU19</f>
        <v>0.38849573876585397</v>
      </c>
      <c r="CO10" s="38">
        <f>'Evolutitve SCI'!AV23/'Evolutitve SCI'!AV19</f>
        <v>0.40450651044279801</v>
      </c>
    </row>
    <row r="11" spans="1:93" ht="18.75" customHeight="1">
      <c r="A11" s="389"/>
      <c r="B11" s="3" t="s">
        <v>192</v>
      </c>
      <c r="C11" s="11"/>
      <c r="D11" s="34" t="e">
        <f>('Evolutitve SCI'!#REF!+'Evolutitve SCI'!#REF!)/(('Evolutive SFP'!#REF!+'Evolutive SFP'!#REF!)/2)</f>
        <v>#REF!</v>
      </c>
      <c r="E11" s="34" t="e">
        <f>('Evolutitve SCI'!#REF!+'Evolutitve SCI'!#REF!)/(('Evolutive SFP'!#REF!+'Evolutive SFP'!#REF!)/2)</f>
        <v>#REF!</v>
      </c>
      <c r="F11" s="34" t="e">
        <f>('Evolutitve SCI'!#REF!+'Evolutitve SCI'!#REF!)/(('Evolutive SFP'!#REF!+'Evolutive SFP'!#REF!)/2)</f>
        <v>#REF!</v>
      </c>
      <c r="G11" s="34" t="e">
        <f>('Evolutitve SCI'!#REF!+'Evolutitve SCI'!#REF!)/(('Evolutive SFP'!#REF!+'Evolutive SFP'!#REF!)/2)</f>
        <v>#REF!</v>
      </c>
      <c r="H11" s="34" t="e">
        <f>('Evolutitve SCI'!#REF!+'Evolutitve SCI'!#REF!)/(('Evolutive SFP'!#REF!+'Evolutive SFP'!#REF!)/2)</f>
        <v>#REF!</v>
      </c>
      <c r="I11" s="34" t="e">
        <f>('Evolutitve SCI'!#REF!+'Evolutitve SCI'!#REF!)/(('Evolutive SFP'!#REF!+'Evolutive SFP'!#REF!)/2)</f>
        <v>#REF!</v>
      </c>
      <c r="J11" s="34" t="e">
        <f>('Evolutitve SCI'!#REF!+'Evolutitve SCI'!#REF!)/(('Evolutive SFP'!#REF!+'Evolutive SFP'!#REF!)/2)</f>
        <v>#REF!</v>
      </c>
      <c r="K11" s="34" t="e">
        <f>('Evolutitve SCI'!#REF!+'Evolutitve SCI'!#REF!)/(('Evolutive SFP'!#REF!+'Evolutive SFP'!#REF!)/2)</f>
        <v>#REF!</v>
      </c>
      <c r="L11" s="34" t="e">
        <f>('Evolutitve SCI'!#REF!+'Evolutitve SCI'!#REF!)/(('Evolutive SFP'!#REF!+'Evolutive SFP'!#REF!)/2)</f>
        <v>#REF!</v>
      </c>
      <c r="M11" s="34" t="e">
        <f>('Evolutitve SCI'!#REF!+'Evolutitve SCI'!#REF!)/(('Evolutive SFP'!#REF!+'Evolutive SFP'!#REF!)/2)</f>
        <v>#REF!</v>
      </c>
      <c r="N11" s="34" t="e">
        <f>('Evolutitve SCI'!#REF!+'Evolutitve SCI'!#REF!)/(('Evolutive SFP'!#REF!+'Evolutive SFP'!#REF!)/2)</f>
        <v>#REF!</v>
      </c>
      <c r="O11" s="34" t="e">
        <f>('Evolutitve SCI'!#REF!+'Evolutitve SCI'!#REF!)/(('Evolutive SFP'!#REF!+'Evolutive SFP'!#REF!)/2)</f>
        <v>#REF!</v>
      </c>
      <c r="P11" s="34" t="e">
        <f>('Evolutitve SCI'!#REF!+'Evolutitve SCI'!#REF!)/(('Evolutive SFP'!#REF!+'Evolutive SFP'!#REF!)/2)</f>
        <v>#REF!</v>
      </c>
      <c r="Q11" s="34" t="e">
        <f>('Evolutitve SCI'!#REF!+'Evolutitve SCI'!#REF!)/(('Evolutive SFP'!#REF!+'Evolutive SFP'!#REF!)/2)</f>
        <v>#REF!</v>
      </c>
      <c r="R11" s="34" t="e">
        <f>('Evolutitve SCI'!#REF!+'Evolutitve SCI'!#REF!)/(('Evolutive SFP'!#REF!+'Evolutive SFP'!#REF!)/2)</f>
        <v>#REF!</v>
      </c>
      <c r="S11" s="34" t="e">
        <f>('Evolutitve SCI'!#REF!+'Evolutitve SCI'!#REF!)/(('Evolutive SFP'!#REF!+'Evolutive SFP'!#REF!)/2)</f>
        <v>#REF!</v>
      </c>
      <c r="T11" s="34" t="e">
        <f>('Evolutitve SCI'!#REF!+'Evolutitve SCI'!#REF!)/(('Evolutive SFP'!#REF!+'Evolutive SFP'!#REF!)/2)</f>
        <v>#REF!</v>
      </c>
      <c r="U11" s="34" t="e">
        <f>('Evolutitve SCI'!#REF!+'Evolutitve SCI'!#REF!)/(('Evolutive SFP'!#REF!+'Evolutive SFP'!#REF!)/2)</f>
        <v>#REF!</v>
      </c>
      <c r="V11" s="34" t="e">
        <f>('Evolutitve SCI'!#REF!+'Evolutitve SCI'!#REF!)/(('Evolutive SFP'!#REF!+'Evolutive SFP'!#REF!)/2)</f>
        <v>#REF!</v>
      </c>
      <c r="W11" s="34" t="e">
        <f>('Evolutitve SCI'!#REF!+'Evolutitve SCI'!#REF!)/(('Evolutive SFP'!#REF!+'Evolutive SFP'!#REF!)/2)</f>
        <v>#REF!</v>
      </c>
      <c r="X11" s="34" t="e">
        <f>('Evolutitve SCI'!#REF!+'Evolutitve SCI'!#REF!)/(('Evolutive SFP'!#REF!+'Evolutive SFP'!#REF!)/2)</f>
        <v>#REF!</v>
      </c>
      <c r="Y11" s="34" t="e">
        <f>('Evolutitve SCI'!#REF!+'Evolutitve SCI'!#REF!)/(('Evolutive SFP'!#REF!+'Evolutive SFP'!#REF!)/2)</f>
        <v>#REF!</v>
      </c>
      <c r="Z11" s="34" t="e">
        <f>('Evolutitve SCI'!#REF!+'Evolutitve SCI'!#REF!)/(('Evolutive SFP'!#REF!+'Evolutive SFP'!#REF!)/2)</f>
        <v>#REF!</v>
      </c>
      <c r="AA11" s="34" t="e">
        <f>('Evolutitve SCI'!#REF!+'Evolutitve SCI'!#REF!)/(('Evolutive SFP'!#REF!+'Evolutive SFP'!#REF!)/2)</f>
        <v>#REF!</v>
      </c>
      <c r="AB11" s="34" t="e">
        <f>('Evolutitve SCI'!#REF!+'Evolutitve SCI'!#REF!)/(('Evolutive SFP'!#REF!+'Evolutive SFP'!#REF!)/2)</f>
        <v>#REF!</v>
      </c>
      <c r="AC11" s="34" t="e">
        <f>('Evolutitve SCI'!#REF!+'Evolutitve SCI'!#REF!)/(('Evolutive SFP'!#REF!+'Evolutive SFP'!#REF!)/2)</f>
        <v>#REF!</v>
      </c>
      <c r="AD11" s="34" t="e">
        <f>('Evolutitve SCI'!#REF!+'Evolutitve SCI'!#REF!)/(('Evolutive SFP'!#REF!+'Evolutive SFP'!#REF!)/2)</f>
        <v>#REF!</v>
      </c>
      <c r="AE11" s="34" t="e">
        <f>('Evolutitve SCI'!#REF!+'Evolutitve SCI'!#REF!)/(('Evolutive SFP'!#REF!+'Evolutive SFP'!#REF!)/2)</f>
        <v>#REF!</v>
      </c>
      <c r="AF11" s="34" t="e">
        <f>('Evolutitve SCI'!#REF!+'Evolutitve SCI'!#REF!)/(('Evolutive SFP'!#REF!+'Evolutive SFP'!#REF!)/2)</f>
        <v>#REF!</v>
      </c>
      <c r="AG11" s="34" t="e">
        <f>('Evolutitve SCI'!#REF!+'Evolutitve SCI'!#REF!)/(('Evolutive SFP'!#REF!+'Evolutive SFP'!#REF!)/2)</f>
        <v>#REF!</v>
      </c>
      <c r="AH11" s="34" t="e">
        <f>('Evolutitve SCI'!#REF!+'Evolutitve SCI'!#REF!)/(('Evolutive SFP'!#REF!+'Evolutive SFP'!#REF!)/2)</f>
        <v>#REF!</v>
      </c>
      <c r="AI11" s="34" t="e">
        <f>('Evolutitve SCI'!#REF!+'Evolutitve SCI'!#REF!)/(('Evolutive SFP'!#REF!+'Evolutive SFP'!#REF!)/2)</f>
        <v>#REF!</v>
      </c>
      <c r="AJ11" s="34" t="e">
        <f>('Evolutitve SCI'!#REF!+'Evolutitve SCI'!#REF!)/(('Evolutive SFP'!#REF!+'Evolutive SFP'!#REF!)/2)</f>
        <v>#REF!</v>
      </c>
      <c r="AK11" s="34" t="e">
        <f>('Evolutitve SCI'!#REF!+'Evolutitve SCI'!#REF!)/(('Evolutive SFP'!#REF!+'Evolutive SFP'!#REF!)/2)</f>
        <v>#REF!</v>
      </c>
      <c r="AL11" s="34" t="e">
        <f>('Evolutitve SCI'!#REF!+'Evolutitve SCI'!#REF!)/(('Evolutive SFP'!#REF!+'Evolutive SFP'!#REF!)/2)</f>
        <v>#REF!</v>
      </c>
      <c r="AM11" s="34" t="e">
        <f>('Evolutitve SCI'!#REF!+'Evolutitve SCI'!#REF!)/(('Evolutive SFP'!#REF!+'Evolutive SFP'!#REF!)/2)</f>
        <v>#REF!</v>
      </c>
      <c r="AN11" s="34" t="e">
        <f>('Evolutitve SCI'!#REF!+'Evolutitve SCI'!#REF!)/(('Evolutive SFP'!#REF!+'Evolutive SFP'!#REF!)/2)</f>
        <v>#REF!</v>
      </c>
      <c r="AO11" s="34" t="e">
        <f>('Evolutitve SCI'!#REF!+'Evolutitve SCI'!#REF!)/(('Evolutive SFP'!#REF!+'Evolutive SFP'!#REF!)/2)</f>
        <v>#REF!</v>
      </c>
      <c r="AP11" s="34" t="e">
        <f>('Evolutitve SCI'!#REF!+'Evolutitve SCI'!#REF!)/(('Evolutive SFP'!#REF!+'Evolutive SFP'!#REF!)/2)</f>
        <v>#REF!</v>
      </c>
      <c r="AQ11" s="34" t="e">
        <f>('Evolutitve SCI'!#REF!+'Evolutitve SCI'!#REF!)/(('Evolutive SFP'!#REF!+'Evolutive SFP'!#REF!)/2)</f>
        <v>#REF!</v>
      </c>
      <c r="AR11" s="34" t="e">
        <f>('Evolutitve SCI'!#REF!+'Evolutitve SCI'!#REF!)/(('Evolutive SFP'!#REF!+'Evolutive SFP'!B27)/2)</f>
        <v>#REF!</v>
      </c>
      <c r="AS11" s="34" t="e">
        <f>('Evolutitve SCI'!#REF!+'Evolutitve SCI'!#REF!)/(('Evolutive SFP'!#REF!+'Evolutive SFP'!C27)/2)</f>
        <v>#REF!</v>
      </c>
      <c r="AT11" s="34">
        <f>('Evolutitve SCI'!B23+'Evolutitve SCI'!B12)/(('Evolutive SFP'!B27+'Evolutive SFP'!D27)/2)</f>
        <v>9.5727209037374847E-2</v>
      </c>
      <c r="AU11" s="34">
        <f>('Evolutitve SCI'!C23+'Evolutitve SCI'!C12)/(('Evolutive SFP'!C27+'Evolutive SFP'!E27)/2)</f>
        <v>9.0571376697945599E-3</v>
      </c>
      <c r="AV11" s="34">
        <f>('Evolutitve SCI'!D23+'Evolutitve SCI'!D12)/(('Evolutive SFP'!D27+'Evolutive SFP'!F27)/2)</f>
        <v>1.7298687756457379E-2</v>
      </c>
      <c r="AW11" s="34">
        <f>('Evolutitve SCI'!E23+'Evolutitve SCI'!E12)/(('Evolutive SFP'!E27+'Evolutive SFP'!G27)/2)</f>
        <v>2.7906565911114456E-2</v>
      </c>
      <c r="AX11" s="34">
        <f>('Evolutitve SCI'!F23+'Evolutitve SCI'!F12)/(('Evolutive SFP'!F27+'Evolutive SFP'!H27)/2)</f>
        <v>3.712933878078211E-2</v>
      </c>
      <c r="AY11" s="34" t="e">
        <f>('Evolutitve SCI'!G23+'Evolutitve SCI'!G12)/(('Evolutive SFP'!G27+'Evolutive SFP'!#REF!)/2)</f>
        <v>#REF!</v>
      </c>
      <c r="AZ11" s="34">
        <f>('Evolutitve SCI'!H23+'Evolutitve SCI'!H12)/(('Evolutive SFP'!H27+'Evolutive SFP'!I27)/2)</f>
        <v>5.4061438220718502E-2</v>
      </c>
      <c r="BA11" s="34" t="e">
        <f>('Evolutitve SCI'!#REF!+'Evolutitve SCI'!#REF!)/(('Evolutive SFP'!#REF!+'Evolutive SFP'!J27)/2)</f>
        <v>#REF!</v>
      </c>
      <c r="BB11" s="34">
        <f>('Evolutitve SCI'!I23+'Evolutitve SCI'!I12)/(('Evolutive SFP'!I27+'Evolutive SFP'!K27)/2)</f>
        <v>7.1843165730576933E-2</v>
      </c>
      <c r="BC11" s="34" t="e">
        <f>('Evolutitve SCI'!J23+'Evolutitve SCI'!J12)/(('Evolutive SFP'!J27+'Evolutive SFP'!#REF!)/2)</f>
        <v>#REF!</v>
      </c>
      <c r="BD11" s="34" t="e">
        <f>('Evolutitve SCI'!K23+'Evolutitve SCI'!K12)/(('Evolutive SFP'!K27+'Evolutive SFP'!#REF!)/2)</f>
        <v>#REF!</v>
      </c>
      <c r="BE11" s="34" t="e">
        <f>('Evolutitve SCI'!L23+'Evolutitve SCI'!L12)/(('Evolutive SFP'!L27+'Evolutive SFP'!#REF!)/2)</f>
        <v>#REF!</v>
      </c>
      <c r="BF11" s="34" t="e">
        <f>('Evolutitve SCI'!M23+'Evolutitve SCI'!M12)/(('Evolutive SFP'!M27+'Evolutive SFP'!#REF!)/2)</f>
        <v>#REF!</v>
      </c>
      <c r="BG11" s="34" t="e">
        <f>('Evolutitve SCI'!N23+'Evolutitve SCI'!N12)/(('Evolutive SFP'!N27+'Evolutive SFP'!#REF!)/2)</f>
        <v>#REF!</v>
      </c>
      <c r="BH11" s="34" t="e">
        <f>('Evolutitve SCI'!O23+'Evolutitve SCI'!O12)/(('Evolutive SFP'!O27+'Evolutive SFP'!#REF!)/2)</f>
        <v>#REF!</v>
      </c>
      <c r="BI11" s="34" t="e">
        <f>('Evolutitve SCI'!P23+'Evolutitve SCI'!P12)/(('Evolutive SFP'!P27+'Evolutive SFP'!#REF!)/2)</f>
        <v>#REF!</v>
      </c>
      <c r="BJ11" s="34" t="e">
        <f>('Evolutitve SCI'!Q23+'Evolutitve SCI'!Q12)/(('Evolutive SFP'!Q27+'Evolutive SFP'!#REF!)/2)</f>
        <v>#REF!</v>
      </c>
      <c r="BK11" s="34" t="e">
        <f>('Evolutitve SCI'!R23+'Evolutitve SCI'!R12)/(('Evolutive SFP'!R27+'Evolutive SFP'!#REF!)/2)</f>
        <v>#REF!</v>
      </c>
      <c r="BL11" s="34" t="e">
        <f>('Evolutitve SCI'!S23+'Evolutitve SCI'!S12)/(('Evolutive SFP'!S27+'Evolutive SFP'!#REF!)/2)</f>
        <v>#REF!</v>
      </c>
      <c r="BM11" s="34" t="e">
        <f>('Evolutitve SCI'!T23+'Evolutitve SCI'!T12)/(('Evolutive SFP'!T27+'Evolutive SFP'!#REF!)/2)</f>
        <v>#REF!</v>
      </c>
      <c r="BN11" s="34" t="e">
        <f>('Evolutitve SCI'!U23+'Evolutitve SCI'!U12)/(('Evolutive SFP'!U27+'Evolutive SFP'!#REF!)/2)</f>
        <v>#REF!</v>
      </c>
      <c r="BO11" s="34" t="e">
        <f>('Evolutitve SCI'!V23+'Evolutitve SCI'!V12)/(('Evolutive SFP'!V27+'Evolutive SFP'!#REF!)/2)</f>
        <v>#REF!</v>
      </c>
      <c r="BP11" s="34" t="e">
        <f>('Evolutitve SCI'!W23+'Evolutitve SCI'!W12)/(('Evolutive SFP'!W27+'Evolutive SFP'!#REF!)/2)</f>
        <v>#REF!</v>
      </c>
      <c r="BQ11" s="34" t="e">
        <f>('Evolutitve SCI'!X23+'Evolutitve SCI'!X12)/(('Evolutive SFP'!X27+'Evolutive SFP'!#REF!)/2)</f>
        <v>#REF!</v>
      </c>
      <c r="BR11" s="34" t="e">
        <f>('Evolutitve SCI'!Y23+'Evolutitve SCI'!Y12)/(('Evolutive SFP'!Y27+'Evolutive SFP'!#REF!)/2)</f>
        <v>#REF!</v>
      </c>
      <c r="BS11" s="34" t="e">
        <f>('Evolutitve SCI'!Z23+'Evolutitve SCI'!Z12)/(('Evolutive SFP'!Z27+'Evolutive SFP'!#REF!)/2)</f>
        <v>#REF!</v>
      </c>
      <c r="BT11" s="34" t="e">
        <f>('Evolutitve SCI'!AA23+'Evolutitve SCI'!AA12)/(('Evolutive SFP'!AA27+'Evolutive SFP'!#REF!)/2)</f>
        <v>#REF!</v>
      </c>
      <c r="BU11" s="34" t="e">
        <f>('Evolutitve SCI'!AB23+'Evolutitve SCI'!AB12)/(('Evolutive SFP'!AB27+'Evolutive SFP'!#REF!)/2)</f>
        <v>#REF!</v>
      </c>
      <c r="BV11" s="34" t="e">
        <f>('Evolutitve SCI'!AC23+'Evolutitve SCI'!AC12)/(('Evolutive SFP'!AC27+'Evolutive SFP'!#REF!)/2)</f>
        <v>#REF!</v>
      </c>
      <c r="BW11" s="34" t="e">
        <f>('Evolutitve SCI'!AD23+'Evolutitve SCI'!AD12)/(('Evolutive SFP'!AD27+'Evolutive SFP'!#REF!)/2)</f>
        <v>#REF!</v>
      </c>
      <c r="BX11" s="34" t="e">
        <f>('Evolutitve SCI'!AE23+'Evolutitve SCI'!AE12)/(('Evolutive SFP'!AE27+'Evolutive SFP'!#REF!)/2)</f>
        <v>#REF!</v>
      </c>
      <c r="BY11" s="34" t="e">
        <f>('Evolutitve SCI'!AF23+'Evolutitve SCI'!AF12)/(('Evolutive SFP'!AF27+'Evolutive SFP'!#REF!)/2)</f>
        <v>#REF!</v>
      </c>
      <c r="BZ11" s="34" t="e">
        <f>('Evolutitve SCI'!AG23+'Evolutitve SCI'!AG12)/(('Evolutive SFP'!AG27+'Evolutive SFP'!#REF!)/2)</f>
        <v>#REF!</v>
      </c>
      <c r="CA11" s="34" t="e">
        <f>('Evolutitve SCI'!AH23+'Evolutitve SCI'!AH12)/(('Evolutive SFP'!AH27+'Evolutive SFP'!#REF!)/2)</f>
        <v>#REF!</v>
      </c>
      <c r="CB11" s="34" t="e">
        <f>('Evolutitve SCI'!AI23+'Evolutitve SCI'!AI12)/(('Evolutive SFP'!AI27+'Evolutive SFP'!#REF!)/2)</f>
        <v>#REF!</v>
      </c>
      <c r="CC11" s="34" t="e">
        <f>('Evolutitve SCI'!AJ23+'Evolutitve SCI'!AJ12)/(('Evolutive SFP'!AJ27+'Evolutive SFP'!#REF!)/2)</f>
        <v>#REF!</v>
      </c>
      <c r="CD11" s="34" t="e">
        <f>('Evolutitve SCI'!AK23+'Evolutitve SCI'!AK12)/(('Evolutive SFP'!AK27+'Evolutive SFP'!#REF!)/2)</f>
        <v>#REF!</v>
      </c>
      <c r="CE11" s="34" t="e">
        <f>('Evolutitve SCI'!AL23+'Evolutitve SCI'!AL12)/(('Evolutive SFP'!AL27+'Evolutive SFP'!#REF!)/2)</f>
        <v>#REF!</v>
      </c>
      <c r="CF11" s="34" t="e">
        <f>('Evolutitve SCI'!AM23+'Evolutitve SCI'!AM12)/(('Evolutive SFP'!AM27+'Evolutive SFP'!#REF!)/2)</f>
        <v>#REF!</v>
      </c>
      <c r="CG11" s="34" t="e">
        <f>('Evolutitve SCI'!AN23+'Evolutitve SCI'!AN12)/(('Evolutive SFP'!AN27+'Evolutive SFP'!#REF!)/2)</f>
        <v>#REF!</v>
      </c>
      <c r="CH11" s="34" t="e">
        <f>('Evolutitve SCI'!AO23+'Evolutitve SCI'!AO12)/(('Evolutive SFP'!AO27+'Evolutive SFP'!#REF!)/2)</f>
        <v>#REF!</v>
      </c>
      <c r="CI11" s="34" t="e">
        <f>('Evolutitve SCI'!AP23+'Evolutitve SCI'!AP12)/(('Evolutive SFP'!AP27+'Evolutive SFP'!#REF!)/2)</f>
        <v>#REF!</v>
      </c>
      <c r="CJ11" s="34" t="e">
        <f>('Evolutitve SCI'!AQ23+'Evolutitve SCI'!AQ12)/(('Evolutive SFP'!AQ27+'Evolutive SFP'!#REF!)/2)</f>
        <v>#REF!</v>
      </c>
      <c r="CK11" s="34" t="e">
        <f>('Evolutitve SCI'!AR23+'Evolutitve SCI'!AR12)/(('Evolutive SFP'!AR27+'Evolutive SFP'!#REF!)/2)</f>
        <v>#REF!</v>
      </c>
      <c r="CL11" s="34" t="e">
        <f>('Evolutitve SCI'!AS23+'Evolutitve SCI'!AS12)/(('Evolutive SFP'!AS27+'Evolutive SFP'!#REF!)/2)</f>
        <v>#REF!</v>
      </c>
      <c r="CM11" s="34" t="e">
        <f>('Evolutitve SCI'!AT23+'Evolutitve SCI'!AT12)/(('Evolutive SFP'!AT27+'Evolutive SFP'!#REF!)/2)</f>
        <v>#REF!</v>
      </c>
      <c r="CN11" s="34" t="e">
        <f>('Evolutitve SCI'!AU23+'Evolutitve SCI'!AU12)/(('Evolutive SFP'!AU27+'Evolutive SFP'!#REF!)/2)</f>
        <v>#REF!</v>
      </c>
      <c r="CO11" s="34" t="e">
        <f>('Evolutitve SCI'!AV23+'Evolutitve SCI'!AV12)/(('Evolutive SFP'!AV27+'Evolutive SFP'!#REF!)/2)</f>
        <v>#REF!</v>
      </c>
    </row>
    <row r="12" spans="1:93" ht="15.75">
      <c r="A12" s="389" t="s">
        <v>193</v>
      </c>
      <c r="B12" s="3" t="s">
        <v>194</v>
      </c>
      <c r="C12" s="11" t="s">
        <v>195</v>
      </c>
      <c r="D12" s="34" t="e">
        <f>('Evolutive SFP'!#REF!)/('Evolutive SFP'!#REF!+'Evolutive SFP'!#REF!+'Evolutive SFP'!#REF!+'Evolutive SFP'!#REF!+'Evolutive SFP'!#REF!+'Evolutive SFP'!#REF!+'Evolutive SFP'!#REF!)</f>
        <v>#REF!</v>
      </c>
      <c r="E12" s="34" t="e">
        <f>('Evolutive SFP'!#REF!)/('Evolutive SFP'!#REF!+'Evolutive SFP'!#REF!+'Evolutive SFP'!#REF!+'Evolutive SFP'!#REF!+'Evolutive SFP'!#REF!+'Evolutive SFP'!#REF!+'Evolutive SFP'!#REF!)</f>
        <v>#REF!</v>
      </c>
      <c r="F12" s="34" t="e">
        <f>('Evolutive SFP'!#REF!)/('Evolutive SFP'!#REF!+'Evolutive SFP'!#REF!+'Evolutive SFP'!#REF!+'Evolutive SFP'!#REF!+'Evolutive SFP'!#REF!+'Evolutive SFP'!#REF!+'Evolutive SFP'!#REF!)</f>
        <v>#REF!</v>
      </c>
      <c r="G12" s="34" t="e">
        <f>('Evolutive SFP'!#REF!)/('Evolutive SFP'!#REF!+'Evolutive SFP'!#REF!+'Evolutive SFP'!#REF!+'Evolutive SFP'!#REF!+'Evolutive SFP'!#REF!+'Evolutive SFP'!#REF!+'Evolutive SFP'!#REF!)</f>
        <v>#REF!</v>
      </c>
      <c r="H12" s="34" t="e">
        <f>('Evolutive SFP'!#REF!)/('Evolutive SFP'!#REF!+'Evolutive SFP'!#REF!+'Evolutive SFP'!#REF!+'Evolutive SFP'!#REF!+'Evolutive SFP'!#REF!+'Evolutive SFP'!#REF!+'Evolutive SFP'!#REF!)</f>
        <v>#REF!</v>
      </c>
      <c r="I12" s="34" t="e">
        <f>('Evolutive SFP'!#REF!)/('Evolutive SFP'!#REF!+'Evolutive SFP'!#REF!+'Evolutive SFP'!#REF!+'Evolutive SFP'!#REF!+'Evolutive SFP'!#REF!+'Evolutive SFP'!#REF!+'Evolutive SFP'!#REF!)</f>
        <v>#REF!</v>
      </c>
      <c r="J12" s="34" t="e">
        <f>('Evolutive SFP'!#REF!)/('Evolutive SFP'!#REF!+'Evolutive SFP'!#REF!+'Evolutive SFP'!#REF!+'Evolutive SFP'!#REF!+'Evolutive SFP'!#REF!+'Evolutive SFP'!#REF!+'Evolutive SFP'!#REF!)</f>
        <v>#REF!</v>
      </c>
      <c r="K12" s="34" t="e">
        <f>('Evolutive SFP'!#REF!)/('Evolutive SFP'!#REF!+'Evolutive SFP'!#REF!+'Evolutive SFP'!#REF!+'Evolutive SFP'!#REF!+'Evolutive SFP'!#REF!+'Evolutive SFP'!#REF!+'Evolutive SFP'!#REF!)</f>
        <v>#REF!</v>
      </c>
      <c r="L12" s="34" t="e">
        <f>('Evolutive SFP'!#REF!)/('Evolutive SFP'!#REF!+'Evolutive SFP'!#REF!+'Evolutive SFP'!#REF!+'Evolutive SFP'!#REF!+'Evolutive SFP'!#REF!+'Evolutive SFP'!#REF!+'Evolutive SFP'!#REF!)</f>
        <v>#REF!</v>
      </c>
      <c r="M12" s="34" t="e">
        <f>('Evolutive SFP'!#REF!)/('Evolutive SFP'!#REF!+'Evolutive SFP'!#REF!+'Evolutive SFP'!#REF!+'Evolutive SFP'!#REF!+'Evolutive SFP'!#REF!+'Evolutive SFP'!#REF!+'Evolutive SFP'!#REF!)</f>
        <v>#REF!</v>
      </c>
      <c r="N12" s="34" t="e">
        <f>('Evolutive SFP'!#REF!)/('Evolutive SFP'!#REF!+'Evolutive SFP'!#REF!+'Evolutive SFP'!#REF!+'Evolutive SFP'!#REF!+'Evolutive SFP'!#REF!+'Evolutive SFP'!#REF!+'Evolutive SFP'!#REF!)</f>
        <v>#REF!</v>
      </c>
      <c r="O12" s="34" t="e">
        <f>('Evolutive SFP'!#REF!)/('Evolutive SFP'!#REF!+'Evolutive SFP'!#REF!+'Evolutive SFP'!#REF!+'Evolutive SFP'!#REF!+'Evolutive SFP'!#REF!+'Evolutive SFP'!#REF!+'Evolutive SFP'!#REF!)</f>
        <v>#REF!</v>
      </c>
      <c r="P12" s="34" t="e">
        <f>('Evolutive SFP'!#REF!)/('Evolutive SFP'!#REF!+'Evolutive SFP'!#REF!+'Evolutive SFP'!#REF!+'Evolutive SFP'!#REF!+'Evolutive SFP'!#REF!+'Evolutive SFP'!#REF!+'Evolutive SFP'!#REF!)</f>
        <v>#REF!</v>
      </c>
      <c r="Q12" s="34" t="e">
        <f>('Evolutive SFP'!#REF!)/('Evolutive SFP'!#REF!+'Evolutive SFP'!#REF!+'Evolutive SFP'!#REF!+'Evolutive SFP'!#REF!+'Evolutive SFP'!#REF!+'Evolutive SFP'!#REF!+'Evolutive SFP'!#REF!)</f>
        <v>#REF!</v>
      </c>
      <c r="R12" s="34" t="e">
        <f>('Evolutive SFP'!#REF!)/('Evolutive SFP'!#REF!+'Evolutive SFP'!#REF!+'Evolutive SFP'!#REF!+'Evolutive SFP'!#REF!+'Evolutive SFP'!#REF!+'Evolutive SFP'!#REF!+'Evolutive SFP'!#REF!)</f>
        <v>#REF!</v>
      </c>
      <c r="S12" s="38" t="e">
        <f>('Evolutive SFP'!#REF!)/('Evolutive SFP'!#REF!+'Evolutive SFP'!#REF!+'Evolutive SFP'!#REF!+'Evolutive SFP'!#REF!+'Evolutive SFP'!#REF!+'Evolutive SFP'!#REF!+'Evolutive SFP'!#REF!)</f>
        <v>#REF!</v>
      </c>
      <c r="T12" s="38" t="e">
        <f>('Evolutive SFP'!#REF!)/('Evolutive SFP'!#REF!+'Evolutive SFP'!#REF!+'Evolutive SFP'!#REF!+'Evolutive SFP'!#REF!+'Evolutive SFP'!#REF!+'Evolutive SFP'!#REF!+'Evolutive SFP'!#REF!)</f>
        <v>#REF!</v>
      </c>
      <c r="U12" s="38" t="e">
        <f>('Evolutive SFP'!#REF!)/('Evolutive SFP'!#REF!+'Evolutive SFP'!#REF!+'Evolutive SFP'!#REF!+'Evolutive SFP'!#REF!+'Evolutive SFP'!#REF!+'Evolutive SFP'!#REF!+'Evolutive SFP'!#REF!)</f>
        <v>#REF!</v>
      </c>
      <c r="V12" s="38" t="e">
        <f>('Evolutive SFP'!#REF!)/('Evolutive SFP'!#REF!+'Evolutive SFP'!#REF!+'Evolutive SFP'!#REF!+'Evolutive SFP'!#REF!+'Evolutive SFP'!#REF!+'Evolutive SFP'!#REF!+'Evolutive SFP'!#REF!)</f>
        <v>#REF!</v>
      </c>
      <c r="W12" s="38" t="e">
        <f>('Evolutive SFP'!#REF!)/('Evolutive SFP'!#REF!+'Evolutive SFP'!#REF!+'Evolutive SFP'!#REF!+'Evolutive SFP'!#REF!+'Evolutive SFP'!#REF!+'Evolutive SFP'!#REF!+'Evolutive SFP'!#REF!)</f>
        <v>#REF!</v>
      </c>
      <c r="X12" s="38" t="e">
        <f>('Evolutive SFP'!#REF!)/('Evolutive SFP'!#REF!+'Evolutive SFP'!#REF!+'Evolutive SFP'!#REF!+'Evolutive SFP'!#REF!+'Evolutive SFP'!#REF!+'Evolutive SFP'!#REF!+'Evolutive SFP'!#REF!)</f>
        <v>#REF!</v>
      </c>
      <c r="Y12" s="38" t="e">
        <f>('Evolutive SFP'!#REF!)/('Evolutive SFP'!#REF!+'Evolutive SFP'!#REF!+'Evolutive SFP'!#REF!+'Evolutive SFP'!#REF!+'Evolutive SFP'!#REF!+'Evolutive SFP'!#REF!+'Evolutive SFP'!#REF!)</f>
        <v>#REF!</v>
      </c>
      <c r="Z12" s="38" t="e">
        <f>('Evolutive SFP'!#REF!)/('Evolutive SFP'!#REF!+'Evolutive SFP'!#REF!+'Evolutive SFP'!#REF!+'Evolutive SFP'!#REF!+'Evolutive SFP'!#REF!+'Evolutive SFP'!#REF!+'Evolutive SFP'!#REF!)</f>
        <v>#REF!</v>
      </c>
      <c r="AA12" s="38" t="e">
        <f>('Evolutive SFP'!#REF!)/('Evolutive SFP'!#REF!+'Evolutive SFP'!#REF!+'Evolutive SFP'!#REF!+'Evolutive SFP'!#REF!+'Evolutive SFP'!#REF!+'Evolutive SFP'!#REF!+'Evolutive SFP'!#REF!)</f>
        <v>#REF!</v>
      </c>
      <c r="AB12" s="38" t="e">
        <f>('Evolutive SFP'!#REF!)/('Evolutive SFP'!#REF!+'Evolutive SFP'!#REF!+'Evolutive SFP'!#REF!+'Evolutive SFP'!#REF!+'Evolutive SFP'!#REF!+'Evolutive SFP'!#REF!+'Evolutive SFP'!#REF!)</f>
        <v>#REF!</v>
      </c>
      <c r="AC12" s="38" t="e">
        <f>('Evolutive SFP'!#REF!)/('Evolutive SFP'!#REF!+'Evolutive SFP'!#REF!+'Evolutive SFP'!#REF!+'Evolutive SFP'!#REF!+'Evolutive SFP'!#REF!+'Evolutive SFP'!#REF!+'Evolutive SFP'!#REF!)</f>
        <v>#REF!</v>
      </c>
      <c r="AD12" s="38" t="e">
        <f>('Evolutive SFP'!#REF!)/('Evolutive SFP'!#REF!+'Evolutive SFP'!#REF!+'Evolutive SFP'!#REF!+'Evolutive SFP'!#REF!+'Evolutive SFP'!#REF!+'Evolutive SFP'!#REF!+'Evolutive SFP'!#REF!)</f>
        <v>#REF!</v>
      </c>
      <c r="AE12" s="38" t="e">
        <f>('Evolutive SFP'!#REF!)/('Evolutive SFP'!#REF!+'Evolutive SFP'!#REF!+'Evolutive SFP'!#REF!+'Evolutive SFP'!#REF!+'Evolutive SFP'!#REF!+'Evolutive SFP'!#REF!+'Evolutive SFP'!#REF!)</f>
        <v>#REF!</v>
      </c>
      <c r="AF12" s="38" t="e">
        <f>('Evolutive SFP'!#REF!)/('Evolutive SFP'!#REF!+'Evolutive SFP'!#REF!+'Evolutive SFP'!#REF!+'Evolutive SFP'!#REF!+'Evolutive SFP'!#REF!+'Evolutive SFP'!#REF!+'Evolutive SFP'!#REF!)</f>
        <v>#REF!</v>
      </c>
      <c r="AG12" s="38" t="e">
        <f>('Evolutive SFP'!#REF!)/('Evolutive SFP'!#REF!+'Evolutive SFP'!#REF!+'Evolutive SFP'!#REF!+'Evolutive SFP'!#REF!+'Evolutive SFP'!#REF!+'Evolutive SFP'!#REF!+'Evolutive SFP'!#REF!)</f>
        <v>#REF!</v>
      </c>
      <c r="AH12" s="38" t="e">
        <f>('Evolutive SFP'!#REF!)/('Evolutive SFP'!#REF!+'Evolutive SFP'!#REF!+'Evolutive SFP'!#REF!+'Evolutive SFP'!#REF!+'Evolutive SFP'!#REF!+'Evolutive SFP'!#REF!+'Evolutive SFP'!#REF!)</f>
        <v>#REF!</v>
      </c>
      <c r="AI12" s="38" t="e">
        <f>('Evolutive SFP'!#REF!)/('Evolutive SFP'!#REF!+'Evolutive SFP'!#REF!+'Evolutive SFP'!#REF!+'Evolutive SFP'!#REF!+'Evolutive SFP'!#REF!+'Evolutive SFP'!#REF!+'Evolutive SFP'!#REF!)</f>
        <v>#REF!</v>
      </c>
      <c r="AJ12" s="38" t="e">
        <f>('Evolutive SFP'!#REF!)/('Evolutive SFP'!#REF!+'Evolutive SFP'!#REF!+'Evolutive SFP'!#REF!+'Evolutive SFP'!#REF!+'Evolutive SFP'!#REF!+'Evolutive SFP'!#REF!+'Evolutive SFP'!#REF!)</f>
        <v>#REF!</v>
      </c>
      <c r="AK12" s="38" t="e">
        <f>('Evolutive SFP'!#REF!)/('Evolutive SFP'!#REF!+'Evolutive SFP'!#REF!+'Evolutive SFP'!#REF!+'Evolutive SFP'!#REF!+'Evolutive SFP'!#REF!+'Evolutive SFP'!#REF!+'Evolutive SFP'!#REF!)</f>
        <v>#REF!</v>
      </c>
      <c r="AL12" s="38" t="e">
        <f>('Evolutive SFP'!#REF!)/('Evolutive SFP'!#REF!+'Evolutive SFP'!#REF!+'Evolutive SFP'!#REF!+'Evolutive SFP'!#REF!+'Evolutive SFP'!#REF!+'Evolutive SFP'!#REF!+'Evolutive SFP'!#REF!)</f>
        <v>#REF!</v>
      </c>
      <c r="AM12" s="38" t="e">
        <f>('Evolutive SFP'!#REF!)/('Evolutive SFP'!#REF!+'Evolutive SFP'!#REF!+'Evolutive SFP'!#REF!+'Evolutive SFP'!#REF!+'Evolutive SFP'!#REF!+'Evolutive SFP'!#REF!+'Evolutive SFP'!#REF!)</f>
        <v>#REF!</v>
      </c>
      <c r="AN12" s="38" t="e">
        <f>('Evolutive SFP'!#REF!)/('Evolutive SFP'!#REF!+'Evolutive SFP'!#REF!+'Evolutive SFP'!#REF!+'Evolutive SFP'!#REF!+'Evolutive SFP'!#REF!+'Evolutive SFP'!#REF!+'Evolutive SFP'!#REF!)</f>
        <v>#REF!</v>
      </c>
      <c r="AO12" s="38" t="e">
        <f>('Evolutive SFP'!#REF!)/('Evolutive SFP'!#REF!+'Evolutive SFP'!#REF!+'Evolutive SFP'!#REF!+'Evolutive SFP'!#REF!+'Evolutive SFP'!#REF!+'Evolutive SFP'!#REF!+'Evolutive SFP'!#REF!)</f>
        <v>#REF!</v>
      </c>
      <c r="AP12" s="38" t="e">
        <f>('Evolutive SFP'!#REF!)/('Evolutive SFP'!#REF!+'Evolutive SFP'!#REF!+'Evolutive SFP'!#REF!+'Evolutive SFP'!#REF!+'Evolutive SFP'!#REF!+'Evolutive SFP'!#REF!+'Evolutive SFP'!#REF!)</f>
        <v>#REF!</v>
      </c>
      <c r="AQ12" s="38" t="e">
        <f>('Evolutive SFP'!#REF!)/('Evolutive SFP'!#REF!+'Evolutive SFP'!#REF!+'Evolutive SFP'!#REF!+'Evolutive SFP'!#REF!+'Evolutive SFP'!#REF!+'Evolutive SFP'!#REF!+'Evolutive SFP'!#REF!)</f>
        <v>#REF!</v>
      </c>
      <c r="AR12" s="38" t="e">
        <f>('Evolutive SFP'!#REF!)/('Evolutive SFP'!#REF!+'Evolutive SFP'!#REF!+'Evolutive SFP'!#REF!+'Evolutive SFP'!#REF!+'Evolutive SFP'!#REF!+'Evolutive SFP'!#REF!+'Evolutive SFP'!#REF!)</f>
        <v>#REF!</v>
      </c>
      <c r="AS12" s="38" t="e">
        <f>('Evolutive SFP'!#REF!)/('Evolutive SFP'!#REF!+'Evolutive SFP'!#REF!+'Evolutive SFP'!#REF!+'Evolutive SFP'!#REF!+'Evolutive SFP'!#REF!+'Evolutive SFP'!#REF!+'Evolutive SFP'!#REF!)</f>
        <v>#REF!</v>
      </c>
      <c r="AT12" s="38">
        <f>('Evolutive SFP'!B4)/('Evolutive SFP'!B28+'Evolutive SFP'!B29+'Evolutive SFP'!B32+'Evolutive SFP'!B33+'Evolutive SFP'!B34+'Evolutive SFP'!B35+'Evolutive SFP'!B36)</f>
        <v>17.936371320605154</v>
      </c>
      <c r="AU12" s="38">
        <f>('Evolutive SFP'!C4)/('Evolutive SFP'!C28+'Evolutive SFP'!C29+'Evolutive SFP'!C32+'Evolutive SFP'!C33+'Evolutive SFP'!C34+'Evolutive SFP'!C35+'Evolutive SFP'!C36)</f>
        <v>1.0580455126420276</v>
      </c>
      <c r="AV12" s="38">
        <f>('Evolutive SFP'!D4)/('Evolutive SFP'!D28+'Evolutive SFP'!D29+'Evolutive SFP'!D32+'Evolutive SFP'!D33+'Evolutive SFP'!D34+'Evolutive SFP'!D35+'Evolutive SFP'!D36)</f>
        <v>1.1334381001596427</v>
      </c>
      <c r="AW12" s="38">
        <f>('Evolutive SFP'!E4)/('Evolutive SFP'!E28+'Evolutive SFP'!E29+'Evolutive SFP'!E32+'Evolutive SFP'!E33+'Evolutive SFP'!E34+'Evolutive SFP'!E35+'Evolutive SFP'!E36)</f>
        <v>1.4187756170752293</v>
      </c>
      <c r="AX12" s="38">
        <f>('Evolutive SFP'!F4)/('Evolutive SFP'!F28+'Evolutive SFP'!F29+'Evolutive SFP'!F32+'Evolutive SFP'!F33+'Evolutive SFP'!F34+'Evolutive SFP'!F35+'Evolutive SFP'!F36)</f>
        <v>1.5680744935289084</v>
      </c>
      <c r="AY12" s="38">
        <f>('Evolutive SFP'!G4)/('Evolutive SFP'!G28+'Evolutive SFP'!G29+'Evolutive SFP'!G32+'Evolutive SFP'!G33+'Evolutive SFP'!G34+'Evolutive SFP'!G35+'Evolutive SFP'!G36)</f>
        <v>1.8660428175492394</v>
      </c>
      <c r="AZ12" s="38">
        <f>('Evolutive SFP'!H4)/('Evolutive SFP'!H28+'Evolutive SFP'!H29+'Evolutive SFP'!H32+'Evolutive SFP'!H33+'Evolutive SFP'!H34+'Evolutive SFP'!H35+'Evolutive SFP'!H36)</f>
        <v>1.870624791483477</v>
      </c>
      <c r="BA12" s="38" t="e">
        <f>('Evolutive SFP'!#REF!)/('Evolutive SFP'!#REF!+'Evolutive SFP'!#REF!+'Evolutive SFP'!#REF!+'Evolutive SFP'!#REF!+'Evolutive SFP'!#REF!+'Evolutive SFP'!#REF!+'Evolutive SFP'!#REF!)</f>
        <v>#REF!</v>
      </c>
      <c r="BB12" s="38">
        <f>('Evolutive SFP'!I4)/('Evolutive SFP'!I28+'Evolutive SFP'!I29+'Evolutive SFP'!I32+'Evolutive SFP'!I33+'Evolutive SFP'!I34+'Evolutive SFP'!I35+'Evolutive SFP'!I36)</f>
        <v>1.5891724047141935</v>
      </c>
      <c r="BC12" s="38">
        <f>('Evolutive SFP'!J4)/('Evolutive SFP'!J28+'Evolutive SFP'!J29+'Evolutive SFP'!J32+'Evolutive SFP'!J33+'Evolutive SFP'!J34+'Evolutive SFP'!J35+'Evolutive SFP'!J36)</f>
        <v>1.4407111713713232</v>
      </c>
      <c r="BD12" s="38">
        <f>('Evolutive SFP'!K4)/('Evolutive SFP'!K28+'Evolutive SFP'!K29+'Evolutive SFP'!K32+'Evolutive SFP'!K33+'Evolutive SFP'!K34+'Evolutive SFP'!K35+'Evolutive SFP'!K36)</f>
        <v>1.3837657908111489</v>
      </c>
      <c r="BE12" s="38">
        <f>('Evolutive SFP'!L4)/('Evolutive SFP'!L28+'Evolutive SFP'!L29+'Evolutive SFP'!L32+'Evolutive SFP'!L33+'Evolutive SFP'!L34+'Evolutive SFP'!L35+'Evolutive SFP'!L36)</f>
        <v>1.3793272494274249</v>
      </c>
      <c r="BF12" s="38">
        <f>('Evolutive SFP'!M4)/('Evolutive SFP'!M28+'Evolutive SFP'!M29+'Evolutive SFP'!M32+'Evolutive SFP'!M33+'Evolutive SFP'!M34+'Evolutive SFP'!M35+'Evolutive SFP'!M36)</f>
        <v>1.3367135732600695</v>
      </c>
      <c r="BG12" s="38">
        <f>('Evolutive SFP'!N4)/('Evolutive SFP'!N28+'Evolutive SFP'!N29+'Evolutive SFP'!N32+'Evolutive SFP'!N33+'Evolutive SFP'!N34+'Evolutive SFP'!N35+'Evolutive SFP'!N36)</f>
        <v>1.3809961712522294</v>
      </c>
      <c r="BH12" s="38">
        <f>('Evolutive SFP'!O4)/('Evolutive SFP'!O28+'Evolutive SFP'!O29+'Evolutive SFP'!O32+'Evolutive SFP'!O33+'Evolutive SFP'!O34+'Evolutive SFP'!O35+'Evolutive SFP'!O36)</f>
        <v>1.2861767179593684</v>
      </c>
      <c r="BI12" s="38">
        <f>('Evolutive SFP'!P4)/('Evolutive SFP'!P28+'Evolutive SFP'!P29+'Evolutive SFP'!P32+'Evolutive SFP'!P33+'Evolutive SFP'!P34+'Evolutive SFP'!P35+'Evolutive SFP'!P36)</f>
        <v>1.3042039744847378</v>
      </c>
      <c r="BJ12" s="38">
        <f>('Evolutive SFP'!Q4)/('Evolutive SFP'!Q28+'Evolutive SFP'!Q29+'Evolutive SFP'!Q32+'Evolutive SFP'!Q33+'Evolutive SFP'!Q34+'Evolutive SFP'!Q35+'Evolutive SFP'!Q36)</f>
        <v>1.4672069667102299</v>
      </c>
      <c r="BK12" s="38">
        <f>('Evolutive SFP'!R4)/('Evolutive SFP'!R28+'Evolutive SFP'!R29+'Evolutive SFP'!R32+'Evolutive SFP'!R33+'Evolutive SFP'!R34+'Evolutive SFP'!R35+'Evolutive SFP'!R36)</f>
        <v>1.577052012949917</v>
      </c>
      <c r="BL12" s="38">
        <f>('Evolutive SFP'!S4)/('Evolutive SFP'!S28+'Evolutive SFP'!S29+'Evolutive SFP'!S32+'Evolutive SFP'!S33+'Evolutive SFP'!S34+'Evolutive SFP'!S35+'Evolutive SFP'!S36)</f>
        <v>1.6115742998536948</v>
      </c>
      <c r="BM12" s="38">
        <f>('Evolutive SFP'!T4)/('Evolutive SFP'!T28+'Evolutive SFP'!T29+'Evolutive SFP'!T32+'Evolutive SFP'!T33+'Evolutive SFP'!T34+'Evolutive SFP'!T35+'Evolutive SFP'!T36)</f>
        <v>1.6356421700390447</v>
      </c>
      <c r="BN12" s="38">
        <f>('Evolutive SFP'!U4)/('Evolutive SFP'!U28+'Evolutive SFP'!U29+'Evolutive SFP'!U32+'Evolutive SFP'!U33+'Evolutive SFP'!U34+'Evolutive SFP'!U35+'Evolutive SFP'!U36)</f>
        <v>1.5304915135290653</v>
      </c>
      <c r="BO12" s="38">
        <f>('Evolutive SFP'!V4)/('Evolutive SFP'!V28+'Evolutive SFP'!V29+'Evolutive SFP'!V32+'Evolutive SFP'!V33+'Evolutive SFP'!V34+'Evolutive SFP'!V35+'Evolutive SFP'!V36)</f>
        <v>1.5083168624010792</v>
      </c>
      <c r="BP12" s="38">
        <f>('Evolutive SFP'!W4)/('Evolutive SFP'!W28+'Evolutive SFP'!W29+'Evolutive SFP'!W32+'Evolutive SFP'!W33+'Evolutive SFP'!W34+'Evolutive SFP'!W35+'Evolutive SFP'!W36)</f>
        <v>1.5535800888073421</v>
      </c>
      <c r="BQ12" s="38">
        <f>('Evolutive SFP'!X4)/('Evolutive SFP'!X28+'Evolutive SFP'!X29+'Evolutive SFP'!X32+'Evolutive SFP'!X33+'Evolutive SFP'!X34+'Evolutive SFP'!X35+'Evolutive SFP'!X36)</f>
        <v>1.6849533008856166</v>
      </c>
      <c r="BR12" s="38">
        <f>('Evolutive SFP'!Y4)/('Evolutive SFP'!Y28+'Evolutive SFP'!Y29+'Evolutive SFP'!Y32+'Evolutive SFP'!Y33+'Evolutive SFP'!Y34+'Evolutive SFP'!Y35+'Evolutive SFP'!Y36)</f>
        <v>1.6791195898866333</v>
      </c>
      <c r="BS12" s="38">
        <f>('Evolutive SFP'!Z4)/('Evolutive SFP'!Z28+'Evolutive SFP'!Z29+'Evolutive SFP'!Z32+'Evolutive SFP'!Z33+'Evolutive SFP'!Z34+'Evolutive SFP'!Z35+'Evolutive SFP'!Z36)</f>
        <v>1.7073636959964307</v>
      </c>
      <c r="BT12" s="38">
        <f>('Evolutive SFP'!AA4)/('Evolutive SFP'!AA28+'Evolutive SFP'!AA29+'Evolutive SFP'!AA32+'Evolutive SFP'!AA33+'Evolutive SFP'!AA34+'Evolutive SFP'!AA35+'Evolutive SFP'!AA36)</f>
        <v>1.7271889499390971</v>
      </c>
      <c r="BU12" s="38">
        <f>('Evolutive SFP'!AB4)/('Evolutive SFP'!AB28+'Evolutive SFP'!AB29+'Evolutive SFP'!AB32+'Evolutive SFP'!AB33+'Evolutive SFP'!AB34+'Evolutive SFP'!AB35+'Evolutive SFP'!AB36)</f>
        <v>1.7508666834805426</v>
      </c>
      <c r="BV12" s="38">
        <f>('Evolutive SFP'!AC4)/('Evolutive SFP'!AC28+'Evolutive SFP'!AC29+'Evolutive SFP'!AC32+'Evolutive SFP'!AC33+'Evolutive SFP'!AC34+'Evolutive SFP'!AC35+'Evolutive SFP'!AC36)</f>
        <v>1.8156461868825879</v>
      </c>
      <c r="BW12" s="38">
        <f>('Evolutive SFP'!AD4)/('Evolutive SFP'!AD28+'Evolutive SFP'!AD29+'Evolutive SFP'!AD32+'Evolutive SFP'!AD33+'Evolutive SFP'!AD34+'Evolutive SFP'!AD35+'Evolutive SFP'!AD36)</f>
        <v>1.5917596475048594</v>
      </c>
      <c r="BX12" s="38">
        <f>('Evolutive SFP'!AE4)/('Evolutive SFP'!AE28+'Evolutive SFP'!AE29+'Evolutive SFP'!AE32+'Evolutive SFP'!AE33+'Evolutive SFP'!AE34+'Evolutive SFP'!AE35+'Evolutive SFP'!AE36)</f>
        <v>1.4813512073072224</v>
      </c>
      <c r="BY12" s="38">
        <f>('Evolutive SFP'!AF4)/('Evolutive SFP'!AF28+'Evolutive SFP'!AF29+'Evolutive SFP'!AF32+'Evolutive SFP'!AF33+'Evolutive SFP'!AF34+'Evolutive SFP'!AF35+'Evolutive SFP'!AF36)</f>
        <v>2.5215432773763298</v>
      </c>
      <c r="BZ12" s="38">
        <f>('Evolutive SFP'!AG4)/('Evolutive SFP'!AG28+'Evolutive SFP'!AG29+'Evolutive SFP'!AG32+'Evolutive SFP'!AG33+'Evolutive SFP'!AG34+'Evolutive SFP'!AG35+'Evolutive SFP'!AG36)</f>
        <v>2.6293588794076235</v>
      </c>
      <c r="CA12" s="38">
        <f>('Evolutive SFP'!AH4)/('Evolutive SFP'!AH28+'Evolutive SFP'!AH29+'Evolutive SFP'!AH32+'Evolutive SFP'!AH33+'Evolutive SFP'!AH34+'Evolutive SFP'!AH35+'Evolutive SFP'!AH36)</f>
        <v>2.4555998064848024</v>
      </c>
      <c r="CB12" s="38">
        <f>('Evolutive SFP'!AI4)/('Evolutive SFP'!AI28+'Evolutive SFP'!AI29+'Evolutive SFP'!AI32+'Evolutive SFP'!AI33+'Evolutive SFP'!AI34+'Evolutive SFP'!AI35+'Evolutive SFP'!AI36)</f>
        <v>2.5231809145435697</v>
      </c>
      <c r="CC12" s="38">
        <f>('Evolutive SFP'!AJ4)/('Evolutive SFP'!AJ28+'Evolutive SFP'!AJ29+'Evolutive SFP'!AJ32+'Evolutive SFP'!AJ33+'Evolutive SFP'!AJ34+'Evolutive SFP'!AJ35+'Evolutive SFP'!AJ36)</f>
        <v>2.5059905693504159</v>
      </c>
      <c r="CD12" s="38">
        <f>('Evolutive SFP'!AK4)/('Evolutive SFP'!AK28+'Evolutive SFP'!AK29+'Evolutive SFP'!AK32+'Evolutive SFP'!AK33+'Evolutive SFP'!AK34+'Evolutive SFP'!AK35+'Evolutive SFP'!AK36)</f>
        <v>2.3513270425555919</v>
      </c>
      <c r="CE12" s="38">
        <f>('Evolutive SFP'!AL4)/('Evolutive SFP'!AL28+'Evolutive SFP'!AL29+'Evolutive SFP'!AL32+'Evolutive SFP'!AL33+'Evolutive SFP'!AL34+'Evolutive SFP'!AL35+'Evolutive SFP'!AL36)</f>
        <v>2.3536938148874773</v>
      </c>
      <c r="CF12" s="38">
        <f>('Evolutive SFP'!AM4)/('Evolutive SFP'!AM28+'Evolutive SFP'!AM29+'Evolutive SFP'!AM32+'Evolutive SFP'!AM33+'Evolutive SFP'!AM34+'Evolutive SFP'!AM35+'Evolutive SFP'!AM36)</f>
        <v>2.2367162762207609</v>
      </c>
      <c r="CG12" s="38">
        <f>('Evolutive SFP'!AN4)/('Evolutive SFP'!AN28+'Evolutive SFP'!AN29+'Evolutive SFP'!AN32+'Evolutive SFP'!AN33+'Evolutive SFP'!AN34+'Evolutive SFP'!AN35+'Evolutive SFP'!AN36)</f>
        <v>1.9169104279416025</v>
      </c>
      <c r="CH12" s="38">
        <f>('Evolutive SFP'!AO4)/('Evolutive SFP'!AO28+'Evolutive SFP'!AO29+'Evolutive SFP'!AO32+'Evolutive SFP'!AO33+'Evolutive SFP'!AO34+'Evolutive SFP'!AO35+'Evolutive SFP'!AO36)</f>
        <v>1.9199530098521922</v>
      </c>
      <c r="CI12" s="38">
        <f>('Evolutive SFP'!AP4)/('Evolutive SFP'!AP28+'Evolutive SFP'!AP29+'Evolutive SFP'!AP32+'Evolutive SFP'!AP33+'Evolutive SFP'!AP34+'Evolutive SFP'!AP35+'Evolutive SFP'!AP36)</f>
        <v>1.912874830122447</v>
      </c>
      <c r="CJ12" s="38">
        <f>('Evolutive SFP'!AQ4)/('Evolutive SFP'!AQ28+'Evolutive SFP'!AQ29+'Evolutive SFP'!AQ32+'Evolutive SFP'!AQ33+'Evolutive SFP'!AQ34+'Evolutive SFP'!AQ35+'Evolutive SFP'!AQ36)</f>
        <v>2.2642152584051614</v>
      </c>
      <c r="CK12" s="38">
        <f>('Evolutive SFP'!AR4)/('Evolutive SFP'!AR28+'Evolutive SFP'!AR29+'Evolutive SFP'!AR32+'Evolutive SFP'!AR33+'Evolutive SFP'!AR34+'Evolutive SFP'!AR35+'Evolutive SFP'!AR36)</f>
        <v>2.4687237565650322</v>
      </c>
      <c r="CL12" s="38">
        <f>('Evolutive SFP'!AS4)/('Evolutive SFP'!AS28+'Evolutive SFP'!AS29+'Evolutive SFP'!AS32+'Evolutive SFP'!AS33+'Evolutive SFP'!AS34+'Evolutive SFP'!AS35+'Evolutive SFP'!AS36)</f>
        <v>2.3459113121990014</v>
      </c>
      <c r="CM12" s="38">
        <f>('Evolutive SFP'!AT4)/('Evolutive SFP'!AT28+'Evolutive SFP'!AT29+'Evolutive SFP'!AT32+'Evolutive SFP'!AT33+'Evolutive SFP'!AT34+'Evolutive SFP'!AT35+'Evolutive SFP'!AT36)</f>
        <v>1.6862975326180794</v>
      </c>
      <c r="CN12" s="38">
        <f>('Evolutive SFP'!AU4)/('Evolutive SFP'!AU28+'Evolutive SFP'!AU29+'Evolutive SFP'!AU32+'Evolutive SFP'!AU33+'Evolutive SFP'!AU34+'Evolutive SFP'!AU35+'Evolutive SFP'!AU36)</f>
        <v>1.4662549100225639</v>
      </c>
      <c r="CO12" s="38">
        <f>('Evolutive SFP'!AV4)/('Evolutive SFP'!AV28+'Evolutive SFP'!AV29+'Evolutive SFP'!AV32+'Evolutive SFP'!AV33+'Evolutive SFP'!AV34+'Evolutive SFP'!AV35+'Evolutive SFP'!AV36)</f>
        <v>1.1893497720199571</v>
      </c>
    </row>
    <row r="13" spans="1:93" ht="15.75">
      <c r="A13" s="389"/>
      <c r="B13" s="3" t="s">
        <v>196</v>
      </c>
      <c r="C13" s="30"/>
      <c r="D13" s="34" t="e">
        <f>('Evolutive SFP'!#REF!+'Evolutive SFP'!#REF!)/('Evolutive SFP'!#REF!+'Evolutive SFP'!#REF!+'Evolutive SFP'!#REF!+'Evolutive SFP'!#REF!+'Evolutive SFP'!#REF!+'Evolutive SFP'!#REF!)</f>
        <v>#REF!</v>
      </c>
      <c r="E13" s="34" t="e">
        <f>('Evolutive SFP'!#REF!+'Evolutive SFP'!#REF!)/('Evolutive SFP'!#REF!+'Evolutive SFP'!#REF!+'Evolutive SFP'!#REF!+'Evolutive SFP'!#REF!+'Evolutive SFP'!#REF!+'Evolutive SFP'!#REF!)</f>
        <v>#REF!</v>
      </c>
      <c r="F13" s="34" t="e">
        <f>('Evolutive SFP'!#REF!+'Evolutive SFP'!#REF!)/('Evolutive SFP'!#REF!+'Evolutive SFP'!#REF!+'Evolutive SFP'!#REF!+'Evolutive SFP'!#REF!+'Evolutive SFP'!#REF!+'Evolutive SFP'!#REF!)</f>
        <v>#REF!</v>
      </c>
      <c r="G13" s="34" t="e">
        <f>('Evolutive SFP'!#REF!+'Evolutive SFP'!#REF!)/('Evolutive SFP'!#REF!+'Evolutive SFP'!#REF!+'Evolutive SFP'!#REF!+'Evolutive SFP'!#REF!+'Evolutive SFP'!#REF!+'Evolutive SFP'!#REF!)</f>
        <v>#REF!</v>
      </c>
      <c r="H13" s="34" t="e">
        <f>('Evolutive SFP'!#REF!+'Evolutive SFP'!#REF!)/('Evolutive SFP'!#REF!+'Evolutive SFP'!#REF!+'Evolutive SFP'!#REF!+'Evolutive SFP'!#REF!+'Evolutive SFP'!#REF!+'Evolutive SFP'!#REF!)</f>
        <v>#REF!</v>
      </c>
      <c r="I13" s="34" t="e">
        <f>('Evolutive SFP'!#REF!+'Evolutive SFP'!#REF!)/('Evolutive SFP'!#REF!+'Evolutive SFP'!#REF!+'Evolutive SFP'!#REF!+'Evolutive SFP'!#REF!+'Evolutive SFP'!#REF!+'Evolutive SFP'!#REF!)</f>
        <v>#REF!</v>
      </c>
      <c r="J13" s="34" t="e">
        <f>('Evolutive SFP'!#REF!+'Evolutive SFP'!#REF!)/('Evolutive SFP'!#REF!+'Evolutive SFP'!#REF!+'Evolutive SFP'!#REF!+'Evolutive SFP'!#REF!+'Evolutive SFP'!#REF!+'Evolutive SFP'!#REF!)</f>
        <v>#REF!</v>
      </c>
      <c r="K13" s="34" t="e">
        <f>('Evolutive SFP'!#REF!+'Evolutive SFP'!#REF!)/('Evolutive SFP'!#REF!+'Evolutive SFP'!#REF!+'Evolutive SFP'!#REF!+'Evolutive SFP'!#REF!+'Evolutive SFP'!#REF!+'Evolutive SFP'!#REF!)</f>
        <v>#REF!</v>
      </c>
      <c r="L13" s="34" t="e">
        <f>('Evolutive SFP'!#REF!+'Evolutive SFP'!#REF!)/('Evolutive SFP'!#REF!+'Evolutive SFP'!#REF!+'Evolutive SFP'!#REF!+'Evolutive SFP'!#REF!+'Evolutive SFP'!#REF!+'Evolutive SFP'!#REF!)</f>
        <v>#REF!</v>
      </c>
      <c r="M13" s="34" t="e">
        <f>('Evolutive SFP'!#REF!+'Evolutive SFP'!#REF!)/('Evolutive SFP'!#REF!+'Evolutive SFP'!#REF!+'Evolutive SFP'!#REF!+'Evolutive SFP'!#REF!+'Evolutive SFP'!#REF!+'Evolutive SFP'!#REF!)</f>
        <v>#REF!</v>
      </c>
      <c r="N13" s="34" t="e">
        <f>('Evolutive SFP'!#REF!+'Evolutive SFP'!#REF!)/('Evolutive SFP'!#REF!+'Evolutive SFP'!#REF!+'Evolutive SFP'!#REF!+'Evolutive SFP'!#REF!+'Evolutive SFP'!#REF!+'Evolutive SFP'!#REF!)</f>
        <v>#REF!</v>
      </c>
      <c r="O13" s="34" t="e">
        <f>('Evolutive SFP'!#REF!+'Evolutive SFP'!#REF!)/('Evolutive SFP'!#REF!+'Evolutive SFP'!#REF!+'Evolutive SFP'!#REF!+'Evolutive SFP'!#REF!+'Evolutive SFP'!#REF!+'Evolutive SFP'!#REF!)</f>
        <v>#REF!</v>
      </c>
      <c r="P13" s="34" t="e">
        <f>'Evolutive SFP'!#REF!/('Evolutive SFP'!#REF!+'Evolutive SFP'!#REF!)</f>
        <v>#REF!</v>
      </c>
      <c r="Q13" s="34" t="e">
        <f>'Evolutive SFP'!#REF!/('Evolutive SFP'!#REF!+'Evolutive SFP'!#REF!)</f>
        <v>#REF!</v>
      </c>
      <c r="R13" s="34" t="e">
        <f>'Evolutive SFP'!#REF!/('Evolutive SFP'!#REF!+'Evolutive SFP'!#REF!)</f>
        <v>#REF!</v>
      </c>
      <c r="S13" s="38" t="e">
        <f>'Evolutive SFP'!#REF!/('Evolutive SFP'!#REF!+'Evolutive SFP'!#REF!)</f>
        <v>#REF!</v>
      </c>
      <c r="T13" s="38" t="e">
        <f>'Evolutive SFP'!#REF!/('Evolutive SFP'!#REF!+'Evolutive SFP'!#REF!)</f>
        <v>#REF!</v>
      </c>
      <c r="U13" s="38" t="e">
        <f>'Evolutive SFP'!#REF!/('Evolutive SFP'!#REF!+'Evolutive SFP'!#REF!)</f>
        <v>#REF!</v>
      </c>
      <c r="V13" s="38" t="e">
        <f>'Evolutive SFP'!#REF!/('Evolutive SFP'!#REF!+'Evolutive SFP'!#REF!)</f>
        <v>#REF!</v>
      </c>
      <c r="W13" s="38" t="e">
        <f>'Evolutive SFP'!#REF!/('Evolutive SFP'!#REF!+'Evolutive SFP'!#REF!)</f>
        <v>#REF!</v>
      </c>
      <c r="X13" s="38" t="e">
        <f>'Evolutive SFP'!#REF!/('Evolutive SFP'!#REF!+'Evolutive SFP'!#REF!)</f>
        <v>#REF!</v>
      </c>
      <c r="Y13" s="38" t="e">
        <f>'Evolutive SFP'!#REF!/('Evolutive SFP'!#REF!+'Evolutive SFP'!#REF!)</f>
        <v>#REF!</v>
      </c>
      <c r="Z13" s="38" t="e">
        <f>'Evolutive SFP'!#REF!/('Evolutive SFP'!#REF!+'Evolutive SFP'!#REF!)</f>
        <v>#REF!</v>
      </c>
      <c r="AA13" s="38" t="e">
        <f>'Evolutive SFP'!#REF!/('Evolutive SFP'!#REF!+'Evolutive SFP'!#REF!)</f>
        <v>#REF!</v>
      </c>
      <c r="AB13" s="38" t="e">
        <f>'Evolutive SFP'!#REF!/('Evolutive SFP'!#REF!+'Evolutive SFP'!#REF!)</f>
        <v>#REF!</v>
      </c>
      <c r="AC13" s="38" t="e">
        <f>'Evolutive SFP'!#REF!/('Evolutive SFP'!#REF!+'Evolutive SFP'!#REF!)</f>
        <v>#REF!</v>
      </c>
      <c r="AD13" s="38" t="e">
        <f>'Evolutive SFP'!#REF!/('Evolutive SFP'!#REF!+'Evolutive SFP'!#REF!)</f>
        <v>#REF!</v>
      </c>
      <c r="AE13" s="38" t="e">
        <f>'Evolutive SFP'!#REF!/('Evolutive SFP'!#REF!+'Evolutive SFP'!#REF!)</f>
        <v>#REF!</v>
      </c>
      <c r="AF13" s="38" t="e">
        <f>'Evolutive SFP'!#REF!/('Evolutive SFP'!#REF!+'Evolutive SFP'!#REF!)</f>
        <v>#REF!</v>
      </c>
      <c r="AG13" s="38" t="e">
        <f>'Evolutive SFP'!#REF!/('Evolutive SFP'!#REF!+'Evolutive SFP'!#REF!)</f>
        <v>#REF!</v>
      </c>
      <c r="AH13" s="38" t="e">
        <f>'Evolutive SFP'!#REF!/('Evolutive SFP'!#REF!+'Evolutive SFP'!#REF!)</f>
        <v>#REF!</v>
      </c>
      <c r="AI13" s="38" t="e">
        <f>'Evolutive SFP'!#REF!/('Evolutive SFP'!#REF!+'Evolutive SFP'!#REF!)</f>
        <v>#REF!</v>
      </c>
      <c r="AJ13" s="38" t="e">
        <f>'Evolutive SFP'!#REF!/('Evolutive SFP'!#REF!+'Evolutive SFP'!#REF!)</f>
        <v>#REF!</v>
      </c>
      <c r="AK13" s="38" t="e">
        <f>'Evolutive SFP'!#REF!/('Evolutive SFP'!#REF!+'Evolutive SFP'!#REF!)</f>
        <v>#REF!</v>
      </c>
      <c r="AL13" s="38" t="e">
        <f>'Evolutive SFP'!#REF!/('Evolutive SFP'!#REF!+'Evolutive SFP'!#REF!)</f>
        <v>#REF!</v>
      </c>
      <c r="AM13" s="38" t="e">
        <f>'Evolutive SFP'!#REF!/('Evolutive SFP'!#REF!+'Evolutive SFP'!#REF!)</f>
        <v>#REF!</v>
      </c>
      <c r="AN13" s="38" t="e">
        <f>'Evolutive SFP'!#REF!/('Evolutive SFP'!#REF!+'Evolutive SFP'!#REF!)</f>
        <v>#REF!</v>
      </c>
      <c r="AO13" s="38" t="e">
        <f>'Evolutive SFP'!#REF!/('Evolutive SFP'!#REF!+'Evolutive SFP'!#REF!)</f>
        <v>#REF!</v>
      </c>
      <c r="AP13" s="38" t="e">
        <f>'Evolutive SFP'!#REF!/('Evolutive SFP'!#REF!+'Evolutive SFP'!#REF!)</f>
        <v>#REF!</v>
      </c>
      <c r="AQ13" s="38" t="e">
        <f>'Evolutive SFP'!#REF!/('Evolutive SFP'!#REF!+'Evolutive SFP'!#REF!)</f>
        <v>#REF!</v>
      </c>
      <c r="AR13" s="38" t="e">
        <f>'Evolutive SFP'!#REF!/('Evolutive SFP'!#REF!+'Evolutive SFP'!#REF!)</f>
        <v>#REF!</v>
      </c>
      <c r="AS13" s="38" t="e">
        <f>'Evolutive SFP'!#REF!/('Evolutive SFP'!#REF!+'Evolutive SFP'!#REF!)</f>
        <v>#REF!</v>
      </c>
      <c r="AT13" s="38">
        <f>'Evolutive SFP'!B4/('Evolutive SFP'!B31+'Evolutive SFP'!B36)</f>
        <v>0.23611653682400158</v>
      </c>
      <c r="AU13" s="38">
        <f>'Evolutive SFP'!C4/('Evolutive SFP'!C31+'Evolutive SFP'!C36)</f>
        <v>0.2266506315315108</v>
      </c>
      <c r="AV13" s="38">
        <f>'Evolutive SFP'!D4/('Evolutive SFP'!D31+'Evolutive SFP'!D36)</f>
        <v>0.24286706347231363</v>
      </c>
      <c r="AW13" s="38">
        <f>'Evolutive SFP'!E4/('Evolutive SFP'!E31+'Evolutive SFP'!E36)</f>
        <v>0.24654971634501313</v>
      </c>
      <c r="AX13" s="38">
        <f>'Evolutive SFP'!F4/('Evolutive SFP'!F31+'Evolutive SFP'!F36)</f>
        <v>0.27296820209294181</v>
      </c>
      <c r="AY13" s="38">
        <f>'Evolutive SFP'!G4/('Evolutive SFP'!G31+'Evolutive SFP'!G36)</f>
        <v>0.32177274215291762</v>
      </c>
      <c r="AZ13" s="38">
        <f>'Evolutive SFP'!H4/('Evolutive SFP'!H31+'Evolutive SFP'!H36)</f>
        <v>0.33879299600448837</v>
      </c>
      <c r="BA13" s="38" t="e">
        <f>'Evolutive SFP'!#REF!/('Evolutive SFP'!#REF!+'Evolutive SFP'!#REF!)</f>
        <v>#REF!</v>
      </c>
      <c r="BB13" s="38">
        <f>'Evolutive SFP'!I4/('Evolutive SFP'!I31+'Evolutive SFP'!I36)</f>
        <v>0.30381476559558035</v>
      </c>
      <c r="BC13" s="38">
        <f>'Evolutive SFP'!J4/('Evolutive SFP'!J31+'Evolutive SFP'!J36)</f>
        <v>0.2819492180784301</v>
      </c>
      <c r="BD13" s="38">
        <f>'Evolutive SFP'!K4/('Evolutive SFP'!K31+'Evolutive SFP'!K36)</f>
        <v>0.27186632129663518</v>
      </c>
      <c r="BE13" s="38">
        <f>'Evolutive SFP'!L4/('Evolutive SFP'!L31+'Evolutive SFP'!L36)</f>
        <v>0.27903600344885199</v>
      </c>
      <c r="BF13" s="38">
        <f>'Evolutive SFP'!M4/('Evolutive SFP'!M31+'Evolutive SFP'!M36)</f>
        <v>0.27432202757156848</v>
      </c>
      <c r="BG13" s="38">
        <f>'Evolutive SFP'!N4/('Evolutive SFP'!N31+'Evolutive SFP'!N36)</f>
        <v>0.3033840665899013</v>
      </c>
      <c r="BH13" s="38">
        <f>'Evolutive SFP'!O4/('Evolutive SFP'!O31+'Evolutive SFP'!O36)</f>
        <v>0.27900272282981436</v>
      </c>
      <c r="BI13" s="38">
        <f>'Evolutive SFP'!P4/('Evolutive SFP'!P31+'Evolutive SFP'!P36)</f>
        <v>0.28272388153722433</v>
      </c>
      <c r="BJ13" s="38">
        <f>'Evolutive SFP'!Q4/('Evolutive SFP'!Q31+'Evolutive SFP'!Q36)</f>
        <v>0.27140399761913303</v>
      </c>
      <c r="BK13" s="38">
        <f>'Evolutive SFP'!R4/('Evolutive SFP'!R31+'Evolutive SFP'!R36)</f>
        <v>0.2751118675458758</v>
      </c>
      <c r="BL13" s="38">
        <f>'Evolutive SFP'!S4/('Evolutive SFP'!S31+'Evolutive SFP'!S36)</f>
        <v>0.27269270390761668</v>
      </c>
      <c r="BM13" s="38">
        <f>'Evolutive SFP'!T4/('Evolutive SFP'!T31+'Evolutive SFP'!T36)</f>
        <v>0.26978080363528872</v>
      </c>
      <c r="BN13" s="38">
        <f>'Evolutive SFP'!U4/('Evolutive SFP'!U31+'Evolutive SFP'!U36)</f>
        <v>0.26804630420614817</v>
      </c>
      <c r="BO13" s="38">
        <f>'Evolutive SFP'!V4/('Evolutive SFP'!V31+'Evolutive SFP'!V36)</f>
        <v>0.28524001497891988</v>
      </c>
      <c r="BP13" s="38">
        <f>'Evolutive SFP'!W4/('Evolutive SFP'!W31+'Evolutive SFP'!W36)</f>
        <v>0.28697906678775342</v>
      </c>
      <c r="BQ13" s="38">
        <f>'Evolutive SFP'!X4/('Evolutive SFP'!X31+'Evolutive SFP'!X36)</f>
        <v>0.31390085714710597</v>
      </c>
      <c r="BR13" s="38">
        <f>'Evolutive SFP'!Y4/('Evolutive SFP'!Y31+'Evolutive SFP'!Y36)</f>
        <v>0.32818836493049258</v>
      </c>
      <c r="BS13" s="38">
        <f>'Evolutive SFP'!Z4/('Evolutive SFP'!Z31+'Evolutive SFP'!Z36)</f>
        <v>0.33838938164318033</v>
      </c>
      <c r="BT13" s="38">
        <f>'Evolutive SFP'!AA4/('Evolutive SFP'!AA31+'Evolutive SFP'!AA36)</f>
        <v>0.34082054908123088</v>
      </c>
      <c r="BU13" s="38">
        <f>'Evolutive SFP'!AB4/('Evolutive SFP'!AB31+'Evolutive SFP'!AB36)</f>
        <v>0.34549279941935962</v>
      </c>
      <c r="BV13" s="38">
        <f>'Evolutive SFP'!AC4/('Evolutive SFP'!AC31+'Evolutive SFP'!AC36)</f>
        <v>0.35827552768014992</v>
      </c>
      <c r="BW13" s="38">
        <f>'Evolutive SFP'!AD4/('Evolutive SFP'!AD31+'Evolutive SFP'!AD36)</f>
        <v>0.33869552159617133</v>
      </c>
      <c r="BX13" s="38">
        <f>'Evolutive SFP'!AE4/('Evolutive SFP'!AE31+'Evolutive SFP'!AE36)</f>
        <v>0.33819161657631358</v>
      </c>
      <c r="BY13" s="38">
        <f>'Evolutive SFP'!AF4/('Evolutive SFP'!AF31+'Evolutive SFP'!AF36)</f>
        <v>0.34584862456894611</v>
      </c>
      <c r="BZ13" s="38">
        <f>'Evolutive SFP'!AG4/('Evolutive SFP'!AG31+'Evolutive SFP'!AG36)</f>
        <v>0.35242337750785296</v>
      </c>
      <c r="CA13" s="38">
        <f>'Evolutive SFP'!AH4/('Evolutive SFP'!AH31+'Evolutive SFP'!AH36)</f>
        <v>0.36968264085779251</v>
      </c>
      <c r="CB13" s="38">
        <f>'Evolutive SFP'!AI4/('Evolutive SFP'!AI31+'Evolutive SFP'!AI36)</f>
        <v>0.39992684689465002</v>
      </c>
      <c r="CC13" s="38">
        <f>'Evolutive SFP'!AJ4/('Evolutive SFP'!AJ31+'Evolutive SFP'!AJ36)</f>
        <v>0.42078972518977076</v>
      </c>
      <c r="CD13" s="38">
        <f>'Evolutive SFP'!AK4/('Evolutive SFP'!AK31+'Evolutive SFP'!AK36)</f>
        <v>0.43190312209881587</v>
      </c>
      <c r="CE13" s="38">
        <f>'Evolutive SFP'!AL4/('Evolutive SFP'!AL31+'Evolutive SFP'!AL36)</f>
        <v>0.45035346671988946</v>
      </c>
      <c r="CF13" s="38">
        <f>'Evolutive SFP'!AM4/('Evolutive SFP'!AM31+'Evolutive SFP'!AM36)</f>
        <v>0.45563886394006009</v>
      </c>
      <c r="CG13" s="38">
        <f>'Evolutive SFP'!AN4/('Evolutive SFP'!AN31+'Evolutive SFP'!AN36)</f>
        <v>0.3826026316593189</v>
      </c>
      <c r="CH13" s="38">
        <f>'Evolutive SFP'!AO4/('Evolutive SFP'!AO31+'Evolutive SFP'!AO36)</f>
        <v>0.37565771638558582</v>
      </c>
      <c r="CI13" s="38">
        <f>'Evolutive SFP'!AP4/('Evolutive SFP'!AP31+'Evolutive SFP'!AP36)</f>
        <v>0.38726374111375211</v>
      </c>
      <c r="CJ13" s="38">
        <f>'Evolutive SFP'!AQ4/('Evolutive SFP'!AQ31+'Evolutive SFP'!AQ36)</f>
        <v>0.34323747528196547</v>
      </c>
      <c r="CK13" s="38">
        <f>'Evolutive SFP'!AR4/('Evolutive SFP'!AR31+'Evolutive SFP'!AR36)</f>
        <v>0.34421128587822203</v>
      </c>
      <c r="CL13" s="38">
        <f>'Evolutive SFP'!AS4/('Evolutive SFP'!AS31+'Evolutive SFP'!AS36)</f>
        <v>0.34507569968637775</v>
      </c>
      <c r="CM13" s="38">
        <f>'Evolutive SFP'!AT4/('Evolutive SFP'!AT31+'Evolutive SFP'!AT36)</f>
        <v>0.26374431907363782</v>
      </c>
      <c r="CN13" s="38">
        <f>'Evolutive SFP'!AU4/('Evolutive SFP'!AU31+'Evolutive SFP'!AU36)</f>
        <v>0.22999231197289788</v>
      </c>
      <c r="CO13" s="38">
        <f>'Evolutive SFP'!AV4/('Evolutive SFP'!AV31+'Evolutive SFP'!AV36)</f>
        <v>0.18654076019567983</v>
      </c>
    </row>
    <row r="14" spans="1:93" ht="15.75">
      <c r="A14" s="389"/>
      <c r="B14" s="3" t="s">
        <v>197</v>
      </c>
      <c r="C14" s="11" t="s">
        <v>198</v>
      </c>
      <c r="D14" s="34" t="e">
        <f>'Evolutive SFP'!#REF!/'Evolutive SFP'!#REF!</f>
        <v>#REF!</v>
      </c>
      <c r="E14" s="34" t="e">
        <f>'Evolutive SFP'!#REF!/'Evolutive SFP'!#REF!</f>
        <v>#REF!</v>
      </c>
      <c r="F14" s="34" t="e">
        <f>'Evolutive SFP'!#REF!/'Evolutive SFP'!#REF!</f>
        <v>#REF!</v>
      </c>
      <c r="G14" s="34" t="e">
        <f>'Evolutive SFP'!#REF!/'Evolutive SFP'!#REF!</f>
        <v>#REF!</v>
      </c>
      <c r="H14" s="34" t="e">
        <f>'Evolutive SFP'!#REF!/'Evolutive SFP'!#REF!</f>
        <v>#REF!</v>
      </c>
      <c r="I14" s="34" t="e">
        <f>'Evolutive SFP'!#REF!/'Evolutive SFP'!#REF!</f>
        <v>#REF!</v>
      </c>
      <c r="J14" s="34" t="e">
        <f>'Evolutive SFP'!#REF!/'Evolutive SFP'!#REF!</f>
        <v>#REF!</v>
      </c>
      <c r="K14" s="34" t="e">
        <f>'Evolutive SFP'!#REF!/'Evolutive SFP'!#REF!</f>
        <v>#REF!</v>
      </c>
      <c r="L14" s="34" t="e">
        <f>'Evolutive SFP'!#REF!/'Evolutive SFP'!#REF!</f>
        <v>#REF!</v>
      </c>
      <c r="M14" s="34" t="e">
        <f>'Evolutive SFP'!#REF!/'Evolutive SFP'!#REF!</f>
        <v>#REF!</v>
      </c>
      <c r="N14" s="34" t="e">
        <f>'Evolutive SFP'!#REF!/'Evolutive SFP'!#REF!</f>
        <v>#REF!</v>
      </c>
      <c r="O14" s="34" t="e">
        <f>'Evolutive SFP'!#REF!/'Evolutive SFP'!#REF!</f>
        <v>#REF!</v>
      </c>
      <c r="P14" s="34" t="e">
        <f>'Evolutive SFP'!#REF!/'Evolutive SFP'!#REF!</f>
        <v>#REF!</v>
      </c>
      <c r="Q14" s="34" t="e">
        <f>'Evolutive SFP'!#REF!/'Evolutive SFP'!#REF!</f>
        <v>#REF!</v>
      </c>
      <c r="R14" s="34" t="e">
        <f>'Evolutive SFP'!#REF!/'Evolutive SFP'!#REF!</f>
        <v>#REF!</v>
      </c>
      <c r="S14" s="38" t="e">
        <f>'Evolutive SFP'!#REF!/'Evolutive SFP'!#REF!</f>
        <v>#REF!</v>
      </c>
      <c r="T14" s="38" t="e">
        <f>'Evolutive SFP'!#REF!/'Evolutive SFP'!#REF!</f>
        <v>#REF!</v>
      </c>
      <c r="U14" s="38" t="e">
        <f>'Evolutive SFP'!#REF!/'Evolutive SFP'!#REF!</f>
        <v>#REF!</v>
      </c>
      <c r="V14" s="38" t="e">
        <f>'Evolutive SFP'!#REF!/'Evolutive SFP'!#REF!</f>
        <v>#REF!</v>
      </c>
      <c r="W14" s="38" t="e">
        <f>'Evolutive SFP'!#REF!/'Evolutive SFP'!#REF!</f>
        <v>#REF!</v>
      </c>
      <c r="X14" s="38" t="e">
        <f>'Evolutive SFP'!#REF!/'Evolutive SFP'!#REF!</f>
        <v>#REF!</v>
      </c>
      <c r="Y14" s="38" t="e">
        <f>'Evolutive SFP'!#REF!/'Evolutive SFP'!#REF!</f>
        <v>#REF!</v>
      </c>
      <c r="Z14" s="38" t="e">
        <f>'Evolutive SFP'!#REF!/'Evolutive SFP'!#REF!</f>
        <v>#REF!</v>
      </c>
      <c r="AA14" s="38" t="e">
        <f>'Evolutive SFP'!#REF!/'Evolutive SFP'!#REF!</f>
        <v>#REF!</v>
      </c>
      <c r="AB14" s="38" t="e">
        <f>'Evolutive SFP'!#REF!/'Evolutive SFP'!#REF!</f>
        <v>#REF!</v>
      </c>
      <c r="AC14" s="38" t="e">
        <f>'Evolutive SFP'!#REF!/'Evolutive SFP'!#REF!</f>
        <v>#REF!</v>
      </c>
      <c r="AD14" s="38" t="e">
        <f>'Evolutive SFP'!#REF!/'Evolutive SFP'!#REF!</f>
        <v>#REF!</v>
      </c>
      <c r="AE14" s="38" t="e">
        <f>'Evolutive SFP'!#REF!/'Evolutive SFP'!#REF!</f>
        <v>#REF!</v>
      </c>
      <c r="AF14" s="38" t="e">
        <f>'Evolutive SFP'!#REF!/'Evolutive SFP'!#REF!</f>
        <v>#REF!</v>
      </c>
      <c r="AG14" s="38" t="e">
        <f>'Evolutive SFP'!#REF!/'Evolutive SFP'!#REF!</f>
        <v>#REF!</v>
      </c>
      <c r="AH14" s="38" t="e">
        <f>'Evolutive SFP'!#REF!/'Evolutive SFP'!#REF!</f>
        <v>#REF!</v>
      </c>
      <c r="AI14" s="38" t="e">
        <f>'Evolutive SFP'!#REF!/'Evolutive SFP'!#REF!</f>
        <v>#REF!</v>
      </c>
      <c r="AJ14" s="38" t="e">
        <f>'Evolutive SFP'!#REF!/'Evolutive SFP'!#REF!</f>
        <v>#REF!</v>
      </c>
      <c r="AK14" s="38" t="e">
        <f>'Evolutive SFP'!#REF!/'Evolutive SFP'!#REF!</f>
        <v>#REF!</v>
      </c>
      <c r="AL14" s="38" t="e">
        <f>'Evolutive SFP'!#REF!/'Evolutive SFP'!#REF!</f>
        <v>#REF!</v>
      </c>
      <c r="AM14" s="38" t="e">
        <f>'Evolutive SFP'!#REF!/'Evolutive SFP'!#REF!</f>
        <v>#REF!</v>
      </c>
      <c r="AN14" s="38" t="e">
        <f>'Evolutive SFP'!#REF!/'Evolutive SFP'!#REF!</f>
        <v>#REF!</v>
      </c>
      <c r="AO14" s="38" t="e">
        <f>'Evolutive SFP'!#REF!/'Evolutive SFP'!#REF!</f>
        <v>#REF!</v>
      </c>
      <c r="AP14" s="38" t="e">
        <f>'Evolutive SFP'!#REF!/'Evolutive SFP'!#REF!</f>
        <v>#REF!</v>
      </c>
      <c r="AQ14" s="38" t="e">
        <f>'Evolutive SFP'!#REF!/'Evolutive SFP'!#REF!</f>
        <v>#REF!</v>
      </c>
      <c r="AR14" s="38" t="e">
        <f>'Evolutive SFP'!#REF!/'Evolutive SFP'!#REF!</f>
        <v>#REF!</v>
      </c>
      <c r="AS14" s="38" t="e">
        <f>'Evolutive SFP'!#REF!/'Evolutive SFP'!#REF!</f>
        <v>#REF!</v>
      </c>
      <c r="AT14" s="38">
        <f>'Evolutive SFP'!B37/'Evolutive SFP'!B27</f>
        <v>0</v>
      </c>
      <c r="AU14" s="38">
        <f>'Evolutive SFP'!C37/'Evolutive SFP'!C27</f>
        <v>0</v>
      </c>
      <c r="AV14" s="38">
        <f>'Evolutive SFP'!D37/'Evolutive SFP'!D27</f>
        <v>0</v>
      </c>
      <c r="AW14" s="38">
        <f>'Evolutive SFP'!E37/'Evolutive SFP'!E27</f>
        <v>0</v>
      </c>
      <c r="AX14" s="38">
        <f>'Evolutive SFP'!F37/'Evolutive SFP'!F27</f>
        <v>0</v>
      </c>
      <c r="AY14" s="38">
        <f>'Evolutive SFP'!G37/'Evolutive SFP'!G27</f>
        <v>0</v>
      </c>
      <c r="AZ14" s="38">
        <f>'Evolutive SFP'!H37/'Evolutive SFP'!H27</f>
        <v>0</v>
      </c>
      <c r="BA14" s="38" t="e">
        <f>'Evolutive SFP'!#REF!/'Evolutive SFP'!#REF!</f>
        <v>#REF!</v>
      </c>
      <c r="BB14" s="38">
        <f>'Evolutive SFP'!I37/'Evolutive SFP'!I27</f>
        <v>0</v>
      </c>
      <c r="BC14" s="38">
        <f>'Evolutive SFP'!J37/'Evolutive SFP'!J27</f>
        <v>0</v>
      </c>
      <c r="BD14" s="38">
        <f>'Evolutive SFP'!K37/'Evolutive SFP'!K27</f>
        <v>0</v>
      </c>
      <c r="BE14" s="38">
        <f>'Evolutive SFP'!L37/'Evolutive SFP'!L27</f>
        <v>0</v>
      </c>
      <c r="BF14" s="38">
        <f>'Evolutive SFP'!M37/'Evolutive SFP'!M27</f>
        <v>0</v>
      </c>
      <c r="BG14" s="38">
        <f>'Evolutive SFP'!N37/'Evolutive SFP'!N27</f>
        <v>0</v>
      </c>
      <c r="BH14" s="38">
        <f>'Evolutive SFP'!O37/'Evolutive SFP'!O27</f>
        <v>0</v>
      </c>
      <c r="BI14" s="38">
        <f>'Evolutive SFP'!P37/'Evolutive SFP'!P27</f>
        <v>0</v>
      </c>
      <c r="BJ14" s="38">
        <f>'Evolutive SFP'!Q37/'Evolutive SFP'!Q27</f>
        <v>0</v>
      </c>
      <c r="BK14" s="38">
        <f>'Evolutive SFP'!R37/'Evolutive SFP'!R27</f>
        <v>0</v>
      </c>
      <c r="BL14" s="38">
        <f>'Evolutive SFP'!S37/'Evolutive SFP'!S27</f>
        <v>0</v>
      </c>
      <c r="BM14" s="38">
        <f>'Evolutive SFP'!T37/'Evolutive SFP'!T27</f>
        <v>0</v>
      </c>
      <c r="BN14" s="38">
        <f>'Evolutive SFP'!U37/'Evolutive SFP'!U27</f>
        <v>0</v>
      </c>
      <c r="BO14" s="38">
        <f>'Evolutive SFP'!V37/'Evolutive SFP'!V27</f>
        <v>0</v>
      </c>
      <c r="BP14" s="38">
        <f>'Evolutive SFP'!W37/'Evolutive SFP'!W27</f>
        <v>0</v>
      </c>
      <c r="BQ14" s="38">
        <f>'Evolutive SFP'!X37/'Evolutive SFP'!X27</f>
        <v>0</v>
      </c>
      <c r="BR14" s="38">
        <f>'Evolutive SFP'!Y37/'Evolutive SFP'!Y27</f>
        <v>0</v>
      </c>
      <c r="BS14" s="38">
        <f>'Evolutive SFP'!Z37/'Evolutive SFP'!Z27</f>
        <v>0</v>
      </c>
      <c r="BT14" s="38">
        <f>'Evolutive SFP'!AA37/'Evolutive SFP'!AA27</f>
        <v>0</v>
      </c>
      <c r="BU14" s="38">
        <f>'Evolutive SFP'!AB37/'Evolutive SFP'!AB27</f>
        <v>0</v>
      </c>
      <c r="BV14" s="38">
        <f>'Evolutive SFP'!AC37/'Evolutive SFP'!AC27</f>
        <v>0</v>
      </c>
      <c r="BW14" s="38">
        <f>'Evolutive SFP'!AD37/'Evolutive SFP'!AD27</f>
        <v>0</v>
      </c>
      <c r="BX14" s="38">
        <f>'Evolutive SFP'!AE37/'Evolutive SFP'!AE27</f>
        <v>0</v>
      </c>
      <c r="BY14" s="38">
        <f>'Evolutive SFP'!AF37/'Evolutive SFP'!AF27</f>
        <v>0</v>
      </c>
      <c r="BZ14" s="38">
        <f>'Evolutive SFP'!AG37/'Evolutive SFP'!AG27</f>
        <v>0</v>
      </c>
      <c r="CA14" s="38">
        <f>'Evolutive SFP'!AH37/'Evolutive SFP'!AH27</f>
        <v>0</v>
      </c>
      <c r="CB14" s="38">
        <f>'Evolutive SFP'!AI37/'Evolutive SFP'!AI27</f>
        <v>0</v>
      </c>
      <c r="CC14" s="38">
        <f>'Evolutive SFP'!AJ37/'Evolutive SFP'!AJ27</f>
        <v>0</v>
      </c>
      <c r="CD14" s="38">
        <f>'Evolutive SFP'!AK37/'Evolutive SFP'!AK27</f>
        <v>0</v>
      </c>
      <c r="CE14" s="38">
        <f>'Evolutive SFP'!AL37/'Evolutive SFP'!AL27</f>
        <v>0</v>
      </c>
      <c r="CF14" s="38">
        <f>'Evolutive SFP'!AM37/'Evolutive SFP'!AM27</f>
        <v>0</v>
      </c>
      <c r="CG14" s="38">
        <f>'Evolutive SFP'!AN37/'Evolutive SFP'!AN27</f>
        <v>0</v>
      </c>
      <c r="CH14" s="38">
        <f>'Evolutive SFP'!AO37/'Evolutive SFP'!AO27</f>
        <v>0</v>
      </c>
      <c r="CI14" s="38">
        <f>'Evolutive SFP'!AP37/'Evolutive SFP'!AP27</f>
        <v>0</v>
      </c>
      <c r="CJ14" s="38">
        <f>'Evolutive SFP'!AQ37/'Evolutive SFP'!AQ27</f>
        <v>0</v>
      </c>
      <c r="CK14" s="38">
        <f>'Evolutive SFP'!AR37/'Evolutive SFP'!AR27</f>
        <v>0</v>
      </c>
      <c r="CL14" s="38">
        <f>'Evolutive SFP'!AS37/'Evolutive SFP'!AS27</f>
        <v>0</v>
      </c>
      <c r="CM14" s="38">
        <f>'Evolutive SFP'!AT37/'Evolutive SFP'!AT27</f>
        <v>0</v>
      </c>
      <c r="CN14" s="38">
        <f>'Evolutive SFP'!AU37/'Evolutive SFP'!AU27</f>
        <v>0</v>
      </c>
      <c r="CO14" s="38">
        <f>'Evolutive SFP'!AV37/'Evolutive SFP'!AV27</f>
        <v>0</v>
      </c>
    </row>
    <row r="15" spans="1:93" ht="15.75">
      <c r="A15" s="389"/>
      <c r="B15" s="3" t="s">
        <v>199</v>
      </c>
      <c r="C15" s="11"/>
      <c r="D15" s="34" t="e">
        <f>'Evolutive SFP'!#REF!/'Evolutive SFP'!#REF!</f>
        <v>#REF!</v>
      </c>
      <c r="E15" s="34" t="e">
        <f>'Evolutive SFP'!#REF!/'Evolutive SFP'!#REF!</f>
        <v>#REF!</v>
      </c>
      <c r="F15" s="34" t="e">
        <f>'Evolutive SFP'!#REF!/'Evolutive SFP'!#REF!</f>
        <v>#REF!</v>
      </c>
      <c r="G15" s="34" t="e">
        <f>'Evolutive SFP'!#REF!/'Evolutive SFP'!#REF!</f>
        <v>#REF!</v>
      </c>
      <c r="H15" s="34" t="e">
        <f>'Evolutive SFP'!#REF!/'Evolutive SFP'!#REF!</f>
        <v>#REF!</v>
      </c>
      <c r="I15" s="34" t="e">
        <f>'Evolutive SFP'!#REF!/'Evolutive SFP'!#REF!</f>
        <v>#REF!</v>
      </c>
      <c r="J15" s="34" t="e">
        <f>'Evolutive SFP'!#REF!/'Evolutive SFP'!#REF!</f>
        <v>#REF!</v>
      </c>
      <c r="K15" s="34" t="e">
        <f>'Evolutive SFP'!#REF!/'Evolutive SFP'!#REF!</f>
        <v>#REF!</v>
      </c>
      <c r="L15" s="34" t="e">
        <f>'Evolutive SFP'!#REF!/'Evolutive SFP'!#REF!</f>
        <v>#REF!</v>
      </c>
      <c r="M15" s="34" t="e">
        <f>'Evolutive SFP'!#REF!/'Evolutive SFP'!#REF!</f>
        <v>#REF!</v>
      </c>
      <c r="N15" s="34" t="e">
        <f>'Evolutive SFP'!#REF!/'Evolutive SFP'!#REF!</f>
        <v>#REF!</v>
      </c>
      <c r="O15" s="34" t="e">
        <f>'Evolutive SFP'!#REF!/'Evolutive SFP'!#REF!</f>
        <v>#REF!</v>
      </c>
      <c r="P15" s="34" t="e">
        <f>'Evolutive SFP'!#REF!/'Evolutive SFP'!#REF!</f>
        <v>#REF!</v>
      </c>
      <c r="Q15" s="34" t="e">
        <f>'Evolutive SFP'!#REF!/'Evolutive SFP'!#REF!</f>
        <v>#REF!</v>
      </c>
      <c r="R15" s="34" t="e">
        <f>'Evolutive SFP'!#REF!/'Evolutive SFP'!#REF!</f>
        <v>#REF!</v>
      </c>
      <c r="S15" s="38" t="e">
        <f>'Evolutive SFP'!#REF!/'Evolutive SFP'!#REF!</f>
        <v>#REF!</v>
      </c>
      <c r="T15" s="38" t="e">
        <f>'Evolutive SFP'!#REF!/'Evolutive SFP'!#REF!</f>
        <v>#REF!</v>
      </c>
      <c r="U15" s="38" t="e">
        <f>'Evolutive SFP'!#REF!/'Evolutive SFP'!#REF!</f>
        <v>#REF!</v>
      </c>
      <c r="V15" s="38" t="e">
        <f>'Evolutive SFP'!#REF!/'Evolutive SFP'!#REF!</f>
        <v>#REF!</v>
      </c>
      <c r="W15" s="38" t="e">
        <f>'Evolutive SFP'!#REF!/'Evolutive SFP'!#REF!</f>
        <v>#REF!</v>
      </c>
      <c r="X15" s="38" t="e">
        <f>'Evolutive SFP'!#REF!/'Evolutive SFP'!#REF!</f>
        <v>#REF!</v>
      </c>
      <c r="Y15" s="38" t="e">
        <f>'Evolutive SFP'!#REF!/'Evolutive SFP'!#REF!</f>
        <v>#REF!</v>
      </c>
      <c r="Z15" s="38" t="e">
        <f>'Evolutive SFP'!#REF!/'Evolutive SFP'!#REF!</f>
        <v>#REF!</v>
      </c>
      <c r="AA15" s="38" t="e">
        <f>'Evolutive SFP'!#REF!/'Evolutive SFP'!#REF!</f>
        <v>#REF!</v>
      </c>
      <c r="AB15" s="38" t="e">
        <f>'Evolutive SFP'!#REF!/'Evolutive SFP'!#REF!</f>
        <v>#REF!</v>
      </c>
      <c r="AC15" s="38" t="e">
        <f>'Evolutive SFP'!#REF!/'Evolutive SFP'!#REF!</f>
        <v>#REF!</v>
      </c>
      <c r="AD15" s="38" t="e">
        <f>'Evolutive SFP'!#REF!/'Evolutive SFP'!#REF!</f>
        <v>#REF!</v>
      </c>
      <c r="AE15" s="38" t="e">
        <f>'Evolutive SFP'!#REF!/'Evolutive SFP'!#REF!</f>
        <v>#REF!</v>
      </c>
      <c r="AF15" s="38" t="e">
        <f>'Evolutive SFP'!#REF!/'Evolutive SFP'!#REF!</f>
        <v>#REF!</v>
      </c>
      <c r="AG15" s="38" t="e">
        <f>'Evolutive SFP'!#REF!/'Evolutive SFP'!#REF!</f>
        <v>#REF!</v>
      </c>
      <c r="AH15" s="38" t="e">
        <f>'Evolutive SFP'!#REF!/'Evolutive SFP'!#REF!</f>
        <v>#REF!</v>
      </c>
      <c r="AI15" s="38" t="e">
        <f>'Evolutive SFP'!#REF!/'Evolutive SFP'!#REF!</f>
        <v>#REF!</v>
      </c>
      <c r="AJ15" s="38" t="e">
        <f>'Evolutive SFP'!#REF!/'Evolutive SFP'!#REF!</f>
        <v>#REF!</v>
      </c>
      <c r="AK15" s="38" t="e">
        <f>'Evolutive SFP'!#REF!/'Evolutive SFP'!#REF!</f>
        <v>#REF!</v>
      </c>
      <c r="AL15" s="38" t="e">
        <f>'Evolutive SFP'!#REF!/'Evolutive SFP'!#REF!</f>
        <v>#REF!</v>
      </c>
      <c r="AM15" s="38" t="e">
        <f>'Evolutive SFP'!#REF!/'Evolutive SFP'!#REF!</f>
        <v>#REF!</v>
      </c>
      <c r="AN15" s="38" t="e">
        <f>'Evolutive SFP'!#REF!/'Evolutive SFP'!#REF!</f>
        <v>#REF!</v>
      </c>
      <c r="AO15" s="38" t="e">
        <f>'Evolutive SFP'!#REF!/'Evolutive SFP'!#REF!</f>
        <v>#REF!</v>
      </c>
      <c r="AP15" s="38" t="e">
        <f>'Evolutive SFP'!#REF!/'Evolutive SFP'!#REF!</f>
        <v>#REF!</v>
      </c>
      <c r="AQ15" s="38" t="e">
        <f>'Evolutive SFP'!#REF!/'Evolutive SFP'!#REF!</f>
        <v>#REF!</v>
      </c>
      <c r="AR15" s="38" t="e">
        <f>'Evolutive SFP'!#REF!/'Evolutive SFP'!#REF!</f>
        <v>#REF!</v>
      </c>
      <c r="AS15" s="38" t="e">
        <f>'Evolutive SFP'!#REF!/'Evolutive SFP'!#REF!</f>
        <v>#REF!</v>
      </c>
      <c r="AT15" s="38">
        <f>'Evolutive SFP'!B4/'Evolutive SFP'!B27</f>
        <v>0.20770330083374836</v>
      </c>
      <c r="AU15" s="38">
        <f>'Evolutive SFP'!C4/'Evolutive SFP'!C27</f>
        <v>0.17718066568859125</v>
      </c>
      <c r="AV15" s="38">
        <f>'Evolutive SFP'!D4/'Evolutive SFP'!D27</f>
        <v>0.1934910703073798</v>
      </c>
      <c r="AW15" s="38">
        <f>'Evolutive SFP'!E4/'Evolutive SFP'!E27</f>
        <v>0.19559349688959901</v>
      </c>
      <c r="AX15" s="38">
        <f>'Evolutive SFP'!F4/'Evolutive SFP'!F27</f>
        <v>0.21336826898408998</v>
      </c>
      <c r="AY15" s="38">
        <f>'Evolutive SFP'!G4/'Evolutive SFP'!G27</f>
        <v>0.24854046677025976</v>
      </c>
      <c r="AZ15" s="38">
        <f>'Evolutive SFP'!H4/'Evolutive SFP'!H27</f>
        <v>0.26664024437841455</v>
      </c>
      <c r="BA15" s="38" t="e">
        <f>'Evolutive SFP'!#REF!/'Evolutive SFP'!#REF!</f>
        <v>#REF!</v>
      </c>
      <c r="BB15" s="38">
        <f>'Evolutive SFP'!I4/'Evolutive SFP'!I27</f>
        <v>0.23961887441310664</v>
      </c>
      <c r="BC15" s="38">
        <f>'Evolutive SFP'!J4/'Evolutive SFP'!J27</f>
        <v>0.2220870217442599</v>
      </c>
      <c r="BD15" s="38">
        <f>'Evolutive SFP'!K4/'Evolutive SFP'!K27</f>
        <v>0.21390614668964109</v>
      </c>
      <c r="BE15" s="38">
        <f>'Evolutive SFP'!L4/'Evolutive SFP'!L27</f>
        <v>0.22067241928574116</v>
      </c>
      <c r="BF15" s="38">
        <f>'Evolutive SFP'!M4/'Evolutive SFP'!M27</f>
        <v>0.21541157183190388</v>
      </c>
      <c r="BG15" s="38">
        <f>'Evolutive SFP'!N4/'Evolutive SFP'!N27</f>
        <v>0.21652646645891221</v>
      </c>
      <c r="BH15" s="38">
        <f>'Evolutive SFP'!O4/'Evolutive SFP'!O27</f>
        <v>0.22232527149247039</v>
      </c>
      <c r="BI15" s="38">
        <f>'Evolutive SFP'!P4/'Evolutive SFP'!P27</f>
        <v>0.22688230322409775</v>
      </c>
      <c r="BJ15" s="38">
        <f>'Evolutive SFP'!Q4/'Evolutive SFP'!Q27</f>
        <v>0.21616424348830068</v>
      </c>
      <c r="BK15" s="38">
        <f>'Evolutive SFP'!R4/'Evolutive SFP'!R27</f>
        <v>0.21597001418433134</v>
      </c>
      <c r="BL15" s="38">
        <f>'Evolutive SFP'!S4/'Evolutive SFP'!S27</f>
        <v>0.21447411406168934</v>
      </c>
      <c r="BM15" s="38">
        <f>'Evolutive SFP'!T4/'Evolutive SFP'!T27</f>
        <v>0.21124138788801852</v>
      </c>
      <c r="BN15" s="38">
        <f>'Evolutive SFP'!U4/'Evolutive SFP'!U27</f>
        <v>0.21199572396931851</v>
      </c>
      <c r="BO15" s="38">
        <f>'Evolutive SFP'!V4/'Evolutive SFP'!V27</f>
        <v>0.21009735847807379</v>
      </c>
      <c r="BP15" s="38">
        <f>'Evolutive SFP'!W4/'Evolutive SFP'!W27</f>
        <v>0.20966110942188551</v>
      </c>
      <c r="BQ15" s="38">
        <f>'Evolutive SFP'!X4/'Evolutive SFP'!X27</f>
        <v>0.22773804230676981</v>
      </c>
      <c r="BR15" s="38">
        <f>'Evolutive SFP'!Y4/'Evolutive SFP'!Y27</f>
        <v>0.23552886734064965</v>
      </c>
      <c r="BS15" s="38">
        <f>'Evolutive SFP'!Z4/'Evolutive SFP'!Z27</f>
        <v>0.24165889901281407</v>
      </c>
      <c r="BT15" s="38">
        <f>'Evolutive SFP'!AA4/'Evolutive SFP'!AA27</f>
        <v>0.24327881446162125</v>
      </c>
      <c r="BU15" s="38">
        <f>'Evolutive SFP'!AB4/'Evolutive SFP'!AB27</f>
        <v>0.24359034808079991</v>
      </c>
      <c r="BV15" s="38">
        <f>'Evolutive SFP'!AC4/'Evolutive SFP'!AC27</f>
        <v>0.24914017001585892</v>
      </c>
      <c r="BW15" s="38">
        <f>'Evolutive SFP'!AD4/'Evolutive SFP'!AD27</f>
        <v>0.24167385123580171</v>
      </c>
      <c r="BX15" s="38">
        <f>'Evolutive SFP'!AE4/'Evolutive SFP'!AE27</f>
        <v>0.24020342771546352</v>
      </c>
      <c r="BY15" s="38">
        <f>'Evolutive SFP'!AF4/'Evolutive SFP'!AF27</f>
        <v>0.24372250918004998</v>
      </c>
      <c r="BZ15" s="38">
        <f>'Evolutive SFP'!AG4/'Evolutive SFP'!AG27</f>
        <v>0.24720431198314996</v>
      </c>
      <c r="CA15" s="38">
        <f>'Evolutive SFP'!AH4/'Evolutive SFP'!AH27</f>
        <v>0.24371914676119316</v>
      </c>
      <c r="CB15" s="38">
        <f>'Evolutive SFP'!AI4/'Evolutive SFP'!AI27</f>
        <v>0.2634534608455274</v>
      </c>
      <c r="CC15" s="38">
        <f>'Evolutive SFP'!AJ4/'Evolutive SFP'!AJ27</f>
        <v>0.27226592838064301</v>
      </c>
      <c r="CD15" s="38">
        <f>'Evolutive SFP'!AK4/'Evolutive SFP'!AK27</f>
        <v>0.2741551799847608</v>
      </c>
      <c r="CE15" s="38">
        <f>'Evolutive SFP'!AL4/'Evolutive SFP'!AL27</f>
        <v>0.27967429561731727</v>
      </c>
      <c r="CF15" s="38">
        <f>'Evolutive SFP'!AM4/'Evolutive SFP'!AM27</f>
        <v>0.27704676566902281</v>
      </c>
      <c r="CG15" s="38">
        <f>'Evolutive SFP'!AN4/'Evolutive SFP'!AN27</f>
        <v>0.277783830778152</v>
      </c>
      <c r="CH15" s="38">
        <f>'Evolutive SFP'!AO4/'Evolutive SFP'!AO27</f>
        <v>0.2721509944202925</v>
      </c>
      <c r="CI15" s="38">
        <f>'Evolutive SFP'!AP4/'Evolutive SFP'!AP27</f>
        <v>0.28048723134650977</v>
      </c>
      <c r="CJ15" s="38">
        <f>'Evolutive SFP'!AQ4/'Evolutive SFP'!AQ27</f>
        <v>0.26873540556267045</v>
      </c>
      <c r="CK15" s="38">
        <f>'Evolutive SFP'!AR4/'Evolutive SFP'!AR27</f>
        <v>0.266802104558516</v>
      </c>
      <c r="CL15" s="38">
        <f>'Evolutive SFP'!AS4/'Evolutive SFP'!AS27</f>
        <v>0.26580586707738474</v>
      </c>
      <c r="CM15" s="38">
        <f>'Evolutive SFP'!AT4/'Evolutive SFP'!AT27</f>
        <v>0.19979548393594579</v>
      </c>
      <c r="CN15" s="38">
        <f>'Evolutive SFP'!AU4/'Evolutive SFP'!AU27</f>
        <v>0.17325561070613046</v>
      </c>
      <c r="CO15" s="38">
        <f>'Evolutive SFP'!AV4/'Evolutive SFP'!AV27</f>
        <v>0.14019217096082268</v>
      </c>
    </row>
    <row r="16" spans="1:93" ht="15.75">
      <c r="A16" s="389" t="s">
        <v>200</v>
      </c>
      <c r="B16" s="3" t="s">
        <v>201</v>
      </c>
      <c r="C16" s="11" t="s">
        <v>202</v>
      </c>
      <c r="D16" s="34" t="e">
        <f>('Evolutive SFP'!#REF!+'Evolutive SFP'!#REF!)/'Evolutive SFP'!#REF!</f>
        <v>#REF!</v>
      </c>
      <c r="E16" s="34" t="e">
        <f>('Evolutive SFP'!#REF!+'Evolutive SFP'!#REF!)/'Evolutive SFP'!#REF!</f>
        <v>#REF!</v>
      </c>
      <c r="F16" s="34" t="e">
        <f>('Evolutive SFP'!#REF!+'Evolutive SFP'!#REF!)/'Evolutive SFP'!#REF!</f>
        <v>#REF!</v>
      </c>
      <c r="G16" s="34" t="e">
        <f>('Evolutive SFP'!#REF!+'Evolutive SFP'!#REF!)/'Evolutive SFP'!#REF!</f>
        <v>#REF!</v>
      </c>
      <c r="H16" s="34" t="e">
        <f>('Evolutive SFP'!#REF!+'Evolutive SFP'!#REF!)/'Evolutive SFP'!#REF!</f>
        <v>#REF!</v>
      </c>
      <c r="I16" s="34" t="e">
        <f>('Evolutive SFP'!#REF!+'Evolutive SFP'!#REF!)/'Evolutive SFP'!#REF!</f>
        <v>#REF!</v>
      </c>
      <c r="J16" s="34" t="e">
        <f>('Evolutive SFP'!#REF!+'Evolutive SFP'!#REF!)/'Evolutive SFP'!#REF!</f>
        <v>#REF!</v>
      </c>
      <c r="K16" s="34" t="e">
        <f>('Evolutive SFP'!#REF!+'Evolutive SFP'!#REF!)/'Evolutive SFP'!#REF!</f>
        <v>#REF!</v>
      </c>
      <c r="L16" s="34" t="e">
        <f>('Evolutive SFP'!#REF!+'Evolutive SFP'!#REF!)/'Evolutive SFP'!#REF!</f>
        <v>#REF!</v>
      </c>
      <c r="M16" s="34" t="e">
        <f>('Evolutive SFP'!#REF!+'Evolutive SFP'!#REF!)/'Evolutive SFP'!#REF!</f>
        <v>#REF!</v>
      </c>
      <c r="N16" s="34" t="e">
        <f>('Evolutive SFP'!#REF!+'Evolutive SFP'!#REF!)/'Evolutive SFP'!#REF!</f>
        <v>#REF!</v>
      </c>
      <c r="O16" s="34" t="e">
        <f>('Evolutive SFP'!#REF!+'Evolutive SFP'!#REF!)/'Evolutive SFP'!#REF!</f>
        <v>#REF!</v>
      </c>
      <c r="P16" s="34" t="e">
        <f>('Evolutive SFP'!#REF!+'Evolutive SFP'!#REF!)/'Evolutive SFP'!#REF!</f>
        <v>#REF!</v>
      </c>
      <c r="Q16" s="34" t="e">
        <f>('Evolutive SFP'!#REF!+'Evolutive SFP'!#REF!)/'Evolutive SFP'!#REF!</f>
        <v>#REF!</v>
      </c>
      <c r="R16" s="34" t="e">
        <f>('Evolutive SFP'!#REF!+'Evolutive SFP'!#REF!)/'Evolutive SFP'!#REF!</f>
        <v>#REF!</v>
      </c>
      <c r="S16" s="38" t="e">
        <f>('Evolutive SFP'!#REF!+'Evolutive SFP'!#REF!)/'Evolutive SFP'!#REF!</f>
        <v>#REF!</v>
      </c>
      <c r="T16" s="38" t="e">
        <f>('Evolutive SFP'!#REF!+'Evolutive SFP'!#REF!)/'Evolutive SFP'!#REF!</f>
        <v>#REF!</v>
      </c>
      <c r="U16" s="38" t="e">
        <f>('Evolutive SFP'!#REF!+'Evolutive SFP'!#REF!)/'Evolutive SFP'!#REF!</f>
        <v>#REF!</v>
      </c>
      <c r="V16" s="38" t="e">
        <f>('Evolutive SFP'!#REF!+'Evolutive SFP'!#REF!)/'Evolutive SFP'!#REF!</f>
        <v>#REF!</v>
      </c>
      <c r="W16" s="38" t="e">
        <f>('Evolutive SFP'!#REF!+'Evolutive SFP'!#REF!)/'Evolutive SFP'!#REF!</f>
        <v>#REF!</v>
      </c>
      <c r="X16" s="38" t="e">
        <f>('Evolutive SFP'!#REF!+'Evolutive SFP'!#REF!)/'Evolutive SFP'!#REF!</f>
        <v>#REF!</v>
      </c>
      <c r="Y16" s="38" t="e">
        <f>('Evolutive SFP'!#REF!+'Evolutive SFP'!#REF!)/'Evolutive SFP'!#REF!</f>
        <v>#REF!</v>
      </c>
      <c r="Z16" s="38" t="e">
        <f>('Evolutive SFP'!#REF!+'Evolutive SFP'!#REF!)/'Evolutive SFP'!#REF!</f>
        <v>#REF!</v>
      </c>
      <c r="AA16" s="38" t="e">
        <f>('Evolutive SFP'!#REF!+'Evolutive SFP'!#REF!)/'Evolutive SFP'!#REF!</f>
        <v>#REF!</v>
      </c>
      <c r="AB16" s="38" t="e">
        <f>('Evolutive SFP'!#REF!+'Evolutive SFP'!#REF!)/'Evolutive SFP'!#REF!</f>
        <v>#REF!</v>
      </c>
      <c r="AC16" s="38" t="e">
        <f>('Evolutive SFP'!#REF!+'Evolutive SFP'!#REF!)/'Evolutive SFP'!#REF!</f>
        <v>#REF!</v>
      </c>
      <c r="AD16" s="38" t="e">
        <f>('Evolutive SFP'!#REF!+'Evolutive SFP'!#REF!)/'Evolutive SFP'!#REF!</f>
        <v>#REF!</v>
      </c>
      <c r="AE16" s="38" t="e">
        <f>('Evolutive SFP'!#REF!+'Evolutive SFP'!#REF!)/'Evolutive SFP'!#REF!</f>
        <v>#REF!</v>
      </c>
      <c r="AF16" s="38" t="e">
        <f>('Evolutive SFP'!#REF!+'Evolutive SFP'!#REF!)/'Evolutive SFP'!#REF!</f>
        <v>#REF!</v>
      </c>
      <c r="AG16" s="38" t="e">
        <f>('Evolutive SFP'!#REF!+'Evolutive SFP'!#REF!)/'Evolutive SFP'!#REF!</f>
        <v>#REF!</v>
      </c>
      <c r="AH16" s="38" t="e">
        <f>('Evolutive SFP'!#REF!+'Evolutive SFP'!#REF!)/'Evolutive SFP'!#REF!</f>
        <v>#REF!</v>
      </c>
      <c r="AI16" s="38" t="e">
        <f>('Evolutive SFP'!#REF!+'Evolutive SFP'!#REF!)/'Evolutive SFP'!#REF!</f>
        <v>#REF!</v>
      </c>
      <c r="AJ16" s="38" t="e">
        <f>('Evolutive SFP'!#REF!+'Evolutive SFP'!#REF!)/'Evolutive SFP'!#REF!</f>
        <v>#REF!</v>
      </c>
      <c r="AK16" s="38" t="e">
        <f>('Evolutive SFP'!#REF!+'Evolutive SFP'!#REF!)/'Evolutive SFP'!#REF!</f>
        <v>#REF!</v>
      </c>
      <c r="AL16" s="38" t="e">
        <f>('Evolutive SFP'!#REF!+'Evolutive SFP'!#REF!)/'Evolutive SFP'!#REF!</f>
        <v>#REF!</v>
      </c>
      <c r="AM16" s="38" t="e">
        <f>('Evolutive SFP'!#REF!+'Evolutive SFP'!#REF!)/'Evolutive SFP'!#REF!</f>
        <v>#REF!</v>
      </c>
      <c r="AN16" s="38" t="e">
        <f>('Evolutive SFP'!#REF!+'Evolutive SFP'!#REF!)/'Evolutive SFP'!#REF!</f>
        <v>#REF!</v>
      </c>
      <c r="AO16" s="38" t="e">
        <f>('Evolutive SFP'!#REF!+'Evolutive SFP'!#REF!)/'Evolutive SFP'!#REF!</f>
        <v>#REF!</v>
      </c>
      <c r="AP16" s="38" t="e">
        <f>('Evolutive SFP'!#REF!+'Evolutive SFP'!#REF!)/'Evolutive SFP'!#REF!</f>
        <v>#REF!</v>
      </c>
      <c r="AQ16" s="38" t="e">
        <f>('Evolutive SFP'!#REF!+'Evolutive SFP'!#REF!)/'Evolutive SFP'!#REF!</f>
        <v>#REF!</v>
      </c>
      <c r="AR16" s="38" t="e">
        <f>('Evolutive SFP'!#REF!+'Evolutive SFP'!#REF!)/'Evolutive SFP'!#REF!</f>
        <v>#REF!</v>
      </c>
      <c r="AS16" s="38" t="e">
        <f>('Evolutive SFP'!#REF!+'Evolutive SFP'!#REF!)/'Evolutive SFP'!#REF!</f>
        <v>#REF!</v>
      </c>
      <c r="AT16" s="38">
        <f>('Evolutive SFP'!B7+'Evolutive SFP'!B21)/'Evolutive SFP'!B27</f>
        <v>5.272631308975443E-2</v>
      </c>
      <c r="AU16" s="38">
        <f>('Evolutive SFP'!C7+'Evolutive SFP'!C21)/'Evolutive SFP'!C27</f>
        <v>5.2385481400701692E-2</v>
      </c>
      <c r="AV16" s="38">
        <f>('Evolutive SFP'!D7+'Evolutive SFP'!D21)/'Evolutive SFP'!D27</f>
        <v>4.4155847017371977E-2</v>
      </c>
      <c r="AW16" s="38">
        <f>('Evolutive SFP'!E7+'Evolutive SFP'!E21)/'Evolutive SFP'!E27</f>
        <v>4.3548991839069261E-2</v>
      </c>
      <c r="AX16" s="38">
        <f>('Evolutive SFP'!F7+'Evolutive SFP'!F21)/'Evolutive SFP'!F27</f>
        <v>5.9439778158331499E-2</v>
      </c>
      <c r="AY16" s="38">
        <f>('Evolutive SFP'!G7+'Evolutive SFP'!G21)/'Evolutive SFP'!G27</f>
        <v>4.2104863336357365E-2</v>
      </c>
      <c r="AZ16" s="38">
        <f>('Evolutive SFP'!H7+'Evolutive SFP'!H21)/'Evolutive SFP'!H27</f>
        <v>4.2347160001273636E-2</v>
      </c>
      <c r="BA16" s="38" t="e">
        <f>('Evolutive SFP'!#REF!+'Evolutive SFP'!#REF!)/'Evolutive SFP'!#REF!</f>
        <v>#REF!</v>
      </c>
      <c r="BB16" s="38">
        <f>('Evolutive SFP'!I7+'Evolutive SFP'!I21)/'Evolutive SFP'!I27</f>
        <v>4.0615562674151846E-2</v>
      </c>
      <c r="BC16" s="38">
        <f>('Evolutive SFP'!J7+'Evolutive SFP'!J21)/'Evolutive SFP'!J27</f>
        <v>4.0088357200104181E-2</v>
      </c>
      <c r="BD16" s="38">
        <f>('Evolutive SFP'!K7+'Evolutive SFP'!K21)/'Evolutive SFP'!K27</f>
        <v>4.0577821848538441E-2</v>
      </c>
      <c r="BE16" s="38">
        <f>('Evolutive SFP'!L7+'Evolutive SFP'!L21)/'Evolutive SFP'!L27</f>
        <v>3.8884089006347128E-2</v>
      </c>
      <c r="BF16" s="38">
        <f>('Evolutive SFP'!M7+'Evolutive SFP'!M21)/'Evolutive SFP'!M27</f>
        <v>3.785666498429522E-2</v>
      </c>
      <c r="BG16" s="38">
        <f>('Evolutive SFP'!N7+'Evolutive SFP'!N21)/'Evolutive SFP'!N27</f>
        <v>3.7820347492337182E-2</v>
      </c>
      <c r="BH16" s="38">
        <f>('Evolutive SFP'!O7+'Evolutive SFP'!O21)/'Evolutive SFP'!O27</f>
        <v>3.8141999708953996E-2</v>
      </c>
      <c r="BI16" s="38">
        <f>('Evolutive SFP'!P7+'Evolutive SFP'!P21)/'Evolutive SFP'!P27</f>
        <v>3.8911234815375451E-2</v>
      </c>
      <c r="BJ16" s="38">
        <f>('Evolutive SFP'!Q7+'Evolutive SFP'!Q21)/'Evolutive SFP'!Q27</f>
        <v>3.8964761319537987E-2</v>
      </c>
      <c r="BK16" s="38">
        <f>('Evolutive SFP'!R7+'Evolutive SFP'!R21)/'Evolutive SFP'!R27</f>
        <v>3.7434402814197472E-2</v>
      </c>
      <c r="BL16" s="38">
        <f>('Evolutive SFP'!S7+'Evolutive SFP'!S21)/'Evolutive SFP'!S27</f>
        <v>3.7421135754826765E-2</v>
      </c>
      <c r="BM16" s="38">
        <f>('Evolutive SFP'!T7+'Evolutive SFP'!T21)/'Evolutive SFP'!T27</f>
        <v>3.9543892346483339E-2</v>
      </c>
      <c r="BN16" s="38">
        <f>('Evolutive SFP'!U7+'Evolutive SFP'!U21)/'Evolutive SFP'!U27</f>
        <v>3.959969572143017E-2</v>
      </c>
      <c r="BO16" s="38">
        <f>('Evolutive SFP'!V7+'Evolutive SFP'!V21)/'Evolutive SFP'!V27</f>
        <v>3.8525827755074481E-2</v>
      </c>
      <c r="BP16" s="38">
        <f>('Evolutive SFP'!W7+'Evolutive SFP'!W21)/'Evolutive SFP'!W27</f>
        <v>5.2510856498398317E-2</v>
      </c>
      <c r="BQ16" s="38">
        <f>('Evolutive SFP'!X7+'Evolutive SFP'!X21)/'Evolutive SFP'!X27</f>
        <v>3.927431300545111E-2</v>
      </c>
      <c r="BR16" s="38">
        <f>('Evolutive SFP'!Y7+'Evolutive SFP'!Y21)/'Evolutive SFP'!Y27</f>
        <v>3.7955847921273128E-2</v>
      </c>
      <c r="BS16" s="38">
        <f>('Evolutive SFP'!Z7+'Evolutive SFP'!Z21)/'Evolutive SFP'!Z27</f>
        <v>3.9866417703219685E-2</v>
      </c>
      <c r="BT16" s="38">
        <f>('Evolutive SFP'!AA7+'Evolutive SFP'!AA21)/'Evolutive SFP'!AA27</f>
        <v>3.7601246951113783E-2</v>
      </c>
      <c r="BU16" s="38">
        <f>('Evolutive SFP'!AB7+'Evolutive SFP'!AB21)/'Evolutive SFP'!AB27</f>
        <v>3.8886000462090578E-2</v>
      </c>
      <c r="BV16" s="38">
        <f>('Evolutive SFP'!AC7+'Evolutive SFP'!AC21)/'Evolutive SFP'!AC27</f>
        <v>3.9436288493605712E-2</v>
      </c>
      <c r="BW16" s="38">
        <f>('Evolutive SFP'!AD7+'Evolutive SFP'!AD21)/'Evolutive SFP'!AD27</f>
        <v>4.1433090355134053E-2</v>
      </c>
      <c r="BX16" s="38">
        <f>('Evolutive SFP'!AE7+'Evolutive SFP'!AE21)/'Evolutive SFP'!AE27</f>
        <v>3.7475579235079028E-2</v>
      </c>
      <c r="BY16" s="38">
        <f>('Evolutive SFP'!AF7+'Evolutive SFP'!AF21)/'Evolutive SFP'!AF27</f>
        <v>3.8343024341293837E-2</v>
      </c>
      <c r="BZ16" s="38">
        <f>('Evolutive SFP'!AG7+'Evolutive SFP'!AG21)/'Evolutive SFP'!AG27</f>
        <v>4.0077941159787647E-2</v>
      </c>
      <c r="CA16" s="38">
        <f>('Evolutive SFP'!AH7+'Evolutive SFP'!AH21)/'Evolutive SFP'!AH27</f>
        <v>4.9739694876565523E-2</v>
      </c>
      <c r="CB16" s="38">
        <f>('Evolutive SFP'!AI7+'Evolutive SFP'!AI21)/'Evolutive SFP'!AI27</f>
        <v>3.626021409133226E-2</v>
      </c>
      <c r="CC16" s="38">
        <f>('Evolutive SFP'!AJ7+'Evolutive SFP'!AJ21)/'Evolutive SFP'!AJ27</f>
        <v>3.7363968942979935E-2</v>
      </c>
      <c r="CD16" s="38">
        <f>('Evolutive SFP'!AK7+'Evolutive SFP'!AK21)/'Evolutive SFP'!AK27</f>
        <v>3.8221090565740225E-2</v>
      </c>
      <c r="CE16" s="38">
        <f>('Evolutive SFP'!AL7+'Evolutive SFP'!AL21)/'Evolutive SFP'!AL27</f>
        <v>4.0727866889624362E-2</v>
      </c>
      <c r="CF16" s="38">
        <f>('Evolutive SFP'!AM7+'Evolutive SFP'!AM21)/'Evolutive SFP'!AM27</f>
        <v>3.7230587845939786E-2</v>
      </c>
      <c r="CG16" s="38">
        <f>('Evolutive SFP'!AN7+'Evolutive SFP'!AN21)/'Evolutive SFP'!AN27</f>
        <v>3.8351869914706939E-2</v>
      </c>
      <c r="CH16" s="38">
        <f>('Evolutive SFP'!AO7+'Evolutive SFP'!AO21)/'Evolutive SFP'!AO27</f>
        <v>3.9337289759467202E-2</v>
      </c>
      <c r="CI16" s="38">
        <f>('Evolutive SFP'!AP7+'Evolutive SFP'!AP21)/'Evolutive SFP'!AP27</f>
        <v>4.0503641536954377E-2</v>
      </c>
      <c r="CJ16" s="38">
        <f>('Evolutive SFP'!AQ7+'Evolutive SFP'!AQ21)/'Evolutive SFP'!AQ27</f>
        <v>4.0025153520391814E-2</v>
      </c>
      <c r="CK16" s="38">
        <f>('Evolutive SFP'!AR7+'Evolutive SFP'!AR21)/'Evolutive SFP'!AR27</f>
        <v>3.6343381524316001E-2</v>
      </c>
      <c r="CL16" s="38">
        <f>('Evolutive SFP'!AS7+'Evolutive SFP'!AS21)/'Evolutive SFP'!AS27</f>
        <v>4.0393229618260799E-2</v>
      </c>
      <c r="CM16" s="38">
        <f>('Evolutive SFP'!AT7+'Evolutive SFP'!AT21)/'Evolutive SFP'!AT27</f>
        <v>3.8074521545405013E-2</v>
      </c>
      <c r="CN16" s="38">
        <f>('Evolutive SFP'!AU7+'Evolutive SFP'!AU21)/'Evolutive SFP'!AU27</f>
        <v>3.3443629216372728E-2</v>
      </c>
      <c r="CO16" s="38">
        <f>('Evolutive SFP'!AV7+'Evolutive SFP'!AV21)/'Evolutive SFP'!AV27</f>
        <v>4.2131574552338319E-2</v>
      </c>
    </row>
    <row r="17" spans="1:93" ht="15.75">
      <c r="A17" s="389"/>
      <c r="B17" s="3" t="s">
        <v>203</v>
      </c>
      <c r="C17" s="11" t="s">
        <v>204</v>
      </c>
      <c r="D17" s="34" t="e">
        <f>'Evolutive SFP'!#REF!/'Evolutive SFP'!#REF!</f>
        <v>#REF!</v>
      </c>
      <c r="E17" s="34" t="e">
        <f>'Evolutive SFP'!#REF!/'Evolutive SFP'!#REF!</f>
        <v>#REF!</v>
      </c>
      <c r="F17" s="34" t="e">
        <f>'Evolutive SFP'!#REF!/'Evolutive SFP'!#REF!</f>
        <v>#REF!</v>
      </c>
      <c r="G17" s="34" t="e">
        <f>'Evolutive SFP'!#REF!/'Evolutive SFP'!#REF!</f>
        <v>#REF!</v>
      </c>
      <c r="H17" s="34" t="e">
        <f>'Evolutive SFP'!#REF!/'Evolutive SFP'!#REF!</f>
        <v>#REF!</v>
      </c>
      <c r="I17" s="34" t="e">
        <f>'Evolutive SFP'!#REF!/'Evolutive SFP'!#REF!</f>
        <v>#REF!</v>
      </c>
      <c r="J17" s="34" t="e">
        <f>'Evolutive SFP'!#REF!/'Evolutive SFP'!#REF!</f>
        <v>#REF!</v>
      </c>
      <c r="K17" s="34" t="e">
        <f>'Evolutive SFP'!#REF!/'Evolutive SFP'!#REF!</f>
        <v>#REF!</v>
      </c>
      <c r="L17" s="34" t="e">
        <f>'Evolutive SFP'!#REF!/'Evolutive SFP'!#REF!</f>
        <v>#REF!</v>
      </c>
      <c r="M17" s="34" t="e">
        <f>'Evolutive SFP'!#REF!/'Evolutive SFP'!#REF!</f>
        <v>#REF!</v>
      </c>
      <c r="N17" s="34" t="e">
        <f>'Evolutive SFP'!#REF!/'Evolutive SFP'!#REF!</f>
        <v>#REF!</v>
      </c>
      <c r="O17" s="34" t="e">
        <f>'Evolutive SFP'!#REF!/'Evolutive SFP'!#REF!</f>
        <v>#REF!</v>
      </c>
      <c r="P17" s="34" t="e">
        <f>'Evolutive SFP'!#REF!/'Evolutive SFP'!#REF!</f>
        <v>#REF!</v>
      </c>
      <c r="Q17" s="34" t="e">
        <f>'Evolutive SFP'!#REF!/'Evolutive SFP'!#REF!</f>
        <v>#REF!</v>
      </c>
      <c r="R17" s="34" t="e">
        <f>'Evolutive SFP'!#REF!/'Evolutive SFP'!#REF!</f>
        <v>#REF!</v>
      </c>
      <c r="S17" s="38" t="e">
        <f>'Evolutive SFP'!#REF!/'Evolutive SFP'!#REF!</f>
        <v>#REF!</v>
      </c>
      <c r="T17" s="38" t="e">
        <f>'Evolutive SFP'!#REF!/'Evolutive SFP'!#REF!</f>
        <v>#REF!</v>
      </c>
      <c r="U17" s="38" t="e">
        <f>'Evolutive SFP'!#REF!/'Evolutive SFP'!#REF!</f>
        <v>#REF!</v>
      </c>
      <c r="V17" s="38" t="e">
        <f>'Evolutive SFP'!#REF!/'Evolutive SFP'!#REF!</f>
        <v>#REF!</v>
      </c>
      <c r="W17" s="38" t="e">
        <f>'Evolutive SFP'!#REF!/'Evolutive SFP'!#REF!</f>
        <v>#REF!</v>
      </c>
      <c r="X17" s="38" t="e">
        <f>'Evolutive SFP'!#REF!/'Evolutive SFP'!#REF!</f>
        <v>#REF!</v>
      </c>
      <c r="Y17" s="38" t="e">
        <f>'Evolutive SFP'!#REF!/'Evolutive SFP'!#REF!</f>
        <v>#REF!</v>
      </c>
      <c r="Z17" s="38" t="e">
        <f>'Evolutive SFP'!#REF!/'Evolutive SFP'!#REF!</f>
        <v>#REF!</v>
      </c>
      <c r="AA17" s="38" t="e">
        <f>'Evolutive SFP'!#REF!/'Evolutive SFP'!#REF!</f>
        <v>#REF!</v>
      </c>
      <c r="AB17" s="38" t="e">
        <f>'Evolutive SFP'!#REF!/'Evolutive SFP'!#REF!</f>
        <v>#REF!</v>
      </c>
      <c r="AC17" s="38" t="e">
        <f>'Evolutive SFP'!#REF!/'Evolutive SFP'!#REF!</f>
        <v>#REF!</v>
      </c>
      <c r="AD17" s="38" t="e">
        <f>'Evolutive SFP'!#REF!/'Evolutive SFP'!#REF!</f>
        <v>#REF!</v>
      </c>
      <c r="AE17" s="38" t="e">
        <f>'Evolutive SFP'!#REF!/'Evolutive SFP'!#REF!</f>
        <v>#REF!</v>
      </c>
      <c r="AF17" s="38" t="e">
        <f>'Evolutive SFP'!#REF!/'Evolutive SFP'!#REF!</f>
        <v>#REF!</v>
      </c>
      <c r="AG17" s="38" t="e">
        <f>'Evolutive SFP'!#REF!/'Evolutive SFP'!#REF!</f>
        <v>#REF!</v>
      </c>
      <c r="AH17" s="38" t="e">
        <f>'Evolutive SFP'!#REF!/'Evolutive SFP'!#REF!</f>
        <v>#REF!</v>
      </c>
      <c r="AI17" s="38" t="e">
        <f>'Evolutive SFP'!#REF!/'Evolutive SFP'!#REF!</f>
        <v>#REF!</v>
      </c>
      <c r="AJ17" s="38" t="e">
        <f>'Evolutive SFP'!#REF!/'Evolutive SFP'!#REF!</f>
        <v>#REF!</v>
      </c>
      <c r="AK17" s="38" t="e">
        <f>'Evolutive SFP'!#REF!/'Evolutive SFP'!#REF!</f>
        <v>#REF!</v>
      </c>
      <c r="AL17" s="38" t="e">
        <f>'Evolutive SFP'!#REF!/'Evolutive SFP'!#REF!</f>
        <v>#REF!</v>
      </c>
      <c r="AM17" s="38" t="e">
        <f>'Evolutive SFP'!#REF!/'Evolutive SFP'!#REF!</f>
        <v>#REF!</v>
      </c>
      <c r="AN17" s="38" t="e">
        <f>'Evolutive SFP'!#REF!/'Evolutive SFP'!#REF!</f>
        <v>#REF!</v>
      </c>
      <c r="AO17" s="38" t="e">
        <f>'Evolutive SFP'!#REF!/'Evolutive SFP'!#REF!</f>
        <v>#REF!</v>
      </c>
      <c r="AP17" s="38" t="e">
        <f>'Evolutive SFP'!#REF!/'Evolutive SFP'!#REF!</f>
        <v>#REF!</v>
      </c>
      <c r="AQ17" s="38" t="e">
        <f>'Evolutive SFP'!#REF!/'Evolutive SFP'!#REF!</f>
        <v>#REF!</v>
      </c>
      <c r="AR17" s="38" t="e">
        <f>'Evolutive SFP'!#REF!/'Evolutive SFP'!#REF!</f>
        <v>#REF!</v>
      </c>
      <c r="AS17" s="38" t="e">
        <f>'Evolutive SFP'!#REF!/'Evolutive SFP'!#REF!</f>
        <v>#REF!</v>
      </c>
      <c r="AT17" s="38">
        <f>'Evolutive SFP'!B21/'Evolutive SFP'!B27</f>
        <v>1.2972568186637832E-2</v>
      </c>
      <c r="AU17" s="38">
        <f>'Evolutive SFP'!C21/'Evolutive SFP'!C27</f>
        <v>5.2385481400701692E-2</v>
      </c>
      <c r="AV17" s="38">
        <f>'Evolutive SFP'!D21/'Evolutive SFP'!D27</f>
        <v>4.4155847017371977E-2</v>
      </c>
      <c r="AW17" s="38">
        <f>'Evolutive SFP'!E21/'Evolutive SFP'!E27</f>
        <v>4.3548991839069261E-2</v>
      </c>
      <c r="AX17" s="38">
        <f>'Evolutive SFP'!F21/'Evolutive SFP'!F27</f>
        <v>5.9439778158331499E-2</v>
      </c>
      <c r="AY17" s="38">
        <f>'Evolutive SFP'!G21/'Evolutive SFP'!G27</f>
        <v>4.2104863336357365E-2</v>
      </c>
      <c r="AZ17" s="38">
        <f>'Evolutive SFP'!H21/'Evolutive SFP'!H27</f>
        <v>4.2347160001273636E-2</v>
      </c>
      <c r="BA17" s="38" t="e">
        <f>'Evolutive SFP'!#REF!/'Evolutive SFP'!#REF!</f>
        <v>#REF!</v>
      </c>
      <c r="BB17" s="38">
        <f>'Evolutive SFP'!I21/'Evolutive SFP'!I27</f>
        <v>4.0615562674151846E-2</v>
      </c>
      <c r="BC17" s="38">
        <f>'Evolutive SFP'!J21/'Evolutive SFP'!J27</f>
        <v>4.0088357200104181E-2</v>
      </c>
      <c r="BD17" s="38">
        <f>'Evolutive SFP'!K21/'Evolutive SFP'!K27</f>
        <v>4.0577821848538441E-2</v>
      </c>
      <c r="BE17" s="38">
        <f>'Evolutive SFP'!L21/'Evolutive SFP'!L27</f>
        <v>3.8884089006347128E-2</v>
      </c>
      <c r="BF17" s="38">
        <f>'Evolutive SFP'!M21/'Evolutive SFP'!M27</f>
        <v>3.785666498429522E-2</v>
      </c>
      <c r="BG17" s="38">
        <f>'Evolutive SFP'!N21/'Evolutive SFP'!N27</f>
        <v>3.1380638927833521E-2</v>
      </c>
      <c r="BH17" s="38">
        <f>'Evolutive SFP'!O21/'Evolutive SFP'!O27</f>
        <v>3.8141999708953996E-2</v>
      </c>
      <c r="BI17" s="38">
        <f>'Evolutive SFP'!P21/'Evolutive SFP'!P27</f>
        <v>3.8911234815375451E-2</v>
      </c>
      <c r="BJ17" s="38">
        <f>'Evolutive SFP'!Q21/'Evolutive SFP'!Q27</f>
        <v>3.8964761319537987E-2</v>
      </c>
      <c r="BK17" s="38">
        <f>'Evolutive SFP'!R21/'Evolutive SFP'!R27</f>
        <v>3.7434402814197472E-2</v>
      </c>
      <c r="BL17" s="38">
        <f>'Evolutive SFP'!S21/'Evolutive SFP'!S27</f>
        <v>3.7421135754826765E-2</v>
      </c>
      <c r="BM17" s="38">
        <f>'Evolutive SFP'!T21/'Evolutive SFP'!T27</f>
        <v>3.9543892346483339E-2</v>
      </c>
      <c r="BN17" s="38">
        <f>'Evolutive SFP'!U21/'Evolutive SFP'!U27</f>
        <v>3.959969572143017E-2</v>
      </c>
      <c r="BO17" s="38">
        <f>'Evolutive SFP'!V21/'Evolutive SFP'!V27</f>
        <v>3.8525827755074481E-2</v>
      </c>
      <c r="BP17" s="38">
        <f>'Evolutive SFP'!W21/'Evolutive SFP'!W27</f>
        <v>5.2510856498398317E-2</v>
      </c>
      <c r="BQ17" s="38">
        <f>'Evolutive SFP'!X21/'Evolutive SFP'!X27</f>
        <v>3.927431300545111E-2</v>
      </c>
      <c r="BR17" s="38">
        <f>'Evolutive SFP'!Y21/'Evolutive SFP'!Y27</f>
        <v>3.7955847921273128E-2</v>
      </c>
      <c r="BS17" s="38">
        <f>'Evolutive SFP'!Z21/'Evolutive SFP'!Z27</f>
        <v>3.9866417703219685E-2</v>
      </c>
      <c r="BT17" s="38">
        <f>'Evolutive SFP'!AA21/'Evolutive SFP'!AA27</f>
        <v>2.7287833910260934E-2</v>
      </c>
      <c r="BU17" s="38">
        <f>'Evolutive SFP'!AB21/'Evolutive SFP'!AB27</f>
        <v>3.8886000462090578E-2</v>
      </c>
      <c r="BV17" s="38">
        <f>'Evolutive SFP'!AC21/'Evolutive SFP'!AC27</f>
        <v>3.9436288493605712E-2</v>
      </c>
      <c r="BW17" s="38">
        <f>'Evolutive SFP'!AD21/'Evolutive SFP'!AD27</f>
        <v>4.1433090355134053E-2</v>
      </c>
      <c r="BX17" s="38">
        <f>'Evolutive SFP'!AE21/'Evolutive SFP'!AE27</f>
        <v>3.7475579235079028E-2</v>
      </c>
      <c r="BY17" s="38">
        <f>'Evolutive SFP'!AF21/'Evolutive SFP'!AF27</f>
        <v>3.8343024341293837E-2</v>
      </c>
      <c r="BZ17" s="38">
        <f>'Evolutive SFP'!AG21/'Evolutive SFP'!AG27</f>
        <v>4.0077941159787647E-2</v>
      </c>
      <c r="CA17" s="38">
        <f>'Evolutive SFP'!AH21/'Evolutive SFP'!AH27</f>
        <v>4.9739694876565523E-2</v>
      </c>
      <c r="CB17" s="38">
        <f>'Evolutive SFP'!AI21/'Evolutive SFP'!AI27</f>
        <v>3.626021409133226E-2</v>
      </c>
      <c r="CC17" s="38">
        <f>'Evolutive SFP'!AJ21/'Evolutive SFP'!AJ27</f>
        <v>3.7363968942979935E-2</v>
      </c>
      <c r="CD17" s="38">
        <f>'Evolutive SFP'!AK21/'Evolutive SFP'!AK27</f>
        <v>3.8221090565740225E-2</v>
      </c>
      <c r="CE17" s="38">
        <f>'Evolutive SFP'!AL21/'Evolutive SFP'!AL27</f>
        <v>4.0727866889624362E-2</v>
      </c>
      <c r="CF17" s="38">
        <f>'Evolutive SFP'!AM21/'Evolutive SFP'!AM27</f>
        <v>3.7230587845939786E-2</v>
      </c>
      <c r="CG17" s="38">
        <f>'Evolutive SFP'!AN21/'Evolutive SFP'!AN27</f>
        <v>2.3097018519379137E-2</v>
      </c>
      <c r="CH17" s="38">
        <f>'Evolutive SFP'!AO21/'Evolutive SFP'!AO27</f>
        <v>3.9337289759467202E-2</v>
      </c>
      <c r="CI17" s="38">
        <f>'Evolutive SFP'!AP21/'Evolutive SFP'!AP27</f>
        <v>4.0503641536954377E-2</v>
      </c>
      <c r="CJ17" s="38">
        <f>'Evolutive SFP'!AQ21/'Evolutive SFP'!AQ27</f>
        <v>4.0025153520391814E-2</v>
      </c>
      <c r="CK17" s="38">
        <f>'Evolutive SFP'!AR21/'Evolutive SFP'!AR27</f>
        <v>3.6343381524316001E-2</v>
      </c>
      <c r="CL17" s="38">
        <f>'Evolutive SFP'!AS21/'Evolutive SFP'!AS27</f>
        <v>4.0393229618260799E-2</v>
      </c>
      <c r="CM17" s="38">
        <f>'Evolutive SFP'!AT21/'Evolutive SFP'!AT27</f>
        <v>3.8074521545405013E-2</v>
      </c>
      <c r="CN17" s="38">
        <f>'Evolutive SFP'!AU21/'Evolutive SFP'!AU27</f>
        <v>3.3443629216372728E-2</v>
      </c>
      <c r="CO17" s="38">
        <f>'Evolutive SFP'!AV21/'Evolutive SFP'!AV27</f>
        <v>4.2131574552338319E-2</v>
      </c>
    </row>
    <row r="18" spans="1:93" ht="15.75">
      <c r="A18" s="389"/>
      <c r="B18" s="3" t="s">
        <v>205</v>
      </c>
      <c r="C18" s="11" t="s">
        <v>204</v>
      </c>
      <c r="D18" s="34" t="e">
        <f>'Evolutive SFP'!#REF!/'Evolutive SFP'!#REF!</f>
        <v>#REF!</v>
      </c>
      <c r="E18" s="34" t="e">
        <f>'Evolutive SFP'!#REF!/'Evolutive SFP'!#REF!</f>
        <v>#REF!</v>
      </c>
      <c r="F18" s="34" t="e">
        <f>'Evolutive SFP'!#REF!/'Evolutive SFP'!#REF!</f>
        <v>#REF!</v>
      </c>
      <c r="G18" s="34" t="e">
        <f>'Evolutive SFP'!#REF!/'Evolutive SFP'!#REF!</f>
        <v>#REF!</v>
      </c>
      <c r="H18" s="34" t="e">
        <f>'Evolutive SFP'!#REF!/'Evolutive SFP'!#REF!</f>
        <v>#REF!</v>
      </c>
      <c r="I18" s="34" t="e">
        <f>'Evolutive SFP'!#REF!/'Evolutive SFP'!#REF!</f>
        <v>#REF!</v>
      </c>
      <c r="J18" s="34" t="e">
        <f>'Evolutive SFP'!#REF!/'Evolutive SFP'!#REF!</f>
        <v>#REF!</v>
      </c>
      <c r="K18" s="34" t="e">
        <f>'Evolutive SFP'!#REF!/'Evolutive SFP'!#REF!</f>
        <v>#REF!</v>
      </c>
      <c r="L18" s="34" t="e">
        <f>'Evolutive SFP'!#REF!/'Evolutive SFP'!#REF!</f>
        <v>#REF!</v>
      </c>
      <c r="M18" s="34" t="e">
        <f>'Evolutive SFP'!#REF!/'Evolutive SFP'!#REF!</f>
        <v>#REF!</v>
      </c>
      <c r="N18" s="34" t="e">
        <f>'Evolutive SFP'!#REF!/'Evolutive SFP'!#REF!</f>
        <v>#REF!</v>
      </c>
      <c r="O18" s="34" t="e">
        <f>'Evolutive SFP'!#REF!/'Evolutive SFP'!#REF!</f>
        <v>#REF!</v>
      </c>
      <c r="P18" s="34" t="e">
        <f>'Evolutive SFP'!#REF!/'Evolutive SFP'!#REF!</f>
        <v>#REF!</v>
      </c>
      <c r="Q18" s="34" t="e">
        <f>'Evolutive SFP'!#REF!/'Evolutive SFP'!#REF!</f>
        <v>#REF!</v>
      </c>
      <c r="R18" s="34" t="e">
        <f>'Evolutive SFP'!#REF!/'Evolutive SFP'!#REF!</f>
        <v>#REF!</v>
      </c>
      <c r="S18" s="38" t="e">
        <f>'Evolutive SFP'!#REF!/'Evolutive SFP'!#REF!</f>
        <v>#REF!</v>
      </c>
      <c r="T18" s="38" t="e">
        <f>'Evolutive SFP'!#REF!/'Evolutive SFP'!#REF!</f>
        <v>#REF!</v>
      </c>
      <c r="U18" s="38" t="e">
        <f>'Evolutive SFP'!#REF!/'Evolutive SFP'!#REF!</f>
        <v>#REF!</v>
      </c>
      <c r="V18" s="38" t="e">
        <f>'Evolutive SFP'!#REF!/'Evolutive SFP'!#REF!</f>
        <v>#REF!</v>
      </c>
      <c r="W18" s="38" t="e">
        <f>'Evolutive SFP'!#REF!/'Evolutive SFP'!#REF!</f>
        <v>#REF!</v>
      </c>
      <c r="X18" s="38" t="e">
        <f>'Evolutive SFP'!#REF!/'Evolutive SFP'!#REF!</f>
        <v>#REF!</v>
      </c>
      <c r="Y18" s="38" t="e">
        <f>'Evolutive SFP'!#REF!/'Evolutive SFP'!#REF!</f>
        <v>#REF!</v>
      </c>
      <c r="Z18" s="38" t="e">
        <f>'Evolutive SFP'!#REF!/'Evolutive SFP'!#REF!</f>
        <v>#REF!</v>
      </c>
      <c r="AA18" s="38" t="e">
        <f>'Evolutive SFP'!#REF!/'Evolutive SFP'!#REF!</f>
        <v>#REF!</v>
      </c>
      <c r="AB18" s="38" t="e">
        <f>'Evolutive SFP'!#REF!/'Evolutive SFP'!#REF!</f>
        <v>#REF!</v>
      </c>
      <c r="AC18" s="38" t="e">
        <f>'Evolutive SFP'!#REF!/'Evolutive SFP'!#REF!</f>
        <v>#REF!</v>
      </c>
      <c r="AD18" s="38" t="e">
        <f>'Evolutive SFP'!#REF!/'Evolutive SFP'!#REF!</f>
        <v>#REF!</v>
      </c>
      <c r="AE18" s="38" t="e">
        <f>'Evolutive SFP'!#REF!/'Evolutive SFP'!#REF!</f>
        <v>#REF!</v>
      </c>
      <c r="AF18" s="38" t="e">
        <f>'Evolutive SFP'!#REF!/'Evolutive SFP'!#REF!</f>
        <v>#REF!</v>
      </c>
      <c r="AG18" s="38" t="e">
        <f>'Evolutive SFP'!#REF!/'Evolutive SFP'!#REF!</f>
        <v>#REF!</v>
      </c>
      <c r="AH18" s="38" t="e">
        <f>'Evolutive SFP'!#REF!/'Evolutive SFP'!#REF!</f>
        <v>#REF!</v>
      </c>
      <c r="AI18" s="38" t="e">
        <f>'Evolutive SFP'!#REF!/'Evolutive SFP'!#REF!</f>
        <v>#REF!</v>
      </c>
      <c r="AJ18" s="38" t="e">
        <f>'Evolutive SFP'!#REF!/'Evolutive SFP'!#REF!</f>
        <v>#REF!</v>
      </c>
      <c r="AK18" s="38" t="e">
        <f>'Evolutive SFP'!#REF!/'Evolutive SFP'!#REF!</f>
        <v>#REF!</v>
      </c>
      <c r="AL18" s="38" t="e">
        <f>'Evolutive SFP'!#REF!/'Evolutive SFP'!#REF!</f>
        <v>#REF!</v>
      </c>
      <c r="AM18" s="38" t="e">
        <f>'Evolutive SFP'!#REF!/'Evolutive SFP'!#REF!</f>
        <v>#REF!</v>
      </c>
      <c r="AN18" s="38" t="e">
        <f>'Evolutive SFP'!#REF!/'Evolutive SFP'!#REF!</f>
        <v>#REF!</v>
      </c>
      <c r="AO18" s="38" t="e">
        <f>'Evolutive SFP'!#REF!/'Evolutive SFP'!#REF!</f>
        <v>#REF!</v>
      </c>
      <c r="AP18" s="38" t="e">
        <f>'Evolutive SFP'!#REF!/'Evolutive SFP'!#REF!</f>
        <v>#REF!</v>
      </c>
      <c r="AQ18" s="38" t="e">
        <f>'Evolutive SFP'!#REF!/'Evolutive SFP'!#REF!</f>
        <v>#REF!</v>
      </c>
      <c r="AR18" s="38" t="e">
        <f>'Evolutive SFP'!#REF!/'Evolutive SFP'!#REF!</f>
        <v>#REF!</v>
      </c>
      <c r="AS18" s="38" t="e">
        <f>'Evolutive SFP'!#REF!/'Evolutive SFP'!#REF!</f>
        <v>#REF!</v>
      </c>
      <c r="AT18" s="38">
        <f>'Evolutive SFP'!B13/'Evolutive SFP'!B31</f>
        <v>0</v>
      </c>
      <c r="AU18" s="38">
        <f>'Evolutive SFP'!C13/'Evolutive SFP'!C31</f>
        <v>0</v>
      </c>
      <c r="AV18" s="38">
        <f>'Evolutive SFP'!D13/'Evolutive SFP'!D31</f>
        <v>0</v>
      </c>
      <c r="AW18" s="38">
        <f>'Evolutive SFP'!E13/'Evolutive SFP'!E31</f>
        <v>0</v>
      </c>
      <c r="AX18" s="38">
        <f>'Evolutive SFP'!F13/'Evolutive SFP'!F31</f>
        <v>0</v>
      </c>
      <c r="AY18" s="38">
        <f>'Evolutive SFP'!G13/'Evolutive SFP'!G31</f>
        <v>0</v>
      </c>
      <c r="AZ18" s="38">
        <f>'Evolutive SFP'!H13/'Evolutive SFP'!H31</f>
        <v>0</v>
      </c>
      <c r="BA18" s="38" t="e">
        <f>'Evolutive SFP'!#REF!/'Evolutive SFP'!#REF!</f>
        <v>#REF!</v>
      </c>
      <c r="BB18" s="38">
        <f>'Evolutive SFP'!I13/'Evolutive SFP'!I31</f>
        <v>0</v>
      </c>
      <c r="BC18" s="38">
        <f>'Evolutive SFP'!J13/'Evolutive SFP'!J31</f>
        <v>0</v>
      </c>
      <c r="BD18" s="38">
        <f>'Evolutive SFP'!K13/'Evolutive SFP'!K31</f>
        <v>0</v>
      </c>
      <c r="BE18" s="38">
        <f>'Evolutive SFP'!L13/'Evolutive SFP'!L31</f>
        <v>0</v>
      </c>
      <c r="BF18" s="38">
        <f>'Evolutive SFP'!M13/'Evolutive SFP'!M31</f>
        <v>0</v>
      </c>
      <c r="BG18" s="38">
        <f>'Evolutive SFP'!N13/'Evolutive SFP'!N31</f>
        <v>5.9729011153236908E-2</v>
      </c>
      <c r="BH18" s="38">
        <f>'Evolutive SFP'!O13/'Evolutive SFP'!O31</f>
        <v>8.0558055046001317E-2</v>
      </c>
      <c r="BI18" s="38">
        <f>'Evolutive SFP'!P13/'Evolutive SFP'!P31</f>
        <v>7.950037467103753E-2</v>
      </c>
      <c r="BJ18" s="38">
        <f>'Evolutive SFP'!Q13/'Evolutive SFP'!Q31</f>
        <v>7.4676102849493692E-2</v>
      </c>
      <c r="BK18" s="38">
        <f>'Evolutive SFP'!R13/'Evolutive SFP'!R31</f>
        <v>7.4369433725086267E-2</v>
      </c>
      <c r="BL18" s="38">
        <f>'Evolutive SFP'!S13/'Evolutive SFP'!S31</f>
        <v>7.3871094270809262E-2</v>
      </c>
      <c r="BM18" s="38">
        <f>'Evolutive SFP'!T13/'Evolutive SFP'!T31</f>
        <v>7.2927243134856351E-2</v>
      </c>
      <c r="BN18" s="38">
        <f>'Evolutive SFP'!U13/'Evolutive SFP'!U31</f>
        <v>7.2380614869740623E-2</v>
      </c>
      <c r="BO18" s="38">
        <f>'Evolutive SFP'!V13/'Evolutive SFP'!V31</f>
        <v>7.2414344376014628E-2</v>
      </c>
      <c r="BP18" s="38">
        <f>'Evolutive SFP'!W13/'Evolutive SFP'!W31</f>
        <v>7.1730503887065478E-2</v>
      </c>
      <c r="BQ18" s="38">
        <f>'Evolutive SFP'!X13/'Evolutive SFP'!X31</f>
        <v>7.1257635671240313E-2</v>
      </c>
      <c r="BR18" s="38">
        <f>'Evolutive SFP'!Y13/'Evolutive SFP'!Y31</f>
        <v>7.0776233898991417E-2</v>
      </c>
      <c r="BS18" s="38">
        <f>'Evolutive SFP'!Z13/'Evolutive SFP'!Z31</f>
        <v>6.9689757452210913E-2</v>
      </c>
      <c r="BT18" s="38">
        <f>'Evolutive SFP'!AA13/'Evolutive SFP'!AA31</f>
        <v>5.1432488260892209E-2</v>
      </c>
      <c r="BU18" s="38">
        <f>'Evolutive SFP'!AB13/'Evolutive SFP'!AB31</f>
        <v>0</v>
      </c>
      <c r="BV18" s="38">
        <f>'Evolutive SFP'!AC13/'Evolutive SFP'!AC31</f>
        <v>0</v>
      </c>
      <c r="BW18" s="38">
        <f>'Evolutive SFP'!AD13/'Evolutive SFP'!AD31</f>
        <v>0</v>
      </c>
      <c r="BX18" s="38">
        <f>'Evolutive SFP'!AE13/'Evolutive SFP'!AE31</f>
        <v>0</v>
      </c>
      <c r="BY18" s="38">
        <f>'Evolutive SFP'!AF13/'Evolutive SFP'!AF31</f>
        <v>0</v>
      </c>
      <c r="BZ18" s="38">
        <f>'Evolutive SFP'!AG13/'Evolutive SFP'!AG31</f>
        <v>0</v>
      </c>
      <c r="CA18" s="38">
        <f>'Evolutive SFP'!AH13/'Evolutive SFP'!AH31</f>
        <v>0</v>
      </c>
      <c r="CB18" s="38">
        <f>'Evolutive SFP'!AI13/'Evolutive SFP'!AI31</f>
        <v>0</v>
      </c>
      <c r="CC18" s="38">
        <f>'Evolutive SFP'!AJ13/'Evolutive SFP'!AJ31</f>
        <v>0</v>
      </c>
      <c r="CD18" s="38">
        <f>'Evolutive SFP'!AK13/'Evolutive SFP'!AK31</f>
        <v>0</v>
      </c>
      <c r="CE18" s="38">
        <f>'Evolutive SFP'!AL13/'Evolutive SFP'!AL31</f>
        <v>0</v>
      </c>
      <c r="CF18" s="38">
        <f>'Evolutive SFP'!AM13/'Evolutive SFP'!AM31</f>
        <v>0</v>
      </c>
      <c r="CG18" s="38">
        <f>'Evolutive SFP'!AN13/'Evolutive SFP'!AN31</f>
        <v>4.2922565482407707E-2</v>
      </c>
      <c r="CH18" s="38">
        <f>'Evolutive SFP'!AO13/'Evolutive SFP'!AO31</f>
        <v>0</v>
      </c>
      <c r="CI18" s="38">
        <f>'Evolutive SFP'!AP13/'Evolutive SFP'!AP31</f>
        <v>0</v>
      </c>
      <c r="CJ18" s="38">
        <f>'Evolutive SFP'!AQ13/'Evolutive SFP'!AQ31</f>
        <v>0</v>
      </c>
      <c r="CK18" s="38">
        <f>'Evolutive SFP'!AR13/'Evolutive SFP'!AR31</f>
        <v>0</v>
      </c>
      <c r="CL18" s="38">
        <f>'Evolutive SFP'!AS13/'Evolutive SFP'!AS31</f>
        <v>0</v>
      </c>
      <c r="CM18" s="38">
        <f>'Evolutive SFP'!AT13/'Evolutive SFP'!AT31</f>
        <v>0</v>
      </c>
      <c r="CN18" s="38">
        <f>'Evolutive SFP'!AU13/'Evolutive SFP'!AU31</f>
        <v>0</v>
      </c>
      <c r="CO18" s="38">
        <f>'Evolutive SFP'!AV13/'Evolutive SFP'!AV31</f>
        <v>0</v>
      </c>
    </row>
    <row r="19" spans="1:93" ht="15">
      <c r="A19" s="389"/>
      <c r="B19" s="31" t="s">
        <v>206</v>
      </c>
      <c r="C19" s="12" t="s">
        <v>207</v>
      </c>
      <c r="D19" s="34" t="e">
        <f>'Evolutive SFP'!#REF!/(CAELS!D3*1000000)</f>
        <v>#REF!</v>
      </c>
      <c r="E19" s="34" t="e">
        <f>'Evolutive SFP'!#REF!/(CAELS!E3*1000000)</f>
        <v>#REF!</v>
      </c>
      <c r="F19" s="34" t="e">
        <f>'Evolutive SFP'!#REF!/(CAELS!F3*1000000)</f>
        <v>#REF!</v>
      </c>
      <c r="G19" s="34" t="e">
        <f>'Evolutive SFP'!#REF!/(CAELS!G3*1000000)</f>
        <v>#REF!</v>
      </c>
      <c r="H19" s="34" t="e">
        <f>'Evolutive SFP'!#REF!/(CAELS!H3*1000000)</f>
        <v>#REF!</v>
      </c>
      <c r="I19" s="34" t="e">
        <f>'Evolutive SFP'!#REF!/(CAELS!I3*1000000)</f>
        <v>#REF!</v>
      </c>
      <c r="J19" s="34" t="e">
        <f>'Evolutive SFP'!#REF!/(CAELS!J3*1000000)</f>
        <v>#REF!</v>
      </c>
      <c r="K19" s="34" t="e">
        <f>'Evolutive SFP'!#REF!/(CAELS!K3*1000000)</f>
        <v>#REF!</v>
      </c>
      <c r="L19" s="34" t="e">
        <f>'Evolutive SFP'!#REF!/(CAELS!L3*1000000)</f>
        <v>#REF!</v>
      </c>
      <c r="M19" s="34" t="e">
        <f>'Evolutive SFP'!#REF!/(CAELS!M3*1000000)</f>
        <v>#REF!</v>
      </c>
      <c r="N19" s="34" t="e">
        <f>'Evolutive SFP'!#REF!/(CAELS!N3*1000000)</f>
        <v>#REF!</v>
      </c>
      <c r="O19" s="34" t="e">
        <f>'Evolutive SFP'!#REF!/(CAELS!O3*1000000)</f>
        <v>#REF!</v>
      </c>
      <c r="P19" s="34" t="e">
        <f>'Evolutive SFP'!#REF!/(CAELS!P3*1000000)</f>
        <v>#REF!</v>
      </c>
      <c r="Q19" s="34" t="e">
        <f>'Evolutive SFP'!#REF!/(CAELS!Q3*1000000)</f>
        <v>#REF!</v>
      </c>
      <c r="R19" s="34" t="e">
        <f>'Evolutive SFP'!#REF!/(CAELS!R3*1000000)</f>
        <v>#REF!</v>
      </c>
      <c r="S19" s="38" t="e">
        <f>'Evolutive SFP'!#REF!/(CAELS!S3*1000000)</f>
        <v>#REF!</v>
      </c>
      <c r="T19" s="38" t="e">
        <f>'Evolutive SFP'!#REF!/(CAELS!T3*1000000)</f>
        <v>#REF!</v>
      </c>
      <c r="U19" s="38" t="e">
        <f>'Evolutive SFP'!#REF!/(CAELS!U3*1000000)</f>
        <v>#REF!</v>
      </c>
      <c r="V19" s="38" t="e">
        <f>'Evolutive SFP'!#REF!/(CAELS!V3*1000000)</f>
        <v>#REF!</v>
      </c>
      <c r="W19" s="38" t="e">
        <f>'Evolutive SFP'!#REF!/(CAELS!W3*1000000)</f>
        <v>#REF!</v>
      </c>
      <c r="X19" s="38" t="e">
        <f>'Evolutive SFP'!#REF!/(CAELS!X3*1000000)</f>
        <v>#REF!</v>
      </c>
      <c r="Y19" s="38" t="e">
        <f>'Evolutive SFP'!#REF!/(CAELS!Y3*1000000)</f>
        <v>#REF!</v>
      </c>
      <c r="Z19" s="38" t="e">
        <f>'Evolutive SFP'!#REF!/(CAELS!Z3*1000000)</f>
        <v>#REF!</v>
      </c>
      <c r="AA19" s="38" t="e">
        <f>'Evolutive SFP'!#REF!/(CAELS!AA3*1000000)</f>
        <v>#REF!</v>
      </c>
      <c r="AB19" s="38" t="e">
        <f>'Evolutive SFP'!#REF!/(CAELS!AB3*1000000)</f>
        <v>#REF!</v>
      </c>
      <c r="AC19" s="38" t="e">
        <f>'Evolutive SFP'!#REF!/(CAELS!AC3*1000000)</f>
        <v>#REF!</v>
      </c>
      <c r="AD19" s="38" t="e">
        <f>'Evolutive SFP'!#REF!/(CAELS!AD3*1000000)</f>
        <v>#REF!</v>
      </c>
      <c r="AE19" s="38" t="e">
        <f>'Evolutive SFP'!#REF!/(CAELS!AE3*1000000)</f>
        <v>#REF!</v>
      </c>
      <c r="AF19" s="38" t="e">
        <f>'Evolutive SFP'!#REF!/(CAELS!AF3*1000000)</f>
        <v>#REF!</v>
      </c>
      <c r="AG19" s="38" t="e">
        <f>'Evolutive SFP'!#REF!/(CAELS!AG3*1000000)</f>
        <v>#REF!</v>
      </c>
      <c r="AH19" s="38" t="e">
        <f>'Evolutive SFP'!#REF!/(CAELS!AH3*1000000)</f>
        <v>#REF!</v>
      </c>
      <c r="AI19" s="38" t="e">
        <f>'Evolutive SFP'!#REF!/(CAELS!AI3*1000000)</f>
        <v>#REF!</v>
      </c>
      <c r="AJ19" s="38" t="e">
        <f>'Evolutive SFP'!#REF!/(CAELS!AJ3*1000000)</f>
        <v>#REF!</v>
      </c>
      <c r="AK19" s="38" t="e">
        <f>'Evolutive SFP'!#REF!/(CAELS!AK3*1000000)</f>
        <v>#REF!</v>
      </c>
      <c r="AL19" s="38" t="e">
        <f>'Evolutive SFP'!#REF!/(CAELS!AL3*1000000)</f>
        <v>#REF!</v>
      </c>
      <c r="AM19" s="38" t="e">
        <f>'Evolutive SFP'!#REF!/(CAELS!AM3*1000000)</f>
        <v>#REF!</v>
      </c>
      <c r="AN19" s="38" t="e">
        <f>'Evolutive SFP'!#REF!/(CAELS!AN3*1000000)</f>
        <v>#REF!</v>
      </c>
      <c r="AO19" s="38" t="e">
        <f>'Evolutive SFP'!#REF!/(CAELS!AO3*1000000)</f>
        <v>#REF!</v>
      </c>
      <c r="AP19" s="38" t="e">
        <f>'Evolutive SFP'!#REF!/(CAELS!AP3*1000000)</f>
        <v>#REF!</v>
      </c>
      <c r="AQ19" s="38" t="e">
        <f>'Evolutive SFP'!#REF!/(CAELS!AQ3*1000000)</f>
        <v>#REF!</v>
      </c>
      <c r="AR19" s="38" t="e">
        <f>'Evolutive SFP'!#REF!/(CAELS!AR3*1000000)</f>
        <v>#REF!</v>
      </c>
      <c r="AS19" s="38" t="e">
        <f>'Evolutive SFP'!#REF!/(CAELS!AS3*1000000)</f>
        <v>#REF!</v>
      </c>
      <c r="AT19" s="38">
        <f>'Evolutive SFP'!B13/(CAELS!AT3*1000000)</f>
        <v>0</v>
      </c>
      <c r="AU19" s="38">
        <f>'Evolutive SFP'!C13/(CAELS!AU3*1000000)</f>
        <v>0</v>
      </c>
      <c r="AV19" s="38">
        <f>'Evolutive SFP'!D13/(CAELS!AV3*1000000)</f>
        <v>0</v>
      </c>
      <c r="AW19" s="38">
        <f>'Evolutive SFP'!E13/(CAELS!AW3*1000000)</f>
        <v>0</v>
      </c>
      <c r="AX19" s="38">
        <f>'Evolutive SFP'!F13/(CAELS!AX3*1000000)</f>
        <v>0</v>
      </c>
      <c r="AY19" s="38">
        <f>'Evolutive SFP'!G13/(CAELS!AY3*1000000)</f>
        <v>0</v>
      </c>
      <c r="AZ19" s="38">
        <f>'Evolutive SFP'!H13/(CAELS!AZ3*1000000)</f>
        <v>0</v>
      </c>
      <c r="BA19" s="38" t="e">
        <f>'Evolutive SFP'!#REF!/(CAELS!BA3*1000000)</f>
        <v>#REF!</v>
      </c>
      <c r="BB19" s="38">
        <f>'Evolutive SFP'!I13/(CAELS!BB3*1000000)</f>
        <v>0</v>
      </c>
      <c r="BC19" s="38">
        <f>'Evolutive SFP'!J13/(CAELS!BC3*1000000)</f>
        <v>0</v>
      </c>
      <c r="BD19" s="38">
        <f>'Evolutive SFP'!K13/(CAELS!BD3*1000000)</f>
        <v>0</v>
      </c>
      <c r="BE19" s="38">
        <f>'Evolutive SFP'!L13/(CAELS!BE3*1000000)</f>
        <v>0</v>
      </c>
      <c r="BF19" s="38">
        <f>'Evolutive SFP'!M13/(CAELS!BF3*1000000)</f>
        <v>0</v>
      </c>
      <c r="BG19" s="38">
        <f>'Evolutive SFP'!N13/(CAELS!BG3*1000000)</f>
        <v>0.20539056920966456</v>
      </c>
      <c r="BH19" s="38">
        <f>'Evolutive SFP'!O13/(CAELS!BH3*1000000)</f>
        <v>0.2967727461718338</v>
      </c>
      <c r="BI19" s="38">
        <f>'Evolutive SFP'!P13/(CAELS!BI3*1000000)</f>
        <v>0.30574988430144928</v>
      </c>
      <c r="BJ19" s="38">
        <f>'Evolutive SFP'!Q13/(CAELS!BJ3*1000000)</f>
        <v>0.29975851047029223</v>
      </c>
      <c r="BK19" s="38">
        <f>'Evolutive SFP'!R13/(CAELS!BK3*1000000)</f>
        <v>0.27927631988007257</v>
      </c>
      <c r="BL19" s="38">
        <f>'Evolutive SFP'!S13/(CAELS!BL3*1000000)</f>
        <v>0.27864012413919192</v>
      </c>
      <c r="BM19" s="38">
        <f>'Evolutive SFP'!T13/(CAELS!BM3*1000000)</f>
        <v>0.27013274036180412</v>
      </c>
      <c r="BN19" s="38">
        <f>'Evolutive SFP'!U13/(CAELS!BN3*1000000)</f>
        <v>0.27843920549376477</v>
      </c>
      <c r="BO19" s="38">
        <f>'Evolutive SFP'!V13/(CAELS!BO3*1000000)</f>
        <v>0.28209535259860435</v>
      </c>
      <c r="BP19" s="38">
        <f>'Evolutive SFP'!W13/(CAELS!BP3*1000000)</f>
        <v>0.26310838017403904</v>
      </c>
      <c r="BQ19" s="38">
        <f>'Evolutive SFP'!X13/(CAELS!BQ3*1000000)</f>
        <v>0.26079592535994656</v>
      </c>
      <c r="BR19" s="38">
        <f>'Evolutive SFP'!Y13/(CAELS!BR3*1000000)</f>
        <v>0.25695152576703717</v>
      </c>
      <c r="BS19" s="38">
        <f>'Evolutive SFP'!Z13/(CAELS!BS3*1000000)</f>
        <v>0.24639599284195113</v>
      </c>
      <c r="BT19" s="38">
        <f>'Evolutive SFP'!AA13/(CAELS!BT3*1000000)</f>
        <v>0.17540081486596867</v>
      </c>
      <c r="BU19" s="38">
        <f>'Evolutive SFP'!AB13/(CAELS!BU3*1000000)</f>
        <v>0</v>
      </c>
      <c r="BV19" s="38">
        <f>'Evolutive SFP'!AC13/(CAELS!BV3*1000000)</f>
        <v>0</v>
      </c>
      <c r="BW19" s="38">
        <f>'Evolutive SFP'!AD13/(CAELS!BW3*1000000)</f>
        <v>0</v>
      </c>
      <c r="BX19" s="38">
        <f>'Evolutive SFP'!AE13/(CAELS!BX3*1000000)</f>
        <v>0</v>
      </c>
      <c r="BY19" s="38">
        <f>'Evolutive SFP'!AF13/(CAELS!BY3*1000000)</f>
        <v>0</v>
      </c>
      <c r="BZ19" s="38">
        <f>'Evolutive SFP'!AG13/(CAELS!BZ3*1000000)</f>
        <v>0</v>
      </c>
      <c r="CA19" s="38">
        <f>'Evolutive SFP'!AH13/(CAELS!CA3*1000000)</f>
        <v>0</v>
      </c>
      <c r="CB19" s="38">
        <f>'Evolutive SFP'!AI13/(CAELS!CB3*1000000)</f>
        <v>0</v>
      </c>
      <c r="CC19" s="38">
        <f>'Evolutive SFP'!AJ13/(CAELS!CC3*1000000)</f>
        <v>0</v>
      </c>
      <c r="CD19" s="38">
        <f>'Evolutive SFP'!AK13/(CAELS!CD3*1000000)</f>
        <v>0</v>
      </c>
      <c r="CE19" s="38">
        <f>'Evolutive SFP'!AL13/(CAELS!CE3*1000000)</f>
        <v>0</v>
      </c>
      <c r="CF19" s="38">
        <f>'Evolutive SFP'!AM13/(CAELS!CF3*1000000)</f>
        <v>0</v>
      </c>
      <c r="CG19" s="38">
        <f>'Evolutive SFP'!AN13/(CAELS!CG3*1000000)</f>
        <v>0.16109042038549234</v>
      </c>
      <c r="CH19" s="38">
        <f>'Evolutive SFP'!AO13/(CAELS!CH3*1000000)</f>
        <v>0</v>
      </c>
      <c r="CI19" s="38">
        <f>'Evolutive SFP'!AP13/(CAELS!CI3*1000000)</f>
        <v>0</v>
      </c>
      <c r="CJ19" s="38">
        <f>'Evolutive SFP'!AQ13/(CAELS!CJ3*1000000)</f>
        <v>0</v>
      </c>
      <c r="CK19" s="38">
        <f>'Evolutive SFP'!AR13/(CAELS!CK3*1000000)</f>
        <v>0</v>
      </c>
      <c r="CL19" s="38">
        <f>'Evolutive SFP'!AS13/(CAELS!CL3*1000000)</f>
        <v>0</v>
      </c>
      <c r="CM19" s="38">
        <f>'Evolutive SFP'!AT13/(CAELS!CM3*1000000)</f>
        <v>0</v>
      </c>
      <c r="CN19" s="38">
        <f>'Evolutive SFP'!AU13/(CAELS!CN3*1000000)</f>
        <v>0</v>
      </c>
      <c r="CO19" s="38">
        <f>'Evolutive SFP'!AV13/(CAELS!CO3*1000000)</f>
        <v>0</v>
      </c>
    </row>
    <row r="20" spans="1:93" ht="15">
      <c r="A20" s="389"/>
      <c r="B20" s="4" t="s">
        <v>208</v>
      </c>
      <c r="C20" s="12"/>
      <c r="D20" s="34" t="e">
        <f>'Evolutive SFP'!#REF!/'Evolutive SFP'!#REF!</f>
        <v>#REF!</v>
      </c>
      <c r="E20" s="34" t="e">
        <f>'Evolutive SFP'!#REF!/'Evolutive SFP'!#REF!</f>
        <v>#REF!</v>
      </c>
      <c r="F20" s="34" t="e">
        <f>'Evolutive SFP'!#REF!/'Evolutive SFP'!#REF!</f>
        <v>#REF!</v>
      </c>
      <c r="G20" s="34" t="e">
        <f>'Evolutive SFP'!#REF!/'Evolutive SFP'!#REF!</f>
        <v>#REF!</v>
      </c>
      <c r="H20" s="34" t="e">
        <f>'Evolutive SFP'!#REF!/'Evolutive SFP'!#REF!</f>
        <v>#REF!</v>
      </c>
      <c r="I20" s="34" t="e">
        <f>'Evolutive SFP'!#REF!/'Evolutive SFP'!#REF!</f>
        <v>#REF!</v>
      </c>
      <c r="J20" s="34" t="e">
        <f>'Evolutive SFP'!#REF!/'Evolutive SFP'!#REF!</f>
        <v>#REF!</v>
      </c>
      <c r="K20" s="34" t="e">
        <f>'Evolutive SFP'!#REF!/'Evolutive SFP'!#REF!</f>
        <v>#REF!</v>
      </c>
      <c r="L20" s="34" t="e">
        <f>'Evolutive SFP'!#REF!/'Evolutive SFP'!#REF!</f>
        <v>#REF!</v>
      </c>
      <c r="M20" s="34" t="e">
        <f>'Evolutive SFP'!#REF!/'Evolutive SFP'!#REF!</f>
        <v>#REF!</v>
      </c>
      <c r="N20" s="34" t="e">
        <f>'Evolutive SFP'!#REF!/'Evolutive SFP'!#REF!</f>
        <v>#REF!</v>
      </c>
      <c r="O20" s="34" t="e">
        <f>'Evolutive SFP'!#REF!/'Evolutive SFP'!#REF!</f>
        <v>#REF!</v>
      </c>
      <c r="P20" s="34" t="e">
        <f>'Evolutive SFP'!#REF!/'Evolutive SFP'!#REF!</f>
        <v>#REF!</v>
      </c>
      <c r="Q20" s="34" t="e">
        <f>'Evolutive SFP'!#REF!/'Evolutive SFP'!#REF!</f>
        <v>#REF!</v>
      </c>
      <c r="R20" s="34" t="e">
        <f>'Evolutive SFP'!#REF!/'Evolutive SFP'!#REF!</f>
        <v>#REF!</v>
      </c>
      <c r="S20" s="38" t="e">
        <f>'Evolutive SFP'!#REF!/'Evolutive SFP'!#REF!</f>
        <v>#REF!</v>
      </c>
      <c r="T20" s="38" t="e">
        <f>'Evolutive SFP'!#REF!/'Evolutive SFP'!#REF!</f>
        <v>#REF!</v>
      </c>
      <c r="U20" s="38" t="e">
        <f>'Evolutive SFP'!#REF!/'Evolutive SFP'!#REF!</f>
        <v>#REF!</v>
      </c>
      <c r="V20" s="38" t="e">
        <f>'Evolutive SFP'!#REF!/'Evolutive SFP'!#REF!</f>
        <v>#REF!</v>
      </c>
      <c r="W20" s="38" t="e">
        <f>'Evolutive SFP'!#REF!/'Evolutive SFP'!#REF!</f>
        <v>#REF!</v>
      </c>
      <c r="X20" s="38" t="e">
        <f>'Evolutive SFP'!#REF!/'Evolutive SFP'!#REF!</f>
        <v>#REF!</v>
      </c>
      <c r="Y20" s="38" t="e">
        <f>'Evolutive SFP'!#REF!/'Evolutive SFP'!#REF!</f>
        <v>#REF!</v>
      </c>
      <c r="Z20" s="38" t="e">
        <f>'Evolutive SFP'!#REF!/'Evolutive SFP'!#REF!</f>
        <v>#REF!</v>
      </c>
      <c r="AA20" s="38" t="e">
        <f>'Evolutive SFP'!#REF!/'Evolutive SFP'!#REF!</f>
        <v>#REF!</v>
      </c>
      <c r="AB20" s="38" t="e">
        <f>'Evolutive SFP'!#REF!/'Evolutive SFP'!#REF!</f>
        <v>#REF!</v>
      </c>
      <c r="AC20" s="38" t="e">
        <f>'Evolutive SFP'!#REF!/'Evolutive SFP'!#REF!</f>
        <v>#REF!</v>
      </c>
      <c r="AD20" s="38" t="e">
        <f>'Evolutive SFP'!#REF!/'Evolutive SFP'!#REF!</f>
        <v>#REF!</v>
      </c>
      <c r="AE20" s="38" t="e">
        <f>'Evolutive SFP'!#REF!/'Evolutive SFP'!#REF!</f>
        <v>#REF!</v>
      </c>
      <c r="AF20" s="38" t="e">
        <f>'Evolutive SFP'!#REF!/'Evolutive SFP'!#REF!</f>
        <v>#REF!</v>
      </c>
      <c r="AG20" s="38" t="e">
        <f>'Evolutive SFP'!#REF!/'Evolutive SFP'!#REF!</f>
        <v>#REF!</v>
      </c>
      <c r="AH20" s="38" t="e">
        <f>'Evolutive SFP'!#REF!/'Evolutive SFP'!#REF!</f>
        <v>#REF!</v>
      </c>
      <c r="AI20" s="38" t="e">
        <f>'Evolutive SFP'!#REF!/'Evolutive SFP'!#REF!</f>
        <v>#REF!</v>
      </c>
      <c r="AJ20" s="38" t="e">
        <f>'Evolutive SFP'!#REF!/'Evolutive SFP'!#REF!</f>
        <v>#REF!</v>
      </c>
      <c r="AK20" s="38" t="e">
        <f>'Evolutive SFP'!#REF!/'Evolutive SFP'!#REF!</f>
        <v>#REF!</v>
      </c>
      <c r="AL20" s="38" t="e">
        <f>'Evolutive SFP'!#REF!/'Evolutive SFP'!#REF!</f>
        <v>#REF!</v>
      </c>
      <c r="AM20" s="38" t="e">
        <f>'Evolutive SFP'!#REF!/'Evolutive SFP'!#REF!</f>
        <v>#REF!</v>
      </c>
      <c r="AN20" s="38" t="e">
        <f>'Evolutive SFP'!#REF!/'Evolutive SFP'!#REF!</f>
        <v>#REF!</v>
      </c>
      <c r="AO20" s="38" t="e">
        <f>'Evolutive SFP'!#REF!/'Evolutive SFP'!#REF!</f>
        <v>#REF!</v>
      </c>
      <c r="AP20" s="38" t="e">
        <f>'Evolutive SFP'!#REF!/'Evolutive SFP'!#REF!</f>
        <v>#REF!</v>
      </c>
      <c r="AQ20" s="38" t="e">
        <f>'Evolutive SFP'!#REF!/'Evolutive SFP'!#REF!</f>
        <v>#REF!</v>
      </c>
      <c r="AR20" s="38" t="e">
        <f>'Evolutive SFP'!#REF!/'Evolutive SFP'!#REF!</f>
        <v>#REF!</v>
      </c>
      <c r="AS20" s="38" t="e">
        <f>'Evolutive SFP'!#REF!/'Evolutive SFP'!#REF!</f>
        <v>#REF!</v>
      </c>
      <c r="AT20" s="38">
        <f>'Evolutive SFP'!B15/'Evolutive SFP'!B27</f>
        <v>0.81183536592447747</v>
      </c>
      <c r="AU20" s="38">
        <f>'Evolutive SFP'!C15/'Evolutive SFP'!C27</f>
        <v>0.71199877933116917</v>
      </c>
      <c r="AV20" s="38">
        <f>'Evolutive SFP'!D15/'Evolutive SFP'!D27</f>
        <v>0.72220470882687726</v>
      </c>
      <c r="AW20" s="38">
        <f>'Evolutive SFP'!E15/'Evolutive SFP'!E27</f>
        <v>0.72147579847827858</v>
      </c>
      <c r="AX20" s="38">
        <f>'Evolutive SFP'!F15/'Evolutive SFP'!F27</f>
        <v>0.69058380609532022</v>
      </c>
      <c r="AY20" s="38">
        <f>'Evolutive SFP'!G15/'Evolutive SFP'!G27</f>
        <v>0.66104448676055816</v>
      </c>
      <c r="AZ20" s="38">
        <f>'Evolutive SFP'!H15/'Evolutive SFP'!H27</f>
        <v>0.65671269146657119</v>
      </c>
      <c r="BA20" s="38" t="e">
        <f>'Evolutive SFP'!#REF!/'Evolutive SFP'!#REF!</f>
        <v>#REF!</v>
      </c>
      <c r="BB20" s="38">
        <f>'Evolutive SFP'!I15/'Evolutive SFP'!I27</f>
        <v>0.6871474600787949</v>
      </c>
      <c r="BC20" s="38">
        <f>'Evolutive SFP'!J15/'Evolutive SFP'!J27</f>
        <v>0.70488785842797708</v>
      </c>
      <c r="BD20" s="38">
        <f>'Evolutive SFP'!K15/'Evolutive SFP'!K27</f>
        <v>0.71010475376797155</v>
      </c>
      <c r="BE20" s="38">
        <f>'Evolutive SFP'!L15/'Evolutive SFP'!L27</f>
        <v>0.70780246964792826</v>
      </c>
      <c r="BF20" s="38">
        <f>'Evolutive SFP'!M15/'Evolutive SFP'!M27</f>
        <v>0.70686468076278264</v>
      </c>
      <c r="BG20" s="38">
        <f>'Evolutive SFP'!N15/'Evolutive SFP'!N27</f>
        <v>0.70890139313408307</v>
      </c>
      <c r="BH20" s="38">
        <f>'Evolutive SFP'!O15/'Evolutive SFP'!O27</f>
        <v>0.7036163286355136</v>
      </c>
      <c r="BI20" s="38">
        <f>'Evolutive SFP'!P15/'Evolutive SFP'!P27</f>
        <v>0.70675201276209743</v>
      </c>
      <c r="BJ20" s="38">
        <f>'Evolutive SFP'!Q15/'Evolutive SFP'!Q27</f>
        <v>0.71312831468051752</v>
      </c>
      <c r="BK20" s="38">
        <f>'Evolutive SFP'!R15/'Evolutive SFP'!R27</f>
        <v>0.71591435693389693</v>
      </c>
      <c r="BL20" s="38">
        <f>'Evolutive SFP'!S15/'Evolutive SFP'!S27</f>
        <v>0.71772101067793459</v>
      </c>
      <c r="BM20" s="38">
        <f>'Evolutive SFP'!T15/'Evolutive SFP'!T27</f>
        <v>0.72148241502938426</v>
      </c>
      <c r="BN20" s="38">
        <f>'Evolutive SFP'!U15/'Evolutive SFP'!U27</f>
        <v>0.72092817485228666</v>
      </c>
      <c r="BO20" s="38">
        <f>'Evolutive SFP'!V15/'Evolutive SFP'!V27</f>
        <v>0.7217118257450319</v>
      </c>
      <c r="BP20" s="38">
        <f>'Evolutive SFP'!W15/'Evolutive SFP'!W27</f>
        <v>0.70587435415059552</v>
      </c>
      <c r="BQ20" s="38">
        <f>'Evolutive SFP'!X15/'Evolutive SFP'!X27</f>
        <v>0.70022668049448922</v>
      </c>
      <c r="BR20" s="38">
        <f>'Evolutive SFP'!Y15/'Evolutive SFP'!Y27</f>
        <v>0.6920830833649575</v>
      </c>
      <c r="BS20" s="38">
        <f>'Evolutive SFP'!Z15/'Evolutive SFP'!Z27</f>
        <v>0.68226573341905383</v>
      </c>
      <c r="BT20" s="38">
        <f>'Evolutive SFP'!AA15/'Evolutive SFP'!AA27</f>
        <v>0.68481727056823971</v>
      </c>
      <c r="BU20" s="38">
        <f>'Evolutive SFP'!AB15/'Evolutive SFP'!AB27</f>
        <v>0.68279857234953389</v>
      </c>
      <c r="BV20" s="38">
        <f>'Evolutive SFP'!AC15/'Evolutive SFP'!AC27</f>
        <v>0.67563060289977628</v>
      </c>
      <c r="BW20" s="38">
        <f>'Evolutive SFP'!AD15/'Evolutive SFP'!AD27</f>
        <v>0.68099674443973546</v>
      </c>
      <c r="BX20" s="38">
        <f>'Evolutive SFP'!AE15/'Evolutive SFP'!AE27</f>
        <v>0.68706300377297891</v>
      </c>
      <c r="BY20" s="38">
        <f>'Evolutive SFP'!AF15/'Evolutive SFP'!AF27</f>
        <v>0.68448532131968054</v>
      </c>
      <c r="BZ20" s="38">
        <f>'Evolutive SFP'!AG15/'Evolutive SFP'!AG27</f>
        <v>0.68204677389771207</v>
      </c>
      <c r="CA20" s="38">
        <f>'Evolutive SFP'!AH15/'Evolutive SFP'!AH27</f>
        <v>0.67739323034031285</v>
      </c>
      <c r="CB20" s="38">
        <f>'Evolutive SFP'!AI15/'Evolutive SFP'!AI27</f>
        <v>0.6716211414240677</v>
      </c>
      <c r="CC20" s="38">
        <f>'Evolutive SFP'!AJ15/'Evolutive SFP'!AJ27</f>
        <v>0.66031521498539847</v>
      </c>
      <c r="CD20" s="38">
        <f>'Evolutive SFP'!AK15/'Evolutive SFP'!AK27</f>
        <v>0.65810893491633204</v>
      </c>
      <c r="CE20" s="38">
        <f>'Evolutive SFP'!AL15/'Evolutive SFP'!AL27</f>
        <v>0.65158311407448632</v>
      </c>
      <c r="CF20" s="38">
        <f>'Evolutive SFP'!AM15/'Evolutive SFP'!AM27</f>
        <v>0.65268688892864568</v>
      </c>
      <c r="CG20" s="38">
        <f>'Evolutive SFP'!AN15/'Evolutive SFP'!AN27</f>
        <v>0.65360500157402257</v>
      </c>
      <c r="CH20" s="38">
        <f>'Evolutive SFP'!AO15/'Evolutive SFP'!AO27</f>
        <v>0.65757376678257851</v>
      </c>
      <c r="CI20" s="38">
        <f>'Evolutive SFP'!AP15/'Evolutive SFP'!AP27</f>
        <v>0.65081480882179799</v>
      </c>
      <c r="CJ20" s="38">
        <f>'Evolutive SFP'!AQ15/'Evolutive SFP'!AQ27</f>
        <v>0.66172804569801236</v>
      </c>
      <c r="CK20" s="38">
        <f>'Evolutive SFP'!AR15/'Evolutive SFP'!AR27</f>
        <v>0.66748769503865379</v>
      </c>
      <c r="CL20" s="38">
        <f>'Evolutive SFP'!AS15/'Evolutive SFP'!AS27</f>
        <v>0.66506616984370592</v>
      </c>
      <c r="CM20" s="38">
        <f>'Evolutive SFP'!AT15/'Evolutive SFP'!AT27</f>
        <v>0.66910360637936606</v>
      </c>
      <c r="CN20" s="38">
        <f>'Evolutive SFP'!AU15/'Evolutive SFP'!AU27</f>
        <v>0.67471565603502626</v>
      </c>
      <c r="CO20" s="38">
        <f>'Evolutive SFP'!AV15/'Evolutive SFP'!AV27</f>
        <v>0.68959482330239019</v>
      </c>
    </row>
    <row r="21" spans="1:93" ht="15">
      <c r="A21" s="388" t="s">
        <v>209</v>
      </c>
      <c r="B21" s="32" t="s">
        <v>210</v>
      </c>
      <c r="C21" s="2"/>
      <c r="D21" s="34" t="e">
        <f>'Evolutive SFP'!#REF!/'Evolutive SFP'!#REF!</f>
        <v>#REF!</v>
      </c>
      <c r="E21" s="34" t="e">
        <f>'Evolutive SFP'!#REF!/'Evolutive SFP'!#REF!</f>
        <v>#REF!</v>
      </c>
      <c r="F21" s="34" t="e">
        <f>'Evolutive SFP'!#REF!/'Evolutive SFP'!#REF!</f>
        <v>#REF!</v>
      </c>
      <c r="G21" s="34" t="e">
        <f>'Evolutive SFP'!#REF!/'Evolutive SFP'!#REF!</f>
        <v>#REF!</v>
      </c>
      <c r="H21" s="34" t="e">
        <f>'Evolutive SFP'!#REF!/'Evolutive SFP'!#REF!</f>
        <v>#REF!</v>
      </c>
      <c r="I21" s="34" t="e">
        <f>'Evolutive SFP'!#REF!/'Evolutive SFP'!#REF!</f>
        <v>#REF!</v>
      </c>
      <c r="J21" s="34" t="e">
        <f>'Evolutive SFP'!#REF!/'Evolutive SFP'!#REF!</f>
        <v>#REF!</v>
      </c>
      <c r="K21" s="34" t="e">
        <f>'Evolutive SFP'!#REF!/'Evolutive SFP'!#REF!</f>
        <v>#REF!</v>
      </c>
      <c r="L21" s="34" t="e">
        <f>'Evolutive SFP'!#REF!/'Evolutive SFP'!#REF!</f>
        <v>#REF!</v>
      </c>
      <c r="M21" s="34" t="e">
        <f>'Evolutive SFP'!#REF!/'Evolutive SFP'!#REF!</f>
        <v>#REF!</v>
      </c>
      <c r="N21" s="34" t="e">
        <f>'Evolutive SFP'!#REF!/'Evolutive SFP'!#REF!</f>
        <v>#REF!</v>
      </c>
      <c r="O21" s="34" t="e">
        <f>'Evolutive SFP'!#REF!/'Evolutive SFP'!#REF!</f>
        <v>#REF!</v>
      </c>
      <c r="P21" s="34" t="e">
        <f>'Evolutive SFP'!#REF!/'Evolutive SFP'!#REF!</f>
        <v>#REF!</v>
      </c>
      <c r="Q21" s="34" t="e">
        <f>'Evolutive SFP'!#REF!/'Evolutive SFP'!#REF!</f>
        <v>#REF!</v>
      </c>
      <c r="R21" s="34" t="e">
        <f>'Evolutive SFP'!#REF!/'Evolutive SFP'!#REF!</f>
        <v>#REF!</v>
      </c>
      <c r="S21" s="38" t="e">
        <f>'Evolutive SFP'!#REF!/'Evolutive SFP'!#REF!</f>
        <v>#REF!</v>
      </c>
      <c r="T21" s="38" t="e">
        <f>'Evolutive SFP'!#REF!/'Evolutive SFP'!#REF!</f>
        <v>#REF!</v>
      </c>
      <c r="U21" s="38" t="e">
        <f>'Evolutive SFP'!#REF!/'Evolutive SFP'!#REF!</f>
        <v>#REF!</v>
      </c>
      <c r="V21" s="38" t="e">
        <f>'Evolutive SFP'!#REF!/'Evolutive SFP'!#REF!</f>
        <v>#REF!</v>
      </c>
      <c r="W21" s="38" t="e">
        <f>'Evolutive SFP'!#REF!/'Evolutive SFP'!#REF!</f>
        <v>#REF!</v>
      </c>
      <c r="X21" s="38" t="e">
        <f>'Evolutive SFP'!#REF!/'Evolutive SFP'!#REF!</f>
        <v>#REF!</v>
      </c>
      <c r="Y21" s="38" t="e">
        <f>'Evolutive SFP'!#REF!/'Evolutive SFP'!#REF!</f>
        <v>#REF!</v>
      </c>
      <c r="Z21" s="38" t="e">
        <f>'Evolutive SFP'!#REF!/'Evolutive SFP'!#REF!</f>
        <v>#REF!</v>
      </c>
      <c r="AA21" s="38" t="e">
        <f>'Evolutive SFP'!#REF!/'Evolutive SFP'!#REF!</f>
        <v>#REF!</v>
      </c>
      <c r="AB21" s="38" t="e">
        <f>'Evolutive SFP'!#REF!/'Evolutive SFP'!#REF!</f>
        <v>#REF!</v>
      </c>
      <c r="AC21" s="38" t="e">
        <f>'Evolutive SFP'!#REF!/'Evolutive SFP'!#REF!</f>
        <v>#REF!</v>
      </c>
      <c r="AD21" s="38" t="e">
        <f>'Evolutive SFP'!#REF!/'Evolutive SFP'!#REF!</f>
        <v>#REF!</v>
      </c>
      <c r="AE21" s="38" t="e">
        <f>'Evolutive SFP'!#REF!/'Evolutive SFP'!#REF!</f>
        <v>#REF!</v>
      </c>
      <c r="AF21" s="38" t="e">
        <f>'Evolutive SFP'!#REF!/'Evolutive SFP'!#REF!</f>
        <v>#REF!</v>
      </c>
      <c r="AG21" s="38" t="e">
        <f>'Evolutive SFP'!#REF!/'Evolutive SFP'!#REF!</f>
        <v>#REF!</v>
      </c>
      <c r="AH21" s="38" t="e">
        <f>'Evolutive SFP'!#REF!/'Evolutive SFP'!#REF!</f>
        <v>#REF!</v>
      </c>
      <c r="AI21" s="38" t="e">
        <f>'Evolutive SFP'!#REF!/'Evolutive SFP'!#REF!</f>
        <v>#REF!</v>
      </c>
      <c r="AJ21" s="38" t="e">
        <f>'Evolutive SFP'!#REF!/'Evolutive SFP'!#REF!</f>
        <v>#REF!</v>
      </c>
      <c r="AK21" s="38" t="e">
        <f>'Evolutive SFP'!#REF!/'Evolutive SFP'!#REF!</f>
        <v>#REF!</v>
      </c>
      <c r="AL21" s="38" t="e">
        <f>'Evolutive SFP'!#REF!/'Evolutive SFP'!#REF!</f>
        <v>#REF!</v>
      </c>
      <c r="AM21" s="38" t="e">
        <f>'Evolutive SFP'!#REF!/'Evolutive SFP'!#REF!</f>
        <v>#REF!</v>
      </c>
      <c r="AN21" s="38" t="e">
        <f>'Evolutive SFP'!#REF!/'Evolutive SFP'!#REF!</f>
        <v>#REF!</v>
      </c>
      <c r="AO21" s="38" t="e">
        <f>'Evolutive SFP'!#REF!/'Evolutive SFP'!#REF!</f>
        <v>#REF!</v>
      </c>
      <c r="AP21" s="38" t="e">
        <f>'Evolutive SFP'!#REF!/'Evolutive SFP'!#REF!</f>
        <v>#REF!</v>
      </c>
      <c r="AQ21" s="38" t="e">
        <f>'Evolutive SFP'!#REF!/'Evolutive SFP'!#REF!</f>
        <v>#REF!</v>
      </c>
      <c r="AR21" s="38" t="e">
        <f>'Evolutive SFP'!#REF!/'Evolutive SFP'!#REF!</f>
        <v>#REF!</v>
      </c>
      <c r="AS21" s="38" t="e">
        <f>'Evolutive SFP'!#REF!/'Evolutive SFP'!#REF!</f>
        <v>#REF!</v>
      </c>
      <c r="AT21" s="38">
        <f>'Evolutive SFP'!B31/'Evolutive SFP'!B27</f>
        <v>0.87830612925928209</v>
      </c>
      <c r="AU21" s="38">
        <f>'Evolutive SFP'!C31/'Evolutive SFP'!C27</f>
        <v>0.68806672607260011</v>
      </c>
      <c r="AV21" s="38">
        <f>'Evolutive SFP'!D31/'Evolutive SFP'!D27</f>
        <v>0.69769774643282056</v>
      </c>
      <c r="AW21" s="38">
        <f>'Evolutive SFP'!E31/'Evolutive SFP'!E27</f>
        <v>0.75055794583850699</v>
      </c>
      <c r="AX21" s="38">
        <f>'Evolutive SFP'!F31/'Evolutive SFP'!F27</f>
        <v>0.74020144573195212</v>
      </c>
      <c r="AY21" s="38">
        <f>'Evolutive SFP'!G31/'Evolutive SFP'!G27</f>
        <v>0.72525952515322856</v>
      </c>
      <c r="AZ21" s="38">
        <f>'Evolutive SFP'!H31/'Evolutive SFP'!H27</f>
        <v>0.73081429306537082</v>
      </c>
      <c r="BA21" s="38" t="e">
        <f>'Evolutive SFP'!#REF!/'Evolutive SFP'!#REF!</f>
        <v>#REF!</v>
      </c>
      <c r="BB21" s="38">
        <f>'Evolutive SFP'!I31/'Evolutive SFP'!I27</f>
        <v>0.72325351672513194</v>
      </c>
      <c r="BC21" s="38">
        <f>'Evolutive SFP'!J31/'Evolutive SFP'!J27</f>
        <v>0.71560849163606244</v>
      </c>
      <c r="BD21" s="38">
        <f>'Evolutive SFP'!K31/'Evolutive SFP'!K27</f>
        <v>0.70763825886584553</v>
      </c>
      <c r="BE21" s="38">
        <f>'Evolutive SFP'!L31/'Evolutive SFP'!L27</f>
        <v>0.70368848150346974</v>
      </c>
      <c r="BF21" s="38">
        <f>'Evolutive SFP'!M31/'Evolutive SFP'!M27</f>
        <v>0.69303319456254009</v>
      </c>
      <c r="BG21" s="38">
        <f>'Evolutive SFP'!N31/'Evolutive SFP'!N27</f>
        <v>0.7015621651828744</v>
      </c>
      <c r="BH21" s="38">
        <f>'Evolutive SFP'!O31/'Evolutive SFP'!O27</f>
        <v>0.69683241181635214</v>
      </c>
      <c r="BI21" s="38">
        <f>'Evolutive SFP'!P31/'Evolutive SFP'!P27</f>
        <v>0.70270718977078672</v>
      </c>
      <c r="BJ21" s="38">
        <f>'Evolutive SFP'!Q31/'Evolutive SFP'!Q27</f>
        <v>0.75691211672637637</v>
      </c>
      <c r="BK21" s="38">
        <f>'Evolutive SFP'!R31/'Evolutive SFP'!R27</f>
        <v>0.74553117261917612</v>
      </c>
      <c r="BL21" s="38">
        <f>'Evolutive SFP'!S31/'Evolutive SFP'!S27</f>
        <v>0.74074339349743856</v>
      </c>
      <c r="BM21" s="38">
        <f>'Evolutive SFP'!T31/'Evolutive SFP'!T27</f>
        <v>0.73812641003993118</v>
      </c>
      <c r="BN21" s="38">
        <f>'Evolutive SFP'!U31/'Evolutive SFP'!U27</f>
        <v>0.73376862309842172</v>
      </c>
      <c r="BO21" s="38">
        <f>'Evolutive SFP'!V31/'Evolutive SFP'!V27</f>
        <v>0.72755781683026866</v>
      </c>
      <c r="BP21" s="38">
        <f>'Evolutive SFP'!W31/'Evolutive SFP'!W27</f>
        <v>0.72059779825316417</v>
      </c>
      <c r="BQ21" s="38">
        <f>'Evolutive SFP'!X31/'Evolutive SFP'!X27</f>
        <v>0.71517828309506648</v>
      </c>
      <c r="BR21" s="38">
        <f>'Evolutive SFP'!Y31/'Evolutive SFP'!Y27</f>
        <v>0.70747061650542697</v>
      </c>
      <c r="BS21" s="38">
        <f>'Evolutive SFP'!Z31/'Evolutive SFP'!Z27</f>
        <v>0.7021457820560244</v>
      </c>
      <c r="BT21" s="38">
        <f>'Evolutive SFP'!AA31/'Evolutive SFP'!AA27</f>
        <v>0.70438476961119267</v>
      </c>
      <c r="BU21" s="38">
        <f>'Evolutive SFP'!AB31/'Evolutive SFP'!AB27</f>
        <v>0.69574887623946968</v>
      </c>
      <c r="BV21" s="38">
        <f>'Evolutive SFP'!AC31/'Evolutive SFP'!AC27</f>
        <v>0.68621159192885395</v>
      </c>
      <c r="BW21" s="38">
        <f>'Evolutive SFP'!AD31/'Evolutive SFP'!AD27</f>
        <v>0.69930823449247026</v>
      </c>
      <c r="BX21" s="38">
        <f>'Evolutive SFP'!AE31/'Evolutive SFP'!AE27</f>
        <v>0.70015534777095378</v>
      </c>
      <c r="BY21" s="38">
        <f>'Evolutive SFP'!AF31/'Evolutive SFP'!AF27</f>
        <v>0.68863219295573053</v>
      </c>
      <c r="BZ21" s="38">
        <f>'Evolutive SFP'!AG31/'Evolutive SFP'!AG27</f>
        <v>0.66702080078656767</v>
      </c>
      <c r="CA21" s="38">
        <f>'Evolutive SFP'!AH31/'Evolutive SFP'!AH27</f>
        <v>0.65926586705743018</v>
      </c>
      <c r="CB21" s="38">
        <f>'Evolutive SFP'!AI31/'Evolutive SFP'!AI27</f>
        <v>0.64747535741879181</v>
      </c>
      <c r="CC21" s="38">
        <f>'Evolutive SFP'!AJ31/'Evolutive SFP'!AJ27</f>
        <v>0.63462691542620853</v>
      </c>
      <c r="CD21" s="38">
        <f>'Evolutive SFP'!AK31/'Evolutive SFP'!AK27</f>
        <v>0.62310963083818038</v>
      </c>
      <c r="CE21" s="38">
        <f>'Evolutive SFP'!AL31/'Evolutive SFP'!AL27</f>
        <v>0.61295764583332502</v>
      </c>
      <c r="CF21" s="38">
        <f>'Evolutive SFP'!AM31/'Evolutive SFP'!AM27</f>
        <v>0.60029278776758688</v>
      </c>
      <c r="CG21" s="38">
        <f>'Evolutive SFP'!AN31/'Evolutive SFP'!AN27</f>
        <v>0.71631614075865624</v>
      </c>
      <c r="CH21" s="38">
        <f>'Evolutive SFP'!AO31/'Evolutive SFP'!AO27</f>
        <v>0.71465182271390282</v>
      </c>
      <c r="CI21" s="38">
        <f>'Evolutive SFP'!AP31/'Evolutive SFP'!AP27</f>
        <v>0.71367228877321043</v>
      </c>
      <c r="CJ21" s="38">
        <f>'Evolutive SFP'!AQ31/'Evolutive SFP'!AQ27</f>
        <v>0.77080404756469689</v>
      </c>
      <c r="CK21" s="38">
        <f>'Evolutive SFP'!AR31/'Evolutive SFP'!AR27</f>
        <v>0.7686955147472132</v>
      </c>
      <c r="CL21" s="38">
        <f>'Evolutive SFP'!AS31/'Evolutive SFP'!AS27</f>
        <v>0.7644924374043518</v>
      </c>
      <c r="CM21" s="38">
        <f>'Evolutive SFP'!AT31/'Evolutive SFP'!AT27</f>
        <v>0.75118001167930126</v>
      </c>
      <c r="CN21" s="38">
        <f>'Evolutive SFP'!AU31/'Evolutive SFP'!AU27</f>
        <v>0.75069206788307896</v>
      </c>
      <c r="CO21" s="38">
        <f>'Evolutive SFP'!AV31/'Evolutive SFP'!AV27</f>
        <v>0.74855745295733134</v>
      </c>
    </row>
    <row r="22" spans="1:93" ht="15">
      <c r="A22" s="388"/>
      <c r="B22" s="32" t="s">
        <v>211</v>
      </c>
      <c r="C22" s="2"/>
      <c r="D22" s="34" t="e">
        <f>'Evolutive SFP'!#REF!/'Evolutive SFP'!#REF!</f>
        <v>#REF!</v>
      </c>
      <c r="E22" s="34" t="e">
        <f>'Evolutive SFP'!#REF!/'Evolutive SFP'!#REF!</f>
        <v>#REF!</v>
      </c>
      <c r="F22" s="34" t="e">
        <f>'Evolutive SFP'!#REF!/'Evolutive SFP'!#REF!</f>
        <v>#REF!</v>
      </c>
      <c r="G22" s="34" t="e">
        <f>'Evolutive SFP'!#REF!/'Evolutive SFP'!#REF!</f>
        <v>#REF!</v>
      </c>
      <c r="H22" s="34" t="e">
        <f>'Evolutive SFP'!#REF!/'Evolutive SFP'!#REF!</f>
        <v>#REF!</v>
      </c>
      <c r="I22" s="34" t="e">
        <f>'Evolutive SFP'!#REF!/'Evolutive SFP'!#REF!</f>
        <v>#REF!</v>
      </c>
      <c r="J22" s="34" t="e">
        <f>'Evolutive SFP'!#REF!/'Evolutive SFP'!#REF!</f>
        <v>#REF!</v>
      </c>
      <c r="K22" s="34" t="e">
        <f>'Evolutive SFP'!#REF!/'Evolutive SFP'!#REF!</f>
        <v>#REF!</v>
      </c>
      <c r="L22" s="34" t="e">
        <f>'Evolutive SFP'!#REF!/'Evolutive SFP'!#REF!</f>
        <v>#REF!</v>
      </c>
      <c r="M22" s="34" t="e">
        <f>'Evolutive SFP'!#REF!/'Evolutive SFP'!#REF!</f>
        <v>#REF!</v>
      </c>
      <c r="N22" s="34" t="e">
        <f>'Evolutive SFP'!#REF!/'Evolutive SFP'!#REF!</f>
        <v>#REF!</v>
      </c>
      <c r="O22" s="34" t="e">
        <f>'Evolutive SFP'!#REF!/'Evolutive SFP'!#REF!</f>
        <v>#REF!</v>
      </c>
      <c r="P22" s="34" t="e">
        <f>'Evolutive SFP'!#REF!/'Evolutive SFP'!#REF!</f>
        <v>#REF!</v>
      </c>
      <c r="Q22" s="34" t="e">
        <f>'Evolutive SFP'!#REF!/'Evolutive SFP'!#REF!</f>
        <v>#REF!</v>
      </c>
      <c r="R22" s="34" t="e">
        <f>'Evolutive SFP'!#REF!/'Evolutive SFP'!#REF!</f>
        <v>#REF!</v>
      </c>
      <c r="S22" s="38" t="e">
        <f>'Evolutive SFP'!#REF!/'Evolutive SFP'!#REF!</f>
        <v>#REF!</v>
      </c>
      <c r="T22" s="38" t="e">
        <f>'Evolutive SFP'!#REF!/'Evolutive SFP'!#REF!</f>
        <v>#REF!</v>
      </c>
      <c r="U22" s="38" t="e">
        <f>'Evolutive SFP'!#REF!/'Evolutive SFP'!#REF!</f>
        <v>#REF!</v>
      </c>
      <c r="V22" s="38" t="e">
        <f>'Evolutive SFP'!#REF!/'Evolutive SFP'!#REF!</f>
        <v>#REF!</v>
      </c>
      <c r="W22" s="38" t="e">
        <f>'Evolutive SFP'!#REF!/'Evolutive SFP'!#REF!</f>
        <v>#REF!</v>
      </c>
      <c r="X22" s="38" t="e">
        <f>'Evolutive SFP'!#REF!/'Evolutive SFP'!#REF!</f>
        <v>#REF!</v>
      </c>
      <c r="Y22" s="38" t="e">
        <f>'Evolutive SFP'!#REF!/'Evolutive SFP'!#REF!</f>
        <v>#REF!</v>
      </c>
      <c r="Z22" s="38" t="e">
        <f>'Evolutive SFP'!#REF!/'Evolutive SFP'!#REF!</f>
        <v>#REF!</v>
      </c>
      <c r="AA22" s="38" t="e">
        <f>'Evolutive SFP'!#REF!/'Evolutive SFP'!#REF!</f>
        <v>#REF!</v>
      </c>
      <c r="AB22" s="38" t="e">
        <f>'Evolutive SFP'!#REF!/'Evolutive SFP'!#REF!</f>
        <v>#REF!</v>
      </c>
      <c r="AC22" s="38" t="e">
        <f>'Evolutive SFP'!#REF!/'Evolutive SFP'!#REF!</f>
        <v>#REF!</v>
      </c>
      <c r="AD22" s="38" t="e">
        <f>'Evolutive SFP'!#REF!/'Evolutive SFP'!#REF!</f>
        <v>#REF!</v>
      </c>
      <c r="AE22" s="38" t="e">
        <f>'Evolutive SFP'!#REF!/'Evolutive SFP'!#REF!</f>
        <v>#REF!</v>
      </c>
      <c r="AF22" s="38" t="e">
        <f>'Evolutive SFP'!#REF!/'Evolutive SFP'!#REF!</f>
        <v>#REF!</v>
      </c>
      <c r="AG22" s="38" t="e">
        <f>'Evolutive SFP'!#REF!/'Evolutive SFP'!#REF!</f>
        <v>#REF!</v>
      </c>
      <c r="AH22" s="38" t="e">
        <f>'Evolutive SFP'!#REF!/'Evolutive SFP'!#REF!</f>
        <v>#REF!</v>
      </c>
      <c r="AI22" s="38" t="e">
        <f>'Evolutive SFP'!#REF!/'Evolutive SFP'!#REF!</f>
        <v>#REF!</v>
      </c>
      <c r="AJ22" s="38" t="e">
        <f>'Evolutive SFP'!#REF!/'Evolutive SFP'!#REF!</f>
        <v>#REF!</v>
      </c>
      <c r="AK22" s="38" t="e">
        <f>'Evolutive SFP'!#REF!/'Evolutive SFP'!#REF!</f>
        <v>#REF!</v>
      </c>
      <c r="AL22" s="38" t="e">
        <f>'Evolutive SFP'!#REF!/'Evolutive SFP'!#REF!</f>
        <v>#REF!</v>
      </c>
      <c r="AM22" s="38" t="e">
        <f>'Evolutive SFP'!#REF!/'Evolutive SFP'!#REF!</f>
        <v>#REF!</v>
      </c>
      <c r="AN22" s="38" t="e">
        <f>'Evolutive SFP'!#REF!/'Evolutive SFP'!#REF!</f>
        <v>#REF!</v>
      </c>
      <c r="AO22" s="38" t="e">
        <f>'Evolutive SFP'!#REF!/'Evolutive SFP'!#REF!</f>
        <v>#REF!</v>
      </c>
      <c r="AP22" s="38" t="e">
        <f>'Evolutive SFP'!#REF!/'Evolutive SFP'!#REF!</f>
        <v>#REF!</v>
      </c>
      <c r="AQ22" s="38" t="e">
        <f>'Evolutive SFP'!#REF!/'Evolutive SFP'!#REF!</f>
        <v>#REF!</v>
      </c>
      <c r="AR22" s="38" t="e">
        <f>'Evolutive SFP'!#REF!/'Evolutive SFP'!#REF!</f>
        <v>#REF!</v>
      </c>
      <c r="AS22" s="38" t="e">
        <f>'Evolutive SFP'!#REF!/'Evolutive SFP'!#REF!</f>
        <v>#REF!</v>
      </c>
      <c r="AT22" s="38">
        <f>'Evolutive SFP'!B30/'Evolutive SFP'!B27</f>
        <v>0.86813411350981062</v>
      </c>
      <c r="AU22" s="38">
        <f>'Evolutive SFP'!C30/'Evolutive SFP'!C27</f>
        <v>0.61427436573411232</v>
      </c>
      <c r="AV22" s="38">
        <f>'Evolutive SFP'!D30/'Evolutive SFP'!D27</f>
        <v>0.62598375770943526</v>
      </c>
      <c r="AW22" s="38">
        <f>'Evolutive SFP'!E30/'Evolutive SFP'!E27</f>
        <v>0.65546197301771925</v>
      </c>
      <c r="AX22" s="38">
        <f>'Evolutive SFP'!F30/'Evolutive SFP'!F27</f>
        <v>0.64558955769866899</v>
      </c>
      <c r="AY22" s="38">
        <f>'Evolutive SFP'!G30/'Evolutive SFP'!G27</f>
        <v>0.63921875540611228</v>
      </c>
      <c r="AZ22" s="38">
        <f>'Evolutive SFP'!H30/'Evolutive SFP'!H27</f>
        <v>0.64448923730047269</v>
      </c>
      <c r="BA22" s="38" t="e">
        <f>'Evolutive SFP'!#REF!/'Evolutive SFP'!#REF!</f>
        <v>#REF!</v>
      </c>
      <c r="BB22" s="38">
        <f>'Evolutive SFP'!I30/'Evolutive SFP'!I27</f>
        <v>0.63791837881224178</v>
      </c>
      <c r="BC22" s="38">
        <f>'Evolutive SFP'!J30/'Evolutive SFP'!J27</f>
        <v>0.63353350668787389</v>
      </c>
      <c r="BD22" s="38">
        <f>'Evolutive SFP'!K30/'Evolutive SFP'!K27</f>
        <v>0.63222372155841511</v>
      </c>
      <c r="BE22" s="38">
        <f>'Evolutive SFP'!L30/'Evolutive SFP'!L27</f>
        <v>0.63085297423526987</v>
      </c>
      <c r="BF22" s="38">
        <f>'Evolutive SFP'!M30/'Evolutive SFP'!M27</f>
        <v>0.6241005936231333</v>
      </c>
      <c r="BG22" s="38">
        <f>'Evolutive SFP'!N30/'Evolutive SFP'!N27</f>
        <v>0.62598575074636087</v>
      </c>
      <c r="BH22" s="38">
        <f>'Evolutive SFP'!O30/'Evolutive SFP'!O27</f>
        <v>0.62399951161422362</v>
      </c>
      <c r="BI22" s="38">
        <f>'Evolutive SFP'!P30/'Evolutive SFP'!P27</f>
        <v>0.62852494052873475</v>
      </c>
      <c r="BJ22" s="38">
        <f>'Evolutive SFP'!Q30/'Evolutive SFP'!Q27</f>
        <v>0.64913625251302909</v>
      </c>
      <c r="BK22" s="38">
        <f>'Evolutive SFP'!R30/'Evolutive SFP'!R27</f>
        <v>0.64808076737183729</v>
      </c>
      <c r="BL22" s="38">
        <f>'Evolutive SFP'!S30/'Evolutive SFP'!S27</f>
        <v>0.65342117337713712</v>
      </c>
      <c r="BM22" s="38">
        <f>'Evolutive SFP'!T30/'Evolutive SFP'!T27</f>
        <v>0.65386228872807273</v>
      </c>
      <c r="BN22" s="38">
        <f>'Evolutive SFP'!U30/'Evolutive SFP'!U27</f>
        <v>0.65237737415246499</v>
      </c>
      <c r="BO22" s="38">
        <f>'Evolutive SFP'!V30/'Evolutive SFP'!V27</f>
        <v>0.65486567130648077</v>
      </c>
      <c r="BP22" s="38">
        <f>'Evolutive SFP'!W30/'Evolutive SFP'!W27</f>
        <v>0.64901233098175481</v>
      </c>
      <c r="BQ22" s="38">
        <f>'Evolutive SFP'!X30/'Evolutive SFP'!X27</f>
        <v>0.64927439223611805</v>
      </c>
      <c r="BR22" s="38">
        <f>'Evolutive SFP'!Y30/'Evolutive SFP'!Y27</f>
        <v>0.64418926676322052</v>
      </c>
      <c r="BS22" s="38">
        <f>'Evolutive SFP'!Z30/'Evolutive SFP'!Z27</f>
        <v>0.63909900101969874</v>
      </c>
      <c r="BT22" s="38">
        <f>'Evolutive SFP'!AA30/'Evolutive SFP'!AA27</f>
        <v>0.64149132200210102</v>
      </c>
      <c r="BU22" s="38">
        <f>'Evolutive SFP'!AB30/'Evolutive SFP'!AB27</f>
        <v>0.63362651444989682</v>
      </c>
      <c r="BV22" s="38">
        <f>'Evolutive SFP'!AC30/'Evolutive SFP'!AC27</f>
        <v>0.62494079978842865</v>
      </c>
      <c r="BW22" s="38">
        <f>'Evolutive SFP'!AD30/'Evolutive SFP'!AD27</f>
        <v>0.63686806300361809</v>
      </c>
      <c r="BX22" s="38">
        <f>'Evolutive SFP'!AE30/'Evolutive SFP'!AE27</f>
        <v>0.63763953882243773</v>
      </c>
      <c r="BY22" s="38">
        <f>'Evolutive SFP'!AF30/'Evolutive SFP'!AF27</f>
        <v>0.62714526902138479</v>
      </c>
      <c r="BZ22" s="38">
        <f>'Evolutive SFP'!AG30/'Evolutive SFP'!AG27</f>
        <v>0.60746352527704661</v>
      </c>
      <c r="CA22" s="38">
        <f>'Evolutive SFP'!AH30/'Evolutive SFP'!AH27</f>
        <v>0.6004010178172543</v>
      </c>
      <c r="CB22" s="38">
        <f>'Evolutive SFP'!AI30/'Evolutive SFP'!AI27</f>
        <v>0.58966326489942289</v>
      </c>
      <c r="CC22" s="38">
        <f>'Evolutive SFP'!AJ30/'Evolutive SFP'!AJ27</f>
        <v>0.57796204080277025</v>
      </c>
      <c r="CD22" s="38">
        <f>'Evolutive SFP'!AK30/'Evolutive SFP'!AK27</f>
        <v>0.56747311708523063</v>
      </c>
      <c r="CE22" s="38">
        <f>'Evolutive SFP'!AL30/'Evolutive SFP'!AL27</f>
        <v>0.55822758742208223</v>
      </c>
      <c r="CF22" s="38">
        <f>'Evolutive SFP'!AM30/'Evolutive SFP'!AM27</f>
        <v>0.54669355532192221</v>
      </c>
      <c r="CG22" s="38">
        <f>'Evolutive SFP'!AN30/'Evolutive SFP'!AN27</f>
        <v>0.66087107481422214</v>
      </c>
      <c r="CH22" s="38">
        <f>'Evolutive SFP'!AO30/'Evolutive SFP'!AO27</f>
        <v>0.65546383204434833</v>
      </c>
      <c r="CI22" s="38">
        <f>'Evolutive SFP'!AP30/'Evolutive SFP'!AP27</f>
        <v>0.65540856655387247</v>
      </c>
      <c r="CJ22" s="38">
        <f>'Evolutive SFP'!AQ30/'Evolutive SFP'!AQ27</f>
        <v>0.68421721560513715</v>
      </c>
      <c r="CK22" s="38">
        <f>'Evolutive SFP'!AR30/'Evolutive SFP'!AR27</f>
        <v>0.6944766462886991</v>
      </c>
      <c r="CL22" s="38">
        <f>'Evolutive SFP'!AS30/'Evolutive SFP'!AS27</f>
        <v>0.6910491496371659</v>
      </c>
      <c r="CM22" s="38">
        <f>'Evolutive SFP'!AT30/'Evolutive SFP'!AT27</f>
        <v>0.68028240059055467</v>
      </c>
      <c r="CN22" s="38">
        <f>'Evolutive SFP'!AU30/'Evolutive SFP'!AU27</f>
        <v>0.68117467820346878</v>
      </c>
      <c r="CO22" s="38">
        <f>'Evolutive SFP'!AV30/'Evolutive SFP'!AV27</f>
        <v>0.68486379020633692</v>
      </c>
    </row>
    <row r="23" spans="1:93" ht="15">
      <c r="A23" s="388"/>
      <c r="B23" s="32" t="s">
        <v>212</v>
      </c>
      <c r="C23" s="2"/>
      <c r="D23" s="34" t="e">
        <f>('Evolutive SFP'!#REF!+'Evolutive SFP'!#REF!)/'Evolutive SFP'!#REF!</f>
        <v>#REF!</v>
      </c>
      <c r="E23" s="34" t="e">
        <f>('Evolutive SFP'!#REF!+'Evolutive SFP'!#REF!)/'Evolutive SFP'!#REF!</f>
        <v>#REF!</v>
      </c>
      <c r="F23" s="34" t="e">
        <f>('Evolutive SFP'!#REF!+'Evolutive SFP'!#REF!)/'Evolutive SFP'!#REF!</f>
        <v>#REF!</v>
      </c>
      <c r="G23" s="34" t="e">
        <f>('Evolutive SFP'!#REF!+'Evolutive SFP'!#REF!)/'Evolutive SFP'!#REF!</f>
        <v>#REF!</v>
      </c>
      <c r="H23" s="34" t="e">
        <f>('Evolutive SFP'!#REF!+'Evolutive SFP'!#REF!)/'Evolutive SFP'!#REF!</f>
        <v>#REF!</v>
      </c>
      <c r="I23" s="34" t="e">
        <f>('Evolutive SFP'!#REF!+'Evolutive SFP'!#REF!)/'Evolutive SFP'!#REF!</f>
        <v>#REF!</v>
      </c>
      <c r="J23" s="34" t="e">
        <f>('Evolutive SFP'!#REF!+'Evolutive SFP'!#REF!)/'Evolutive SFP'!#REF!</f>
        <v>#REF!</v>
      </c>
      <c r="K23" s="34" t="e">
        <f>('Evolutive SFP'!#REF!+'Evolutive SFP'!#REF!)/'Evolutive SFP'!#REF!</f>
        <v>#REF!</v>
      </c>
      <c r="L23" s="34" t="e">
        <f>('Evolutive SFP'!#REF!+'Evolutive SFP'!#REF!)/'Evolutive SFP'!#REF!</f>
        <v>#REF!</v>
      </c>
      <c r="M23" s="34" t="e">
        <f>('Evolutive SFP'!#REF!+'Evolutive SFP'!#REF!)/'Evolutive SFP'!#REF!</f>
        <v>#REF!</v>
      </c>
      <c r="N23" s="34" t="e">
        <f>('Evolutive SFP'!#REF!+'Evolutive SFP'!#REF!)/'Evolutive SFP'!#REF!</f>
        <v>#REF!</v>
      </c>
      <c r="O23" s="34" t="e">
        <f>('Evolutive SFP'!#REF!+'Evolutive SFP'!#REF!)/'Evolutive SFP'!#REF!</f>
        <v>#REF!</v>
      </c>
      <c r="P23" s="34" t="e">
        <f>('Evolutive SFP'!#REF!+'Evolutive SFP'!#REF!)/'Evolutive SFP'!#REF!</f>
        <v>#REF!</v>
      </c>
      <c r="Q23" s="34" t="e">
        <f>('Evolutive SFP'!#REF!+'Evolutive SFP'!#REF!)/'Evolutive SFP'!#REF!</f>
        <v>#REF!</v>
      </c>
      <c r="R23" s="34" t="e">
        <f>('Evolutive SFP'!#REF!+'Evolutive SFP'!#REF!)/'Evolutive SFP'!#REF!</f>
        <v>#REF!</v>
      </c>
      <c r="S23" s="38" t="e">
        <f>('Evolutive SFP'!#REF!+'Evolutive SFP'!#REF!)/'Evolutive SFP'!#REF!</f>
        <v>#REF!</v>
      </c>
      <c r="T23" s="38" t="e">
        <f>('Evolutive SFP'!#REF!+'Evolutive SFP'!#REF!)/'Evolutive SFP'!#REF!</f>
        <v>#REF!</v>
      </c>
      <c r="U23" s="38" t="e">
        <f>('Evolutive SFP'!#REF!+'Evolutive SFP'!#REF!)/'Evolutive SFP'!#REF!</f>
        <v>#REF!</v>
      </c>
      <c r="V23" s="38" t="e">
        <f>('Evolutive SFP'!#REF!+'Evolutive SFP'!#REF!)/'Evolutive SFP'!#REF!</f>
        <v>#REF!</v>
      </c>
      <c r="W23" s="38" t="e">
        <f>('Evolutive SFP'!#REF!+'Evolutive SFP'!#REF!)/'Evolutive SFP'!#REF!</f>
        <v>#REF!</v>
      </c>
      <c r="X23" s="38" t="e">
        <f>('Evolutive SFP'!#REF!+'Evolutive SFP'!#REF!)/'Evolutive SFP'!#REF!</f>
        <v>#REF!</v>
      </c>
      <c r="Y23" s="38" t="e">
        <f>('Evolutive SFP'!#REF!+'Evolutive SFP'!#REF!)/'Evolutive SFP'!#REF!</f>
        <v>#REF!</v>
      </c>
      <c r="Z23" s="38" t="e">
        <f>('Evolutive SFP'!#REF!+'Evolutive SFP'!#REF!)/'Evolutive SFP'!#REF!</f>
        <v>#REF!</v>
      </c>
      <c r="AA23" s="38" t="e">
        <f>('Evolutive SFP'!#REF!+'Evolutive SFP'!#REF!)/'Evolutive SFP'!#REF!</f>
        <v>#REF!</v>
      </c>
      <c r="AB23" s="38" t="e">
        <f>('Evolutive SFP'!#REF!+'Evolutive SFP'!#REF!)/'Evolutive SFP'!#REF!</f>
        <v>#REF!</v>
      </c>
      <c r="AC23" s="38" t="e">
        <f>('Evolutive SFP'!#REF!+'Evolutive SFP'!#REF!)/'Evolutive SFP'!#REF!</f>
        <v>#REF!</v>
      </c>
      <c r="AD23" s="38" t="e">
        <f>('Evolutive SFP'!#REF!+'Evolutive SFP'!#REF!)/'Evolutive SFP'!#REF!</f>
        <v>#REF!</v>
      </c>
      <c r="AE23" s="38" t="e">
        <f>('Evolutive SFP'!#REF!+'Evolutive SFP'!#REF!)/'Evolutive SFP'!#REF!</f>
        <v>#REF!</v>
      </c>
      <c r="AF23" s="38" t="e">
        <f>('Evolutive SFP'!#REF!+'Evolutive SFP'!#REF!)/'Evolutive SFP'!#REF!</f>
        <v>#REF!</v>
      </c>
      <c r="AG23" s="38" t="e">
        <f>('Evolutive SFP'!#REF!+'Evolutive SFP'!#REF!)/'Evolutive SFP'!#REF!</f>
        <v>#REF!</v>
      </c>
      <c r="AH23" s="38" t="e">
        <f>('Evolutive SFP'!#REF!+'Evolutive SFP'!#REF!)/'Evolutive SFP'!#REF!</f>
        <v>#REF!</v>
      </c>
      <c r="AI23" s="38" t="e">
        <f>('Evolutive SFP'!#REF!+'Evolutive SFP'!#REF!)/'Evolutive SFP'!#REF!</f>
        <v>#REF!</v>
      </c>
      <c r="AJ23" s="38" t="e">
        <f>('Evolutive SFP'!#REF!+'Evolutive SFP'!#REF!)/'Evolutive SFP'!#REF!</f>
        <v>#REF!</v>
      </c>
      <c r="AK23" s="38" t="e">
        <f>('Evolutive SFP'!#REF!+'Evolutive SFP'!#REF!)/'Evolutive SFP'!#REF!</f>
        <v>#REF!</v>
      </c>
      <c r="AL23" s="38" t="e">
        <f>('Evolutive SFP'!#REF!+'Evolutive SFP'!#REF!)/'Evolutive SFP'!#REF!</f>
        <v>#REF!</v>
      </c>
      <c r="AM23" s="38" t="e">
        <f>('Evolutive SFP'!#REF!+'Evolutive SFP'!#REF!)/'Evolutive SFP'!#REF!</f>
        <v>#REF!</v>
      </c>
      <c r="AN23" s="38" t="e">
        <f>('Evolutive SFP'!#REF!+'Evolutive SFP'!#REF!)/'Evolutive SFP'!#REF!</f>
        <v>#REF!</v>
      </c>
      <c r="AO23" s="38" t="e">
        <f>('Evolutive SFP'!#REF!+'Evolutive SFP'!#REF!)/'Evolutive SFP'!#REF!</f>
        <v>#REF!</v>
      </c>
      <c r="AP23" s="38" t="e">
        <f>('Evolutive SFP'!#REF!+'Evolutive SFP'!#REF!)/'Evolutive SFP'!#REF!</f>
        <v>#REF!</v>
      </c>
      <c r="AQ23" s="38" t="e">
        <f>('Evolutive SFP'!#REF!+'Evolutive SFP'!#REF!)/'Evolutive SFP'!#REF!</f>
        <v>#REF!</v>
      </c>
      <c r="AR23" s="38" t="e">
        <f>('Evolutive SFP'!#REF!+'Evolutive SFP'!#REF!)/'Evolutive SFP'!#REF!</f>
        <v>#REF!</v>
      </c>
      <c r="AS23" s="38" t="e">
        <f>('Evolutive SFP'!#REF!+'Evolutive SFP'!#REF!)/'Evolutive SFP'!#REF!</f>
        <v>#REF!</v>
      </c>
      <c r="AT23" s="38">
        <f>('Evolutive SFP'!B28+'Evolutive SFP'!B29)/'Evolutive SFP'!B27</f>
        <v>1.0172015749471429E-2</v>
      </c>
      <c r="AU23" s="38">
        <f>('Evolutive SFP'!C28+'Evolutive SFP'!C29)/'Evolutive SFP'!C27</f>
        <v>7.3792360338487864E-2</v>
      </c>
      <c r="AV23" s="38">
        <f>('Evolutive SFP'!D28+'Evolutive SFP'!D29)/'Evolutive SFP'!D27</f>
        <v>7.1713988723385427E-2</v>
      </c>
      <c r="AW23" s="38">
        <f>('Evolutive SFP'!E28+'Evolutive SFP'!E29)/'Evolutive SFP'!E27</f>
        <v>9.5095972820787758E-2</v>
      </c>
      <c r="AX23" s="38">
        <f>('Evolutive SFP'!F28+'Evolutive SFP'!F29)/'Evolutive SFP'!F27</f>
        <v>9.461188803328309E-2</v>
      </c>
      <c r="AY23" s="38">
        <f>('Evolutive SFP'!G28+'Evolutive SFP'!G29)/'Evolutive SFP'!G27</f>
        <v>8.6040769747116302E-2</v>
      </c>
      <c r="AZ23" s="38">
        <f>('Evolutive SFP'!H28+'Evolutive SFP'!H29)/'Evolutive SFP'!H27</f>
        <v>8.6325055764898004E-2</v>
      </c>
      <c r="BA23" s="38" t="e">
        <f>('Evolutive SFP'!#REF!+'Evolutive SFP'!#REF!)/'Evolutive SFP'!#REF!</f>
        <v>#REF!</v>
      </c>
      <c r="BB23" s="38">
        <f>('Evolutive SFP'!I28+'Evolutive SFP'!I29)/'Evolutive SFP'!I27</f>
        <v>8.5335137912890213E-2</v>
      </c>
      <c r="BC23" s="38">
        <f>('Evolutive SFP'!J28+'Evolutive SFP'!J29)/'Evolutive SFP'!J27</f>
        <v>8.2074984948188531E-2</v>
      </c>
      <c r="BD23" s="38">
        <f>('Evolutive SFP'!K28+'Evolutive SFP'!K29)/'Evolutive SFP'!K27</f>
        <v>7.5414537307430321E-2</v>
      </c>
      <c r="BE23" s="38">
        <f>('Evolutive SFP'!L28+'Evolutive SFP'!L29)/'Evolutive SFP'!L27</f>
        <v>7.2835507268199942E-2</v>
      </c>
      <c r="BF23" s="38">
        <f>('Evolutive SFP'!M28+'Evolutive SFP'!M29)/'Evolutive SFP'!M27</f>
        <v>6.8932600939406771E-2</v>
      </c>
      <c r="BG23" s="38">
        <f>('Evolutive SFP'!N28+'Evolutive SFP'!N29)/'Evolutive SFP'!N27</f>
        <v>7.5576414436513487E-2</v>
      </c>
      <c r="BH23" s="38">
        <f>('Evolutive SFP'!O28+'Evolutive SFP'!O29)/'Evolutive SFP'!O27</f>
        <v>7.28329002021285E-2</v>
      </c>
      <c r="BI23" s="38">
        <f>('Evolutive SFP'!P28+'Evolutive SFP'!P29)/'Evolutive SFP'!P27</f>
        <v>7.4182249242052092E-2</v>
      </c>
      <c r="BJ23" s="38">
        <f>('Evolutive SFP'!Q28+'Evolutive SFP'!Q29)/'Evolutive SFP'!Q27</f>
        <v>0.10777586421334738</v>
      </c>
      <c r="BK23" s="38">
        <f>('Evolutive SFP'!R28+'Evolutive SFP'!R29)/'Evolutive SFP'!R27</f>
        <v>9.7450405247338792E-2</v>
      </c>
      <c r="BL23" s="38">
        <f>('Evolutive SFP'!S28+'Evolutive SFP'!S29)/'Evolutive SFP'!S27</f>
        <v>8.7322220120301428E-2</v>
      </c>
      <c r="BM23" s="38">
        <f>('Evolutive SFP'!T28+'Evolutive SFP'!T29)/'Evolutive SFP'!T27</f>
        <v>8.4264121311858453E-2</v>
      </c>
      <c r="BN23" s="38">
        <f>('Evolutive SFP'!U28+'Evolutive SFP'!U29)/'Evolutive SFP'!U27</f>
        <v>8.1391248945956715E-2</v>
      </c>
      <c r="BO23" s="38">
        <f>('Evolutive SFP'!V28+'Evolutive SFP'!V29)/'Evolutive SFP'!V27</f>
        <v>7.2692145523787915E-2</v>
      </c>
      <c r="BP23" s="38">
        <f>('Evolutive SFP'!W28+'Evolutive SFP'!W29)/'Evolutive SFP'!W27</f>
        <v>7.1585467271409423E-2</v>
      </c>
      <c r="BQ23" s="38">
        <f>('Evolutive SFP'!X28+'Evolutive SFP'!X29)/'Evolutive SFP'!X27</f>
        <v>6.5903890858948461E-2</v>
      </c>
      <c r="BR23" s="38">
        <f>('Evolutive SFP'!Y28+'Evolutive SFP'!Y29)/'Evolutive SFP'!Y27</f>
        <v>6.328134974220645E-2</v>
      </c>
      <c r="BS23" s="38">
        <f>('Evolutive SFP'!Z28+'Evolutive SFP'!Z29)/'Evolutive SFP'!Z27</f>
        <v>6.3046781036325758E-2</v>
      </c>
      <c r="BT23" s="38">
        <f>('Evolutive SFP'!AA28+'Evolutive SFP'!AA29)/'Evolutive SFP'!AA27</f>
        <v>6.2893447609091602E-2</v>
      </c>
      <c r="BU23" s="38">
        <f>('Evolutive SFP'!AB28+'Evolutive SFP'!AB29)/'Evolutive SFP'!AB27</f>
        <v>6.2122361789572866E-2</v>
      </c>
      <c r="BV23" s="38">
        <f>('Evolutive SFP'!AC28+'Evolutive SFP'!AC29)/'Evolutive SFP'!AC27</f>
        <v>6.1270792140425266E-2</v>
      </c>
      <c r="BW23" s="38">
        <f>('Evolutive SFP'!AD28+'Evolutive SFP'!AD29)/'Evolutive SFP'!AD27</f>
        <v>6.2440171488852211E-2</v>
      </c>
      <c r="BX23" s="38">
        <f>('Evolutive SFP'!AE28+'Evolutive SFP'!AE29)/'Evolutive SFP'!AE27</f>
        <v>6.2515808948516022E-2</v>
      </c>
      <c r="BY23" s="38">
        <f>('Evolutive SFP'!AF28+'Evolutive SFP'!AF29)/'Evolutive SFP'!AF27</f>
        <v>6.1486923934345808E-2</v>
      </c>
      <c r="BZ23" s="38">
        <f>('Evolutive SFP'!AG28+'Evolutive SFP'!AG29)/'Evolutive SFP'!AG27</f>
        <v>5.9557275509521064E-2</v>
      </c>
      <c r="CA23" s="38">
        <f>('Evolutive SFP'!AH28+'Evolutive SFP'!AH29)/'Evolutive SFP'!AH27</f>
        <v>5.8864849240175821E-2</v>
      </c>
      <c r="CB23" s="38">
        <f>('Evolutive SFP'!AI28+'Evolutive SFP'!AI29)/'Evolutive SFP'!AI27</f>
        <v>5.7812092519368932E-2</v>
      </c>
      <c r="CC23" s="38">
        <f>('Evolutive SFP'!AJ28+'Evolutive SFP'!AJ29)/'Evolutive SFP'!AJ27</f>
        <v>5.6664874623438229E-2</v>
      </c>
      <c r="CD23" s="38">
        <f>('Evolutive SFP'!AK28+'Evolutive SFP'!AK29)/'Evolutive SFP'!AK27</f>
        <v>5.5636513752949819E-2</v>
      </c>
      <c r="CE23" s="38">
        <f>('Evolutive SFP'!AL28+'Evolutive SFP'!AL29)/'Evolutive SFP'!AL27</f>
        <v>5.4730058411242767E-2</v>
      </c>
      <c r="CF23" s="38">
        <f>('Evolutive SFP'!AM28+'Evolutive SFP'!AM29)/'Evolutive SFP'!AM27</f>
        <v>5.3599232445664668E-2</v>
      </c>
      <c r="CG23" s="38">
        <f>('Evolutive SFP'!AN28+'Evolutive SFP'!AN29)/'Evolutive SFP'!AN27</f>
        <v>5.5445065944434116E-2</v>
      </c>
      <c r="CH23" s="38">
        <f>('Evolutive SFP'!AO28+'Evolutive SFP'!AO29)/'Evolutive SFP'!AO27</f>
        <v>5.9187990669554526E-2</v>
      </c>
      <c r="CI23" s="38">
        <f>('Evolutive SFP'!AP28+'Evolutive SFP'!AP29)/'Evolutive SFP'!AP27</f>
        <v>5.8263722219338003E-2</v>
      </c>
      <c r="CJ23" s="38">
        <f>('Evolutive SFP'!AQ28+'Evolutive SFP'!AQ29)/'Evolutive SFP'!AQ27</f>
        <v>8.6586831959559699E-2</v>
      </c>
      <c r="CK23" s="38">
        <f>('Evolutive SFP'!AR28+'Evolutive SFP'!AR29)/'Evolutive SFP'!AR27</f>
        <v>7.4218868458514206E-2</v>
      </c>
      <c r="CL23" s="38">
        <f>('Evolutive SFP'!AS28+'Evolutive SFP'!AS29)/'Evolutive SFP'!AS27</f>
        <v>7.344328776718588E-2</v>
      </c>
      <c r="CM23" s="38">
        <f>('Evolutive SFP'!AT28+'Evolutive SFP'!AT29)/'Evolutive SFP'!AT27</f>
        <v>7.0897611088746731E-2</v>
      </c>
      <c r="CN23" s="38">
        <f>('Evolutive SFP'!AU28+'Evolutive SFP'!AU29)/'Evolutive SFP'!AU27</f>
        <v>6.9517389679610228E-2</v>
      </c>
      <c r="CO23" s="38">
        <f>('Evolutive SFP'!AV28+'Evolutive SFP'!AV29)/'Evolutive SFP'!AV27</f>
        <v>6.3693662750994459E-2</v>
      </c>
    </row>
    <row r="24" spans="1:93" ht="15">
      <c r="A24" s="387" t="s">
        <v>213</v>
      </c>
      <c r="B24" s="32" t="s">
        <v>27</v>
      </c>
      <c r="C24" s="2"/>
      <c r="D24" s="2"/>
      <c r="E24" s="34" t="e">
        <f>(Financials!D4-Financials!C4)/Financials!C4</f>
        <v>#REF!</v>
      </c>
      <c r="F24" s="2"/>
      <c r="G24" s="2"/>
      <c r="H24" s="34" t="e">
        <f>(Financials!G4-Financials!D4)/Financials!D4</f>
        <v>#REF!</v>
      </c>
      <c r="I24" s="34" t="e">
        <f>(Financials!H4-Financials!G4)/Financials!G4</f>
        <v>#REF!</v>
      </c>
      <c r="J24" s="34" t="e">
        <f>(Financials!I4-Financials!H4)/Financials!H4</f>
        <v>#REF!</v>
      </c>
      <c r="K24" s="34" t="e">
        <f>(Financials!J4-Financials!I4)/Financials!I4</f>
        <v>#REF!</v>
      </c>
      <c r="L24" s="34" t="e">
        <f>(Financials!K4-Financials!J4)/Financials!J4</f>
        <v>#REF!</v>
      </c>
      <c r="M24" s="34" t="e">
        <f>(Financials!L4-Financials!K4)/Financials!K4</f>
        <v>#REF!</v>
      </c>
      <c r="N24" s="34" t="e">
        <f>(Financials!M4-Financials!L4)/Financials!L4</f>
        <v>#REF!</v>
      </c>
      <c r="O24" s="34" t="e">
        <f>(Financials!N4-Financials!M4)/Financials!M4</f>
        <v>#REF!</v>
      </c>
      <c r="P24" s="34" t="e">
        <f>(Financials!O4-Financials!N4)/Financials!N4</f>
        <v>#REF!</v>
      </c>
      <c r="Q24" s="34" t="e">
        <f>(Financials!P4-Financials!O4)/Financials!O4</f>
        <v>#REF!</v>
      </c>
      <c r="R24" s="34" t="e">
        <f>(Financials!Q4-Financials!P4)/Financials!P4</f>
        <v>#REF!</v>
      </c>
      <c r="S24" s="38" t="e">
        <f>(Financials!R4-Financials!Q4)/Financials!Q4</f>
        <v>#REF!</v>
      </c>
      <c r="T24" s="38" t="e">
        <f>(Financials!S4-Financials!R4)/Financials!R4</f>
        <v>#REF!</v>
      </c>
      <c r="U24" s="38" t="e">
        <f>(Financials!T4-Financials!S4)/Financials!S4</f>
        <v>#REF!</v>
      </c>
      <c r="V24" s="38" t="e">
        <f>(Financials!U4-Financials!T4)/Financials!T4</f>
        <v>#REF!</v>
      </c>
      <c r="W24" s="38" t="e">
        <f>(Financials!V4-Financials!U4)/Financials!U4</f>
        <v>#REF!</v>
      </c>
      <c r="X24" s="38" t="e">
        <f>(Financials!W4-Financials!V4)/Financials!V4</f>
        <v>#REF!</v>
      </c>
      <c r="Y24" s="38" t="e">
        <f>(Financials!X4-Financials!W4)/Financials!W4</f>
        <v>#REF!</v>
      </c>
      <c r="Z24" s="38" t="e">
        <f>(Financials!Y4-Financials!X4)/Financials!X4</f>
        <v>#REF!</v>
      </c>
      <c r="AA24" s="38" t="e">
        <f>(Financials!Z4-Financials!Y4)/Financials!Y4</f>
        <v>#REF!</v>
      </c>
      <c r="AB24" s="38" t="e">
        <f>(Financials!AA4-Financials!Z4)/Financials!Z4</f>
        <v>#REF!</v>
      </c>
      <c r="AC24" s="38" t="e">
        <f>(Financials!AB4-Financials!AA4)/Financials!AA4</f>
        <v>#REF!</v>
      </c>
      <c r="AD24" s="38" t="e">
        <f>(Financials!AC4-Financials!AB4)/Financials!AB4</f>
        <v>#REF!</v>
      </c>
      <c r="AE24" s="38" t="e">
        <f>(Financials!AD4-Financials!AC4)/Financials!AC4</f>
        <v>#REF!</v>
      </c>
      <c r="AF24" s="38" t="e">
        <f>(Financials!AE4-Financials!AD4)/Financials!AD4</f>
        <v>#REF!</v>
      </c>
      <c r="AG24" s="38" t="e">
        <f>(Financials!AF4-Financials!AE4)/Financials!AE4</f>
        <v>#REF!</v>
      </c>
      <c r="AH24" s="38" t="e">
        <f>(Financials!AG4-Financials!AF4)/Financials!AF4</f>
        <v>#REF!</v>
      </c>
      <c r="AI24" s="38" t="e">
        <f>(Financials!AH4-Financials!AG4)/Financials!AG4</f>
        <v>#REF!</v>
      </c>
      <c r="AJ24" s="38" t="e">
        <f>(Financials!AI4-Financials!AH4)/Financials!AH4</f>
        <v>#REF!</v>
      </c>
      <c r="AK24" s="38" t="e">
        <f>(Financials!AJ4-Financials!AI4)/Financials!AI4</f>
        <v>#REF!</v>
      </c>
      <c r="AL24" s="38" t="e">
        <f>(Financials!AK4-Financials!AJ4)/Financials!AJ4</f>
        <v>#REF!</v>
      </c>
      <c r="AM24" s="38" t="e">
        <f>(Financials!AL4-Financials!AK4)/Financials!AK4</f>
        <v>#REF!</v>
      </c>
      <c r="AN24" s="38" t="e">
        <f>(Financials!AM4-Financials!AL4)/Financials!AL4</f>
        <v>#REF!</v>
      </c>
      <c r="AO24" s="38" t="e">
        <f>(Financials!AN4-Financials!AM4)/Financials!AM4</f>
        <v>#REF!</v>
      </c>
      <c r="AP24" s="38" t="e">
        <f>(Financials!AO4-Financials!AN4)/Financials!AN4</f>
        <v>#REF!</v>
      </c>
      <c r="AQ24" s="38" t="e">
        <f>(Financials!AP4-Financials!AO4)/Financials!AO4</f>
        <v>#REF!</v>
      </c>
      <c r="AR24" s="38" t="e">
        <f>(Financials!AQ4-Financials!AP4)/Financials!AP4</f>
        <v>#REF!</v>
      </c>
      <c r="AS24" s="38" t="e">
        <f>(Financials!AR4-Financials!AQ4)/Financials!AQ4</f>
        <v>#REF!</v>
      </c>
      <c r="AT24" s="38" t="e">
        <f>(Financials!AS4-Financials!AR4)/Financials!AR4</f>
        <v>#REF!</v>
      </c>
      <c r="AU24" s="38">
        <f>(Financials!AT4-Financials!AS4)/Financials!AS4</f>
        <v>-0.98920835298288212</v>
      </c>
      <c r="AV24" s="38">
        <f>(Financials!AU4-Financials!AT4)/Financials!AT4</f>
        <v>-2.4023532677977413E-3</v>
      </c>
      <c r="AW24" s="38">
        <f>(Financials!AV4-Financials!AU4)/Financials!AU4</f>
        <v>-1.8783907422531273E-2</v>
      </c>
      <c r="AX24" s="38">
        <f>(Financials!AW4-Financials!AV4)/Financials!AV4</f>
        <v>2.2116640044290203E-2</v>
      </c>
      <c r="AY24" s="38">
        <f>(Financials!AX4-Financials!AW4)/Financials!AW4</f>
        <v>2.6091274177158601E-2</v>
      </c>
      <c r="AZ24" s="38">
        <f>(Financials!AY4-Financials!AX4)/Financials!AX4</f>
        <v>8.3684953376080545E-3</v>
      </c>
      <c r="BA24" s="38" t="e">
        <f>(Financials!AZ4-Financials!AY4)/Financials!AY4</f>
        <v>#REF!</v>
      </c>
      <c r="BB24" s="38" t="e">
        <f>(Financials!BA4-Financials!AZ4)/Financials!AZ4</f>
        <v>#REF!</v>
      </c>
      <c r="BC24" s="38">
        <f>(Financials!BB4-Financials!BA4)/Financials!BA4</f>
        <v>1.2219466092442902E-2</v>
      </c>
      <c r="BD24" s="38">
        <f>(Financials!BC4-Financials!BB4)/Financials!BB4</f>
        <v>1.6847725118770952E-2</v>
      </c>
      <c r="BE24" s="38">
        <f>(Financials!BD4-Financials!BC4)/Financials!BC4</f>
        <v>1.6809020601062857E-2</v>
      </c>
      <c r="BF24" s="38">
        <f>(Financials!BE4-Financials!BD4)/Financials!BD4</f>
        <v>2.0530379628063221E-2</v>
      </c>
      <c r="BG24" s="38">
        <f>(Financials!BF4-Financials!BE4)/Financials!BE4</f>
        <v>996.05010275114728</v>
      </c>
      <c r="BH24" s="38">
        <f>(Financials!BG4-Financials!BF4)/Financials!BF4</f>
        <v>-0.99898698137727338</v>
      </c>
      <c r="BI24" s="38">
        <f>(Financials!BH4-Financials!BG4)/Financials!BG4</f>
        <v>4.832660429860614E-3</v>
      </c>
      <c r="BJ24" s="38">
        <f>(Financials!BI4-Financials!BH4)/Financials!BH4</f>
        <v>-1.1637020870103884E-2</v>
      </c>
      <c r="BK24" s="38">
        <f>(Financials!BJ4-Financials!BI4)/Financials!BI4</f>
        <v>1.9452090804260812E-2</v>
      </c>
      <c r="BL24" s="38">
        <f>(Financials!BK4-Financials!BJ4)/Financials!BJ4</f>
        <v>1.3253150130164764E-2</v>
      </c>
      <c r="BM24" s="38">
        <f>(Financials!BL4-Financials!BK4)/Financials!BK4</f>
        <v>1.653369402801223E-2</v>
      </c>
      <c r="BN24" s="38">
        <f>(Financials!BM4-Financials!BL4)/Financials!BL4</f>
        <v>1.3535899253192067E-2</v>
      </c>
      <c r="BO24" s="38">
        <f>(Financials!BN4-Financials!BM4)/Financials!BM4</f>
        <v>8.0667512693859585E-3</v>
      </c>
      <c r="BP24" s="38">
        <f>(Financials!BO4-Financials!BN4)/Financials!BN4</f>
        <v>2.2062775293444019E-2</v>
      </c>
      <c r="BQ24" s="38">
        <f>(Financials!BP4-Financials!BO4)/Financials!BO4</f>
        <v>1.4264174584290084E-2</v>
      </c>
      <c r="BR24" s="38">
        <f>(Financials!BQ4-Financials!BP4)/Financials!BP4</f>
        <v>1.777052695432102E-2</v>
      </c>
      <c r="BS24" s="38">
        <f>(Financials!BR4-Financials!BQ4)/Financials!BQ4</f>
        <v>2.3292078442142872E-2</v>
      </c>
      <c r="BT24" s="38">
        <f>(Financials!BS4-Financials!BR4)/Financials!BR4</f>
        <v>995.24664071802954</v>
      </c>
      <c r="BU24" s="38">
        <f>(Financials!BT4-Financials!BS4)/Financials!BS4</f>
        <v>1.2412371283156169E-2</v>
      </c>
      <c r="BV24" s="38">
        <f>(Financials!BU4-Financials!BT4)/Financials!BT4</f>
        <v>1.3898459925177872E-2</v>
      </c>
      <c r="BW24" s="38">
        <f>(Financials!BV4-Financials!BU4)/Financials!BU4</f>
        <v>-1.8727997065730719E-2</v>
      </c>
      <c r="BX24" s="38">
        <f>(Financials!BW4-Financials!BV4)/Financials!BV4</f>
        <v>-1.2098933203615353E-3</v>
      </c>
      <c r="BY24" s="38">
        <f>(Financials!BX4-Financials!BW4)/Financials!BW4</f>
        <v>1.6733395465820134E-2</v>
      </c>
      <c r="BZ24" s="38">
        <f>(Financials!BY4-Financials!BX4)/Financials!BX4</f>
        <v>3.2399877400642069E-2</v>
      </c>
      <c r="CA24" s="38">
        <f>(Financials!BZ4-Financials!BY4)/Financials!BY4</f>
        <v>1.1762983822825392E-2</v>
      </c>
      <c r="CB24" s="38">
        <f>(Financials!CA4-Financials!BZ4)/Financials!BZ4</f>
        <v>1.8209974331134589E-2</v>
      </c>
      <c r="CC24" s="38">
        <f>(Financials!CB4-Financials!CA4)/Financials!CA4</f>
        <v>2.0245661947625386E-2</v>
      </c>
      <c r="CD24" s="38">
        <f>(Financials!CC4-Financials!CB4)/Financials!CB4</f>
        <v>1.8483560545414026E-2</v>
      </c>
      <c r="CE24" s="38">
        <f>(Financials!CD4-Financials!CC4)/Financials!CC4</f>
        <v>1.6562294432356132E-2</v>
      </c>
      <c r="CF24" s="38">
        <f>(Financials!CE4-Financials!CD4)/Financials!CD4</f>
        <v>2.1097801479236709E-2</v>
      </c>
      <c r="CG24" s="38">
        <f>(Financials!CF4-Financials!CE4)/Financials!CE4</f>
        <v>-1.4658283671607412E-3</v>
      </c>
      <c r="CH24" s="38">
        <f>(Financials!CG4-Financials!CF4)/Financials!CF4</f>
        <v>2.1249039079416474E-2</v>
      </c>
      <c r="CI24" s="38">
        <f>(Financials!CH4-Financials!CG4)/Financials!CG4</f>
        <v>2.0856442059953208E-2</v>
      </c>
      <c r="CJ24" s="38">
        <f>(Financials!CI4-Financials!CH4)/Financials!CH4</f>
        <v>-2.0327557034078025E-2</v>
      </c>
      <c r="CK24" s="38">
        <f>(Financials!CJ4-Financials!CI4)/Financials!CI4</f>
        <v>3.2532999610805332E-3</v>
      </c>
      <c r="CL24" s="38">
        <f>(Financials!CK4-Financials!CJ4)/Financials!CJ4</f>
        <v>1.9142778110489148E-2</v>
      </c>
      <c r="CM24" s="38">
        <f>(Financials!CL4-Financials!CK4)/Financials!CK4</f>
        <v>2.9173144245925892E-2</v>
      </c>
      <c r="CN24" s="38">
        <f>(Financials!CM4-Financials!CL4)/Financials!CL4</f>
        <v>1.302745813555227E-2</v>
      </c>
      <c r="CO24" s="38">
        <f>(Financials!CN4-Financials!CM4)/Financials!CM4</f>
        <v>6.0035871194848078E-3</v>
      </c>
    </row>
    <row r="25" spans="1:93" ht="15">
      <c r="A25" s="387"/>
      <c r="B25" s="32" t="s">
        <v>132</v>
      </c>
      <c r="C25" s="2"/>
      <c r="D25" s="34" t="e">
        <f>Financials!D5/Financials!C5-1</f>
        <v>#REF!</v>
      </c>
      <c r="E25" s="34" t="e">
        <f>Financials!G5/Financials!D5-1</f>
        <v>#REF!</v>
      </c>
      <c r="F25" s="34" t="e">
        <f>Financials!H5/Financials!G5-1</f>
        <v>#REF!</v>
      </c>
      <c r="G25" s="34" t="e">
        <f>Financials!H5/Financials!G5-1</f>
        <v>#REF!</v>
      </c>
      <c r="H25" s="34" t="e">
        <f>Financials!H5/Financials!G5-1</f>
        <v>#REF!</v>
      </c>
      <c r="I25" s="34" t="e">
        <f>Financials!I5/Financials!H5-1</f>
        <v>#REF!</v>
      </c>
      <c r="J25" s="34" t="e">
        <f>Financials!J5/Financials!I5-1</f>
        <v>#REF!</v>
      </c>
      <c r="K25" s="34" t="e">
        <f>Financials!K5/Financials!J5-1</f>
        <v>#REF!</v>
      </c>
      <c r="L25" s="34" t="e">
        <f>Financials!L5/Financials!K5-1</f>
        <v>#REF!</v>
      </c>
      <c r="M25" s="34" t="e">
        <f>Financials!M5/Financials!L5-1</f>
        <v>#REF!</v>
      </c>
      <c r="N25" s="34" t="e">
        <f>Financials!N5/Financials!M5-1</f>
        <v>#REF!</v>
      </c>
      <c r="O25" s="34" t="e">
        <f>Financials!O5/Financials!N5-1</f>
        <v>#REF!</v>
      </c>
      <c r="P25" s="34" t="e">
        <f>Financials!P5/Financials!O5-1</f>
        <v>#REF!</v>
      </c>
      <c r="Q25" s="34" t="e">
        <f>Financials!Q5/Financials!P5-1</f>
        <v>#REF!</v>
      </c>
      <c r="R25" s="34" t="e">
        <f>Financials!R5/Financials!Q5-1</f>
        <v>#REF!</v>
      </c>
      <c r="S25" s="38" t="e">
        <f>Financials!#REF!/Financials!R5-1</f>
        <v>#REF!</v>
      </c>
      <c r="T25" s="38" t="e">
        <f>Financials!#REF!/Financials!S5-1</f>
        <v>#REF!</v>
      </c>
      <c r="U25" s="38" t="e">
        <f>Financials!#REF!/Financials!T5-1</f>
        <v>#REF!</v>
      </c>
      <c r="V25" s="38" t="e">
        <f>Financials!#REF!/Financials!U5-1</f>
        <v>#REF!</v>
      </c>
      <c r="W25" s="38" t="e">
        <f>Financials!#REF!/Financials!V5-1</f>
        <v>#REF!</v>
      </c>
      <c r="X25" s="38" t="e">
        <f>Financials!#REF!/Financials!W5-1</f>
        <v>#REF!</v>
      </c>
      <c r="Y25" s="38" t="e">
        <f>Financials!#REF!/Financials!X5-1</f>
        <v>#REF!</v>
      </c>
      <c r="Z25" s="38" t="e">
        <f>Financials!#REF!/Financials!Y5-1</f>
        <v>#REF!</v>
      </c>
      <c r="AA25" s="38" t="e">
        <f>Financials!#REF!/Financials!Z5-1</f>
        <v>#REF!</v>
      </c>
      <c r="AB25" s="38" t="e">
        <f>Financials!#REF!/Financials!AA5-1</f>
        <v>#REF!</v>
      </c>
      <c r="AC25" s="38" t="e">
        <f>Financials!#REF!/Financials!AB5-1</f>
        <v>#REF!</v>
      </c>
      <c r="AD25" s="38" t="e">
        <f>Financials!#REF!/Financials!AC5-1</f>
        <v>#REF!</v>
      </c>
      <c r="AE25" s="38" t="e">
        <f>Financials!#REF!/Financials!AD5-1</f>
        <v>#REF!</v>
      </c>
      <c r="AF25" s="38" t="e">
        <f>Financials!#REF!/Financials!AE5-1</f>
        <v>#REF!</v>
      </c>
      <c r="AG25" s="38" t="e">
        <f>Financials!#REF!/Financials!AF5-1</f>
        <v>#REF!</v>
      </c>
      <c r="AH25" s="38" t="e">
        <f>Financials!#REF!/Financials!AG5-1</f>
        <v>#REF!</v>
      </c>
      <c r="AI25" s="38" t="e">
        <f>Financials!#REF!/Financials!AH5-1</f>
        <v>#REF!</v>
      </c>
      <c r="AJ25" s="38" t="e">
        <f>Financials!#REF!/Financials!AI5-1</f>
        <v>#REF!</v>
      </c>
      <c r="AK25" s="38" t="e">
        <f>Financials!#REF!/Financials!AJ5-1</f>
        <v>#REF!</v>
      </c>
      <c r="AL25" s="38" t="e">
        <f>Financials!#REF!/Financials!AK5-1</f>
        <v>#REF!</v>
      </c>
      <c r="AM25" s="38" t="e">
        <f>Financials!#REF!/Financials!AL5-1</f>
        <v>#REF!</v>
      </c>
      <c r="AN25" s="38" t="e">
        <f>Financials!#REF!/Financials!AM5-1</f>
        <v>#REF!</v>
      </c>
      <c r="AO25" s="38" t="e">
        <f>Financials!#REF!/Financials!AN5-1</f>
        <v>#REF!</v>
      </c>
      <c r="AP25" s="38" t="e">
        <f>Financials!#REF!/Financials!AO5-1</f>
        <v>#REF!</v>
      </c>
      <c r="AQ25" s="38" t="e">
        <f>Financials!#REF!/Financials!AP5-1</f>
        <v>#REF!</v>
      </c>
      <c r="AR25" s="38" t="e">
        <f>Financials!#REF!/Financials!AQ5-1</f>
        <v>#REF!</v>
      </c>
      <c r="AS25" s="38" t="e">
        <f>Financials!#REF!/Financials!AR5-1</f>
        <v>#REF!</v>
      </c>
      <c r="AT25" s="38" t="e">
        <f>Financials!#REF!/Financials!AS5-1</f>
        <v>#REF!</v>
      </c>
      <c r="AU25" s="38" t="e">
        <f>Financials!#REF!/Financials!AT5-1</f>
        <v>#REF!</v>
      </c>
      <c r="AV25" s="38" t="e">
        <f>Financials!#REF!/Financials!AU5-1</f>
        <v>#REF!</v>
      </c>
      <c r="AW25" s="38" t="e">
        <f>Financials!#REF!/Financials!AV5-1</f>
        <v>#REF!</v>
      </c>
      <c r="AX25" s="38" t="e">
        <f>Financials!#REF!/Financials!AW5-1</f>
        <v>#REF!</v>
      </c>
      <c r="AY25" s="38" t="e">
        <f>Financials!#REF!/Financials!AX5-1</f>
        <v>#REF!</v>
      </c>
      <c r="AZ25" s="38" t="e">
        <f>Financials!#REF!/Financials!AY5-1</f>
        <v>#REF!</v>
      </c>
      <c r="BA25" s="38" t="e">
        <f>Financials!#REF!/Financials!AZ5-1</f>
        <v>#REF!</v>
      </c>
      <c r="BB25" s="38" t="e">
        <f>Financials!#REF!/Financials!BA5-1</f>
        <v>#REF!</v>
      </c>
      <c r="BC25" s="38" t="e">
        <f>Financials!#REF!/Financials!BB5-1</f>
        <v>#REF!</v>
      </c>
      <c r="BD25" s="38" t="e">
        <f>Financials!#REF!/Financials!BC5-1</f>
        <v>#REF!</v>
      </c>
      <c r="BE25" s="38" t="e">
        <f>Financials!#REF!/Financials!BD5-1</f>
        <v>#REF!</v>
      </c>
      <c r="BF25" s="38" t="e">
        <f>Financials!#REF!/Financials!BE5-1</f>
        <v>#REF!</v>
      </c>
      <c r="BG25" s="38" t="e">
        <f>Financials!#REF!/Financials!BF5-1</f>
        <v>#REF!</v>
      </c>
      <c r="BH25" s="38" t="e">
        <f>Financials!#REF!/Financials!BG5-1</f>
        <v>#REF!</v>
      </c>
      <c r="BI25" s="38" t="e">
        <f>Financials!#REF!/Financials!BH5-1</f>
        <v>#REF!</v>
      </c>
      <c r="BJ25" s="38" t="e">
        <f>Financials!#REF!/Financials!BI5-1</f>
        <v>#REF!</v>
      </c>
      <c r="BK25" s="38" t="e">
        <f>Financials!#REF!/Financials!BJ5-1</f>
        <v>#REF!</v>
      </c>
      <c r="BL25" s="38" t="e">
        <f>Financials!#REF!/Financials!BK5-1</f>
        <v>#REF!</v>
      </c>
      <c r="BM25" s="38" t="e">
        <f>Financials!#REF!/Financials!BL5-1</f>
        <v>#REF!</v>
      </c>
      <c r="BN25" s="38" t="e">
        <f>Financials!#REF!/Financials!BM5-1</f>
        <v>#REF!</v>
      </c>
      <c r="BO25" s="38" t="e">
        <f>Financials!#REF!/Financials!BN5-1</f>
        <v>#REF!</v>
      </c>
      <c r="BP25" s="38" t="e">
        <f>Financials!#REF!/Financials!BO5-1</f>
        <v>#REF!</v>
      </c>
      <c r="BQ25" s="38" t="e">
        <f>Financials!#REF!/Financials!BP5-1</f>
        <v>#REF!</v>
      </c>
      <c r="BR25" s="38" t="e">
        <f>Financials!#REF!/Financials!BQ5-1</f>
        <v>#REF!</v>
      </c>
      <c r="BS25" s="38" t="e">
        <f>Financials!#REF!/Financials!BR5-1</f>
        <v>#REF!</v>
      </c>
      <c r="BT25" s="38" t="e">
        <f>Financials!#REF!/Financials!BS5-1</f>
        <v>#REF!</v>
      </c>
      <c r="BU25" s="38" t="e">
        <f>Financials!#REF!/Financials!BT5-1</f>
        <v>#REF!</v>
      </c>
      <c r="BV25" s="38" t="e">
        <f>Financials!#REF!/Financials!BU5-1</f>
        <v>#REF!</v>
      </c>
      <c r="BW25" s="38" t="e">
        <f>Financials!#REF!/Financials!BV5-1</f>
        <v>#REF!</v>
      </c>
      <c r="BX25" s="38" t="e">
        <f>Financials!#REF!/Financials!BW5-1</f>
        <v>#REF!</v>
      </c>
      <c r="BY25" s="38" t="e">
        <f>Financials!#REF!/Financials!BX5-1</f>
        <v>#REF!</v>
      </c>
      <c r="BZ25" s="38" t="e">
        <f>Financials!#REF!/Financials!BY5-1</f>
        <v>#REF!</v>
      </c>
      <c r="CA25" s="38" t="e">
        <f>Financials!#REF!/Financials!BZ5-1</f>
        <v>#REF!</v>
      </c>
      <c r="CB25" s="38" t="e">
        <f>Financials!#REF!/Financials!CA5-1</f>
        <v>#REF!</v>
      </c>
      <c r="CC25" s="38" t="e">
        <f>Financials!#REF!/Financials!CB5-1</f>
        <v>#REF!</v>
      </c>
      <c r="CD25" s="38" t="e">
        <f>Financials!#REF!/Financials!CC5-1</f>
        <v>#REF!</v>
      </c>
      <c r="CE25" s="38" t="e">
        <f>Financials!#REF!/Financials!CD5-1</f>
        <v>#REF!</v>
      </c>
      <c r="CF25" s="38" t="e">
        <f>Financials!#REF!/Financials!CE5-1</f>
        <v>#REF!</v>
      </c>
      <c r="CG25" s="38" t="e">
        <f>Financials!#REF!/Financials!CF5-1</f>
        <v>#REF!</v>
      </c>
      <c r="CH25" s="38" t="e">
        <f>Financials!#REF!/Financials!CG5-1</f>
        <v>#REF!</v>
      </c>
      <c r="CI25" s="38" t="e">
        <f>Financials!#REF!/Financials!CH5-1</f>
        <v>#REF!</v>
      </c>
      <c r="CJ25" s="38" t="e">
        <f>Financials!#REF!/Financials!CI5-1</f>
        <v>#REF!</v>
      </c>
      <c r="CK25" s="38" t="e">
        <f>Financials!#REF!/Financials!CJ5-1</f>
        <v>#REF!</v>
      </c>
      <c r="CL25" s="38" t="e">
        <f>Financials!#REF!/Financials!CK5-1</f>
        <v>#REF!</v>
      </c>
      <c r="CM25" s="38" t="e">
        <f>Financials!#REF!/Financials!CL5-1</f>
        <v>#REF!</v>
      </c>
      <c r="CN25" s="38" t="e">
        <f>Financials!#REF!/Financials!CM5-1</f>
        <v>#REF!</v>
      </c>
      <c r="CO25" s="38" t="e">
        <f>Financials!#REF!/Financials!CN5-1</f>
        <v>#REF!</v>
      </c>
    </row>
    <row r="26" spans="1:93" ht="15">
      <c r="A26" s="387"/>
      <c r="B26" s="33" t="s">
        <v>214</v>
      </c>
      <c r="C26" s="2"/>
      <c r="D26" s="34" t="e">
        <f>Financials!D6/Financials!C6-1</f>
        <v>#REF!</v>
      </c>
      <c r="E26" s="34" t="e">
        <f>Financials!G6/Financials!D6-1</f>
        <v>#REF!</v>
      </c>
      <c r="F26" s="34" t="e">
        <f>Financials!H6/Financials!G6-1</f>
        <v>#REF!</v>
      </c>
      <c r="G26" s="34" t="e">
        <f>Financials!H6/Financials!G6-1</f>
        <v>#REF!</v>
      </c>
      <c r="H26" s="34" t="e">
        <f>Financials!H6/Financials!G6-1</f>
        <v>#REF!</v>
      </c>
      <c r="I26" s="34" t="e">
        <f>Financials!I6/Financials!H6-1</f>
        <v>#REF!</v>
      </c>
      <c r="J26" s="34" t="e">
        <f>Financials!J6/Financials!I6-1</f>
        <v>#REF!</v>
      </c>
      <c r="K26" s="34" t="e">
        <f>Financials!K6/Financials!J6-1</f>
        <v>#REF!</v>
      </c>
      <c r="L26" s="34" t="e">
        <f>Financials!L6/Financials!K6-1</f>
        <v>#REF!</v>
      </c>
      <c r="M26" s="34" t="e">
        <f>Financials!M6/Financials!L6-1</f>
        <v>#REF!</v>
      </c>
      <c r="N26" s="34" t="e">
        <f>Financials!N6/Financials!M6-1</f>
        <v>#REF!</v>
      </c>
      <c r="O26" s="34" t="e">
        <f>Financials!O6/Financials!N6-1</f>
        <v>#REF!</v>
      </c>
      <c r="P26" s="34" t="e">
        <f>Financials!P6/Financials!O6-1</f>
        <v>#REF!</v>
      </c>
      <c r="Q26" s="34" t="e">
        <f>Financials!Q6/Financials!P6-1</f>
        <v>#REF!</v>
      </c>
      <c r="R26" s="34" t="e">
        <f>Financials!R6/Financials!Q6-1</f>
        <v>#REF!</v>
      </c>
      <c r="S26" s="38" t="e">
        <f>Financials!#REF!/Financials!R6-1</f>
        <v>#REF!</v>
      </c>
      <c r="T26" s="38" t="e">
        <f>Financials!#REF!/Financials!S6-1</f>
        <v>#REF!</v>
      </c>
      <c r="U26" s="38" t="e">
        <f>Financials!#REF!/Financials!T6-1</f>
        <v>#REF!</v>
      </c>
      <c r="V26" s="38" t="e">
        <f>Financials!#REF!/Financials!U6-1</f>
        <v>#REF!</v>
      </c>
      <c r="W26" s="38" t="e">
        <f>Financials!#REF!/Financials!V6-1</f>
        <v>#REF!</v>
      </c>
      <c r="X26" s="38" t="e">
        <f>Financials!#REF!/Financials!W6-1</f>
        <v>#REF!</v>
      </c>
      <c r="Y26" s="38" t="e">
        <f>Financials!#REF!/Financials!X6-1</f>
        <v>#REF!</v>
      </c>
      <c r="Z26" s="38" t="e">
        <f>Financials!#REF!/Financials!Y6-1</f>
        <v>#REF!</v>
      </c>
      <c r="AA26" s="38" t="e">
        <f>Financials!#REF!/Financials!Z6-1</f>
        <v>#REF!</v>
      </c>
      <c r="AB26" s="38" t="e">
        <f>Financials!#REF!/Financials!AA6-1</f>
        <v>#REF!</v>
      </c>
      <c r="AC26" s="38" t="e">
        <f>Financials!#REF!/Financials!AB6-1</f>
        <v>#REF!</v>
      </c>
      <c r="AD26" s="38" t="e">
        <f>Financials!#REF!/Financials!AC6-1</f>
        <v>#REF!</v>
      </c>
      <c r="AE26" s="38" t="e">
        <f>Financials!#REF!/Financials!AD6-1</f>
        <v>#REF!</v>
      </c>
      <c r="AF26" s="38" t="e">
        <f>Financials!#REF!/Financials!AE6-1</f>
        <v>#REF!</v>
      </c>
      <c r="AG26" s="38" t="e">
        <f>Financials!#REF!/Financials!AF6-1</f>
        <v>#REF!</v>
      </c>
      <c r="AH26" s="38" t="e">
        <f>Financials!#REF!/Financials!AG6-1</f>
        <v>#REF!</v>
      </c>
      <c r="AI26" s="38" t="e">
        <f>Financials!#REF!/Financials!AH6-1</f>
        <v>#REF!</v>
      </c>
      <c r="AJ26" s="38" t="e">
        <f>Financials!#REF!/Financials!AI6-1</f>
        <v>#REF!</v>
      </c>
      <c r="AK26" s="38" t="e">
        <f>Financials!#REF!/Financials!AJ6-1</f>
        <v>#REF!</v>
      </c>
      <c r="AL26" s="38" t="e">
        <f>Financials!#REF!/Financials!AK6-1</f>
        <v>#REF!</v>
      </c>
      <c r="AM26" s="38" t="e">
        <f>Financials!#REF!/Financials!AL6-1</f>
        <v>#REF!</v>
      </c>
      <c r="AN26" s="38" t="e">
        <f>Financials!#REF!/Financials!AM6-1</f>
        <v>#REF!</v>
      </c>
      <c r="AO26" s="38" t="e">
        <f>Financials!#REF!/Financials!AN6-1</f>
        <v>#REF!</v>
      </c>
      <c r="AP26" s="38" t="e">
        <f>Financials!#REF!/Financials!AO6-1</f>
        <v>#REF!</v>
      </c>
      <c r="AQ26" s="38" t="e">
        <f>Financials!#REF!/Financials!AP6-1</f>
        <v>#REF!</v>
      </c>
      <c r="AR26" s="38" t="e">
        <f>Financials!#REF!/Financials!AQ6-1</f>
        <v>#REF!</v>
      </c>
      <c r="AS26" s="38" t="e">
        <f>Financials!#REF!/Financials!AR6-1</f>
        <v>#REF!</v>
      </c>
      <c r="AT26" s="38" t="e">
        <f>Financials!#REF!/Financials!AS6-1</f>
        <v>#REF!</v>
      </c>
      <c r="AU26" s="38" t="e">
        <f>Financials!#REF!/Financials!AT6-1</f>
        <v>#REF!</v>
      </c>
      <c r="AV26" s="38" t="e">
        <f>Financials!#REF!/Financials!AU6-1</f>
        <v>#REF!</v>
      </c>
      <c r="AW26" s="38" t="e">
        <f>Financials!#REF!/Financials!AV6-1</f>
        <v>#REF!</v>
      </c>
      <c r="AX26" s="38" t="e">
        <f>Financials!#REF!/Financials!AW6-1</f>
        <v>#REF!</v>
      </c>
      <c r="AY26" s="38" t="e">
        <f>Financials!#REF!/Financials!AX6-1</f>
        <v>#REF!</v>
      </c>
      <c r="AZ26" s="38" t="e">
        <f>Financials!#REF!/Financials!AY6-1</f>
        <v>#REF!</v>
      </c>
      <c r="BA26" s="38" t="e">
        <f>Financials!#REF!/Financials!AZ6-1</f>
        <v>#REF!</v>
      </c>
      <c r="BB26" s="38" t="e">
        <f>Financials!#REF!/Financials!BA6-1</f>
        <v>#REF!</v>
      </c>
      <c r="BC26" s="38" t="e">
        <f>Financials!#REF!/Financials!BB6-1</f>
        <v>#REF!</v>
      </c>
      <c r="BD26" s="38" t="e">
        <f>Financials!#REF!/Financials!BC6-1</f>
        <v>#REF!</v>
      </c>
      <c r="BE26" s="38" t="e">
        <f>Financials!#REF!/Financials!BD6-1</f>
        <v>#REF!</v>
      </c>
      <c r="BF26" s="38" t="e">
        <f>Financials!#REF!/Financials!BE6-1</f>
        <v>#REF!</v>
      </c>
      <c r="BG26" s="38" t="e">
        <f>Financials!#REF!/Financials!BF6-1</f>
        <v>#REF!</v>
      </c>
      <c r="BH26" s="38" t="e">
        <f>Financials!#REF!/Financials!BG6-1</f>
        <v>#REF!</v>
      </c>
      <c r="BI26" s="38" t="e">
        <f>Financials!#REF!/Financials!BH6-1</f>
        <v>#REF!</v>
      </c>
      <c r="BJ26" s="38" t="e">
        <f>Financials!#REF!/Financials!BI6-1</f>
        <v>#REF!</v>
      </c>
      <c r="BK26" s="38" t="e">
        <f>Financials!#REF!/Financials!BJ6-1</f>
        <v>#REF!</v>
      </c>
      <c r="BL26" s="38" t="e">
        <f>Financials!#REF!/Financials!BK6-1</f>
        <v>#REF!</v>
      </c>
      <c r="BM26" s="38" t="e">
        <f>Financials!#REF!/Financials!BL6-1</f>
        <v>#REF!</v>
      </c>
      <c r="BN26" s="38" t="e">
        <f>Financials!#REF!/Financials!BM6-1</f>
        <v>#REF!</v>
      </c>
      <c r="BO26" s="38" t="e">
        <f>Financials!#REF!/Financials!BN6-1</f>
        <v>#REF!</v>
      </c>
      <c r="BP26" s="38" t="e">
        <f>Financials!#REF!/Financials!BO6-1</f>
        <v>#REF!</v>
      </c>
      <c r="BQ26" s="38" t="e">
        <f>Financials!#REF!/Financials!BP6-1</f>
        <v>#REF!</v>
      </c>
      <c r="BR26" s="38" t="e">
        <f>Financials!#REF!/Financials!BQ6-1</f>
        <v>#REF!</v>
      </c>
      <c r="BS26" s="38" t="e">
        <f>Financials!#REF!/Financials!BR6-1</f>
        <v>#REF!</v>
      </c>
      <c r="BT26" s="38" t="e">
        <f>Financials!#REF!/Financials!BS6-1</f>
        <v>#REF!</v>
      </c>
      <c r="BU26" s="38" t="e">
        <f>Financials!#REF!/Financials!BT6-1</f>
        <v>#REF!</v>
      </c>
      <c r="BV26" s="38" t="e">
        <f>Financials!#REF!/Financials!BU6-1</f>
        <v>#REF!</v>
      </c>
      <c r="BW26" s="38" t="e">
        <f>Financials!#REF!/Financials!BV6-1</f>
        <v>#REF!</v>
      </c>
      <c r="BX26" s="38" t="e">
        <f>Financials!#REF!/Financials!BW6-1</f>
        <v>#REF!</v>
      </c>
      <c r="BY26" s="38" t="e">
        <f>Financials!#REF!/Financials!BX6-1</f>
        <v>#REF!</v>
      </c>
      <c r="BZ26" s="38" t="e">
        <f>Financials!#REF!/Financials!BY6-1</f>
        <v>#REF!</v>
      </c>
      <c r="CA26" s="38" t="e">
        <f>Financials!#REF!/Financials!BZ6-1</f>
        <v>#REF!</v>
      </c>
      <c r="CB26" s="38" t="e">
        <f>Financials!#REF!/Financials!CA6-1</f>
        <v>#REF!</v>
      </c>
      <c r="CC26" s="38" t="e">
        <f>Financials!#REF!/Financials!CB6-1</f>
        <v>#REF!</v>
      </c>
      <c r="CD26" s="38" t="e">
        <f>Financials!#REF!/Financials!CC6-1</f>
        <v>#REF!</v>
      </c>
      <c r="CE26" s="38" t="e">
        <f>Financials!#REF!/Financials!CD6-1</f>
        <v>#REF!</v>
      </c>
      <c r="CF26" s="38" t="e">
        <f>Financials!#REF!/Financials!CE6-1</f>
        <v>#REF!</v>
      </c>
      <c r="CG26" s="38" t="e">
        <f>Financials!#REF!/Financials!CF6-1</f>
        <v>#REF!</v>
      </c>
      <c r="CH26" s="38" t="e">
        <f>Financials!#REF!/Financials!CG6-1</f>
        <v>#REF!</v>
      </c>
      <c r="CI26" s="38" t="e">
        <f>Financials!#REF!/Financials!CH6-1</f>
        <v>#REF!</v>
      </c>
      <c r="CJ26" s="38" t="e">
        <f>Financials!#REF!/Financials!CI6-1</f>
        <v>#REF!</v>
      </c>
      <c r="CK26" s="38" t="e">
        <f>Financials!#REF!/Financials!CJ6-1</f>
        <v>#REF!</v>
      </c>
      <c r="CL26" s="38" t="e">
        <f>Financials!#REF!/Financials!CK6-1</f>
        <v>#REF!</v>
      </c>
      <c r="CM26" s="38" t="e">
        <f>Financials!#REF!/Financials!CL6-1</f>
        <v>#REF!</v>
      </c>
      <c r="CN26" s="38" t="e">
        <f>Financials!#REF!/Financials!CM6-1</f>
        <v>#REF!</v>
      </c>
      <c r="CO26" s="38" t="e">
        <f>Financials!#REF!/Financials!CN6-1</f>
        <v>#REF!</v>
      </c>
    </row>
    <row r="27" spans="1:93" ht="15">
      <c r="A27" s="387"/>
      <c r="B27" s="33" t="s">
        <v>215</v>
      </c>
      <c r="C27" s="2"/>
      <c r="D27" s="34" t="e">
        <f>Financials!D7/Financials!C7-1</f>
        <v>#REF!</v>
      </c>
      <c r="E27" s="34" t="e">
        <f>Financials!G7/Financials!D7-1</f>
        <v>#REF!</v>
      </c>
      <c r="F27" s="34" t="e">
        <f>Financials!H7/Financials!G7-1</f>
        <v>#REF!</v>
      </c>
      <c r="G27" s="34" t="e">
        <f>Financials!H7/Financials!G7-1</f>
        <v>#REF!</v>
      </c>
      <c r="H27" s="34" t="e">
        <f>Financials!H7/Financials!G7-1</f>
        <v>#REF!</v>
      </c>
      <c r="I27" s="34" t="e">
        <f>Financials!I7/Financials!H7-1</f>
        <v>#REF!</v>
      </c>
      <c r="J27" s="34" t="e">
        <f>Financials!J7/Financials!I7-1</f>
        <v>#REF!</v>
      </c>
      <c r="K27" s="34" t="e">
        <f>Financials!K7/Financials!J7-1</f>
        <v>#REF!</v>
      </c>
      <c r="L27" s="34" t="e">
        <f>Financials!L7/Financials!K7-1</f>
        <v>#REF!</v>
      </c>
      <c r="M27" s="34" t="e">
        <f>Financials!M7/Financials!L7-1</f>
        <v>#REF!</v>
      </c>
      <c r="N27" s="34" t="e">
        <f>Financials!N7/Financials!M7-1</f>
        <v>#REF!</v>
      </c>
      <c r="O27" s="34" t="e">
        <f>Financials!O7/Financials!N7-1</f>
        <v>#REF!</v>
      </c>
      <c r="P27" s="34" t="e">
        <f>Financials!P7/Financials!O7-1</f>
        <v>#REF!</v>
      </c>
      <c r="Q27" s="34" t="e">
        <f>Financials!Q7/Financials!P7-1</f>
        <v>#REF!</v>
      </c>
      <c r="R27" s="34" t="e">
        <f>Financials!R7/Financials!Q7-1</f>
        <v>#REF!</v>
      </c>
      <c r="S27" s="38" t="e">
        <f>Financials!#REF!/Financials!R7-1</f>
        <v>#REF!</v>
      </c>
      <c r="T27" s="38" t="e">
        <f>Financials!#REF!/Financials!S7-1</f>
        <v>#REF!</v>
      </c>
      <c r="U27" s="38" t="e">
        <f>Financials!#REF!/Financials!T7-1</f>
        <v>#REF!</v>
      </c>
      <c r="V27" s="38" t="e">
        <f>Financials!#REF!/Financials!U7-1</f>
        <v>#REF!</v>
      </c>
      <c r="W27" s="38" t="e">
        <f>Financials!#REF!/Financials!V7-1</f>
        <v>#REF!</v>
      </c>
      <c r="X27" s="38" t="e">
        <f>Financials!#REF!/Financials!W7-1</f>
        <v>#REF!</v>
      </c>
      <c r="Y27" s="38" t="e">
        <f>Financials!#REF!/Financials!X7-1</f>
        <v>#REF!</v>
      </c>
      <c r="Z27" s="38" t="e">
        <f>Financials!#REF!/Financials!Y7-1</f>
        <v>#REF!</v>
      </c>
      <c r="AA27" s="38" t="e">
        <f>Financials!#REF!/Financials!Z7-1</f>
        <v>#REF!</v>
      </c>
      <c r="AB27" s="38" t="e">
        <f>Financials!#REF!/Financials!AA7-1</f>
        <v>#REF!</v>
      </c>
      <c r="AC27" s="38" t="e">
        <f>Financials!#REF!/Financials!AB7-1</f>
        <v>#REF!</v>
      </c>
      <c r="AD27" s="38" t="e">
        <f>Financials!#REF!/Financials!AC7-1</f>
        <v>#REF!</v>
      </c>
      <c r="AE27" s="38" t="e">
        <f>Financials!#REF!/Financials!AD7-1</f>
        <v>#REF!</v>
      </c>
      <c r="AF27" s="38" t="e">
        <f>Financials!#REF!/Financials!AE7-1</f>
        <v>#REF!</v>
      </c>
      <c r="AG27" s="38" t="e">
        <f>Financials!#REF!/Financials!AF7-1</f>
        <v>#REF!</v>
      </c>
      <c r="AH27" s="38" t="e">
        <f>Financials!#REF!/Financials!AG7-1</f>
        <v>#REF!</v>
      </c>
      <c r="AI27" s="38" t="e">
        <f>Financials!#REF!/Financials!AH7-1</f>
        <v>#REF!</v>
      </c>
      <c r="AJ27" s="38" t="e">
        <f>Financials!#REF!/Financials!AI7-1</f>
        <v>#REF!</v>
      </c>
      <c r="AK27" s="38" t="e">
        <f>Financials!#REF!/Financials!AJ7-1</f>
        <v>#REF!</v>
      </c>
      <c r="AL27" s="38" t="e">
        <f>Financials!#REF!/Financials!AK7-1</f>
        <v>#REF!</v>
      </c>
      <c r="AM27" s="38" t="e">
        <f>Financials!#REF!/Financials!AL7-1</f>
        <v>#REF!</v>
      </c>
      <c r="AN27" s="38" t="e">
        <f>Financials!#REF!/Financials!AM7-1</f>
        <v>#REF!</v>
      </c>
      <c r="AO27" s="38" t="e">
        <f>Financials!#REF!/Financials!AN7-1</f>
        <v>#REF!</v>
      </c>
      <c r="AP27" s="38" t="e">
        <f>Financials!#REF!/Financials!AO7-1</f>
        <v>#REF!</v>
      </c>
      <c r="AQ27" s="38" t="e">
        <f>Financials!#REF!/Financials!AP7-1</f>
        <v>#REF!</v>
      </c>
      <c r="AR27" s="38" t="e">
        <f>Financials!#REF!/Financials!AQ7-1</f>
        <v>#REF!</v>
      </c>
      <c r="AS27" s="38" t="e">
        <f>Financials!#REF!/Financials!AR7-1</f>
        <v>#REF!</v>
      </c>
      <c r="AT27" s="38" t="e">
        <f>Financials!#REF!/Financials!AS7-1</f>
        <v>#REF!</v>
      </c>
      <c r="AU27" s="38" t="e">
        <f>Financials!#REF!/Financials!AT7-1</f>
        <v>#REF!</v>
      </c>
      <c r="AV27" s="38" t="e">
        <f>Financials!#REF!/Financials!AU7-1</f>
        <v>#REF!</v>
      </c>
      <c r="AW27" s="38" t="e">
        <f>Financials!#REF!/Financials!AV7-1</f>
        <v>#REF!</v>
      </c>
      <c r="AX27" s="38" t="e">
        <f>Financials!#REF!/Financials!AW7-1</f>
        <v>#REF!</v>
      </c>
      <c r="AY27" s="38" t="e">
        <f>Financials!#REF!/Financials!AX7-1</f>
        <v>#REF!</v>
      </c>
      <c r="AZ27" s="38" t="e">
        <f>Financials!#REF!/Financials!AY7-1</f>
        <v>#REF!</v>
      </c>
      <c r="BA27" s="38" t="e">
        <f>Financials!#REF!/Financials!AZ7-1</f>
        <v>#REF!</v>
      </c>
      <c r="BB27" s="38" t="e">
        <f>Financials!#REF!/Financials!BA7-1</f>
        <v>#REF!</v>
      </c>
      <c r="BC27" s="38" t="e">
        <f>Financials!#REF!/Financials!BB7-1</f>
        <v>#REF!</v>
      </c>
      <c r="BD27" s="38" t="e">
        <f>Financials!#REF!/Financials!BC7-1</f>
        <v>#REF!</v>
      </c>
      <c r="BE27" s="38" t="e">
        <f>Financials!#REF!/Financials!BD7-1</f>
        <v>#REF!</v>
      </c>
      <c r="BF27" s="38" t="e">
        <f>Financials!#REF!/Financials!BE7-1</f>
        <v>#REF!</v>
      </c>
      <c r="BG27" s="38" t="e">
        <f>Financials!#REF!/Financials!BF7-1</f>
        <v>#REF!</v>
      </c>
      <c r="BH27" s="38" t="e">
        <f>Financials!#REF!/Financials!BG7-1</f>
        <v>#REF!</v>
      </c>
      <c r="BI27" s="38" t="e">
        <f>Financials!#REF!/Financials!BH7-1</f>
        <v>#REF!</v>
      </c>
      <c r="BJ27" s="38" t="e">
        <f>Financials!#REF!/Financials!BI7-1</f>
        <v>#REF!</v>
      </c>
      <c r="BK27" s="38" t="e">
        <f>Financials!#REF!/Financials!BJ7-1</f>
        <v>#REF!</v>
      </c>
      <c r="BL27" s="38" t="e">
        <f>Financials!#REF!/Financials!BK7-1</f>
        <v>#REF!</v>
      </c>
      <c r="BM27" s="38" t="e">
        <f>Financials!#REF!/Financials!BL7-1</f>
        <v>#REF!</v>
      </c>
      <c r="BN27" s="38" t="e">
        <f>Financials!#REF!/Financials!BM7-1</f>
        <v>#REF!</v>
      </c>
      <c r="BO27" s="38" t="e">
        <f>Financials!#REF!/Financials!BN7-1</f>
        <v>#REF!</v>
      </c>
      <c r="BP27" s="38" t="e">
        <f>Financials!#REF!/Financials!BO7-1</f>
        <v>#REF!</v>
      </c>
      <c r="BQ27" s="38" t="e">
        <f>Financials!#REF!/Financials!BP7-1</f>
        <v>#REF!</v>
      </c>
      <c r="BR27" s="38" t="e">
        <f>Financials!#REF!/Financials!BQ7-1</f>
        <v>#REF!</v>
      </c>
      <c r="BS27" s="38" t="e">
        <f>Financials!#REF!/Financials!BR7-1</f>
        <v>#REF!</v>
      </c>
      <c r="BT27" s="38" t="e">
        <f>Financials!#REF!/Financials!BS7-1</f>
        <v>#REF!</v>
      </c>
      <c r="BU27" s="38" t="e">
        <f>Financials!#REF!/Financials!BT7-1</f>
        <v>#REF!</v>
      </c>
      <c r="BV27" s="38" t="e">
        <f>Financials!#REF!/Financials!BU7-1</f>
        <v>#REF!</v>
      </c>
      <c r="BW27" s="38" t="e">
        <f>Financials!#REF!/Financials!BV7-1</f>
        <v>#REF!</v>
      </c>
      <c r="BX27" s="38" t="e">
        <f>Financials!#REF!/Financials!BW7-1</f>
        <v>#REF!</v>
      </c>
      <c r="BY27" s="38" t="e">
        <f>Financials!#REF!/Financials!BX7-1</f>
        <v>#REF!</v>
      </c>
      <c r="BZ27" s="38" t="e">
        <f>Financials!#REF!/Financials!BY7-1</f>
        <v>#REF!</v>
      </c>
      <c r="CA27" s="38" t="e">
        <f>Financials!#REF!/Financials!BZ7-1</f>
        <v>#REF!</v>
      </c>
      <c r="CB27" s="38" t="e">
        <f>Financials!#REF!/Financials!CA7-1</f>
        <v>#REF!</v>
      </c>
      <c r="CC27" s="38" t="e">
        <f>Financials!#REF!/Financials!CB7-1</f>
        <v>#REF!</v>
      </c>
      <c r="CD27" s="38" t="e">
        <f>Financials!#REF!/Financials!CC7-1</f>
        <v>#REF!</v>
      </c>
      <c r="CE27" s="38" t="e">
        <f>Financials!#REF!/Financials!CD7-1</f>
        <v>#REF!</v>
      </c>
      <c r="CF27" s="38" t="e">
        <f>Financials!#REF!/Financials!CE7-1</f>
        <v>#REF!</v>
      </c>
      <c r="CG27" s="38" t="e">
        <f>Financials!#REF!/Financials!CF7-1</f>
        <v>#REF!</v>
      </c>
      <c r="CH27" s="38" t="e">
        <f>Financials!#REF!/Financials!CG7-1</f>
        <v>#REF!</v>
      </c>
      <c r="CI27" s="38" t="e">
        <f>Financials!#REF!/Financials!CH7-1</f>
        <v>#REF!</v>
      </c>
      <c r="CJ27" s="38" t="e">
        <f>Financials!#REF!/Financials!CI7-1</f>
        <v>#REF!</v>
      </c>
      <c r="CK27" s="38" t="e">
        <f>Financials!#REF!/Financials!CJ7-1</f>
        <v>#REF!</v>
      </c>
      <c r="CL27" s="38" t="e">
        <f>Financials!#REF!/Financials!CK7-1</f>
        <v>#REF!</v>
      </c>
      <c r="CM27" s="38" t="e">
        <f>Financials!#REF!/Financials!CL7-1</f>
        <v>#REF!</v>
      </c>
      <c r="CN27" s="38" t="e">
        <f>Financials!#REF!/Financials!CM7-1</f>
        <v>#REF!</v>
      </c>
      <c r="CO27" s="38" t="e">
        <f>Financials!#REF!/Financials!CN7-1</f>
        <v>#REF!</v>
      </c>
    </row>
    <row r="28" spans="1:93" ht="15">
      <c r="A28" s="387"/>
      <c r="B28" s="32" t="s">
        <v>216</v>
      </c>
      <c r="C28" s="2"/>
      <c r="D28" s="34" t="e">
        <f>Financials!D31/Financials!C31-1</f>
        <v>#REF!</v>
      </c>
      <c r="E28" s="34" t="e">
        <f>Financials!G31/Financials!D31-1</f>
        <v>#REF!</v>
      </c>
      <c r="F28" s="34" t="e">
        <f>Financials!H31/Financials!G31-1</f>
        <v>#REF!</v>
      </c>
      <c r="G28" s="34" t="e">
        <f>Financials!H31/Financials!G31-1</f>
        <v>#REF!</v>
      </c>
      <c r="H28" s="34" t="e">
        <f>Financials!H31/Financials!G31-1</f>
        <v>#REF!</v>
      </c>
      <c r="I28" s="34" t="e">
        <f>Financials!I31/Financials!H31-1</f>
        <v>#REF!</v>
      </c>
      <c r="J28" s="34" t="e">
        <f>Financials!J31/Financials!I31-1</f>
        <v>#REF!</v>
      </c>
      <c r="K28" s="34" t="e">
        <f>Financials!K31/Financials!J31-1</f>
        <v>#REF!</v>
      </c>
      <c r="L28" s="34" t="e">
        <f>Financials!L31/Financials!K31-1</f>
        <v>#REF!</v>
      </c>
      <c r="M28" s="34" t="e">
        <f>Financials!M31/Financials!L31-1</f>
        <v>#REF!</v>
      </c>
      <c r="N28" s="34" t="e">
        <f>Financials!N31/Financials!M31-1</f>
        <v>#REF!</v>
      </c>
      <c r="O28" s="34" t="e">
        <f>Financials!O31/Financials!N31-1</f>
        <v>#REF!</v>
      </c>
      <c r="P28" s="34" t="e">
        <f>Financials!P31/Financials!O31-1</f>
        <v>#REF!</v>
      </c>
      <c r="Q28" s="34" t="e">
        <f>Financials!Q31/Financials!P31-1</f>
        <v>#REF!</v>
      </c>
      <c r="R28" s="34" t="e">
        <f>Financials!R31/Financials!Q31-1</f>
        <v>#REF!</v>
      </c>
      <c r="S28" s="38" t="e">
        <f>Financials!#REF!/Financials!R31-1</f>
        <v>#REF!</v>
      </c>
      <c r="T28" s="38" t="e">
        <f>Financials!#REF!/Financials!S31-1</f>
        <v>#REF!</v>
      </c>
      <c r="U28" s="38" t="e">
        <f>Financials!#REF!/Financials!T31-1</f>
        <v>#REF!</v>
      </c>
      <c r="V28" s="38" t="e">
        <f>Financials!#REF!/Financials!U31-1</f>
        <v>#REF!</v>
      </c>
      <c r="W28" s="38" t="e">
        <f>Financials!#REF!/Financials!V31-1</f>
        <v>#REF!</v>
      </c>
      <c r="X28" s="38" t="e">
        <f>Financials!#REF!/Financials!W31-1</f>
        <v>#REF!</v>
      </c>
      <c r="Y28" s="38" t="e">
        <f>Financials!#REF!/Financials!X31-1</f>
        <v>#REF!</v>
      </c>
      <c r="Z28" s="38" t="e">
        <f>Financials!#REF!/Financials!Y31-1</f>
        <v>#REF!</v>
      </c>
      <c r="AA28" s="38" t="e">
        <f>Financials!#REF!/Financials!Z31-1</f>
        <v>#REF!</v>
      </c>
      <c r="AB28" s="38" t="e">
        <f>Financials!#REF!/Financials!AA31-1</f>
        <v>#REF!</v>
      </c>
      <c r="AC28" s="38" t="e">
        <f>Financials!#REF!/Financials!AB31-1</f>
        <v>#REF!</v>
      </c>
      <c r="AD28" s="38" t="e">
        <f>Financials!#REF!/Financials!AC31-1</f>
        <v>#REF!</v>
      </c>
      <c r="AE28" s="38" t="e">
        <f>Financials!#REF!/Financials!AD31-1</f>
        <v>#REF!</v>
      </c>
      <c r="AF28" s="38" t="e">
        <f>Financials!#REF!/Financials!AE31-1</f>
        <v>#REF!</v>
      </c>
      <c r="AG28" s="38" t="e">
        <f>Financials!#REF!/Financials!AF31-1</f>
        <v>#REF!</v>
      </c>
      <c r="AH28" s="38" t="e">
        <f>Financials!#REF!/Financials!AG31-1</f>
        <v>#REF!</v>
      </c>
      <c r="AI28" s="38" t="e">
        <f>Financials!#REF!/Financials!AH31-1</f>
        <v>#REF!</v>
      </c>
      <c r="AJ28" s="38" t="e">
        <f>Financials!#REF!/Financials!AI31-1</f>
        <v>#REF!</v>
      </c>
      <c r="AK28" s="38" t="e">
        <f>Financials!#REF!/Financials!AJ31-1</f>
        <v>#REF!</v>
      </c>
      <c r="AL28" s="38" t="e">
        <f>Financials!#REF!/Financials!AK31-1</f>
        <v>#REF!</v>
      </c>
      <c r="AM28" s="38" t="e">
        <f>Financials!#REF!/Financials!AL31-1</f>
        <v>#REF!</v>
      </c>
      <c r="AN28" s="38" t="e">
        <f>Financials!#REF!/Financials!AM31-1</f>
        <v>#REF!</v>
      </c>
      <c r="AO28" s="38" t="e">
        <f>Financials!#REF!/Financials!AN31-1</f>
        <v>#REF!</v>
      </c>
      <c r="AP28" s="38" t="e">
        <f>Financials!#REF!/Financials!AO31-1</f>
        <v>#REF!</v>
      </c>
      <c r="AQ28" s="38" t="e">
        <f>Financials!#REF!/Financials!AP31-1</f>
        <v>#REF!</v>
      </c>
      <c r="AR28" s="38" t="e">
        <f>Financials!#REF!/Financials!AQ31-1</f>
        <v>#REF!</v>
      </c>
      <c r="AS28" s="38" t="e">
        <f>Financials!#REF!/Financials!AR31-1</f>
        <v>#REF!</v>
      </c>
      <c r="AT28" s="38" t="e">
        <f>Financials!#REF!/Financials!AS31-1</f>
        <v>#REF!</v>
      </c>
      <c r="AU28" s="38" t="e">
        <f>Financials!#REF!/Financials!AT31-1</f>
        <v>#REF!</v>
      </c>
      <c r="AV28" s="38" t="e">
        <f>Financials!#REF!/Financials!AU31-1</f>
        <v>#REF!</v>
      </c>
      <c r="AW28" s="38" t="e">
        <f>Financials!#REF!/Financials!AV31-1</f>
        <v>#REF!</v>
      </c>
      <c r="AX28" s="38" t="e">
        <f>Financials!#REF!/Financials!AW31-1</f>
        <v>#REF!</v>
      </c>
      <c r="AY28" s="38" t="e">
        <f>Financials!#REF!/Financials!AX31-1</f>
        <v>#REF!</v>
      </c>
      <c r="AZ28" s="38" t="e">
        <f>Financials!#REF!/Financials!AY31-1</f>
        <v>#REF!</v>
      </c>
      <c r="BA28" s="38" t="e">
        <f>Financials!#REF!/Financials!AZ31-1</f>
        <v>#REF!</v>
      </c>
      <c r="BB28" s="38" t="e">
        <f>Financials!#REF!/Financials!BA31-1</f>
        <v>#REF!</v>
      </c>
      <c r="BC28" s="38" t="e">
        <f>Financials!#REF!/Financials!BB31-1</f>
        <v>#REF!</v>
      </c>
      <c r="BD28" s="38" t="e">
        <f>Financials!#REF!/Financials!BC31-1</f>
        <v>#REF!</v>
      </c>
      <c r="BE28" s="38" t="e">
        <f>Financials!#REF!/Financials!BD31-1</f>
        <v>#REF!</v>
      </c>
      <c r="BF28" s="38" t="e">
        <f>Financials!#REF!/Financials!BE31-1</f>
        <v>#REF!</v>
      </c>
      <c r="BG28" s="38" t="e">
        <f>Financials!#REF!/Financials!BF31-1</f>
        <v>#REF!</v>
      </c>
      <c r="BH28" s="38" t="e">
        <f>Financials!#REF!/Financials!BG31-1</f>
        <v>#REF!</v>
      </c>
      <c r="BI28" s="38" t="e">
        <f>Financials!#REF!/Financials!BH31-1</f>
        <v>#REF!</v>
      </c>
      <c r="BJ28" s="38" t="e">
        <f>Financials!#REF!/Financials!BI31-1</f>
        <v>#REF!</v>
      </c>
      <c r="BK28" s="38" t="e">
        <f>Financials!#REF!/Financials!BJ31-1</f>
        <v>#REF!</v>
      </c>
      <c r="BL28" s="38" t="e">
        <f>Financials!#REF!/Financials!BK31-1</f>
        <v>#REF!</v>
      </c>
      <c r="BM28" s="38" t="e">
        <f>Financials!#REF!/Financials!BL31-1</f>
        <v>#REF!</v>
      </c>
      <c r="BN28" s="38" t="e">
        <f>Financials!#REF!/Financials!BM31-1</f>
        <v>#REF!</v>
      </c>
      <c r="BO28" s="38" t="e">
        <f>Financials!#REF!/Financials!BN31-1</f>
        <v>#REF!</v>
      </c>
      <c r="BP28" s="38" t="e">
        <f>Financials!#REF!/Financials!BO31-1</f>
        <v>#REF!</v>
      </c>
      <c r="BQ28" s="38" t="e">
        <f>Financials!#REF!/Financials!BP31-1</f>
        <v>#REF!</v>
      </c>
      <c r="BR28" s="38" t="e">
        <f>Financials!#REF!/Financials!BQ31-1</f>
        <v>#REF!</v>
      </c>
      <c r="BS28" s="38" t="e">
        <f>Financials!#REF!/Financials!BR31-1</f>
        <v>#REF!</v>
      </c>
      <c r="BT28" s="38" t="e">
        <f>Financials!#REF!/Financials!BS31-1</f>
        <v>#REF!</v>
      </c>
      <c r="BU28" s="38" t="e">
        <f>Financials!#REF!/Financials!BT31-1</f>
        <v>#REF!</v>
      </c>
      <c r="BV28" s="38" t="e">
        <f>Financials!#REF!/Financials!BU31-1</f>
        <v>#REF!</v>
      </c>
      <c r="BW28" s="38" t="e">
        <f>Financials!#REF!/Financials!BV31-1</f>
        <v>#REF!</v>
      </c>
      <c r="BX28" s="38" t="e">
        <f>Financials!#REF!/Financials!BW31-1</f>
        <v>#REF!</v>
      </c>
      <c r="BY28" s="38" t="e">
        <f>Financials!#REF!/Financials!BX31-1</f>
        <v>#REF!</v>
      </c>
      <c r="BZ28" s="38" t="e">
        <f>Financials!#REF!/Financials!BY31-1</f>
        <v>#REF!</v>
      </c>
      <c r="CA28" s="38" t="e">
        <f>Financials!#REF!/Financials!BZ31-1</f>
        <v>#REF!</v>
      </c>
      <c r="CB28" s="38" t="e">
        <f>Financials!#REF!/Financials!CA31-1</f>
        <v>#REF!</v>
      </c>
      <c r="CC28" s="38" t="e">
        <f>Financials!#REF!/Financials!CB31-1</f>
        <v>#REF!</v>
      </c>
      <c r="CD28" s="38" t="e">
        <f>Financials!#REF!/Financials!CC31-1</f>
        <v>#REF!</v>
      </c>
      <c r="CE28" s="38" t="e">
        <f>Financials!#REF!/Financials!CD31-1</f>
        <v>#REF!</v>
      </c>
      <c r="CF28" s="38" t="e">
        <f>Financials!#REF!/Financials!CE31-1</f>
        <v>#REF!</v>
      </c>
      <c r="CG28" s="38" t="e">
        <f>Financials!#REF!/Financials!CF31-1</f>
        <v>#REF!</v>
      </c>
      <c r="CH28" s="38" t="e">
        <f>Financials!#REF!/Financials!CG31-1</f>
        <v>#REF!</v>
      </c>
      <c r="CI28" s="38" t="e">
        <f>Financials!#REF!/Financials!CH31-1</f>
        <v>#REF!</v>
      </c>
      <c r="CJ28" s="38" t="e">
        <f>Financials!#REF!/Financials!CI31-1</f>
        <v>#REF!</v>
      </c>
      <c r="CK28" s="38" t="e">
        <f>Financials!#REF!/Financials!CJ31-1</f>
        <v>#REF!</v>
      </c>
      <c r="CL28" s="38" t="e">
        <f>Financials!#REF!/Financials!CK31-1</f>
        <v>#REF!</v>
      </c>
      <c r="CM28" s="38" t="e">
        <f>Financials!#REF!/Financials!CL31-1</f>
        <v>#REF!</v>
      </c>
      <c r="CN28" s="38" t="e">
        <f>Financials!#REF!/Financials!CM31-1</f>
        <v>#REF!</v>
      </c>
      <c r="CO28" s="38" t="e">
        <f>Financials!#REF!/Financials!CN31-1</f>
        <v>#REF!</v>
      </c>
    </row>
    <row r="29" spans="1:93" ht="15">
      <c r="A29" s="387"/>
      <c r="B29" s="32" t="s">
        <v>217</v>
      </c>
      <c r="C29" s="2"/>
      <c r="D29" s="34" t="e">
        <f>Financials!D11/Financials!C11-1</f>
        <v>#REF!</v>
      </c>
      <c r="E29" s="34" t="e">
        <f>Financials!G11/Financials!D11-1</f>
        <v>#REF!</v>
      </c>
      <c r="F29" s="34" t="e">
        <f>Financials!H11/Financials!G11-1</f>
        <v>#REF!</v>
      </c>
      <c r="G29" s="34" t="e">
        <f>Financials!H11/Financials!G11-1</f>
        <v>#REF!</v>
      </c>
      <c r="H29" s="34" t="e">
        <f>Financials!H11/Financials!G11-1</f>
        <v>#REF!</v>
      </c>
      <c r="I29" s="34" t="e">
        <f>Financials!I11/Financials!H11-1</f>
        <v>#REF!</v>
      </c>
      <c r="J29" s="34" t="e">
        <f>Financials!J11/Financials!I11-1</f>
        <v>#REF!</v>
      </c>
      <c r="K29" s="34" t="e">
        <f>Financials!K11/Financials!J11-1</f>
        <v>#REF!</v>
      </c>
      <c r="L29" s="34" t="e">
        <f>Financials!L11/Financials!K11-1</f>
        <v>#REF!</v>
      </c>
      <c r="M29" s="34" t="e">
        <f>Financials!M11/Financials!L11-1</f>
        <v>#REF!</v>
      </c>
      <c r="N29" s="34" t="e">
        <f>Financials!N11/Financials!M11-1</f>
        <v>#REF!</v>
      </c>
      <c r="O29" s="34" t="e">
        <f>Financials!O11/Financials!N11-1</f>
        <v>#REF!</v>
      </c>
      <c r="P29" s="34" t="e">
        <f>Financials!P11/Financials!O11-1</f>
        <v>#REF!</v>
      </c>
      <c r="Q29" s="34" t="e">
        <f>Financials!Q11/Financials!P11-1</f>
        <v>#REF!</v>
      </c>
      <c r="R29" s="34" t="e">
        <f>Financials!R11/Financials!Q11-1</f>
        <v>#REF!</v>
      </c>
      <c r="S29" s="38" t="e">
        <f>Financials!#REF!/Financials!R11-1</f>
        <v>#REF!</v>
      </c>
      <c r="T29" s="38" t="e">
        <f>Financials!#REF!/Financials!S11-1</f>
        <v>#REF!</v>
      </c>
      <c r="U29" s="38" t="e">
        <f>Financials!#REF!/Financials!T11-1</f>
        <v>#REF!</v>
      </c>
      <c r="V29" s="38" t="e">
        <f>Financials!#REF!/Financials!U11-1</f>
        <v>#REF!</v>
      </c>
      <c r="W29" s="38" t="e">
        <f>Financials!#REF!/Financials!V11-1</f>
        <v>#REF!</v>
      </c>
      <c r="X29" s="38" t="e">
        <f>Financials!#REF!/Financials!W11-1</f>
        <v>#REF!</v>
      </c>
      <c r="Y29" s="38" t="e">
        <f>Financials!#REF!/Financials!X11-1</f>
        <v>#REF!</v>
      </c>
      <c r="Z29" s="38" t="e">
        <f>Financials!#REF!/Financials!Y11-1</f>
        <v>#REF!</v>
      </c>
      <c r="AA29" s="38" t="e">
        <f>Financials!#REF!/Financials!Z11-1</f>
        <v>#REF!</v>
      </c>
      <c r="AB29" s="38" t="e">
        <f>Financials!#REF!/Financials!AA11-1</f>
        <v>#REF!</v>
      </c>
      <c r="AC29" s="38" t="e">
        <f>Financials!#REF!/Financials!AB11-1</f>
        <v>#REF!</v>
      </c>
      <c r="AD29" s="38" t="e">
        <f>Financials!#REF!/Financials!AC11-1</f>
        <v>#REF!</v>
      </c>
      <c r="AE29" s="38" t="e">
        <f>Financials!#REF!/Financials!AD11-1</f>
        <v>#REF!</v>
      </c>
      <c r="AF29" s="38" t="e">
        <f>Financials!#REF!/Financials!AE11-1</f>
        <v>#REF!</v>
      </c>
      <c r="AG29" s="38" t="e">
        <f>Financials!#REF!/Financials!AF11-1</f>
        <v>#REF!</v>
      </c>
      <c r="AH29" s="38" t="e">
        <f>Financials!#REF!/Financials!AG11-1</f>
        <v>#REF!</v>
      </c>
      <c r="AI29" s="38" t="e">
        <f>Financials!#REF!/Financials!AH11-1</f>
        <v>#REF!</v>
      </c>
      <c r="AJ29" s="38" t="e">
        <f>Financials!#REF!/Financials!AI11-1</f>
        <v>#REF!</v>
      </c>
      <c r="AK29" s="38" t="e">
        <f>Financials!#REF!/Financials!AJ11-1</f>
        <v>#REF!</v>
      </c>
      <c r="AL29" s="38" t="e">
        <f>Financials!#REF!/Financials!AK11-1</f>
        <v>#REF!</v>
      </c>
      <c r="AM29" s="38" t="e">
        <f>Financials!#REF!/Financials!AL11-1</f>
        <v>#REF!</v>
      </c>
      <c r="AN29" s="38" t="e">
        <f>Financials!#REF!/Financials!AM11-1</f>
        <v>#REF!</v>
      </c>
      <c r="AO29" s="38" t="e">
        <f>Financials!#REF!/Financials!AN11-1</f>
        <v>#REF!</v>
      </c>
      <c r="AP29" s="38" t="e">
        <f>Financials!#REF!/Financials!AO11-1</f>
        <v>#REF!</v>
      </c>
      <c r="AQ29" s="38" t="e">
        <f>Financials!#REF!/Financials!AP11-1</f>
        <v>#REF!</v>
      </c>
      <c r="AR29" s="38" t="e">
        <f>Financials!#REF!/Financials!AQ11-1</f>
        <v>#REF!</v>
      </c>
      <c r="AS29" s="38" t="e">
        <f>Financials!#REF!/Financials!AR11-1</f>
        <v>#REF!</v>
      </c>
      <c r="AT29" s="38" t="e">
        <f>Financials!#REF!/Financials!AS11-1</f>
        <v>#REF!</v>
      </c>
      <c r="AU29" s="38" t="e">
        <f>Financials!#REF!/Financials!AT11-1</f>
        <v>#REF!</v>
      </c>
      <c r="AV29" s="38" t="e">
        <f>Financials!#REF!/Financials!AU11-1</f>
        <v>#REF!</v>
      </c>
      <c r="AW29" s="38" t="e">
        <f>Financials!#REF!/Financials!AV11-1</f>
        <v>#REF!</v>
      </c>
      <c r="AX29" s="38" t="e">
        <f>Financials!#REF!/Financials!AW11-1</f>
        <v>#REF!</v>
      </c>
      <c r="AY29" s="38" t="e">
        <f>Financials!#REF!/Financials!AX11-1</f>
        <v>#REF!</v>
      </c>
      <c r="AZ29" s="38" t="e">
        <f>Financials!#REF!/Financials!AY11-1</f>
        <v>#REF!</v>
      </c>
      <c r="BA29" s="38" t="e">
        <f>Financials!#REF!/Financials!AZ11-1</f>
        <v>#REF!</v>
      </c>
      <c r="BB29" s="38" t="e">
        <f>Financials!#REF!/Financials!BA11-1</f>
        <v>#REF!</v>
      </c>
      <c r="BC29" s="38" t="e">
        <f>Financials!#REF!/Financials!BB11-1</f>
        <v>#REF!</v>
      </c>
      <c r="BD29" s="38" t="e">
        <f>Financials!#REF!/Financials!BC11-1</f>
        <v>#REF!</v>
      </c>
      <c r="BE29" s="38" t="e">
        <f>Financials!#REF!/Financials!BD11-1</f>
        <v>#REF!</v>
      </c>
      <c r="BF29" s="38" t="e">
        <f>Financials!#REF!/Financials!BE11-1</f>
        <v>#REF!</v>
      </c>
      <c r="BG29" s="38" t="e">
        <f>Financials!#REF!/Financials!BF11-1</f>
        <v>#REF!</v>
      </c>
      <c r="BH29" s="38" t="e">
        <f>Financials!#REF!/Financials!BG11-1</f>
        <v>#REF!</v>
      </c>
      <c r="BI29" s="38" t="e">
        <f>Financials!#REF!/Financials!BH11-1</f>
        <v>#REF!</v>
      </c>
      <c r="BJ29" s="38" t="e">
        <f>Financials!#REF!/Financials!BI11-1</f>
        <v>#REF!</v>
      </c>
      <c r="BK29" s="38" t="e">
        <f>Financials!#REF!/Financials!BJ11-1</f>
        <v>#REF!</v>
      </c>
      <c r="BL29" s="38" t="e">
        <f>Financials!#REF!/Financials!BK11-1</f>
        <v>#REF!</v>
      </c>
      <c r="BM29" s="38" t="e">
        <f>Financials!#REF!/Financials!BL11-1</f>
        <v>#REF!</v>
      </c>
      <c r="BN29" s="38" t="e">
        <f>Financials!#REF!/Financials!BM11-1</f>
        <v>#REF!</v>
      </c>
      <c r="BO29" s="38" t="e">
        <f>Financials!#REF!/Financials!BN11-1</f>
        <v>#REF!</v>
      </c>
      <c r="BP29" s="38" t="e">
        <f>Financials!#REF!/Financials!BO11-1</f>
        <v>#REF!</v>
      </c>
      <c r="BQ29" s="38" t="e">
        <f>Financials!#REF!/Financials!BP11-1</f>
        <v>#REF!</v>
      </c>
      <c r="BR29" s="38" t="e">
        <f>Financials!#REF!/Financials!BQ11-1</f>
        <v>#REF!</v>
      </c>
      <c r="BS29" s="38" t="e">
        <f>Financials!#REF!/Financials!BR11-1</f>
        <v>#REF!</v>
      </c>
      <c r="BT29" s="38" t="e">
        <f>Financials!#REF!/Financials!BS11-1</f>
        <v>#REF!</v>
      </c>
      <c r="BU29" s="38" t="e">
        <f>Financials!#REF!/Financials!BT11-1</f>
        <v>#REF!</v>
      </c>
      <c r="BV29" s="38" t="e">
        <f>Financials!#REF!/Financials!BU11-1</f>
        <v>#REF!</v>
      </c>
      <c r="BW29" s="38" t="e">
        <f>Financials!#REF!/Financials!BV11-1</f>
        <v>#REF!</v>
      </c>
      <c r="BX29" s="38" t="e">
        <f>Financials!#REF!/Financials!BW11-1</f>
        <v>#REF!</v>
      </c>
      <c r="BY29" s="38" t="e">
        <f>Financials!#REF!/Financials!BX11-1</f>
        <v>#REF!</v>
      </c>
      <c r="BZ29" s="38" t="e">
        <f>Financials!#REF!/Financials!BY11-1</f>
        <v>#REF!</v>
      </c>
      <c r="CA29" s="38" t="e">
        <f>Financials!#REF!/Financials!BZ11-1</f>
        <v>#REF!</v>
      </c>
      <c r="CB29" s="38" t="e">
        <f>Financials!#REF!/Financials!CA11-1</f>
        <v>#REF!</v>
      </c>
      <c r="CC29" s="38" t="e">
        <f>Financials!#REF!/Financials!CB11-1</f>
        <v>#REF!</v>
      </c>
      <c r="CD29" s="38" t="e">
        <f>Financials!#REF!/Financials!CC11-1</f>
        <v>#REF!</v>
      </c>
      <c r="CE29" s="38" t="e">
        <f>Financials!#REF!/Financials!CD11-1</f>
        <v>#REF!</v>
      </c>
      <c r="CF29" s="38" t="e">
        <f>Financials!#REF!/Financials!CE11-1</f>
        <v>#REF!</v>
      </c>
      <c r="CG29" s="38" t="e">
        <f>Financials!#REF!/Financials!CF11-1</f>
        <v>#REF!</v>
      </c>
      <c r="CH29" s="38" t="e">
        <f>Financials!#REF!/Financials!CG11-1</f>
        <v>#REF!</v>
      </c>
      <c r="CI29" s="38" t="e">
        <f>Financials!#REF!/Financials!CH11-1</f>
        <v>#REF!</v>
      </c>
      <c r="CJ29" s="38" t="e">
        <f>Financials!#REF!/Financials!CI11-1</f>
        <v>#REF!</v>
      </c>
      <c r="CK29" s="38" t="e">
        <f>Financials!#REF!/Financials!CJ11-1</f>
        <v>#REF!</v>
      </c>
      <c r="CL29" s="38" t="e">
        <f>Financials!#REF!/Financials!CK11-1</f>
        <v>#REF!</v>
      </c>
      <c r="CM29" s="38" t="e">
        <f>Financials!#REF!/Financials!CL11-1</f>
        <v>#REF!</v>
      </c>
      <c r="CN29" s="38" t="e">
        <f>Financials!#REF!/Financials!CM11-1</f>
        <v>#REF!</v>
      </c>
      <c r="CO29" s="38" t="e">
        <f>Financials!#REF!/Financials!CN11-1</f>
        <v>#REF!</v>
      </c>
    </row>
    <row r="30" spans="1:93" ht="15">
      <c r="A30" s="387"/>
      <c r="B30" s="32" t="s">
        <v>218</v>
      </c>
      <c r="C30" s="2"/>
      <c r="D30" s="34" t="e">
        <f>Financials!D37/Financials!C37-1</f>
        <v>#REF!</v>
      </c>
      <c r="E30" s="34" t="e">
        <f>Financials!G37/Financials!D37-1</f>
        <v>#REF!</v>
      </c>
      <c r="F30" s="34" t="e">
        <f>Financials!H37/Financials!G37-1</f>
        <v>#REF!</v>
      </c>
      <c r="G30" s="34" t="e">
        <f>Financials!H37/Financials!G37-1</f>
        <v>#REF!</v>
      </c>
      <c r="H30" s="34" t="e">
        <f>Financials!H37/Financials!G37-1</f>
        <v>#REF!</v>
      </c>
      <c r="I30" s="34" t="e">
        <f>Financials!I37/Financials!H37-1</f>
        <v>#REF!</v>
      </c>
      <c r="J30" s="34" t="e">
        <f>Financials!J37/Financials!I37-1</f>
        <v>#REF!</v>
      </c>
      <c r="K30" s="34" t="e">
        <f>Financials!K37/Financials!J37-1</f>
        <v>#REF!</v>
      </c>
      <c r="L30" s="34" t="e">
        <f>Financials!L37/Financials!K37-1</f>
        <v>#REF!</v>
      </c>
      <c r="M30" s="34" t="e">
        <f>Financials!M37/Financials!L37-1</f>
        <v>#REF!</v>
      </c>
      <c r="N30" s="34" t="e">
        <f>Financials!N37/Financials!M37-1</f>
        <v>#REF!</v>
      </c>
      <c r="O30" s="34" t="e">
        <f>Financials!O37/Financials!N37-1</f>
        <v>#REF!</v>
      </c>
      <c r="P30" s="34" t="e">
        <f>Financials!P37/Financials!O37-1</f>
        <v>#REF!</v>
      </c>
      <c r="Q30" s="34" t="e">
        <f>Financials!Q37/Financials!P37-1</f>
        <v>#REF!</v>
      </c>
      <c r="R30" s="34" t="e">
        <f>Financials!R37/Financials!Q37-1</f>
        <v>#REF!</v>
      </c>
      <c r="S30" s="38" t="e">
        <f>Financials!#REF!/Financials!R37-1</f>
        <v>#REF!</v>
      </c>
      <c r="T30" s="38" t="e">
        <f>Financials!#REF!/Financials!S37-1</f>
        <v>#REF!</v>
      </c>
      <c r="U30" s="38" t="e">
        <f>Financials!#REF!/Financials!T37-1</f>
        <v>#REF!</v>
      </c>
      <c r="V30" s="38" t="e">
        <f>Financials!#REF!/Financials!U37-1</f>
        <v>#REF!</v>
      </c>
      <c r="W30" s="38" t="e">
        <f>Financials!#REF!/Financials!V37-1</f>
        <v>#REF!</v>
      </c>
      <c r="X30" s="38" t="e">
        <f>Financials!#REF!/Financials!W37-1</f>
        <v>#REF!</v>
      </c>
      <c r="Y30" s="38" t="e">
        <f>Financials!#REF!/Financials!X37-1</f>
        <v>#REF!</v>
      </c>
      <c r="Z30" s="38" t="e">
        <f>Financials!#REF!/Financials!Y37-1</f>
        <v>#REF!</v>
      </c>
      <c r="AA30" s="38" t="e">
        <f>Financials!#REF!/Financials!Z37-1</f>
        <v>#REF!</v>
      </c>
      <c r="AB30" s="38" t="e">
        <f>Financials!#REF!/Financials!AA37-1</f>
        <v>#REF!</v>
      </c>
      <c r="AC30" s="38" t="e">
        <f>Financials!#REF!/Financials!AB37-1</f>
        <v>#REF!</v>
      </c>
      <c r="AD30" s="38" t="e">
        <f>Financials!#REF!/Financials!AC37-1</f>
        <v>#REF!</v>
      </c>
      <c r="AE30" s="38" t="e">
        <f>Financials!#REF!/Financials!AD37-1</f>
        <v>#REF!</v>
      </c>
      <c r="AF30" s="38" t="e">
        <f>Financials!#REF!/Financials!AE37-1</f>
        <v>#REF!</v>
      </c>
      <c r="AG30" s="38" t="e">
        <f>Financials!#REF!/Financials!AF37-1</f>
        <v>#REF!</v>
      </c>
      <c r="AH30" s="38" t="e">
        <f>Financials!#REF!/Financials!AG37-1</f>
        <v>#REF!</v>
      </c>
      <c r="AI30" s="38" t="e">
        <f>Financials!#REF!/Financials!AH37-1</f>
        <v>#REF!</v>
      </c>
      <c r="AJ30" s="38" t="e">
        <f>Financials!#REF!/Financials!AI37-1</f>
        <v>#REF!</v>
      </c>
      <c r="AK30" s="38" t="e">
        <f>Financials!#REF!/Financials!AJ37-1</f>
        <v>#REF!</v>
      </c>
      <c r="AL30" s="38" t="e">
        <f>Financials!#REF!/Financials!AK37-1</f>
        <v>#REF!</v>
      </c>
      <c r="AM30" s="38" t="e">
        <f>Financials!#REF!/Financials!AL37-1</f>
        <v>#REF!</v>
      </c>
      <c r="AN30" s="38" t="e">
        <f>Financials!#REF!/Financials!AM37-1</f>
        <v>#REF!</v>
      </c>
      <c r="AO30" s="38" t="e">
        <f>Financials!#REF!/Financials!AN37-1</f>
        <v>#REF!</v>
      </c>
      <c r="AP30" s="38" t="e">
        <f>Financials!#REF!/Financials!AO37-1</f>
        <v>#REF!</v>
      </c>
      <c r="AQ30" s="38" t="e">
        <f>Financials!#REF!/Financials!AP37-1</f>
        <v>#REF!</v>
      </c>
      <c r="AR30" s="38" t="e">
        <f>Financials!#REF!/Financials!AQ37-1</f>
        <v>#REF!</v>
      </c>
      <c r="AS30" s="38" t="e">
        <f>Financials!#REF!/Financials!AR37-1</f>
        <v>#REF!</v>
      </c>
      <c r="AT30" s="38" t="e">
        <f>Financials!#REF!/Financials!AS37-1</f>
        <v>#REF!</v>
      </c>
      <c r="AU30" s="38" t="e">
        <f>Financials!#REF!/Financials!AT37-1</f>
        <v>#REF!</v>
      </c>
      <c r="AV30" s="38" t="e">
        <f>Financials!#REF!/Financials!AU37-1</f>
        <v>#REF!</v>
      </c>
      <c r="AW30" s="38" t="e">
        <f>Financials!#REF!/Financials!AV37-1</f>
        <v>#REF!</v>
      </c>
      <c r="AX30" s="38" t="e">
        <f>Financials!#REF!/Financials!AW37-1</f>
        <v>#REF!</v>
      </c>
      <c r="AY30" s="38" t="e">
        <f>Financials!#REF!/Financials!AX37-1</f>
        <v>#REF!</v>
      </c>
      <c r="AZ30" s="38" t="e">
        <f>Financials!#REF!/Financials!AY37-1</f>
        <v>#REF!</v>
      </c>
      <c r="BA30" s="38" t="e">
        <f>Financials!#REF!/Financials!AZ37-1</f>
        <v>#REF!</v>
      </c>
      <c r="BB30" s="38" t="e">
        <f>Financials!#REF!/Financials!BA37-1</f>
        <v>#REF!</v>
      </c>
      <c r="BC30" s="38" t="e">
        <f>Financials!#REF!/Financials!BB37-1</f>
        <v>#REF!</v>
      </c>
      <c r="BD30" s="38" t="e">
        <f>Financials!#REF!/Financials!BC37-1</f>
        <v>#REF!</v>
      </c>
      <c r="BE30" s="38" t="e">
        <f>Financials!#REF!/Financials!BD37-1</f>
        <v>#REF!</v>
      </c>
      <c r="BF30" s="38" t="e">
        <f>Financials!#REF!/Financials!BE37-1</f>
        <v>#REF!</v>
      </c>
      <c r="BG30" s="38" t="e">
        <f>Financials!#REF!/Financials!BF37-1</f>
        <v>#REF!</v>
      </c>
      <c r="BH30" s="38" t="e">
        <f>Financials!#REF!/Financials!BG37-1</f>
        <v>#REF!</v>
      </c>
      <c r="BI30" s="38" t="e">
        <f>Financials!#REF!/Financials!BH37-1</f>
        <v>#REF!</v>
      </c>
      <c r="BJ30" s="38" t="e">
        <f>Financials!#REF!/Financials!BI37-1</f>
        <v>#REF!</v>
      </c>
      <c r="BK30" s="38" t="e">
        <f>Financials!#REF!/Financials!BJ37-1</f>
        <v>#REF!</v>
      </c>
      <c r="BL30" s="38" t="e">
        <f>Financials!#REF!/Financials!BK37-1</f>
        <v>#REF!</v>
      </c>
      <c r="BM30" s="38" t="e">
        <f>Financials!#REF!/Financials!BL37-1</f>
        <v>#REF!</v>
      </c>
      <c r="BN30" s="38" t="e">
        <f>Financials!#REF!/Financials!BM37-1</f>
        <v>#REF!</v>
      </c>
      <c r="BO30" s="38" t="e">
        <f>Financials!#REF!/Financials!BN37-1</f>
        <v>#REF!</v>
      </c>
      <c r="BP30" s="38" t="e">
        <f>Financials!#REF!/Financials!BO37-1</f>
        <v>#REF!</v>
      </c>
      <c r="BQ30" s="38" t="e">
        <f>Financials!#REF!/Financials!BP37-1</f>
        <v>#REF!</v>
      </c>
      <c r="BR30" s="38" t="e">
        <f>Financials!#REF!/Financials!BQ37-1</f>
        <v>#REF!</v>
      </c>
      <c r="BS30" s="38" t="e">
        <f>Financials!#REF!/Financials!BR37-1</f>
        <v>#REF!</v>
      </c>
      <c r="BT30" s="38" t="e">
        <f>Financials!#REF!/Financials!BS37-1</f>
        <v>#REF!</v>
      </c>
      <c r="BU30" s="38" t="e">
        <f>Financials!#REF!/Financials!BT37-1</f>
        <v>#REF!</v>
      </c>
      <c r="BV30" s="38" t="e">
        <f>Financials!#REF!/Financials!BU37-1</f>
        <v>#REF!</v>
      </c>
      <c r="BW30" s="38" t="e">
        <f>Financials!#REF!/Financials!BV37-1</f>
        <v>#REF!</v>
      </c>
      <c r="BX30" s="38" t="e">
        <f>Financials!#REF!/Financials!BW37-1</f>
        <v>#REF!</v>
      </c>
      <c r="BY30" s="38" t="e">
        <f>Financials!#REF!/Financials!BX37-1</f>
        <v>#REF!</v>
      </c>
      <c r="BZ30" s="38" t="e">
        <f>Financials!#REF!/Financials!BY37-1</f>
        <v>#REF!</v>
      </c>
      <c r="CA30" s="38" t="e">
        <f>Financials!#REF!/Financials!BZ37-1</f>
        <v>#REF!</v>
      </c>
      <c r="CB30" s="38" t="e">
        <f>Financials!#REF!/Financials!CA37-1</f>
        <v>#REF!</v>
      </c>
      <c r="CC30" s="38" t="e">
        <f>Financials!#REF!/Financials!CB37-1</f>
        <v>#REF!</v>
      </c>
      <c r="CD30" s="38" t="e">
        <f>Financials!#REF!/Financials!CC37-1</f>
        <v>#REF!</v>
      </c>
      <c r="CE30" s="38" t="e">
        <f>Financials!#REF!/Financials!CD37-1</f>
        <v>#REF!</v>
      </c>
      <c r="CF30" s="38" t="e">
        <f>Financials!#REF!/Financials!CE37-1</f>
        <v>#REF!</v>
      </c>
      <c r="CG30" s="38" t="e">
        <f>Financials!#REF!/Financials!CF37-1</f>
        <v>#REF!</v>
      </c>
      <c r="CH30" s="38" t="e">
        <f>Financials!#REF!/Financials!CG37-1</f>
        <v>#REF!</v>
      </c>
      <c r="CI30" s="38" t="e">
        <f>Financials!#REF!/Financials!CH37-1</f>
        <v>#REF!</v>
      </c>
      <c r="CJ30" s="38" t="e">
        <f>Financials!#REF!/Financials!CI37-1</f>
        <v>#REF!</v>
      </c>
      <c r="CK30" s="38" t="e">
        <f>Financials!#REF!/Financials!CJ37-1</f>
        <v>#REF!</v>
      </c>
      <c r="CL30" s="38" t="e">
        <f>Financials!#REF!/Financials!CK37-1</f>
        <v>#REF!</v>
      </c>
      <c r="CM30" s="38" t="e">
        <f>Financials!#REF!/Financials!CL37-1</f>
        <v>#REF!</v>
      </c>
      <c r="CN30" s="38" t="e">
        <f>Financials!#REF!/Financials!CM37-1</f>
        <v>#REF!</v>
      </c>
      <c r="CO30" s="38" t="e">
        <f>Financials!#REF!/Financials!CN37-1</f>
        <v>#REF!</v>
      </c>
    </row>
    <row r="31" spans="1:93" ht="15">
      <c r="A31" s="387"/>
      <c r="B31" s="32" t="s">
        <v>219</v>
      </c>
      <c r="C31" s="2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</row>
    <row r="32" spans="1:93" ht="15">
      <c r="A32" s="387"/>
      <c r="B32" s="32" t="s">
        <v>220</v>
      </c>
      <c r="C32" s="2"/>
      <c r="D32" s="34" t="e">
        <f>'Evolutitve SCI'!#REF!/'Evolutitve SCI'!#REF!-1</f>
        <v>#REF!</v>
      </c>
      <c r="E32" s="34" t="e">
        <f>'Evolutitve SCI'!#REF!/'Evolutitve SCI'!#REF!-1</f>
        <v>#REF!</v>
      </c>
      <c r="F32" s="34" t="e">
        <f>'Evolutitve SCI'!#REF!/'Evolutitve SCI'!#REF!-1</f>
        <v>#REF!</v>
      </c>
      <c r="G32" s="34" t="e">
        <f>'Evolutitve SCI'!#REF!/'Evolutitve SCI'!#REF!-1</f>
        <v>#REF!</v>
      </c>
      <c r="H32" s="34" t="e">
        <f>'Evolutitve SCI'!#REF!/'Evolutitve SCI'!#REF!-1</f>
        <v>#REF!</v>
      </c>
      <c r="I32" s="34" t="e">
        <f>'Evolutitve SCI'!#REF!/'Evolutitve SCI'!#REF!-1</f>
        <v>#REF!</v>
      </c>
      <c r="J32" s="34" t="e">
        <f>'Evolutitve SCI'!#REF!/'Evolutitve SCI'!#REF!-1</f>
        <v>#REF!</v>
      </c>
      <c r="K32" s="34" t="e">
        <f>'Evolutitve SCI'!#REF!/'Evolutitve SCI'!#REF!-1</f>
        <v>#REF!</v>
      </c>
      <c r="L32" s="34" t="e">
        <f>'Evolutitve SCI'!#REF!/'Evolutitve SCI'!#REF!-1</f>
        <v>#REF!</v>
      </c>
      <c r="M32" s="34" t="e">
        <f>'Evolutitve SCI'!#REF!/'Evolutitve SCI'!#REF!-1</f>
        <v>#REF!</v>
      </c>
      <c r="N32" s="34" t="e">
        <f>'Evolutitve SCI'!#REF!/'Evolutitve SCI'!#REF!-1</f>
        <v>#REF!</v>
      </c>
      <c r="O32" s="34" t="e">
        <f>'Evolutitve SCI'!#REF!/'Evolutitve SCI'!#REF!-1</f>
        <v>#REF!</v>
      </c>
      <c r="P32" s="34" t="e">
        <f>'Evolutitve SCI'!#REF!/'Evolutitve SCI'!#REF!-1</f>
        <v>#REF!</v>
      </c>
      <c r="Q32" s="34" t="e">
        <f>'Evolutitve SCI'!#REF!/'Evolutitve SCI'!#REF!-1</f>
        <v>#REF!</v>
      </c>
      <c r="R32" s="34" t="e">
        <f>'Evolutitve SCI'!#REF!/'Evolutitve SCI'!#REF!-1</f>
        <v>#REF!</v>
      </c>
      <c r="S32" s="38" t="e">
        <f>'Evolutitve SCI'!#REF!/'Evolutitve SCI'!#REF!-1</f>
        <v>#REF!</v>
      </c>
      <c r="T32" s="38" t="e">
        <f>'Evolutitve SCI'!#REF!/'Evolutitve SCI'!#REF!-1</f>
        <v>#REF!</v>
      </c>
      <c r="U32" s="38" t="e">
        <f>'Evolutitve SCI'!#REF!/'Evolutitve SCI'!#REF!-1</f>
        <v>#REF!</v>
      </c>
      <c r="V32" s="38" t="e">
        <f>'Evolutitve SCI'!#REF!/'Evolutitve SCI'!#REF!-1</f>
        <v>#REF!</v>
      </c>
      <c r="W32" s="38" t="e">
        <f>'Evolutitve SCI'!#REF!/'Evolutitve SCI'!#REF!-1</f>
        <v>#REF!</v>
      </c>
      <c r="X32" s="38" t="e">
        <f>'Evolutitve SCI'!#REF!/'Evolutitve SCI'!#REF!-1</f>
        <v>#REF!</v>
      </c>
      <c r="Y32" s="38" t="e">
        <f>'Evolutitve SCI'!#REF!/'Evolutitve SCI'!#REF!-1</f>
        <v>#REF!</v>
      </c>
      <c r="Z32" s="38" t="e">
        <f>'Evolutitve SCI'!#REF!/'Evolutitve SCI'!#REF!-1</f>
        <v>#REF!</v>
      </c>
      <c r="AA32" s="38" t="e">
        <f>'Evolutitve SCI'!#REF!/'Evolutitve SCI'!#REF!-1</f>
        <v>#REF!</v>
      </c>
      <c r="AB32" s="38" t="e">
        <f>'Evolutitve SCI'!#REF!/'Evolutitve SCI'!#REF!-1</f>
        <v>#REF!</v>
      </c>
      <c r="AC32" s="38" t="e">
        <f>'Evolutitve SCI'!#REF!/'Evolutitve SCI'!#REF!-1</f>
        <v>#REF!</v>
      </c>
      <c r="AD32" s="38" t="e">
        <f>'Evolutitve SCI'!#REF!/'Evolutitve SCI'!#REF!-1</f>
        <v>#REF!</v>
      </c>
      <c r="AE32" s="38" t="e">
        <f>'Evolutitve SCI'!#REF!/'Evolutitve SCI'!#REF!-1</f>
        <v>#REF!</v>
      </c>
      <c r="AF32" s="38" t="e">
        <f>'Evolutitve SCI'!#REF!/'Evolutitve SCI'!#REF!-1</f>
        <v>#REF!</v>
      </c>
      <c r="AG32" s="38" t="e">
        <f>'Evolutitve SCI'!#REF!/'Evolutitve SCI'!#REF!-1</f>
        <v>#REF!</v>
      </c>
      <c r="AH32" s="38" t="e">
        <f>'Evolutitve SCI'!#REF!/'Evolutitve SCI'!#REF!-1</f>
        <v>#REF!</v>
      </c>
      <c r="AI32" s="38" t="e">
        <f>'Evolutitve SCI'!#REF!/'Evolutitve SCI'!#REF!-1</f>
        <v>#REF!</v>
      </c>
      <c r="AJ32" s="38" t="e">
        <f>'Evolutitve SCI'!#REF!/'Evolutitve SCI'!#REF!-1</f>
        <v>#REF!</v>
      </c>
      <c r="AK32" s="38" t="e">
        <f>'Evolutitve SCI'!#REF!/'Evolutitve SCI'!#REF!-1</f>
        <v>#REF!</v>
      </c>
      <c r="AL32" s="38" t="e">
        <f>'Evolutitve SCI'!#REF!/'Evolutitve SCI'!#REF!-1</f>
        <v>#REF!</v>
      </c>
      <c r="AM32" s="38" t="e">
        <f>'Evolutitve SCI'!#REF!/'Evolutitve SCI'!#REF!-1</f>
        <v>#REF!</v>
      </c>
      <c r="AN32" s="38" t="e">
        <f>'Evolutitve SCI'!#REF!/'Evolutitve SCI'!#REF!-1</f>
        <v>#REF!</v>
      </c>
      <c r="AO32" s="38" t="e">
        <f>'Evolutitve SCI'!#REF!/'Evolutitve SCI'!#REF!-1</f>
        <v>#REF!</v>
      </c>
      <c r="AP32" s="38" t="e">
        <f>'Evolutitve SCI'!#REF!/'Evolutitve SCI'!#REF!-1</f>
        <v>#REF!</v>
      </c>
      <c r="AQ32" s="38" t="e">
        <f>'Evolutitve SCI'!#REF!/'Evolutitve SCI'!#REF!-1</f>
        <v>#REF!</v>
      </c>
      <c r="AR32" s="38" t="e">
        <f>'Evolutitve SCI'!#REF!/'Evolutitve SCI'!#REF!-1</f>
        <v>#REF!</v>
      </c>
      <c r="AS32" s="38" t="e">
        <f>'Evolutitve SCI'!#REF!/'Evolutitve SCI'!#REF!-1</f>
        <v>#REF!</v>
      </c>
      <c r="AT32" s="38" t="e">
        <f>'Evolutitve SCI'!#REF!/'Evolutitve SCI'!B39-1</f>
        <v>#REF!</v>
      </c>
      <c r="AU32" s="38" t="e">
        <f>'Evolutitve SCI'!#REF!/'Evolutitve SCI'!C39-1</f>
        <v>#REF!</v>
      </c>
      <c r="AV32" s="38" t="e">
        <f>'Evolutitve SCI'!#REF!/'Evolutitve SCI'!D39-1</f>
        <v>#REF!</v>
      </c>
      <c r="AW32" s="38" t="e">
        <f>'Evolutitve SCI'!#REF!/'Evolutitve SCI'!E39-1</f>
        <v>#REF!</v>
      </c>
      <c r="AX32" s="38" t="e">
        <f>'Evolutitve SCI'!#REF!/'Evolutitve SCI'!F39-1</f>
        <v>#REF!</v>
      </c>
      <c r="AY32" s="38" t="e">
        <f>'Evolutitve SCI'!#REF!/'Evolutitve SCI'!G39-1</f>
        <v>#REF!</v>
      </c>
      <c r="AZ32" s="38" t="e">
        <f>'Evolutitve SCI'!#REF!/'Evolutitve SCI'!H39-1</f>
        <v>#REF!</v>
      </c>
      <c r="BA32" s="38" t="e">
        <f>'Evolutitve SCI'!#REF!/'Evolutitve SCI'!#REF!-1</f>
        <v>#REF!</v>
      </c>
      <c r="BB32" s="38" t="e">
        <f>'Evolutitve SCI'!#REF!/'Evolutitve SCI'!I39-1</f>
        <v>#REF!</v>
      </c>
      <c r="BC32" s="38" t="e">
        <f>'Evolutitve SCI'!#REF!/'Evolutitve SCI'!J39-1</f>
        <v>#REF!</v>
      </c>
      <c r="BD32" s="38" t="e">
        <f>'Evolutitve SCI'!#REF!/'Evolutitve SCI'!K39-1</f>
        <v>#REF!</v>
      </c>
      <c r="BE32" s="38" t="e">
        <f>'Evolutitve SCI'!#REF!/'Evolutitve SCI'!L39-1</f>
        <v>#REF!</v>
      </c>
      <c r="BF32" s="38" t="e">
        <f>'Evolutitve SCI'!#REF!/'Evolutitve SCI'!M39-1</f>
        <v>#REF!</v>
      </c>
      <c r="BG32" s="38" t="e">
        <f>'Evolutitve SCI'!#REF!/'Evolutitve SCI'!N39-1</f>
        <v>#REF!</v>
      </c>
      <c r="BH32" s="38" t="e">
        <f>'Evolutitve SCI'!#REF!/'Evolutitve SCI'!O39-1</f>
        <v>#REF!</v>
      </c>
      <c r="BI32" s="38" t="e">
        <f>'Evolutitve SCI'!#REF!/'Evolutitve SCI'!P39-1</f>
        <v>#REF!</v>
      </c>
      <c r="BJ32" s="38" t="e">
        <f>'Evolutitve SCI'!#REF!/'Evolutitve SCI'!Q39-1</f>
        <v>#REF!</v>
      </c>
      <c r="BK32" s="38" t="e">
        <f>'Evolutitve SCI'!#REF!/'Evolutitve SCI'!R39-1</f>
        <v>#REF!</v>
      </c>
      <c r="BL32" s="38" t="e">
        <f>'Evolutitve SCI'!#REF!/'Evolutitve SCI'!S39-1</f>
        <v>#REF!</v>
      </c>
      <c r="BM32" s="38" t="e">
        <f>'Evolutitve SCI'!#REF!/'Evolutitve SCI'!T39-1</f>
        <v>#REF!</v>
      </c>
      <c r="BN32" s="38" t="e">
        <f>'Evolutitve SCI'!#REF!/'Evolutitve SCI'!U39-1</f>
        <v>#REF!</v>
      </c>
      <c r="BO32" s="38" t="e">
        <f>'Evolutitve SCI'!#REF!/'Evolutitve SCI'!V39-1</f>
        <v>#REF!</v>
      </c>
      <c r="BP32" s="38" t="e">
        <f>'Evolutitve SCI'!#REF!/'Evolutitve SCI'!W39-1</f>
        <v>#REF!</v>
      </c>
      <c r="BQ32" s="38" t="e">
        <f>'Evolutitve SCI'!#REF!/'Evolutitve SCI'!X39-1</f>
        <v>#REF!</v>
      </c>
      <c r="BR32" s="38" t="e">
        <f>'Evolutitve SCI'!#REF!/'Evolutitve SCI'!Y39-1</f>
        <v>#REF!</v>
      </c>
      <c r="BS32" s="38" t="e">
        <f>'Evolutitve SCI'!#REF!/'Evolutitve SCI'!Z39-1</f>
        <v>#REF!</v>
      </c>
      <c r="BT32" s="38" t="e">
        <f>'Evolutitve SCI'!#REF!/'Evolutitve SCI'!AA39-1</f>
        <v>#REF!</v>
      </c>
      <c r="BU32" s="38" t="e">
        <f>'Evolutitve SCI'!#REF!/'Evolutitve SCI'!AB39-1</f>
        <v>#REF!</v>
      </c>
      <c r="BV32" s="38" t="e">
        <f>'Evolutitve SCI'!#REF!/'Evolutitve SCI'!AC39-1</f>
        <v>#REF!</v>
      </c>
      <c r="BW32" s="38" t="e">
        <f>'Evolutitve SCI'!#REF!/'Evolutitve SCI'!AD39-1</f>
        <v>#REF!</v>
      </c>
      <c r="BX32" s="38" t="e">
        <f>'Evolutitve SCI'!#REF!/'Evolutitve SCI'!AE39-1</f>
        <v>#REF!</v>
      </c>
      <c r="BY32" s="38" t="e">
        <f>'Evolutitve SCI'!#REF!/'Evolutitve SCI'!AF39-1</f>
        <v>#REF!</v>
      </c>
      <c r="BZ32" s="38" t="e">
        <f>'Evolutitve SCI'!#REF!/'Evolutitve SCI'!AG39-1</f>
        <v>#REF!</v>
      </c>
      <c r="CA32" s="38" t="e">
        <f>'Evolutitve SCI'!#REF!/'Evolutitve SCI'!AH39-1</f>
        <v>#REF!</v>
      </c>
      <c r="CB32" s="38" t="e">
        <f>'Evolutitve SCI'!#REF!/'Evolutitve SCI'!AI39-1</f>
        <v>#REF!</v>
      </c>
      <c r="CC32" s="38" t="e">
        <f>'Evolutitve SCI'!#REF!/'Evolutitve SCI'!AJ39-1</f>
        <v>#REF!</v>
      </c>
      <c r="CD32" s="38" t="e">
        <f>'Evolutitve SCI'!#REF!/'Evolutitve SCI'!AK39-1</f>
        <v>#REF!</v>
      </c>
      <c r="CE32" s="38" t="e">
        <f>'Evolutitve SCI'!#REF!/'Evolutitve SCI'!AL39-1</f>
        <v>#REF!</v>
      </c>
      <c r="CF32" s="38" t="e">
        <f>'Evolutitve SCI'!#REF!/'Evolutitve SCI'!AM39-1</f>
        <v>#REF!</v>
      </c>
      <c r="CG32" s="38" t="e">
        <f>'Evolutitve SCI'!#REF!/'Evolutitve SCI'!AN39-1</f>
        <v>#REF!</v>
      </c>
      <c r="CH32" s="38" t="e">
        <f>'Evolutitve SCI'!#REF!/'Evolutitve SCI'!AO39-1</f>
        <v>#REF!</v>
      </c>
      <c r="CI32" s="38" t="e">
        <f>'Evolutitve SCI'!#REF!/'Evolutitve SCI'!AP39-1</f>
        <v>#REF!</v>
      </c>
      <c r="CJ32" s="38" t="e">
        <f>'Evolutitve SCI'!#REF!/'Evolutitve SCI'!AQ39-1</f>
        <v>#REF!</v>
      </c>
      <c r="CK32" s="38" t="e">
        <f>'Evolutitve SCI'!#REF!/'Evolutitve SCI'!AR39-1</f>
        <v>#REF!</v>
      </c>
      <c r="CL32" s="38" t="e">
        <f>'Evolutitve SCI'!#REF!/'Evolutitve SCI'!AS39-1</f>
        <v>#REF!</v>
      </c>
      <c r="CM32" s="38" t="e">
        <f>'Evolutitve SCI'!#REF!/'Evolutitve SCI'!AT39-1</f>
        <v>#REF!</v>
      </c>
      <c r="CN32" s="38" t="e">
        <f>'Evolutitve SCI'!#REF!/'Evolutitve SCI'!AU39-1</f>
        <v>#REF!</v>
      </c>
      <c r="CO32" s="38" t="e">
        <f>'Evolutitve SCI'!#REF!/'Evolutitve SCI'!AV39-1</f>
        <v>#REF!</v>
      </c>
    </row>
    <row r="33" spans="1:93" ht="15">
      <c r="A33" s="42" t="s">
        <v>221</v>
      </c>
      <c r="B33" s="32" t="s">
        <v>222</v>
      </c>
      <c r="C33" s="2"/>
      <c r="D33" s="34"/>
      <c r="E33" s="34" t="e">
        <f>Financials!D44/('Evolutive SFP'!#REF!+'Evolutive SFP'!#REF!)/2</f>
        <v>#REF!</v>
      </c>
      <c r="F33" s="34"/>
      <c r="G33" s="34"/>
      <c r="H33" s="34" t="e">
        <f>Financials!G44/('Evolutive SFP'!#REF!+'Evolutive SFP'!#REF!)/2</f>
        <v>#REF!</v>
      </c>
      <c r="I33" s="34" t="e">
        <f>Financials!H44/('Evolutive SFP'!#REF!+'Evolutive SFP'!#REF!)/2</f>
        <v>#REF!</v>
      </c>
      <c r="J33" s="34" t="e">
        <f>Financials!I44/('Evolutive SFP'!#REF!+'Evolutive SFP'!#REF!)/2</f>
        <v>#REF!</v>
      </c>
      <c r="K33" s="34" t="e">
        <f>Financials!J44/('Evolutive SFP'!#REF!+'Evolutive SFP'!#REF!)/2</f>
        <v>#REF!</v>
      </c>
      <c r="L33" s="34" t="e">
        <f>Financials!K44/('Evolutive SFP'!#REF!+'Evolutive SFP'!#REF!)/2</f>
        <v>#REF!</v>
      </c>
      <c r="M33" s="34" t="e">
        <f>Financials!L44/('Evolutive SFP'!#REF!+'Evolutive SFP'!#REF!)/2</f>
        <v>#REF!</v>
      </c>
      <c r="N33" s="34" t="e">
        <f>Financials!M44/('Evolutive SFP'!#REF!+'Evolutive SFP'!#REF!)/2</f>
        <v>#REF!</v>
      </c>
      <c r="O33" s="34" t="e">
        <f>Financials!N44/('Evolutive SFP'!#REF!+'Evolutive SFP'!#REF!)/2</f>
        <v>#REF!</v>
      </c>
      <c r="P33" s="34" t="e">
        <f>Financials!O44/('Evolutive SFP'!#REF!+'Evolutive SFP'!#REF!)/2</f>
        <v>#REF!</v>
      </c>
      <c r="Q33" s="34" t="e">
        <f>Financials!P44/('Evolutive SFP'!#REF!+'Evolutive SFP'!#REF!)/2</f>
        <v>#REF!</v>
      </c>
      <c r="R33" s="34" t="e">
        <f>Financials!Q44/('Evolutive SFP'!#REF!+'Evolutive SFP'!#REF!)/2</f>
        <v>#REF!</v>
      </c>
      <c r="S33" s="38" t="e">
        <f>Financials!R44/('Evolutive SFP'!#REF!+'Evolutive SFP'!#REF!)/2</f>
        <v>#REF!</v>
      </c>
      <c r="T33" s="38" t="e">
        <f>Financials!S44/('Evolutive SFP'!#REF!+'Evolutive SFP'!#REF!)/2</f>
        <v>#REF!</v>
      </c>
      <c r="U33" s="38" t="e">
        <f>Financials!T44/('Evolutive SFP'!#REF!+'Evolutive SFP'!#REF!)/2</f>
        <v>#REF!</v>
      </c>
      <c r="V33" s="38" t="e">
        <f>Financials!U44/('Evolutive SFP'!#REF!+'Evolutive SFP'!#REF!)/2</f>
        <v>#REF!</v>
      </c>
      <c r="W33" s="38" t="e">
        <f>Financials!V44/('Evolutive SFP'!#REF!+'Evolutive SFP'!#REF!)/2</f>
        <v>#REF!</v>
      </c>
      <c r="X33" s="38" t="e">
        <f>Financials!W44/('Evolutive SFP'!#REF!+'Evolutive SFP'!#REF!)/2</f>
        <v>#REF!</v>
      </c>
      <c r="Y33" s="38" t="e">
        <f>Financials!X44/('Evolutive SFP'!#REF!+'Evolutive SFP'!#REF!)/2</f>
        <v>#REF!</v>
      </c>
      <c r="Z33" s="38" t="e">
        <f>Financials!Y44/('Evolutive SFP'!#REF!+'Evolutive SFP'!#REF!)/2</f>
        <v>#REF!</v>
      </c>
      <c r="AA33" s="38" t="e">
        <f>Financials!Z44/('Evolutive SFP'!#REF!+'Evolutive SFP'!#REF!)/2</f>
        <v>#REF!</v>
      </c>
      <c r="AB33" s="38" t="e">
        <f>Financials!AA44/('Evolutive SFP'!#REF!+'Evolutive SFP'!#REF!)/2</f>
        <v>#REF!</v>
      </c>
      <c r="AC33" s="38" t="e">
        <f>Financials!AB44/('Evolutive SFP'!#REF!+'Evolutive SFP'!#REF!)/2</f>
        <v>#REF!</v>
      </c>
      <c r="AD33" s="38" t="e">
        <f>Financials!AC44/('Evolutive SFP'!#REF!+'Evolutive SFP'!#REF!)/2</f>
        <v>#REF!</v>
      </c>
      <c r="AE33" s="38" t="e">
        <f>Financials!AD44/('Evolutive SFP'!#REF!+'Evolutive SFP'!#REF!)/2</f>
        <v>#REF!</v>
      </c>
      <c r="AF33" s="38" t="e">
        <f>Financials!AE44/('Evolutive SFP'!#REF!+'Evolutive SFP'!#REF!)/2</f>
        <v>#REF!</v>
      </c>
      <c r="AG33" s="38" t="e">
        <f>Financials!AF44/('Evolutive SFP'!#REF!+'Evolutive SFP'!#REF!)/2</f>
        <v>#REF!</v>
      </c>
      <c r="AH33" s="38" t="e">
        <f>Financials!AG44/('Evolutive SFP'!#REF!+'Evolutive SFP'!#REF!)/2</f>
        <v>#REF!</v>
      </c>
      <c r="AI33" s="38" t="e">
        <f>Financials!AH44/('Evolutive SFP'!#REF!+'Evolutive SFP'!#REF!)/2</f>
        <v>#REF!</v>
      </c>
      <c r="AJ33" s="38" t="e">
        <f>Financials!AI44/('Evolutive SFP'!#REF!+'Evolutive SFP'!#REF!)/2</f>
        <v>#REF!</v>
      </c>
      <c r="AK33" s="38" t="e">
        <f>Financials!AJ44/('Evolutive SFP'!#REF!+'Evolutive SFP'!#REF!)/2</f>
        <v>#REF!</v>
      </c>
      <c r="AL33" s="38" t="e">
        <f>Financials!AK44/('Evolutive SFP'!#REF!+'Evolutive SFP'!#REF!)/2</f>
        <v>#REF!</v>
      </c>
      <c r="AM33" s="38" t="e">
        <f>Financials!AL44/('Evolutive SFP'!#REF!+'Evolutive SFP'!#REF!)/2</f>
        <v>#REF!</v>
      </c>
      <c r="AN33" s="38" t="e">
        <f>Financials!AM44/('Evolutive SFP'!#REF!+'Evolutive SFP'!#REF!)/2</f>
        <v>#REF!</v>
      </c>
      <c r="AO33" s="38" t="e">
        <f>Financials!AN44/('Evolutive SFP'!#REF!+'Evolutive SFP'!#REF!)/2</f>
        <v>#REF!</v>
      </c>
      <c r="AP33" s="38" t="e">
        <f>Financials!AO44/('Evolutive SFP'!#REF!+'Evolutive SFP'!#REF!)/2</f>
        <v>#REF!</v>
      </c>
      <c r="AQ33" s="38" t="e">
        <f>Financials!AP44/('Evolutive SFP'!#REF!+'Evolutive SFP'!#REF!)/2</f>
        <v>#REF!</v>
      </c>
      <c r="AR33" s="38" t="e">
        <f>Financials!AQ44/('Evolutive SFP'!#REF!+'Evolutive SFP'!#REF!)/2</f>
        <v>#REF!</v>
      </c>
      <c r="AS33" s="38" t="e">
        <f>Financials!AR44/('Evolutive SFP'!#REF!+'Evolutive SFP'!#REF!)/2</f>
        <v>#REF!</v>
      </c>
      <c r="AT33" s="38" t="e">
        <f>Financials!AS44/('Evolutive SFP'!#REF!+'Evolutive SFP'!B30)/2</f>
        <v>#REF!</v>
      </c>
      <c r="AU33" s="38">
        <f>Financials!AT44/('Evolutive SFP'!B30+'Evolutive SFP'!C30)/2</f>
        <v>3.990433511196362E-5</v>
      </c>
      <c r="AV33" s="38">
        <f>Financials!AU44/('Evolutive SFP'!C30+'Evolutive SFP'!D30)/2</f>
        <v>5.0159026813301338E-3</v>
      </c>
      <c r="AW33" s="38">
        <f>Financials!AV44/('Evolutive SFP'!D30+'Evolutive SFP'!E30)/2</f>
        <v>7.5677765000591E-3</v>
      </c>
      <c r="AX33" s="38">
        <f>Financials!AW44/('Evolutive SFP'!E30+'Evolutive SFP'!F30)/2</f>
        <v>9.888725809358262E-3</v>
      </c>
      <c r="AY33" s="38">
        <f>Financials!AX44/('Evolutive SFP'!F30+'Evolutive SFP'!G30)/2</f>
        <v>1.2604140356653784E-2</v>
      </c>
      <c r="AZ33" s="38">
        <f>Financials!AY44/('Evolutive SFP'!G30+'Evolutive SFP'!H30)/2</f>
        <v>1.5140925513583516E-2</v>
      </c>
      <c r="BA33" s="38" t="e">
        <f>Financials!AZ44/('Evolutive SFP'!H30+'Evolutive SFP'!#REF!)/2</f>
        <v>#REF!</v>
      </c>
      <c r="BB33" s="38" t="e">
        <f>Financials!BA44/('Evolutive SFP'!#REF!+'Evolutive SFP'!I30)/2</f>
        <v>#REF!</v>
      </c>
      <c r="BC33" s="38">
        <f>Financials!BB44/('Evolutive SFP'!I30+'Evolutive SFP'!J30)/2</f>
        <v>2.2208722162566603E-2</v>
      </c>
      <c r="BD33" s="38">
        <f>Financials!BC44/('Evolutive SFP'!J30+'Evolutive SFP'!K30)/2</f>
        <v>2.5179592711537004E-2</v>
      </c>
      <c r="BE33" s="38">
        <f>Financials!BD44/('Evolutive SFP'!K30+'Evolutive SFP'!L30)/2</f>
        <v>2.765291220933172E-2</v>
      </c>
      <c r="BF33" s="38">
        <f>Financials!BE44/('Evolutive SFP'!L30+'Evolutive SFP'!M30)/2</f>
        <v>3.035881186214549E-2</v>
      </c>
      <c r="BG33" s="38">
        <f>Financials!BF44/('Evolutive SFP'!M30+'Evolutive SFP'!N30)/2</f>
        <v>5.6220584564494143E-2</v>
      </c>
      <c r="BH33" s="38">
        <f>Financials!BG44/('Evolutive SFP'!N30+'Evolutive SFP'!O30)/2</f>
        <v>5.0970885323395825E-6</v>
      </c>
      <c r="BI33" s="38">
        <f>Financials!BH44/('Evolutive SFP'!O30+'Evolutive SFP'!P30)/2</f>
        <v>4.9946488051843888E-3</v>
      </c>
      <c r="BJ33" s="38">
        <f>Financials!BI44/('Evolutive SFP'!P30+'Evolutive SFP'!Q30)/2</f>
        <v>7.4821655053606308E-3</v>
      </c>
      <c r="BK33" s="38">
        <f>Financials!BJ44/('Evolutive SFP'!Q30+'Evolutive SFP'!R30)/2</f>
        <v>9.9241691687543092E-3</v>
      </c>
      <c r="BL33" s="38">
        <f>Financials!BK44/('Evolutive SFP'!R30+'Evolutive SFP'!S30)/2</f>
        <v>1.2395484448402149E-2</v>
      </c>
      <c r="BM33" s="38">
        <f>Financials!BL44/('Evolutive SFP'!S30+'Evolutive SFP'!T30)/2</f>
        <v>1.2485715554303087E-2</v>
      </c>
      <c r="BN33" s="38">
        <f>Financials!BM44/('Evolutive SFP'!T30+'Evolutive SFP'!U30)/2</f>
        <v>1.7318002062514222E-2</v>
      </c>
      <c r="BO33" s="38">
        <f>Financials!BN44/('Evolutive SFP'!U30+'Evolutive SFP'!V30)/2</f>
        <v>1.9789555210380172E-2</v>
      </c>
      <c r="BP33" s="38">
        <f>Financials!BO44/('Evolutive SFP'!V30+'Evolutive SFP'!W30)/2</f>
        <v>2.2237428704859005E-2</v>
      </c>
      <c r="BQ33" s="38">
        <f>Financials!BP44/('Evolutive SFP'!W30+'Evolutive SFP'!X30)/2</f>
        <v>2.4700078410370831E-2</v>
      </c>
      <c r="BR33" s="38">
        <f>Financials!BQ44/('Evolutive SFP'!X30+'Evolutive SFP'!Y30)/2</f>
        <v>2.7097054305209693E-2</v>
      </c>
      <c r="BS33" s="38">
        <f>Financials!BR44/('Evolutive SFP'!Y30+'Evolutive SFP'!Z30)/2</f>
        <v>2.7426112604574511E-2</v>
      </c>
      <c r="BT33" s="38">
        <f>Financials!BS44/('Evolutive SFP'!Z30+'Evolutive SFP'!AA30)/2</f>
        <v>5.422430417908853E-2</v>
      </c>
      <c r="BU33" s="38">
        <f>Financials!BT44/('Evolutive SFP'!AA30+'Evolutive SFP'!AB30)/2</f>
        <v>2.4727016566869126E-3</v>
      </c>
      <c r="BV33" s="38">
        <f>Financials!BU44/('Evolutive SFP'!AB30+'Evolutive SFP'!AC30)/2</f>
        <v>4.977254398284214E-6</v>
      </c>
      <c r="BW33" s="38">
        <f>Financials!BV44/('Evolutive SFP'!AC30+'Evolutive SFP'!AD30)/2</f>
        <v>7.6479479898182738E-3</v>
      </c>
      <c r="BX33" s="38">
        <f>Financials!BW44/('Evolutive SFP'!AD30+'Evolutive SFP'!AE30)/2</f>
        <v>1.0298384619363089E-2</v>
      </c>
      <c r="BY33" s="38">
        <f>Financials!BX44/('Evolutive SFP'!AE30+'Evolutive SFP'!AF30)/2</f>
        <v>1.3114668864858004E-2</v>
      </c>
      <c r="BZ33" s="38">
        <f>Financials!BY44/('Evolutive SFP'!AF30+'Evolutive SFP'!AG30)/2</f>
        <v>1.60594486831576E-2</v>
      </c>
      <c r="CA33" s="38">
        <f>Financials!BZ44/('Evolutive SFP'!AG30+'Evolutive SFP'!AH30)/2</f>
        <v>1.8954681923027697E-2</v>
      </c>
      <c r="CB33" s="38">
        <f>Financials!CA44/('Evolutive SFP'!AH30+'Evolutive SFP'!AI30)/2</f>
        <v>2.197650910773126E-2</v>
      </c>
      <c r="CC33" s="38">
        <f>Financials!CB44/('Evolutive SFP'!AI30+'Evolutive SFP'!AJ30)/2</f>
        <v>2.5190237440946193E-2</v>
      </c>
      <c r="CD33" s="38">
        <f>Financials!CC44/('Evolutive SFP'!AJ30+'Evolutive SFP'!AK30)/2</f>
        <v>2.8499428802836103E-2</v>
      </c>
      <c r="CE33" s="38">
        <f>Financials!CD44/('Evolutive SFP'!AK30+'Evolutive SFP'!AL30)/2</f>
        <v>3.1802582950198104E-2</v>
      </c>
      <c r="CF33" s="38">
        <f>Financials!CE44/('Evolutive SFP'!AL30+'Evolutive SFP'!AM30)/2</f>
        <v>3.2193697156384454E-2</v>
      </c>
      <c r="CG33" s="38">
        <f>Financials!CF44/('Evolutive SFP'!AM30+'Evolutive SFP'!AN30)/2</f>
        <v>2.920679914820359E-2</v>
      </c>
      <c r="CH33" s="38">
        <f>Financials!CG44/('Evolutive SFP'!AN30+'Evolutive SFP'!AO30)/2</f>
        <v>2.4557070387690757E-3</v>
      </c>
      <c r="CI33" s="38">
        <f>Financials!CH44/('Evolutive SFP'!AO30+'Evolutive SFP'!AP30)/2</f>
        <v>4.9304147295312394E-3</v>
      </c>
      <c r="CJ33" s="38">
        <f>Financials!CI44/('Evolutive SFP'!AP30+'Evolutive SFP'!AQ30)/2</f>
        <v>7.384757620488955E-3</v>
      </c>
      <c r="CK33" s="38">
        <f>Financials!CJ44/('Evolutive SFP'!AQ30+'Evolutive SFP'!AR30)/2</f>
        <v>9.8337004779471757E-3</v>
      </c>
      <c r="CL33" s="38">
        <f>Financials!CK44/('Evolutive SFP'!AR30+'Evolutive SFP'!AS30)/2</f>
        <v>1.2250329893097983E-2</v>
      </c>
      <c r="CM33" s="38">
        <f>Financials!CL44/('Evolutive SFP'!AS30+'Evolutive SFP'!AT30)/2</f>
        <v>1.4687902968322957E-2</v>
      </c>
      <c r="CN33" s="38">
        <f>Financials!CM44/('Evolutive SFP'!AT30+'Evolutive SFP'!AU30)/2</f>
        <v>1.7037457699372243E-2</v>
      </c>
      <c r="CO33" s="38">
        <f>Financials!CN44/('Evolutive SFP'!AU30+'Evolutive SFP'!AV30)/2</f>
        <v>1.9502879356025602E-2</v>
      </c>
    </row>
    <row r="34" spans="1:93" ht="15">
      <c r="A34" s="43"/>
      <c r="B34" s="32" t="s">
        <v>223</v>
      </c>
      <c r="C34" s="2"/>
      <c r="D34" s="34"/>
      <c r="E34" s="34" t="e">
        <f>Financials!D45/('Evolutive SFP'!#REF!+'Evolutive SFP'!#REF!)/2</f>
        <v>#REF!</v>
      </c>
      <c r="F34" s="34"/>
      <c r="G34" s="34"/>
      <c r="H34" s="34" t="e">
        <f>Financials!G45/('Evolutive SFP'!#REF!+'Evolutive SFP'!#REF!)/2</f>
        <v>#REF!</v>
      </c>
      <c r="I34" s="34" t="e">
        <f>Financials!H45/('Evolutive SFP'!#REF!+'Evolutive SFP'!#REF!)/2</f>
        <v>#REF!</v>
      </c>
      <c r="J34" s="34" t="e">
        <f>Financials!I45/('Evolutive SFP'!#REF!+'Evolutive SFP'!#REF!)/2</f>
        <v>#REF!</v>
      </c>
      <c r="K34" s="34" t="e">
        <f>Financials!J45/('Evolutive SFP'!#REF!+'Evolutive SFP'!#REF!)/2</f>
        <v>#REF!</v>
      </c>
      <c r="L34" s="34" t="e">
        <f>Financials!K45/('Evolutive SFP'!#REF!+'Evolutive SFP'!#REF!)/2</f>
        <v>#REF!</v>
      </c>
      <c r="M34" s="34" t="e">
        <f>Financials!L45/('Evolutive SFP'!#REF!+'Evolutive SFP'!#REF!)/2</f>
        <v>#REF!</v>
      </c>
      <c r="N34" s="34" t="e">
        <f>Financials!M45/('Evolutive SFP'!#REF!+'Evolutive SFP'!#REF!)/2</f>
        <v>#REF!</v>
      </c>
      <c r="O34" s="34" t="e">
        <f>Financials!N45/('Evolutive SFP'!#REF!+'Evolutive SFP'!#REF!)/2</f>
        <v>#REF!</v>
      </c>
      <c r="P34" s="34" t="e">
        <f>Financials!O45/('Evolutive SFP'!#REF!+'Evolutive SFP'!#REF!)/2</f>
        <v>#REF!</v>
      </c>
      <c r="Q34" s="34" t="e">
        <f>Financials!P45/('Evolutive SFP'!#REF!+'Evolutive SFP'!#REF!)/2</f>
        <v>#REF!</v>
      </c>
      <c r="R34" s="34" t="e">
        <f>Financials!Q45/('Evolutive SFP'!#REF!+'Evolutive SFP'!#REF!)/2</f>
        <v>#REF!</v>
      </c>
      <c r="S34" s="38" t="e">
        <f>Financials!R45/('Evolutive SFP'!#REF!+'Evolutive SFP'!#REF!)/2</f>
        <v>#REF!</v>
      </c>
      <c r="T34" s="38" t="e">
        <f>Financials!S45/('Evolutive SFP'!#REF!+'Evolutive SFP'!#REF!)/2</f>
        <v>#REF!</v>
      </c>
      <c r="U34" s="38" t="e">
        <f>Financials!T45/('Evolutive SFP'!#REF!+'Evolutive SFP'!#REF!)/2</f>
        <v>#REF!</v>
      </c>
      <c r="V34" s="38" t="e">
        <f>Financials!U45/('Evolutive SFP'!#REF!+'Evolutive SFP'!#REF!)/2</f>
        <v>#REF!</v>
      </c>
      <c r="W34" s="38" t="e">
        <f>Financials!V45/('Evolutive SFP'!#REF!+'Evolutive SFP'!#REF!)/2</f>
        <v>#REF!</v>
      </c>
      <c r="X34" s="38" t="e">
        <f>Financials!W45/('Evolutive SFP'!#REF!+'Evolutive SFP'!#REF!)/2</f>
        <v>#REF!</v>
      </c>
      <c r="Y34" s="38" t="e">
        <f>Financials!X45/('Evolutive SFP'!#REF!+'Evolutive SFP'!#REF!)/2</f>
        <v>#REF!</v>
      </c>
      <c r="Z34" s="38" t="e">
        <f>Financials!Y45/('Evolutive SFP'!#REF!+'Evolutive SFP'!#REF!)/2</f>
        <v>#REF!</v>
      </c>
      <c r="AA34" s="38" t="e">
        <f>Financials!Z45/('Evolutive SFP'!#REF!+'Evolutive SFP'!#REF!)/2</f>
        <v>#REF!</v>
      </c>
      <c r="AB34" s="38" t="e">
        <f>Financials!AA45/('Evolutive SFP'!#REF!+'Evolutive SFP'!#REF!)/2</f>
        <v>#REF!</v>
      </c>
      <c r="AC34" s="38" t="e">
        <f>Financials!AB45/('Evolutive SFP'!#REF!+'Evolutive SFP'!#REF!)/2</f>
        <v>#REF!</v>
      </c>
      <c r="AD34" s="38" t="e">
        <f>Financials!AC45/('Evolutive SFP'!#REF!+'Evolutive SFP'!#REF!)/2</f>
        <v>#REF!</v>
      </c>
      <c r="AE34" s="38" t="e">
        <f>Financials!AD45/('Evolutive SFP'!#REF!+'Evolutive SFP'!#REF!)/2</f>
        <v>#REF!</v>
      </c>
      <c r="AF34" s="38" t="e">
        <f>Financials!AE45/('Evolutive SFP'!#REF!+'Evolutive SFP'!#REF!)/2</f>
        <v>#REF!</v>
      </c>
      <c r="AG34" s="38" t="e">
        <f>Financials!AF45/('Evolutive SFP'!#REF!+'Evolutive SFP'!#REF!)/2</f>
        <v>#REF!</v>
      </c>
      <c r="AH34" s="38" t="e">
        <f>Financials!AG45/('Evolutive SFP'!#REF!+'Evolutive SFP'!#REF!)/2</f>
        <v>#REF!</v>
      </c>
      <c r="AI34" s="38" t="e">
        <f>Financials!AH45/('Evolutive SFP'!#REF!+'Evolutive SFP'!#REF!)/2</f>
        <v>#REF!</v>
      </c>
      <c r="AJ34" s="38" t="e">
        <f>Financials!AI45/('Evolutive SFP'!#REF!+'Evolutive SFP'!#REF!)/2</f>
        <v>#REF!</v>
      </c>
      <c r="AK34" s="38" t="e">
        <f>Financials!AJ45/('Evolutive SFP'!#REF!+'Evolutive SFP'!#REF!)/2</f>
        <v>#REF!</v>
      </c>
      <c r="AL34" s="38" t="e">
        <f>Financials!AK45/('Evolutive SFP'!#REF!+'Evolutive SFP'!#REF!)/2</f>
        <v>#REF!</v>
      </c>
      <c r="AM34" s="38" t="e">
        <f>Financials!AL45/('Evolutive SFP'!#REF!+'Evolutive SFP'!#REF!)/2</f>
        <v>#REF!</v>
      </c>
      <c r="AN34" s="38" t="e">
        <f>Financials!AM45/('Evolutive SFP'!#REF!+'Evolutive SFP'!#REF!)/2</f>
        <v>#REF!</v>
      </c>
      <c r="AO34" s="38" t="e">
        <f>Financials!AN45/('Evolutive SFP'!#REF!+'Evolutive SFP'!#REF!)/2</f>
        <v>#REF!</v>
      </c>
      <c r="AP34" s="38" t="e">
        <f>Financials!AO45/('Evolutive SFP'!#REF!+'Evolutive SFP'!#REF!)/2</f>
        <v>#REF!</v>
      </c>
      <c r="AQ34" s="38" t="e">
        <f>Financials!AP45/('Evolutive SFP'!#REF!+'Evolutive SFP'!#REF!)/2</f>
        <v>#REF!</v>
      </c>
      <c r="AR34" s="38" t="e">
        <f>Financials!AQ45/('Evolutive SFP'!#REF!+'Evolutive SFP'!#REF!)/2</f>
        <v>#REF!</v>
      </c>
      <c r="AS34" s="38" t="e">
        <f>Financials!AR45/('Evolutive SFP'!#REF!+'Evolutive SFP'!#REF!)/2</f>
        <v>#REF!</v>
      </c>
      <c r="AT34" s="38" t="e">
        <f>Financials!AS45/('Evolutive SFP'!#REF!+'Evolutive SFP'!B39)/2</f>
        <v>#REF!</v>
      </c>
      <c r="AU34" s="38">
        <f>Financials!AT45/('Evolutive SFP'!B39+'Evolutive SFP'!C39)/2</f>
        <v>7.9400101345610186E-5</v>
      </c>
      <c r="AV34" s="38">
        <f>Financials!AU45/('Evolutive SFP'!C39+'Evolutive SFP'!D39)/2</f>
        <v>8.354727822794979E-3</v>
      </c>
      <c r="AW34" s="38">
        <f>Financials!AV45/('Evolutive SFP'!D39+'Evolutive SFP'!E39)/2</f>
        <v>1.2541560823201792E-2</v>
      </c>
      <c r="AX34" s="38">
        <f>Financials!AW45/('Evolutive SFP'!E39+'Evolutive SFP'!F39)/2</f>
        <v>1.6668561032598565E-2</v>
      </c>
      <c r="AY34" s="38">
        <f>Financials!AX45/('Evolutive SFP'!F39+'Evolutive SFP'!G39)/2</f>
        <v>2.0897337342361245E-2</v>
      </c>
      <c r="AZ34" s="38">
        <f>Financials!AY45/('Evolutive SFP'!G39+'Evolutive SFP'!H39)/2</f>
        <v>2.5070255216572912E-2</v>
      </c>
      <c r="BA34" s="38" t="e">
        <f>Financials!AZ45/('Evolutive SFP'!H39+'Evolutive SFP'!#REF!)/2</f>
        <v>#REF!</v>
      </c>
      <c r="BB34" s="38" t="e">
        <f>Financials!BA45/('Evolutive SFP'!#REF!+'Evolutive SFP'!I39)/2</f>
        <v>#REF!</v>
      </c>
      <c r="BC34" s="38">
        <f>Financials!BB45/('Evolutive SFP'!I39+'Evolutive SFP'!J39)/2</f>
        <v>3.7551163654837343E-2</v>
      </c>
      <c r="BD34" s="38">
        <f>Financials!BC45/('Evolutive SFP'!J39+'Evolutive SFP'!K39)/2</f>
        <v>4.1777442923317365E-2</v>
      </c>
      <c r="BE34" s="38">
        <f>Financials!BD45/('Evolutive SFP'!K39+'Evolutive SFP'!L39)/2</f>
        <v>4.5888687754878407E-2</v>
      </c>
      <c r="BF34" s="38">
        <f>Financials!BE45/('Evolutive SFP'!L39+'Evolutive SFP'!M39)/2</f>
        <v>5.0070432510208276E-2</v>
      </c>
      <c r="BG34" s="38">
        <f>Financials!BF45/('Evolutive SFP'!M39+'Evolutive SFP'!N39)/2</f>
        <v>0</v>
      </c>
      <c r="BH34" s="38">
        <f>Financials!BG45/('Evolutive SFP'!N39+'Evolutive SFP'!O39)/2</f>
        <v>8.3688533118228131E-6</v>
      </c>
      <c r="BI34" s="38">
        <f>Financials!BH45/('Evolutive SFP'!O39+'Evolutive SFP'!P39)/2</f>
        <v>8.3415572978099636E-3</v>
      </c>
      <c r="BJ34" s="38">
        <f>Financials!BI45/('Evolutive SFP'!P39+'Evolutive SFP'!Q39)/2</f>
        <v>1.2516415310783765E-2</v>
      </c>
      <c r="BK34" s="38">
        <f>Financials!BJ45/('Evolutive SFP'!Q39+'Evolutive SFP'!R39)/2</f>
        <v>1.671136667147817E-2</v>
      </c>
      <c r="BL34" s="38">
        <f>Financials!BK45/('Evolutive SFP'!R39+'Evolutive SFP'!S39)/2</f>
        <v>2.0893209657447034E-2</v>
      </c>
      <c r="BM34" s="38">
        <f>Financials!BL45/('Evolutive SFP'!S39+'Evolutive SFP'!T39)/2</f>
        <v>2.5073234420225996E-2</v>
      </c>
      <c r="BN34" s="38">
        <f>Financials!BM45/('Evolutive SFP'!T39+'Evolutive SFP'!U39)/2</f>
        <v>2.9256939052703941E-2</v>
      </c>
      <c r="BO34" s="38">
        <f>Financials!BN45/('Evolutive SFP'!U39+'Evolutive SFP'!V39)/2</f>
        <v>3.337207248019608E-2</v>
      </c>
      <c r="BP34" s="38">
        <f>Financials!BO45/('Evolutive SFP'!V39+'Evolutive SFP'!W39)/2</f>
        <v>3.7718497121730588E-2</v>
      </c>
      <c r="BQ34" s="38">
        <f>Financials!BP45/('Evolutive SFP'!W39+'Evolutive SFP'!X39)/2</f>
        <v>4.1734264183265923E-2</v>
      </c>
      <c r="BR34" s="38">
        <f>Financials!BQ45/('Evolutive SFP'!X39+'Evolutive SFP'!Y39)/2</f>
        <v>4.5969137525735906E-2</v>
      </c>
      <c r="BS34" s="38">
        <f>Financials!BR45/('Evolutive SFP'!Y39+'Evolutive SFP'!Z39)/2</f>
        <v>4.8551646102363781E-2</v>
      </c>
      <c r="BT34" s="38">
        <f>Financials!BS45/('Evolutive SFP'!Z39+'Evolutive SFP'!AA39)/2</f>
        <v>0</v>
      </c>
      <c r="BU34" s="38">
        <f>Financials!BT45/('Evolutive SFP'!AA39+'Evolutive SFP'!AB39)/2</f>
        <v>4.1670744113241403E-3</v>
      </c>
      <c r="BV34" s="38">
        <f>Financials!BU45/('Evolutive SFP'!AB39+'Evolutive SFP'!AC39)/2</f>
        <v>8.3502218545044191E-6</v>
      </c>
      <c r="BW34" s="38">
        <f>Financials!BV45/('Evolutive SFP'!AC39+'Evolutive SFP'!AD39)/2</f>
        <v>1.2612525351185094E-2</v>
      </c>
      <c r="BX34" s="38">
        <f>Financials!BW45/('Evolutive SFP'!AD39+'Evolutive SFP'!AE39)/2</f>
        <v>1.674601014228189E-2</v>
      </c>
      <c r="BY34" s="38">
        <f>Financials!BX45/('Evolutive SFP'!AE39+'Evolutive SFP'!AF39)/2</f>
        <v>2.0851229040192733E-2</v>
      </c>
      <c r="BZ34" s="38">
        <f>Financials!BY45/('Evolutive SFP'!AF39+'Evolutive SFP'!AG39)/2</f>
        <v>2.5238316129126356E-2</v>
      </c>
      <c r="CA34" s="38">
        <f>Financials!BZ45/('Evolutive SFP'!AG39+'Evolutive SFP'!AH39)/2</f>
        <v>2.9377985554469882E-2</v>
      </c>
      <c r="CB34" s="38">
        <f>Financials!CA45/('Evolutive SFP'!AH39+'Evolutive SFP'!AI39)/2</f>
        <v>3.345319838784553E-2</v>
      </c>
      <c r="CC34" s="38">
        <f>Financials!CB45/('Evolutive SFP'!AI39+'Evolutive SFP'!AJ39)/2</f>
        <v>3.7601549929747673E-2</v>
      </c>
      <c r="CD34" s="38">
        <f>Financials!CC45/('Evolutive SFP'!AJ39+'Evolutive SFP'!AK39)/2</f>
        <v>4.1789068589576005E-2</v>
      </c>
      <c r="CE34" s="38">
        <f>Financials!CD45/('Evolutive SFP'!AK39+'Evolutive SFP'!AL39)/2</f>
        <v>4.5934785982313021E-2</v>
      </c>
      <c r="CF34" s="38">
        <f>Financials!CE45/('Evolutive SFP'!AL39+'Evolutive SFP'!AM39)/2</f>
        <v>4.855160680835359E-2</v>
      </c>
      <c r="CG34" s="38">
        <f>Financials!CF45/('Evolutive SFP'!AM39+'Evolutive SFP'!AN39)/2</f>
        <v>0</v>
      </c>
      <c r="CH34" s="38">
        <f>Financials!CG45/('Evolutive SFP'!AN39+'Evolutive SFP'!AO39)/2</f>
        <v>4.1783408254191653E-3</v>
      </c>
      <c r="CI34" s="38">
        <f>Financials!CH45/('Evolutive SFP'!AO39+'Evolutive SFP'!AP39)/2</f>
        <v>8.3637311561964509E-3</v>
      </c>
      <c r="CJ34" s="38">
        <f>Financials!CI45/('Evolutive SFP'!AP39+'Evolutive SFP'!AQ39)/2</f>
        <v>1.2604878594843225E-2</v>
      </c>
      <c r="CK34" s="38">
        <f>Financials!CJ45/('Evolutive SFP'!AQ39+'Evolutive SFP'!AR39)/2</f>
        <v>1.6700697171517339E-2</v>
      </c>
      <c r="CL34" s="38">
        <f>Financials!CK45/('Evolutive SFP'!AR39+'Evolutive SFP'!AS39)/2</f>
        <v>2.0914322820442751E-2</v>
      </c>
      <c r="CM34" s="38">
        <f>Financials!CL45/('Evolutive SFP'!AS39+'Evolutive SFP'!AT39)/2</f>
        <v>2.5058064403735189E-2</v>
      </c>
      <c r="CN34" s="38">
        <f>Financials!CM45/('Evolutive SFP'!AT39+'Evolutive SFP'!AU39)/2</f>
        <v>2.9296963980316344E-2</v>
      </c>
      <c r="CO34" s="38">
        <f>Financials!CN45/('Evolutive SFP'!AU39+'Evolutive SFP'!AV39)/2</f>
        <v>3.3391467979765471E-2</v>
      </c>
    </row>
    <row r="35" spans="1:93" ht="15">
      <c r="A35" s="43"/>
      <c r="B35" s="32" t="s">
        <v>224</v>
      </c>
      <c r="C35" s="2"/>
      <c r="D35" s="34"/>
      <c r="E35" s="34" t="e">
        <f>Financials!D46/(Financials!C31+Financials!D31)/2</f>
        <v>#REF!</v>
      </c>
      <c r="F35" s="34"/>
      <c r="G35" s="34"/>
      <c r="H35" s="34" t="e">
        <f>Financials!G46/(Financials!D31+Financials!G31)/2</f>
        <v>#REF!</v>
      </c>
      <c r="I35" s="34" t="e">
        <f>Financials!H46/(Financials!G31+Financials!H31)/2</f>
        <v>#REF!</v>
      </c>
      <c r="J35" s="34" t="e">
        <f>Financials!I46/(Financials!H31+Financials!I31)/2</f>
        <v>#REF!</v>
      </c>
      <c r="K35" s="34" t="e">
        <f>Financials!J46/(Financials!I31+Financials!J31)/2</f>
        <v>#REF!</v>
      </c>
      <c r="L35" s="34" t="e">
        <f>Financials!K46/(Financials!J31+Financials!K31)/2</f>
        <v>#REF!</v>
      </c>
      <c r="M35" s="34" t="e">
        <f>Financials!L46/(Financials!K31+Financials!L31)/2</f>
        <v>#REF!</v>
      </c>
      <c r="N35" s="34" t="e">
        <f>Financials!M46/(Financials!L31+Financials!M31)/2</f>
        <v>#REF!</v>
      </c>
      <c r="O35" s="34" t="e">
        <f>Financials!N46/(Financials!M31+Financials!N31)/2</f>
        <v>#REF!</v>
      </c>
      <c r="P35" s="34" t="e">
        <f>Financials!O46/(Financials!N31+Financials!O31)/2</f>
        <v>#REF!</v>
      </c>
      <c r="Q35" s="34" t="e">
        <f>Financials!P46/(Financials!O31+Financials!P31)/2</f>
        <v>#REF!</v>
      </c>
      <c r="R35" s="34" t="e">
        <f>Financials!Q46/(Financials!P31+Financials!Q31)/2</f>
        <v>#REF!</v>
      </c>
      <c r="S35" s="38" t="e">
        <f>Financials!R46/(Financials!Q31+Financials!R31)/2</f>
        <v>#REF!</v>
      </c>
      <c r="T35" s="38" t="e">
        <f>Financials!S46/(Financials!R31+Financials!S31)/2</f>
        <v>#REF!</v>
      </c>
      <c r="U35" s="38" t="e">
        <f>Financials!T46/(Financials!S31+Financials!T31)/2</f>
        <v>#REF!</v>
      </c>
      <c r="V35" s="38" t="e">
        <f>Financials!U46/(Financials!T31+Financials!U31)/2</f>
        <v>#REF!</v>
      </c>
      <c r="W35" s="38" t="e">
        <f>Financials!V46/(Financials!U31+Financials!V31)/2</f>
        <v>#REF!</v>
      </c>
      <c r="X35" s="38" t="e">
        <f>Financials!W46/(Financials!V31+Financials!W31)/2</f>
        <v>#REF!</v>
      </c>
      <c r="Y35" s="38" t="e">
        <f>Financials!X46/(Financials!W31+Financials!X31)/2</f>
        <v>#REF!</v>
      </c>
      <c r="Z35" s="38" t="e">
        <f>Financials!Y46/(Financials!X31+Financials!Y31)/2</f>
        <v>#REF!</v>
      </c>
      <c r="AA35" s="38" t="e">
        <f>Financials!Z46/(Financials!Y31+Financials!Z31)/2</f>
        <v>#REF!</v>
      </c>
      <c r="AB35" s="38" t="e">
        <f>Financials!AA46/(Financials!Z31+Financials!AA31)/2</f>
        <v>#REF!</v>
      </c>
      <c r="AC35" s="38" t="e">
        <f>Financials!AB46/(Financials!AA31+Financials!AB31)/2</f>
        <v>#REF!</v>
      </c>
      <c r="AD35" s="38" t="e">
        <f>Financials!AC46/(Financials!AB31+Financials!AC31)/2</f>
        <v>#REF!</v>
      </c>
      <c r="AE35" s="38" t="e">
        <f>Financials!AD46/(Financials!AC31+Financials!AD31)/2</f>
        <v>#REF!</v>
      </c>
      <c r="AF35" s="38" t="e">
        <f>Financials!AE46/(Financials!AD31+Financials!AE31)/2</f>
        <v>#REF!</v>
      </c>
      <c r="AG35" s="38" t="e">
        <f>Financials!AF46/(Financials!AE31+Financials!AF31)/2</f>
        <v>#REF!</v>
      </c>
      <c r="AH35" s="38" t="e">
        <f>Financials!AG46/(Financials!AF31+Financials!AG31)/2</f>
        <v>#REF!</v>
      </c>
      <c r="AI35" s="38" t="e">
        <f>Financials!AH46/(Financials!AG31+Financials!AH31)/2</f>
        <v>#REF!</v>
      </c>
      <c r="AJ35" s="38" t="e">
        <f>Financials!AI46/(Financials!AH31+Financials!AI31)/2</f>
        <v>#REF!</v>
      </c>
      <c r="AK35" s="38" t="e">
        <f>Financials!AJ46/(Financials!AI31+Financials!AJ31)/2</f>
        <v>#REF!</v>
      </c>
      <c r="AL35" s="38" t="e">
        <f>Financials!AK46/(Financials!AJ31+Financials!AK31)/2</f>
        <v>#REF!</v>
      </c>
      <c r="AM35" s="38" t="e">
        <f>Financials!AL46/(Financials!AK31+Financials!AL31)/2</f>
        <v>#REF!</v>
      </c>
      <c r="AN35" s="38" t="e">
        <f>Financials!AM46/(Financials!AL31+Financials!AM31)/2</f>
        <v>#REF!</v>
      </c>
      <c r="AO35" s="38" t="e">
        <f>Financials!AN46/(Financials!AM31+Financials!AN31)/2</f>
        <v>#REF!</v>
      </c>
      <c r="AP35" s="38" t="e">
        <f>Financials!AO46/(Financials!AN31+Financials!AO31)/2</f>
        <v>#REF!</v>
      </c>
      <c r="AQ35" s="38" t="e">
        <f>Financials!AP46/(Financials!AO31+Financials!AP31)/2</f>
        <v>#REF!</v>
      </c>
      <c r="AR35" s="38" t="e">
        <f>Financials!AQ46/(Financials!AP31+Financials!AQ31)/2</f>
        <v>#REF!</v>
      </c>
      <c r="AS35" s="38" t="e">
        <f>Financials!AR46/(Financials!AQ31+Financials!AR31)/2</f>
        <v>#REF!</v>
      </c>
      <c r="AT35" s="38" t="e">
        <f>Financials!AS46/(Financials!AR31+Financials!AS31)/2</f>
        <v>#REF!</v>
      </c>
      <c r="AU35" s="38">
        <f>Financials!AT46/(Financials!AS31+Financials!AT31)/2</f>
        <v>0</v>
      </c>
      <c r="AV35" s="38">
        <f>Financials!AU46/(Financials!AT31+Financials!AU31)/2</f>
        <v>0</v>
      </c>
      <c r="AW35" s="38">
        <f>Financials!AV46/(Financials!AU31+Financials!AV31)/2</f>
        <v>0</v>
      </c>
      <c r="AX35" s="38">
        <f>Financials!AW46/(Financials!AV31+Financials!AW31)/2</f>
        <v>0</v>
      </c>
      <c r="AY35" s="38">
        <f>Financials!AX46/(Financials!AW31+Financials!AX31)/2</f>
        <v>0</v>
      </c>
      <c r="AZ35" s="38">
        <f>Financials!AY46/(Financials!AX31+Financials!AY31)/2</f>
        <v>0</v>
      </c>
      <c r="BA35" s="38" t="e">
        <f>Financials!AZ46/(Financials!AY31+Financials!AZ31)/2</f>
        <v>#REF!</v>
      </c>
      <c r="BB35" s="38" t="e">
        <f>Financials!BA46/(Financials!AZ31+Financials!BA31)/2</f>
        <v>#REF!</v>
      </c>
      <c r="BC35" s="38">
        <f>Financials!BB46/(Financials!BA31+Financials!BB31)/2</f>
        <v>0</v>
      </c>
      <c r="BD35" s="38">
        <f>Financials!BC46/(Financials!BB31+Financials!BC31)/2</f>
        <v>0</v>
      </c>
      <c r="BE35" s="38">
        <f>Financials!BD46/(Financials!BC31+Financials!BD31)/2</f>
        <v>0</v>
      </c>
      <c r="BF35" s="38">
        <f>Financials!BE46/(Financials!BD31+Financials!BE31)/2</f>
        <v>0</v>
      </c>
      <c r="BG35" s="38">
        <f>Financials!BF46/(Financials!BE31+Financials!BF31)/2</f>
        <v>0</v>
      </c>
      <c r="BH35" s="38">
        <f>Financials!BG46/(Financials!BF31+Financials!BG31)/2</f>
        <v>0</v>
      </c>
      <c r="BI35" s="38">
        <f>Financials!BH46/(Financials!BG31+Financials!BH31)/2</f>
        <v>0</v>
      </c>
      <c r="BJ35" s="38">
        <f>Financials!BI46/(Financials!BH31+Financials!BI31)/2</f>
        <v>0</v>
      </c>
      <c r="BK35" s="38">
        <f>Financials!BJ46/(Financials!BI31+Financials!BJ31)/2</f>
        <v>0</v>
      </c>
      <c r="BL35" s="38">
        <f>Financials!BK46/(Financials!BJ31+Financials!BK31)/2</f>
        <v>0</v>
      </c>
      <c r="BM35" s="38">
        <f>Financials!BL46/(Financials!BK31+Financials!BL31)/2</f>
        <v>0</v>
      </c>
      <c r="BN35" s="38">
        <f>Financials!BM46/(Financials!BL31+Financials!BM31)/2</f>
        <v>0</v>
      </c>
      <c r="BO35" s="38">
        <f>Financials!BN46/(Financials!BM31+Financials!BN31)/2</f>
        <v>0</v>
      </c>
      <c r="BP35" s="38">
        <f>Financials!BO46/(Financials!BN31+Financials!BO31)/2</f>
        <v>0</v>
      </c>
      <c r="BQ35" s="38">
        <f>Financials!BP46/(Financials!BO31+Financials!BP31)/2</f>
        <v>0</v>
      </c>
      <c r="BR35" s="38">
        <f>Financials!BQ46/(Financials!BP31+Financials!BQ31)/2</f>
        <v>0</v>
      </c>
      <c r="BS35" s="38">
        <f>Financials!BR46/(Financials!BQ31+Financials!BR31)/2</f>
        <v>0</v>
      </c>
      <c r="BT35" s="38">
        <f>Financials!BS46/(Financials!BR31+Financials!BS31)/2</f>
        <v>0</v>
      </c>
      <c r="BU35" s="38">
        <f>Financials!BT46/(Financials!BS31+Financials!BT31)/2</f>
        <v>0</v>
      </c>
      <c r="BV35" s="38">
        <f>Financials!BU46/(Financials!BT31+Financials!BU31)/2</f>
        <v>0</v>
      </c>
      <c r="BW35" s="38">
        <f>Financials!BV46/(Financials!BU31+Financials!BV31)/2</f>
        <v>0</v>
      </c>
      <c r="BX35" s="38">
        <f>Financials!BW46/(Financials!BV31+Financials!BW31)/2</f>
        <v>0</v>
      </c>
      <c r="BY35" s="38">
        <f>Financials!BX46/(Financials!BW31+Financials!BX31)/2</f>
        <v>0</v>
      </c>
      <c r="BZ35" s="38">
        <f>Financials!BY46/(Financials!BX31+Financials!BY31)/2</f>
        <v>0</v>
      </c>
      <c r="CA35" s="38">
        <f>Financials!BZ46/(Financials!BY31+Financials!BZ31)/2</f>
        <v>0</v>
      </c>
      <c r="CB35" s="38">
        <f>Financials!CA46/(Financials!BZ31+Financials!CA31)/2</f>
        <v>0</v>
      </c>
      <c r="CC35" s="38">
        <f>Financials!CB46/(Financials!CA31+Financials!CB31)/2</f>
        <v>0</v>
      </c>
      <c r="CD35" s="38">
        <f>Financials!CC46/(Financials!CB31+Financials!CC31)/2</f>
        <v>0</v>
      </c>
      <c r="CE35" s="38">
        <f>Financials!CD46/(Financials!CC31+Financials!CD31)/2</f>
        <v>0</v>
      </c>
      <c r="CF35" s="38">
        <f>Financials!CE46/(Financials!CD31+Financials!CE31)/2</f>
        <v>0</v>
      </c>
      <c r="CG35" s="38">
        <f>Financials!CF46/(Financials!CE31+Financials!CF31)/2</f>
        <v>0</v>
      </c>
      <c r="CH35" s="38">
        <f>Financials!CG46/(Financials!CF31+Financials!CG31)/2</f>
        <v>0</v>
      </c>
      <c r="CI35" s="38">
        <f>Financials!CH46/(Financials!CG31+Financials!CH31)/2</f>
        <v>0</v>
      </c>
      <c r="CJ35" s="38">
        <f>Financials!CI46/(Financials!CH31+Financials!CI31)/2</f>
        <v>0</v>
      </c>
      <c r="CK35" s="38">
        <f>Financials!CJ46/(Financials!CI31+Financials!CJ31)/2</f>
        <v>0</v>
      </c>
      <c r="CL35" s="38">
        <f>Financials!CK46/(Financials!CJ31+Financials!CK31)/2</f>
        <v>0</v>
      </c>
      <c r="CM35" s="38">
        <f>Financials!CL46/(Financials!CK31+Financials!CL31)/2</f>
        <v>0</v>
      </c>
      <c r="CN35" s="38">
        <f>Financials!CM46/(Financials!CL31+Financials!CM31)/2</f>
        <v>0</v>
      </c>
      <c r="CO35" s="38">
        <f>Financials!CN46/(Financials!CM31+Financials!CN31)/2</f>
        <v>0</v>
      </c>
    </row>
    <row r="36" spans="1:93" ht="15">
      <c r="A36" s="43"/>
      <c r="B36" s="32" t="s">
        <v>225</v>
      </c>
      <c r="C36" s="2"/>
      <c r="D36" s="34"/>
      <c r="E36" s="34" t="e">
        <f>Financials!D47/(Financials!C4+Financials!D4)/2</f>
        <v>#REF!</v>
      </c>
      <c r="F36" s="34"/>
      <c r="G36" s="34"/>
      <c r="H36" s="34" t="e">
        <f>Financials!G47/(Financials!D4+Financials!G4)/2</f>
        <v>#REF!</v>
      </c>
      <c r="I36" s="34" t="e">
        <f>Financials!H47/(Financials!G4+Financials!H4)/2</f>
        <v>#REF!</v>
      </c>
      <c r="J36" s="34" t="e">
        <f>Financials!I47/(Financials!H4+Financials!I4)/2</f>
        <v>#REF!</v>
      </c>
      <c r="K36" s="34" t="e">
        <f>Financials!J47/(Financials!I4+Financials!J4)/2</f>
        <v>#REF!</v>
      </c>
      <c r="L36" s="34" t="e">
        <f>Financials!K47/(Financials!J4+Financials!K4)/2</f>
        <v>#REF!</v>
      </c>
      <c r="M36" s="34" t="e">
        <f>Financials!L47/(Financials!K4+Financials!L4)/2</f>
        <v>#REF!</v>
      </c>
      <c r="N36" s="34" t="e">
        <f>Financials!M47/(Financials!L4+Financials!M4)/2</f>
        <v>#REF!</v>
      </c>
      <c r="O36" s="34" t="e">
        <f>Financials!N47/(Financials!M4+Financials!N4)/2</f>
        <v>#REF!</v>
      </c>
      <c r="P36" s="34" t="e">
        <f>Financials!O47/(Financials!N4+Financials!O4)/2</f>
        <v>#REF!</v>
      </c>
      <c r="Q36" s="34" t="e">
        <f>Financials!P47/(Financials!O4+Financials!P4)/2</f>
        <v>#REF!</v>
      </c>
      <c r="R36" s="34" t="e">
        <f>Financials!Q47/(Financials!P4+Financials!Q4)/2</f>
        <v>#REF!</v>
      </c>
      <c r="S36" s="38" t="e">
        <f>Financials!R47/(Financials!Q4+Financials!R4)/2</f>
        <v>#REF!</v>
      </c>
      <c r="T36" s="38" t="e">
        <f>Financials!S47/(Financials!R4+Financials!S4)/2</f>
        <v>#REF!</v>
      </c>
      <c r="U36" s="38" t="e">
        <f>Financials!T47/(Financials!S4+Financials!T4)/2</f>
        <v>#REF!</v>
      </c>
      <c r="V36" s="38" t="e">
        <f>Financials!U47/(Financials!T4+Financials!U4)/2</f>
        <v>#REF!</v>
      </c>
      <c r="W36" s="38" t="e">
        <f>Financials!V47/(Financials!U4+Financials!V4)/2</f>
        <v>#REF!</v>
      </c>
      <c r="X36" s="38" t="e">
        <f>Financials!W47/(Financials!V4+Financials!W4)/2</f>
        <v>#REF!</v>
      </c>
      <c r="Y36" s="38" t="e">
        <f>Financials!X47/(Financials!W4+Financials!X4)/2</f>
        <v>#REF!</v>
      </c>
      <c r="Z36" s="38" t="e">
        <f>Financials!Y47/(Financials!X4+Financials!Y4)/2</f>
        <v>#REF!</v>
      </c>
      <c r="AA36" s="38" t="e">
        <f>Financials!Z47/(Financials!Y4+Financials!Z4)/2</f>
        <v>#REF!</v>
      </c>
      <c r="AB36" s="38" t="e">
        <f>Financials!AA47/(Financials!Z4+Financials!AA4)/2</f>
        <v>#REF!</v>
      </c>
      <c r="AC36" s="38" t="e">
        <f>Financials!AB47/(Financials!AA4+Financials!AB4)/2</f>
        <v>#REF!</v>
      </c>
      <c r="AD36" s="38" t="e">
        <f>Financials!AC47/(Financials!AB4+Financials!AC4)/2</f>
        <v>#REF!</v>
      </c>
      <c r="AE36" s="38" t="e">
        <f>Financials!AD47/(Financials!AC4+Financials!AD4)/2</f>
        <v>#REF!</v>
      </c>
      <c r="AF36" s="38" t="e">
        <f>Financials!AE47/(Financials!AD4+Financials!AE4)/2</f>
        <v>#REF!</v>
      </c>
      <c r="AG36" s="38" t="e">
        <f>Financials!AF47/(Financials!AE4+Financials!AF4)/2</f>
        <v>#REF!</v>
      </c>
      <c r="AH36" s="38" t="e">
        <f>Financials!AG47/(Financials!AF4+Financials!AG4)/2</f>
        <v>#REF!</v>
      </c>
      <c r="AI36" s="38" t="e">
        <f>Financials!AH47/(Financials!AG4+Financials!AH4)/2</f>
        <v>#REF!</v>
      </c>
      <c r="AJ36" s="38" t="e">
        <f>Financials!AI47/(Financials!AH4+Financials!AI4)/2</f>
        <v>#REF!</v>
      </c>
      <c r="AK36" s="38" t="e">
        <f>Financials!AJ47/(Financials!AI4+Financials!AJ4)/2</f>
        <v>#REF!</v>
      </c>
      <c r="AL36" s="38" t="e">
        <f>Financials!AK47/(Financials!AJ4+Financials!AK4)/2</f>
        <v>#REF!</v>
      </c>
      <c r="AM36" s="38" t="e">
        <f>Financials!AL47/(Financials!AK4+Financials!AL4)/2</f>
        <v>#REF!</v>
      </c>
      <c r="AN36" s="38" t="e">
        <f>Financials!AM47/(Financials!AL4+Financials!AM4)/2</f>
        <v>#REF!</v>
      </c>
      <c r="AO36" s="38" t="e">
        <f>Financials!AN47/(Financials!AM4+Financials!AN4)/2</f>
        <v>#REF!</v>
      </c>
      <c r="AP36" s="38" t="e">
        <f>Financials!AO47/(Financials!AN4+Financials!AO4)/2</f>
        <v>#REF!</v>
      </c>
      <c r="AQ36" s="38" t="e">
        <f>Financials!AP47/(Financials!AO4+Financials!AP4)/2</f>
        <v>#REF!</v>
      </c>
      <c r="AR36" s="38" t="e">
        <f>Financials!AQ47/(Financials!AP4+Financials!AQ4)/2</f>
        <v>#REF!</v>
      </c>
      <c r="AS36" s="38" t="e">
        <f>Financials!AR47/(Financials!AQ4+Financials!AR4)/2</f>
        <v>#REF!</v>
      </c>
      <c r="AT36" s="38" t="e">
        <f>Financials!AS47/(Financials!AR4+Financials!AS4)/2</f>
        <v>#REF!</v>
      </c>
      <c r="AU36" s="38">
        <f>Financials!AT47/(Financials!AS4+Financials!AT4)/2</f>
        <v>8.1761607427697919E-6</v>
      </c>
      <c r="AV36" s="38">
        <f>Financials!AU47/(Financials!AT4+Financials!AU4)/2</f>
        <v>7.3197873847686418E-4</v>
      </c>
      <c r="AW36" s="38">
        <f>Financials!AV47/(Financials!AU4+Financials!AV4)/2</f>
        <v>1.4936453733121781E-3</v>
      </c>
      <c r="AX36" s="38">
        <f>Financials!AW47/(Financials!AV4+Financials!AW4)/2</f>
        <v>2.1319521800039604E-3</v>
      </c>
      <c r="AY36" s="38">
        <f>Financials!AX47/(Financials!AW4+Financials!AX4)/2</f>
        <v>2.3732670890640939E-3</v>
      </c>
      <c r="AZ36" s="38">
        <f>Financials!AY47/(Financials!AX4+Financials!AY4)/2</f>
        <v>2.6687468507433712E-3</v>
      </c>
      <c r="BA36" s="38" t="e">
        <f>Financials!AZ47/(Financials!AY4+Financials!AZ4)/2</f>
        <v>#REF!</v>
      </c>
      <c r="BB36" s="38" t="e">
        <f>Financials!BA47/(Financials!AZ4+Financials!BA4)/2</f>
        <v>#REF!</v>
      </c>
      <c r="BC36" s="38">
        <f>Financials!BB47/(Financials!BA4+Financials!BB4)/2</f>
        <v>3.8889133157372731E-3</v>
      </c>
      <c r="BD36" s="38">
        <f>Financials!BC47/(Financials!BB4+Financials!BC4)/2</f>
        <v>4.2401517236741399E-3</v>
      </c>
      <c r="BE36" s="38">
        <f>Financials!BD47/(Financials!BC4+Financials!BD4)/2</f>
        <v>4.3807970762792412E-3</v>
      </c>
      <c r="BF36" s="38">
        <f>Financials!BE47/(Financials!BD4+Financials!BE4)/2</f>
        <v>4.8900412023669083E-3</v>
      </c>
      <c r="BG36" s="38">
        <f>Financials!BF47/(Financials!BE4+Financials!BF4)/2</f>
        <v>9.4302176968036264E-3</v>
      </c>
      <c r="BH36" s="38">
        <f>Financials!BG47/(Financials!BF4+Financials!BG4)/2</f>
        <v>7.1800523832110214E-7</v>
      </c>
      <c r="BI36" s="38">
        <f>Financials!BH47/(Financials!BG4+Financials!BH4)/2</f>
        <v>6.6892015306888692E-4</v>
      </c>
      <c r="BJ36" s="38">
        <f>Financials!BI47/(Financials!BH4+Financials!BI4)/2</f>
        <v>1.7765453799242889E-3</v>
      </c>
      <c r="BK36" s="38">
        <f>Financials!BJ47/(Financials!BI4+Financials!BJ4)/2</f>
        <v>2.0276277943817585E-3</v>
      </c>
      <c r="BL36" s="38">
        <f>Financials!BK47/(Financials!BJ4+Financials!BK4)/2</f>
        <v>2.5223207417554537E-3</v>
      </c>
      <c r="BM36" s="38">
        <f>Financials!BL47/(Financials!BK4+Financials!BL4)/2</f>
        <v>2.8014948810659327E-3</v>
      </c>
      <c r="BN36" s="38">
        <f>Financials!BM47/(Financials!BL4+Financials!BM4)/2</f>
        <v>3.3395679500164413E-3</v>
      </c>
      <c r="BO36" s="38">
        <f>Financials!BN47/(Financials!BM4+Financials!BN4)/2</f>
        <v>3.6571614901533358E-3</v>
      </c>
      <c r="BP36" s="38">
        <f>Financials!BO47/(Financials!BN4+Financials!BO4)/2</f>
        <v>3.8967396110558853E-3</v>
      </c>
      <c r="BQ36" s="38">
        <f>Financials!BP47/(Financials!BO4+Financials!BP4)/2</f>
        <v>4.1684861046482301E-3</v>
      </c>
      <c r="BR36" s="38">
        <f>Financials!BQ47/(Financials!BP4+Financials!BQ4)/2</f>
        <v>4.443958927141319E-3</v>
      </c>
      <c r="BS36" s="38">
        <f>Financials!BR47/(Financials!BQ4+Financials!BR4)/2</f>
        <v>4.789042489096838E-3</v>
      </c>
      <c r="BT36" s="38">
        <f>Financials!BS47/(Financials!BR4+Financials!BS4)/2</f>
        <v>9.2021242623174498E-3</v>
      </c>
      <c r="BU36" s="38">
        <f>Financials!BT47/(Financials!BS4+Financials!BT4)/2</f>
        <v>3.2949619394924775E-4</v>
      </c>
      <c r="BV36" s="38">
        <f>Financials!BU47/(Financials!BT4+Financials!BU4)/2</f>
        <v>6.7483753594120785E-7</v>
      </c>
      <c r="BW36" s="38">
        <f>Financials!BV47/(Financials!BU4+Financials!BV4)/2</f>
        <v>1.7464343384492622E-3</v>
      </c>
      <c r="BX36" s="38">
        <f>Financials!BW47/(Financials!BV4+Financials!BW4)/2</f>
        <v>2.2241515431141285E-3</v>
      </c>
      <c r="BY36" s="38">
        <f>Financials!BX47/(Financials!BW4+Financials!BX4)/2</f>
        <v>2.7728840519818977E-3</v>
      </c>
      <c r="BZ36" s="38">
        <f>Financials!BY47/(Financials!BX4+Financials!BY4)/2</f>
        <v>3.3288077405840013E-3</v>
      </c>
      <c r="CA36" s="38">
        <f>Financials!BZ47/(Financials!BY4+Financials!BZ4)/2</f>
        <v>3.8905870147108754E-3</v>
      </c>
      <c r="CB36" s="38">
        <f>Financials!CA47/(Financials!BZ4+Financials!CA4)/2</f>
        <v>3.9920034339812754E-3</v>
      </c>
      <c r="CC36" s="38">
        <f>Financials!CB47/(Financials!CA4+Financials!CB4)/2</f>
        <v>4.3240035694130721E-3</v>
      </c>
      <c r="CD36" s="38">
        <f>Financials!CC47/(Financials!CB4+Financials!CC4)/2</f>
        <v>4.6719877897631098E-3</v>
      </c>
      <c r="CE36" s="38">
        <f>Financials!CD47/(Financials!CC4+Financials!CD4)/2</f>
        <v>4.9738284808564653E-3</v>
      </c>
      <c r="CF36" s="38">
        <f>Financials!CE47/(Financials!CD4+Financials!CE4)/2</f>
        <v>5.3090856381282072E-3</v>
      </c>
      <c r="CG36" s="38">
        <f>Financials!CF47/(Financials!CE4+Financials!CF4)/2</f>
        <v>5.5524790467106119E-3</v>
      </c>
      <c r="CH36" s="38">
        <f>Financials!CG47/(Financials!CF4+Financials!CG4)/2</f>
        <v>2.8563514216515249E-4</v>
      </c>
      <c r="CI36" s="38">
        <f>Financials!CH47/(Financials!CG4+Financials!CH4)/2</f>
        <v>5.1605098300275991E-4</v>
      </c>
      <c r="CJ36" s="38">
        <f>Financials!CI47/(Financials!CH4+Financials!CI4)/2</f>
        <v>1.0362639462794488E-3</v>
      </c>
      <c r="CK36" s="38">
        <f>Financials!CJ47/(Financials!CI4+Financials!CJ4)/2</f>
        <v>1.4673970834403834E-3</v>
      </c>
      <c r="CL36" s="38">
        <f>Financials!CK47/(Financials!CJ4+Financials!CK4)/2</f>
        <v>1.8711067587645995E-3</v>
      </c>
      <c r="CM36" s="38">
        <f>Financials!CL47/(Financials!CK4+Financials!CL4)/2</f>
        <v>2.3276068328235994E-3</v>
      </c>
      <c r="CN36" s="38">
        <f>Financials!CM47/(Financials!CL4+Financials!CM4)/2</f>
        <v>2.8727762343961037E-3</v>
      </c>
      <c r="CO36" s="38">
        <f>Financials!CN47/(Financials!CM4+Financials!CN4)/2</f>
        <v>3.2629764446189284E-3</v>
      </c>
    </row>
    <row r="37" spans="1:93" ht="15">
      <c r="A37" s="43"/>
      <c r="B37" s="32" t="s">
        <v>226</v>
      </c>
      <c r="C37" s="2"/>
      <c r="D37" s="34"/>
      <c r="E37" s="34" t="e">
        <f>Financials!D47/Financials!D37</f>
        <v>#REF!</v>
      </c>
      <c r="F37" s="34"/>
      <c r="G37" s="34"/>
      <c r="H37" s="34" t="e">
        <f>Financials!G47/Financials!G37</f>
        <v>#REF!</v>
      </c>
      <c r="I37" s="34" t="e">
        <f>Financials!H47/Financials!H37</f>
        <v>#REF!</v>
      </c>
      <c r="J37" s="34" t="e">
        <f>Financials!I47/Financials!I37</f>
        <v>#REF!</v>
      </c>
      <c r="K37" s="34" t="e">
        <f>Financials!J47/Financials!J37</f>
        <v>#REF!</v>
      </c>
      <c r="L37" s="34" t="e">
        <f>Financials!K47/Financials!K37</f>
        <v>#REF!</v>
      </c>
      <c r="M37" s="34" t="e">
        <f>Financials!L47/Financials!L37</f>
        <v>#REF!</v>
      </c>
      <c r="N37" s="34" t="e">
        <f>Financials!M47/Financials!M37</f>
        <v>#REF!</v>
      </c>
      <c r="O37" s="34" t="e">
        <f>Financials!N47/Financials!N37</f>
        <v>#REF!</v>
      </c>
      <c r="P37" s="34" t="e">
        <f>Financials!O47/Financials!O37</f>
        <v>#REF!</v>
      </c>
      <c r="Q37" s="34" t="e">
        <f>Financials!P47/Financials!P37</f>
        <v>#REF!</v>
      </c>
      <c r="R37" s="34" t="e">
        <f>Financials!Q47/Financials!Q37</f>
        <v>#REF!</v>
      </c>
      <c r="S37" s="38" t="e">
        <f>Financials!R47/Financials!R37</f>
        <v>#REF!</v>
      </c>
      <c r="T37" s="38" t="e">
        <f>Financials!S47/Financials!S37</f>
        <v>#REF!</v>
      </c>
      <c r="U37" s="38" t="e">
        <f>Financials!T47/Financials!T37</f>
        <v>#REF!</v>
      </c>
      <c r="V37" s="38" t="e">
        <f>Financials!U47/Financials!U37</f>
        <v>#REF!</v>
      </c>
      <c r="W37" s="38" t="e">
        <f>Financials!V47/Financials!V37</f>
        <v>#REF!</v>
      </c>
      <c r="X37" s="38" t="e">
        <f>Financials!W47/Financials!W37</f>
        <v>#REF!</v>
      </c>
      <c r="Y37" s="38" t="e">
        <f>Financials!X47/Financials!X37</f>
        <v>#REF!</v>
      </c>
      <c r="Z37" s="38" t="e">
        <f>Financials!Y47/Financials!Y37</f>
        <v>#REF!</v>
      </c>
      <c r="AA37" s="38" t="e">
        <f>Financials!Z47/Financials!Z37</f>
        <v>#REF!</v>
      </c>
      <c r="AB37" s="38" t="e">
        <f>Financials!AA47/Financials!AA37</f>
        <v>#REF!</v>
      </c>
      <c r="AC37" s="38" t="e">
        <f>Financials!AB47/Financials!AB37</f>
        <v>#REF!</v>
      </c>
      <c r="AD37" s="38" t="e">
        <f>Financials!AC47/Financials!AC37</f>
        <v>#REF!</v>
      </c>
      <c r="AE37" s="38" t="e">
        <f>Financials!AD47/Financials!AD37</f>
        <v>#REF!</v>
      </c>
      <c r="AF37" s="38" t="e">
        <f>Financials!AE47/Financials!AE37</f>
        <v>#REF!</v>
      </c>
      <c r="AG37" s="38" t="e">
        <f>Financials!AF47/Financials!AF37</f>
        <v>#REF!</v>
      </c>
      <c r="AH37" s="38" t="e">
        <f>Financials!AG47/Financials!AG37</f>
        <v>#REF!</v>
      </c>
      <c r="AI37" s="38" t="e">
        <f>Financials!AH47/Financials!AH37</f>
        <v>#REF!</v>
      </c>
      <c r="AJ37" s="38" t="e">
        <f>Financials!AI47/Financials!AI37</f>
        <v>#REF!</v>
      </c>
      <c r="AK37" s="38" t="e">
        <f>Financials!AJ47/Financials!AJ37</f>
        <v>#REF!</v>
      </c>
      <c r="AL37" s="38" t="e">
        <f>Financials!AK47/Financials!AK37</f>
        <v>#REF!</v>
      </c>
      <c r="AM37" s="38" t="e">
        <f>Financials!AL47/Financials!AL37</f>
        <v>#REF!</v>
      </c>
      <c r="AN37" s="38" t="e">
        <f>Financials!AM47/Financials!AM37</f>
        <v>#REF!</v>
      </c>
      <c r="AO37" s="38" t="e">
        <f>Financials!AN47/Financials!AN37</f>
        <v>#REF!</v>
      </c>
      <c r="AP37" s="38" t="e">
        <f>Financials!AO47/Financials!AO37</f>
        <v>#REF!</v>
      </c>
      <c r="AQ37" s="38" t="e">
        <f>Financials!AP47/Financials!AP37</f>
        <v>#REF!</v>
      </c>
      <c r="AR37" s="38" t="e">
        <f>Financials!AQ47/Financials!AQ37</f>
        <v>#REF!</v>
      </c>
      <c r="AS37" s="38" t="e">
        <f>Financials!AR47/Financials!AR37</f>
        <v>#REF!</v>
      </c>
      <c r="AT37" s="38">
        <f>Financials!AS47/Financials!AS37</f>
        <v>0.41233552930364109</v>
      </c>
      <c r="AU37" s="38">
        <f>Financials!AT47/Financials!AT37</f>
        <v>0.16484381428769521</v>
      </c>
      <c r="AV37" s="38">
        <f>Financials!AU47/Financials!AU37</f>
        <v>0.14938630159309754</v>
      </c>
      <c r="AW37" s="38">
        <f>Financials!AV47/Financials!AV37</f>
        <v>0.19266786255340973</v>
      </c>
      <c r="AX37" s="38">
        <f>Financials!AW47/Financials!AW37</f>
        <v>0.14348999205094948</v>
      </c>
      <c r="AY37" s="38">
        <f>Financials!AX47/Financials!AX37</f>
        <v>0.13898600138125131</v>
      </c>
      <c r="AZ37" s="38">
        <f>Financials!AY47/Financials!AY37</f>
        <v>0.13851431724820634</v>
      </c>
      <c r="BA37" s="38" t="e">
        <f>Financials!AZ47/Financials!AZ37</f>
        <v>#REF!</v>
      </c>
      <c r="BB37" s="38">
        <f>Financials!BA47/Financials!BA37</f>
        <v>0.14553986599446023</v>
      </c>
      <c r="BC37" s="38">
        <f>Financials!BB47/Financials!BB37</f>
        <v>0.14441368760244905</v>
      </c>
      <c r="BD37" s="38">
        <f>Financials!BC47/Financials!BC37</f>
        <v>0.14497955950725211</v>
      </c>
      <c r="BE37" s="38">
        <f>Financials!BD47/Financials!BD37</f>
        <v>0.14056206162367527</v>
      </c>
      <c r="BF37" s="38">
        <f>Financials!BE47/Financials!BE37</f>
        <v>0.14576817102545708</v>
      </c>
      <c r="BG37" s="38">
        <f>Financials!BF47/Financials!BF37</f>
        <v>0.14258408203878611</v>
      </c>
      <c r="BH37" s="38">
        <f>Financials!BG47/Financials!BG37</f>
        <v>0.16889522179172092</v>
      </c>
      <c r="BI37" s="38">
        <f>Financials!BH47/Financials!BH37</f>
        <v>0.13792196869021239</v>
      </c>
      <c r="BJ37" s="38">
        <f>Financials!BI47/Financials!BI37</f>
        <v>0.22966507199918693</v>
      </c>
      <c r="BK37" s="38">
        <f>Financials!BJ47/Financials!BJ37</f>
        <v>0.14974993375455059</v>
      </c>
      <c r="BL37" s="38">
        <f>Financials!BK47/Financials!BK37</f>
        <v>0.15946453852509182</v>
      </c>
      <c r="BM37" s="38">
        <f>Financials!BL47/Financials!BL37</f>
        <v>0.15482898659945707</v>
      </c>
      <c r="BN37" s="38">
        <f>Financials!BM47/Financials!BM37</f>
        <v>0.16431166602023226</v>
      </c>
      <c r="BO37" s="38">
        <f>Financials!BN47/Financials!BN37</f>
        <v>0.17270881617053435</v>
      </c>
      <c r="BP37" s="38">
        <f>Financials!BO47/Financials!BO37</f>
        <v>0.15177967906424128</v>
      </c>
      <c r="BQ37" s="38">
        <f>Financials!BP47/Financials!BP37</f>
        <v>0.15077694815526207</v>
      </c>
      <c r="BR37" s="38">
        <f>Financials!BQ47/Financials!BQ37</f>
        <v>0.14881313554838685</v>
      </c>
      <c r="BS37" s="38">
        <f>Financials!BR47/Financials!BR37</f>
        <v>0.15089265502053698</v>
      </c>
      <c r="BT37" s="38">
        <f>Financials!BS47/Financials!BS37</f>
        <v>0.407705682290112</v>
      </c>
      <c r="BU37" s="38">
        <f>Financials!BT47/Financials!BT37</f>
        <v>0.13715693184160677</v>
      </c>
      <c r="BV37" s="38">
        <f>Financials!BU47/Financials!BU37</f>
        <v>0.14130081010768222</v>
      </c>
      <c r="BW37" s="38">
        <f>Financials!BV47/Financials!BV37</f>
        <v>0.23888709800789973</v>
      </c>
      <c r="BX37" s="38">
        <f>Financials!BW47/Financials!BW37</f>
        <v>0.22617508602170305</v>
      </c>
      <c r="BY37" s="38">
        <f>Financials!BX47/Financials!BX37</f>
        <v>0.2325686011300418</v>
      </c>
      <c r="BZ37" s="38">
        <f>Financials!BY47/Financials!BY37</f>
        <v>0.19162799389060925</v>
      </c>
      <c r="CA37" s="38">
        <f>Financials!BZ47/Financials!BZ37</f>
        <v>0.19938184901230016</v>
      </c>
      <c r="CB37" s="38">
        <f>Financials!CA47/Financials!CA37</f>
        <v>0.1837927368963907</v>
      </c>
      <c r="CC37" s="38">
        <f>Financials!CB47/Financials!CB37</f>
        <v>0.18145125108569718</v>
      </c>
      <c r="CD37" s="38">
        <f>Financials!CC47/Financials!CC37</f>
        <v>0.18089661363862639</v>
      </c>
      <c r="CE37" s="38">
        <f>Financials!CD47/Financials!CD37</f>
        <v>0.17858635110861762</v>
      </c>
      <c r="CF37" s="38">
        <f>Financials!CE47/Financials!CE37</f>
        <v>0.1761138996568411</v>
      </c>
      <c r="CG37" s="38">
        <f>Financials!CF47/Financials!CF37</f>
        <v>0.18203816367974698</v>
      </c>
      <c r="CH37" s="38">
        <f>Financials!CG47/Financials!CG37</f>
        <v>0.11608344364021433</v>
      </c>
      <c r="CI37" s="38">
        <f>Financials!CH47/Financials!CH37</f>
        <v>0.10751208855269098</v>
      </c>
      <c r="CJ37" s="38">
        <f>Financials!CI47/Financials!CI37</f>
        <v>0.13952016454382857</v>
      </c>
      <c r="CK37" s="38">
        <f>Financials!CJ47/Financials!CJ37</f>
        <v>0.14785049125206784</v>
      </c>
      <c r="CL37" s="38">
        <f>Financials!CK47/Financials!CK37</f>
        <v>0.15052464023592935</v>
      </c>
      <c r="CM37" s="38">
        <f>Financials!CL47/Financials!CL37</f>
        <v>0.13171724926210177</v>
      </c>
      <c r="CN37" s="38">
        <f>Financials!CM47/Financials!CM37</f>
        <v>0.14172703956500096</v>
      </c>
      <c r="CO37" s="38">
        <f>Financials!CN47/Financials!CN37</f>
        <v>0.14287153937222805</v>
      </c>
    </row>
    <row r="38" spans="1:93" ht="15">
      <c r="A38" s="43"/>
      <c r="B38" s="32" t="s">
        <v>227</v>
      </c>
      <c r="C38" s="2"/>
      <c r="D38" s="34"/>
      <c r="E38" s="34" t="e">
        <f>Financials!D38/('Evolutive SFP'!#REF!+'Evolutive SFP'!#REF!)/2</f>
        <v>#REF!</v>
      </c>
      <c r="F38" s="34"/>
      <c r="G38" s="34"/>
      <c r="H38" s="34" t="e">
        <f>Financials!G38/('Evolutive SFP'!#REF!+'Evolutive SFP'!#REF!)/2</f>
        <v>#REF!</v>
      </c>
      <c r="I38" s="34" t="e">
        <f>Financials!H38/('Evolutive SFP'!#REF!+'Evolutive SFP'!#REF!)/2</f>
        <v>#REF!</v>
      </c>
      <c r="J38" s="34" t="e">
        <f>Financials!I38/('Evolutive SFP'!#REF!+'Evolutive SFP'!#REF!)/2</f>
        <v>#REF!</v>
      </c>
      <c r="K38" s="34" t="e">
        <f>Financials!J38/('Evolutive SFP'!#REF!+'Evolutive SFP'!#REF!)/2</f>
        <v>#REF!</v>
      </c>
      <c r="L38" s="34" t="e">
        <f>Financials!K38/('Evolutive SFP'!#REF!+'Evolutive SFP'!#REF!)/2</f>
        <v>#REF!</v>
      </c>
      <c r="M38" s="34" t="e">
        <f>Financials!L38/('Evolutive SFP'!#REF!+'Evolutive SFP'!#REF!)/2</f>
        <v>#REF!</v>
      </c>
      <c r="N38" s="34" t="e">
        <f>Financials!M38/('Evolutive SFP'!#REF!+'Evolutive SFP'!#REF!)/2</f>
        <v>#REF!</v>
      </c>
      <c r="O38" s="34" t="e">
        <f>Financials!N38/('Evolutive SFP'!#REF!+'Evolutive SFP'!#REF!)/2</f>
        <v>#REF!</v>
      </c>
      <c r="P38" s="34" t="e">
        <f>Financials!O38/('Evolutive SFP'!#REF!+'Evolutive SFP'!#REF!)/2</f>
        <v>#REF!</v>
      </c>
      <c r="Q38" s="34" t="e">
        <f>Financials!P38/('Evolutive SFP'!#REF!+'Evolutive SFP'!#REF!)/2</f>
        <v>#REF!</v>
      </c>
      <c r="R38" s="34" t="e">
        <f>Financials!Q38/('Evolutive SFP'!#REF!+'Evolutive SFP'!#REF!)/2</f>
        <v>#REF!</v>
      </c>
      <c r="S38" s="38" t="e">
        <f>Financials!R38/('Evolutive SFP'!#REF!+'Evolutive SFP'!#REF!)/2</f>
        <v>#REF!</v>
      </c>
      <c r="T38" s="38" t="e">
        <f>Financials!S38/('Evolutive SFP'!#REF!+'Evolutive SFP'!#REF!)/2</f>
        <v>#REF!</v>
      </c>
      <c r="U38" s="38" t="e">
        <f>Financials!T38/('Evolutive SFP'!#REF!+'Evolutive SFP'!#REF!)/2</f>
        <v>#REF!</v>
      </c>
      <c r="V38" s="38" t="e">
        <f>Financials!U38/('Evolutive SFP'!#REF!+'Evolutive SFP'!#REF!)/2</f>
        <v>#REF!</v>
      </c>
      <c r="W38" s="38" t="e">
        <f>Financials!V38/('Evolutive SFP'!#REF!+'Evolutive SFP'!#REF!)/2</f>
        <v>#REF!</v>
      </c>
      <c r="X38" s="38" t="e">
        <f>Financials!W38/('Evolutive SFP'!#REF!+'Evolutive SFP'!#REF!)/2</f>
        <v>#REF!</v>
      </c>
      <c r="Y38" s="38" t="e">
        <f>Financials!X38/('Evolutive SFP'!#REF!+'Evolutive SFP'!#REF!)/2</f>
        <v>#REF!</v>
      </c>
      <c r="Z38" s="38" t="e">
        <f>Financials!Y38/('Evolutive SFP'!#REF!+'Evolutive SFP'!#REF!)/2</f>
        <v>#REF!</v>
      </c>
      <c r="AA38" s="38" t="e">
        <f>Financials!Z38/('Evolutive SFP'!#REF!+'Evolutive SFP'!#REF!)/2</f>
        <v>#REF!</v>
      </c>
      <c r="AB38" s="38" t="e">
        <f>Financials!AA38/('Evolutive SFP'!#REF!+'Evolutive SFP'!#REF!)/2</f>
        <v>#REF!</v>
      </c>
      <c r="AC38" s="38" t="e">
        <f>Financials!AB38/('Evolutive SFP'!#REF!+'Evolutive SFP'!#REF!)/2</f>
        <v>#REF!</v>
      </c>
      <c r="AD38" s="38" t="e">
        <f>Financials!AC38/('Evolutive SFP'!#REF!+'Evolutive SFP'!#REF!)/2</f>
        <v>#REF!</v>
      </c>
      <c r="AE38" s="38" t="e">
        <f>Financials!AD38/('Evolutive SFP'!#REF!+'Evolutive SFP'!#REF!)/2</f>
        <v>#REF!</v>
      </c>
      <c r="AF38" s="38" t="e">
        <f>Financials!AE38/('Evolutive SFP'!#REF!+'Evolutive SFP'!#REF!)/2</f>
        <v>#REF!</v>
      </c>
      <c r="AG38" s="38" t="e">
        <f>Financials!AF38/('Evolutive SFP'!#REF!+'Evolutive SFP'!#REF!)/2</f>
        <v>#REF!</v>
      </c>
      <c r="AH38" s="38" t="e">
        <f>Financials!AG38/('Evolutive SFP'!#REF!+'Evolutive SFP'!#REF!)/2</f>
        <v>#REF!</v>
      </c>
      <c r="AI38" s="38" t="e">
        <f>Financials!AH38/('Evolutive SFP'!#REF!+'Evolutive SFP'!#REF!)/2</f>
        <v>#REF!</v>
      </c>
      <c r="AJ38" s="38" t="e">
        <f>Financials!AI38/('Evolutive SFP'!#REF!+'Evolutive SFP'!#REF!)/2</f>
        <v>#REF!</v>
      </c>
      <c r="AK38" s="38" t="e">
        <f>Financials!AJ38/('Evolutive SFP'!#REF!+'Evolutive SFP'!#REF!)/2</f>
        <v>#REF!</v>
      </c>
      <c r="AL38" s="38" t="e">
        <f>Financials!AK38/('Evolutive SFP'!#REF!+'Evolutive SFP'!#REF!)/2</f>
        <v>#REF!</v>
      </c>
      <c r="AM38" s="38" t="e">
        <f>Financials!AL38/('Evolutive SFP'!#REF!+'Evolutive SFP'!#REF!)/2</f>
        <v>#REF!</v>
      </c>
      <c r="AN38" s="38" t="e">
        <f>Financials!AM38/('Evolutive SFP'!#REF!+'Evolutive SFP'!#REF!)/2</f>
        <v>#REF!</v>
      </c>
      <c r="AO38" s="38" t="e">
        <f>Financials!AN38/('Evolutive SFP'!#REF!+'Evolutive SFP'!#REF!)/2</f>
        <v>#REF!</v>
      </c>
      <c r="AP38" s="38" t="e">
        <f>Financials!AO38/('Evolutive SFP'!#REF!+'Evolutive SFP'!#REF!)/2</f>
        <v>#REF!</v>
      </c>
      <c r="AQ38" s="38" t="e">
        <f>Financials!AP38/('Evolutive SFP'!#REF!+'Evolutive SFP'!#REF!)/2</f>
        <v>#REF!</v>
      </c>
      <c r="AR38" s="38" t="e">
        <f>Financials!AQ38/('Evolutive SFP'!#REF!+'Evolutive SFP'!#REF!)/2</f>
        <v>#REF!</v>
      </c>
      <c r="AS38" s="38" t="e">
        <f>Financials!AR38/('Evolutive SFP'!#REF!+'Evolutive SFP'!#REF!)/2</f>
        <v>#REF!</v>
      </c>
      <c r="AT38" s="38" t="e">
        <f>Financials!AS38/('Evolutive SFP'!B14+'Evolutive SFP'!#REF!)/2</f>
        <v>#REF!</v>
      </c>
      <c r="AU38" s="38">
        <f>Financials!AT38/('Evolutive SFP'!C14+'Evolutive SFP'!B14)/2</f>
        <v>6.2885159619071872E-5</v>
      </c>
      <c r="AV38" s="38">
        <f>Financials!AU38/('Evolutive SFP'!D14+'Evolutive SFP'!C14)/2</f>
        <v>5.9714334423985778E-3</v>
      </c>
      <c r="AW38" s="38">
        <f>Financials!AV38/('Evolutive SFP'!E14+'Evolutive SFP'!D14)/2</f>
        <v>9.2401026321570576E-3</v>
      </c>
      <c r="AX38" s="38">
        <f>Financials!AW38/('Evolutive SFP'!F14+'Evolutive SFP'!E14)/2</f>
        <v>1.2688964195072015E-2</v>
      </c>
      <c r="AY38" s="38">
        <f>Financials!AX38/('Evolutive SFP'!G14+'Evolutive SFP'!F14)/2</f>
        <v>1.5920986760302094E-2</v>
      </c>
      <c r="AZ38" s="38">
        <f>Financials!AY38/('Evolutive SFP'!H14+'Evolutive SFP'!G14)/2</f>
        <v>1.9150884980992367E-2</v>
      </c>
      <c r="BA38" s="38" t="e">
        <f>Financials!AZ38/('Evolutive SFP'!#REF!+'Evolutive SFP'!H14)/2</f>
        <v>#REF!</v>
      </c>
      <c r="BB38" s="38" t="e">
        <f>Financials!BA38/('Evolutive SFP'!I14+'Evolutive SFP'!#REF!)/2</f>
        <v>#REF!</v>
      </c>
      <c r="BC38" s="38">
        <f>Financials!BB38/('Evolutive SFP'!J14+'Evolutive SFP'!I14)/2</f>
        <v>2.646576599308061E-2</v>
      </c>
      <c r="BD38" s="38">
        <f>Financials!BC38/('Evolutive SFP'!K14+'Evolutive SFP'!J14)/2</f>
        <v>2.8814379636477393E-2</v>
      </c>
      <c r="BE38" s="38">
        <f>Financials!BD38/('Evolutive SFP'!L14+'Evolutive SFP'!K14)/2</f>
        <v>3.116508051606796E-2</v>
      </c>
      <c r="BF38" s="38">
        <f>Financials!BE38/('Evolutive SFP'!M14+'Evolutive SFP'!L14)/2</f>
        <v>3.3745565031979535E-2</v>
      </c>
      <c r="BG38" s="38">
        <f>Financials!BF38/('Evolutive SFP'!N14+'Evolutive SFP'!M14)/2</f>
        <v>6.6391376433117572E-2</v>
      </c>
      <c r="BH38" s="38">
        <f>Financials!BG38/('Evolutive SFP'!O14+'Evolutive SFP'!N14)/2</f>
        <v>5.8634732971868528E-6</v>
      </c>
      <c r="BI38" s="38">
        <f>Financials!BH38/('Evolutive SFP'!P14+'Evolutive SFP'!O14)/2</f>
        <v>5.6606039587867706E-3</v>
      </c>
      <c r="BJ38" s="38">
        <f>Financials!BI38/('Evolutive SFP'!Q14+'Evolutive SFP'!P14)/2</f>
        <v>8.7811485705814821E-3</v>
      </c>
      <c r="BK38" s="38">
        <f>Financials!BJ38/('Evolutive SFP'!R14+'Evolutive SFP'!Q14)/2</f>
        <v>1.173288727340358E-2</v>
      </c>
      <c r="BL38" s="38">
        <f>Financials!BK38/('Evolutive SFP'!S14+'Evolutive SFP'!R14)/2</f>
        <v>1.4399753003295239E-2</v>
      </c>
      <c r="BM38" s="38">
        <f>Financials!BL38/('Evolutive SFP'!T14+'Evolutive SFP'!S14)/2</f>
        <v>1.7043809665520493E-2</v>
      </c>
      <c r="BN38" s="38">
        <f>Financials!BM38/('Evolutive SFP'!U14+'Evolutive SFP'!T14)/2</f>
        <v>1.962502389986957E-2</v>
      </c>
      <c r="BO38" s="38">
        <f>Financials!BN38/('Evolutive SFP'!V14+'Evolutive SFP'!U14)/2</f>
        <v>1.9368722260520117E-2</v>
      </c>
      <c r="BP38" s="38">
        <f>Financials!BO38/('Evolutive SFP'!W14+'Evolutive SFP'!V14)/2</f>
        <v>2.5475652433830251E-2</v>
      </c>
      <c r="BQ38" s="38">
        <f>Financials!BP38/('Evolutive SFP'!X14+'Evolutive SFP'!W14)/2</f>
        <v>2.8166963959281106E-2</v>
      </c>
      <c r="BR38" s="38">
        <f>Financials!BQ38/('Evolutive SFP'!Y14+'Evolutive SFP'!X14)/2</f>
        <v>3.1027066898462088E-2</v>
      </c>
      <c r="BS38" s="38">
        <f>Financials!BR38/('Evolutive SFP'!Z14+'Evolutive SFP'!Y14)/2</f>
        <v>3.3483037508725957E-2</v>
      </c>
      <c r="BT38" s="38">
        <f>Financials!BS38/('Evolutive SFP'!AA14+'Evolutive SFP'!Z14)/2</f>
        <v>5.6157784707110059E-3</v>
      </c>
      <c r="BU38" s="38">
        <f>Financials!BT38/('Evolutive SFP'!AB14+'Evolutive SFP'!AA14)/2</f>
        <v>2.7971432236354662E-3</v>
      </c>
      <c r="BV38" s="38">
        <f>Financials!BU38/('Evolutive SFP'!AC14+'Evolutive SFP'!AB14)/2</f>
        <v>5.6005547023792959E-6</v>
      </c>
      <c r="BW38" s="38">
        <f>Financials!BV38/('Evolutive SFP'!AD14+'Evolutive SFP'!AC14)/2</f>
        <v>8.4744099958040664E-3</v>
      </c>
      <c r="BX38" s="38">
        <f>Financials!BW38/('Evolutive SFP'!AE14+'Evolutive SFP'!AD14)/2</f>
        <v>1.1350017851189652E-2</v>
      </c>
      <c r="BY38" s="38">
        <f>Financials!BX38/('Evolutive SFP'!AF14+'Evolutive SFP'!AE14)/2</f>
        <v>1.4133504994773663E-2</v>
      </c>
      <c r="BZ38" s="38">
        <f>Financials!BY38/('Evolutive SFP'!AG14+'Evolutive SFP'!AF14)/2</f>
        <v>1.6870793896050978E-2</v>
      </c>
      <c r="CA38" s="38">
        <f>Financials!BZ38/('Evolutive SFP'!AH14+'Evolutive SFP'!AG14)/2</f>
        <v>1.9644545535673349E-2</v>
      </c>
      <c r="CB38" s="38">
        <f>Financials!CA38/('Evolutive SFP'!AI14+'Evolutive SFP'!AH14)/2</f>
        <v>2.2475144275000476E-2</v>
      </c>
      <c r="CC38" s="38">
        <f>Financials!CB38/('Evolutive SFP'!AJ14+'Evolutive SFP'!AI14)/2</f>
        <v>2.5292978045267731E-2</v>
      </c>
      <c r="CD38" s="38">
        <f>Financials!CC38/('Evolutive SFP'!AK14+'Evolutive SFP'!AJ14)/2</f>
        <v>2.787538423778774E-2</v>
      </c>
      <c r="CE38" s="38">
        <f>Financials!CD38/('Evolutive SFP'!AL14+'Evolutive SFP'!AK14)/2</f>
        <v>3.0487253018302452E-2</v>
      </c>
      <c r="CF38" s="38">
        <f>Financials!CE38/('Evolutive SFP'!AM14+'Evolutive SFP'!AL14)/2</f>
        <v>3.2857160109823542E-2</v>
      </c>
      <c r="CG38" s="38">
        <f>Financials!CF38/('Evolutive SFP'!AN14+'Evolutive SFP'!AM14)/2</f>
        <v>3.2373366423766335E-2</v>
      </c>
      <c r="CH38" s="38">
        <f>Financials!CG38/('Evolutive SFP'!AO14+'Evolutive SFP'!AN14)/2</f>
        <v>2.7826418221975503E-3</v>
      </c>
      <c r="CI38" s="38">
        <f>Financials!CH38/('Evolutive SFP'!AP14+'Evolutive SFP'!AO14)/2</f>
        <v>5.5115968664470908E-3</v>
      </c>
      <c r="CJ38" s="38">
        <f>Financials!CI38/('Evolutive SFP'!AQ14+'Evolutive SFP'!AP14)/2</f>
        <v>8.4214564824348428E-3</v>
      </c>
      <c r="CK38" s="38">
        <f>Financials!CJ38/('Evolutive SFP'!AR14+'Evolutive SFP'!AQ14)/2</f>
        <v>1.1097411360583622E-2</v>
      </c>
      <c r="CL38" s="38">
        <f>Financials!CK38/('Evolutive SFP'!AS14+'Evolutive SFP'!AR14)/2</f>
        <v>1.3910184772533475E-2</v>
      </c>
      <c r="CM38" s="38">
        <f>Financials!CL38/('Evolutive SFP'!AT14+'Evolutive SFP'!AS14)/2</f>
        <v>1.6267444086779111E-2</v>
      </c>
      <c r="CN38" s="38">
        <f>Financials!CM38/('Evolutive SFP'!AU14+'Evolutive SFP'!AT14)/2</f>
        <v>1.8935144718571703E-2</v>
      </c>
      <c r="CO38" s="38">
        <f>Financials!CN38/('Evolutive SFP'!AV14+'Evolutive SFP'!AU14)/2</f>
        <v>2.1506490049953551E-2</v>
      </c>
    </row>
    <row r="39" spans="1:93" ht="15">
      <c r="A39" s="43"/>
      <c r="B39" s="32" t="s">
        <v>228</v>
      </c>
      <c r="C39" s="2"/>
      <c r="D39" s="34"/>
      <c r="E39" s="34" t="e">
        <f>Financials!D37/('Evolutive SFP'!#REF!+'Evolutive SFP'!#REF!)/2</f>
        <v>#REF!</v>
      </c>
      <c r="F39" s="34"/>
      <c r="G39" s="34"/>
      <c r="H39" s="34" t="e">
        <f>Financials!G37/('Evolutive SFP'!#REF!+'Evolutive SFP'!#REF!)/2</f>
        <v>#REF!</v>
      </c>
      <c r="I39" s="34" t="e">
        <f>Financials!H37/('Evolutive SFP'!#REF!+'Evolutive SFP'!#REF!)/2</f>
        <v>#REF!</v>
      </c>
      <c r="J39" s="34" t="e">
        <f>Financials!I37/('Evolutive SFP'!#REF!+'Evolutive SFP'!#REF!)/2</f>
        <v>#REF!</v>
      </c>
      <c r="K39" s="34" t="e">
        <f>Financials!J37/('Evolutive SFP'!#REF!+'Evolutive SFP'!#REF!)/2</f>
        <v>#REF!</v>
      </c>
      <c r="L39" s="34" t="e">
        <f>Financials!K37/('Evolutive SFP'!#REF!+'Evolutive SFP'!#REF!)/2</f>
        <v>#REF!</v>
      </c>
      <c r="M39" s="34" t="e">
        <f>Financials!L37/('Evolutive SFP'!#REF!+'Evolutive SFP'!#REF!)/2</f>
        <v>#REF!</v>
      </c>
      <c r="N39" s="34" t="e">
        <f>Financials!M37/('Evolutive SFP'!#REF!+'Evolutive SFP'!#REF!)/2</f>
        <v>#REF!</v>
      </c>
      <c r="O39" s="34" t="e">
        <f>Financials!N37/('Evolutive SFP'!#REF!+'Evolutive SFP'!#REF!)/2</f>
        <v>#REF!</v>
      </c>
      <c r="P39" s="34" t="e">
        <f>Financials!O37/('Evolutive SFP'!#REF!+'Evolutive SFP'!#REF!)/2</f>
        <v>#REF!</v>
      </c>
      <c r="Q39" s="34" t="e">
        <f>Financials!P37/('Evolutive SFP'!#REF!+'Evolutive SFP'!#REF!)/2</f>
        <v>#REF!</v>
      </c>
      <c r="R39" s="34" t="e">
        <f>Financials!Q37/('Evolutive SFP'!#REF!+'Evolutive SFP'!#REF!)/2</f>
        <v>#REF!</v>
      </c>
      <c r="S39" s="38" t="e">
        <f>Financials!R37/('Evolutive SFP'!#REF!+'Evolutive SFP'!#REF!)/2</f>
        <v>#REF!</v>
      </c>
      <c r="T39" s="38" t="e">
        <f>Financials!S37/('Evolutive SFP'!#REF!+'Evolutive SFP'!#REF!)/2</f>
        <v>#REF!</v>
      </c>
      <c r="U39" s="38" t="e">
        <f>Financials!T37/('Evolutive SFP'!#REF!+'Evolutive SFP'!#REF!)/2</f>
        <v>#REF!</v>
      </c>
      <c r="V39" s="38" t="e">
        <f>Financials!U37/('Evolutive SFP'!#REF!+'Evolutive SFP'!#REF!)/2</f>
        <v>#REF!</v>
      </c>
      <c r="W39" s="38" t="e">
        <f>Financials!V37/('Evolutive SFP'!#REF!+'Evolutive SFP'!#REF!)/2</f>
        <v>#REF!</v>
      </c>
      <c r="X39" s="38" t="e">
        <f>Financials!W37/('Evolutive SFP'!#REF!+'Evolutive SFP'!#REF!)/2</f>
        <v>#REF!</v>
      </c>
      <c r="Y39" s="38" t="e">
        <f>Financials!X37/('Evolutive SFP'!#REF!+'Evolutive SFP'!#REF!)/2</f>
        <v>#REF!</v>
      </c>
      <c r="Z39" s="38" t="e">
        <f>Financials!Y37/('Evolutive SFP'!#REF!+'Evolutive SFP'!#REF!)/2</f>
        <v>#REF!</v>
      </c>
      <c r="AA39" s="38" t="e">
        <f>Financials!Z37/('Evolutive SFP'!#REF!+'Evolutive SFP'!#REF!)/2</f>
        <v>#REF!</v>
      </c>
      <c r="AB39" s="38" t="e">
        <f>Financials!AA37/('Evolutive SFP'!#REF!+'Evolutive SFP'!#REF!)/2</f>
        <v>#REF!</v>
      </c>
      <c r="AC39" s="38" t="e">
        <f>Financials!AB37/('Evolutive SFP'!#REF!+'Evolutive SFP'!#REF!)/2</f>
        <v>#REF!</v>
      </c>
      <c r="AD39" s="38" t="e">
        <f>Financials!AC37/('Evolutive SFP'!#REF!+'Evolutive SFP'!#REF!)/2</f>
        <v>#REF!</v>
      </c>
      <c r="AE39" s="38" t="e">
        <f>Financials!AD37/('Evolutive SFP'!#REF!+'Evolutive SFP'!#REF!)/2</f>
        <v>#REF!</v>
      </c>
      <c r="AF39" s="38" t="e">
        <f>Financials!AE37/('Evolutive SFP'!#REF!+'Evolutive SFP'!#REF!)/2</f>
        <v>#REF!</v>
      </c>
      <c r="AG39" s="38" t="e">
        <f>Financials!AF37/('Evolutive SFP'!#REF!+'Evolutive SFP'!#REF!)/2</f>
        <v>#REF!</v>
      </c>
      <c r="AH39" s="38" t="e">
        <f>Financials!AG37/('Evolutive SFP'!#REF!+'Evolutive SFP'!#REF!)/2</f>
        <v>#REF!</v>
      </c>
      <c r="AI39" s="38" t="e">
        <f>Financials!AH37/('Evolutive SFP'!#REF!+'Evolutive SFP'!#REF!)/2</f>
        <v>#REF!</v>
      </c>
      <c r="AJ39" s="38" t="e">
        <f>Financials!AI37/('Evolutive SFP'!#REF!+'Evolutive SFP'!#REF!)/2</f>
        <v>#REF!</v>
      </c>
      <c r="AK39" s="38" t="e">
        <f>Financials!AJ37/('Evolutive SFP'!#REF!+'Evolutive SFP'!#REF!)/2</f>
        <v>#REF!</v>
      </c>
      <c r="AL39" s="38" t="e">
        <f>Financials!AK37/('Evolutive SFP'!#REF!+'Evolutive SFP'!#REF!)/2</f>
        <v>#REF!</v>
      </c>
      <c r="AM39" s="38" t="e">
        <f>Financials!AL37/('Evolutive SFP'!#REF!+'Evolutive SFP'!#REF!)/2</f>
        <v>#REF!</v>
      </c>
      <c r="AN39" s="38" t="e">
        <f>Financials!AM37/('Evolutive SFP'!#REF!+'Evolutive SFP'!#REF!)/2</f>
        <v>#REF!</v>
      </c>
      <c r="AO39" s="38" t="e">
        <f>Financials!AN37/('Evolutive SFP'!#REF!+'Evolutive SFP'!#REF!)/2</f>
        <v>#REF!</v>
      </c>
      <c r="AP39" s="38" t="e">
        <f>Financials!AO37/('Evolutive SFP'!#REF!+'Evolutive SFP'!#REF!)/2</f>
        <v>#REF!</v>
      </c>
      <c r="AQ39" s="38" t="e">
        <f>Financials!AP37/('Evolutive SFP'!#REF!+'Evolutive SFP'!#REF!)/2</f>
        <v>#REF!</v>
      </c>
      <c r="AR39" s="38" t="e">
        <f>Financials!AQ37/('Evolutive SFP'!#REF!+'Evolutive SFP'!#REF!)/2</f>
        <v>#REF!</v>
      </c>
      <c r="AS39" s="38" t="e">
        <f>Financials!AR37/('Evolutive SFP'!#REF!+'Evolutive SFP'!#REF!)/2</f>
        <v>#REF!</v>
      </c>
      <c r="AT39" s="38" t="e">
        <f>Financials!AS37/('Evolutive SFP'!B15+'Evolutive SFP'!#REF!)/2</f>
        <v>#REF!</v>
      </c>
      <c r="AU39" s="38">
        <f>Financials!AT37/('Evolutive SFP'!C15+'Evolutive SFP'!B15)/2</f>
        <v>6.1175761024362122E-5</v>
      </c>
      <c r="AV39" s="38">
        <f>Financials!AU37/('Evolutive SFP'!D15+'Evolutive SFP'!C15)/2</f>
        <v>6.832987542718604E-3</v>
      </c>
      <c r="AW39" s="38">
        <f>Financials!AV37/('Evolutive SFP'!E15+'Evolutive SFP'!D15)/2</f>
        <v>1.0739771531969323E-2</v>
      </c>
      <c r="AX39" s="38">
        <f>Financials!AW37/('Evolutive SFP'!F15+'Evolutive SFP'!E15)/2</f>
        <v>2.1049255730043088E-2</v>
      </c>
      <c r="AY39" s="38">
        <f>Financials!AX37/('Evolutive SFP'!G15+'Evolutive SFP'!F15)/2</f>
        <v>2.527379864528885E-2</v>
      </c>
      <c r="AZ39" s="38">
        <f>Financials!AY37/('Evolutive SFP'!H15+'Evolutive SFP'!G15)/2</f>
        <v>2.9242417138402144E-2</v>
      </c>
      <c r="BA39" s="38" t="e">
        <f>Financials!AZ37/('Evolutive SFP'!#REF!+'Evolutive SFP'!H15)/2</f>
        <v>#REF!</v>
      </c>
      <c r="BB39" s="38" t="e">
        <f>Financials!BA37/('Evolutive SFP'!I15+'Evolutive SFP'!#REF!)/2</f>
        <v>#REF!</v>
      </c>
      <c r="BC39" s="38">
        <f>Financials!BB37/('Evolutive SFP'!J15+'Evolutive SFP'!I15)/2</f>
        <v>3.8687087630547241E-2</v>
      </c>
      <c r="BD39" s="38">
        <f>Financials!BC37/('Evolutive SFP'!K15+'Evolutive SFP'!J15)/2</f>
        <v>4.1336820514468943E-2</v>
      </c>
      <c r="BE39" s="38">
        <f>Financials!BD37/('Evolutive SFP'!L15+'Evolutive SFP'!K15)/2</f>
        <v>4.3961558078519355E-2</v>
      </c>
      <c r="BF39" s="38">
        <f>Financials!BE37/('Evolutive SFP'!M15+'Evolutive SFP'!L15)/2</f>
        <v>4.7427307030087941E-2</v>
      </c>
      <c r="BG39" s="38">
        <f>Financials!BF37/('Evolutive SFP'!N15+'Evolutive SFP'!M15)/2</f>
        <v>9.3296659692273326E-2</v>
      </c>
      <c r="BH39" s="38">
        <f>Financials!BG37/('Evolutive SFP'!O15+'Evolutive SFP'!N15)/2</f>
        <v>5.9969122821897002E-6</v>
      </c>
      <c r="BI39" s="38">
        <f>Financials!BH37/('Evolutive SFP'!P15+'Evolutive SFP'!O15)/2</f>
        <v>6.877584741879576E-3</v>
      </c>
      <c r="BJ39" s="38">
        <f>Financials!BI37/('Evolutive SFP'!Q15+'Evolutive SFP'!P15)/2</f>
        <v>1.089609853254231E-2</v>
      </c>
      <c r="BK39" s="38">
        <f>Financials!BJ37/('Evolutive SFP'!R15+'Evolutive SFP'!Q15)/2</f>
        <v>1.8949521145555155E-2</v>
      </c>
      <c r="BL39" s="38">
        <f>Financials!BK37/('Evolutive SFP'!S15+'Evolutive SFP'!R15)/2</f>
        <v>2.2066013383642381E-2</v>
      </c>
      <c r="BM39" s="38">
        <f>Financials!BL37/('Evolutive SFP'!T15+'Evolutive SFP'!S15)/2</f>
        <v>2.5144098390287629E-2</v>
      </c>
      <c r="BN39" s="38">
        <f>Financials!BM37/('Evolutive SFP'!U15+'Evolutive SFP'!T15)/2</f>
        <v>2.8181499690833414E-2</v>
      </c>
      <c r="BO39" s="38">
        <f>Financials!BN37/('Evolutive SFP'!V15+'Evolutive SFP'!U15)/2</f>
        <v>2.9356258872960572E-2</v>
      </c>
      <c r="BP39" s="38">
        <f>Financials!BO37/('Evolutive SFP'!W15+'Evolutive SFP'!V15)/2</f>
        <v>3.5972281997323247E-2</v>
      </c>
      <c r="BQ39" s="38">
        <f>Financials!BP37/('Evolutive SFP'!X15+'Evolutive SFP'!W15)/2</f>
        <v>3.9325045197276171E-2</v>
      </c>
      <c r="BR39" s="38">
        <f>Financials!BQ37/('Evolutive SFP'!Y15+'Evolutive SFP'!X15)/2</f>
        <v>4.2898812231854044E-2</v>
      </c>
      <c r="BS39" s="38">
        <f>Financials!BR37/('Evolutive SFP'!Z15+'Evolutive SFP'!Y15)/2</f>
        <v>4.6190145218484545E-2</v>
      </c>
      <c r="BT39" s="38">
        <f>Financials!BS37/('Evolutive SFP'!AA15+'Evolutive SFP'!Z15)/2</f>
        <v>3.2958561427050365E-2</v>
      </c>
      <c r="BU39" s="38">
        <f>Financials!BT37/('Evolutive SFP'!AB15+'Evolutive SFP'!AA15)/2</f>
        <v>3.513196709399456E-3</v>
      </c>
      <c r="BV39" s="38">
        <f>Financials!BU37/('Evolutive SFP'!AC15+'Evolutive SFP'!AB15)/2</f>
        <v>7.0317494823779517E-6</v>
      </c>
      <c r="BW39" s="38">
        <f>Financials!BV37/('Evolutive SFP'!AD15+'Evolutive SFP'!AC15)/2</f>
        <v>1.0778175074154113E-2</v>
      </c>
      <c r="BX39" s="38">
        <f>Financials!BW37/('Evolutive SFP'!AE15+'Evolutive SFP'!AD15)/2</f>
        <v>1.4376252991332255E-2</v>
      </c>
      <c r="BY39" s="38">
        <f>Financials!BX37/('Evolutive SFP'!AF15+'Evolutive SFP'!AE15)/2</f>
        <v>1.73862645354587E-2</v>
      </c>
      <c r="BZ39" s="38">
        <f>Financials!BY37/('Evolutive SFP'!AG15+'Evolutive SFP'!AF15)/2</f>
        <v>2.5424491392832448E-2</v>
      </c>
      <c r="CA39" s="38">
        <f>Financials!BZ37/('Evolutive SFP'!AH15+'Evolutive SFP'!AG15)/2</f>
        <v>2.8708344975448261E-2</v>
      </c>
      <c r="CB39" s="38">
        <f>Financials!CA37/('Evolutive SFP'!AI15+'Evolutive SFP'!AH15)/2</f>
        <v>3.2202734192346628E-2</v>
      </c>
      <c r="CC39" s="38">
        <f>Financials!CB37/('Evolutive SFP'!AJ15+'Evolutive SFP'!AI15)/2</f>
        <v>3.5785702218784229E-2</v>
      </c>
      <c r="CD39" s="38">
        <f>Financials!CC37/('Evolutive SFP'!AK15+'Evolutive SFP'!AJ15)/2</f>
        <v>3.9178947351749878E-2</v>
      </c>
      <c r="CE39" s="38">
        <f>Financials!CD37/('Evolutive SFP'!AL15+'Evolutive SFP'!AK15)/2</f>
        <v>4.2532520403435262E-2</v>
      </c>
      <c r="CF39" s="38">
        <f>Financials!CE37/('Evolutive SFP'!AM15+'Evolutive SFP'!AL15)/2</f>
        <v>4.622583344248607E-2</v>
      </c>
      <c r="CG39" s="38">
        <f>Financials!CF37/('Evolutive SFP'!AN15+'Evolutive SFP'!AM15)/2</f>
        <v>4.6699740924690938E-2</v>
      </c>
      <c r="CH39" s="38">
        <f>Financials!CG37/('Evolutive SFP'!AO15+'Evolutive SFP'!AN15)/2</f>
        <v>3.7531474194241578E-3</v>
      </c>
      <c r="CI39" s="38">
        <f>Financials!CH37/('Evolutive SFP'!AP15+'Evolutive SFP'!AO15)/2</f>
        <v>7.3375608907071781E-3</v>
      </c>
      <c r="CJ39" s="38">
        <f>Financials!CI37/('Evolutive SFP'!AQ15+'Evolutive SFP'!AP15)/2</f>
        <v>1.131845091771656E-2</v>
      </c>
      <c r="CK39" s="38">
        <f>Financials!CJ37/('Evolutive SFP'!AR15+'Evolutive SFP'!AQ15)/2</f>
        <v>1.4933319040600345E-2</v>
      </c>
      <c r="CL39" s="38">
        <f>Financials!CK37/('Evolutive SFP'!AS15+'Evolutive SFP'!AR15)/2</f>
        <v>1.865708002258001E-2</v>
      </c>
      <c r="CM39" s="38">
        <f>Financials!CL37/('Evolutive SFP'!AT15+'Evolutive SFP'!AS15)/2</f>
        <v>2.6489086047420687E-2</v>
      </c>
      <c r="CN39" s="38">
        <f>Financials!CM37/('Evolutive SFP'!AU15+'Evolutive SFP'!AT15)/2</f>
        <v>3.0166608016330983E-2</v>
      </c>
      <c r="CO39" s="38">
        <f>Financials!CN37/('Evolutive SFP'!AV15+'Evolutive SFP'!AU15)/2</f>
        <v>3.347887225879656E-2</v>
      </c>
    </row>
    <row r="40" spans="1:93" ht="15">
      <c r="A40" s="4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</row>
    <row r="41" spans="1:93" ht="15">
      <c r="A41" s="45" t="s">
        <v>229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</row>
    <row r="42" spans="1:93" ht="15"/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60"/>
  <sheetViews>
    <sheetView zoomScale="79" zoomScaleNormal="79" workbookViewId="0">
      <pane xSplit="2" ySplit="2" topLeftCell="CJ3" activePane="bottomRight" state="frozen"/>
      <selection pane="bottomRight" activeCell="CP4" sqref="CP4"/>
      <selection pane="bottomLeft" activeCell="A3" sqref="A3"/>
      <selection pane="topRight" activeCell="C1" sqref="C1"/>
    </sheetView>
  </sheetViews>
  <sheetFormatPr defaultRowHeight="14.45"/>
  <cols>
    <col min="1" max="1" width="5.5703125" bestFit="1" customWidth="1"/>
    <col min="2" max="2" width="37.5703125" bestFit="1" customWidth="1"/>
    <col min="3" max="25" width="16.85546875" hidden="1" customWidth="1"/>
    <col min="26" max="26" width="15.28515625" hidden="1" customWidth="1"/>
    <col min="27" max="32" width="16.85546875" hidden="1" customWidth="1"/>
    <col min="33" max="44" width="15" hidden="1" customWidth="1"/>
    <col min="45" max="45" width="14.7109375" customWidth="1"/>
    <col min="46" max="47" width="15" hidden="1" customWidth="1"/>
    <col min="48" max="48" width="15" customWidth="1"/>
    <col min="49" max="50" width="15" hidden="1" customWidth="1"/>
    <col min="51" max="51" width="15" bestFit="1" customWidth="1"/>
    <col min="52" max="53" width="15" hidden="1" customWidth="1"/>
    <col min="54" max="58" width="15" bestFit="1" customWidth="1"/>
    <col min="59" max="66" width="10.7109375" bestFit="1" customWidth="1"/>
    <col min="71" max="87" width="14.7109375" bestFit="1" customWidth="1"/>
    <col min="88" max="88" width="19.140625" customWidth="1"/>
    <col min="89" max="90" width="14.7109375" bestFit="1" customWidth="1"/>
    <col min="91" max="92" width="17.42578125" customWidth="1"/>
  </cols>
  <sheetData>
    <row r="1" spans="1:92">
      <c r="A1" s="16"/>
      <c r="B1" s="48" t="s">
        <v>230</v>
      </c>
    </row>
    <row r="2" spans="1:92" ht="12.75" customHeight="1">
      <c r="A2" s="16"/>
      <c r="B2" s="17" t="s">
        <v>231</v>
      </c>
      <c r="C2" s="49" t="s">
        <v>173</v>
      </c>
      <c r="D2" s="50" t="s">
        <v>174</v>
      </c>
      <c r="E2" s="49" t="s">
        <v>175</v>
      </c>
      <c r="F2" s="49" t="s">
        <v>176</v>
      </c>
      <c r="G2" s="51">
        <v>42736</v>
      </c>
      <c r="H2" s="51">
        <v>42767</v>
      </c>
      <c r="I2" s="51">
        <v>42795</v>
      </c>
      <c r="J2" s="51">
        <v>42826</v>
      </c>
      <c r="K2" s="51">
        <v>42856</v>
      </c>
      <c r="L2" s="51">
        <v>42887</v>
      </c>
      <c r="M2" s="51">
        <v>42917</v>
      </c>
      <c r="N2" s="51">
        <v>42948</v>
      </c>
      <c r="O2" s="51">
        <v>42979</v>
      </c>
      <c r="P2" s="51">
        <v>43009</v>
      </c>
      <c r="Q2" s="51">
        <v>43040</v>
      </c>
      <c r="R2" s="51">
        <v>43070</v>
      </c>
      <c r="S2" s="51" t="s">
        <v>167</v>
      </c>
      <c r="T2" s="51">
        <v>43101</v>
      </c>
      <c r="U2" s="51">
        <v>43132</v>
      </c>
      <c r="V2" s="51">
        <v>43160</v>
      </c>
      <c r="W2" s="51">
        <v>43191</v>
      </c>
      <c r="X2" s="51">
        <v>43221</v>
      </c>
      <c r="Y2" s="51">
        <v>43252</v>
      </c>
      <c r="Z2" s="51">
        <v>43282</v>
      </c>
      <c r="AA2" s="51">
        <v>43313</v>
      </c>
      <c r="AB2" s="51">
        <v>43344</v>
      </c>
      <c r="AC2" s="51">
        <v>43374</v>
      </c>
      <c r="AD2" s="51">
        <v>43405</v>
      </c>
      <c r="AE2" s="51">
        <v>43435</v>
      </c>
      <c r="AF2" s="51" t="s">
        <v>168</v>
      </c>
      <c r="AG2" s="51">
        <v>43466</v>
      </c>
      <c r="AH2" s="51">
        <v>43497</v>
      </c>
      <c r="AI2" s="51">
        <v>43525</v>
      </c>
      <c r="AJ2" s="51">
        <v>43556</v>
      </c>
      <c r="AK2" s="51">
        <v>43586</v>
      </c>
      <c r="AL2" s="51">
        <v>43617</v>
      </c>
      <c r="AM2" s="51">
        <v>43647</v>
      </c>
      <c r="AN2" s="51">
        <v>43678</v>
      </c>
      <c r="AO2" s="51">
        <v>43709</v>
      </c>
      <c r="AP2" s="51">
        <v>43739</v>
      </c>
      <c r="AQ2" s="51">
        <v>43770</v>
      </c>
      <c r="AR2" s="51">
        <v>43800</v>
      </c>
      <c r="AS2" s="51" t="s">
        <v>51</v>
      </c>
      <c r="AT2" s="51">
        <v>43831</v>
      </c>
      <c r="AU2" s="51">
        <v>43862</v>
      </c>
      <c r="AV2" s="51">
        <v>43891</v>
      </c>
      <c r="AW2" s="51">
        <v>43922</v>
      </c>
      <c r="AX2" s="51">
        <v>43952</v>
      </c>
      <c r="AY2" s="51">
        <v>43983</v>
      </c>
      <c r="AZ2" s="51">
        <v>44013</v>
      </c>
      <c r="BA2" s="51">
        <v>44044</v>
      </c>
      <c r="BB2" s="51">
        <v>44075</v>
      </c>
      <c r="BC2" s="51">
        <v>44105</v>
      </c>
      <c r="BD2" s="51">
        <v>44136</v>
      </c>
      <c r="BE2" s="51">
        <v>44166</v>
      </c>
      <c r="BF2" s="51" t="s">
        <v>1</v>
      </c>
      <c r="BG2" s="51">
        <v>44197</v>
      </c>
      <c r="BH2" s="51">
        <v>44228</v>
      </c>
      <c r="BI2" s="51">
        <v>44256</v>
      </c>
      <c r="BJ2" s="51">
        <v>44287</v>
      </c>
      <c r="BK2" s="51">
        <v>44317</v>
      </c>
      <c r="BL2" s="51">
        <v>44348</v>
      </c>
      <c r="BM2" s="51">
        <v>44378</v>
      </c>
      <c r="BN2" s="51">
        <v>44409</v>
      </c>
      <c r="BO2" s="51">
        <v>44440</v>
      </c>
      <c r="BP2" s="51">
        <v>44470</v>
      </c>
      <c r="BQ2" s="51">
        <v>44501</v>
      </c>
      <c r="BR2" s="51">
        <v>44531</v>
      </c>
      <c r="BS2" s="51" t="s">
        <v>2</v>
      </c>
      <c r="BT2" s="51">
        <v>44562</v>
      </c>
      <c r="BU2" s="51">
        <v>44593</v>
      </c>
      <c r="BV2" s="51">
        <v>44621</v>
      </c>
      <c r="BW2" s="51">
        <v>44652</v>
      </c>
      <c r="BX2" s="51">
        <v>44682</v>
      </c>
      <c r="BY2" s="51">
        <v>44713</v>
      </c>
      <c r="BZ2" s="51">
        <v>44743</v>
      </c>
      <c r="CA2" s="51">
        <v>44774</v>
      </c>
      <c r="CB2" s="51">
        <v>44805</v>
      </c>
      <c r="CC2" s="51">
        <v>44835</v>
      </c>
      <c r="CD2" s="51">
        <v>44866</v>
      </c>
      <c r="CE2" s="51">
        <v>44896</v>
      </c>
      <c r="CF2" s="352" t="s">
        <v>3</v>
      </c>
      <c r="CG2" s="332">
        <v>44927</v>
      </c>
      <c r="CH2" s="332">
        <v>44958</v>
      </c>
      <c r="CI2" s="332">
        <v>44986</v>
      </c>
      <c r="CJ2" s="332">
        <v>45017</v>
      </c>
      <c r="CK2" s="332">
        <v>45047</v>
      </c>
      <c r="CL2" s="332">
        <v>45078</v>
      </c>
      <c r="CM2" s="332">
        <v>45108</v>
      </c>
      <c r="CN2" s="332">
        <v>45139</v>
      </c>
    </row>
    <row r="3" spans="1:92">
      <c r="A3" s="18">
        <v>1</v>
      </c>
      <c r="B3" s="18" t="s">
        <v>219</v>
      </c>
      <c r="C3" s="2"/>
      <c r="D3" s="55">
        <v>39898</v>
      </c>
      <c r="E3" s="55">
        <v>55854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92">
      <c r="A4" s="18">
        <v>2</v>
      </c>
      <c r="B4" s="18" t="s">
        <v>27</v>
      </c>
      <c r="C4" s="52" t="e">
        <f>'Evolutive SFP'!#REF!</f>
        <v>#REF!</v>
      </c>
      <c r="D4" s="52" t="e">
        <f>'Evolutive SFP'!#REF!</f>
        <v>#REF!</v>
      </c>
      <c r="E4" s="52" t="e">
        <f>'Evolutive SFP'!#REF!</f>
        <v>#REF!</v>
      </c>
      <c r="F4" s="52" t="e">
        <f>'Evolutive SFP'!#REF!</f>
        <v>#REF!</v>
      </c>
      <c r="G4" s="52" t="e">
        <f>'Evolutive SFP'!#REF!</f>
        <v>#REF!</v>
      </c>
      <c r="H4" s="52" t="e">
        <f>'Evolutive SFP'!#REF!</f>
        <v>#REF!</v>
      </c>
      <c r="I4" s="52" t="e">
        <f>'Evolutive SFP'!#REF!</f>
        <v>#REF!</v>
      </c>
      <c r="J4" s="52" t="e">
        <f>'Evolutive SFP'!#REF!</f>
        <v>#REF!</v>
      </c>
      <c r="K4" s="52" t="e">
        <f>'Evolutive SFP'!#REF!</f>
        <v>#REF!</v>
      </c>
      <c r="L4" s="52" t="e">
        <f>'Evolutive SFP'!#REF!</f>
        <v>#REF!</v>
      </c>
      <c r="M4" s="52" t="e">
        <f>'Evolutive SFP'!#REF!</f>
        <v>#REF!</v>
      </c>
      <c r="N4" s="52" t="e">
        <f>'Evolutive SFP'!#REF!</f>
        <v>#REF!</v>
      </c>
      <c r="O4" s="52" t="e">
        <f>'Evolutive SFP'!#REF!</f>
        <v>#REF!</v>
      </c>
      <c r="P4" s="52" t="e">
        <f>'Evolutive SFP'!#REF!</f>
        <v>#REF!</v>
      </c>
      <c r="Q4" s="52" t="e">
        <f>'Evolutive SFP'!#REF!</f>
        <v>#REF!</v>
      </c>
      <c r="R4" s="52" t="e">
        <f>'Evolutive SFP'!#REF!</f>
        <v>#REF!</v>
      </c>
      <c r="S4" s="52" t="e">
        <f>'Evolutive SFP'!#REF!</f>
        <v>#REF!</v>
      </c>
      <c r="T4" s="52" t="e">
        <f>'Evolutive SFP'!#REF!</f>
        <v>#REF!</v>
      </c>
      <c r="U4" s="52" t="e">
        <f>'Evolutive SFP'!#REF!</f>
        <v>#REF!</v>
      </c>
      <c r="V4" s="52" t="e">
        <f>'Evolutive SFP'!#REF!</f>
        <v>#REF!</v>
      </c>
      <c r="W4" s="52" t="e">
        <f>'Evolutive SFP'!#REF!</f>
        <v>#REF!</v>
      </c>
      <c r="X4" s="52" t="e">
        <f>'Evolutive SFP'!#REF!</f>
        <v>#REF!</v>
      </c>
      <c r="Y4" s="52" t="e">
        <f>'Evolutive SFP'!#REF!</f>
        <v>#REF!</v>
      </c>
      <c r="Z4" s="52" t="e">
        <f>'Evolutive SFP'!#REF!</f>
        <v>#REF!</v>
      </c>
      <c r="AA4" s="52" t="e">
        <f>'Evolutive SFP'!#REF!</f>
        <v>#REF!</v>
      </c>
      <c r="AB4" s="52" t="e">
        <f>'Evolutive SFP'!#REF!</f>
        <v>#REF!</v>
      </c>
      <c r="AC4" s="52" t="e">
        <f>'Evolutive SFP'!#REF!</f>
        <v>#REF!</v>
      </c>
      <c r="AD4" s="52" t="e">
        <f>'Evolutive SFP'!#REF!</f>
        <v>#REF!</v>
      </c>
      <c r="AE4" s="52" t="e">
        <f>'Evolutive SFP'!#REF!</f>
        <v>#REF!</v>
      </c>
      <c r="AF4" s="52" t="e">
        <f>'Evolutive SFP'!#REF!</f>
        <v>#REF!</v>
      </c>
      <c r="AG4" s="52" t="e">
        <f>'Evolutive SFP'!#REF!</f>
        <v>#REF!</v>
      </c>
      <c r="AH4" s="52" t="e">
        <f>'Evolutive SFP'!#REF!</f>
        <v>#REF!</v>
      </c>
      <c r="AI4" s="52" t="e">
        <f>'Evolutive SFP'!#REF!</f>
        <v>#REF!</v>
      </c>
      <c r="AJ4" s="52" t="e">
        <f>'Evolutive SFP'!#REF!</f>
        <v>#REF!</v>
      </c>
      <c r="AK4" s="52" t="e">
        <f>'Evolutive SFP'!#REF!</f>
        <v>#REF!</v>
      </c>
      <c r="AL4" s="52" t="e">
        <f>'Evolutive SFP'!#REF!</f>
        <v>#REF!</v>
      </c>
      <c r="AM4" s="52" t="e">
        <f>'Evolutive SFP'!#REF!</f>
        <v>#REF!</v>
      </c>
      <c r="AN4" s="52" t="e">
        <f>'Evolutive SFP'!#REF!</f>
        <v>#REF!</v>
      </c>
      <c r="AO4" s="52" t="e">
        <f>'Evolutive SFP'!#REF!</f>
        <v>#REF!</v>
      </c>
      <c r="AP4" s="52" t="e">
        <f>'Evolutive SFP'!#REF!</f>
        <v>#REF!</v>
      </c>
      <c r="AQ4" s="52" t="e">
        <f>'Evolutive SFP'!#REF!</f>
        <v>#REF!</v>
      </c>
      <c r="AR4" s="52" t="e">
        <f>'Evolutive SFP'!#REF!</f>
        <v>#REF!</v>
      </c>
      <c r="AS4" s="52">
        <f>'Evolutive SFP'!B27</f>
        <v>293411678.02999997</v>
      </c>
      <c r="AT4" s="52">
        <f>'Evolutive SFP'!C27</f>
        <v>3166395.2600000002</v>
      </c>
      <c r="AU4" s="52">
        <f>'Evolutive SFP'!D27</f>
        <v>3158788.46</v>
      </c>
      <c r="AV4" s="52">
        <f>'Evolutive SFP'!E27</f>
        <v>3099454.07</v>
      </c>
      <c r="AW4" s="52">
        <f>'Evolutive SFP'!F27</f>
        <v>3168003.58</v>
      </c>
      <c r="AX4" s="52">
        <f>'Evolutive SFP'!G27</f>
        <v>3250660.83</v>
      </c>
      <c r="AY4" s="52">
        <f>'Evolutive SFP'!H27</f>
        <v>3277863.97</v>
      </c>
      <c r="AZ4" s="52" t="e">
        <f>'Evolutive SFP'!#REF!</f>
        <v>#REF!</v>
      </c>
      <c r="BA4" s="52">
        <f>'Evolutive SFP'!I27</f>
        <v>3397046.1300000004</v>
      </c>
      <c r="BB4" s="52">
        <f>'Evolutive SFP'!J27</f>
        <v>3438556.2199999997</v>
      </c>
      <c r="BC4" s="52">
        <f>'Evolutive SFP'!K27</f>
        <v>3496488.07</v>
      </c>
      <c r="BD4" s="52">
        <f>'Evolutive SFP'!L27</f>
        <v>3555260.6100000003</v>
      </c>
      <c r="BE4" s="52">
        <f>'Evolutive SFP'!M27</f>
        <v>3628251.46</v>
      </c>
      <c r="BF4" s="52">
        <f>'Evolutive SFP'!N27</f>
        <v>3617548491</v>
      </c>
      <c r="BG4" s="52">
        <f>'Evolutive SFP'!O27</f>
        <v>3664643.99</v>
      </c>
      <c r="BH4" s="52">
        <f>'Evolutive SFP'!P27</f>
        <v>3682353.9699999997</v>
      </c>
      <c r="BI4" s="52">
        <f>'Evolutive SFP'!Q27</f>
        <v>3639502.34</v>
      </c>
      <c r="BJ4" s="52">
        <f>'Evolutive SFP'!R27</f>
        <v>3710298.2699999996</v>
      </c>
      <c r="BK4" s="52">
        <f>'Evolutive SFP'!S27</f>
        <v>3759471.41</v>
      </c>
      <c r="BL4" s="52">
        <f>'Evolutive SFP'!T27</f>
        <v>3821629.36</v>
      </c>
      <c r="BM4" s="52">
        <f>'Evolutive SFP'!U27</f>
        <v>3873358.5500000007</v>
      </c>
      <c r="BN4" s="52">
        <f>'Evolutive SFP'!V27</f>
        <v>3904603.97</v>
      </c>
      <c r="BO4" s="52">
        <f>'Evolutive SFP'!W27</f>
        <v>3990750.3699999996</v>
      </c>
      <c r="BP4" s="52">
        <f>'Evolutive SFP'!X27</f>
        <v>4047675.13</v>
      </c>
      <c r="BQ4" s="52">
        <f>'Evolutive SFP'!Y27</f>
        <v>4119604.4499999997</v>
      </c>
      <c r="BR4" s="52">
        <f>'Evolutive SFP'!Z27</f>
        <v>4215558.6000000006</v>
      </c>
      <c r="BS4" s="52">
        <f>'Evolutive SFP'!AA27</f>
        <v>4199736094</v>
      </c>
      <c r="BT4" s="52">
        <f>'Evolutive SFP'!AB27</f>
        <v>4251864777.6900001</v>
      </c>
      <c r="BU4" s="52">
        <f>'Evolutive SFP'!AC27</f>
        <v>4310959149.9099998</v>
      </c>
      <c r="BV4" s="52">
        <f>'Evolutive SFP'!AD27</f>
        <v>4230223519.6000004</v>
      </c>
      <c r="BW4" s="52">
        <f>'Evolutive SFP'!AE27</f>
        <v>4225105400.4200001</v>
      </c>
      <c r="BX4" s="52">
        <f>'Evolutive SFP'!AF27</f>
        <v>4295805759.9700003</v>
      </c>
      <c r="BY4" s="52">
        <f>'Evolutive SFP'!AG27</f>
        <v>4434989339.9300003</v>
      </c>
      <c r="BZ4" s="52">
        <f>'Evolutive SFP'!AH27</f>
        <v>4487158047.79</v>
      </c>
      <c r="CA4" s="52">
        <f>'Evolutive SFP'!AI27</f>
        <v>4568869080.6599998</v>
      </c>
      <c r="CB4" s="52">
        <f>'Evolutive SFP'!AJ27</f>
        <v>4661368859.5500002</v>
      </c>
      <c r="CC4" s="52">
        <f>'Evolutive SFP'!AK27</f>
        <v>4747527553.0900002</v>
      </c>
      <c r="CD4" s="52">
        <f>'Evolutive SFP'!AL27</f>
        <v>4826157502.25</v>
      </c>
      <c r="CE4" s="52">
        <f>'Evolutive SFP'!AM27</f>
        <v>4927978815.1399994</v>
      </c>
      <c r="CF4" s="52">
        <f>'Evolutive SFP'!AN27</f>
        <v>4920755244</v>
      </c>
      <c r="CG4" s="52">
        <f>'Evolutive SFP'!AO27</f>
        <v>5025316564.4799995</v>
      </c>
      <c r="CH4" s="52">
        <f>'Evolutive SFP'!AP27</f>
        <v>5130126788.2399998</v>
      </c>
      <c r="CI4" s="52">
        <f>'Evolutive SFP'!AQ27</f>
        <v>5025843843.3599997</v>
      </c>
      <c r="CJ4" s="52">
        <f>'Evolutive SFP'!AR27</f>
        <v>5042194420.9399996</v>
      </c>
      <c r="CK4" s="52">
        <f>'Evolutive SFP'!AS27</f>
        <v>5138716029.9300003</v>
      </c>
      <c r="CL4" s="52">
        <f>'Evolutive SFP'!AT27</f>
        <v>5288628533.9099998</v>
      </c>
      <c r="CM4" s="52">
        <f>'Evolutive SFP'!AU27</f>
        <v>5357525920.7299995</v>
      </c>
      <c r="CN4" s="52">
        <f>'Evolutive SFP'!AV27</f>
        <v>5389690294.3400002</v>
      </c>
    </row>
    <row r="5" spans="1:92">
      <c r="A5" s="18">
        <v>3</v>
      </c>
      <c r="B5" s="18" t="s">
        <v>132</v>
      </c>
      <c r="C5" s="52" t="e">
        <f>'Evolutive SFP'!#REF!</f>
        <v>#REF!</v>
      </c>
      <c r="D5" s="52" t="e">
        <f>'Evolutive SFP'!#REF!</f>
        <v>#REF!</v>
      </c>
      <c r="E5" s="52" t="e">
        <f>'Evolutive SFP'!#REF!</f>
        <v>#REF!</v>
      </c>
      <c r="F5" s="52" t="e">
        <f>'Evolutive SFP'!#REF!</f>
        <v>#REF!</v>
      </c>
      <c r="G5" s="52" t="e">
        <f>'Evolutive SFP'!#REF!</f>
        <v>#REF!</v>
      </c>
      <c r="H5" s="52" t="e">
        <f>'Evolutive SFP'!#REF!</f>
        <v>#REF!</v>
      </c>
      <c r="I5" s="52" t="e">
        <f>'Evolutive SFP'!#REF!</f>
        <v>#REF!</v>
      </c>
      <c r="J5" s="52" t="e">
        <f>'Evolutive SFP'!#REF!</f>
        <v>#REF!</v>
      </c>
      <c r="K5" s="52" t="e">
        <f>'Evolutive SFP'!#REF!</f>
        <v>#REF!</v>
      </c>
      <c r="L5" s="52" t="e">
        <f>'Evolutive SFP'!#REF!</f>
        <v>#REF!</v>
      </c>
      <c r="M5" s="52" t="e">
        <f>'Evolutive SFP'!#REF!</f>
        <v>#REF!</v>
      </c>
      <c r="N5" s="52" t="e">
        <f>'Evolutive SFP'!#REF!</f>
        <v>#REF!</v>
      </c>
      <c r="O5" s="52" t="e">
        <f>'Evolutive SFP'!#REF!</f>
        <v>#REF!</v>
      </c>
      <c r="P5" s="52" t="e">
        <f>'Evolutive SFP'!#REF!</f>
        <v>#REF!</v>
      </c>
      <c r="Q5" s="52" t="e">
        <f>'Evolutive SFP'!#REF!</f>
        <v>#REF!</v>
      </c>
      <c r="R5" s="52" t="e">
        <f>'Evolutive SFP'!#REF!</f>
        <v>#REF!</v>
      </c>
      <c r="S5" s="52" t="e">
        <f>'Evolutive SFP'!#REF!</f>
        <v>#REF!</v>
      </c>
      <c r="T5" s="52" t="e">
        <f>'Evolutive SFP'!#REF!</f>
        <v>#REF!</v>
      </c>
      <c r="U5" s="52" t="e">
        <f>'Evolutive SFP'!#REF!</f>
        <v>#REF!</v>
      </c>
      <c r="V5" s="52" t="e">
        <f>'Evolutive SFP'!#REF!</f>
        <v>#REF!</v>
      </c>
      <c r="W5" s="52" t="e">
        <f>'Evolutive SFP'!#REF!</f>
        <v>#REF!</v>
      </c>
      <c r="X5" s="52" t="e">
        <f>'Evolutive SFP'!#REF!</f>
        <v>#REF!</v>
      </c>
      <c r="Y5" s="52" t="e">
        <f>'Evolutive SFP'!#REF!</f>
        <v>#REF!</v>
      </c>
      <c r="Z5" s="52" t="e">
        <f>'Evolutive SFP'!#REF!</f>
        <v>#REF!</v>
      </c>
      <c r="AA5" s="52" t="e">
        <f>'Evolutive SFP'!#REF!</f>
        <v>#REF!</v>
      </c>
      <c r="AB5" s="52" t="e">
        <f>'Evolutive SFP'!#REF!</f>
        <v>#REF!</v>
      </c>
      <c r="AC5" s="52" t="e">
        <f>'Evolutive SFP'!#REF!</f>
        <v>#REF!</v>
      </c>
      <c r="AD5" s="52" t="e">
        <f>'Evolutive SFP'!#REF!</f>
        <v>#REF!</v>
      </c>
      <c r="AE5" s="52" t="e">
        <f>'Evolutive SFP'!#REF!</f>
        <v>#REF!</v>
      </c>
      <c r="AF5" s="52" t="e">
        <f>'Evolutive SFP'!#REF!</f>
        <v>#REF!</v>
      </c>
      <c r="AG5" s="52" t="e">
        <f>'Evolutive SFP'!#REF!</f>
        <v>#REF!</v>
      </c>
      <c r="AH5" s="52" t="e">
        <f>'Evolutive SFP'!#REF!</f>
        <v>#REF!</v>
      </c>
      <c r="AI5" s="52" t="e">
        <f>'Evolutive SFP'!#REF!</f>
        <v>#REF!</v>
      </c>
      <c r="AJ5" s="52" t="e">
        <f>'Evolutive SFP'!#REF!</f>
        <v>#REF!</v>
      </c>
      <c r="AK5" s="52" t="e">
        <f>'Evolutive SFP'!#REF!</f>
        <v>#REF!</v>
      </c>
      <c r="AL5" s="52" t="e">
        <f>'Evolutive SFP'!#REF!</f>
        <v>#REF!</v>
      </c>
      <c r="AM5" s="52" t="e">
        <f>'Evolutive SFP'!#REF!</f>
        <v>#REF!</v>
      </c>
      <c r="AN5" s="52" t="e">
        <f>'Evolutive SFP'!#REF!</f>
        <v>#REF!</v>
      </c>
      <c r="AO5" s="52" t="e">
        <f>'Evolutive SFP'!#REF!</f>
        <v>#REF!</v>
      </c>
      <c r="AP5" s="52" t="e">
        <f>'Evolutive SFP'!#REF!</f>
        <v>#REF!</v>
      </c>
      <c r="AQ5" s="52" t="e">
        <f>'Evolutive SFP'!#REF!</f>
        <v>#REF!</v>
      </c>
      <c r="AR5" s="52" t="e">
        <f>'Evolutive SFP'!#REF!</f>
        <v>#REF!</v>
      </c>
      <c r="AS5" s="52">
        <f>'Evolutive SFP'!B31</f>
        <v>257705275.21000001</v>
      </c>
      <c r="AT5" s="52">
        <f>'Evolutive SFP'!C31</f>
        <v>2178691.2199999997</v>
      </c>
      <c r="AU5" s="52">
        <f>'Evolutive SFP'!D31</f>
        <v>2203879.59</v>
      </c>
      <c r="AV5" s="52">
        <f>'Evolutive SFP'!E31</f>
        <v>2326319.88</v>
      </c>
      <c r="AW5" s="52">
        <f>'Evolutive SFP'!F31</f>
        <v>2344960.83</v>
      </c>
      <c r="AX5" s="52">
        <f>'Evolutive SFP'!G31</f>
        <v>2357572.73</v>
      </c>
      <c r="AY5" s="52">
        <f>'Evolutive SFP'!H31</f>
        <v>2395509.84</v>
      </c>
      <c r="AZ5" s="52" t="e">
        <f>'Evolutive SFP'!#REF!</f>
        <v>#REF!</v>
      </c>
      <c r="BA5" s="52">
        <f>'Evolutive SFP'!I31</f>
        <v>2456925.56</v>
      </c>
      <c r="BB5" s="52">
        <f>'Evolutive SFP'!J31</f>
        <v>2460660.0300000003</v>
      </c>
      <c r="BC5" s="52">
        <f>'Evolutive SFP'!K31</f>
        <v>2474248.7300000004</v>
      </c>
      <c r="BD5" s="52">
        <f>'Evolutive SFP'!L31</f>
        <v>2501795.94</v>
      </c>
      <c r="BE5" s="52">
        <f>'Evolutive SFP'!M31</f>
        <v>2514498.7000000002</v>
      </c>
      <c r="BF5" s="52">
        <f>'Evolutive SFP'!N31</f>
        <v>2537935152</v>
      </c>
      <c r="BG5" s="52">
        <f>'Evolutive SFP'!O31</f>
        <v>2553642.71</v>
      </c>
      <c r="BH5" s="52">
        <f>'Evolutive SFP'!P31</f>
        <v>2587616.61</v>
      </c>
      <c r="BI5" s="52">
        <f>'Evolutive SFP'!Q31</f>
        <v>2754783.42</v>
      </c>
      <c r="BJ5" s="52">
        <f>'Evolutive SFP'!R31</f>
        <v>2766143.02</v>
      </c>
      <c r="BK5" s="52">
        <f>'Evolutive SFP'!S31</f>
        <v>2784803.6100000003</v>
      </c>
      <c r="BL5" s="52">
        <f>'Evolutive SFP'!T31</f>
        <v>2820845.5599999996</v>
      </c>
      <c r="BM5" s="52">
        <f>'Evolutive SFP'!U31</f>
        <v>2842148.9699999997</v>
      </c>
      <c r="BN5" s="52">
        <f>'Evolutive SFP'!V31</f>
        <v>2840825.14</v>
      </c>
      <c r="BO5" s="52">
        <f>'Evolutive SFP'!W31</f>
        <v>2875725.93</v>
      </c>
      <c r="BP5" s="52">
        <f>'Evolutive SFP'!X31</f>
        <v>2894809.35</v>
      </c>
      <c r="BQ5" s="52">
        <f>'Evolutive SFP'!Y31</f>
        <v>2914499.1</v>
      </c>
      <c r="BR5" s="52">
        <f>'Evolutive SFP'!Z31</f>
        <v>2959936.69</v>
      </c>
      <c r="BS5" s="52">
        <f>'Evolutive SFP'!AA31</f>
        <v>2958230141</v>
      </c>
      <c r="BT5" s="52">
        <f>'Evolutive SFP'!AB31</f>
        <v>2958230141</v>
      </c>
      <c r="BU5" s="52">
        <f>'Evolutive SFP'!AC31</f>
        <v>2958230141</v>
      </c>
      <c r="BV5" s="52">
        <f>'Evolutive SFP'!AD31</f>
        <v>2958230141</v>
      </c>
      <c r="BW5" s="52">
        <f>'Evolutive SFP'!AE31</f>
        <v>2958230141</v>
      </c>
      <c r="BX5" s="52">
        <f>'Evolutive SFP'!AF31</f>
        <v>2958230141</v>
      </c>
      <c r="BY5" s="52">
        <f>'Evolutive SFP'!AG31</f>
        <v>2958230141</v>
      </c>
      <c r="BZ5" s="52">
        <f>'Evolutive SFP'!AH31</f>
        <v>2958230141</v>
      </c>
      <c r="CA5" s="52">
        <f>'Evolutive SFP'!AI31</f>
        <v>2958230141</v>
      </c>
      <c r="CB5" s="52">
        <f>'Evolutive SFP'!AJ31</f>
        <v>2958230141</v>
      </c>
      <c r="CC5" s="52">
        <f>'Evolutive SFP'!AK31</f>
        <v>2958230141</v>
      </c>
      <c r="CD5" s="52">
        <f>'Evolutive SFP'!AL31</f>
        <v>2958230141</v>
      </c>
      <c r="CE5" s="52">
        <f>'Evolutive SFP'!AM31</f>
        <v>2958230141</v>
      </c>
      <c r="CF5" s="52">
        <f>'Evolutive SFP'!AN31</f>
        <v>3524816406</v>
      </c>
      <c r="CG5" s="52">
        <f>'Evolutive SFP'!AO31</f>
        <v>3591351642.52</v>
      </c>
      <c r="CH5" s="52">
        <f>'Evolutive SFP'!AP31</f>
        <v>3661229326.6599998</v>
      </c>
      <c r="CI5" s="52">
        <f>'Evolutive SFP'!AQ31</f>
        <v>3873940776.8900003</v>
      </c>
      <c r="CJ5" s="52">
        <f>'Evolutive SFP'!AR31</f>
        <v>3875912235.8599997</v>
      </c>
      <c r="CK5" s="52">
        <f>'Evolutive SFP'!AS31</f>
        <v>3928509542.8499999</v>
      </c>
      <c r="CL5" s="52">
        <f>'Evolutive SFP'!AT31</f>
        <v>3972712043.8699999</v>
      </c>
      <c r="CM5" s="52">
        <f>'Evolutive SFP'!AU31</f>
        <v>4021852212.1700001</v>
      </c>
      <c r="CN5" s="52">
        <f>'Evolutive SFP'!AV31</f>
        <v>4034492838.96</v>
      </c>
    </row>
    <row r="6" spans="1:92">
      <c r="A6" s="18">
        <v>3.1</v>
      </c>
      <c r="B6" s="19" t="s">
        <v>232</v>
      </c>
      <c r="C6" s="52" t="e">
        <f>'Evolutive SFP'!#REF!</f>
        <v>#REF!</v>
      </c>
      <c r="D6" s="52" t="e">
        <f>'Evolutive SFP'!#REF!</f>
        <v>#REF!</v>
      </c>
      <c r="E6" s="52" t="e">
        <f>'Evolutive SFP'!#REF!</f>
        <v>#REF!</v>
      </c>
      <c r="F6" s="52" t="e">
        <f>'Evolutive SFP'!#REF!</f>
        <v>#REF!</v>
      </c>
      <c r="G6" s="52" t="e">
        <f>'Evolutive SFP'!#REF!</f>
        <v>#REF!</v>
      </c>
      <c r="H6" s="52" t="e">
        <f>'Evolutive SFP'!#REF!</f>
        <v>#REF!</v>
      </c>
      <c r="I6" s="52" t="e">
        <f>'Evolutive SFP'!#REF!</f>
        <v>#REF!</v>
      </c>
      <c r="J6" s="52" t="e">
        <f>'Evolutive SFP'!#REF!</f>
        <v>#REF!</v>
      </c>
      <c r="K6" s="52" t="e">
        <f>'Evolutive SFP'!#REF!</f>
        <v>#REF!</v>
      </c>
      <c r="L6" s="52" t="e">
        <f>'Evolutive SFP'!#REF!</f>
        <v>#REF!</v>
      </c>
      <c r="M6" s="52" t="e">
        <f>'Evolutive SFP'!#REF!</f>
        <v>#REF!</v>
      </c>
      <c r="N6" s="52" t="e">
        <f>'Evolutive SFP'!#REF!</f>
        <v>#REF!</v>
      </c>
      <c r="O6" s="52" t="e">
        <f>'Evolutive SFP'!#REF!</f>
        <v>#REF!</v>
      </c>
      <c r="P6" s="52" t="e">
        <f>'Evolutive SFP'!#REF!</f>
        <v>#REF!</v>
      </c>
      <c r="Q6" s="52" t="e">
        <f>'Evolutive SFP'!#REF!</f>
        <v>#REF!</v>
      </c>
      <c r="R6" s="52" t="e">
        <f>'Evolutive SFP'!#REF!</f>
        <v>#REF!</v>
      </c>
      <c r="S6" s="52" t="e">
        <f>'Evolutive SFP'!#REF!</f>
        <v>#REF!</v>
      </c>
      <c r="T6" s="52" t="e">
        <f>'Evolutive SFP'!#REF!</f>
        <v>#REF!</v>
      </c>
      <c r="U6" s="52" t="e">
        <f>'Evolutive SFP'!#REF!</f>
        <v>#REF!</v>
      </c>
      <c r="V6" s="52" t="e">
        <f>'Evolutive SFP'!#REF!</f>
        <v>#REF!</v>
      </c>
      <c r="W6" s="52" t="e">
        <f>'Evolutive SFP'!#REF!</f>
        <v>#REF!</v>
      </c>
      <c r="X6" s="52" t="e">
        <f>'Evolutive SFP'!#REF!</f>
        <v>#REF!</v>
      </c>
      <c r="Y6" s="52" t="e">
        <f>'Evolutive SFP'!#REF!</f>
        <v>#REF!</v>
      </c>
      <c r="Z6" s="52" t="e">
        <f>'Evolutive SFP'!#REF!</f>
        <v>#REF!</v>
      </c>
      <c r="AA6" s="52" t="e">
        <f>'Evolutive SFP'!#REF!</f>
        <v>#REF!</v>
      </c>
      <c r="AB6" s="52" t="e">
        <f>'Evolutive SFP'!#REF!</f>
        <v>#REF!</v>
      </c>
      <c r="AC6" s="52" t="e">
        <f>'Evolutive SFP'!#REF!</f>
        <v>#REF!</v>
      </c>
      <c r="AD6" s="52" t="e">
        <f>'Evolutive SFP'!#REF!</f>
        <v>#REF!</v>
      </c>
      <c r="AE6" s="52" t="e">
        <f>'Evolutive SFP'!#REF!</f>
        <v>#REF!</v>
      </c>
      <c r="AF6" s="52" t="e">
        <f>'Evolutive SFP'!#REF!</f>
        <v>#REF!</v>
      </c>
      <c r="AG6" s="52" t="e">
        <f>'Evolutive SFP'!#REF!</f>
        <v>#REF!</v>
      </c>
      <c r="AH6" s="52" t="e">
        <f>'Evolutive SFP'!#REF!</f>
        <v>#REF!</v>
      </c>
      <c r="AI6" s="52" t="e">
        <f>'Evolutive SFP'!#REF!</f>
        <v>#REF!</v>
      </c>
      <c r="AJ6" s="52" t="e">
        <f>'Evolutive SFP'!#REF!</f>
        <v>#REF!</v>
      </c>
      <c r="AK6" s="52" t="e">
        <f>'Evolutive SFP'!#REF!</f>
        <v>#REF!</v>
      </c>
      <c r="AL6" s="52" t="e">
        <f>'Evolutive SFP'!#REF!</f>
        <v>#REF!</v>
      </c>
      <c r="AM6" s="52" t="e">
        <f>'Evolutive SFP'!#REF!</f>
        <v>#REF!</v>
      </c>
      <c r="AN6" s="52" t="e">
        <f>'Evolutive SFP'!#REF!</f>
        <v>#REF!</v>
      </c>
      <c r="AO6" s="52" t="e">
        <f>'Evolutive SFP'!#REF!</f>
        <v>#REF!</v>
      </c>
      <c r="AP6" s="52" t="e">
        <f>'Evolutive SFP'!#REF!</f>
        <v>#REF!</v>
      </c>
      <c r="AQ6" s="52" t="e">
        <f>'Evolutive SFP'!#REF!</f>
        <v>#REF!</v>
      </c>
      <c r="AR6" s="52" t="e">
        <f>'Evolutive SFP'!#REF!</f>
        <v>#REF!</v>
      </c>
      <c r="AS6" s="52">
        <f>'Evolutive SFP'!B30</f>
        <v>254720687</v>
      </c>
      <c r="AT6" s="52">
        <f>'Evolutive SFP'!C30</f>
        <v>1945035.44</v>
      </c>
      <c r="AU6" s="52">
        <f>'Evolutive SFP'!D30</f>
        <v>1977350.27</v>
      </c>
      <c r="AV6" s="52">
        <f>'Evolutive SFP'!E30</f>
        <v>2031574.28</v>
      </c>
      <c r="AW6" s="52">
        <f>'Evolutive SFP'!F30</f>
        <v>2045230.03</v>
      </c>
      <c r="AX6" s="52">
        <f>'Evolutive SFP'!G30</f>
        <v>2077883.37</v>
      </c>
      <c r="AY6" s="52">
        <f>'Evolutive SFP'!H30</f>
        <v>2112548.0499999998</v>
      </c>
      <c r="AZ6" s="52" t="e">
        <f>'Evolutive SFP'!#REF!</f>
        <v>#REF!</v>
      </c>
      <c r="BA6" s="52">
        <f>'Evolutive SFP'!I30</f>
        <v>2167038.16</v>
      </c>
      <c r="BB6" s="52">
        <f>'Evolutive SFP'!J30</f>
        <v>2178440.58</v>
      </c>
      <c r="BC6" s="52">
        <f>'Evolutive SFP'!K30</f>
        <v>2210562.7000000002</v>
      </c>
      <c r="BD6" s="52">
        <f>'Evolutive SFP'!L30</f>
        <v>2242846.73</v>
      </c>
      <c r="BE6" s="52">
        <f>'Evolutive SFP'!M30</f>
        <v>2264393.89</v>
      </c>
      <c r="BF6" s="52">
        <f>'Evolutive SFP'!N30</f>
        <v>2264533808</v>
      </c>
      <c r="BG6" s="52">
        <f>'Evolutive SFP'!O30</f>
        <v>2286736.06</v>
      </c>
      <c r="BH6" s="52">
        <f>'Evolutive SFP'!P30</f>
        <v>2314451.31</v>
      </c>
      <c r="BI6" s="52">
        <f>'Evolutive SFP'!Q30</f>
        <v>2362532.91</v>
      </c>
      <c r="BJ6" s="52">
        <f>'Evolutive SFP'!R30</f>
        <v>2404572.9500000002</v>
      </c>
      <c r="BK6" s="52">
        <f>'Evolutive SFP'!S30</f>
        <v>2456518.2200000002</v>
      </c>
      <c r="BL6" s="52">
        <f>'Evolutive SFP'!T30</f>
        <v>2498819.3199999998</v>
      </c>
      <c r="BM6" s="52">
        <f>'Evolutive SFP'!U30</f>
        <v>2526891.48</v>
      </c>
      <c r="BN6" s="52">
        <f>'Evolutive SFP'!V30</f>
        <v>2556991.1</v>
      </c>
      <c r="BO6" s="52">
        <f>'Evolutive SFP'!W30</f>
        <v>2590046.2000000002</v>
      </c>
      <c r="BP6" s="52">
        <f>'Evolutive SFP'!X30</f>
        <v>2628051.81</v>
      </c>
      <c r="BQ6" s="52">
        <f>'Evolutive SFP'!Y30</f>
        <v>2653804.9700000002</v>
      </c>
      <c r="BR6" s="52">
        <f>'Evolutive SFP'!Z30</f>
        <v>2694159.29</v>
      </c>
      <c r="BS6" s="52">
        <f>'Evolutive SFP'!AA30</f>
        <v>2694094259</v>
      </c>
      <c r="BT6" s="52">
        <f>'Evolutive SFP'!AB30</f>
        <v>2694094259</v>
      </c>
      <c r="BU6" s="52">
        <f>'Evolutive SFP'!AC30</f>
        <v>2694094259</v>
      </c>
      <c r="BV6" s="52">
        <f>'Evolutive SFP'!AD30</f>
        <v>2694094259</v>
      </c>
      <c r="BW6" s="52">
        <f>'Evolutive SFP'!AE30</f>
        <v>2694094259</v>
      </c>
      <c r="BX6" s="52">
        <f>'Evolutive SFP'!AF30</f>
        <v>2694094259</v>
      </c>
      <c r="BY6" s="52">
        <f>'Evolutive SFP'!AG30</f>
        <v>2694094259</v>
      </c>
      <c r="BZ6" s="52">
        <f>'Evolutive SFP'!AH30</f>
        <v>2694094259</v>
      </c>
      <c r="CA6" s="52">
        <f>'Evolutive SFP'!AI30</f>
        <v>2694094259</v>
      </c>
      <c r="CB6" s="52">
        <f>'Evolutive SFP'!AJ30</f>
        <v>2694094259</v>
      </c>
      <c r="CC6" s="52">
        <f>'Evolutive SFP'!AK30</f>
        <v>2694094259</v>
      </c>
      <c r="CD6" s="52">
        <f>'Evolutive SFP'!AL30</f>
        <v>2694094259</v>
      </c>
      <c r="CE6" s="52">
        <f>'Evolutive SFP'!AM30</f>
        <v>2694094259</v>
      </c>
      <c r="CF6" s="52">
        <f>'Evolutive SFP'!AN30</f>
        <v>3251984807</v>
      </c>
      <c r="CG6" s="52">
        <f>'Evolutive SFP'!AO30</f>
        <v>3293913252.5900002</v>
      </c>
      <c r="CH6" s="52">
        <f>'Evolutive SFP'!AP30</f>
        <v>3362329044.52</v>
      </c>
      <c r="CI6" s="52">
        <f>'Evolutive SFP'!AQ30</f>
        <v>3438768880.5700002</v>
      </c>
      <c r="CJ6" s="52">
        <f>'Evolutive SFP'!AR30</f>
        <v>3501686271.3899999</v>
      </c>
      <c r="CK6" s="52">
        <f>'Evolutive SFP'!AS30</f>
        <v>3551105342.71</v>
      </c>
      <c r="CL6" s="52">
        <f>'Evolutive SFP'!AT30</f>
        <v>3597760914.8800001</v>
      </c>
      <c r="CM6" s="52">
        <f>'Evolutive SFP'!AU30</f>
        <v>3649410995.02</v>
      </c>
      <c r="CN6" s="52">
        <f>'Evolutive SFP'!AV30</f>
        <v>3691203723.02</v>
      </c>
    </row>
    <row r="7" spans="1:92">
      <c r="A7" s="18">
        <v>3.2</v>
      </c>
      <c r="B7" s="19" t="s">
        <v>233</v>
      </c>
      <c r="C7" s="52" t="e">
        <f>('Evolutive SFP'!#REF!+'Evolutive SFP'!#REF!)</f>
        <v>#REF!</v>
      </c>
      <c r="D7" s="52" t="e">
        <f>('Evolutive SFP'!#REF!+'Evolutive SFP'!#REF!)</f>
        <v>#REF!</v>
      </c>
      <c r="E7" s="52" t="e">
        <f>('Evolutive SFP'!#REF!+'Evolutive SFP'!#REF!)</f>
        <v>#REF!</v>
      </c>
      <c r="F7" s="52" t="e">
        <f>('Evolutive SFP'!#REF!+'Evolutive SFP'!#REF!)</f>
        <v>#REF!</v>
      </c>
      <c r="G7" s="52" t="e">
        <f>('Evolutive SFP'!#REF!+'Evolutive SFP'!#REF!)</f>
        <v>#REF!</v>
      </c>
      <c r="H7" s="52" t="e">
        <f>('Evolutive SFP'!#REF!+'Evolutive SFP'!#REF!)</f>
        <v>#REF!</v>
      </c>
      <c r="I7" s="52" t="e">
        <f>('Evolutive SFP'!#REF!+'Evolutive SFP'!#REF!)</f>
        <v>#REF!</v>
      </c>
      <c r="J7" s="52" t="e">
        <f>('Evolutive SFP'!#REF!+'Evolutive SFP'!#REF!)</f>
        <v>#REF!</v>
      </c>
      <c r="K7" s="52" t="e">
        <f>('Evolutive SFP'!#REF!+'Evolutive SFP'!#REF!)</f>
        <v>#REF!</v>
      </c>
      <c r="L7" s="52" t="e">
        <f>('Evolutive SFP'!#REF!+'Evolutive SFP'!#REF!)</f>
        <v>#REF!</v>
      </c>
      <c r="M7" s="52" t="e">
        <f>('Evolutive SFP'!#REF!+'Evolutive SFP'!#REF!)</f>
        <v>#REF!</v>
      </c>
      <c r="N7" s="52" t="e">
        <f>('Evolutive SFP'!#REF!+'Evolutive SFP'!#REF!)</f>
        <v>#REF!</v>
      </c>
      <c r="O7" s="52" t="e">
        <f>('Evolutive SFP'!#REF!+'Evolutive SFP'!#REF!)</f>
        <v>#REF!</v>
      </c>
      <c r="P7" s="52" t="e">
        <f>('Evolutive SFP'!#REF!+'Evolutive SFP'!#REF!)</f>
        <v>#REF!</v>
      </c>
      <c r="Q7" s="52" t="e">
        <f>('Evolutive SFP'!#REF!+'Evolutive SFP'!#REF!)</f>
        <v>#REF!</v>
      </c>
      <c r="R7" s="52" t="e">
        <f>('Evolutive SFP'!#REF!+'Evolutive SFP'!#REF!)</f>
        <v>#REF!</v>
      </c>
      <c r="S7" s="52" t="e">
        <f>('Evolutive SFP'!#REF!+'Evolutive SFP'!#REF!)</f>
        <v>#REF!</v>
      </c>
      <c r="T7" s="52" t="e">
        <f>('Evolutive SFP'!#REF!+'Evolutive SFP'!#REF!)</f>
        <v>#REF!</v>
      </c>
      <c r="U7" s="52" t="e">
        <f>('Evolutive SFP'!#REF!+'Evolutive SFP'!#REF!)</f>
        <v>#REF!</v>
      </c>
      <c r="V7" s="52" t="e">
        <f>('Evolutive SFP'!#REF!+'Evolutive SFP'!#REF!)</f>
        <v>#REF!</v>
      </c>
      <c r="W7" s="52" t="e">
        <f>('Evolutive SFP'!#REF!+'Evolutive SFP'!#REF!)</f>
        <v>#REF!</v>
      </c>
      <c r="X7" s="52" t="e">
        <f>('Evolutive SFP'!#REF!+'Evolutive SFP'!#REF!)</f>
        <v>#REF!</v>
      </c>
      <c r="Y7" s="52" t="e">
        <f>('Evolutive SFP'!#REF!+'Evolutive SFP'!#REF!)</f>
        <v>#REF!</v>
      </c>
      <c r="Z7" s="52" t="e">
        <f>('Evolutive SFP'!#REF!+'Evolutive SFP'!#REF!)</f>
        <v>#REF!</v>
      </c>
      <c r="AA7" s="52" t="e">
        <f>('Evolutive SFP'!#REF!+'Evolutive SFP'!#REF!)</f>
        <v>#REF!</v>
      </c>
      <c r="AB7" s="52" t="e">
        <f>('Evolutive SFP'!#REF!+'Evolutive SFP'!#REF!)</f>
        <v>#REF!</v>
      </c>
      <c r="AC7" s="52" t="e">
        <f>('Evolutive SFP'!#REF!+'Evolutive SFP'!#REF!)</f>
        <v>#REF!</v>
      </c>
      <c r="AD7" s="52" t="e">
        <f>('Evolutive SFP'!#REF!+'Evolutive SFP'!#REF!)</f>
        <v>#REF!</v>
      </c>
      <c r="AE7" s="52" t="e">
        <f>('Evolutive SFP'!#REF!+'Evolutive SFP'!#REF!)</f>
        <v>#REF!</v>
      </c>
      <c r="AF7" s="52" t="e">
        <f>('Evolutive SFP'!#REF!+'Evolutive SFP'!#REF!)</f>
        <v>#REF!</v>
      </c>
      <c r="AG7" s="52" t="e">
        <f>('Evolutive SFP'!#REF!+'Evolutive SFP'!#REF!)</f>
        <v>#REF!</v>
      </c>
      <c r="AH7" s="52" t="e">
        <f>('Evolutive SFP'!#REF!+'Evolutive SFP'!#REF!)</f>
        <v>#REF!</v>
      </c>
      <c r="AI7" s="52" t="e">
        <f>('Evolutive SFP'!#REF!+'Evolutive SFP'!#REF!)</f>
        <v>#REF!</v>
      </c>
      <c r="AJ7" s="52" t="e">
        <f>('Evolutive SFP'!#REF!+'Evolutive SFP'!#REF!)</f>
        <v>#REF!</v>
      </c>
      <c r="AK7" s="52" t="e">
        <f>('Evolutive SFP'!#REF!+'Evolutive SFP'!#REF!)</f>
        <v>#REF!</v>
      </c>
      <c r="AL7" s="52" t="e">
        <f>('Evolutive SFP'!#REF!+'Evolutive SFP'!#REF!)</f>
        <v>#REF!</v>
      </c>
      <c r="AM7" s="52" t="e">
        <f>('Evolutive SFP'!#REF!+'Evolutive SFP'!#REF!)</f>
        <v>#REF!</v>
      </c>
      <c r="AN7" s="52" t="e">
        <f>('Evolutive SFP'!#REF!+'Evolutive SFP'!#REF!)</f>
        <v>#REF!</v>
      </c>
      <c r="AO7" s="52" t="e">
        <f>('Evolutive SFP'!#REF!+'Evolutive SFP'!#REF!)</f>
        <v>#REF!</v>
      </c>
      <c r="AP7" s="52" t="e">
        <f>('Evolutive SFP'!#REF!+'Evolutive SFP'!#REF!)</f>
        <v>#REF!</v>
      </c>
      <c r="AQ7" s="52" t="e">
        <f>('Evolutive SFP'!#REF!+'Evolutive SFP'!#REF!)</f>
        <v>#REF!</v>
      </c>
      <c r="AR7" s="52" t="e">
        <f>('Evolutive SFP'!#REF!+'Evolutive SFP'!#REF!)</f>
        <v>#REF!</v>
      </c>
      <c r="AS7" s="52">
        <f>('Evolutive SFP'!B28+'Evolutive SFP'!B29)</f>
        <v>2984588.21</v>
      </c>
      <c r="AT7" s="52">
        <f>('Evolutive SFP'!C28+'Evolutive SFP'!C29)</f>
        <v>233655.78</v>
      </c>
      <c r="AU7" s="52">
        <f>('Evolutive SFP'!D28+'Evolutive SFP'!D29)</f>
        <v>226529.32</v>
      </c>
      <c r="AV7" s="52">
        <f>('Evolutive SFP'!E28+'Evolutive SFP'!E29)</f>
        <v>294745.59999999998</v>
      </c>
      <c r="AW7" s="52">
        <f>('Evolutive SFP'!F28+'Evolutive SFP'!F29)</f>
        <v>299730.8</v>
      </c>
      <c r="AX7" s="52">
        <f>('Evolutive SFP'!G28+'Evolutive SFP'!G29)</f>
        <v>279689.36</v>
      </c>
      <c r="AY7" s="52">
        <f>('Evolutive SFP'!H28+'Evolutive SFP'!H29)</f>
        <v>282961.78999999998</v>
      </c>
      <c r="AZ7" s="52" t="e">
        <f>('Evolutive SFP'!#REF!+'Evolutive SFP'!#REF!)</f>
        <v>#REF!</v>
      </c>
      <c r="BA7" s="52">
        <f>('Evolutive SFP'!I28+'Evolutive SFP'!I29)</f>
        <v>289887.40000000002</v>
      </c>
      <c r="BB7" s="52">
        <f>('Evolutive SFP'!J28+'Evolutive SFP'!J29)</f>
        <v>282219.45</v>
      </c>
      <c r="BC7" s="52">
        <f>('Evolutive SFP'!K28+'Evolutive SFP'!K29)</f>
        <v>263686.03000000003</v>
      </c>
      <c r="BD7" s="52">
        <f>('Evolutive SFP'!L28+'Evolutive SFP'!L29)</f>
        <v>258949.21</v>
      </c>
      <c r="BE7" s="52">
        <f>('Evolutive SFP'!M28+'Evolutive SFP'!M29)</f>
        <v>250104.81</v>
      </c>
      <c r="BF7" s="52">
        <f>('Evolutive SFP'!N28+'Evolutive SFP'!N29)</f>
        <v>273401344</v>
      </c>
      <c r="BG7" s="52">
        <f>('Evolutive SFP'!O28+'Evolutive SFP'!O29)</f>
        <v>266906.65000000002</v>
      </c>
      <c r="BH7" s="52">
        <f>('Evolutive SFP'!P28+'Evolutive SFP'!P29)</f>
        <v>273165.3</v>
      </c>
      <c r="BI7" s="52">
        <f>('Evolutive SFP'!Q28+'Evolutive SFP'!Q29)</f>
        <v>392250.51</v>
      </c>
      <c r="BJ7" s="52">
        <f>('Evolutive SFP'!R28+'Evolutive SFP'!R29)</f>
        <v>361570.07</v>
      </c>
      <c r="BK7" s="52">
        <f>('Evolutive SFP'!S28+'Evolutive SFP'!S29)</f>
        <v>328285.39</v>
      </c>
      <c r="BL7" s="52">
        <f>('Evolutive SFP'!T28+'Evolutive SFP'!T29)</f>
        <v>322026.23999999999</v>
      </c>
      <c r="BM7" s="52">
        <f>('Evolutive SFP'!U28+'Evolutive SFP'!U29)</f>
        <v>315257.49</v>
      </c>
      <c r="BN7" s="52">
        <f>('Evolutive SFP'!V28+'Evolutive SFP'!V29)</f>
        <v>283834.04000000004</v>
      </c>
      <c r="BO7" s="52">
        <f>('Evolutive SFP'!W28+'Evolutive SFP'!W29)</f>
        <v>285679.73000000004</v>
      </c>
      <c r="BP7" s="52">
        <f>('Evolutive SFP'!X28+'Evolutive SFP'!X29)</f>
        <v>266757.54000000004</v>
      </c>
      <c r="BQ7" s="52">
        <f>('Evolutive SFP'!Y28+'Evolutive SFP'!Y29)</f>
        <v>260694.13</v>
      </c>
      <c r="BR7" s="52">
        <f>('Evolutive SFP'!Z28+'Evolutive SFP'!Z29)</f>
        <v>265777.40000000002</v>
      </c>
      <c r="BS7" s="52">
        <f>('Evolutive SFP'!AA28+'Evolutive SFP'!AA29)</f>
        <v>264135882</v>
      </c>
      <c r="BT7" s="52">
        <f>('Evolutive SFP'!AB28+'Evolutive SFP'!AB29)</f>
        <v>264135882</v>
      </c>
      <c r="BU7" s="52">
        <f>('Evolutive SFP'!AC28+'Evolutive SFP'!AC29)</f>
        <v>264135882</v>
      </c>
      <c r="BV7" s="52">
        <f>('Evolutive SFP'!AD28+'Evolutive SFP'!AD29)</f>
        <v>264135882</v>
      </c>
      <c r="BW7" s="52">
        <f>('Evolutive SFP'!AE28+'Evolutive SFP'!AE29)</f>
        <v>264135882</v>
      </c>
      <c r="BX7" s="52">
        <f>('Evolutive SFP'!AF28+'Evolutive SFP'!AF29)</f>
        <v>264135882</v>
      </c>
      <c r="BY7" s="52">
        <f>('Evolutive SFP'!AG28+'Evolutive SFP'!AG29)</f>
        <v>264135882</v>
      </c>
      <c r="BZ7" s="52">
        <f>('Evolutive SFP'!AH28+'Evolutive SFP'!AH29)</f>
        <v>264135882</v>
      </c>
      <c r="CA7" s="52">
        <f>('Evolutive SFP'!AI28+'Evolutive SFP'!AI29)</f>
        <v>264135882</v>
      </c>
      <c r="CB7" s="52">
        <f>('Evolutive SFP'!AJ28+'Evolutive SFP'!AJ29)</f>
        <v>264135882</v>
      </c>
      <c r="CC7" s="52">
        <f>('Evolutive SFP'!AK28+'Evolutive SFP'!AK29)</f>
        <v>264135882</v>
      </c>
      <c r="CD7" s="52">
        <f>('Evolutive SFP'!AL28+'Evolutive SFP'!AL29)</f>
        <v>264135882</v>
      </c>
      <c r="CE7" s="52">
        <f>('Evolutive SFP'!AM28+'Evolutive SFP'!AM29)</f>
        <v>264135882</v>
      </c>
      <c r="CF7" s="52">
        <f>('Evolutive SFP'!AN28+'Evolutive SFP'!AN29)</f>
        <v>272831599</v>
      </c>
      <c r="CG7" s="52">
        <f>('Evolutive SFP'!AO28+'Evolutive SFP'!AO29)</f>
        <v>297438389.93000001</v>
      </c>
      <c r="CH7" s="52">
        <f>('Evolutive SFP'!AP28+'Evolutive SFP'!AP29)</f>
        <v>298900282.13999999</v>
      </c>
      <c r="CI7" s="52">
        <f>('Evolutive SFP'!AQ28+'Evolutive SFP'!AQ29)</f>
        <v>435171896.31999999</v>
      </c>
      <c r="CJ7" s="52">
        <f>('Evolutive SFP'!AR28+'Evolutive SFP'!AR29)</f>
        <v>374225964.47000003</v>
      </c>
      <c r="CK7" s="52">
        <f>('Evolutive SFP'!AS28+'Evolutive SFP'!AS29)</f>
        <v>377404200.13999999</v>
      </c>
      <c r="CL7" s="52">
        <f>('Evolutive SFP'!AT28+'Evolutive SFP'!AT29)</f>
        <v>374951128.99000001</v>
      </c>
      <c r="CM7" s="52">
        <f>('Evolutive SFP'!AU28+'Evolutive SFP'!AU29)</f>
        <v>372441217.14999998</v>
      </c>
      <c r="CN7" s="52">
        <f>('Evolutive SFP'!AV28+'Evolutive SFP'!AV29)</f>
        <v>343289115.94</v>
      </c>
    </row>
    <row r="8" spans="1:92">
      <c r="A8" s="18">
        <v>4</v>
      </c>
      <c r="B8" s="18" t="s">
        <v>141</v>
      </c>
      <c r="C8" s="52" t="e">
        <f>'Evolutive SFP'!#REF!</f>
        <v>#REF!</v>
      </c>
      <c r="D8" s="52" t="e">
        <f>'Evolutive SFP'!#REF!</f>
        <v>#REF!</v>
      </c>
      <c r="E8" s="52" t="e">
        <f>'Evolutive SFP'!#REF!</f>
        <v>#REF!</v>
      </c>
      <c r="F8" s="52" t="e">
        <f>'Evolutive SFP'!#REF!</f>
        <v>#REF!</v>
      </c>
      <c r="G8" s="52" t="e">
        <f>'Evolutive SFP'!#REF!</f>
        <v>#REF!</v>
      </c>
      <c r="H8" s="52" t="e">
        <f>'Evolutive SFP'!#REF!</f>
        <v>#REF!</v>
      </c>
      <c r="I8" s="52" t="e">
        <f>'Evolutive SFP'!#REF!</f>
        <v>#REF!</v>
      </c>
      <c r="J8" s="52" t="e">
        <f>'Evolutive SFP'!#REF!</f>
        <v>#REF!</v>
      </c>
      <c r="K8" s="52" t="e">
        <f>'Evolutive SFP'!#REF!</f>
        <v>#REF!</v>
      </c>
      <c r="L8" s="52" t="e">
        <f>'Evolutive SFP'!#REF!</f>
        <v>#REF!</v>
      </c>
      <c r="M8" s="52" t="e">
        <f>'Evolutive SFP'!#REF!</f>
        <v>#REF!</v>
      </c>
      <c r="N8" s="52" t="e">
        <f>'Evolutive SFP'!#REF!</f>
        <v>#REF!</v>
      </c>
      <c r="O8" s="52" t="e">
        <f>'Evolutive SFP'!#REF!</f>
        <v>#REF!</v>
      </c>
      <c r="P8" s="52" t="e">
        <f>'Evolutive SFP'!#REF!</f>
        <v>#REF!</v>
      </c>
      <c r="Q8" s="52" t="e">
        <f>'Evolutive SFP'!#REF!</f>
        <v>#REF!</v>
      </c>
      <c r="R8" s="52" t="e">
        <f>'Evolutive SFP'!#REF!</f>
        <v>#REF!</v>
      </c>
      <c r="S8" s="52" t="e">
        <f>'Evolutive SFP'!#REF!</f>
        <v>#REF!</v>
      </c>
      <c r="T8" s="52" t="e">
        <f>'Evolutive SFP'!#REF!</f>
        <v>#REF!</v>
      </c>
      <c r="U8" s="52" t="e">
        <f>'Evolutive SFP'!#REF!</f>
        <v>#REF!</v>
      </c>
      <c r="V8" s="52" t="e">
        <f>'Evolutive SFP'!#REF!</f>
        <v>#REF!</v>
      </c>
      <c r="W8" s="52" t="e">
        <f>'Evolutive SFP'!#REF!</f>
        <v>#REF!</v>
      </c>
      <c r="X8" s="52" t="e">
        <f>'Evolutive SFP'!#REF!</f>
        <v>#REF!</v>
      </c>
      <c r="Y8" s="52" t="e">
        <f>'Evolutive SFP'!#REF!</f>
        <v>#REF!</v>
      </c>
      <c r="Z8" s="52" t="e">
        <f>'Evolutive SFP'!#REF!</f>
        <v>#REF!</v>
      </c>
      <c r="AA8" s="52" t="e">
        <f>'Evolutive SFP'!#REF!</f>
        <v>#REF!</v>
      </c>
      <c r="AB8" s="52" t="e">
        <f>'Evolutive SFP'!#REF!</f>
        <v>#REF!</v>
      </c>
      <c r="AC8" s="52" t="e">
        <f>'Evolutive SFP'!#REF!</f>
        <v>#REF!</v>
      </c>
      <c r="AD8" s="52" t="e">
        <f>'Evolutive SFP'!#REF!</f>
        <v>#REF!</v>
      </c>
      <c r="AE8" s="52" t="e">
        <f>'Evolutive SFP'!#REF!</f>
        <v>#REF!</v>
      </c>
      <c r="AF8" s="52" t="e">
        <f>'Evolutive SFP'!#REF!</f>
        <v>#REF!</v>
      </c>
      <c r="AG8" s="52" t="e">
        <f>'Evolutive SFP'!#REF!</f>
        <v>#REF!</v>
      </c>
      <c r="AH8" s="52" t="e">
        <f>'Evolutive SFP'!#REF!</f>
        <v>#REF!</v>
      </c>
      <c r="AI8" s="52" t="e">
        <f>'Evolutive SFP'!#REF!</f>
        <v>#REF!</v>
      </c>
      <c r="AJ8" s="52" t="e">
        <f>'Evolutive SFP'!#REF!</f>
        <v>#REF!</v>
      </c>
      <c r="AK8" s="52" t="e">
        <f>'Evolutive SFP'!#REF!</f>
        <v>#REF!</v>
      </c>
      <c r="AL8" s="52" t="e">
        <f>'Evolutive SFP'!#REF!</f>
        <v>#REF!</v>
      </c>
      <c r="AM8" s="52" t="e">
        <f>'Evolutive SFP'!#REF!</f>
        <v>#REF!</v>
      </c>
      <c r="AN8" s="52" t="e">
        <f>'Evolutive SFP'!#REF!</f>
        <v>#REF!</v>
      </c>
      <c r="AO8" s="52" t="e">
        <f>'Evolutive SFP'!#REF!</f>
        <v>#REF!</v>
      </c>
      <c r="AP8" s="52" t="e">
        <f>'Evolutive SFP'!#REF!</f>
        <v>#REF!</v>
      </c>
      <c r="AQ8" s="52" t="e">
        <f>'Evolutive SFP'!#REF!</f>
        <v>#REF!</v>
      </c>
      <c r="AR8" s="52" t="e">
        <f>'Evolutive SFP'!#REF!</f>
        <v>#REF!</v>
      </c>
      <c r="AS8" s="52">
        <f>'Evolutive SFP'!B37</f>
        <v>0</v>
      </c>
      <c r="AT8" s="52">
        <f>'Evolutive SFP'!C37</f>
        <v>0</v>
      </c>
      <c r="AU8" s="52">
        <f>'Evolutive SFP'!D37</f>
        <v>0</v>
      </c>
      <c r="AV8" s="52">
        <f>'Evolutive SFP'!E37</f>
        <v>0</v>
      </c>
      <c r="AW8" s="52">
        <f>'Evolutive SFP'!F37</f>
        <v>0</v>
      </c>
      <c r="AX8" s="52">
        <f>'Evolutive SFP'!G37</f>
        <v>0</v>
      </c>
      <c r="AY8" s="52">
        <f>'Evolutive SFP'!H37</f>
        <v>0</v>
      </c>
      <c r="AZ8" s="52" t="e">
        <f>'Evolutive SFP'!#REF!</f>
        <v>#REF!</v>
      </c>
      <c r="BA8" s="52">
        <f>'Evolutive SFP'!I37</f>
        <v>0</v>
      </c>
      <c r="BB8" s="52">
        <f>'Evolutive SFP'!J37</f>
        <v>0</v>
      </c>
      <c r="BC8" s="52">
        <f>'Evolutive SFP'!K37</f>
        <v>0</v>
      </c>
      <c r="BD8" s="52">
        <f>'Evolutive SFP'!L37</f>
        <v>0</v>
      </c>
      <c r="BE8" s="52">
        <f>'Evolutive SFP'!M37</f>
        <v>0</v>
      </c>
      <c r="BF8" s="52">
        <f>'Evolutive SFP'!N37</f>
        <v>0</v>
      </c>
      <c r="BG8" s="52">
        <f>'Evolutive SFP'!O37</f>
        <v>0</v>
      </c>
      <c r="BH8" s="52">
        <f>'Evolutive SFP'!P37</f>
        <v>0</v>
      </c>
      <c r="BI8" s="52">
        <f>'Evolutive SFP'!Q37</f>
        <v>0</v>
      </c>
      <c r="BJ8" s="52">
        <f>'Evolutive SFP'!R37</f>
        <v>0</v>
      </c>
      <c r="BK8" s="52">
        <f>'Evolutive SFP'!S37</f>
        <v>0</v>
      </c>
      <c r="BL8" s="52">
        <f>'Evolutive SFP'!T37</f>
        <v>0</v>
      </c>
      <c r="BM8" s="52">
        <f>'Evolutive SFP'!U37</f>
        <v>0</v>
      </c>
      <c r="BN8" s="52">
        <f>'Evolutive SFP'!V37</f>
        <v>0</v>
      </c>
      <c r="BO8" s="52">
        <f>'Evolutive SFP'!W37</f>
        <v>0</v>
      </c>
      <c r="BP8" s="52">
        <f>'Evolutive SFP'!X37</f>
        <v>0</v>
      </c>
      <c r="BQ8" s="52">
        <f>'Evolutive SFP'!Y37</f>
        <v>0</v>
      </c>
      <c r="BR8" s="52">
        <f>'Evolutive SFP'!Z37</f>
        <v>0</v>
      </c>
      <c r="BS8" s="52">
        <f>'Evolutive SFP'!AA37</f>
        <v>0</v>
      </c>
      <c r="BT8" s="52">
        <f>'Evolutive SFP'!AB37</f>
        <v>0</v>
      </c>
      <c r="BU8" s="52">
        <f>'Evolutive SFP'!AC37</f>
        <v>0</v>
      </c>
      <c r="BV8" s="52">
        <f>'Evolutive SFP'!AD37</f>
        <v>0</v>
      </c>
      <c r="BW8" s="52">
        <f>'Evolutive SFP'!AE37</f>
        <v>0</v>
      </c>
      <c r="BX8" s="52">
        <f>'Evolutive SFP'!AF37</f>
        <v>0</v>
      </c>
      <c r="BY8" s="52">
        <f>'Evolutive SFP'!AG37</f>
        <v>0</v>
      </c>
      <c r="BZ8" s="52">
        <f>'Evolutive SFP'!AH37</f>
        <v>0</v>
      </c>
      <c r="CA8" s="52">
        <f>'Evolutive SFP'!AI37</f>
        <v>0</v>
      </c>
      <c r="CB8" s="52">
        <f>'Evolutive SFP'!AJ37</f>
        <v>0</v>
      </c>
      <c r="CC8" s="52">
        <f>'Evolutive SFP'!AK37</f>
        <v>0</v>
      </c>
      <c r="CD8" s="52">
        <f>'Evolutive SFP'!AL37</f>
        <v>0</v>
      </c>
      <c r="CE8" s="52">
        <f>'Evolutive SFP'!AM37</f>
        <v>0</v>
      </c>
      <c r="CF8" s="52">
        <f>'Evolutive SFP'!AN37</f>
        <v>0</v>
      </c>
      <c r="CG8" s="52">
        <f>'Evolutive SFP'!AO37</f>
        <v>0</v>
      </c>
      <c r="CH8" s="52">
        <f>'Evolutive SFP'!AP37</f>
        <v>0</v>
      </c>
      <c r="CI8" s="52">
        <f>'Evolutive SFP'!AQ37</f>
        <v>0</v>
      </c>
      <c r="CJ8" s="52">
        <f>'Evolutive SFP'!AR37</f>
        <v>0</v>
      </c>
      <c r="CK8" s="52">
        <f>'Evolutive SFP'!AS37</f>
        <v>0</v>
      </c>
      <c r="CL8" s="52">
        <f>'Evolutive SFP'!AT37</f>
        <v>0</v>
      </c>
      <c r="CM8" s="52">
        <f>'Evolutive SFP'!AU37</f>
        <v>0</v>
      </c>
      <c r="CN8" s="52">
        <f>'Evolutive SFP'!AV37</f>
        <v>0</v>
      </c>
    </row>
    <row r="9" spans="1:92" ht="15" thickBot="1">
      <c r="A9" s="18"/>
      <c r="B9" s="99" t="s">
        <v>234</v>
      </c>
      <c r="C9" s="52"/>
      <c r="D9" s="52" t="e">
        <f>SUM('Evolutive SFP'!#REF!)</f>
        <v>#REF!</v>
      </c>
      <c r="E9" s="52" t="e">
        <f>SUM('Evolutive SFP'!#REF!)</f>
        <v>#REF!</v>
      </c>
      <c r="F9" s="52" t="e">
        <f>SUM('Evolutive SFP'!#REF!)</f>
        <v>#REF!</v>
      </c>
      <c r="G9" s="52" t="e">
        <f>SUM('Evolutive SFP'!#REF!)</f>
        <v>#REF!</v>
      </c>
      <c r="H9" s="52" t="e">
        <f>SUM('Evolutive SFP'!#REF!)</f>
        <v>#REF!</v>
      </c>
      <c r="I9" s="52" t="e">
        <f>SUM('Evolutive SFP'!#REF!)</f>
        <v>#REF!</v>
      </c>
      <c r="J9" s="52" t="e">
        <f>SUM('Evolutive SFP'!#REF!)</f>
        <v>#REF!</v>
      </c>
      <c r="K9" s="52" t="e">
        <f>SUM('Evolutive SFP'!#REF!)</f>
        <v>#REF!</v>
      </c>
      <c r="L9" s="52" t="e">
        <f>SUM('Evolutive SFP'!#REF!)</f>
        <v>#REF!</v>
      </c>
      <c r="M9" s="52" t="e">
        <f>SUM('Evolutive SFP'!#REF!)</f>
        <v>#REF!</v>
      </c>
      <c r="N9" s="52" t="e">
        <f>SUM('Evolutive SFP'!#REF!)</f>
        <v>#REF!</v>
      </c>
      <c r="O9" s="52" t="e">
        <f>SUM('Evolutive SFP'!#REF!)</f>
        <v>#REF!</v>
      </c>
      <c r="P9" s="52" t="e">
        <f>SUM('Evolutive SFP'!#REF!)</f>
        <v>#REF!</v>
      </c>
      <c r="Q9" s="52" t="e">
        <f>SUM('Evolutive SFP'!#REF!)</f>
        <v>#REF!</v>
      </c>
      <c r="R9" s="52" t="e">
        <f>SUM('Evolutive SFP'!#REF!)</f>
        <v>#REF!</v>
      </c>
      <c r="S9" s="52" t="e">
        <f>SUM('Evolutive SFP'!#REF!)</f>
        <v>#REF!</v>
      </c>
      <c r="T9" s="52" t="e">
        <f>SUM('Evolutive SFP'!#REF!)</f>
        <v>#REF!</v>
      </c>
      <c r="U9" s="52" t="e">
        <f>SUM('Evolutive SFP'!#REF!)</f>
        <v>#REF!</v>
      </c>
      <c r="V9" s="52" t="e">
        <f>SUM('Evolutive SFP'!#REF!)</f>
        <v>#REF!</v>
      </c>
      <c r="W9" s="52" t="e">
        <f>SUM('Evolutive SFP'!#REF!)</f>
        <v>#REF!</v>
      </c>
      <c r="X9" s="52" t="e">
        <f>SUM('Evolutive SFP'!#REF!)</f>
        <v>#REF!</v>
      </c>
      <c r="Y9" s="52" t="e">
        <f>SUM('Evolutive SFP'!#REF!)</f>
        <v>#REF!</v>
      </c>
      <c r="Z9" s="52" t="e">
        <f>SUM('Evolutive SFP'!#REF!)</f>
        <v>#REF!</v>
      </c>
      <c r="AA9" s="52" t="e">
        <f>SUM('Evolutive SFP'!#REF!)</f>
        <v>#REF!</v>
      </c>
      <c r="AB9" s="52" t="e">
        <f>SUM('Evolutive SFP'!#REF!)</f>
        <v>#REF!</v>
      </c>
      <c r="AC9" s="52" t="e">
        <f>SUM('Evolutive SFP'!#REF!)</f>
        <v>#REF!</v>
      </c>
      <c r="AD9" s="52" t="e">
        <f>SUM('Evolutive SFP'!#REF!)</f>
        <v>#REF!</v>
      </c>
      <c r="AE9" s="52" t="e">
        <f>SUM('Evolutive SFP'!#REF!)</f>
        <v>#REF!</v>
      </c>
      <c r="AF9" s="52" t="e">
        <f>SUM('Evolutive SFP'!#REF!)</f>
        <v>#REF!</v>
      </c>
      <c r="AG9" s="52" t="e">
        <f>SUM('Evolutive SFP'!#REF!)</f>
        <v>#REF!</v>
      </c>
      <c r="AH9" s="52" t="e">
        <f>SUM('Evolutive SFP'!#REF!)</f>
        <v>#REF!</v>
      </c>
      <c r="AI9" s="52" t="e">
        <f>SUM('Evolutive SFP'!#REF!)</f>
        <v>#REF!</v>
      </c>
      <c r="AJ9" s="52" t="e">
        <f>SUM('Evolutive SFP'!#REF!)</f>
        <v>#REF!</v>
      </c>
      <c r="AK9" s="52" t="e">
        <f>SUM('Evolutive SFP'!#REF!)</f>
        <v>#REF!</v>
      </c>
      <c r="AL9" s="52" t="e">
        <f>SUM('Evolutive SFP'!#REF!)</f>
        <v>#REF!</v>
      </c>
      <c r="AM9" s="52" t="e">
        <f>SUM('Evolutive SFP'!#REF!)</f>
        <v>#REF!</v>
      </c>
      <c r="AN9" s="52" t="e">
        <f>SUM('Evolutive SFP'!#REF!)</f>
        <v>#REF!</v>
      </c>
      <c r="AO9" s="52" t="e">
        <f>SUM('Evolutive SFP'!#REF!)</f>
        <v>#REF!</v>
      </c>
      <c r="AP9" s="52" t="e">
        <f>SUM('Evolutive SFP'!#REF!)</f>
        <v>#REF!</v>
      </c>
      <c r="AQ9" s="52" t="e">
        <f>SUM('Evolutive SFP'!#REF!)</f>
        <v>#REF!</v>
      </c>
      <c r="AR9" s="52" t="e">
        <f>SUM('Evolutive SFP'!#REF!)</f>
        <v>#REF!</v>
      </c>
      <c r="AS9" s="52">
        <f>SUM('Evolutive SFP'!B32:B36)</f>
        <v>413121</v>
      </c>
      <c r="AT9" s="52">
        <f>SUM('Evolutive SFP'!C32:C36)</f>
        <v>296589.86</v>
      </c>
      <c r="AU9" s="52">
        <f>SUM('Evolutive SFP'!D32:D36)</f>
        <v>312712.62</v>
      </c>
      <c r="AV9" s="52">
        <f>SUM('Evolutive SFP'!E32:E36)</f>
        <v>132547.51999999999</v>
      </c>
      <c r="AW9" s="52">
        <f>SUM('Evolutive SFP'!F32:F36)</f>
        <v>131340.20000000001</v>
      </c>
      <c r="AX9" s="52">
        <f>SUM('Evolutive SFP'!G32:G36)</f>
        <v>153270.03</v>
      </c>
      <c r="AY9" s="52">
        <f>SUM('Evolutive SFP'!H32:H36)</f>
        <v>184267.37</v>
      </c>
      <c r="AZ9" s="52" t="e">
        <f>SUM('Evolutive SFP'!#REF!)</f>
        <v>#REF!</v>
      </c>
      <c r="BA9" s="52">
        <f>SUM('Evolutive SFP'!I32:I36)</f>
        <v>222326.61</v>
      </c>
      <c r="BB9" s="52">
        <f>SUM('Evolutive SFP'!J32:J36)</f>
        <v>247837.32</v>
      </c>
      <c r="BC9" s="52">
        <f>SUM('Evolutive SFP'!K32:K36)</f>
        <v>276810.27</v>
      </c>
      <c r="BD9" s="52">
        <f>SUM('Evolutive SFP'!L32:L36)</f>
        <v>309841.09000000003</v>
      </c>
      <c r="BE9" s="52">
        <f>SUM('Evolutive SFP'!M32:M36)</f>
        <v>334588.40000000002</v>
      </c>
      <c r="BF9" s="52">
        <f>SUM('Evolutive SFP'!N32:N36)</f>
        <v>293794285</v>
      </c>
      <c r="BG9" s="52">
        <f>SUM('Evolutive SFP'!O32:O36)</f>
        <v>366554.49</v>
      </c>
      <c r="BH9" s="52">
        <f>SUM('Evolutive SFP'!P32:P36)</f>
        <v>367425.41</v>
      </c>
      <c r="BI9" s="52">
        <f>SUM('Evolutive SFP'!Q32:Q36)</f>
        <v>143958.96</v>
      </c>
      <c r="BJ9" s="52">
        <f>SUM('Evolutive SFP'!R32:R36)</f>
        <v>146538.20000000001</v>
      </c>
      <c r="BK9" s="52">
        <f>SUM('Evolutive SFP'!S32:S36)</f>
        <v>172038.61</v>
      </c>
      <c r="BL9" s="52">
        <f>SUM('Evolutive SFP'!T32:T36)</f>
        <v>171532.99</v>
      </c>
      <c r="BM9" s="52">
        <f>SUM('Evolutive SFP'!U32:U36)</f>
        <v>221259.99</v>
      </c>
      <c r="BN9" s="52">
        <f>SUM('Evolutive SFP'!V32:V36)</f>
        <v>260048.35</v>
      </c>
      <c r="BO9" s="52">
        <f>SUM('Evolutive SFP'!W32:W36)</f>
        <v>252886.1</v>
      </c>
      <c r="BP9" s="52">
        <f>SUM('Evolutive SFP'!X32:X36)</f>
        <v>280325.64</v>
      </c>
      <c r="BQ9" s="52">
        <f>SUM('Evolutive SFP'!Y32:Y36)</f>
        <v>317159.75</v>
      </c>
      <c r="BR9" s="52">
        <f>SUM('Evolutive SFP'!Z32:Z36)</f>
        <v>330889.41000000003</v>
      </c>
      <c r="BS9" s="52">
        <f>SUM('Evolutive SFP'!AA32:AA36)</f>
        <v>327407283</v>
      </c>
      <c r="BT9" s="52">
        <f>SUM('Evolutive SFP'!AB32:AB36)</f>
        <v>327407284</v>
      </c>
      <c r="BU9" s="52">
        <f>SUM('Evolutive SFP'!AC32:AC36)</f>
        <v>327407285</v>
      </c>
      <c r="BV9" s="52">
        <f>SUM('Evolutive SFP'!AD32:AD36)</f>
        <v>378130939.61000001</v>
      </c>
      <c r="BW9" s="52">
        <f>SUM('Evolutive SFP'!AE32:AE36)</f>
        <v>420971602.73000002</v>
      </c>
      <c r="BX9" s="52">
        <f>SUM('Evolutive SFP'!AF32:AF36)</f>
        <v>151079898.01999998</v>
      </c>
      <c r="BY9" s="52">
        <f>SUM('Evolutive SFP'!AG32:AG36)</f>
        <v>152828305.36000001</v>
      </c>
      <c r="BZ9" s="52">
        <f>SUM('Evolutive SFP'!AH32:AH36)</f>
        <v>181216136.64000002</v>
      </c>
      <c r="CA9" s="52">
        <f>SUM('Evolutive SFP'!AI32:AI36)</f>
        <v>212914481.09999999</v>
      </c>
      <c r="CB9" s="52">
        <f>SUM('Evolutive SFP'!AJ32:AJ36)</f>
        <v>242303342.31</v>
      </c>
      <c r="CC9" s="52">
        <f>SUM('Evolutive SFP'!AK32:AK36)</f>
        <v>289406542.01999998</v>
      </c>
      <c r="CD9" s="52">
        <f>SUM('Evolutive SFP'!AL32:AL36)</f>
        <v>309325369.18000001</v>
      </c>
      <c r="CE9" s="52">
        <f>SUM('Evolutive SFP'!AM32:AM36)</f>
        <v>346259189.80000001</v>
      </c>
      <c r="CF9" s="52">
        <f>SUM('Evolutive SFP'!AN32:AN36)</f>
        <v>440246186</v>
      </c>
      <c r="CG9" s="52">
        <f>SUM('Evolutive SFP'!AO32:AO36)</f>
        <v>414894095.95999998</v>
      </c>
      <c r="CH9" s="52">
        <f>SUM('Evolutive SFP'!AP32:AP36)</f>
        <v>453336631.96999997</v>
      </c>
      <c r="CI9" s="52">
        <f>SUM('Evolutive SFP'!AQ32:AQ36)</f>
        <v>161335957.13</v>
      </c>
      <c r="CJ9" s="52">
        <f>SUM('Evolutive SFP'!AR32:AR36)</f>
        <v>170698545.41999999</v>
      </c>
      <c r="CK9" s="52">
        <f>SUM('Evolutive SFP'!AS32:AS36)</f>
        <v>204843245.83000001</v>
      </c>
      <c r="CL9" s="52">
        <f>SUM('Evolutive SFP'!AT32:AT36)</f>
        <v>251654838.73000002</v>
      </c>
      <c r="CM9" s="52">
        <f>SUM('Evolutive SFP'!AU32:AU36)</f>
        <v>260614753.49000001</v>
      </c>
      <c r="CN9" s="52">
        <f>SUM('Evolutive SFP'!AV32:AV36)</f>
        <v>292009600.17000002</v>
      </c>
    </row>
    <row r="10" spans="1:92">
      <c r="A10" s="20">
        <v>5</v>
      </c>
      <c r="B10" s="16" t="s">
        <v>235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</row>
    <row r="11" spans="1:92" s="14" customFormat="1">
      <c r="A11" s="28">
        <v>5.0999999999999996</v>
      </c>
      <c r="B11" s="16" t="s">
        <v>134</v>
      </c>
      <c r="C11" s="53" t="e">
        <f>C14-C22-C26-C27</f>
        <v>#REF!</v>
      </c>
      <c r="D11" s="53" t="e">
        <f t="shared" ref="D11:R11" si="0">D14-D22-D26-D27</f>
        <v>#REF!</v>
      </c>
      <c r="E11" s="53" t="e">
        <f>E14-E22-E26-E27</f>
        <v>#REF!</v>
      </c>
      <c r="F11" s="53" t="e">
        <f>F14-F22-F26-F27</f>
        <v>#REF!</v>
      </c>
      <c r="G11" s="53" t="e">
        <f t="shared" si="0"/>
        <v>#REF!</v>
      </c>
      <c r="H11" s="53" t="e">
        <f t="shared" si="0"/>
        <v>#REF!</v>
      </c>
      <c r="I11" s="53" t="e">
        <f t="shared" si="0"/>
        <v>#REF!</v>
      </c>
      <c r="J11" s="53" t="e">
        <f t="shared" si="0"/>
        <v>#REF!</v>
      </c>
      <c r="K11" s="53" t="e">
        <f t="shared" si="0"/>
        <v>#REF!</v>
      </c>
      <c r="L11" s="53" t="e">
        <f t="shared" si="0"/>
        <v>#REF!</v>
      </c>
      <c r="M11" s="53" t="e">
        <f t="shared" si="0"/>
        <v>#REF!</v>
      </c>
      <c r="N11" s="53" t="e">
        <f t="shared" si="0"/>
        <v>#REF!</v>
      </c>
      <c r="O11" s="53" t="e">
        <f t="shared" si="0"/>
        <v>#REF!</v>
      </c>
      <c r="P11" s="53" t="e">
        <f t="shared" si="0"/>
        <v>#REF!</v>
      </c>
      <c r="Q11" s="53" t="e">
        <f t="shared" si="0"/>
        <v>#REF!</v>
      </c>
      <c r="R11" s="53" t="e">
        <f t="shared" si="0"/>
        <v>#REF!</v>
      </c>
      <c r="S11" s="53" t="e">
        <f>S14-S22-S27</f>
        <v>#REF!</v>
      </c>
      <c r="T11" s="53" t="e">
        <f>T14-T22-T27</f>
        <v>#REF!</v>
      </c>
      <c r="U11" s="53" t="e">
        <f>U14-U22-U27</f>
        <v>#REF!</v>
      </c>
      <c r="V11" s="53" t="e">
        <f t="shared" ref="V11:BE11" si="1">V14-V22</f>
        <v>#REF!</v>
      </c>
      <c r="W11" s="53" t="e">
        <f t="shared" si="1"/>
        <v>#REF!</v>
      </c>
      <c r="X11" s="53" t="e">
        <f t="shared" si="1"/>
        <v>#REF!</v>
      </c>
      <c r="Y11" s="53" t="e">
        <f t="shared" si="1"/>
        <v>#REF!</v>
      </c>
      <c r="Z11" s="53" t="e">
        <f t="shared" si="1"/>
        <v>#REF!</v>
      </c>
      <c r="AA11" s="53" t="e">
        <f t="shared" si="1"/>
        <v>#REF!</v>
      </c>
      <c r="AB11" s="53" t="e">
        <f t="shared" si="1"/>
        <v>#REF!</v>
      </c>
      <c r="AC11" s="53" t="e">
        <f t="shared" si="1"/>
        <v>#REF!</v>
      </c>
      <c r="AD11" s="53" t="e">
        <f t="shared" si="1"/>
        <v>#REF!</v>
      </c>
      <c r="AE11" s="53" t="e">
        <f t="shared" si="1"/>
        <v>#REF!</v>
      </c>
      <c r="AF11" s="53" t="e">
        <f t="shared" si="1"/>
        <v>#REF!</v>
      </c>
      <c r="AG11" s="53" t="e">
        <f t="shared" si="1"/>
        <v>#REF!</v>
      </c>
      <c r="AH11" s="53" t="e">
        <f t="shared" si="1"/>
        <v>#REF!</v>
      </c>
      <c r="AI11" s="53" t="e">
        <f t="shared" si="1"/>
        <v>#REF!</v>
      </c>
      <c r="AJ11" s="53" t="e">
        <f t="shared" si="1"/>
        <v>#REF!</v>
      </c>
      <c r="AK11" s="53" t="e">
        <f t="shared" si="1"/>
        <v>#REF!</v>
      </c>
      <c r="AL11" s="53" t="e">
        <f t="shared" si="1"/>
        <v>#REF!</v>
      </c>
      <c r="AM11" s="53" t="e">
        <f t="shared" si="1"/>
        <v>#REF!</v>
      </c>
      <c r="AN11" s="53" t="e">
        <f t="shared" si="1"/>
        <v>#REF!</v>
      </c>
      <c r="AO11" s="53" t="e">
        <f t="shared" si="1"/>
        <v>#REF!</v>
      </c>
      <c r="AP11" s="53" t="e">
        <f t="shared" si="1"/>
        <v>#REF!</v>
      </c>
      <c r="AQ11" s="53" t="e">
        <f t="shared" si="1"/>
        <v>#REF!</v>
      </c>
      <c r="AR11" s="53" t="e">
        <f t="shared" si="1"/>
        <v>#REF!</v>
      </c>
      <c r="AS11" s="53">
        <f t="shared" si="1"/>
        <v>35293281</v>
      </c>
      <c r="AT11" s="53">
        <f t="shared" si="1"/>
        <v>640009.38</v>
      </c>
      <c r="AU11" s="53">
        <f t="shared" si="1"/>
        <v>588018.72</v>
      </c>
      <c r="AV11" s="53">
        <f t="shared" si="1"/>
        <v>583290.84000000008</v>
      </c>
      <c r="AW11" s="53">
        <f t="shared" si="1"/>
        <v>631326.44000000006</v>
      </c>
      <c r="AX11" s="53">
        <f t="shared" si="1"/>
        <v>676268.93</v>
      </c>
      <c r="AY11" s="53">
        <f t="shared" si="1"/>
        <v>631335.74</v>
      </c>
      <c r="AZ11" s="53" t="e">
        <f t="shared" si="1"/>
        <v>#REF!</v>
      </c>
      <c r="BA11" s="53">
        <f t="shared" si="1"/>
        <v>644553.75000000012</v>
      </c>
      <c r="BB11" s="53">
        <f t="shared" si="1"/>
        <v>653594.15</v>
      </c>
      <c r="BC11" s="53">
        <f t="shared" si="1"/>
        <v>665647.07000000007</v>
      </c>
      <c r="BD11" s="53">
        <f t="shared" si="1"/>
        <v>660585.37</v>
      </c>
      <c r="BE11" s="53">
        <f t="shared" si="1"/>
        <v>692838.97000000009</v>
      </c>
      <c r="BF11" s="53">
        <f>BF14-BF22</f>
        <v>738049257</v>
      </c>
      <c r="BG11" s="53">
        <f t="shared" ref="BG11:BS11" si="2">BG14-BG22</f>
        <v>693178.51000000013</v>
      </c>
      <c r="BH11" s="53">
        <f t="shared" si="2"/>
        <v>672826.06</v>
      </c>
      <c r="BI11" s="53">
        <f t="shared" si="2"/>
        <v>686274.06</v>
      </c>
      <c r="BJ11" s="53">
        <f t="shared" si="2"/>
        <v>736605.56</v>
      </c>
      <c r="BK11" s="53">
        <f t="shared" si="2"/>
        <v>738287.39</v>
      </c>
      <c r="BL11" s="53">
        <f t="shared" si="2"/>
        <v>761538.53</v>
      </c>
      <c r="BM11" s="53">
        <f t="shared" si="2"/>
        <v>738820.13</v>
      </c>
      <c r="BN11" s="53">
        <f t="shared" si="2"/>
        <v>729244.52</v>
      </c>
      <c r="BO11" s="53">
        <f t="shared" si="2"/>
        <v>784001.1399999999</v>
      </c>
      <c r="BP11" s="53">
        <f t="shared" si="2"/>
        <v>790952.81</v>
      </c>
      <c r="BQ11" s="53">
        <f t="shared" si="2"/>
        <v>802786.71</v>
      </c>
      <c r="BR11" s="53">
        <f t="shared" si="2"/>
        <v>837177.8600000001</v>
      </c>
      <c r="BS11" s="53">
        <f t="shared" si="2"/>
        <v>867436888</v>
      </c>
      <c r="BT11" s="53">
        <f t="shared" ref="BT11:BW11" si="3">BT14-BT22</f>
        <v>841787186.25</v>
      </c>
      <c r="BU11" s="53">
        <f t="shared" si="3"/>
        <v>840155754</v>
      </c>
      <c r="BV11" s="53">
        <f t="shared" si="3"/>
        <v>833862265.29999995</v>
      </c>
      <c r="BW11" s="53">
        <f t="shared" si="3"/>
        <v>835393306</v>
      </c>
      <c r="BX11" s="53">
        <f t="shared" ref="BX11:CG11" si="4">BX14-BX22</f>
        <v>827818215.6500001</v>
      </c>
      <c r="BY11" s="53">
        <f t="shared" si="4"/>
        <v>873517907.75</v>
      </c>
      <c r="BZ11" s="53">
        <f t="shared" si="4"/>
        <v>870060647.55000007</v>
      </c>
      <c r="CA11" s="53">
        <f t="shared" si="4"/>
        <v>860041634.19999993</v>
      </c>
      <c r="CB11" s="53">
        <f t="shared" si="4"/>
        <v>866588886.29999995</v>
      </c>
      <c r="CC11" s="53">
        <f t="shared" si="4"/>
        <v>866346266</v>
      </c>
      <c r="CD11" s="53">
        <f t="shared" si="4"/>
        <v>862884976.60000002</v>
      </c>
      <c r="CE11" s="53">
        <f t="shared" si="4"/>
        <v>884665377.79000008</v>
      </c>
      <c r="CF11" s="53">
        <f t="shared" si="4"/>
        <v>939187834</v>
      </c>
      <c r="CG11" s="53">
        <f t="shared" ref="CG11:CI11" si="5">CG14-CG22</f>
        <v>912955273.57000005</v>
      </c>
      <c r="CH11" s="53">
        <f t="shared" si="5"/>
        <v>905005225.89999998</v>
      </c>
      <c r="CI11" s="53">
        <f t="shared" si="5"/>
        <v>916545440.39999998</v>
      </c>
      <c r="CJ11" s="53">
        <f t="shared" ref="CJ11:CK11" si="6">CJ14-CJ22</f>
        <v>917712791</v>
      </c>
      <c r="CK11" s="53">
        <f t="shared" si="6"/>
        <v>923541021.19999993</v>
      </c>
      <c r="CL11" s="53">
        <f t="shared" ref="CL11:CN11" si="7">CL14-CL22</f>
        <v>978499725.39999998</v>
      </c>
      <c r="CM11" s="53">
        <f t="shared" ref="CM11:CN11" si="8">CM14-CM22</f>
        <v>975944760.89999998</v>
      </c>
      <c r="CN11" s="53">
        <f t="shared" si="8"/>
        <v>976468010.19999993</v>
      </c>
    </row>
    <row r="12" spans="1:92" s="14" customFormat="1">
      <c r="A12" s="28">
        <v>5.2</v>
      </c>
      <c r="B12" s="16" t="s">
        <v>236</v>
      </c>
      <c r="C12" s="53" t="e">
        <f>C11-C15</f>
        <v>#REF!</v>
      </c>
      <c r="D12" s="53" t="e">
        <f t="shared" ref="D12:K12" si="9">D11-D15</f>
        <v>#REF!</v>
      </c>
      <c r="E12" s="53" t="e">
        <f>E11-E15</f>
        <v>#REF!</v>
      </c>
      <c r="F12" s="53" t="e">
        <f>F11-F15</f>
        <v>#REF!</v>
      </c>
      <c r="G12" s="53" t="e">
        <f t="shared" si="9"/>
        <v>#REF!</v>
      </c>
      <c r="H12" s="53" t="e">
        <f t="shared" si="9"/>
        <v>#REF!</v>
      </c>
      <c r="I12" s="53" t="e">
        <f t="shared" si="9"/>
        <v>#REF!</v>
      </c>
      <c r="J12" s="53" t="e">
        <f t="shared" si="9"/>
        <v>#REF!</v>
      </c>
      <c r="K12" s="53" t="e">
        <f t="shared" si="9"/>
        <v>#REF!</v>
      </c>
      <c r="L12" s="53" t="e">
        <f>L11-L15</f>
        <v>#REF!</v>
      </c>
      <c r="M12" s="53" t="e">
        <f t="shared" ref="M12:X12" si="10">M11-M15</f>
        <v>#REF!</v>
      </c>
      <c r="N12" s="53" t="e">
        <f t="shared" si="10"/>
        <v>#REF!</v>
      </c>
      <c r="O12" s="53" t="e">
        <f t="shared" si="10"/>
        <v>#REF!</v>
      </c>
      <c r="P12" s="53" t="e">
        <f t="shared" si="10"/>
        <v>#REF!</v>
      </c>
      <c r="Q12" s="53" t="e">
        <f t="shared" si="10"/>
        <v>#REF!</v>
      </c>
      <c r="R12" s="53" t="e">
        <f t="shared" si="10"/>
        <v>#REF!</v>
      </c>
      <c r="S12" s="53" t="e">
        <f t="shared" si="10"/>
        <v>#REF!</v>
      </c>
      <c r="T12" s="53" t="e">
        <f t="shared" si="10"/>
        <v>#REF!</v>
      </c>
      <c r="U12" s="53" t="e">
        <f t="shared" si="10"/>
        <v>#REF!</v>
      </c>
      <c r="V12" s="53" t="e">
        <f t="shared" si="10"/>
        <v>#REF!</v>
      </c>
      <c r="W12" s="53" t="e">
        <f t="shared" si="10"/>
        <v>#REF!</v>
      </c>
      <c r="X12" s="53" t="e">
        <f t="shared" si="10"/>
        <v>#REF!</v>
      </c>
      <c r="Y12" s="53" t="e">
        <f>Y11-Y15</f>
        <v>#REF!</v>
      </c>
      <c r="Z12" s="53" t="e">
        <f t="shared" ref="Z12:AF12" si="11">Z11-Z15</f>
        <v>#REF!</v>
      </c>
      <c r="AA12" s="53" t="e">
        <f t="shared" si="11"/>
        <v>#REF!</v>
      </c>
      <c r="AB12" s="53" t="e">
        <f t="shared" si="11"/>
        <v>#REF!</v>
      </c>
      <c r="AC12" s="53" t="e">
        <f t="shared" si="11"/>
        <v>#REF!</v>
      </c>
      <c r="AD12" s="53" t="e">
        <f t="shared" si="11"/>
        <v>#REF!</v>
      </c>
      <c r="AE12" s="53" t="e">
        <f t="shared" si="11"/>
        <v>#REF!</v>
      </c>
      <c r="AF12" s="53" t="e">
        <f t="shared" si="11"/>
        <v>#REF!</v>
      </c>
      <c r="AG12" s="53" t="e">
        <f t="shared" ref="AG12:AY12" si="12">AG11-AG15</f>
        <v>#REF!</v>
      </c>
      <c r="AH12" s="53" t="e">
        <f t="shared" si="12"/>
        <v>#REF!</v>
      </c>
      <c r="AI12" s="53" t="e">
        <f>AI11-AI15</f>
        <v>#REF!</v>
      </c>
      <c r="AJ12" s="53" t="e">
        <f>AJ11-AJ15</f>
        <v>#REF!</v>
      </c>
      <c r="AK12" s="53" t="e">
        <f>AK11-AK15</f>
        <v>#REF!</v>
      </c>
      <c r="AL12" s="53" t="e">
        <f>AL11-AL15</f>
        <v>#REF!</v>
      </c>
      <c r="AM12" s="53" t="e">
        <f>AM11-AM15</f>
        <v>#REF!</v>
      </c>
      <c r="AN12" s="53" t="e">
        <f t="shared" si="12"/>
        <v>#REF!</v>
      </c>
      <c r="AO12" s="53" t="e">
        <f t="shared" si="12"/>
        <v>#REF!</v>
      </c>
      <c r="AP12" s="53" t="e">
        <f t="shared" si="12"/>
        <v>#REF!</v>
      </c>
      <c r="AQ12" s="53" t="e">
        <f t="shared" si="12"/>
        <v>#REF!</v>
      </c>
      <c r="AR12" s="53" t="e">
        <f t="shared" si="12"/>
        <v>#REF!</v>
      </c>
      <c r="AS12" s="53">
        <f>AS11-AS15</f>
        <v>16323147</v>
      </c>
      <c r="AT12" s="53">
        <f t="shared" si="12"/>
        <v>457522.99</v>
      </c>
      <c r="AU12" s="53">
        <f t="shared" si="12"/>
        <v>404593.13</v>
      </c>
      <c r="AV12" s="53">
        <f t="shared" si="12"/>
        <v>398641.43000000005</v>
      </c>
      <c r="AW12" s="53">
        <f t="shared" si="12"/>
        <v>446635.03</v>
      </c>
      <c r="AX12" s="53">
        <f t="shared" si="12"/>
        <v>490439.93000000005</v>
      </c>
      <c r="AY12" s="53">
        <f t="shared" si="12"/>
        <v>444459.31999999995</v>
      </c>
      <c r="AZ12" s="53" t="e">
        <f t="shared" ref="AZ12:BF12" si="13">AZ11-AZ15</f>
        <v>#REF!</v>
      </c>
      <c r="BA12" s="53">
        <f t="shared" si="13"/>
        <v>455727.33000000007</v>
      </c>
      <c r="BB12" s="53">
        <f t="shared" si="13"/>
        <v>464251.73</v>
      </c>
      <c r="BC12" s="53">
        <f t="shared" si="13"/>
        <v>475335.33000000007</v>
      </c>
      <c r="BD12" s="53">
        <f t="shared" si="13"/>
        <v>469813.43</v>
      </c>
      <c r="BE12" s="53">
        <f t="shared" si="13"/>
        <v>501528.83000000007</v>
      </c>
      <c r="BF12" s="53">
        <f t="shared" si="13"/>
        <v>546761318</v>
      </c>
      <c r="BG12" s="53">
        <f t="shared" ref="BG12:BS12" si="14">BG11-BG15</f>
        <v>500882.37000000011</v>
      </c>
      <c r="BH12" s="53">
        <f t="shared" si="14"/>
        <v>480149.72000000009</v>
      </c>
      <c r="BI12" s="53">
        <f t="shared" si="14"/>
        <v>493091.12000000005</v>
      </c>
      <c r="BJ12" s="53">
        <f t="shared" si="14"/>
        <v>542383.62000000011</v>
      </c>
      <c r="BK12" s="53">
        <f t="shared" si="14"/>
        <v>542945.92000000004</v>
      </c>
      <c r="BL12" s="53">
        <f t="shared" si="14"/>
        <v>565049.22</v>
      </c>
      <c r="BM12" s="53">
        <f t="shared" si="14"/>
        <v>541110.82000000007</v>
      </c>
      <c r="BN12" s="53">
        <f t="shared" si="14"/>
        <v>531075.21</v>
      </c>
      <c r="BO12" s="53">
        <f t="shared" si="14"/>
        <v>583509.0199999999</v>
      </c>
      <c r="BP12" s="53">
        <f t="shared" si="14"/>
        <v>589809.12000000011</v>
      </c>
      <c r="BQ12" s="53">
        <f t="shared" si="14"/>
        <v>600447.52</v>
      </c>
      <c r="BR12" s="53">
        <f t="shared" si="14"/>
        <v>632823.63000000012</v>
      </c>
      <c r="BS12" s="53">
        <f t="shared" si="14"/>
        <v>663082659</v>
      </c>
      <c r="BT12" s="53">
        <f t="shared" ref="BT12:BW12" si="15">BT11-BT15</f>
        <v>637392957.25</v>
      </c>
      <c r="BU12" s="53">
        <f t="shared" si="15"/>
        <v>634931525</v>
      </c>
      <c r="BV12" s="53">
        <f t="shared" si="15"/>
        <v>624909604.29999995</v>
      </c>
      <c r="BW12" s="53">
        <f t="shared" si="15"/>
        <v>624441645</v>
      </c>
      <c r="BX12" s="53">
        <f t="shared" ref="BX12:CG12" si="16">BX11-BX15</f>
        <v>616503830.70000005</v>
      </c>
      <c r="BY12" s="53">
        <f t="shared" si="16"/>
        <v>662203522.79999995</v>
      </c>
      <c r="BZ12" s="53">
        <f t="shared" si="16"/>
        <v>655661877.60000014</v>
      </c>
      <c r="CA12" s="53">
        <f t="shared" si="16"/>
        <v>644095364.25</v>
      </c>
      <c r="CB12" s="53">
        <f t="shared" si="16"/>
        <v>649469876.3499999</v>
      </c>
      <c r="CC12" s="53">
        <f t="shared" si="16"/>
        <v>647947860.04999995</v>
      </c>
      <c r="CD12" s="53">
        <f t="shared" si="16"/>
        <v>643517570.6500001</v>
      </c>
      <c r="CE12" s="53">
        <f t="shared" si="16"/>
        <v>663785971.84000015</v>
      </c>
      <c r="CF12" s="53">
        <f t="shared" si="16"/>
        <v>718586064</v>
      </c>
      <c r="CG12" s="53">
        <f t="shared" ref="CG12:CI12" si="17">CG11-CG15</f>
        <v>691113867.62000012</v>
      </c>
      <c r="CH12" s="53">
        <f t="shared" si="17"/>
        <v>681539455.49000001</v>
      </c>
      <c r="CI12" s="53">
        <f t="shared" si="17"/>
        <v>689298056.99000001</v>
      </c>
      <c r="CJ12" s="53">
        <f t="shared" ref="CJ12:CK12" si="18">CJ11-CJ15</f>
        <v>689535507.59000003</v>
      </c>
      <c r="CK12" s="53">
        <f t="shared" si="18"/>
        <v>693582737.78999996</v>
      </c>
      <c r="CL12" s="53">
        <f t="shared" ref="CL12:CN12" si="19">CL11-CL15</f>
        <v>747470763.99000001</v>
      </c>
      <c r="CM12" s="53">
        <f t="shared" ref="CM12:CN12" si="20">CM11-CM15</f>
        <v>742842368.49000001</v>
      </c>
      <c r="CN12" s="53">
        <f t="shared" si="20"/>
        <v>742551117.78999996</v>
      </c>
    </row>
    <row r="13" spans="1:92">
      <c r="A13" s="20"/>
      <c r="B13" s="16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</row>
    <row r="14" spans="1:92" s="14" customFormat="1">
      <c r="A14" s="28">
        <v>5.3</v>
      </c>
      <c r="B14" s="16" t="s">
        <v>237</v>
      </c>
      <c r="C14" s="53" t="e">
        <f>C15+C16+C17+C18+C19+C20+C21</f>
        <v>#REF!</v>
      </c>
      <c r="D14" s="53" t="e">
        <f t="shared" ref="D14:K14" si="21">D15+D16+D17+D18+D19+D20+D21</f>
        <v>#REF!</v>
      </c>
      <c r="E14" s="53" t="e">
        <f>E15+E16+E17+E18+E19+E20+E21</f>
        <v>#REF!</v>
      </c>
      <c r="F14" s="53" t="e">
        <f>F15+F16+F17+F18+F19+F20+F21</f>
        <v>#REF!</v>
      </c>
      <c r="G14" s="53" t="e">
        <f t="shared" si="21"/>
        <v>#REF!</v>
      </c>
      <c r="H14" s="53" t="e">
        <f t="shared" si="21"/>
        <v>#REF!</v>
      </c>
      <c r="I14" s="53" t="e">
        <f t="shared" si="21"/>
        <v>#REF!</v>
      </c>
      <c r="J14" s="53" t="e">
        <f t="shared" si="21"/>
        <v>#REF!</v>
      </c>
      <c r="K14" s="53" t="e">
        <f t="shared" si="21"/>
        <v>#REF!</v>
      </c>
      <c r="L14" s="53" t="e">
        <f>L15+L16+L17+L18+L19+L20+L21</f>
        <v>#REF!</v>
      </c>
      <c r="M14" s="53" t="e">
        <f t="shared" ref="M14:R14" si="22">M15+M16+M17+M18+M19+M20+M21</f>
        <v>#REF!</v>
      </c>
      <c r="N14" s="53" t="e">
        <f t="shared" si="22"/>
        <v>#REF!</v>
      </c>
      <c r="O14" s="53" t="e">
        <f t="shared" si="22"/>
        <v>#REF!</v>
      </c>
      <c r="P14" s="53" t="e">
        <f t="shared" si="22"/>
        <v>#REF!</v>
      </c>
      <c r="Q14" s="53" t="e">
        <f t="shared" si="22"/>
        <v>#REF!</v>
      </c>
      <c r="R14" s="53" t="e">
        <f t="shared" si="22"/>
        <v>#REF!</v>
      </c>
      <c r="S14" s="53" t="e">
        <f t="shared" ref="S14:Y14" si="23">S15+S16+S17+S18+S19+S20+S21</f>
        <v>#REF!</v>
      </c>
      <c r="T14" s="53" t="e">
        <f t="shared" si="23"/>
        <v>#REF!</v>
      </c>
      <c r="U14" s="53" t="e">
        <f t="shared" si="23"/>
        <v>#REF!</v>
      </c>
      <c r="V14" s="53" t="e">
        <f t="shared" si="23"/>
        <v>#REF!</v>
      </c>
      <c r="W14" s="53" t="e">
        <f t="shared" si="23"/>
        <v>#REF!</v>
      </c>
      <c r="X14" s="53" t="e">
        <f t="shared" si="23"/>
        <v>#REF!</v>
      </c>
      <c r="Y14" s="53" t="e">
        <f t="shared" si="23"/>
        <v>#REF!</v>
      </c>
      <c r="Z14" s="53" t="e">
        <f t="shared" ref="Z14:AF14" si="24">Z15+Z16+Z17+Z18+Z19+Z20+Z21</f>
        <v>#REF!</v>
      </c>
      <c r="AA14" s="53" t="e">
        <f t="shared" si="24"/>
        <v>#REF!</v>
      </c>
      <c r="AB14" s="53" t="e">
        <f t="shared" si="24"/>
        <v>#REF!</v>
      </c>
      <c r="AC14" s="53" t="e">
        <f t="shared" si="24"/>
        <v>#REF!</v>
      </c>
      <c r="AD14" s="53" t="e">
        <f t="shared" si="24"/>
        <v>#REF!</v>
      </c>
      <c r="AE14" s="53" t="e">
        <f t="shared" si="24"/>
        <v>#REF!</v>
      </c>
      <c r="AF14" s="53" t="e">
        <f t="shared" si="24"/>
        <v>#REF!</v>
      </c>
      <c r="AG14" s="53" t="e">
        <f t="shared" ref="AG14:AY14" si="25">AG15+AG16+AG17+AG18+AG19+AG20+AG21</f>
        <v>#REF!</v>
      </c>
      <c r="AH14" s="53" t="e">
        <f t="shared" si="25"/>
        <v>#REF!</v>
      </c>
      <c r="AI14" s="53" t="e">
        <f>AI15+AI16+AI17+AI18+AI19+AI20+AI21</f>
        <v>#REF!</v>
      </c>
      <c r="AJ14" s="53" t="e">
        <f>AJ15+AJ16+AJ17+AJ18+AJ19+AJ20+AJ21</f>
        <v>#REF!</v>
      </c>
      <c r="AK14" s="53" t="e">
        <f>AK15+AK16+AK17+AK18+AK19+AK20+AK21</f>
        <v>#REF!</v>
      </c>
      <c r="AL14" s="53" t="e">
        <f>AL15+AL16+AL17+AL18+AL19+AL20+AL21</f>
        <v>#REF!</v>
      </c>
      <c r="AM14" s="53" t="e">
        <f>AM15+AM16+AM17+AM18+AM19+AM20+AM21</f>
        <v>#REF!</v>
      </c>
      <c r="AN14" s="53" t="e">
        <f t="shared" si="25"/>
        <v>#REF!</v>
      </c>
      <c r="AO14" s="53" t="e">
        <f t="shared" si="25"/>
        <v>#REF!</v>
      </c>
      <c r="AP14" s="53" t="e">
        <f t="shared" si="25"/>
        <v>#REF!</v>
      </c>
      <c r="AQ14" s="53" t="e">
        <f t="shared" si="25"/>
        <v>#REF!</v>
      </c>
      <c r="AR14" s="53" t="e">
        <f t="shared" si="25"/>
        <v>#REF!</v>
      </c>
      <c r="AS14" s="53">
        <f t="shared" si="25"/>
        <v>35293281</v>
      </c>
      <c r="AT14" s="53">
        <f t="shared" si="25"/>
        <v>643050.81999999995</v>
      </c>
      <c r="AU14" s="53">
        <f t="shared" si="25"/>
        <v>594132.90999999992</v>
      </c>
      <c r="AV14" s="53">
        <f t="shared" si="25"/>
        <v>592523.31000000006</v>
      </c>
      <c r="AW14" s="53">
        <f t="shared" si="25"/>
        <v>643639.20000000007</v>
      </c>
      <c r="AX14" s="53">
        <f t="shared" si="25"/>
        <v>691754.71000000008</v>
      </c>
      <c r="AY14" s="53">
        <f t="shared" si="25"/>
        <v>650023.38</v>
      </c>
      <c r="AZ14" s="53" t="e">
        <f t="shared" ref="AZ14:BF14" si="26">AZ15+AZ16+AZ17+AZ18+AZ19+AZ20+AZ21</f>
        <v>#REF!</v>
      </c>
      <c r="BA14" s="53">
        <f t="shared" si="26"/>
        <v>669730.6100000001</v>
      </c>
      <c r="BB14" s="53">
        <f t="shared" si="26"/>
        <v>681995.51</v>
      </c>
      <c r="BC14" s="53">
        <f t="shared" si="26"/>
        <v>697365.69000000006</v>
      </c>
      <c r="BD14" s="53">
        <f t="shared" si="26"/>
        <v>695560.23</v>
      </c>
      <c r="BE14" s="53">
        <f t="shared" si="26"/>
        <v>731101.00000000012</v>
      </c>
      <c r="BF14" s="53">
        <f t="shared" si="26"/>
        <v>775489432</v>
      </c>
      <c r="BG14" s="53">
        <f t="shared" ref="BG14:BS14" si="27">BG15+BG16+BG17+BG18+BG19+BG20+BG21</f>
        <v>696383.45000000007</v>
      </c>
      <c r="BH14" s="53">
        <f t="shared" si="27"/>
        <v>679248.60000000009</v>
      </c>
      <c r="BI14" s="53">
        <f t="shared" si="27"/>
        <v>692696.60000000009</v>
      </c>
      <c r="BJ14" s="53">
        <f t="shared" si="27"/>
        <v>749553.69000000006</v>
      </c>
      <c r="BK14" s="53">
        <f t="shared" si="27"/>
        <v>754565.85</v>
      </c>
      <c r="BL14" s="53">
        <f t="shared" si="27"/>
        <v>781187.46000000008</v>
      </c>
      <c r="BM14" s="53">
        <f t="shared" si="27"/>
        <v>761886.22</v>
      </c>
      <c r="BN14" s="53">
        <f t="shared" si="27"/>
        <v>755667.1</v>
      </c>
      <c r="BO14" s="53">
        <f t="shared" si="27"/>
        <v>814074.95999999985</v>
      </c>
      <c r="BP14" s="53">
        <f t="shared" si="27"/>
        <v>824476.76</v>
      </c>
      <c r="BQ14" s="53">
        <f t="shared" si="27"/>
        <v>839882.23</v>
      </c>
      <c r="BR14" s="53">
        <f t="shared" si="27"/>
        <v>876669.13000000012</v>
      </c>
      <c r="BS14" s="53">
        <f t="shared" si="27"/>
        <v>906942121</v>
      </c>
      <c r="BT14" s="53">
        <f t="shared" ref="BT14:BW14" si="28">BT15+BT16+BT17+BT18+BT19+BT20+BT21</f>
        <v>845193756.73000002</v>
      </c>
      <c r="BU14" s="53">
        <f t="shared" si="28"/>
        <v>846996561.63</v>
      </c>
      <c r="BV14" s="53">
        <f t="shared" si="28"/>
        <v>844309898.3499999</v>
      </c>
      <c r="BW14" s="53">
        <f t="shared" si="28"/>
        <v>849456750.07000005</v>
      </c>
      <c r="BX14" s="53">
        <f t="shared" ref="BX14:CG14" si="29">BX15+BX16+BX17+BX18+BX19+BX20+BX21</f>
        <v>845427747.73000014</v>
      </c>
      <c r="BY14" s="53">
        <f t="shared" si="29"/>
        <v>894850784.75</v>
      </c>
      <c r="BZ14" s="53">
        <f t="shared" si="29"/>
        <v>895073837.38000011</v>
      </c>
      <c r="CA14" s="53">
        <f t="shared" si="29"/>
        <v>888834470.18999994</v>
      </c>
      <c r="CB14" s="53">
        <f t="shared" si="29"/>
        <v>899156737.78999996</v>
      </c>
      <c r="CC14" s="53">
        <f t="shared" si="29"/>
        <v>898914117.49000001</v>
      </c>
      <c r="CD14" s="53">
        <f t="shared" si="29"/>
        <v>903102334.36000001</v>
      </c>
      <c r="CE14" s="53">
        <f t="shared" si="29"/>
        <v>927414758.01000011</v>
      </c>
      <c r="CF14" s="53">
        <f t="shared" si="29"/>
        <v>948536186</v>
      </c>
      <c r="CG14" s="53">
        <f t="shared" ref="CG14:CI14" si="30">CG15+CG16+CG17+CG18+CG19+CG20+CG21</f>
        <v>959402010.56000006</v>
      </c>
      <c r="CH14" s="53">
        <f t="shared" si="30"/>
        <v>955203465.13</v>
      </c>
      <c r="CI14" s="53">
        <f t="shared" si="30"/>
        <v>927908079.56999993</v>
      </c>
      <c r="CJ14" s="53">
        <f t="shared" ref="CJ14:CK14" si="31">CJ15+CJ16+CJ17+CJ18+CJ19+CJ20+CJ21</f>
        <v>932924609.88999999</v>
      </c>
      <c r="CK14" s="53">
        <f t="shared" si="31"/>
        <v>942704211.4799999</v>
      </c>
      <c r="CL14" s="53">
        <f t="shared" ref="CL14:CN14" si="32">CL15+CL16+CL17+CL18+CL19+CL20+CL21</f>
        <v>1001602621.54</v>
      </c>
      <c r="CM14" s="53">
        <f t="shared" ref="CM14:CN14" si="33">CM15+CM16+CM17+CM18+CM19+CM20+CM21</f>
        <v>1003140040.01</v>
      </c>
      <c r="CN14" s="53">
        <f t="shared" si="33"/>
        <v>1007656929.1899999</v>
      </c>
    </row>
    <row r="15" spans="1:92">
      <c r="A15" s="20" t="s">
        <v>238</v>
      </c>
      <c r="B15" s="21" t="s">
        <v>239</v>
      </c>
      <c r="C15" s="52" t="e">
        <f>'Evolutive SFP'!#REF!</f>
        <v>#REF!</v>
      </c>
      <c r="D15" s="52" t="e">
        <f>'Evolutive SFP'!#REF!</f>
        <v>#REF!</v>
      </c>
      <c r="E15" s="52" t="e">
        <f>'Evolutive SFP'!#REF!</f>
        <v>#REF!</v>
      </c>
      <c r="F15" s="52" t="e">
        <f>'Evolutive SFP'!#REF!</f>
        <v>#REF!</v>
      </c>
      <c r="G15" s="52" t="e">
        <f>'Evolutive SFP'!#REF!</f>
        <v>#REF!</v>
      </c>
      <c r="H15" s="52" t="e">
        <f>'Evolutive SFP'!#REF!</f>
        <v>#REF!</v>
      </c>
      <c r="I15" s="52" t="e">
        <f>'Evolutive SFP'!#REF!</f>
        <v>#REF!</v>
      </c>
      <c r="J15" s="52" t="e">
        <f>'Evolutive SFP'!#REF!</f>
        <v>#REF!</v>
      </c>
      <c r="K15" s="52" t="e">
        <f>'Evolutive SFP'!#REF!</f>
        <v>#REF!</v>
      </c>
      <c r="L15" s="52" t="e">
        <f>'Evolutive SFP'!#REF!</f>
        <v>#REF!</v>
      </c>
      <c r="M15" s="52" t="e">
        <f>'Evolutive SFP'!#REF!</f>
        <v>#REF!</v>
      </c>
      <c r="N15" s="52" t="e">
        <f>'Evolutive SFP'!#REF!</f>
        <v>#REF!</v>
      </c>
      <c r="O15" s="52" t="e">
        <f>'Evolutive SFP'!#REF!</f>
        <v>#REF!</v>
      </c>
      <c r="P15" s="52" t="e">
        <f>'Evolutive SFP'!#REF!</f>
        <v>#REF!</v>
      </c>
      <c r="Q15" s="52" t="e">
        <f>'Evolutive SFP'!#REF!</f>
        <v>#REF!</v>
      </c>
      <c r="R15" s="52" t="e">
        <f>'Evolutive SFP'!#REF!</f>
        <v>#REF!</v>
      </c>
      <c r="S15" s="52" t="e">
        <f>'Evolutive SFP'!#REF!</f>
        <v>#REF!</v>
      </c>
      <c r="T15" s="52" t="e">
        <f>'Evolutive SFP'!#REF!</f>
        <v>#REF!</v>
      </c>
      <c r="U15" s="52" t="e">
        <f>'Evolutive SFP'!#REF!</f>
        <v>#REF!</v>
      </c>
      <c r="V15" s="52" t="e">
        <f>'Evolutive SFP'!#REF!</f>
        <v>#REF!</v>
      </c>
      <c r="W15" s="52" t="e">
        <f>'Evolutive SFP'!#REF!</f>
        <v>#REF!</v>
      </c>
      <c r="X15" s="52" t="e">
        <f>'Evolutive SFP'!#REF!</f>
        <v>#REF!</v>
      </c>
      <c r="Y15" s="52" t="e">
        <f>'Evolutive SFP'!#REF!</f>
        <v>#REF!</v>
      </c>
      <c r="Z15" s="52" t="e">
        <f>'Evolutive SFP'!#REF!</f>
        <v>#REF!</v>
      </c>
      <c r="AA15" s="52" t="e">
        <f>'Evolutive SFP'!#REF!</f>
        <v>#REF!</v>
      </c>
      <c r="AB15" s="52" t="e">
        <f>'Evolutive SFP'!#REF!</f>
        <v>#REF!</v>
      </c>
      <c r="AC15" s="52" t="e">
        <f>'Evolutive SFP'!#REF!</f>
        <v>#REF!</v>
      </c>
      <c r="AD15" s="52" t="e">
        <f>'Evolutive SFP'!#REF!</f>
        <v>#REF!</v>
      </c>
      <c r="AE15" s="52" t="e">
        <f>'Evolutive SFP'!#REF!</f>
        <v>#REF!</v>
      </c>
      <c r="AF15" s="52" t="e">
        <f>'Evolutive SFP'!#REF!</f>
        <v>#REF!</v>
      </c>
      <c r="AG15" s="52" t="e">
        <f>'Evolutive SFP'!#REF!</f>
        <v>#REF!</v>
      </c>
      <c r="AH15" s="52" t="e">
        <f>'Evolutive SFP'!#REF!</f>
        <v>#REF!</v>
      </c>
      <c r="AI15" s="52" t="e">
        <f>'Evolutive SFP'!#REF!</f>
        <v>#REF!</v>
      </c>
      <c r="AJ15" s="52" t="e">
        <f>'Evolutive SFP'!#REF!</f>
        <v>#REF!</v>
      </c>
      <c r="AK15" s="52" t="e">
        <f>'Evolutive SFP'!#REF!</f>
        <v>#REF!</v>
      </c>
      <c r="AL15" s="52" t="e">
        <f>'Evolutive SFP'!#REF!</f>
        <v>#REF!</v>
      </c>
      <c r="AM15" s="52" t="e">
        <f>'Evolutive SFP'!#REF!</f>
        <v>#REF!</v>
      </c>
      <c r="AN15" s="52" t="e">
        <f>'Evolutive SFP'!#REF!</f>
        <v>#REF!</v>
      </c>
      <c r="AO15" s="52" t="e">
        <f>'Evolutive SFP'!#REF!</f>
        <v>#REF!</v>
      </c>
      <c r="AP15" s="52" t="e">
        <f>'Evolutive SFP'!#REF!</f>
        <v>#REF!</v>
      </c>
      <c r="AQ15" s="52" t="e">
        <f>'Evolutive SFP'!#REF!</f>
        <v>#REF!</v>
      </c>
      <c r="AR15" s="52" t="e">
        <f>'Evolutive SFP'!#REF!</f>
        <v>#REF!</v>
      </c>
      <c r="AS15" s="52">
        <f>'Evolutive SFP'!B39</f>
        <v>18970134</v>
      </c>
      <c r="AT15" s="52">
        <f>'Evolutive SFP'!C39</f>
        <v>182486.39</v>
      </c>
      <c r="AU15" s="52">
        <f>'Evolutive SFP'!D39</f>
        <v>183425.59</v>
      </c>
      <c r="AV15" s="52">
        <f>'Evolutive SFP'!E39</f>
        <v>184649.41</v>
      </c>
      <c r="AW15" s="52">
        <f>'Evolutive SFP'!F39</f>
        <v>184691.41</v>
      </c>
      <c r="AX15" s="52">
        <f>'Evolutive SFP'!G39</f>
        <v>185829</v>
      </c>
      <c r="AY15" s="52">
        <f>'Evolutive SFP'!H39</f>
        <v>186876.42</v>
      </c>
      <c r="AZ15" s="52" t="e">
        <f>'Evolutive SFP'!#REF!</f>
        <v>#REF!</v>
      </c>
      <c r="BA15" s="52">
        <f>'Evolutive SFP'!I39</f>
        <v>188826.42</v>
      </c>
      <c r="BB15" s="52">
        <f>'Evolutive SFP'!J39</f>
        <v>189342.42</v>
      </c>
      <c r="BC15" s="52">
        <f>'Evolutive SFP'!K39</f>
        <v>190311.74</v>
      </c>
      <c r="BD15" s="52">
        <f>'Evolutive SFP'!L39</f>
        <v>190771.94</v>
      </c>
      <c r="BE15" s="52">
        <f>'Evolutive SFP'!M39</f>
        <v>191310.14</v>
      </c>
      <c r="BF15" s="52">
        <f>'Evolutive SFP'!N39</f>
        <v>191287939</v>
      </c>
      <c r="BG15" s="52">
        <f>'Evolutive SFP'!O39</f>
        <v>192296.14</v>
      </c>
      <c r="BH15" s="52">
        <f>'Evolutive SFP'!P39</f>
        <v>192676.34</v>
      </c>
      <c r="BI15" s="52">
        <f>'Evolutive SFP'!Q39</f>
        <v>193182.94</v>
      </c>
      <c r="BJ15" s="52">
        <f>'Evolutive SFP'!R39</f>
        <v>194221.94</v>
      </c>
      <c r="BK15" s="52">
        <f>'Evolutive SFP'!S39</f>
        <v>195341.47</v>
      </c>
      <c r="BL15" s="52">
        <f>'Evolutive SFP'!T39</f>
        <v>196489.31</v>
      </c>
      <c r="BM15" s="52">
        <f>'Evolutive SFP'!U39</f>
        <v>197709.31</v>
      </c>
      <c r="BN15" s="52">
        <f>'Evolutive SFP'!V39</f>
        <v>198169.31</v>
      </c>
      <c r="BO15" s="52">
        <f>'Evolutive SFP'!W39</f>
        <v>200492.12</v>
      </c>
      <c r="BP15" s="52">
        <f>'Evolutive SFP'!X39</f>
        <v>201143.69</v>
      </c>
      <c r="BQ15" s="52">
        <f>'Evolutive SFP'!Y39</f>
        <v>202339.19</v>
      </c>
      <c r="BR15" s="52">
        <f>'Evolutive SFP'!Z39</f>
        <v>204354.23</v>
      </c>
      <c r="BS15" s="52">
        <f>'Evolutive SFP'!AA39</f>
        <v>204354229</v>
      </c>
      <c r="BT15" s="52">
        <f>'Evolutive SFP'!AB39</f>
        <v>204394229</v>
      </c>
      <c r="BU15" s="52">
        <f>'Evolutive SFP'!AC39</f>
        <v>205224229</v>
      </c>
      <c r="BV15" s="52">
        <f>'Evolutive SFP'!AD39</f>
        <v>208952661</v>
      </c>
      <c r="BW15" s="52">
        <f>'Evolutive SFP'!AE39</f>
        <v>210951661</v>
      </c>
      <c r="BX15" s="52">
        <f>'Evolutive SFP'!AF39</f>
        <v>211314384.94999999</v>
      </c>
      <c r="BY15" s="52">
        <f>'Evolutive SFP'!AG39</f>
        <v>211314384.94999999</v>
      </c>
      <c r="BZ15" s="52">
        <f>'Evolutive SFP'!AH39</f>
        <v>214398769.94999999</v>
      </c>
      <c r="CA15" s="52">
        <f>'Evolutive SFP'!AI39</f>
        <v>215946269.94999999</v>
      </c>
      <c r="CB15" s="52">
        <f>'Evolutive SFP'!AJ39</f>
        <v>217119009.94999999</v>
      </c>
      <c r="CC15" s="52">
        <f>'Evolutive SFP'!AK39</f>
        <v>218398405.94999999</v>
      </c>
      <c r="CD15" s="52">
        <f>'Evolutive SFP'!AL39</f>
        <v>219367405.94999999</v>
      </c>
      <c r="CE15" s="52">
        <f>'Evolutive SFP'!AM39</f>
        <v>220879405.94999999</v>
      </c>
      <c r="CF15" s="52">
        <f>'Evolutive SFP'!AN39</f>
        <v>220601770</v>
      </c>
      <c r="CG15" s="52">
        <f>'Evolutive SFP'!AO39</f>
        <v>221841405.94999999</v>
      </c>
      <c r="CH15" s="52">
        <f>'Evolutive SFP'!AP39</f>
        <v>223465770.41</v>
      </c>
      <c r="CI15" s="52">
        <f>'Evolutive SFP'!AQ39</f>
        <v>227247383.41</v>
      </c>
      <c r="CJ15" s="52">
        <f>'Evolutive SFP'!AR39</f>
        <v>228177283.41</v>
      </c>
      <c r="CK15" s="52">
        <f>'Evolutive SFP'!AS39</f>
        <v>229958283.41</v>
      </c>
      <c r="CL15" s="52">
        <f>'Evolutive SFP'!AT39</f>
        <v>231028961.41</v>
      </c>
      <c r="CM15" s="52">
        <f>'Evolutive SFP'!AU39</f>
        <v>233102392.41</v>
      </c>
      <c r="CN15" s="52">
        <f>'Evolutive SFP'!AV39</f>
        <v>233916892.41</v>
      </c>
    </row>
    <row r="16" spans="1:92">
      <c r="A16" s="20" t="s">
        <v>240</v>
      </c>
      <c r="B16" s="22" t="s">
        <v>241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</row>
    <row r="17" spans="1:92">
      <c r="A17" s="20" t="s">
        <v>242</v>
      </c>
      <c r="B17" s="19" t="s">
        <v>243</v>
      </c>
      <c r="C17" s="52" t="e">
        <f>'Evolutive SFP'!#REF!</f>
        <v>#REF!</v>
      </c>
      <c r="D17" s="52" t="e">
        <f>'Evolutive SFP'!#REF!</f>
        <v>#REF!</v>
      </c>
      <c r="E17" s="52" t="e">
        <f>'Evolutive SFP'!#REF!</f>
        <v>#REF!</v>
      </c>
      <c r="F17" s="52" t="e">
        <f>'Evolutive SFP'!#REF!</f>
        <v>#REF!</v>
      </c>
      <c r="G17" s="52" t="e">
        <f>'Evolutive SFP'!#REF!</f>
        <v>#REF!</v>
      </c>
      <c r="H17" s="52" t="e">
        <f>'Evolutive SFP'!#REF!</f>
        <v>#REF!</v>
      </c>
      <c r="I17" s="52" t="e">
        <f>'Evolutive SFP'!#REF!</f>
        <v>#REF!</v>
      </c>
      <c r="J17" s="52" t="e">
        <f>'Evolutive SFP'!#REF!</f>
        <v>#REF!</v>
      </c>
      <c r="K17" s="52" t="e">
        <f>'Evolutive SFP'!#REF!</f>
        <v>#REF!</v>
      </c>
      <c r="L17" s="52" t="e">
        <f>'Evolutive SFP'!#REF!</f>
        <v>#REF!</v>
      </c>
      <c r="M17" s="52" t="e">
        <f>'Evolutive SFP'!#REF!</f>
        <v>#REF!</v>
      </c>
      <c r="N17" s="52" t="e">
        <f>'Evolutive SFP'!#REF!</f>
        <v>#REF!</v>
      </c>
      <c r="O17" s="52" t="e">
        <f>'Evolutive SFP'!#REF!</f>
        <v>#REF!</v>
      </c>
      <c r="P17" s="52" t="e">
        <f>'Evolutive SFP'!#REF!</f>
        <v>#REF!</v>
      </c>
      <c r="Q17" s="52" t="e">
        <f>'Evolutive SFP'!#REF!</f>
        <v>#REF!</v>
      </c>
      <c r="R17" s="52" t="e">
        <f>'Evolutive SFP'!#REF!</f>
        <v>#REF!</v>
      </c>
      <c r="S17" s="52" t="e">
        <f>'Evolutive SFP'!#REF!</f>
        <v>#REF!</v>
      </c>
      <c r="T17" s="52" t="e">
        <f>'Evolutive SFP'!#REF!</f>
        <v>#REF!</v>
      </c>
      <c r="U17" s="52" t="e">
        <f>'Evolutive SFP'!#REF!</f>
        <v>#REF!</v>
      </c>
      <c r="V17" s="52" t="e">
        <f>'Evolutive SFP'!#REF!</f>
        <v>#REF!</v>
      </c>
      <c r="W17" s="52" t="e">
        <f>'Evolutive SFP'!#REF!</f>
        <v>#REF!</v>
      </c>
      <c r="X17" s="52" t="e">
        <f>'Evolutive SFP'!#REF!</f>
        <v>#REF!</v>
      </c>
      <c r="Y17" s="52" t="e">
        <f>'Evolutive SFP'!#REF!</f>
        <v>#REF!</v>
      </c>
      <c r="Z17" s="52" t="e">
        <f>'Evolutive SFP'!#REF!</f>
        <v>#REF!</v>
      </c>
      <c r="AA17" s="52" t="e">
        <f>'Evolutive SFP'!#REF!</f>
        <v>#REF!</v>
      </c>
      <c r="AB17" s="52" t="e">
        <f>'Evolutive SFP'!#REF!</f>
        <v>#REF!</v>
      </c>
      <c r="AC17" s="52" t="e">
        <f>'Evolutive SFP'!#REF!</f>
        <v>#REF!</v>
      </c>
      <c r="AD17" s="52" t="e">
        <f>'Evolutive SFP'!#REF!</f>
        <v>#REF!</v>
      </c>
      <c r="AE17" s="52" t="e">
        <f>'Evolutive SFP'!#REF!</f>
        <v>#REF!</v>
      </c>
      <c r="AF17" s="52" t="e">
        <f>'Evolutive SFP'!#REF!</f>
        <v>#REF!</v>
      </c>
      <c r="AG17" s="52" t="e">
        <f>'Evolutive SFP'!#REF!</f>
        <v>#REF!</v>
      </c>
      <c r="AH17" s="52" t="e">
        <f>'Evolutive SFP'!#REF!</f>
        <v>#REF!</v>
      </c>
      <c r="AI17" s="52" t="e">
        <f>'Evolutive SFP'!#REF!</f>
        <v>#REF!</v>
      </c>
      <c r="AJ17" s="52" t="e">
        <f>'Evolutive SFP'!#REF!</f>
        <v>#REF!</v>
      </c>
      <c r="AK17" s="52" t="e">
        <f>'Evolutive SFP'!#REF!</f>
        <v>#REF!</v>
      </c>
      <c r="AL17" s="52" t="e">
        <f>'Evolutive SFP'!#REF!</f>
        <v>#REF!</v>
      </c>
      <c r="AM17" s="52" t="e">
        <f>'Evolutive SFP'!#REF!</f>
        <v>#REF!</v>
      </c>
      <c r="AN17" s="52" t="e">
        <f>'Evolutive SFP'!#REF!</f>
        <v>#REF!</v>
      </c>
      <c r="AO17" s="52" t="e">
        <f>'Evolutive SFP'!#REF!</f>
        <v>#REF!</v>
      </c>
      <c r="AP17" s="52" t="e">
        <f>'Evolutive SFP'!#REF!</f>
        <v>#REF!</v>
      </c>
      <c r="AQ17" s="52" t="e">
        <f>'Evolutive SFP'!#REF!</f>
        <v>#REF!</v>
      </c>
      <c r="AR17" s="52" t="e">
        <f>'Evolutive SFP'!#REF!</f>
        <v>#REF!</v>
      </c>
      <c r="AS17" s="52">
        <f>'Evolutive SFP'!B41</f>
        <v>10520537</v>
      </c>
      <c r="AT17" s="52">
        <f>'Evolutive SFP'!C41</f>
        <v>361564.84</v>
      </c>
      <c r="AU17" s="52">
        <f>'Evolutive SFP'!D41</f>
        <v>274938.86</v>
      </c>
      <c r="AV17" s="52">
        <f>'Evolutive SFP'!E41</f>
        <v>274938.86</v>
      </c>
      <c r="AW17" s="52">
        <f>'Evolutive SFP'!F41</f>
        <v>274938.86</v>
      </c>
      <c r="AX17" s="52">
        <f>'Evolutive SFP'!G41</f>
        <v>274938.86</v>
      </c>
      <c r="AY17" s="52">
        <f>'Evolutive SFP'!H41</f>
        <v>274938.86</v>
      </c>
      <c r="AZ17" s="52" t="e">
        <f>'Evolutive SFP'!#REF!</f>
        <v>#REF!</v>
      </c>
      <c r="BA17" s="52">
        <f>'Evolutive SFP'!I41</f>
        <v>274938.86</v>
      </c>
      <c r="BB17" s="52">
        <f>'Evolutive SFP'!J41</f>
        <v>274938.86</v>
      </c>
      <c r="BC17" s="52">
        <f>'Evolutive SFP'!K41</f>
        <v>274938.86</v>
      </c>
      <c r="BD17" s="52">
        <f>'Evolutive SFP'!L41</f>
        <v>274938.86</v>
      </c>
      <c r="BE17" s="52">
        <f>'Evolutive SFP'!M41</f>
        <v>274938.86</v>
      </c>
      <c r="BF17" s="52">
        <f>'Evolutive SFP'!N41</f>
        <v>274955772</v>
      </c>
      <c r="BG17" s="52">
        <f>'Evolutive SFP'!O41</f>
        <v>401563.2</v>
      </c>
      <c r="BH17" s="52">
        <f>'Evolutive SFP'!P41</f>
        <v>361219.33</v>
      </c>
      <c r="BI17" s="52">
        <f>'Evolutive SFP'!Q41</f>
        <v>361219.33</v>
      </c>
      <c r="BJ17" s="52">
        <f>'Evolutive SFP'!R41</f>
        <v>361219.33</v>
      </c>
      <c r="BK17" s="52">
        <f>'Evolutive SFP'!S41</f>
        <v>361219.33</v>
      </c>
      <c r="BL17" s="52">
        <f>'Evolutive SFP'!T41</f>
        <v>361219.33</v>
      </c>
      <c r="BM17" s="52">
        <f>'Evolutive SFP'!U41</f>
        <v>361219.33</v>
      </c>
      <c r="BN17" s="52">
        <f>'Evolutive SFP'!V41</f>
        <v>361219.33</v>
      </c>
      <c r="BO17" s="52">
        <f>'Evolutive SFP'!W41</f>
        <v>361219.33</v>
      </c>
      <c r="BP17" s="52">
        <f>'Evolutive SFP'!X41</f>
        <v>361219.33</v>
      </c>
      <c r="BQ17" s="52">
        <f>'Evolutive SFP'!Y41</f>
        <v>361219.33</v>
      </c>
      <c r="BR17" s="52">
        <f>'Evolutive SFP'!Z41</f>
        <v>361219.33</v>
      </c>
      <c r="BS17" s="52">
        <f>'Evolutive SFP'!AA41</f>
        <v>361237243</v>
      </c>
      <c r="BT17" s="52">
        <f>'Evolutive SFP'!AB41</f>
        <v>477214465.94999999</v>
      </c>
      <c r="BU17" s="52">
        <f>'Evolutive SFP'!AC41</f>
        <v>442110065</v>
      </c>
      <c r="BV17" s="52">
        <f>'Evolutive SFP'!AD41</f>
        <v>442110065</v>
      </c>
      <c r="BW17" s="52">
        <f>'Evolutive SFP'!AE41</f>
        <v>442110065</v>
      </c>
      <c r="BX17" s="52">
        <f>'Evolutive SFP'!AF41</f>
        <v>442110065</v>
      </c>
      <c r="BY17" s="52">
        <f>'Evolutive SFP'!AG41</f>
        <v>442110065</v>
      </c>
      <c r="BZ17" s="52">
        <f>'Evolutive SFP'!AH41</f>
        <v>442110065</v>
      </c>
      <c r="CA17" s="52">
        <f>'Evolutive SFP'!AI41</f>
        <v>424493844.94999999</v>
      </c>
      <c r="CB17" s="52">
        <f>'Evolutive SFP'!AJ41</f>
        <v>424493844.94999999</v>
      </c>
      <c r="CC17" s="52">
        <f>'Evolutive SFP'!AK41</f>
        <v>424493844.94999999</v>
      </c>
      <c r="CD17" s="52">
        <f>'Evolutive SFP'!AL41</f>
        <v>424493844.94999999</v>
      </c>
      <c r="CE17" s="52">
        <f>'Evolutive SFP'!AM41</f>
        <v>381779098.24000001</v>
      </c>
      <c r="CF17" s="52">
        <f>'Evolutive SFP'!AN41</f>
        <v>432244000</v>
      </c>
      <c r="CG17" s="52">
        <f>'Evolutive SFP'!AO41</f>
        <v>514641484.72000003</v>
      </c>
      <c r="CH17" s="52">
        <f>'Evolutive SFP'!AP41</f>
        <v>466744944.99000001</v>
      </c>
      <c r="CI17" s="52">
        <f>'Evolutive SFP'!AQ41</f>
        <v>466744944.99000001</v>
      </c>
      <c r="CJ17" s="52">
        <f>'Evolutive SFP'!AR41</f>
        <v>466744944.99000001</v>
      </c>
      <c r="CK17" s="52">
        <f>'Evolutive SFP'!AS41</f>
        <v>466744944.99000001</v>
      </c>
      <c r="CL17" s="52">
        <f>'Evolutive SFP'!AT41</f>
        <v>466744944.99000001</v>
      </c>
      <c r="CM17" s="52">
        <f>'Evolutive SFP'!AU41</f>
        <v>466744944.99000001</v>
      </c>
      <c r="CN17" s="52">
        <f>'Evolutive SFP'!AV41</f>
        <v>466744944.99000001</v>
      </c>
    </row>
    <row r="18" spans="1:92">
      <c r="A18" s="20" t="s">
        <v>244</v>
      </c>
      <c r="B18" s="19" t="s">
        <v>245</v>
      </c>
      <c r="C18" s="52" t="e">
        <f>'Evolutive SFP'!#REF!</f>
        <v>#REF!</v>
      </c>
      <c r="D18" s="52" t="e">
        <f>'Evolutive SFP'!#REF!</f>
        <v>#REF!</v>
      </c>
      <c r="E18" s="52" t="e">
        <f>'Evolutive SFP'!#REF!</f>
        <v>#REF!</v>
      </c>
      <c r="F18" s="52" t="e">
        <f>'Evolutive SFP'!#REF!</f>
        <v>#REF!</v>
      </c>
      <c r="G18" s="52" t="e">
        <f>'Evolutive SFP'!#REF!</f>
        <v>#REF!</v>
      </c>
      <c r="H18" s="52" t="e">
        <f>'Evolutive SFP'!#REF!</f>
        <v>#REF!</v>
      </c>
      <c r="I18" s="52" t="e">
        <f>'Evolutive SFP'!#REF!</f>
        <v>#REF!</v>
      </c>
      <c r="J18" s="52" t="e">
        <f>'Evolutive SFP'!#REF!</f>
        <v>#REF!</v>
      </c>
      <c r="K18" s="52" t="e">
        <f>'Evolutive SFP'!#REF!</f>
        <v>#REF!</v>
      </c>
      <c r="L18" s="52" t="e">
        <f>'Evolutive SFP'!#REF!</f>
        <v>#REF!</v>
      </c>
      <c r="M18" s="52" t="e">
        <f>'Evolutive SFP'!#REF!</f>
        <v>#REF!</v>
      </c>
      <c r="N18" s="52" t="e">
        <f>'Evolutive SFP'!#REF!</f>
        <v>#REF!</v>
      </c>
      <c r="O18" s="52" t="e">
        <f>'Evolutive SFP'!#REF!</f>
        <v>#REF!</v>
      </c>
      <c r="P18" s="52" t="e">
        <f>'Evolutive SFP'!#REF!</f>
        <v>#REF!</v>
      </c>
      <c r="Q18" s="52" t="e">
        <f>'Evolutive SFP'!#REF!</f>
        <v>#REF!</v>
      </c>
      <c r="R18" s="52" t="e">
        <f>'Evolutive SFP'!#REF!</f>
        <v>#REF!</v>
      </c>
      <c r="S18" s="52" t="e">
        <f>'Evolutive SFP'!#REF!</f>
        <v>#REF!</v>
      </c>
      <c r="T18" s="52" t="e">
        <f>'Evolutive SFP'!#REF!</f>
        <v>#REF!</v>
      </c>
      <c r="U18" s="52" t="e">
        <f>'Evolutive SFP'!#REF!</f>
        <v>#REF!</v>
      </c>
      <c r="V18" s="52" t="e">
        <f>'Evolutive SFP'!#REF!</f>
        <v>#REF!</v>
      </c>
      <c r="W18" s="52" t="e">
        <f>'Evolutive SFP'!#REF!</f>
        <v>#REF!</v>
      </c>
      <c r="X18" s="52" t="e">
        <f>'Evolutive SFP'!#REF!</f>
        <v>#REF!</v>
      </c>
      <c r="Y18" s="52" t="e">
        <f>'Evolutive SFP'!#REF!</f>
        <v>#REF!</v>
      </c>
      <c r="Z18" s="52" t="e">
        <f>'Evolutive SFP'!#REF!</f>
        <v>#REF!</v>
      </c>
      <c r="AA18" s="52" t="e">
        <f>'Evolutive SFP'!#REF!</f>
        <v>#REF!</v>
      </c>
      <c r="AB18" s="52" t="e">
        <f>'Evolutive SFP'!#REF!</f>
        <v>#REF!</v>
      </c>
      <c r="AC18" s="52" t="e">
        <f>'Evolutive SFP'!#REF!</f>
        <v>#REF!</v>
      </c>
      <c r="AD18" s="52" t="e">
        <f>'Evolutive SFP'!#REF!</f>
        <v>#REF!</v>
      </c>
      <c r="AE18" s="52" t="e">
        <f>'Evolutive SFP'!#REF!</f>
        <v>#REF!</v>
      </c>
      <c r="AF18" s="52" t="e">
        <f>'Evolutive SFP'!#REF!</f>
        <v>#REF!</v>
      </c>
      <c r="AG18" s="52" t="e">
        <f>'Evolutive SFP'!#REF!</f>
        <v>#REF!</v>
      </c>
      <c r="AH18" s="52" t="e">
        <f>'Evolutive SFP'!#REF!</f>
        <v>#REF!</v>
      </c>
      <c r="AI18" s="52" t="e">
        <f>'Evolutive SFP'!#REF!</f>
        <v>#REF!</v>
      </c>
      <c r="AJ18" s="52" t="e">
        <f>'Evolutive SFP'!#REF!</f>
        <v>#REF!</v>
      </c>
      <c r="AK18" s="52" t="e">
        <f>'Evolutive SFP'!#REF!</f>
        <v>#REF!</v>
      </c>
      <c r="AL18" s="52" t="e">
        <f>'Evolutive SFP'!#REF!</f>
        <v>#REF!</v>
      </c>
      <c r="AM18" s="52" t="e">
        <f>'Evolutive SFP'!#REF!</f>
        <v>#REF!</v>
      </c>
      <c r="AN18" s="52" t="e">
        <f>'Evolutive SFP'!#REF!</f>
        <v>#REF!</v>
      </c>
      <c r="AO18" s="52" t="e">
        <f>'Evolutive SFP'!#REF!</f>
        <v>#REF!</v>
      </c>
      <c r="AP18" s="52" t="e">
        <f>'Evolutive SFP'!#REF!</f>
        <v>#REF!</v>
      </c>
      <c r="AQ18" s="52" t="e">
        <f>'Evolutive SFP'!#REF!</f>
        <v>#REF!</v>
      </c>
      <c r="AR18" s="52" t="e">
        <f>'Evolutive SFP'!#REF!</f>
        <v>#REF!</v>
      </c>
      <c r="AS18" s="52">
        <f>'Evolutive SFP'!B42</f>
        <v>17320</v>
      </c>
      <c r="AT18" s="52">
        <f>'Evolutive SFP'!C42</f>
        <v>-929.2</v>
      </c>
      <c r="AU18" s="52">
        <f>'Evolutive SFP'!D42</f>
        <v>16583.599999999999</v>
      </c>
      <c r="AV18" s="52">
        <f>'Evolutive SFP'!E42</f>
        <v>10631.9</v>
      </c>
      <c r="AW18" s="52">
        <f>'Evolutive SFP'!F42</f>
        <v>58625.5</v>
      </c>
      <c r="AX18" s="52">
        <f>'Evolutive SFP'!G42</f>
        <v>102430.39999999999</v>
      </c>
      <c r="AY18" s="52">
        <f>'Evolutive SFP'!H42</f>
        <v>56449.79</v>
      </c>
      <c r="AZ18" s="52" t="e">
        <f>'Evolutive SFP'!#REF!</f>
        <v>#REF!</v>
      </c>
      <c r="BA18" s="52">
        <f>'Evolutive SFP'!I42</f>
        <v>67717.8</v>
      </c>
      <c r="BB18" s="52">
        <f>'Evolutive SFP'!J42</f>
        <v>76242.2</v>
      </c>
      <c r="BC18" s="52">
        <f>'Evolutive SFP'!K42</f>
        <v>87325.8</v>
      </c>
      <c r="BD18" s="52">
        <f>'Evolutive SFP'!L42</f>
        <v>81803.899999999994</v>
      </c>
      <c r="BE18" s="52">
        <f>'Evolutive SFP'!M42</f>
        <v>113519.3</v>
      </c>
      <c r="BF18" s="52">
        <f>'Evolutive SFP'!N42</f>
        <v>86256085</v>
      </c>
      <c r="BG18" s="52">
        <f>'Evolutive SFP'!O42</f>
        <v>-13751.5</v>
      </c>
      <c r="BH18" s="52">
        <f>'Evolutive SFP'!P42</f>
        <v>-25718.6</v>
      </c>
      <c r="BI18" s="52">
        <f>'Evolutive SFP'!Q42</f>
        <v>-12777.2</v>
      </c>
      <c r="BJ18" s="52">
        <f>'Evolutive SFP'!R42</f>
        <v>36515.300000000003</v>
      </c>
      <c r="BK18" s="52">
        <f>'Evolutive SFP'!S42</f>
        <v>37077.599999999999</v>
      </c>
      <c r="BL18" s="52">
        <f>'Evolutive SFP'!T42</f>
        <v>59180.9</v>
      </c>
      <c r="BM18" s="52">
        <f>'Evolutive SFP'!U42</f>
        <v>35242.5</v>
      </c>
      <c r="BN18" s="52">
        <f>'Evolutive SFP'!V42</f>
        <v>25206.89</v>
      </c>
      <c r="BO18" s="52">
        <f>'Evolutive SFP'!W42</f>
        <v>77640.7</v>
      </c>
      <c r="BP18" s="52">
        <f>'Evolutive SFP'!X42</f>
        <v>83940.800000000003</v>
      </c>
      <c r="BQ18" s="52">
        <f>'Evolutive SFP'!Y42</f>
        <v>94579.199999999997</v>
      </c>
      <c r="BR18" s="52">
        <f>'Evolutive SFP'!Z42</f>
        <v>126955.31</v>
      </c>
      <c r="BS18" s="52">
        <f>'Evolutive SFP'!AA42</f>
        <v>84478339</v>
      </c>
      <c r="BT18" s="52">
        <f>'Evolutive SFP'!AB42</f>
        <v>15529500.300000001</v>
      </c>
      <c r="BU18" s="52">
        <f>'Evolutive SFP'!AC42</f>
        <v>16361200</v>
      </c>
      <c r="BV18" s="52">
        <f>'Evolutive SFP'!AD42</f>
        <v>6339279.2999999998</v>
      </c>
      <c r="BW18" s="52">
        <f>'Evolutive SFP'!AE42</f>
        <v>5871320</v>
      </c>
      <c r="BX18" s="52">
        <f>'Evolutive SFP'!AF42</f>
        <v>-2066494.3</v>
      </c>
      <c r="BY18" s="52">
        <f>'Evolutive SFP'!AG42</f>
        <v>43633197.799999997</v>
      </c>
      <c r="BZ18" s="52">
        <f>'Evolutive SFP'!AH42</f>
        <v>37091552.600000001</v>
      </c>
      <c r="CA18" s="52">
        <f>'Evolutive SFP'!AI42</f>
        <v>43141259.299999997</v>
      </c>
      <c r="CB18" s="52">
        <f>'Evolutive SFP'!AJ42</f>
        <v>48515771.399999999</v>
      </c>
      <c r="CC18" s="52">
        <f>'Evolutive SFP'!AK42</f>
        <v>46993755.100000001</v>
      </c>
      <c r="CD18" s="52">
        <f>'Evolutive SFP'!AL42</f>
        <v>42563465.700000003</v>
      </c>
      <c r="CE18" s="52">
        <f>'Evolutive SFP'!AM42</f>
        <v>105546613.59999999</v>
      </c>
      <c r="CF18" s="52">
        <f>'Evolutive SFP'!AN42</f>
        <v>44642289</v>
      </c>
      <c r="CG18" s="52">
        <f>'Evolutive SFP'!AO42</f>
        <v>12122.9</v>
      </c>
      <c r="CH18" s="52">
        <f>'Evolutive SFP'!AP42</f>
        <v>16148758.5</v>
      </c>
      <c r="CI18" s="52">
        <f>'Evolutive SFP'!AQ42</f>
        <v>23907360</v>
      </c>
      <c r="CJ18" s="52">
        <f>'Evolutive SFP'!AR42</f>
        <v>24144810.600000001</v>
      </c>
      <c r="CK18" s="52">
        <f>'Evolutive SFP'!AS42</f>
        <v>28192040.800000001</v>
      </c>
      <c r="CL18" s="52">
        <f>'Evolutive SFP'!AT42</f>
        <v>82080067</v>
      </c>
      <c r="CM18" s="52">
        <f>'Evolutive SFP'!AU42</f>
        <v>77451671.5</v>
      </c>
      <c r="CN18" s="52">
        <f>'Evolutive SFP'!AV42</f>
        <v>77160420.799999997</v>
      </c>
    </row>
    <row r="19" spans="1:92">
      <c r="A19" s="20" t="s">
        <v>246</v>
      </c>
      <c r="B19" s="19" t="s">
        <v>43</v>
      </c>
      <c r="C19" s="52" t="e">
        <f>'Evolutive SFP'!#REF!</f>
        <v>#REF!</v>
      </c>
      <c r="D19" s="52" t="e">
        <f>'Evolutive SFP'!#REF!</f>
        <v>#REF!</v>
      </c>
      <c r="E19" s="52" t="e">
        <f>'Evolutive SFP'!#REF!</f>
        <v>#REF!</v>
      </c>
      <c r="F19" s="52" t="e">
        <f>'Evolutive SFP'!#REF!</f>
        <v>#REF!</v>
      </c>
      <c r="G19" s="52" t="e">
        <f>'Evolutive SFP'!#REF!</f>
        <v>#REF!</v>
      </c>
      <c r="H19" s="52" t="e">
        <f>'Evolutive SFP'!#REF!</f>
        <v>#REF!</v>
      </c>
      <c r="I19" s="52" t="e">
        <f>'Evolutive SFP'!#REF!</f>
        <v>#REF!</v>
      </c>
      <c r="J19" s="52" t="e">
        <f>'Evolutive SFP'!#REF!</f>
        <v>#REF!</v>
      </c>
      <c r="K19" s="52" t="e">
        <f>'Evolutive SFP'!#REF!</f>
        <v>#REF!</v>
      </c>
      <c r="L19" s="52" t="e">
        <f>'Evolutive SFP'!#REF!</f>
        <v>#REF!</v>
      </c>
      <c r="M19" s="52" t="e">
        <f>'Evolutive SFP'!#REF!</f>
        <v>#REF!</v>
      </c>
      <c r="N19" s="52" t="e">
        <f>'Evolutive SFP'!#REF!</f>
        <v>#REF!</v>
      </c>
      <c r="O19" s="52" t="e">
        <f>'Evolutive SFP'!#REF!</f>
        <v>#REF!</v>
      </c>
      <c r="P19" s="52" t="e">
        <f>'Evolutive SFP'!#REF!</f>
        <v>#REF!</v>
      </c>
      <c r="Q19" s="52" t="e">
        <f>'Evolutive SFP'!#REF!</f>
        <v>#REF!</v>
      </c>
      <c r="R19" s="52" t="e">
        <f>'Evolutive SFP'!#REF!</f>
        <v>#REF!</v>
      </c>
      <c r="S19" s="52" t="e">
        <f>'Evolutive SFP'!#REF!</f>
        <v>#REF!</v>
      </c>
      <c r="T19" s="52" t="e">
        <f>'Evolutive SFP'!#REF!</f>
        <v>#REF!</v>
      </c>
      <c r="U19" s="52" t="e">
        <f>'Evolutive SFP'!#REF!</f>
        <v>#REF!</v>
      </c>
      <c r="V19" s="52" t="e">
        <f>'Evolutive SFP'!#REF!</f>
        <v>#REF!</v>
      </c>
      <c r="W19" s="52" t="e">
        <f>'Evolutive SFP'!#REF!</f>
        <v>#REF!</v>
      </c>
      <c r="X19" s="52" t="e">
        <f>'Evolutive SFP'!#REF!</f>
        <v>#REF!</v>
      </c>
      <c r="Y19" s="52" t="e">
        <f>'Evolutive SFP'!#REF!</f>
        <v>#REF!</v>
      </c>
      <c r="Z19" s="52" t="e">
        <f>'Evolutive SFP'!#REF!</f>
        <v>#REF!</v>
      </c>
      <c r="AA19" s="52" t="e">
        <f>'Evolutive SFP'!#REF!</f>
        <v>#REF!</v>
      </c>
      <c r="AB19" s="52" t="e">
        <f>'Evolutive SFP'!#REF!</f>
        <v>#REF!</v>
      </c>
      <c r="AC19" s="52" t="e">
        <f>'Evolutive SFP'!#REF!</f>
        <v>#REF!</v>
      </c>
      <c r="AD19" s="52" t="e">
        <f>'Evolutive SFP'!#REF!</f>
        <v>#REF!</v>
      </c>
      <c r="AE19" s="52" t="e">
        <f>'Evolutive SFP'!#REF!</f>
        <v>#REF!</v>
      </c>
      <c r="AF19" s="52" t="e">
        <f>'Evolutive SFP'!#REF!</f>
        <v>#REF!</v>
      </c>
      <c r="AG19" s="52" t="e">
        <f>'Evolutive SFP'!#REF!</f>
        <v>#REF!</v>
      </c>
      <c r="AH19" s="52" t="e">
        <f>'Evolutive SFP'!#REF!</f>
        <v>#REF!</v>
      </c>
      <c r="AI19" s="52" t="e">
        <f>'Evolutive SFP'!#REF!</f>
        <v>#REF!</v>
      </c>
      <c r="AJ19" s="52" t="e">
        <f>'Evolutive SFP'!#REF!</f>
        <v>#REF!</v>
      </c>
      <c r="AK19" s="52" t="e">
        <f>'Evolutive SFP'!#REF!</f>
        <v>#REF!</v>
      </c>
      <c r="AL19" s="52" t="e">
        <f>'Evolutive SFP'!#REF!</f>
        <v>#REF!</v>
      </c>
      <c r="AM19" s="52" t="e">
        <f>'Evolutive SFP'!#REF!</f>
        <v>#REF!</v>
      </c>
      <c r="AN19" s="52" t="e">
        <f>'Evolutive SFP'!#REF!</f>
        <v>#REF!</v>
      </c>
      <c r="AO19" s="52" t="e">
        <f>'Evolutive SFP'!#REF!</f>
        <v>#REF!</v>
      </c>
      <c r="AP19" s="52" t="e">
        <f>'Evolutive SFP'!#REF!</f>
        <v>#REF!</v>
      </c>
      <c r="AQ19" s="52" t="e">
        <f>'Evolutive SFP'!#REF!</f>
        <v>#REF!</v>
      </c>
      <c r="AR19" s="52" t="e">
        <f>'Evolutive SFP'!#REF!</f>
        <v>#REF!</v>
      </c>
      <c r="AS19" s="52">
        <f>'Evolutive SFP'!B43</f>
        <v>5785290</v>
      </c>
      <c r="AT19" s="52">
        <f>'Evolutive SFP'!C43</f>
        <v>96887.35</v>
      </c>
      <c r="AU19" s="52">
        <f>'Evolutive SFP'!D43</f>
        <v>113070.67</v>
      </c>
      <c r="AV19" s="52">
        <f>'Evolutive SFP'!E43</f>
        <v>113070.67</v>
      </c>
      <c r="AW19" s="52">
        <f>'Evolutive SFP'!F43</f>
        <v>113070.67</v>
      </c>
      <c r="AX19" s="52">
        <f>'Evolutive SFP'!G43</f>
        <v>113070.67</v>
      </c>
      <c r="AY19" s="52">
        <f>'Evolutive SFP'!H43</f>
        <v>113070.67</v>
      </c>
      <c r="AZ19" s="52" t="e">
        <f>'Evolutive SFP'!#REF!</f>
        <v>#REF!</v>
      </c>
      <c r="BA19" s="52">
        <f>'Evolutive SFP'!I43</f>
        <v>113070.67</v>
      </c>
      <c r="BB19" s="52">
        <f>'Evolutive SFP'!J43</f>
        <v>113070.67</v>
      </c>
      <c r="BC19" s="52">
        <f>'Evolutive SFP'!K43</f>
        <v>113070.67</v>
      </c>
      <c r="BD19" s="52">
        <f>'Evolutive SFP'!L43</f>
        <v>113070.67</v>
      </c>
      <c r="BE19" s="52">
        <f>'Evolutive SFP'!M43</f>
        <v>113070.67</v>
      </c>
      <c r="BF19" s="52">
        <f>'Evolutive SFP'!N43</f>
        <v>144642645</v>
      </c>
      <c r="BG19" s="52">
        <f>'Evolutive SFP'!O43</f>
        <v>113070.67</v>
      </c>
      <c r="BH19" s="52">
        <f>'Evolutive SFP'!P43</f>
        <v>144648.99</v>
      </c>
      <c r="BI19" s="52">
        <f>'Evolutive SFP'!Q43</f>
        <v>144648.99</v>
      </c>
      <c r="BJ19" s="52">
        <f>'Evolutive SFP'!R43</f>
        <v>144648.99</v>
      </c>
      <c r="BK19" s="52">
        <f>'Evolutive SFP'!S43</f>
        <v>144648.99</v>
      </c>
      <c r="BL19" s="52">
        <f>'Evolutive SFP'!T43</f>
        <v>144648.99</v>
      </c>
      <c r="BM19" s="52">
        <f>'Evolutive SFP'!U43</f>
        <v>144648.99</v>
      </c>
      <c r="BN19" s="52">
        <f>'Evolutive SFP'!V43</f>
        <v>144648.99</v>
      </c>
      <c r="BO19" s="52">
        <f>'Evolutive SFP'!W43</f>
        <v>144648.99</v>
      </c>
      <c r="BP19" s="52">
        <f>'Evolutive SFP'!X43</f>
        <v>144648.99</v>
      </c>
      <c r="BQ19" s="52">
        <f>'Evolutive SFP'!Y43</f>
        <v>144648.99</v>
      </c>
      <c r="BR19" s="52">
        <f>'Evolutive SFP'!Z43</f>
        <v>144648.99</v>
      </c>
      <c r="BS19" s="52">
        <f>'Evolutive SFP'!AA43</f>
        <v>176460261</v>
      </c>
      <c r="BT19" s="52">
        <f>'Evolutive SFP'!AB43</f>
        <v>144648991</v>
      </c>
      <c r="BU19" s="52">
        <f>'Evolutive SFP'!AC43</f>
        <v>176460260</v>
      </c>
      <c r="BV19" s="52">
        <f>'Evolutive SFP'!AD43</f>
        <v>176460260</v>
      </c>
      <c r="BW19" s="52">
        <f>'Evolutive SFP'!AE43</f>
        <v>176460260</v>
      </c>
      <c r="BX19" s="52">
        <f>'Evolutive SFP'!AF43</f>
        <v>176460260</v>
      </c>
      <c r="BY19" s="52">
        <f>'Evolutive SFP'!AG43</f>
        <v>176460260</v>
      </c>
      <c r="BZ19" s="52">
        <f>'Evolutive SFP'!AH43</f>
        <v>176460260</v>
      </c>
      <c r="CA19" s="52">
        <f>'Evolutive SFP'!AI43</f>
        <v>176460260</v>
      </c>
      <c r="CB19" s="52">
        <f>'Evolutive SFP'!AJ43</f>
        <v>176460260</v>
      </c>
      <c r="CC19" s="52">
        <f>'Evolutive SFP'!AK43</f>
        <v>176460260</v>
      </c>
      <c r="CD19" s="52">
        <f>'Evolutive SFP'!AL43</f>
        <v>176460260</v>
      </c>
      <c r="CE19" s="52">
        <f>'Evolutive SFP'!AM43</f>
        <v>176460260</v>
      </c>
      <c r="CF19" s="52">
        <f>'Evolutive SFP'!AN43</f>
        <v>200792959</v>
      </c>
      <c r="CG19" s="52">
        <f>'Evolutive SFP'!AO43</f>
        <v>176460260</v>
      </c>
      <c r="CH19" s="52">
        <f>'Evolutive SFP'!AP43</f>
        <v>198645752</v>
      </c>
      <c r="CI19" s="52">
        <f>'Evolutive SFP'!AQ43</f>
        <v>198645752</v>
      </c>
      <c r="CJ19" s="52">
        <f>'Evolutive SFP'!AR43</f>
        <v>198645752</v>
      </c>
      <c r="CK19" s="52">
        <f>'Evolutive SFP'!AS43</f>
        <v>198645752</v>
      </c>
      <c r="CL19" s="52">
        <f>'Evolutive SFP'!AT43</f>
        <v>198645752</v>
      </c>
      <c r="CM19" s="52">
        <f>'Evolutive SFP'!AU43</f>
        <v>198645752</v>
      </c>
      <c r="CN19" s="52">
        <f>'Evolutive SFP'!AV43</f>
        <v>198645752</v>
      </c>
    </row>
    <row r="20" spans="1:92">
      <c r="A20" s="20" t="s">
        <v>247</v>
      </c>
      <c r="B20" s="19" t="s">
        <v>248</v>
      </c>
      <c r="C20" s="52" t="e">
        <f>('Evolutive SFP'!#REF!)</f>
        <v>#REF!</v>
      </c>
      <c r="D20" s="52" t="e">
        <f>('Evolutive SFP'!#REF!)</f>
        <v>#REF!</v>
      </c>
      <c r="E20" s="52" t="e">
        <f>('Evolutive SFP'!#REF!)</f>
        <v>#REF!</v>
      </c>
      <c r="F20" s="52" t="e">
        <f>('Evolutive SFP'!#REF!)</f>
        <v>#REF!</v>
      </c>
      <c r="G20" s="52" t="e">
        <f>('Evolutive SFP'!#REF!)</f>
        <v>#REF!</v>
      </c>
      <c r="H20" s="52" t="e">
        <f>('Evolutive SFP'!#REF!)</f>
        <v>#REF!</v>
      </c>
      <c r="I20" s="52" t="e">
        <f>('Evolutive SFP'!#REF!)</f>
        <v>#REF!</v>
      </c>
      <c r="J20" s="52" t="e">
        <f>('Evolutive SFP'!#REF!)</f>
        <v>#REF!</v>
      </c>
      <c r="K20" s="52" t="e">
        <f>('Evolutive SFP'!#REF!)</f>
        <v>#REF!</v>
      </c>
      <c r="L20" s="52" t="e">
        <f>('Evolutive SFP'!#REF!)</f>
        <v>#REF!</v>
      </c>
      <c r="M20" s="52" t="e">
        <f>('Evolutive SFP'!#REF!)</f>
        <v>#REF!</v>
      </c>
      <c r="N20" s="52" t="e">
        <f>('Evolutive SFP'!#REF!)</f>
        <v>#REF!</v>
      </c>
      <c r="O20" s="52" t="e">
        <f>('Evolutive SFP'!#REF!)</f>
        <v>#REF!</v>
      </c>
      <c r="P20" s="52" t="e">
        <f>('Evolutive SFP'!#REF!)</f>
        <v>#REF!</v>
      </c>
      <c r="Q20" s="52" t="e">
        <f>('Evolutive SFP'!#REF!)</f>
        <v>#REF!</v>
      </c>
      <c r="R20" s="52" t="e">
        <f>('Evolutive SFP'!#REF!)</f>
        <v>#REF!</v>
      </c>
      <c r="S20" s="52" t="e">
        <f>('Evolutive SFP'!#REF!)</f>
        <v>#REF!</v>
      </c>
      <c r="T20" s="52" t="e">
        <f>('Evolutive SFP'!#REF!)</f>
        <v>#REF!</v>
      </c>
      <c r="U20" s="52" t="e">
        <f>('Evolutive SFP'!#REF!)</f>
        <v>#REF!</v>
      </c>
      <c r="V20" s="52" t="e">
        <f>('Evolutive SFP'!#REF!)</f>
        <v>#REF!</v>
      </c>
      <c r="W20" s="52" t="e">
        <f>('Evolutive SFP'!#REF!)</f>
        <v>#REF!</v>
      </c>
      <c r="X20" s="52" t="e">
        <f>('Evolutive SFP'!#REF!)</f>
        <v>#REF!</v>
      </c>
      <c r="Y20" s="52" t="e">
        <f>('Evolutive SFP'!#REF!)</f>
        <v>#REF!</v>
      </c>
      <c r="Z20" s="52" t="e">
        <f>('Evolutive SFP'!#REF!)</f>
        <v>#REF!</v>
      </c>
      <c r="AA20" s="52" t="e">
        <f>('Evolutive SFP'!#REF!)</f>
        <v>#REF!</v>
      </c>
      <c r="AB20" s="52" t="e">
        <f>('Evolutive SFP'!#REF!)</f>
        <v>#REF!</v>
      </c>
      <c r="AC20" s="52" t="e">
        <f>('Evolutive SFP'!#REF!)</f>
        <v>#REF!</v>
      </c>
      <c r="AD20" s="52" t="e">
        <f>('Evolutive SFP'!#REF!)</f>
        <v>#REF!</v>
      </c>
      <c r="AE20" s="52" t="e">
        <f>('Evolutive SFP'!#REF!)</f>
        <v>#REF!</v>
      </c>
      <c r="AF20" s="52" t="e">
        <f>('Evolutive SFP'!#REF!)</f>
        <v>#REF!</v>
      </c>
      <c r="AG20" s="52" t="e">
        <f>('Evolutive SFP'!#REF!)</f>
        <v>#REF!</v>
      </c>
      <c r="AH20" s="52" t="e">
        <f>('Evolutive SFP'!#REF!)</f>
        <v>#REF!</v>
      </c>
      <c r="AI20" s="52" t="e">
        <f>('Evolutive SFP'!#REF!)</f>
        <v>#REF!</v>
      </c>
      <c r="AJ20" s="52" t="e">
        <f>('Evolutive SFP'!#REF!)</f>
        <v>#REF!</v>
      </c>
      <c r="AK20" s="52" t="e">
        <f>('Evolutive SFP'!#REF!)</f>
        <v>#REF!</v>
      </c>
      <c r="AL20" s="52" t="e">
        <f>('Evolutive SFP'!#REF!)</f>
        <v>#REF!</v>
      </c>
      <c r="AM20" s="52" t="e">
        <f>('Evolutive SFP'!#REF!)</f>
        <v>#REF!</v>
      </c>
      <c r="AN20" s="52" t="e">
        <f>('Evolutive SFP'!#REF!)</f>
        <v>#REF!</v>
      </c>
      <c r="AO20" s="52" t="e">
        <f>('Evolutive SFP'!#REF!)</f>
        <v>#REF!</v>
      </c>
      <c r="AP20" s="52" t="e">
        <f>('Evolutive SFP'!#REF!)</f>
        <v>#REF!</v>
      </c>
      <c r="AQ20" s="52" t="e">
        <f>('Evolutive SFP'!#REF!)</f>
        <v>#REF!</v>
      </c>
      <c r="AR20" s="52" t="e">
        <f>('Evolutive SFP'!#REF!)</f>
        <v>#REF!</v>
      </c>
      <c r="AS20" s="52">
        <f>('Evolutive SFP'!B44)</f>
        <v>0</v>
      </c>
      <c r="AT20" s="52">
        <f>('Evolutive SFP'!C44)</f>
        <v>0</v>
      </c>
      <c r="AU20" s="52">
        <f>('Evolutive SFP'!D44)</f>
        <v>0</v>
      </c>
      <c r="AV20" s="52">
        <f>('Evolutive SFP'!E44)</f>
        <v>0</v>
      </c>
      <c r="AW20" s="52">
        <f>('Evolutive SFP'!F44)</f>
        <v>0</v>
      </c>
      <c r="AX20" s="52">
        <f>('Evolutive SFP'!G44)</f>
        <v>0</v>
      </c>
      <c r="AY20" s="52">
        <f>('Evolutive SFP'!H44)</f>
        <v>0</v>
      </c>
      <c r="AZ20" s="52" t="e">
        <f>('Evolutive SFP'!#REF!)</f>
        <v>#REF!</v>
      </c>
      <c r="BA20" s="52">
        <f>('Evolutive SFP'!I44)</f>
        <v>0</v>
      </c>
      <c r="BB20" s="52">
        <f>('Evolutive SFP'!J44)</f>
        <v>0</v>
      </c>
      <c r="BC20" s="52">
        <f>('Evolutive SFP'!K44)</f>
        <v>0</v>
      </c>
      <c r="BD20" s="52">
        <f>('Evolutive SFP'!L44)</f>
        <v>0</v>
      </c>
      <c r="BE20" s="52">
        <f>('Evolutive SFP'!M44)</f>
        <v>0</v>
      </c>
      <c r="BF20" s="52">
        <f>('Evolutive SFP'!N44)</f>
        <v>40906816</v>
      </c>
      <c r="BG20" s="52">
        <f>('Evolutive SFP'!O44)</f>
        <v>0</v>
      </c>
      <c r="BH20" s="52">
        <f>('Evolutive SFP'!P44)</f>
        <v>0</v>
      </c>
      <c r="BI20" s="52">
        <f>('Evolutive SFP'!Q44)</f>
        <v>0</v>
      </c>
      <c r="BJ20" s="52">
        <f>('Evolutive SFP'!R44)</f>
        <v>0</v>
      </c>
      <c r="BK20" s="52">
        <f>('Evolutive SFP'!S44)</f>
        <v>0</v>
      </c>
      <c r="BL20" s="52">
        <f>('Evolutive SFP'!T44)</f>
        <v>0</v>
      </c>
      <c r="BM20" s="52">
        <f>('Evolutive SFP'!U44)</f>
        <v>0</v>
      </c>
      <c r="BN20" s="52">
        <f>('Evolutive SFP'!V44)</f>
        <v>0</v>
      </c>
      <c r="BO20" s="52">
        <f>('Evolutive SFP'!W44)</f>
        <v>0</v>
      </c>
      <c r="BP20" s="52">
        <f>('Evolutive SFP'!X44)</f>
        <v>0</v>
      </c>
      <c r="BQ20" s="52">
        <f>('Evolutive SFP'!Y44)</f>
        <v>0</v>
      </c>
      <c r="BR20" s="52">
        <f>('Evolutive SFP'!Z44)</f>
        <v>0</v>
      </c>
      <c r="BS20" s="52">
        <f>('Evolutive SFP'!AA44)</f>
        <v>40906816</v>
      </c>
      <c r="BT20" s="52">
        <f>('Evolutive SFP'!AB44)</f>
        <v>0</v>
      </c>
      <c r="BU20" s="52">
        <f>('Evolutive SFP'!AC44)</f>
        <v>0</v>
      </c>
      <c r="BV20" s="52">
        <f>('Evolutive SFP'!AD44)</f>
        <v>0</v>
      </c>
      <c r="BW20" s="52">
        <f>('Evolutive SFP'!AE44)</f>
        <v>0</v>
      </c>
      <c r="BX20" s="52">
        <f>('Evolutive SFP'!AF44)</f>
        <v>0</v>
      </c>
      <c r="BY20" s="52">
        <f>('Evolutive SFP'!AG44)</f>
        <v>0</v>
      </c>
      <c r="BZ20" s="52">
        <f>('Evolutive SFP'!AH44)</f>
        <v>0</v>
      </c>
      <c r="CA20" s="52">
        <f>('Evolutive SFP'!AI44)</f>
        <v>0</v>
      </c>
      <c r="CB20" s="52">
        <f>('Evolutive SFP'!AJ44)</f>
        <v>0</v>
      </c>
      <c r="CC20" s="52">
        <f>('Evolutive SFP'!AK44)</f>
        <v>0</v>
      </c>
      <c r="CD20" s="52">
        <f>('Evolutive SFP'!AL44)</f>
        <v>0</v>
      </c>
      <c r="CE20" s="52">
        <f>('Evolutive SFP'!AM44)</f>
        <v>0</v>
      </c>
      <c r="CF20" s="52">
        <f>('Evolutive SFP'!AN44)</f>
        <v>40906816</v>
      </c>
      <c r="CG20" s="52">
        <f>('Evolutive SFP'!AO44)</f>
        <v>0</v>
      </c>
      <c r="CH20" s="52">
        <f>('Evolutive SFP'!AP44)</f>
        <v>0</v>
      </c>
      <c r="CI20" s="52">
        <f>('Evolutive SFP'!AQ44)</f>
        <v>0</v>
      </c>
      <c r="CJ20" s="52">
        <f>('Evolutive SFP'!AR44)</f>
        <v>0</v>
      </c>
      <c r="CK20" s="52">
        <f>('Evolutive SFP'!AS44)</f>
        <v>0</v>
      </c>
      <c r="CL20" s="52">
        <f>('Evolutive SFP'!AT44)</f>
        <v>0</v>
      </c>
      <c r="CM20" s="52">
        <f>('Evolutive SFP'!AU44)</f>
        <v>0</v>
      </c>
      <c r="CN20" s="52">
        <f>('Evolutive SFP'!AV44)</f>
        <v>0</v>
      </c>
    </row>
    <row r="21" spans="1:92">
      <c r="A21" s="20" t="s">
        <v>249</v>
      </c>
      <c r="B21" s="23" t="s">
        <v>250</v>
      </c>
      <c r="C21" s="52" t="e">
        <f>C22+C23</f>
        <v>#REF!</v>
      </c>
      <c r="D21" s="52" t="e">
        <f t="shared" ref="D21:K21" si="34">D22+D23</f>
        <v>#REF!</v>
      </c>
      <c r="E21" s="52" t="e">
        <f>E22+E23</f>
        <v>#REF!</v>
      </c>
      <c r="F21" s="52" t="e">
        <f>F22+F23</f>
        <v>#REF!</v>
      </c>
      <c r="G21" s="52" t="e">
        <f t="shared" si="34"/>
        <v>#REF!</v>
      </c>
      <c r="H21" s="52" t="e">
        <f t="shared" si="34"/>
        <v>#REF!</v>
      </c>
      <c r="I21" s="52" t="e">
        <f t="shared" si="34"/>
        <v>#REF!</v>
      </c>
      <c r="J21" s="52" t="e">
        <f t="shared" si="34"/>
        <v>#REF!</v>
      </c>
      <c r="K21" s="52" t="e">
        <f t="shared" si="34"/>
        <v>#REF!</v>
      </c>
      <c r="L21" s="52" t="e">
        <f>L22+L23</f>
        <v>#REF!</v>
      </c>
      <c r="M21" s="52" t="e">
        <f t="shared" ref="M21:R21" si="35">M22+M23</f>
        <v>#REF!</v>
      </c>
      <c r="N21" s="52" t="e">
        <f t="shared" si="35"/>
        <v>#REF!</v>
      </c>
      <c r="O21" s="52" t="e">
        <f t="shared" si="35"/>
        <v>#REF!</v>
      </c>
      <c r="P21" s="52" t="e">
        <f t="shared" si="35"/>
        <v>#REF!</v>
      </c>
      <c r="Q21" s="52" t="e">
        <f t="shared" si="35"/>
        <v>#REF!</v>
      </c>
      <c r="R21" s="52" t="e">
        <f t="shared" si="35"/>
        <v>#REF!</v>
      </c>
      <c r="S21" s="52" t="e">
        <f t="shared" ref="S21:Y21" si="36">S22+S23</f>
        <v>#REF!</v>
      </c>
      <c r="T21" s="52" t="e">
        <f t="shared" si="36"/>
        <v>#REF!</v>
      </c>
      <c r="U21" s="52" t="e">
        <f t="shared" si="36"/>
        <v>#REF!</v>
      </c>
      <c r="V21" s="52" t="e">
        <f t="shared" si="36"/>
        <v>#REF!</v>
      </c>
      <c r="W21" s="52" t="e">
        <f t="shared" si="36"/>
        <v>#REF!</v>
      </c>
      <c r="X21" s="52" t="e">
        <f t="shared" si="36"/>
        <v>#REF!</v>
      </c>
      <c r="Y21" s="52" t="e">
        <f t="shared" si="36"/>
        <v>#REF!</v>
      </c>
      <c r="Z21" s="52" t="e">
        <f t="shared" ref="Z21:AF21" si="37">Z22+Z23</f>
        <v>#REF!</v>
      </c>
      <c r="AA21" s="52" t="e">
        <f t="shared" si="37"/>
        <v>#REF!</v>
      </c>
      <c r="AB21" s="52" t="e">
        <f t="shared" si="37"/>
        <v>#REF!</v>
      </c>
      <c r="AC21" s="52" t="e">
        <f t="shared" si="37"/>
        <v>#REF!</v>
      </c>
      <c r="AD21" s="52" t="e">
        <f t="shared" si="37"/>
        <v>#REF!</v>
      </c>
      <c r="AE21" s="52" t="e">
        <f t="shared" si="37"/>
        <v>#REF!</v>
      </c>
      <c r="AF21" s="52" t="e">
        <f t="shared" si="37"/>
        <v>#REF!</v>
      </c>
      <c r="AG21" s="52" t="e">
        <f t="shared" ref="AG21:AY21" si="38">AG22+AG23</f>
        <v>#REF!</v>
      </c>
      <c r="AH21" s="52" t="e">
        <f t="shared" si="38"/>
        <v>#REF!</v>
      </c>
      <c r="AI21" s="52" t="e">
        <f t="shared" si="38"/>
        <v>#REF!</v>
      </c>
      <c r="AJ21" s="52" t="e">
        <f t="shared" si="38"/>
        <v>#REF!</v>
      </c>
      <c r="AK21" s="52" t="e">
        <f t="shared" si="38"/>
        <v>#REF!</v>
      </c>
      <c r="AL21" s="52" t="e">
        <f t="shared" si="38"/>
        <v>#REF!</v>
      </c>
      <c r="AM21" s="52" t="e">
        <f t="shared" si="38"/>
        <v>#REF!</v>
      </c>
      <c r="AN21" s="52" t="e">
        <f t="shared" si="38"/>
        <v>#REF!</v>
      </c>
      <c r="AO21" s="52" t="e">
        <f t="shared" si="38"/>
        <v>#REF!</v>
      </c>
      <c r="AP21" s="52" t="e">
        <f t="shared" si="38"/>
        <v>#REF!</v>
      </c>
      <c r="AQ21" s="52" t="e">
        <f t="shared" si="38"/>
        <v>#REF!</v>
      </c>
      <c r="AR21" s="52" t="e">
        <f t="shared" si="38"/>
        <v>#REF!</v>
      </c>
      <c r="AS21" s="52">
        <f t="shared" si="38"/>
        <v>0</v>
      </c>
      <c r="AT21" s="52">
        <f t="shared" si="38"/>
        <v>3041.44</v>
      </c>
      <c r="AU21" s="52">
        <f t="shared" si="38"/>
        <v>6114.19</v>
      </c>
      <c r="AV21" s="52">
        <f t="shared" si="38"/>
        <v>9232.4699999999993</v>
      </c>
      <c r="AW21" s="52">
        <f t="shared" si="38"/>
        <v>12312.76</v>
      </c>
      <c r="AX21" s="52">
        <f t="shared" si="38"/>
        <v>15485.78</v>
      </c>
      <c r="AY21" s="52">
        <f t="shared" si="38"/>
        <v>18687.64</v>
      </c>
      <c r="AZ21" s="52" t="e">
        <f t="shared" ref="AZ21:BF21" si="39">AZ22+AZ23</f>
        <v>#REF!</v>
      </c>
      <c r="BA21" s="52">
        <f t="shared" si="39"/>
        <v>25176.86</v>
      </c>
      <c r="BB21" s="52">
        <f t="shared" si="39"/>
        <v>28401.360000000001</v>
      </c>
      <c r="BC21" s="52">
        <f t="shared" si="39"/>
        <v>31718.62</v>
      </c>
      <c r="BD21" s="52">
        <f t="shared" si="39"/>
        <v>34974.86</v>
      </c>
      <c r="BE21" s="52">
        <f t="shared" si="39"/>
        <v>38262.03</v>
      </c>
      <c r="BF21" s="52">
        <f t="shared" si="39"/>
        <v>37440175</v>
      </c>
      <c r="BG21" s="52">
        <f t="shared" ref="BG21:BS21" si="40">BG22+BG23</f>
        <v>3204.94</v>
      </c>
      <c r="BH21" s="52">
        <f t="shared" si="40"/>
        <v>6422.54</v>
      </c>
      <c r="BI21" s="52">
        <f t="shared" si="40"/>
        <v>6422.54</v>
      </c>
      <c r="BJ21" s="52">
        <f t="shared" si="40"/>
        <v>12948.13</v>
      </c>
      <c r="BK21" s="52">
        <f t="shared" si="40"/>
        <v>16278.46</v>
      </c>
      <c r="BL21" s="52">
        <f t="shared" si="40"/>
        <v>19648.93</v>
      </c>
      <c r="BM21" s="52">
        <f t="shared" si="40"/>
        <v>23066.09</v>
      </c>
      <c r="BN21" s="52">
        <f t="shared" si="40"/>
        <v>26422.58</v>
      </c>
      <c r="BO21" s="52">
        <f t="shared" si="40"/>
        <v>30073.82</v>
      </c>
      <c r="BP21" s="52">
        <f t="shared" si="40"/>
        <v>33523.949999999997</v>
      </c>
      <c r="BQ21" s="52">
        <f t="shared" si="40"/>
        <v>37095.519999999997</v>
      </c>
      <c r="BR21" s="52">
        <f t="shared" si="40"/>
        <v>39491.269999999997</v>
      </c>
      <c r="BS21" s="52">
        <f t="shared" si="40"/>
        <v>39505233</v>
      </c>
      <c r="BT21" s="52">
        <f t="shared" ref="BT21:CF21" si="41">BT22+BT23</f>
        <v>3406570.48</v>
      </c>
      <c r="BU21" s="52">
        <f t="shared" si="41"/>
        <v>6840807.6299999999</v>
      </c>
      <c r="BV21" s="52">
        <f t="shared" si="41"/>
        <v>10447633.050000001</v>
      </c>
      <c r="BW21" s="52">
        <f t="shared" si="41"/>
        <v>14063444.07</v>
      </c>
      <c r="BX21" s="52">
        <f t="shared" si="41"/>
        <v>17609532.079999998</v>
      </c>
      <c r="BY21" s="52">
        <f t="shared" si="41"/>
        <v>21332877</v>
      </c>
      <c r="BZ21" s="52">
        <f t="shared" si="41"/>
        <v>25013189.829999998</v>
      </c>
      <c r="CA21" s="52">
        <f t="shared" si="41"/>
        <v>28792835.989999998</v>
      </c>
      <c r="CB21" s="52">
        <f t="shared" si="41"/>
        <v>32567851.489999998</v>
      </c>
      <c r="CC21" s="52">
        <f t="shared" si="41"/>
        <v>32567851.489999998</v>
      </c>
      <c r="CD21" s="52">
        <f t="shared" si="41"/>
        <v>40217357.759999998</v>
      </c>
      <c r="CE21" s="52">
        <f t="shared" si="41"/>
        <v>42749380.219999999</v>
      </c>
      <c r="CF21" s="52">
        <f t="shared" si="41"/>
        <v>9348352</v>
      </c>
      <c r="CG21" s="52">
        <f t="shared" ref="CG21:CI21" si="42">CG22+CG23</f>
        <v>46446736.990000002</v>
      </c>
      <c r="CH21" s="52">
        <f t="shared" si="42"/>
        <v>50198239.229999997</v>
      </c>
      <c r="CI21" s="52">
        <f t="shared" si="42"/>
        <v>11362639.17</v>
      </c>
      <c r="CJ21" s="52">
        <f t="shared" ref="CJ21:CK21" si="43">CJ22+CJ23</f>
        <v>15211818.890000001</v>
      </c>
      <c r="CK21" s="52">
        <f t="shared" si="43"/>
        <v>19163190.280000001</v>
      </c>
      <c r="CL21" s="52">
        <f t="shared" ref="CL21:CN21" si="44">CL22+CL23</f>
        <v>23102896.140000001</v>
      </c>
      <c r="CM21" s="52">
        <f t="shared" ref="CM21:CN21" si="45">CM22+CM23</f>
        <v>27195279.109999999</v>
      </c>
      <c r="CN21" s="52">
        <f t="shared" si="45"/>
        <v>31188918.989999998</v>
      </c>
    </row>
    <row r="22" spans="1:92">
      <c r="A22" s="24" t="s">
        <v>251</v>
      </c>
      <c r="B22" s="19" t="s">
        <v>46</v>
      </c>
      <c r="C22" s="52" t="e">
        <f>'Evolutive SFP'!#REF!</f>
        <v>#REF!</v>
      </c>
      <c r="D22" s="52" t="e">
        <f>'Evolutive SFP'!#REF!</f>
        <v>#REF!</v>
      </c>
      <c r="E22" s="52" t="e">
        <f>'Evolutive SFP'!#REF!</f>
        <v>#REF!</v>
      </c>
      <c r="F22" s="52" t="e">
        <f>'Evolutive SFP'!#REF!</f>
        <v>#REF!</v>
      </c>
      <c r="G22" s="52" t="e">
        <f>'Evolutive SFP'!#REF!</f>
        <v>#REF!</v>
      </c>
      <c r="H22" s="52" t="e">
        <f>'Evolutive SFP'!#REF!</f>
        <v>#REF!</v>
      </c>
      <c r="I22" s="52" t="e">
        <f>'Evolutive SFP'!#REF!</f>
        <v>#REF!</v>
      </c>
      <c r="J22" s="52" t="e">
        <f>'Evolutive SFP'!#REF!</f>
        <v>#REF!</v>
      </c>
      <c r="K22" s="52" t="e">
        <f>'Evolutive SFP'!#REF!</f>
        <v>#REF!</v>
      </c>
      <c r="L22" s="52" t="e">
        <f>'Evolutive SFP'!#REF!</f>
        <v>#REF!</v>
      </c>
      <c r="M22" s="52" t="e">
        <f>'Evolutive SFP'!#REF!</f>
        <v>#REF!</v>
      </c>
      <c r="N22" s="52" t="e">
        <f>'Evolutive SFP'!#REF!</f>
        <v>#REF!</v>
      </c>
      <c r="O22" s="52" t="e">
        <f>'Evolutive SFP'!#REF!</f>
        <v>#REF!</v>
      </c>
      <c r="P22" s="52" t="e">
        <f>'Evolutive SFP'!#REF!</f>
        <v>#REF!</v>
      </c>
      <c r="Q22" s="52" t="e">
        <f>'Evolutive SFP'!#REF!</f>
        <v>#REF!</v>
      </c>
      <c r="R22" s="52" t="e">
        <f>'Evolutive SFP'!#REF!</f>
        <v>#REF!</v>
      </c>
      <c r="S22" s="52" t="e">
        <f>'Evolutive SFP'!#REF!</f>
        <v>#REF!</v>
      </c>
      <c r="T22" s="52" t="e">
        <f>'Evolutive SFP'!#REF!</f>
        <v>#REF!</v>
      </c>
      <c r="U22" s="52" t="e">
        <f>'Evolutive SFP'!#REF!</f>
        <v>#REF!</v>
      </c>
      <c r="V22" s="52" t="e">
        <f>'Evolutive SFP'!#REF!</f>
        <v>#REF!</v>
      </c>
      <c r="W22" s="52" t="e">
        <f>'Evolutive SFP'!#REF!</f>
        <v>#REF!</v>
      </c>
      <c r="X22" s="52" t="e">
        <f>'Evolutive SFP'!#REF!</f>
        <v>#REF!</v>
      </c>
      <c r="Y22" s="52" t="e">
        <f>'Evolutive SFP'!#REF!</f>
        <v>#REF!</v>
      </c>
      <c r="Z22" s="52" t="e">
        <f>'Evolutive SFP'!#REF!</f>
        <v>#REF!</v>
      </c>
      <c r="AA22" s="52" t="e">
        <f>'Evolutive SFP'!#REF!</f>
        <v>#REF!</v>
      </c>
      <c r="AB22" s="52" t="e">
        <f>'Evolutive SFP'!#REF!</f>
        <v>#REF!</v>
      </c>
      <c r="AC22" s="52" t="e">
        <f>'Evolutive SFP'!#REF!</f>
        <v>#REF!</v>
      </c>
      <c r="AD22" s="52" t="e">
        <f>'Evolutive SFP'!#REF!</f>
        <v>#REF!</v>
      </c>
      <c r="AE22" s="52" t="e">
        <f>'Evolutive SFP'!#REF!</f>
        <v>#REF!</v>
      </c>
      <c r="AF22" s="52" t="e">
        <f>'Evolutive SFP'!#REF!</f>
        <v>#REF!</v>
      </c>
      <c r="AG22" s="52" t="e">
        <f>'Evolutive SFP'!#REF!</f>
        <v>#REF!</v>
      </c>
      <c r="AH22" s="52" t="e">
        <f>'Evolutive SFP'!#REF!</f>
        <v>#REF!</v>
      </c>
      <c r="AI22" s="52" t="e">
        <f>'Evolutive SFP'!#REF!</f>
        <v>#REF!</v>
      </c>
      <c r="AJ22" s="52" t="e">
        <f>'Evolutive SFP'!#REF!</f>
        <v>#REF!</v>
      </c>
      <c r="AK22" s="52" t="e">
        <f>'Evolutive SFP'!#REF!</f>
        <v>#REF!</v>
      </c>
      <c r="AL22" s="52" t="e">
        <f>'Evolutive SFP'!#REF!</f>
        <v>#REF!</v>
      </c>
      <c r="AM22" s="52" t="e">
        <f>'Evolutive SFP'!#REF!</f>
        <v>#REF!</v>
      </c>
      <c r="AN22" s="52" t="e">
        <f>'Evolutive SFP'!#REF!</f>
        <v>#REF!</v>
      </c>
      <c r="AO22" s="52" t="e">
        <f>'Evolutive SFP'!#REF!</f>
        <v>#REF!</v>
      </c>
      <c r="AP22" s="52" t="e">
        <f>'Evolutive SFP'!#REF!</f>
        <v>#REF!</v>
      </c>
      <c r="AQ22" s="52" t="e">
        <f>'Evolutive SFP'!#REF!</f>
        <v>#REF!</v>
      </c>
      <c r="AR22" s="52" t="e">
        <f>'Evolutive SFP'!#REF!</f>
        <v>#REF!</v>
      </c>
      <c r="AS22" s="52">
        <f>'Evolutive SFP'!B46</f>
        <v>0</v>
      </c>
      <c r="AT22" s="52">
        <f>'Evolutive SFP'!C46</f>
        <v>3041.44</v>
      </c>
      <c r="AU22" s="52">
        <f>'Evolutive SFP'!D46</f>
        <v>6114.19</v>
      </c>
      <c r="AV22" s="52">
        <f>'Evolutive SFP'!E46</f>
        <v>9232.4699999999993</v>
      </c>
      <c r="AW22" s="52">
        <f>'Evolutive SFP'!F46</f>
        <v>12312.76</v>
      </c>
      <c r="AX22" s="52">
        <f>'Evolutive SFP'!G46</f>
        <v>15485.78</v>
      </c>
      <c r="AY22" s="52">
        <f>'Evolutive SFP'!H46</f>
        <v>18687.64</v>
      </c>
      <c r="AZ22" s="52" t="e">
        <f>'Evolutive SFP'!#REF!</f>
        <v>#REF!</v>
      </c>
      <c r="BA22" s="52">
        <f>'Evolutive SFP'!I46</f>
        <v>25176.86</v>
      </c>
      <c r="BB22" s="52">
        <f>'Evolutive SFP'!J46</f>
        <v>28401.360000000001</v>
      </c>
      <c r="BC22" s="52">
        <f>'Evolutive SFP'!K46</f>
        <v>31718.62</v>
      </c>
      <c r="BD22" s="52">
        <f>'Evolutive SFP'!L46</f>
        <v>34974.86</v>
      </c>
      <c r="BE22" s="52">
        <f>'Evolutive SFP'!M46</f>
        <v>38262.03</v>
      </c>
      <c r="BF22" s="52">
        <f>'Evolutive SFP'!N46</f>
        <v>37440175</v>
      </c>
      <c r="BG22" s="52">
        <f>'Evolutive SFP'!O46</f>
        <v>3204.94</v>
      </c>
      <c r="BH22" s="52">
        <f>'Evolutive SFP'!P46</f>
        <v>6422.54</v>
      </c>
      <c r="BI22" s="52">
        <f>'Evolutive SFP'!Q46</f>
        <v>6422.54</v>
      </c>
      <c r="BJ22" s="52">
        <f>'Evolutive SFP'!R46</f>
        <v>12948.13</v>
      </c>
      <c r="BK22" s="52">
        <f>'Evolutive SFP'!S46</f>
        <v>16278.46</v>
      </c>
      <c r="BL22" s="52">
        <f>'Evolutive SFP'!T46</f>
        <v>19648.93</v>
      </c>
      <c r="BM22" s="52">
        <f>'Evolutive SFP'!U46</f>
        <v>23066.09</v>
      </c>
      <c r="BN22" s="52">
        <f>'Evolutive SFP'!V46</f>
        <v>26422.58</v>
      </c>
      <c r="BO22" s="52">
        <f>'Evolutive SFP'!W46</f>
        <v>30073.82</v>
      </c>
      <c r="BP22" s="52">
        <f>'Evolutive SFP'!X46</f>
        <v>33523.949999999997</v>
      </c>
      <c r="BQ22" s="52">
        <f>'Evolutive SFP'!Y46</f>
        <v>37095.519999999997</v>
      </c>
      <c r="BR22" s="52">
        <f>'Evolutive SFP'!Z46</f>
        <v>39491.269999999997</v>
      </c>
      <c r="BS22" s="52">
        <f>'Evolutive SFP'!AA46</f>
        <v>39505233</v>
      </c>
      <c r="BT22" s="52">
        <f>'Evolutive SFP'!AB46</f>
        <v>3406570.48</v>
      </c>
      <c r="BU22" s="52">
        <f>'Evolutive SFP'!AC46</f>
        <v>6840807.6299999999</v>
      </c>
      <c r="BV22" s="52">
        <f>'Evolutive SFP'!AD46</f>
        <v>10447633.050000001</v>
      </c>
      <c r="BW22" s="52">
        <f>'Evolutive SFP'!AE46</f>
        <v>14063444.07</v>
      </c>
      <c r="BX22" s="52">
        <f>'Evolutive SFP'!AF46</f>
        <v>17609532.079999998</v>
      </c>
      <c r="BY22" s="52">
        <f>'Evolutive SFP'!AG46</f>
        <v>21332877</v>
      </c>
      <c r="BZ22" s="52">
        <f>'Evolutive SFP'!AH46</f>
        <v>25013189.829999998</v>
      </c>
      <c r="CA22" s="52">
        <f>'Evolutive SFP'!AI46</f>
        <v>28792835.989999998</v>
      </c>
      <c r="CB22" s="52">
        <f>'Evolutive SFP'!AJ46</f>
        <v>32567851.489999998</v>
      </c>
      <c r="CC22" s="52">
        <f>'Evolutive SFP'!AK46</f>
        <v>32567851.489999998</v>
      </c>
      <c r="CD22" s="52">
        <f>'Evolutive SFP'!AL46</f>
        <v>40217357.759999998</v>
      </c>
      <c r="CE22" s="52">
        <f>'Evolutive SFP'!AM46</f>
        <v>42749380.219999999</v>
      </c>
      <c r="CF22" s="52">
        <f>'Evolutive SFP'!AN46</f>
        <v>9348352</v>
      </c>
      <c r="CG22" s="52">
        <f>'Evolutive SFP'!AO46</f>
        <v>46446736.990000002</v>
      </c>
      <c r="CH22" s="52">
        <f>'Evolutive SFP'!AP46</f>
        <v>50198239.229999997</v>
      </c>
      <c r="CI22" s="52">
        <f>'Evolutive SFP'!AQ46</f>
        <v>11362639.17</v>
      </c>
      <c r="CJ22" s="52">
        <f>'Evolutive SFP'!AR46</f>
        <v>15211818.890000001</v>
      </c>
      <c r="CK22" s="52">
        <f>'Evolutive SFP'!AS46</f>
        <v>19163190.280000001</v>
      </c>
      <c r="CL22" s="52">
        <f>'Evolutive SFP'!AT46</f>
        <v>23102896.140000001</v>
      </c>
      <c r="CM22" s="52">
        <f>'Evolutive SFP'!AU46</f>
        <v>27195279.109999999</v>
      </c>
      <c r="CN22" s="52">
        <f>'Evolutive SFP'!AV46</f>
        <v>31188918.989999998</v>
      </c>
    </row>
    <row r="23" spans="1:92">
      <c r="A23" s="24" t="s">
        <v>252</v>
      </c>
      <c r="B23" s="19" t="s">
        <v>253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</row>
    <row r="24" spans="1:92">
      <c r="A24" s="18"/>
      <c r="B24" s="25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</row>
    <row r="25" spans="1:92" s="14" customFormat="1">
      <c r="A25" s="28">
        <v>6</v>
      </c>
      <c r="B25" s="23" t="s">
        <v>254</v>
      </c>
      <c r="C25" s="53" t="e">
        <f>C26+C27+C28</f>
        <v>#REF!</v>
      </c>
      <c r="D25" s="53" t="e">
        <f t="shared" ref="D25:K25" si="46">D26+D27+D28</f>
        <v>#REF!</v>
      </c>
      <c r="E25" s="53" t="e">
        <f>E26+E27+E28</f>
        <v>#REF!</v>
      </c>
      <c r="F25" s="53" t="e">
        <f>F26+F27+F28</f>
        <v>#REF!</v>
      </c>
      <c r="G25" s="53" t="e">
        <f t="shared" si="46"/>
        <v>#REF!</v>
      </c>
      <c r="H25" s="53" t="e">
        <f t="shared" si="46"/>
        <v>#REF!</v>
      </c>
      <c r="I25" s="53" t="e">
        <f t="shared" si="46"/>
        <v>#REF!</v>
      </c>
      <c r="J25" s="53" t="e">
        <f t="shared" si="46"/>
        <v>#REF!</v>
      </c>
      <c r="K25" s="53" t="e">
        <f t="shared" si="46"/>
        <v>#REF!</v>
      </c>
      <c r="L25" s="53" t="e">
        <f>L26+L27+L28</f>
        <v>#REF!</v>
      </c>
      <c r="M25" s="53" t="e">
        <f t="shared" ref="M25:R25" si="47">M26+M27+M28</f>
        <v>#REF!</v>
      </c>
      <c r="N25" s="53" t="e">
        <f t="shared" si="47"/>
        <v>#REF!</v>
      </c>
      <c r="O25" s="53" t="e">
        <f t="shared" si="47"/>
        <v>#REF!</v>
      </c>
      <c r="P25" s="53" t="e">
        <f t="shared" si="47"/>
        <v>#REF!</v>
      </c>
      <c r="Q25" s="53" t="e">
        <f t="shared" si="47"/>
        <v>#REF!</v>
      </c>
      <c r="R25" s="53" t="e">
        <f t="shared" si="47"/>
        <v>#REF!</v>
      </c>
      <c r="S25" s="53" t="e">
        <f t="shared" ref="S25:Y25" si="48">S26+S27+S28</f>
        <v>#REF!</v>
      </c>
      <c r="T25" s="53" t="e">
        <f t="shared" si="48"/>
        <v>#REF!</v>
      </c>
      <c r="U25" s="53" t="e">
        <f t="shared" si="48"/>
        <v>#REF!</v>
      </c>
      <c r="V25" s="53" t="e">
        <f t="shared" si="48"/>
        <v>#REF!</v>
      </c>
      <c r="W25" s="53" t="e">
        <f t="shared" si="48"/>
        <v>#REF!</v>
      </c>
      <c r="X25" s="53" t="e">
        <f t="shared" si="48"/>
        <v>#REF!</v>
      </c>
      <c r="Y25" s="53" t="e">
        <f t="shared" si="48"/>
        <v>#REF!</v>
      </c>
      <c r="Z25" s="53" t="e">
        <f t="shared" ref="Z25:AF25" si="49">Z26+Z27+Z28</f>
        <v>#REF!</v>
      </c>
      <c r="AA25" s="53" t="e">
        <f t="shared" si="49"/>
        <v>#REF!</v>
      </c>
      <c r="AB25" s="53" t="e">
        <f t="shared" si="49"/>
        <v>#REF!</v>
      </c>
      <c r="AC25" s="53" t="e">
        <f t="shared" si="49"/>
        <v>#REF!</v>
      </c>
      <c r="AD25" s="53" t="e">
        <f t="shared" si="49"/>
        <v>#REF!</v>
      </c>
      <c r="AE25" s="53" t="e">
        <f t="shared" si="49"/>
        <v>#REF!</v>
      </c>
      <c r="AF25" s="53" t="e">
        <f t="shared" si="49"/>
        <v>#REF!</v>
      </c>
      <c r="AG25" s="53" t="e">
        <f t="shared" ref="AG25:AY25" si="50">AG26+AG27+AG28</f>
        <v>#REF!</v>
      </c>
      <c r="AH25" s="53" t="e">
        <f t="shared" si="50"/>
        <v>#REF!</v>
      </c>
      <c r="AI25" s="53" t="e">
        <f t="shared" si="50"/>
        <v>#REF!</v>
      </c>
      <c r="AJ25" s="53" t="e">
        <f t="shared" si="50"/>
        <v>#REF!</v>
      </c>
      <c r="AK25" s="53" t="e">
        <f t="shared" si="50"/>
        <v>#REF!</v>
      </c>
      <c r="AL25" s="53" t="e">
        <f t="shared" si="50"/>
        <v>#REF!</v>
      </c>
      <c r="AM25" s="53" t="e">
        <f t="shared" si="50"/>
        <v>#REF!</v>
      </c>
      <c r="AN25" s="53" t="e">
        <f t="shared" si="50"/>
        <v>#REF!</v>
      </c>
      <c r="AO25" s="53" t="e">
        <f t="shared" si="50"/>
        <v>#REF!</v>
      </c>
      <c r="AP25" s="53" t="e">
        <f t="shared" si="50"/>
        <v>#REF!</v>
      </c>
      <c r="AQ25" s="53" t="e">
        <f t="shared" si="50"/>
        <v>#REF!</v>
      </c>
      <c r="AR25" s="53" t="e">
        <f t="shared" si="50"/>
        <v>#REF!</v>
      </c>
      <c r="AS25" s="53">
        <f t="shared" si="50"/>
        <v>115855</v>
      </c>
      <c r="AT25" s="53">
        <f t="shared" si="50"/>
        <v>8093.93</v>
      </c>
      <c r="AU25" s="53">
        <f t="shared" si="50"/>
        <v>8093.93</v>
      </c>
      <c r="AV25" s="53">
        <f t="shared" si="50"/>
        <v>10452.43</v>
      </c>
      <c r="AW25" s="53">
        <f t="shared" si="50"/>
        <v>10452.43</v>
      </c>
      <c r="AX25" s="53">
        <f t="shared" si="50"/>
        <v>10452.43</v>
      </c>
      <c r="AY25" s="53">
        <f t="shared" si="50"/>
        <v>10452.43</v>
      </c>
      <c r="AZ25" s="53" t="e">
        <f t="shared" ref="AZ25:BF25" si="51">AZ26+AZ27+AZ28</f>
        <v>#REF!</v>
      </c>
      <c r="BA25" s="53">
        <f t="shared" si="51"/>
        <v>10702.43</v>
      </c>
      <c r="BB25" s="53">
        <f t="shared" si="51"/>
        <v>10764.36</v>
      </c>
      <c r="BC25" s="53">
        <f t="shared" si="51"/>
        <v>10764.36</v>
      </c>
      <c r="BD25" s="53">
        <f t="shared" si="51"/>
        <v>10920.91</v>
      </c>
      <c r="BE25" s="53">
        <f t="shared" si="51"/>
        <v>10970.91</v>
      </c>
      <c r="BF25" s="53">
        <f t="shared" si="51"/>
        <v>303176714</v>
      </c>
      <c r="BG25" s="53">
        <f t="shared" ref="BG25:BS25" si="52">BG26+BG27+BG28</f>
        <v>422403.88999999996</v>
      </c>
      <c r="BH25" s="53">
        <f t="shared" si="52"/>
        <v>422410.82999999996</v>
      </c>
      <c r="BI25" s="53">
        <f t="shared" si="52"/>
        <v>422460.82999999996</v>
      </c>
      <c r="BJ25" s="53">
        <f t="shared" si="52"/>
        <v>422610.82999999996</v>
      </c>
      <c r="BK25" s="53">
        <f t="shared" si="52"/>
        <v>422610.82999999996</v>
      </c>
      <c r="BL25" s="53">
        <f t="shared" si="52"/>
        <v>422610.82999999996</v>
      </c>
      <c r="BM25" s="53">
        <f t="shared" si="52"/>
        <v>411432.98</v>
      </c>
      <c r="BN25" s="53">
        <f t="shared" si="52"/>
        <v>411432.98</v>
      </c>
      <c r="BO25" s="53">
        <f t="shared" si="52"/>
        <v>412554.54</v>
      </c>
      <c r="BP25" s="53">
        <f t="shared" si="52"/>
        <v>412554.54</v>
      </c>
      <c r="BQ25" s="53">
        <f t="shared" si="52"/>
        <v>412554.54</v>
      </c>
      <c r="BR25" s="53">
        <f t="shared" si="52"/>
        <v>412554.54</v>
      </c>
      <c r="BS25" s="53">
        <f t="shared" si="52"/>
        <v>304298274</v>
      </c>
      <c r="BT25" s="53">
        <f t="shared" ref="BT25:CF25" si="53">BT26+BT27+BT28</f>
        <v>11651040.039999999</v>
      </c>
      <c r="BU25" s="53">
        <f t="shared" si="53"/>
        <v>11701040.039999999</v>
      </c>
      <c r="BV25" s="53">
        <f t="shared" si="53"/>
        <v>11701040.039999999</v>
      </c>
      <c r="BW25" s="53">
        <f t="shared" si="53"/>
        <v>11801040.039999999</v>
      </c>
      <c r="BX25" s="53">
        <f t="shared" si="53"/>
        <v>11801040.039999999</v>
      </c>
      <c r="BY25" s="53">
        <f t="shared" si="53"/>
        <v>11918471.93</v>
      </c>
      <c r="BZ25" s="53">
        <f t="shared" si="53"/>
        <v>11918471.93</v>
      </c>
      <c r="CA25" s="53">
        <f t="shared" si="53"/>
        <v>12018471.93</v>
      </c>
      <c r="CB25" s="53">
        <f t="shared" si="53"/>
        <v>12068471.93</v>
      </c>
      <c r="CC25" s="53">
        <f t="shared" si="53"/>
        <v>12118471.93</v>
      </c>
      <c r="CD25" s="53">
        <f t="shared" si="53"/>
        <v>12168471.93</v>
      </c>
      <c r="CE25" s="53">
        <f t="shared" si="53"/>
        <v>12218471.93</v>
      </c>
      <c r="CF25" s="53">
        <f t="shared" si="53"/>
        <v>302588326</v>
      </c>
      <c r="CG25" s="53">
        <f t="shared" ref="CG25:CI25" si="54">CG26+CG27+CG28</f>
        <v>12297601.880000001</v>
      </c>
      <c r="CH25" s="53">
        <f t="shared" si="54"/>
        <v>12347601.880000001</v>
      </c>
      <c r="CI25" s="53">
        <f t="shared" si="54"/>
        <v>12347601.880000001</v>
      </c>
      <c r="CJ25" s="53">
        <f t="shared" ref="CJ25:CK25" si="55">CJ26+CJ27+CJ28</f>
        <v>12447601.880000001</v>
      </c>
      <c r="CK25" s="53">
        <f t="shared" si="55"/>
        <v>12447601.880000001</v>
      </c>
      <c r="CL25" s="53">
        <f t="shared" ref="CL25:CN25" si="56">CL26+CL27+CL28</f>
        <v>12547601.880000001</v>
      </c>
      <c r="CM25" s="53">
        <f t="shared" ref="CM25:CN25" si="57">CM26+CM27+CM28</f>
        <v>12547601.880000001</v>
      </c>
      <c r="CN25" s="53">
        <f t="shared" si="57"/>
        <v>12547601.880000001</v>
      </c>
    </row>
    <row r="26" spans="1:92">
      <c r="A26" s="20">
        <v>6.1</v>
      </c>
      <c r="B26" s="19" t="s">
        <v>255</v>
      </c>
      <c r="C26" s="52" t="e">
        <f>'Evolutive SFP'!#REF!</f>
        <v>#REF!</v>
      </c>
      <c r="D26" s="52" t="e">
        <f>'Evolutive SFP'!#REF!</f>
        <v>#REF!</v>
      </c>
      <c r="E26" s="52" t="e">
        <f>'Evolutive SFP'!#REF!</f>
        <v>#REF!</v>
      </c>
      <c r="F26" s="52" t="e">
        <f>'Evolutive SFP'!#REF!</f>
        <v>#REF!</v>
      </c>
      <c r="G26" s="52" t="e">
        <f>'Evolutive SFP'!#REF!</f>
        <v>#REF!</v>
      </c>
      <c r="H26" s="52" t="e">
        <f>'Evolutive SFP'!#REF!</f>
        <v>#REF!</v>
      </c>
      <c r="I26" s="52" t="e">
        <f>'Evolutive SFP'!#REF!</f>
        <v>#REF!</v>
      </c>
      <c r="J26" s="52" t="e">
        <f>'Evolutive SFP'!#REF!</f>
        <v>#REF!</v>
      </c>
      <c r="K26" s="52" t="e">
        <f>'Evolutive SFP'!#REF!</f>
        <v>#REF!</v>
      </c>
      <c r="L26" s="52" t="e">
        <f>'Evolutive SFP'!#REF!</f>
        <v>#REF!</v>
      </c>
      <c r="M26" s="52" t="e">
        <f>'Evolutive SFP'!#REF!</f>
        <v>#REF!</v>
      </c>
      <c r="N26" s="52" t="e">
        <f>'Evolutive SFP'!#REF!</f>
        <v>#REF!</v>
      </c>
      <c r="O26" s="52" t="e">
        <f>'Evolutive SFP'!#REF!</f>
        <v>#REF!</v>
      </c>
      <c r="P26" s="52" t="e">
        <f>'Evolutive SFP'!#REF!</f>
        <v>#REF!</v>
      </c>
      <c r="Q26" s="52" t="e">
        <f>'Evolutive SFP'!#REF!</f>
        <v>#REF!</v>
      </c>
      <c r="R26" s="52" t="e">
        <f>'Evolutive SFP'!#REF!</f>
        <v>#REF!</v>
      </c>
      <c r="S26" s="52" t="e">
        <f>'Evolutive SFP'!#REF!</f>
        <v>#REF!</v>
      </c>
      <c r="T26" s="52" t="e">
        <f>'Evolutive SFP'!#REF!</f>
        <v>#REF!</v>
      </c>
      <c r="U26" s="52" t="e">
        <f>'Evolutive SFP'!#REF!</f>
        <v>#REF!</v>
      </c>
      <c r="V26" s="52" t="e">
        <f>'Evolutive SFP'!#REF!</f>
        <v>#REF!</v>
      </c>
      <c r="W26" s="52" t="e">
        <f>'Evolutive SFP'!#REF!</f>
        <v>#REF!</v>
      </c>
      <c r="X26" s="52" t="e">
        <f>'Evolutive SFP'!#REF!</f>
        <v>#REF!</v>
      </c>
      <c r="Y26" s="52" t="e">
        <f>'Evolutive SFP'!#REF!</f>
        <v>#REF!</v>
      </c>
      <c r="Z26" s="52" t="e">
        <f>'Evolutive SFP'!#REF!</f>
        <v>#REF!</v>
      </c>
      <c r="AA26" s="52" t="e">
        <f>'Evolutive SFP'!#REF!</f>
        <v>#REF!</v>
      </c>
      <c r="AB26" s="52" t="e">
        <f>'Evolutive SFP'!#REF!</f>
        <v>#REF!</v>
      </c>
      <c r="AC26" s="52" t="e">
        <f>'Evolutive SFP'!#REF!</f>
        <v>#REF!</v>
      </c>
      <c r="AD26" s="52" t="e">
        <f>'Evolutive SFP'!#REF!</f>
        <v>#REF!</v>
      </c>
      <c r="AE26" s="52" t="e">
        <f>'Evolutive SFP'!#REF!</f>
        <v>#REF!</v>
      </c>
      <c r="AF26" s="52" t="e">
        <f>'Evolutive SFP'!#REF!</f>
        <v>#REF!</v>
      </c>
      <c r="AG26" s="52" t="e">
        <f>'Evolutive SFP'!#REF!</f>
        <v>#REF!</v>
      </c>
      <c r="AH26" s="52" t="e">
        <f>'Evolutive SFP'!#REF!</f>
        <v>#REF!</v>
      </c>
      <c r="AI26" s="52" t="e">
        <f>'Evolutive SFP'!#REF!</f>
        <v>#REF!</v>
      </c>
      <c r="AJ26" s="52" t="e">
        <f>'Evolutive SFP'!#REF!</f>
        <v>#REF!</v>
      </c>
      <c r="AK26" s="52" t="e">
        <f>'Evolutive SFP'!#REF!</f>
        <v>#REF!</v>
      </c>
      <c r="AL26" s="52" t="e">
        <f>'Evolutive SFP'!#REF!</f>
        <v>#REF!</v>
      </c>
      <c r="AM26" s="52" t="e">
        <f>'Evolutive SFP'!#REF!</f>
        <v>#REF!</v>
      </c>
      <c r="AN26" s="52" t="e">
        <f>'Evolutive SFP'!#REF!</f>
        <v>#REF!</v>
      </c>
      <c r="AO26" s="52" t="e">
        <f>'Evolutive SFP'!#REF!</f>
        <v>#REF!</v>
      </c>
      <c r="AP26" s="52" t="e">
        <f>'Evolutive SFP'!#REF!</f>
        <v>#REF!</v>
      </c>
      <c r="AQ26" s="52" t="e">
        <f>'Evolutive SFP'!#REF!</f>
        <v>#REF!</v>
      </c>
      <c r="AR26" s="52" t="e">
        <f>'Evolutive SFP'!#REF!</f>
        <v>#REF!</v>
      </c>
      <c r="AS26" s="52">
        <f>'Evolutive SFP'!B13</f>
        <v>0</v>
      </c>
      <c r="AT26" s="52">
        <f>'Evolutive SFP'!C13</f>
        <v>0</v>
      </c>
      <c r="AU26" s="52">
        <f>'Evolutive SFP'!D13</f>
        <v>0</v>
      </c>
      <c r="AV26" s="52">
        <f>'Evolutive SFP'!E13</f>
        <v>0</v>
      </c>
      <c r="AW26" s="52">
        <f>'Evolutive SFP'!F13</f>
        <v>0</v>
      </c>
      <c r="AX26" s="52">
        <f>'Evolutive SFP'!G13</f>
        <v>0</v>
      </c>
      <c r="AY26" s="52">
        <f>'Evolutive SFP'!H13</f>
        <v>0</v>
      </c>
      <c r="AZ26" s="52" t="e">
        <f>'Evolutive SFP'!#REF!</f>
        <v>#REF!</v>
      </c>
      <c r="BA26" s="52">
        <f>'Evolutive SFP'!I13</f>
        <v>0</v>
      </c>
      <c r="BB26" s="52">
        <f>'Evolutive SFP'!J13</f>
        <v>0</v>
      </c>
      <c r="BC26" s="52">
        <f>'Evolutive SFP'!K13</f>
        <v>0</v>
      </c>
      <c r="BD26" s="52">
        <f>'Evolutive SFP'!L13</f>
        <v>0</v>
      </c>
      <c r="BE26" s="52">
        <f>'Evolutive SFP'!M13</f>
        <v>0</v>
      </c>
      <c r="BF26" s="52">
        <f>'Evolutive SFP'!N13</f>
        <v>151588357</v>
      </c>
      <c r="BG26" s="52">
        <f>'Evolutive SFP'!O13</f>
        <v>205716.49</v>
      </c>
      <c r="BH26" s="52">
        <f>'Evolutive SFP'!P13</f>
        <v>205716.49</v>
      </c>
      <c r="BI26" s="52">
        <f>'Evolutive SFP'!Q13</f>
        <v>205716.49</v>
      </c>
      <c r="BJ26" s="52">
        <f>'Evolutive SFP'!R13</f>
        <v>205716.49</v>
      </c>
      <c r="BK26" s="52">
        <f>'Evolutive SFP'!S13</f>
        <v>205716.49</v>
      </c>
      <c r="BL26" s="52">
        <f>'Evolutive SFP'!T13</f>
        <v>205716.49</v>
      </c>
      <c r="BM26" s="52">
        <f>'Evolutive SFP'!U13</f>
        <v>205716.49</v>
      </c>
      <c r="BN26" s="52">
        <f>'Evolutive SFP'!V13</f>
        <v>205716.49</v>
      </c>
      <c r="BO26" s="52">
        <f>'Evolutive SFP'!W13</f>
        <v>206277.27</v>
      </c>
      <c r="BP26" s="52">
        <f>'Evolutive SFP'!X13</f>
        <v>206277.27</v>
      </c>
      <c r="BQ26" s="52">
        <f>'Evolutive SFP'!Y13</f>
        <v>206277.27</v>
      </c>
      <c r="BR26" s="52">
        <f>'Evolutive SFP'!Z13</f>
        <v>206277.27</v>
      </c>
      <c r="BS26" s="52">
        <f>'Evolutive SFP'!AA13</f>
        <v>152149137</v>
      </c>
      <c r="BT26" s="52">
        <f>'Evolutive SFP'!AB13</f>
        <v>0</v>
      </c>
      <c r="BU26" s="52">
        <f>'Evolutive SFP'!AC13</f>
        <v>0</v>
      </c>
      <c r="BV26" s="52">
        <f>'Evolutive SFP'!AD13</f>
        <v>0</v>
      </c>
      <c r="BW26" s="52">
        <f>'Evolutive SFP'!AE13</f>
        <v>0</v>
      </c>
      <c r="BX26" s="52">
        <f>'Evolutive SFP'!AF13</f>
        <v>0</v>
      </c>
      <c r="BY26" s="52">
        <f>'Evolutive SFP'!AG13</f>
        <v>0</v>
      </c>
      <c r="BZ26" s="52">
        <f>'Evolutive SFP'!AH13</f>
        <v>0</v>
      </c>
      <c r="CA26" s="52">
        <f>'Evolutive SFP'!AI13</f>
        <v>0</v>
      </c>
      <c r="CB26" s="52">
        <f>'Evolutive SFP'!AJ13</f>
        <v>0</v>
      </c>
      <c r="CC26" s="52">
        <f>'Evolutive SFP'!AK13</f>
        <v>0</v>
      </c>
      <c r="CD26" s="52">
        <f>'Evolutive SFP'!AL13</f>
        <v>0</v>
      </c>
      <c r="CE26" s="52">
        <f>'Evolutive SFP'!AM13</f>
        <v>0</v>
      </c>
      <c r="CF26" s="52">
        <f>'Evolutive SFP'!AN13</f>
        <v>151294163</v>
      </c>
      <c r="CG26" s="52">
        <f>'Evolutive SFP'!AO13</f>
        <v>0</v>
      </c>
      <c r="CH26" s="52">
        <f>'Evolutive SFP'!AP13</f>
        <v>0</v>
      </c>
      <c r="CI26" s="52">
        <f>'Evolutive SFP'!AQ13</f>
        <v>0</v>
      </c>
      <c r="CJ26" s="52">
        <f>'Evolutive SFP'!AR13</f>
        <v>0</v>
      </c>
      <c r="CK26" s="52">
        <f>'Evolutive SFP'!AS13</f>
        <v>0</v>
      </c>
      <c r="CL26" s="52">
        <f>'Evolutive SFP'!AT13</f>
        <v>0</v>
      </c>
      <c r="CM26" s="52">
        <f>'Evolutive SFP'!AU13</f>
        <v>0</v>
      </c>
      <c r="CN26" s="52">
        <f>'Evolutive SFP'!AV13</f>
        <v>0</v>
      </c>
    </row>
    <row r="27" spans="1:92">
      <c r="A27" s="20">
        <v>6.2</v>
      </c>
      <c r="B27" s="19" t="s">
        <v>256</v>
      </c>
      <c r="C27" s="52" t="e">
        <f>'Evolutive SFP'!#REF!</f>
        <v>#REF!</v>
      </c>
      <c r="D27" s="52" t="e">
        <f>'Evolutive SFP'!#REF!</f>
        <v>#REF!</v>
      </c>
      <c r="E27" s="52" t="e">
        <f>'Evolutive SFP'!#REF!</f>
        <v>#REF!</v>
      </c>
      <c r="F27" s="52" t="e">
        <f>'Evolutive SFP'!#REF!</f>
        <v>#REF!</v>
      </c>
      <c r="G27" s="52" t="e">
        <f>'Evolutive SFP'!#REF!</f>
        <v>#REF!</v>
      </c>
      <c r="H27" s="52" t="e">
        <f>'Evolutive SFP'!#REF!</f>
        <v>#REF!</v>
      </c>
      <c r="I27" s="52" t="e">
        <f>'Evolutive SFP'!#REF!</f>
        <v>#REF!</v>
      </c>
      <c r="J27" s="52" t="e">
        <f>'Evolutive SFP'!#REF!</f>
        <v>#REF!</v>
      </c>
      <c r="K27" s="52" t="e">
        <f>'Evolutive SFP'!#REF!</f>
        <v>#REF!</v>
      </c>
      <c r="L27" s="52" t="e">
        <f>'Evolutive SFP'!#REF!</f>
        <v>#REF!</v>
      </c>
      <c r="M27" s="52" t="e">
        <f>'Evolutive SFP'!#REF!</f>
        <v>#REF!</v>
      </c>
      <c r="N27" s="52" t="e">
        <f>'Evolutive SFP'!#REF!</f>
        <v>#REF!</v>
      </c>
      <c r="O27" s="52" t="e">
        <f>'Evolutive SFP'!#REF!</f>
        <v>#REF!</v>
      </c>
      <c r="P27" s="52" t="e">
        <f>'Evolutive SFP'!#REF!</f>
        <v>#REF!</v>
      </c>
      <c r="Q27" s="52" t="e">
        <f>'Evolutive SFP'!#REF!</f>
        <v>#REF!</v>
      </c>
      <c r="R27" s="52" t="e">
        <f>'Evolutive SFP'!#REF!</f>
        <v>#REF!</v>
      </c>
      <c r="S27" s="52" t="e">
        <f>'Evolutive SFP'!#REF!+'Evolutive SFP'!#REF!</f>
        <v>#REF!</v>
      </c>
      <c r="T27" s="52" t="e">
        <f>'Evolutive SFP'!#REF!+'Evolutive SFP'!#REF!</f>
        <v>#REF!</v>
      </c>
      <c r="U27" s="52" t="e">
        <f>'Evolutive SFP'!#REF!+'Evolutive SFP'!#REF!</f>
        <v>#REF!</v>
      </c>
      <c r="V27" s="52" t="e">
        <f>'Evolutive SFP'!#REF!+'Evolutive SFP'!#REF!</f>
        <v>#REF!</v>
      </c>
      <c r="W27" s="52" t="e">
        <f>'Evolutive SFP'!#REF!+'Evolutive SFP'!#REF!</f>
        <v>#REF!</v>
      </c>
      <c r="X27" s="52" t="e">
        <f>'Evolutive SFP'!#REF!+'Evolutive SFP'!#REF!</f>
        <v>#REF!</v>
      </c>
      <c r="Y27" s="52" t="e">
        <f>'Evolutive SFP'!#REF!+'Evolutive SFP'!#REF!</f>
        <v>#REF!</v>
      </c>
      <c r="Z27" s="52" t="e">
        <f>'Evolutive SFP'!#REF!+'Evolutive SFP'!#REF!</f>
        <v>#REF!</v>
      </c>
      <c r="AA27" s="52" t="e">
        <f>'Evolutive SFP'!#REF!+'Evolutive SFP'!#REF!</f>
        <v>#REF!</v>
      </c>
      <c r="AB27" s="52" t="e">
        <f>'Evolutive SFP'!#REF!+'Evolutive SFP'!#REF!</f>
        <v>#REF!</v>
      </c>
      <c r="AC27" s="52" t="e">
        <f>'Evolutive SFP'!#REF!+'Evolutive SFP'!#REF!</f>
        <v>#REF!</v>
      </c>
      <c r="AD27" s="52" t="e">
        <f>'Evolutive SFP'!#REF!+'Evolutive SFP'!#REF!</f>
        <v>#REF!</v>
      </c>
      <c r="AE27" s="52" t="e">
        <f>'Evolutive SFP'!#REF!+'Evolutive SFP'!#REF!</f>
        <v>#REF!</v>
      </c>
      <c r="AF27" s="52" t="e">
        <f>'Evolutive SFP'!#REF!+'Evolutive SFP'!#REF!</f>
        <v>#REF!</v>
      </c>
      <c r="AG27" s="52" t="e">
        <f>'Evolutive SFP'!#REF!+'Evolutive SFP'!#REF!</f>
        <v>#REF!</v>
      </c>
      <c r="AH27" s="52" t="e">
        <f>'Evolutive SFP'!#REF!+'Evolutive SFP'!#REF!</f>
        <v>#REF!</v>
      </c>
      <c r="AI27" s="52" t="e">
        <f>'Evolutive SFP'!#REF!+'Evolutive SFP'!#REF!</f>
        <v>#REF!</v>
      </c>
      <c r="AJ27" s="52" t="e">
        <f>'Evolutive SFP'!#REF!+'Evolutive SFP'!#REF!</f>
        <v>#REF!</v>
      </c>
      <c r="AK27" s="52" t="e">
        <f>'Evolutive SFP'!#REF!+'Evolutive SFP'!#REF!</f>
        <v>#REF!</v>
      </c>
      <c r="AL27" s="52" t="e">
        <f>'Evolutive SFP'!#REF!+'Evolutive SFP'!#REF!</f>
        <v>#REF!</v>
      </c>
      <c r="AM27" s="52" t="e">
        <f>'Evolutive SFP'!#REF!+'Evolutive SFP'!#REF!</f>
        <v>#REF!</v>
      </c>
      <c r="AN27" s="52" t="e">
        <f>'Evolutive SFP'!#REF!+'Evolutive SFP'!#REF!</f>
        <v>#REF!</v>
      </c>
      <c r="AO27" s="52" t="e">
        <f>'Evolutive SFP'!#REF!+'Evolutive SFP'!#REF!</f>
        <v>#REF!</v>
      </c>
      <c r="AP27" s="52" t="e">
        <f>'Evolutive SFP'!#REF!+'Evolutive SFP'!#REF!</f>
        <v>#REF!</v>
      </c>
      <c r="AQ27" s="52" t="e">
        <f>'Evolutive SFP'!#REF!+'Evolutive SFP'!#REF!</f>
        <v>#REF!</v>
      </c>
      <c r="AR27" s="52" t="e">
        <f>'Evolutive SFP'!#REF!+'Evolutive SFP'!#REF!</f>
        <v>#REF!</v>
      </c>
      <c r="AS27" s="52">
        <f>'Evolutive SFP'!B10+'Evolutive SFP'!B13</f>
        <v>0</v>
      </c>
      <c r="AT27" s="52">
        <f>'Evolutive SFP'!C10+'Evolutive SFP'!C13</f>
        <v>0</v>
      </c>
      <c r="AU27" s="52">
        <f>'Evolutive SFP'!D10+'Evolutive SFP'!D13</f>
        <v>0</v>
      </c>
      <c r="AV27" s="52">
        <f>'Evolutive SFP'!E10+'Evolutive SFP'!E13</f>
        <v>0</v>
      </c>
      <c r="AW27" s="52">
        <f>'Evolutive SFP'!F10+'Evolutive SFP'!F13</f>
        <v>0</v>
      </c>
      <c r="AX27" s="52">
        <f>'Evolutive SFP'!G10+'Evolutive SFP'!G13</f>
        <v>0</v>
      </c>
      <c r="AY27" s="52">
        <f>'Evolutive SFP'!H10+'Evolutive SFP'!H13</f>
        <v>0</v>
      </c>
      <c r="AZ27" s="52" t="e">
        <f>'Evolutive SFP'!#REF!+'Evolutive SFP'!#REF!</f>
        <v>#REF!</v>
      </c>
      <c r="BA27" s="52">
        <f>'Evolutive SFP'!I10+'Evolutive SFP'!I13</f>
        <v>0</v>
      </c>
      <c r="BB27" s="52">
        <f>'Evolutive SFP'!J10+'Evolutive SFP'!J13</f>
        <v>0</v>
      </c>
      <c r="BC27" s="52">
        <f>'Evolutive SFP'!K10+'Evolutive SFP'!K13</f>
        <v>0</v>
      </c>
      <c r="BD27" s="52">
        <f>'Evolutive SFP'!L10+'Evolutive SFP'!L13</f>
        <v>0</v>
      </c>
      <c r="BE27" s="52">
        <f>'Evolutive SFP'!M10+'Evolutive SFP'!M13</f>
        <v>0</v>
      </c>
      <c r="BF27" s="52">
        <f>'Evolutive SFP'!N10+'Evolutive SFP'!N13</f>
        <v>151588357</v>
      </c>
      <c r="BG27" s="52">
        <f>'Evolutive SFP'!O10+'Evolutive SFP'!O13</f>
        <v>205716.49</v>
      </c>
      <c r="BH27" s="52">
        <f>'Evolutive SFP'!P10+'Evolutive SFP'!P13</f>
        <v>205716.49</v>
      </c>
      <c r="BI27" s="52">
        <f>'Evolutive SFP'!Q10+'Evolutive SFP'!Q13</f>
        <v>205716.49</v>
      </c>
      <c r="BJ27" s="52">
        <f>'Evolutive SFP'!R10+'Evolutive SFP'!R13</f>
        <v>205716.49</v>
      </c>
      <c r="BK27" s="52">
        <f>'Evolutive SFP'!S10+'Evolutive SFP'!S13</f>
        <v>205716.49</v>
      </c>
      <c r="BL27" s="52">
        <f>'Evolutive SFP'!T10+'Evolutive SFP'!T13</f>
        <v>205716.49</v>
      </c>
      <c r="BM27" s="52">
        <f>'Evolutive SFP'!U10+'Evolutive SFP'!U13</f>
        <v>205716.49</v>
      </c>
      <c r="BN27" s="52">
        <f>'Evolutive SFP'!V10+'Evolutive SFP'!V13</f>
        <v>205716.49</v>
      </c>
      <c r="BO27" s="52">
        <f>'Evolutive SFP'!W10+'Evolutive SFP'!W13</f>
        <v>206277.27</v>
      </c>
      <c r="BP27" s="52">
        <f>'Evolutive SFP'!X10+'Evolutive SFP'!X13</f>
        <v>206277.27</v>
      </c>
      <c r="BQ27" s="52">
        <f>'Evolutive SFP'!Y10+'Evolutive SFP'!Y13</f>
        <v>206277.27</v>
      </c>
      <c r="BR27" s="52">
        <f>'Evolutive SFP'!Z10+'Evolutive SFP'!Z13</f>
        <v>206277.27</v>
      </c>
      <c r="BS27" s="52">
        <f>'Evolutive SFP'!AA10+'Evolutive SFP'!AA13</f>
        <v>152149137</v>
      </c>
      <c r="BT27" s="52">
        <f>'Evolutive SFP'!AB10+'Evolutive SFP'!AB13</f>
        <v>0</v>
      </c>
      <c r="BU27" s="52">
        <f>'Evolutive SFP'!AC10+'Evolutive SFP'!AC13</f>
        <v>0</v>
      </c>
      <c r="BV27" s="52">
        <f>'Evolutive SFP'!AD10+'Evolutive SFP'!AD13</f>
        <v>0</v>
      </c>
      <c r="BW27" s="52">
        <f>'Evolutive SFP'!AE10+'Evolutive SFP'!AE13</f>
        <v>0</v>
      </c>
      <c r="BX27" s="52">
        <f>'Evolutive SFP'!AF10+'Evolutive SFP'!AF13</f>
        <v>0</v>
      </c>
      <c r="BY27" s="52">
        <f>'Evolutive SFP'!AG10+'Evolutive SFP'!AG13</f>
        <v>0</v>
      </c>
      <c r="BZ27" s="52">
        <f>'Evolutive SFP'!AH10+'Evolutive SFP'!AH13</f>
        <v>0</v>
      </c>
      <c r="CA27" s="52">
        <f>'Evolutive SFP'!AI10+'Evolutive SFP'!AI13</f>
        <v>0</v>
      </c>
      <c r="CB27" s="52">
        <f>'Evolutive SFP'!AJ10+'Evolutive SFP'!AJ13</f>
        <v>0</v>
      </c>
      <c r="CC27" s="52">
        <f>'Evolutive SFP'!AK10+'Evolutive SFP'!AK13</f>
        <v>0</v>
      </c>
      <c r="CD27" s="52">
        <f>'Evolutive SFP'!AL10+'Evolutive SFP'!AL13</f>
        <v>0</v>
      </c>
      <c r="CE27" s="52">
        <f>'Evolutive SFP'!AM10+'Evolutive SFP'!AM13</f>
        <v>0</v>
      </c>
      <c r="CF27" s="52">
        <f>'Evolutive SFP'!AN10+'Evolutive SFP'!AN13</f>
        <v>151294163</v>
      </c>
      <c r="CG27" s="52">
        <f>'Evolutive SFP'!AO10+'Evolutive SFP'!AO13</f>
        <v>0</v>
      </c>
      <c r="CH27" s="52">
        <f>'Evolutive SFP'!AP10+'Evolutive SFP'!AP13</f>
        <v>0</v>
      </c>
      <c r="CI27" s="52">
        <f>'Evolutive SFP'!AQ10+'Evolutive SFP'!AQ13</f>
        <v>0</v>
      </c>
      <c r="CJ27" s="52">
        <f>'Evolutive SFP'!AR10+'Evolutive SFP'!AR13</f>
        <v>0</v>
      </c>
      <c r="CK27" s="52">
        <f>'Evolutive SFP'!AS10+'Evolutive SFP'!AS13</f>
        <v>0</v>
      </c>
      <c r="CL27" s="52">
        <f>'Evolutive SFP'!AT10+'Evolutive SFP'!AT13</f>
        <v>0</v>
      </c>
      <c r="CM27" s="52">
        <f>'Evolutive SFP'!AU10+'Evolutive SFP'!AU13</f>
        <v>0</v>
      </c>
      <c r="CN27" s="52">
        <f>'Evolutive SFP'!AV10+'Evolutive SFP'!AV13</f>
        <v>0</v>
      </c>
    </row>
    <row r="28" spans="1:92">
      <c r="A28" s="20">
        <v>6.3</v>
      </c>
      <c r="B28" s="19" t="s">
        <v>257</v>
      </c>
      <c r="C28" s="52" t="e">
        <f>'Evolutive SFP'!#REF!</f>
        <v>#REF!</v>
      </c>
      <c r="D28" s="52" t="e">
        <f>'Evolutive SFP'!#REF!</f>
        <v>#REF!</v>
      </c>
      <c r="E28" s="52" t="e">
        <f>'Evolutive SFP'!#REF!</f>
        <v>#REF!</v>
      </c>
      <c r="F28" s="52" t="e">
        <f>'Evolutive SFP'!#REF!</f>
        <v>#REF!</v>
      </c>
      <c r="G28" s="52" t="e">
        <f>'Evolutive SFP'!#REF!</f>
        <v>#REF!</v>
      </c>
      <c r="H28" s="52" t="e">
        <f>'Evolutive SFP'!#REF!</f>
        <v>#REF!</v>
      </c>
      <c r="I28" s="52" t="e">
        <f>'Evolutive SFP'!#REF!</f>
        <v>#REF!</v>
      </c>
      <c r="J28" s="52" t="e">
        <f>'Evolutive SFP'!#REF!</f>
        <v>#REF!</v>
      </c>
      <c r="K28" s="52" t="e">
        <f>'Evolutive SFP'!#REF!</f>
        <v>#REF!</v>
      </c>
      <c r="L28" s="52" t="e">
        <f>'Evolutive SFP'!#REF!</f>
        <v>#REF!</v>
      </c>
      <c r="M28" s="52" t="e">
        <f>'Evolutive SFP'!#REF!</f>
        <v>#REF!</v>
      </c>
      <c r="N28" s="52" t="e">
        <f>'Evolutive SFP'!#REF!</f>
        <v>#REF!</v>
      </c>
      <c r="O28" s="52" t="e">
        <f>'Evolutive SFP'!#REF!</f>
        <v>#REF!</v>
      </c>
      <c r="P28" s="52" t="e">
        <f>'Evolutive SFP'!#REF!</f>
        <v>#REF!</v>
      </c>
      <c r="Q28" s="52" t="e">
        <f>'Evolutive SFP'!#REF!</f>
        <v>#REF!</v>
      </c>
      <c r="R28" s="52" t="e">
        <f>'Evolutive SFP'!#REF!</f>
        <v>#REF!</v>
      </c>
      <c r="S28" s="52" t="e">
        <f>'Evolutive SFP'!#REF!</f>
        <v>#REF!</v>
      </c>
      <c r="T28" s="52" t="e">
        <f>'Evolutive SFP'!#REF!</f>
        <v>#REF!</v>
      </c>
      <c r="U28" s="52" t="e">
        <f>'Evolutive SFP'!#REF!</f>
        <v>#REF!</v>
      </c>
      <c r="V28" s="52" t="e">
        <f>'Evolutive SFP'!#REF!</f>
        <v>#REF!</v>
      </c>
      <c r="W28" s="52" t="e">
        <f>'Evolutive SFP'!#REF!</f>
        <v>#REF!</v>
      </c>
      <c r="X28" s="52" t="e">
        <f>'Evolutive SFP'!#REF!</f>
        <v>#REF!</v>
      </c>
      <c r="Y28" s="52" t="e">
        <f>'Evolutive SFP'!#REF!</f>
        <v>#REF!</v>
      </c>
      <c r="Z28" s="52" t="e">
        <f>'Evolutive SFP'!#REF!</f>
        <v>#REF!</v>
      </c>
      <c r="AA28" s="52" t="e">
        <f>'Evolutive SFP'!#REF!</f>
        <v>#REF!</v>
      </c>
      <c r="AB28" s="52" t="e">
        <f>'Evolutive SFP'!#REF!</f>
        <v>#REF!</v>
      </c>
      <c r="AC28" s="52" t="e">
        <f>'Evolutive SFP'!#REF!</f>
        <v>#REF!</v>
      </c>
      <c r="AD28" s="52" t="e">
        <f>'Evolutive SFP'!#REF!</f>
        <v>#REF!</v>
      </c>
      <c r="AE28" s="52" t="e">
        <f>'Evolutive SFP'!#REF!</f>
        <v>#REF!</v>
      </c>
      <c r="AF28" s="52" t="e">
        <f>'Evolutive SFP'!#REF!</f>
        <v>#REF!</v>
      </c>
      <c r="AG28" s="52" t="e">
        <f>'Evolutive SFP'!#REF!</f>
        <v>#REF!</v>
      </c>
      <c r="AH28" s="52" t="e">
        <f>'Evolutive SFP'!#REF!</f>
        <v>#REF!</v>
      </c>
      <c r="AI28" s="52" t="e">
        <f>'Evolutive SFP'!#REF!</f>
        <v>#REF!</v>
      </c>
      <c r="AJ28" s="52" t="e">
        <f>'Evolutive SFP'!#REF!</f>
        <v>#REF!</v>
      </c>
      <c r="AK28" s="52" t="e">
        <f>'Evolutive SFP'!#REF!</f>
        <v>#REF!</v>
      </c>
      <c r="AL28" s="52" t="e">
        <f>'Evolutive SFP'!#REF!</f>
        <v>#REF!</v>
      </c>
      <c r="AM28" s="52" t="e">
        <f>'Evolutive SFP'!#REF!</f>
        <v>#REF!</v>
      </c>
      <c r="AN28" s="52" t="e">
        <f>'Evolutive SFP'!#REF!</f>
        <v>#REF!</v>
      </c>
      <c r="AO28" s="52" t="e">
        <f>'Evolutive SFP'!#REF!</f>
        <v>#REF!</v>
      </c>
      <c r="AP28" s="52" t="e">
        <f>'Evolutive SFP'!#REF!</f>
        <v>#REF!</v>
      </c>
      <c r="AQ28" s="52" t="e">
        <f>'Evolutive SFP'!#REF!</f>
        <v>#REF!</v>
      </c>
      <c r="AR28" s="52" t="e">
        <f>'Evolutive SFP'!#REF!</f>
        <v>#REF!</v>
      </c>
      <c r="AS28" s="52">
        <f>'Evolutive SFP'!B11</f>
        <v>115855</v>
      </c>
      <c r="AT28" s="52">
        <f>'Evolutive SFP'!C11</f>
        <v>8093.93</v>
      </c>
      <c r="AU28" s="52">
        <f>'Evolutive SFP'!D11</f>
        <v>8093.93</v>
      </c>
      <c r="AV28" s="52">
        <f>'Evolutive SFP'!E11</f>
        <v>10452.43</v>
      </c>
      <c r="AW28" s="52">
        <f>'Evolutive SFP'!F11</f>
        <v>10452.43</v>
      </c>
      <c r="AX28" s="52">
        <f>'Evolutive SFP'!G11</f>
        <v>10452.43</v>
      </c>
      <c r="AY28" s="52">
        <f>'Evolutive SFP'!H11</f>
        <v>10452.43</v>
      </c>
      <c r="AZ28" s="52" t="e">
        <f>'Evolutive SFP'!#REF!</f>
        <v>#REF!</v>
      </c>
      <c r="BA28" s="52">
        <f>'Evolutive SFP'!I11</f>
        <v>10702.43</v>
      </c>
      <c r="BB28" s="52">
        <f>'Evolutive SFP'!J11</f>
        <v>10764.36</v>
      </c>
      <c r="BC28" s="52">
        <f>'Evolutive SFP'!K11</f>
        <v>10764.36</v>
      </c>
      <c r="BD28" s="52">
        <f>'Evolutive SFP'!L11</f>
        <v>10920.91</v>
      </c>
      <c r="BE28" s="52">
        <f>'Evolutive SFP'!M11</f>
        <v>10970.91</v>
      </c>
      <c r="BF28" s="52">
        <f>'Evolutive SFP'!N11</f>
        <v>0</v>
      </c>
      <c r="BG28" s="52">
        <f>'Evolutive SFP'!O11</f>
        <v>10970.91</v>
      </c>
      <c r="BH28" s="52">
        <f>'Evolutive SFP'!P11</f>
        <v>10977.85</v>
      </c>
      <c r="BI28" s="52">
        <f>'Evolutive SFP'!Q11</f>
        <v>11027.85</v>
      </c>
      <c r="BJ28" s="52">
        <f>'Evolutive SFP'!R11</f>
        <v>11177.85</v>
      </c>
      <c r="BK28" s="52">
        <f>'Evolutive SFP'!S11</f>
        <v>11177.85</v>
      </c>
      <c r="BL28" s="52">
        <f>'Evolutive SFP'!T11</f>
        <v>11177.85</v>
      </c>
      <c r="BM28" s="52">
        <f>'Evolutive SFP'!U11</f>
        <v>0</v>
      </c>
      <c r="BN28" s="52">
        <f>'Evolutive SFP'!V11</f>
        <v>0</v>
      </c>
      <c r="BO28" s="52">
        <f>'Evolutive SFP'!W11</f>
        <v>0</v>
      </c>
      <c r="BP28" s="52">
        <f>'Evolutive SFP'!X11</f>
        <v>0</v>
      </c>
      <c r="BQ28" s="52">
        <f>'Evolutive SFP'!Y11</f>
        <v>0</v>
      </c>
      <c r="BR28" s="52">
        <f>'Evolutive SFP'!Z11</f>
        <v>0</v>
      </c>
      <c r="BS28" s="52">
        <f>'Evolutive SFP'!AA11</f>
        <v>0</v>
      </c>
      <c r="BT28" s="52">
        <f>'Evolutive SFP'!AB11</f>
        <v>11651040.039999999</v>
      </c>
      <c r="BU28" s="52">
        <f>'Evolutive SFP'!AC11</f>
        <v>11701040.039999999</v>
      </c>
      <c r="BV28" s="52">
        <f>'Evolutive SFP'!AD11</f>
        <v>11701040.039999999</v>
      </c>
      <c r="BW28" s="52">
        <f>'Evolutive SFP'!AE11</f>
        <v>11801040.039999999</v>
      </c>
      <c r="BX28" s="52">
        <f>'Evolutive SFP'!AF11</f>
        <v>11801040.039999999</v>
      </c>
      <c r="BY28" s="52">
        <f>'Evolutive SFP'!AG11</f>
        <v>11918471.93</v>
      </c>
      <c r="BZ28" s="52">
        <f>'Evolutive SFP'!AH11</f>
        <v>11918471.93</v>
      </c>
      <c r="CA28" s="52">
        <f>'Evolutive SFP'!AI11</f>
        <v>12018471.93</v>
      </c>
      <c r="CB28" s="52">
        <f>'Evolutive SFP'!AJ11</f>
        <v>12068471.93</v>
      </c>
      <c r="CC28" s="52">
        <f>'Evolutive SFP'!AK11</f>
        <v>12118471.93</v>
      </c>
      <c r="CD28" s="52">
        <f>'Evolutive SFP'!AL11</f>
        <v>12168471.93</v>
      </c>
      <c r="CE28" s="52">
        <f>'Evolutive SFP'!AM11</f>
        <v>12218471.93</v>
      </c>
      <c r="CF28" s="52">
        <f>'Evolutive SFP'!AN11</f>
        <v>0</v>
      </c>
      <c r="CG28" s="52">
        <f>'Evolutive SFP'!AO11</f>
        <v>12297601.880000001</v>
      </c>
      <c r="CH28" s="52">
        <f>'Evolutive SFP'!AP11</f>
        <v>12347601.880000001</v>
      </c>
      <c r="CI28" s="52">
        <f>'Evolutive SFP'!AQ11</f>
        <v>12347601.880000001</v>
      </c>
      <c r="CJ28" s="52">
        <f>'Evolutive SFP'!AR11</f>
        <v>12447601.880000001</v>
      </c>
      <c r="CK28" s="52">
        <f>'Evolutive SFP'!AS11</f>
        <v>12447601.880000001</v>
      </c>
      <c r="CL28" s="52">
        <f>'Evolutive SFP'!AT11</f>
        <v>12547601.880000001</v>
      </c>
      <c r="CM28" s="52">
        <f>'Evolutive SFP'!AU11</f>
        <v>12547601.880000001</v>
      </c>
      <c r="CN28" s="52">
        <f>'Evolutive SFP'!AV11</f>
        <v>12547601.880000001</v>
      </c>
    </row>
    <row r="29" spans="1:92">
      <c r="A29" s="18"/>
      <c r="B29" s="19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</row>
    <row r="30" spans="1:92">
      <c r="A30" s="20">
        <v>7</v>
      </c>
      <c r="B30" s="18" t="s">
        <v>258</v>
      </c>
      <c r="C30" s="52" t="e">
        <f>'Evolutive SFP'!#REF!</f>
        <v>#REF!</v>
      </c>
      <c r="D30" s="52" t="e">
        <f>'Evolutive SFP'!#REF!</f>
        <v>#REF!</v>
      </c>
      <c r="E30" s="52" t="e">
        <f>'Evolutive SFP'!#REF!</f>
        <v>#REF!</v>
      </c>
      <c r="F30" s="52" t="e">
        <f>'Evolutive SFP'!#REF!</f>
        <v>#REF!</v>
      </c>
      <c r="G30" s="52" t="e">
        <f>'Evolutive SFP'!#REF!</f>
        <v>#REF!</v>
      </c>
      <c r="H30" s="52" t="e">
        <f>'Evolutive SFP'!#REF!</f>
        <v>#REF!</v>
      </c>
      <c r="I30" s="52" t="e">
        <f>'Evolutive SFP'!#REF!</f>
        <v>#REF!</v>
      </c>
      <c r="J30" s="52" t="e">
        <f>'Evolutive SFP'!#REF!</f>
        <v>#REF!</v>
      </c>
      <c r="K30" s="52" t="e">
        <f>'Evolutive SFP'!#REF!</f>
        <v>#REF!</v>
      </c>
      <c r="L30" s="52" t="e">
        <f>'Evolutive SFP'!#REF!</f>
        <v>#REF!</v>
      </c>
      <c r="M30" s="52" t="e">
        <f>'Evolutive SFP'!#REF!</f>
        <v>#REF!</v>
      </c>
      <c r="N30" s="52" t="e">
        <f>'Evolutive SFP'!#REF!</f>
        <v>#REF!</v>
      </c>
      <c r="O30" s="52" t="e">
        <f>'Evolutive SFP'!#REF!</f>
        <v>#REF!</v>
      </c>
      <c r="P30" s="52" t="e">
        <f>'Evolutive SFP'!#REF!</f>
        <v>#REF!</v>
      </c>
      <c r="Q30" s="52" t="e">
        <f>'Evolutive SFP'!#REF!</f>
        <v>#REF!</v>
      </c>
      <c r="R30" s="52" t="e">
        <f>'Evolutive SFP'!#REF!</f>
        <v>#REF!</v>
      </c>
      <c r="S30" s="52" t="e">
        <f>'Evolutive SFP'!#REF!</f>
        <v>#REF!</v>
      </c>
      <c r="T30" s="52" t="e">
        <f>'Evolutive SFP'!#REF!</f>
        <v>#REF!</v>
      </c>
      <c r="U30" s="52" t="e">
        <f>'Evolutive SFP'!#REF!</f>
        <v>#REF!</v>
      </c>
      <c r="V30" s="52" t="e">
        <f>'Evolutive SFP'!#REF!</f>
        <v>#REF!</v>
      </c>
      <c r="W30" s="52" t="e">
        <f>'Evolutive SFP'!#REF!</f>
        <v>#REF!</v>
      </c>
      <c r="X30" s="52" t="e">
        <f>'Evolutive SFP'!#REF!</f>
        <v>#REF!</v>
      </c>
      <c r="Y30" s="52" t="e">
        <f>'Evolutive SFP'!#REF!</f>
        <v>#REF!</v>
      </c>
      <c r="Z30" s="52" t="e">
        <f>'Evolutive SFP'!#REF!</f>
        <v>#REF!</v>
      </c>
      <c r="AA30" s="52" t="e">
        <f>'Evolutive SFP'!#REF!</f>
        <v>#REF!</v>
      </c>
      <c r="AB30" s="52" t="e">
        <f>'Evolutive SFP'!#REF!</f>
        <v>#REF!</v>
      </c>
      <c r="AC30" s="52" t="e">
        <f>'Evolutive SFP'!#REF!</f>
        <v>#REF!</v>
      </c>
      <c r="AD30" s="52" t="e">
        <f>'Evolutive SFP'!#REF!</f>
        <v>#REF!</v>
      </c>
      <c r="AE30" s="52" t="e">
        <f>'Evolutive SFP'!#REF!</f>
        <v>#REF!</v>
      </c>
      <c r="AF30" s="52" t="e">
        <f>'Evolutive SFP'!#REF!</f>
        <v>#REF!</v>
      </c>
      <c r="AG30" s="52" t="e">
        <f>'Evolutive SFP'!#REF!</f>
        <v>#REF!</v>
      </c>
      <c r="AH30" s="52" t="e">
        <f>'Evolutive SFP'!#REF!</f>
        <v>#REF!</v>
      </c>
      <c r="AI30" s="52" t="e">
        <f>'Evolutive SFP'!#REF!</f>
        <v>#REF!</v>
      </c>
      <c r="AJ30" s="52" t="e">
        <f>'Evolutive SFP'!#REF!</f>
        <v>#REF!</v>
      </c>
      <c r="AK30" s="52" t="e">
        <f>'Evolutive SFP'!#REF!</f>
        <v>#REF!</v>
      </c>
      <c r="AL30" s="52" t="e">
        <f>'Evolutive SFP'!#REF!</f>
        <v>#REF!</v>
      </c>
      <c r="AM30" s="52" t="e">
        <f>'Evolutive SFP'!#REF!</f>
        <v>#REF!</v>
      </c>
      <c r="AN30" s="52" t="e">
        <f>'Evolutive SFP'!#REF!</f>
        <v>#REF!</v>
      </c>
      <c r="AO30" s="52" t="e">
        <f>'Evolutive SFP'!#REF!</f>
        <v>#REF!</v>
      </c>
      <c r="AP30" s="52" t="e">
        <f>'Evolutive SFP'!#REF!</f>
        <v>#REF!</v>
      </c>
      <c r="AQ30" s="52" t="e">
        <f>'Evolutive SFP'!#REF!</f>
        <v>#REF!</v>
      </c>
      <c r="AR30" s="52" t="e">
        <f>'Evolutive SFP'!#REF!</f>
        <v>#REF!</v>
      </c>
      <c r="AS30" s="52">
        <f>'Evolutive SFP'!B14</f>
        <v>216882733</v>
      </c>
      <c r="AT30" s="52">
        <f>'Evolutive SFP'!C14</f>
        <v>2218881.4900000002</v>
      </c>
      <c r="AU30" s="52">
        <f>'Evolutive SFP'!D14</f>
        <v>2194730.46</v>
      </c>
      <c r="AV30" s="52">
        <f>'Evolutive SFP'!E14</f>
        <v>2142502.75</v>
      </c>
      <c r="AW30" s="52">
        <f>'Evolutive SFP'!F14</f>
        <v>2083076.2000000002</v>
      </c>
      <c r="AX30" s="52">
        <f>'Evolutive SFP'!G14</f>
        <v>2085200.93</v>
      </c>
      <c r="AY30" s="52">
        <f>'Evolutive SFP'!H14</f>
        <v>2041178.09</v>
      </c>
      <c r="AZ30" s="52" t="e">
        <f>'Evolutive SFP'!#REF!</f>
        <v>#REF!</v>
      </c>
      <c r="BA30" s="52">
        <f>'Evolutive SFP'!I14</f>
        <v>2220959.62</v>
      </c>
      <c r="BB30" s="52">
        <f>'Evolutive SFP'!J14</f>
        <v>2309725.0399999996</v>
      </c>
      <c r="BC30" s="52">
        <f>'Evolutive SFP'!K14</f>
        <v>2379361.5099999998</v>
      </c>
      <c r="BD30" s="52">
        <f>'Evolutive SFP'!L14</f>
        <v>2404986.6300000004</v>
      </c>
      <c r="BE30" s="52">
        <f>'Evolutive SFP'!M14</f>
        <v>2478695.71</v>
      </c>
      <c r="BF30" s="52">
        <f>'Evolutive SFP'!N14</f>
        <v>2478581524</v>
      </c>
      <c r="BG30" s="52">
        <f>'Evolutive SFP'!O14</f>
        <v>2479489.27</v>
      </c>
      <c r="BH30" s="52">
        <f>'Evolutive SFP'!P14</f>
        <v>2481869.13</v>
      </c>
      <c r="BI30" s="52">
        <f>'Evolutive SFP'!Q14</f>
        <v>2489170.7799999998</v>
      </c>
      <c r="BJ30" s="52">
        <f>'Evolutive SFP'!R14</f>
        <v>2545237.94</v>
      </c>
      <c r="BK30" s="52">
        <f>'Evolutive SFP'!S14</f>
        <v>2587624.06</v>
      </c>
      <c r="BL30" s="52">
        <f>'Evolutive SFP'!T14</f>
        <v>2642068.23</v>
      </c>
      <c r="BM30" s="52">
        <f>'Evolutive SFP'!U14</f>
        <v>2677521.4700000002</v>
      </c>
      <c r="BN30" s="52">
        <f>'Evolutive SFP'!V14</f>
        <v>2712461.08</v>
      </c>
      <c r="BO30" s="52">
        <f>'Evolutive SFP'!W14</f>
        <v>2723851.9</v>
      </c>
      <c r="BP30" s="52">
        <f>'Evolutive SFP'!X14</f>
        <v>2746202.14</v>
      </c>
      <c r="BQ30" s="52">
        <f>'Evolutive SFP'!Y14</f>
        <v>2767953.4699999997</v>
      </c>
      <c r="BR30" s="52">
        <f>'Evolutive SFP'!Z14</f>
        <v>2800804.5900000003</v>
      </c>
      <c r="BS30" s="52">
        <f>'Evolutive SFP'!AA14</f>
        <v>2800698147</v>
      </c>
      <c r="BT30" s="52">
        <f>'Evolutive SFP'!AB14</f>
        <v>2827840614.25</v>
      </c>
      <c r="BU30" s="52">
        <f>'Evolutive SFP'!AC14</f>
        <v>2843894899.1100001</v>
      </c>
      <c r="BV30" s="52">
        <f>'Evolutive SFP'!AD14</f>
        <v>2809594950.1799998</v>
      </c>
      <c r="BW30" s="52">
        <f>'Evolutive SFP'!AE14</f>
        <v>2829817574.4700003</v>
      </c>
      <c r="BX30" s="52">
        <f>'Evolutive SFP'!AF14</f>
        <v>2866028703.5599999</v>
      </c>
      <c r="BY30" s="52">
        <f>'Evolutive SFP'!AG14</f>
        <v>2942369878.2600002</v>
      </c>
      <c r="BZ30" s="52">
        <f>'Evolutive SFP'!AH14</f>
        <v>2951836113.4099998</v>
      </c>
      <c r="CA30" s="52">
        <f>'Evolutive SFP'!AI14</f>
        <v>2980890806.7599998</v>
      </c>
      <c r="CB30" s="52">
        <f>'Evolutive SFP'!AJ14</f>
        <v>2995097276.75</v>
      </c>
      <c r="CC30" s="52">
        <f>'Evolutive SFP'!AK14</f>
        <v>3041490180.29</v>
      </c>
      <c r="CD30" s="52">
        <f>'Evolutive SFP'!AL14</f>
        <v>3056773780.5</v>
      </c>
      <c r="CE30" s="52">
        <f>'Evolutive SFP'!AM14</f>
        <v>3151807563.5099998</v>
      </c>
      <c r="CF30" s="52">
        <f>'Evolutive SFP'!AN14</f>
        <v>3151612610</v>
      </c>
      <c r="CG30" s="52">
        <f>'Evolutive SFP'!AO14</f>
        <v>3232491088.9699998</v>
      </c>
      <c r="CH30" s="52">
        <f>'Evolutive SFP'!AP14</f>
        <v>3265633037.8200002</v>
      </c>
      <c r="CI30" s="52">
        <f>'Evolutive SFP'!AQ14</f>
        <v>3256291613.7599998</v>
      </c>
      <c r="CJ30" s="52">
        <f>'Evolutive SFP'!AR14</f>
        <v>3295806067.6199999</v>
      </c>
      <c r="CK30" s="52">
        <f>'Evolutive SFP'!AS14</f>
        <v>3347375948.73</v>
      </c>
      <c r="CL30" s="52">
        <f>'Evolutive SFP'!AT14</f>
        <v>3458486780.1900001</v>
      </c>
      <c r="CM30" s="52">
        <f>'Evolutive SFP'!AU14</f>
        <v>3520624247.96</v>
      </c>
      <c r="CN30" s="52">
        <f>'Evolutive SFP'!AV14</f>
        <v>3615258961.1799998</v>
      </c>
    </row>
    <row r="31" spans="1:92">
      <c r="A31" s="20">
        <v>7.1</v>
      </c>
      <c r="B31" s="18" t="s">
        <v>259</v>
      </c>
      <c r="C31" s="52" t="e">
        <f>'Evolutive SFP'!#REF!</f>
        <v>#REF!</v>
      </c>
      <c r="D31" s="52" t="e">
        <f>'Evolutive SFP'!#REF!</f>
        <v>#REF!</v>
      </c>
      <c r="E31" s="52" t="e">
        <f>'Evolutive SFP'!#REF!</f>
        <v>#REF!</v>
      </c>
      <c r="F31" s="52" t="e">
        <f>'Evolutive SFP'!#REF!</f>
        <v>#REF!</v>
      </c>
      <c r="G31" s="52" t="e">
        <f>'Evolutive SFP'!#REF!</f>
        <v>#REF!</v>
      </c>
      <c r="H31" s="52" t="e">
        <f>'Evolutive SFP'!#REF!</f>
        <v>#REF!</v>
      </c>
      <c r="I31" s="52" t="e">
        <f>'Evolutive SFP'!#REF!</f>
        <v>#REF!</v>
      </c>
      <c r="J31" s="52" t="e">
        <f>'Evolutive SFP'!#REF!</f>
        <v>#REF!</v>
      </c>
      <c r="K31" s="52" t="e">
        <f>'Evolutive SFP'!#REF!</f>
        <v>#REF!</v>
      </c>
      <c r="L31" s="52" t="e">
        <f>'Evolutive SFP'!#REF!</f>
        <v>#REF!</v>
      </c>
      <c r="M31" s="52" t="e">
        <f>'Evolutive SFP'!#REF!</f>
        <v>#REF!</v>
      </c>
      <c r="N31" s="52" t="e">
        <f>'Evolutive SFP'!#REF!</f>
        <v>#REF!</v>
      </c>
      <c r="O31" s="52" t="e">
        <f>'Evolutive SFP'!#REF!</f>
        <v>#REF!</v>
      </c>
      <c r="P31" s="52" t="e">
        <f>'Evolutive SFP'!#REF!</f>
        <v>#REF!</v>
      </c>
      <c r="Q31" s="52" t="e">
        <f>'Evolutive SFP'!#REF!</f>
        <v>#REF!</v>
      </c>
      <c r="R31" s="52" t="e">
        <f>'Evolutive SFP'!#REF!</f>
        <v>#REF!</v>
      </c>
      <c r="S31" s="52" t="e">
        <f>'Evolutive SFP'!#REF!</f>
        <v>#REF!</v>
      </c>
      <c r="T31" s="52" t="e">
        <f>'Evolutive SFP'!#REF!</f>
        <v>#REF!</v>
      </c>
      <c r="U31" s="52" t="e">
        <f>'Evolutive SFP'!#REF!</f>
        <v>#REF!</v>
      </c>
      <c r="V31" s="52" t="e">
        <f>'Evolutive SFP'!#REF!</f>
        <v>#REF!</v>
      </c>
      <c r="W31" s="52" t="e">
        <f>'Evolutive SFP'!#REF!</f>
        <v>#REF!</v>
      </c>
      <c r="X31" s="52" t="e">
        <f>'Evolutive SFP'!#REF!</f>
        <v>#REF!</v>
      </c>
      <c r="Y31" s="52" t="e">
        <f>'Evolutive SFP'!#REF!</f>
        <v>#REF!</v>
      </c>
      <c r="Z31" s="52" t="e">
        <f>'Evolutive SFP'!#REF!</f>
        <v>#REF!</v>
      </c>
      <c r="AA31" s="52" t="e">
        <f>'Evolutive SFP'!#REF!</f>
        <v>#REF!</v>
      </c>
      <c r="AB31" s="52" t="e">
        <f>'Evolutive SFP'!#REF!</f>
        <v>#REF!</v>
      </c>
      <c r="AC31" s="52" t="e">
        <f>'Evolutive SFP'!#REF!</f>
        <v>#REF!</v>
      </c>
      <c r="AD31" s="52" t="e">
        <f>'Evolutive SFP'!#REF!</f>
        <v>#REF!</v>
      </c>
      <c r="AE31" s="52" t="e">
        <f>'Evolutive SFP'!#REF!</f>
        <v>#REF!</v>
      </c>
      <c r="AF31" s="52" t="e">
        <f>'Evolutive SFP'!#REF!</f>
        <v>#REF!</v>
      </c>
      <c r="AG31" s="52" t="e">
        <f>'Evolutive SFP'!#REF!</f>
        <v>#REF!</v>
      </c>
      <c r="AH31" s="52" t="e">
        <f>'Evolutive SFP'!#REF!</f>
        <v>#REF!</v>
      </c>
      <c r="AI31" s="52" t="e">
        <f>'Evolutive SFP'!#REF!</f>
        <v>#REF!</v>
      </c>
      <c r="AJ31" s="52" t="e">
        <f>'Evolutive SFP'!#REF!</f>
        <v>#REF!</v>
      </c>
      <c r="AK31" s="52" t="e">
        <f>'Evolutive SFP'!#REF!</f>
        <v>#REF!</v>
      </c>
      <c r="AL31" s="52" t="e">
        <f>'Evolutive SFP'!#REF!</f>
        <v>#REF!</v>
      </c>
      <c r="AM31" s="52" t="e">
        <f>'Evolutive SFP'!#REF!</f>
        <v>#REF!</v>
      </c>
      <c r="AN31" s="52" t="e">
        <f>'Evolutive SFP'!#REF!</f>
        <v>#REF!</v>
      </c>
      <c r="AO31" s="52" t="e">
        <f>'Evolutive SFP'!#REF!</f>
        <v>#REF!</v>
      </c>
      <c r="AP31" s="52" t="e">
        <f>'Evolutive SFP'!#REF!</f>
        <v>#REF!</v>
      </c>
      <c r="AQ31" s="52" t="e">
        <f>'Evolutive SFP'!#REF!</f>
        <v>#REF!</v>
      </c>
      <c r="AR31" s="52" t="e">
        <f>'Evolutive SFP'!#REF!</f>
        <v>#REF!</v>
      </c>
      <c r="AS31" s="52">
        <f>'Evolutive SFP'!B15</f>
        <v>238201977</v>
      </c>
      <c r="AT31" s="52">
        <f>'Evolutive SFP'!C15</f>
        <v>2254469.56</v>
      </c>
      <c r="AU31" s="52">
        <f>'Evolutive SFP'!D15</f>
        <v>2281291.9</v>
      </c>
      <c r="AV31" s="52">
        <f>'Evolutive SFP'!E15</f>
        <v>2236181.1</v>
      </c>
      <c r="AW31" s="52">
        <f>'Evolutive SFP'!F15</f>
        <v>2187771.9700000002</v>
      </c>
      <c r="AX31" s="52">
        <f>'Evolutive SFP'!G15</f>
        <v>2148831.42</v>
      </c>
      <c r="AY31" s="52">
        <f>'Evolutive SFP'!H15</f>
        <v>2152614.87</v>
      </c>
      <c r="AZ31" s="52" t="e">
        <f>'Evolutive SFP'!#REF!</f>
        <v>#REF!</v>
      </c>
      <c r="BA31" s="52">
        <f>'Evolutive SFP'!I15</f>
        <v>2334271.62</v>
      </c>
      <c r="BB31" s="52">
        <f>'Evolutive SFP'!J15</f>
        <v>2423796.5299999998</v>
      </c>
      <c r="BC31" s="52">
        <f>'Evolutive SFP'!K15</f>
        <v>2482872.7999999998</v>
      </c>
      <c r="BD31" s="52">
        <f>'Evolutive SFP'!L15</f>
        <v>2516422.2400000002</v>
      </c>
      <c r="BE31" s="52">
        <f>'Evolutive SFP'!M15</f>
        <v>2564682.81</v>
      </c>
      <c r="BF31" s="52">
        <f>'Evolutive SFP'!N15</f>
        <v>2564485165</v>
      </c>
      <c r="BG31" s="52">
        <f>'Evolutive SFP'!O15</f>
        <v>2578503.35</v>
      </c>
      <c r="BH31" s="52">
        <f>'Evolutive SFP'!P15</f>
        <v>2602511.08</v>
      </c>
      <c r="BI31" s="52">
        <f>'Evolutive SFP'!Q15</f>
        <v>2595432.17</v>
      </c>
      <c r="BJ31" s="52">
        <f>'Evolutive SFP'!R15</f>
        <v>2656255.7999999998</v>
      </c>
      <c r="BK31" s="52">
        <f>'Evolutive SFP'!S15</f>
        <v>2698251.62</v>
      </c>
      <c r="BL31" s="52">
        <f>'Evolutive SFP'!T15</f>
        <v>2757238.38</v>
      </c>
      <c r="BM31" s="52">
        <f>'Evolutive SFP'!U15</f>
        <v>2792413.31</v>
      </c>
      <c r="BN31" s="52">
        <f>'Evolutive SFP'!V15</f>
        <v>2817998.86</v>
      </c>
      <c r="BO31" s="52">
        <f>'Evolutive SFP'!W15</f>
        <v>2816968.34</v>
      </c>
      <c r="BP31" s="52">
        <f>'Evolutive SFP'!X15</f>
        <v>2834290.12</v>
      </c>
      <c r="BQ31" s="52">
        <f>'Evolutive SFP'!Y15</f>
        <v>2851108.55</v>
      </c>
      <c r="BR31" s="52">
        <f>'Evolutive SFP'!Z15</f>
        <v>2876131.18</v>
      </c>
      <c r="BS31" s="52">
        <f>'Evolutive SFP'!AA15</f>
        <v>2876051809</v>
      </c>
      <c r="BT31" s="52">
        <f>'Evolutive SFP'!AB15</f>
        <v>2903167200.0300002</v>
      </c>
      <c r="BU31" s="52">
        <f>'Evolutive SFP'!AC15</f>
        <v>2912615929.5300002</v>
      </c>
      <c r="BV31" s="52">
        <f>'Evolutive SFP'!AD15</f>
        <v>2880768445.0999999</v>
      </c>
      <c r="BW31" s="52">
        <f>'Evolutive SFP'!AE15</f>
        <v>2902913607.6700001</v>
      </c>
      <c r="BX31" s="52">
        <f>'Evolutive SFP'!AF15</f>
        <v>2940415985.9400001</v>
      </c>
      <c r="BY31" s="52">
        <f>'Evolutive SFP'!AG15</f>
        <v>3024870171.5700002</v>
      </c>
      <c r="BZ31" s="52">
        <f>'Evolutive SFP'!AH15</f>
        <v>3039570485.04</v>
      </c>
      <c r="CA31" s="52">
        <f>'Evolutive SFP'!AI15</f>
        <v>3068549066.9699998</v>
      </c>
      <c r="CB31" s="52">
        <f>'Evolutive SFP'!AJ15</f>
        <v>3077972780.6199999</v>
      </c>
      <c r="CC31" s="52">
        <f>'Evolutive SFP'!AK15</f>
        <v>3124390301.4499998</v>
      </c>
      <c r="CD31" s="52">
        <f>'Evolutive SFP'!AL15</f>
        <v>3144642734.3299999</v>
      </c>
      <c r="CE31" s="52">
        <f>'Evolutive SFP'!AM15</f>
        <v>3216427161.5599999</v>
      </c>
      <c r="CF31" s="52">
        <f>'Evolutive SFP'!AN15</f>
        <v>3216230239</v>
      </c>
      <c r="CG31" s="52">
        <f>'Evolutive SFP'!AO15</f>
        <v>3304516342.5799999</v>
      </c>
      <c r="CH31" s="52">
        <f>'Evolutive SFP'!AP15</f>
        <v>3338762484.9200001</v>
      </c>
      <c r="CI31" s="52">
        <f>'Evolutive SFP'!AQ15</f>
        <v>3325741824.4499998</v>
      </c>
      <c r="CJ31" s="52">
        <f>'Evolutive SFP'!AR15</f>
        <v>3365602731.9699998</v>
      </c>
      <c r="CK31" s="52">
        <f>'Evolutive SFP'!AS15</f>
        <v>3417586187.9400001</v>
      </c>
      <c r="CL31" s="52">
        <f>'Evolutive SFP'!AT15</f>
        <v>3538640424.8400002</v>
      </c>
      <c r="CM31" s="52">
        <f>'Evolutive SFP'!AU15</f>
        <v>3614806616.3299999</v>
      </c>
      <c r="CN31" s="52">
        <f>'Evolutive SFP'!AV15</f>
        <v>3716702526.1799998</v>
      </c>
    </row>
    <row r="32" spans="1:92">
      <c r="A32" s="20">
        <v>7.2</v>
      </c>
      <c r="B32" s="18" t="s">
        <v>260</v>
      </c>
      <c r="C32" s="52" t="e">
        <f>'Evolutive SFP'!#REF!</f>
        <v>#REF!</v>
      </c>
      <c r="D32" s="52" t="e">
        <f>'Evolutive SFP'!#REF!</f>
        <v>#REF!</v>
      </c>
      <c r="E32" s="52" t="e">
        <f>'Evolutive SFP'!#REF!</f>
        <v>#REF!</v>
      </c>
      <c r="F32" s="52" t="e">
        <f>'Evolutive SFP'!#REF!</f>
        <v>#REF!</v>
      </c>
      <c r="G32" s="52" t="e">
        <f>'Evolutive SFP'!#REF!</f>
        <v>#REF!</v>
      </c>
      <c r="H32" s="52" t="e">
        <f>'Evolutive SFP'!#REF!</f>
        <v>#REF!</v>
      </c>
      <c r="I32" s="52" t="e">
        <f>'Evolutive SFP'!#REF!</f>
        <v>#REF!</v>
      </c>
      <c r="J32" s="52" t="e">
        <f>'Evolutive SFP'!#REF!</f>
        <v>#REF!</v>
      </c>
      <c r="K32" s="52" t="e">
        <f>'Evolutive SFP'!#REF!</f>
        <v>#REF!</v>
      </c>
      <c r="L32" s="52" t="e">
        <f>'Evolutive SFP'!#REF!</f>
        <v>#REF!</v>
      </c>
      <c r="M32" s="52" t="e">
        <f>'Evolutive SFP'!#REF!</f>
        <v>#REF!</v>
      </c>
      <c r="N32" s="52" t="e">
        <f>'Evolutive SFP'!#REF!</f>
        <v>#REF!</v>
      </c>
      <c r="O32" s="52" t="e">
        <f>'Evolutive SFP'!#REF!</f>
        <v>#REF!</v>
      </c>
      <c r="P32" s="52" t="e">
        <f>'Evolutive SFP'!#REF!</f>
        <v>#REF!</v>
      </c>
      <c r="Q32" s="52" t="e">
        <f>'Evolutive SFP'!#REF!</f>
        <v>#REF!</v>
      </c>
      <c r="R32" s="52" t="e">
        <f>'Evolutive SFP'!#REF!</f>
        <v>#REF!</v>
      </c>
      <c r="S32" s="52" t="e">
        <f>'Evolutive SFP'!#REF!</f>
        <v>#REF!</v>
      </c>
      <c r="T32" s="52" t="e">
        <f>'Evolutive SFP'!#REF!</f>
        <v>#REF!</v>
      </c>
      <c r="U32" s="52" t="e">
        <f>'Evolutive SFP'!#REF!</f>
        <v>#REF!</v>
      </c>
      <c r="V32" s="52" t="e">
        <f>'Evolutive SFP'!#REF!</f>
        <v>#REF!</v>
      </c>
      <c r="W32" s="52" t="e">
        <f>'Evolutive SFP'!#REF!</f>
        <v>#REF!</v>
      </c>
      <c r="X32" s="52" t="e">
        <f>'Evolutive SFP'!#REF!</f>
        <v>#REF!</v>
      </c>
      <c r="Y32" s="52" t="e">
        <f>'Evolutive SFP'!#REF!</f>
        <v>#REF!</v>
      </c>
      <c r="Z32" s="52" t="e">
        <f>'Evolutive SFP'!#REF!</f>
        <v>#REF!</v>
      </c>
      <c r="AA32" s="52" t="e">
        <f>'Evolutive SFP'!#REF!</f>
        <v>#REF!</v>
      </c>
      <c r="AB32" s="52" t="e">
        <f>'Evolutive SFP'!#REF!</f>
        <v>#REF!</v>
      </c>
      <c r="AC32" s="52" t="e">
        <f>'Evolutive SFP'!#REF!</f>
        <v>#REF!</v>
      </c>
      <c r="AD32" s="52" t="e">
        <f>'Evolutive SFP'!#REF!</f>
        <v>#REF!</v>
      </c>
      <c r="AE32" s="52" t="e">
        <f>'Evolutive SFP'!#REF!</f>
        <v>#REF!</v>
      </c>
      <c r="AF32" s="52" t="e">
        <f>'Evolutive SFP'!#REF!</f>
        <v>#REF!</v>
      </c>
      <c r="AG32" s="52" t="e">
        <f>'Evolutive SFP'!#REF!</f>
        <v>#REF!</v>
      </c>
      <c r="AH32" s="52" t="e">
        <f>'Evolutive SFP'!#REF!</f>
        <v>#REF!</v>
      </c>
      <c r="AI32" s="52" t="e">
        <f>'Evolutive SFP'!#REF!</f>
        <v>#REF!</v>
      </c>
      <c r="AJ32" s="52" t="e">
        <f>'Evolutive SFP'!#REF!</f>
        <v>#REF!</v>
      </c>
      <c r="AK32" s="52" t="e">
        <f>'Evolutive SFP'!#REF!</f>
        <v>#REF!</v>
      </c>
      <c r="AL32" s="52" t="e">
        <f>'Evolutive SFP'!#REF!</f>
        <v>#REF!</v>
      </c>
      <c r="AM32" s="52" t="e">
        <f>'Evolutive SFP'!#REF!</f>
        <v>#REF!</v>
      </c>
      <c r="AN32" s="52" t="e">
        <f>'Evolutive SFP'!#REF!</f>
        <v>#REF!</v>
      </c>
      <c r="AO32" s="52" t="e">
        <f>'Evolutive SFP'!#REF!</f>
        <v>#REF!</v>
      </c>
      <c r="AP32" s="52" t="e">
        <f>'Evolutive SFP'!#REF!</f>
        <v>#REF!</v>
      </c>
      <c r="AQ32" s="52" t="e">
        <f>'Evolutive SFP'!#REF!</f>
        <v>#REF!</v>
      </c>
      <c r="AR32" s="52" t="e">
        <f>'Evolutive SFP'!#REF!</f>
        <v>#REF!</v>
      </c>
      <c r="AS32" s="52">
        <f>'Evolutive SFP'!B16</f>
        <v>21319244</v>
      </c>
      <c r="AT32" s="52">
        <f>'Evolutive SFP'!C16</f>
        <v>35588.07</v>
      </c>
      <c r="AU32" s="52">
        <f>'Evolutive SFP'!D16</f>
        <v>86561.44</v>
      </c>
      <c r="AV32" s="52">
        <f>'Evolutive SFP'!E16</f>
        <v>93678.35</v>
      </c>
      <c r="AW32" s="52">
        <f>'Evolutive SFP'!F16</f>
        <v>104695.77</v>
      </c>
      <c r="AX32" s="52">
        <f>'Evolutive SFP'!G16</f>
        <v>63630.49</v>
      </c>
      <c r="AY32" s="52">
        <f>'Evolutive SFP'!H16</f>
        <v>111436.78</v>
      </c>
      <c r="AZ32" s="52" t="e">
        <f>'Evolutive SFP'!#REF!</f>
        <v>#REF!</v>
      </c>
      <c r="BA32" s="52">
        <f>'Evolutive SFP'!I16</f>
        <v>113312</v>
      </c>
      <c r="BB32" s="52">
        <f>'Evolutive SFP'!J16</f>
        <v>114071.49</v>
      </c>
      <c r="BC32" s="52">
        <f>'Evolutive SFP'!K16</f>
        <v>103511.29</v>
      </c>
      <c r="BD32" s="52">
        <f>'Evolutive SFP'!L16</f>
        <v>111435.61</v>
      </c>
      <c r="BE32" s="52">
        <f>'Evolutive SFP'!M16</f>
        <v>85987.1</v>
      </c>
      <c r="BF32" s="52">
        <f>'Evolutive SFP'!N16</f>
        <v>85903641</v>
      </c>
      <c r="BG32" s="52">
        <f>'Evolutive SFP'!O16</f>
        <v>99014.080000000002</v>
      </c>
      <c r="BH32" s="52">
        <f>'Evolutive SFP'!P16</f>
        <v>120641.95</v>
      </c>
      <c r="BI32" s="52">
        <f>'Evolutive SFP'!Q16</f>
        <v>106261.39</v>
      </c>
      <c r="BJ32" s="52">
        <f>'Evolutive SFP'!R16</f>
        <v>111017.86</v>
      </c>
      <c r="BK32" s="52">
        <f>'Evolutive SFP'!S16</f>
        <v>110627.56</v>
      </c>
      <c r="BL32" s="52">
        <f>'Evolutive SFP'!T16</f>
        <v>115170.15</v>
      </c>
      <c r="BM32" s="52">
        <f>'Evolutive SFP'!U16</f>
        <v>114891.84</v>
      </c>
      <c r="BN32" s="52">
        <f>'Evolutive SFP'!V16</f>
        <v>105537.78</v>
      </c>
      <c r="BO32" s="52">
        <f>'Evolutive SFP'!W16</f>
        <v>93116.44</v>
      </c>
      <c r="BP32" s="52">
        <f>'Evolutive SFP'!X16</f>
        <v>88087.98</v>
      </c>
      <c r="BQ32" s="52">
        <f>'Evolutive SFP'!Y16</f>
        <v>83155.08</v>
      </c>
      <c r="BR32" s="52">
        <f>'Evolutive SFP'!Z16</f>
        <v>75326.59</v>
      </c>
      <c r="BS32" s="52">
        <f>'Evolutive SFP'!AA16</f>
        <v>75353662</v>
      </c>
      <c r="BT32" s="52">
        <f>'Evolutive SFP'!AB16</f>
        <v>75326585.780000001</v>
      </c>
      <c r="BU32" s="52">
        <f>'Evolutive SFP'!AC16</f>
        <v>68721030.420000002</v>
      </c>
      <c r="BV32" s="52">
        <f>'Evolutive SFP'!AD16</f>
        <v>71173494.920000002</v>
      </c>
      <c r="BW32" s="52">
        <f>'Evolutive SFP'!AE16</f>
        <v>73096033.200000003</v>
      </c>
      <c r="BX32" s="52">
        <f>'Evolutive SFP'!AF16</f>
        <v>74387282.379999995</v>
      </c>
      <c r="BY32" s="52">
        <f>'Evolutive SFP'!AG16</f>
        <v>82500293.310000002</v>
      </c>
      <c r="BZ32" s="52">
        <f>'Evolutive SFP'!AH16</f>
        <v>87734371.629999995</v>
      </c>
      <c r="CA32" s="52">
        <f>'Evolutive SFP'!AI16</f>
        <v>87658260.209999993</v>
      </c>
      <c r="CB32" s="52">
        <f>'Evolutive SFP'!AJ16</f>
        <v>82875503.870000005</v>
      </c>
      <c r="CC32" s="52">
        <f>'Evolutive SFP'!AK16</f>
        <v>82900121.159999996</v>
      </c>
      <c r="CD32" s="52">
        <f>'Evolutive SFP'!AL16</f>
        <v>87868953.829999998</v>
      </c>
      <c r="CE32" s="52">
        <f>'Evolutive SFP'!AM16</f>
        <v>64619598.049999997</v>
      </c>
      <c r="CF32" s="52">
        <f>'Evolutive SFP'!AN16</f>
        <v>64617629</v>
      </c>
      <c r="CG32" s="52">
        <f>'Evolutive SFP'!AO16</f>
        <v>72025253.609999999</v>
      </c>
      <c r="CH32" s="52">
        <f>'Evolutive SFP'!AP16</f>
        <v>73129447.099999994</v>
      </c>
      <c r="CI32" s="52">
        <f>'Evolutive SFP'!AQ16</f>
        <v>69450210.689999998</v>
      </c>
      <c r="CJ32" s="52">
        <f>'Evolutive SFP'!AR16</f>
        <v>69796664.349999994</v>
      </c>
      <c r="CK32" s="52">
        <f>'Evolutive SFP'!AS16</f>
        <v>70210239.209999993</v>
      </c>
      <c r="CL32" s="52">
        <f>'Evolutive SFP'!AT16</f>
        <v>80153644.650000006</v>
      </c>
      <c r="CM32" s="52">
        <f>'Evolutive SFP'!AU16</f>
        <v>94182368.370000005</v>
      </c>
      <c r="CN32" s="52">
        <f>'Evolutive SFP'!AV16</f>
        <v>101443565</v>
      </c>
    </row>
    <row r="33" spans="1:92">
      <c r="A33" s="18"/>
      <c r="B33" s="18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</row>
    <row r="34" spans="1:92">
      <c r="A34" s="20">
        <v>8</v>
      </c>
      <c r="B34" s="18" t="s">
        <v>106</v>
      </c>
      <c r="C34" s="52" t="e">
        <f>'Evolutive SFP'!#REF!+'Evolutive SFP'!#REF!</f>
        <v>#REF!</v>
      </c>
      <c r="D34" s="52" t="e">
        <f>'Evolutive SFP'!#REF!+'Evolutive SFP'!#REF!</f>
        <v>#REF!</v>
      </c>
      <c r="E34" s="52" t="e">
        <f>'Evolutive SFP'!#REF!+'Evolutive SFP'!#REF!</f>
        <v>#REF!</v>
      </c>
      <c r="F34" s="52" t="e">
        <f>'Evolutive SFP'!#REF!+'Evolutive SFP'!#REF!</f>
        <v>#REF!</v>
      </c>
      <c r="G34" s="52" t="e">
        <f>'Evolutive SFP'!#REF!+'Evolutive SFP'!#REF!</f>
        <v>#REF!</v>
      </c>
      <c r="H34" s="52" t="e">
        <f>'Evolutive SFP'!#REF!+'Evolutive SFP'!#REF!</f>
        <v>#REF!</v>
      </c>
      <c r="I34" s="52" t="e">
        <f>'Evolutive SFP'!#REF!+'Evolutive SFP'!#REF!</f>
        <v>#REF!</v>
      </c>
      <c r="J34" s="52" t="e">
        <f>'Evolutive SFP'!#REF!+'Evolutive SFP'!#REF!</f>
        <v>#REF!</v>
      </c>
      <c r="K34" s="52" t="e">
        <f>'Evolutive SFP'!#REF!+'Evolutive SFP'!#REF!</f>
        <v>#REF!</v>
      </c>
      <c r="L34" s="52" t="e">
        <f>'Evolutive SFP'!#REF!+'Evolutive SFP'!#REF!</f>
        <v>#REF!</v>
      </c>
      <c r="M34" s="52" t="e">
        <f>'Evolutive SFP'!#REF!+'Evolutive SFP'!#REF!</f>
        <v>#REF!</v>
      </c>
      <c r="N34" s="52" t="e">
        <f>'Evolutive SFP'!#REF!+'Evolutive SFP'!#REF!</f>
        <v>#REF!</v>
      </c>
      <c r="O34" s="52" t="e">
        <f>'Evolutive SFP'!#REF!+'Evolutive SFP'!#REF!</f>
        <v>#REF!</v>
      </c>
      <c r="P34" s="52" t="e">
        <f>'Evolutive SFP'!#REF!+'Evolutive SFP'!#REF!</f>
        <v>#REF!</v>
      </c>
      <c r="Q34" s="52" t="e">
        <f>'Evolutive SFP'!#REF!+'Evolutive SFP'!#REF!</f>
        <v>#REF!</v>
      </c>
      <c r="R34" s="52" t="e">
        <f>'Evolutive SFP'!#REF!+'Evolutive SFP'!#REF!</f>
        <v>#REF!</v>
      </c>
      <c r="S34" s="52" t="e">
        <f>'Evolutive SFP'!#REF!+'Evolutive SFP'!#REF!</f>
        <v>#REF!</v>
      </c>
      <c r="T34" s="52" t="e">
        <f>'Evolutive SFP'!#REF!+'Evolutive SFP'!#REF!</f>
        <v>#REF!</v>
      </c>
      <c r="U34" s="52" t="e">
        <f>'Evolutive SFP'!#REF!+'Evolutive SFP'!#REF!</f>
        <v>#REF!</v>
      </c>
      <c r="V34" s="52" t="e">
        <f>'Evolutive SFP'!#REF!+'Evolutive SFP'!#REF!</f>
        <v>#REF!</v>
      </c>
      <c r="W34" s="52" t="e">
        <f>'Evolutive SFP'!#REF!+'Evolutive SFP'!#REF!</f>
        <v>#REF!</v>
      </c>
      <c r="X34" s="52" t="e">
        <f>'Evolutive SFP'!#REF!+'Evolutive SFP'!#REF!</f>
        <v>#REF!</v>
      </c>
      <c r="Y34" s="52" t="e">
        <f>'Evolutive SFP'!#REF!+'Evolutive SFP'!#REF!</f>
        <v>#REF!</v>
      </c>
      <c r="Z34" s="52" t="e">
        <f>'Evolutive SFP'!#REF!+'Evolutive SFP'!#REF!</f>
        <v>#REF!</v>
      </c>
      <c r="AA34" s="52" t="e">
        <f>'Evolutive SFP'!#REF!+'Evolutive SFP'!#REF!</f>
        <v>#REF!</v>
      </c>
      <c r="AB34" s="52" t="e">
        <f>'Evolutive SFP'!#REF!+'Evolutive SFP'!#REF!</f>
        <v>#REF!</v>
      </c>
      <c r="AC34" s="52" t="e">
        <f>'Evolutive SFP'!#REF!+'Evolutive SFP'!#REF!</f>
        <v>#REF!</v>
      </c>
      <c r="AD34" s="52" t="e">
        <f>'Evolutive SFP'!#REF!+'Evolutive SFP'!#REF!</f>
        <v>#REF!</v>
      </c>
      <c r="AE34" s="52" t="e">
        <f>'Evolutive SFP'!#REF!+'Evolutive SFP'!#REF!</f>
        <v>#REF!</v>
      </c>
      <c r="AF34" s="52" t="e">
        <f>'Evolutive SFP'!#REF!+'Evolutive SFP'!#REF!</f>
        <v>#REF!</v>
      </c>
      <c r="AG34" s="52" t="e">
        <f>'Evolutive SFP'!#REF!+'Evolutive SFP'!#REF!</f>
        <v>#REF!</v>
      </c>
      <c r="AH34" s="52" t="e">
        <f>'Evolutive SFP'!#REF!+'Evolutive SFP'!#REF!</f>
        <v>#REF!</v>
      </c>
      <c r="AI34" s="52" t="e">
        <f>'Evolutive SFP'!#REF!+'Evolutive SFP'!#REF!</f>
        <v>#REF!</v>
      </c>
      <c r="AJ34" s="52" t="e">
        <f>'Evolutive SFP'!#REF!+'Evolutive SFP'!#REF!</f>
        <v>#REF!</v>
      </c>
      <c r="AK34" s="52" t="e">
        <f>'Evolutive SFP'!#REF!+'Evolutive SFP'!#REF!</f>
        <v>#REF!</v>
      </c>
      <c r="AL34" s="52" t="e">
        <f>'Evolutive SFP'!#REF!+'Evolutive SFP'!#REF!</f>
        <v>#REF!</v>
      </c>
      <c r="AM34" s="52" t="e">
        <f>'Evolutive SFP'!#REF!+'Evolutive SFP'!#REF!</f>
        <v>#REF!</v>
      </c>
      <c r="AN34" s="52" t="e">
        <f>'Evolutive SFP'!#REF!+'Evolutive SFP'!#REF!</f>
        <v>#REF!</v>
      </c>
      <c r="AO34" s="52" t="e">
        <f>'Evolutive SFP'!#REF!+'Evolutive SFP'!#REF!</f>
        <v>#REF!</v>
      </c>
      <c r="AP34" s="52" t="e">
        <f>'Evolutive SFP'!#REF!+'Evolutive SFP'!#REF!</f>
        <v>#REF!</v>
      </c>
      <c r="AQ34" s="52" t="e">
        <f>'Evolutive SFP'!#REF!+'Evolutive SFP'!#REF!</f>
        <v>#REF!</v>
      </c>
      <c r="AR34" s="52" t="e">
        <f>'Evolutive SFP'!#REF!+'Evolutive SFP'!#REF!</f>
        <v>#REF!</v>
      </c>
      <c r="AS34" s="52">
        <f>'Evolutive SFP'!B21+'Evolutive SFP'!B7</f>
        <v>15470516</v>
      </c>
      <c r="AT34" s="52">
        <f>'Evolutive SFP'!C21+'Evolutive SFP'!C7</f>
        <v>165873.14000000001</v>
      </c>
      <c r="AU34" s="52">
        <f>'Evolutive SFP'!D21+'Evolutive SFP'!D7</f>
        <v>139478.98000000001</v>
      </c>
      <c r="AV34" s="52">
        <f>'Evolutive SFP'!E21+'Evolutive SFP'!E7</f>
        <v>134978.1</v>
      </c>
      <c r="AW34" s="52">
        <f>'Evolutive SFP'!F21+'Evolutive SFP'!F7</f>
        <v>188305.43</v>
      </c>
      <c r="AX34" s="52">
        <f>'Evolutive SFP'!G21+'Evolutive SFP'!G7</f>
        <v>136868.63</v>
      </c>
      <c r="AY34" s="52">
        <f>'Evolutive SFP'!H21+'Evolutive SFP'!H7</f>
        <v>138808.23000000001</v>
      </c>
      <c r="AZ34" s="52" t="e">
        <f>'Evolutive SFP'!#REF!+'Evolutive SFP'!#REF!</f>
        <v>#REF!</v>
      </c>
      <c r="BA34" s="52">
        <f>'Evolutive SFP'!I21+'Evolutive SFP'!I7</f>
        <v>137972.94</v>
      </c>
      <c r="BB34" s="52">
        <f>'Evolutive SFP'!J21+'Evolutive SFP'!J7</f>
        <v>137846.07</v>
      </c>
      <c r="BC34" s="52">
        <f>'Evolutive SFP'!K21+'Evolutive SFP'!K7</f>
        <v>141879.87</v>
      </c>
      <c r="BD34" s="52">
        <f>'Evolutive SFP'!L21+'Evolutive SFP'!L7</f>
        <v>138243.07</v>
      </c>
      <c r="BE34" s="52">
        <f>'Evolutive SFP'!M21+'Evolutive SFP'!M7</f>
        <v>137353.5</v>
      </c>
      <c r="BF34" s="52">
        <f>'Evolutive SFP'!N21+'Evolutive SFP'!N7</f>
        <v>136816941</v>
      </c>
      <c r="BG34" s="52">
        <f>'Evolutive SFP'!O21+'Evolutive SFP'!O7</f>
        <v>139776.85</v>
      </c>
      <c r="BH34" s="52">
        <f>'Evolutive SFP'!P21+'Evolutive SFP'!P7</f>
        <v>143284.94</v>
      </c>
      <c r="BI34" s="52">
        <f>'Evolutive SFP'!Q21+'Evolutive SFP'!Q7</f>
        <v>141812.34</v>
      </c>
      <c r="BJ34" s="52">
        <f>'Evolutive SFP'!R21+'Evolutive SFP'!R7</f>
        <v>138892.79999999999</v>
      </c>
      <c r="BK34" s="52">
        <f>'Evolutive SFP'!S21+'Evolutive SFP'!S7</f>
        <v>140683.69</v>
      </c>
      <c r="BL34" s="52">
        <f>'Evolutive SFP'!T21+'Evolutive SFP'!T7</f>
        <v>151122.1</v>
      </c>
      <c r="BM34" s="52">
        <f>'Evolutive SFP'!U21+'Evolutive SFP'!U7</f>
        <v>153383.82</v>
      </c>
      <c r="BN34" s="52">
        <f>'Evolutive SFP'!V21+'Evolutive SFP'!V7</f>
        <v>150428.1</v>
      </c>
      <c r="BO34" s="52">
        <f>'Evolutive SFP'!W21+'Evolutive SFP'!W7</f>
        <v>209557.71999999997</v>
      </c>
      <c r="BP34" s="52">
        <f>'Evolutive SFP'!X21+'Evolutive SFP'!X7</f>
        <v>158969.66</v>
      </c>
      <c r="BQ34" s="52">
        <f>'Evolutive SFP'!Y21+'Evolutive SFP'!Y7</f>
        <v>156363.08000000002</v>
      </c>
      <c r="BR34" s="52">
        <f>'Evolutive SFP'!Z21+'Evolutive SFP'!Z7</f>
        <v>168059.22</v>
      </c>
      <c r="BS34" s="52">
        <f>'Evolutive SFP'!AA21+'Evolutive SFP'!AA7</f>
        <v>157915314</v>
      </c>
      <c r="BT34" s="52">
        <f>'Evolutive SFP'!AB21+'Evolutive SFP'!AB7</f>
        <v>165338015.71000001</v>
      </c>
      <c r="BU34" s="52">
        <f>'Evolutive SFP'!AC21+'Evolutive SFP'!AC7</f>
        <v>170008228.72</v>
      </c>
      <c r="BV34" s="52">
        <f>'Evolutive SFP'!AD21+'Evolutive SFP'!AD7</f>
        <v>175271233.31</v>
      </c>
      <c r="BW34" s="52">
        <f>'Evolutive SFP'!AE21+'Evolutive SFP'!AE7</f>
        <v>158338272.21000001</v>
      </c>
      <c r="BX34" s="52">
        <f>'Evolutive SFP'!AF21+'Evolutive SFP'!AF7</f>
        <v>164714184.81999999</v>
      </c>
      <c r="BY34" s="52">
        <f>'Evolutive SFP'!AG21+'Evolutive SFP'!AG7</f>
        <v>177745241.81</v>
      </c>
      <c r="BZ34" s="52">
        <f>'Evolutive SFP'!AH21+'Evolutive SFP'!AH7</f>
        <v>223189872.16000003</v>
      </c>
      <c r="CA34" s="52">
        <f>'Evolutive SFP'!AI21+'Evolutive SFP'!AI7</f>
        <v>165668171.02000001</v>
      </c>
      <c r="CB34" s="52">
        <f>'Evolutive SFP'!AJ21+'Evolutive SFP'!AJ7</f>
        <v>174167241.30000001</v>
      </c>
      <c r="CC34" s="52">
        <f>'Evolutive SFP'!AK21+'Evolutive SFP'!AK7</f>
        <v>181455680.56999999</v>
      </c>
      <c r="CD34" s="52">
        <f>'Evolutive SFP'!AL21+'Evolutive SFP'!AL7</f>
        <v>196559100.33999997</v>
      </c>
      <c r="CE34" s="52">
        <f>'Evolutive SFP'!AM21+'Evolutive SFP'!AM7</f>
        <v>183471548.18000001</v>
      </c>
      <c r="CF34" s="52">
        <f>'Evolutive SFP'!AN21+'Evolutive SFP'!AN7</f>
        <v>188720165</v>
      </c>
      <c r="CG34" s="52">
        <f>'Evolutive SFP'!AO21+'Evolutive SFP'!AO7</f>
        <v>197682333.82999998</v>
      </c>
      <c r="CH34" s="52">
        <f>'Evolutive SFP'!AP21+'Evolutive SFP'!AP7</f>
        <v>207788816.47</v>
      </c>
      <c r="CI34" s="52">
        <f>'Evolutive SFP'!AQ21+'Evolutive SFP'!AQ7</f>
        <v>201160171.40000001</v>
      </c>
      <c r="CJ34" s="52">
        <f>'Evolutive SFP'!AR21+'Evolutive SFP'!AR7</f>
        <v>183250395.56</v>
      </c>
      <c r="CK34" s="52">
        <f>'Evolutive SFP'!AS21+'Evolutive SFP'!AS7</f>
        <v>207569336.54000002</v>
      </c>
      <c r="CL34" s="52">
        <f>'Evolutive SFP'!AT21+'Evolutive SFP'!AT7</f>
        <v>201362001.06</v>
      </c>
      <c r="CM34" s="52">
        <f>'Evolutive SFP'!AU21+'Evolutive SFP'!AU7</f>
        <v>179175110.41</v>
      </c>
      <c r="CN34" s="52">
        <f>'Evolutive SFP'!AV21+'Evolutive SFP'!AV7</f>
        <v>227076138.44999999</v>
      </c>
    </row>
    <row r="35" spans="1:92">
      <c r="A35" s="20">
        <v>8.1</v>
      </c>
      <c r="B35" s="18" t="s">
        <v>23</v>
      </c>
      <c r="C35" s="52" t="e">
        <f>'Evolutive SFP'!#REF!</f>
        <v>#REF!</v>
      </c>
      <c r="D35" s="52" t="e">
        <f>'Evolutive SFP'!#REF!</f>
        <v>#REF!</v>
      </c>
      <c r="E35" s="52" t="e">
        <f>'Evolutive SFP'!#REF!</f>
        <v>#REF!</v>
      </c>
      <c r="F35" s="52" t="e">
        <f>'Evolutive SFP'!#REF!</f>
        <v>#REF!</v>
      </c>
      <c r="G35" s="52" t="e">
        <f>'Evolutive SFP'!#REF!</f>
        <v>#REF!</v>
      </c>
      <c r="H35" s="52" t="e">
        <f>'Evolutive SFP'!#REF!</f>
        <v>#REF!</v>
      </c>
      <c r="I35" s="52" t="e">
        <f>'Evolutive SFP'!#REF!</f>
        <v>#REF!</v>
      </c>
      <c r="J35" s="52" t="e">
        <f>'Evolutive SFP'!#REF!</f>
        <v>#REF!</v>
      </c>
      <c r="K35" s="52" t="e">
        <f>'Evolutive SFP'!#REF!</f>
        <v>#REF!</v>
      </c>
      <c r="L35" s="52" t="e">
        <f>'Evolutive SFP'!#REF!</f>
        <v>#REF!</v>
      </c>
      <c r="M35" s="52" t="e">
        <f>'Evolutive SFP'!#REF!</f>
        <v>#REF!</v>
      </c>
      <c r="N35" s="52" t="e">
        <f>'Evolutive SFP'!#REF!</f>
        <v>#REF!</v>
      </c>
      <c r="O35" s="52" t="e">
        <f>'Evolutive SFP'!#REF!</f>
        <v>#REF!</v>
      </c>
      <c r="P35" s="52" t="e">
        <f>'Evolutive SFP'!#REF!</f>
        <v>#REF!</v>
      </c>
      <c r="Q35" s="52" t="e">
        <f>'Evolutive SFP'!#REF!</f>
        <v>#REF!</v>
      </c>
      <c r="R35" s="52" t="e">
        <f>'Evolutive SFP'!#REF!</f>
        <v>#REF!</v>
      </c>
      <c r="S35" s="52" t="e">
        <f>'Evolutive SFP'!#REF!</f>
        <v>#REF!</v>
      </c>
      <c r="T35" s="52" t="e">
        <f>'Evolutive SFP'!#REF!</f>
        <v>#REF!</v>
      </c>
      <c r="U35" s="52" t="e">
        <f>'Evolutive SFP'!#REF!</f>
        <v>#REF!</v>
      </c>
      <c r="V35" s="52" t="e">
        <f>'Evolutive SFP'!#REF!</f>
        <v>#REF!</v>
      </c>
      <c r="W35" s="52" t="e">
        <f>'Evolutive SFP'!#REF!</f>
        <v>#REF!</v>
      </c>
      <c r="X35" s="52" t="e">
        <f>'Evolutive SFP'!#REF!</f>
        <v>#REF!</v>
      </c>
      <c r="Y35" s="52" t="e">
        <f>'Evolutive SFP'!#REF!</f>
        <v>#REF!</v>
      </c>
      <c r="Z35" s="52" t="e">
        <f>'Evolutive SFP'!#REF!</f>
        <v>#REF!</v>
      </c>
      <c r="AA35" s="52" t="e">
        <f>'Evolutive SFP'!#REF!</f>
        <v>#REF!</v>
      </c>
      <c r="AB35" s="52" t="e">
        <f>'Evolutive SFP'!#REF!</f>
        <v>#REF!</v>
      </c>
      <c r="AC35" s="52" t="e">
        <f>'Evolutive SFP'!#REF!</f>
        <v>#REF!</v>
      </c>
      <c r="AD35" s="52" t="e">
        <f>'Evolutive SFP'!#REF!</f>
        <v>#REF!</v>
      </c>
      <c r="AE35" s="52" t="e">
        <f>'Evolutive SFP'!#REF!</f>
        <v>#REF!</v>
      </c>
      <c r="AF35" s="52" t="e">
        <f>'Evolutive SFP'!#REF!</f>
        <v>#REF!</v>
      </c>
      <c r="AG35" s="52" t="e">
        <f>'Evolutive SFP'!#REF!</f>
        <v>#REF!</v>
      </c>
      <c r="AH35" s="52" t="e">
        <f>'Evolutive SFP'!#REF!</f>
        <v>#REF!</v>
      </c>
      <c r="AI35" s="52" t="e">
        <f>'Evolutive SFP'!#REF!</f>
        <v>#REF!</v>
      </c>
      <c r="AJ35" s="52" t="e">
        <f>'Evolutive SFP'!#REF!</f>
        <v>#REF!</v>
      </c>
      <c r="AK35" s="52" t="e">
        <f>'Evolutive SFP'!#REF!</f>
        <v>#REF!</v>
      </c>
      <c r="AL35" s="52" t="e">
        <f>'Evolutive SFP'!#REF!</f>
        <v>#REF!</v>
      </c>
      <c r="AM35" s="52" t="e">
        <f>'Evolutive SFP'!#REF!</f>
        <v>#REF!</v>
      </c>
      <c r="AN35" s="52" t="e">
        <f>'Evolutive SFP'!#REF!</f>
        <v>#REF!</v>
      </c>
      <c r="AO35" s="52" t="e">
        <f>'Evolutive SFP'!#REF!</f>
        <v>#REF!</v>
      </c>
      <c r="AP35" s="52" t="e">
        <f>'Evolutive SFP'!#REF!</f>
        <v>#REF!</v>
      </c>
      <c r="AQ35" s="52" t="e">
        <f>'Evolutive SFP'!#REF!</f>
        <v>#REF!</v>
      </c>
      <c r="AR35" s="52" t="e">
        <f>'Evolutive SFP'!#REF!</f>
        <v>#REF!</v>
      </c>
      <c r="AS35" s="52">
        <f>'Evolutive SFP'!B23</f>
        <v>3806303</v>
      </c>
      <c r="AT35" s="52">
        <f>'Evolutive SFP'!C23</f>
        <v>109066.07</v>
      </c>
      <c r="AU35" s="52">
        <f>'Evolutive SFP'!D23</f>
        <v>108792.8</v>
      </c>
      <c r="AV35" s="52">
        <f>'Evolutive SFP'!E23</f>
        <v>108491.82</v>
      </c>
      <c r="AW35" s="52">
        <f>'Evolutive SFP'!F23</f>
        <v>108202.08</v>
      </c>
      <c r="AX35" s="52">
        <f>'Evolutive SFP'!G23</f>
        <v>108014.06</v>
      </c>
      <c r="AY35" s="52">
        <f>'Evolutive SFP'!H23</f>
        <v>107724.2</v>
      </c>
      <c r="AZ35" s="52" t="e">
        <f>'Evolutive SFP'!#REF!</f>
        <v>#REF!</v>
      </c>
      <c r="BA35" s="52">
        <f>'Evolutive SFP'!I23</f>
        <v>109023.81</v>
      </c>
      <c r="BB35" s="52">
        <f>'Evolutive SFP'!J23</f>
        <v>111726.02</v>
      </c>
      <c r="BC35" s="52">
        <f>'Evolutive SFP'!K23</f>
        <v>111386.02</v>
      </c>
      <c r="BD35" s="52">
        <f>'Evolutive SFP'!L23</f>
        <v>111058.25</v>
      </c>
      <c r="BE35" s="52">
        <f>'Evolutive SFP'!M23</f>
        <v>110720.85</v>
      </c>
      <c r="BF35" s="52">
        <f>'Evolutive SFP'!N23</f>
        <v>110878048</v>
      </c>
      <c r="BG35" s="52">
        <f>'Evolutive SFP'!O23</f>
        <v>110558.85</v>
      </c>
      <c r="BH35" s="52">
        <f>'Evolutive SFP'!P23</f>
        <v>110271.65</v>
      </c>
      <c r="BI35" s="52">
        <f>'Evolutive SFP'!Q23</f>
        <v>110081.29</v>
      </c>
      <c r="BJ35" s="52">
        <f>'Evolutive SFP'!R23</f>
        <v>109775.86</v>
      </c>
      <c r="BK35" s="52">
        <f>'Evolutive SFP'!S23</f>
        <v>109461.41</v>
      </c>
      <c r="BL35" s="52">
        <f>'Evolutive SFP'!T23</f>
        <v>111584.85</v>
      </c>
      <c r="BM35" s="52">
        <f>'Evolutive SFP'!U23</f>
        <v>112504.36</v>
      </c>
      <c r="BN35" s="52">
        <f>'Evolutive SFP'!V23</f>
        <v>111877.42</v>
      </c>
      <c r="BO35" s="52">
        <f>'Evolutive SFP'!W23</f>
        <v>111526.01</v>
      </c>
      <c r="BP35" s="52">
        <f>'Evolutive SFP'!X23</f>
        <v>111311.28</v>
      </c>
      <c r="BQ35" s="52">
        <f>'Evolutive SFP'!Y23</f>
        <v>110961.91</v>
      </c>
      <c r="BR35" s="52">
        <f>'Evolutive SFP'!Z23</f>
        <v>110601.93</v>
      </c>
      <c r="BS35" s="52">
        <f>'Evolutive SFP'!AA23</f>
        <v>110601955</v>
      </c>
      <c r="BT35" s="52">
        <f>'Evolutive SFP'!AB23</f>
        <v>110270974.5</v>
      </c>
      <c r="BU35" s="52">
        <f>'Evolutive SFP'!AC23</f>
        <v>109972910.70999999</v>
      </c>
      <c r="BV35" s="52">
        <f>'Evolutive SFP'!AD23</f>
        <v>109643849.3</v>
      </c>
      <c r="BW35" s="52">
        <f>'Evolutive SFP'!AE23</f>
        <v>109334623.53</v>
      </c>
      <c r="BX35" s="52">
        <f>'Evolutive SFP'!AF23</f>
        <v>110023098.48999999</v>
      </c>
      <c r="BY35" s="52">
        <f>'Evolutive SFP'!AG23</f>
        <v>112177605.62</v>
      </c>
      <c r="BZ35" s="52">
        <f>'Evolutive SFP'!AH23</f>
        <v>112204862.43000001</v>
      </c>
      <c r="CA35" s="52">
        <f>'Evolutive SFP'!AI23</f>
        <v>111920029.54000001</v>
      </c>
      <c r="CB35" s="52">
        <f>'Evolutive SFP'!AJ23</f>
        <v>111585414.2</v>
      </c>
      <c r="CC35" s="52">
        <f>'Evolutive SFP'!AK23</f>
        <v>111240503.31999999</v>
      </c>
      <c r="CD35" s="52">
        <f>'Evolutive SFP'!AL23</f>
        <v>111729030.98999999</v>
      </c>
      <c r="CE35" s="52">
        <f>'Evolutive SFP'!AM23</f>
        <v>110181366.70999999</v>
      </c>
      <c r="CF35" s="52">
        <f>'Evolutive SFP'!AN23</f>
        <v>110181392</v>
      </c>
      <c r="CG35" s="52">
        <f>'Evolutive SFP'!AO23</f>
        <v>109664888.06999999</v>
      </c>
      <c r="CH35" s="52">
        <f>'Evolutive SFP'!AP23</f>
        <v>109199086.45999999</v>
      </c>
      <c r="CI35" s="52">
        <f>'Evolutive SFP'!AQ23</f>
        <v>109431376.89</v>
      </c>
      <c r="CJ35" s="52">
        <f>'Evolutive SFP'!AR23</f>
        <v>109362527.48999999</v>
      </c>
      <c r="CK35" s="52">
        <f>'Evolutive SFP'!AS23</f>
        <v>108847164.87</v>
      </c>
      <c r="CL35" s="52">
        <f>'Evolutive SFP'!AT23</f>
        <v>110007612.70999999</v>
      </c>
      <c r="CM35" s="52">
        <f>'Evolutive SFP'!AU23</f>
        <v>110147863.56999999</v>
      </c>
      <c r="CN35" s="52">
        <f>'Evolutive SFP'!AV23</f>
        <v>110035919.20999999</v>
      </c>
    </row>
    <row r="36" spans="1:92">
      <c r="A36" s="16"/>
      <c r="B36" s="157" t="s">
        <v>261</v>
      </c>
      <c r="C36" s="52"/>
      <c r="D36" s="52" t="e">
        <f>'Evolutive SFP'!#REF!</f>
        <v>#REF!</v>
      </c>
      <c r="E36" s="52" t="e">
        <f>'Evolutive SFP'!#REF!</f>
        <v>#REF!</v>
      </c>
      <c r="F36" s="52" t="e">
        <f>'Evolutive SFP'!#REF!</f>
        <v>#REF!</v>
      </c>
      <c r="G36" s="52" t="e">
        <f>'Evolutive SFP'!#REF!</f>
        <v>#REF!</v>
      </c>
      <c r="H36" s="52" t="e">
        <f>'Evolutive SFP'!#REF!</f>
        <v>#REF!</v>
      </c>
      <c r="I36" s="52" t="e">
        <f>'Evolutive SFP'!#REF!</f>
        <v>#REF!</v>
      </c>
      <c r="J36" s="52" t="e">
        <f>'Evolutive SFP'!#REF!</f>
        <v>#REF!</v>
      </c>
      <c r="K36" s="52" t="e">
        <f>'Evolutive SFP'!#REF!</f>
        <v>#REF!</v>
      </c>
      <c r="L36" s="52" t="e">
        <f>'Evolutive SFP'!#REF!</f>
        <v>#REF!</v>
      </c>
      <c r="M36" s="52" t="e">
        <f>'Evolutive SFP'!#REF!</f>
        <v>#REF!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</row>
    <row r="37" spans="1:92">
      <c r="A37" s="20">
        <v>9</v>
      </c>
      <c r="B37" s="18" t="s">
        <v>218</v>
      </c>
      <c r="C37" s="52" t="e">
        <f>C38+C39+C40+C41</f>
        <v>#REF!</v>
      </c>
      <c r="D37" s="52" t="e">
        <f t="shared" ref="D37:K37" si="58">D38+D39+D40+D41</f>
        <v>#REF!</v>
      </c>
      <c r="E37" s="52" t="e">
        <f>E38+E39+E40+E41</f>
        <v>#REF!</v>
      </c>
      <c r="F37" s="52" t="e">
        <f>F38+F39+F40+F41</f>
        <v>#REF!</v>
      </c>
      <c r="G37" s="52" t="e">
        <f t="shared" si="58"/>
        <v>#REF!</v>
      </c>
      <c r="H37" s="52" t="e">
        <f t="shared" si="58"/>
        <v>#REF!</v>
      </c>
      <c r="I37" s="52" t="e">
        <f t="shared" si="58"/>
        <v>#REF!</v>
      </c>
      <c r="J37" s="52" t="e">
        <f t="shared" si="58"/>
        <v>#REF!</v>
      </c>
      <c r="K37" s="52" t="e">
        <f t="shared" si="58"/>
        <v>#REF!</v>
      </c>
      <c r="L37" s="52" t="e">
        <f>L38+L39+L40+L41</f>
        <v>#REF!</v>
      </c>
      <c r="M37" s="52" t="e">
        <f t="shared" ref="M37:R37" si="59">M38+M39+M40+M41</f>
        <v>#REF!</v>
      </c>
      <c r="N37" s="52" t="e">
        <f t="shared" si="59"/>
        <v>#REF!</v>
      </c>
      <c r="O37" s="52" t="e">
        <f t="shared" si="59"/>
        <v>#REF!</v>
      </c>
      <c r="P37" s="52" t="e">
        <f t="shared" si="59"/>
        <v>#REF!</v>
      </c>
      <c r="Q37" s="52" t="e">
        <f t="shared" si="59"/>
        <v>#REF!</v>
      </c>
      <c r="R37" s="52" t="e">
        <f t="shared" si="59"/>
        <v>#REF!</v>
      </c>
      <c r="S37" s="52" t="e">
        <f t="shared" ref="S37:Y37" si="60">S38+S39+S40+S41</f>
        <v>#REF!</v>
      </c>
      <c r="T37" s="52" t="e">
        <f t="shared" si="60"/>
        <v>#REF!</v>
      </c>
      <c r="U37" s="52" t="e">
        <f t="shared" si="60"/>
        <v>#REF!</v>
      </c>
      <c r="V37" s="52" t="e">
        <f t="shared" si="60"/>
        <v>#REF!</v>
      </c>
      <c r="W37" s="52" t="e">
        <f t="shared" si="60"/>
        <v>#REF!</v>
      </c>
      <c r="X37" s="52" t="e">
        <f t="shared" si="60"/>
        <v>#REF!</v>
      </c>
      <c r="Y37" s="52" t="e">
        <f t="shared" si="60"/>
        <v>#REF!</v>
      </c>
      <c r="Z37" s="52" t="e">
        <f t="shared" ref="Z37:AF37" si="61">Z38+Z39+Z40+Z41</f>
        <v>#REF!</v>
      </c>
      <c r="AA37" s="52" t="e">
        <f t="shared" si="61"/>
        <v>#REF!</v>
      </c>
      <c r="AB37" s="52" t="e">
        <f t="shared" si="61"/>
        <v>#REF!</v>
      </c>
      <c r="AC37" s="52" t="e">
        <f t="shared" si="61"/>
        <v>#REF!</v>
      </c>
      <c r="AD37" s="52" t="e">
        <f t="shared" si="61"/>
        <v>#REF!</v>
      </c>
      <c r="AE37" s="52" t="e">
        <f t="shared" si="61"/>
        <v>#REF!</v>
      </c>
      <c r="AF37" s="52" t="e">
        <f t="shared" si="61"/>
        <v>#REF!</v>
      </c>
      <c r="AG37" s="52" t="e">
        <f t="shared" ref="AG37:AY37" si="62">AG38+AG39+AG40+AG41</f>
        <v>#REF!</v>
      </c>
      <c r="AH37" s="52" t="e">
        <f t="shared" si="62"/>
        <v>#REF!</v>
      </c>
      <c r="AI37" s="52" t="e">
        <f t="shared" si="62"/>
        <v>#REF!</v>
      </c>
      <c r="AJ37" s="52" t="e">
        <f t="shared" si="62"/>
        <v>#REF!</v>
      </c>
      <c r="AK37" s="52" t="e">
        <f t="shared" si="62"/>
        <v>#REF!</v>
      </c>
      <c r="AL37" s="52" t="e">
        <f t="shared" si="62"/>
        <v>#REF!</v>
      </c>
      <c r="AM37" s="52" t="e">
        <f t="shared" si="62"/>
        <v>#REF!</v>
      </c>
      <c r="AN37" s="52" t="e">
        <f t="shared" si="62"/>
        <v>#REF!</v>
      </c>
      <c r="AO37" s="52" t="e">
        <f t="shared" si="62"/>
        <v>#REF!</v>
      </c>
      <c r="AP37" s="52" t="e">
        <f t="shared" si="62"/>
        <v>#REF!</v>
      </c>
      <c r="AQ37" s="52" t="e">
        <f t="shared" si="62"/>
        <v>#REF!</v>
      </c>
      <c r="AR37" s="52" t="e">
        <f t="shared" si="62"/>
        <v>#REF!</v>
      </c>
      <c r="AS37" s="52">
        <f t="shared" si="62"/>
        <v>34090071.12178503</v>
      </c>
      <c r="AT37" s="52">
        <f t="shared" si="62"/>
        <v>29420.212223043723</v>
      </c>
      <c r="AU37" s="52">
        <f t="shared" si="62"/>
        <v>61985.603105846298</v>
      </c>
      <c r="AV37" s="52">
        <f t="shared" si="62"/>
        <v>97033.255843680105</v>
      </c>
      <c r="AW37" s="52">
        <f t="shared" si="62"/>
        <v>186241.83901627842</v>
      </c>
      <c r="AX37" s="52">
        <f t="shared" si="62"/>
        <v>219204.88176667411</v>
      </c>
      <c r="AY37" s="52">
        <f t="shared" si="62"/>
        <v>251569.37342122465</v>
      </c>
      <c r="AZ37" s="52" t="e">
        <f t="shared" ref="AZ37:BF37" si="63">AZ38+AZ39+AZ40+AZ41</f>
        <v>#REF!</v>
      </c>
      <c r="BA37" s="52">
        <f t="shared" si="63"/>
        <v>331911.67018003651</v>
      </c>
      <c r="BB37" s="52">
        <f t="shared" si="63"/>
        <v>368151.59894233162</v>
      </c>
      <c r="BC37" s="52">
        <f t="shared" si="63"/>
        <v>405652.21883611917</v>
      </c>
      <c r="BD37" s="52">
        <f t="shared" si="63"/>
        <v>439553.59850522748</v>
      </c>
      <c r="BE37" s="52">
        <f t="shared" si="63"/>
        <v>481966.25851696072</v>
      </c>
      <c r="BF37" s="52">
        <f t="shared" si="63"/>
        <v>478994352.12846321</v>
      </c>
      <c r="BG37" s="52">
        <f t="shared" ref="BG37:BS37" si="64">BG38+BG39+BG40+BG41</f>
        <v>30788.911283782123</v>
      </c>
      <c r="BH37" s="52">
        <f t="shared" si="64"/>
        <v>71265.731582451815</v>
      </c>
      <c r="BI37" s="52">
        <f t="shared" si="64"/>
        <v>113274.60363712642</v>
      </c>
      <c r="BJ37" s="52">
        <f t="shared" si="64"/>
        <v>199033.94447474525</v>
      </c>
      <c r="BK37" s="52">
        <f t="shared" si="64"/>
        <v>236305.26478506485</v>
      </c>
      <c r="BL37" s="52">
        <f t="shared" si="64"/>
        <v>274346.75465446053</v>
      </c>
      <c r="BM37" s="52">
        <f t="shared" si="64"/>
        <v>312795.01477193623</v>
      </c>
      <c r="BN37" s="52">
        <f t="shared" si="64"/>
        <v>329401.42409305694</v>
      </c>
      <c r="BO37" s="52">
        <f t="shared" si="64"/>
        <v>405405.2583281339</v>
      </c>
      <c r="BP37" s="52">
        <f t="shared" si="64"/>
        <v>444471.98872197868</v>
      </c>
      <c r="BQ37" s="52">
        <f t="shared" si="64"/>
        <v>487793.70001512539</v>
      </c>
      <c r="BR37" s="52">
        <f t="shared" si="64"/>
        <v>529084.06965954846</v>
      </c>
      <c r="BS37" s="52">
        <f t="shared" si="64"/>
        <v>189770646.72094822</v>
      </c>
      <c r="BT37" s="52">
        <f t="shared" ref="BT37:CF37" si="65">BT38+BT39+BT40+BT41</f>
        <v>40607066.410845965</v>
      </c>
      <c r="BU37" s="52">
        <f t="shared" si="65"/>
        <v>81790.260021811919</v>
      </c>
      <c r="BV37" s="52">
        <f t="shared" si="65"/>
        <v>124884222.12326196</v>
      </c>
      <c r="BW37" s="52">
        <f t="shared" si="65"/>
        <v>166295352.8240988</v>
      </c>
      <c r="BX37" s="52">
        <f t="shared" si="65"/>
        <v>203187348.1647557</v>
      </c>
      <c r="BY37" s="52">
        <f t="shared" si="65"/>
        <v>303328733.13479108</v>
      </c>
      <c r="BZ37" s="52">
        <f t="shared" si="65"/>
        <v>348200108.90618771</v>
      </c>
      <c r="CA37" s="52">
        <f t="shared" si="65"/>
        <v>393396300.69690681</v>
      </c>
      <c r="CB37" s="52">
        <f t="shared" si="65"/>
        <v>439915201.03821439</v>
      </c>
      <c r="CC37" s="52">
        <f t="shared" si="65"/>
        <v>486004113.29771525</v>
      </c>
      <c r="CD37" s="52">
        <f t="shared" si="65"/>
        <v>533275551.00824511</v>
      </c>
      <c r="CE37" s="52">
        <f t="shared" si="65"/>
        <v>588091515.04684663</v>
      </c>
      <c r="CF37" s="52">
        <f t="shared" si="65"/>
        <v>600806868.12689567</v>
      </c>
      <c r="CG37" s="52">
        <f t="shared" ref="CG37:CI37" si="66">CG38+CG39+CG40+CG41</f>
        <v>48946646.410751753</v>
      </c>
      <c r="CH37" s="52">
        <f t="shared" si="66"/>
        <v>97490925.821454078</v>
      </c>
      <c r="CI37" s="52">
        <f t="shared" si="66"/>
        <v>150863729.83302969</v>
      </c>
      <c r="CJ37" s="52">
        <f t="shared" ref="CJ37:CK37" si="67">CJ38+CJ39+CJ40+CJ41</f>
        <v>199847966.1432085</v>
      </c>
      <c r="CK37" s="52">
        <f t="shared" si="67"/>
        <v>253108996.97407785</v>
      </c>
      <c r="CL37" s="52">
        <f t="shared" ref="CL37:CN37" si="68">CL38+CL39+CL40+CL41</f>
        <v>368528170.62257439</v>
      </c>
      <c r="CM37" s="52">
        <f t="shared" ref="CM37:CN37" si="69">CM38+CM39+CM40+CM41</f>
        <v>431590465.71311617</v>
      </c>
      <c r="CN37" s="52">
        <f t="shared" si="69"/>
        <v>490901316.09258282</v>
      </c>
    </row>
    <row r="38" spans="1:92">
      <c r="A38" s="18">
        <v>9.1</v>
      </c>
      <c r="B38" s="18" t="s">
        <v>262</v>
      </c>
      <c r="C38" s="52" t="e">
        <f>'Evolutitve SCI'!#REF!</f>
        <v>#REF!</v>
      </c>
      <c r="D38" s="52" t="e">
        <f>'Evolutitve SCI'!#REF!</f>
        <v>#REF!</v>
      </c>
      <c r="E38" s="52" t="e">
        <f>'Evolutitve SCI'!#REF!</f>
        <v>#REF!</v>
      </c>
      <c r="F38" s="52" t="e">
        <f>'Evolutitve SCI'!#REF!</f>
        <v>#REF!</v>
      </c>
      <c r="G38" s="52" t="e">
        <f>'Evolutitve SCI'!#REF!</f>
        <v>#REF!</v>
      </c>
      <c r="H38" s="52" t="e">
        <f>'Evolutitve SCI'!#REF!</f>
        <v>#REF!</v>
      </c>
      <c r="I38" s="52" t="e">
        <f>'Evolutitve SCI'!#REF!</f>
        <v>#REF!</v>
      </c>
      <c r="J38" s="52" t="e">
        <f>'Evolutitve SCI'!#REF!</f>
        <v>#REF!</v>
      </c>
      <c r="K38" s="52" t="e">
        <f>'Evolutitve SCI'!#REF!</f>
        <v>#REF!</v>
      </c>
      <c r="L38" s="52" t="e">
        <f>'Evolutitve SCI'!#REF!</f>
        <v>#REF!</v>
      </c>
      <c r="M38" s="52" t="e">
        <f>'Evolutitve SCI'!#REF!</f>
        <v>#REF!</v>
      </c>
      <c r="N38" s="52" t="e">
        <f>'Evolutitve SCI'!#REF!</f>
        <v>#REF!</v>
      </c>
      <c r="O38" s="52" t="e">
        <f>'Evolutitve SCI'!#REF!</f>
        <v>#REF!</v>
      </c>
      <c r="P38" s="52" t="e">
        <f>'Evolutitve SCI'!#REF!</f>
        <v>#REF!</v>
      </c>
      <c r="Q38" s="52" t="e">
        <f>'Evolutitve SCI'!#REF!</f>
        <v>#REF!</v>
      </c>
      <c r="R38" s="52" t="e">
        <f>'Evolutitve SCI'!#REF!</f>
        <v>#REF!</v>
      </c>
      <c r="S38" s="52" t="e">
        <f>'Evolutitve SCI'!#REF!</f>
        <v>#REF!</v>
      </c>
      <c r="T38" s="52" t="e">
        <f>'Evolutitve SCI'!#REF!</f>
        <v>#REF!</v>
      </c>
      <c r="U38" s="52" t="e">
        <f>'Evolutitve SCI'!#REF!</f>
        <v>#REF!</v>
      </c>
      <c r="V38" s="52" t="e">
        <f>'Evolutitve SCI'!#REF!</f>
        <v>#REF!</v>
      </c>
      <c r="W38" s="52" t="e">
        <f>'Evolutitve SCI'!#REF!</f>
        <v>#REF!</v>
      </c>
      <c r="X38" s="52" t="e">
        <f>'Evolutitve SCI'!#REF!</f>
        <v>#REF!</v>
      </c>
      <c r="Y38" s="52" t="e">
        <f>'Evolutitve SCI'!#REF!</f>
        <v>#REF!</v>
      </c>
      <c r="Z38" s="52" t="e">
        <f>'Evolutitve SCI'!#REF!</f>
        <v>#REF!</v>
      </c>
      <c r="AA38" s="52" t="e">
        <f>'Evolutitve SCI'!#REF!</f>
        <v>#REF!</v>
      </c>
      <c r="AB38" s="52" t="e">
        <f>'Evolutitve SCI'!#REF!</f>
        <v>#REF!</v>
      </c>
      <c r="AC38" s="52" t="e">
        <f>'Evolutitve SCI'!#REF!</f>
        <v>#REF!</v>
      </c>
      <c r="AD38" s="52" t="e">
        <f>'Evolutitve SCI'!#REF!</f>
        <v>#REF!</v>
      </c>
      <c r="AE38" s="52" t="e">
        <f>'Evolutitve SCI'!#REF!</f>
        <v>#REF!</v>
      </c>
      <c r="AF38" s="52" t="e">
        <f>'Evolutitve SCI'!#REF!</f>
        <v>#REF!</v>
      </c>
      <c r="AG38" s="52" t="e">
        <f>'Evolutitve SCI'!#REF!</f>
        <v>#REF!</v>
      </c>
      <c r="AH38" s="52" t="e">
        <f>'Evolutitve SCI'!#REF!</f>
        <v>#REF!</v>
      </c>
      <c r="AI38" s="52" t="e">
        <f>'Evolutitve SCI'!#REF!</f>
        <v>#REF!</v>
      </c>
      <c r="AJ38" s="52" t="e">
        <f>'Evolutitve SCI'!#REF!</f>
        <v>#REF!</v>
      </c>
      <c r="AK38" s="52" t="e">
        <f>'Evolutitve SCI'!#REF!</f>
        <v>#REF!</v>
      </c>
      <c r="AL38" s="52" t="e">
        <f>'Evolutitve SCI'!#REF!</f>
        <v>#REF!</v>
      </c>
      <c r="AM38" s="52" t="e">
        <f>'Evolutitve SCI'!#REF!</f>
        <v>#REF!</v>
      </c>
      <c r="AN38" s="52" t="e">
        <f>'Evolutitve SCI'!#REF!</f>
        <v>#REF!</v>
      </c>
      <c r="AO38" s="52" t="e">
        <f>'Evolutitve SCI'!#REF!</f>
        <v>#REF!</v>
      </c>
      <c r="AP38" s="52" t="e">
        <f>'Evolutitve SCI'!#REF!</f>
        <v>#REF!</v>
      </c>
      <c r="AQ38" s="52" t="e">
        <f>'Evolutitve SCI'!#REF!</f>
        <v>#REF!</v>
      </c>
      <c r="AR38" s="52" t="e">
        <f>'Evolutitve SCI'!#REF!</f>
        <v>#REF!</v>
      </c>
      <c r="AS38" s="52">
        <f>'Evolutitve SCI'!B5</f>
        <v>29009435</v>
      </c>
      <c r="AT38" s="52">
        <f>'Evolutitve SCI'!C5</f>
        <v>27556.48</v>
      </c>
      <c r="AU38" s="52">
        <f>'Evolutitve SCI'!D5</f>
        <v>52711.18</v>
      </c>
      <c r="AV38" s="52">
        <f>'Evolutitve SCI'!E5</f>
        <v>80152.960000000006</v>
      </c>
      <c r="AW38" s="52">
        <f>'Evolutitve SCI'!F5</f>
        <v>107236.44</v>
      </c>
      <c r="AX38" s="52">
        <f>'Evolutitve SCI'!G5</f>
        <v>132726.17000000001</v>
      </c>
      <c r="AY38" s="52">
        <f>'Evolutitve SCI'!H5</f>
        <v>158047.62</v>
      </c>
      <c r="AZ38" s="52" t="e">
        <f>'Evolutitve SCI'!#REF!</f>
        <v>#REF!</v>
      </c>
      <c r="BA38" s="52">
        <f>'Evolutitve SCI'!I5</f>
        <v>210504.7</v>
      </c>
      <c r="BB38" s="52">
        <f>'Evolutitve SCI'!J5</f>
        <v>239816.08</v>
      </c>
      <c r="BC38" s="52">
        <f>'Evolutitve SCI'!K5</f>
        <v>270226.24</v>
      </c>
      <c r="BD38" s="52">
        <f>'Evolutitve SCI'!L5</f>
        <v>298209.19</v>
      </c>
      <c r="BE38" s="52">
        <f>'Evolutitve SCI'!M5</f>
        <v>329605.24</v>
      </c>
      <c r="BF38" s="52">
        <f>'Evolutitve SCI'!N5</f>
        <v>329442006</v>
      </c>
      <c r="BG38" s="52">
        <f>'Evolutitve SCI'!O5</f>
        <v>29095.27</v>
      </c>
      <c r="BH38" s="52">
        <f>'Evolutitve SCI'!P5</f>
        <v>56168.57</v>
      </c>
      <c r="BI38" s="52">
        <f>'Evolutitve SCI'!Q5</f>
        <v>87302.88</v>
      </c>
      <c r="BJ38" s="52">
        <f>'Evolutitve SCI'!R5</f>
        <v>118136.3</v>
      </c>
      <c r="BK38" s="52">
        <f>'Evolutitve SCI'!S5</f>
        <v>147823.89000000001</v>
      </c>
      <c r="BL38" s="52">
        <f>'Evolutitve SCI'!T5</f>
        <v>178267.76</v>
      </c>
      <c r="BM38" s="52">
        <f>'Evolutitve SCI'!U5</f>
        <v>208794.15</v>
      </c>
      <c r="BN38" s="52">
        <f>'Evolutitve SCI'!V5</f>
        <v>208794.15</v>
      </c>
      <c r="BO38" s="52">
        <f>'Evolutitve SCI'!W5</f>
        <v>276987.24</v>
      </c>
      <c r="BP38" s="52">
        <f>'Evolutitve SCI'!X5</f>
        <v>308149.63</v>
      </c>
      <c r="BQ38" s="52">
        <f>'Evolutitve SCI'!Y5</f>
        <v>342176.15</v>
      </c>
      <c r="BR38" s="52">
        <f>'Evolutitve SCI'!Z5</f>
        <v>372917.87</v>
      </c>
      <c r="BS38" s="52">
        <f>'Evolutitve SCI'!AA5</f>
        <v>31487658.109999999</v>
      </c>
      <c r="BT38" s="52">
        <f>'Evolutitve SCI'!AB5</f>
        <v>31487658.109999999</v>
      </c>
      <c r="BU38" s="52">
        <f>'Evolutitve SCI'!AC5</f>
        <v>63529.73</v>
      </c>
      <c r="BV38" s="52">
        <f>'Evolutitve SCI'!AD5</f>
        <v>95819981.780000001</v>
      </c>
      <c r="BW38" s="52">
        <f>'Evolutitve SCI'!AE5</f>
        <v>128014865.65000001</v>
      </c>
      <c r="BX38" s="52">
        <f>'Evolutitve SCI'!AF5</f>
        <v>161004543.63999999</v>
      </c>
      <c r="BY38" s="52">
        <f>'Evolutitve SCI'!AG5</f>
        <v>195984590.68000001</v>
      </c>
      <c r="BZ38" s="52">
        <f>'Evolutitve SCI'!AH5</f>
        <v>231577996</v>
      </c>
      <c r="CA38" s="52">
        <f>'Evolutitve SCI'!AI5</f>
        <v>266677786.94999999</v>
      </c>
      <c r="CB38" s="52">
        <f>'Evolutitve SCI'!AJ5</f>
        <v>302301070.79000002</v>
      </c>
      <c r="CC38" s="52">
        <f>'Evolutitve SCI'!AK5</f>
        <v>336544389.69999999</v>
      </c>
      <c r="CD38" s="52">
        <f>'Evolutitve SCI'!AL5</f>
        <v>371838632.69</v>
      </c>
      <c r="CE38" s="52">
        <f>'Evolutitve SCI'!AM5</f>
        <v>407992702.55000001</v>
      </c>
      <c r="CF38" s="52">
        <f>'Evolutitve SCI'!AN5</f>
        <v>408125862</v>
      </c>
      <c r="CG38" s="52">
        <f>'Evolutitve SCI'!AO5</f>
        <v>35529347.899999999</v>
      </c>
      <c r="CH38" s="52">
        <f>'Evolutitve SCI'!AP5</f>
        <v>71630081.150000006</v>
      </c>
      <c r="CI38" s="52">
        <f>'Evolutitve SCI'!AQ5</f>
        <v>109848209.27</v>
      </c>
      <c r="CJ38" s="52">
        <f>'Evolutitve SCI'!AR5</f>
        <v>145422646.49000001</v>
      </c>
      <c r="CK38" s="52">
        <f>'Evolutitve SCI'!AS5</f>
        <v>184815778.65000001</v>
      </c>
      <c r="CL38" s="52">
        <f>'Evolutitve SCI'!AT5</f>
        <v>221427982.81</v>
      </c>
      <c r="CM38" s="52">
        <f>'Evolutitve SCI'!AU5</f>
        <v>264300954.65000001</v>
      </c>
      <c r="CN38" s="52">
        <f>'Evolutitve SCI'!AV5</f>
        <v>306935602.47000003</v>
      </c>
    </row>
    <row r="39" spans="1:92">
      <c r="A39" s="18">
        <v>9.1999999999999993</v>
      </c>
      <c r="B39" s="18" t="s">
        <v>263</v>
      </c>
      <c r="C39" s="52" t="e">
        <f>'Evolutitve SCI'!#REF!</f>
        <v>#REF!</v>
      </c>
      <c r="D39" s="52" t="e">
        <f>'Evolutitve SCI'!#REF!</f>
        <v>#REF!</v>
      </c>
      <c r="E39" s="52" t="e">
        <f>'Evolutitve SCI'!#REF!</f>
        <v>#REF!</v>
      </c>
      <c r="F39" s="52" t="e">
        <f>'Evolutitve SCI'!#REF!</f>
        <v>#REF!</v>
      </c>
      <c r="G39" s="52" t="e">
        <f>'Evolutitve SCI'!#REF!</f>
        <v>#REF!</v>
      </c>
      <c r="H39" s="52" t="e">
        <f>'Evolutitve SCI'!#REF!</f>
        <v>#REF!</v>
      </c>
      <c r="I39" s="52" t="e">
        <f>'Evolutitve SCI'!#REF!</f>
        <v>#REF!</v>
      </c>
      <c r="J39" s="52" t="e">
        <f>'Evolutitve SCI'!#REF!</f>
        <v>#REF!</v>
      </c>
      <c r="K39" s="52" t="e">
        <f>'Evolutitve SCI'!#REF!</f>
        <v>#REF!</v>
      </c>
      <c r="L39" s="52" t="e">
        <f>'Evolutitve SCI'!#REF!</f>
        <v>#REF!</v>
      </c>
      <c r="M39" s="52" t="e">
        <f>'Evolutitve SCI'!#REF!</f>
        <v>#REF!</v>
      </c>
      <c r="N39" s="52" t="e">
        <f>'Evolutitve SCI'!#REF!</f>
        <v>#REF!</v>
      </c>
      <c r="O39" s="52" t="e">
        <f>'Evolutitve SCI'!#REF!</f>
        <v>#REF!</v>
      </c>
      <c r="P39" s="52" t="e">
        <f>'Evolutitve SCI'!#REF!</f>
        <v>#REF!</v>
      </c>
      <c r="Q39" s="52" t="e">
        <f>'Evolutitve SCI'!#REF!</f>
        <v>#REF!</v>
      </c>
      <c r="R39" s="52" t="e">
        <f>'Evolutitve SCI'!#REF!</f>
        <v>#REF!</v>
      </c>
      <c r="S39" s="52" t="e">
        <f>'Evolutitve SCI'!#REF!</f>
        <v>#REF!</v>
      </c>
      <c r="T39" s="52" t="e">
        <f>'Evolutitve SCI'!#REF!</f>
        <v>#REF!</v>
      </c>
      <c r="U39" s="52" t="e">
        <f>'Evolutitve SCI'!#REF!</f>
        <v>#REF!</v>
      </c>
      <c r="V39" s="52" t="e">
        <f>'Evolutitve SCI'!#REF!</f>
        <v>#REF!</v>
      </c>
      <c r="W39" s="52" t="e">
        <f>'Evolutitve SCI'!#REF!</f>
        <v>#REF!</v>
      </c>
      <c r="X39" s="52" t="e">
        <f>'Evolutitve SCI'!#REF!</f>
        <v>#REF!</v>
      </c>
      <c r="Y39" s="52" t="e">
        <f>'Evolutitve SCI'!#REF!</f>
        <v>#REF!</v>
      </c>
      <c r="Z39" s="52" t="e">
        <f>'Evolutitve SCI'!#REF!</f>
        <v>#REF!</v>
      </c>
      <c r="AA39" s="52" t="e">
        <f>'Evolutitve SCI'!#REF!</f>
        <v>#REF!</v>
      </c>
      <c r="AB39" s="52" t="e">
        <f>'Evolutitve SCI'!#REF!</f>
        <v>#REF!</v>
      </c>
      <c r="AC39" s="52" t="e">
        <f>'Evolutitve SCI'!#REF!</f>
        <v>#REF!</v>
      </c>
      <c r="AD39" s="52" t="e">
        <f>'Evolutitve SCI'!#REF!</f>
        <v>#REF!</v>
      </c>
      <c r="AE39" s="52" t="e">
        <f>'Evolutitve SCI'!#REF!</f>
        <v>#REF!</v>
      </c>
      <c r="AF39" s="52" t="e">
        <f>'Evolutitve SCI'!#REF!</f>
        <v>#REF!</v>
      </c>
      <c r="AG39" s="52" t="e">
        <f>'Evolutitve SCI'!#REF!</f>
        <v>#REF!</v>
      </c>
      <c r="AH39" s="52" t="e">
        <f>'Evolutitve SCI'!#REF!</f>
        <v>#REF!</v>
      </c>
      <c r="AI39" s="52" t="e">
        <f>'Evolutitve SCI'!#REF!</f>
        <v>#REF!</v>
      </c>
      <c r="AJ39" s="52" t="e">
        <f>'Evolutitve SCI'!#REF!</f>
        <v>#REF!</v>
      </c>
      <c r="AK39" s="52" t="e">
        <f>'Evolutitve SCI'!#REF!</f>
        <v>#REF!</v>
      </c>
      <c r="AL39" s="52" t="e">
        <f>'Evolutitve SCI'!#REF!</f>
        <v>#REF!</v>
      </c>
      <c r="AM39" s="52" t="e">
        <f>'Evolutitve SCI'!#REF!</f>
        <v>#REF!</v>
      </c>
      <c r="AN39" s="52" t="e">
        <f>'Evolutitve SCI'!#REF!</f>
        <v>#REF!</v>
      </c>
      <c r="AO39" s="52" t="e">
        <f>'Evolutitve SCI'!#REF!</f>
        <v>#REF!</v>
      </c>
      <c r="AP39" s="52" t="e">
        <f>'Evolutitve SCI'!#REF!</f>
        <v>#REF!</v>
      </c>
      <c r="AQ39" s="52" t="e">
        <f>'Evolutitve SCI'!#REF!</f>
        <v>#REF!</v>
      </c>
      <c r="AR39" s="52" t="e">
        <f>'Evolutitve SCI'!#REF!</f>
        <v>#REF!</v>
      </c>
      <c r="AS39" s="52">
        <f>'Evolutitve SCI'!B7</f>
        <v>3770368</v>
      </c>
      <c r="AT39" s="52">
        <f>'Evolutitve SCI'!C7</f>
        <v>1489.22</v>
      </c>
      <c r="AU39" s="52">
        <f>'Evolutitve SCI'!D7</f>
        <v>6986</v>
      </c>
      <c r="AV39" s="52">
        <f>'Evolutitve SCI'!E7</f>
        <v>12215.76</v>
      </c>
      <c r="AW39" s="52">
        <f>'Evolutitve SCI'!F7</f>
        <v>73416.95</v>
      </c>
      <c r="AX39" s="52">
        <f>'Evolutitve SCI'!G7</f>
        <v>80401.149999999994</v>
      </c>
      <c r="AY39" s="52">
        <f>'Evolutitve SCI'!H7</f>
        <v>86718.37999999999</v>
      </c>
      <c r="AZ39" s="52" t="e">
        <f>'Evolutitve SCI'!#REF!</f>
        <v>#REF!</v>
      </c>
      <c r="BA39" s="52">
        <f>'Evolutitve SCI'!I7</f>
        <v>113225.28</v>
      </c>
      <c r="BB39" s="52">
        <f>'Evolutitve SCI'!J7</f>
        <v>119661.02</v>
      </c>
      <c r="BC39" s="52">
        <f>'Evolutitve SCI'!K7</f>
        <v>126143.67</v>
      </c>
      <c r="BD39" s="52">
        <f>'Evolutitve SCI'!L7</f>
        <v>131357.19</v>
      </c>
      <c r="BE39" s="52">
        <f>'Evolutitve SCI'!M7</f>
        <v>141463.39000000001</v>
      </c>
      <c r="BF39" s="52">
        <f>'Evolutitve SCI'!N7</f>
        <v>117781209</v>
      </c>
      <c r="BG39" s="52">
        <f>'Evolutitve SCI'!O7</f>
        <v>876.43</v>
      </c>
      <c r="BH39" s="52">
        <f>'Evolutitve SCI'!P7</f>
        <v>13450.94</v>
      </c>
      <c r="BI39" s="52">
        <f>'Evolutitve SCI'!Q7</f>
        <v>21895.39</v>
      </c>
      <c r="BJ39" s="52">
        <f>'Evolutitve SCI'!R7</f>
        <v>75810.100000000006</v>
      </c>
      <c r="BK39" s="52">
        <f>'Evolutitve SCI'!S7</f>
        <v>82611.42</v>
      </c>
      <c r="BL39" s="52">
        <f>'Evolutitve SCI'!T7</f>
        <v>89440.33</v>
      </c>
      <c r="BM39" s="52">
        <f>'Evolutitve SCI'!U7</f>
        <v>96263.489999999991</v>
      </c>
      <c r="BN39" s="52">
        <f>'Evolutitve SCI'!V7</f>
        <v>112294.6</v>
      </c>
      <c r="BO39" s="52">
        <f>'Evolutitve SCI'!W7</f>
        <v>119467.52</v>
      </c>
      <c r="BP39" s="52">
        <f>'Evolutitve SCI'!X7</f>
        <v>126578.45000000001</v>
      </c>
      <c r="BQ39" s="52">
        <f>'Evolutitve SCI'!Y7</f>
        <v>134842.13</v>
      </c>
      <c r="BR39" s="52">
        <f>'Evolutitve SCI'!Z7</f>
        <v>144535.76999999999</v>
      </c>
      <c r="BS39" s="52">
        <f>'Evolutitve SCI'!AA7</f>
        <v>157104783</v>
      </c>
      <c r="BT39" s="52">
        <f>'Evolutitve SCI'!AB7</f>
        <v>7941202.6899999995</v>
      </c>
      <c r="BU39" s="52">
        <f>'Evolutitve SCI'!AC7</f>
        <v>16472.43</v>
      </c>
      <c r="BV39" s="52">
        <f>'Evolutitve SCI'!AD7</f>
        <v>24827669.309999999</v>
      </c>
      <c r="BW39" s="52">
        <f>'Evolutitve SCI'!AE7</f>
        <v>33077057.829999998</v>
      </c>
      <c r="BX39" s="52">
        <f>'Evolutitve SCI'!AF7</f>
        <v>36310907.969999999</v>
      </c>
      <c r="BY39" s="52">
        <f>'Evolutitve SCI'!AG7</f>
        <v>100765604.19</v>
      </c>
      <c r="BZ39" s="52">
        <f>'Evolutitve SCI'!AH7</f>
        <v>109258734.03</v>
      </c>
      <c r="CA39" s="52">
        <f>'Evolutitve SCI'!AI7</f>
        <v>118444316.86000001</v>
      </c>
      <c r="CB39" s="52">
        <f>'Evolutitve SCI'!AJ7</f>
        <v>128528248.65000001</v>
      </c>
      <c r="CC39" s="52">
        <f>'Evolutitve SCI'!AK7</f>
        <v>139100158.99000001</v>
      </c>
      <c r="CD39" s="52">
        <f>'Evolutitve SCI'!AL7</f>
        <v>149299757</v>
      </c>
      <c r="CE39" s="52">
        <f>'Evolutitve SCI'!AM7</f>
        <v>165631376.87</v>
      </c>
      <c r="CF39" s="52">
        <f>'Evolutitve SCI'!AN7</f>
        <v>192681006</v>
      </c>
      <c r="CG39" s="52">
        <f>'Evolutitve SCI'!AO7</f>
        <v>11948799.5</v>
      </c>
      <c r="CH39" s="52">
        <f>'Evolutitve SCI'!AP7</f>
        <v>23127210.849999998</v>
      </c>
      <c r="CI39" s="52">
        <f>'Evolutitve SCI'!AQ7</f>
        <v>37917269.530000001</v>
      </c>
      <c r="CJ39" s="52">
        <f>'Evolutitve SCI'!AR7</f>
        <v>50342285.509999998</v>
      </c>
      <c r="CK39" s="52">
        <f>'Evolutitve SCI'!AS7</f>
        <v>63173446.07</v>
      </c>
      <c r="CL39" s="52">
        <f>'Evolutitve SCI'!AT7</f>
        <v>140449461.65000001</v>
      </c>
      <c r="CM39" s="52">
        <f>'Evolutitve SCI'!AU7</f>
        <v>159599827.59</v>
      </c>
      <c r="CN39" s="52">
        <f>'Evolutitve SCI'!AV7</f>
        <v>174880963.74000001</v>
      </c>
    </row>
    <row r="40" spans="1:92">
      <c r="A40" s="18">
        <v>9.3000000000000007</v>
      </c>
      <c r="B40" s="18" t="s">
        <v>264</v>
      </c>
      <c r="C40" s="52" t="e">
        <f>'Evolutitve SCI'!#REF!</f>
        <v>#REF!</v>
      </c>
      <c r="D40" s="52" t="e">
        <f>'Evolutitve SCI'!#REF!</f>
        <v>#REF!</v>
      </c>
      <c r="E40" s="52" t="e">
        <f>'Evolutitve SCI'!#REF!</f>
        <v>#REF!</v>
      </c>
      <c r="F40" s="52" t="e">
        <f>'Evolutitve SCI'!#REF!</f>
        <v>#REF!</v>
      </c>
      <c r="G40" s="52" t="e">
        <f>'Evolutitve SCI'!#REF!</f>
        <v>#REF!</v>
      </c>
      <c r="H40" s="52" t="e">
        <f>'Evolutitve SCI'!#REF!</f>
        <v>#REF!</v>
      </c>
      <c r="I40" s="52" t="e">
        <f>'Evolutitve SCI'!#REF!</f>
        <v>#REF!</v>
      </c>
      <c r="J40" s="52" t="e">
        <f>'Evolutitve SCI'!#REF!</f>
        <v>#REF!</v>
      </c>
      <c r="K40" s="52" t="e">
        <f>'Evolutitve SCI'!#REF!</f>
        <v>#REF!</v>
      </c>
      <c r="L40" s="52" t="e">
        <f>'Evolutitve SCI'!#REF!</f>
        <v>#REF!</v>
      </c>
      <c r="M40" s="52" t="e">
        <f>'Evolutitve SCI'!#REF!</f>
        <v>#REF!</v>
      </c>
      <c r="N40" s="52" t="e">
        <f>'Evolutitve SCI'!#REF!</f>
        <v>#REF!</v>
      </c>
      <c r="O40" s="52" t="e">
        <f>'Evolutitve SCI'!#REF!</f>
        <v>#REF!</v>
      </c>
      <c r="P40" s="52" t="e">
        <f>'Evolutitve SCI'!#REF!</f>
        <v>#REF!</v>
      </c>
      <c r="Q40" s="52" t="e">
        <f>'Evolutitve SCI'!#REF!</f>
        <v>#REF!</v>
      </c>
      <c r="R40" s="52" t="e">
        <f>'Evolutitve SCI'!#REF!</f>
        <v>#REF!</v>
      </c>
      <c r="S40" s="52" t="e">
        <f>'Evolutitve SCI'!#REF!</f>
        <v>#REF!</v>
      </c>
      <c r="T40" s="52" t="e">
        <f>'Evolutitve SCI'!#REF!</f>
        <v>#REF!</v>
      </c>
      <c r="U40" s="52" t="e">
        <f>'Evolutitve SCI'!#REF!</f>
        <v>#REF!</v>
      </c>
      <c r="V40" s="52" t="e">
        <f>'Evolutitve SCI'!#REF!</f>
        <v>#REF!</v>
      </c>
      <c r="W40" s="52" t="e">
        <f>'Evolutitve SCI'!#REF!</f>
        <v>#REF!</v>
      </c>
      <c r="X40" s="52" t="e">
        <f>'Evolutitve SCI'!#REF!</f>
        <v>#REF!</v>
      </c>
      <c r="Y40" s="52" t="e">
        <f>'Evolutitve SCI'!#REF!</f>
        <v>#REF!</v>
      </c>
      <c r="Z40" s="52" t="e">
        <f>'Evolutitve SCI'!#REF!</f>
        <v>#REF!</v>
      </c>
      <c r="AA40" s="52" t="e">
        <f>'Evolutitve SCI'!#REF!</f>
        <v>#REF!</v>
      </c>
      <c r="AB40" s="52" t="e">
        <f>'Evolutitve SCI'!#REF!</f>
        <v>#REF!</v>
      </c>
      <c r="AC40" s="52" t="e">
        <f>'Evolutitve SCI'!#REF!</f>
        <v>#REF!</v>
      </c>
      <c r="AD40" s="52" t="e">
        <f>'Evolutitve SCI'!#REF!</f>
        <v>#REF!</v>
      </c>
      <c r="AE40" s="52" t="e">
        <f>'Evolutitve SCI'!#REF!</f>
        <v>#REF!</v>
      </c>
      <c r="AF40" s="52" t="e">
        <f>'Evolutitve SCI'!#REF!</f>
        <v>#REF!</v>
      </c>
      <c r="AG40" s="52" t="e">
        <f>'Evolutitve SCI'!#REF!</f>
        <v>#REF!</v>
      </c>
      <c r="AH40" s="52" t="e">
        <f>'Evolutitve SCI'!#REF!</f>
        <v>#REF!</v>
      </c>
      <c r="AI40" s="52" t="e">
        <f>'Evolutitve SCI'!#REF!</f>
        <v>#REF!</v>
      </c>
      <c r="AJ40" s="52" t="e">
        <f>'Evolutitve SCI'!#REF!</f>
        <v>#REF!</v>
      </c>
      <c r="AK40" s="52" t="e">
        <f>'Evolutitve SCI'!#REF!</f>
        <v>#REF!</v>
      </c>
      <c r="AL40" s="52" t="e">
        <f>'Evolutitve SCI'!#REF!</f>
        <v>#REF!</v>
      </c>
      <c r="AM40" s="52" t="e">
        <f>'Evolutitve SCI'!#REF!</f>
        <v>#REF!</v>
      </c>
      <c r="AN40" s="52" t="e">
        <f>'Evolutitve SCI'!#REF!</f>
        <v>#REF!</v>
      </c>
      <c r="AO40" s="52" t="e">
        <f>'Evolutitve SCI'!#REF!</f>
        <v>#REF!</v>
      </c>
      <c r="AP40" s="52" t="e">
        <f>'Evolutitve SCI'!#REF!</f>
        <v>#REF!</v>
      </c>
      <c r="AQ40" s="52" t="e">
        <f>'Evolutitve SCI'!#REF!</f>
        <v>#REF!</v>
      </c>
      <c r="AR40" s="52" t="e">
        <f>'Evolutitve SCI'!#REF!</f>
        <v>#REF!</v>
      </c>
      <c r="AS40" s="52">
        <f>'Evolutitve SCI'!B6</f>
        <v>1310268</v>
      </c>
      <c r="AT40" s="52">
        <f>'Evolutitve SCI'!C6</f>
        <v>374.5</v>
      </c>
      <c r="AU40" s="52">
        <f>'Evolutitve SCI'!D6</f>
        <v>2288.4</v>
      </c>
      <c r="AV40" s="52">
        <f>'Evolutitve SCI'!E6</f>
        <v>4664.5</v>
      </c>
      <c r="AW40" s="52">
        <f>'Evolutitve SCI'!F6</f>
        <v>5588.4</v>
      </c>
      <c r="AX40" s="52">
        <f>'Evolutitve SCI'!G6</f>
        <v>6077.5</v>
      </c>
      <c r="AY40" s="52">
        <f>'Evolutitve SCI'!H6</f>
        <v>6803.3</v>
      </c>
      <c r="AZ40" s="52" t="e">
        <f>'Evolutitve SCI'!#REF!</f>
        <v>#REF!</v>
      </c>
      <c r="BA40" s="52">
        <f>'Evolutitve SCI'!I6</f>
        <v>8181.6</v>
      </c>
      <c r="BB40" s="52">
        <f>'Evolutitve SCI'!J6</f>
        <v>8674.4</v>
      </c>
      <c r="BC40" s="52">
        <f>'Evolutitve SCI'!K6</f>
        <v>9282.2000000000007</v>
      </c>
      <c r="BD40" s="52">
        <f>'Evolutitve SCI'!L6</f>
        <v>9987.1</v>
      </c>
      <c r="BE40" s="52">
        <f>'Evolutitve SCI'!M6</f>
        <v>10897.5</v>
      </c>
      <c r="BF40" s="52">
        <f>'Evolutitve SCI'!N6</f>
        <v>31771137</v>
      </c>
      <c r="BG40" s="52">
        <f>'Evolutitve SCI'!O6</f>
        <v>817.2</v>
      </c>
      <c r="BH40" s="52">
        <f>'Evolutitve SCI'!P6</f>
        <v>1646.2</v>
      </c>
      <c r="BI40" s="52">
        <f>'Evolutitve SCI'!Q6</f>
        <v>4076.3</v>
      </c>
      <c r="BJ40" s="52">
        <f>'Evolutitve SCI'!R6</f>
        <v>5087.5</v>
      </c>
      <c r="BK40" s="52">
        <f>'Evolutitve SCI'!S6</f>
        <v>5869.9</v>
      </c>
      <c r="BL40" s="52">
        <f>'Evolutitve SCI'!T6</f>
        <v>6638.6</v>
      </c>
      <c r="BM40" s="52">
        <f>'Evolutitve SCI'!U6</f>
        <v>7737.3</v>
      </c>
      <c r="BN40" s="52">
        <f>'Evolutitve SCI'!V6</f>
        <v>8312.6</v>
      </c>
      <c r="BO40" s="52">
        <f>'Evolutitve SCI'!W6</f>
        <v>8950.4</v>
      </c>
      <c r="BP40" s="52">
        <f>'Evolutitve SCI'!X6</f>
        <v>9743.7999999999993</v>
      </c>
      <c r="BQ40" s="52">
        <f>'Evolutitve SCI'!Y6</f>
        <v>10775.3</v>
      </c>
      <c r="BR40" s="52">
        <f>'Evolutitve SCI'!Z6</f>
        <v>11630.3</v>
      </c>
      <c r="BS40" s="52">
        <f>'Evolutitve SCI'!AA6</f>
        <v>1178205.6000000001</v>
      </c>
      <c r="BT40" s="52">
        <f>'Evolutitve SCI'!AB6</f>
        <v>1178205.6000000001</v>
      </c>
      <c r="BU40" s="52">
        <f>'Evolutitve SCI'!AC6</f>
        <v>1788.1</v>
      </c>
      <c r="BV40" s="52">
        <f>'Evolutitve SCI'!AD6</f>
        <v>4236571</v>
      </c>
      <c r="BW40" s="52">
        <f>'Evolutitve SCI'!AE6</f>
        <v>5203429.3</v>
      </c>
      <c r="BX40" s="52">
        <f>'Evolutitve SCI'!AF6</f>
        <v>5871896.5</v>
      </c>
      <c r="BY40" s="52">
        <f>'Evolutitve SCI'!AG6</f>
        <v>6578538.2000000002</v>
      </c>
      <c r="BZ40" s="52">
        <f>'Evolutitve SCI'!AH6</f>
        <v>7363378.7999999998</v>
      </c>
      <c r="CA40" s="52">
        <f>'Evolutitve SCI'!AI6</f>
        <v>8274196.7999999998</v>
      </c>
      <c r="CB40" s="52">
        <f>'Evolutitve SCI'!AJ6</f>
        <v>9085881.5</v>
      </c>
      <c r="CC40" s="52">
        <f>'Evolutitve SCI'!AK6</f>
        <v>10359564.5</v>
      </c>
      <c r="CD40" s="52">
        <f>'Evolutitve SCI'!AL6</f>
        <v>12137161.199999999</v>
      </c>
      <c r="CE40" s="52">
        <f>'Evolutitve SCI'!AM6</f>
        <v>14467435.5</v>
      </c>
      <c r="CF40" s="52">
        <f>'Evolutitve SCI'!AN6</f>
        <v>0</v>
      </c>
      <c r="CG40" s="52">
        <f>'Evolutitve SCI'!AO6</f>
        <v>1468499</v>
      </c>
      <c r="CH40" s="52">
        <f>'Evolutitve SCI'!AP6</f>
        <v>2733633.8</v>
      </c>
      <c r="CI40" s="52">
        <f>'Evolutitve SCI'!AQ6</f>
        <v>3098251</v>
      </c>
      <c r="CJ40" s="52">
        <f>'Evolutitve SCI'!AR6</f>
        <v>4083034.1</v>
      </c>
      <c r="CK40" s="52">
        <f>'Evolutitve SCI'!AS6</f>
        <v>5119772.2</v>
      </c>
      <c r="CL40" s="52">
        <f>'Evolutitve SCI'!AT6</f>
        <v>6650726.0999999996</v>
      </c>
      <c r="CM40" s="52">
        <f>'Evolutitve SCI'!AU6</f>
        <v>7689683.4000000004</v>
      </c>
      <c r="CN40" s="52">
        <f>'Evolutitve SCI'!AV6</f>
        <v>9084749.8000000007</v>
      </c>
    </row>
    <row r="41" spans="1:92" ht="15">
      <c r="A41" s="18">
        <v>9.4</v>
      </c>
      <c r="B41" s="18" t="s">
        <v>265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34" t="e">
        <f t="shared" ref="S41:BA41" si="70">S38/S31</f>
        <v>#REF!</v>
      </c>
      <c r="T41" s="34" t="e">
        <f t="shared" si="70"/>
        <v>#REF!</v>
      </c>
      <c r="U41" s="34" t="e">
        <f t="shared" si="70"/>
        <v>#REF!</v>
      </c>
      <c r="V41" s="34" t="e">
        <f t="shared" si="70"/>
        <v>#REF!</v>
      </c>
      <c r="W41" s="34" t="e">
        <f t="shared" si="70"/>
        <v>#REF!</v>
      </c>
      <c r="X41" s="34" t="e">
        <f t="shared" si="70"/>
        <v>#REF!</v>
      </c>
      <c r="Y41" s="34" t="e">
        <f t="shared" si="70"/>
        <v>#REF!</v>
      </c>
      <c r="Z41" s="34" t="e">
        <f t="shared" si="70"/>
        <v>#REF!</v>
      </c>
      <c r="AA41" s="34" t="e">
        <f t="shared" si="70"/>
        <v>#REF!</v>
      </c>
      <c r="AB41" s="34" t="e">
        <f t="shared" si="70"/>
        <v>#REF!</v>
      </c>
      <c r="AC41" s="34" t="e">
        <f t="shared" si="70"/>
        <v>#REF!</v>
      </c>
      <c r="AD41" s="34" t="e">
        <f t="shared" si="70"/>
        <v>#REF!</v>
      </c>
      <c r="AE41" s="34" t="e">
        <f t="shared" si="70"/>
        <v>#REF!</v>
      </c>
      <c r="AF41" s="34" t="e">
        <f t="shared" si="70"/>
        <v>#REF!</v>
      </c>
      <c r="AG41" s="34" t="e">
        <f t="shared" si="70"/>
        <v>#REF!</v>
      </c>
      <c r="AH41" s="34" t="e">
        <f t="shared" si="70"/>
        <v>#REF!</v>
      </c>
      <c r="AI41" s="34" t="e">
        <f t="shared" si="70"/>
        <v>#REF!</v>
      </c>
      <c r="AJ41" s="34" t="e">
        <f t="shared" si="70"/>
        <v>#REF!</v>
      </c>
      <c r="AK41" s="34" t="e">
        <f t="shared" si="70"/>
        <v>#REF!</v>
      </c>
      <c r="AL41" s="34" t="e">
        <f t="shared" si="70"/>
        <v>#REF!</v>
      </c>
      <c r="AM41" s="34" t="e">
        <f t="shared" si="70"/>
        <v>#REF!</v>
      </c>
      <c r="AN41" s="34" t="e">
        <f t="shared" si="70"/>
        <v>#REF!</v>
      </c>
      <c r="AO41" s="34" t="e">
        <f t="shared" si="70"/>
        <v>#REF!</v>
      </c>
      <c r="AP41" s="34" t="e">
        <f t="shared" si="70"/>
        <v>#REF!</v>
      </c>
      <c r="AQ41" s="34" t="e">
        <f t="shared" si="70"/>
        <v>#REF!</v>
      </c>
      <c r="AR41" s="34" t="e">
        <f t="shared" si="70"/>
        <v>#REF!</v>
      </c>
      <c r="AS41" s="34">
        <f t="shared" si="70"/>
        <v>0.12178503035682194</v>
      </c>
      <c r="AT41" s="34">
        <f t="shared" si="70"/>
        <v>1.2223043721202427E-2</v>
      </c>
      <c r="AU41" s="34">
        <f t="shared" si="70"/>
        <v>2.3105846297003903E-2</v>
      </c>
      <c r="AV41" s="34">
        <f t="shared" si="70"/>
        <v>3.5843680102653583E-2</v>
      </c>
      <c r="AW41" s="34">
        <f t="shared" si="70"/>
        <v>4.9016278419546616E-2</v>
      </c>
      <c r="AX41" s="34">
        <f t="shared" si="70"/>
        <v>6.1766674093028676E-2</v>
      </c>
      <c r="AY41" s="34">
        <f t="shared" si="70"/>
        <v>7.3421224670811636E-2</v>
      </c>
      <c r="AZ41" s="34" t="e">
        <f t="shared" si="70"/>
        <v>#REF!</v>
      </c>
      <c r="BA41" s="34">
        <f t="shared" si="70"/>
        <v>9.0180036546046852E-2</v>
      </c>
      <c r="BB41" s="34">
        <f>BB38/BB31</f>
        <v>9.8942331599096725E-2</v>
      </c>
      <c r="BC41" s="34">
        <f>BC38/BC31</f>
        <v>0.10883611919225182</v>
      </c>
      <c r="BD41" s="34">
        <f>BD38/BD31</f>
        <v>0.11850522748519342</v>
      </c>
      <c r="BE41" s="34">
        <f>BE38/BE31</f>
        <v>0.12851696073870436</v>
      </c>
      <c r="BF41" s="34">
        <f>BF38/BF31</f>
        <v>0.12846321378505615</v>
      </c>
      <c r="BG41" s="34">
        <f t="shared" ref="BG41:BS41" si="71">BG38/BG31</f>
        <v>1.1283782121128521E-2</v>
      </c>
      <c r="BH41" s="34">
        <f t="shared" si="71"/>
        <v>2.1582451821876583E-2</v>
      </c>
      <c r="BI41" s="34">
        <f t="shared" si="71"/>
        <v>3.3637126413517487E-2</v>
      </c>
      <c r="BJ41" s="34">
        <f t="shared" si="71"/>
        <v>4.4474745241026868E-2</v>
      </c>
      <c r="BK41" s="34">
        <f t="shared" si="71"/>
        <v>5.4785064856182689E-2</v>
      </c>
      <c r="BL41" s="34">
        <f t="shared" si="71"/>
        <v>6.465446052582513E-2</v>
      </c>
      <c r="BM41" s="34">
        <f t="shared" si="71"/>
        <v>7.477193625036832E-2</v>
      </c>
      <c r="BN41" s="34">
        <f t="shared" si="71"/>
        <v>7.4093056943252272E-2</v>
      </c>
      <c r="BO41" s="34">
        <f t="shared" si="71"/>
        <v>9.8328133854709926E-2</v>
      </c>
      <c r="BP41" s="34">
        <f t="shared" si="71"/>
        <v>0.10872197868015007</v>
      </c>
      <c r="BQ41" s="34">
        <f t="shared" si="71"/>
        <v>0.12001512534484177</v>
      </c>
      <c r="BR41" s="34">
        <f t="shared" si="71"/>
        <v>0.12965954842157093</v>
      </c>
      <c r="BS41" s="34">
        <f t="shared" si="71"/>
        <v>1.0948223537373696E-2</v>
      </c>
      <c r="BT41" s="34">
        <f t="shared" ref="BT41:CF41" si="72">BT38/BT31</f>
        <v>1.0845967848381112E-2</v>
      </c>
      <c r="BU41" s="34">
        <f t="shared" si="72"/>
        <v>2.1811914628322313E-5</v>
      </c>
      <c r="BV41" s="34">
        <f t="shared" si="72"/>
        <v>3.3261952012485961E-2</v>
      </c>
      <c r="BW41" s="34">
        <f t="shared" si="72"/>
        <v>4.4098751444673581E-2</v>
      </c>
      <c r="BX41" s="34">
        <f t="shared" si="72"/>
        <v>5.4755702733853023E-2</v>
      </c>
      <c r="BY41" s="34">
        <f t="shared" si="72"/>
        <v>6.4791075174733204E-2</v>
      </c>
      <c r="BZ41" s="34">
        <f t="shared" si="72"/>
        <v>7.6187736767338851E-2</v>
      </c>
      <c r="CA41" s="34">
        <f t="shared" si="72"/>
        <v>8.6906802247528545E-2</v>
      </c>
      <c r="CB41" s="34">
        <f t="shared" si="72"/>
        <v>9.8214341820497555E-2</v>
      </c>
      <c r="CC41" s="34">
        <f t="shared" si="72"/>
        <v>0.10771522032436631</v>
      </c>
      <c r="CD41" s="34">
        <f t="shared" si="72"/>
        <v>0.11824511211739423</v>
      </c>
      <c r="CE41" s="34">
        <f t="shared" si="72"/>
        <v>0.1268465542842013</v>
      </c>
      <c r="CF41" s="34">
        <f t="shared" si="72"/>
        <v>0.12689572315161607</v>
      </c>
      <c r="CG41" s="34">
        <f t="shared" ref="CG41:CI41" si="73">CG38/CG31</f>
        <v>1.0751754331546284E-2</v>
      </c>
      <c r="CH41" s="34">
        <f t="shared" si="73"/>
        <v>2.1454081107454497E-2</v>
      </c>
      <c r="CI41" s="34">
        <f t="shared" si="73"/>
        <v>3.3029686328152168E-2</v>
      </c>
      <c r="CJ41" s="34">
        <f t="shared" ref="CJ41:CK41" si="74">CJ38/CJ31</f>
        <v>4.3208500251269787E-2</v>
      </c>
      <c r="CK41" s="34">
        <f t="shared" si="74"/>
        <v>5.4077869141143861E-2</v>
      </c>
      <c r="CL41" s="34">
        <f t="shared" ref="CL41:CN41" si="75">CL38/CL31</f>
        <v>6.257430996821664E-2</v>
      </c>
      <c r="CM41" s="34">
        <f t="shared" ref="CM41:CN41" si="76">CM38/CM31</f>
        <v>7.3116208611551256E-2</v>
      </c>
      <c r="CN41" s="34">
        <f t="shared" si="76"/>
        <v>8.2582773387965019E-2</v>
      </c>
    </row>
    <row r="42" spans="1:92">
      <c r="A42" s="18"/>
      <c r="B42" s="18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</row>
    <row r="43" spans="1:92" ht="15">
      <c r="A43" s="20">
        <v>10</v>
      </c>
      <c r="B43" s="26" t="s">
        <v>266</v>
      </c>
      <c r="C43" s="53" t="e">
        <f>SUM(C44:C47)</f>
        <v>#REF!</v>
      </c>
      <c r="D43" s="53" t="e">
        <f t="shared" ref="D43:K43" si="77">SUM(D44:D47)</f>
        <v>#REF!</v>
      </c>
      <c r="E43" s="53" t="e">
        <f>SUM(E44:E47)</f>
        <v>#REF!</v>
      </c>
      <c r="F43" s="53" t="e">
        <f>SUM(F44:F47)</f>
        <v>#REF!</v>
      </c>
      <c r="G43" s="53" t="e">
        <f t="shared" si="77"/>
        <v>#REF!</v>
      </c>
      <c r="H43" s="53" t="e">
        <f t="shared" si="77"/>
        <v>#REF!</v>
      </c>
      <c r="I43" s="53" t="e">
        <f t="shared" si="77"/>
        <v>#REF!</v>
      </c>
      <c r="J43" s="53" t="e">
        <f t="shared" si="77"/>
        <v>#REF!</v>
      </c>
      <c r="K43" s="53" t="e">
        <f t="shared" si="77"/>
        <v>#REF!</v>
      </c>
      <c r="L43" s="53" t="e">
        <f>SUM(L44:L47)</f>
        <v>#REF!</v>
      </c>
      <c r="M43" s="53" t="e">
        <f t="shared" ref="M43:R43" si="78">SUM(M44:M47)</f>
        <v>#REF!</v>
      </c>
      <c r="N43" s="53" t="e">
        <f t="shared" si="78"/>
        <v>#REF!</v>
      </c>
      <c r="O43" s="53" t="e">
        <f t="shared" si="78"/>
        <v>#REF!</v>
      </c>
      <c r="P43" s="53" t="e">
        <f t="shared" si="78"/>
        <v>#REF!</v>
      </c>
      <c r="Q43" s="53" t="e">
        <f t="shared" si="78"/>
        <v>#REF!</v>
      </c>
      <c r="R43" s="53" t="e">
        <f t="shared" si="78"/>
        <v>#REF!</v>
      </c>
      <c r="S43" s="53" t="e">
        <f t="shared" ref="S43:Y43" si="79">SUM(S44:S47)</f>
        <v>#REF!</v>
      </c>
      <c r="T43" s="53" t="e">
        <f t="shared" si="79"/>
        <v>#REF!</v>
      </c>
      <c r="U43" s="53" t="e">
        <f t="shared" si="79"/>
        <v>#REF!</v>
      </c>
      <c r="V43" s="53" t="e">
        <f t="shared" si="79"/>
        <v>#REF!</v>
      </c>
      <c r="W43" s="53" t="e">
        <f t="shared" si="79"/>
        <v>#REF!</v>
      </c>
      <c r="X43" s="53" t="e">
        <f t="shared" si="79"/>
        <v>#REF!</v>
      </c>
      <c r="Y43" s="53" t="e">
        <f t="shared" si="79"/>
        <v>#REF!</v>
      </c>
      <c r="Z43" s="53" t="e">
        <f t="shared" ref="Z43:AF43" si="80">SUM(Z44:Z47)</f>
        <v>#REF!</v>
      </c>
      <c r="AA43" s="53" t="e">
        <f t="shared" si="80"/>
        <v>#REF!</v>
      </c>
      <c r="AB43" s="53" t="e">
        <f t="shared" si="80"/>
        <v>#REF!</v>
      </c>
      <c r="AC43" s="53" t="e">
        <f t="shared" si="80"/>
        <v>#REF!</v>
      </c>
      <c r="AD43" s="53" t="e">
        <f t="shared" si="80"/>
        <v>#REF!</v>
      </c>
      <c r="AE43" s="53" t="e">
        <f t="shared" si="80"/>
        <v>#REF!</v>
      </c>
      <c r="AF43" s="53" t="e">
        <f t="shared" si="80"/>
        <v>#REF!</v>
      </c>
      <c r="AG43" s="53" t="e">
        <f t="shared" ref="AG43:AY43" si="81">SUM(AG44:AG47)</f>
        <v>#REF!</v>
      </c>
      <c r="AH43" s="53" t="e">
        <f t="shared" si="81"/>
        <v>#REF!</v>
      </c>
      <c r="AI43" s="53" t="e">
        <f t="shared" si="81"/>
        <v>#REF!</v>
      </c>
      <c r="AJ43" s="53" t="e">
        <f t="shared" si="81"/>
        <v>#REF!</v>
      </c>
      <c r="AK43" s="53" t="e">
        <f t="shared" si="81"/>
        <v>#REF!</v>
      </c>
      <c r="AL43" s="53" t="e">
        <f t="shared" si="81"/>
        <v>#REF!</v>
      </c>
      <c r="AM43" s="53" t="e">
        <f t="shared" si="81"/>
        <v>#REF!</v>
      </c>
      <c r="AN43" s="53" t="e">
        <f t="shared" si="81"/>
        <v>#REF!</v>
      </c>
      <c r="AO43" s="53" t="e">
        <f t="shared" si="81"/>
        <v>#REF!</v>
      </c>
      <c r="AP43" s="53" t="e">
        <f t="shared" si="81"/>
        <v>#REF!</v>
      </c>
      <c r="AQ43" s="53" t="e">
        <f t="shared" si="81"/>
        <v>#REF!</v>
      </c>
      <c r="AR43" s="53" t="e">
        <f t="shared" si="81"/>
        <v>#REF!</v>
      </c>
      <c r="AS43" s="53">
        <f t="shared" si="81"/>
        <v>14056547.52</v>
      </c>
      <c r="AT43" s="53">
        <f t="shared" si="81"/>
        <v>28375.33</v>
      </c>
      <c r="AU43" s="53">
        <f t="shared" si="81"/>
        <v>54722.600000000006</v>
      </c>
      <c r="AV43" s="53">
        <f t="shared" si="81"/>
        <v>88604.95</v>
      </c>
      <c r="AW43" s="53">
        <f t="shared" si="81"/>
        <v>119665.4</v>
      </c>
      <c r="AX43" s="53">
        <f t="shared" si="81"/>
        <v>149888.79</v>
      </c>
      <c r="AY43" s="53">
        <f t="shared" si="81"/>
        <v>180427.62</v>
      </c>
      <c r="AZ43" s="53" t="e">
        <f t="shared" ref="AZ43:BF43" si="82">SUM(AZ44:AZ47)</f>
        <v>#REF!</v>
      </c>
      <c r="BA43" s="53">
        <f t="shared" si="82"/>
        <v>247626.66000000003</v>
      </c>
      <c r="BB43" s="53">
        <f t="shared" si="82"/>
        <v>274582.55</v>
      </c>
      <c r="BC43" s="53">
        <f t="shared" si="82"/>
        <v>311559.87</v>
      </c>
      <c r="BD43" s="53">
        <f t="shared" si="82"/>
        <v>343058.9</v>
      </c>
      <c r="BE43" s="53">
        <f t="shared" si="82"/>
        <v>382186.30999999994</v>
      </c>
      <c r="BF43" s="53">
        <f t="shared" si="82"/>
        <v>323178410</v>
      </c>
      <c r="BG43" s="53">
        <f t="shared" ref="BG43:BS43" si="83">SUM(BG44:BG47)</f>
        <v>31513.409999999996</v>
      </c>
      <c r="BH43" s="53">
        <f t="shared" si="83"/>
        <v>62214.28</v>
      </c>
      <c r="BI43" s="53">
        <f t="shared" si="83"/>
        <v>105662.31</v>
      </c>
      <c r="BJ43" s="53">
        <f t="shared" si="83"/>
        <v>137372.58000000002</v>
      </c>
      <c r="BK43" s="53">
        <f t="shared" si="83"/>
        <v>174471.93</v>
      </c>
      <c r="BL43" s="53">
        <f t="shared" si="83"/>
        <v>185867.63</v>
      </c>
      <c r="BM43" s="53">
        <f t="shared" si="83"/>
        <v>248532.5</v>
      </c>
      <c r="BN43" s="53">
        <f t="shared" si="83"/>
        <v>284528.66000000003</v>
      </c>
      <c r="BO43" s="53">
        <f t="shared" si="83"/>
        <v>320519.84999999998</v>
      </c>
      <c r="BP43" s="53">
        <f t="shared" si="83"/>
        <v>358314.94</v>
      </c>
      <c r="BQ43" s="53">
        <f t="shared" si="83"/>
        <v>395931.15</v>
      </c>
      <c r="BR43" s="53">
        <f t="shared" si="83"/>
        <v>412673.91000000003</v>
      </c>
      <c r="BS43" s="53">
        <f t="shared" si="83"/>
        <v>369833522</v>
      </c>
      <c r="BT43" s="53">
        <f t="shared" ref="BT43:CF43" si="84">SUM(BT44:BT47)</f>
        <v>35622876.469999999</v>
      </c>
      <c r="BU43" s="53">
        <f t="shared" si="84"/>
        <v>72034.61</v>
      </c>
      <c r="BV43" s="53">
        <f t="shared" si="84"/>
        <v>122698033.55</v>
      </c>
      <c r="BW43" s="53">
        <f t="shared" si="84"/>
        <v>162654585.31999999</v>
      </c>
      <c r="BX43" s="53">
        <f t="shared" si="84"/>
        <v>206193145.79999995</v>
      </c>
      <c r="BY43" s="53">
        <f t="shared" si="84"/>
        <v>252521827.62</v>
      </c>
      <c r="BZ43" s="53">
        <f t="shared" si="84"/>
        <v>298700770.37</v>
      </c>
      <c r="CA43" s="53">
        <f t="shared" si="84"/>
        <v>337923366.86000001</v>
      </c>
      <c r="CB43" s="53">
        <f t="shared" si="84"/>
        <v>383850511.38</v>
      </c>
      <c r="CC43" s="53">
        <f t="shared" si="84"/>
        <v>431436822.72999996</v>
      </c>
      <c r="CD43" s="53">
        <f t="shared" si="84"/>
        <v>478169717.13999999</v>
      </c>
      <c r="CE43" s="53">
        <f t="shared" si="84"/>
        <v>493251889.02999991</v>
      </c>
      <c r="CF43" s="53">
        <f t="shared" si="84"/>
        <v>456701653</v>
      </c>
      <c r="CG43" s="53">
        <f t="shared" ref="CG43:CI43" si="85">SUM(CG44:CG47)</f>
        <v>41528867.920000002</v>
      </c>
      <c r="CH43" s="53">
        <f t="shared" si="85"/>
        <v>83566382.189999998</v>
      </c>
      <c r="CI43" s="53">
        <f t="shared" si="85"/>
        <v>132859821.03999999</v>
      </c>
      <c r="CJ43" s="53">
        <f t="shared" ref="CJ43:CK43" si="86">SUM(CJ44:CJ47)</f>
        <v>181260153.15000001</v>
      </c>
      <c r="CK43" s="53">
        <f t="shared" si="86"/>
        <v>230060378.87000003</v>
      </c>
      <c r="CL43" s="53">
        <f t="shared" ref="CL43:CN43" si="87">SUM(CL44:CL47)</f>
        <v>281648120.89999998</v>
      </c>
      <c r="CM43" s="53">
        <f t="shared" ref="CM43:CN43" si="88">SUM(CM44:CM47)</f>
        <v>335310087.82999998</v>
      </c>
      <c r="CN43" s="53">
        <f t="shared" si="88"/>
        <v>387650992.19000006</v>
      </c>
    </row>
    <row r="44" spans="1:92">
      <c r="A44" s="18">
        <v>10.1</v>
      </c>
      <c r="B44" s="18" t="s">
        <v>267</v>
      </c>
      <c r="C44" s="52" t="e">
        <f>'Evolutitve SCI'!#REF!+'Evolutitve SCI'!#REF!</f>
        <v>#REF!</v>
      </c>
      <c r="D44" s="52" t="e">
        <f>'Evolutitve SCI'!#REF!+'Evolutitve SCI'!#REF!</f>
        <v>#REF!</v>
      </c>
      <c r="E44" s="52" t="e">
        <f>'Evolutitve SCI'!#REF!+'Evolutitve SCI'!#REF!</f>
        <v>#REF!</v>
      </c>
      <c r="F44" s="52" t="e">
        <f>'Evolutitve SCI'!#REF!+'Evolutitve SCI'!#REF!</f>
        <v>#REF!</v>
      </c>
      <c r="G44" s="52" t="e">
        <f>'Evolutitve SCI'!#REF!+'Evolutitve SCI'!#REF!</f>
        <v>#REF!</v>
      </c>
      <c r="H44" s="52" t="e">
        <f>'Evolutitve SCI'!#REF!+'Evolutitve SCI'!#REF!</f>
        <v>#REF!</v>
      </c>
      <c r="I44" s="52" t="e">
        <f>'Evolutitve SCI'!#REF!+'Evolutitve SCI'!#REF!</f>
        <v>#REF!</v>
      </c>
      <c r="J44" s="52" t="e">
        <f>'Evolutitve SCI'!#REF!+'Evolutitve SCI'!#REF!</f>
        <v>#REF!</v>
      </c>
      <c r="K44" s="52" t="e">
        <f>'Evolutitve SCI'!#REF!+'Evolutitve SCI'!#REF!</f>
        <v>#REF!</v>
      </c>
      <c r="L44" s="52" t="e">
        <f>'Evolutitve SCI'!#REF!+'Evolutitve SCI'!#REF!</f>
        <v>#REF!</v>
      </c>
      <c r="M44" s="52" t="e">
        <f>'Evolutitve SCI'!#REF!+'Evolutitve SCI'!#REF!</f>
        <v>#REF!</v>
      </c>
      <c r="N44" s="52" t="e">
        <f>'Evolutitve SCI'!#REF!+'Evolutitve SCI'!#REF!</f>
        <v>#REF!</v>
      </c>
      <c r="O44" s="52" t="e">
        <f>'Evolutitve SCI'!#REF!+'Evolutitve SCI'!#REF!</f>
        <v>#REF!</v>
      </c>
      <c r="P44" s="52" t="e">
        <f>'Evolutitve SCI'!#REF!+'Evolutitve SCI'!#REF!</f>
        <v>#REF!</v>
      </c>
      <c r="Q44" s="52" t="e">
        <f>'Evolutitve SCI'!#REF!+'Evolutitve SCI'!#REF!</f>
        <v>#REF!</v>
      </c>
      <c r="R44" s="52" t="e">
        <f>'Evolutitve SCI'!#REF!+'Evolutitve SCI'!#REF!</f>
        <v>#REF!</v>
      </c>
      <c r="S44" s="52" t="e">
        <f>'Evolutitve SCI'!#REF!+'Evolutitve SCI'!#REF!</f>
        <v>#REF!</v>
      </c>
      <c r="T44" s="52" t="e">
        <f>'Evolutitve SCI'!#REF!+'Evolutitve SCI'!#REF!</f>
        <v>#REF!</v>
      </c>
      <c r="U44" s="52" t="e">
        <f>'Evolutitve SCI'!#REF!+'Evolutitve SCI'!#REF!</f>
        <v>#REF!</v>
      </c>
      <c r="V44" s="52" t="e">
        <f>'Evolutitve SCI'!#REF!+'Evolutitve SCI'!#REF!</f>
        <v>#REF!</v>
      </c>
      <c r="W44" s="52" t="e">
        <f>'Evolutitve SCI'!#REF!+'Evolutitve SCI'!#REF!</f>
        <v>#REF!</v>
      </c>
      <c r="X44" s="52" t="e">
        <f>'Evolutitve SCI'!#REF!+'Evolutitve SCI'!#REF!</f>
        <v>#REF!</v>
      </c>
      <c r="Y44" s="52" t="e">
        <f>'Evolutitve SCI'!#REF!+'Evolutitve SCI'!#REF!</f>
        <v>#REF!</v>
      </c>
      <c r="Z44" s="52" t="e">
        <f>'Evolutitve SCI'!#REF!+'Evolutitve SCI'!#REF!</f>
        <v>#REF!</v>
      </c>
      <c r="AA44" s="52" t="e">
        <f>'Evolutitve SCI'!#REF!+'Evolutitve SCI'!#REF!</f>
        <v>#REF!</v>
      </c>
      <c r="AB44" s="52" t="e">
        <f>'Evolutitve SCI'!#REF!+'Evolutitve SCI'!#REF!</f>
        <v>#REF!</v>
      </c>
      <c r="AC44" s="52" t="e">
        <f>'Evolutitve SCI'!#REF!+'Evolutitve SCI'!#REF!</f>
        <v>#REF!</v>
      </c>
      <c r="AD44" s="52" t="e">
        <f>'Evolutitve SCI'!#REF!+'Evolutitve SCI'!#REF!</f>
        <v>#REF!</v>
      </c>
      <c r="AE44" s="52" t="e">
        <f>'Evolutitve SCI'!#REF!+'Evolutitve SCI'!#REF!</f>
        <v>#REF!</v>
      </c>
      <c r="AF44" s="52" t="e">
        <f>'Evolutitve SCI'!#REF!+'Evolutitve SCI'!#REF!</f>
        <v>#REF!</v>
      </c>
      <c r="AG44" s="52" t="e">
        <f>'Evolutitve SCI'!#REF!+'Evolutitve SCI'!#REF!</f>
        <v>#REF!</v>
      </c>
      <c r="AH44" s="52" t="e">
        <f>'Evolutitve SCI'!#REF!+'Evolutitve SCI'!#REF!</f>
        <v>#REF!</v>
      </c>
      <c r="AI44" s="52" t="e">
        <f>'Evolutitve SCI'!#REF!+'Evolutitve SCI'!#REF!</f>
        <v>#REF!</v>
      </c>
      <c r="AJ44" s="52" t="e">
        <f>'Evolutitve SCI'!#REF!+'Evolutitve SCI'!#REF!</f>
        <v>#REF!</v>
      </c>
      <c r="AK44" s="52" t="e">
        <f>'Evolutitve SCI'!#REF!+'Evolutitve SCI'!#REF!</f>
        <v>#REF!</v>
      </c>
      <c r="AL44" s="52" t="e">
        <f>'Evolutitve SCI'!#REF!+'Evolutitve SCI'!#REF!</f>
        <v>#REF!</v>
      </c>
      <c r="AM44" s="52" t="e">
        <f>'Evolutitve SCI'!#REF!+'Evolutitve SCI'!#REF!</f>
        <v>#REF!</v>
      </c>
      <c r="AN44" s="52" t="e">
        <f>'Evolutitve SCI'!#REF!+'Evolutitve SCI'!#REF!</f>
        <v>#REF!</v>
      </c>
      <c r="AO44" s="52" t="e">
        <f>'Evolutitve SCI'!#REF!+'Evolutitve SCI'!#REF!</f>
        <v>#REF!</v>
      </c>
      <c r="AP44" s="52" t="e">
        <f>'Evolutitve SCI'!#REF!+'Evolutitve SCI'!#REF!</f>
        <v>#REF!</v>
      </c>
      <c r="AQ44" s="52" t="e">
        <f>'Evolutitve SCI'!#REF!+'Evolutitve SCI'!#REF!</f>
        <v>#REF!</v>
      </c>
      <c r="AR44" s="52" t="e">
        <f>'Evolutitve SCI'!#REF!+'Evolutitve SCI'!#REF!</f>
        <v>#REF!</v>
      </c>
      <c r="AS44" s="52">
        <f>'Evolutitve SCI'!B13+'Evolutitve SCI'!B16</f>
        <v>0</v>
      </c>
      <c r="AT44" s="52">
        <f>'Evolutitve SCI'!C13+'Evolutitve SCI'!C16</f>
        <v>20484.150000000001</v>
      </c>
      <c r="AU44" s="52">
        <f>'Evolutitve SCI'!D13+'Evolutitve SCI'!D16</f>
        <v>39348.61</v>
      </c>
      <c r="AV44" s="52">
        <f>'Evolutitve SCI'!E13+'Evolutitve SCI'!E16</f>
        <v>60677.29</v>
      </c>
      <c r="AW44" s="52">
        <f>'Evolutitve SCI'!F13+'Evolutitve SCI'!F16</f>
        <v>80628.800000000003</v>
      </c>
      <c r="AX44" s="52">
        <f>'Evolutitve SCI'!G13+'Evolutitve SCI'!G16</f>
        <v>103936.6</v>
      </c>
      <c r="AY44" s="52">
        <f>'Evolutitve SCI'!H13+'Evolutitve SCI'!H16</f>
        <v>126894.02</v>
      </c>
      <c r="AZ44" s="52" t="e">
        <f>'Evolutitve SCI'!#REF!+'Evolutitve SCI'!#REF!</f>
        <v>#REF!</v>
      </c>
      <c r="BA44" s="52">
        <f>'Evolutitve SCI'!I13+'Evolutitve SCI'!I16</f>
        <v>174143.42</v>
      </c>
      <c r="BB44" s="52">
        <f>'Evolutitve SCI'!J13+'Evolutitve SCI'!J16</f>
        <v>193015.06</v>
      </c>
      <c r="BC44" s="52">
        <f>'Evolutitve SCI'!K13+'Evolutitve SCI'!K16</f>
        <v>221026.63</v>
      </c>
      <c r="BD44" s="52">
        <f>'Evolutitve SCI'!L13+'Evolutitve SCI'!L16</f>
        <v>246299.48</v>
      </c>
      <c r="BE44" s="52">
        <f>'Evolutitve SCI'!M13+'Evolutitve SCI'!M16</f>
        <v>273668.94</v>
      </c>
      <c r="BF44" s="52">
        <f>'Evolutitve SCI'!N13+'Evolutitve SCI'!N16</f>
        <v>254881440</v>
      </c>
      <c r="BG44" s="52">
        <f>'Evolutitve SCI'!O13+'Evolutitve SCI'!O16</f>
        <v>23108.37</v>
      </c>
      <c r="BH44" s="52">
        <f>'Evolutitve SCI'!P13+'Evolutitve SCI'!P16</f>
        <v>45962.63</v>
      </c>
      <c r="BI44" s="52">
        <f>'Evolutitve SCI'!Q13+'Evolutitve SCI'!Q16</f>
        <v>69987.94</v>
      </c>
      <c r="BJ44" s="52">
        <f>'Evolutitve SCI'!R13+'Evolutitve SCI'!R16</f>
        <v>94619.13</v>
      </c>
      <c r="BK44" s="52">
        <f>'Evolutitve SCI'!S13+'Evolutitve SCI'!S16</f>
        <v>120511.16</v>
      </c>
      <c r="BL44" s="52">
        <f>'Evolutitve SCI'!T13+'Evolutitve SCI'!T16</f>
        <v>123741.87</v>
      </c>
      <c r="BM44" s="52">
        <f>'Evolutitve SCI'!U13+'Evolutitve SCI'!U16</f>
        <v>174070.54</v>
      </c>
      <c r="BN44" s="52">
        <f>'Evolutitve SCI'!V13+'Evolutitve SCI'!V16</f>
        <v>201215.55</v>
      </c>
      <c r="BO44" s="52">
        <f>'Evolutitve SCI'!W13+'Evolutitve SCI'!W16</f>
        <v>228913.75</v>
      </c>
      <c r="BP44" s="52">
        <f>'Evolutitve SCI'!X13+'Evolutitve SCI'!X16</f>
        <v>257774.86</v>
      </c>
      <c r="BQ44" s="52">
        <f>'Evolutitve SCI'!Y13+'Evolutitve SCI'!Y16</f>
        <v>286245.52</v>
      </c>
      <c r="BR44" s="52">
        <f>'Evolutitve SCI'!Z13+'Evolutitve SCI'!Z16</f>
        <v>293347.74</v>
      </c>
      <c r="BS44" s="52">
        <f>'Evolutitve SCI'!AA13+'Evolutitve SCI'!AA16</f>
        <v>292462951</v>
      </c>
      <c r="BT44" s="52">
        <f>'Evolutitve SCI'!AB13+'Evolutitve SCI'!AB16</f>
        <v>26646765.350000001</v>
      </c>
      <c r="BU44" s="52">
        <f>'Evolutitve SCI'!AC13+'Evolutitve SCI'!AC16</f>
        <v>53636.770000000004</v>
      </c>
      <c r="BV44" s="52">
        <f>'Evolutitve SCI'!AD13+'Evolutitve SCI'!AD16</f>
        <v>82417171.090000004</v>
      </c>
      <c r="BW44" s="52">
        <f>'Evolutitve SCI'!AE13+'Evolutitve SCI'!AE16</f>
        <v>110979275.52</v>
      </c>
      <c r="BX44" s="52">
        <f>'Evolutitve SCI'!AF13+'Evolutitve SCI'!AF16</f>
        <v>141328616.38999999</v>
      </c>
      <c r="BY44" s="52">
        <f>'Evolutitve SCI'!AG13+'Evolutitve SCI'!AG16</f>
        <v>173062674</v>
      </c>
      <c r="BZ44" s="52">
        <f>'Evolutitve SCI'!AH13+'Evolutitve SCI'!AH16</f>
        <v>204262799</v>
      </c>
      <c r="CA44" s="52">
        <f>'Evolutitve SCI'!AI13+'Evolutitve SCI'!AI16</f>
        <v>236827148.08000001</v>
      </c>
      <c r="CB44" s="52">
        <f>'Evolutitve SCI'!AJ13+'Evolutitve SCI'!AJ16</f>
        <v>271459496.28999996</v>
      </c>
      <c r="CC44" s="52">
        <f>'Evolutitve SCI'!AK13+'Evolutitve SCI'!AK16</f>
        <v>307120590.08999997</v>
      </c>
      <c r="CD44" s="52">
        <f>'Evolutitve SCI'!AL13+'Evolutitve SCI'!AL16</f>
        <v>342716624.58999997</v>
      </c>
      <c r="CE44" s="52">
        <f>'Evolutitve SCI'!AM13+'Evolutitve SCI'!AM16</f>
        <v>346931418.73999995</v>
      </c>
      <c r="CF44" s="52">
        <f>'Evolutitve SCI'!AN13+'Evolutitve SCI'!AN16</f>
        <v>347331874</v>
      </c>
      <c r="CG44" s="52">
        <f>'Evolutitve SCI'!AO13+'Evolutitve SCI'!AO16</f>
        <v>32149615.879999999</v>
      </c>
      <c r="CH44" s="52">
        <f>'Evolutitve SCI'!AP13+'Evolutitve SCI'!AP16</f>
        <v>65636070.130000003</v>
      </c>
      <c r="CI44" s="52">
        <f>'Evolutitve SCI'!AQ13+'Evolutitve SCI'!AQ16</f>
        <v>100448919.45999999</v>
      </c>
      <c r="CJ44" s="52">
        <f>'Evolutitve SCI'!AR13+'Evolutitve SCI'!AR16</f>
        <v>136500714.28999999</v>
      </c>
      <c r="CK44" s="52">
        <f>'Evolutitve SCI'!AS13+'Evolutitve SCI'!AS16</f>
        <v>172798047.88000003</v>
      </c>
      <c r="CL44" s="52">
        <f>'Evolutitve SCI'!AT13+'Evolutitve SCI'!AT16</f>
        <v>210003707.84999999</v>
      </c>
      <c r="CM44" s="52">
        <f>'Evolutitve SCI'!AU13+'Evolutitve SCI'!AU16</f>
        <v>246946769.71000001</v>
      </c>
      <c r="CN44" s="52">
        <f>'Evolutitve SCI'!AV13+'Evolutitve SCI'!AV16</f>
        <v>286326246.49000001</v>
      </c>
    </row>
    <row r="45" spans="1:92">
      <c r="A45" s="18">
        <v>10.199999999999999</v>
      </c>
      <c r="B45" s="18" t="s">
        <v>268</v>
      </c>
      <c r="C45" s="52" t="e">
        <f>'Evolutitve SCI'!#REF!</f>
        <v>#REF!</v>
      </c>
      <c r="D45" s="52" t="e">
        <f>'Evolutitve SCI'!#REF!</f>
        <v>#REF!</v>
      </c>
      <c r="E45" s="52" t="e">
        <f>'Evolutitve SCI'!#REF!</f>
        <v>#REF!</v>
      </c>
      <c r="F45" s="52" t="e">
        <f>'Evolutitve SCI'!#REF!</f>
        <v>#REF!</v>
      </c>
      <c r="G45" s="52" t="e">
        <f>'Evolutitve SCI'!#REF!</f>
        <v>#REF!</v>
      </c>
      <c r="H45" s="52" t="e">
        <f>'Evolutitve SCI'!#REF!</f>
        <v>#REF!</v>
      </c>
      <c r="I45" s="52" t="e">
        <f>'Evolutitve SCI'!#REF!</f>
        <v>#REF!</v>
      </c>
      <c r="J45" s="52" t="e">
        <f>'Evolutitve SCI'!#REF!</f>
        <v>#REF!</v>
      </c>
      <c r="K45" s="52" t="e">
        <f>'Evolutitve SCI'!#REF!</f>
        <v>#REF!</v>
      </c>
      <c r="L45" s="52" t="e">
        <f>'Evolutitve SCI'!#REF!</f>
        <v>#REF!</v>
      </c>
      <c r="M45" s="52" t="e">
        <f>'Evolutitve SCI'!#REF!</f>
        <v>#REF!</v>
      </c>
      <c r="N45" s="52" t="e">
        <f>'Evolutitve SCI'!#REF!</f>
        <v>#REF!</v>
      </c>
      <c r="O45" s="52" t="e">
        <f>'Evolutitve SCI'!#REF!</f>
        <v>#REF!</v>
      </c>
      <c r="P45" s="52" t="e">
        <f>'Evolutitve SCI'!#REF!</f>
        <v>#REF!</v>
      </c>
      <c r="Q45" s="52" t="e">
        <f>'Evolutitve SCI'!#REF!</f>
        <v>#REF!</v>
      </c>
      <c r="R45" s="52" t="e">
        <f>'Evolutitve SCI'!#REF!</f>
        <v>#REF!</v>
      </c>
      <c r="S45" s="52" t="e">
        <f>'Evolutitve SCI'!#REF!</f>
        <v>#REF!</v>
      </c>
      <c r="T45" s="52" t="e">
        <f>'Evolutitve SCI'!#REF!</f>
        <v>#REF!</v>
      </c>
      <c r="U45" s="52" t="e">
        <f>'Evolutitve SCI'!#REF!</f>
        <v>#REF!</v>
      </c>
      <c r="V45" s="52" t="e">
        <f>'Evolutitve SCI'!#REF!</f>
        <v>#REF!</v>
      </c>
      <c r="W45" s="52" t="e">
        <f>'Evolutitve SCI'!#REF!</f>
        <v>#REF!</v>
      </c>
      <c r="X45" s="52" t="e">
        <f>'Evolutitve SCI'!#REF!</f>
        <v>#REF!</v>
      </c>
      <c r="Y45" s="52" t="e">
        <f>'Evolutitve SCI'!#REF!</f>
        <v>#REF!</v>
      </c>
      <c r="Z45" s="52" t="e">
        <f>'Evolutitve SCI'!#REF!</f>
        <v>#REF!</v>
      </c>
      <c r="AA45" s="52" t="e">
        <f>'Evolutitve SCI'!#REF!</f>
        <v>#REF!</v>
      </c>
      <c r="AB45" s="52" t="e">
        <f>'Evolutitve SCI'!#REF!</f>
        <v>#REF!</v>
      </c>
      <c r="AC45" s="52" t="e">
        <f>'Evolutitve SCI'!#REF!</f>
        <v>#REF!</v>
      </c>
      <c r="AD45" s="52" t="e">
        <f>'Evolutitve SCI'!#REF!</f>
        <v>#REF!</v>
      </c>
      <c r="AE45" s="52" t="e">
        <f>'Evolutitve SCI'!#REF!</f>
        <v>#REF!</v>
      </c>
      <c r="AF45" s="52" t="e">
        <f>'Evolutitve SCI'!#REF!</f>
        <v>#REF!</v>
      </c>
      <c r="AG45" s="52" t="e">
        <f>'Evolutitve SCI'!#REF!</f>
        <v>#REF!</v>
      </c>
      <c r="AH45" s="52" t="e">
        <f>'Evolutitve SCI'!#REF!</f>
        <v>#REF!</v>
      </c>
      <c r="AI45" s="52" t="e">
        <f>'Evolutitve SCI'!#REF!</f>
        <v>#REF!</v>
      </c>
      <c r="AJ45" s="52" t="e">
        <f>'Evolutitve SCI'!#REF!</f>
        <v>#REF!</v>
      </c>
      <c r="AK45" s="52" t="e">
        <f>'Evolutitve SCI'!#REF!</f>
        <v>#REF!</v>
      </c>
      <c r="AL45" s="52" t="e">
        <f>'Evolutitve SCI'!#REF!</f>
        <v>#REF!</v>
      </c>
      <c r="AM45" s="52" t="e">
        <f>'Evolutitve SCI'!#REF!</f>
        <v>#REF!</v>
      </c>
      <c r="AN45" s="52" t="e">
        <f>'Evolutitve SCI'!#REF!</f>
        <v>#REF!</v>
      </c>
      <c r="AO45" s="52" t="e">
        <f>'Evolutitve SCI'!#REF!</f>
        <v>#REF!</v>
      </c>
      <c r="AP45" s="52" t="e">
        <f>'Evolutitve SCI'!#REF!</f>
        <v>#REF!</v>
      </c>
      <c r="AQ45" s="52" t="e">
        <f>'Evolutitve SCI'!#REF!</f>
        <v>#REF!</v>
      </c>
      <c r="AR45" s="52" t="e">
        <f>'Evolutitve SCI'!#REF!</f>
        <v>#REF!</v>
      </c>
      <c r="AS45" s="52">
        <f>'Evolutitve SCI'!B15</f>
        <v>0</v>
      </c>
      <c r="AT45" s="52">
        <f>'Evolutitve SCI'!C15</f>
        <v>3041.44</v>
      </c>
      <c r="AU45" s="52">
        <f>'Evolutitve SCI'!D15</f>
        <v>6114.19</v>
      </c>
      <c r="AV45" s="52">
        <f>'Evolutitve SCI'!E15</f>
        <v>9232.4699999999993</v>
      </c>
      <c r="AW45" s="52">
        <f>'Evolutitve SCI'!F15</f>
        <v>12312.76</v>
      </c>
      <c r="AX45" s="52">
        <f>'Evolutitve SCI'!G15</f>
        <v>15485.78</v>
      </c>
      <c r="AY45" s="52">
        <f>'Evolutitve SCI'!H15</f>
        <v>18687.64</v>
      </c>
      <c r="AZ45" s="52" t="e">
        <f>'Evolutitve SCI'!#REF!</f>
        <v>#REF!</v>
      </c>
      <c r="BA45" s="52">
        <f>'Evolutitve SCI'!I15</f>
        <v>25176.86</v>
      </c>
      <c r="BB45" s="52">
        <f>'Evolutitve SCI'!J15</f>
        <v>28401.360000000001</v>
      </c>
      <c r="BC45" s="52">
        <f>'Evolutitve SCI'!K15</f>
        <v>31721.96</v>
      </c>
      <c r="BD45" s="52">
        <f>'Evolutitve SCI'!L15</f>
        <v>34974.86</v>
      </c>
      <c r="BE45" s="52">
        <f>'Evolutitve SCI'!M15</f>
        <v>38262.03</v>
      </c>
      <c r="BF45" s="52">
        <f>'Evolutitve SCI'!N15</f>
        <v>0</v>
      </c>
      <c r="BG45" s="52">
        <f>'Evolutitve SCI'!O15</f>
        <v>3204.94</v>
      </c>
      <c r="BH45" s="52">
        <f>'Evolutitve SCI'!P15</f>
        <v>6422.54</v>
      </c>
      <c r="BI45" s="52">
        <f>'Evolutitve SCI'!Q15</f>
        <v>9659.15</v>
      </c>
      <c r="BJ45" s="52">
        <f>'Evolutitve SCI'!R15</f>
        <v>12948.13</v>
      </c>
      <c r="BK45" s="52">
        <f>'Evolutitve SCI'!S15</f>
        <v>16278.46</v>
      </c>
      <c r="BL45" s="52">
        <f>'Evolutitve SCI'!T15</f>
        <v>19648.93</v>
      </c>
      <c r="BM45" s="52">
        <f>'Evolutitve SCI'!U15</f>
        <v>23066.09</v>
      </c>
      <c r="BN45" s="52">
        <f>'Evolutitve SCI'!V15</f>
        <v>26422.58</v>
      </c>
      <c r="BO45" s="52">
        <f>'Evolutitve SCI'!W15</f>
        <v>30073.82</v>
      </c>
      <c r="BP45" s="52">
        <f>'Evolutitve SCI'!X15</f>
        <v>33523.949999999997</v>
      </c>
      <c r="BQ45" s="52">
        <f>'Evolutitve SCI'!Y15</f>
        <v>37095.519999999997</v>
      </c>
      <c r="BR45" s="52">
        <f>'Evolutitve SCI'!Z15</f>
        <v>39491.269999999997</v>
      </c>
      <c r="BS45" s="52">
        <f>'Evolutitve SCI'!AA15</f>
        <v>0</v>
      </c>
      <c r="BT45" s="52">
        <f>'Evolutitve SCI'!AB15</f>
        <v>3406570.48</v>
      </c>
      <c r="BU45" s="52">
        <f>'Evolutitve SCI'!AC15</f>
        <v>6840.81</v>
      </c>
      <c r="BV45" s="52">
        <f>'Evolutitve SCI'!AD15</f>
        <v>10447633.050000001</v>
      </c>
      <c r="BW45" s="52">
        <f>'Evolutitve SCI'!AE15</f>
        <v>14063444.07</v>
      </c>
      <c r="BX45" s="52">
        <f>'Evolutitve SCI'!AF15</f>
        <v>17609532.079999998</v>
      </c>
      <c r="BY45" s="52">
        <f>'Evolutitve SCI'!AG15</f>
        <v>21332877</v>
      </c>
      <c r="BZ45" s="52">
        <f>'Evolutitve SCI'!AH15</f>
        <v>25013189.829999998</v>
      </c>
      <c r="CA45" s="52">
        <f>'Evolutitve SCI'!AI15</f>
        <v>28792835.989999998</v>
      </c>
      <c r="CB45" s="52">
        <f>'Evolutitve SCI'!AJ15</f>
        <v>32567851.489999998</v>
      </c>
      <c r="CC45" s="52">
        <f>'Evolutitve SCI'!AK15</f>
        <v>36399734.329999998</v>
      </c>
      <c r="CD45" s="52">
        <f>'Evolutitve SCI'!AL15</f>
        <v>40217357.759999998</v>
      </c>
      <c r="CE45" s="52">
        <f>'Evolutitve SCI'!AM15</f>
        <v>42749380.219999999</v>
      </c>
      <c r="CF45" s="52">
        <f>'Evolutitve SCI'!AN15</f>
        <v>0</v>
      </c>
      <c r="CG45" s="52">
        <f>'Evolutitve SCI'!AO15</f>
        <v>3697356.77</v>
      </c>
      <c r="CH45" s="52">
        <f>'Evolutitve SCI'!AP15</f>
        <v>7448859.0099999998</v>
      </c>
      <c r="CI45" s="52">
        <f>'Evolutitve SCI'!AQ15</f>
        <v>11362369.17</v>
      </c>
      <c r="CJ45" s="52">
        <f>'Evolutitve SCI'!AR15</f>
        <v>15211818.890000001</v>
      </c>
      <c r="CK45" s="52">
        <f>'Evolutitve SCI'!AS15</f>
        <v>19163190.280000001</v>
      </c>
      <c r="CL45" s="52">
        <f>'Evolutitve SCI'!AT15</f>
        <v>23102896.140000001</v>
      </c>
      <c r="CM45" s="52">
        <f>'Evolutitve SCI'!AU15</f>
        <v>27195279.109999999</v>
      </c>
      <c r="CN45" s="52">
        <f>'Evolutitve SCI'!AV15</f>
        <v>31188918.989999998</v>
      </c>
    </row>
    <row r="46" spans="1:92">
      <c r="A46" s="18">
        <v>10.3</v>
      </c>
      <c r="B46" s="18" t="s">
        <v>269</v>
      </c>
      <c r="C46" s="52" t="e">
        <f>'Evolutitve SCI'!#REF!</f>
        <v>#REF!</v>
      </c>
      <c r="D46" s="52" t="e">
        <f>'Evolutitve SCI'!#REF!</f>
        <v>#REF!</v>
      </c>
      <c r="E46" s="52" t="e">
        <f>'Evolutitve SCI'!#REF!</f>
        <v>#REF!</v>
      </c>
      <c r="F46" s="52" t="e">
        <f>'Evolutitve SCI'!#REF!</f>
        <v>#REF!</v>
      </c>
      <c r="G46" s="52" t="e">
        <f>'Evolutitve SCI'!#REF!</f>
        <v>#REF!</v>
      </c>
      <c r="H46" s="52" t="e">
        <f>'Evolutitve SCI'!#REF!</f>
        <v>#REF!</v>
      </c>
      <c r="I46" s="52" t="e">
        <f>'Evolutitve SCI'!#REF!</f>
        <v>#REF!</v>
      </c>
      <c r="J46" s="52" t="e">
        <f>'Evolutitve SCI'!#REF!</f>
        <v>#REF!</v>
      </c>
      <c r="K46" s="52" t="e">
        <f>'Evolutitve SCI'!#REF!</f>
        <v>#REF!</v>
      </c>
      <c r="L46" s="52" t="e">
        <f>'Evolutitve SCI'!#REF!</f>
        <v>#REF!</v>
      </c>
      <c r="M46" s="52" t="e">
        <f>'Evolutitve SCI'!#REF!</f>
        <v>#REF!</v>
      </c>
      <c r="N46" s="52" t="e">
        <f>'Evolutitve SCI'!#REF!</f>
        <v>#REF!</v>
      </c>
      <c r="O46" s="52" t="e">
        <f>'Evolutitve SCI'!#REF!</f>
        <v>#REF!</v>
      </c>
      <c r="P46" s="52" t="e">
        <f>'Evolutitve SCI'!#REF!</f>
        <v>#REF!</v>
      </c>
      <c r="Q46" s="52" t="e">
        <f>'Evolutitve SCI'!#REF!</f>
        <v>#REF!</v>
      </c>
      <c r="R46" s="52" t="e">
        <f>'Evolutitve SCI'!#REF!</f>
        <v>#REF!</v>
      </c>
      <c r="S46" s="52" t="e">
        <f>'Evolutitve SCI'!#REF!</f>
        <v>#REF!</v>
      </c>
      <c r="T46" s="52" t="e">
        <f>'Evolutitve SCI'!#REF!</f>
        <v>#REF!</v>
      </c>
      <c r="U46" s="52" t="e">
        <f>'Evolutitve SCI'!#REF!</f>
        <v>#REF!</v>
      </c>
      <c r="V46" s="52" t="e">
        <f>'Evolutitve SCI'!#REF!</f>
        <v>#REF!</v>
      </c>
      <c r="W46" s="52" t="e">
        <f>'Evolutitve SCI'!#REF!</f>
        <v>#REF!</v>
      </c>
      <c r="X46" s="52" t="e">
        <f>'Evolutitve SCI'!#REF!</f>
        <v>#REF!</v>
      </c>
      <c r="Y46" s="52" t="e">
        <f>'Evolutitve SCI'!#REF!</f>
        <v>#REF!</v>
      </c>
      <c r="Z46" s="52" t="e">
        <f>'Evolutitve SCI'!#REF!</f>
        <v>#REF!</v>
      </c>
      <c r="AA46" s="52" t="e">
        <f>'Evolutitve SCI'!#REF!</f>
        <v>#REF!</v>
      </c>
      <c r="AB46" s="52" t="e">
        <f>'Evolutitve SCI'!#REF!</f>
        <v>#REF!</v>
      </c>
      <c r="AC46" s="52" t="e">
        <f>'Evolutitve SCI'!#REF!</f>
        <v>#REF!</v>
      </c>
      <c r="AD46" s="52" t="e">
        <f>'Evolutitve SCI'!#REF!</f>
        <v>#REF!</v>
      </c>
      <c r="AE46" s="52" t="e">
        <f>'Evolutitve SCI'!#REF!</f>
        <v>#REF!</v>
      </c>
      <c r="AF46" s="52" t="e">
        <f>'Evolutitve SCI'!#REF!</f>
        <v>#REF!</v>
      </c>
      <c r="AG46" s="52" t="e">
        <f>'Evolutitve SCI'!#REF!</f>
        <v>#REF!</v>
      </c>
      <c r="AH46" s="52" t="e">
        <f>'Evolutitve SCI'!#REF!</f>
        <v>#REF!</v>
      </c>
      <c r="AI46" s="52" t="e">
        <f>'Evolutitve SCI'!#REF!</f>
        <v>#REF!</v>
      </c>
      <c r="AJ46" s="52" t="e">
        <f>'Evolutitve SCI'!#REF!</f>
        <v>#REF!</v>
      </c>
      <c r="AK46" s="52" t="e">
        <f>'Evolutitve SCI'!#REF!</f>
        <v>#REF!</v>
      </c>
      <c r="AL46" s="52" t="e">
        <f>'Evolutitve SCI'!#REF!</f>
        <v>#REF!</v>
      </c>
      <c r="AM46" s="52" t="e">
        <f>'Evolutitve SCI'!#REF!</f>
        <v>#REF!</v>
      </c>
      <c r="AN46" s="52" t="e">
        <f>'Evolutitve SCI'!#REF!</f>
        <v>#REF!</v>
      </c>
      <c r="AO46" s="52" t="e">
        <f>'Evolutitve SCI'!#REF!</f>
        <v>#REF!</v>
      </c>
      <c r="AP46" s="52" t="e">
        <f>'Evolutitve SCI'!#REF!</f>
        <v>#REF!</v>
      </c>
      <c r="AQ46" s="52" t="e">
        <f>'Evolutitve SCI'!#REF!</f>
        <v>#REF!</v>
      </c>
      <c r="AR46" s="52" t="e">
        <f>'Evolutitve SCI'!#REF!</f>
        <v>#REF!</v>
      </c>
      <c r="AS46" s="52">
        <f>'Evolutitve SCI'!B14</f>
        <v>0</v>
      </c>
      <c r="AT46" s="52">
        <f>'Evolutitve SCI'!C14</f>
        <v>0</v>
      </c>
      <c r="AU46" s="52">
        <f>'Evolutitve SCI'!D14</f>
        <v>0</v>
      </c>
      <c r="AV46" s="52">
        <f>'Evolutitve SCI'!E14</f>
        <v>0</v>
      </c>
      <c r="AW46" s="52">
        <f>'Evolutitve SCI'!F14</f>
        <v>0</v>
      </c>
      <c r="AX46" s="52">
        <f>'Evolutitve SCI'!G14</f>
        <v>0</v>
      </c>
      <c r="AY46" s="52">
        <f>'Evolutitve SCI'!H14</f>
        <v>0</v>
      </c>
      <c r="AZ46" s="52" t="e">
        <f>'Evolutitve SCI'!#REF!</f>
        <v>#REF!</v>
      </c>
      <c r="BA46" s="52">
        <f>'Evolutitve SCI'!I14</f>
        <v>0</v>
      </c>
      <c r="BB46" s="52">
        <f>'Evolutitve SCI'!J14</f>
        <v>0</v>
      </c>
      <c r="BC46" s="52">
        <f>'Evolutitve SCI'!K14</f>
        <v>0</v>
      </c>
      <c r="BD46" s="52">
        <f>'Evolutitve SCI'!L14</f>
        <v>0</v>
      </c>
      <c r="BE46" s="52">
        <f>'Evolutitve SCI'!M14</f>
        <v>0</v>
      </c>
      <c r="BF46" s="52">
        <f>'Evolutitve SCI'!N14</f>
        <v>0</v>
      </c>
      <c r="BG46" s="52">
        <f>'Evolutitve SCI'!O14</f>
        <v>0</v>
      </c>
      <c r="BH46" s="52">
        <f>'Evolutitve SCI'!P14</f>
        <v>0</v>
      </c>
      <c r="BI46" s="52">
        <f>'Evolutitve SCI'!Q14</f>
        <v>0</v>
      </c>
      <c r="BJ46" s="52">
        <f>'Evolutitve SCI'!R14</f>
        <v>0</v>
      </c>
      <c r="BK46" s="52">
        <f>'Evolutitve SCI'!S14</f>
        <v>0</v>
      </c>
      <c r="BL46" s="52">
        <f>'Evolutitve SCI'!T14</f>
        <v>0</v>
      </c>
      <c r="BM46" s="52">
        <f>'Evolutitve SCI'!U14</f>
        <v>0</v>
      </c>
      <c r="BN46" s="52">
        <f>'Evolutitve SCI'!V14</f>
        <v>0</v>
      </c>
      <c r="BO46" s="52">
        <f>'Evolutitve SCI'!W14</f>
        <v>0</v>
      </c>
      <c r="BP46" s="52">
        <f>'Evolutitve SCI'!X14</f>
        <v>0</v>
      </c>
      <c r="BQ46" s="52">
        <f>'Evolutitve SCI'!Y14</f>
        <v>0</v>
      </c>
      <c r="BR46" s="52">
        <f>'Evolutitve SCI'!Z14</f>
        <v>0</v>
      </c>
      <c r="BS46" s="52">
        <f>'Evolutitve SCI'!AA14</f>
        <v>0</v>
      </c>
      <c r="BT46" s="52">
        <f>'Evolutitve SCI'!AB14</f>
        <v>0</v>
      </c>
      <c r="BU46" s="52">
        <f>'Evolutitve SCI'!AC14</f>
        <v>0</v>
      </c>
      <c r="BV46" s="52">
        <f>'Evolutitve SCI'!AD14</f>
        <v>0</v>
      </c>
      <c r="BW46" s="52">
        <f>'Evolutitve SCI'!AE14</f>
        <v>0</v>
      </c>
      <c r="BX46" s="52">
        <f>'Evolutitve SCI'!AF14</f>
        <v>0</v>
      </c>
      <c r="BY46" s="52">
        <f>'Evolutitve SCI'!AG14</f>
        <v>0</v>
      </c>
      <c r="BZ46" s="52">
        <f>'Evolutitve SCI'!AH14</f>
        <v>0</v>
      </c>
      <c r="CA46" s="52">
        <f>'Evolutitve SCI'!AI14</f>
        <v>0</v>
      </c>
      <c r="CB46" s="52">
        <f>'Evolutitve SCI'!AJ14</f>
        <v>0</v>
      </c>
      <c r="CC46" s="52">
        <f>'Evolutitve SCI'!AK14</f>
        <v>0</v>
      </c>
      <c r="CD46" s="52">
        <f>'Evolutitve SCI'!AL14</f>
        <v>0</v>
      </c>
      <c r="CE46" s="52">
        <f>'Evolutitve SCI'!AM14</f>
        <v>0</v>
      </c>
      <c r="CF46" s="52">
        <f>'Evolutitve SCI'!AN14</f>
        <v>0</v>
      </c>
      <c r="CG46" s="52">
        <f>'Evolutitve SCI'!AO14</f>
        <v>0</v>
      </c>
      <c r="CH46" s="52">
        <f>'Evolutitve SCI'!AP14</f>
        <v>0</v>
      </c>
      <c r="CI46" s="52">
        <f>'Evolutitve SCI'!AQ14</f>
        <v>0</v>
      </c>
      <c r="CJ46" s="52">
        <f>'Evolutitve SCI'!AR14</f>
        <v>0</v>
      </c>
      <c r="CK46" s="52">
        <f>'Evolutitve SCI'!AS14</f>
        <v>0</v>
      </c>
      <c r="CL46" s="52">
        <f>'Evolutitve SCI'!AT14</f>
        <v>0</v>
      </c>
      <c r="CM46" s="52">
        <f>'Evolutitve SCI'!AU14</f>
        <v>0</v>
      </c>
      <c r="CN46" s="52">
        <f>'Evolutitve SCI'!AV14</f>
        <v>0</v>
      </c>
    </row>
    <row r="47" spans="1:92">
      <c r="A47" s="18">
        <v>10.4</v>
      </c>
      <c r="B47" s="18" t="s">
        <v>270</v>
      </c>
      <c r="C47" s="52" t="e">
        <f>'Evolutitve SCI'!#REF!</f>
        <v>#REF!</v>
      </c>
      <c r="D47" s="52" t="e">
        <f>'Evolutitve SCI'!#REF!</f>
        <v>#REF!</v>
      </c>
      <c r="E47" s="52" t="e">
        <f>'Evolutitve SCI'!#REF!</f>
        <v>#REF!</v>
      </c>
      <c r="F47" s="52" t="e">
        <f>'Evolutitve SCI'!#REF!</f>
        <v>#REF!</v>
      </c>
      <c r="G47" s="52" t="e">
        <f>'Evolutitve SCI'!#REF!</f>
        <v>#REF!</v>
      </c>
      <c r="H47" s="52" t="e">
        <f>'Evolutitve SCI'!#REF!</f>
        <v>#REF!</v>
      </c>
      <c r="I47" s="52" t="e">
        <f>'Evolutitve SCI'!#REF!</f>
        <v>#REF!</v>
      </c>
      <c r="J47" s="52" t="e">
        <f>'Evolutitve SCI'!#REF!</f>
        <v>#REF!</v>
      </c>
      <c r="K47" s="52" t="e">
        <f>'Evolutitve SCI'!#REF!</f>
        <v>#REF!</v>
      </c>
      <c r="L47" s="52" t="e">
        <f>'Evolutitve SCI'!#REF!</f>
        <v>#REF!</v>
      </c>
      <c r="M47" s="52" t="e">
        <f>'Evolutitve SCI'!#REF!</f>
        <v>#REF!</v>
      </c>
      <c r="N47" s="52" t="e">
        <f>'Evolutitve SCI'!#REF!</f>
        <v>#REF!</v>
      </c>
      <c r="O47" s="52" t="e">
        <f>'Evolutitve SCI'!#REF!</f>
        <v>#REF!</v>
      </c>
      <c r="P47" s="52" t="e">
        <f>'Evolutitve SCI'!#REF!</f>
        <v>#REF!</v>
      </c>
      <c r="Q47" s="52" t="e">
        <f>'Evolutitve SCI'!#REF!</f>
        <v>#REF!</v>
      </c>
      <c r="R47" s="52" t="e">
        <f>'Evolutitve SCI'!#REF!</f>
        <v>#REF!</v>
      </c>
      <c r="S47" s="52" t="e">
        <f>'Evolutitve SCI'!#REF!</f>
        <v>#REF!</v>
      </c>
      <c r="T47" s="52" t="e">
        <f>'Evolutitve SCI'!#REF!</f>
        <v>#REF!</v>
      </c>
      <c r="U47" s="52" t="e">
        <f>'Evolutitve SCI'!#REF!</f>
        <v>#REF!</v>
      </c>
      <c r="V47" s="52" t="e">
        <f>'Evolutitve SCI'!#REF!</f>
        <v>#REF!</v>
      </c>
      <c r="W47" s="52" t="e">
        <f>'Evolutitve SCI'!#REF!</f>
        <v>#REF!</v>
      </c>
      <c r="X47" s="52" t="e">
        <f>'Evolutitve SCI'!#REF!</f>
        <v>#REF!</v>
      </c>
      <c r="Y47" s="52" t="e">
        <f>'Evolutitve SCI'!#REF!</f>
        <v>#REF!</v>
      </c>
      <c r="Z47" s="52" t="e">
        <f>'Evolutitve SCI'!#REF!</f>
        <v>#REF!</v>
      </c>
      <c r="AA47" s="52" t="e">
        <f>'Evolutitve SCI'!#REF!</f>
        <v>#REF!</v>
      </c>
      <c r="AB47" s="52" t="e">
        <f>'Evolutitve SCI'!#REF!</f>
        <v>#REF!</v>
      </c>
      <c r="AC47" s="52" t="e">
        <f>'Evolutitve SCI'!#REF!</f>
        <v>#REF!</v>
      </c>
      <c r="AD47" s="52" t="e">
        <f>'Evolutitve SCI'!#REF!</f>
        <v>#REF!</v>
      </c>
      <c r="AE47" s="52" t="e">
        <f>'Evolutitve SCI'!#REF!</f>
        <v>#REF!</v>
      </c>
      <c r="AF47" s="52" t="e">
        <f>'Evolutitve SCI'!#REF!</f>
        <v>#REF!</v>
      </c>
      <c r="AG47" s="52" t="e">
        <f>'Evolutitve SCI'!#REF!</f>
        <v>#REF!</v>
      </c>
      <c r="AH47" s="52" t="e">
        <f>'Evolutitve SCI'!#REF!</f>
        <v>#REF!</v>
      </c>
      <c r="AI47" s="52" t="e">
        <f>'Evolutitve SCI'!#REF!</f>
        <v>#REF!</v>
      </c>
      <c r="AJ47" s="52" t="e">
        <f>'Evolutitve SCI'!#REF!</f>
        <v>#REF!</v>
      </c>
      <c r="AK47" s="52" t="e">
        <f>'Evolutitve SCI'!#REF!</f>
        <v>#REF!</v>
      </c>
      <c r="AL47" s="52" t="e">
        <f>'Evolutitve SCI'!#REF!</f>
        <v>#REF!</v>
      </c>
      <c r="AM47" s="52" t="e">
        <f>'Evolutitve SCI'!#REF!</f>
        <v>#REF!</v>
      </c>
      <c r="AN47" s="52" t="e">
        <f>'Evolutitve SCI'!#REF!</f>
        <v>#REF!</v>
      </c>
      <c r="AO47" s="52" t="e">
        <f>'Evolutitve SCI'!#REF!</f>
        <v>#REF!</v>
      </c>
      <c r="AP47" s="52" t="e">
        <f>'Evolutitve SCI'!#REF!</f>
        <v>#REF!</v>
      </c>
      <c r="AQ47" s="52" t="e">
        <f>'Evolutitve SCI'!#REF!</f>
        <v>#REF!</v>
      </c>
      <c r="AR47" s="52" t="e">
        <f>'Evolutitve SCI'!#REF!</f>
        <v>#REF!</v>
      </c>
      <c r="AS47" s="52">
        <f>'Evolutitve SCI'!B23</f>
        <v>14056547.52</v>
      </c>
      <c r="AT47" s="52">
        <f>'Evolutitve SCI'!C23</f>
        <v>4849.74</v>
      </c>
      <c r="AU47" s="52">
        <f>'Evolutitve SCI'!D23</f>
        <v>9259.7999999999993</v>
      </c>
      <c r="AV47" s="52">
        <f>'Evolutitve SCI'!E23</f>
        <v>18695.189999999999</v>
      </c>
      <c r="AW47" s="52">
        <f>'Evolutitve SCI'!F23</f>
        <v>26723.84</v>
      </c>
      <c r="AX47" s="52">
        <f>'Evolutitve SCI'!G23</f>
        <v>30466.41</v>
      </c>
      <c r="AY47" s="52">
        <f>'Evolutitve SCI'!H23</f>
        <v>34845.96</v>
      </c>
      <c r="AZ47" s="52" t="e">
        <f>'Evolutitve SCI'!#REF!</f>
        <v>#REF!</v>
      </c>
      <c r="BA47" s="52">
        <f>'Evolutitve SCI'!I23</f>
        <v>48306.38</v>
      </c>
      <c r="BB47" s="52">
        <f>'Evolutitve SCI'!J23</f>
        <v>53166.12999999999</v>
      </c>
      <c r="BC47" s="52">
        <f>'Evolutitve SCI'!K23</f>
        <v>58811.28</v>
      </c>
      <c r="BD47" s="52">
        <f>'Evolutitve SCI'!L23</f>
        <v>61784.56</v>
      </c>
      <c r="BE47" s="52">
        <f>'Evolutitve SCI'!M23</f>
        <v>70255.34</v>
      </c>
      <c r="BF47" s="52">
        <f>'Evolutitve SCI'!N23</f>
        <v>68296970</v>
      </c>
      <c r="BG47" s="52">
        <f>'Evolutitve SCI'!O23</f>
        <v>5200.1000000000004</v>
      </c>
      <c r="BH47" s="52">
        <f>'Evolutitve SCI'!P23</f>
        <v>9829.11</v>
      </c>
      <c r="BI47" s="52">
        <f>'Evolutitve SCI'!Q23</f>
        <v>26015.22</v>
      </c>
      <c r="BJ47" s="52">
        <f>'Evolutitve SCI'!R23</f>
        <v>29805.320000000003</v>
      </c>
      <c r="BK47" s="52">
        <f>'Evolutitve SCI'!S23</f>
        <v>37682.31</v>
      </c>
      <c r="BL47" s="52">
        <f>'Evolutitve SCI'!T23</f>
        <v>42476.83</v>
      </c>
      <c r="BM47" s="52">
        <f>'Evolutitve SCI'!U23</f>
        <v>51395.87</v>
      </c>
      <c r="BN47" s="52">
        <f>'Evolutitve SCI'!V23</f>
        <v>56890.53</v>
      </c>
      <c r="BO47" s="52">
        <f>'Evolutitve SCI'!W23</f>
        <v>61532.279999999992</v>
      </c>
      <c r="BP47" s="52">
        <f>'Evolutitve SCI'!X23</f>
        <v>67016.13</v>
      </c>
      <c r="BQ47" s="52">
        <f>'Evolutitve SCI'!Y23</f>
        <v>72590.11</v>
      </c>
      <c r="BR47" s="52">
        <f>'Evolutitve SCI'!Z23</f>
        <v>79834.899999999994</v>
      </c>
      <c r="BS47" s="52">
        <f>'Evolutitve SCI'!AA23</f>
        <v>77370571</v>
      </c>
      <c r="BT47" s="52">
        <f>'Evolutitve SCI'!AB23</f>
        <v>5569540.6399999997</v>
      </c>
      <c r="BU47" s="52">
        <f>'Evolutitve SCI'!AC23</f>
        <v>11557.029999999999</v>
      </c>
      <c r="BV47" s="52">
        <f>'Evolutitve SCI'!AD23</f>
        <v>29833229.41</v>
      </c>
      <c r="BW47" s="52">
        <f>'Evolutitve SCI'!AE23</f>
        <v>37611865.730000004</v>
      </c>
      <c r="BX47" s="52">
        <f>'Evolutitve SCI'!AF23</f>
        <v>47254997.329999998</v>
      </c>
      <c r="BY47" s="52">
        <f>'Evolutitve SCI'!AG23</f>
        <v>58126276.61999999</v>
      </c>
      <c r="BZ47" s="52">
        <f>'Evolutitve SCI'!AH23</f>
        <v>69424781.539999992</v>
      </c>
      <c r="CA47" s="52">
        <f>'Evolutitve SCI'!AI23</f>
        <v>72303382.789999992</v>
      </c>
      <c r="CB47" s="52">
        <f>'Evolutitve SCI'!AJ23</f>
        <v>79823163.599999994</v>
      </c>
      <c r="CC47" s="52">
        <f>'Evolutitve SCI'!AK23</f>
        <v>87916498.310000002</v>
      </c>
      <c r="CD47" s="52">
        <f>'Evolutitve SCI'!AL23</f>
        <v>95235734.789999992</v>
      </c>
      <c r="CE47" s="52">
        <f>'Evolutitve SCI'!AM23</f>
        <v>103571090.07000001</v>
      </c>
      <c r="CF47" s="52">
        <f>'Evolutitve SCI'!AN23</f>
        <v>109369779</v>
      </c>
      <c r="CG47" s="52">
        <f>'Evolutitve SCI'!AO23</f>
        <v>5681895.2700000005</v>
      </c>
      <c r="CH47" s="52">
        <f>'Evolutitve SCI'!AP23</f>
        <v>10481453.049999999</v>
      </c>
      <c r="CI47" s="52">
        <f>'Evolutitve SCI'!AQ23</f>
        <v>21048532.41</v>
      </c>
      <c r="CJ47" s="52">
        <f>'Evolutitve SCI'!AR23</f>
        <v>29547619.969999999</v>
      </c>
      <c r="CK47" s="52">
        <f>'Evolutitve SCI'!AS23</f>
        <v>38099140.710000001</v>
      </c>
      <c r="CL47" s="52">
        <f>'Evolutitve SCI'!AT23</f>
        <v>48541516.909999996</v>
      </c>
      <c r="CM47" s="52">
        <f>'Evolutitve SCI'!AU23</f>
        <v>61168039.010000005</v>
      </c>
      <c r="CN47" s="52">
        <f>'Evolutitve SCI'!AV23</f>
        <v>70135826.710000008</v>
      </c>
    </row>
    <row r="50" spans="2:32" ht="15.6">
      <c r="B50" s="203" t="s">
        <v>143</v>
      </c>
      <c r="C50" s="258" t="e">
        <f>'Evolutitve SCI'!#REF!</f>
        <v>#REF!</v>
      </c>
      <c r="D50" s="258" t="e">
        <f>'Evolutitve SCI'!#REF!</f>
        <v>#REF!</v>
      </c>
      <c r="E50" s="258" t="e">
        <f>'Evolutitve SCI'!#REF!</f>
        <v>#REF!</v>
      </c>
      <c r="F50" s="258" t="e">
        <f>'Evolutitve SCI'!#REF!</f>
        <v>#REF!</v>
      </c>
      <c r="G50" s="258" t="e">
        <f>'Evolutitve SCI'!#REF!</f>
        <v>#REF!</v>
      </c>
      <c r="H50" s="258" t="e">
        <f>'Evolutitve SCI'!#REF!</f>
        <v>#REF!</v>
      </c>
      <c r="I50" s="258" t="e">
        <f>'Evolutitve SCI'!#REF!</f>
        <v>#REF!</v>
      </c>
      <c r="J50" s="258" t="e">
        <f>'Evolutitve SCI'!#REF!</f>
        <v>#REF!</v>
      </c>
      <c r="K50" s="258" t="e">
        <f>'Evolutitve SCI'!#REF!</f>
        <v>#REF!</v>
      </c>
      <c r="L50" s="258" t="e">
        <f>'Evolutitve SCI'!#REF!</f>
        <v>#REF!</v>
      </c>
      <c r="M50" s="258" t="e">
        <f>'Evolutitve SCI'!#REF!</f>
        <v>#REF!</v>
      </c>
      <c r="N50" s="258" t="e">
        <f>'Evolutitve SCI'!#REF!</f>
        <v>#REF!</v>
      </c>
      <c r="O50" s="258" t="e">
        <f>'Evolutitve SCI'!#REF!</f>
        <v>#REF!</v>
      </c>
      <c r="P50" s="258" t="e">
        <f>'Evolutitve SCI'!#REF!</f>
        <v>#REF!</v>
      </c>
      <c r="Q50" s="258" t="e">
        <f>'Evolutitve SCI'!#REF!</f>
        <v>#REF!</v>
      </c>
      <c r="R50" s="258" t="e">
        <f>'Evolutitve SCI'!#REF!</f>
        <v>#REF!</v>
      </c>
      <c r="S50" s="258" t="e">
        <f>'Evolutitve SCI'!#REF!</f>
        <v>#REF!</v>
      </c>
      <c r="T50" s="258" t="e">
        <f>'Evolutitve SCI'!#REF!</f>
        <v>#REF!</v>
      </c>
      <c r="U50" s="258" t="e">
        <f>'Evolutitve SCI'!#REF!</f>
        <v>#REF!</v>
      </c>
      <c r="V50" s="258" t="e">
        <f>'Evolutitve SCI'!#REF!</f>
        <v>#REF!</v>
      </c>
      <c r="W50" s="258" t="e">
        <f>'Evolutitve SCI'!#REF!</f>
        <v>#REF!</v>
      </c>
      <c r="X50" s="258" t="e">
        <f>'Evolutitve SCI'!#REF!</f>
        <v>#REF!</v>
      </c>
      <c r="Y50" s="258" t="e">
        <f>'Evolutitve SCI'!#REF!</f>
        <v>#REF!</v>
      </c>
      <c r="Z50" s="258" t="e">
        <f>'Evolutitve SCI'!#REF!</f>
        <v>#REF!</v>
      </c>
      <c r="AA50" s="258" t="e">
        <f>'Evolutitve SCI'!#REF!</f>
        <v>#REF!</v>
      </c>
      <c r="AB50" s="258" t="e">
        <f>'Evolutitve SCI'!#REF!</f>
        <v>#REF!</v>
      </c>
      <c r="AC50" s="258" t="e">
        <f>'Evolutitve SCI'!#REF!</f>
        <v>#REF!</v>
      </c>
      <c r="AD50" s="258" t="e">
        <f>'Evolutitve SCI'!#REF!</f>
        <v>#REF!</v>
      </c>
      <c r="AE50" s="258" t="e">
        <f>'Evolutitve SCI'!#REF!</f>
        <v>#REF!</v>
      </c>
      <c r="AF50" s="258" t="e">
        <f>'Evolutitve SCI'!#REF!</f>
        <v>#REF!</v>
      </c>
    </row>
    <row r="51" spans="2:32">
      <c r="B51" s="204" t="s">
        <v>68</v>
      </c>
      <c r="C51" s="258" t="e">
        <f>'Evolutitve SCI'!#REF!</f>
        <v>#REF!</v>
      </c>
      <c r="D51" s="258" t="e">
        <f>'Evolutitve SCI'!#REF!</f>
        <v>#REF!</v>
      </c>
      <c r="E51" s="258" t="e">
        <f>'Evolutitve SCI'!#REF!</f>
        <v>#REF!</v>
      </c>
      <c r="F51" s="258" t="e">
        <f>'Evolutitve SCI'!#REF!</f>
        <v>#REF!</v>
      </c>
      <c r="G51" s="258" t="e">
        <f>'Evolutitve SCI'!#REF!</f>
        <v>#REF!</v>
      </c>
      <c r="H51" s="258" t="e">
        <f>'Evolutitve SCI'!#REF!</f>
        <v>#REF!</v>
      </c>
      <c r="I51" s="258" t="e">
        <f>'Evolutitve SCI'!#REF!</f>
        <v>#REF!</v>
      </c>
      <c r="J51" s="258" t="e">
        <f>'Evolutitve SCI'!#REF!</f>
        <v>#REF!</v>
      </c>
      <c r="K51" s="258" t="e">
        <f>'Evolutitve SCI'!#REF!</f>
        <v>#REF!</v>
      </c>
      <c r="L51" s="258" t="e">
        <f>'Evolutitve SCI'!#REF!</f>
        <v>#REF!</v>
      </c>
      <c r="M51" s="258" t="e">
        <f>'Evolutitve SCI'!#REF!</f>
        <v>#REF!</v>
      </c>
      <c r="N51" s="258" t="e">
        <f>'Evolutitve SCI'!#REF!</f>
        <v>#REF!</v>
      </c>
      <c r="O51" s="258" t="e">
        <f>'Evolutitve SCI'!#REF!</f>
        <v>#REF!</v>
      </c>
      <c r="P51" s="258" t="e">
        <f>'Evolutitve SCI'!#REF!</f>
        <v>#REF!</v>
      </c>
      <c r="Q51" s="258" t="e">
        <f>'Evolutitve SCI'!#REF!</f>
        <v>#REF!</v>
      </c>
      <c r="R51" s="258" t="e">
        <f>'Evolutitve SCI'!#REF!</f>
        <v>#REF!</v>
      </c>
      <c r="S51" s="258" t="e">
        <f>'Evolutitve SCI'!#REF!</f>
        <v>#REF!</v>
      </c>
      <c r="T51" s="258" t="e">
        <f>'Evolutitve SCI'!#REF!</f>
        <v>#REF!</v>
      </c>
      <c r="U51" s="258" t="e">
        <f>'Evolutitve SCI'!#REF!</f>
        <v>#REF!</v>
      </c>
      <c r="V51" s="258" t="e">
        <f>'Evolutitve SCI'!#REF!</f>
        <v>#REF!</v>
      </c>
      <c r="W51" s="258" t="e">
        <f>'Evolutitve SCI'!#REF!</f>
        <v>#REF!</v>
      </c>
      <c r="X51" s="258" t="e">
        <f>'Evolutitve SCI'!#REF!</f>
        <v>#REF!</v>
      </c>
      <c r="Y51" s="258" t="e">
        <f>'Evolutitve SCI'!#REF!</f>
        <v>#REF!</v>
      </c>
      <c r="Z51" s="258" t="e">
        <f>'Evolutitve SCI'!#REF!</f>
        <v>#REF!</v>
      </c>
      <c r="AA51" s="258" t="e">
        <f>'Evolutitve SCI'!#REF!</f>
        <v>#REF!</v>
      </c>
      <c r="AB51" s="258" t="e">
        <f>'Evolutitve SCI'!#REF!</f>
        <v>#REF!</v>
      </c>
      <c r="AC51" s="258" t="e">
        <f>'Evolutitve SCI'!#REF!</f>
        <v>#REF!</v>
      </c>
      <c r="AD51" s="258" t="e">
        <f>'Evolutitve SCI'!#REF!</f>
        <v>#REF!</v>
      </c>
      <c r="AE51" s="258" t="e">
        <f>'Evolutitve SCI'!#REF!</f>
        <v>#REF!</v>
      </c>
      <c r="AF51" s="258" t="e">
        <f>'Evolutitve SCI'!#REF!</f>
        <v>#REF!</v>
      </c>
    </row>
    <row r="52" spans="2:32">
      <c r="B52" s="204" t="s">
        <v>148</v>
      </c>
      <c r="C52" s="258" t="e">
        <f>'Evolutitve SCI'!#REF!</f>
        <v>#REF!</v>
      </c>
      <c r="D52" s="258" t="e">
        <f>'Evolutitve SCI'!#REF!</f>
        <v>#REF!</v>
      </c>
      <c r="E52" s="258" t="e">
        <f>'Evolutitve SCI'!#REF!</f>
        <v>#REF!</v>
      </c>
      <c r="F52" s="258" t="e">
        <f>'Evolutitve SCI'!#REF!</f>
        <v>#REF!</v>
      </c>
      <c r="G52" s="258" t="e">
        <f>'Evolutitve SCI'!#REF!</f>
        <v>#REF!</v>
      </c>
      <c r="H52" s="258" t="e">
        <f>'Evolutitve SCI'!#REF!</f>
        <v>#REF!</v>
      </c>
      <c r="I52" s="258" t="e">
        <f>'Evolutitve SCI'!#REF!</f>
        <v>#REF!</v>
      </c>
      <c r="J52" s="258" t="e">
        <f>'Evolutitve SCI'!#REF!</f>
        <v>#REF!</v>
      </c>
      <c r="K52" s="258" t="e">
        <f>'Evolutitve SCI'!#REF!</f>
        <v>#REF!</v>
      </c>
      <c r="L52" s="258" t="e">
        <f>'Evolutitve SCI'!#REF!</f>
        <v>#REF!</v>
      </c>
      <c r="M52" s="258" t="e">
        <f>'Evolutitve SCI'!#REF!</f>
        <v>#REF!</v>
      </c>
      <c r="N52" s="258" t="e">
        <f>'Evolutitve SCI'!#REF!</f>
        <v>#REF!</v>
      </c>
      <c r="O52" s="258" t="e">
        <f>'Evolutitve SCI'!#REF!</f>
        <v>#REF!</v>
      </c>
      <c r="P52" s="258" t="e">
        <f>'Evolutitve SCI'!#REF!</f>
        <v>#REF!</v>
      </c>
      <c r="Q52" s="258" t="e">
        <f>'Evolutitve SCI'!#REF!</f>
        <v>#REF!</v>
      </c>
      <c r="R52" s="258" t="e">
        <f>'Evolutitve SCI'!#REF!</f>
        <v>#REF!</v>
      </c>
      <c r="S52" s="258" t="e">
        <f>'Evolutitve SCI'!#REF!</f>
        <v>#REF!</v>
      </c>
      <c r="T52" s="258" t="e">
        <f>'Evolutitve SCI'!#REF!</f>
        <v>#REF!</v>
      </c>
      <c r="U52" s="258" t="e">
        <f>'Evolutitve SCI'!#REF!</f>
        <v>#REF!</v>
      </c>
      <c r="V52" s="258" t="e">
        <f>'Evolutitve SCI'!#REF!</f>
        <v>#REF!</v>
      </c>
      <c r="W52" s="258" t="e">
        <f>'Evolutitve SCI'!#REF!</f>
        <v>#REF!</v>
      </c>
      <c r="X52" s="258" t="e">
        <f>'Evolutitve SCI'!#REF!</f>
        <v>#REF!</v>
      </c>
      <c r="Y52" s="258" t="e">
        <f>'Evolutitve SCI'!#REF!</f>
        <v>#REF!</v>
      </c>
      <c r="Z52" s="258" t="e">
        <f>'Evolutitve SCI'!#REF!</f>
        <v>#REF!</v>
      </c>
      <c r="AA52" s="258" t="e">
        <f>'Evolutitve SCI'!#REF!</f>
        <v>#REF!</v>
      </c>
      <c r="AB52" s="258" t="e">
        <f>'Evolutitve SCI'!#REF!</f>
        <v>#REF!</v>
      </c>
      <c r="AC52" s="258" t="e">
        <f>'Evolutitve SCI'!#REF!</f>
        <v>#REF!</v>
      </c>
      <c r="AD52" s="258" t="e">
        <f>'Evolutitve SCI'!#REF!</f>
        <v>#REF!</v>
      </c>
      <c r="AE52" s="258" t="e">
        <f>'Evolutitve SCI'!#REF!</f>
        <v>#REF!</v>
      </c>
      <c r="AF52" s="258" t="e">
        <f>'Evolutitve SCI'!#REF!</f>
        <v>#REF!</v>
      </c>
    </row>
    <row r="53" spans="2:32">
      <c r="B53" s="204" t="s">
        <v>271</v>
      </c>
      <c r="C53" s="258" t="e">
        <f>'Evolutitve SCI'!#REF!+'Evolutitve SCI'!#REF!+'Evolutitve SCI'!#REF!</f>
        <v>#REF!</v>
      </c>
      <c r="D53" s="258" t="e">
        <f>'Evolutitve SCI'!#REF!+'Evolutitve SCI'!#REF!+'Evolutitve SCI'!#REF!</f>
        <v>#REF!</v>
      </c>
      <c r="E53" s="258" t="e">
        <f>'Evolutitve SCI'!#REF!+'Evolutitve SCI'!#REF!+'Evolutitve SCI'!#REF!</f>
        <v>#REF!</v>
      </c>
      <c r="F53" s="258" t="e">
        <f>'Evolutitve SCI'!#REF!+'Evolutitve SCI'!#REF!+'Evolutitve SCI'!#REF!</f>
        <v>#REF!</v>
      </c>
      <c r="G53" s="258" t="e">
        <f>'Evolutitve SCI'!#REF!+'Evolutitve SCI'!#REF!+'Evolutitve SCI'!#REF!</f>
        <v>#REF!</v>
      </c>
      <c r="H53" s="258" t="e">
        <f>'Evolutitve SCI'!#REF!+'Evolutitve SCI'!#REF!+'Evolutitve SCI'!#REF!</f>
        <v>#REF!</v>
      </c>
      <c r="I53" s="258" t="e">
        <f>'Evolutitve SCI'!#REF!+'Evolutitve SCI'!#REF!+'Evolutitve SCI'!#REF!</f>
        <v>#REF!</v>
      </c>
      <c r="J53" s="258" t="e">
        <f>'Evolutitve SCI'!#REF!+'Evolutitve SCI'!#REF!+'Evolutitve SCI'!#REF!</f>
        <v>#REF!</v>
      </c>
      <c r="K53" s="258" t="e">
        <f>'Evolutitve SCI'!#REF!+'Evolutitve SCI'!#REF!+'Evolutitve SCI'!#REF!</f>
        <v>#REF!</v>
      </c>
      <c r="L53" s="258" t="e">
        <f>'Evolutitve SCI'!#REF!+'Evolutitve SCI'!#REF!+'Evolutitve SCI'!#REF!</f>
        <v>#REF!</v>
      </c>
      <c r="M53" s="258" t="e">
        <f>'Evolutitve SCI'!#REF!+'Evolutitve SCI'!#REF!+'Evolutitve SCI'!#REF!</f>
        <v>#REF!</v>
      </c>
      <c r="N53" s="258" t="e">
        <f>'Evolutitve SCI'!#REF!+'Evolutitve SCI'!#REF!+'Evolutitve SCI'!#REF!</f>
        <v>#REF!</v>
      </c>
      <c r="O53" s="258" t="e">
        <f>'Evolutitve SCI'!#REF!+'Evolutitve SCI'!#REF!+'Evolutitve SCI'!#REF!</f>
        <v>#REF!</v>
      </c>
      <c r="P53" s="258" t="e">
        <f>'Evolutitve SCI'!#REF!+'Evolutitve SCI'!#REF!+'Evolutitve SCI'!#REF!</f>
        <v>#REF!</v>
      </c>
      <c r="Q53" s="258" t="e">
        <f>'Evolutitve SCI'!#REF!+'Evolutitve SCI'!#REF!+'Evolutitve SCI'!#REF!</f>
        <v>#REF!</v>
      </c>
      <c r="R53" s="258" t="e">
        <f>'Evolutitve SCI'!#REF!+'Evolutitve SCI'!#REF!+'Evolutitve SCI'!#REF!</f>
        <v>#REF!</v>
      </c>
      <c r="S53" s="258" t="e">
        <f>'Evolutitve SCI'!#REF!+'Evolutitve SCI'!#REF!+'Evolutitve SCI'!#REF!</f>
        <v>#REF!</v>
      </c>
      <c r="T53" s="258" t="e">
        <f>'Evolutitve SCI'!#REF!+'Evolutitve SCI'!#REF!+'Evolutitve SCI'!#REF!</f>
        <v>#REF!</v>
      </c>
      <c r="U53" s="258" t="e">
        <f>'Evolutitve SCI'!#REF!+'Evolutitve SCI'!#REF!+'Evolutitve SCI'!#REF!</f>
        <v>#REF!</v>
      </c>
      <c r="V53" s="258" t="e">
        <f>'Evolutitve SCI'!#REF!+'Evolutitve SCI'!#REF!+'Evolutitve SCI'!#REF!</f>
        <v>#REF!</v>
      </c>
      <c r="W53" s="258" t="e">
        <f>'Evolutitve SCI'!#REF!+'Evolutitve SCI'!#REF!+'Evolutitve SCI'!#REF!</f>
        <v>#REF!</v>
      </c>
      <c r="X53" s="258" t="e">
        <f>'Evolutitve SCI'!#REF!+'Evolutitve SCI'!#REF!+'Evolutitve SCI'!#REF!</f>
        <v>#REF!</v>
      </c>
      <c r="Y53" s="258" t="e">
        <f>'Evolutitve SCI'!#REF!+'Evolutitve SCI'!#REF!+'Evolutitve SCI'!#REF!</f>
        <v>#REF!</v>
      </c>
      <c r="Z53" s="258" t="e">
        <f>'Evolutitve SCI'!#REF!+'Evolutitve SCI'!#REF!+'Evolutitve SCI'!#REF!</f>
        <v>#REF!</v>
      </c>
      <c r="AA53" s="258" t="e">
        <f>'Evolutitve SCI'!#REF!+'Evolutitve SCI'!#REF!+'Evolutitve SCI'!#REF!</f>
        <v>#REF!</v>
      </c>
      <c r="AB53" s="258" t="e">
        <f>'Evolutitve SCI'!#REF!+'Evolutitve SCI'!#REF!+'Evolutitve SCI'!#REF!</f>
        <v>#REF!</v>
      </c>
      <c r="AC53" s="258" t="e">
        <f>'Evolutitve SCI'!#REF!+'Evolutitve SCI'!#REF!+'Evolutitve SCI'!#REF!</f>
        <v>#REF!</v>
      </c>
      <c r="AD53" s="258" t="e">
        <f>'Evolutitve SCI'!#REF!+'Evolutitve SCI'!#REF!+'Evolutitve SCI'!#REF!</f>
        <v>#REF!</v>
      </c>
      <c r="AE53" s="258" t="e">
        <f>'Evolutitve SCI'!#REF!+'Evolutitve SCI'!#REF!+'Evolutitve SCI'!#REF!</f>
        <v>#REF!</v>
      </c>
      <c r="AF53" s="258" t="e">
        <f>'Evolutitve SCI'!#REF!+'Evolutitve SCI'!#REF!+'Evolutitve SCI'!#REF!</f>
        <v>#REF!</v>
      </c>
    </row>
    <row r="54" spans="2:32">
      <c r="B54" s="204" t="s">
        <v>87</v>
      </c>
      <c r="C54" s="258" t="e">
        <f>'Evolutitve SCI'!#REF!+'Evolutitve SCI'!#REF!+'Evolutitve SCI'!#REF!+'Evolutitve SCI'!#REF!+'Evolutitve SCI'!#REF!+'Evolutitve SCI'!#REF!</f>
        <v>#REF!</v>
      </c>
      <c r="D54" s="258" t="e">
        <f>'Evolutitve SCI'!#REF!+'Evolutitve SCI'!#REF!+'Evolutitve SCI'!#REF!+'Evolutitve SCI'!#REF!+'Evolutitve SCI'!#REF!+'Evolutitve SCI'!#REF!</f>
        <v>#REF!</v>
      </c>
      <c r="E54" s="258" t="e">
        <f>'Evolutitve SCI'!#REF!+'Evolutitve SCI'!#REF!+'Evolutitve SCI'!#REF!+'Evolutitve SCI'!#REF!+'Evolutitve SCI'!#REF!+'Evolutitve SCI'!#REF!</f>
        <v>#REF!</v>
      </c>
      <c r="F54" s="258" t="e">
        <f>'Evolutitve SCI'!#REF!+'Evolutitve SCI'!#REF!+'Evolutitve SCI'!#REF!+'Evolutitve SCI'!#REF!+'Evolutitve SCI'!#REF!+'Evolutitve SCI'!#REF!</f>
        <v>#REF!</v>
      </c>
      <c r="G54" s="258" t="e">
        <f>'Evolutitve SCI'!#REF!+'Evolutitve SCI'!#REF!+'Evolutitve SCI'!#REF!+'Evolutitve SCI'!#REF!+'Evolutitve SCI'!#REF!+'Evolutitve SCI'!#REF!</f>
        <v>#REF!</v>
      </c>
      <c r="H54" s="258" t="e">
        <f>'Evolutitve SCI'!#REF!+'Evolutitve SCI'!#REF!+'Evolutitve SCI'!#REF!+'Evolutitve SCI'!#REF!+'Evolutitve SCI'!#REF!+'Evolutitve SCI'!#REF!</f>
        <v>#REF!</v>
      </c>
      <c r="I54" s="258" t="e">
        <f>'Evolutitve SCI'!#REF!+'Evolutitve SCI'!#REF!+'Evolutitve SCI'!#REF!+'Evolutitve SCI'!#REF!+'Evolutitve SCI'!#REF!+'Evolutitve SCI'!#REF!</f>
        <v>#REF!</v>
      </c>
      <c r="J54" s="258" t="e">
        <f>'Evolutitve SCI'!#REF!+'Evolutitve SCI'!#REF!+'Evolutitve SCI'!#REF!+'Evolutitve SCI'!#REF!+'Evolutitve SCI'!#REF!+'Evolutitve SCI'!#REF!</f>
        <v>#REF!</v>
      </c>
      <c r="K54" s="258" t="e">
        <f>'Evolutitve SCI'!#REF!+'Evolutitve SCI'!#REF!+'Evolutitve SCI'!#REF!+'Evolutitve SCI'!#REF!+'Evolutitve SCI'!#REF!+'Evolutitve SCI'!#REF!</f>
        <v>#REF!</v>
      </c>
      <c r="L54" s="258" t="e">
        <f>'Evolutitve SCI'!#REF!+'Evolutitve SCI'!#REF!+'Evolutitve SCI'!#REF!+'Evolutitve SCI'!#REF!+'Evolutitve SCI'!#REF!+'Evolutitve SCI'!#REF!</f>
        <v>#REF!</v>
      </c>
      <c r="M54" s="258" t="e">
        <f>'Evolutitve SCI'!#REF!+'Evolutitve SCI'!#REF!+'Evolutitve SCI'!#REF!+'Evolutitve SCI'!#REF!+'Evolutitve SCI'!#REF!+'Evolutitve SCI'!#REF!</f>
        <v>#REF!</v>
      </c>
      <c r="N54" s="258" t="e">
        <f>'Evolutitve SCI'!#REF!+'Evolutitve SCI'!#REF!+'Evolutitve SCI'!#REF!+'Evolutitve SCI'!#REF!+'Evolutitve SCI'!#REF!+'Evolutitve SCI'!#REF!</f>
        <v>#REF!</v>
      </c>
      <c r="O54" s="258" t="e">
        <f>'Evolutitve SCI'!#REF!+'Evolutitve SCI'!#REF!+'Evolutitve SCI'!#REF!+'Evolutitve SCI'!#REF!+'Evolutitve SCI'!#REF!+'Evolutitve SCI'!#REF!</f>
        <v>#REF!</v>
      </c>
      <c r="P54" s="258" t="e">
        <f>'Evolutitve SCI'!#REF!+'Evolutitve SCI'!#REF!+'Evolutitve SCI'!#REF!+'Evolutitve SCI'!#REF!+'Evolutitve SCI'!#REF!+'Evolutitve SCI'!#REF!</f>
        <v>#REF!</v>
      </c>
      <c r="Q54" s="258" t="e">
        <f>'Evolutitve SCI'!#REF!+'Evolutitve SCI'!#REF!+'Evolutitve SCI'!#REF!+'Evolutitve SCI'!#REF!+'Evolutitve SCI'!#REF!+'Evolutitve SCI'!#REF!</f>
        <v>#REF!</v>
      </c>
      <c r="R54" s="258" t="e">
        <f>'Evolutitve SCI'!#REF!+'Evolutitve SCI'!#REF!+'Evolutitve SCI'!#REF!+'Evolutitve SCI'!#REF!+'Evolutitve SCI'!#REF!+'Evolutitve SCI'!#REF!</f>
        <v>#REF!</v>
      </c>
      <c r="S54" s="258" t="e">
        <f>'Evolutitve SCI'!#REF!+'Evolutitve SCI'!#REF!+'Evolutitve SCI'!#REF!+'Evolutitve SCI'!#REF!+'Evolutitve SCI'!#REF!+'Evolutitve SCI'!#REF!</f>
        <v>#REF!</v>
      </c>
      <c r="T54" s="258" t="e">
        <f>'Evolutitve SCI'!#REF!+'Evolutitve SCI'!#REF!+'Evolutitve SCI'!#REF!+'Evolutitve SCI'!#REF!+'Evolutitve SCI'!#REF!+'Evolutitve SCI'!#REF!</f>
        <v>#REF!</v>
      </c>
      <c r="U54" s="258" t="e">
        <f>'Evolutitve SCI'!#REF!+'Evolutitve SCI'!#REF!+'Evolutitve SCI'!#REF!+'Evolutitve SCI'!#REF!+'Evolutitve SCI'!#REF!+'Evolutitve SCI'!#REF!</f>
        <v>#REF!</v>
      </c>
      <c r="V54" s="258" t="e">
        <f>'Evolutitve SCI'!#REF!+'Evolutitve SCI'!#REF!+'Evolutitve SCI'!#REF!+'Evolutitve SCI'!#REF!+'Evolutitve SCI'!#REF!+'Evolutitve SCI'!#REF!</f>
        <v>#REF!</v>
      </c>
      <c r="W54" s="258" t="e">
        <f>'Evolutitve SCI'!#REF!+'Evolutitve SCI'!#REF!+'Evolutitve SCI'!#REF!+'Evolutitve SCI'!#REF!+'Evolutitve SCI'!#REF!+'Evolutitve SCI'!#REF!</f>
        <v>#REF!</v>
      </c>
      <c r="X54" s="258" t="e">
        <f>'Evolutitve SCI'!#REF!+'Evolutitve SCI'!#REF!+'Evolutitve SCI'!#REF!+'Evolutitve SCI'!#REF!+'Evolutitve SCI'!#REF!+'Evolutitve SCI'!#REF!</f>
        <v>#REF!</v>
      </c>
      <c r="Y54" s="258" t="e">
        <f>'Evolutitve SCI'!#REF!+'Evolutitve SCI'!#REF!+'Evolutitve SCI'!#REF!+'Evolutitve SCI'!#REF!+'Evolutitve SCI'!#REF!+'Evolutitve SCI'!#REF!</f>
        <v>#REF!</v>
      </c>
      <c r="Z54" s="258" t="e">
        <f>'Evolutitve SCI'!#REF!+'Evolutitve SCI'!#REF!+'Evolutitve SCI'!#REF!+'Evolutitve SCI'!#REF!+'Evolutitve SCI'!#REF!+'Evolutitve SCI'!#REF!</f>
        <v>#REF!</v>
      </c>
      <c r="AA54" s="258" t="e">
        <f>'Evolutitve SCI'!#REF!+'Evolutitve SCI'!#REF!+'Evolutitve SCI'!#REF!+'Evolutitve SCI'!#REF!+'Evolutitve SCI'!#REF!+'Evolutitve SCI'!#REF!</f>
        <v>#REF!</v>
      </c>
      <c r="AB54" s="258" t="e">
        <f>'Evolutitve SCI'!#REF!+'Evolutitve SCI'!#REF!+'Evolutitve SCI'!#REF!+'Evolutitve SCI'!#REF!+'Evolutitve SCI'!#REF!+'Evolutitve SCI'!#REF!</f>
        <v>#REF!</v>
      </c>
      <c r="AC54" s="258" t="e">
        <f>'Evolutitve SCI'!#REF!+'Evolutitve SCI'!#REF!+'Evolutitve SCI'!#REF!+'Evolutitve SCI'!#REF!+'Evolutitve SCI'!#REF!+'Evolutitve SCI'!#REF!</f>
        <v>#REF!</v>
      </c>
      <c r="AD54" s="258" t="e">
        <f>'Evolutitve SCI'!#REF!+'Evolutitve SCI'!#REF!+'Evolutitve SCI'!#REF!+'Evolutitve SCI'!#REF!+'Evolutitve SCI'!#REF!+'Evolutitve SCI'!#REF!</f>
        <v>#REF!</v>
      </c>
      <c r="AE54" s="258" t="e">
        <f>'Evolutitve SCI'!#REF!+'Evolutitve SCI'!#REF!+'Evolutitve SCI'!#REF!+'Evolutitve SCI'!#REF!+'Evolutitve SCI'!#REF!+'Evolutitve SCI'!#REF!</f>
        <v>#REF!</v>
      </c>
      <c r="AF54" s="258" t="e">
        <f>'Evolutitve SCI'!#REF!+'Evolutitve SCI'!#REF!+'Evolutitve SCI'!#REF!+'Evolutitve SCI'!#REF!+'Evolutitve SCI'!#REF!+'Evolutitve SCI'!#REF!</f>
        <v>#REF!</v>
      </c>
    </row>
    <row r="55" spans="2:32">
      <c r="B55" s="204" t="s">
        <v>139</v>
      </c>
      <c r="C55" s="258" t="e">
        <f>'Evolutive SFP'!#REF!+'Evolutive SFP'!#REF!+'Evolutive SFP'!#REF!+'Evolutive SFP'!#REF!</f>
        <v>#REF!</v>
      </c>
      <c r="D55" s="258" t="e">
        <f>'Evolutive SFP'!#REF!+'Evolutive SFP'!#REF!+'Evolutive SFP'!#REF!+'Evolutive SFP'!#REF!</f>
        <v>#REF!</v>
      </c>
      <c r="E55" s="258" t="e">
        <f>'Evolutive SFP'!#REF!+'Evolutive SFP'!#REF!+'Evolutive SFP'!#REF!+'Evolutive SFP'!#REF!</f>
        <v>#REF!</v>
      </c>
      <c r="F55" s="258" t="e">
        <f>'Evolutive SFP'!#REF!+'Evolutive SFP'!#REF!+'Evolutive SFP'!#REF!+'Evolutive SFP'!#REF!</f>
        <v>#REF!</v>
      </c>
      <c r="G55" s="258" t="e">
        <f>'Evolutive SFP'!#REF!+'Evolutive SFP'!#REF!+'Evolutive SFP'!#REF!+'Evolutive SFP'!#REF!</f>
        <v>#REF!</v>
      </c>
      <c r="H55" s="258" t="e">
        <f>'Evolutive SFP'!#REF!+'Evolutive SFP'!#REF!+'Evolutive SFP'!#REF!+'Evolutive SFP'!#REF!</f>
        <v>#REF!</v>
      </c>
      <c r="I55" s="258" t="e">
        <f>'Evolutive SFP'!#REF!+'Evolutive SFP'!#REF!+'Evolutive SFP'!#REF!+'Evolutive SFP'!#REF!</f>
        <v>#REF!</v>
      </c>
      <c r="J55" s="258" t="e">
        <f>'Evolutive SFP'!#REF!+'Evolutive SFP'!#REF!+'Evolutive SFP'!#REF!+'Evolutive SFP'!#REF!</f>
        <v>#REF!</v>
      </c>
      <c r="K55" s="258" t="e">
        <f>'Evolutive SFP'!#REF!+'Evolutive SFP'!#REF!+'Evolutive SFP'!#REF!+'Evolutive SFP'!#REF!</f>
        <v>#REF!</v>
      </c>
      <c r="L55" s="258" t="e">
        <f>'Evolutive SFP'!#REF!+'Evolutive SFP'!#REF!+'Evolutive SFP'!#REF!+'Evolutive SFP'!#REF!</f>
        <v>#REF!</v>
      </c>
      <c r="M55" s="258" t="e">
        <f>'Evolutive SFP'!#REF!+'Evolutive SFP'!#REF!+'Evolutive SFP'!#REF!+'Evolutive SFP'!#REF!</f>
        <v>#REF!</v>
      </c>
      <c r="N55" s="258" t="e">
        <f>'Evolutive SFP'!#REF!+'Evolutive SFP'!#REF!+'Evolutive SFP'!#REF!+'Evolutive SFP'!#REF!</f>
        <v>#REF!</v>
      </c>
      <c r="O55" s="258" t="e">
        <f>'Evolutive SFP'!#REF!+'Evolutive SFP'!#REF!+'Evolutive SFP'!#REF!+'Evolutive SFP'!#REF!</f>
        <v>#REF!</v>
      </c>
      <c r="P55" s="258" t="e">
        <f>'Evolutive SFP'!#REF!+'Evolutive SFP'!#REF!+'Evolutive SFP'!#REF!+'Evolutive SFP'!#REF!</f>
        <v>#REF!</v>
      </c>
      <c r="Q55" s="258" t="e">
        <f>'Evolutive SFP'!#REF!+'Evolutive SFP'!#REF!+'Evolutive SFP'!#REF!+'Evolutive SFP'!#REF!</f>
        <v>#REF!</v>
      </c>
      <c r="R55" s="258" t="e">
        <f>'Evolutive SFP'!#REF!+'Evolutive SFP'!#REF!+'Evolutive SFP'!#REF!+'Evolutive SFP'!#REF!</f>
        <v>#REF!</v>
      </c>
      <c r="S55" s="258" t="e">
        <f>'Evolutive SFP'!#REF!+'Evolutive SFP'!#REF!+'Evolutive SFP'!#REF!+'Evolutive SFP'!#REF!</f>
        <v>#REF!</v>
      </c>
      <c r="T55" s="258" t="e">
        <f>'Evolutive SFP'!#REF!+'Evolutive SFP'!#REF!+'Evolutive SFP'!#REF!+'Evolutive SFP'!#REF!</f>
        <v>#REF!</v>
      </c>
      <c r="U55" s="258" t="e">
        <f>'Evolutive SFP'!#REF!+'Evolutive SFP'!#REF!+'Evolutive SFP'!#REF!+'Evolutive SFP'!#REF!</f>
        <v>#REF!</v>
      </c>
      <c r="V55" s="258" t="e">
        <f>'Evolutive SFP'!#REF!+'Evolutive SFP'!#REF!+'Evolutive SFP'!#REF!+'Evolutive SFP'!#REF!</f>
        <v>#REF!</v>
      </c>
      <c r="W55" s="258" t="e">
        <f>'Evolutive SFP'!#REF!+'Evolutive SFP'!#REF!+'Evolutive SFP'!#REF!+'Evolutive SFP'!#REF!</f>
        <v>#REF!</v>
      </c>
      <c r="X55" s="258" t="e">
        <f>'Evolutive SFP'!#REF!+'Evolutive SFP'!#REF!+'Evolutive SFP'!#REF!+'Evolutive SFP'!#REF!</f>
        <v>#REF!</v>
      </c>
      <c r="Y55" s="258" t="e">
        <f>'Evolutive SFP'!#REF!+'Evolutive SFP'!#REF!+'Evolutive SFP'!#REF!+'Evolutive SFP'!#REF!</f>
        <v>#REF!</v>
      </c>
      <c r="Z55" s="258" t="e">
        <f>'Evolutive SFP'!#REF!+'Evolutive SFP'!#REF!+'Evolutive SFP'!#REF!+'Evolutive SFP'!#REF!</f>
        <v>#REF!</v>
      </c>
      <c r="AA55" s="258" t="e">
        <f>'Evolutive SFP'!#REF!+'Evolutive SFP'!#REF!+'Evolutive SFP'!#REF!+'Evolutive SFP'!#REF!</f>
        <v>#REF!</v>
      </c>
      <c r="AB55" s="258" t="e">
        <f>'Evolutive SFP'!#REF!+'Evolutive SFP'!#REF!+'Evolutive SFP'!#REF!+'Evolutive SFP'!#REF!</f>
        <v>#REF!</v>
      </c>
      <c r="AC55" s="258" t="e">
        <f>'Evolutive SFP'!#REF!+'Evolutive SFP'!#REF!+'Evolutive SFP'!#REF!+'Evolutive SFP'!#REF!</f>
        <v>#REF!</v>
      </c>
      <c r="AD55" s="258" t="e">
        <f>'Evolutive SFP'!#REF!+'Evolutive SFP'!#REF!+'Evolutive SFP'!#REF!+'Evolutive SFP'!#REF!</f>
        <v>#REF!</v>
      </c>
      <c r="AE55" s="258" t="e">
        <f>'Evolutive SFP'!#REF!+'Evolutive SFP'!#REF!+'Evolutive SFP'!#REF!+'Evolutive SFP'!#REF!</f>
        <v>#REF!</v>
      </c>
      <c r="AF55" s="258" t="e">
        <f>'Evolutive SFP'!#REF!+'Evolutive SFP'!#REF!+'Evolutive SFP'!#REF!+'Evolutive SFP'!#REF!</f>
        <v>#REF!</v>
      </c>
    </row>
    <row r="56" spans="2:32">
      <c r="B56" s="204" t="s">
        <v>272</v>
      </c>
      <c r="C56" s="258" t="e">
        <f>'Evolutive SFP'!#REF!+'Evolutive SFP'!#REF!+'Evolutive SFP'!#REF!+'Evolutive SFP'!#REF!+'Evolutive SFP'!#REF!+'Evolutive SFP'!#REF!+'Evolutive SFP'!#REF!</f>
        <v>#REF!</v>
      </c>
      <c r="D56" s="258" t="e">
        <f>'Evolutive SFP'!#REF!+'Evolutive SFP'!#REF!+'Evolutive SFP'!#REF!+'Evolutive SFP'!#REF!+'Evolutive SFP'!#REF!+'Evolutive SFP'!#REF!+'Evolutive SFP'!#REF!</f>
        <v>#REF!</v>
      </c>
      <c r="E56" s="258" t="e">
        <f>'Evolutive SFP'!#REF!+'Evolutive SFP'!#REF!+'Evolutive SFP'!#REF!+'Evolutive SFP'!#REF!+'Evolutive SFP'!#REF!+'Evolutive SFP'!#REF!+'Evolutive SFP'!#REF!</f>
        <v>#REF!</v>
      </c>
      <c r="F56" s="258" t="e">
        <f>'Evolutive SFP'!#REF!+'Evolutive SFP'!#REF!+'Evolutive SFP'!#REF!+'Evolutive SFP'!#REF!+'Evolutive SFP'!#REF!+'Evolutive SFP'!#REF!+'Evolutive SFP'!#REF!</f>
        <v>#REF!</v>
      </c>
      <c r="G56" s="258" t="e">
        <f>'Evolutive SFP'!#REF!+'Evolutive SFP'!#REF!+'Evolutive SFP'!#REF!+'Evolutive SFP'!#REF!+'Evolutive SFP'!#REF!+'Evolutive SFP'!#REF!+'Evolutive SFP'!#REF!</f>
        <v>#REF!</v>
      </c>
      <c r="H56" s="258" t="e">
        <f>'Evolutive SFP'!#REF!+'Evolutive SFP'!#REF!+'Evolutive SFP'!#REF!+'Evolutive SFP'!#REF!+'Evolutive SFP'!#REF!+'Evolutive SFP'!#REF!+'Evolutive SFP'!#REF!</f>
        <v>#REF!</v>
      </c>
      <c r="I56" s="258" t="e">
        <f>'Evolutive SFP'!#REF!+'Evolutive SFP'!#REF!+'Evolutive SFP'!#REF!+'Evolutive SFP'!#REF!+'Evolutive SFP'!#REF!+'Evolutive SFP'!#REF!+'Evolutive SFP'!#REF!</f>
        <v>#REF!</v>
      </c>
      <c r="J56" s="258" t="e">
        <f>'Evolutive SFP'!#REF!+'Evolutive SFP'!#REF!+'Evolutive SFP'!#REF!+'Evolutive SFP'!#REF!+'Evolutive SFP'!#REF!+'Evolutive SFP'!#REF!+'Evolutive SFP'!#REF!</f>
        <v>#REF!</v>
      </c>
      <c r="K56" s="258" t="e">
        <f>'Evolutive SFP'!#REF!+'Evolutive SFP'!#REF!+'Evolutive SFP'!#REF!+'Evolutive SFP'!#REF!+'Evolutive SFP'!#REF!+'Evolutive SFP'!#REF!+'Evolutive SFP'!#REF!</f>
        <v>#REF!</v>
      </c>
      <c r="L56" s="258" t="e">
        <f>'Evolutive SFP'!#REF!+'Evolutive SFP'!#REF!+'Evolutive SFP'!#REF!+'Evolutive SFP'!#REF!+'Evolutive SFP'!#REF!+'Evolutive SFP'!#REF!+'Evolutive SFP'!#REF!</f>
        <v>#REF!</v>
      </c>
      <c r="M56" s="258" t="e">
        <f>'Evolutive SFP'!#REF!+'Evolutive SFP'!#REF!+'Evolutive SFP'!#REF!+'Evolutive SFP'!#REF!+'Evolutive SFP'!#REF!+'Evolutive SFP'!#REF!+'Evolutive SFP'!#REF!</f>
        <v>#REF!</v>
      </c>
      <c r="N56" s="258" t="e">
        <f>'Evolutive SFP'!#REF!+'Evolutive SFP'!#REF!+'Evolutive SFP'!#REF!+'Evolutive SFP'!#REF!+'Evolutive SFP'!#REF!+'Evolutive SFP'!#REF!+'Evolutive SFP'!#REF!</f>
        <v>#REF!</v>
      </c>
      <c r="O56" s="258" t="e">
        <f>'Evolutive SFP'!#REF!+'Evolutive SFP'!#REF!+'Evolutive SFP'!#REF!+'Evolutive SFP'!#REF!+'Evolutive SFP'!#REF!+'Evolutive SFP'!#REF!+'Evolutive SFP'!#REF!</f>
        <v>#REF!</v>
      </c>
      <c r="P56" s="258" t="e">
        <f>'Evolutive SFP'!#REF!+'Evolutive SFP'!#REF!+'Evolutive SFP'!#REF!+'Evolutive SFP'!#REF!+'Evolutive SFP'!#REF!+'Evolutive SFP'!#REF!+'Evolutive SFP'!#REF!</f>
        <v>#REF!</v>
      </c>
      <c r="Q56" s="258" t="e">
        <f>'Evolutive SFP'!#REF!+'Evolutive SFP'!#REF!+'Evolutive SFP'!#REF!+'Evolutive SFP'!#REF!+'Evolutive SFP'!#REF!+'Evolutive SFP'!#REF!+'Evolutive SFP'!#REF!</f>
        <v>#REF!</v>
      </c>
      <c r="R56" s="258" t="e">
        <f>'Evolutive SFP'!#REF!+'Evolutive SFP'!#REF!+'Evolutive SFP'!#REF!+'Evolutive SFP'!#REF!+'Evolutive SFP'!#REF!+'Evolutive SFP'!#REF!+'Evolutive SFP'!#REF!</f>
        <v>#REF!</v>
      </c>
      <c r="S56" s="258" t="e">
        <f>'Evolutive SFP'!#REF!+'Evolutive SFP'!#REF!+'Evolutive SFP'!#REF!+'Evolutive SFP'!#REF!+'Evolutive SFP'!#REF!+'Evolutive SFP'!#REF!+'Evolutive SFP'!#REF!</f>
        <v>#REF!</v>
      </c>
      <c r="T56" s="258" t="e">
        <f>'Evolutive SFP'!#REF!+'Evolutive SFP'!#REF!+'Evolutive SFP'!#REF!+'Evolutive SFP'!#REF!+'Evolutive SFP'!#REF!+'Evolutive SFP'!#REF!+'Evolutive SFP'!#REF!</f>
        <v>#REF!</v>
      </c>
      <c r="U56" s="258" t="e">
        <f>'Evolutive SFP'!#REF!+'Evolutive SFP'!#REF!+'Evolutive SFP'!#REF!+'Evolutive SFP'!#REF!+'Evolutive SFP'!#REF!+'Evolutive SFP'!#REF!+'Evolutive SFP'!#REF!</f>
        <v>#REF!</v>
      </c>
      <c r="V56" s="258" t="e">
        <f>'Evolutive SFP'!#REF!+'Evolutive SFP'!#REF!+'Evolutive SFP'!#REF!+'Evolutive SFP'!#REF!+'Evolutive SFP'!#REF!+'Evolutive SFP'!#REF!+'Evolutive SFP'!#REF!</f>
        <v>#REF!</v>
      </c>
      <c r="W56" s="258" t="e">
        <f>'Evolutive SFP'!#REF!+'Evolutive SFP'!#REF!+'Evolutive SFP'!#REF!+'Evolutive SFP'!#REF!+'Evolutive SFP'!#REF!+'Evolutive SFP'!#REF!+'Evolutive SFP'!#REF!</f>
        <v>#REF!</v>
      </c>
      <c r="X56" s="258" t="e">
        <f>'Evolutive SFP'!#REF!+'Evolutive SFP'!#REF!+'Evolutive SFP'!#REF!+'Evolutive SFP'!#REF!+'Evolutive SFP'!#REF!+'Evolutive SFP'!#REF!+'Evolutive SFP'!#REF!</f>
        <v>#REF!</v>
      </c>
      <c r="Y56" s="258" t="e">
        <f>'Evolutive SFP'!#REF!+'Evolutive SFP'!#REF!+'Evolutive SFP'!#REF!+'Evolutive SFP'!#REF!+'Evolutive SFP'!#REF!+'Evolutive SFP'!#REF!+'Evolutive SFP'!#REF!</f>
        <v>#REF!</v>
      </c>
      <c r="Z56" s="258" t="e">
        <f>'Evolutive SFP'!#REF!+'Evolutive SFP'!#REF!+'Evolutive SFP'!#REF!+'Evolutive SFP'!#REF!+'Evolutive SFP'!#REF!+'Evolutive SFP'!#REF!+'Evolutive SFP'!#REF!</f>
        <v>#REF!</v>
      </c>
      <c r="AA56" s="258" t="e">
        <f>'Evolutive SFP'!#REF!+'Evolutive SFP'!#REF!+'Evolutive SFP'!#REF!+'Evolutive SFP'!#REF!+'Evolutive SFP'!#REF!+'Evolutive SFP'!#REF!+'Evolutive SFP'!#REF!</f>
        <v>#REF!</v>
      </c>
      <c r="AB56" s="258" t="e">
        <f>'Evolutive SFP'!#REF!+'Evolutive SFP'!#REF!+'Evolutive SFP'!#REF!+'Evolutive SFP'!#REF!+'Evolutive SFP'!#REF!+'Evolutive SFP'!#REF!+'Evolutive SFP'!#REF!</f>
        <v>#REF!</v>
      </c>
      <c r="AC56" s="258" t="e">
        <f>'Evolutive SFP'!#REF!+'Evolutive SFP'!#REF!+'Evolutive SFP'!#REF!+'Evolutive SFP'!#REF!+'Evolutive SFP'!#REF!+'Evolutive SFP'!#REF!+'Evolutive SFP'!#REF!</f>
        <v>#REF!</v>
      </c>
      <c r="AD56" s="258" t="e">
        <f>'Evolutive SFP'!#REF!+'Evolutive SFP'!#REF!+'Evolutive SFP'!#REF!+'Evolutive SFP'!#REF!+'Evolutive SFP'!#REF!+'Evolutive SFP'!#REF!+'Evolutive SFP'!#REF!</f>
        <v>#REF!</v>
      </c>
      <c r="AE56" s="258" t="e">
        <f>'Evolutive SFP'!#REF!+'Evolutive SFP'!#REF!+'Evolutive SFP'!#REF!+'Evolutive SFP'!#REF!+'Evolutive SFP'!#REF!+'Evolutive SFP'!#REF!+'Evolutive SFP'!#REF!</f>
        <v>#REF!</v>
      </c>
      <c r="AF56" s="258" t="e">
        <f>'Evolutive SFP'!#REF!+'Evolutive SFP'!#REF!+'Evolutive SFP'!#REF!+'Evolutive SFP'!#REF!+'Evolutive SFP'!#REF!+'Evolutive SFP'!#REF!+'Evolutive SFP'!#REF!</f>
        <v>#REF!</v>
      </c>
    </row>
    <row r="57" spans="2:32">
      <c r="B57" s="204" t="s">
        <v>146</v>
      </c>
      <c r="C57" s="258" t="e">
        <f>'Evolutitve SCI'!#REF!</f>
        <v>#REF!</v>
      </c>
      <c r="D57" s="258" t="e">
        <f>'Evolutitve SCI'!#REF!</f>
        <v>#REF!</v>
      </c>
      <c r="E57" s="258" t="e">
        <f>'Evolutitve SCI'!#REF!</f>
        <v>#REF!</v>
      </c>
      <c r="F57" s="258" t="e">
        <f>'Evolutitve SCI'!#REF!</f>
        <v>#REF!</v>
      </c>
      <c r="G57" s="258" t="e">
        <f>'Evolutitve SCI'!#REF!</f>
        <v>#REF!</v>
      </c>
      <c r="H57" s="258" t="e">
        <f>'Evolutitve SCI'!#REF!</f>
        <v>#REF!</v>
      </c>
      <c r="I57" s="258" t="e">
        <f>'Evolutitve SCI'!#REF!</f>
        <v>#REF!</v>
      </c>
      <c r="J57" s="258" t="e">
        <f>'Evolutitve SCI'!#REF!</f>
        <v>#REF!</v>
      </c>
      <c r="K57" s="258" t="e">
        <f>'Evolutitve SCI'!#REF!</f>
        <v>#REF!</v>
      </c>
      <c r="L57" s="258" t="e">
        <f>'Evolutitve SCI'!#REF!</f>
        <v>#REF!</v>
      </c>
      <c r="M57" s="258" t="e">
        <f>'Evolutitve SCI'!#REF!</f>
        <v>#REF!</v>
      </c>
      <c r="N57" s="258" t="e">
        <f>'Evolutitve SCI'!#REF!</f>
        <v>#REF!</v>
      </c>
      <c r="O57" s="258" t="e">
        <f>'Evolutitve SCI'!#REF!</f>
        <v>#REF!</v>
      </c>
      <c r="P57" s="258" t="e">
        <f>'Evolutitve SCI'!#REF!</f>
        <v>#REF!</v>
      </c>
      <c r="Q57" s="258" t="e">
        <f>'Evolutitve SCI'!#REF!</f>
        <v>#REF!</v>
      </c>
      <c r="R57" s="258" t="e">
        <f>'Evolutitve SCI'!#REF!</f>
        <v>#REF!</v>
      </c>
      <c r="S57" s="258" t="e">
        <f>'Evolutitve SCI'!#REF!</f>
        <v>#REF!</v>
      </c>
      <c r="T57" s="258" t="e">
        <f>'Evolutitve SCI'!#REF!</f>
        <v>#REF!</v>
      </c>
      <c r="U57" s="258" t="e">
        <f>'Evolutitve SCI'!#REF!</f>
        <v>#REF!</v>
      </c>
      <c r="V57" s="258" t="e">
        <f>'Evolutitve SCI'!#REF!</f>
        <v>#REF!</v>
      </c>
      <c r="W57" s="258" t="e">
        <f>'Evolutitve SCI'!#REF!</f>
        <v>#REF!</v>
      </c>
      <c r="X57" s="258" t="e">
        <f>'Evolutitve SCI'!#REF!</f>
        <v>#REF!</v>
      </c>
      <c r="Y57" s="258" t="e">
        <f>'Evolutitve SCI'!#REF!</f>
        <v>#REF!</v>
      </c>
      <c r="Z57" s="258" t="e">
        <f>'Evolutitve SCI'!#REF!</f>
        <v>#REF!</v>
      </c>
      <c r="AA57" s="258" t="e">
        <f>'Evolutitve SCI'!#REF!</f>
        <v>#REF!</v>
      </c>
      <c r="AB57" s="258" t="e">
        <f>'Evolutitve SCI'!#REF!</f>
        <v>#REF!</v>
      </c>
      <c r="AC57" s="258" t="e">
        <f>'Evolutitve SCI'!#REF!</f>
        <v>#REF!</v>
      </c>
      <c r="AD57" s="258" t="e">
        <f>'Evolutitve SCI'!#REF!</f>
        <v>#REF!</v>
      </c>
      <c r="AE57" s="258" t="e">
        <f>'Evolutitve SCI'!#REF!</f>
        <v>#REF!</v>
      </c>
      <c r="AF57" s="258" t="e">
        <f>'Evolutitve SCI'!#REF!</f>
        <v>#REF!</v>
      </c>
    </row>
    <row r="58" spans="2:32">
      <c r="B58" s="204" t="s">
        <v>138</v>
      </c>
      <c r="C58" s="258" t="e">
        <f>'Evolutive SFP'!#REF!</f>
        <v>#REF!</v>
      </c>
      <c r="D58" s="258" t="e">
        <f>'Evolutive SFP'!#REF!</f>
        <v>#REF!</v>
      </c>
      <c r="E58" s="258" t="e">
        <f>'Evolutive SFP'!#REF!</f>
        <v>#REF!</v>
      </c>
      <c r="F58" s="258" t="e">
        <f>'Evolutive SFP'!#REF!</f>
        <v>#REF!</v>
      </c>
      <c r="G58" s="258" t="e">
        <f>'Evolutive SFP'!#REF!</f>
        <v>#REF!</v>
      </c>
      <c r="H58" s="258" t="e">
        <f>'Evolutive SFP'!#REF!</f>
        <v>#REF!</v>
      </c>
      <c r="I58" s="258" t="e">
        <f>'Evolutive SFP'!#REF!</f>
        <v>#REF!</v>
      </c>
      <c r="J58" s="258" t="e">
        <f>'Evolutive SFP'!#REF!</f>
        <v>#REF!</v>
      </c>
      <c r="K58" s="258" t="e">
        <f>'Evolutive SFP'!#REF!</f>
        <v>#REF!</v>
      </c>
      <c r="L58" s="258" t="e">
        <f>'Evolutive SFP'!#REF!</f>
        <v>#REF!</v>
      </c>
      <c r="M58" s="258" t="e">
        <f>'Evolutive SFP'!#REF!</f>
        <v>#REF!</v>
      </c>
      <c r="N58" s="258" t="e">
        <f>'Evolutive SFP'!#REF!</f>
        <v>#REF!</v>
      </c>
      <c r="O58" s="258" t="e">
        <f>'Evolutive SFP'!#REF!</f>
        <v>#REF!</v>
      </c>
      <c r="P58" s="258" t="e">
        <f>'Evolutive SFP'!#REF!</f>
        <v>#REF!</v>
      </c>
      <c r="Q58" s="258" t="e">
        <f>'Evolutive SFP'!#REF!</f>
        <v>#REF!</v>
      </c>
      <c r="R58" s="258" t="e">
        <f>'Evolutive SFP'!#REF!</f>
        <v>#REF!</v>
      </c>
      <c r="S58" s="258" t="e">
        <f>'Evolutive SFP'!#REF!</f>
        <v>#REF!</v>
      </c>
      <c r="T58" s="258" t="e">
        <f>'Evolutive SFP'!#REF!</f>
        <v>#REF!</v>
      </c>
      <c r="U58" s="258" t="e">
        <f>'Evolutive SFP'!#REF!</f>
        <v>#REF!</v>
      </c>
      <c r="V58" s="258" t="e">
        <f>'Evolutive SFP'!#REF!</f>
        <v>#REF!</v>
      </c>
      <c r="W58" s="258" t="e">
        <f>'Evolutive SFP'!#REF!</f>
        <v>#REF!</v>
      </c>
      <c r="X58" s="258" t="e">
        <f>'Evolutive SFP'!#REF!</f>
        <v>#REF!</v>
      </c>
      <c r="Y58" s="258" t="e">
        <f>'Evolutive SFP'!#REF!</f>
        <v>#REF!</v>
      </c>
      <c r="Z58" s="258" t="e">
        <f>'Evolutive SFP'!#REF!</f>
        <v>#REF!</v>
      </c>
      <c r="AA58" s="258" t="e">
        <f>'Evolutive SFP'!#REF!</f>
        <v>#REF!</v>
      </c>
      <c r="AB58" s="258" t="e">
        <f>'Evolutive SFP'!#REF!</f>
        <v>#REF!</v>
      </c>
      <c r="AC58" s="258" t="e">
        <f>'Evolutive SFP'!#REF!</f>
        <v>#REF!</v>
      </c>
      <c r="AD58" s="258" t="e">
        <f>'Evolutive SFP'!#REF!</f>
        <v>#REF!</v>
      </c>
      <c r="AE58" s="258" t="e">
        <f>'Evolutive SFP'!#REF!</f>
        <v>#REF!</v>
      </c>
      <c r="AF58" s="258" t="e">
        <f>'Evolutive SFP'!#REF!</f>
        <v>#REF!</v>
      </c>
    </row>
    <row r="59" spans="2:32">
      <c r="B59" s="204" t="s">
        <v>137</v>
      </c>
      <c r="C59" s="258" t="e">
        <f>'Evolutive SFP'!#REF!+'Evolutive SFP'!#REF!+'Evolutive SFP'!#REF!</f>
        <v>#REF!</v>
      </c>
      <c r="D59" s="258" t="e">
        <f>'Evolutive SFP'!#REF!+'Evolutive SFP'!#REF!+'Evolutive SFP'!#REF!</f>
        <v>#REF!</v>
      </c>
      <c r="E59" s="258" t="e">
        <f>'Evolutive SFP'!#REF!+'Evolutive SFP'!#REF!+'Evolutive SFP'!#REF!</f>
        <v>#REF!</v>
      </c>
      <c r="F59" s="258" t="e">
        <f>'Evolutive SFP'!#REF!+'Evolutive SFP'!#REF!+'Evolutive SFP'!#REF!</f>
        <v>#REF!</v>
      </c>
      <c r="G59" s="258" t="e">
        <f>'Evolutive SFP'!#REF!+'Evolutive SFP'!#REF!+'Evolutive SFP'!#REF!</f>
        <v>#REF!</v>
      </c>
      <c r="H59" s="258" t="e">
        <f>'Evolutive SFP'!#REF!+'Evolutive SFP'!#REF!+'Evolutive SFP'!#REF!</f>
        <v>#REF!</v>
      </c>
      <c r="I59" s="258" t="e">
        <f>'Evolutive SFP'!#REF!+'Evolutive SFP'!#REF!+'Evolutive SFP'!#REF!</f>
        <v>#REF!</v>
      </c>
      <c r="J59" s="258" t="e">
        <f>'Evolutive SFP'!#REF!+'Evolutive SFP'!#REF!+'Evolutive SFP'!#REF!</f>
        <v>#REF!</v>
      </c>
      <c r="K59" s="258" t="e">
        <f>'Evolutive SFP'!#REF!+'Evolutive SFP'!#REF!+'Evolutive SFP'!#REF!</f>
        <v>#REF!</v>
      </c>
      <c r="L59" s="258" t="e">
        <f>'Evolutive SFP'!#REF!+'Evolutive SFP'!#REF!+'Evolutive SFP'!#REF!</f>
        <v>#REF!</v>
      </c>
      <c r="M59" s="258" t="e">
        <f>'Evolutive SFP'!#REF!+'Evolutive SFP'!#REF!+'Evolutive SFP'!#REF!</f>
        <v>#REF!</v>
      </c>
      <c r="N59" s="258" t="e">
        <f>'Evolutive SFP'!#REF!+'Evolutive SFP'!#REF!+'Evolutive SFP'!#REF!</f>
        <v>#REF!</v>
      </c>
      <c r="O59" s="258" t="e">
        <f>'Evolutive SFP'!#REF!+'Evolutive SFP'!#REF!+'Evolutive SFP'!#REF!</f>
        <v>#REF!</v>
      </c>
      <c r="P59" s="258" t="e">
        <f>'Evolutive SFP'!#REF!+'Evolutive SFP'!#REF!+'Evolutive SFP'!#REF!</f>
        <v>#REF!</v>
      </c>
      <c r="Q59" s="258" t="e">
        <f>'Evolutive SFP'!#REF!+'Evolutive SFP'!#REF!+'Evolutive SFP'!#REF!</f>
        <v>#REF!</v>
      </c>
      <c r="R59" s="258" t="e">
        <f>'Evolutive SFP'!#REF!+'Evolutive SFP'!#REF!+'Evolutive SFP'!#REF!</f>
        <v>#REF!</v>
      </c>
      <c r="S59" s="258" t="e">
        <f>'Evolutive SFP'!#REF!+'Evolutive SFP'!#REF!+'Evolutive SFP'!#REF!</f>
        <v>#REF!</v>
      </c>
      <c r="T59" s="258" t="e">
        <f>'Evolutive SFP'!#REF!+'Evolutive SFP'!#REF!+'Evolutive SFP'!#REF!</f>
        <v>#REF!</v>
      </c>
      <c r="U59" s="258" t="e">
        <f>'Evolutive SFP'!#REF!+'Evolutive SFP'!#REF!+'Evolutive SFP'!#REF!</f>
        <v>#REF!</v>
      </c>
      <c r="V59" s="258" t="e">
        <f>'Evolutive SFP'!#REF!+'Evolutive SFP'!#REF!+'Evolutive SFP'!#REF!</f>
        <v>#REF!</v>
      </c>
      <c r="W59" s="258" t="e">
        <f>'Evolutive SFP'!#REF!+'Evolutive SFP'!#REF!+'Evolutive SFP'!#REF!</f>
        <v>#REF!</v>
      </c>
      <c r="X59" s="258" t="e">
        <f>'Evolutive SFP'!#REF!+'Evolutive SFP'!#REF!+'Evolutive SFP'!#REF!</f>
        <v>#REF!</v>
      </c>
      <c r="Y59" s="258" t="e">
        <f>'Evolutive SFP'!#REF!+'Evolutive SFP'!#REF!+'Evolutive SFP'!#REF!</f>
        <v>#REF!</v>
      </c>
      <c r="Z59" s="258" t="e">
        <f>'Evolutive SFP'!#REF!+'Evolutive SFP'!#REF!+'Evolutive SFP'!#REF!</f>
        <v>#REF!</v>
      </c>
      <c r="AA59" s="258" t="e">
        <f>'Evolutive SFP'!#REF!+'Evolutive SFP'!#REF!+'Evolutive SFP'!#REF!</f>
        <v>#REF!</v>
      </c>
      <c r="AB59" s="258" t="e">
        <f>'Evolutive SFP'!#REF!+'Evolutive SFP'!#REF!+'Evolutive SFP'!#REF!</f>
        <v>#REF!</v>
      </c>
      <c r="AC59" s="258" t="e">
        <f>'Evolutive SFP'!#REF!+'Evolutive SFP'!#REF!+'Evolutive SFP'!#REF!</f>
        <v>#REF!</v>
      </c>
      <c r="AD59" s="258" t="e">
        <f>'Evolutive SFP'!#REF!+'Evolutive SFP'!#REF!+'Evolutive SFP'!#REF!</f>
        <v>#REF!</v>
      </c>
      <c r="AE59" s="258" t="e">
        <f>'Evolutive SFP'!#REF!+'Evolutive SFP'!#REF!+'Evolutive SFP'!#REF!</f>
        <v>#REF!</v>
      </c>
      <c r="AF59" s="258" t="e">
        <f>'Evolutive SFP'!#REF!+'Evolutive SFP'!#REF!+'Evolutive SFP'!#REF!</f>
        <v>#REF!</v>
      </c>
    </row>
    <row r="60" spans="2:32">
      <c r="B60" s="205" t="s">
        <v>106</v>
      </c>
      <c r="C60" s="258" t="e">
        <f>'Evolutive SFP'!#REF!+'Evolutive SFP'!#REF!+'Evolutive SFP'!#REF!</f>
        <v>#REF!</v>
      </c>
      <c r="D60" s="258" t="e">
        <f>'Evolutive SFP'!#REF!+'Evolutive SFP'!#REF!+'Evolutive SFP'!#REF!</f>
        <v>#REF!</v>
      </c>
      <c r="E60" s="258" t="e">
        <f>'Evolutive SFP'!#REF!+'Evolutive SFP'!#REF!+'Evolutive SFP'!#REF!</f>
        <v>#REF!</v>
      </c>
      <c r="F60" s="258" t="e">
        <f>'Evolutive SFP'!#REF!+'Evolutive SFP'!#REF!+'Evolutive SFP'!#REF!</f>
        <v>#REF!</v>
      </c>
      <c r="G60" s="258" t="e">
        <f>'Evolutive SFP'!#REF!+'Evolutive SFP'!#REF!+'Evolutive SFP'!#REF!</f>
        <v>#REF!</v>
      </c>
      <c r="H60" s="258" t="e">
        <f>'Evolutive SFP'!#REF!+'Evolutive SFP'!#REF!+'Evolutive SFP'!#REF!</f>
        <v>#REF!</v>
      </c>
      <c r="I60" s="258" t="e">
        <f>'Evolutive SFP'!#REF!+'Evolutive SFP'!#REF!+'Evolutive SFP'!#REF!</f>
        <v>#REF!</v>
      </c>
      <c r="J60" s="258" t="e">
        <f>'Evolutive SFP'!#REF!+'Evolutive SFP'!#REF!+'Evolutive SFP'!#REF!</f>
        <v>#REF!</v>
      </c>
      <c r="K60" s="258" t="e">
        <f>'Evolutive SFP'!#REF!+'Evolutive SFP'!#REF!+'Evolutive SFP'!#REF!</f>
        <v>#REF!</v>
      </c>
      <c r="L60" s="258" t="e">
        <f>'Evolutive SFP'!#REF!+'Evolutive SFP'!#REF!+'Evolutive SFP'!#REF!</f>
        <v>#REF!</v>
      </c>
      <c r="M60" s="258" t="e">
        <f>'Evolutive SFP'!#REF!+'Evolutive SFP'!#REF!+'Evolutive SFP'!#REF!</f>
        <v>#REF!</v>
      </c>
      <c r="N60" s="258" t="e">
        <f>'Evolutive SFP'!#REF!+'Evolutive SFP'!#REF!+'Evolutive SFP'!#REF!</f>
        <v>#REF!</v>
      </c>
      <c r="O60" s="258" t="e">
        <f>'Evolutive SFP'!#REF!+'Evolutive SFP'!#REF!+'Evolutive SFP'!#REF!</f>
        <v>#REF!</v>
      </c>
      <c r="P60" s="258" t="e">
        <f>'Evolutive SFP'!#REF!+'Evolutive SFP'!#REF!+'Evolutive SFP'!#REF!</f>
        <v>#REF!</v>
      </c>
      <c r="Q60" s="258" t="e">
        <f>'Evolutive SFP'!#REF!+'Evolutive SFP'!#REF!+'Evolutive SFP'!#REF!</f>
        <v>#REF!</v>
      </c>
      <c r="R60" s="258" t="e">
        <f>'Evolutive SFP'!#REF!+'Evolutive SFP'!#REF!+'Evolutive SFP'!#REF!</f>
        <v>#REF!</v>
      </c>
      <c r="S60" s="258" t="e">
        <f>'Evolutive SFP'!#REF!+'Evolutive SFP'!#REF!+'Evolutive SFP'!#REF!</f>
        <v>#REF!</v>
      </c>
      <c r="T60" s="258" t="e">
        <f>'Evolutive SFP'!#REF!+'Evolutive SFP'!#REF!+'Evolutive SFP'!#REF!</f>
        <v>#REF!</v>
      </c>
      <c r="U60" s="258" t="e">
        <f>'Evolutive SFP'!#REF!+'Evolutive SFP'!#REF!+'Evolutive SFP'!#REF!</f>
        <v>#REF!</v>
      </c>
      <c r="V60" s="258" t="e">
        <f>'Evolutive SFP'!#REF!+'Evolutive SFP'!#REF!+'Evolutive SFP'!#REF!</f>
        <v>#REF!</v>
      </c>
      <c r="W60" s="258" t="e">
        <f>'Evolutive SFP'!#REF!+'Evolutive SFP'!#REF!+'Evolutive SFP'!#REF!</f>
        <v>#REF!</v>
      </c>
      <c r="X60" s="258" t="e">
        <f>'Evolutive SFP'!#REF!+'Evolutive SFP'!#REF!+'Evolutive SFP'!#REF!</f>
        <v>#REF!</v>
      </c>
      <c r="Y60" s="258" t="e">
        <f>'Evolutive SFP'!#REF!+'Evolutive SFP'!#REF!+'Evolutive SFP'!#REF!</f>
        <v>#REF!</v>
      </c>
      <c r="Z60" s="258" t="e">
        <f>'Evolutive SFP'!#REF!+'Evolutive SFP'!#REF!+'Evolutive SFP'!#REF!</f>
        <v>#REF!</v>
      </c>
      <c r="AA60" s="258" t="e">
        <f>'Evolutive SFP'!#REF!+'Evolutive SFP'!#REF!+'Evolutive SFP'!#REF!</f>
        <v>#REF!</v>
      </c>
      <c r="AB60" s="258" t="e">
        <f>'Evolutive SFP'!#REF!+'Evolutive SFP'!#REF!+'Evolutive SFP'!#REF!</f>
        <v>#REF!</v>
      </c>
      <c r="AC60" s="258" t="e">
        <f>'Evolutive SFP'!#REF!+'Evolutive SFP'!#REF!+'Evolutive SFP'!#REF!</f>
        <v>#REF!</v>
      </c>
      <c r="AD60" s="258" t="e">
        <f>'Evolutive SFP'!#REF!+'Evolutive SFP'!#REF!+'Evolutive SFP'!#REF!</f>
        <v>#REF!</v>
      </c>
      <c r="AE60" s="258" t="e">
        <f>'Evolutive SFP'!#REF!+'Evolutive SFP'!#REF!+'Evolutive SFP'!#REF!</f>
        <v>#REF!</v>
      </c>
      <c r="AF60" s="258" t="e">
        <f>'Evolutive SFP'!#REF!+'Evolutive SFP'!#REF!+'Evolutive SFP'!#REF!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topLeftCell="D1" workbookViewId="0">
      <selection activeCell="D5" sqref="D5"/>
    </sheetView>
  </sheetViews>
  <sheetFormatPr defaultRowHeight="14.45"/>
  <cols>
    <col min="1" max="1" width="54.85546875" style="56" bestFit="1" customWidth="1"/>
    <col min="2" max="2" width="15" style="56" bestFit="1" customWidth="1"/>
    <col min="3" max="3" width="14.7109375" style="56" bestFit="1" customWidth="1"/>
    <col min="4" max="4" width="14" bestFit="1" customWidth="1"/>
    <col min="5" max="5" width="15.28515625" bestFit="1" customWidth="1"/>
    <col min="6" max="6" width="10.5703125" bestFit="1" customWidth="1"/>
  </cols>
  <sheetData>
    <row r="1" spans="1:8">
      <c r="A1" s="392" t="s">
        <v>273</v>
      </c>
      <c r="B1" s="392"/>
      <c r="C1" s="392"/>
    </row>
    <row r="2" spans="1:8">
      <c r="B2" s="57">
        <v>2015</v>
      </c>
      <c r="C2" s="57">
        <v>2014</v>
      </c>
    </row>
    <row r="3" spans="1:8">
      <c r="A3" s="58" t="s">
        <v>274</v>
      </c>
      <c r="B3" s="59"/>
      <c r="C3" s="60"/>
    </row>
    <row r="4" spans="1:8">
      <c r="A4" s="61" t="s">
        <v>275</v>
      </c>
      <c r="B4" s="62"/>
      <c r="C4" s="63"/>
      <c r="D4" s="62"/>
      <c r="F4" s="258"/>
    </row>
    <row r="5" spans="1:8">
      <c r="A5" s="61" t="s">
        <v>276</v>
      </c>
      <c r="B5" s="64"/>
      <c r="C5" s="65"/>
    </row>
    <row r="6" spans="1:8" ht="17.100000000000001">
      <c r="A6" s="61" t="s">
        <v>277</v>
      </c>
      <c r="B6" s="66"/>
      <c r="C6" s="67"/>
    </row>
    <row r="7" spans="1:8" ht="17.100000000000001">
      <c r="A7" s="61" t="s">
        <v>278</v>
      </c>
      <c r="B7" s="63"/>
      <c r="C7" s="65"/>
      <c r="E7" s="66"/>
      <c r="F7" s="67"/>
    </row>
    <row r="8" spans="1:8" ht="17.100000000000001">
      <c r="A8" s="68" t="s">
        <v>279</v>
      </c>
      <c r="B8" s="69">
        <f>B4+B5+B6+B7</f>
        <v>0</v>
      </c>
      <c r="C8" s="70">
        <f>SUM(C4:C7)</f>
        <v>0</v>
      </c>
      <c r="H8" s="71"/>
    </row>
    <row r="9" spans="1:8">
      <c r="A9" s="61" t="s">
        <v>280</v>
      </c>
      <c r="B9" s="64">
        <v>-21420750</v>
      </c>
      <c r="C9" s="65">
        <v>-19341453</v>
      </c>
      <c r="E9" s="72"/>
    </row>
    <row r="10" spans="1:8">
      <c r="A10" s="61" t="s">
        <v>281</v>
      </c>
      <c r="B10" s="64">
        <v>3405679</v>
      </c>
      <c r="C10" s="65">
        <v>644537</v>
      </c>
    </row>
    <row r="11" spans="1:8" ht="17.100000000000001">
      <c r="A11" s="61" t="s">
        <v>282</v>
      </c>
      <c r="B11" s="73"/>
      <c r="C11" s="67"/>
    </row>
    <row r="12" spans="1:8">
      <c r="A12" s="74" t="s">
        <v>283</v>
      </c>
      <c r="B12" s="75">
        <f>SUM(B9:B11)</f>
        <v>-18015071</v>
      </c>
      <c r="C12" s="76">
        <f>SUM(C9:C11)</f>
        <v>-18696916</v>
      </c>
    </row>
    <row r="13" spans="1:8">
      <c r="A13" s="77" t="s">
        <v>284</v>
      </c>
      <c r="B13" s="64">
        <v>37542318</v>
      </c>
      <c r="C13" s="65">
        <v>70912356</v>
      </c>
    </row>
    <row r="14" spans="1:8">
      <c r="A14" s="77" t="s">
        <v>285</v>
      </c>
      <c r="B14" s="63">
        <v>-2636186</v>
      </c>
      <c r="C14" s="65">
        <v>17927</v>
      </c>
    </row>
    <row r="15" spans="1:8">
      <c r="A15" s="77" t="s">
        <v>286</v>
      </c>
      <c r="B15" s="63">
        <v>-7154210</v>
      </c>
      <c r="C15" s="65">
        <v>-4536404</v>
      </c>
    </row>
    <row r="16" spans="1:8">
      <c r="A16" s="77" t="s">
        <v>287</v>
      </c>
      <c r="B16" s="63">
        <v>-312508</v>
      </c>
      <c r="C16" s="65">
        <v>-2877539</v>
      </c>
    </row>
    <row r="17" spans="1:5">
      <c r="A17" s="78" t="s">
        <v>288</v>
      </c>
      <c r="B17" s="79">
        <f>B8+B12+B13+B14+B15+B16</f>
        <v>9424343</v>
      </c>
      <c r="C17" s="79">
        <f>C8+C12+C13+C14+C15+C16</f>
        <v>44819424</v>
      </c>
    </row>
    <row r="18" spans="1:5" ht="17.100000000000001">
      <c r="A18" s="77" t="s">
        <v>289</v>
      </c>
      <c r="B18" s="73"/>
      <c r="C18" s="67"/>
    </row>
    <row r="19" spans="1:5" ht="17.100000000000001">
      <c r="A19" s="78" t="s">
        <v>290</v>
      </c>
      <c r="B19" s="80">
        <f>B17+B18</f>
        <v>9424343</v>
      </c>
      <c r="C19" s="81">
        <f>C17+C18</f>
        <v>44819424</v>
      </c>
    </row>
    <row r="20" spans="1:5">
      <c r="A20" s="77"/>
      <c r="B20" s="82"/>
      <c r="C20" s="83"/>
    </row>
    <row r="21" spans="1:5">
      <c r="A21" s="78" t="s">
        <v>291</v>
      </c>
      <c r="B21" s="59"/>
      <c r="C21" s="84"/>
    </row>
    <row r="22" spans="1:5">
      <c r="A22" s="77" t="s">
        <v>292</v>
      </c>
      <c r="B22" s="63">
        <v>-987736</v>
      </c>
      <c r="C22" s="65">
        <v>-4053993</v>
      </c>
    </row>
    <row r="23" spans="1:5">
      <c r="A23" s="77" t="s">
        <v>293</v>
      </c>
      <c r="B23" s="63"/>
      <c r="C23" s="65"/>
    </row>
    <row r="24" spans="1:5">
      <c r="A24" s="77" t="s">
        <v>294</v>
      </c>
      <c r="B24" s="63"/>
      <c r="C24" s="63"/>
    </row>
    <row r="25" spans="1:5">
      <c r="A25" s="77" t="s">
        <v>295</v>
      </c>
      <c r="B25" s="63"/>
      <c r="C25" s="65"/>
    </row>
    <row r="26" spans="1:5">
      <c r="A26" s="77" t="s">
        <v>296</v>
      </c>
      <c r="B26" s="63">
        <v>-286875</v>
      </c>
      <c r="C26" s="65">
        <v>-534318</v>
      </c>
    </row>
    <row r="27" spans="1:5" ht="17.100000000000001">
      <c r="A27" s="77" t="s">
        <v>297</v>
      </c>
      <c r="B27" s="73"/>
      <c r="C27" s="67"/>
    </row>
    <row r="28" spans="1:5" ht="17.100000000000001">
      <c r="A28" s="78" t="s">
        <v>298</v>
      </c>
      <c r="B28" s="69">
        <f>SUM(B22:B27)</f>
        <v>-1274611</v>
      </c>
      <c r="C28" s="70">
        <f>SUM(C22:C27)</f>
        <v>-4588311</v>
      </c>
      <c r="E28" s="258">
        <f>810794136-637456683</f>
        <v>173337453</v>
      </c>
    </row>
    <row r="29" spans="1:5">
      <c r="A29" s="77"/>
      <c r="B29" s="82"/>
      <c r="C29" s="83"/>
    </row>
    <row r="30" spans="1:5">
      <c r="A30" s="78" t="s">
        <v>299</v>
      </c>
      <c r="B30" s="59"/>
      <c r="C30" s="84"/>
    </row>
    <row r="31" spans="1:5">
      <c r="A31" s="77" t="s">
        <v>300</v>
      </c>
      <c r="B31" s="63">
        <v>34941877</v>
      </c>
      <c r="C31" s="65">
        <v>17467705</v>
      </c>
    </row>
    <row r="32" spans="1:5">
      <c r="A32" s="77" t="s">
        <v>301</v>
      </c>
      <c r="B32" s="63"/>
      <c r="C32" s="65"/>
    </row>
    <row r="33" spans="1:3">
      <c r="A33" s="77" t="s">
        <v>302</v>
      </c>
      <c r="B33" s="63"/>
      <c r="C33" s="65"/>
    </row>
    <row r="34" spans="1:3">
      <c r="A34" s="77" t="s">
        <v>303</v>
      </c>
      <c r="B34" s="63">
        <v>-6887998</v>
      </c>
      <c r="C34" s="65">
        <v>-6887998</v>
      </c>
    </row>
    <row r="35" spans="1:3" ht="17.100000000000001">
      <c r="A35" s="77" t="s">
        <v>304</v>
      </c>
      <c r="B35" s="73">
        <v>0</v>
      </c>
      <c r="C35" s="67">
        <v>0</v>
      </c>
    </row>
    <row r="36" spans="1:3" ht="17.100000000000001">
      <c r="A36" s="78" t="s">
        <v>305</v>
      </c>
      <c r="B36" s="69">
        <f>SUM(B31:B35)</f>
        <v>28053879</v>
      </c>
      <c r="C36" s="70">
        <f>SUM(C31:C35)</f>
        <v>10579707</v>
      </c>
    </row>
    <row r="37" spans="1:3">
      <c r="A37" s="78" t="s">
        <v>306</v>
      </c>
      <c r="B37" s="85">
        <f>B19+B28+B36</f>
        <v>36203611</v>
      </c>
      <c r="C37" s="86">
        <f>C19+C28+C36</f>
        <v>50810820</v>
      </c>
    </row>
    <row r="38" spans="1:3" ht="17.100000000000001">
      <c r="A38" s="77" t="s">
        <v>307</v>
      </c>
      <c r="B38" s="87">
        <v>207318182</v>
      </c>
      <c r="C38" s="88">
        <v>134933687</v>
      </c>
    </row>
    <row r="39" spans="1:3" ht="17.100000000000001">
      <c r="A39" s="78" t="s">
        <v>308</v>
      </c>
      <c r="B39" s="80">
        <f>SUM(B37:B38)</f>
        <v>243521793</v>
      </c>
      <c r="C39" s="89">
        <f>SUM(C37:C38)</f>
        <v>185744507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zoomScaleNormal="100" workbookViewId="0">
      <selection activeCell="C42" sqref="C42"/>
    </sheetView>
  </sheetViews>
  <sheetFormatPr defaultColWidth="9.140625" defaultRowHeight="14.45"/>
  <cols>
    <col min="1" max="1" width="36.85546875" style="193" customWidth="1"/>
    <col min="2" max="2" width="13" style="201" customWidth="1"/>
    <col min="3" max="5" width="18.42578125" style="193" bestFit="1" customWidth="1"/>
    <col min="6" max="6" width="10.42578125" style="193" hidden="1" customWidth="1"/>
    <col min="7" max="7" width="21.28515625" style="202" customWidth="1"/>
    <col min="8" max="8" width="13.7109375" style="193" bestFit="1" customWidth="1"/>
    <col min="9" max="16384" width="9.140625" style="193"/>
  </cols>
  <sheetData>
    <row r="1" spans="1:7">
      <c r="A1" s="372" t="s">
        <v>309</v>
      </c>
      <c r="B1" s="373"/>
      <c r="C1" s="373"/>
      <c r="D1" s="373"/>
      <c r="E1" s="373"/>
      <c r="F1" s="374"/>
      <c r="G1" s="375"/>
    </row>
    <row r="2" spans="1:7">
      <c r="A2" s="376" t="s">
        <v>310</v>
      </c>
      <c r="B2" s="377"/>
      <c r="C2" s="377"/>
      <c r="D2" s="377"/>
      <c r="E2" s="377"/>
      <c r="F2" s="378"/>
      <c r="G2" s="379"/>
    </row>
    <row r="3" spans="1:7">
      <c r="A3" s="248"/>
      <c r="B3" s="396" t="s">
        <v>90</v>
      </c>
      <c r="C3" s="255" t="s">
        <v>91</v>
      </c>
      <c r="D3" s="380" t="s">
        <v>92</v>
      </c>
      <c r="E3" s="381"/>
      <c r="F3" s="382" t="s">
        <v>311</v>
      </c>
      <c r="G3" s="368" t="s">
        <v>312</v>
      </c>
    </row>
    <row r="4" spans="1:7" ht="21.75" customHeight="1">
      <c r="A4" s="43"/>
      <c r="B4" s="397"/>
      <c r="C4" s="222">
        <v>2017</v>
      </c>
      <c r="D4" s="223">
        <v>43160</v>
      </c>
      <c r="E4" s="224">
        <v>43252</v>
      </c>
      <c r="F4" s="383"/>
      <c r="G4" s="369"/>
    </row>
    <row r="5" spans="1:7">
      <c r="A5" s="361" t="s">
        <v>96</v>
      </c>
      <c r="B5" s="362"/>
      <c r="C5" s="362"/>
      <c r="D5" s="362"/>
      <c r="E5" s="362"/>
      <c r="F5" s="363"/>
      <c r="G5" s="364"/>
    </row>
    <row r="6" spans="1:7">
      <c r="A6" s="238" t="s">
        <v>97</v>
      </c>
      <c r="B6" s="239" t="s">
        <v>98</v>
      </c>
      <c r="C6" s="260">
        <f>C33</f>
        <v>3575294000</v>
      </c>
      <c r="D6" s="260">
        <f>D33</f>
        <v>3638388109.2157083</v>
      </c>
      <c r="E6" s="260">
        <f>E33</f>
        <v>3850883587.7828484</v>
      </c>
      <c r="F6" s="260">
        <f>F33</f>
        <v>0</v>
      </c>
      <c r="G6" s="260">
        <f>G33</f>
        <v>69326567615.863998</v>
      </c>
    </row>
    <row r="7" spans="1:7">
      <c r="A7" s="238" t="s">
        <v>99</v>
      </c>
      <c r="B7" s="240" t="s">
        <v>100</v>
      </c>
      <c r="C7" s="261">
        <f>C33/C29</f>
        <v>0.12516246590040864</v>
      </c>
      <c r="D7" s="261">
        <f>D33/D29</f>
        <v>0.12404378252661359</v>
      </c>
      <c r="E7" s="261">
        <f>E33/E29</f>
        <v>0.12810105414315853</v>
      </c>
      <c r="F7" s="261" t="e">
        <f>F33/F29</f>
        <v>#DIV/0!</v>
      </c>
      <c r="G7" s="261">
        <f>G33/G29</f>
        <v>0.15142618549789269</v>
      </c>
    </row>
    <row r="8" spans="1:7">
      <c r="A8" s="238" t="s">
        <v>101</v>
      </c>
      <c r="B8" s="240" t="s">
        <v>102</v>
      </c>
      <c r="C8" s="261">
        <f>C34/C29</f>
        <v>8.4655345791955078E-2</v>
      </c>
      <c r="D8" s="261">
        <f>D34/D29</f>
        <v>8.042760202256892E-2</v>
      </c>
      <c r="E8" s="261">
        <f>E34/E29</f>
        <v>8.2116799218848416E-2</v>
      </c>
      <c r="F8" s="261" t="e">
        <f>F34/F29</f>
        <v>#DIV/0!</v>
      </c>
      <c r="G8" s="261">
        <f>G34/G29</f>
        <v>8.6793276578618864E-2</v>
      </c>
    </row>
    <row r="9" spans="1:7">
      <c r="A9" s="361" t="s">
        <v>103</v>
      </c>
      <c r="B9" s="362"/>
      <c r="C9" s="362"/>
      <c r="D9" s="362"/>
      <c r="E9" s="362"/>
      <c r="F9" s="363"/>
      <c r="G9" s="364"/>
    </row>
    <row r="10" spans="1:7">
      <c r="A10" s="238" t="s">
        <v>104</v>
      </c>
      <c r="B10" s="239" t="s">
        <v>105</v>
      </c>
      <c r="C10" s="261">
        <f>C35/C32</f>
        <v>8.3758751660342134E-2</v>
      </c>
      <c r="D10" s="261">
        <f>D35/D32</f>
        <v>6.990596473643039E-2</v>
      </c>
      <c r="E10" s="261">
        <f>E35/E32</f>
        <v>6.4128918777493063E-2</v>
      </c>
      <c r="F10" s="261" t="e">
        <f>F35/F32</f>
        <v>#DIV/0!</v>
      </c>
      <c r="G10" s="261">
        <f>G35/G32</f>
        <v>6.4216555660073046E-2</v>
      </c>
    </row>
    <row r="11" spans="1:7">
      <c r="A11" s="238" t="s">
        <v>106</v>
      </c>
      <c r="B11" s="239" t="s">
        <v>107</v>
      </c>
      <c r="C11" s="261">
        <f>C36/C29</f>
        <v>7.8233551459860717E-2</v>
      </c>
      <c r="D11" s="261">
        <f>D36/D29</f>
        <v>7.0771560179866924E-2</v>
      </c>
      <c r="E11" s="261">
        <f>E36/E29</f>
        <v>7.3871285467047465E-2</v>
      </c>
      <c r="F11" s="261" t="e">
        <f>F36/F29</f>
        <v>#DIV/0!</v>
      </c>
      <c r="G11" s="261">
        <f>G36/G29</f>
        <v>0.21105591650727981</v>
      </c>
    </row>
    <row r="12" spans="1:7">
      <c r="A12" s="238" t="s">
        <v>108</v>
      </c>
      <c r="B12" s="239" t="s">
        <v>105</v>
      </c>
      <c r="C12" s="241">
        <f>C38/C31</f>
        <v>3.9319754241610334E-2</v>
      </c>
      <c r="D12" s="241">
        <f>D38/D31</f>
        <v>3.5325791682766637E-2</v>
      </c>
      <c r="E12" s="241">
        <f>E38/E31</f>
        <v>3.7197617219539458E-2</v>
      </c>
      <c r="F12" s="241" t="e">
        <f>F38/F31</f>
        <v>#DIV/0!</v>
      </c>
      <c r="G12" s="241">
        <f>G38/G31</f>
        <v>4.1240427366101499E-2</v>
      </c>
    </row>
    <row r="13" spans="1:7" s="194" customFormat="1">
      <c r="A13" s="242" t="s">
        <v>109</v>
      </c>
      <c r="B13" s="239" t="s">
        <v>110</v>
      </c>
      <c r="C13" s="253">
        <f>C38/C33</f>
        <v>0.24098997173379308</v>
      </c>
      <c r="D13" s="253">
        <f>D38/D33</f>
        <v>0.22956689395624905</v>
      </c>
      <c r="E13" s="253">
        <f>E38/E33</f>
        <v>0.22930110535447146</v>
      </c>
      <c r="F13" s="253" t="e">
        <f>F38/F33</f>
        <v>#DIV/0!</v>
      </c>
      <c r="G13" s="253">
        <f>G38/G33</f>
        <v>0.19351902642905425</v>
      </c>
    </row>
    <row r="14" spans="1:7">
      <c r="A14" s="361" t="s">
        <v>111</v>
      </c>
      <c r="B14" s="362"/>
      <c r="C14" s="362"/>
      <c r="D14" s="362"/>
      <c r="E14" s="362"/>
      <c r="F14" s="363"/>
      <c r="G14" s="364"/>
    </row>
    <row r="15" spans="1:7">
      <c r="A15" s="238" t="s">
        <v>112</v>
      </c>
      <c r="B15" s="239"/>
      <c r="C15" s="254">
        <f>C41/C32</f>
        <v>7.6755321619858249E-2</v>
      </c>
      <c r="D15" s="261">
        <f>D41/D32</f>
        <v>1.9738298154250281E-2</v>
      </c>
      <c r="E15" s="261">
        <f>E41/E32</f>
        <v>3.8638319225778109E-2</v>
      </c>
      <c r="F15" s="261" t="e">
        <f>F41/F32</f>
        <v>#DIV/0!</v>
      </c>
      <c r="G15" s="261">
        <f>G41/G32</f>
        <v>6.0128915991312128E-2</v>
      </c>
    </row>
    <row r="16" spans="1:7">
      <c r="A16" s="238" t="s">
        <v>113</v>
      </c>
      <c r="B16" s="239"/>
      <c r="C16" s="254">
        <f>C44/C40</f>
        <v>0.86029119555425726</v>
      </c>
      <c r="D16" s="253">
        <f>D44/D40</f>
        <v>0.91284222053722508</v>
      </c>
      <c r="E16" s="253">
        <f>E44/E40</f>
        <v>0.88209002620604382</v>
      </c>
      <c r="F16" s="253" t="e">
        <f>F44/F40</f>
        <v>#DIV/0!</v>
      </c>
      <c r="G16" s="253">
        <f>G44/G40</f>
        <v>0.79898157254733526</v>
      </c>
    </row>
    <row r="17" spans="1:9">
      <c r="A17" s="238" t="s">
        <v>313</v>
      </c>
      <c r="B17" s="239"/>
      <c r="C17" s="253">
        <f>C42/C30</f>
        <v>2.1114194279738794E-2</v>
      </c>
      <c r="D17" s="253">
        <f>D42/D30</f>
        <v>3.2004404024709877E-3</v>
      </c>
      <c r="E17" s="253">
        <f>E42/E30</f>
        <v>8.5246189240273697E-3</v>
      </c>
      <c r="F17" s="253" t="e">
        <f>F42/F30</f>
        <v>#DIV/0!</v>
      </c>
      <c r="G17" s="253">
        <f>G42/G30</f>
        <v>1.4471496280025024E-2</v>
      </c>
    </row>
    <row r="18" spans="1:9">
      <c r="A18" s="242" t="s">
        <v>314</v>
      </c>
      <c r="B18" s="243"/>
      <c r="C18" s="253">
        <f>C45/C42</f>
        <v>1.8241432510035285</v>
      </c>
      <c r="D18" s="253">
        <f>D45/D42</f>
        <v>2.5388456697716548</v>
      </c>
      <c r="E18" s="253">
        <f>E45/E42</f>
        <v>2.0792721396963407</v>
      </c>
      <c r="F18" s="253" t="e">
        <f>F45/F42</f>
        <v>#DIV/0!</v>
      </c>
      <c r="G18" s="253">
        <f>G45/G42</f>
        <v>1.6778104875343056</v>
      </c>
    </row>
    <row r="19" spans="1:9">
      <c r="A19" s="361" t="s">
        <v>116</v>
      </c>
      <c r="B19" s="362"/>
      <c r="C19" s="362"/>
      <c r="D19" s="362"/>
      <c r="E19" s="362"/>
      <c r="F19" s="363"/>
      <c r="G19" s="364"/>
    </row>
    <row r="20" spans="1:9">
      <c r="A20" s="238" t="s">
        <v>117</v>
      </c>
      <c r="B20" s="244" t="s">
        <v>118</v>
      </c>
      <c r="C20" s="261">
        <f>C46/C47</f>
        <v>0.33588266230535635</v>
      </c>
      <c r="D20" s="261">
        <f>D46/D47</f>
        <v>0.4454413297462288</v>
      </c>
      <c r="E20" s="261">
        <f>E46/E47</f>
        <v>0.45759283090446018</v>
      </c>
      <c r="F20" s="261" t="e">
        <f>F46/F47</f>
        <v>#DIV/0!</v>
      </c>
      <c r="G20" s="261">
        <f>G46/G47</f>
        <v>0.53762832801063953</v>
      </c>
      <c r="I20" s="195"/>
    </row>
    <row r="21" spans="1:9">
      <c r="A21" s="238" t="s">
        <v>119</v>
      </c>
      <c r="B21" s="239" t="s">
        <v>120</v>
      </c>
      <c r="C21" s="261">
        <f>C48/C29</f>
        <v>1.5941271248519837E-2</v>
      </c>
      <c r="D21" s="261">
        <f>D48/D29</f>
        <v>1.415577054217552E-2</v>
      </c>
      <c r="E21" s="261">
        <f>E48/E29</f>
        <v>1.2698777397005291E-2</v>
      </c>
      <c r="F21" s="261" t="e">
        <f>F48/F29</f>
        <v>#DIV/0!</v>
      </c>
      <c r="G21" s="261">
        <f>G48/G29</f>
        <v>4.885822210180283E-2</v>
      </c>
      <c r="I21" s="226"/>
    </row>
    <row r="22" spans="1:9">
      <c r="A22" s="238" t="s">
        <v>121</v>
      </c>
      <c r="B22" s="239"/>
      <c r="C22" s="261">
        <f>C46/C29</f>
        <v>8.9409237980796585E-2</v>
      </c>
      <c r="D22" s="261">
        <f>D46/D29</f>
        <v>0.11709895139952284</v>
      </c>
      <c r="E22" s="261">
        <f>E46/E29</f>
        <v>0.11553873104851002</v>
      </c>
      <c r="F22" s="261" t="e">
        <f>F46/F29</f>
        <v>#DIV/0!</v>
      </c>
      <c r="G22" s="261">
        <f>G46/G29</f>
        <v>0.10366677035926812</v>
      </c>
    </row>
    <row r="23" spans="1:9">
      <c r="A23" s="361" t="s">
        <v>122</v>
      </c>
      <c r="B23" s="362"/>
      <c r="C23" s="362"/>
      <c r="D23" s="362"/>
      <c r="E23" s="362"/>
      <c r="F23" s="363"/>
      <c r="G23" s="364"/>
    </row>
    <row r="24" spans="1:9">
      <c r="A24" s="245" t="s">
        <v>123</v>
      </c>
      <c r="B24" s="243" t="s">
        <v>124</v>
      </c>
      <c r="C24" s="253">
        <f>C32/C29</f>
        <v>0.81615737316964942</v>
      </c>
      <c r="D24" s="253">
        <f>D32/D29</f>
        <v>0.80219752120140031</v>
      </c>
      <c r="E24" s="253">
        <f>E32/E29</f>
        <v>0.80146236854830355</v>
      </c>
      <c r="F24" s="253" t="e">
        <f>F32/F29</f>
        <v>#DIV/0!</v>
      </c>
      <c r="G24" s="253">
        <f>G32/G29</f>
        <v>0.7574673642475942</v>
      </c>
    </row>
    <row r="25" spans="1:9">
      <c r="A25" s="245" t="s">
        <v>125</v>
      </c>
      <c r="B25" s="246" t="s">
        <v>126</v>
      </c>
      <c r="C25" s="253">
        <f>C32/C31</f>
        <v>1.0639264882463775</v>
      </c>
      <c r="D25" s="253">
        <f>D32/D31</f>
        <v>0.99515094571962126</v>
      </c>
      <c r="E25" s="253">
        <f>E32/E31</f>
        <v>1.0149377466976661</v>
      </c>
      <c r="F25" s="253" t="e">
        <f>F32/F31</f>
        <v>#DIV/0!</v>
      </c>
      <c r="G25" s="253">
        <f>G32/G31</f>
        <v>1.0660128261811286</v>
      </c>
    </row>
    <row r="26" spans="1:9">
      <c r="A26" s="245" t="s">
        <v>127</v>
      </c>
      <c r="B26" s="246"/>
      <c r="C26" s="253">
        <f>C39/C29</f>
        <v>3.8223399255563367E-2</v>
      </c>
      <c r="D26" s="253">
        <f>D39/D29</f>
        <v>2.9374880113870454E-2</v>
      </c>
      <c r="E26" s="253">
        <f>E39/E29</f>
        <v>3.0250433424650686E-2</v>
      </c>
      <c r="F26" s="253" t="e">
        <f>F39/F29</f>
        <v>#DIV/0!</v>
      </c>
      <c r="G26" s="253">
        <f>G39/G29</f>
        <v>4.3658487304164585E-2</v>
      </c>
    </row>
    <row r="27" spans="1:9">
      <c r="A27" s="196" t="s">
        <v>128</v>
      </c>
      <c r="B27" s="247"/>
      <c r="C27" s="197">
        <f>C43/C40</f>
        <v>0.95525792757356909</v>
      </c>
      <c r="D27" s="197">
        <f>D43/D40</f>
        <v>0.54694557621917517</v>
      </c>
      <c r="E27" s="197">
        <f>E43/E40</f>
        <v>0.54728258705267863</v>
      </c>
      <c r="F27" s="197" t="e">
        <f>F43/F40</f>
        <v>#DIV/0!</v>
      </c>
      <c r="G27" s="198">
        <f>G43/G40</f>
        <v>0.27724022592509417</v>
      </c>
    </row>
    <row r="28" spans="1:9">
      <c r="A28" s="361" t="s">
        <v>129</v>
      </c>
      <c r="B28" s="362"/>
      <c r="C28" s="362">
        <v>2015</v>
      </c>
      <c r="D28" s="362">
        <v>2016</v>
      </c>
      <c r="E28" s="362">
        <v>2017</v>
      </c>
      <c r="F28" s="363"/>
      <c r="G28" s="364" t="s">
        <v>130</v>
      </c>
    </row>
    <row r="29" spans="1:9">
      <c r="A29" s="196" t="s">
        <v>27</v>
      </c>
      <c r="B29" s="249"/>
      <c r="C29" s="52">
        <v>28565225000</v>
      </c>
      <c r="D29" s="52">
        <v>29331483086.909996</v>
      </c>
      <c r="E29" s="52">
        <v>30061295073.179626</v>
      </c>
      <c r="F29" s="262"/>
      <c r="G29" s="206">
        <v>457824169498.27197</v>
      </c>
    </row>
    <row r="30" spans="1:9">
      <c r="A30" s="196" t="s">
        <v>131</v>
      </c>
      <c r="B30" s="249"/>
      <c r="C30" s="262">
        <v>26523579000</v>
      </c>
      <c r="D30" s="262">
        <v>28948354043.454998</v>
      </c>
      <c r="E30" s="262">
        <v>29313260036.589813</v>
      </c>
      <c r="F30" s="262"/>
      <c r="G30" s="206">
        <v>450050648721.08301</v>
      </c>
    </row>
    <row r="31" spans="1:9">
      <c r="A31" s="196" t="s">
        <v>132</v>
      </c>
      <c r="B31" s="249"/>
      <c r="C31" s="52">
        <v>21912904000</v>
      </c>
      <c r="D31" s="52">
        <v>23644295497.769997</v>
      </c>
      <c r="E31" s="52">
        <v>23738398566.190002</v>
      </c>
      <c r="F31" s="199"/>
      <c r="G31" s="206">
        <v>325312096103.96991</v>
      </c>
    </row>
    <row r="32" spans="1:9">
      <c r="A32" s="196" t="s">
        <v>133</v>
      </c>
      <c r="B32" s="249"/>
      <c r="C32" s="52">
        <v>23313719000</v>
      </c>
      <c r="D32" s="52">
        <v>23529643025.479996</v>
      </c>
      <c r="E32" s="52">
        <v>24092996750.979992</v>
      </c>
      <c r="F32" s="200"/>
      <c r="G32" s="206">
        <v>346786866958.69989</v>
      </c>
    </row>
    <row r="33" spans="1:7">
      <c r="A33" s="196" t="s">
        <v>134</v>
      </c>
      <c r="B33" s="249"/>
      <c r="C33" s="52">
        <v>3575294000</v>
      </c>
      <c r="D33" s="52">
        <v>3638388109.2157083</v>
      </c>
      <c r="E33" s="52">
        <v>3850883587.7828484</v>
      </c>
      <c r="F33" s="262"/>
      <c r="G33" s="206">
        <v>69326567615.863998</v>
      </c>
    </row>
    <row r="34" spans="1:7">
      <c r="A34" s="196" t="s">
        <v>135</v>
      </c>
      <c r="B34" s="249"/>
      <c r="C34" s="52">
        <v>2418199000</v>
      </c>
      <c r="D34" s="52">
        <v>2359060848.4457083</v>
      </c>
      <c r="E34" s="52">
        <v>2468537331.7828484</v>
      </c>
      <c r="F34" s="262"/>
      <c r="G34" s="206">
        <v>39736059767.639999</v>
      </c>
    </row>
    <row r="35" spans="1:7">
      <c r="A35" s="196" t="s">
        <v>136</v>
      </c>
      <c r="B35" s="249"/>
      <c r="C35" s="199">
        <v>1952728000</v>
      </c>
      <c r="D35" s="199">
        <v>1644862395.5999999</v>
      </c>
      <c r="E35" s="199">
        <v>1545057831.75</v>
      </c>
      <c r="F35" s="199"/>
      <c r="G35" s="206">
        <v>22269458144.235699</v>
      </c>
    </row>
    <row r="36" spans="1:7">
      <c r="A36" s="196" t="s">
        <v>106</v>
      </c>
      <c r="B36" s="249"/>
      <c r="C36" s="172">
        <v>2234759000</v>
      </c>
      <c r="D36" s="172">
        <v>2075834820.4499998</v>
      </c>
      <c r="E36" s="172">
        <v>2220666509.8599997</v>
      </c>
      <c r="F36" s="200"/>
      <c r="G36" s="206">
        <v>96626499692.642014</v>
      </c>
    </row>
    <row r="37" spans="1:7">
      <c r="A37" s="196" t="s">
        <v>23</v>
      </c>
      <c r="B37" s="249"/>
      <c r="C37" s="262">
        <v>235465000</v>
      </c>
      <c r="D37" s="52">
        <v>234856882.59999996</v>
      </c>
      <c r="E37" s="52">
        <v>226150949.63</v>
      </c>
      <c r="F37" s="262"/>
      <c r="G37" s="206">
        <v>15408701421.012005</v>
      </c>
    </row>
    <row r="38" spans="1:7">
      <c r="A38" s="196" t="s">
        <v>137</v>
      </c>
      <c r="B38" s="249"/>
      <c r="C38" s="172">
        <v>861610000</v>
      </c>
      <c r="D38" s="172">
        <v>835253457.24000001</v>
      </c>
      <c r="E38" s="172">
        <v>883011863.26999998</v>
      </c>
      <c r="F38" s="262"/>
      <c r="G38" s="206">
        <v>13416009870.690001</v>
      </c>
    </row>
    <row r="39" spans="1:7">
      <c r="A39" s="196" t="s">
        <v>138</v>
      </c>
      <c r="B39" s="249"/>
      <c r="C39" s="172">
        <v>1091860000</v>
      </c>
      <c r="D39" s="172">
        <v>861608799.24000001</v>
      </c>
      <c r="E39" s="172">
        <v>909367205.26999998</v>
      </c>
      <c r="F39" s="262"/>
      <c r="G39" s="206">
        <v>19987910691.580002</v>
      </c>
    </row>
    <row r="40" spans="1:7">
      <c r="A40" s="196" t="s">
        <v>143</v>
      </c>
      <c r="B40" s="249"/>
      <c r="C40" s="172">
        <v>4008509000</v>
      </c>
      <c r="D40" s="172">
        <v>1062985799.2799999</v>
      </c>
      <c r="E40" s="172">
        <v>2119281034.4399998</v>
      </c>
      <c r="F40" s="262"/>
      <c r="G40" s="206">
        <v>32399548495.73999</v>
      </c>
    </row>
    <row r="41" spans="1:7">
      <c r="A41" s="196" t="s">
        <v>68</v>
      </c>
      <c r="B41" s="249"/>
      <c r="C41" s="172">
        <v>1789452000</v>
      </c>
      <c r="D41" s="172">
        <v>464435109.49999976</v>
      </c>
      <c r="E41" s="172">
        <v>930912899.56999969</v>
      </c>
      <c r="F41" s="262"/>
      <c r="G41" s="206">
        <v>20851918390.25</v>
      </c>
    </row>
    <row r="42" spans="1:7">
      <c r="A42" s="196" t="s">
        <v>148</v>
      </c>
      <c r="B42" s="249"/>
      <c r="C42" s="172">
        <v>560024000</v>
      </c>
      <c r="D42" s="172">
        <v>92647481.865707755</v>
      </c>
      <c r="E42" s="172">
        <v>249884371.23284873</v>
      </c>
      <c r="F42" s="262"/>
      <c r="G42" s="206">
        <v>6512906288.7900019</v>
      </c>
    </row>
    <row r="43" spans="1:7">
      <c r="A43" s="196" t="s">
        <v>145</v>
      </c>
      <c r="B43" s="249"/>
      <c r="C43" s="172">
        <v>3829160000</v>
      </c>
      <c r="D43" s="172">
        <v>581395380.5</v>
      </c>
      <c r="E43" s="172">
        <v>1159845607.22</v>
      </c>
      <c r="F43" s="262"/>
      <c r="G43" s="206">
        <v>8982458144.8299999</v>
      </c>
    </row>
    <row r="44" spans="1:7">
      <c r="A44" s="196" t="s">
        <v>87</v>
      </c>
      <c r="B44" s="249"/>
      <c r="C44" s="172">
        <v>3448485000</v>
      </c>
      <c r="D44" s="172">
        <v>970338317.4142921</v>
      </c>
      <c r="E44" s="172">
        <v>1869396663.2071512</v>
      </c>
      <c r="F44" s="262"/>
      <c r="G44" s="206">
        <v>25886642206.949989</v>
      </c>
    </row>
    <row r="45" spans="1:7">
      <c r="A45" s="196" t="s">
        <v>146</v>
      </c>
      <c r="B45" s="249"/>
      <c r="C45" s="172">
        <v>1021564000</v>
      </c>
      <c r="D45" s="172">
        <v>235217658.15000004</v>
      </c>
      <c r="E45" s="172">
        <v>519577611.25000012</v>
      </c>
      <c r="F45" s="262"/>
      <c r="G45" s="206">
        <v>10927422475.659998</v>
      </c>
    </row>
    <row r="46" spans="1:7">
      <c r="A46" s="196" t="s">
        <v>139</v>
      </c>
      <c r="B46" s="249"/>
      <c r="C46" s="172">
        <v>2553995000</v>
      </c>
      <c r="D46" s="172">
        <v>3434685912.4699998</v>
      </c>
      <c r="E46" s="172">
        <v>3473243886.4300003</v>
      </c>
      <c r="F46" s="262"/>
      <c r="G46" s="206">
        <v>47461153044.300003</v>
      </c>
    </row>
    <row r="47" spans="1:7">
      <c r="A47" s="196" t="s">
        <v>315</v>
      </c>
      <c r="B47" s="249"/>
      <c r="C47" s="172">
        <v>7603831000</v>
      </c>
      <c r="D47" s="172">
        <v>7710748157.1742916</v>
      </c>
      <c r="E47" s="172">
        <v>7590249785.0871515</v>
      </c>
      <c r="F47" s="262"/>
      <c r="G47" s="206">
        <v>88278743086.173019</v>
      </c>
    </row>
    <row r="48" spans="1:7">
      <c r="A48" s="196" t="s">
        <v>141</v>
      </c>
      <c r="B48" s="249"/>
      <c r="C48" s="262">
        <v>455366000</v>
      </c>
      <c r="D48" s="52">
        <v>415209744.24000001</v>
      </c>
      <c r="E48" s="52">
        <v>381741694.39999998</v>
      </c>
      <c r="F48" s="262"/>
      <c r="G48" s="206">
        <v>22368474956.919998</v>
      </c>
    </row>
    <row r="49" spans="1:7">
      <c r="A49" s="365" t="s">
        <v>316</v>
      </c>
      <c r="B49" s="366"/>
      <c r="C49" s="366"/>
      <c r="D49" s="366"/>
      <c r="E49" s="366"/>
      <c r="F49" s="366"/>
      <c r="G49" s="367"/>
    </row>
    <row r="50" spans="1:7">
      <c r="A50" s="228" t="s">
        <v>317</v>
      </c>
      <c r="B50" s="225"/>
      <c r="C50" s="229"/>
      <c r="D50" s="229"/>
      <c r="E50" s="229"/>
      <c r="F50" s="230"/>
      <c r="G50" s="231"/>
    </row>
    <row r="51" spans="1:7">
      <c r="A51" s="228">
        <v>2</v>
      </c>
      <c r="B51" s="225"/>
      <c r="C51" s="229"/>
      <c r="D51" s="229"/>
      <c r="E51" s="229"/>
      <c r="F51" s="230"/>
      <c r="G51" s="231"/>
    </row>
    <row r="52" spans="1:7">
      <c r="A52" s="228">
        <v>3</v>
      </c>
      <c r="B52" s="225"/>
      <c r="C52" s="229"/>
      <c r="D52" s="229"/>
      <c r="E52" s="229"/>
      <c r="F52" s="230"/>
      <c r="G52" s="231"/>
    </row>
    <row r="53" spans="1:7">
      <c r="A53" s="227">
        <v>4</v>
      </c>
      <c r="B53" s="393"/>
      <c r="C53" s="393"/>
      <c r="D53" s="393"/>
      <c r="E53" s="394"/>
      <c r="F53" s="394"/>
      <c r="G53" s="395"/>
    </row>
    <row r="54" spans="1:7">
      <c r="A54" s="250" t="s">
        <v>318</v>
      </c>
      <c r="B54" s="225"/>
      <c r="C54" s="358"/>
      <c r="D54" s="359"/>
      <c r="E54" s="359"/>
      <c r="F54" s="359"/>
      <c r="G54" s="360"/>
    </row>
    <row r="55" spans="1:7">
      <c r="A55" s="250"/>
      <c r="B55" s="225"/>
      <c r="C55" s="304"/>
      <c r="D55" s="304"/>
      <c r="E55" s="305"/>
      <c r="F55" s="305"/>
      <c r="G55" s="232"/>
    </row>
    <row r="56" spans="1:7">
      <c r="A56" s="251" t="s">
        <v>151</v>
      </c>
      <c r="B56" s="233"/>
      <c r="C56" s="358"/>
      <c r="D56" s="359"/>
      <c r="E56" s="359"/>
      <c r="F56" s="359"/>
      <c r="G56" s="360"/>
    </row>
    <row r="57" spans="1:7">
      <c r="A57" s="43"/>
      <c r="B57" s="225"/>
      <c r="C57" s="229"/>
      <c r="D57" s="229"/>
      <c r="E57" s="229"/>
      <c r="F57" s="230"/>
      <c r="G57" s="231"/>
    </row>
    <row r="58" spans="1:7">
      <c r="A58" s="250" t="s">
        <v>319</v>
      </c>
      <c r="B58" s="225"/>
      <c r="C58" s="358"/>
      <c r="D58" s="359"/>
      <c r="E58" s="359"/>
      <c r="F58" s="359"/>
      <c r="G58" s="360"/>
    </row>
    <row r="59" spans="1:7" ht="15" thickBot="1">
      <c r="A59" s="252"/>
      <c r="B59" s="234"/>
      <c r="C59" s="235"/>
      <c r="D59" s="235"/>
      <c r="E59" s="235"/>
      <c r="F59" s="236"/>
      <c r="G59" s="237"/>
    </row>
    <row r="60" spans="1:7">
      <c r="A60" s="207" t="s">
        <v>153</v>
      </c>
    </row>
    <row r="61" spans="1:7">
      <c r="A61" s="194"/>
    </row>
    <row r="62" spans="1:7">
      <c r="A62" s="194"/>
    </row>
  </sheetData>
  <mergeCells count="17">
    <mergeCell ref="A28:G28"/>
    <mergeCell ref="A1:G1"/>
    <mergeCell ref="A2:G2"/>
    <mergeCell ref="B3:B4"/>
    <mergeCell ref="D3:E3"/>
    <mergeCell ref="F3:F4"/>
    <mergeCell ref="G3:G4"/>
    <mergeCell ref="A5:G5"/>
    <mergeCell ref="A9:G9"/>
    <mergeCell ref="A14:G14"/>
    <mergeCell ref="A19:G19"/>
    <mergeCell ref="A23:G23"/>
    <mergeCell ref="A49:G49"/>
    <mergeCell ref="B53:G53"/>
    <mergeCell ref="C54:G54"/>
    <mergeCell ref="C56:G56"/>
    <mergeCell ref="C58:G5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U63"/>
  <sheetViews>
    <sheetView zoomScale="86" zoomScaleNormal="86" zoomScaleSheetLayoutView="100" workbookViewId="0">
      <pane xSplit="23" topLeftCell="DO1" activePane="topRight" state="frozen"/>
      <selection pane="topRight" activeCell="DZ6" sqref="DZ6"/>
    </sheetView>
  </sheetViews>
  <sheetFormatPr defaultColWidth="9.140625" defaultRowHeight="12.6"/>
  <cols>
    <col min="1" max="1" width="34" style="102" customWidth="1"/>
    <col min="2" max="2" width="10.42578125" style="101" bestFit="1" customWidth="1"/>
    <col min="3" max="3" width="5.85546875" style="102" bestFit="1" customWidth="1"/>
    <col min="4" max="4" width="11.140625" style="102" hidden="1" customWidth="1"/>
    <col min="5" max="5" width="7.5703125" style="102" hidden="1" customWidth="1"/>
    <col min="6" max="6" width="7.85546875" style="102" hidden="1" customWidth="1"/>
    <col min="7" max="7" width="10.140625" style="102" hidden="1" customWidth="1"/>
    <col min="8" max="8" width="8.140625" style="102" hidden="1" customWidth="1"/>
    <col min="9" max="9" width="8.28515625" style="102" hidden="1" customWidth="1"/>
    <col min="10" max="10" width="10.140625" style="102" hidden="1" customWidth="1"/>
    <col min="11" max="20" width="12.85546875" style="102" hidden="1" customWidth="1"/>
    <col min="21" max="21" width="9.85546875" style="102" hidden="1" customWidth="1"/>
    <col min="22" max="22" width="10" style="102" hidden="1" customWidth="1"/>
    <col min="23" max="23" width="8.42578125" style="102" hidden="1" customWidth="1"/>
    <col min="24" max="24" width="20" style="102" hidden="1" customWidth="1"/>
    <col min="25" max="36" width="0" style="102" hidden="1" customWidth="1"/>
    <col min="37" max="37" width="10.28515625" style="102" hidden="1" customWidth="1"/>
    <col min="38" max="38" width="10.5703125" style="102" hidden="1" customWidth="1"/>
    <col min="39" max="39" width="10.28515625" style="102" hidden="1" customWidth="1"/>
    <col min="40" max="47" width="9.140625" style="102" hidden="1" customWidth="1"/>
    <col min="48" max="51" width="0" style="102" hidden="1" customWidth="1"/>
    <col min="52" max="52" width="9.42578125" style="102" hidden="1" customWidth="1"/>
    <col min="53" max="64" width="0" style="102" hidden="1" customWidth="1"/>
    <col min="65" max="65" width="9.7109375" style="102" hidden="1" customWidth="1"/>
    <col min="66" max="94" width="0" style="102" hidden="1" customWidth="1"/>
    <col min="95" max="95" width="14" style="102" hidden="1" customWidth="1"/>
    <col min="96" max="103" width="0" style="102" hidden="1" customWidth="1"/>
    <col min="104" max="104" width="15.85546875" style="102" hidden="1" customWidth="1"/>
    <col min="105" max="16384" width="9.140625" style="102"/>
  </cols>
  <sheetData>
    <row r="1" spans="1:125">
      <c r="A1" s="100" t="s">
        <v>320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125" ht="12.95" thickBot="1">
      <c r="A2" s="104" t="s">
        <v>321</v>
      </c>
    </row>
    <row r="3" spans="1:125" s="104" customFormat="1" ht="15" customHeight="1">
      <c r="A3" s="105"/>
      <c r="B3" s="106"/>
      <c r="C3" s="107"/>
      <c r="D3" s="107"/>
      <c r="E3" s="107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</row>
    <row r="4" spans="1:125" s="104" customFormat="1" ht="18" customHeight="1">
      <c r="A4" s="108" t="s">
        <v>322</v>
      </c>
      <c r="B4" s="109" t="s">
        <v>323</v>
      </c>
      <c r="C4" s="110" t="s">
        <v>324</v>
      </c>
      <c r="D4" s="95">
        <v>2008</v>
      </c>
      <c r="E4" s="96">
        <v>2009</v>
      </c>
      <c r="F4" s="96">
        <v>2010</v>
      </c>
      <c r="G4" s="111">
        <v>40603</v>
      </c>
      <c r="H4" s="112">
        <v>40695</v>
      </c>
      <c r="I4" s="112">
        <v>40787</v>
      </c>
      <c r="J4" s="97" t="s">
        <v>325</v>
      </c>
      <c r="K4" s="96">
        <v>2012</v>
      </c>
      <c r="L4" s="113">
        <v>41275</v>
      </c>
      <c r="M4" s="114">
        <v>41306</v>
      </c>
      <c r="N4" s="111">
        <v>41334</v>
      </c>
      <c r="O4" s="111">
        <v>41365</v>
      </c>
      <c r="P4" s="111">
        <v>41395</v>
      </c>
      <c r="Q4" s="111">
        <v>41426</v>
      </c>
      <c r="R4" s="111">
        <v>41456</v>
      </c>
      <c r="S4" s="111">
        <v>41487</v>
      </c>
      <c r="T4" s="111">
        <v>41518</v>
      </c>
      <c r="U4" s="98">
        <v>41548</v>
      </c>
      <c r="V4" s="98">
        <v>41579</v>
      </c>
      <c r="W4" s="98">
        <v>41609</v>
      </c>
      <c r="X4" s="98" t="s">
        <v>326</v>
      </c>
      <c r="Y4" s="98">
        <v>41640</v>
      </c>
      <c r="Z4" s="98">
        <v>41671</v>
      </c>
      <c r="AA4" s="98">
        <v>41699</v>
      </c>
      <c r="AB4" s="98">
        <v>41730</v>
      </c>
      <c r="AC4" s="98">
        <v>41760</v>
      </c>
      <c r="AD4" s="98">
        <v>41791</v>
      </c>
      <c r="AE4" s="98">
        <v>41821</v>
      </c>
      <c r="AF4" s="98">
        <v>41852</v>
      </c>
      <c r="AG4" s="98">
        <v>41883</v>
      </c>
      <c r="AH4" s="98">
        <v>41913</v>
      </c>
      <c r="AI4" s="98">
        <v>41944</v>
      </c>
      <c r="AJ4" s="98">
        <v>41974</v>
      </c>
      <c r="AK4" s="158" t="s">
        <v>174</v>
      </c>
      <c r="AL4" s="116" t="s">
        <v>175</v>
      </c>
      <c r="AM4" s="116" t="s">
        <v>176</v>
      </c>
      <c r="AN4" s="115">
        <v>42736</v>
      </c>
      <c r="AO4" s="115">
        <v>42767</v>
      </c>
      <c r="AP4" s="115">
        <v>42795</v>
      </c>
      <c r="AQ4" s="115">
        <v>42826</v>
      </c>
      <c r="AR4" s="115">
        <v>42856</v>
      </c>
      <c r="AS4" s="115">
        <v>42887</v>
      </c>
      <c r="AT4" s="115">
        <v>42917</v>
      </c>
      <c r="AU4" s="115">
        <v>42948</v>
      </c>
      <c r="AV4" s="115">
        <v>42979</v>
      </c>
      <c r="AW4" s="115">
        <v>43009</v>
      </c>
      <c r="AX4" s="115">
        <v>43040</v>
      </c>
      <c r="AY4" s="115">
        <v>43070</v>
      </c>
      <c r="AZ4" s="209" t="s">
        <v>167</v>
      </c>
      <c r="BA4" s="115">
        <v>43101</v>
      </c>
      <c r="BB4" s="115">
        <v>43132</v>
      </c>
      <c r="BC4" s="115">
        <v>43160</v>
      </c>
      <c r="BD4" s="115">
        <v>43191</v>
      </c>
      <c r="BE4" s="115">
        <v>43221</v>
      </c>
      <c r="BF4" s="115">
        <v>43252</v>
      </c>
      <c r="BG4" s="115">
        <v>43282</v>
      </c>
      <c r="BH4" s="115">
        <v>43313</v>
      </c>
      <c r="BI4" s="115">
        <v>43344</v>
      </c>
      <c r="BJ4" s="115">
        <v>43374</v>
      </c>
      <c r="BK4" s="115">
        <v>43405</v>
      </c>
      <c r="BL4" s="115">
        <v>43435</v>
      </c>
      <c r="BM4" s="116" t="s">
        <v>168</v>
      </c>
      <c r="BN4" s="116">
        <v>43466</v>
      </c>
      <c r="BO4" s="116">
        <v>43497</v>
      </c>
      <c r="BP4" s="116">
        <v>43525</v>
      </c>
      <c r="BQ4" s="116">
        <v>43556</v>
      </c>
      <c r="BR4" s="116">
        <v>43586</v>
      </c>
      <c r="BS4" s="116">
        <v>43617</v>
      </c>
      <c r="BT4" s="116">
        <v>43647</v>
      </c>
      <c r="BU4" s="116">
        <v>43678</v>
      </c>
      <c r="BV4" s="116">
        <v>43709</v>
      </c>
      <c r="BW4" s="116">
        <v>43739</v>
      </c>
      <c r="BX4" s="116">
        <v>43770</v>
      </c>
      <c r="BY4" s="116">
        <v>43800</v>
      </c>
      <c r="BZ4" s="116" t="s">
        <v>51</v>
      </c>
      <c r="CA4" s="116">
        <v>43831</v>
      </c>
      <c r="CB4" s="116">
        <v>43862</v>
      </c>
      <c r="CC4" s="116">
        <v>43891</v>
      </c>
      <c r="CD4" s="116">
        <v>43922</v>
      </c>
      <c r="CE4" s="116">
        <v>43952</v>
      </c>
      <c r="CF4" s="116">
        <v>43983</v>
      </c>
      <c r="CG4" s="116">
        <v>44013</v>
      </c>
      <c r="CH4" s="116">
        <v>44044</v>
      </c>
      <c r="CI4" s="116">
        <v>44075</v>
      </c>
      <c r="CJ4" s="116">
        <v>44105</v>
      </c>
      <c r="CK4" s="116">
        <v>44136</v>
      </c>
      <c r="CL4" s="116">
        <v>44166</v>
      </c>
      <c r="CM4" s="116" t="s">
        <v>1</v>
      </c>
      <c r="CN4" s="307">
        <v>44197</v>
      </c>
      <c r="CO4" s="307">
        <v>44228</v>
      </c>
      <c r="CP4" s="307">
        <v>44256</v>
      </c>
      <c r="CQ4" s="307">
        <v>44287</v>
      </c>
      <c r="CR4" s="307">
        <v>44317</v>
      </c>
      <c r="CS4" s="307">
        <v>44348</v>
      </c>
      <c r="CT4" s="307">
        <v>44378</v>
      </c>
      <c r="CU4" s="307">
        <v>44409</v>
      </c>
      <c r="CV4" s="307">
        <v>44440</v>
      </c>
      <c r="CW4" s="307">
        <v>44470</v>
      </c>
      <c r="CX4" s="307">
        <v>44501</v>
      </c>
      <c r="CY4" s="307">
        <v>44531</v>
      </c>
      <c r="CZ4" s="307" t="s">
        <v>2</v>
      </c>
      <c r="DA4" s="307">
        <v>44562</v>
      </c>
      <c r="DB4" s="307">
        <v>44593</v>
      </c>
      <c r="DC4" s="307">
        <v>44621</v>
      </c>
      <c r="DD4" s="307">
        <v>44652</v>
      </c>
      <c r="DE4" s="307">
        <v>44682</v>
      </c>
      <c r="DF4" s="307">
        <v>44713</v>
      </c>
      <c r="DG4" s="307">
        <v>44743</v>
      </c>
      <c r="DH4" s="307">
        <v>44774</v>
      </c>
      <c r="DI4" s="307">
        <v>44805</v>
      </c>
      <c r="DJ4" s="307">
        <v>44835</v>
      </c>
      <c r="DK4" s="307">
        <v>44866</v>
      </c>
      <c r="DL4" s="307">
        <v>44896</v>
      </c>
      <c r="DM4" s="354" t="s">
        <v>3</v>
      </c>
      <c r="DN4" s="353">
        <v>44927</v>
      </c>
      <c r="DO4" s="353">
        <v>44958</v>
      </c>
      <c r="DP4" s="353">
        <v>44986</v>
      </c>
      <c r="DQ4" s="353">
        <v>45017</v>
      </c>
      <c r="DR4" s="353">
        <v>45047</v>
      </c>
      <c r="DS4" s="353">
        <v>45078</v>
      </c>
      <c r="DT4" s="353">
        <v>45108</v>
      </c>
      <c r="DU4" s="353">
        <v>45139</v>
      </c>
    </row>
    <row r="5" spans="1:125" s="104" customFormat="1">
      <c r="A5" s="117" t="s">
        <v>327</v>
      </c>
      <c r="B5" s="118"/>
      <c r="C5" s="119"/>
      <c r="D5" s="119"/>
      <c r="E5" s="119"/>
      <c r="F5" s="120"/>
      <c r="G5" s="120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</row>
    <row r="6" spans="1:125" s="104" customFormat="1" ht="12.75">
      <c r="A6" s="121" t="s">
        <v>328</v>
      </c>
      <c r="B6" s="122" t="s">
        <v>329</v>
      </c>
      <c r="C6" s="123" t="s">
        <v>330</v>
      </c>
      <c r="D6" s="124">
        <f>[2]Financials!C13/1000000</f>
        <v>0</v>
      </c>
      <c r="E6" s="124">
        <f>[2]Financials!D13/1000000</f>
        <v>0</v>
      </c>
      <c r="F6" s="124">
        <f>[2]Financials!E13/1000000</f>
        <v>0</v>
      </c>
      <c r="G6" s="124">
        <f>[2]Financials!F13/1000000</f>
        <v>0</v>
      </c>
      <c r="H6" s="124">
        <f>[2]Financials!G13/1000000</f>
        <v>0</v>
      </c>
      <c r="I6" s="124">
        <f>[2]Financials!H13/1000000</f>
        <v>0</v>
      </c>
      <c r="J6" s="124">
        <f>[2]Financials!I13/1000000</f>
        <v>0</v>
      </c>
      <c r="K6" s="124">
        <f>[2]Financials!J13/1000000</f>
        <v>817.08404254999994</v>
      </c>
      <c r="L6" s="124">
        <f>[2]Financials!K13/1000000</f>
        <v>1566.884483</v>
      </c>
      <c r="M6" s="124">
        <f>[2]Financials!L13/1000000</f>
        <v>1661.2634760000001</v>
      </c>
      <c r="N6" s="124">
        <f>[2]Financials!M13/1000000</f>
        <v>1753.4081209999999</v>
      </c>
      <c r="O6" s="124">
        <f>[2]Financials!N13/1000000</f>
        <v>1756.14995</v>
      </c>
      <c r="P6" s="124">
        <f>[2]Financials!O13/1000000</f>
        <v>1858.699255</v>
      </c>
      <c r="Q6" s="124">
        <f>[2]Financials!P13/1000000</f>
        <v>2001.8326950000001</v>
      </c>
      <c r="R6" s="124">
        <f>[2]Financials!Q13/1000000</f>
        <v>2106.2619129999998</v>
      </c>
      <c r="S6" s="124">
        <f>[2]Financials!R13/1000000</f>
        <v>2222.677271</v>
      </c>
      <c r="T6" s="124">
        <f>[2]Financials!S13/1000000</f>
        <v>2338.011669</v>
      </c>
      <c r="U6" s="124">
        <f>[2]Financials!T13/1000000</f>
        <v>2458.0121819999999</v>
      </c>
      <c r="V6" s="124">
        <f>[2]Financials!U13/1000000</f>
        <v>2531.3210389999999</v>
      </c>
      <c r="W6" s="124">
        <f>[2]Financials!V13/1000000</f>
        <v>2641.750266</v>
      </c>
      <c r="X6" s="125">
        <f>[2]Financials!W13/1000000</f>
        <v>1674.3779999999999</v>
      </c>
      <c r="Y6" s="124">
        <f>[2]Financials!X13/1000000</f>
        <v>2757.9596999999999</v>
      </c>
      <c r="Z6" s="124">
        <f>[2]Financials!Y13/1000000</f>
        <v>1951.4203170000001</v>
      </c>
      <c r="AA6" s="124">
        <f>[2]Financials!Z13/1000000</f>
        <v>1869.7205650000001</v>
      </c>
      <c r="AB6" s="124">
        <f>[2]Financials!AA13/1000000</f>
        <v>2140.284713</v>
      </c>
      <c r="AC6" s="124">
        <f>[2]Financials!AB13/1000000</f>
        <v>2230.661298</v>
      </c>
      <c r="AD6" s="124">
        <f>[2]Financials!AC13/1000000</f>
        <v>2368.102918</v>
      </c>
      <c r="AE6" s="124">
        <f>[2]Financials!AD13/1000000</f>
        <v>2547.76532</v>
      </c>
      <c r="AF6" s="124">
        <f>[2]Financials!AE13/1000000</f>
        <v>2737.284999</v>
      </c>
      <c r="AG6" s="124">
        <f>[2]Financials!AF13/1000000</f>
        <v>2911.1578960000002</v>
      </c>
      <c r="AH6" s="124">
        <f>[2]Financials!AG13/1000000</f>
        <v>3040.4076868299999</v>
      </c>
      <c r="AI6" s="124">
        <f>[2]Financials!AH13/1000000</f>
        <v>3108.0025938499998</v>
      </c>
      <c r="AJ6" s="124">
        <f>[2]Financials!AI13/1000000</f>
        <v>3266.1901446399997</v>
      </c>
      <c r="AK6" s="124" t="e">
        <f>Financials!D11/1000000</f>
        <v>#REF!</v>
      </c>
      <c r="AL6" s="124" t="e">
        <f>Financials!E11/1000000</f>
        <v>#REF!</v>
      </c>
      <c r="AM6" s="124" t="e">
        <f>Financials!F11/1000000</f>
        <v>#REF!</v>
      </c>
      <c r="AN6" s="124" t="e">
        <f>Financials!G11/1000000</f>
        <v>#REF!</v>
      </c>
      <c r="AO6" s="124" t="e">
        <f>Financials!H11/1000000</f>
        <v>#REF!</v>
      </c>
      <c r="AP6" s="124" t="e">
        <f>Financials!I11/1000000</f>
        <v>#REF!</v>
      </c>
      <c r="AQ6" s="124" t="e">
        <f>Financials!J11/1000000</f>
        <v>#REF!</v>
      </c>
      <c r="AR6" s="124" t="e">
        <f>Financials!K11/1000000</f>
        <v>#REF!</v>
      </c>
      <c r="AS6" s="124" t="e">
        <f>Financials!L11/1000000</f>
        <v>#REF!</v>
      </c>
      <c r="AT6" s="124" t="e">
        <f>Financials!M11/1000000</f>
        <v>#REF!</v>
      </c>
      <c r="AU6" s="124" t="e">
        <f>Financials!N11/1000000</f>
        <v>#REF!</v>
      </c>
      <c r="AV6" s="124" t="e">
        <f>Financials!O11/1000000</f>
        <v>#REF!</v>
      </c>
      <c r="AW6" s="124" t="e">
        <f>Financials!P11/1000000</f>
        <v>#REF!</v>
      </c>
      <c r="AX6" s="124" t="e">
        <f>Financials!Q11/1000000</f>
        <v>#REF!</v>
      </c>
      <c r="AY6" s="124" t="e">
        <f>Financials!R11/1000000</f>
        <v>#REF!</v>
      </c>
      <c r="AZ6" s="124" t="e">
        <f>Financials!S11/1000000</f>
        <v>#REF!</v>
      </c>
      <c r="BA6" s="124" t="e">
        <f>Financials!T11/1000000</f>
        <v>#REF!</v>
      </c>
      <c r="BB6" s="124" t="e">
        <f>Financials!U11/1000000</f>
        <v>#REF!</v>
      </c>
      <c r="BC6" s="124" t="e">
        <f>Financials!V11/1000000</f>
        <v>#REF!</v>
      </c>
      <c r="BD6" s="124" t="e">
        <f>Financials!W11/1000000</f>
        <v>#REF!</v>
      </c>
      <c r="BE6" s="124" t="e">
        <f>Financials!X11/1000000</f>
        <v>#REF!</v>
      </c>
      <c r="BF6" s="124" t="e">
        <f>Financials!Y11/1000000</f>
        <v>#REF!</v>
      </c>
      <c r="BG6" s="124" t="e">
        <f>Financials!Z11/1000000</f>
        <v>#REF!</v>
      </c>
      <c r="BH6" s="124" t="e">
        <f>Financials!AA11/1000000</f>
        <v>#REF!</v>
      </c>
      <c r="BI6" s="124" t="e">
        <f>Financials!AB11/1000000</f>
        <v>#REF!</v>
      </c>
      <c r="BJ6" s="124" t="e">
        <f>Financials!AC11/1000000</f>
        <v>#REF!</v>
      </c>
      <c r="BK6" s="124" t="e">
        <f>Financials!AD11/1000000</f>
        <v>#REF!</v>
      </c>
      <c r="BL6" s="124" t="e">
        <f>Financials!AE11/1000000</f>
        <v>#REF!</v>
      </c>
      <c r="BM6" s="124" t="e">
        <f>Financials!AF11/1000000</f>
        <v>#REF!</v>
      </c>
      <c r="BN6" s="124" t="e">
        <f>Financials!AG11/1000000</f>
        <v>#REF!</v>
      </c>
      <c r="BO6" s="124" t="e">
        <f>Financials!AH11/1000000</f>
        <v>#REF!</v>
      </c>
      <c r="BP6" s="124" t="e">
        <f>Financials!AI11/1000000</f>
        <v>#REF!</v>
      </c>
      <c r="BQ6" s="124" t="e">
        <f>Financials!AJ11/1000000</f>
        <v>#REF!</v>
      </c>
      <c r="BR6" s="124" t="e">
        <f>Financials!AK11/1000000</f>
        <v>#REF!</v>
      </c>
      <c r="BS6" s="124" t="e">
        <f>Financials!AL11/1000000</f>
        <v>#REF!</v>
      </c>
      <c r="BT6" s="124" t="e">
        <f>Financials!AM11/1000000</f>
        <v>#REF!</v>
      </c>
      <c r="BU6" s="124" t="e">
        <f>Financials!AN11/1000000</f>
        <v>#REF!</v>
      </c>
      <c r="BV6" s="124" t="e">
        <f>Financials!AO11/1000000</f>
        <v>#REF!</v>
      </c>
      <c r="BW6" s="124" t="e">
        <f>Financials!AP11/1000000</f>
        <v>#REF!</v>
      </c>
      <c r="BX6" s="124" t="e">
        <f>Financials!AQ11/1000000</f>
        <v>#REF!</v>
      </c>
      <c r="BY6" s="124" t="e">
        <f>Financials!AR11/1000000</f>
        <v>#REF!</v>
      </c>
      <c r="BZ6" s="124">
        <f>Financials!AS11/1000000</f>
        <v>35.293281</v>
      </c>
      <c r="CA6" s="124">
        <f>Financials!AT11/1000000</f>
        <v>0.64000937999999996</v>
      </c>
      <c r="CB6" s="124">
        <f>Financials!AU11/1000000</f>
        <v>0.58801871999999999</v>
      </c>
      <c r="CC6" s="124">
        <f>Financials!AV11/1000000</f>
        <v>0.58329084000000009</v>
      </c>
      <c r="CD6" s="124">
        <f>Financials!AW11/1000000</f>
        <v>0.63132644000000004</v>
      </c>
      <c r="CE6" s="124">
        <f>Financials!AX11/1000000</f>
        <v>0.6762689300000001</v>
      </c>
      <c r="CF6" s="124">
        <f>Financials!AY11/1000000</f>
        <v>0.63133574000000003</v>
      </c>
      <c r="CG6" s="124" t="e">
        <f>Financials!AZ11/1000000</f>
        <v>#REF!</v>
      </c>
      <c r="CH6" s="124">
        <f>Financials!BA11/1000000</f>
        <v>0.64455375000000015</v>
      </c>
      <c r="CI6" s="124">
        <f>Financials!BB11/1000000</f>
        <v>0.65359414999999998</v>
      </c>
      <c r="CJ6" s="124">
        <f>Financials!BC11/1000000</f>
        <v>0.66564707000000012</v>
      </c>
      <c r="CK6" s="124">
        <f>Financials!BD11/1000000</f>
        <v>0.66058536999999995</v>
      </c>
      <c r="CL6" s="124">
        <f>Financials!BE11/1000000</f>
        <v>0.69283897000000005</v>
      </c>
      <c r="CM6" s="124">
        <f>Financials!BF11/1000000</f>
        <v>738.04925700000001</v>
      </c>
      <c r="CN6" s="124">
        <f>Financials!BG11/1000000</f>
        <v>0.69317851000000008</v>
      </c>
      <c r="CO6" s="124">
        <f>Financials!BH11/1000000</f>
        <v>0.67282606</v>
      </c>
      <c r="CP6" s="124">
        <f>Financials!BI11/1000000</f>
        <v>0.68627406000000002</v>
      </c>
      <c r="CQ6" s="124">
        <f>Financials!BJ11/1000000</f>
        <v>0.7366055600000001</v>
      </c>
      <c r="CR6" s="124">
        <f>Financials!BK11/1000000</f>
        <v>0.73828738999999999</v>
      </c>
      <c r="CS6" s="124">
        <f>Financials!BL11/1000000</f>
        <v>0.76153853000000005</v>
      </c>
      <c r="CT6" s="124">
        <f>Financials!BM11/1000000</f>
        <v>0.73882013000000002</v>
      </c>
      <c r="CU6" s="124">
        <f>Financials!BN11/1000000</f>
        <v>0.72924452000000006</v>
      </c>
      <c r="CV6" s="124">
        <f>Financials!BO11/1000000</f>
        <v>0.78400113999999987</v>
      </c>
      <c r="CW6" s="124">
        <f>Financials!BP11/1000000</f>
        <v>0.79095281000000006</v>
      </c>
      <c r="CX6" s="124">
        <f>Financials!BQ11/1000000</f>
        <v>0.80278671000000001</v>
      </c>
      <c r="CY6" s="124">
        <f>Financials!BR11/1000000</f>
        <v>0.83717786000000005</v>
      </c>
      <c r="CZ6" s="124">
        <f>Financials!BS11/1000000</f>
        <v>867.43688799999995</v>
      </c>
      <c r="DA6" s="124">
        <f>Financials!BT11/1000000</f>
        <v>841.78718624999999</v>
      </c>
      <c r="DB6" s="124">
        <f>Financials!BU11/1000000</f>
        <v>840.155754</v>
      </c>
      <c r="DC6" s="124">
        <f>Financials!BV11/1000000</f>
        <v>833.86226529999999</v>
      </c>
      <c r="DD6" s="124">
        <f>Financials!BW11/1000000</f>
        <v>835.39330600000005</v>
      </c>
      <c r="DE6" s="124">
        <f>Financials!BX11/1000000</f>
        <v>827.81821565000007</v>
      </c>
      <c r="DF6" s="124">
        <f>Financials!BY11/1000000</f>
        <v>873.51790774999995</v>
      </c>
      <c r="DG6" s="124">
        <f>Financials!BZ11/1000000</f>
        <v>870.06064755000011</v>
      </c>
      <c r="DH6" s="124">
        <f>Financials!CA11/1000000</f>
        <v>860.04163419999998</v>
      </c>
      <c r="DI6" s="124">
        <f>Financials!CB11/1000000</f>
        <v>866.5888862999999</v>
      </c>
      <c r="DJ6" s="124">
        <f>Financials!CC11/1000000</f>
        <v>866.34626600000001</v>
      </c>
      <c r="DK6" s="124">
        <f>Financials!CD11/1000000</f>
        <v>862.88497660000007</v>
      </c>
      <c r="DL6" s="124">
        <f>Financials!CE11/1000000</f>
        <v>884.66537779000009</v>
      </c>
      <c r="DM6" s="124">
        <f>Financials!CF11/1000000</f>
        <v>939.18783399999995</v>
      </c>
      <c r="DN6" s="124">
        <f>Financials!CG11/1000000</f>
        <v>912.95527357000003</v>
      </c>
      <c r="DO6" s="124">
        <f>Financials!CH11/1000000</f>
        <v>905.00522590000003</v>
      </c>
      <c r="DP6" s="124">
        <f>Financials!CI11/1000000</f>
        <v>916.54544039999996</v>
      </c>
      <c r="DQ6" s="124">
        <f>Financials!CJ11/1000000</f>
        <v>917.71279100000004</v>
      </c>
      <c r="DR6" s="124">
        <f>Financials!CK11/1000000</f>
        <v>923.54102119999993</v>
      </c>
      <c r="DS6" s="124">
        <f>Financials!CL11/1000000</f>
        <v>978.49972539999999</v>
      </c>
      <c r="DT6" s="124">
        <f>Financials!CM11/1000000</f>
        <v>975.94476090000001</v>
      </c>
      <c r="DU6" s="124">
        <f>Financials!CN11/1000000</f>
        <v>976.46801019999998</v>
      </c>
    </row>
    <row r="7" spans="1:125" s="104" customFormat="1" ht="12.75">
      <c r="A7" s="121" t="s">
        <v>331</v>
      </c>
      <c r="B7" s="122" t="s">
        <v>332</v>
      </c>
      <c r="C7" s="123" t="s">
        <v>333</v>
      </c>
      <c r="D7" s="126" t="e">
        <f>[2]Financials!C13/[2]Financials!C5</f>
        <v>#DIV/0!</v>
      </c>
      <c r="E7" s="126" t="e">
        <f>[2]Financials!D13/[2]Financials!D5</f>
        <v>#DIV/0!</v>
      </c>
      <c r="F7" s="126" t="e">
        <f>[2]Financials!E13/[2]Financials!E5</f>
        <v>#DIV/0!</v>
      </c>
      <c r="G7" s="126" t="e">
        <f>[2]Financials!F13/[2]Financials!F5</f>
        <v>#DIV/0!</v>
      </c>
      <c r="H7" s="126" t="e">
        <f>[2]Financials!G13/[2]Financials!G5</f>
        <v>#DIV/0!</v>
      </c>
      <c r="I7" s="126" t="e">
        <f>[2]Financials!H13/[2]Financials!H5</f>
        <v>#DIV/0!</v>
      </c>
      <c r="J7" s="126" t="e">
        <f>[2]Financials!I13/[2]Financials!I5</f>
        <v>#DIV/0!</v>
      </c>
      <c r="K7" s="126">
        <f>[2]Financials!J13/[2]Financials!J5</f>
        <v>9.4760341444070778E-2</v>
      </c>
      <c r="L7" s="126">
        <f>[2]Financials!K13/[2]Financials!K5</f>
        <v>0.16599975990257868</v>
      </c>
      <c r="M7" s="126">
        <f>[2]Financials!L13/[2]Financials!L5</f>
        <v>0.17209038512531666</v>
      </c>
      <c r="N7" s="126">
        <f>[2]Financials!M13/[2]Financials!M5</f>
        <v>0.17415125613205593</v>
      </c>
      <c r="O7" s="126">
        <f>[2]Financials!N13/[2]Financials!N5</f>
        <v>0.17097929472937345</v>
      </c>
      <c r="P7" s="126">
        <f>[2]Financials!O13/[2]Financials!O5</f>
        <v>0.1836254123151996</v>
      </c>
      <c r="Q7" s="126">
        <f>[2]Financials!P13/[2]Financials!P5</f>
        <v>0.19400294119897885</v>
      </c>
      <c r="R7" s="126">
        <f>[2]Financials!Q13/[2]Financials!Q5</f>
        <v>0.19962697141242225</v>
      </c>
      <c r="S7" s="126">
        <f>[2]Financials!R13/[2]Financials!R5</f>
        <v>0.20497694177919826</v>
      </c>
      <c r="T7" s="126">
        <f>[2]Financials!S13/[2]Financials!S5</f>
        <v>0.21274791877040841</v>
      </c>
      <c r="U7" s="126">
        <f>[2]Financials!T13/[2]Financials!T5</f>
        <v>0.21671984488000423</v>
      </c>
      <c r="V7" s="126">
        <f>[2]Financials!U13/[2]Financials!U5</f>
        <v>0.21898564771896362</v>
      </c>
      <c r="W7" s="126">
        <f>[2]Financials!V13/[2]Financials!V5</f>
        <v>0.2262956562985608</v>
      </c>
      <c r="X7" s="126">
        <f>[2]Financials!W13/[2]Financials!W5</f>
        <v>0.14530947706385952</v>
      </c>
      <c r="Y7" s="126">
        <f>[2]Financials!X13/[2]Financials!X5</f>
        <v>0.22756543173552332</v>
      </c>
      <c r="Z7" s="126">
        <f>[2]Financials!Y13/[2]Financials!Y5</f>
        <v>0.16757896789560264</v>
      </c>
      <c r="AA7" s="126">
        <f>[2]Financials!Z13/[2]Financials!Z5</f>
        <v>0.1504251866837473</v>
      </c>
      <c r="AB7" s="126">
        <f>[2]Financials!AA13/[2]Financials!AA5</f>
        <v>0.17356881910869584</v>
      </c>
      <c r="AC7" s="126">
        <f>[2]Financials!AB13/[2]Financials!AB5</f>
        <v>0.17945042682876536</v>
      </c>
      <c r="AD7" s="126">
        <f>[2]Financials!AC13/[2]Financials!AC5</f>
        <v>0.18360027839179538</v>
      </c>
      <c r="AE7" s="126">
        <f>[2]Financials!AD13/[2]Financials!AD5</f>
        <v>0.19423431369722416</v>
      </c>
      <c r="AF7" s="126">
        <f>[2]Financials!AE13/[2]Financials!AE5</f>
        <v>0.19987413468375473</v>
      </c>
      <c r="AG7" s="126">
        <f>[2]Financials!AF13/[2]Financials!AF5</f>
        <v>0.20895027436189753</v>
      </c>
      <c r="AH7" s="126">
        <f>[2]Financials!AG13/[2]Financials!AG5</f>
        <v>0.214503695147058</v>
      </c>
      <c r="AI7" s="126">
        <f>[2]Financials!AH13/[2]Financials!AH5</f>
        <v>0.21308090743012081</v>
      </c>
      <c r="AJ7" s="126">
        <f>[2]Financials!AI13/[2]Financials!AI5</f>
        <v>0.21601606912341775</v>
      </c>
      <c r="AK7" s="126" t="e">
        <f>Financials!D11/Financials!D4</f>
        <v>#REF!</v>
      </c>
      <c r="AL7" s="126" t="e">
        <f>Financials!E11/Financials!E4</f>
        <v>#REF!</v>
      </c>
      <c r="AM7" s="126" t="e">
        <f>Financials!F11/Financials!F4</f>
        <v>#REF!</v>
      </c>
      <c r="AN7" s="126" t="e">
        <f>Financials!G11/Financials!G4</f>
        <v>#REF!</v>
      </c>
      <c r="AO7" s="126" t="e">
        <f>Financials!H11/Financials!H4</f>
        <v>#REF!</v>
      </c>
      <c r="AP7" s="126" t="e">
        <f>Financials!I11/Financials!I4</f>
        <v>#REF!</v>
      </c>
      <c r="AQ7" s="126" t="e">
        <f>Financials!J11/Financials!J4</f>
        <v>#REF!</v>
      </c>
      <c r="AR7" s="126" t="e">
        <f>Financials!K11/Financials!K4</f>
        <v>#REF!</v>
      </c>
      <c r="AS7" s="126" t="e">
        <f>Financials!L11/Financials!L4</f>
        <v>#REF!</v>
      </c>
      <c r="AT7" s="126" t="e">
        <f>Financials!M11/Financials!M4</f>
        <v>#REF!</v>
      </c>
      <c r="AU7" s="126" t="e">
        <f>Financials!N11/Financials!N4</f>
        <v>#REF!</v>
      </c>
      <c r="AV7" s="126" t="e">
        <f>Financials!O11/Financials!O4</f>
        <v>#REF!</v>
      </c>
      <c r="AW7" s="126" t="e">
        <f>Financials!P11/Financials!P4</f>
        <v>#REF!</v>
      </c>
      <c r="AX7" s="126" t="e">
        <f>Financials!Q11/Financials!Q4</f>
        <v>#REF!</v>
      </c>
      <c r="AY7" s="126" t="e">
        <f>Financials!R11/Financials!R4</f>
        <v>#REF!</v>
      </c>
      <c r="AZ7" s="126" t="e">
        <f>Financials!S11/Financials!S4</f>
        <v>#REF!</v>
      </c>
      <c r="BA7" s="126" t="e">
        <f>Financials!T11/Financials!T4</f>
        <v>#REF!</v>
      </c>
      <c r="BB7" s="126" t="e">
        <f>Financials!U11/Financials!U4</f>
        <v>#REF!</v>
      </c>
      <c r="BC7" s="126" t="e">
        <f>Financials!V11/Financials!V4</f>
        <v>#REF!</v>
      </c>
      <c r="BD7" s="126" t="e">
        <f>Financials!W11/Financials!W4</f>
        <v>#REF!</v>
      </c>
      <c r="BE7" s="126" t="e">
        <f>Financials!X11/Financials!X4</f>
        <v>#REF!</v>
      </c>
      <c r="BF7" s="126" t="e">
        <f>Financials!Y11/Financials!Y4</f>
        <v>#REF!</v>
      </c>
      <c r="BG7" s="126" t="e">
        <f>Financials!Z11/Financials!Z4</f>
        <v>#REF!</v>
      </c>
      <c r="BH7" s="126" t="e">
        <f>Financials!AA11/Financials!AA4</f>
        <v>#REF!</v>
      </c>
      <c r="BI7" s="126" t="e">
        <f>Financials!AB11/Financials!AB4</f>
        <v>#REF!</v>
      </c>
      <c r="BJ7" s="126" t="e">
        <f>Financials!AC11/Financials!AC4</f>
        <v>#REF!</v>
      </c>
      <c r="BK7" s="126" t="e">
        <f>Financials!AD11/Financials!AD4</f>
        <v>#REF!</v>
      </c>
      <c r="BL7" s="126" t="e">
        <f>Financials!AE11/Financials!AE4</f>
        <v>#REF!</v>
      </c>
      <c r="BM7" s="126" t="e">
        <f>Financials!AF11/Financials!AF4</f>
        <v>#REF!</v>
      </c>
      <c r="BN7" s="126" t="e">
        <f>Financials!AG11/Financials!AG4</f>
        <v>#REF!</v>
      </c>
      <c r="BO7" s="126" t="e">
        <f>Financials!AH11/Financials!AH4</f>
        <v>#REF!</v>
      </c>
      <c r="BP7" s="126" t="e">
        <f>Financials!AI11/Financials!AI4</f>
        <v>#REF!</v>
      </c>
      <c r="BQ7" s="126" t="e">
        <f>Financials!AJ11/Financials!AJ4</f>
        <v>#REF!</v>
      </c>
      <c r="BR7" s="126" t="e">
        <f>Financials!AK11/Financials!AK4</f>
        <v>#REF!</v>
      </c>
      <c r="BS7" s="126" t="e">
        <f>Financials!AL11/Financials!AL4</f>
        <v>#REF!</v>
      </c>
      <c r="BT7" s="126" t="e">
        <f>Financials!AM11/Financials!AM4</f>
        <v>#REF!</v>
      </c>
      <c r="BU7" s="126" t="e">
        <f>Financials!AN11/Financials!AN4</f>
        <v>#REF!</v>
      </c>
      <c r="BV7" s="126" t="e">
        <f>Financials!AO11/Financials!AO4</f>
        <v>#REF!</v>
      </c>
      <c r="BW7" s="126" t="e">
        <f>Financials!AP11/Financials!AP4</f>
        <v>#REF!</v>
      </c>
      <c r="BX7" s="126" t="e">
        <f>Financials!AQ11/Financials!AQ4</f>
        <v>#REF!</v>
      </c>
      <c r="BY7" s="126" t="e">
        <f>Financials!AR11/Financials!AR4</f>
        <v>#REF!</v>
      </c>
      <c r="BZ7" s="126">
        <f>Financials!AS11/Financials!AS4</f>
        <v>0.12028587695269384</v>
      </c>
      <c r="CA7" s="126">
        <f>Financials!AT11/Financials!AT4</f>
        <v>0.20212554891204579</v>
      </c>
      <c r="CB7" s="126">
        <f>Financials!AU11/Financials!AU4</f>
        <v>0.18615324433596289</v>
      </c>
      <c r="CC7" s="126">
        <f>Financials!AV11/Financials!AV4</f>
        <v>0.18819147721714752</v>
      </c>
      <c r="CD7" s="126">
        <f>Financials!AW11/Financials!AW4</f>
        <v>0.19928211065973608</v>
      </c>
      <c r="CE7" s="126">
        <f>Financials!AX11/Financials!AX4</f>
        <v>0.20804044634825838</v>
      </c>
      <c r="CF7" s="126">
        <f>Financials!AY11/Financials!AY4</f>
        <v>0.19260583897872979</v>
      </c>
      <c r="CG7" s="126" t="e">
        <f>Financials!AZ11/Financials!AZ4</f>
        <v>#REF!</v>
      </c>
      <c r="CH7" s="126">
        <f>Financials!BA11/Financials!BA4</f>
        <v>0.18973947521872481</v>
      </c>
      <c r="CI7" s="126">
        <f>Financials!BB11/Financials!BB4</f>
        <v>0.190078075850102</v>
      </c>
      <c r="CJ7" s="126">
        <f>Financials!BC11/Financials!BC4</f>
        <v>0.19037590195467194</v>
      </c>
      <c r="CK7" s="126">
        <f>Financials!BD11/Financials!BD4</f>
        <v>0.18580504847997625</v>
      </c>
      <c r="CL7" s="126">
        <f>Financials!BE11/Financials!BE4</f>
        <v>0.19095671224507688</v>
      </c>
      <c r="CM7" s="126">
        <f>Financials!BF11/Financials!BF4</f>
        <v>0.20401917454214438</v>
      </c>
      <c r="CN7" s="126">
        <f>Financials!BG11/Financials!BG4</f>
        <v>0.18915302875027706</v>
      </c>
      <c r="CO7" s="126">
        <f>Financials!BH11/Financials!BH4</f>
        <v>0.18271629112287652</v>
      </c>
      <c r="CP7" s="126">
        <f>Financials!BI11/Financials!BI4</f>
        <v>0.1885626099089141</v>
      </c>
      <c r="CQ7" s="126">
        <f>Financials!BJ11/Financials!BJ4</f>
        <v>0.19853001198202863</v>
      </c>
      <c r="CR7" s="126">
        <f>Financials!BK11/Financials!BK4</f>
        <v>0.19638063692576399</v>
      </c>
      <c r="CS7" s="126">
        <f>Financials!BL11/Financials!BL4</f>
        <v>0.19927064041605544</v>
      </c>
      <c r="CT7" s="126">
        <f>Financials!BM11/Financials!BM4</f>
        <v>0.19074405853803539</v>
      </c>
      <c r="CU7" s="126">
        <f>Financials!BN11/Financials!BN4</f>
        <v>0.18676529696813271</v>
      </c>
      <c r="CV7" s="126">
        <f>Financials!BO11/Financials!BO4</f>
        <v>0.19645456801649058</v>
      </c>
      <c r="CW7" s="126">
        <f>Financials!BP11/Financials!BP4</f>
        <v>0.19540916318548521</v>
      </c>
      <c r="CX7" s="126">
        <f>Financials!BQ11/Financials!BQ4</f>
        <v>0.19486985212864308</v>
      </c>
      <c r="CY7" s="126">
        <f>Financials!BR11/Financials!BR4</f>
        <v>0.19859239057903263</v>
      </c>
      <c r="CZ7" s="126">
        <f>Financials!BS11/Financials!BS4</f>
        <v>0.20654557062270495</v>
      </c>
      <c r="DA7" s="126">
        <f>Financials!BT11/Financials!BT4</f>
        <v>0.19798070499959206</v>
      </c>
      <c r="DB7" s="126">
        <f>Financials!BU11/Financials!BU4</f>
        <v>0.1948883588974718</v>
      </c>
      <c r="DC7" s="126">
        <f>Financials!BV11/Financials!BV4</f>
        <v>0.197120143045975</v>
      </c>
      <c r="DD7" s="126">
        <f>Financials!BW11/Financials!BW4</f>
        <v>0.19772129374972683</v>
      </c>
      <c r="DE7" s="126">
        <f>Financials!BX11/Financials!BX4</f>
        <v>0.19270382831643235</v>
      </c>
      <c r="DF7" s="126">
        <f>Financials!BY11/Financials!BY4</f>
        <v>0.19696054281018568</v>
      </c>
      <c r="DG7" s="126">
        <f>Financials!BZ11/Financials!BZ4</f>
        <v>0.19390015646507469</v>
      </c>
      <c r="DH7" s="126">
        <f>Financials!CA11/Financials!CA4</f>
        <v>0.18823950063278283</v>
      </c>
      <c r="DI7" s="126">
        <f>Financials!CB11/Financials!CB4</f>
        <v>0.18590867026636868</v>
      </c>
      <c r="DJ7" s="126">
        <f>Financials!CC11/Financials!CC4</f>
        <v>0.18248367309340321</v>
      </c>
      <c r="DK7" s="126">
        <f>Financials!CD11/Financials!CD4</f>
        <v>0.17879337261531869</v>
      </c>
      <c r="DL7" s="126">
        <f>Financials!CE11/Financials!CE4</f>
        <v>0.17951890845636023</v>
      </c>
      <c r="DM7" s="126">
        <f>Financials!CF11/Financials!CF4</f>
        <v>0.19086253784826532</v>
      </c>
      <c r="DN7" s="126">
        <f>Financials!CG11/Financials!CG4</f>
        <v>0.18167119660141631</v>
      </c>
      <c r="DO7" s="126">
        <f>Financials!CH11/Financials!CH4</f>
        <v>0.17640991407358209</v>
      </c>
      <c r="DP7" s="126">
        <f>Financials!CI11/Financials!CI4</f>
        <v>0.18236647794199046</v>
      </c>
      <c r="DQ7" s="126">
        <f>Financials!CJ11/Financials!CJ4</f>
        <v>0.18200662536707854</v>
      </c>
      <c r="DR7" s="126">
        <f>Financials!CK11/Financials!CK4</f>
        <v>0.17972213600068895</v>
      </c>
      <c r="DS7" s="126">
        <f>Financials!CL11/Financials!CL4</f>
        <v>0.18501956019901694</v>
      </c>
      <c r="DT7" s="126">
        <f>Financials!CM11/Financials!CM4</f>
        <v>0.18216332974213978</v>
      </c>
      <c r="DU7" s="126">
        <f>Financials!CN11/Financials!CN4</f>
        <v>0.18117330623346592</v>
      </c>
    </row>
    <row r="8" spans="1:125" s="104" customFormat="1" ht="12.75">
      <c r="A8" s="121" t="s">
        <v>334</v>
      </c>
      <c r="B8" s="122" t="s">
        <v>335</v>
      </c>
      <c r="C8" s="123" t="s">
        <v>336</v>
      </c>
      <c r="D8" s="126" t="e">
        <f>[2]Financials!C13/[2]Financials!C6</f>
        <v>#DIV/0!</v>
      </c>
      <c r="E8" s="126" t="e">
        <f>[2]Financials!D13/[2]Financials!D6</f>
        <v>#DIV/0!</v>
      </c>
      <c r="F8" s="126" t="e">
        <f>[2]Financials!E13/[2]Financials!E6</f>
        <v>#DIV/0!</v>
      </c>
      <c r="G8" s="126" t="e">
        <f>[2]Financials!F13/[2]Financials!F6</f>
        <v>#DIV/0!</v>
      </c>
      <c r="H8" s="126" t="e">
        <f>[2]Financials!G13/[2]Financials!G6</f>
        <v>#DIV/0!</v>
      </c>
      <c r="I8" s="126" t="e">
        <f>[2]Financials!H13/[2]Financials!H6</f>
        <v>#DIV/0!</v>
      </c>
      <c r="J8" s="126" t="e">
        <f>[2]Financials!I13/[2]Financials!I6</f>
        <v>#DIV/0!</v>
      </c>
      <c r="K8" s="126">
        <f>[2]Financials!J13/[2]Financials!J6</f>
        <v>0.10894732309086617</v>
      </c>
      <c r="L8" s="126">
        <f>[2]Financials!K13/[2]Financials!K6</f>
        <v>0.20463275015095775</v>
      </c>
      <c r="M8" s="126">
        <f>[2]Financials!L13/[2]Financials!L6</f>
        <v>0.21374638075163849</v>
      </c>
      <c r="N8" s="126">
        <f>[2]Financials!M13/[2]Financials!M6</f>
        <v>0.22231892926879418</v>
      </c>
      <c r="O8" s="126">
        <f>[2]Financials!N13/[2]Financials!N6</f>
        <v>0.21917246054976439</v>
      </c>
      <c r="P8" s="126">
        <f>[2]Financials!O13/[2]Financials!O6</f>
        <v>0.24269055250525973</v>
      </c>
      <c r="Q8" s="126">
        <f>[2]Financials!P13/[2]Financials!P6</f>
        <v>0.25909726331697541</v>
      </c>
      <c r="R8" s="126">
        <f>[2]Financials!Q13/[2]Financials!Q6</f>
        <v>0.26824886875838105</v>
      </c>
      <c r="S8" s="126">
        <f>[2]Financials!R13/[2]Financials!R6</f>
        <v>0.279997768299101</v>
      </c>
      <c r="T8" s="126">
        <f>[2]Financials!S13/[2]Financials!S6</f>
        <v>0.29139385351375513</v>
      </c>
      <c r="U8" s="126">
        <f>[2]Financials!T13/[2]Financials!T6</f>
        <v>0.30002874157346954</v>
      </c>
      <c r="V8" s="126">
        <f>[2]Financials!U13/[2]Financials!U6</f>
        <v>0.3029121939230251</v>
      </c>
      <c r="W8" s="126">
        <f>[2]Financials!V13/[2]Financials!V6</f>
        <v>0.31217325258486711</v>
      </c>
      <c r="X8" s="126">
        <f>[2]Financials!W13/[2]Financials!W6</f>
        <v>0.19784749401894583</v>
      </c>
      <c r="Y8" s="126">
        <f>[2]Financials!X13/[2]Financials!X6</f>
        <v>0.31913831833742662</v>
      </c>
      <c r="Z8" s="126">
        <f>[2]Financials!Y13/[2]Financials!Y6</f>
        <v>0.22402372367384907</v>
      </c>
      <c r="AA8" s="126">
        <f>[2]Financials!Z13/[2]Financials!Z6</f>
        <v>0.21327025353702819</v>
      </c>
      <c r="AB8" s="126">
        <f>[2]Financials!AA13/[2]Financials!AA6</f>
        <v>0.23238021140342432</v>
      </c>
      <c r="AC8" s="126">
        <f>[2]Financials!AB13/[2]Financials!AB6</f>
        <v>0.24641229073328863</v>
      </c>
      <c r="AD8" s="126">
        <f>[2]Financials!AC13/[2]Financials!AC6</f>
        <v>0.25788861903869126</v>
      </c>
      <c r="AE8" s="126">
        <f>[2]Financials!AD13/[2]Financials!AD6</f>
        <v>0.27248016624999494</v>
      </c>
      <c r="AF8" s="126">
        <f>[2]Financials!AE13/[2]Financials!AE6</f>
        <v>0.28710480326571508</v>
      </c>
      <c r="AG8" s="126">
        <f>[2]Financials!AF13/[2]Financials!AF6</f>
        <v>0.30056105147688689</v>
      </c>
      <c r="AH8" s="126">
        <f>[2]Financials!AG13/[2]Financials!AG6</f>
        <v>0.30769870104243524</v>
      </c>
      <c r="AI8" s="126">
        <f>[2]Financials!AH13/[2]Financials!AH6</f>
        <v>0.30919974425182817</v>
      </c>
      <c r="AJ8" s="126">
        <f>[2]Financials!AI13/[2]Financials!AI6</f>
        <v>0.31853330888525344</v>
      </c>
      <c r="AK8" s="126" t="e">
        <f>Financials!D11/Financials!D5</f>
        <v>#REF!</v>
      </c>
      <c r="AL8" s="126" t="e">
        <f>Financials!E11/Financials!E5</f>
        <v>#REF!</v>
      </c>
      <c r="AM8" s="126" t="e">
        <f>Financials!F11/Financials!F5</f>
        <v>#REF!</v>
      </c>
      <c r="AN8" s="126" t="e">
        <f>Financials!G11/Financials!G5</f>
        <v>#REF!</v>
      </c>
      <c r="AO8" s="126" t="e">
        <f>Financials!H11/Financials!H5</f>
        <v>#REF!</v>
      </c>
      <c r="AP8" s="126" t="e">
        <f>Financials!I11/Financials!I5</f>
        <v>#REF!</v>
      </c>
      <c r="AQ8" s="126" t="e">
        <f>Financials!J11/Financials!J5</f>
        <v>#REF!</v>
      </c>
      <c r="AR8" s="126" t="e">
        <f>Financials!K11/Financials!K5</f>
        <v>#REF!</v>
      </c>
      <c r="AS8" s="126" t="e">
        <f>Financials!L11/Financials!L5</f>
        <v>#REF!</v>
      </c>
      <c r="AT8" s="126" t="e">
        <f>Financials!M11/Financials!M5</f>
        <v>#REF!</v>
      </c>
      <c r="AU8" s="126" t="e">
        <f>Financials!N11/Financials!N5</f>
        <v>#REF!</v>
      </c>
      <c r="AV8" s="126" t="e">
        <f>Financials!O11/Financials!O5</f>
        <v>#REF!</v>
      </c>
      <c r="AW8" s="126" t="e">
        <f>Financials!P11/Financials!P5</f>
        <v>#REF!</v>
      </c>
      <c r="AX8" s="126" t="e">
        <f>Financials!Q11/Financials!Q5</f>
        <v>#REF!</v>
      </c>
      <c r="AY8" s="126" t="e">
        <f>Financials!R11/Financials!R5</f>
        <v>#REF!</v>
      </c>
      <c r="AZ8" s="126" t="e">
        <f>Financials!S11/Financials!S5</f>
        <v>#REF!</v>
      </c>
      <c r="BA8" s="126" t="e">
        <f>Financials!T11/Financials!T5</f>
        <v>#REF!</v>
      </c>
      <c r="BB8" s="126" t="e">
        <f>Financials!U11/Financials!U5</f>
        <v>#REF!</v>
      </c>
      <c r="BC8" s="126" t="e">
        <f>Financials!V11/Financials!V5</f>
        <v>#REF!</v>
      </c>
      <c r="BD8" s="126" t="e">
        <f>Financials!W11/Financials!W5</f>
        <v>#REF!</v>
      </c>
      <c r="BE8" s="126" t="e">
        <f>Financials!X11/Financials!X5</f>
        <v>#REF!</v>
      </c>
      <c r="BF8" s="126" t="e">
        <f>Financials!Y11/Financials!Y5</f>
        <v>#REF!</v>
      </c>
      <c r="BG8" s="126" t="e">
        <f>Financials!Z11/Financials!Z5</f>
        <v>#REF!</v>
      </c>
      <c r="BH8" s="126" t="e">
        <f>Financials!AA11/Financials!AA5</f>
        <v>#REF!</v>
      </c>
      <c r="BI8" s="126" t="e">
        <f>Financials!AB11/Financials!AB5</f>
        <v>#REF!</v>
      </c>
      <c r="BJ8" s="126" t="e">
        <f>Financials!AC11/Financials!AC5</f>
        <v>#REF!</v>
      </c>
      <c r="BK8" s="126" t="e">
        <f>Financials!AD11/Financials!AD5</f>
        <v>#REF!</v>
      </c>
      <c r="BL8" s="126" t="e">
        <f>Financials!AE11/Financials!AE5</f>
        <v>#REF!</v>
      </c>
      <c r="BM8" s="126" t="e">
        <f>Financials!AF11/Financials!AF5</f>
        <v>#REF!</v>
      </c>
      <c r="BN8" s="126" t="e">
        <f>Financials!AG11/Financials!AG5</f>
        <v>#REF!</v>
      </c>
      <c r="BO8" s="126" t="e">
        <f>Financials!AH11/Financials!AH5</f>
        <v>#REF!</v>
      </c>
      <c r="BP8" s="126" t="e">
        <f>Financials!AI11/Financials!AI5</f>
        <v>#REF!</v>
      </c>
      <c r="BQ8" s="126" t="e">
        <f>Financials!AJ11/Financials!AJ5</f>
        <v>#REF!</v>
      </c>
      <c r="BR8" s="126" t="e">
        <f>Financials!AK11/Financials!AK5</f>
        <v>#REF!</v>
      </c>
      <c r="BS8" s="126" t="e">
        <f>Financials!AL11/Financials!AL5</f>
        <v>#REF!</v>
      </c>
      <c r="BT8" s="126" t="e">
        <f>Financials!AM11/Financials!AM5</f>
        <v>#REF!</v>
      </c>
      <c r="BU8" s="126" t="e">
        <f>Financials!AN11/Financials!AN5</f>
        <v>#REF!</v>
      </c>
      <c r="BV8" s="126" t="e">
        <f>Financials!AO11/Financials!AO5</f>
        <v>#REF!</v>
      </c>
      <c r="BW8" s="126" t="e">
        <f>Financials!AP11/Financials!AP5</f>
        <v>#REF!</v>
      </c>
      <c r="BX8" s="126" t="e">
        <f>Financials!AQ11/Financials!AQ5</f>
        <v>#REF!</v>
      </c>
      <c r="BY8" s="126" t="e">
        <f>Financials!AR11/Financials!AR5</f>
        <v>#REF!</v>
      </c>
      <c r="BZ8" s="126">
        <f>Financials!AS11/Financials!AS5</f>
        <v>0.13695210923113643</v>
      </c>
      <c r="CA8" s="126">
        <f>Financials!AT11/Financials!AT5</f>
        <v>0.29375864469679192</v>
      </c>
      <c r="CB8" s="126">
        <f>Financials!AU11/Financials!AU5</f>
        <v>0.26681072898361025</v>
      </c>
      <c r="CC8" s="126">
        <f>Financials!AV11/Financials!AV5</f>
        <v>0.25073544056202629</v>
      </c>
      <c r="CD8" s="126">
        <f>Financials!AW11/Financials!AW5</f>
        <v>0.26922685953777747</v>
      </c>
      <c r="CE8" s="126">
        <f>Financials!AX11/Financials!AX5</f>
        <v>0.28684965744407809</v>
      </c>
      <c r="CF8" s="126">
        <f>Financials!AY11/Financials!AY5</f>
        <v>0.26354963334235354</v>
      </c>
      <c r="CG8" s="126" t="e">
        <f>Financials!AZ11/Financials!AZ5</f>
        <v>#REF!</v>
      </c>
      <c r="CH8" s="126">
        <f>Financials!BA11/Financials!BA5</f>
        <v>0.26234158677562869</v>
      </c>
      <c r="CI8" s="126">
        <f>Financials!BB11/Financials!BB5</f>
        <v>0.26561741241434311</v>
      </c>
      <c r="CJ8" s="126">
        <f>Financials!BC11/Financials!BC5</f>
        <v>0.26902997339317619</v>
      </c>
      <c r="CK8" s="126">
        <f>Financials!BD11/Financials!BD5</f>
        <v>0.26404446479355947</v>
      </c>
      <c r="CL8" s="126">
        <f>Financials!BE11/Financials!BE5</f>
        <v>0.27553761312344288</v>
      </c>
      <c r="CM8" s="126">
        <f>Financials!BF11/Financials!BF5</f>
        <v>0.29080698000434962</v>
      </c>
      <c r="CN8" s="126">
        <f>Financials!BG11/Financials!BG5</f>
        <v>0.27144694411850595</v>
      </c>
      <c r="CO8" s="126">
        <f>Financials!BH11/Financials!BH5</f>
        <v>0.26001767703910361</v>
      </c>
      <c r="CP8" s="126">
        <f>Financials!BI11/Financials!BI5</f>
        <v>0.24912087644262071</v>
      </c>
      <c r="CQ8" s="126">
        <f>Financials!BJ11/Financials!BJ5</f>
        <v>0.2662933748089425</v>
      </c>
      <c r="CR8" s="126">
        <f>Financials!BK11/Financials!BK5</f>
        <v>0.26511291042171548</v>
      </c>
      <c r="CS8" s="126">
        <f>Financials!BL11/Financials!BL5</f>
        <v>0.26996817578343429</v>
      </c>
      <c r="CT8" s="126">
        <f>Financials!BM11/Financials!BM5</f>
        <v>0.25995123330920972</v>
      </c>
      <c r="CU8" s="126">
        <f>Financials!BN11/Financials!BN5</f>
        <v>0.25670165675878243</v>
      </c>
      <c r="CV8" s="126">
        <f>Financials!BO11/Financials!BO5</f>
        <v>0.27262721103606696</v>
      </c>
      <c r="CW8" s="126">
        <f>Financials!BP11/Financials!BP5</f>
        <v>0.27323139950477221</v>
      </c>
      <c r="CX8" s="126">
        <f>Financials!BQ11/Financials!BQ5</f>
        <v>0.27544585963330714</v>
      </c>
      <c r="CY8" s="126">
        <f>Financials!BR11/Financials!BR5</f>
        <v>0.28283640755843331</v>
      </c>
      <c r="CZ8" s="126">
        <f>Financials!BS11/Financials!BS5</f>
        <v>0.29322833135178983</v>
      </c>
      <c r="DA8" s="126">
        <f>Financials!BT11/Financials!BT5</f>
        <v>0.28455770718550055</v>
      </c>
      <c r="DB8" s="126">
        <f>Financials!BU11/Financials!BU5</f>
        <v>0.28400621789215957</v>
      </c>
      <c r="DC8" s="126">
        <f>Financials!BV11/Financials!BV5</f>
        <v>0.28187876722063321</v>
      </c>
      <c r="DD8" s="126">
        <f>Financials!BW11/Financials!BW5</f>
        <v>0.28239632015837812</v>
      </c>
      <c r="DE8" s="126">
        <f>Financials!BX11/Financials!BX5</f>
        <v>0.27983563691571489</v>
      </c>
      <c r="DF8" s="126">
        <f>Financials!BY11/Financials!BY5</f>
        <v>0.29528395902785171</v>
      </c>
      <c r="DG8" s="126">
        <f>Financials!BZ11/Financials!BZ5</f>
        <v>0.29411526692642137</v>
      </c>
      <c r="DH8" s="126">
        <f>Financials!CA11/Financials!CA5</f>
        <v>0.2907284400493842</v>
      </c>
      <c r="DI8" s="126">
        <f>Financials!CB11/Financials!CB5</f>
        <v>0.29294167289062178</v>
      </c>
      <c r="DJ8" s="126">
        <f>Financials!CC11/Financials!CC5</f>
        <v>0.2928596575339944</v>
      </c>
      <c r="DK8" s="126">
        <f>Financials!CD11/Financials!CD5</f>
        <v>0.29168960340195521</v>
      </c>
      <c r="DL8" s="126">
        <f>Financials!CE11/Financials!CE5</f>
        <v>0.29905224935979724</v>
      </c>
      <c r="DM8" s="126">
        <f>Financials!CF11/Financials!CF5</f>
        <v>0.26645014259502969</v>
      </c>
      <c r="DN8" s="126">
        <f>Financials!CG11/Financials!CG5</f>
        <v>0.25420937976694269</v>
      </c>
      <c r="DO8" s="126">
        <f>Financials!CH11/Financials!CH5</f>
        <v>0.24718616212047057</v>
      </c>
      <c r="DP8" s="126">
        <f>Financials!CI11/Financials!CI5</f>
        <v>0.236592527657535</v>
      </c>
      <c r="DQ8" s="126">
        <f>Financials!CJ11/Financials!CJ5</f>
        <v>0.23677336718548658</v>
      </c>
      <c r="DR8" s="126">
        <f>Financials!CK11/Financials!CK5</f>
        <v>0.2350868722925393</v>
      </c>
      <c r="DS8" s="126">
        <f>Financials!CL11/Financials!CL5</f>
        <v>0.2463052228791289</v>
      </c>
      <c r="DT8" s="126">
        <f>Financials!CM11/Financials!CM5</f>
        <v>0.24266052291698373</v>
      </c>
      <c r="DU8" s="126">
        <f>Financials!CN11/Financials!CN5</f>
        <v>0.24202992771991413</v>
      </c>
    </row>
    <row r="9" spans="1:125" s="104" customFormat="1" ht="12.75">
      <c r="A9" s="127" t="s">
        <v>337</v>
      </c>
      <c r="B9" s="122" t="s">
        <v>338</v>
      </c>
      <c r="C9" s="123" t="s">
        <v>339</v>
      </c>
      <c r="D9" s="126" t="e">
        <f>[2]Financials!C17/[2]Financials!C5</f>
        <v>#DIV/0!</v>
      </c>
      <c r="E9" s="126" t="e">
        <f>[2]Financials!D17/[2]Financials!D5</f>
        <v>#DIV/0!</v>
      </c>
      <c r="F9" s="126" t="e">
        <f>[2]Financials!E17/[2]Financials!E5</f>
        <v>#DIV/0!</v>
      </c>
      <c r="G9" s="126" t="e">
        <f>[2]Financials!F17/[2]Financials!F5</f>
        <v>#DIV/0!</v>
      </c>
      <c r="H9" s="126" t="e">
        <f>[2]Financials!G17/[2]Financials!G5</f>
        <v>#DIV/0!</v>
      </c>
      <c r="I9" s="126" t="e">
        <f>[2]Financials!H17/[2]Financials!H5</f>
        <v>#DIV/0!</v>
      </c>
      <c r="J9" s="126" t="e">
        <f>[2]Financials!I17/[2]Financials!I5</f>
        <v>#DIV/0!</v>
      </c>
      <c r="K9" s="126">
        <f>[2]Financials!J17/[2]Financials!J5</f>
        <v>1.2974220968686187E-2</v>
      </c>
      <c r="L9" s="126">
        <f>[2]Financials!K17/[2]Financials!K5</f>
        <v>1.1854125391207499E-2</v>
      </c>
      <c r="M9" s="126">
        <f>[2]Financials!L17/[2]Financials!L5</f>
        <v>1.1596285809433185E-2</v>
      </c>
      <c r="N9" s="126">
        <f>[2]Financials!M17/[2]Financials!M5</f>
        <v>1.1123412520771018E-2</v>
      </c>
      <c r="O9" s="126">
        <f>[2]Financials!N17/[2]Financials!N5</f>
        <v>6.4459426692138347E-2</v>
      </c>
      <c r="P9" s="126">
        <f>[2]Financials!O17/[2]Financials!O5</f>
        <v>6.5563217452253825E-2</v>
      </c>
      <c r="Q9" s="126">
        <f>[2]Financials!P17/[2]Financials!P5</f>
        <v>6.5325621552472832E-2</v>
      </c>
      <c r="R9" s="126">
        <f>[2]Financials!Q17/[2]Financials!Q5</f>
        <v>6.3921016436060962E-2</v>
      </c>
      <c r="S9" s="126">
        <f>[2]Financials!R17/[2]Financials!R5</f>
        <v>6.2872219596898607E-2</v>
      </c>
      <c r="T9" s="126">
        <f>[2]Financials!S17/[2]Financials!S5</f>
        <v>6.2066920917717677E-2</v>
      </c>
      <c r="U9" s="126">
        <f>[2]Financials!T17/[2]Financials!T5</f>
        <v>6.0148169971152986E-2</v>
      </c>
      <c r="V9" s="126">
        <f>[2]Financials!U17/[2]Financials!U5</f>
        <v>5.9026734746268225E-2</v>
      </c>
      <c r="W9" s="126">
        <f>[2]Financials!V17/[2]Financials!V5</f>
        <v>5.8960114134130784E-2</v>
      </c>
      <c r="X9" s="126">
        <f>[2]Financials!W17/[2]Financials!W5</f>
        <v>5.9733012023684091E-2</v>
      </c>
      <c r="Y9" s="126">
        <f>[2]Financials!X17/[2]Financials!X5</f>
        <v>5.6796293519764014E-2</v>
      </c>
      <c r="Z9" s="126">
        <f>[2]Financials!Y17/[2]Financials!Y5</f>
        <v>5.9133685958313462E-2</v>
      </c>
      <c r="AA9" s="126">
        <f>[2]Financials!Z17/[2]Financials!Z5</f>
        <v>5.5410745075713121E-2</v>
      </c>
      <c r="AB9" s="126">
        <f>[2]Financials!AA17/[2]Financials!AA5</f>
        <v>5.6362711668195092E-2</v>
      </c>
      <c r="AC9" s="126">
        <f>[2]Financials!AB17/[2]Financials!AB5</f>
        <v>5.5914420557799008E-2</v>
      </c>
      <c r="AD9" s="126">
        <f>[2]Financials!AC17/[2]Financials!AC5</f>
        <v>5.388687573334211E-2</v>
      </c>
      <c r="AE9" s="126">
        <f>[2]Financials!AD17/[2]Financials!AD5</f>
        <v>5.300461946228608E-2</v>
      </c>
      <c r="AF9" s="126">
        <f>[2]Financials!AE17/[2]Financials!AE5</f>
        <v>5.0769747564842559E-2</v>
      </c>
      <c r="AG9" s="126">
        <f>[2]Financials!AF17/[2]Financials!AF5</f>
        <v>4.9915083062045E-2</v>
      </c>
      <c r="AH9" s="126">
        <f>[2]Financials!AG17/[2]Financials!AG5</f>
        <v>4.9067272297845431E-2</v>
      </c>
      <c r="AI9" s="126">
        <f>[2]Financials!AH17/[2]Financials!AH5</f>
        <v>4.7683799992793686E-2</v>
      </c>
      <c r="AJ9" s="126">
        <f>[2]Financials!AI17/[2]Financials!AI5</f>
        <v>4.6002918032266422E-2</v>
      </c>
      <c r="AK9" s="126" t="e">
        <f>Financials!D15/Financials!D4</f>
        <v>#REF!</v>
      </c>
      <c r="AL9" s="126" t="e">
        <f>Financials!E15/Financials!E4</f>
        <v>#REF!</v>
      </c>
      <c r="AM9" s="126" t="e">
        <f>Financials!F15/Financials!F4</f>
        <v>#REF!</v>
      </c>
      <c r="AN9" s="126" t="e">
        <f>Financials!G15/Financials!G4</f>
        <v>#REF!</v>
      </c>
      <c r="AO9" s="126" t="e">
        <f>Financials!H15/Financials!H4</f>
        <v>#REF!</v>
      </c>
      <c r="AP9" s="126" t="e">
        <f>Financials!I15/Financials!I4</f>
        <v>#REF!</v>
      </c>
      <c r="AQ9" s="126" t="e">
        <f>Financials!J15/Financials!J4</f>
        <v>#REF!</v>
      </c>
      <c r="AR9" s="126" t="e">
        <f>Financials!K15/Financials!K4</f>
        <v>#REF!</v>
      </c>
      <c r="AS9" s="126" t="e">
        <f>Financials!L15/Financials!L4</f>
        <v>#REF!</v>
      </c>
      <c r="AT9" s="126" t="e">
        <f>Financials!M15/Financials!M4</f>
        <v>#REF!</v>
      </c>
      <c r="AU9" s="126" t="e">
        <f>Financials!N15/Financials!N4</f>
        <v>#REF!</v>
      </c>
      <c r="AV9" s="126" t="e">
        <f>Financials!O15/Financials!O4</f>
        <v>#REF!</v>
      </c>
      <c r="AW9" s="126" t="e">
        <f>Financials!P15/Financials!P4</f>
        <v>#REF!</v>
      </c>
      <c r="AX9" s="126" t="e">
        <f>Financials!Q15/Financials!Q4</f>
        <v>#REF!</v>
      </c>
      <c r="AY9" s="126" t="e">
        <f>Financials!R15/Financials!R4</f>
        <v>#REF!</v>
      </c>
      <c r="AZ9" s="126" t="e">
        <f>Financials!S15/Financials!S4</f>
        <v>#REF!</v>
      </c>
      <c r="BA9" s="126" t="e">
        <f>Financials!T15/Financials!T4</f>
        <v>#REF!</v>
      </c>
      <c r="BB9" s="126" t="e">
        <f>Financials!U15/Financials!U4</f>
        <v>#REF!</v>
      </c>
      <c r="BC9" s="126" t="e">
        <f>Financials!V15/Financials!V4</f>
        <v>#REF!</v>
      </c>
      <c r="BD9" s="126" t="e">
        <f>Financials!W15/Financials!W4</f>
        <v>#REF!</v>
      </c>
      <c r="BE9" s="126" t="e">
        <f>Financials!X15/Financials!X4</f>
        <v>#REF!</v>
      </c>
      <c r="BF9" s="126" t="e">
        <f>Financials!Y15/Financials!Y4</f>
        <v>#REF!</v>
      </c>
      <c r="BG9" s="126" t="e">
        <f>Financials!Z15/Financials!Z4</f>
        <v>#REF!</v>
      </c>
      <c r="BH9" s="126" t="e">
        <f>Financials!AA15/Financials!AA4</f>
        <v>#REF!</v>
      </c>
      <c r="BI9" s="126" t="e">
        <f>Financials!AB15/Financials!AB4</f>
        <v>#REF!</v>
      </c>
      <c r="BJ9" s="126" t="e">
        <f>Financials!AC15/Financials!AC4</f>
        <v>#REF!</v>
      </c>
      <c r="BK9" s="126" t="e">
        <f>Financials!AD15/Financials!AD4</f>
        <v>#REF!</v>
      </c>
      <c r="BL9" s="126" t="e">
        <f>Financials!AE15/Financials!AE4</f>
        <v>#REF!</v>
      </c>
      <c r="BM9" s="126" t="e">
        <f>Financials!AF15/Financials!AF4</f>
        <v>#REF!</v>
      </c>
      <c r="BN9" s="126" t="e">
        <f>Financials!AG15/Financials!AG4</f>
        <v>#REF!</v>
      </c>
      <c r="BO9" s="126" t="e">
        <f>Financials!AH15/Financials!AH4</f>
        <v>#REF!</v>
      </c>
      <c r="BP9" s="126" t="e">
        <f>Financials!AI15/Financials!AI4</f>
        <v>#REF!</v>
      </c>
      <c r="BQ9" s="126" t="e">
        <f>Financials!AJ15/Financials!AJ4</f>
        <v>#REF!</v>
      </c>
      <c r="BR9" s="126" t="e">
        <f>Financials!AK15/Financials!AK4</f>
        <v>#REF!</v>
      </c>
      <c r="BS9" s="126" t="e">
        <f>Financials!AL15/Financials!AL4</f>
        <v>#REF!</v>
      </c>
      <c r="BT9" s="126" t="e">
        <f>Financials!AM15/Financials!AM4</f>
        <v>#REF!</v>
      </c>
      <c r="BU9" s="126" t="e">
        <f>Financials!AN15/Financials!AN4</f>
        <v>#REF!</v>
      </c>
      <c r="BV9" s="126" t="e">
        <f>Financials!AO15/Financials!AO4</f>
        <v>#REF!</v>
      </c>
      <c r="BW9" s="126" t="e">
        <f>Financials!AP15/Financials!AP4</f>
        <v>#REF!</v>
      </c>
      <c r="BX9" s="126" t="e">
        <f>Financials!AQ15/Financials!AQ4</f>
        <v>#REF!</v>
      </c>
      <c r="BY9" s="126" t="e">
        <f>Financials!AR15/Financials!AR4</f>
        <v>#REF!</v>
      </c>
      <c r="BZ9" s="126">
        <f>Financials!AS15/Financials!AS4</f>
        <v>6.4653643397453289E-2</v>
      </c>
      <c r="CA9" s="126">
        <f>Financials!AT15/Financials!AT4</f>
        <v>5.7632220558591921E-2</v>
      </c>
      <c r="CB9" s="126">
        <f>Financials!AU15/Financials!AU4</f>
        <v>5.8068336111371001E-2</v>
      </c>
      <c r="CC9" s="126">
        <f>Financials!AV15/Financials!AV4</f>
        <v>5.9574817316134648E-2</v>
      </c>
      <c r="CD9" s="126">
        <f>Financials!AW15/Financials!AW4</f>
        <v>5.8298990306065245E-2</v>
      </c>
      <c r="CE9" s="126">
        <f>Financials!AX15/Financials!AX4</f>
        <v>5.7166530043677305E-2</v>
      </c>
      <c r="CF9" s="126">
        <f>Financials!AY15/Financials!AY4</f>
        <v>5.7011645910370098E-2</v>
      </c>
      <c r="CG9" s="126" t="e">
        <f>Financials!AZ15/Financials!AZ4</f>
        <v>#REF!</v>
      </c>
      <c r="CH9" s="126">
        <f>Financials!BA15/Financials!BA4</f>
        <v>5.5585474195488774E-2</v>
      </c>
      <c r="CI9" s="126">
        <f>Financials!BB15/Financials!BB4</f>
        <v>5.5064511930533459E-2</v>
      </c>
      <c r="CJ9" s="126">
        <f>Financials!BC15/Financials!BC4</f>
        <v>5.4429397781414424E-2</v>
      </c>
      <c r="CK9" s="126">
        <f>Financials!BD15/Financials!BD4</f>
        <v>5.3659059328424304E-2</v>
      </c>
      <c r="CL9" s="126">
        <f>Financials!BE15/Financials!BE4</f>
        <v>5.2727916493417473E-2</v>
      </c>
      <c r="CM9" s="126">
        <f>Financials!BF15/Financials!BF4</f>
        <v>5.2877781590461061E-2</v>
      </c>
      <c r="CN9" s="126">
        <f>Financials!BG15/Financials!BG4</f>
        <v>5.2473348168262317E-2</v>
      </c>
      <c r="CO9" s="126">
        <f>Financials!BH15/Financials!BH4</f>
        <v>5.2324231067878577E-2</v>
      </c>
      <c r="CP9" s="126">
        <f>Financials!BI15/Financials!BI4</f>
        <v>5.3079493280391736E-2</v>
      </c>
      <c r="CQ9" s="126">
        <f>Financials!BJ15/Financials!BJ4</f>
        <v>5.2346718745067369E-2</v>
      </c>
      <c r="CR9" s="126">
        <f>Financials!BK15/Financials!BK4</f>
        <v>5.1959823256110357E-2</v>
      </c>
      <c r="CS9" s="126">
        <f>Financials!BL15/Financials!BL4</f>
        <v>5.1415061872980797E-2</v>
      </c>
      <c r="CT9" s="126">
        <f>Financials!BM15/Financials!BM4</f>
        <v>5.1043379394866494E-2</v>
      </c>
      <c r="CU9" s="126">
        <f>Financials!BN15/Financials!BN4</f>
        <v>5.0752729732024521E-2</v>
      </c>
      <c r="CV9" s="126">
        <f>Financials!BO15/Financials!BO4</f>
        <v>5.0239203510992848E-2</v>
      </c>
      <c r="CW9" s="126">
        <f>Financials!BP15/Financials!BP4</f>
        <v>4.9693634874298821E-2</v>
      </c>
      <c r="CX9" s="126">
        <f>Financials!BQ15/Financials!BQ4</f>
        <v>4.9116169393398926E-2</v>
      </c>
      <c r="CY9" s="126">
        <f>Financials!BR15/Financials!BR4</f>
        <v>4.8476192455253732E-2</v>
      </c>
      <c r="CZ9" s="126">
        <f>Financials!BS15/Financials!BS4</f>
        <v>4.8658826275287385E-2</v>
      </c>
      <c r="DA9" s="126">
        <f>Financials!BT15/Financials!BT4</f>
        <v>4.8071667300540431E-2</v>
      </c>
      <c r="DB9" s="126">
        <f>Financials!BU15/Financials!BU4</f>
        <v>4.7605236297422228E-2</v>
      </c>
      <c r="DC9" s="126">
        <f>Financials!BV15/Financials!BV4</f>
        <v>4.9395182082425292E-2</v>
      </c>
      <c r="DD9" s="126">
        <f>Financials!BW15/Financials!BW4</f>
        <v>4.9928141669325028E-2</v>
      </c>
      <c r="DE9" s="126">
        <f>Financials!BX15/Financials!BX4</f>
        <v>4.9190861216098301E-2</v>
      </c>
      <c r="DF9" s="126">
        <f>Financials!BY15/Financials!BY4</f>
        <v>4.7647100985666692E-2</v>
      </c>
      <c r="DG9" s="126">
        <f>Financials!BZ15/Financials!BZ4</f>
        <v>4.778052559472358E-2</v>
      </c>
      <c r="DH9" s="126">
        <f>Financials!CA15/Financials!CA4</f>
        <v>4.7264709523873093E-2</v>
      </c>
      <c r="DI9" s="126">
        <f>Financials!CB15/Financials!CB4</f>
        <v>4.657837997634031E-2</v>
      </c>
      <c r="DJ9" s="126">
        <f>Financials!CC15/Financials!CC4</f>
        <v>4.6002556806195277E-2</v>
      </c>
      <c r="DK9" s="126">
        <f>Financials!CD15/Financials!CD4</f>
        <v>4.5453843113849653E-2</v>
      </c>
      <c r="DL9" s="126">
        <f>Financials!CE15/Financials!CE4</f>
        <v>4.4821500707633417E-2</v>
      </c>
      <c r="DM9" s="126">
        <f>Financials!CF15/Financials!CF4</f>
        <v>4.4830876371871019E-2</v>
      </c>
      <c r="DN9" s="126">
        <f>Financials!CG15/Financials!CG4</f>
        <v>4.4144762445021267E-2</v>
      </c>
      <c r="DO9" s="126">
        <f>Financials!CH15/Financials!CH4</f>
        <v>4.3559502451724928E-2</v>
      </c>
      <c r="DP9" s="126">
        <f>Financials!CI15/Financials!CI4</f>
        <v>4.521576684286216E-2</v>
      </c>
      <c r="DQ9" s="126">
        <f>Financials!CJ15/Financials!CJ4</f>
        <v>4.5253567070399014E-2</v>
      </c>
      <c r="DR9" s="126">
        <f>Financials!CK15/Financials!CK4</f>
        <v>4.4750144213190256E-2</v>
      </c>
      <c r="DS9" s="126">
        <f>Financials!CL15/Financials!CL4</f>
        <v>4.3684096912587504E-2</v>
      </c>
      <c r="DT9" s="126">
        <f>Financials!CM15/Financials!CM4</f>
        <v>4.3509335439339922E-2</v>
      </c>
      <c r="DU9" s="126">
        <f>Financials!CN15/Financials!CN4</f>
        <v>4.3400804060234881E-2</v>
      </c>
    </row>
    <row r="10" spans="1:125" s="104" customFormat="1" ht="12.75">
      <c r="A10" s="127" t="s">
        <v>101</v>
      </c>
      <c r="B10" s="122" t="s">
        <v>335</v>
      </c>
      <c r="C10" s="123" t="s">
        <v>339</v>
      </c>
      <c r="D10" s="126" t="e">
        <f>[2]Financials!C14/[2]Financials!C5</f>
        <v>#DIV/0!</v>
      </c>
      <c r="E10" s="126" t="e">
        <f>[2]Financials!D14/[2]Financials!D5</f>
        <v>#DIV/0!</v>
      </c>
      <c r="F10" s="126" t="e">
        <f>[2]Financials!E14/[2]Financials!E5</f>
        <v>#DIV/0!</v>
      </c>
      <c r="G10" s="126" t="e">
        <f>[2]Financials!F14/[2]Financials!F5</f>
        <v>#DIV/0!</v>
      </c>
      <c r="H10" s="126" t="e">
        <f>[2]Financials!G14/[2]Financials!G5</f>
        <v>#DIV/0!</v>
      </c>
      <c r="I10" s="126" t="e">
        <f>[2]Financials!H14/[2]Financials!H5</f>
        <v>#DIV/0!</v>
      </c>
      <c r="J10" s="126" t="e">
        <f>[2]Financials!I14/[2]Financials!I5</f>
        <v>#DIV/0!</v>
      </c>
      <c r="K10" s="126">
        <f>[2]Financials!J14/[2]Financials!J5</f>
        <v>8.1786120475384597E-2</v>
      </c>
      <c r="L10" s="126">
        <f>[2]Financials!K14/[2]Financials!K5</f>
        <v>0.1541456345113712</v>
      </c>
      <c r="M10" s="126">
        <f>[2]Financials!L14/[2]Financials!L5</f>
        <v>0.16049409931588346</v>
      </c>
      <c r="N10" s="126">
        <f>[2]Financials!M14/[2]Financials!M5</f>
        <v>0.16302784361128492</v>
      </c>
      <c r="O10" s="126">
        <f>[2]Financials!N14/[2]Financials!N5</f>
        <v>0.10651986803723509</v>
      </c>
      <c r="P10" s="126">
        <f>[2]Financials!O14/[2]Financials!O5</f>
        <v>0.11806219486294578</v>
      </c>
      <c r="Q10" s="126">
        <f>[2]Financials!P14/[2]Financials!P5</f>
        <v>0.128677319646506</v>
      </c>
      <c r="R10" s="126">
        <f>[2]Financials!Q14/[2]Financials!Q5</f>
        <v>0.13570595497636126</v>
      </c>
      <c r="S10" s="126">
        <f>[2]Financials!R14/[2]Financials!R5</f>
        <v>0.14210472218229966</v>
      </c>
      <c r="T10" s="126">
        <f>[2]Financials!S14/[2]Financials!S5</f>
        <v>0.15068099785269073</v>
      </c>
      <c r="U10" s="126">
        <f>[2]Financials!T14/[2]Financials!T5</f>
        <v>0.15657167490885124</v>
      </c>
      <c r="V10" s="126">
        <f>[2]Financials!U14/[2]Financials!U5</f>
        <v>0.15995891297269541</v>
      </c>
      <c r="W10" s="126">
        <f>[2]Financials!V14/[2]Financials!V5</f>
        <v>0.16733554216443003</v>
      </c>
      <c r="X10" s="126">
        <f>[2]Financials!W14/[2]Financials!W5</f>
        <v>8.5576465040175423E-2</v>
      </c>
      <c r="Y10" s="126">
        <f>[2]Financials!X14/[2]Financials!X5</f>
        <v>0.17076913821575931</v>
      </c>
      <c r="Z10" s="126">
        <f>[2]Financials!Y14/[2]Financials!Y5</f>
        <v>0.10844528193728918</v>
      </c>
      <c r="AA10" s="126">
        <f>[2]Financials!Z14/[2]Financials!Z5</f>
        <v>9.501444160803417E-2</v>
      </c>
      <c r="AB10" s="126">
        <f>[2]Financials!AA14/[2]Financials!AA5</f>
        <v>0.11720610744050075</v>
      </c>
      <c r="AC10" s="126">
        <f>[2]Financials!AB14/[2]Financials!AB5</f>
        <v>0.12353600627096635</v>
      </c>
      <c r="AD10" s="126">
        <f>[2]Financials!AC14/[2]Financials!AC5</f>
        <v>0.12971340265845327</v>
      </c>
      <c r="AE10" s="126">
        <f>[2]Financials!AD14/[2]Financials!AD5</f>
        <v>0.14122969423493809</v>
      </c>
      <c r="AF10" s="126">
        <f>[2]Financials!AE14/[2]Financials!AE5</f>
        <v>0.14910438711891216</v>
      </c>
      <c r="AG10" s="126">
        <f>[2]Financials!AF14/[2]Financials!AF5</f>
        <v>0.15903519129985255</v>
      </c>
      <c r="AH10" s="126">
        <f>[2]Financials!AG14/[2]Financials!AG5</f>
        <v>0.16543642284921259</v>
      </c>
      <c r="AI10" s="126">
        <f>[2]Financials!AH14/[2]Financials!AH5</f>
        <v>0.16539710743732713</v>
      </c>
      <c r="AJ10" s="126">
        <f>[2]Financials!AI14/[2]Financials!AI5</f>
        <v>0.17001315109115134</v>
      </c>
      <c r="AK10" s="126" t="e">
        <f>Financials!D12/Financials!D4</f>
        <v>#REF!</v>
      </c>
      <c r="AL10" s="126" t="e">
        <f>Financials!E12/Financials!E4</f>
        <v>#REF!</v>
      </c>
      <c r="AM10" s="126" t="e">
        <f>Financials!F12/Financials!F4</f>
        <v>#REF!</v>
      </c>
      <c r="AN10" s="126" t="e">
        <f>Financials!G12/Financials!G4</f>
        <v>#REF!</v>
      </c>
      <c r="AO10" s="126" t="e">
        <f>Financials!H12/Financials!H4</f>
        <v>#REF!</v>
      </c>
      <c r="AP10" s="126" t="e">
        <f>Financials!I12/Financials!I4</f>
        <v>#REF!</v>
      </c>
      <c r="AQ10" s="126" t="e">
        <f>Financials!J12/Financials!J4</f>
        <v>#REF!</v>
      </c>
      <c r="AR10" s="126" t="e">
        <f>Financials!K12/Financials!K4</f>
        <v>#REF!</v>
      </c>
      <c r="AS10" s="126" t="e">
        <f>Financials!L12/Financials!L4</f>
        <v>#REF!</v>
      </c>
      <c r="AT10" s="126" t="e">
        <f>Financials!M12/Financials!M4</f>
        <v>#REF!</v>
      </c>
      <c r="AU10" s="126" t="e">
        <f>Financials!N12/Financials!N4</f>
        <v>#REF!</v>
      </c>
      <c r="AV10" s="126" t="e">
        <f>Financials!O12/Financials!O4</f>
        <v>#REF!</v>
      </c>
      <c r="AW10" s="126" t="e">
        <f>Financials!P12/Financials!P4</f>
        <v>#REF!</v>
      </c>
      <c r="AX10" s="126" t="e">
        <f>Financials!Q12/Financials!Q4</f>
        <v>#REF!</v>
      </c>
      <c r="AY10" s="126" t="e">
        <f>Financials!R12/Financials!R4</f>
        <v>#REF!</v>
      </c>
      <c r="AZ10" s="126" t="e">
        <f>Financials!S12/Financials!S4</f>
        <v>#REF!</v>
      </c>
      <c r="BA10" s="126" t="e">
        <f>Financials!T12/Financials!T4</f>
        <v>#REF!</v>
      </c>
      <c r="BB10" s="126" t="e">
        <f>Financials!U12/Financials!U4</f>
        <v>#REF!</v>
      </c>
      <c r="BC10" s="126" t="e">
        <f>Financials!V12/Financials!V4</f>
        <v>#REF!</v>
      </c>
      <c r="BD10" s="126" t="e">
        <f>Financials!W12/Financials!W4</f>
        <v>#REF!</v>
      </c>
      <c r="BE10" s="126" t="e">
        <f>Financials!X12/Financials!X4</f>
        <v>#REF!</v>
      </c>
      <c r="BF10" s="126" t="e">
        <f>Financials!Y12/Financials!Y4</f>
        <v>#REF!</v>
      </c>
      <c r="BG10" s="126" t="e">
        <f>Financials!Z12/Financials!Z4</f>
        <v>#REF!</v>
      </c>
      <c r="BH10" s="126" t="e">
        <f>Financials!AA12/Financials!AA4</f>
        <v>#REF!</v>
      </c>
      <c r="BI10" s="126" t="e">
        <f>Financials!AB12/Financials!AB4</f>
        <v>#REF!</v>
      </c>
      <c r="BJ10" s="126" t="e">
        <f>Financials!AC12/Financials!AC4</f>
        <v>#REF!</v>
      </c>
      <c r="BK10" s="126" t="e">
        <f>Financials!AD12/Financials!AD4</f>
        <v>#REF!</v>
      </c>
      <c r="BL10" s="126" t="e">
        <f>Financials!AE12/Financials!AE4</f>
        <v>#REF!</v>
      </c>
      <c r="BM10" s="126" t="e">
        <f>Financials!AF12/Financials!AF4</f>
        <v>#REF!</v>
      </c>
      <c r="BN10" s="126" t="e">
        <f>Financials!AG12/Financials!AG4</f>
        <v>#REF!</v>
      </c>
      <c r="BO10" s="126" t="e">
        <f>Financials!AH12/Financials!AH4</f>
        <v>#REF!</v>
      </c>
      <c r="BP10" s="126" t="e">
        <f>Financials!AI12/Financials!AI4</f>
        <v>#REF!</v>
      </c>
      <c r="BQ10" s="126" t="e">
        <f>Financials!AJ12/Financials!AJ4</f>
        <v>#REF!</v>
      </c>
      <c r="BR10" s="126" t="e">
        <f>Financials!AK12/Financials!AK4</f>
        <v>#REF!</v>
      </c>
      <c r="BS10" s="126" t="e">
        <f>Financials!AL12/Financials!AL4</f>
        <v>#REF!</v>
      </c>
      <c r="BT10" s="126" t="e">
        <f>Financials!AM12/Financials!AM4</f>
        <v>#REF!</v>
      </c>
      <c r="BU10" s="126" t="e">
        <f>Financials!AN12/Financials!AN4</f>
        <v>#REF!</v>
      </c>
      <c r="BV10" s="126" t="e">
        <f>Financials!AO12/Financials!AO4</f>
        <v>#REF!</v>
      </c>
      <c r="BW10" s="126" t="e">
        <f>Financials!AP12/Financials!AP4</f>
        <v>#REF!</v>
      </c>
      <c r="BX10" s="126" t="e">
        <f>Financials!AQ12/Financials!AQ4</f>
        <v>#REF!</v>
      </c>
      <c r="BY10" s="126" t="e">
        <f>Financials!AR12/Financials!AR4</f>
        <v>#REF!</v>
      </c>
      <c r="BZ10" s="126">
        <f>Financials!AS12/Financials!AS4</f>
        <v>5.5632233555240544E-2</v>
      </c>
      <c r="CA10" s="126">
        <f>Financials!AT12/Financials!AT4</f>
        <v>0.14449332835345388</v>
      </c>
      <c r="CB10" s="126">
        <f>Financials!AU12/Financials!AU4</f>
        <v>0.1280849082245919</v>
      </c>
      <c r="CC10" s="126">
        <f>Financials!AV12/Financials!AV4</f>
        <v>0.12861665990101284</v>
      </c>
      <c r="CD10" s="126">
        <f>Financials!AW12/Financials!AW4</f>
        <v>0.1409831203536708</v>
      </c>
      <c r="CE10" s="126">
        <f>Financials!AX12/Financials!AX4</f>
        <v>0.15087391630458108</v>
      </c>
      <c r="CF10" s="126">
        <f>Financials!AY12/Financials!AY4</f>
        <v>0.13559419306835968</v>
      </c>
      <c r="CG10" s="126" t="e">
        <f>Financials!AZ12/Financials!AZ4</f>
        <v>#REF!</v>
      </c>
      <c r="CH10" s="126">
        <f>Financials!BA12/Financials!BA4</f>
        <v>0.13415400102323605</v>
      </c>
      <c r="CI10" s="126">
        <f>Financials!BB12/Financials!BB4</f>
        <v>0.13501356391956856</v>
      </c>
      <c r="CJ10" s="126">
        <f>Financials!BC12/Financials!BC4</f>
        <v>0.13594650417325752</v>
      </c>
      <c r="CK10" s="126">
        <f>Financials!BD12/Financials!BD4</f>
        <v>0.13214598915155196</v>
      </c>
      <c r="CL10" s="126">
        <f>Financials!BE12/Financials!BE4</f>
        <v>0.13822879575165942</v>
      </c>
      <c r="CM10" s="126">
        <f>Financials!BF12/Financials!BF4</f>
        <v>0.1511413929516833</v>
      </c>
      <c r="CN10" s="126">
        <f>Financials!BG12/Financials!BG4</f>
        <v>0.13667968058201477</v>
      </c>
      <c r="CO10" s="126">
        <f>Financials!BH12/Financials!BH4</f>
        <v>0.13039206005499795</v>
      </c>
      <c r="CP10" s="126">
        <f>Financials!BI12/Financials!BI4</f>
        <v>0.13548311662852236</v>
      </c>
      <c r="CQ10" s="126">
        <f>Financials!BJ12/Financials!BJ4</f>
        <v>0.1461832932369613</v>
      </c>
      <c r="CR10" s="126">
        <f>Financials!BK12/Financials!BK4</f>
        <v>0.14442081366965365</v>
      </c>
      <c r="CS10" s="126">
        <f>Financials!BL12/Financials!BL4</f>
        <v>0.14785557854307463</v>
      </c>
      <c r="CT10" s="126">
        <f>Financials!BM12/Financials!BM4</f>
        <v>0.13970067914316892</v>
      </c>
      <c r="CU10" s="126">
        <f>Financials!BN12/Financials!BN4</f>
        <v>0.13601256723610819</v>
      </c>
      <c r="CV10" s="126">
        <f>Financials!BO12/Financials!BO4</f>
        <v>0.14621536450549774</v>
      </c>
      <c r="CW10" s="126">
        <f>Financials!BP12/Financials!BP4</f>
        <v>0.14571552831118642</v>
      </c>
      <c r="CX10" s="126">
        <f>Financials!BQ12/Financials!BQ4</f>
        <v>0.14575368273524417</v>
      </c>
      <c r="CY10" s="126">
        <f>Financials!BR12/Financials!BR4</f>
        <v>0.15011619812377891</v>
      </c>
      <c r="CZ10" s="126">
        <f>Financials!BS12/Financials!BS4</f>
        <v>0.15788674434741756</v>
      </c>
      <c r="DA10" s="126">
        <f>Financials!BT12/Financials!BT4</f>
        <v>0.14990903769905162</v>
      </c>
      <c r="DB10" s="126">
        <f>Financials!BU12/Financials!BU4</f>
        <v>0.14728312260004958</v>
      </c>
      <c r="DC10" s="126">
        <f>Financials!BV12/Financials!BV4</f>
        <v>0.14772496096354973</v>
      </c>
      <c r="DD10" s="126">
        <f>Financials!BW12/Financials!BW4</f>
        <v>0.14779315208040181</v>
      </c>
      <c r="DE10" s="126">
        <f>Financials!BX12/Financials!BX4</f>
        <v>0.14351296710033401</v>
      </c>
      <c r="DF10" s="126">
        <f>Financials!BY12/Financials!BY4</f>
        <v>0.14931344182451897</v>
      </c>
      <c r="DG10" s="126">
        <f>Financials!BZ12/Financials!BZ4</f>
        <v>0.14611963087035112</v>
      </c>
      <c r="DH10" s="126">
        <f>Financials!CA12/Financials!CA4</f>
        <v>0.14097479110890976</v>
      </c>
      <c r="DI10" s="126">
        <f>Financials!CB12/Financials!CB4</f>
        <v>0.13933029029002836</v>
      </c>
      <c r="DJ10" s="126">
        <f>Financials!CC12/Financials!CC4</f>
        <v>0.13648111628720791</v>
      </c>
      <c r="DK10" s="126">
        <f>Financials!CD12/Financials!CD4</f>
        <v>0.13333952950146905</v>
      </c>
      <c r="DL10" s="126">
        <f>Financials!CE12/Financials!CE4</f>
        <v>0.13469740774872682</v>
      </c>
      <c r="DM10" s="126">
        <f>Financials!CF12/Financials!CF4</f>
        <v>0.14603166147639429</v>
      </c>
      <c r="DN10" s="126">
        <f>Financials!CG12/Financials!CG4</f>
        <v>0.13752643415639507</v>
      </c>
      <c r="DO10" s="126">
        <f>Financials!CH12/Financials!CH4</f>
        <v>0.13285041162185715</v>
      </c>
      <c r="DP10" s="126">
        <f>Financials!CI12/Financials!CI4</f>
        <v>0.13715071109912833</v>
      </c>
      <c r="DQ10" s="126">
        <f>Financials!CJ12/Financials!CJ4</f>
        <v>0.13675305829667952</v>
      </c>
      <c r="DR10" s="126">
        <f>Financials!CK12/Financials!CK4</f>
        <v>0.13497199178749872</v>
      </c>
      <c r="DS10" s="126">
        <f>Financials!CL12/Financials!CL4</f>
        <v>0.14133546328642946</v>
      </c>
      <c r="DT10" s="126">
        <f>Financials!CM12/Financials!CM4</f>
        <v>0.13865399430279987</v>
      </c>
      <c r="DU10" s="126">
        <f>Financials!CN12/Financials!CN4</f>
        <v>0.13777250217323106</v>
      </c>
    </row>
    <row r="11" spans="1:125" s="104" customFormat="1" ht="12.75">
      <c r="A11" s="121"/>
      <c r="B11" s="128"/>
      <c r="C11" s="129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  <c r="DK11" s="126"/>
      <c r="DL11" s="126"/>
      <c r="DM11" s="126"/>
      <c r="DN11" s="126"/>
      <c r="DO11" s="126"/>
      <c r="DP11" s="126"/>
      <c r="DQ11" s="126"/>
      <c r="DR11" s="126"/>
      <c r="DS11" s="126"/>
      <c r="DT11" s="126"/>
      <c r="DU11" s="126"/>
    </row>
    <row r="12" spans="1:125" s="104" customFormat="1">
      <c r="A12" s="117" t="s">
        <v>340</v>
      </c>
      <c r="B12" s="118"/>
      <c r="C12" s="11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0"/>
      <c r="DU12" s="120"/>
    </row>
    <row r="13" spans="1:125" s="104" customFormat="1">
      <c r="A13" s="117" t="s">
        <v>341</v>
      </c>
      <c r="B13" s="118"/>
      <c r="C13" s="119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120"/>
      <c r="DN13" s="120"/>
      <c r="DO13" s="120"/>
      <c r="DP13" s="120"/>
      <c r="DQ13" s="120"/>
      <c r="DR13" s="120"/>
      <c r="DS13" s="120"/>
      <c r="DT13" s="120"/>
      <c r="DU13" s="120"/>
    </row>
    <row r="14" spans="1:125" s="104" customFormat="1" ht="12.75">
      <c r="A14" s="127" t="s">
        <v>342</v>
      </c>
      <c r="B14" s="122" t="s">
        <v>343</v>
      </c>
      <c r="C14" s="123">
        <v>48.1</v>
      </c>
      <c r="D14" s="126" t="e">
        <f>[2]Financials!C38/[2]Financials!C5</f>
        <v>#DIV/0!</v>
      </c>
      <c r="E14" s="126" t="e">
        <f>[2]Financials!D38/[2]Financials!D5</f>
        <v>#DIV/0!</v>
      </c>
      <c r="F14" s="126" t="e">
        <f>[2]Financials!E38/[2]Financials!E5</f>
        <v>#DIV/0!</v>
      </c>
      <c r="G14" s="126" t="e">
        <f>[2]Financials!F38/[2]Financials!F5</f>
        <v>#DIV/0!</v>
      </c>
      <c r="H14" s="126" t="e">
        <f>[2]Financials!G38/[2]Financials!G5</f>
        <v>#DIV/0!</v>
      </c>
      <c r="I14" s="126" t="e">
        <f>[2]Financials!H38/[2]Financials!H5</f>
        <v>#DIV/0!</v>
      </c>
      <c r="J14" s="126" t="e">
        <f>[2]Financials!I38/[2]Financials!I5</f>
        <v>#DIV/0!</v>
      </c>
      <c r="K14" s="126">
        <f>[2]Financials!J38/[2]Financials!J5</f>
        <v>1.9195265375530655E-2</v>
      </c>
      <c r="L14" s="126">
        <f>[2]Financials!K38/[2]Financials!K5</f>
        <v>2.7597945798810131E-2</v>
      </c>
      <c r="M14" s="126">
        <f>[2]Financials!L38/[2]Financials!L5</f>
        <v>2.7141758829233417E-2</v>
      </c>
      <c r="N14" s="126">
        <f>[2]Financials!M38/[2]Financials!M5</f>
        <v>2.8377621976402111E-2</v>
      </c>
      <c r="O14" s="126">
        <f>[2]Financials!N38/[2]Financials!N5</f>
        <v>3.005544578239585E-2</v>
      </c>
      <c r="P14" s="126">
        <f>[2]Financials!O38/[2]Financials!O5</f>
        <v>3.0515872062859314E-2</v>
      </c>
      <c r="Q14" s="126">
        <f>[2]Financials!P38/[2]Financials!P5</f>
        <v>3.2728383435924789E-2</v>
      </c>
      <c r="R14" s="126">
        <f>[2]Financials!Q38/[2]Financials!Q5</f>
        <v>3.3977405844558849E-2</v>
      </c>
      <c r="S14" s="126">
        <f>[2]Financials!R38/[2]Financials!R5</f>
        <v>3.4938867347591454E-2</v>
      </c>
      <c r="T14" s="126">
        <f>[2]Financials!S38/[2]Financials!S5</f>
        <v>3.6239322907135885E-2</v>
      </c>
      <c r="U14" s="126">
        <f>[2]Financials!T38/[2]Financials!T5</f>
        <v>3.6525490498853355E-2</v>
      </c>
      <c r="V14" s="126">
        <f>[2]Financials!U38/[2]Financials!U5</f>
        <v>3.5300921863640887E-2</v>
      </c>
      <c r="W14" s="126">
        <f>[2]Financials!V38/[2]Financials!V5</f>
        <v>3.4041136682678455E-2</v>
      </c>
      <c r="X14" s="126">
        <f>[2]Financials!W38/[2]Financials!W5</f>
        <v>3.198542789924811E-2</v>
      </c>
      <c r="Y14" s="126">
        <f>[2]Financials!X38/[2]Financials!X5</f>
        <v>3.2846823205390875E-2</v>
      </c>
      <c r="Z14" s="126">
        <f>[2]Financials!Y38/[2]Financials!Y5</f>
        <v>3.3764651904198653E-2</v>
      </c>
      <c r="AA14" s="126">
        <f>[2]Financials!Z38/[2]Financials!Z5</f>
        <v>2.8586263426393303E-2</v>
      </c>
      <c r="AB14" s="126">
        <f>[2]Financials!AA38/[2]Financials!AA5</f>
        <v>2.8852179377136074E-2</v>
      </c>
      <c r="AC14" s="126">
        <f>[2]Financials!AB38/[2]Financials!AB5</f>
        <v>3.0664373848573338E-2</v>
      </c>
      <c r="AD14" s="126">
        <f>[2]Financials!AC38/[2]Financials!AC5</f>
        <v>2.9552620725627778E-2</v>
      </c>
      <c r="AE14" s="126">
        <f>[2]Financials!AD38/[2]Financials!AD5</f>
        <v>3.276848489612335E-2</v>
      </c>
      <c r="AF14" s="126">
        <f>[2]Financials!AE38/[2]Financials!AE5</f>
        <v>3.1587303411040969E-2</v>
      </c>
      <c r="AG14" s="126">
        <f>[2]Financials!AF38/[2]Financials!AF5</f>
        <v>3.5862654261855254E-2</v>
      </c>
      <c r="AH14" s="126">
        <f>[2]Financials!AG38/[2]Financials!AG5</f>
        <v>4.017819416947075E-2</v>
      </c>
      <c r="AI14" s="126">
        <f>[2]Financials!AH38/[2]Financials!AH5</f>
        <v>3.9938982018973272E-2</v>
      </c>
      <c r="AJ14" s="126">
        <f>[2]Financials!AI38/[2]Financials!AI5</f>
        <v>4.2248924109226378E-2</v>
      </c>
      <c r="AK14" s="126" t="e">
        <f>('Evolutive SFP'!#REF!+'Evolutive SFP'!#REF!+'Evolutive SFP'!#REF!-'Evolutive SFP'!#REF!)/'Evolutive SFP'!#REF!</f>
        <v>#REF!</v>
      </c>
      <c r="AL14" s="126" t="e">
        <f>('Evolutive SFP'!#REF!+'Evolutive SFP'!#REF!+'Evolutive SFP'!#REF!)/'Evolutive SFP'!#REF!</f>
        <v>#REF!</v>
      </c>
      <c r="AM14" s="126" t="e">
        <f>('Evolutive SFP'!#REF!+'Evolutive SFP'!#REF!+'Evolutive SFP'!#REF!)/'Evolutive SFP'!#REF!</f>
        <v>#REF!</v>
      </c>
      <c r="AN14" s="126" t="e">
        <f>('Evolutive SFP'!#REF!+'Evolutive SFP'!#REF!+'Evolutive SFP'!#REF!)/'Evolutive SFP'!#REF!</f>
        <v>#REF!</v>
      </c>
      <c r="AO14" s="126" t="e">
        <f>('Evolutive SFP'!#REF!+'Evolutive SFP'!#REF!+'Evolutive SFP'!#REF!)/'Evolutive SFP'!#REF!</f>
        <v>#REF!</v>
      </c>
      <c r="AP14" s="126" t="e">
        <f>('Evolutive SFP'!#REF!+'Evolutive SFP'!#REF!+'Evolutive SFP'!#REF!)/'Evolutive SFP'!#REF!</f>
        <v>#REF!</v>
      </c>
      <c r="AQ14" s="126" t="e">
        <f>('Evolutive SFP'!#REF!+'Evolutive SFP'!#REF!+'Evolutive SFP'!#REF!)/'Evolutive SFP'!#REF!</f>
        <v>#REF!</v>
      </c>
      <c r="AR14" s="126" t="e">
        <f>('Evolutive SFP'!#REF!+'Evolutive SFP'!#REF!+'Evolutive SFP'!#REF!)/'Evolutive SFP'!#REF!</f>
        <v>#REF!</v>
      </c>
      <c r="AS14" s="126" t="e">
        <f>('Evolutive SFP'!#REF!+'Evolutive SFP'!#REF!+'Evolutive SFP'!#REF!)/'Evolutive SFP'!#REF!</f>
        <v>#REF!</v>
      </c>
      <c r="AT14" s="126" t="e">
        <f>('Evolutive SFP'!#REF!+'Evolutive SFP'!#REF!+'Evolutive SFP'!#REF!)/'Evolutive SFP'!#REF!</f>
        <v>#REF!</v>
      </c>
      <c r="AU14" s="126" t="e">
        <f>('Evolutive SFP'!#REF!+'Evolutive SFP'!#REF!+'Evolutive SFP'!#REF!)/'Evolutive SFP'!#REF!</f>
        <v>#REF!</v>
      </c>
      <c r="AV14" s="126" t="e">
        <f>('Evolutive SFP'!#REF!+'Evolutive SFP'!#REF!+'Evolutive SFP'!#REF!)/'Evolutive SFP'!#REF!</f>
        <v>#REF!</v>
      </c>
      <c r="AW14" s="126" t="e">
        <f>('Evolutive SFP'!#REF!+'Evolutive SFP'!#REF!+'Evolutive SFP'!#REF!)/'Evolutive SFP'!#REF!</f>
        <v>#REF!</v>
      </c>
      <c r="AX14" s="126" t="e">
        <f>('Evolutive SFP'!#REF!+'Evolutive SFP'!#REF!+'Evolutive SFP'!#REF!)/'Evolutive SFP'!#REF!</f>
        <v>#REF!</v>
      </c>
      <c r="AY14" s="126" t="e">
        <f>('Evolutive SFP'!#REF!+'Evolutive SFP'!#REF!+'Evolutive SFP'!#REF!)/'Evolutive SFP'!#REF!</f>
        <v>#REF!</v>
      </c>
      <c r="AZ14" s="126" t="e">
        <f>('Evolutive SFP'!#REF!+'Evolutive SFP'!#REF!+'Evolutive SFP'!#REF!)/'Evolutive SFP'!#REF!</f>
        <v>#REF!</v>
      </c>
      <c r="BA14" s="126" t="e">
        <f>('Evolutive SFP'!#REF!+'Evolutive SFP'!#REF!+'Evolutive SFP'!#REF!)/'Evolutive SFP'!#REF!</f>
        <v>#REF!</v>
      </c>
      <c r="BB14" s="126" t="e">
        <f>('Evolutive SFP'!#REF!+'Evolutive SFP'!#REF!+'Evolutive SFP'!#REF!)/'Evolutive SFP'!#REF!</f>
        <v>#REF!</v>
      </c>
      <c r="BC14" s="126" t="e">
        <f>('Evolutive SFP'!#REF!+'Evolutive SFP'!#REF!+'Evolutive SFP'!#REF!)/'Evolutive SFP'!#REF!</f>
        <v>#REF!</v>
      </c>
      <c r="BD14" s="126" t="e">
        <f>('Evolutive SFP'!#REF!+'Evolutive SFP'!#REF!+'Evolutive SFP'!#REF!)/'Evolutive SFP'!#REF!</f>
        <v>#REF!</v>
      </c>
      <c r="BE14" s="126" t="e">
        <f>('Evolutive SFP'!#REF!+'Evolutive SFP'!#REF!+'Evolutive SFP'!#REF!)/'Evolutive SFP'!#REF!</f>
        <v>#REF!</v>
      </c>
      <c r="BF14" s="126" t="e">
        <f>('Evolutive SFP'!#REF!+'Evolutive SFP'!#REF!+'Evolutive SFP'!#REF!)/'Evolutive SFP'!#REF!</f>
        <v>#REF!</v>
      </c>
      <c r="BG14" s="126" t="e">
        <f>('Evolutive SFP'!#REF!+'Evolutive SFP'!#REF!+'Evolutive SFP'!#REF!)/'Evolutive SFP'!#REF!</f>
        <v>#REF!</v>
      </c>
      <c r="BH14" s="126" t="e">
        <f>('Evolutive SFP'!#REF!+'Evolutive SFP'!#REF!+'Evolutive SFP'!#REF!)/'Evolutive SFP'!#REF!</f>
        <v>#REF!</v>
      </c>
      <c r="BI14" s="126" t="e">
        <f>('Evolutive SFP'!#REF!+'Evolutive SFP'!#REF!+'Evolutive SFP'!#REF!)/'Evolutive SFP'!#REF!</f>
        <v>#REF!</v>
      </c>
      <c r="BJ14" s="126" t="e">
        <f>('Evolutive SFP'!#REF!+'Evolutive SFP'!#REF!+'Evolutive SFP'!#REF!)/'Evolutive SFP'!#REF!</f>
        <v>#REF!</v>
      </c>
      <c r="BK14" s="126" t="e">
        <f>('Evolutive SFP'!#REF!+'Evolutive SFP'!#REF!+'Evolutive SFP'!#REF!)/'Evolutive SFP'!#REF!</f>
        <v>#REF!</v>
      </c>
      <c r="BL14" s="126" t="e">
        <f>('Evolutive SFP'!#REF!+'Evolutive SFP'!#REF!+'Evolutive SFP'!#REF!)/'Evolutive SFP'!#REF!</f>
        <v>#REF!</v>
      </c>
      <c r="BM14" s="126" t="e">
        <f>('Evolutive SFP'!#REF!+'Evolutive SFP'!#REF!+'Evolutive SFP'!#REF!)/'Evolutive SFP'!#REF!</f>
        <v>#REF!</v>
      </c>
      <c r="BN14" s="126" t="e">
        <f>('Evolutive SFP'!#REF!+'Evolutive SFP'!#REF!+'Evolutive SFP'!#REF!)/'Evolutive SFP'!#REF!</f>
        <v>#REF!</v>
      </c>
      <c r="BO14" s="126" t="e">
        <f>('Evolutive SFP'!#REF!+'Evolutive SFP'!#REF!+'Evolutive SFP'!#REF!)/'Evolutive SFP'!#REF!</f>
        <v>#REF!</v>
      </c>
      <c r="BP14" s="126" t="e">
        <f>('Evolutive SFP'!#REF!+'Evolutive SFP'!#REF!+'Evolutive SFP'!#REF!)/'Evolutive SFP'!#REF!</f>
        <v>#REF!</v>
      </c>
      <c r="BQ14" s="126" t="e">
        <f>('Evolutive SFP'!#REF!+'Evolutive SFP'!#REF!+'Evolutive SFP'!#REF!)/'Evolutive SFP'!#REF!</f>
        <v>#REF!</v>
      </c>
      <c r="BR14" s="126" t="e">
        <f>('Evolutive SFP'!#REF!+'Evolutive SFP'!#REF!+'Evolutive SFP'!#REF!)/'Evolutive SFP'!#REF!</f>
        <v>#REF!</v>
      </c>
      <c r="BS14" s="126" t="e">
        <f>('Evolutive SFP'!#REF!+'Evolutive SFP'!#REF!+'Evolutive SFP'!#REF!)/'Evolutive SFP'!#REF!</f>
        <v>#REF!</v>
      </c>
      <c r="BT14" s="126" t="e">
        <f>('Evolutive SFP'!#REF!+'Evolutive SFP'!#REF!+'Evolutive SFP'!#REF!)/'Evolutive SFP'!#REF!</f>
        <v>#REF!</v>
      </c>
      <c r="BU14" s="126" t="e">
        <f>('Evolutive SFP'!#REF!+'Evolutive SFP'!#REF!+'Evolutive SFP'!#REF!)/'Evolutive SFP'!#REF!</f>
        <v>#REF!</v>
      </c>
      <c r="BV14" s="126" t="e">
        <f>('Evolutive SFP'!#REF!+'Evolutive SFP'!#REF!+'Evolutive SFP'!#REF!)/'Evolutive SFP'!#REF!</f>
        <v>#REF!</v>
      </c>
      <c r="BW14" s="126" t="e">
        <f>('Evolutive SFP'!#REF!+'Evolutive SFP'!#REF!+'Evolutive SFP'!#REF!)/'Evolutive SFP'!#REF!</f>
        <v>#REF!</v>
      </c>
      <c r="BX14" s="126" t="e">
        <f>('Evolutive SFP'!#REF!+'Evolutive SFP'!#REF!+'Evolutive SFP'!#REF!)/'Evolutive SFP'!#REF!</f>
        <v>#REF!</v>
      </c>
      <c r="BY14" s="126" t="e">
        <f>('Evolutive SFP'!#REF!+'Evolutive SFP'!#REF!+'Evolutive SFP'!#REF!)/'Evolutive SFP'!#REF!</f>
        <v>#REF!</v>
      </c>
      <c r="BZ14" s="126">
        <f>('Evolutive SFP'!B7+'Evolutive SFP'!B17+'Evolutive SFP'!B21)/'Evolutive SFP'!B27</f>
        <v>5.272631308975443E-2</v>
      </c>
      <c r="CA14" s="126">
        <f>('Evolutive SFP'!C7+'Evolutive SFP'!C17+'Evolutive SFP'!C21)/'Evolutive SFP'!C27</f>
        <v>5.4534988787217929E-2</v>
      </c>
      <c r="CB14" s="126">
        <f>('Evolutive SFP'!D7+'Evolutive SFP'!D17+'Evolutive SFP'!D21)/'Evolutive SFP'!D27</f>
        <v>4.4020111432216645E-2</v>
      </c>
      <c r="CC14" s="126">
        <f>('Evolutive SFP'!E7+'Evolutive SFP'!E17+'Evolutive SFP'!E21)/'Evolutive SFP'!E27</f>
        <v>4.3410657800133173E-2</v>
      </c>
      <c r="CD14" s="126">
        <f>('Evolutive SFP'!F7+'Evolutive SFP'!F17+'Evolutive SFP'!F21)/'Evolutive SFP'!F27</f>
        <v>6.0860732991974704E-2</v>
      </c>
      <c r="CE14" s="126">
        <f>('Evolutive SFP'!G7+'Evolutive SFP'!G17+'Evolutive SFP'!G21)/'Evolutive SFP'!G27</f>
        <v>4.3489686372478298E-2</v>
      </c>
      <c r="CF14" s="126">
        <f>('Evolutive SFP'!H7+'Evolutive SFP'!H17+'Evolutive SFP'!H21)/'Evolutive SFP'!H27</f>
        <v>4.4695726040150471E-2</v>
      </c>
      <c r="CG14" s="126">
        <f>('Evolutive SFP'!I7+'Evolutive SFP'!I17+'Evolutive SFP'!I21)/'Evolutive SFP'!I27</f>
        <v>4.2881731488291559E-2</v>
      </c>
      <c r="CH14" s="126">
        <f>('Evolutive SFP'!J7+'Evolutive SFP'!J17+'Evolutive SFP'!J21)/'Evolutive SFP'!J27</f>
        <v>4.324245714964637E-2</v>
      </c>
      <c r="CI14" s="126">
        <f>('Evolutive SFP'!K7+'Evolutive SFP'!K17+'Evolutive SFP'!K21)/'Evolutive SFP'!K27</f>
        <v>4.367966283379883E-2</v>
      </c>
      <c r="CJ14" s="126">
        <f>('Evolutive SFP'!L7+'Evolutive SFP'!L17+'Evolutive SFP'!L21)/'Evolutive SFP'!L27</f>
        <v>4.1934652998616602E-2</v>
      </c>
      <c r="CK14" s="126">
        <f>('Evolutive SFP'!M7+'Evolutive SFP'!M17+'Evolutive SFP'!M21)/'Evolutive SFP'!M27</f>
        <v>4.1700803174209981E-2</v>
      </c>
      <c r="CL14" s="126">
        <f>('Evolutive SFP'!N7+'Evolutive SFP'!N17+'Evolutive SFP'!N21)/'Evolutive SFP'!N27</f>
        <v>3.921483135690744E-2</v>
      </c>
      <c r="CM14" s="126">
        <f>('Evolutive SFP'!O7+'Evolutive SFP'!O17+'Evolutive SFP'!O21)/'Evolutive SFP'!O27</f>
        <v>4.1947962863372164E-2</v>
      </c>
      <c r="CN14" s="126">
        <f>('Evolutive SFP'!P7+'Evolutive SFP'!P17+'Evolutive SFP'!P21)/'Evolutive SFP'!P27</f>
        <v>4.0281176445402939E-2</v>
      </c>
      <c r="CO14" s="126">
        <f>('Evolutive SFP'!Q7+'Evolutive SFP'!Q17+'Evolutive SFP'!Q21)/'Evolutive SFP'!Q27</f>
        <v>4.0350832691043136E-2</v>
      </c>
      <c r="CP14" s="126">
        <f>('Evolutive SFP'!R7+'Evolutive SFP'!R17+'Evolutive SFP'!R21)/'Evolutive SFP'!R27</f>
        <v>3.9579788284783909E-2</v>
      </c>
      <c r="CQ14" s="126">
        <f>('Evolutive SFP'!S7+'Evolutive SFP'!S17+'Evolutive SFP'!S21)/'Evolutive SFP'!S27</f>
        <v>3.9538460009195808E-2</v>
      </c>
      <c r="CR14" s="126">
        <f>('Evolutive SFP'!T7+'Evolutive SFP'!T17+'Evolutive SFP'!T21)/'Evolutive SFP'!T27</f>
        <v>4.0658181462160423E-2</v>
      </c>
      <c r="CS14" s="126">
        <f>('Evolutive SFP'!U7+'Evolutive SFP'!U17+'Evolutive SFP'!U21)/'Evolutive SFP'!U27</f>
        <v>4.0699103365992279E-2</v>
      </c>
      <c r="CT14" s="126">
        <f>('Evolutive SFP'!V7+'Evolutive SFP'!V17+'Evolutive SFP'!V21)/'Evolutive SFP'!V27</f>
        <v>3.9616437720315076E-2</v>
      </c>
      <c r="CU14" s="126">
        <f>('Evolutive SFP'!W7+'Evolutive SFP'!W17+'Evolutive SFP'!W21)/'Evolutive SFP'!W27</f>
        <v>5.3241398308759659E-2</v>
      </c>
      <c r="CV14" s="126">
        <f>('Evolutive SFP'!X7+'Evolutive SFP'!X17+'Evolutive SFP'!X21)/'Evolutive SFP'!X27</f>
        <v>3.9994580790380777E-2</v>
      </c>
      <c r="CW14" s="126">
        <f>('Evolutive SFP'!Y7+'Evolutive SFP'!Y17+'Evolutive SFP'!Y21)/'Evolutive SFP'!Y27</f>
        <v>3.9697233553575767E-2</v>
      </c>
      <c r="CX14" s="126">
        <f>('Evolutive SFP'!Z7+'Evolutive SFP'!Z17+'Evolutive SFP'!Z21)/'Evolutive SFP'!Z27</f>
        <v>4.2259749395963796E-2</v>
      </c>
      <c r="CY14" s="126">
        <f>('Evolutive SFP'!AA7+'Evolutive SFP'!AA17+'Evolutive SFP'!AA21)/'Evolutive SFP'!AA27</f>
        <v>3.8802420998027595E-2</v>
      </c>
      <c r="CZ14" s="126">
        <f>('Evolutive SFP'!AB7+'Evolutive SFP'!AB17+'Evolutive SFP'!AB21)/'Evolutive SFP'!AB27</f>
        <v>4.0072447817253339E-2</v>
      </c>
      <c r="DA14" s="126">
        <f>('Evolutive SFP'!AC7+'Evolutive SFP'!AC17+'Evolutive SFP'!AC21)/'Evolutive SFP'!AC27</f>
        <v>4.0606472098826216E-2</v>
      </c>
      <c r="DB14" s="126">
        <f>('Evolutive SFP'!AD7+'Evolutive SFP'!AD17+'Evolutive SFP'!AD21)/'Evolutive SFP'!AD27</f>
        <v>4.2625607416378372E-2</v>
      </c>
      <c r="DC14" s="126">
        <f>('Evolutive SFP'!AE7+'Evolutive SFP'!AE17+'Evolutive SFP'!AE21)/'Evolutive SFP'!AE27</f>
        <v>3.8419092095043114E-2</v>
      </c>
      <c r="DD14" s="126">
        <f>('Evolutive SFP'!AF7+'Evolutive SFP'!AF17+'Evolutive SFP'!AF21)/'Evolutive SFP'!AF27</f>
        <v>3.8343024341293837E-2</v>
      </c>
      <c r="DE14" s="126">
        <f>('Evolutive SFP'!AG7+'Evolutive SFP'!AG17+'Evolutive SFP'!AG21)/'Evolutive SFP'!AG27</f>
        <v>4.0152346461516109E-2</v>
      </c>
      <c r="DF14" s="126">
        <f>('Evolutive SFP'!AH7+'Evolutive SFP'!AH17+'Evolutive SFP'!AH21)/'Evolutive SFP'!AH27</f>
        <v>4.9813235125535031E-2</v>
      </c>
      <c r="DG14" s="126">
        <f>('Evolutive SFP'!AI7+'Evolutive SFP'!AI17+'Evolutive SFP'!AI21)/'Evolutive SFP'!AI27</f>
        <v>3.6332439124305269E-2</v>
      </c>
      <c r="DH14" s="126">
        <f>('Evolutive SFP'!AJ7+'Evolutive SFP'!AJ17+'Evolutive SFP'!AJ21)/'Evolutive SFP'!AJ27</f>
        <v>3.8356526464043965E-2</v>
      </c>
      <c r="DI14" s="126">
        <f>('Evolutive SFP'!AK7+'Evolutive SFP'!AK17+'Evolutive SFP'!AK21)/'Evolutive SFP'!AK27</f>
        <v>3.919563503510063E-2</v>
      </c>
      <c r="DJ14" s="126">
        <f>('Evolutive SFP'!AL7+'Evolutive SFP'!AL17+'Evolutive SFP'!AL21)/'Evolutive SFP'!AL27</f>
        <v>4.1686533638035074E-2</v>
      </c>
      <c r="DK14" s="126">
        <f>('Evolutive SFP'!AM7+'Evolutive SFP'!AM17+'Evolutive SFP'!AM21)/'Evolutive SFP'!AM27</f>
        <v>3.9041343747037646E-2</v>
      </c>
      <c r="DL14" s="126">
        <f>('Evolutive SFP'!AN7+'Evolutive SFP'!AN17+'Evolutive SFP'!AN21)/'Evolutive SFP'!AN27</f>
        <v>3.8351869914706939E-2</v>
      </c>
      <c r="DM14" s="126">
        <f>('Evolutive SFP'!AO7+'Evolutive SFP'!AO17+'Evolutive SFP'!AO21)/'Evolutive SFP'!AO27</f>
        <v>4.1112972267325958E-2</v>
      </c>
      <c r="DN14" s="126">
        <f>('Evolutive SFP'!AP7+'Evolutive SFP'!AP17+'Evolutive SFP'!AP21)/'Evolutive SFP'!AP27</f>
        <v>4.0503641536954377E-2</v>
      </c>
      <c r="DO14" s="126">
        <f>('Evolutive SFP'!AQ7+'Evolutive SFP'!AQ17+'Evolutive SFP'!AQ21)/'Evolutive SFP'!AQ27</f>
        <v>4.0025153520391814E-2</v>
      </c>
      <c r="DP14" s="126">
        <f>('Evolutive SFP'!AR7+'Evolutive SFP'!AR17+'Evolutive SFP'!AR21)/'Evolutive SFP'!AR27</f>
        <v>3.6343381524316001E-2</v>
      </c>
      <c r="DQ14" s="126">
        <f>('Evolutive SFP'!AS7+'Evolutive SFP'!AS17+'Evolutive SFP'!AS21)/'Evolutive SFP'!AS27</f>
        <v>4.0393229618260799E-2</v>
      </c>
      <c r="DR14" s="126">
        <f>('Evolutive SFP'!AT7+'Evolutive SFP'!AT17+'Evolutive SFP'!AT21)/'Evolutive SFP'!AT27</f>
        <v>3.8074521545405013E-2</v>
      </c>
      <c r="DS14" s="126">
        <f>('Evolutive SFP'!AU7+'Evolutive SFP'!AU17+'Evolutive SFP'!AU21)/'Evolutive SFP'!AU27</f>
        <v>3.346606246667861E-2</v>
      </c>
      <c r="DT14" s="126">
        <f>('Evolutive SFP'!AV7+'Evolutive SFP'!AV17+'Evolutive SFP'!AV21)/'Evolutive SFP'!AV27</f>
        <v>4.2153873926409263E-2</v>
      </c>
      <c r="DU14" s="126" t="e">
        <f>('Evolutive SFP'!AW7+'Evolutive SFP'!AW17+'Evolutive SFP'!AW21)/'Evolutive SFP'!AW27</f>
        <v>#DIV/0!</v>
      </c>
    </row>
    <row r="15" spans="1:125" s="104" customFormat="1" ht="12.75">
      <c r="A15" s="121" t="s">
        <v>344</v>
      </c>
      <c r="B15" s="122" t="s">
        <v>345</v>
      </c>
      <c r="C15" s="123">
        <v>48.1</v>
      </c>
      <c r="D15" s="126" t="e">
        <f>[2]Financials!C39/[2]Financials!C5</f>
        <v>#DIV/0!</v>
      </c>
      <c r="E15" s="126" t="e">
        <f>[2]Financials!D39/[2]Financials!D5</f>
        <v>#DIV/0!</v>
      </c>
      <c r="F15" s="126" t="e">
        <f>[2]Financials!E39/[2]Financials!E5</f>
        <v>#DIV/0!</v>
      </c>
      <c r="G15" s="126" t="e">
        <f>[2]Financials!F39/[2]Financials!F5</f>
        <v>#DIV/0!</v>
      </c>
      <c r="H15" s="126" t="e">
        <f>[2]Financials!G39/[2]Financials!G5</f>
        <v>#DIV/0!</v>
      </c>
      <c r="I15" s="126" t="e">
        <f>[2]Financials!H39/[2]Financials!H5</f>
        <v>#DIV/0!</v>
      </c>
      <c r="J15" s="126" t="e">
        <f>[2]Financials!I39/[2]Financials!I5</f>
        <v>#DIV/0!</v>
      </c>
      <c r="K15" s="126">
        <f>[2]Financials!J39/[2]Financials!J5</f>
        <v>1.9195265375530655E-2</v>
      </c>
      <c r="L15" s="126">
        <f>[2]Financials!K39/[2]Financials!K5</f>
        <v>2.7597945798810131E-2</v>
      </c>
      <c r="M15" s="126">
        <f>[2]Financials!L39/[2]Financials!L5</f>
        <v>2.7141758829233417E-2</v>
      </c>
      <c r="N15" s="126">
        <f>[2]Financials!M39/[2]Financials!M5</f>
        <v>2.8377621976402111E-2</v>
      </c>
      <c r="O15" s="126">
        <f>[2]Financials!N39/[2]Financials!N5</f>
        <v>3.005544578239585E-2</v>
      </c>
      <c r="P15" s="126">
        <f>[2]Financials!O39/[2]Financials!O5</f>
        <v>3.0515872062859314E-2</v>
      </c>
      <c r="Q15" s="126">
        <f>[2]Financials!P39/[2]Financials!P5</f>
        <v>3.2728383435924789E-2</v>
      </c>
      <c r="R15" s="126">
        <f>[2]Financials!Q39/[2]Financials!Q5</f>
        <v>3.3977405844558849E-2</v>
      </c>
      <c r="S15" s="126">
        <f>[2]Financials!R39/[2]Financials!R5</f>
        <v>3.4938867347591454E-2</v>
      </c>
      <c r="T15" s="126">
        <f>[2]Financials!S39/[2]Financials!S5</f>
        <v>3.6239322907135885E-2</v>
      </c>
      <c r="U15" s="126">
        <f>[2]Financials!T39/[2]Financials!T5</f>
        <v>3.6525490498853355E-2</v>
      </c>
      <c r="V15" s="126">
        <f>[2]Financials!U39/[2]Financials!U5</f>
        <v>3.5300921863640887E-2</v>
      </c>
      <c r="W15" s="126">
        <f>[2]Financials!V39/[2]Financials!V5</f>
        <v>3.4041136682678455E-2</v>
      </c>
      <c r="X15" s="126">
        <f>[2]Financials!W39/[2]Financials!W5</f>
        <v>3.198542789924811E-2</v>
      </c>
      <c r="Y15" s="126">
        <f>[2]Financials!X39/[2]Financials!X5</f>
        <v>3.2846823205390875E-2</v>
      </c>
      <c r="Z15" s="126">
        <f>[2]Financials!Y39/[2]Financials!Y5</f>
        <v>3.3764651904198653E-2</v>
      </c>
      <c r="AA15" s="126">
        <f>[2]Financials!Z39/[2]Financials!Z5</f>
        <v>2.8586263426393303E-2</v>
      </c>
      <c r="AB15" s="126">
        <f>[2]Financials!AA39/[2]Financials!AA5</f>
        <v>2.8852179377136074E-2</v>
      </c>
      <c r="AC15" s="126">
        <f>[2]Financials!AB39/[2]Financials!AB5</f>
        <v>3.0664373848573338E-2</v>
      </c>
      <c r="AD15" s="126">
        <f>[2]Financials!AC39/[2]Financials!AC5</f>
        <v>2.9552620725627778E-2</v>
      </c>
      <c r="AE15" s="126">
        <f>[2]Financials!AD39/[2]Financials!AD5</f>
        <v>3.276848489612335E-2</v>
      </c>
      <c r="AF15" s="126">
        <f>[2]Financials!AE39/[2]Financials!AE5</f>
        <v>3.1587303411040969E-2</v>
      </c>
      <c r="AG15" s="126">
        <f>[2]Financials!AF39/[2]Financials!AF5</f>
        <v>3.5862654261855254E-2</v>
      </c>
      <c r="AH15" s="126">
        <f>[2]Financials!AG39/[2]Financials!AG5</f>
        <v>4.017819416947075E-2</v>
      </c>
      <c r="AI15" s="126">
        <f>[2]Financials!AH39/[2]Financials!AH5</f>
        <v>3.9938982018973272E-2</v>
      </c>
      <c r="AJ15" s="126">
        <f>[2]Financials!AI39/[2]Financials!AI5</f>
        <v>4.2248924109226378E-2</v>
      </c>
      <c r="AK15" s="126" t="e">
        <f>Financials!D35/Financials!D4</f>
        <v>#REF!</v>
      </c>
      <c r="AL15" s="126" t="e">
        <f>Financials!E35/Financials!E4</f>
        <v>#REF!</v>
      </c>
      <c r="AM15" s="126" t="e">
        <f>Financials!F35/Financials!F4</f>
        <v>#REF!</v>
      </c>
      <c r="AN15" s="126" t="e">
        <f>Financials!G35/Financials!G4</f>
        <v>#REF!</v>
      </c>
      <c r="AO15" s="126" t="e">
        <f>Financials!H35/Financials!H4</f>
        <v>#REF!</v>
      </c>
      <c r="AP15" s="126" t="e">
        <f>Financials!I35/Financials!I4</f>
        <v>#REF!</v>
      </c>
      <c r="AQ15" s="126" t="e">
        <f>Financials!J35/Financials!J4</f>
        <v>#REF!</v>
      </c>
      <c r="AR15" s="126" t="e">
        <f>Financials!K35/Financials!K4</f>
        <v>#REF!</v>
      </c>
      <c r="AS15" s="126" t="e">
        <f>Financials!L35/Financials!L4</f>
        <v>#REF!</v>
      </c>
      <c r="AT15" s="126" t="e">
        <f>Financials!M35/Financials!M4</f>
        <v>#REF!</v>
      </c>
      <c r="AU15" s="126" t="e">
        <f>Financials!N35/Financials!N4</f>
        <v>#REF!</v>
      </c>
      <c r="AV15" s="126" t="e">
        <f>Financials!O35/Financials!O4</f>
        <v>#REF!</v>
      </c>
      <c r="AW15" s="126" t="e">
        <f>Financials!P35/Financials!P4</f>
        <v>#REF!</v>
      </c>
      <c r="AX15" s="126" t="e">
        <f>Financials!Q35/Financials!Q4</f>
        <v>#REF!</v>
      </c>
      <c r="AY15" s="126" t="e">
        <f>Financials!R35/Financials!R4</f>
        <v>#REF!</v>
      </c>
      <c r="AZ15" s="126" t="e">
        <f>Financials!S35/Financials!S4</f>
        <v>#REF!</v>
      </c>
      <c r="BA15" s="126" t="e">
        <f>Financials!T35/Financials!T4</f>
        <v>#REF!</v>
      </c>
      <c r="BB15" s="126" t="e">
        <f>Financials!U35/Financials!U4</f>
        <v>#REF!</v>
      </c>
      <c r="BC15" s="126" t="e">
        <f>Financials!V35/Financials!V4</f>
        <v>#REF!</v>
      </c>
      <c r="BD15" s="126" t="e">
        <f>Financials!W35/Financials!W4</f>
        <v>#REF!</v>
      </c>
      <c r="BE15" s="126" t="e">
        <f>Financials!X35/Financials!X4</f>
        <v>#REF!</v>
      </c>
      <c r="BF15" s="126" t="e">
        <f>Financials!Y35/Financials!Y4</f>
        <v>#REF!</v>
      </c>
      <c r="BG15" s="126" t="e">
        <f>Financials!Z35/Financials!Z4</f>
        <v>#REF!</v>
      </c>
      <c r="BH15" s="126" t="e">
        <f>Financials!AA35/Financials!AA4</f>
        <v>#REF!</v>
      </c>
      <c r="BI15" s="126" t="e">
        <f>Financials!AB35/Financials!AB4</f>
        <v>#REF!</v>
      </c>
      <c r="BJ15" s="126" t="e">
        <f>Financials!AC35/Financials!AC4</f>
        <v>#REF!</v>
      </c>
      <c r="BK15" s="126" t="e">
        <f>Financials!AD35/Financials!AD4</f>
        <v>#REF!</v>
      </c>
      <c r="BL15" s="126" t="e">
        <f>Financials!AE35/Financials!AE4</f>
        <v>#REF!</v>
      </c>
      <c r="BM15" s="126" t="e">
        <f>Financials!AF35/Financials!AF4</f>
        <v>#REF!</v>
      </c>
      <c r="BN15" s="126" t="e">
        <f>Financials!AG35/Financials!AG4</f>
        <v>#REF!</v>
      </c>
      <c r="BO15" s="126" t="e">
        <f>Financials!AH35/Financials!AH4</f>
        <v>#REF!</v>
      </c>
      <c r="BP15" s="126" t="e">
        <f>Financials!AI35/Financials!AI4</f>
        <v>#REF!</v>
      </c>
      <c r="BQ15" s="126" t="e">
        <f>Financials!AJ35/Financials!AJ4</f>
        <v>#REF!</v>
      </c>
      <c r="BR15" s="126" t="e">
        <f>Financials!AK35/Financials!AK4</f>
        <v>#REF!</v>
      </c>
      <c r="BS15" s="126" t="e">
        <f>Financials!AL35/Financials!AL4</f>
        <v>#REF!</v>
      </c>
      <c r="BT15" s="126" t="e">
        <f>Financials!AM35/Financials!AM4</f>
        <v>#REF!</v>
      </c>
      <c r="BU15" s="126" t="e">
        <f>Financials!AN35/Financials!AN4</f>
        <v>#REF!</v>
      </c>
      <c r="BV15" s="126" t="e">
        <f>Financials!AO35/Financials!AO4</f>
        <v>#REF!</v>
      </c>
      <c r="BW15" s="126" t="e">
        <f>Financials!AP35/Financials!AP4</f>
        <v>#REF!</v>
      </c>
      <c r="BX15" s="126" t="e">
        <f>Financials!AQ35/Financials!AQ4</f>
        <v>#REF!</v>
      </c>
      <c r="BY15" s="126" t="e">
        <f>Financials!AR35/Financials!AR4</f>
        <v>#REF!</v>
      </c>
      <c r="BZ15" s="126">
        <f>Financials!AS35/Financials!AS4</f>
        <v>1.2972568186637832E-2</v>
      </c>
      <c r="CA15" s="126">
        <f>Financials!AT35/Financials!AT4</f>
        <v>3.4444869021184675E-2</v>
      </c>
      <c r="CB15" s="126">
        <f>Financials!AU35/Financials!AU4</f>
        <v>3.4441306018953864E-2</v>
      </c>
      <c r="CC15" s="126">
        <f>Financials!AV35/Financials!AV4</f>
        <v>3.5003525637016461E-2</v>
      </c>
      <c r="CD15" s="126">
        <f>Financials!AW35/Financials!AW4</f>
        <v>3.4154658373208024E-2</v>
      </c>
      <c r="CE15" s="126">
        <f>Financials!AX35/Financials!AX4</f>
        <v>3.3228338989767812E-2</v>
      </c>
      <c r="CF15" s="126">
        <f>Financials!AY35/Financials!AY4</f>
        <v>3.2864145976137009E-2</v>
      </c>
      <c r="CG15" s="126" t="e">
        <f>Financials!AZ35/Financials!AZ4</f>
        <v>#REF!</v>
      </c>
      <c r="CH15" s="126">
        <f>Financials!BA35/Financials!BA4</f>
        <v>3.2093709013012429E-2</v>
      </c>
      <c r="CI15" s="126">
        <f>Financials!BB35/Financials!BB4</f>
        <v>3.2492131246875472E-2</v>
      </c>
      <c r="CJ15" s="126">
        <f>Financials!BC35/Financials!BC4</f>
        <v>3.185654227042737E-2</v>
      </c>
      <c r="CK15" s="126">
        <f>Financials!BD35/Financials!BD4</f>
        <v>3.1237724089092863E-2</v>
      </c>
      <c r="CL15" s="126">
        <f>Financials!BE35/Financials!BE4</f>
        <v>3.0516311016657045E-2</v>
      </c>
      <c r="CM15" s="126">
        <f>Financials!BF35/Financials!BF4</f>
        <v>3.0650051623592734E-2</v>
      </c>
      <c r="CN15" s="126">
        <f>Financials!BG35/Financials!BG4</f>
        <v>3.0169056067026037E-2</v>
      </c>
      <c r="CO15" s="126">
        <f>Financials!BH35/Financials!BH4</f>
        <v>2.9945966872923953E-2</v>
      </c>
      <c r="CP15" s="126">
        <f>Financials!BI35/Financials!BI4</f>
        <v>3.0246247897727688E-2</v>
      </c>
      <c r="CQ15" s="126">
        <f>Financials!BJ35/Financials!BJ4</f>
        <v>2.9586801925765394E-2</v>
      </c>
      <c r="CR15" s="126">
        <f>Financials!BK35/Financials!BK4</f>
        <v>2.9116170350129089E-2</v>
      </c>
      <c r="CS15" s="126">
        <f>Financials!BL35/Financials!BL4</f>
        <v>2.9198239674398989E-2</v>
      </c>
      <c r="CT15" s="126">
        <f>Financials!BM35/Financials!BM4</f>
        <v>2.9045686978810669E-2</v>
      </c>
      <c r="CU15" s="126">
        <f>Financials!BN35/Financials!BN4</f>
        <v>2.8652693297343546E-2</v>
      </c>
      <c r="CV15" s="126">
        <f>Financials!BO35/Financials!BO4</f>
        <v>2.7946125329808589E-2</v>
      </c>
      <c r="CW15" s="126">
        <f>Financials!BP35/Financials!BP4</f>
        <v>2.7500052851326534E-2</v>
      </c>
      <c r="CX15" s="126">
        <f>Financials!BQ35/Financials!BQ4</f>
        <v>2.6935088391799367E-2</v>
      </c>
      <c r="CY15" s="126">
        <f>Financials!BR35/Financials!BR4</f>
        <v>2.6236601241885232E-2</v>
      </c>
      <c r="CZ15" s="126">
        <f>Financials!BS35/Financials!BS4</f>
        <v>2.6335453591479884E-2</v>
      </c>
      <c r="DA15" s="126">
        <f>Financials!BT35/Financials!BT4</f>
        <v>2.5934732232926097E-2</v>
      </c>
      <c r="DB15" s="126">
        <f>Financials!BU35/Financials!BU4</f>
        <v>2.5510079517291624E-2</v>
      </c>
      <c r="DC15" s="126">
        <f>Financials!BV35/Financials!BV4</f>
        <v>2.5919162141665661E-2</v>
      </c>
      <c r="DD15" s="126">
        <f>Financials!BW35/Financials!BW4</f>
        <v>2.5877371844766642E-2</v>
      </c>
      <c r="DE15" s="126">
        <f>Financials!BX35/Financials!BX4</f>
        <v>2.5611748909887475E-2</v>
      </c>
      <c r="DF15" s="126">
        <f>Financials!BY35/Financials!BY4</f>
        <v>2.5293771195799664E-2</v>
      </c>
      <c r="DG15" s="126">
        <f>Financials!BZ35/Financials!BZ4</f>
        <v>2.5005774531445972E-2</v>
      </c>
      <c r="DH15" s="126">
        <f>Financials!CA35/Financials!CA4</f>
        <v>2.4496221617239359E-2</v>
      </c>
      <c r="DI15" s="126">
        <f>Financials!CB35/Financials!CB4</f>
        <v>2.3938336047229752E-2</v>
      </c>
      <c r="DJ15" s="126">
        <f>Financials!CC35/Financials!CC4</f>
        <v>2.3431249650693955E-2</v>
      </c>
      <c r="DK15" s="126">
        <f>Financials!CD35/Financials!CD4</f>
        <v>2.315072206779635E-2</v>
      </c>
      <c r="DL15" s="126">
        <f>Financials!CE35/Financials!CE4</f>
        <v>2.2358327996763079E-2</v>
      </c>
      <c r="DM15" s="126">
        <f>Financials!CF35/Financials!CF4</f>
        <v>2.2391154718444273E-2</v>
      </c>
      <c r="DN15" s="126">
        <f>Financials!CG35/Financials!CG4</f>
        <v>2.1822483551610383E-2</v>
      </c>
      <c r="DO15" s="126">
        <f>Financials!CH35/Financials!CH4</f>
        <v>2.1285845548753599E-2</v>
      </c>
      <c r="DP15" s="126">
        <f>Financials!CI35/Financials!CI4</f>
        <v>2.1773731994195879E-2</v>
      </c>
      <c r="DQ15" s="126">
        <f>Financials!CJ35/Financials!CJ4</f>
        <v>2.1689470567779475E-2</v>
      </c>
      <c r="DR15" s="126">
        <f>Financials!CK35/Financials!CK4</f>
        <v>2.1181782421139689E-2</v>
      </c>
      <c r="DS15" s="126">
        <f>Financials!CL35/Financials!CL4</f>
        <v>2.0800782661259995E-2</v>
      </c>
      <c r="DT15" s="126">
        <f>Financials!CM35/Financials!CM4</f>
        <v>2.05594644243908E-2</v>
      </c>
      <c r="DU15" s="126">
        <f>Financials!CN35/Financials!CN4</f>
        <v>2.0416000400905143E-2</v>
      </c>
    </row>
    <row r="16" spans="1:125" s="104" customFormat="1" ht="12.75">
      <c r="A16" s="121" t="s">
        <v>346</v>
      </c>
      <c r="B16" s="122" t="s">
        <v>347</v>
      </c>
      <c r="C16" s="123">
        <v>41</v>
      </c>
      <c r="D16" s="130" t="e">
        <f>[2]Financials!C34/[2]Financials!C5</f>
        <v>#DIV/0!</v>
      </c>
      <c r="E16" s="130" t="e">
        <f>[2]Financials!D34/[2]Financials!D5</f>
        <v>#DIV/0!</v>
      </c>
      <c r="F16" s="130" t="e">
        <f>[2]Financials!E34/[2]Financials!E5</f>
        <v>#DIV/0!</v>
      </c>
      <c r="G16" s="130" t="e">
        <f>[2]Financials!F34/[2]Financials!F5</f>
        <v>#DIV/0!</v>
      </c>
      <c r="H16" s="130" t="e">
        <f>[2]Financials!G34/[2]Financials!G5</f>
        <v>#DIV/0!</v>
      </c>
      <c r="I16" s="130" t="e">
        <f>[2]Financials!H34/[2]Financials!H5</f>
        <v>#DIV/0!</v>
      </c>
      <c r="J16" s="130" t="e">
        <f>[2]Financials!I34/[2]Financials!I5</f>
        <v>#DIV/0!</v>
      </c>
      <c r="K16" s="130">
        <f>[2]Financials!J34/[2]Financials!J5</f>
        <v>0</v>
      </c>
      <c r="L16" s="130">
        <f>[2]Financials!K34/[2]Financials!K5</f>
        <v>0</v>
      </c>
      <c r="M16" s="130">
        <f>[2]Financials!L34/[2]Financials!L5</f>
        <v>0</v>
      </c>
      <c r="N16" s="130">
        <f>[2]Financials!M34/[2]Financials!M5</f>
        <v>6.4634658915947597E-3</v>
      </c>
      <c r="O16" s="130">
        <f>[2]Financials!N34/[2]Financials!N5</f>
        <v>0</v>
      </c>
      <c r="P16" s="130">
        <f>[2]Financials!O34/[2]Financials!O5</f>
        <v>0</v>
      </c>
      <c r="Q16" s="130">
        <f>[2]Financials!P34/[2]Financials!P5</f>
        <v>2.8681885521962243E-3</v>
      </c>
      <c r="R16" s="130">
        <f>[2]Financials!Q34/[2]Financials!Q5</f>
        <v>0</v>
      </c>
      <c r="S16" s="130">
        <f>[2]Financials!R34/[2]Financials!R5</f>
        <v>0</v>
      </c>
      <c r="T16" s="130">
        <f>[2]Financials!S34/[2]Financials!S5</f>
        <v>2.1905183497011814E-3</v>
      </c>
      <c r="U16" s="130">
        <f>[2]Financials!T34/[2]Financials!T5</f>
        <v>0</v>
      </c>
      <c r="V16" s="130">
        <f>[2]Financials!U34/[2]Financials!U5</f>
        <v>0</v>
      </c>
      <c r="W16" s="130">
        <f>[2]Financials!V34/[2]Financials!V5</f>
        <v>3.433703526794547E-3</v>
      </c>
      <c r="X16" s="130">
        <f>[2]Financials!W34/[2]Financials!W5</f>
        <v>3.4787143387641989E-3</v>
      </c>
      <c r="Y16" s="130">
        <f>[2]Financials!X34/[2]Financials!X5</f>
        <v>0</v>
      </c>
      <c r="Z16" s="130">
        <f>[2]Financials!Y34/[2]Financials!Y5</f>
        <v>0</v>
      </c>
      <c r="AA16" s="130">
        <f>[2]Financials!Z34/[2]Financials!Z5</f>
        <v>3.7511114026824465E-3</v>
      </c>
      <c r="AB16" s="130">
        <f>[2]Financials!AA34/[2]Financials!AA5</f>
        <v>0</v>
      </c>
      <c r="AC16" s="130">
        <f>[2]Financials!AB34/[2]Financials!AB5</f>
        <v>0</v>
      </c>
      <c r="AD16" s="130">
        <f>[2]Financials!AC34/[2]Financials!AC31</f>
        <v>2.9982911508580545E-3</v>
      </c>
      <c r="AE16" s="130">
        <f>[2]Financials!AD34/[2]Financials!AD31</f>
        <v>0</v>
      </c>
      <c r="AF16" s="130">
        <f>[2]Financials!AE34/[2]Financials!AE31</f>
        <v>1.0238351636920966</v>
      </c>
      <c r="AG16" s="130">
        <f>[2]Financials!AF34/[2]Financials!AF31</f>
        <v>1.2580678489455616E-10</v>
      </c>
      <c r="AH16" s="130">
        <f>[2]Financials!AG34/[2]Financials!AG31</f>
        <v>1.3129223711480066E-2</v>
      </c>
      <c r="AI16" s="130">
        <f>[2]Financials!AH34/[2]Financials!AH31</f>
        <v>0</v>
      </c>
      <c r="AJ16" s="130">
        <f>[2]Financials!AI34/[2]Financials!AI31</f>
        <v>1.5844467149733314E-2</v>
      </c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>
        <f>'FORM 4'!I60</f>
        <v>6.9905964721980532E-2</v>
      </c>
      <c r="BD16" s="130"/>
      <c r="BE16" s="130"/>
      <c r="BF16" s="130">
        <f>'FORM 4'!I69</f>
        <v>6.4128918777493035E-2</v>
      </c>
      <c r="BG16" s="130">
        <f>'FORM 4'!J69</f>
        <v>0</v>
      </c>
      <c r="BH16" s="130">
        <v>0</v>
      </c>
      <c r="BI16" s="130">
        <v>0.02</v>
      </c>
      <c r="BJ16" s="130">
        <f>'FORM 4'!L69</f>
        <v>0</v>
      </c>
      <c r="BK16" s="130">
        <f>'FORM 4'!M69</f>
        <v>0</v>
      </c>
      <c r="BL16" s="130">
        <f>'FORM 4'!N69</f>
        <v>0</v>
      </c>
      <c r="BM16" s="130">
        <v>0.06</v>
      </c>
      <c r="BN16" s="130">
        <f>'FORM 4'!P69</f>
        <v>0</v>
      </c>
      <c r="BO16" s="130">
        <f>'FORM 4'!Q69</f>
        <v>0</v>
      </c>
      <c r="BP16" s="130">
        <v>4.7699999999999999E-2</v>
      </c>
      <c r="BQ16" s="130">
        <f>'FORM 4'!S69</f>
        <v>0</v>
      </c>
      <c r="BR16" s="130">
        <f>'FORM 4'!T69</f>
        <v>0</v>
      </c>
      <c r="BS16" s="130">
        <v>5.2600000000000001E-2</v>
      </c>
      <c r="BT16" s="130">
        <f>'FORM 4'!V69</f>
        <v>0</v>
      </c>
      <c r="BU16" s="130">
        <f>'FORM 4'!W69</f>
        <v>0</v>
      </c>
      <c r="BV16" s="130">
        <v>5.4300000000000001E-2</v>
      </c>
      <c r="BW16" s="130">
        <f>'FORM 4'!Y69</f>
        <v>0</v>
      </c>
      <c r="BX16" s="130">
        <f>'FORM 4'!Z69</f>
        <v>0</v>
      </c>
      <c r="BY16" s="130">
        <v>4.7600000000000003E-2</v>
      </c>
      <c r="BZ16" s="130">
        <v>4.7600000000000003E-2</v>
      </c>
      <c r="CA16" s="130">
        <v>1.0476000000000001</v>
      </c>
      <c r="CB16" s="130">
        <v>2.0476000000000001</v>
      </c>
      <c r="CC16" s="130">
        <v>3.0476000000000001</v>
      </c>
      <c r="CD16" s="130">
        <v>4.0476000000000001</v>
      </c>
      <c r="CE16" s="130">
        <v>5.0476000000000001</v>
      </c>
      <c r="CF16" s="130">
        <v>6.0476000000000001</v>
      </c>
      <c r="CG16" s="130">
        <v>7.0476000000000001</v>
      </c>
      <c r="CH16" s="130">
        <v>8.0475999999999992</v>
      </c>
      <c r="CI16" s="130">
        <v>9.0475999999999992</v>
      </c>
      <c r="CJ16" s="130">
        <v>10.047599999999999</v>
      </c>
      <c r="CK16" s="130">
        <v>11.047599999999999</v>
      </c>
      <c r="CL16" s="130">
        <v>12.047599999999999</v>
      </c>
      <c r="CM16" s="130">
        <v>13.047599999999999</v>
      </c>
      <c r="CN16" s="130">
        <v>14.047599999999999</v>
      </c>
      <c r="CO16" s="130">
        <v>15.047599999999999</v>
      </c>
      <c r="CP16" s="130">
        <v>16.047599999999999</v>
      </c>
      <c r="CQ16" s="130">
        <v>17.047599999999999</v>
      </c>
      <c r="CR16" s="130">
        <v>18.047599999999999</v>
      </c>
      <c r="CS16" s="130">
        <v>19.047599999999999</v>
      </c>
      <c r="CT16" s="130">
        <v>20.047599999999999</v>
      </c>
      <c r="CU16" s="130">
        <v>21.047599999999999</v>
      </c>
      <c r="CV16" s="130">
        <v>22.047599999999999</v>
      </c>
      <c r="CW16" s="130">
        <v>23.047599999999999</v>
      </c>
      <c r="CX16" s="130">
        <v>24.047599999999999</v>
      </c>
      <c r="CY16" s="130">
        <v>25.047599999999999</v>
      </c>
      <c r="CZ16" s="130">
        <v>26.047599999999999</v>
      </c>
      <c r="DA16" s="130">
        <v>27.047599999999999</v>
      </c>
      <c r="DB16" s="130">
        <v>28.047599999999999</v>
      </c>
      <c r="DC16" s="130">
        <v>29.047599999999999</v>
      </c>
      <c r="DD16" s="130">
        <v>30.047599999999999</v>
      </c>
      <c r="DE16" s="130">
        <v>31.047599999999999</v>
      </c>
      <c r="DF16" s="130">
        <v>32.047600000000003</v>
      </c>
      <c r="DG16" s="130">
        <v>33.047600000000003</v>
      </c>
      <c r="DH16" s="130">
        <v>34.047600000000003</v>
      </c>
      <c r="DI16" s="130">
        <v>35.047600000000003</v>
      </c>
      <c r="DJ16" s="130">
        <v>36.047600000000003</v>
      </c>
      <c r="DK16" s="130">
        <v>37.047600000000003</v>
      </c>
      <c r="DL16" s="130">
        <v>38.047600000000003</v>
      </c>
      <c r="DM16" s="130">
        <v>39.047600000000003</v>
      </c>
      <c r="DN16" s="130">
        <v>40.047600000000003</v>
      </c>
      <c r="DO16" s="130">
        <v>41.047600000000003</v>
      </c>
      <c r="DP16" s="130">
        <v>42.047600000000003</v>
      </c>
      <c r="DQ16" s="130">
        <v>43.047600000000003</v>
      </c>
      <c r="DR16" s="130">
        <v>44.047600000000003</v>
      </c>
      <c r="DS16" s="130">
        <v>45.047600000000003</v>
      </c>
      <c r="DT16" s="130">
        <v>46.047600000000003</v>
      </c>
      <c r="DU16" s="130">
        <v>47.047600000000003</v>
      </c>
    </row>
    <row r="17" spans="1:125" s="104" customFormat="1" ht="12.75">
      <c r="A17" s="121"/>
      <c r="B17" s="122"/>
      <c r="C17" s="123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</row>
    <row r="18" spans="1:125" s="104" customFormat="1" ht="12.75">
      <c r="A18" s="117" t="s">
        <v>348</v>
      </c>
      <c r="B18" s="122"/>
      <c r="C18" s="123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</row>
    <row r="19" spans="1:125" s="104" customFormat="1" ht="12.75">
      <c r="A19" s="121" t="s">
        <v>349</v>
      </c>
      <c r="B19" s="122" t="s">
        <v>345</v>
      </c>
      <c r="C19" s="123">
        <v>48.4</v>
      </c>
      <c r="D19" s="126" t="e">
        <f>[2]Financials!C25/[2]Financials!C6</f>
        <v>#DIV/0!</v>
      </c>
      <c r="E19" s="126" t="e">
        <f>[2]Financials!D25/[2]Financials!D6</f>
        <v>#DIV/0!</v>
      </c>
      <c r="F19" s="126" t="e">
        <f>[2]Financials!E25/[2]Financials!E6</f>
        <v>#DIV/0!</v>
      </c>
      <c r="G19" s="126" t="e">
        <f>[2]Financials!F25/[2]Financials!F6</f>
        <v>#DIV/0!</v>
      </c>
      <c r="H19" s="126" t="e">
        <f>[2]Financials!G25/[2]Financials!G6</f>
        <v>#DIV/0!</v>
      </c>
      <c r="I19" s="126" t="e">
        <f>[2]Financials!H25/[2]Financials!H6</f>
        <v>#DIV/0!</v>
      </c>
      <c r="J19" s="126" t="e">
        <f>[2]Financials!I25/[2]Financials!I6</f>
        <v>#DIV/0!</v>
      </c>
      <c r="K19" s="126">
        <f>[2]Financials!J25/[2]Financials!J6</f>
        <v>3.1665688531215444E-2</v>
      </c>
      <c r="L19" s="126">
        <f>[2]Financials!K25/[2]Financials!K6</f>
        <v>3.0680498308345201E-2</v>
      </c>
      <c r="M19" s="126">
        <f>[2]Financials!L25/[2]Financials!L6</f>
        <v>3.0226266053382734E-2</v>
      </c>
      <c r="N19" s="126">
        <f>[2]Financials!M25/[2]Financials!M6</f>
        <v>2.9786376609350892E-2</v>
      </c>
      <c r="O19" s="126">
        <f>[2]Financials!N25/[2]Financials!N6</f>
        <v>2.9083560332091165E-2</v>
      </c>
      <c r="P19" s="126">
        <f>[2]Financials!O25/[2]Financials!O6</f>
        <v>3.303894811276506E-2</v>
      </c>
      <c r="Q19" s="126">
        <f>[2]Financials!P25/[2]Financials!P6</f>
        <v>3.275046828043271E-2</v>
      </c>
      <c r="R19" s="126">
        <f>[2]Financials!Q25/[2]Financials!Q6</f>
        <v>3.2226117849045978E-2</v>
      </c>
      <c r="S19" s="126">
        <f>[2]Financials!R25/[2]Financials!R6</f>
        <v>3.187576583588176E-2</v>
      </c>
      <c r="T19" s="126">
        <f>[2]Financials!S25/[2]Financials!S6</f>
        <v>3.1536695059907978E-2</v>
      </c>
      <c r="U19" s="126">
        <f>[2]Financials!T25/[2]Financials!T6</f>
        <v>3.0885973597401167E-2</v>
      </c>
      <c r="V19" s="126">
        <f>[2]Financials!U25/[2]Financials!U6</f>
        <v>3.0237846726488958E-2</v>
      </c>
      <c r="W19" s="126">
        <f>[2]Financials!V25/[2]Financials!V6</f>
        <v>2.9883321657095722E-2</v>
      </c>
      <c r="X19" s="126">
        <f>[2]Financials!W25/[2]Financials!W6</f>
        <v>3.7450550769806308E-2</v>
      </c>
      <c r="Y19" s="126">
        <f>[2]Financials!X25/[2]Financials!X6</f>
        <v>2.9262806550214928E-2</v>
      </c>
      <c r="Z19" s="126">
        <f>[2]Financials!Y25/[2]Financials!Y6</f>
        <v>4.1774365174382919E-2</v>
      </c>
      <c r="AA19" s="126">
        <f>[2]Financials!Z25/[2]Financials!Z6</f>
        <v>4.1506895326904616E-2</v>
      </c>
      <c r="AB19" s="126">
        <f>[2]Financials!AA25/[2]Financials!AA6</f>
        <v>3.950883850658083E-2</v>
      </c>
      <c r="AC19" s="126">
        <f>[2]Financials!AB25/[2]Financials!AB6</f>
        <v>4.3511143829685191E-2</v>
      </c>
      <c r="AD19" s="126">
        <f>[2]Financials!AC25/[2]Financials!AC6</f>
        <v>4.80281683739004E-2</v>
      </c>
      <c r="AE19" s="126">
        <f>[2]Financials!AD25/[2]Financials!AD6</f>
        <v>4.5331696696657563E-2</v>
      </c>
      <c r="AF19" s="126">
        <f>[2]Financials!AE25/[2]Financials!AE6</f>
        <v>4.4457694933347405E-2</v>
      </c>
      <c r="AG19" s="126">
        <f>[2]Financials!AF25/[2]Financials!AF6</f>
        <v>4.3761625015548998E-2</v>
      </c>
      <c r="AH19" s="126">
        <f>[2]Financials!AG25/[2]Financials!AG6</f>
        <v>4.2896350132561489E-2</v>
      </c>
      <c r="AI19" s="126">
        <f>[2]Financials!AH25/[2]Financials!AH6</f>
        <v>5.1120665515592675E-2</v>
      </c>
      <c r="AJ19" s="126">
        <f>[2]Financials!AI25/[2]Financials!AI6</f>
        <v>5.0113199873828104E-2</v>
      </c>
      <c r="AK19" s="126" t="e">
        <f>Financials!D25/Financials!D5</f>
        <v>#REF!</v>
      </c>
      <c r="AL19" s="126" t="e">
        <f>Financials!E25/Financials!E5</f>
        <v>#REF!</v>
      </c>
      <c r="AM19" s="126" t="e">
        <f>Financials!F25/Financials!F5</f>
        <v>#REF!</v>
      </c>
      <c r="AN19" s="126" t="e">
        <f>Financials!G25/Financials!G5</f>
        <v>#REF!</v>
      </c>
      <c r="AO19" s="126" t="e">
        <f>Financials!H25/Financials!H5</f>
        <v>#REF!</v>
      </c>
      <c r="AP19" s="126" t="e">
        <f>Financials!I25/Financials!I5</f>
        <v>#REF!</v>
      </c>
      <c r="AQ19" s="126" t="e">
        <f>Financials!J25/Financials!J5</f>
        <v>#REF!</v>
      </c>
      <c r="AR19" s="126" t="e">
        <f>Financials!K25/Financials!K5</f>
        <v>#REF!</v>
      </c>
      <c r="AS19" s="126" t="e">
        <f>Financials!L25/Financials!L5</f>
        <v>#REF!</v>
      </c>
      <c r="AT19" s="126" t="e">
        <f>Financials!M25/Financials!M5</f>
        <v>#REF!</v>
      </c>
      <c r="AU19" s="126" t="e">
        <f>Financials!N25/Financials!N5</f>
        <v>#REF!</v>
      </c>
      <c r="AV19" s="126" t="e">
        <f>Financials!O25/Financials!O5</f>
        <v>#REF!</v>
      </c>
      <c r="AW19" s="126" t="e">
        <f>Financials!P25/Financials!P5</f>
        <v>#REF!</v>
      </c>
      <c r="AX19" s="126" t="e">
        <f>Financials!Q25/Financials!Q5</f>
        <v>#REF!</v>
      </c>
      <c r="AY19" s="126" t="e">
        <f>Financials!R25/Financials!R5</f>
        <v>#REF!</v>
      </c>
      <c r="AZ19" s="126" t="e">
        <f>Financials!S25/Financials!S5</f>
        <v>#REF!</v>
      </c>
      <c r="BA19" s="126" t="e">
        <f>Financials!T25/Financials!T5</f>
        <v>#REF!</v>
      </c>
      <c r="BB19" s="126" t="e">
        <f>Financials!U25/Financials!U5</f>
        <v>#REF!</v>
      </c>
      <c r="BC19" s="126" t="e">
        <f>Financials!V25/Financials!V5</f>
        <v>#REF!</v>
      </c>
      <c r="BD19" s="126" t="e">
        <f>Financials!W25/Financials!W5</f>
        <v>#REF!</v>
      </c>
      <c r="BE19" s="126" t="e">
        <f>Financials!X25/Financials!X5</f>
        <v>#REF!</v>
      </c>
      <c r="BF19" s="126" t="e">
        <f>Financials!Y25/Financials!Y5</f>
        <v>#REF!</v>
      </c>
      <c r="BG19" s="126" t="e">
        <f>Financials!Z25/Financials!Z5</f>
        <v>#REF!</v>
      </c>
      <c r="BH19" s="126" t="e">
        <f>Financials!AA25/Financials!AA5</f>
        <v>#REF!</v>
      </c>
      <c r="BI19" s="126" t="e">
        <f>Financials!AB25/Financials!AB5</f>
        <v>#REF!</v>
      </c>
      <c r="BJ19" s="126" t="e">
        <f>Financials!AC25/Financials!AC5</f>
        <v>#REF!</v>
      </c>
      <c r="BK19" s="126" t="e">
        <f>Financials!AD25/Financials!AD5</f>
        <v>#REF!</v>
      </c>
      <c r="BL19" s="126" t="e">
        <f>Financials!AE25/Financials!AE5</f>
        <v>#REF!</v>
      </c>
      <c r="BM19" s="126" t="e">
        <f>Financials!AF25/Financials!AF5</f>
        <v>#REF!</v>
      </c>
      <c r="BN19" s="126" t="e">
        <f>Financials!AG25/Financials!AG5</f>
        <v>#REF!</v>
      </c>
      <c r="BO19" s="126" t="e">
        <f>Financials!AH25/Financials!AH5</f>
        <v>#REF!</v>
      </c>
      <c r="BP19" s="126" t="e">
        <f>Financials!AI25/Financials!AI5</f>
        <v>#REF!</v>
      </c>
      <c r="BQ19" s="126" t="e">
        <f>Financials!AJ25/Financials!AJ5</f>
        <v>#REF!</v>
      </c>
      <c r="BR19" s="126" t="e">
        <f>Financials!AK25/Financials!AK5</f>
        <v>#REF!</v>
      </c>
      <c r="BS19" s="126" t="e">
        <f>Financials!AL25/Financials!AL5</f>
        <v>#REF!</v>
      </c>
      <c r="BT19" s="126" t="e">
        <f>Financials!AM25/Financials!AM5</f>
        <v>#REF!</v>
      </c>
      <c r="BU19" s="126" t="e">
        <f>Financials!AN25/Financials!AN5</f>
        <v>#REF!</v>
      </c>
      <c r="BV19" s="126" t="e">
        <f>Financials!AO25/Financials!AO5</f>
        <v>#REF!</v>
      </c>
      <c r="BW19" s="126" t="e">
        <f>Financials!AP25/Financials!AP5</f>
        <v>#REF!</v>
      </c>
      <c r="BX19" s="126" t="e">
        <f>Financials!AQ25/Financials!AQ5</f>
        <v>#REF!</v>
      </c>
      <c r="BY19" s="126" t="e">
        <f>Financials!AR25/Financials!AR5</f>
        <v>#REF!</v>
      </c>
      <c r="BZ19" s="126">
        <f>Financials!AS25/Financials!AS5</f>
        <v>4.4956394433754441E-4</v>
      </c>
      <c r="CA19" s="126">
        <f>Financials!AT25/Financials!AT5</f>
        <v>3.7150422812095426E-3</v>
      </c>
      <c r="CB19" s="126">
        <f>Financials!AU25/Financials!AU5</f>
        <v>3.6725826749908785E-3</v>
      </c>
      <c r="CC19" s="126">
        <f>Financials!AV25/Financials!AV5</f>
        <v>4.4931181175307672E-3</v>
      </c>
      <c r="CD19" s="126">
        <f>Financials!AW25/Financials!AW5</f>
        <v>4.4574006807610511E-3</v>
      </c>
      <c r="CE19" s="126">
        <f>Financials!AX25/Financials!AX5</f>
        <v>4.4335556935289119E-3</v>
      </c>
      <c r="CF19" s="126">
        <f>Financials!AY25/Financials!AY5</f>
        <v>4.363342544232672E-3</v>
      </c>
      <c r="CG19" s="126" t="e">
        <f>Financials!AZ25/Financials!AZ5</f>
        <v>#REF!</v>
      </c>
      <c r="CH19" s="126">
        <f>Financials!BA25/Financials!BA5</f>
        <v>4.3560253408735754E-3</v>
      </c>
      <c r="CI19" s="126">
        <f>Financials!BB25/Financials!BB5</f>
        <v>4.3745823757701304E-3</v>
      </c>
      <c r="CJ19" s="126">
        <f>Financials!BC25/Financials!BC5</f>
        <v>4.3505569466332512E-3</v>
      </c>
      <c r="CK19" s="126">
        <f>Financials!BD25/Financials!BD5</f>
        <v>4.3652281248805613E-3</v>
      </c>
      <c r="CL19" s="126">
        <f>Financials!BE25/Financials!BE5</f>
        <v>4.3630605177882968E-3</v>
      </c>
      <c r="CM19" s="126">
        <f>Financials!BF25/Financials!BF5</f>
        <v>0.11945802230647382</v>
      </c>
      <c r="CN19" s="126">
        <f>Financials!BG25/Financials!BG5</f>
        <v>0.16541229058625823</v>
      </c>
      <c r="CO19" s="126">
        <f>Financials!BH25/Financials!BH5</f>
        <v>0.16324320549171309</v>
      </c>
      <c r="CP19" s="126">
        <f>Financials!BI25/Financials!BI5</f>
        <v>0.15335536976623737</v>
      </c>
      <c r="CQ19" s="126">
        <f>Financials!BJ25/Financials!BJ5</f>
        <v>0.15277981902757867</v>
      </c>
      <c r="CR19" s="126">
        <f>Financials!BK25/Financials!BK5</f>
        <v>0.15175606225244728</v>
      </c>
      <c r="CS19" s="126">
        <f>Financials!BL25/Financials!BL5</f>
        <v>0.14981707470720235</v>
      </c>
      <c r="CT19" s="126">
        <f>Financials!BM25/Financials!BM5</f>
        <v>0.14476122973948125</v>
      </c>
      <c r="CU19" s="126">
        <f>Financials!BN25/Financials!BN5</f>
        <v>0.14482868875202926</v>
      </c>
      <c r="CV19" s="126">
        <f>Financials!BO25/Financials!BO5</f>
        <v>0.14346100777413096</v>
      </c>
      <c r="CW19" s="126">
        <f>Financials!BP25/Financials!BP5</f>
        <v>0.14251527134248063</v>
      </c>
      <c r="CX19" s="126">
        <f>Financials!BQ25/Financials!BQ5</f>
        <v>0.14155246779798283</v>
      </c>
      <c r="CY19" s="126">
        <f>Financials!BR25/Financials!BR5</f>
        <v>0.13937951490442183</v>
      </c>
      <c r="CZ19" s="126">
        <f>Financials!BS25/Financials!BS5</f>
        <v>0.10286497652178442</v>
      </c>
      <c r="DA19" s="126">
        <f>Financials!BT25/Financials!BT5</f>
        <v>3.9385171148521537E-3</v>
      </c>
      <c r="DB19" s="126">
        <f>Financials!BU25/Financials!BU5</f>
        <v>3.9554191128769248E-3</v>
      </c>
      <c r="DC19" s="126">
        <f>Financials!BV25/Financials!BV5</f>
        <v>3.9554191128769248E-3</v>
      </c>
      <c r="DD19" s="126">
        <f>Financials!BW25/Financials!BW5</f>
        <v>3.989223108926466E-3</v>
      </c>
      <c r="DE19" s="126">
        <f>Financials!BX25/Financials!BX5</f>
        <v>3.989223108926466E-3</v>
      </c>
      <c r="DF19" s="126">
        <f>Financials!BY25/Financials!BY5</f>
        <v>4.0289197803829689E-3</v>
      </c>
      <c r="DG19" s="126">
        <f>Financials!BZ25/Financials!BZ5</f>
        <v>4.0289197803829689E-3</v>
      </c>
      <c r="DH19" s="126">
        <f>Financials!CA25/Financials!CA5</f>
        <v>4.062723776432511E-3</v>
      </c>
      <c r="DI19" s="126">
        <f>Financials!CB25/Financials!CB5</f>
        <v>4.0796257744572821E-3</v>
      </c>
      <c r="DJ19" s="126">
        <f>Financials!CC25/Financials!CC5</f>
        <v>4.0965277724820531E-3</v>
      </c>
      <c r="DK19" s="126">
        <f>Financials!CD25/Financials!CD5</f>
        <v>4.1134297705068242E-3</v>
      </c>
      <c r="DL19" s="126">
        <f>Financials!CE25/Financials!CE5</f>
        <v>4.1303317685315952E-3</v>
      </c>
      <c r="DM19" s="126">
        <f>Financials!CF25/Financials!CF5</f>
        <v>8.5845130964815414E-2</v>
      </c>
      <c r="DN19" s="126">
        <f>Financials!CG25/Financials!CG5</f>
        <v>3.4242266155176467E-3</v>
      </c>
      <c r="DO19" s="126">
        <f>Financials!CH25/Financials!CH5</f>
        <v>3.3725289454250734E-3</v>
      </c>
      <c r="DP19" s="126">
        <f>Financials!CI25/Financials!CI5</f>
        <v>3.1873491597134472E-3</v>
      </c>
      <c r="DQ19" s="126">
        <f>Financials!CJ25/Financials!CJ5</f>
        <v>3.2115283119247637E-3</v>
      </c>
      <c r="DR19" s="126">
        <f>Financials!CK25/Financials!CK5</f>
        <v>3.1685303915463293E-3</v>
      </c>
      <c r="DS19" s="126">
        <f>Financials!CL25/Financials!CL5</f>
        <v>3.1584473632719702E-3</v>
      </c>
      <c r="DT19" s="126">
        <f>Financials!CM25/Financials!CM5</f>
        <v>3.1198565283009024E-3</v>
      </c>
      <c r="DU19" s="126">
        <f>Financials!CN25/Financials!CN5</f>
        <v>3.1100815841910096E-3</v>
      </c>
    </row>
    <row r="20" spans="1:125" s="104" customFormat="1" ht="12.75">
      <c r="A20" s="121" t="s">
        <v>350</v>
      </c>
      <c r="B20" s="122" t="s">
        <v>351</v>
      </c>
      <c r="C20" s="123">
        <v>48.4</v>
      </c>
      <c r="D20" s="126" t="e">
        <f>[2]Financials!C25/[2]Financials!C13</f>
        <v>#DIV/0!</v>
      </c>
      <c r="E20" s="126" t="e">
        <f>[2]Financials!D25/[2]Financials!D13</f>
        <v>#DIV/0!</v>
      </c>
      <c r="F20" s="126" t="e">
        <f>[2]Financials!E25/[2]Financials!E13</f>
        <v>#DIV/0!</v>
      </c>
      <c r="G20" s="126" t="e">
        <f>[2]Financials!F25/[2]Financials!F13</f>
        <v>#DIV/0!</v>
      </c>
      <c r="H20" s="126" t="e">
        <f>[2]Financials!G25/[2]Financials!G13</f>
        <v>#DIV/0!</v>
      </c>
      <c r="I20" s="126" t="e">
        <f>[2]Financials!H25/[2]Financials!H13</f>
        <v>#DIV/0!</v>
      </c>
      <c r="J20" s="126" t="e">
        <f>[2]Financials!I25/[2]Financials!I13</f>
        <v>#DIV/0!</v>
      </c>
      <c r="K20" s="126">
        <f>[2]Financials!J25/[2]Financials!J13</f>
        <v>0.29065136832049615</v>
      </c>
      <c r="L20" s="126">
        <f>[2]Financials!K25/[2]Financials!K13</f>
        <v>0.14992956056990961</v>
      </c>
      <c r="M20" s="126">
        <f>[2]Financials!L25/[2]Financials!L13</f>
        <v>0.14141182623580414</v>
      </c>
      <c r="N20" s="126">
        <f>[2]Financials!M25/[2]Financials!M13</f>
        <v>0.13398038892737626</v>
      </c>
      <c r="O20" s="126">
        <f>[2]Financials!N25/[2]Financials!N13</f>
        <v>0.13269714753002726</v>
      </c>
      <c r="P20" s="126">
        <f>[2]Financials!O25/[2]Financials!O13</f>
        <v>0.13613611148727769</v>
      </c>
      <c r="Q20" s="126">
        <f>[2]Financials!P25/[2]Financials!P13</f>
        <v>0.12640221614524086</v>
      </c>
      <c r="R20" s="126">
        <f>[2]Financials!Q25/[2]Financials!Q13</f>
        <v>0.12013514911808597</v>
      </c>
      <c r="S20" s="126">
        <f>[2]Financials!R25/[2]Financials!R13</f>
        <v>0.1138429282115964</v>
      </c>
      <c r="T20" s="126">
        <f>[2]Financials!S25/[2]Financials!S13</f>
        <v>0.10822704281378845</v>
      </c>
      <c r="U20" s="126">
        <f>[2]Financials!T25/[2]Financials!T13</f>
        <v>0.10294338280866991</v>
      </c>
      <c r="V20" s="126">
        <f>[2]Financials!U25/[2]Financials!U13</f>
        <v>9.9823801527689202E-2</v>
      </c>
      <c r="W20" s="126">
        <f>[2]Financials!V25/[2]Financials!V13</f>
        <v>9.5726720369714163E-2</v>
      </c>
      <c r="X20" s="126">
        <f>[2]Financials!W25/[2]Financials!W13</f>
        <v>0.18928999306010949</v>
      </c>
      <c r="Y20" s="126">
        <f>[2]Financials!X25/[2]Financials!X13</f>
        <v>9.1693177750204261E-2</v>
      </c>
      <c r="Z20" s="126">
        <f>[2]Financials!Y25/[2]Financials!Y13</f>
        <v>0.18647295245927278</v>
      </c>
      <c r="AA20" s="126">
        <f>[2]Financials!Z25/[2]Financials!Z13</f>
        <v>0.19462111869107029</v>
      </c>
      <c r="AB20" s="126">
        <f>[2]Financials!AA25/[2]Financials!AA13</f>
        <v>0.17001808487897188</v>
      </c>
      <c r="AC20" s="126">
        <f>[2]Financials!AB25/[2]Financials!AB13</f>
        <v>0.17657862641592306</v>
      </c>
      <c r="AD20" s="126">
        <f>[2]Financials!AC25/[2]Financials!AC13</f>
        <v>0.18623609119677628</v>
      </c>
      <c r="AE20" s="126">
        <f>[2]Financials!AD25/[2]Financials!AD13</f>
        <v>0.16636695918288111</v>
      </c>
      <c r="AF20" s="126">
        <f>[2]Financials!AE25/[2]Financials!AE13</f>
        <v>0.15484831471872615</v>
      </c>
      <c r="AG20" s="126">
        <f>[2]Financials!AF25/[2]Financials!AF13</f>
        <v>0.14559978680043401</v>
      </c>
      <c r="AH20" s="126">
        <f>[2]Financials!AG25/[2]Financials!AG13</f>
        <v>0.13941024121075371</v>
      </c>
      <c r="AI20" s="126">
        <f>[2]Financials!AH25/[2]Financials!AH13</f>
        <v>0.16533217270049674</v>
      </c>
      <c r="AJ20" s="126">
        <f>[2]Financials!AI25/[2]Financials!AI13</f>
        <v>0.15732483378019529</v>
      </c>
      <c r="AK20" s="126" t="e">
        <f>Financials!D25/Financials!D11</f>
        <v>#REF!</v>
      </c>
      <c r="AL20" s="126" t="e">
        <f>Financials!E25/Financials!E11</f>
        <v>#REF!</v>
      </c>
      <c r="AM20" s="126" t="e">
        <f>Financials!F25/Financials!F11</f>
        <v>#REF!</v>
      </c>
      <c r="AN20" s="126" t="e">
        <f>Financials!G25/Financials!G11</f>
        <v>#REF!</v>
      </c>
      <c r="AO20" s="126" t="e">
        <f>Financials!H25/Financials!H11</f>
        <v>#REF!</v>
      </c>
      <c r="AP20" s="126" t="e">
        <f>Financials!I25/Financials!I11</f>
        <v>#REF!</v>
      </c>
      <c r="AQ20" s="126" t="e">
        <f>Financials!J25/Financials!J11</f>
        <v>#REF!</v>
      </c>
      <c r="AR20" s="126" t="e">
        <f>Financials!K25/Financials!K11</f>
        <v>#REF!</v>
      </c>
      <c r="AS20" s="126" t="e">
        <f>Financials!L25/Financials!L11</f>
        <v>#REF!</v>
      </c>
      <c r="AT20" s="126" t="e">
        <f>Financials!M25/Financials!M11</f>
        <v>#REF!</v>
      </c>
      <c r="AU20" s="126" t="e">
        <f>Financials!N25/Financials!N11</f>
        <v>#REF!</v>
      </c>
      <c r="AV20" s="126" t="e">
        <f>Financials!O25/Financials!O11</f>
        <v>#REF!</v>
      </c>
      <c r="AW20" s="126" t="e">
        <f>Financials!P25/Financials!P11</f>
        <v>#REF!</v>
      </c>
      <c r="AX20" s="126" t="e">
        <f>Financials!Q25/Financials!Q11</f>
        <v>#REF!</v>
      </c>
      <c r="AY20" s="126" t="e">
        <f>Financials!R25/Financials!R11</f>
        <v>#REF!</v>
      </c>
      <c r="AZ20" s="126" t="e">
        <f>Financials!S25/Financials!S11</f>
        <v>#REF!</v>
      </c>
      <c r="BA20" s="126" t="e">
        <f>Financials!T25/Financials!T11</f>
        <v>#REF!</v>
      </c>
      <c r="BB20" s="126" t="e">
        <f>Financials!U25/Financials!U11</f>
        <v>#REF!</v>
      </c>
      <c r="BC20" s="126" t="e">
        <f>Financials!V25/Financials!V11</f>
        <v>#REF!</v>
      </c>
      <c r="BD20" s="126" t="e">
        <f>Financials!W25/Financials!W11</f>
        <v>#REF!</v>
      </c>
      <c r="BE20" s="126" t="e">
        <f>Financials!X25/Financials!X11</f>
        <v>#REF!</v>
      </c>
      <c r="BF20" s="126" t="e">
        <f>Financials!Y25/Financials!Y11</f>
        <v>#REF!</v>
      </c>
      <c r="BG20" s="126" t="e">
        <f>Financials!Z25/Financials!Z11</f>
        <v>#REF!</v>
      </c>
      <c r="BH20" s="126" t="e">
        <f>Financials!AA25/Financials!AA11</f>
        <v>#REF!</v>
      </c>
      <c r="BI20" s="126" t="e">
        <f>Financials!AB25/Financials!AB11</f>
        <v>#REF!</v>
      </c>
      <c r="BJ20" s="126" t="e">
        <f>Financials!AC25/Financials!AC11</f>
        <v>#REF!</v>
      </c>
      <c r="BK20" s="126" t="e">
        <f>Financials!AD25/Financials!AD11</f>
        <v>#REF!</v>
      </c>
      <c r="BL20" s="126" t="e">
        <f>Financials!AE25/Financials!AE11</f>
        <v>#REF!</v>
      </c>
      <c r="BM20" s="126" t="e">
        <f>Financials!AF25/Financials!AF11</f>
        <v>#REF!</v>
      </c>
      <c r="BN20" s="126" t="e">
        <f>Financials!AG25/Financials!AG11</f>
        <v>#REF!</v>
      </c>
      <c r="BO20" s="126" t="e">
        <f>Financials!AH25/Financials!AH11</f>
        <v>#REF!</v>
      </c>
      <c r="BP20" s="126" t="e">
        <f>Financials!AI25/Financials!AI11</f>
        <v>#REF!</v>
      </c>
      <c r="BQ20" s="126" t="e">
        <f>Financials!AJ25/Financials!AJ11</f>
        <v>#REF!</v>
      </c>
      <c r="BR20" s="126" t="e">
        <f>Financials!AK25/Financials!AK11</f>
        <v>#REF!</v>
      </c>
      <c r="BS20" s="126" t="e">
        <f>Financials!AL25/Financials!AL11</f>
        <v>#REF!</v>
      </c>
      <c r="BT20" s="126" t="e">
        <f>Financials!AM25/Financials!AM11</f>
        <v>#REF!</v>
      </c>
      <c r="BU20" s="126" t="e">
        <f>Financials!AN25/Financials!AN11</f>
        <v>#REF!</v>
      </c>
      <c r="BV20" s="126" t="e">
        <f>Financials!AO25/Financials!AO11</f>
        <v>#REF!</v>
      </c>
      <c r="BW20" s="126" t="e">
        <f>Financials!AP25/Financials!AP11</f>
        <v>#REF!</v>
      </c>
      <c r="BX20" s="126" t="e">
        <f>Financials!AQ25/Financials!AQ11</f>
        <v>#REF!</v>
      </c>
      <c r="BY20" s="126" t="e">
        <f>Financials!AR25/Financials!AR11</f>
        <v>#REF!</v>
      </c>
      <c r="BZ20" s="126">
        <f>Financials!AS25/Financials!AS11</f>
        <v>3.2826361482232269E-3</v>
      </c>
      <c r="CA20" s="126">
        <f>Financials!AT25/Financials!AT11</f>
        <v>1.2646580273557867E-2</v>
      </c>
      <c r="CB20" s="126">
        <f>Financials!AU25/Financials!AU11</f>
        <v>1.3764748850172662E-2</v>
      </c>
      <c r="CC20" s="126">
        <f>Financials!AV25/Financials!AV11</f>
        <v>1.791975680605579E-2</v>
      </c>
      <c r="CD20" s="126">
        <f>Financials!AW25/Financials!AW11</f>
        <v>1.65563000972999E-2</v>
      </c>
      <c r="CE20" s="126">
        <f>Financials!AX25/Financials!AX11</f>
        <v>1.5456025755907489E-2</v>
      </c>
      <c r="CF20" s="126">
        <f>Financials!AY25/Financials!AY11</f>
        <v>1.6556056211865972E-2</v>
      </c>
      <c r="CG20" s="126" t="e">
        <f>Financials!AZ25/Financials!AZ11</f>
        <v>#REF!</v>
      </c>
      <c r="CH20" s="126">
        <f>Financials!BA25/Financials!BA11</f>
        <v>1.6604402658428406E-2</v>
      </c>
      <c r="CI20" s="126">
        <f>Financials!BB25/Financials!BB11</f>
        <v>1.6469486454246875E-2</v>
      </c>
      <c r="CJ20" s="126">
        <f>Financials!BC25/Financials!BC11</f>
        <v>1.6171272262942581E-2</v>
      </c>
      <c r="CK20" s="126">
        <f>Financials!BD25/Financials!BD11</f>
        <v>1.653217055049221E-2</v>
      </c>
      <c r="CL20" s="126">
        <f>Financials!BE25/Financials!BE11</f>
        <v>1.5834718419490749E-2</v>
      </c>
      <c r="CM20" s="126">
        <f>Financials!BF25/Financials!BF11</f>
        <v>0.41078113841932912</v>
      </c>
      <c r="CN20" s="126">
        <f>Financials!BG25/Financials!BG11</f>
        <v>0.60937245443457255</v>
      </c>
      <c r="CO20" s="126">
        <f>Financials!BH25/Financials!BH11</f>
        <v>0.62781579833575396</v>
      </c>
      <c r="CP20" s="126">
        <f>Financials!BI25/Financials!BI11</f>
        <v>0.61558618432991619</v>
      </c>
      <c r="CQ20" s="126">
        <f>Financials!BJ25/Financials!BJ11</f>
        <v>0.57372745055033247</v>
      </c>
      <c r="CR20" s="126">
        <f>Financials!BK25/Financials!BK11</f>
        <v>0.57242049061680433</v>
      </c>
      <c r="CS20" s="126">
        <f>Financials!BL25/Financials!BL11</f>
        <v>0.55494346425255714</v>
      </c>
      <c r="CT20" s="126">
        <f>Financials!BM25/Financials!BM11</f>
        <v>0.55687841098752955</v>
      </c>
      <c r="CU20" s="126">
        <f>Financials!BN25/Financials!BN11</f>
        <v>0.56419070519720871</v>
      </c>
      <c r="CV20" s="126">
        <f>Financials!BO25/Financials!BO11</f>
        <v>0.52621676034807807</v>
      </c>
      <c r="CW20" s="126">
        <f>Financials!BP25/Financials!BP11</f>
        <v>0.52159185071989311</v>
      </c>
      <c r="CX20" s="126">
        <f>Financials!BQ25/Financials!BQ11</f>
        <v>0.51390305153407434</v>
      </c>
      <c r="CY20" s="126">
        <f>Financials!BR25/Financials!BR11</f>
        <v>0.49279198568390226</v>
      </c>
      <c r="CZ20" s="126">
        <f>Financials!BS25/Financials!BS11</f>
        <v>0.35080162973193735</v>
      </c>
      <c r="DA20" s="126">
        <f>Financials!BT25/Financials!BT11</f>
        <v>1.3840837957991665E-2</v>
      </c>
      <c r="DB20" s="126">
        <f>Financials!BU25/Financials!BU11</f>
        <v>1.3927227165071583E-2</v>
      </c>
      <c r="DC20" s="126">
        <f>Financials!BV25/Financials!BV11</f>
        <v>1.4032341463239492E-2</v>
      </c>
      <c r="DD20" s="126">
        <f>Financials!BW25/Financials!BW11</f>
        <v>1.4126328227964037E-2</v>
      </c>
      <c r="DE20" s="126">
        <f>Financials!BX25/Financials!BX11</f>
        <v>1.4255593579483947E-2</v>
      </c>
      <c r="DF20" s="126">
        <f>Financials!BY25/Financials!BY11</f>
        <v>1.3644221628723672E-2</v>
      </c>
      <c r="DG20" s="126">
        <f>Financials!BZ25/Financials!BZ11</f>
        <v>1.3698438107229849E-2</v>
      </c>
      <c r="DH20" s="126">
        <f>Financials!CA25/Financials!CA11</f>
        <v>1.3974290839046917E-2</v>
      </c>
      <c r="DI20" s="126">
        <f>Financials!CB25/Financials!CB11</f>
        <v>1.3926409766836172E-2</v>
      </c>
      <c r="DJ20" s="126">
        <f>Financials!CC25/Financials!CC11</f>
        <v>1.398802350237174E-2</v>
      </c>
      <c r="DK20" s="126">
        <f>Financials!CD25/Financials!CD11</f>
        <v>1.4102078793800614E-2</v>
      </c>
      <c r="DL20" s="126">
        <f>Financials!CE25/Financials!CE11</f>
        <v>1.3811405121926671E-2</v>
      </c>
      <c r="DM20" s="126">
        <f>Financials!CF25/Financials!CF11</f>
        <v>0.32218084077098469</v>
      </c>
      <c r="DN20" s="126">
        <f>Financials!CG25/Financials!CG11</f>
        <v>1.3470103340234546E-2</v>
      </c>
      <c r="DO20" s="126">
        <f>Financials!CH25/Financials!CH11</f>
        <v>1.3643680198333319E-2</v>
      </c>
      <c r="DP20" s="126">
        <f>Financials!CI25/Financials!CI11</f>
        <v>1.3471892757015129E-2</v>
      </c>
      <c r="DQ20" s="126">
        <f>Financials!CJ25/Financials!CJ11</f>
        <v>1.3563722770428293E-2</v>
      </c>
      <c r="DR20" s="126">
        <f>Financials!CK25/Financials!CK11</f>
        <v>1.3478125599473915E-2</v>
      </c>
      <c r="DS20" s="126">
        <f>Financials!CL25/Financials!CL11</f>
        <v>1.282330649083287E-2</v>
      </c>
      <c r="DT20" s="126">
        <f>Financials!CM25/Financials!CM11</f>
        <v>1.2856877133526299E-2</v>
      </c>
      <c r="DU20" s="126">
        <f>Financials!CN25/Financials!CN11</f>
        <v>1.2849987658510189E-2</v>
      </c>
    </row>
    <row r="21" spans="1:125" s="104" customFormat="1" ht="12.75">
      <c r="A21" s="127" t="s">
        <v>352</v>
      </c>
      <c r="B21" s="131" t="s">
        <v>353</v>
      </c>
      <c r="C21" s="132"/>
      <c r="D21" s="126" t="e">
        <f>[2]Financials!C30/[2]Financials!C5</f>
        <v>#DIV/0!</v>
      </c>
      <c r="E21" s="126" t="e">
        <f>[2]Financials!D30/[2]Financials!D5</f>
        <v>#DIV/0!</v>
      </c>
      <c r="F21" s="126" t="e">
        <f>[2]Financials!E30/[2]Financials!E5</f>
        <v>#DIV/0!</v>
      </c>
      <c r="G21" s="126" t="e">
        <f>[2]Financials!F30/[2]Financials!F5</f>
        <v>#DIV/0!</v>
      </c>
      <c r="H21" s="126" t="e">
        <f>[2]Financials!G30/[2]Financials!G5</f>
        <v>#DIV/0!</v>
      </c>
      <c r="I21" s="126" t="e">
        <f>[2]Financials!H30/[2]Financials!H5</f>
        <v>#DIV/0!</v>
      </c>
      <c r="J21" s="126" t="e">
        <f>[2]Financials!I30/[2]Financials!I5</f>
        <v>#DIV/0!</v>
      </c>
      <c r="K21" s="126">
        <f>[2]Financials!J30/[2]Financials!J5</f>
        <v>0.87193832594292875</v>
      </c>
      <c r="L21" s="126">
        <f>[2]Financials!K30/[2]Financials!K5</f>
        <v>0.84519277462224074</v>
      </c>
      <c r="M21" s="126">
        <f>[2]Financials!L30/[2]Financials!L5</f>
        <v>0.84959900230340268</v>
      </c>
      <c r="N21" s="126">
        <f>[2]Financials!M30/[2]Financials!M5</f>
        <v>0.82277617433314088</v>
      </c>
      <c r="O21" s="126">
        <f>[2]Financials!N30/[2]Financials!N5</f>
        <v>0.81813056639848514</v>
      </c>
      <c r="P21" s="126">
        <f>[2]Financials!O30/[2]Financials!O5</f>
        <v>0.84561876755526322</v>
      </c>
      <c r="Q21" s="126">
        <f>[2]Financials!P30/[2]Financials!P5</f>
        <v>0.84477902110500769</v>
      </c>
      <c r="R21" s="126">
        <f>[2]Financials!Q30/[2]Financials!Q5</f>
        <v>0.84401929506877749</v>
      </c>
      <c r="S21" s="126">
        <f>[2]Financials!R30/[2]Financials!R5</f>
        <v>0.84963642486167912</v>
      </c>
      <c r="T21" s="126">
        <f>[2]Financials!S30/[2]Financials!S5</f>
        <v>0.85634780815117872</v>
      </c>
      <c r="U21" s="126">
        <f>[2]Financials!T30/[2]Financials!T5</f>
        <v>0.84861624421207027</v>
      </c>
      <c r="V21" s="126">
        <f>[2]Financials!U30/[2]Financials!U5</f>
        <v>0.85632171769341281</v>
      </c>
      <c r="W21" s="126">
        <f>[2]Financials!V30/[2]Financials!V5</f>
        <v>0.86485446822488277</v>
      </c>
      <c r="X21" s="126">
        <f>[2]Financials!W30/[2]Financials!W5</f>
        <v>0.87958889652300154</v>
      </c>
      <c r="Y21" s="126">
        <f>[2]Financials!X30/[2]Financials!X5</f>
        <v>0.87449515062534722</v>
      </c>
      <c r="Z21" s="126">
        <f>[2]Financials!Y30/[2]Financials!Y5</f>
        <v>0.92985845049946791</v>
      </c>
      <c r="AA21" s="126">
        <f>[2]Financials!Z30/[2]Financials!Z5</f>
        <v>0.87100335338125501</v>
      </c>
      <c r="AB21" s="126">
        <f>[2]Financials!AA30/[2]Financials!AA5</f>
        <v>0.88715493075022456</v>
      </c>
      <c r="AC21" s="126">
        <f>[2]Financials!AB30/[2]Financials!AB5</f>
        <v>0.88411424649645665</v>
      </c>
      <c r="AD21" s="126">
        <f>[2]Financials!AC30/[2]Financials!AC5</f>
        <v>0.86046615455172315</v>
      </c>
      <c r="AE21" s="126">
        <f>[2]Financials!AD30/[2]Financials!AD5</f>
        <v>0.86313227226832456</v>
      </c>
      <c r="AF21" s="126">
        <f>[2]Financials!AE30/[2]Financials!AE5</f>
        <v>0.84955310755800328</v>
      </c>
      <c r="AG21" s="126">
        <f>[2]Financials!AF30/[2]Financials!AF5</f>
        <v>0.85578442784523323</v>
      </c>
      <c r="AH21" s="126">
        <f>[2]Financials!AG30/[2]Financials!AG5</f>
        <v>0.85543450965551948</v>
      </c>
      <c r="AI21" s="126">
        <f>[2]Financials!AH30/[2]Financials!AH5</f>
        <v>0.84191654496617285</v>
      </c>
      <c r="AJ21" s="126">
        <f>[2]Financials!AI30/[2]Financials!AI5</f>
        <v>0.82912534233716617</v>
      </c>
      <c r="AK21" s="126" t="e">
        <f>Financials!D30/Financials!D4</f>
        <v>#REF!</v>
      </c>
      <c r="AL21" s="126" t="e">
        <f>Financials!E30/Financials!E4</f>
        <v>#REF!</v>
      </c>
      <c r="AM21" s="126" t="e">
        <f>Financials!F30/Financials!F4</f>
        <v>#REF!</v>
      </c>
      <c r="AN21" s="126" t="e">
        <f>Financials!G30/Financials!G4</f>
        <v>#REF!</v>
      </c>
      <c r="AO21" s="126" t="e">
        <f>Financials!H30/Financials!H4</f>
        <v>#REF!</v>
      </c>
      <c r="AP21" s="126" t="e">
        <f>Financials!I30/Financials!I4</f>
        <v>#REF!</v>
      </c>
      <c r="AQ21" s="126" t="e">
        <f>Financials!J30/Financials!J4</f>
        <v>#REF!</v>
      </c>
      <c r="AR21" s="126" t="e">
        <f>Financials!K30/Financials!K4</f>
        <v>#REF!</v>
      </c>
      <c r="AS21" s="126" t="e">
        <f>Financials!L30/Financials!L4</f>
        <v>#REF!</v>
      </c>
      <c r="AT21" s="126" t="e">
        <f>Financials!M30/Financials!M4</f>
        <v>#REF!</v>
      </c>
      <c r="AU21" s="126" t="e">
        <f>Financials!N30/Financials!N4</f>
        <v>#REF!</v>
      </c>
      <c r="AV21" s="126" t="e">
        <f>Financials!O30/Financials!O4</f>
        <v>#REF!</v>
      </c>
      <c r="AW21" s="126" t="e">
        <f>Financials!P30/Financials!P4</f>
        <v>#REF!</v>
      </c>
      <c r="AX21" s="126" t="e">
        <f>Financials!Q30/Financials!Q4</f>
        <v>#REF!</v>
      </c>
      <c r="AY21" s="126" t="e">
        <f>Financials!R30/Financials!R4</f>
        <v>#REF!</v>
      </c>
      <c r="AZ21" s="126" t="e">
        <f>Financials!S30/Financials!S4</f>
        <v>#REF!</v>
      </c>
      <c r="BA21" s="126" t="e">
        <f>Financials!T30/Financials!T4</f>
        <v>#REF!</v>
      </c>
      <c r="BB21" s="126" t="e">
        <f>Financials!U30/Financials!U4</f>
        <v>#REF!</v>
      </c>
      <c r="BC21" s="126" t="e">
        <f>Financials!V30/Financials!V4</f>
        <v>#REF!</v>
      </c>
      <c r="BD21" s="126" t="e">
        <f>Financials!W30/Financials!W4</f>
        <v>#REF!</v>
      </c>
      <c r="BE21" s="126" t="e">
        <f>Financials!X30/Financials!X4</f>
        <v>#REF!</v>
      </c>
      <c r="BF21" s="126" t="e">
        <f>Financials!Y30/Financials!Y4</f>
        <v>#REF!</v>
      </c>
      <c r="BG21" s="126" t="e">
        <f>Financials!Z30/Financials!Z4</f>
        <v>#REF!</v>
      </c>
      <c r="BH21" s="126" t="e">
        <f>Financials!AA30/Financials!AA4</f>
        <v>#REF!</v>
      </c>
      <c r="BI21" s="126" t="e">
        <f>Financials!AB30/Financials!AB4</f>
        <v>#REF!</v>
      </c>
      <c r="BJ21" s="126" t="e">
        <f>Financials!AC30/Financials!AC4</f>
        <v>#REF!</v>
      </c>
      <c r="BK21" s="126" t="e">
        <f>Financials!AD30/Financials!AD4</f>
        <v>#REF!</v>
      </c>
      <c r="BL21" s="126" t="e">
        <f>Financials!AE30/Financials!AE4</f>
        <v>#REF!</v>
      </c>
      <c r="BM21" s="126" t="e">
        <f>Financials!AF30/Financials!AF4</f>
        <v>#REF!</v>
      </c>
      <c r="BN21" s="126" t="e">
        <f>Financials!AG30/Financials!AG4</f>
        <v>#REF!</v>
      </c>
      <c r="BO21" s="126" t="e">
        <f>Financials!AH30/Financials!AH4</f>
        <v>#REF!</v>
      </c>
      <c r="BP21" s="126" t="e">
        <f>Financials!AI30/Financials!AI4</f>
        <v>#REF!</v>
      </c>
      <c r="BQ21" s="126" t="e">
        <f>Financials!AJ30/Financials!AJ4</f>
        <v>#REF!</v>
      </c>
      <c r="BR21" s="126" t="e">
        <f>Financials!AK30/Financials!AK4</f>
        <v>#REF!</v>
      </c>
      <c r="BS21" s="126" t="e">
        <f>Financials!AL30/Financials!AL4</f>
        <v>#REF!</v>
      </c>
      <c r="BT21" s="126" t="e">
        <f>Financials!AM30/Financials!AM4</f>
        <v>#REF!</v>
      </c>
      <c r="BU21" s="126" t="e">
        <f>Financials!AN30/Financials!AN4</f>
        <v>#REF!</v>
      </c>
      <c r="BV21" s="126" t="e">
        <f>Financials!AO30/Financials!AO4</f>
        <v>#REF!</v>
      </c>
      <c r="BW21" s="126" t="e">
        <f>Financials!AP30/Financials!AP4</f>
        <v>#REF!</v>
      </c>
      <c r="BX21" s="126" t="e">
        <f>Financials!AQ30/Financials!AQ4</f>
        <v>#REF!</v>
      </c>
      <c r="BY21" s="126" t="e">
        <f>Financials!AR30/Financials!AR4</f>
        <v>#REF!</v>
      </c>
      <c r="BZ21" s="126">
        <f>Financials!AS30/Financials!AS4</f>
        <v>0.73917553130869162</v>
      </c>
      <c r="CA21" s="126">
        <f>Financials!AT30/Financials!AT4</f>
        <v>0.70075947814550477</v>
      </c>
      <c r="CB21" s="126">
        <f>Financials!AU30/Financials!AU4</f>
        <v>0.69480134165109619</v>
      </c>
      <c r="CC21" s="126">
        <f>Financials!AV30/Financials!AV4</f>
        <v>0.69125165323066073</v>
      </c>
      <c r="CD21" s="126">
        <f>Financials!AW30/Financials!AW4</f>
        <v>0.65753593624411244</v>
      </c>
      <c r="CE21" s="126">
        <f>Financials!AX30/Financials!AX4</f>
        <v>0.64146985460799366</v>
      </c>
      <c r="CF21" s="126">
        <f>Financials!AY30/Financials!AY4</f>
        <v>0.62271592374835494</v>
      </c>
      <c r="CG21" s="126" t="e">
        <f>Financials!AZ30/Financials!AZ4</f>
        <v>#REF!</v>
      </c>
      <c r="CH21" s="126">
        <f>Financials!BA30/Financials!BA4</f>
        <v>0.65379142201993001</v>
      </c>
      <c r="CI21" s="126">
        <f>Financials!BB30/Financials!BB4</f>
        <v>0.67171361822317388</v>
      </c>
      <c r="CJ21" s="126">
        <f>Financials!BC30/Financials!BC4</f>
        <v>0.68050039421412922</v>
      </c>
      <c r="CK21" s="126">
        <f>Financials!BD30/Financials!BD4</f>
        <v>0.67645860425404936</v>
      </c>
      <c r="CL21" s="126">
        <f>Financials!BE30/Financials!BE4</f>
        <v>0.68316535866563122</v>
      </c>
      <c r="CM21" s="126">
        <f>Financials!BF30/Financials!BF4</f>
        <v>0.68515502422881003</v>
      </c>
      <c r="CN21" s="126">
        <f>Financials!BG30/Financials!BG4</f>
        <v>0.6765975840398073</v>
      </c>
      <c r="CO21" s="126">
        <f>Financials!BH30/Financials!BH4</f>
        <v>0.67398983102105203</v>
      </c>
      <c r="CP21" s="126">
        <f>Financials!BI30/Financials!BI4</f>
        <v>0.6839316333562242</v>
      </c>
      <c r="CQ21" s="126">
        <f>Financials!BJ30/Financials!BJ4</f>
        <v>0.68599281103079623</v>
      </c>
      <c r="CR21" s="126">
        <f>Financials!BK30/Financials!BK4</f>
        <v>0.68829465044395699</v>
      </c>
      <c r="CS21" s="126">
        <f>Financials!BL30/Financials!BL4</f>
        <v>0.69134601530275042</v>
      </c>
      <c r="CT21" s="126">
        <f>Financials!BM30/Financials!BM4</f>
        <v>0.69126610290183432</v>
      </c>
      <c r="CU21" s="126">
        <f>Financials!BN30/Financials!BN4</f>
        <v>0.69468276445972055</v>
      </c>
      <c r="CV21" s="126">
        <f>Financials!BO30/Financials!BO4</f>
        <v>0.68254128859480634</v>
      </c>
      <c r="CW21" s="126">
        <f>Financials!BP30/Financials!BP4</f>
        <v>0.67846406932366632</v>
      </c>
      <c r="CX21" s="126">
        <f>Financials!BQ30/Financials!BQ4</f>
        <v>0.67189787359317954</v>
      </c>
      <c r="CY21" s="126">
        <f>Financials!BR30/Financials!BR4</f>
        <v>0.66439702439434711</v>
      </c>
      <c r="CZ21" s="126">
        <f>Financials!BS30/Financials!BS4</f>
        <v>0.66687479506182512</v>
      </c>
      <c r="DA21" s="126">
        <f>Financials!BT30/Financials!BT4</f>
        <v>0.66508244314071074</v>
      </c>
      <c r="DB21" s="126">
        <f>Financials!BU30/Financials!BU4</f>
        <v>0.65968959579897024</v>
      </c>
      <c r="DC21" s="126">
        <f>Financials!BV30/Financials!BV4</f>
        <v>0.66417174817411739</v>
      </c>
      <c r="DD21" s="126">
        <f>Financials!BW30/Financials!BW4</f>
        <v>0.66976259910313718</v>
      </c>
      <c r="DE21" s="126">
        <f>Financials!BX30/Financials!BX4</f>
        <v>0.66716906296527123</v>
      </c>
      <c r="DF21" s="126">
        <f>Financials!BY30/Financials!BY4</f>
        <v>0.66344463373759566</v>
      </c>
      <c r="DG21" s="126">
        <f>Financials!BZ30/Financials!BZ4</f>
        <v>0.6578409055290193</v>
      </c>
      <c r="DH21" s="126">
        <f>Financials!CA30/Financials!CA4</f>
        <v>0.65243515498793692</v>
      </c>
      <c r="DI21" s="126">
        <f>Financials!CB30/Financials!CB4</f>
        <v>0.64253599468185851</v>
      </c>
      <c r="DJ21" s="126">
        <f>Financials!CC30/Financials!CC4</f>
        <v>0.64064718872677207</v>
      </c>
      <c r="DK21" s="126">
        <f>Financials!CD30/Financials!CD4</f>
        <v>0.63337629969077958</v>
      </c>
      <c r="DL21" s="126">
        <f>Financials!CE30/Financials!CE4</f>
        <v>0.63957408944755367</v>
      </c>
      <c r="DM21" s="126">
        <f>Financials!CF30/Financials!CF4</f>
        <v>0.6404733529152542</v>
      </c>
      <c r="DN21" s="126">
        <f>Financials!CG30/Financials!CG4</f>
        <v>0.64324128589588381</v>
      </c>
      <c r="DO21" s="126">
        <f>Financials!CH30/Financials!CH4</f>
        <v>0.63655990828646669</v>
      </c>
      <c r="DP21" s="126">
        <f>Financials!CI30/Financials!CI4</f>
        <v>0.64790942879415536</v>
      </c>
      <c r="DQ21" s="126">
        <f>Financials!CJ30/Financials!CJ4</f>
        <v>0.65364517757043838</v>
      </c>
      <c r="DR21" s="126">
        <f>Financials!CK30/Financials!CK4</f>
        <v>0.6514031772204385</v>
      </c>
      <c r="DS21" s="126">
        <f>Financials!CL30/Financials!CL4</f>
        <v>0.65394775942659455</v>
      </c>
      <c r="DT21" s="126">
        <f>Financials!CM30/Financials!CM4</f>
        <v>0.6571362042948905</v>
      </c>
      <c r="DU21" s="126">
        <f>Financials!CN30/Financials!CN4</f>
        <v>0.67077304330020138</v>
      </c>
    </row>
    <row r="22" spans="1:125" s="104" customFormat="1">
      <c r="A22" s="117"/>
      <c r="B22" s="118"/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  <c r="DK22" s="120"/>
      <c r="DL22" s="120"/>
      <c r="DM22" s="120"/>
      <c r="DN22" s="120"/>
      <c r="DO22" s="120"/>
      <c r="DP22" s="120"/>
      <c r="DQ22" s="120"/>
      <c r="DR22" s="120"/>
      <c r="DS22" s="120"/>
      <c r="DT22" s="120"/>
      <c r="DU22" s="120"/>
    </row>
    <row r="23" spans="1:125" s="104" customFormat="1">
      <c r="A23" s="117" t="s">
        <v>209</v>
      </c>
      <c r="B23" s="118"/>
      <c r="C23" s="119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3"/>
      <c r="DB23" s="133"/>
      <c r="DC23" s="133"/>
      <c r="DD23" s="133"/>
      <c r="DE23" s="133"/>
      <c r="DF23" s="133"/>
      <c r="DG23" s="133"/>
      <c r="DH23" s="133"/>
      <c r="DI23" s="133"/>
      <c r="DJ23" s="133"/>
      <c r="DK23" s="133"/>
      <c r="DL23" s="133"/>
      <c r="DM23" s="133"/>
      <c r="DN23" s="133"/>
      <c r="DO23" s="133"/>
      <c r="DP23" s="133"/>
      <c r="DQ23" s="133"/>
      <c r="DR23" s="133"/>
      <c r="DS23" s="133"/>
      <c r="DT23" s="133"/>
      <c r="DU23" s="133"/>
    </row>
    <row r="24" spans="1:125" s="104" customFormat="1" ht="12.75">
      <c r="A24" s="127" t="s">
        <v>210</v>
      </c>
      <c r="B24" s="131" t="s">
        <v>353</v>
      </c>
      <c r="C24" s="134"/>
      <c r="D24" s="126" t="e">
        <f>[2]Financials!C6/[2]Financials!C5</f>
        <v>#DIV/0!</v>
      </c>
      <c r="E24" s="126" t="e">
        <f>[2]Financials!D6/[2]Financials!D5</f>
        <v>#DIV/0!</v>
      </c>
      <c r="F24" s="126" t="e">
        <f>[2]Financials!E6/[2]Financials!E5</f>
        <v>#DIV/0!</v>
      </c>
      <c r="G24" s="126" t="e">
        <f>[2]Financials!F6/[2]Financials!F5</f>
        <v>#DIV/0!</v>
      </c>
      <c r="H24" s="126" t="e">
        <f>[2]Financials!G6/[2]Financials!G5</f>
        <v>#DIV/0!</v>
      </c>
      <c r="I24" s="126" t="e">
        <f>[2]Financials!H6/[2]Financials!H5</f>
        <v>#DIV/0!</v>
      </c>
      <c r="J24" s="126" t="e">
        <f>[2]Financials!I6/[2]Financials!I5</f>
        <v>#DIV/0!</v>
      </c>
      <c r="K24" s="126">
        <f>[2]Financials!J6/[2]Financials!J5</f>
        <v>0.86978127369900671</v>
      </c>
      <c r="L24" s="126">
        <f>[2]Financials!K6/[2]Financials!K5</f>
        <v>0.8112081755247903</v>
      </c>
      <c r="M24" s="126">
        <f>[2]Financials!L6/[2]Financials!L5</f>
        <v>0.8051148492908341</v>
      </c>
      <c r="N24" s="126">
        <f>[2]Financials!M6/[2]Financials!M5</f>
        <v>0.78333975745942341</v>
      </c>
      <c r="O24" s="126">
        <f>[2]Financials!N6/[2]Financials!N5</f>
        <v>0.78011304112065483</v>
      </c>
      <c r="P24" s="126">
        <f>[2]Financials!O6/[2]Financials!O5</f>
        <v>0.75662365271190346</v>
      </c>
      <c r="Q24" s="126">
        <f>[2]Financials!P6/[2]Financials!P5</f>
        <v>0.74876491829880409</v>
      </c>
      <c r="R24" s="126">
        <f>[2]Financials!Q6/[2]Financials!Q5</f>
        <v>0.74418569717150096</v>
      </c>
      <c r="S24" s="126">
        <f>[2]Financials!R6/[2]Financials!R5</f>
        <v>0.73206634118682157</v>
      </c>
      <c r="T24" s="126">
        <f>[2]Financials!S6/[2]Financials!S5</f>
        <v>0.73010434573344818</v>
      </c>
      <c r="U24" s="126">
        <f>[2]Financials!T6/[2]Financials!T5</f>
        <v>0.72233027990398369</v>
      </c>
      <c r="V24" s="126">
        <f>[2]Financials!U6/[2]Financials!U5</f>
        <v>0.72293440842665924</v>
      </c>
      <c r="W24" s="126">
        <f>[2]Financials!V6/[2]Financials!V5</f>
        <v>0.7249040538379895</v>
      </c>
      <c r="X24" s="126">
        <f>[2]Financials!W6/[2]Financials!W5</f>
        <v>0.73445194635593769</v>
      </c>
      <c r="Y24" s="126">
        <f>[2]Financials!X6/[2]Financials!X5</f>
        <v>0.71306207578281844</v>
      </c>
      <c r="Z24" s="126">
        <f>[2]Financials!Y6/[2]Financials!Y5</f>
        <v>0.74804116790584629</v>
      </c>
      <c r="AA24" s="126">
        <f>[2]Financials!Z6/[2]Financials!Z5</f>
        <v>0.70532661817101616</v>
      </c>
      <c r="AB24" s="126">
        <f>[2]Financials!AA6/[2]Financials!AA5</f>
        <v>0.7469173819080972</v>
      </c>
      <c r="AC24" s="126">
        <f>[2]Financials!AB6/[2]Financials!AB5</f>
        <v>0.72825274378459737</v>
      </c>
      <c r="AD24" s="126">
        <f>[2]Financials!AC6/[2]Financials!AC5</f>
        <v>0.71193633544662038</v>
      </c>
      <c r="AE24" s="126">
        <f>[2]Financials!AD6/[2]Financials!AD5</f>
        <v>0.71283835579804433</v>
      </c>
      <c r="AF24" s="126">
        <f>[2]Financials!AE6/[2]Financials!AE5</f>
        <v>0.69617133677408904</v>
      </c>
      <c r="AG24" s="126">
        <f>[2]Financials!AF6/[2]Financials!AF5</f>
        <v>0.6952007698108742</v>
      </c>
      <c r="AH24" s="126">
        <f>[2]Financials!AG6/[2]Financials!AG5</f>
        <v>0.69712252414570786</v>
      </c>
      <c r="AI24" s="126">
        <f>[2]Financials!AH6/[2]Financials!AH5</f>
        <v>0.68913675186153056</v>
      </c>
      <c r="AJ24" s="126">
        <f>[2]Financials!AI6/[2]Financials!AI5</f>
        <v>0.67815849425415697</v>
      </c>
      <c r="AK24" s="126" t="e">
        <f>Financials!D5/Financials!D4</f>
        <v>#REF!</v>
      </c>
      <c r="AL24" s="126" t="e">
        <f>Financials!E5/Financials!E4</f>
        <v>#REF!</v>
      </c>
      <c r="AM24" s="126" t="e">
        <f>Financials!F5/Financials!F4</f>
        <v>#REF!</v>
      </c>
      <c r="AN24" s="126" t="e">
        <f>Financials!G5/Financials!G4</f>
        <v>#REF!</v>
      </c>
      <c r="AO24" s="126" t="e">
        <f>Financials!H5/Financials!H4</f>
        <v>#REF!</v>
      </c>
      <c r="AP24" s="126" t="e">
        <f>Financials!I5/Financials!I4</f>
        <v>#REF!</v>
      </c>
      <c r="AQ24" s="126" t="e">
        <f>Financials!J5/Financials!J4</f>
        <v>#REF!</v>
      </c>
      <c r="AR24" s="126" t="e">
        <f>Financials!K5/Financials!K4</f>
        <v>#REF!</v>
      </c>
      <c r="AS24" s="126" t="e">
        <f>Financials!L5/Financials!L4</f>
        <v>#REF!</v>
      </c>
      <c r="AT24" s="126" t="e">
        <f>Financials!M5/Financials!M4</f>
        <v>#REF!</v>
      </c>
      <c r="AU24" s="126" t="e">
        <f>Financials!N5/Financials!N4</f>
        <v>#REF!</v>
      </c>
      <c r="AV24" s="126" t="e">
        <f>Financials!O5/Financials!O4</f>
        <v>#REF!</v>
      </c>
      <c r="AW24" s="126" t="e">
        <f>Financials!P5/Financials!P4</f>
        <v>#REF!</v>
      </c>
      <c r="AX24" s="126" t="e">
        <f>Financials!Q5/Financials!Q4</f>
        <v>#REF!</v>
      </c>
      <c r="AY24" s="126" t="e">
        <f>Financials!R5/Financials!R4</f>
        <v>#REF!</v>
      </c>
      <c r="AZ24" s="126" t="e">
        <f>Financials!S5/Financials!S4</f>
        <v>#REF!</v>
      </c>
      <c r="BA24" s="126" t="e">
        <f>Financials!T5/Financials!T4</f>
        <v>#REF!</v>
      </c>
      <c r="BB24" s="126" t="e">
        <f>Financials!U5/Financials!U4</f>
        <v>#REF!</v>
      </c>
      <c r="BC24" s="126" t="e">
        <f>Financials!V5/Financials!V4</f>
        <v>#REF!</v>
      </c>
      <c r="BD24" s="126" t="e">
        <f>Financials!W5/Financials!W4</f>
        <v>#REF!</v>
      </c>
      <c r="BE24" s="126" t="e">
        <f>Financials!X5/Financials!X4</f>
        <v>#REF!</v>
      </c>
      <c r="BF24" s="126" t="e">
        <f>Financials!Y5/Financials!Y4</f>
        <v>#REF!</v>
      </c>
      <c r="BG24" s="126" t="e">
        <f>Financials!Z5/Financials!Z4</f>
        <v>#REF!</v>
      </c>
      <c r="BH24" s="126" t="e">
        <f>Financials!AA5/Financials!AA4</f>
        <v>#REF!</v>
      </c>
      <c r="BI24" s="126" t="e">
        <f>Financials!AB5/Financials!AB4</f>
        <v>#REF!</v>
      </c>
      <c r="BJ24" s="126" t="e">
        <f>Financials!AC5/Financials!AC4</f>
        <v>#REF!</v>
      </c>
      <c r="BK24" s="126" t="e">
        <f>Financials!AD5/Financials!AD4</f>
        <v>#REF!</v>
      </c>
      <c r="BL24" s="126" t="e">
        <f>Financials!AE5/Financials!AE4</f>
        <v>#REF!</v>
      </c>
      <c r="BM24" s="126" t="e">
        <f>Financials!AF5/Financials!AF4</f>
        <v>#REF!</v>
      </c>
      <c r="BN24" s="126" t="e">
        <f>Financials!AG5/Financials!AG4</f>
        <v>#REF!</v>
      </c>
      <c r="BO24" s="126" t="e">
        <f>Financials!AH5/Financials!AH4</f>
        <v>#REF!</v>
      </c>
      <c r="BP24" s="126" t="e">
        <f>Financials!AI5/Financials!AI4</f>
        <v>#REF!</v>
      </c>
      <c r="BQ24" s="126" t="e">
        <f>Financials!AJ5/Financials!AJ4</f>
        <v>#REF!</v>
      </c>
      <c r="BR24" s="126" t="e">
        <f>Financials!AK5/Financials!AK4</f>
        <v>#REF!</v>
      </c>
      <c r="BS24" s="126" t="e">
        <f>Financials!AL5/Financials!AL4</f>
        <v>#REF!</v>
      </c>
      <c r="BT24" s="126" t="e">
        <f>Financials!AM5/Financials!AM4</f>
        <v>#REF!</v>
      </c>
      <c r="BU24" s="126" t="e">
        <f>Financials!AN5/Financials!AN4</f>
        <v>#REF!</v>
      </c>
      <c r="BV24" s="126" t="e">
        <f>Financials!AO5/Financials!AO4</f>
        <v>#REF!</v>
      </c>
      <c r="BW24" s="126" t="e">
        <f>Financials!AP5/Financials!AP4</f>
        <v>#REF!</v>
      </c>
      <c r="BX24" s="126" t="e">
        <f>Financials!AQ5/Financials!AQ4</f>
        <v>#REF!</v>
      </c>
      <c r="BY24" s="126" t="e">
        <f>Financials!AR5/Financials!AR4</f>
        <v>#REF!</v>
      </c>
      <c r="BZ24" s="126">
        <f>Financials!AS5/Financials!AS4</f>
        <v>0.87830612925928209</v>
      </c>
      <c r="CA24" s="126">
        <f>Financials!AT5/Financials!AT4</f>
        <v>0.68806672607260011</v>
      </c>
      <c r="CB24" s="126">
        <f>Financials!AU5/Financials!AU4</f>
        <v>0.69769774643282056</v>
      </c>
      <c r="CC24" s="126">
        <f>Financials!AV5/Financials!AV4</f>
        <v>0.75055794583850699</v>
      </c>
      <c r="CD24" s="126">
        <f>Financials!AW5/Financials!AW4</f>
        <v>0.74020144573195212</v>
      </c>
      <c r="CE24" s="126">
        <f>Financials!AX5/Financials!AX4</f>
        <v>0.72525952515322856</v>
      </c>
      <c r="CF24" s="126">
        <f>Financials!AY5/Financials!AY4</f>
        <v>0.73081429306537082</v>
      </c>
      <c r="CG24" s="126" t="e">
        <f>Financials!AZ5/Financials!AZ4</f>
        <v>#REF!</v>
      </c>
      <c r="CH24" s="126">
        <f>Financials!BA5/Financials!BA4</f>
        <v>0.72325351672513194</v>
      </c>
      <c r="CI24" s="126">
        <f>Financials!BB5/Financials!BB4</f>
        <v>0.71560849163606244</v>
      </c>
      <c r="CJ24" s="126">
        <f>Financials!BC5/Financials!BC4</f>
        <v>0.70763825886584553</v>
      </c>
      <c r="CK24" s="126">
        <f>Financials!BD5/Financials!BD4</f>
        <v>0.70368848150346974</v>
      </c>
      <c r="CL24" s="126">
        <f>Financials!BE5/Financials!BE4</f>
        <v>0.69303319456254009</v>
      </c>
      <c r="CM24" s="126">
        <f>Financials!BF5/Financials!BF4</f>
        <v>0.7015621651828744</v>
      </c>
      <c r="CN24" s="126">
        <f>Financials!BG5/Financials!BG4</f>
        <v>0.69683241181635214</v>
      </c>
      <c r="CO24" s="126">
        <f>Financials!BH5/Financials!BH4</f>
        <v>0.70270718977078672</v>
      </c>
      <c r="CP24" s="126">
        <f>Financials!BI5/Financials!BI4</f>
        <v>0.75691211672637637</v>
      </c>
      <c r="CQ24" s="126">
        <f>Financials!BJ5/Financials!BJ4</f>
        <v>0.74553117261917612</v>
      </c>
      <c r="CR24" s="126">
        <f>Financials!BK5/Financials!BK4</f>
        <v>0.74074339349743856</v>
      </c>
      <c r="CS24" s="126">
        <f>Financials!BL5/Financials!BL4</f>
        <v>0.73812641003993118</v>
      </c>
      <c r="CT24" s="126">
        <f>Financials!BM5/Financials!BM4</f>
        <v>0.73376862309842172</v>
      </c>
      <c r="CU24" s="126">
        <f>Financials!BN5/Financials!BN4</f>
        <v>0.72755781683026866</v>
      </c>
      <c r="CV24" s="126">
        <f>Financials!BO5/Financials!BO4</f>
        <v>0.72059779825316417</v>
      </c>
      <c r="CW24" s="126">
        <f>Financials!BP5/Financials!BP4</f>
        <v>0.71517828309506648</v>
      </c>
      <c r="CX24" s="126">
        <f>Financials!BQ5/Financials!BQ4</f>
        <v>0.70747061650542697</v>
      </c>
      <c r="CY24" s="126">
        <f>Financials!BR5/Financials!BR4</f>
        <v>0.7021457820560244</v>
      </c>
      <c r="CZ24" s="126">
        <f>Financials!BS5/Financials!BS4</f>
        <v>0.70438476961119267</v>
      </c>
      <c r="DA24" s="126">
        <f>Financials!BT5/Financials!BT4</f>
        <v>0.69574887623946968</v>
      </c>
      <c r="DB24" s="126">
        <f>Financials!BU5/Financials!BU4</f>
        <v>0.68621159192885395</v>
      </c>
      <c r="DC24" s="126">
        <f>Financials!BV5/Financials!BV4</f>
        <v>0.69930823449247026</v>
      </c>
      <c r="DD24" s="126">
        <f>Financials!BW5/Financials!BW4</f>
        <v>0.70015534777095378</v>
      </c>
      <c r="DE24" s="126">
        <f>Financials!BX5/Financials!BX4</f>
        <v>0.68863219295573053</v>
      </c>
      <c r="DF24" s="126">
        <f>Financials!BY5/Financials!BY4</f>
        <v>0.66702080078656767</v>
      </c>
      <c r="DG24" s="126">
        <f>Financials!BZ5/Financials!BZ4</f>
        <v>0.65926586705743018</v>
      </c>
      <c r="DH24" s="126">
        <f>Financials!CA5/Financials!CA4</f>
        <v>0.64747535741879181</v>
      </c>
      <c r="DI24" s="126">
        <f>Financials!CB5/Financials!CB4</f>
        <v>0.63462691542620853</v>
      </c>
      <c r="DJ24" s="126">
        <f>Financials!CC5/Financials!CC4</f>
        <v>0.62310963083818038</v>
      </c>
      <c r="DK24" s="126">
        <f>Financials!CD5/Financials!CD4</f>
        <v>0.61295764583332502</v>
      </c>
      <c r="DL24" s="126">
        <f>Financials!CE5/Financials!CE4</f>
        <v>0.60029278776758688</v>
      </c>
      <c r="DM24" s="126">
        <f>Financials!CF5/Financials!CF4</f>
        <v>0.71631614075865624</v>
      </c>
      <c r="DN24" s="126">
        <f>Financials!CG5/Financials!CG4</f>
        <v>0.71465182271390282</v>
      </c>
      <c r="DO24" s="126">
        <f>Financials!CH5/Financials!CH4</f>
        <v>0.71367228877321043</v>
      </c>
      <c r="DP24" s="126">
        <f>Financials!CI5/Financials!CI4</f>
        <v>0.77080404756469689</v>
      </c>
      <c r="DQ24" s="126">
        <f>Financials!CJ5/Financials!CJ4</f>
        <v>0.7686955147472132</v>
      </c>
      <c r="DR24" s="126">
        <f>Financials!CK5/Financials!CK4</f>
        <v>0.7644924374043518</v>
      </c>
      <c r="DS24" s="126">
        <f>Financials!CL5/Financials!CL4</f>
        <v>0.75118001167930126</v>
      </c>
      <c r="DT24" s="126">
        <f>Financials!CM5/Financials!CM4</f>
        <v>0.75069206788307896</v>
      </c>
      <c r="DU24" s="126">
        <f>Financials!CN5/Financials!CN4</f>
        <v>0.74855745295733134</v>
      </c>
    </row>
    <row r="25" spans="1:125" s="104" customFormat="1" ht="12.75">
      <c r="A25" s="135" t="s">
        <v>211</v>
      </c>
      <c r="B25" s="136" t="s">
        <v>353</v>
      </c>
      <c r="C25" s="137"/>
      <c r="D25" s="138" t="e">
        <f>[2]Financials!C7/[2]Financials!C5</f>
        <v>#DIV/0!</v>
      </c>
      <c r="E25" s="138" t="e">
        <f>[2]Financials!D7/[2]Financials!D5</f>
        <v>#DIV/0!</v>
      </c>
      <c r="F25" s="138" t="e">
        <f>[2]Financials!E7/[2]Financials!E5</f>
        <v>#DIV/0!</v>
      </c>
      <c r="G25" s="138" t="e">
        <f>[2]Financials!F7/[2]Financials!F5</f>
        <v>#DIV/0!</v>
      </c>
      <c r="H25" s="138" t="e">
        <f>[2]Financials!G7/[2]Financials!G5</f>
        <v>#DIV/0!</v>
      </c>
      <c r="I25" s="138" t="e">
        <f>[2]Financials!H7/[2]Financials!H5</f>
        <v>#DIV/0!</v>
      </c>
      <c r="J25" s="138" t="e">
        <f>[2]Financials!I7/[2]Financials!I5</f>
        <v>#DIV/0!</v>
      </c>
      <c r="K25" s="138">
        <f>[2]Financials!J7/[2]Financials!J5</f>
        <v>0.81162927051850364</v>
      </c>
      <c r="L25" s="138">
        <f>[2]Financials!K7/[2]Financials!K5</f>
        <v>0.75549353065265024</v>
      </c>
      <c r="M25" s="138">
        <f>[2]Financials!L7/[2]Financials!L5</f>
        <v>0.75205256625859862</v>
      </c>
      <c r="N25" s="138">
        <f>[2]Financials!M7/[2]Financials!M5</f>
        <v>0.73260490577060844</v>
      </c>
      <c r="O25" s="138">
        <f>[2]Financials!N7/[2]Financials!N5</f>
        <v>0.67593966294570418</v>
      </c>
      <c r="P25" s="138">
        <f>[2]Financials!O7/[2]Financials!O5</f>
        <v>0.69787625250688812</v>
      </c>
      <c r="Q25" s="138">
        <f>[2]Financials!P7/[2]Financials!P5</f>
        <v>0.69395827327950266</v>
      </c>
      <c r="R25" s="138">
        <f>[2]Financials!Q7/[2]Financials!Q5</f>
        <v>0.69014860870573236</v>
      </c>
      <c r="S25" s="138">
        <f>[2]Financials!R7/[2]Financials!R5</f>
        <v>0.67714704478440824</v>
      </c>
      <c r="T25" s="138">
        <f>[2]Financials!S7/[2]Financials!S5</f>
        <v>0.67852121566268264</v>
      </c>
      <c r="U25" s="138">
        <f>[2]Financials!T7/[2]Financials!T5</f>
        <v>0.66899365407939471</v>
      </c>
      <c r="V25" s="138">
        <f>[2]Financials!U7/[2]Financials!U5</f>
        <v>0.66775835994656141</v>
      </c>
      <c r="W25" s="138">
        <f>[2]Financials!V7/[2]Financials!V5</f>
        <v>0.67054949276109788</v>
      </c>
      <c r="X25" s="138">
        <f>[2]Financials!W7/[2]Financials!W5</f>
        <v>0.67935242706204135</v>
      </c>
      <c r="Y25" s="138">
        <f>[2]Financials!X7/[2]Financials!X5</f>
        <v>0.6568037938328416</v>
      </c>
      <c r="Z25" s="138">
        <f>[2]Financials!Y7/[2]Financials!Y5</f>
        <v>0.69401769088682674</v>
      </c>
      <c r="AA25" s="138">
        <f>[2]Financials!Z7/[2]Financials!Z5</f>
        <v>0.65754400077843589</v>
      </c>
      <c r="AB25" s="138">
        <f>[2]Financials!AA7/[2]Financials!AA5</f>
        <v>0.67072516401900806</v>
      </c>
      <c r="AC25" s="138">
        <f>[2]Financials!AB7/[2]Financials!AB5</f>
        <v>0.6743246093270745</v>
      </c>
      <c r="AD25" s="138">
        <f>[2]Financials!AC7/[2]Financials!AC5</f>
        <v>0.66007715214860818</v>
      </c>
      <c r="AE25" s="138">
        <f>[2]Financials!AD7/[2]Financials!AD5</f>
        <v>0.6593587906855507</v>
      </c>
      <c r="AF25" s="138">
        <f>[2]Financials!AE7/[2]Financials!AE5</f>
        <v>0.64321696156112651</v>
      </c>
      <c r="AG25" s="138">
        <f>[2]Financials!AF7/[2]Financials!AF5</f>
        <v>0.64424728913629481</v>
      </c>
      <c r="AH25" s="138">
        <f>[2]Financials!AG7/[2]Financials!AG5</f>
        <v>0.6449202708769729</v>
      </c>
      <c r="AI25" s="138">
        <f>[2]Financials!AH7/[2]Financials!AH5</f>
        <v>0.63762351279626184</v>
      </c>
      <c r="AJ25" s="138">
        <f>[2]Financials!AI7/[2]Financials!AI5</f>
        <v>0.6253469274345419</v>
      </c>
      <c r="AK25" s="138" t="e">
        <f>Financials!D6/Financials!D4</f>
        <v>#REF!</v>
      </c>
      <c r="AL25" s="138" t="e">
        <f>Financials!E6/Financials!E4</f>
        <v>#REF!</v>
      </c>
      <c r="AM25" s="138" t="e">
        <f>Financials!F6/Financials!F4</f>
        <v>#REF!</v>
      </c>
      <c r="AN25" s="138" t="e">
        <f>Financials!G6/Financials!G4</f>
        <v>#REF!</v>
      </c>
      <c r="AO25" s="138" t="e">
        <f>Financials!H6/Financials!H4</f>
        <v>#REF!</v>
      </c>
      <c r="AP25" s="138" t="e">
        <f>Financials!I6/Financials!I4</f>
        <v>#REF!</v>
      </c>
      <c r="AQ25" s="138" t="e">
        <f>Financials!J6/Financials!J4</f>
        <v>#REF!</v>
      </c>
      <c r="AR25" s="138" t="e">
        <f>Financials!K6/Financials!K4</f>
        <v>#REF!</v>
      </c>
      <c r="AS25" s="138" t="e">
        <f>Financials!L6/Financials!L4</f>
        <v>#REF!</v>
      </c>
      <c r="AT25" s="138" t="e">
        <f>Financials!M6/Financials!M4</f>
        <v>#REF!</v>
      </c>
      <c r="AU25" s="138" t="e">
        <f>Financials!N6/Financials!N4</f>
        <v>#REF!</v>
      </c>
      <c r="AV25" s="138" t="e">
        <f>Financials!O6/Financials!O4</f>
        <v>#REF!</v>
      </c>
      <c r="AW25" s="138" t="e">
        <f>Financials!P6/Financials!P4</f>
        <v>#REF!</v>
      </c>
      <c r="AX25" s="138" t="e">
        <f>Financials!Q6/Financials!Q4</f>
        <v>#REF!</v>
      </c>
      <c r="AY25" s="138" t="e">
        <f>Financials!R6/Financials!R4</f>
        <v>#REF!</v>
      </c>
      <c r="AZ25" s="138" t="e">
        <f>Financials!S6/Financials!S4</f>
        <v>#REF!</v>
      </c>
      <c r="BA25" s="138" t="e">
        <f>Financials!T6/Financials!T4</f>
        <v>#REF!</v>
      </c>
      <c r="BB25" s="138" t="e">
        <f>Financials!U6/Financials!U4</f>
        <v>#REF!</v>
      </c>
      <c r="BC25" s="138" t="e">
        <f>Financials!V6/Financials!V4</f>
        <v>#REF!</v>
      </c>
      <c r="BD25" s="138" t="e">
        <f>Financials!W6/Financials!W4</f>
        <v>#REF!</v>
      </c>
      <c r="BE25" s="138" t="e">
        <f>Financials!X6/Financials!X4</f>
        <v>#REF!</v>
      </c>
      <c r="BF25" s="138" t="e">
        <f>Financials!Y6/Financials!Y4</f>
        <v>#REF!</v>
      </c>
      <c r="BG25" s="138" t="e">
        <f>Financials!Z6/Financials!Z4</f>
        <v>#REF!</v>
      </c>
      <c r="BH25" s="138" t="e">
        <f>Financials!AA6/Financials!AA4</f>
        <v>#REF!</v>
      </c>
      <c r="BI25" s="138" t="e">
        <f>Financials!AB6/Financials!AB4</f>
        <v>#REF!</v>
      </c>
      <c r="BJ25" s="138" t="e">
        <f>Financials!AC6/Financials!AC4</f>
        <v>#REF!</v>
      </c>
      <c r="BK25" s="138" t="e">
        <f>Financials!AD6/Financials!AD4</f>
        <v>#REF!</v>
      </c>
      <c r="BL25" s="138" t="e">
        <f>Financials!AE6/Financials!AE4</f>
        <v>#REF!</v>
      </c>
      <c r="BM25" s="138" t="e">
        <f>Financials!AF6/Financials!AF4</f>
        <v>#REF!</v>
      </c>
      <c r="BN25" s="138" t="e">
        <f>Financials!AG6/Financials!AG4</f>
        <v>#REF!</v>
      </c>
      <c r="BO25" s="138" t="e">
        <f>Financials!AH6/Financials!AH4</f>
        <v>#REF!</v>
      </c>
      <c r="BP25" s="138" t="e">
        <f>Financials!AI6/Financials!AI4</f>
        <v>#REF!</v>
      </c>
      <c r="BQ25" s="138" t="e">
        <f>Financials!AJ6/Financials!AJ4</f>
        <v>#REF!</v>
      </c>
      <c r="BR25" s="138" t="e">
        <f>Financials!AK6/Financials!AK4</f>
        <v>#REF!</v>
      </c>
      <c r="BS25" s="138" t="e">
        <f>Financials!AL6/Financials!AL4</f>
        <v>#REF!</v>
      </c>
      <c r="BT25" s="138" t="e">
        <f>Financials!AM6/Financials!AM4</f>
        <v>#REF!</v>
      </c>
      <c r="BU25" s="138" t="e">
        <f>Financials!AN6/Financials!AN4</f>
        <v>#REF!</v>
      </c>
      <c r="BV25" s="138" t="e">
        <f>Financials!AO6/Financials!AO4</f>
        <v>#REF!</v>
      </c>
      <c r="BW25" s="138" t="e">
        <f>Financials!AP6/Financials!AP4</f>
        <v>#REF!</v>
      </c>
      <c r="BX25" s="138" t="e">
        <f>Financials!AQ6/Financials!AQ4</f>
        <v>#REF!</v>
      </c>
      <c r="BY25" s="138" t="e">
        <f>Financials!AR6/Financials!AR4</f>
        <v>#REF!</v>
      </c>
      <c r="BZ25" s="138">
        <f>Financials!AS6/Financials!AS4</f>
        <v>0.86813411350981062</v>
      </c>
      <c r="CA25" s="138">
        <f>Financials!AT6/Financials!AT4</f>
        <v>0.61427436573411232</v>
      </c>
      <c r="CB25" s="138">
        <f>Financials!AU6/Financials!AU4</f>
        <v>0.62598375770943526</v>
      </c>
      <c r="CC25" s="138">
        <f>Financials!AV6/Financials!AV4</f>
        <v>0.65546197301771925</v>
      </c>
      <c r="CD25" s="138">
        <f>Financials!AW6/Financials!AW4</f>
        <v>0.64558955769866899</v>
      </c>
      <c r="CE25" s="138">
        <f>Financials!AX6/Financials!AX4</f>
        <v>0.63921875540611228</v>
      </c>
      <c r="CF25" s="138">
        <f>Financials!AY6/Financials!AY4</f>
        <v>0.64448923730047269</v>
      </c>
      <c r="CG25" s="138" t="e">
        <f>Financials!AZ6/Financials!AZ4</f>
        <v>#REF!</v>
      </c>
      <c r="CH25" s="138">
        <f>Financials!BA6/Financials!BA4</f>
        <v>0.63791837881224178</v>
      </c>
      <c r="CI25" s="138">
        <f>Financials!BB6/Financials!BB4</f>
        <v>0.63353350668787389</v>
      </c>
      <c r="CJ25" s="138">
        <f>Financials!BC6/Financials!BC4</f>
        <v>0.63222372155841511</v>
      </c>
      <c r="CK25" s="138">
        <f>Financials!BD6/Financials!BD4</f>
        <v>0.63085297423526987</v>
      </c>
      <c r="CL25" s="138">
        <f>Financials!BE6/Financials!BE4</f>
        <v>0.6241005936231333</v>
      </c>
      <c r="CM25" s="138">
        <f>Financials!BF6/Financials!BF4</f>
        <v>0.62598575074636087</v>
      </c>
      <c r="CN25" s="138">
        <f>Financials!BG6/Financials!BG4</f>
        <v>0.62399951161422362</v>
      </c>
      <c r="CO25" s="138">
        <f>Financials!BH6/Financials!BH4</f>
        <v>0.62852494052873475</v>
      </c>
      <c r="CP25" s="138">
        <f>Financials!BI6/Financials!BI4</f>
        <v>0.64913625251302909</v>
      </c>
      <c r="CQ25" s="138">
        <f>Financials!BJ6/Financials!BJ4</f>
        <v>0.64808076737183729</v>
      </c>
      <c r="CR25" s="138">
        <f>Financials!BK6/Financials!BK4</f>
        <v>0.65342117337713712</v>
      </c>
      <c r="CS25" s="138">
        <f>Financials!BL6/Financials!BL4</f>
        <v>0.65386228872807273</v>
      </c>
      <c r="CT25" s="138">
        <f>Financials!BM6/Financials!BM4</f>
        <v>0.65237737415246499</v>
      </c>
      <c r="CU25" s="138">
        <f>Financials!BN6/Financials!BN4</f>
        <v>0.65486567130648077</v>
      </c>
      <c r="CV25" s="138">
        <f>Financials!BO6/Financials!BO4</f>
        <v>0.64901233098175481</v>
      </c>
      <c r="CW25" s="138">
        <f>Financials!BP6/Financials!BP4</f>
        <v>0.64927439223611805</v>
      </c>
      <c r="CX25" s="138">
        <f>Financials!BQ6/Financials!BQ4</f>
        <v>0.64418926676322052</v>
      </c>
      <c r="CY25" s="138">
        <f>Financials!BR6/Financials!BR4</f>
        <v>0.63909900101969874</v>
      </c>
      <c r="CZ25" s="138">
        <f>Financials!BS6/Financials!BS4</f>
        <v>0.64149132200210102</v>
      </c>
      <c r="DA25" s="138">
        <f>Financials!BT6/Financials!BT4</f>
        <v>0.63362651444989682</v>
      </c>
      <c r="DB25" s="138">
        <f>Financials!BU6/Financials!BU4</f>
        <v>0.62494079978842865</v>
      </c>
      <c r="DC25" s="138">
        <f>Financials!BV6/Financials!BV4</f>
        <v>0.63686806300361809</v>
      </c>
      <c r="DD25" s="138">
        <f>Financials!BW6/Financials!BW4</f>
        <v>0.63763953882243773</v>
      </c>
      <c r="DE25" s="138">
        <f>Financials!BX6/Financials!BX4</f>
        <v>0.62714526902138479</v>
      </c>
      <c r="DF25" s="138">
        <f>Financials!BY6/Financials!BY4</f>
        <v>0.60746352527704661</v>
      </c>
      <c r="DG25" s="138">
        <f>Financials!BZ6/Financials!BZ4</f>
        <v>0.6004010178172543</v>
      </c>
      <c r="DH25" s="138">
        <f>Financials!CA6/Financials!CA4</f>
        <v>0.58966326489942289</v>
      </c>
      <c r="DI25" s="138">
        <f>Financials!CB6/Financials!CB4</f>
        <v>0.57796204080277025</v>
      </c>
      <c r="DJ25" s="138">
        <f>Financials!CC6/Financials!CC4</f>
        <v>0.56747311708523063</v>
      </c>
      <c r="DK25" s="138">
        <f>Financials!CD6/Financials!CD4</f>
        <v>0.55822758742208223</v>
      </c>
      <c r="DL25" s="138">
        <f>Financials!CE6/Financials!CE4</f>
        <v>0.54669355532192221</v>
      </c>
      <c r="DM25" s="138">
        <f>Financials!CF6/Financials!CF4</f>
        <v>0.66087107481422214</v>
      </c>
      <c r="DN25" s="138">
        <f>Financials!CG6/Financials!CG4</f>
        <v>0.65546383204434833</v>
      </c>
      <c r="DO25" s="138">
        <f>Financials!CH6/Financials!CH4</f>
        <v>0.65540856655387247</v>
      </c>
      <c r="DP25" s="138">
        <f>Financials!CI6/Financials!CI4</f>
        <v>0.68421721560513715</v>
      </c>
      <c r="DQ25" s="138">
        <f>Financials!CJ6/Financials!CJ4</f>
        <v>0.6944766462886991</v>
      </c>
      <c r="DR25" s="138">
        <f>Financials!CK6/Financials!CK4</f>
        <v>0.6910491496371659</v>
      </c>
      <c r="DS25" s="138">
        <f>Financials!CL6/Financials!CL4</f>
        <v>0.68028240059055467</v>
      </c>
      <c r="DT25" s="138">
        <f>Financials!CM6/Financials!CM4</f>
        <v>0.68117467820346878</v>
      </c>
      <c r="DU25" s="138">
        <f>Financials!CN6/Financials!CN4</f>
        <v>0.68486379020633692</v>
      </c>
    </row>
    <row r="26" spans="1:125" s="104" customFormat="1" ht="12.75">
      <c r="A26" s="135" t="s">
        <v>212</v>
      </c>
      <c r="B26" s="136" t="s">
        <v>353</v>
      </c>
      <c r="C26" s="137"/>
      <c r="D26" s="138" t="e">
        <f>[2]Financials!C8/[2]Financials!C5</f>
        <v>#DIV/0!</v>
      </c>
      <c r="E26" s="138" t="e">
        <f>[2]Financials!D8/[2]Financials!D5</f>
        <v>#DIV/0!</v>
      </c>
      <c r="F26" s="138" t="e">
        <f>[2]Financials!E8/[2]Financials!E5</f>
        <v>#DIV/0!</v>
      </c>
      <c r="G26" s="138" t="e">
        <f>[2]Financials!F8/[2]Financials!F5</f>
        <v>#DIV/0!</v>
      </c>
      <c r="H26" s="138" t="e">
        <f>[2]Financials!G8/[2]Financials!G5</f>
        <v>#DIV/0!</v>
      </c>
      <c r="I26" s="138" t="e">
        <f>[2]Financials!H8/[2]Financials!H5</f>
        <v>#DIV/0!</v>
      </c>
      <c r="J26" s="138" t="e">
        <f>[2]Financials!I8/[2]Financials!I5</f>
        <v>#DIV/0!</v>
      </c>
      <c r="K26" s="138">
        <f>[2]Financials!J8/[2]Financials!J5</f>
        <v>5.8152003180503002E-2</v>
      </c>
      <c r="L26" s="138">
        <f>[2]Financials!K8/[2]Financials!K5</f>
        <v>5.5714644872140048E-2</v>
      </c>
      <c r="M26" s="138">
        <f>[2]Financials!L8/[2]Financials!L5</f>
        <v>5.3062283032235438E-2</v>
      </c>
      <c r="N26" s="138">
        <f>[2]Financials!M8/[2]Financials!M5</f>
        <v>5.0734851688815016E-2</v>
      </c>
      <c r="O26" s="138">
        <f>[2]Financials!N8/[2]Financials!N5</f>
        <v>0.10417337817495065</v>
      </c>
      <c r="P26" s="138">
        <f>[2]Financials!O8/[2]Financials!O5</f>
        <v>5.8747400205015329E-2</v>
      </c>
      <c r="Q26" s="138">
        <f>[2]Financials!P8/[2]Financials!P5</f>
        <v>5.4806645019301499E-2</v>
      </c>
      <c r="R26" s="138">
        <f>[2]Financials!Q8/[2]Financials!Q5</f>
        <v>5.4037088465768511E-2</v>
      </c>
      <c r="S26" s="138">
        <f>[2]Financials!R8/[2]Financials!R5</f>
        <v>5.4919296402413324E-2</v>
      </c>
      <c r="T26" s="138">
        <f>[2]Financials!S8/[2]Financials!S5</f>
        <v>5.1583130070765544E-2</v>
      </c>
      <c r="U26" s="138">
        <f>[2]Financials!T8/[2]Financials!T5</f>
        <v>5.3336625824588917E-2</v>
      </c>
      <c r="V26" s="138">
        <f>[2]Financials!U8/[2]Financials!U5</f>
        <v>5.5176048480097807E-2</v>
      </c>
      <c r="W26" s="138">
        <f>[2]Financials!V8/[2]Financials!V5</f>
        <v>5.4354561076891586E-2</v>
      </c>
      <c r="X26" s="138">
        <f>[2]Financials!W8/[2]Financials!W5</f>
        <v>5.5099519293896358E-2</v>
      </c>
      <c r="Y26" s="138">
        <f>[2]Financials!X8/[2]Financials!X5</f>
        <v>5.625828194997682E-2</v>
      </c>
      <c r="Z26" s="138">
        <f>[2]Financials!Y8/[2]Financials!Y5</f>
        <v>5.4023477019019522E-2</v>
      </c>
      <c r="AA26" s="138">
        <f>[2]Financials!Z8/[2]Financials!Z5</f>
        <v>4.778261739258028E-2</v>
      </c>
      <c r="AB26" s="138">
        <f>[2]Financials!AA8/[2]Financials!AA5</f>
        <v>7.6192217889089101E-2</v>
      </c>
      <c r="AC26" s="138">
        <f>[2]Financials!AB8/[2]Financials!AB5</f>
        <v>5.3928134457522911E-2</v>
      </c>
      <c r="AD26" s="138">
        <f>[2]Financials!AC8/[2]Financials!AC5</f>
        <v>5.1859183298012125E-2</v>
      </c>
      <c r="AE26" s="138">
        <f>[2]Financials!AD8/[2]Financials!AD5</f>
        <v>5.3479565112493653E-2</v>
      </c>
      <c r="AF26" s="138">
        <f>[2]Financials!AE8/[2]Financials!AE5</f>
        <v>5.2954375212962534E-2</v>
      </c>
      <c r="AG26" s="138">
        <f>[2]Financials!AF8/[2]Financials!AF5</f>
        <v>5.0953480674579318E-2</v>
      </c>
      <c r="AH26" s="138">
        <f>[2]Financials!AG8/[2]Financials!AG5</f>
        <v>5.2202253268735024E-2</v>
      </c>
      <c r="AI26" s="138">
        <f>[2]Financials!AH8/[2]Financials!AH5</f>
        <v>5.1513239065268744E-2</v>
      </c>
      <c r="AJ26" s="138">
        <f>[2]Financials!AI8/[2]Financials!AI5</f>
        <v>5.2811566819615068E-2</v>
      </c>
      <c r="AK26" s="138" t="e">
        <f>Financials!D7/Financials!D4</f>
        <v>#REF!</v>
      </c>
      <c r="AL26" s="138" t="e">
        <f>Financials!E7/Financials!E4</f>
        <v>#REF!</v>
      </c>
      <c r="AM26" s="138" t="e">
        <f>Financials!F7/Financials!F4</f>
        <v>#REF!</v>
      </c>
      <c r="AN26" s="138" t="e">
        <f>Financials!G7/Financials!G4</f>
        <v>#REF!</v>
      </c>
      <c r="AO26" s="138" t="e">
        <f>Financials!H7/Financials!H4</f>
        <v>#REF!</v>
      </c>
      <c r="AP26" s="138" t="e">
        <f>Financials!I7/Financials!I4</f>
        <v>#REF!</v>
      </c>
      <c r="AQ26" s="138" t="e">
        <f>Financials!J7/Financials!J4</f>
        <v>#REF!</v>
      </c>
      <c r="AR26" s="138" t="e">
        <f>Financials!K7/Financials!K4</f>
        <v>#REF!</v>
      </c>
      <c r="AS26" s="138" t="e">
        <f>Financials!L7/Financials!L4</f>
        <v>#REF!</v>
      </c>
      <c r="AT26" s="138" t="e">
        <f>Financials!M7/Financials!M4</f>
        <v>#REF!</v>
      </c>
      <c r="AU26" s="138" t="e">
        <f>Financials!N7/Financials!N4</f>
        <v>#REF!</v>
      </c>
      <c r="AV26" s="138" t="e">
        <f>Financials!O7/Financials!O4</f>
        <v>#REF!</v>
      </c>
      <c r="AW26" s="138" t="e">
        <f>Financials!P7/Financials!P4</f>
        <v>#REF!</v>
      </c>
      <c r="AX26" s="138" t="e">
        <f>Financials!Q7/Financials!Q4</f>
        <v>#REF!</v>
      </c>
      <c r="AY26" s="138" t="e">
        <f>Financials!R7/Financials!R4</f>
        <v>#REF!</v>
      </c>
      <c r="AZ26" s="138" t="e">
        <f>Financials!S7/Financials!S4</f>
        <v>#REF!</v>
      </c>
      <c r="BA26" s="138" t="e">
        <f>Financials!T7/Financials!T4</f>
        <v>#REF!</v>
      </c>
      <c r="BB26" s="138" t="e">
        <f>Financials!U7/Financials!U4</f>
        <v>#REF!</v>
      </c>
      <c r="BC26" s="138" t="e">
        <f>Financials!V7/Financials!V4</f>
        <v>#REF!</v>
      </c>
      <c r="BD26" s="138" t="e">
        <f>Financials!W7/Financials!W4</f>
        <v>#REF!</v>
      </c>
      <c r="BE26" s="138" t="e">
        <f>Financials!X7/Financials!X4</f>
        <v>#REF!</v>
      </c>
      <c r="BF26" s="138" t="e">
        <f>Financials!Y7/Financials!Y4</f>
        <v>#REF!</v>
      </c>
      <c r="BG26" s="138" t="e">
        <f>Financials!Z7/Financials!Z4</f>
        <v>#REF!</v>
      </c>
      <c r="BH26" s="138" t="e">
        <f>Financials!AA7/Financials!AA4</f>
        <v>#REF!</v>
      </c>
      <c r="BI26" s="138" t="e">
        <f>Financials!AB7/Financials!AB4</f>
        <v>#REF!</v>
      </c>
      <c r="BJ26" s="138" t="e">
        <f>Financials!AC7/Financials!AC4</f>
        <v>#REF!</v>
      </c>
      <c r="BK26" s="138" t="e">
        <f>Financials!AD7/Financials!AD4</f>
        <v>#REF!</v>
      </c>
      <c r="BL26" s="138" t="e">
        <f>Financials!AE7/Financials!AE4</f>
        <v>#REF!</v>
      </c>
      <c r="BM26" s="138" t="e">
        <f>Financials!AF7/Financials!AF4</f>
        <v>#REF!</v>
      </c>
      <c r="BN26" s="138" t="e">
        <f>Financials!AG7/Financials!AG4</f>
        <v>#REF!</v>
      </c>
      <c r="BO26" s="138" t="e">
        <f>Financials!AH7/Financials!AH4</f>
        <v>#REF!</v>
      </c>
      <c r="BP26" s="138" t="e">
        <f>Financials!AI7/Financials!AI4</f>
        <v>#REF!</v>
      </c>
      <c r="BQ26" s="138" t="e">
        <f>Financials!AJ7/Financials!AJ4</f>
        <v>#REF!</v>
      </c>
      <c r="BR26" s="138" t="e">
        <f>Financials!AK7/Financials!AK4</f>
        <v>#REF!</v>
      </c>
      <c r="BS26" s="138" t="e">
        <f>Financials!AL7/Financials!AL4</f>
        <v>#REF!</v>
      </c>
      <c r="BT26" s="138" t="e">
        <f>Financials!AM7/Financials!AM4</f>
        <v>#REF!</v>
      </c>
      <c r="BU26" s="138" t="e">
        <f>Financials!AN7/Financials!AN4</f>
        <v>#REF!</v>
      </c>
      <c r="BV26" s="138" t="e">
        <f>Financials!AO7/Financials!AO4</f>
        <v>#REF!</v>
      </c>
      <c r="BW26" s="138" t="e">
        <f>Financials!AP7/Financials!AP4</f>
        <v>#REF!</v>
      </c>
      <c r="BX26" s="138" t="e">
        <f>Financials!AQ7/Financials!AQ4</f>
        <v>#REF!</v>
      </c>
      <c r="BY26" s="138" t="e">
        <f>Financials!AR7/Financials!AR4</f>
        <v>#REF!</v>
      </c>
      <c r="BZ26" s="138">
        <f>Financials!AS7/Financials!AS4</f>
        <v>1.0172015749471429E-2</v>
      </c>
      <c r="CA26" s="138">
        <f>Financials!AT7/Financials!AT4</f>
        <v>7.3792360338487864E-2</v>
      </c>
      <c r="CB26" s="138">
        <f>Financials!AU7/Financials!AU4</f>
        <v>7.1713988723385427E-2</v>
      </c>
      <c r="CC26" s="138">
        <f>Financials!AV7/Financials!AV4</f>
        <v>9.5095972820787758E-2</v>
      </c>
      <c r="CD26" s="138">
        <f>Financials!AW7/Financials!AW4</f>
        <v>9.461188803328309E-2</v>
      </c>
      <c r="CE26" s="138">
        <f>Financials!AX7/Financials!AX4</f>
        <v>8.6040769747116302E-2</v>
      </c>
      <c r="CF26" s="138">
        <f>Financials!AY7/Financials!AY4</f>
        <v>8.6325055764898004E-2</v>
      </c>
      <c r="CG26" s="138" t="e">
        <f>Financials!AZ7/Financials!AZ4</f>
        <v>#REF!</v>
      </c>
      <c r="CH26" s="138">
        <f>Financials!BA7/Financials!BA4</f>
        <v>8.5335137912890213E-2</v>
      </c>
      <c r="CI26" s="138">
        <f>Financials!BB7/Financials!BB4</f>
        <v>8.2074984948188531E-2</v>
      </c>
      <c r="CJ26" s="138">
        <f>Financials!BC7/Financials!BC4</f>
        <v>7.5414537307430321E-2</v>
      </c>
      <c r="CK26" s="138">
        <f>Financials!BD7/Financials!BD4</f>
        <v>7.2835507268199942E-2</v>
      </c>
      <c r="CL26" s="138">
        <f>Financials!BE7/Financials!BE4</f>
        <v>6.8932600939406771E-2</v>
      </c>
      <c r="CM26" s="138">
        <f>Financials!BF7/Financials!BF4</f>
        <v>7.5576414436513487E-2</v>
      </c>
      <c r="CN26" s="138">
        <f>Financials!BG7/Financials!BG4</f>
        <v>7.28329002021285E-2</v>
      </c>
      <c r="CO26" s="138">
        <f>Financials!BH7/Financials!BH4</f>
        <v>7.4182249242052092E-2</v>
      </c>
      <c r="CP26" s="138">
        <f>Financials!BI7/Financials!BI4</f>
        <v>0.10777586421334738</v>
      </c>
      <c r="CQ26" s="138">
        <f>Financials!BJ7/Financials!BJ4</f>
        <v>9.7450405247338792E-2</v>
      </c>
      <c r="CR26" s="138">
        <f>Financials!BK7/Financials!BK4</f>
        <v>8.7322220120301428E-2</v>
      </c>
      <c r="CS26" s="138">
        <f>Financials!BL7/Financials!BL4</f>
        <v>8.4264121311858453E-2</v>
      </c>
      <c r="CT26" s="138">
        <f>Financials!BM7/Financials!BM4</f>
        <v>8.1391248945956715E-2</v>
      </c>
      <c r="CU26" s="138">
        <f>Financials!BN7/Financials!BN4</f>
        <v>7.2692145523787915E-2</v>
      </c>
      <c r="CV26" s="138">
        <f>Financials!BO7/Financials!BO4</f>
        <v>7.1585467271409423E-2</v>
      </c>
      <c r="CW26" s="138">
        <f>Financials!BP7/Financials!BP4</f>
        <v>6.5903890858948461E-2</v>
      </c>
      <c r="CX26" s="138">
        <f>Financials!BQ7/Financials!BQ4</f>
        <v>6.328134974220645E-2</v>
      </c>
      <c r="CY26" s="138">
        <f>Financials!BR7/Financials!BR4</f>
        <v>6.3046781036325758E-2</v>
      </c>
      <c r="CZ26" s="138">
        <f>Financials!BS7/Financials!BS4</f>
        <v>6.2893447609091602E-2</v>
      </c>
      <c r="DA26" s="138">
        <f>Financials!BT7/Financials!BT4</f>
        <v>6.2122361789572866E-2</v>
      </c>
      <c r="DB26" s="138">
        <f>Financials!BU7/Financials!BU4</f>
        <v>6.1270792140425266E-2</v>
      </c>
      <c r="DC26" s="138">
        <f>Financials!BV7/Financials!BV4</f>
        <v>6.2440171488852211E-2</v>
      </c>
      <c r="DD26" s="138">
        <f>Financials!BW7/Financials!BW4</f>
        <v>6.2515808948516022E-2</v>
      </c>
      <c r="DE26" s="138">
        <f>Financials!BX7/Financials!BX4</f>
        <v>6.1486923934345808E-2</v>
      </c>
      <c r="DF26" s="138">
        <f>Financials!BY7/Financials!BY4</f>
        <v>5.9557275509521064E-2</v>
      </c>
      <c r="DG26" s="138">
        <f>Financials!BZ7/Financials!BZ4</f>
        <v>5.8864849240175821E-2</v>
      </c>
      <c r="DH26" s="138">
        <f>Financials!CA7/Financials!CA4</f>
        <v>5.7812092519368932E-2</v>
      </c>
      <c r="DI26" s="138">
        <f>Financials!CB7/Financials!CB4</f>
        <v>5.6664874623438229E-2</v>
      </c>
      <c r="DJ26" s="138">
        <f>Financials!CC7/Financials!CC4</f>
        <v>5.5636513752949819E-2</v>
      </c>
      <c r="DK26" s="138">
        <f>Financials!CD7/Financials!CD4</f>
        <v>5.4730058411242767E-2</v>
      </c>
      <c r="DL26" s="138">
        <f>Financials!CE7/Financials!CE4</f>
        <v>5.3599232445664668E-2</v>
      </c>
      <c r="DM26" s="138">
        <f>Financials!CF7/Financials!CF4</f>
        <v>5.5445065944434116E-2</v>
      </c>
      <c r="DN26" s="138">
        <f>Financials!CG7/Financials!CG4</f>
        <v>5.9187990669554526E-2</v>
      </c>
      <c r="DO26" s="138">
        <f>Financials!CH7/Financials!CH4</f>
        <v>5.8263722219338003E-2</v>
      </c>
      <c r="DP26" s="138">
        <f>Financials!CI7/Financials!CI4</f>
        <v>8.6586831959559699E-2</v>
      </c>
      <c r="DQ26" s="138">
        <f>Financials!CJ7/Financials!CJ4</f>
        <v>7.4218868458514206E-2</v>
      </c>
      <c r="DR26" s="138">
        <f>Financials!CK7/Financials!CK4</f>
        <v>7.344328776718588E-2</v>
      </c>
      <c r="DS26" s="138">
        <f>Financials!CL7/Financials!CL4</f>
        <v>7.0897611088746731E-2</v>
      </c>
      <c r="DT26" s="138">
        <f>Financials!CM7/Financials!CM4</f>
        <v>6.9517389679610228E-2</v>
      </c>
      <c r="DU26" s="138">
        <f>Financials!CN7/Financials!CN4</f>
        <v>6.3693662750994459E-2</v>
      </c>
    </row>
    <row r="27" spans="1:125" s="104" customFormat="1" ht="12.75">
      <c r="A27" s="127" t="s">
        <v>354</v>
      </c>
      <c r="B27" s="122" t="s">
        <v>355</v>
      </c>
      <c r="C27" s="123">
        <v>35.1</v>
      </c>
      <c r="D27" s="126" t="e">
        <f>[2]Financials!C9/[2]Financials!C5</f>
        <v>#DIV/0!</v>
      </c>
      <c r="E27" s="126" t="e">
        <f>[2]Financials!D9/[2]Financials!D5</f>
        <v>#DIV/0!</v>
      </c>
      <c r="F27" s="126" t="e">
        <f>[2]Financials!E9/[2]Financials!E5</f>
        <v>#DIV/0!</v>
      </c>
      <c r="G27" s="126" t="e">
        <f>[2]Financials!F9/[2]Financials!F5</f>
        <v>#DIV/0!</v>
      </c>
      <c r="H27" s="126" t="e">
        <f>[2]Financials!G9/[2]Financials!G5</f>
        <v>#DIV/0!</v>
      </c>
      <c r="I27" s="126" t="e">
        <f>[2]Financials!H9/[2]Financials!H5</f>
        <v>#DIV/0!</v>
      </c>
      <c r="J27" s="126" t="e">
        <f>[2]Financials!I9/[2]Financials!I5</f>
        <v>#DIV/0!</v>
      </c>
      <c r="K27" s="126">
        <f>[2]Financials!J9/[2]Financials!J5</f>
        <v>0</v>
      </c>
      <c r="L27" s="126">
        <f>[2]Financials!K9/[2]Financials!K5</f>
        <v>0</v>
      </c>
      <c r="M27" s="126">
        <f>[2]Financials!L9/[2]Financials!L5</f>
        <v>0</v>
      </c>
      <c r="N27" s="126">
        <f>[2]Financials!M9/[2]Financials!M5</f>
        <v>1.9864314992762137E-2</v>
      </c>
      <c r="O27" s="126">
        <f>[2]Financials!N9/[2]Financials!N5</f>
        <v>1.8660725154358074E-2</v>
      </c>
      <c r="P27" s="126">
        <f>[2]Financials!O9/[2]Financials!O5</f>
        <v>3.2930809298960383E-2</v>
      </c>
      <c r="Q27" s="126">
        <f>[2]Financials!P9/[2]Financials!P5</f>
        <v>3.1496616099412907E-2</v>
      </c>
      <c r="R27" s="126">
        <f>[2]Financials!Q9/[2]Financials!Q5</f>
        <v>3.3932371486642597E-2</v>
      </c>
      <c r="S27" s="126">
        <f>[2]Financials!R9/[2]Financials!R5</f>
        <v>4.0245800183045334E-2</v>
      </c>
      <c r="T27" s="126">
        <f>[2]Financials!S9/[2]Financials!S5</f>
        <v>3.3979850099658357E-2</v>
      </c>
      <c r="U27" s="126">
        <f>[2]Financials!T9/[2]Financials!T5</f>
        <v>3.8363392285623618E-2</v>
      </c>
      <c r="V27" s="126">
        <f>[2]Financials!U9/[2]Financials!U5</f>
        <v>3.5647070386349386E-2</v>
      </c>
      <c r="W27" s="126">
        <f>[2]Financials!V9/[2]Financials!V5</f>
        <v>3.4606635914932217E-2</v>
      </c>
      <c r="X27" s="126">
        <f>[2]Financials!W9/[2]Financials!W5</f>
        <v>3.564867379494345E-2</v>
      </c>
      <c r="Y27" s="126">
        <f>[2]Financials!X9/[2]Financials!X5</f>
        <v>4.8332972171897054E-2</v>
      </c>
      <c r="Z27" s="126">
        <f>[2]Financials!Y9/[2]Financials!Y5</f>
        <v>5.0673025062338367E-2</v>
      </c>
      <c r="AA27" s="126">
        <f>[2]Financials!Z9/[2]Financials!Z5</f>
        <v>6.3640897470096061E-2</v>
      </c>
      <c r="AB27" s="126">
        <f>[2]Financials!AA9/[2]Financials!AA5</f>
        <v>6.1321381747327992E-2</v>
      </c>
      <c r="AC27" s="126">
        <f>[2]Financials!AB9/[2]Financials!AB5</f>
        <v>7.3656565394964402E-2</v>
      </c>
      <c r="AD27" s="126">
        <f>[2]Financials!AC9/[2]Financials!AC5</f>
        <v>8.4192206355501384E-2</v>
      </c>
      <c r="AE27" s="126">
        <f>[2]Financials!AD9/[2]Financials!AD5</f>
        <v>7.7637076717717315E-2</v>
      </c>
      <c r="AF27" s="126">
        <f>[2]Financials!AE9/[2]Financials!AE5</f>
        <v>9.1375156296051668E-2</v>
      </c>
      <c r="AG27" s="126">
        <f>[2]Financials!AF9/[2]Financials!AF5</f>
        <v>8.1274696171494173E-2</v>
      </c>
      <c r="AH27" s="126">
        <f>[2]Financials!AG9/[2]Financials!AG5</f>
        <v>7.3780862688869853E-2</v>
      </c>
      <c r="AI27" s="126">
        <f>[2]Financials!AH9/[2]Financials!AH5</f>
        <v>6.6851718651102232E-2</v>
      </c>
      <c r="AJ27" s="126">
        <f>[2]Financials!AI9/[2]Financials!AI5</f>
        <v>7.5183121499147118E-2</v>
      </c>
      <c r="AK27" s="126" t="e">
        <f>Financials!D8/Financials!D4</f>
        <v>#REF!</v>
      </c>
      <c r="AL27" s="126" t="e">
        <f>Financials!E8/Financials!E4</f>
        <v>#REF!</v>
      </c>
      <c r="AM27" s="126" t="e">
        <f>Financials!F8/Financials!F4</f>
        <v>#REF!</v>
      </c>
      <c r="AN27" s="126" t="e">
        <f>Financials!G8/Financials!G4</f>
        <v>#REF!</v>
      </c>
      <c r="AO27" s="126" t="e">
        <f>Financials!H8/Financials!H4</f>
        <v>#REF!</v>
      </c>
      <c r="AP27" s="126" t="e">
        <f>Financials!I8/Financials!I4</f>
        <v>#REF!</v>
      </c>
      <c r="AQ27" s="126" t="e">
        <f>Financials!J8/Financials!J4</f>
        <v>#REF!</v>
      </c>
      <c r="AR27" s="126" t="e">
        <f>Financials!K8/Financials!K4</f>
        <v>#REF!</v>
      </c>
      <c r="AS27" s="126" t="e">
        <f>Financials!L8/Financials!L4</f>
        <v>#REF!</v>
      </c>
      <c r="AT27" s="126" t="e">
        <f>Financials!M8/Financials!M4</f>
        <v>#REF!</v>
      </c>
      <c r="AU27" s="126" t="e">
        <f>Financials!N8/Financials!N4</f>
        <v>#REF!</v>
      </c>
      <c r="AV27" s="126" t="e">
        <f>Financials!O8/Financials!O4</f>
        <v>#REF!</v>
      </c>
      <c r="AW27" s="126" t="e">
        <f>Financials!P8/Financials!P4</f>
        <v>#REF!</v>
      </c>
      <c r="AX27" s="126" t="e">
        <f>Financials!Q8/Financials!Q4</f>
        <v>#REF!</v>
      </c>
      <c r="AY27" s="126" t="e">
        <f>Financials!R8/Financials!R4</f>
        <v>#REF!</v>
      </c>
      <c r="AZ27" s="126" t="e">
        <f>Financials!S8/Financials!S4</f>
        <v>#REF!</v>
      </c>
      <c r="BA27" s="126" t="e">
        <f>Financials!T8/Financials!T4</f>
        <v>#REF!</v>
      </c>
      <c r="BB27" s="126" t="e">
        <f>Financials!U8/Financials!U4</f>
        <v>#REF!</v>
      </c>
      <c r="BC27" s="126" t="e">
        <f>Financials!V8/Financials!V4</f>
        <v>#REF!</v>
      </c>
      <c r="BD27" s="126" t="e">
        <f>Financials!W8/Financials!W4</f>
        <v>#REF!</v>
      </c>
      <c r="BE27" s="126" t="e">
        <f>Financials!X8/Financials!X4</f>
        <v>#REF!</v>
      </c>
      <c r="BF27" s="126" t="e">
        <f>Financials!Y8/Financials!Y4</f>
        <v>#REF!</v>
      </c>
      <c r="BG27" s="126" t="e">
        <f>Financials!Z8/Financials!Z4</f>
        <v>#REF!</v>
      </c>
      <c r="BH27" s="126" t="e">
        <f>Financials!AA8/Financials!AA4</f>
        <v>#REF!</v>
      </c>
      <c r="BI27" s="126" t="e">
        <f>Financials!AB8/Financials!AB4</f>
        <v>#REF!</v>
      </c>
      <c r="BJ27" s="126" t="e">
        <f>Financials!AC8/Financials!AC4</f>
        <v>#REF!</v>
      </c>
      <c r="BK27" s="126" t="e">
        <f>Financials!AD8/Financials!AD4</f>
        <v>#REF!</v>
      </c>
      <c r="BL27" s="126" t="e">
        <f>Financials!AE8/Financials!AE4</f>
        <v>#REF!</v>
      </c>
      <c r="BM27" s="126" t="e">
        <f>Financials!AF8/Financials!AF4</f>
        <v>#REF!</v>
      </c>
      <c r="BN27" s="126" t="e">
        <f>Financials!AG8/Financials!AG4</f>
        <v>#REF!</v>
      </c>
      <c r="BO27" s="126" t="e">
        <f>Financials!AH8/Financials!AH4</f>
        <v>#REF!</v>
      </c>
      <c r="BP27" s="126" t="e">
        <f>Financials!AI8/Financials!AI4</f>
        <v>#REF!</v>
      </c>
      <c r="BQ27" s="126" t="e">
        <f>Financials!AJ8/Financials!AJ4</f>
        <v>#REF!</v>
      </c>
      <c r="BR27" s="126" t="e">
        <f>Financials!AK8/Financials!AK4</f>
        <v>#REF!</v>
      </c>
      <c r="BS27" s="126" t="e">
        <f>Financials!AL8/Financials!AL4</f>
        <v>#REF!</v>
      </c>
      <c r="BT27" s="126" t="e">
        <f>Financials!AM8/Financials!AM4</f>
        <v>#REF!</v>
      </c>
      <c r="BU27" s="126" t="e">
        <f>Financials!AN8/Financials!AN4</f>
        <v>#REF!</v>
      </c>
      <c r="BV27" s="126" t="e">
        <f>Financials!AO8/Financials!AO4</f>
        <v>#REF!</v>
      </c>
      <c r="BW27" s="126" t="e">
        <f>Financials!AP8/Financials!AP4</f>
        <v>#REF!</v>
      </c>
      <c r="BX27" s="126" t="e">
        <f>Financials!AQ8/Financials!AQ4</f>
        <v>#REF!</v>
      </c>
      <c r="BY27" s="126" t="e">
        <f>Financials!AR8/Financials!AR4</f>
        <v>#REF!</v>
      </c>
      <c r="BZ27" s="126">
        <f>Financials!AS8/Financials!AS4</f>
        <v>0</v>
      </c>
      <c r="CA27" s="126">
        <f>Financials!AT8/Financials!AT4</f>
        <v>0</v>
      </c>
      <c r="CB27" s="126">
        <f>Financials!AU8/Financials!AU4</f>
        <v>0</v>
      </c>
      <c r="CC27" s="126">
        <f>Financials!AV8/Financials!AV4</f>
        <v>0</v>
      </c>
      <c r="CD27" s="126">
        <f>Financials!AW8/Financials!AW4</f>
        <v>0</v>
      </c>
      <c r="CE27" s="126">
        <f>Financials!AX8/Financials!AX4</f>
        <v>0</v>
      </c>
      <c r="CF27" s="126">
        <f>Financials!AY8/Financials!AY4</f>
        <v>0</v>
      </c>
      <c r="CG27" s="126" t="e">
        <f>Financials!AZ8/Financials!AZ4</f>
        <v>#REF!</v>
      </c>
      <c r="CH27" s="126">
        <f>Financials!BA8/Financials!BA4</f>
        <v>0</v>
      </c>
      <c r="CI27" s="126">
        <f>Financials!BB8/Financials!BB4</f>
        <v>0</v>
      </c>
      <c r="CJ27" s="126">
        <f>Financials!BC8/Financials!BC4</f>
        <v>0</v>
      </c>
      <c r="CK27" s="126">
        <f>Financials!BD8/Financials!BD4</f>
        <v>0</v>
      </c>
      <c r="CL27" s="126">
        <f>Financials!BE8/Financials!BE4</f>
        <v>0</v>
      </c>
      <c r="CM27" s="126">
        <f>Financials!BF8/Financials!BF4</f>
        <v>0</v>
      </c>
      <c r="CN27" s="126">
        <f>Financials!BG8/Financials!BG4</f>
        <v>0</v>
      </c>
      <c r="CO27" s="126">
        <f>Financials!BH8/Financials!BH4</f>
        <v>0</v>
      </c>
      <c r="CP27" s="126">
        <f>Financials!BI8/Financials!BI4</f>
        <v>0</v>
      </c>
      <c r="CQ27" s="126">
        <f>Financials!BJ8/Financials!BJ4</f>
        <v>0</v>
      </c>
      <c r="CR27" s="126">
        <f>Financials!BK8/Financials!BK4</f>
        <v>0</v>
      </c>
      <c r="CS27" s="126">
        <f>Financials!BL8/Financials!BL4</f>
        <v>0</v>
      </c>
      <c r="CT27" s="126">
        <f>Financials!BM8/Financials!BM4</f>
        <v>0</v>
      </c>
      <c r="CU27" s="126">
        <f>Financials!BN8/Financials!BN4</f>
        <v>0</v>
      </c>
      <c r="CV27" s="126">
        <f>Financials!BO8/Financials!BO4</f>
        <v>0</v>
      </c>
      <c r="CW27" s="126">
        <f>Financials!BP8/Financials!BP4</f>
        <v>0</v>
      </c>
      <c r="CX27" s="126">
        <f>Financials!BQ8/Financials!BQ4</f>
        <v>0</v>
      </c>
      <c r="CY27" s="126">
        <f>Financials!BR8/Financials!BR4</f>
        <v>0</v>
      </c>
      <c r="CZ27" s="126">
        <f>Financials!BS8/Financials!BS4</f>
        <v>0</v>
      </c>
      <c r="DA27" s="126">
        <f>Financials!BT8/Financials!BT4</f>
        <v>0</v>
      </c>
      <c r="DB27" s="126">
        <f>Financials!BU8/Financials!BU4</f>
        <v>0</v>
      </c>
      <c r="DC27" s="126">
        <f>Financials!BV8/Financials!BV4</f>
        <v>0</v>
      </c>
      <c r="DD27" s="126">
        <f>Financials!BW8/Financials!BW4</f>
        <v>0</v>
      </c>
      <c r="DE27" s="126">
        <f>Financials!BX8/Financials!BX4</f>
        <v>0</v>
      </c>
      <c r="DF27" s="126">
        <f>Financials!BY8/Financials!BY4</f>
        <v>0</v>
      </c>
      <c r="DG27" s="126">
        <f>Financials!BZ8/Financials!BZ4</f>
        <v>0</v>
      </c>
      <c r="DH27" s="126">
        <f>Financials!CA8/Financials!CA4</f>
        <v>0</v>
      </c>
      <c r="DI27" s="126">
        <f>Financials!CB8/Financials!CB4</f>
        <v>0</v>
      </c>
      <c r="DJ27" s="126">
        <f>Financials!CC8/Financials!CC4</f>
        <v>0</v>
      </c>
      <c r="DK27" s="126">
        <f>Financials!CD8/Financials!CD4</f>
        <v>0</v>
      </c>
      <c r="DL27" s="126">
        <f>Financials!CE8/Financials!CE4</f>
        <v>0</v>
      </c>
      <c r="DM27" s="126">
        <f>Financials!CF8/Financials!CF4</f>
        <v>0</v>
      </c>
      <c r="DN27" s="126">
        <f>Financials!CG8/Financials!CG4</f>
        <v>0</v>
      </c>
      <c r="DO27" s="126">
        <f>Financials!CH8/Financials!CH4</f>
        <v>0</v>
      </c>
      <c r="DP27" s="126">
        <f>Financials!CI8/Financials!CI4</f>
        <v>0</v>
      </c>
      <c r="DQ27" s="126">
        <f>Financials!CJ8/Financials!CJ4</f>
        <v>0</v>
      </c>
      <c r="DR27" s="126">
        <f>Financials!CK8/Financials!CK4</f>
        <v>0</v>
      </c>
      <c r="DS27" s="126">
        <f>Financials!CL8/Financials!CL4</f>
        <v>0</v>
      </c>
      <c r="DT27" s="126">
        <f>Financials!CM8/Financials!CM4</f>
        <v>0</v>
      </c>
      <c r="DU27" s="126">
        <f>Financials!CN8/Financials!CN4</f>
        <v>0</v>
      </c>
    </row>
    <row r="28" spans="1:125" s="104" customFormat="1">
      <c r="A28" s="121"/>
      <c r="B28" s="139"/>
      <c r="C28" s="132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0"/>
      <c r="DJ28" s="120"/>
      <c r="DK28" s="120"/>
      <c r="DL28" s="120"/>
      <c r="DM28" s="120"/>
      <c r="DN28" s="120"/>
      <c r="DO28" s="120"/>
      <c r="DP28" s="120"/>
      <c r="DQ28" s="120"/>
      <c r="DR28" s="120"/>
      <c r="DS28" s="120"/>
      <c r="DT28" s="120"/>
      <c r="DU28" s="120"/>
    </row>
    <row r="29" spans="1:125" s="104" customFormat="1" hidden="1">
      <c r="A29" s="117" t="s">
        <v>356</v>
      </c>
      <c r="B29" s="118"/>
      <c r="C29" s="119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</row>
    <row r="30" spans="1:125" hidden="1">
      <c r="A30" s="127" t="s">
        <v>27</v>
      </c>
      <c r="B30" s="131" t="s">
        <v>353</v>
      </c>
      <c r="C30" s="134"/>
      <c r="D30" s="140"/>
      <c r="E30" s="140" t="e">
        <f>[2]Financials!D5/[2]Financials!C5-1</f>
        <v>#DIV/0!</v>
      </c>
      <c r="F30" s="140" t="e">
        <f>[2]Financials!E5/[2]Financials!D5-1</f>
        <v>#DIV/0!</v>
      </c>
      <c r="G30" s="140" t="e">
        <f>[2]Financials!F5/[2]Financials!E5-1</f>
        <v>#DIV/0!</v>
      </c>
      <c r="H30" s="140" t="e">
        <f>[2]Financials!G5/[2]Financials!F5-1</f>
        <v>#DIV/0!</v>
      </c>
      <c r="I30" s="140" t="e">
        <f>[2]Financials!H5/[2]Financials!G5-1</f>
        <v>#DIV/0!</v>
      </c>
      <c r="J30" s="140" t="e">
        <f>[2]Financials!I5/[2]Financials!H5-1</f>
        <v>#DIV/0!</v>
      </c>
      <c r="K30" s="140" t="e">
        <f>[2]Financials!J5/[2]Financials!I5-1</f>
        <v>#DIV/0!</v>
      </c>
      <c r="L30" s="140">
        <f>[2]Financials!K5/[2]Financials!J5-1</f>
        <v>9.4685606608641892E-2</v>
      </c>
      <c r="M30" s="140">
        <f>[2]Financials!L5/[2]Financials!K5-1</f>
        <v>2.2709736500064359E-2</v>
      </c>
      <c r="N30" s="140">
        <f>[2]Financials!M5/[2]Financials!L5-1</f>
        <v>4.2976425051567846E-2</v>
      </c>
      <c r="O30" s="140">
        <f>[2]Financials!N5/[2]Financials!M5-1</f>
        <v>2.0144451892233795E-2</v>
      </c>
      <c r="P30" s="140">
        <f>[2]Financials!O5/[2]Financials!N5-1</f>
        <v>-1.4496283175528313E-2</v>
      </c>
      <c r="Q30" s="140">
        <f>[2]Financials!P5/[2]Financials!O5-1</f>
        <v>1.9396464599649166E-2</v>
      </c>
      <c r="R30" s="140">
        <f>[2]Financials!Q5/[2]Financials!P5-1</f>
        <v>2.2524429273093283E-2</v>
      </c>
      <c r="S30" s="140">
        <f>[2]Financials!R5/[2]Financials!Q5-1</f>
        <v>2.7728127309531558E-2</v>
      </c>
      <c r="T30" s="140">
        <f>[2]Financials!S5/[2]Financials!R5-1</f>
        <v>1.3467800333464064E-2</v>
      </c>
      <c r="U30" s="140">
        <f>[2]Financials!T5/[2]Financials!J5-1</f>
        <v>0.31536183814702268</v>
      </c>
      <c r="V30" s="140">
        <f>[2]Financials!U5/[2]Financials!T5-1</f>
        <v>1.9169050540817079E-2</v>
      </c>
      <c r="W30" s="140">
        <f>[2]Financials!V5/[2]Financials!U5-1</f>
        <v>9.9130064169861143E-3</v>
      </c>
      <c r="X30" s="140">
        <f>[2]Financials!W5/[2]Financials!V5-1</f>
        <v>-1.2938921563085848E-2</v>
      </c>
      <c r="Y30" s="140">
        <f>[2]Financials!X5/[2]Financials!W5-1</f>
        <v>5.1773090594585236E-2</v>
      </c>
      <c r="Z30" s="140">
        <f>[2]Financials!Y5/[2]Financials!X5-1</f>
        <v>-3.9163071039256536E-2</v>
      </c>
      <c r="AA30" s="140">
        <f>[2]Financials!Z5/[2]Financials!Y5-1</f>
        <v>6.7394190485795313E-2</v>
      </c>
      <c r="AB30" s="140">
        <f>[2]Financials!AA5/[2]Financials!Z5-1</f>
        <v>-7.9268515849093557E-3</v>
      </c>
      <c r="AC30" s="140">
        <f>[2]Financials!AB5/[2]Financials!AA5-1</f>
        <v>8.0667630014525926E-3</v>
      </c>
      <c r="AD30" s="140">
        <f>[2]Financials!AC5/[2]Financials!AB5-1</f>
        <v>3.7619442731231523E-2</v>
      </c>
      <c r="AE30" s="140">
        <f>[2]Financials!AD5/[2]Financials!AC5-1</f>
        <v>1.6965520604258044E-2</v>
      </c>
      <c r="AF30" s="140">
        <f>[2]Financials!AE5/[2]Financials!AD5-1</f>
        <v>4.407081120457268E-2</v>
      </c>
      <c r="AG30" s="140">
        <f>[2]Financials!AF5/[2]Financials!AE5-1</f>
        <v>1.7324245257151816E-2</v>
      </c>
      <c r="AH30" s="140">
        <f>[2]Financials!AG5/[2]Financials!AF5-1</f>
        <v>1.7358992499066694E-2</v>
      </c>
      <c r="AI30" s="140">
        <f>[2]Financials!AH5/[2]Financials!AG5-1</f>
        <v>2.9057852650161697E-2</v>
      </c>
      <c r="AJ30" s="140">
        <f>[2]Financials!AI5/[2]Financials!AH5-1</f>
        <v>3.6617580984559028E-2</v>
      </c>
      <c r="AK30" s="140"/>
      <c r="AL30" s="271" t="e">
        <f>(Financials!E4-Financials!#REF!)/Financials!#REF!</f>
        <v>#REF!</v>
      </c>
      <c r="AM30" s="271" t="e">
        <f>(Financials!F4-Financials!#REF!)/Financials!#REF!</f>
        <v>#REF!</v>
      </c>
      <c r="AN30" s="271" t="e">
        <f>(Financials!G4-Financials!#REF!)/Financials!#REF!</f>
        <v>#REF!</v>
      </c>
      <c r="AO30" s="271" t="e">
        <f>(Financials!H4-Financials!#REF!)/Financials!#REF!</f>
        <v>#REF!</v>
      </c>
      <c r="AP30" s="271" t="e">
        <f>(Financials!I4-Financials!#REF!)/Financials!#REF!</f>
        <v>#REF!</v>
      </c>
      <c r="AQ30" s="271" t="e">
        <f>(Financials!J4-Financials!#REF!)/Financials!#REF!</f>
        <v>#REF!</v>
      </c>
      <c r="AR30" s="271" t="e">
        <f>(Financials!K4-Financials!#REF!)/Financials!#REF!</f>
        <v>#REF!</v>
      </c>
      <c r="AS30" s="271" t="e">
        <f>(Financials!L4-Financials!#REF!)/Financials!#REF!</f>
        <v>#REF!</v>
      </c>
      <c r="AT30" s="271" t="e">
        <f>(Financials!M4-Financials!#REF!)/Financials!#REF!</f>
        <v>#REF!</v>
      </c>
      <c r="AU30" s="271" t="e">
        <f>(Financials!N4-Financials!A4)/Financials!A4</f>
        <v>#REF!</v>
      </c>
      <c r="AV30" s="271" t="e">
        <f>(Financials!O4-Financials!B4)/Financials!B4</f>
        <v>#REF!</v>
      </c>
      <c r="AW30" s="271" t="e">
        <f>(Financials!P4-Financials!C4)/Financials!C4</f>
        <v>#REF!</v>
      </c>
      <c r="AX30" s="271" t="e">
        <f>(Financials!Q4-Financials!D4)/Financials!D4</f>
        <v>#REF!</v>
      </c>
      <c r="AY30" s="271" t="e">
        <f>(Financials!R4-Financials!E4)/Financials!E4</f>
        <v>#REF!</v>
      </c>
      <c r="AZ30" s="271" t="e">
        <f>(Financials!S4-Financials!F4)/Financials!F4</f>
        <v>#REF!</v>
      </c>
      <c r="BA30" s="271" t="e">
        <f>(Financials!T4-Financials!G4)/Financials!G4</f>
        <v>#REF!</v>
      </c>
      <c r="BB30" s="271" t="e">
        <f>(Financials!U4-Financials!H4)/Financials!H4</f>
        <v>#REF!</v>
      </c>
      <c r="BC30" s="271" t="e">
        <f>(Financials!V4-Financials!I4)/Financials!I4</f>
        <v>#REF!</v>
      </c>
      <c r="BD30" s="271" t="e">
        <f>(Financials!W4-Financials!J4)/Financials!J4</f>
        <v>#REF!</v>
      </c>
      <c r="BE30" s="271" t="e">
        <f>(Financials!X4-Financials!K4)/Financials!K4</f>
        <v>#REF!</v>
      </c>
      <c r="BF30" s="271" t="e">
        <f>(Financials!Y4-Financials!L4)/Financials!L4</f>
        <v>#REF!</v>
      </c>
      <c r="BG30" s="271" t="e">
        <f>(Financials!Z4-Financials!M4)/Financials!M4</f>
        <v>#REF!</v>
      </c>
      <c r="BH30" s="271" t="e">
        <f>(Financials!AA4-Financials!N4)/Financials!N4</f>
        <v>#REF!</v>
      </c>
      <c r="BI30" s="271" t="e">
        <f>(Financials!AB4-Financials!O4)/Financials!O4</f>
        <v>#REF!</v>
      </c>
      <c r="BJ30" s="271" t="e">
        <f>(Financials!AC4-Financials!P4)/Financials!P4</f>
        <v>#REF!</v>
      </c>
      <c r="BK30" s="271" t="e">
        <f>(Financials!AD4-Financials!Q4)/Financials!Q4</f>
        <v>#REF!</v>
      </c>
      <c r="BL30" s="271" t="e">
        <f>(Financials!AE4-Financials!R4)/Financials!R4</f>
        <v>#REF!</v>
      </c>
      <c r="BM30" s="271" t="e">
        <f>(Financials!AF4-Financials!S4)/Financials!S4</f>
        <v>#REF!</v>
      </c>
      <c r="BN30" s="271" t="e">
        <f>(Financials!AG4-Financials!T4)/Financials!T4</f>
        <v>#REF!</v>
      </c>
      <c r="BO30" s="271" t="e">
        <f>(Financials!AH4-Financials!U4)/Financials!U4</f>
        <v>#REF!</v>
      </c>
      <c r="BP30" s="271" t="e">
        <f>(Financials!AI4-Financials!V4)/Financials!V4</f>
        <v>#REF!</v>
      </c>
      <c r="BQ30" s="271" t="e">
        <f>(Financials!AJ4-Financials!W4)/Financials!W4</f>
        <v>#REF!</v>
      </c>
      <c r="BR30" s="271" t="e">
        <f>(Financials!AK4-Financials!X4)/Financials!X4</f>
        <v>#REF!</v>
      </c>
      <c r="BS30" s="271" t="e">
        <f>(Financials!AL4-Financials!Y4)/Financials!Y4</f>
        <v>#REF!</v>
      </c>
      <c r="BT30" s="271" t="e">
        <f>(Financials!AM4-Financials!Z4)/Financials!Z4</f>
        <v>#REF!</v>
      </c>
      <c r="BU30" s="271" t="e">
        <f>(Financials!AN4-Financials!AA4)/Financials!AA4</f>
        <v>#REF!</v>
      </c>
      <c r="BV30" s="271" t="e">
        <f>(Financials!AO4-Financials!AB4)/Financials!AB4</f>
        <v>#REF!</v>
      </c>
      <c r="BW30" s="271" t="e">
        <f>(Financials!AP4-Financials!AC4)/Financials!AC4</f>
        <v>#REF!</v>
      </c>
      <c r="BX30" s="271" t="e">
        <f>(Financials!AQ4-Financials!AD4)/Financials!AD4</f>
        <v>#REF!</v>
      </c>
      <c r="BY30" s="271" t="e">
        <f>(Financials!AR4-Financials!AE4)/Financials!AE4</f>
        <v>#REF!</v>
      </c>
      <c r="BZ30" s="271" t="e">
        <f>(Financials!AS4-Financials!AF4)/Financials!AF4</f>
        <v>#REF!</v>
      </c>
      <c r="CA30" s="271" t="e">
        <f>(Financials!AT4-Financials!AG4)/Financials!AG4</f>
        <v>#REF!</v>
      </c>
      <c r="CB30" s="271" t="e">
        <f>(Financials!AU4-Financials!AH4)/Financials!AH4</f>
        <v>#REF!</v>
      </c>
      <c r="CC30" s="271" t="e">
        <f>(Financials!AV4-Financials!AI4)/Financials!AI4</f>
        <v>#REF!</v>
      </c>
      <c r="CD30" s="271" t="e">
        <f>(Financials!AW4-Financials!AJ4)/Financials!AJ4</f>
        <v>#REF!</v>
      </c>
      <c r="CE30" s="271" t="e">
        <f>(Financials!AX4-Financials!AK4)/Financials!AK4</f>
        <v>#REF!</v>
      </c>
      <c r="CF30" s="271" t="e">
        <f>(Financials!AY4-Financials!AL4)/Financials!AL4</f>
        <v>#REF!</v>
      </c>
      <c r="CG30" s="271" t="e">
        <f>(Financials!AZ4-Financials!AM4)/Financials!AM4</f>
        <v>#REF!</v>
      </c>
      <c r="CH30" s="271" t="e">
        <f>(Financials!BA4-Financials!AN4)/Financials!AN4</f>
        <v>#REF!</v>
      </c>
      <c r="CI30" s="271" t="e">
        <f>(Financials!BB4-Financials!AO4)/Financials!AO4</f>
        <v>#REF!</v>
      </c>
      <c r="CJ30" s="271" t="e">
        <f>(Financials!BC4-Financials!AP4)/Financials!AP4</f>
        <v>#REF!</v>
      </c>
      <c r="CK30" s="271" t="e">
        <f>(Financials!BD4-Financials!AQ4)/Financials!AQ4</f>
        <v>#REF!</v>
      </c>
      <c r="CL30" s="271" t="e">
        <f>(Financials!BE4-Financials!AR4)/Financials!AR4</f>
        <v>#REF!</v>
      </c>
      <c r="CM30" s="271">
        <f>(Financials!BF4-Financials!AS4)/Financials!AS4</f>
        <v>11.329258723744877</v>
      </c>
    </row>
    <row r="31" spans="1:125" hidden="1">
      <c r="A31" s="127" t="s">
        <v>132</v>
      </c>
      <c r="B31" s="131" t="s">
        <v>353</v>
      </c>
      <c r="C31" s="134"/>
      <c r="D31" s="140"/>
      <c r="E31" s="140" t="e">
        <f>[2]Financials!D6/[2]Financials!C6-1</f>
        <v>#DIV/0!</v>
      </c>
      <c r="F31" s="140" t="e">
        <f>[2]Financials!E6/[2]Financials!D6-1</f>
        <v>#DIV/0!</v>
      </c>
      <c r="G31" s="140" t="e">
        <f>[2]Financials!F6/[2]Financials!E6-1</f>
        <v>#DIV/0!</v>
      </c>
      <c r="H31" s="140" t="e">
        <f>[2]Financials!G6/[2]Financials!F6-1</f>
        <v>#DIV/0!</v>
      </c>
      <c r="I31" s="140" t="e">
        <f>[2]Financials!H6/[2]Financials!G6-1</f>
        <v>#DIV/0!</v>
      </c>
      <c r="J31" s="140" t="e">
        <f>[2]Financials!I6/[2]Financials!H6-1</f>
        <v>#DIV/0!</v>
      </c>
      <c r="K31" s="140" t="e">
        <f>[2]Financials!J6/[2]Financials!I6-1</f>
        <v>#DIV/0!</v>
      </c>
      <c r="L31" s="140">
        <f>[2]Financials!K6/[2]Financials!J6-1</f>
        <v>2.0966926470698866E-2</v>
      </c>
      <c r="M31" s="140">
        <f>[2]Financials!L6/[2]Financials!K6-1</f>
        <v>1.5027732971060415E-2</v>
      </c>
      <c r="N31" s="140">
        <f>[2]Financials!M6/[2]Financials!L6-1</f>
        <v>1.476814215441502E-2</v>
      </c>
      <c r="O31" s="140">
        <f>[2]Financials!N6/[2]Financials!M6-1</f>
        <v>1.5942294731845719E-2</v>
      </c>
      <c r="P31" s="140">
        <f>[2]Financials!O6/[2]Financials!N6-1</f>
        <v>-4.4170033468824421E-2</v>
      </c>
      <c r="Q31" s="140">
        <f>[2]Financials!P6/[2]Financials!O6-1</f>
        <v>8.8084185502992352E-3</v>
      </c>
      <c r="R31" s="140">
        <f>[2]Financials!Q6/[2]Financials!P6-1</f>
        <v>1.6270977281312771E-2</v>
      </c>
      <c r="S31" s="140">
        <f>[2]Financials!R6/[2]Financials!Q6-1</f>
        <v>1.0991171630764018E-2</v>
      </c>
      <c r="T31" s="140">
        <f>[2]Financials!S6/[2]Financials!R6-1</f>
        <v>1.0751626805842296E-2</v>
      </c>
      <c r="U31" s="140">
        <f>[2]Financials!T6/[2]Financials!J6-1</f>
        <v>9.2373121213637832E-2</v>
      </c>
      <c r="V31" s="140">
        <f>[2]Financials!U6/[2]Financials!T6-1</f>
        <v>2.0021443289659935E-2</v>
      </c>
      <c r="W31" s="140">
        <f>[2]Financials!V6/[2]Financials!U6-1</f>
        <v>1.2664529232535804E-2</v>
      </c>
      <c r="X31" s="140">
        <f>[2]Financials!W6/[2]Financials!V6-1</f>
        <v>6.1906664689415081E-5</v>
      </c>
      <c r="Y31" s="140">
        <f>[2]Financials!X6/[2]Financials!W6-1</f>
        <v>2.114169205077232E-2</v>
      </c>
      <c r="Z31" s="140">
        <f>[2]Financials!Y6/[2]Financials!X6-1</f>
        <v>7.9705581282010218E-3</v>
      </c>
      <c r="AA31" s="140">
        <f>[2]Financials!Z6/[2]Financials!Y6-1</f>
        <v>6.4439858816645046E-3</v>
      </c>
      <c r="AB31" s="140">
        <f>[2]Financials!AA6/[2]Financials!Z6-1</f>
        <v>5.0572400906976345E-2</v>
      </c>
      <c r="AC31" s="140">
        <f>[2]Financials!AB6/[2]Financials!AA6-1</f>
        <v>-1.7123708918860725E-2</v>
      </c>
      <c r="AD31" s="140">
        <f>[2]Financials!AC6/[2]Financials!AB6-1</f>
        <v>1.4371713599386826E-2</v>
      </c>
      <c r="AE31" s="140">
        <f>[2]Financials!AD6/[2]Financials!AC6-1</f>
        <v>1.8254011654101898E-2</v>
      </c>
      <c r="AF31" s="140">
        <f>[2]Financials!AE6/[2]Financials!AD6-1</f>
        <v>1.9659178565611501E-2</v>
      </c>
      <c r="AG31" s="140">
        <f>[2]Financials!AF6/[2]Financials!AE6-1</f>
        <v>1.5905943107713316E-2</v>
      </c>
      <c r="AH31" s="140">
        <f>[2]Financials!AG6/[2]Financials!AF6-1</f>
        <v>2.0171293835339554E-2</v>
      </c>
      <c r="AI31" s="140">
        <f>[2]Financials!AH6/[2]Financials!AG6-1</f>
        <v>1.7269649868191239E-2</v>
      </c>
      <c r="AJ31" s="140">
        <f>[2]Financials!AI6/[2]Financials!AH6-1</f>
        <v>2.0103797887604635E-2</v>
      </c>
      <c r="AK31" s="140"/>
      <c r="AL31" s="271" t="e">
        <f>(Financials!E5-Financials!#REF!)/Financials!#REF!</f>
        <v>#REF!</v>
      </c>
      <c r="AM31" s="271" t="e">
        <f>(Financials!F5-Financials!#REF!)/Financials!#REF!</f>
        <v>#REF!</v>
      </c>
      <c r="AN31" s="271" t="e">
        <f>(Financials!G5-Financials!#REF!)/Financials!#REF!</f>
        <v>#REF!</v>
      </c>
      <c r="AO31" s="271" t="e">
        <f>(Financials!H5-Financials!#REF!)/Financials!#REF!</f>
        <v>#REF!</v>
      </c>
      <c r="AP31" s="271" t="e">
        <f>(Financials!I5-Financials!#REF!)/Financials!#REF!</f>
        <v>#REF!</v>
      </c>
      <c r="AQ31" s="271" t="e">
        <f>(Financials!J5-Financials!#REF!)/Financials!#REF!</f>
        <v>#REF!</v>
      </c>
      <c r="AR31" s="271" t="e">
        <f>(Financials!K5-Financials!#REF!)/Financials!#REF!</f>
        <v>#REF!</v>
      </c>
      <c r="AS31" s="271" t="e">
        <f>(Financials!L5-Financials!#REF!)/Financials!#REF!</f>
        <v>#REF!</v>
      </c>
      <c r="AT31" s="271" t="e">
        <f>(Financials!M5-Financials!#REF!)/Financials!#REF!</f>
        <v>#REF!</v>
      </c>
      <c r="AU31" s="271" t="e">
        <f>(Financials!N5-Financials!A5)/Financials!A5</f>
        <v>#REF!</v>
      </c>
      <c r="AV31" s="271" t="e">
        <f>(Financials!O5-Financials!B5)/Financials!B5</f>
        <v>#REF!</v>
      </c>
      <c r="AW31" s="271" t="e">
        <f>(Financials!P5-Financials!C5)/Financials!C5</f>
        <v>#REF!</v>
      </c>
      <c r="AX31" s="271" t="e">
        <f>(Financials!Q5-Financials!D5)/Financials!D5</f>
        <v>#REF!</v>
      </c>
      <c r="AY31" s="271" t="e">
        <f>(Financials!R5-Financials!E5)/Financials!E5</f>
        <v>#REF!</v>
      </c>
      <c r="AZ31" s="271" t="e">
        <f>(Financials!S5-Financials!F5)/Financials!F5</f>
        <v>#REF!</v>
      </c>
      <c r="BA31" s="271" t="e">
        <f>(Financials!T5-Financials!G5)/Financials!G5</f>
        <v>#REF!</v>
      </c>
      <c r="BB31" s="271" t="e">
        <f>(Financials!U5-Financials!H5)/Financials!H5</f>
        <v>#REF!</v>
      </c>
      <c r="BC31" s="271" t="e">
        <f>(Financials!V5-Financials!I5)/Financials!I5</f>
        <v>#REF!</v>
      </c>
      <c r="BD31" s="271" t="e">
        <f>(Financials!W5-Financials!J5)/Financials!J5</f>
        <v>#REF!</v>
      </c>
      <c r="BE31" s="271" t="e">
        <f>(Financials!X5-Financials!K5)/Financials!K5</f>
        <v>#REF!</v>
      </c>
      <c r="BF31" s="271" t="e">
        <f>(Financials!Y5-Financials!L5)/Financials!L5</f>
        <v>#REF!</v>
      </c>
      <c r="BG31" s="271" t="e">
        <f>(Financials!Z5-Financials!M5)/Financials!M5</f>
        <v>#REF!</v>
      </c>
      <c r="BH31" s="271" t="e">
        <f>(Financials!AA5-Financials!N5)/Financials!N5</f>
        <v>#REF!</v>
      </c>
      <c r="BI31" s="271" t="e">
        <f>(Financials!AB5-Financials!O5)/Financials!O5</f>
        <v>#REF!</v>
      </c>
      <c r="BJ31" s="271" t="e">
        <f>(Financials!AC5-Financials!P5)/Financials!P5</f>
        <v>#REF!</v>
      </c>
      <c r="BK31" s="271" t="e">
        <f>(Financials!AD5-Financials!Q5)/Financials!Q5</f>
        <v>#REF!</v>
      </c>
      <c r="BL31" s="271" t="e">
        <f>(Financials!AE5-Financials!R5)/Financials!R5</f>
        <v>#REF!</v>
      </c>
      <c r="BM31" s="271" t="e">
        <f>(Financials!AF5-Financials!S5)/Financials!S5</f>
        <v>#REF!</v>
      </c>
      <c r="BN31" s="271" t="e">
        <f>(Financials!AG5-Financials!T5)/Financials!T5</f>
        <v>#REF!</v>
      </c>
      <c r="BO31" s="271" t="e">
        <f>(Financials!AH5-Financials!U5)/Financials!U5</f>
        <v>#REF!</v>
      </c>
      <c r="BP31" s="271" t="e">
        <f>(Financials!AI5-Financials!V5)/Financials!V5</f>
        <v>#REF!</v>
      </c>
      <c r="BQ31" s="271" t="e">
        <f>(Financials!AJ5-Financials!W5)/Financials!W5</f>
        <v>#REF!</v>
      </c>
      <c r="BR31" s="271" t="e">
        <f>(Financials!AK5-Financials!X5)/Financials!X5</f>
        <v>#REF!</v>
      </c>
      <c r="BS31" s="271" t="e">
        <f>(Financials!AL5-Financials!Y5)/Financials!Y5</f>
        <v>#REF!</v>
      </c>
      <c r="BT31" s="271" t="e">
        <f>(Financials!AM5-Financials!Z5)/Financials!Z5</f>
        <v>#REF!</v>
      </c>
      <c r="BU31" s="271" t="e">
        <f>(Financials!AN5-Financials!AA5)/Financials!AA5</f>
        <v>#REF!</v>
      </c>
      <c r="BV31" s="271" t="e">
        <f>(Financials!AO5-Financials!AB5)/Financials!AB5</f>
        <v>#REF!</v>
      </c>
      <c r="BW31" s="271" t="e">
        <f>(Financials!AP5-Financials!AC5)/Financials!AC5</f>
        <v>#REF!</v>
      </c>
      <c r="BX31" s="271" t="e">
        <f>(Financials!AQ5-Financials!AD5)/Financials!AD5</f>
        <v>#REF!</v>
      </c>
      <c r="BY31" s="271" t="e">
        <f>(Financials!AR5-Financials!AE5)/Financials!AE5</f>
        <v>#REF!</v>
      </c>
      <c r="BZ31" s="271" t="e">
        <f>(Financials!AS5-Financials!AF5)/Financials!AF5</f>
        <v>#REF!</v>
      </c>
      <c r="CA31" s="271" t="e">
        <f>(Financials!AT5-Financials!AG5)/Financials!AG5</f>
        <v>#REF!</v>
      </c>
      <c r="CB31" s="271" t="e">
        <f>(Financials!AU5-Financials!AH5)/Financials!AH5</f>
        <v>#REF!</v>
      </c>
      <c r="CC31" s="271" t="e">
        <f>(Financials!AV5-Financials!AI5)/Financials!AI5</f>
        <v>#REF!</v>
      </c>
      <c r="CD31" s="271" t="e">
        <f>(Financials!AW5-Financials!AJ5)/Financials!AJ5</f>
        <v>#REF!</v>
      </c>
      <c r="CE31" s="271" t="e">
        <f>(Financials!AX5-Financials!AK5)/Financials!AK5</f>
        <v>#REF!</v>
      </c>
      <c r="CF31" s="271" t="e">
        <f>(Financials!AY5-Financials!AL5)/Financials!AL5</f>
        <v>#REF!</v>
      </c>
      <c r="CG31" s="271" t="e">
        <f>(Financials!AZ5-Financials!AM5)/Financials!AM5</f>
        <v>#REF!</v>
      </c>
      <c r="CH31" s="271" t="e">
        <f>(Financials!BA5-Financials!AN5)/Financials!AN5</f>
        <v>#REF!</v>
      </c>
      <c r="CI31" s="271" t="e">
        <f>(Financials!BB5-Financials!AO5)/Financials!AO5</f>
        <v>#REF!</v>
      </c>
      <c r="CJ31" s="271" t="e">
        <f>(Financials!BC5-Financials!AP5)/Financials!AP5</f>
        <v>#REF!</v>
      </c>
      <c r="CK31" s="271" t="e">
        <f>(Financials!BD5-Financials!AQ5)/Financials!AQ5</f>
        <v>#REF!</v>
      </c>
      <c r="CL31" s="271" t="e">
        <f>(Financials!BE5-Financials!AR5)/Financials!AR5</f>
        <v>#REF!</v>
      </c>
      <c r="CM31" s="271">
        <f>(Financials!BF5-Financials!AS5)/Financials!AS5</f>
        <v>8.8482079962541551</v>
      </c>
    </row>
    <row r="32" spans="1:125" hidden="1">
      <c r="A32" s="141" t="s">
        <v>215</v>
      </c>
      <c r="B32" s="131" t="s">
        <v>353</v>
      </c>
      <c r="C32" s="134"/>
      <c r="D32" s="140"/>
      <c r="E32" s="140" t="e">
        <f>[2]Financials!D8/[2]Financials!C8-1</f>
        <v>#DIV/0!</v>
      </c>
      <c r="F32" s="140" t="e">
        <f>[2]Financials!E8/[2]Financials!D8-1</f>
        <v>#DIV/0!</v>
      </c>
      <c r="G32" s="140" t="e">
        <f>[2]Financials!F8/[2]Financials!E8-1</f>
        <v>#DIV/0!</v>
      </c>
      <c r="H32" s="140" t="e">
        <f>[2]Financials!G8/[2]Financials!F8-1</f>
        <v>#DIV/0!</v>
      </c>
      <c r="I32" s="140" t="e">
        <f>[2]Financials!H8/[2]Financials!G8-1</f>
        <v>#DIV/0!</v>
      </c>
      <c r="J32" s="140" t="e">
        <f>[2]Financials!I8/[2]Financials!H8-1</f>
        <v>#DIV/0!</v>
      </c>
      <c r="K32" s="140" t="e">
        <f>[2]Financials!J8/[2]Financials!I8-1</f>
        <v>#DIV/0!</v>
      </c>
      <c r="L32" s="140">
        <f>[2]Financials!K8/[2]Financials!J8-1</f>
        <v>4.8803420056425573E-2</v>
      </c>
      <c r="M32" s="140">
        <f>[2]Financials!L8/[2]Financials!K8-1</f>
        <v>-2.597757515052268E-2</v>
      </c>
      <c r="N32" s="140">
        <f>[2]Financials!M8/[2]Financials!L8-1</f>
        <v>-2.7708719623755762E-3</v>
      </c>
      <c r="O32" s="140">
        <f>[2]Financials!N8/[2]Financials!M8-1</f>
        <v>1.0946526942046049</v>
      </c>
      <c r="P32" s="140">
        <f>[2]Financials!O8/[2]Financials!N8-1</f>
        <v>-0.44423630806532821</v>
      </c>
      <c r="Q32" s="140">
        <f>[2]Financials!P8/[2]Financials!O8-1</f>
        <v>-4.8984295913161668E-2</v>
      </c>
      <c r="R32" s="140">
        <f>[2]Financials!Q8/[2]Financials!P8-1</f>
        <v>8.1668568397219587E-3</v>
      </c>
      <c r="S32" s="140">
        <f>[2]Financials!R8/[2]Financials!Q8-1</f>
        <v>4.4506786862958947E-2</v>
      </c>
      <c r="T32" s="140">
        <f>[2]Financials!S8/[2]Financials!R8-1</f>
        <v>-4.809702979303887E-2</v>
      </c>
      <c r="U32" s="140">
        <f>[2]Financials!T8/[2]Financials!J8-1</f>
        <v>0.20644102263210118</v>
      </c>
      <c r="V32" s="140">
        <f>[2]Financials!U8/[2]Financials!T8-1</f>
        <v>5.4317180224228823E-2</v>
      </c>
      <c r="W32" s="140">
        <f>[2]Financials!V8/[2]Financials!U8-1</f>
        <v>-5.1230615139192803E-3</v>
      </c>
      <c r="X32" s="140">
        <f>[2]Financials!W8/[2]Financials!V8-1</f>
        <v>5.89276374654224E-4</v>
      </c>
      <c r="Y32" s="140">
        <f>[2]Financials!X8/[2]Financials!W8-1</f>
        <v>7.3892255982410004E-2</v>
      </c>
      <c r="Z32" s="140">
        <f>[2]Financials!Y8/[2]Financials!X8-1</f>
        <v>-7.7331373238684442E-2</v>
      </c>
      <c r="AA32" s="140">
        <f>[2]Financials!Z8/[2]Financials!Y8-1</f>
        <v>-5.5912521271268445E-2</v>
      </c>
      <c r="AB32" s="140">
        <f>[2]Financials!AA8/[2]Financials!Z8-1</f>
        <v>0.58191948475586441</v>
      </c>
      <c r="AC32" s="140">
        <f>[2]Financials!AB8/[2]Financials!AA8-1</f>
        <v>-0.28649983628987974</v>
      </c>
      <c r="AD32" s="140">
        <f>[2]Financials!AC8/[2]Financials!AB8-1</f>
        <v>-2.1887941151710333E-3</v>
      </c>
      <c r="AE32" s="140">
        <f>[2]Financials!AD8/[2]Financials!AC8-1</f>
        <v>4.8741424711198578E-2</v>
      </c>
      <c r="AF32" s="140">
        <f>[2]Financials!AE8/[2]Financials!AD8-1</f>
        <v>3.3817634252095941E-2</v>
      </c>
      <c r="AG32" s="140">
        <f>[2]Financials!AF8/[2]Financials!AE8-1</f>
        <v>-2.1115610145043262E-2</v>
      </c>
      <c r="AH32" s="140">
        <f>[2]Financials!AG8/[2]Financials!AF8-1</f>
        <v>4.2292520325449834E-2</v>
      </c>
      <c r="AI32" s="140">
        <f>[2]Financials!AH8/[2]Financials!AG8-1</f>
        <v>1.547538384341518E-2</v>
      </c>
      <c r="AJ32" s="140">
        <f>[2]Financials!AI8/[2]Financials!AH8-1</f>
        <v>6.2744250564205295E-2</v>
      </c>
      <c r="AK32" s="140"/>
      <c r="AL32" s="271" t="e">
        <f>(Financials!E7-Financials!#REF!)/Financials!#REF!</f>
        <v>#REF!</v>
      </c>
      <c r="AM32" s="271" t="e">
        <f>(Financials!F7-Financials!#REF!)/Financials!#REF!</f>
        <v>#REF!</v>
      </c>
      <c r="AN32" s="271" t="e">
        <f>(Financials!G7-Financials!#REF!)/Financials!#REF!</f>
        <v>#REF!</v>
      </c>
      <c r="AO32" s="271" t="e">
        <f>(Financials!H7-Financials!#REF!)/Financials!#REF!</f>
        <v>#REF!</v>
      </c>
      <c r="AP32" s="271" t="e">
        <f>(Financials!I7-Financials!#REF!)/Financials!#REF!</f>
        <v>#REF!</v>
      </c>
      <c r="AQ32" s="271" t="e">
        <f>(Financials!J7-Financials!#REF!)/Financials!#REF!</f>
        <v>#REF!</v>
      </c>
      <c r="AR32" s="271" t="e">
        <f>(Financials!K7-Financials!#REF!)/Financials!#REF!</f>
        <v>#REF!</v>
      </c>
      <c r="AS32" s="271" t="e">
        <f>(Financials!L7-Financials!#REF!)/Financials!#REF!</f>
        <v>#REF!</v>
      </c>
      <c r="AT32" s="271" t="e">
        <f>(Financials!M7-Financials!#REF!)/Financials!#REF!</f>
        <v>#REF!</v>
      </c>
      <c r="AU32" s="271" t="e">
        <f>(Financials!N7-Financials!A7)/Financials!A7</f>
        <v>#REF!</v>
      </c>
      <c r="AV32" s="271" t="e">
        <f>(Financials!O7-Financials!B7)/Financials!B7</f>
        <v>#REF!</v>
      </c>
      <c r="AW32" s="271" t="e">
        <f>(Financials!P7-Financials!C7)/Financials!C7</f>
        <v>#REF!</v>
      </c>
      <c r="AX32" s="271" t="e">
        <f>(Financials!Q7-Financials!D7)/Financials!D7</f>
        <v>#REF!</v>
      </c>
      <c r="AY32" s="271" t="e">
        <f>(Financials!R7-Financials!E7)/Financials!E7</f>
        <v>#REF!</v>
      </c>
      <c r="AZ32" s="271" t="e">
        <f>(Financials!S7-Financials!F7)/Financials!F7</f>
        <v>#REF!</v>
      </c>
      <c r="BA32" s="271" t="e">
        <f>(Financials!T7-Financials!G7)/Financials!G7</f>
        <v>#REF!</v>
      </c>
      <c r="BB32" s="271" t="e">
        <f>(Financials!U7-Financials!H7)/Financials!H7</f>
        <v>#REF!</v>
      </c>
      <c r="BC32" s="271" t="e">
        <f>(Financials!V7-Financials!I7)/Financials!I7</f>
        <v>#REF!</v>
      </c>
      <c r="BD32" s="271" t="e">
        <f>(Financials!W7-Financials!J7)/Financials!J7</f>
        <v>#REF!</v>
      </c>
      <c r="BE32" s="271" t="e">
        <f>(Financials!X7-Financials!K7)/Financials!K7</f>
        <v>#REF!</v>
      </c>
      <c r="BF32" s="271" t="e">
        <f>(Financials!Y7-Financials!L7)/Financials!L7</f>
        <v>#REF!</v>
      </c>
      <c r="BG32" s="271" t="e">
        <f>(Financials!Z7-Financials!M7)/Financials!M7</f>
        <v>#REF!</v>
      </c>
      <c r="BH32" s="271" t="e">
        <f>(Financials!AA7-Financials!N7)/Financials!N7</f>
        <v>#REF!</v>
      </c>
      <c r="BI32" s="271" t="e">
        <f>(Financials!AB7-Financials!O7)/Financials!O7</f>
        <v>#REF!</v>
      </c>
      <c r="BJ32" s="271" t="e">
        <f>(Financials!AC7-Financials!P7)/Financials!P7</f>
        <v>#REF!</v>
      </c>
      <c r="BK32" s="271" t="e">
        <f>(Financials!AD7-Financials!Q7)/Financials!Q7</f>
        <v>#REF!</v>
      </c>
      <c r="BL32" s="271" t="e">
        <f>(Financials!AE7-Financials!R7)/Financials!R7</f>
        <v>#REF!</v>
      </c>
      <c r="BM32" s="271" t="e">
        <f>(Financials!AF7-Financials!S7)/Financials!S7</f>
        <v>#REF!</v>
      </c>
      <c r="BN32" s="271" t="e">
        <f>(Financials!AG7-Financials!T7)/Financials!T7</f>
        <v>#REF!</v>
      </c>
      <c r="BO32" s="271" t="e">
        <f>(Financials!AH7-Financials!U7)/Financials!U7</f>
        <v>#REF!</v>
      </c>
      <c r="BP32" s="271" t="e">
        <f>(Financials!AI7-Financials!V7)/Financials!V7</f>
        <v>#REF!</v>
      </c>
      <c r="BQ32" s="271" t="e">
        <f>(Financials!AJ7-Financials!W7)/Financials!W7</f>
        <v>#REF!</v>
      </c>
      <c r="BR32" s="271" t="e">
        <f>(Financials!AK7-Financials!X7)/Financials!X7</f>
        <v>#REF!</v>
      </c>
      <c r="BS32" s="271" t="e">
        <f>(Financials!AL7-Financials!Y7)/Financials!Y7</f>
        <v>#REF!</v>
      </c>
      <c r="BT32" s="271" t="e">
        <f>(Financials!AM7-Financials!Z7)/Financials!Z7</f>
        <v>#REF!</v>
      </c>
      <c r="BU32" s="271" t="e">
        <f>(Financials!AN7-Financials!AA7)/Financials!AA7</f>
        <v>#REF!</v>
      </c>
      <c r="BV32" s="271" t="e">
        <f>(Financials!AO7-Financials!AB7)/Financials!AB7</f>
        <v>#REF!</v>
      </c>
      <c r="BW32" s="271" t="e">
        <f>(Financials!AP7-Financials!AC7)/Financials!AC7</f>
        <v>#REF!</v>
      </c>
      <c r="BX32" s="271" t="e">
        <f>(Financials!AQ7-Financials!AD7)/Financials!AD7</f>
        <v>#REF!</v>
      </c>
      <c r="BY32" s="271" t="e">
        <f>(Financials!AR7-Financials!AE7)/Financials!AE7</f>
        <v>#REF!</v>
      </c>
      <c r="BZ32" s="271" t="e">
        <f>(Financials!AS7-Financials!AF7)/Financials!AF7</f>
        <v>#REF!</v>
      </c>
      <c r="CA32" s="271" t="e">
        <f>(Financials!AT7-Financials!AG7)/Financials!AG7</f>
        <v>#REF!</v>
      </c>
      <c r="CB32" s="271" t="e">
        <f>(Financials!AU7-Financials!AH7)/Financials!AH7</f>
        <v>#REF!</v>
      </c>
      <c r="CC32" s="271" t="e">
        <f>(Financials!AV7-Financials!AI7)/Financials!AI7</f>
        <v>#REF!</v>
      </c>
      <c r="CD32" s="271" t="e">
        <f>(Financials!AW7-Financials!AJ7)/Financials!AJ7</f>
        <v>#REF!</v>
      </c>
      <c r="CE32" s="271" t="e">
        <f>(Financials!AX7-Financials!AK7)/Financials!AK7</f>
        <v>#REF!</v>
      </c>
      <c r="CF32" s="271" t="e">
        <f>(Financials!AY7-Financials!AL7)/Financials!AL7</f>
        <v>#REF!</v>
      </c>
      <c r="CG32" s="271" t="e">
        <f>(Financials!AZ7-Financials!AM7)/Financials!AM7</f>
        <v>#REF!</v>
      </c>
      <c r="CH32" s="271" t="e">
        <f>(Financials!BA7-Financials!AN7)/Financials!AN7</f>
        <v>#REF!</v>
      </c>
      <c r="CI32" s="271" t="e">
        <f>(Financials!BB7-Financials!AO7)/Financials!AO7</f>
        <v>#REF!</v>
      </c>
      <c r="CJ32" s="271" t="e">
        <f>(Financials!BC7-Financials!AP7)/Financials!AP7</f>
        <v>#REF!</v>
      </c>
      <c r="CK32" s="271" t="e">
        <f>(Financials!BD7-Financials!AQ7)/Financials!AQ7</f>
        <v>#REF!</v>
      </c>
      <c r="CL32" s="271" t="e">
        <f>(Financials!BE7-Financials!AR7)/Financials!AR7</f>
        <v>#REF!</v>
      </c>
      <c r="CM32" s="271">
        <f>(Financials!BF7-Financials!AS7)/Financials!AS7</f>
        <v>90.604377141193638</v>
      </c>
    </row>
    <row r="33" spans="1:91" hidden="1">
      <c r="A33" s="141" t="s">
        <v>214</v>
      </c>
      <c r="B33" s="131" t="s">
        <v>353</v>
      </c>
      <c r="C33" s="134"/>
      <c r="D33" s="140"/>
      <c r="E33" s="140" t="e">
        <f>[2]Financials!D7/[2]Financials!C7-1</f>
        <v>#DIV/0!</v>
      </c>
      <c r="F33" s="140" t="e">
        <f>[2]Financials!E7/[2]Financials!D7-1</f>
        <v>#DIV/0!</v>
      </c>
      <c r="G33" s="140" t="e">
        <f>[2]Financials!F7/[2]Financials!E7-1</f>
        <v>#DIV/0!</v>
      </c>
      <c r="H33" s="140" t="e">
        <f>[2]Financials!G7/[2]Financials!F7-1</f>
        <v>#DIV/0!</v>
      </c>
      <c r="I33" s="140" t="e">
        <f>[2]Financials!H7/[2]Financials!G7-1</f>
        <v>#DIV/0!</v>
      </c>
      <c r="J33" s="140" t="e">
        <f>[2]Financials!I7/[2]Financials!H7-1</f>
        <v>#DIV/0!</v>
      </c>
      <c r="K33" s="140" t="e">
        <f>[2]Financials!J7/[2]Financials!I7-1</f>
        <v>#DIV/0!</v>
      </c>
      <c r="L33" s="140">
        <f>[2]Financials!K7/[2]Financials!J7-1</f>
        <v>1.8972484029635694E-2</v>
      </c>
      <c r="M33" s="140">
        <f>[2]Financials!L7/[2]Financials!K7-1</f>
        <v>1.8051711452905517E-2</v>
      </c>
      <c r="N33" s="140">
        <f>[2]Financials!M7/[2]Financials!L7-1</f>
        <v>1.6005635612886371E-2</v>
      </c>
      <c r="O33" s="140">
        <f>[2]Financials!N7/[2]Financials!M7-1</f>
        <v>-5.8761289289156138E-2</v>
      </c>
      <c r="P33" s="140">
        <f>[2]Financials!O7/[2]Financials!N7-1</f>
        <v>1.7486735031728706E-2</v>
      </c>
      <c r="Q33" s="140">
        <f>[2]Financials!P7/[2]Financials!O7-1</f>
        <v>1.3673423933880047E-2</v>
      </c>
      <c r="R33" s="140">
        <f>[2]Financials!Q7/[2]Financials!P7-1</f>
        <v>1.6911015262468077E-2</v>
      </c>
      <c r="S33" s="140">
        <f>[2]Financials!R7/[2]Financials!Q7-1</f>
        <v>8.3669741138217013E-3</v>
      </c>
      <c r="T33" s="140">
        <f>[2]Financials!S7/[2]Financials!R7-1</f>
        <v>1.5524484990089071E-2</v>
      </c>
      <c r="U33" s="140">
        <f>[2]Financials!T7/[2]Financials!J7-1</f>
        <v>8.4200329513010708E-2</v>
      </c>
      <c r="V33" s="140">
        <f>[2]Financials!U7/[2]Financials!T7-1</f>
        <v>1.7287158925221924E-2</v>
      </c>
      <c r="W33" s="140">
        <f>[2]Financials!V7/[2]Financials!U7-1</f>
        <v>1.4134295885025461E-2</v>
      </c>
      <c r="X33" s="140">
        <f>[2]Financials!W7/[2]Financials!V7-1</f>
        <v>1.915821819920005E-5</v>
      </c>
      <c r="Y33" s="140">
        <f>[2]Financials!X7/[2]Financials!W7-1</f>
        <v>1.6863307814058981E-2</v>
      </c>
      <c r="Z33" s="140">
        <f>[2]Financials!Y7/[2]Financials!X7-1</f>
        <v>1.5277062979080824E-2</v>
      </c>
      <c r="AA33" s="140">
        <f>[2]Financials!Z7/[2]Financials!Y7-1</f>
        <v>1.1297918822276154E-2</v>
      </c>
      <c r="AB33" s="140">
        <f>[2]Financials!AA7/[2]Financials!Z7-1</f>
        <v>1.1960301366629844E-2</v>
      </c>
      <c r="AC33" s="140">
        <f>[2]Financials!AB7/[2]Financials!AA7-1</f>
        <v>1.347655135434711E-2</v>
      </c>
      <c r="AD33" s="140">
        <f>[2]Financials!AC7/[2]Financials!AB7-1</f>
        <v>1.5696116230349499E-2</v>
      </c>
      <c r="AE33" s="140">
        <f>[2]Financials!AD7/[2]Financials!AC7-1</f>
        <v>1.5858757801027634E-2</v>
      </c>
      <c r="AF33" s="140">
        <f>[2]Financials!AE7/[2]Financials!AD7-1</f>
        <v>1.8510808264837308E-2</v>
      </c>
      <c r="AG33" s="140">
        <f>[2]Financials!AF7/[2]Financials!AE7-1</f>
        <v>1.8953831050772418E-2</v>
      </c>
      <c r="AH33" s="140">
        <f>[2]Financials!AG7/[2]Financials!AF7-1</f>
        <v>1.8421727317220693E-2</v>
      </c>
      <c r="AI33" s="140">
        <f>[2]Financials!AH7/[2]Financials!AG7-1</f>
        <v>1.7414884455606794E-2</v>
      </c>
      <c r="AJ33" s="140">
        <f>[2]Financials!AI7/[2]Financials!AH7-1</f>
        <v>1.6658900093688311E-2</v>
      </c>
      <c r="AK33" s="140"/>
      <c r="AL33" s="271" t="e">
        <f>(Financials!E6-Financials!#REF!)/Financials!#REF!</f>
        <v>#REF!</v>
      </c>
      <c r="AM33" s="271" t="e">
        <f>(Financials!F6-Financials!#REF!)/Financials!#REF!</f>
        <v>#REF!</v>
      </c>
      <c r="AN33" s="271" t="e">
        <f>(Financials!G6-Financials!#REF!)/Financials!#REF!</f>
        <v>#REF!</v>
      </c>
      <c r="AO33" s="271" t="e">
        <f>(Financials!H6-Financials!#REF!)/Financials!#REF!</f>
        <v>#REF!</v>
      </c>
      <c r="AP33" s="271" t="e">
        <f>(Financials!I6-Financials!#REF!)/Financials!#REF!</f>
        <v>#REF!</v>
      </c>
      <c r="AQ33" s="271" t="e">
        <f>(Financials!J6-Financials!#REF!)/Financials!#REF!</f>
        <v>#REF!</v>
      </c>
      <c r="AR33" s="271" t="e">
        <f>(Financials!K6-Financials!#REF!)/Financials!#REF!</f>
        <v>#REF!</v>
      </c>
      <c r="AS33" s="271" t="e">
        <f>(Financials!L6-Financials!#REF!)/Financials!#REF!</f>
        <v>#REF!</v>
      </c>
      <c r="AT33" s="271" t="e">
        <f>(Financials!M6-Financials!#REF!)/Financials!#REF!</f>
        <v>#REF!</v>
      </c>
      <c r="AU33" s="271" t="e">
        <f>(Financials!N6-Financials!A6)/Financials!A6</f>
        <v>#REF!</v>
      </c>
      <c r="AV33" s="271" t="e">
        <f>(Financials!O6-Financials!B6)/Financials!B6</f>
        <v>#REF!</v>
      </c>
      <c r="AW33" s="271" t="e">
        <f>(Financials!P6-Financials!C6)/Financials!C6</f>
        <v>#REF!</v>
      </c>
      <c r="AX33" s="271" t="e">
        <f>(Financials!Q6-Financials!D6)/Financials!D6</f>
        <v>#REF!</v>
      </c>
      <c r="AY33" s="271" t="e">
        <f>(Financials!R6-Financials!E6)/Financials!E6</f>
        <v>#REF!</v>
      </c>
      <c r="AZ33" s="271" t="e">
        <f>(Financials!S6-Financials!F6)/Financials!F6</f>
        <v>#REF!</v>
      </c>
      <c r="BA33" s="271" t="e">
        <f>(Financials!T6-Financials!G6)/Financials!G6</f>
        <v>#REF!</v>
      </c>
      <c r="BB33" s="271" t="e">
        <f>(Financials!U6-Financials!H6)/Financials!H6</f>
        <v>#REF!</v>
      </c>
      <c r="BC33" s="271" t="e">
        <f>(Financials!V6-Financials!I6)/Financials!I6</f>
        <v>#REF!</v>
      </c>
      <c r="BD33" s="271" t="e">
        <f>(Financials!W6-Financials!J6)/Financials!J6</f>
        <v>#REF!</v>
      </c>
      <c r="BE33" s="271" t="e">
        <f>(Financials!X6-Financials!K6)/Financials!K6</f>
        <v>#REF!</v>
      </c>
      <c r="BF33" s="271" t="e">
        <f>(Financials!Y6-Financials!L6)/Financials!L6</f>
        <v>#REF!</v>
      </c>
      <c r="BG33" s="271" t="e">
        <f>(Financials!Z6-Financials!M6)/Financials!M6</f>
        <v>#REF!</v>
      </c>
      <c r="BH33" s="271" t="e">
        <f>(Financials!AA6-Financials!N6)/Financials!N6</f>
        <v>#REF!</v>
      </c>
      <c r="BI33" s="271" t="e">
        <f>(Financials!AB6-Financials!O6)/Financials!O6</f>
        <v>#REF!</v>
      </c>
      <c r="BJ33" s="271" t="e">
        <f>(Financials!AC6-Financials!P6)/Financials!P6</f>
        <v>#REF!</v>
      </c>
      <c r="BK33" s="271" t="e">
        <f>(Financials!AD6-Financials!Q6)/Financials!Q6</f>
        <v>#REF!</v>
      </c>
      <c r="BL33" s="271" t="e">
        <f>(Financials!AE6-Financials!R6)/Financials!R6</f>
        <v>#REF!</v>
      </c>
      <c r="BM33" s="271" t="e">
        <f>(Financials!AF6-Financials!S6)/Financials!S6</f>
        <v>#REF!</v>
      </c>
      <c r="BN33" s="271" t="e">
        <f>(Financials!AG6-Financials!T6)/Financials!T6</f>
        <v>#REF!</v>
      </c>
      <c r="BO33" s="271" t="e">
        <f>(Financials!AH6-Financials!U6)/Financials!U6</f>
        <v>#REF!</v>
      </c>
      <c r="BP33" s="271" t="e">
        <f>(Financials!AI6-Financials!V6)/Financials!V6</f>
        <v>#REF!</v>
      </c>
      <c r="BQ33" s="271" t="e">
        <f>(Financials!AJ6-Financials!W6)/Financials!W6</f>
        <v>#REF!</v>
      </c>
      <c r="BR33" s="271" t="e">
        <f>(Financials!AK6-Financials!X6)/Financials!X6</f>
        <v>#REF!</v>
      </c>
      <c r="BS33" s="271" t="e">
        <f>(Financials!AL6-Financials!Y6)/Financials!Y6</f>
        <v>#REF!</v>
      </c>
      <c r="BT33" s="271" t="e">
        <f>(Financials!AM6-Financials!Z6)/Financials!Z6</f>
        <v>#REF!</v>
      </c>
      <c r="BU33" s="271" t="e">
        <f>(Financials!AN6-Financials!AA6)/Financials!AA6</f>
        <v>#REF!</v>
      </c>
      <c r="BV33" s="271" t="e">
        <f>(Financials!AO6-Financials!AB6)/Financials!AB6</f>
        <v>#REF!</v>
      </c>
      <c r="BW33" s="271" t="e">
        <f>(Financials!AP6-Financials!AC6)/Financials!AC6</f>
        <v>#REF!</v>
      </c>
      <c r="BX33" s="271" t="e">
        <f>(Financials!AQ6-Financials!AD6)/Financials!AD6</f>
        <v>#REF!</v>
      </c>
      <c r="BY33" s="271" t="e">
        <f>(Financials!AR6-Financials!AE6)/Financials!AE6</f>
        <v>#REF!</v>
      </c>
      <c r="BZ33" s="271" t="e">
        <f>(Financials!AS6-Financials!AF6)/Financials!AF6</f>
        <v>#REF!</v>
      </c>
      <c r="CA33" s="271" t="e">
        <f>(Financials!AT6-Financials!AG6)/Financials!AG6</f>
        <v>#REF!</v>
      </c>
      <c r="CB33" s="271" t="e">
        <f>(Financials!AU6-Financials!AH6)/Financials!AH6</f>
        <v>#REF!</v>
      </c>
      <c r="CC33" s="271" t="e">
        <f>(Financials!AV6-Financials!AI6)/Financials!AI6</f>
        <v>#REF!</v>
      </c>
      <c r="CD33" s="271" t="e">
        <f>(Financials!AW6-Financials!AJ6)/Financials!AJ6</f>
        <v>#REF!</v>
      </c>
      <c r="CE33" s="271" t="e">
        <f>(Financials!AX6-Financials!AK6)/Financials!AK6</f>
        <v>#REF!</v>
      </c>
      <c r="CF33" s="271" t="e">
        <f>(Financials!AY6-Financials!AL6)/Financials!AL6</f>
        <v>#REF!</v>
      </c>
      <c r="CG33" s="271" t="e">
        <f>(Financials!AZ6-Financials!AM6)/Financials!AM6</f>
        <v>#REF!</v>
      </c>
      <c r="CH33" s="271" t="e">
        <f>(Financials!BA6-Financials!AN6)/Financials!AN6</f>
        <v>#REF!</v>
      </c>
      <c r="CI33" s="271" t="e">
        <f>(Financials!BB6-Financials!AO6)/Financials!AO6</f>
        <v>#REF!</v>
      </c>
      <c r="CJ33" s="271" t="e">
        <f>(Financials!BC6-Financials!AP6)/Financials!AP6</f>
        <v>#REF!</v>
      </c>
      <c r="CK33" s="271" t="e">
        <f>(Financials!BD6-Financials!AQ6)/Financials!AQ6</f>
        <v>#REF!</v>
      </c>
      <c r="CL33" s="271" t="e">
        <f>(Financials!BE6-Financials!AR6)/Financials!AR6</f>
        <v>#REF!</v>
      </c>
      <c r="CM33" s="271">
        <f>(Financials!BF6-Financials!AS6)/Financials!AS6</f>
        <v>7.8902626428610407</v>
      </c>
    </row>
    <row r="34" spans="1:91" hidden="1">
      <c r="A34" s="127" t="s">
        <v>357</v>
      </c>
      <c r="B34" s="131" t="s">
        <v>353</v>
      </c>
      <c r="C34" s="134"/>
      <c r="D34" s="140"/>
      <c r="E34" s="140" t="e">
        <f>[2]Financials!D30/[2]Financials!C30-1</f>
        <v>#DIV/0!</v>
      </c>
      <c r="F34" s="140" t="e">
        <f>[2]Financials!E30/[2]Financials!D30-1</f>
        <v>#DIV/0!</v>
      </c>
      <c r="G34" s="140" t="e">
        <f>[2]Financials!F30/[2]Financials!E30-1</f>
        <v>#DIV/0!</v>
      </c>
      <c r="H34" s="140" t="e">
        <f>[2]Financials!G30/[2]Financials!F30-1</f>
        <v>#DIV/0!</v>
      </c>
      <c r="I34" s="140" t="e">
        <f>[2]Financials!H30/[2]Financials!G30-1</f>
        <v>#DIV/0!</v>
      </c>
      <c r="J34" s="140" t="e">
        <f>[2]Financials!I30/[2]Financials!H30-1</f>
        <v>#DIV/0!</v>
      </c>
      <c r="K34" s="140" t="e">
        <f>[2]Financials!J30/[2]Financials!I30-1</f>
        <v>#DIV/0!</v>
      </c>
      <c r="L34" s="140">
        <f>[2]Financials!K30/[2]Financials!J30-1</f>
        <v>6.1107577979256478E-2</v>
      </c>
      <c r="M34" s="140">
        <f>[2]Financials!L30/[2]Financials!K30-1</f>
        <v>2.8041410037825676E-2</v>
      </c>
      <c r="N34" s="140">
        <f>[2]Financials!M30/[2]Financials!L30-1</f>
        <v>1.0048447087433576E-2</v>
      </c>
      <c r="O34" s="140">
        <f>[2]Financials!N30/[2]Financials!M30-1</f>
        <v>1.4384451410879739E-2</v>
      </c>
      <c r="P34" s="140">
        <f>[2]Financials!O30/[2]Financials!N30-1</f>
        <v>1.8615454145417765E-2</v>
      </c>
      <c r="Q34" s="140">
        <f>[2]Financials!P30/[2]Financials!O30-1</f>
        <v>1.8384147234667747E-2</v>
      </c>
      <c r="R34" s="140">
        <f>[2]Financials!Q30/[2]Financials!P30-1</f>
        <v>2.1604853369581623E-2</v>
      </c>
      <c r="S34" s="140">
        <f>[2]Financials!R30/[2]Financials!Q30-1</f>
        <v>3.4567878860996881E-2</v>
      </c>
      <c r="T34" s="140">
        <f>[2]Financials!S30/[2]Financials!R30-1</f>
        <v>2.1473307937156072E-2</v>
      </c>
      <c r="U34" s="140">
        <f>[2]Financials!T30/[2]Financials!J30-1</f>
        <v>0.28017933110245341</v>
      </c>
      <c r="V34" s="140">
        <f>[2]Financials!U30/[2]Financials!T30-1</f>
        <v>2.8423151137534797E-2</v>
      </c>
      <c r="W34" s="140">
        <f>[2]Financials!V30/[2]Financials!U30-1</f>
        <v>1.9976205287446369E-2</v>
      </c>
      <c r="X34" s="140">
        <f>[2]Financials!W30/[2]Financials!V30-1</f>
        <v>3.8775270076703006E-3</v>
      </c>
      <c r="Y34" s="140">
        <f>[2]Financials!X30/[2]Financials!W30-1</f>
        <v>4.5682216907277917E-2</v>
      </c>
      <c r="Z34" s="140">
        <f>[2]Financials!Y30/[2]Financials!X30-1</f>
        <v>2.1666429261738118E-2</v>
      </c>
      <c r="AA34" s="140">
        <f>[2]Financials!Z30/[2]Financials!Y30-1</f>
        <v>-1.6618788223865533E-4</v>
      </c>
      <c r="AB34" s="140">
        <f>[2]Financials!AA30/[2]Financials!Z30-1</f>
        <v>1.0469801137608536E-2</v>
      </c>
      <c r="AC34" s="140">
        <f>[2]Financials!AB30/[2]Financials!AA30-1</f>
        <v>4.6116587950055798E-3</v>
      </c>
      <c r="AD34" s="140">
        <f>[2]Financials!AC30/[2]Financials!AB30-1</f>
        <v>9.8654278145069441E-3</v>
      </c>
      <c r="AE34" s="140">
        <f>[2]Financials!AD30/[2]Financials!AC30-1</f>
        <v>2.0116544938350911E-2</v>
      </c>
      <c r="AF34" s="140">
        <f>[2]Financials!AE30/[2]Financials!AD30-1</f>
        <v>2.7645044297113008E-2</v>
      </c>
      <c r="AG34" s="140">
        <f>[2]Financials!AF30/[2]Financials!AE30-1</f>
        <v>2.4786136870242004E-2</v>
      </c>
      <c r="AH34" s="140">
        <f>[2]Financials!AG30/[2]Financials!AF30-1</f>
        <v>1.6943008747363431E-2</v>
      </c>
      <c r="AI34" s="140">
        <f>[2]Financials!AH30/[2]Financials!AG30-1</f>
        <v>1.2796213029120818E-2</v>
      </c>
      <c r="AJ34" s="140">
        <f>[2]Financials!AI30/[2]Financials!AH30-1</f>
        <v>2.0868293710845975E-2</v>
      </c>
      <c r="AK34" s="140"/>
      <c r="AL34" s="271" t="e">
        <f>(Financials!E30-Financials!#REF!)/Financials!#REF!</f>
        <v>#REF!</v>
      </c>
      <c r="AM34" s="271" t="e">
        <f>(Financials!F30-Financials!#REF!)/Financials!#REF!</f>
        <v>#REF!</v>
      </c>
      <c r="AN34" s="271" t="e">
        <f>(Financials!G30-Financials!#REF!)/Financials!#REF!</f>
        <v>#REF!</v>
      </c>
      <c r="AO34" s="271" t="e">
        <f>(Financials!H30-Financials!#REF!)/Financials!#REF!</f>
        <v>#REF!</v>
      </c>
      <c r="AP34" s="271" t="e">
        <f>(Financials!I30-Financials!#REF!)/Financials!#REF!</f>
        <v>#REF!</v>
      </c>
      <c r="AQ34" s="271" t="e">
        <f>(Financials!J30-Financials!#REF!)/Financials!#REF!</f>
        <v>#REF!</v>
      </c>
      <c r="AR34" s="271" t="e">
        <f>(Financials!K30-Financials!#REF!)/Financials!#REF!</f>
        <v>#REF!</v>
      </c>
      <c r="AS34" s="271" t="e">
        <f>(Financials!L30-Financials!#REF!)/Financials!#REF!</f>
        <v>#REF!</v>
      </c>
      <c r="AT34" s="271" t="e">
        <f>(Financials!M30-Financials!#REF!)/Financials!#REF!</f>
        <v>#REF!</v>
      </c>
      <c r="AU34" s="271" t="e">
        <f>(Financials!N30-Financials!A30)/Financials!A30</f>
        <v>#REF!</v>
      </c>
      <c r="AV34" s="271" t="e">
        <f>(Financials!O30-Financials!B30)/Financials!B30</f>
        <v>#REF!</v>
      </c>
      <c r="AW34" s="271" t="e">
        <f>(Financials!P30-Financials!C30)/Financials!C30</f>
        <v>#REF!</v>
      </c>
      <c r="AX34" s="271" t="e">
        <f>(Financials!Q30-Financials!D30)/Financials!D30</f>
        <v>#REF!</v>
      </c>
      <c r="AY34" s="271" t="e">
        <f>(Financials!R30-Financials!E30)/Financials!E30</f>
        <v>#REF!</v>
      </c>
      <c r="AZ34" s="271" t="e">
        <f>(Financials!S30-Financials!F30)/Financials!F30</f>
        <v>#REF!</v>
      </c>
      <c r="BA34" s="271" t="e">
        <f>(Financials!T30-Financials!G30)/Financials!G30</f>
        <v>#REF!</v>
      </c>
      <c r="BB34" s="271" t="e">
        <f>(Financials!U30-Financials!H30)/Financials!H30</f>
        <v>#REF!</v>
      </c>
      <c r="BC34" s="271" t="e">
        <f>(Financials!V30-Financials!I30)/Financials!I30</f>
        <v>#REF!</v>
      </c>
      <c r="BD34" s="271" t="e">
        <f>(Financials!W30-Financials!J30)/Financials!J30</f>
        <v>#REF!</v>
      </c>
      <c r="BE34" s="271" t="e">
        <f>(Financials!X30-Financials!K30)/Financials!K30</f>
        <v>#REF!</v>
      </c>
      <c r="BF34" s="271" t="e">
        <f>(Financials!Y30-Financials!L30)/Financials!L30</f>
        <v>#REF!</v>
      </c>
      <c r="BG34" s="271" t="e">
        <f>(Financials!Z30-Financials!M30)/Financials!M30</f>
        <v>#REF!</v>
      </c>
      <c r="BH34" s="271" t="e">
        <f>(Financials!AA30-Financials!N30)/Financials!N30</f>
        <v>#REF!</v>
      </c>
      <c r="BI34" s="271" t="e">
        <f>(Financials!AB30-Financials!O30)/Financials!O30</f>
        <v>#REF!</v>
      </c>
      <c r="BJ34" s="271" t="e">
        <f>(Financials!AC30-Financials!P30)/Financials!P30</f>
        <v>#REF!</v>
      </c>
      <c r="BK34" s="271" t="e">
        <f>(Financials!AD30-Financials!Q30)/Financials!Q30</f>
        <v>#REF!</v>
      </c>
      <c r="BL34" s="271" t="e">
        <f>(Financials!AE30-Financials!R30)/Financials!R30</f>
        <v>#REF!</v>
      </c>
      <c r="BM34" s="271" t="e">
        <f>(Financials!AF30-Financials!S30)/Financials!S30</f>
        <v>#REF!</v>
      </c>
      <c r="BN34" s="271" t="e">
        <f>(Financials!AG30-Financials!T30)/Financials!T30</f>
        <v>#REF!</v>
      </c>
      <c r="BO34" s="271" t="e">
        <f>(Financials!AH30-Financials!U30)/Financials!U30</f>
        <v>#REF!</v>
      </c>
      <c r="BP34" s="271" t="e">
        <f>(Financials!AI30-Financials!V30)/Financials!V30</f>
        <v>#REF!</v>
      </c>
      <c r="BQ34" s="271" t="e">
        <f>(Financials!AJ30-Financials!W30)/Financials!W30</f>
        <v>#REF!</v>
      </c>
      <c r="BR34" s="271" t="e">
        <f>(Financials!AK30-Financials!X30)/Financials!X30</f>
        <v>#REF!</v>
      </c>
      <c r="BS34" s="271" t="e">
        <f>(Financials!AL30-Financials!Y30)/Financials!Y30</f>
        <v>#REF!</v>
      </c>
      <c r="BT34" s="271" t="e">
        <f>(Financials!AM30-Financials!Z30)/Financials!Z30</f>
        <v>#REF!</v>
      </c>
      <c r="BU34" s="271" t="e">
        <f>(Financials!AN30-Financials!AA30)/Financials!AA30</f>
        <v>#REF!</v>
      </c>
      <c r="BV34" s="271" t="e">
        <f>(Financials!AO30-Financials!AB30)/Financials!AB30</f>
        <v>#REF!</v>
      </c>
      <c r="BW34" s="271" t="e">
        <f>(Financials!AP30-Financials!AC30)/Financials!AC30</f>
        <v>#REF!</v>
      </c>
      <c r="BX34" s="271" t="e">
        <f>(Financials!AQ30-Financials!AD30)/Financials!AD30</f>
        <v>#REF!</v>
      </c>
      <c r="BY34" s="271" t="e">
        <f>(Financials!AR30-Financials!AE30)/Financials!AE30</f>
        <v>#REF!</v>
      </c>
      <c r="BZ34" s="271" t="e">
        <f>(Financials!AS30-Financials!AF30)/Financials!AF30</f>
        <v>#REF!</v>
      </c>
      <c r="CA34" s="271" t="e">
        <f>(Financials!AT30-Financials!AG30)/Financials!AG30</f>
        <v>#REF!</v>
      </c>
      <c r="CB34" s="271" t="e">
        <f>(Financials!AU30-Financials!AH30)/Financials!AH30</f>
        <v>#REF!</v>
      </c>
      <c r="CC34" s="271" t="e">
        <f>(Financials!AV30-Financials!AI30)/Financials!AI30</f>
        <v>#REF!</v>
      </c>
      <c r="CD34" s="271" t="e">
        <f>(Financials!AW30-Financials!AJ30)/Financials!AJ30</f>
        <v>#REF!</v>
      </c>
      <c r="CE34" s="271" t="e">
        <f>(Financials!AX30-Financials!AK30)/Financials!AK30</f>
        <v>#REF!</v>
      </c>
      <c r="CF34" s="271" t="e">
        <f>(Financials!AY30-Financials!AL30)/Financials!AL30</f>
        <v>#REF!</v>
      </c>
      <c r="CG34" s="271" t="e">
        <f>(Financials!AZ30-Financials!AM30)/Financials!AM30</f>
        <v>#REF!</v>
      </c>
      <c r="CH34" s="271" t="e">
        <f>(Financials!BA30-Financials!AN30)/Financials!AN30</f>
        <v>#REF!</v>
      </c>
      <c r="CI34" s="271" t="e">
        <f>(Financials!BB30-Financials!AO30)/Financials!AO30</f>
        <v>#REF!</v>
      </c>
      <c r="CJ34" s="271" t="e">
        <f>(Financials!BC30-Financials!AP30)/Financials!AP30</f>
        <v>#REF!</v>
      </c>
      <c r="CK34" s="271" t="e">
        <f>(Financials!BD30-Financials!AQ30)/Financials!AQ30</f>
        <v>#REF!</v>
      </c>
      <c r="CL34" s="271" t="e">
        <f>(Financials!BE30-Financials!AR30)/Financials!AR30</f>
        <v>#REF!</v>
      </c>
      <c r="CM34" s="271">
        <f>(Financials!BF30-Financials!AS30)/Financials!AS30</f>
        <v>10.428210488291846</v>
      </c>
    </row>
    <row r="35" spans="1:91" hidden="1">
      <c r="A35" s="127" t="s">
        <v>217</v>
      </c>
      <c r="B35" s="131" t="s">
        <v>353</v>
      </c>
      <c r="C35" s="134"/>
      <c r="D35" s="140"/>
      <c r="E35" s="140" t="e">
        <f>[2]Financials!D13/[2]Financials!C13-1</f>
        <v>#DIV/0!</v>
      </c>
      <c r="F35" s="140" t="e">
        <f>[2]Financials!E13/[2]Financials!D13-1</f>
        <v>#DIV/0!</v>
      </c>
      <c r="G35" s="140" t="e">
        <f>[2]Financials!F13/[2]Financials!E13-1</f>
        <v>#DIV/0!</v>
      </c>
      <c r="H35" s="140" t="e">
        <f>[2]Financials!G13/[2]Financials!F13-1</f>
        <v>#DIV/0!</v>
      </c>
      <c r="I35" s="140" t="e">
        <f>[2]Financials!H13/[2]Financials!G13-1</f>
        <v>#DIV/0!</v>
      </c>
      <c r="J35" s="140" t="e">
        <f>[2]Financials!I13/[2]Financials!H13-1</f>
        <v>#DIV/0!</v>
      </c>
      <c r="K35" s="140" t="e">
        <f>[2]Financials!J13/[2]Financials!I13-1</f>
        <v>#DIV/0!</v>
      </c>
      <c r="L35" s="140">
        <f>[2]Financials!K13/[2]Financials!J13-1</f>
        <v>0.91765400057255109</v>
      </c>
      <c r="M35" s="140">
        <f>[2]Financials!L13/[2]Financials!K13-1</f>
        <v>6.0233536054489001E-2</v>
      </c>
      <c r="N35" s="140">
        <f>[2]Financials!M13/[2]Financials!L13-1</f>
        <v>5.5466604985421331E-2</v>
      </c>
      <c r="O35" s="140">
        <f>[2]Financials!N13/[2]Financials!M13-1</f>
        <v>1.5637140989379628E-3</v>
      </c>
      <c r="P35" s="140">
        <f>[2]Financials!O13/[2]Financials!N13-1</f>
        <v>5.8394389955140236E-2</v>
      </c>
      <c r="Q35" s="140">
        <f>[2]Financials!P13/[2]Financials!O13-1</f>
        <v>7.7007315527223286E-2</v>
      </c>
      <c r="R35" s="140">
        <f>[2]Financials!Q13/[2]Financials!P13-1</f>
        <v>5.216680607766766E-2</v>
      </c>
      <c r="S35" s="140">
        <f>[2]Financials!R13/[2]Financials!Q13-1</f>
        <v>5.527107397303066E-2</v>
      </c>
      <c r="T35" s="140">
        <f>[2]Financials!S13/[2]Financials!R13-1</f>
        <v>5.1889853513510831E-2</v>
      </c>
      <c r="U35" s="140">
        <f>[2]Financials!T13/[2]Financials!J13-1</f>
        <v>2.0082733892696067</v>
      </c>
      <c r="V35" s="140">
        <f>[2]Financials!U13/[2]Financials!T13-1</f>
        <v>2.9824448201209108E-2</v>
      </c>
      <c r="W35" s="140">
        <f>[2]Financials!V13/[2]Financials!U13-1</f>
        <v>4.3625136953638011E-2</v>
      </c>
      <c r="X35" s="140">
        <f>[2]Financials!W13/[2]Financials!V13-1</f>
        <v>-0.36618611473246654</v>
      </c>
      <c r="Y35" s="140">
        <f>[2]Financials!X13/[2]Financials!W13-1</f>
        <v>0.64715476433636843</v>
      </c>
      <c r="Z35" s="140">
        <f>[2]Financials!Y13/[2]Financials!X13-1</f>
        <v>-0.29244059766355546</v>
      </c>
      <c r="AA35" s="140">
        <f>[2]Financials!Z13/[2]Financials!Y13-1</f>
        <v>-4.1866814283045062E-2</v>
      </c>
      <c r="AB35" s="140">
        <f>[2]Financials!AA13/[2]Financials!Z13-1</f>
        <v>0.14470833399642258</v>
      </c>
      <c r="AC35" s="140">
        <f>[2]Financials!AB13/[2]Financials!AA13-1</f>
        <v>4.2226431115008456E-2</v>
      </c>
      <c r="AD35" s="140">
        <f>[2]Financials!AC13/[2]Financials!AB13-1</f>
        <v>6.1614741836077735E-2</v>
      </c>
      <c r="AE35" s="140">
        <f>[2]Financials!AD13/[2]Financials!AC13-1</f>
        <v>7.5867649431273554E-2</v>
      </c>
      <c r="AF35" s="140">
        <f>[2]Financials!AE13/[2]Financials!AD13-1</f>
        <v>7.4386631104626177E-2</v>
      </c>
      <c r="AG35" s="140">
        <f>[2]Financials!AF13/[2]Financials!AE13-1</f>
        <v>6.3520202340465071E-2</v>
      </c>
      <c r="AH35" s="140">
        <f>[2]Financials!AG13/[2]Financials!AF13-1</f>
        <v>4.4398069581726318E-2</v>
      </c>
      <c r="AI35" s="140">
        <f>[2]Financials!AH13/[2]Financials!AG13-1</f>
        <v>2.2232185279887906E-2</v>
      </c>
      <c r="AJ35" s="140">
        <f>[2]Financials!AI13/[2]Financials!AH13-1</f>
        <v>5.0896852886485933E-2</v>
      </c>
      <c r="AK35" s="140"/>
      <c r="AL35" s="271" t="e">
        <f>(Financials!E11-Financials!#REF!)/Financials!#REF!</f>
        <v>#REF!</v>
      </c>
      <c r="AM35" s="271" t="e">
        <f>(Financials!F11-Financials!#REF!)/Financials!#REF!</f>
        <v>#REF!</v>
      </c>
      <c r="AN35" s="271" t="e">
        <f>(Financials!G11-Financials!#REF!)/Financials!#REF!</f>
        <v>#REF!</v>
      </c>
      <c r="AO35" s="271" t="e">
        <f>(Financials!H11-Financials!#REF!)/Financials!#REF!</f>
        <v>#REF!</v>
      </c>
      <c r="AP35" s="271" t="e">
        <f>(Financials!I11-Financials!#REF!)/Financials!#REF!</f>
        <v>#REF!</v>
      </c>
      <c r="AQ35" s="271" t="e">
        <f>(Financials!J11-Financials!#REF!)/Financials!#REF!</f>
        <v>#REF!</v>
      </c>
      <c r="AR35" s="271" t="e">
        <f>(Financials!K11-Financials!#REF!)/Financials!#REF!</f>
        <v>#REF!</v>
      </c>
      <c r="AS35" s="271" t="e">
        <f>(Financials!L11-Financials!#REF!)/Financials!#REF!</f>
        <v>#REF!</v>
      </c>
      <c r="AT35" s="271" t="e">
        <f>(Financials!M11-Financials!#REF!)/Financials!#REF!</f>
        <v>#REF!</v>
      </c>
      <c r="AU35" s="271" t="e">
        <f>(Financials!N11-Financials!A11)/Financials!A11</f>
        <v>#REF!</v>
      </c>
      <c r="AV35" s="271" t="e">
        <f>(Financials!O11-Financials!B11)/Financials!B11</f>
        <v>#REF!</v>
      </c>
      <c r="AW35" s="271" t="e">
        <f>(Financials!P11-Financials!C11)/Financials!C11</f>
        <v>#REF!</v>
      </c>
      <c r="AX35" s="271" t="e">
        <f>(Financials!Q11-Financials!D11)/Financials!D11</f>
        <v>#REF!</v>
      </c>
      <c r="AY35" s="271" t="e">
        <f>(Financials!R11-Financials!E11)/Financials!E11</f>
        <v>#REF!</v>
      </c>
      <c r="AZ35" s="271" t="e">
        <f>(Financials!S11-Financials!F11)/Financials!F11</f>
        <v>#REF!</v>
      </c>
      <c r="BA35" s="271" t="e">
        <f>(Financials!T11-Financials!G11)/Financials!G11</f>
        <v>#REF!</v>
      </c>
      <c r="BB35" s="271" t="e">
        <f>(Financials!U11-Financials!H11)/Financials!H11</f>
        <v>#REF!</v>
      </c>
      <c r="BC35" s="271" t="e">
        <f>(Financials!V11-Financials!I11)/Financials!I11</f>
        <v>#REF!</v>
      </c>
      <c r="BD35" s="271" t="e">
        <f>(Financials!W11-Financials!J11)/Financials!J11</f>
        <v>#REF!</v>
      </c>
      <c r="BE35" s="271" t="e">
        <f>(Financials!X11-Financials!K11)/Financials!K11</f>
        <v>#REF!</v>
      </c>
      <c r="BF35" s="271" t="e">
        <f>(Financials!Y11-Financials!L11)/Financials!L11</f>
        <v>#REF!</v>
      </c>
      <c r="BG35" s="271" t="e">
        <f>(Financials!Z11-Financials!M11)/Financials!M11</f>
        <v>#REF!</v>
      </c>
      <c r="BH35" s="271" t="e">
        <f>(Financials!AA11-Financials!N11)/Financials!N11</f>
        <v>#REF!</v>
      </c>
      <c r="BI35" s="271" t="e">
        <f>(Financials!AB11-Financials!O11)/Financials!O11</f>
        <v>#REF!</v>
      </c>
      <c r="BJ35" s="271" t="e">
        <f>(Financials!AC11-Financials!P11)/Financials!P11</f>
        <v>#REF!</v>
      </c>
      <c r="BK35" s="271" t="e">
        <f>(Financials!AD11-Financials!Q11)/Financials!Q11</f>
        <v>#REF!</v>
      </c>
      <c r="BL35" s="271" t="e">
        <f>(Financials!AE11-Financials!R11)/Financials!R11</f>
        <v>#REF!</v>
      </c>
      <c r="BM35" s="271" t="e">
        <f>(Financials!AF11-Financials!S11)/Financials!S11</f>
        <v>#REF!</v>
      </c>
      <c r="BN35" s="271" t="e">
        <f>(Financials!AG11-Financials!T11)/Financials!T11</f>
        <v>#REF!</v>
      </c>
      <c r="BO35" s="271" t="e">
        <f>(Financials!AH11-Financials!U11)/Financials!U11</f>
        <v>#REF!</v>
      </c>
      <c r="BP35" s="271" t="e">
        <f>(Financials!AI11-Financials!V11)/Financials!V11</f>
        <v>#REF!</v>
      </c>
      <c r="BQ35" s="271" t="e">
        <f>(Financials!AJ11-Financials!W11)/Financials!W11</f>
        <v>#REF!</v>
      </c>
      <c r="BR35" s="271" t="e">
        <f>(Financials!AK11-Financials!X11)/Financials!X11</f>
        <v>#REF!</v>
      </c>
      <c r="BS35" s="271" t="e">
        <f>(Financials!AL11-Financials!Y11)/Financials!Y11</f>
        <v>#REF!</v>
      </c>
      <c r="BT35" s="271" t="e">
        <f>(Financials!AM11-Financials!Z11)/Financials!Z11</f>
        <v>#REF!</v>
      </c>
      <c r="BU35" s="271" t="e">
        <f>(Financials!AN11-Financials!AA11)/Financials!AA11</f>
        <v>#REF!</v>
      </c>
      <c r="BV35" s="271" t="e">
        <f>(Financials!AO11-Financials!AB11)/Financials!AB11</f>
        <v>#REF!</v>
      </c>
      <c r="BW35" s="271" t="e">
        <f>(Financials!AP11-Financials!AC11)/Financials!AC11</f>
        <v>#REF!</v>
      </c>
      <c r="BX35" s="271" t="e">
        <f>(Financials!AQ11-Financials!AD11)/Financials!AD11</f>
        <v>#REF!</v>
      </c>
      <c r="BY35" s="271" t="e">
        <f>(Financials!AR11-Financials!AE11)/Financials!AE11</f>
        <v>#REF!</v>
      </c>
      <c r="BZ35" s="271" t="e">
        <f>(Financials!AS11-Financials!AF11)/Financials!AF11</f>
        <v>#REF!</v>
      </c>
      <c r="CA35" s="271" t="e">
        <f>(Financials!AT11-Financials!AG11)/Financials!AG11</f>
        <v>#REF!</v>
      </c>
      <c r="CB35" s="271" t="e">
        <f>(Financials!AU11-Financials!AH11)/Financials!AH11</f>
        <v>#REF!</v>
      </c>
      <c r="CC35" s="271" t="e">
        <f>(Financials!AV11-Financials!AI11)/Financials!AI11</f>
        <v>#REF!</v>
      </c>
      <c r="CD35" s="271" t="e">
        <f>(Financials!AW11-Financials!AJ11)/Financials!AJ11</f>
        <v>#REF!</v>
      </c>
      <c r="CE35" s="271" t="e">
        <f>(Financials!AX11-Financials!AK11)/Financials!AK11</f>
        <v>#REF!</v>
      </c>
      <c r="CF35" s="271" t="e">
        <f>(Financials!AY11-Financials!AL11)/Financials!AL11</f>
        <v>#REF!</v>
      </c>
      <c r="CG35" s="271" t="e">
        <f>(Financials!AZ11-Financials!AM11)/Financials!AM11</f>
        <v>#REF!</v>
      </c>
      <c r="CH35" s="271" t="e">
        <f>(Financials!BA11-Financials!AN11)/Financials!AN11</f>
        <v>#REF!</v>
      </c>
      <c r="CI35" s="271" t="e">
        <f>(Financials!BB11-Financials!AO11)/Financials!AO11</f>
        <v>#REF!</v>
      </c>
      <c r="CJ35" s="271" t="e">
        <f>(Financials!BC11-Financials!AP11)/Financials!AP11</f>
        <v>#REF!</v>
      </c>
      <c r="CK35" s="271" t="e">
        <f>(Financials!BD11-Financials!AQ11)/Financials!AQ11</f>
        <v>#REF!</v>
      </c>
      <c r="CL35" s="271" t="e">
        <f>(Financials!BE11-Financials!AR11)/Financials!AR11</f>
        <v>#REF!</v>
      </c>
      <c r="CM35" s="271">
        <f>(Financials!BF11-Financials!AS11)/Financials!AS11</f>
        <v>19.911891331384009</v>
      </c>
    </row>
    <row r="36" spans="1:91" hidden="1">
      <c r="A36" s="127" t="s">
        <v>358</v>
      </c>
      <c r="B36" s="131" t="s">
        <v>353</v>
      </c>
      <c r="C36" s="134"/>
      <c r="D36" s="142"/>
      <c r="E36" s="142" t="e">
        <f>[2]Financials!D42/[2]Financials!C42-1</f>
        <v>#DIV/0!</v>
      </c>
      <c r="F36" s="142" t="e">
        <f>[2]Financials!E42/[2]Financials!D42-1</f>
        <v>#DIV/0!</v>
      </c>
      <c r="G36" s="142" t="e">
        <f>[2]Financials!F42/[2]Financials!E42-1</f>
        <v>#DIV/0!</v>
      </c>
      <c r="H36" s="142" t="e">
        <f>[2]Financials!G42/[2]Financials!F42-1</f>
        <v>#DIV/0!</v>
      </c>
      <c r="I36" s="142" t="e">
        <f>[2]Financials!H42/[2]Financials!G42-1</f>
        <v>#DIV/0!</v>
      </c>
      <c r="J36" s="142" t="e">
        <f>[2]Financials!I42/[2]Financials!H42-1</f>
        <v>#DIV/0!</v>
      </c>
      <c r="K36" s="142" t="e">
        <f>[2]Financials!J42/[2]Financials!I42-1</f>
        <v>#DIV/0!</v>
      </c>
      <c r="L36" s="142">
        <f>[2]Financials!K42/[2]Financials!J42-1</f>
        <v>-0.89973290091089086</v>
      </c>
      <c r="M36" s="142">
        <f>[2]Financials!L42/[2]Financials!K42-1</f>
        <v>0.92286734907818602</v>
      </c>
      <c r="N36" s="142">
        <f>[2]Financials!M42/[2]Financials!L42-1</f>
        <v>0.47316710220544733</v>
      </c>
      <c r="O36" s="142">
        <f>[2]Financials!N42/[2]Financials!M42-1</f>
        <v>0.34708276092171486</v>
      </c>
      <c r="P36" s="142">
        <f>[2]Financials!O42/[2]Financials!N42-1</f>
        <v>0.27018586809293788</v>
      </c>
      <c r="Q36" s="142">
        <f>[2]Financials!P42/[2]Financials!O42-1</f>
        <v>0.26673264460401169</v>
      </c>
      <c r="R36" s="142">
        <f>[2]Financials!Q42/[2]Financials!P42-1</f>
        <v>0.17363100365714645</v>
      </c>
      <c r="S36" s="142">
        <f>[2]Financials!R42/[2]Financials!Q42-1</f>
        <v>0.16189818413686119</v>
      </c>
      <c r="T36" s="142">
        <f>[2]Financials!S42/[2]Financials!R42-1</f>
        <v>0.13849487657108583</v>
      </c>
      <c r="U36" s="142">
        <f>[2]Financials!T42/[2]Financials!J42-1</f>
        <v>7.7717186737404464E-2</v>
      </c>
      <c r="V36" s="142">
        <f>[2]Financials!U42/[2]Financials!T42-1</f>
        <v>0.11672772532479647</v>
      </c>
      <c r="W36" s="142">
        <f>[2]Financials!V42/[2]Financials!U42-1</f>
        <v>0.10401662114822741</v>
      </c>
      <c r="X36" s="142">
        <f>[2]Financials!W42/[2]Financials!V42-1</f>
        <v>6.9198370812357801E-3</v>
      </c>
      <c r="Y36" s="142">
        <f>[2]Financials!X42/[2]Financials!W42-1</f>
        <v>-0.89420124440050197</v>
      </c>
      <c r="Z36" s="142">
        <f>[2]Financials!Y42/[2]Financials!X42-1</f>
        <v>0.86204908677244174</v>
      </c>
      <c r="AA36" s="142">
        <f>[2]Financials!Z42/[2]Financials!Y42-1</f>
        <v>0.3718491775590449</v>
      </c>
      <c r="AB36" s="142">
        <f>[2]Financials!AA42/[2]Financials!Z42-1</f>
        <v>0.63453156939657429</v>
      </c>
      <c r="AC36" s="142">
        <f>[2]Financials!AB42/[2]Financials!AA42-1</f>
        <v>0.2196023117002539</v>
      </c>
      <c r="AD36" s="142">
        <f>[2]Financials!AC42/[2]Financials!AB42-1</f>
        <v>0.18996600347308323</v>
      </c>
      <c r="AE36" s="142">
        <f>[2]Financials!AD42/[2]Financials!AC42-1</f>
        <v>0.20417836138236867</v>
      </c>
      <c r="AF36" s="142">
        <f>[2]Financials!AE42/[2]Financials!AD42-1</f>
        <v>0.14665762817523031</v>
      </c>
      <c r="AG36" s="142">
        <f>[2]Financials!AF42/[2]Financials!AE42-1</f>
        <v>0.13280067863600631</v>
      </c>
      <c r="AH36" s="142">
        <f>[2]Financials!AG42/[2]Financials!AF42-1</f>
        <v>0.1065071424511741</v>
      </c>
      <c r="AI36" s="142">
        <f>[2]Financials!AH42/[2]Financials!AG42-1</f>
        <v>0.12079137757224845</v>
      </c>
      <c r="AJ36" s="142">
        <f>[2]Financials!AI42/[2]Financials!AH42-1</f>
        <v>9.5177761602169397E-2</v>
      </c>
      <c r="AK36" s="142"/>
      <c r="AL36" s="271" t="e">
        <f>(Financials!E37-Financials!#REF!)/Financials!#REF!</f>
        <v>#REF!</v>
      </c>
      <c r="AM36" s="271" t="e">
        <f>(Financials!F37-Financials!#REF!)/Financials!#REF!</f>
        <v>#REF!</v>
      </c>
      <c r="AN36" s="271" t="e">
        <f>(Financials!G37-Financials!#REF!)/Financials!#REF!</f>
        <v>#REF!</v>
      </c>
      <c r="AO36" s="271" t="e">
        <f>(Financials!H37-Financials!#REF!)/Financials!#REF!</f>
        <v>#REF!</v>
      </c>
      <c r="AP36" s="271" t="e">
        <f>(Financials!I37-Financials!#REF!)/Financials!#REF!</f>
        <v>#REF!</v>
      </c>
      <c r="AQ36" s="271" t="e">
        <f>(Financials!J37-Financials!#REF!)/Financials!#REF!</f>
        <v>#REF!</v>
      </c>
      <c r="AR36" s="271" t="e">
        <f>(Financials!K37-Financials!#REF!)/Financials!#REF!</f>
        <v>#REF!</v>
      </c>
      <c r="AS36" s="271" t="e">
        <f>(Financials!L37-Financials!#REF!)/Financials!#REF!</f>
        <v>#REF!</v>
      </c>
      <c r="AT36" s="271" t="e">
        <f>(Financials!M37-Financials!#REF!)/Financials!#REF!</f>
        <v>#REF!</v>
      </c>
      <c r="AU36" s="271" t="e">
        <f>(Financials!N37-Financials!A37)/Financials!A37</f>
        <v>#REF!</v>
      </c>
      <c r="AV36" s="271" t="e">
        <f>(Financials!O37-Financials!B37)/Financials!B37</f>
        <v>#REF!</v>
      </c>
      <c r="AW36" s="271" t="e">
        <f>(Financials!P37-Financials!C37)/Financials!C37</f>
        <v>#REF!</v>
      </c>
      <c r="AX36" s="271" t="e">
        <f>(Financials!Q37-Financials!D37)/Financials!D37</f>
        <v>#REF!</v>
      </c>
      <c r="AY36" s="271" t="e">
        <f>(Financials!R37-Financials!E37)/Financials!E37</f>
        <v>#REF!</v>
      </c>
      <c r="AZ36" s="271" t="e">
        <f>(Financials!S37-Financials!F37)/Financials!F37</f>
        <v>#REF!</v>
      </c>
      <c r="BA36" s="271" t="e">
        <f>(Financials!T37-Financials!G37)/Financials!G37</f>
        <v>#REF!</v>
      </c>
      <c r="BB36" s="271" t="e">
        <f>(Financials!U37-Financials!H37)/Financials!H37</f>
        <v>#REF!</v>
      </c>
      <c r="BC36" s="271" t="e">
        <f>(Financials!V37-Financials!I37)/Financials!I37</f>
        <v>#REF!</v>
      </c>
      <c r="BD36" s="271" t="e">
        <f>(Financials!W37-Financials!J37)/Financials!J37</f>
        <v>#REF!</v>
      </c>
      <c r="BE36" s="271" t="e">
        <f>(Financials!X37-Financials!K37)/Financials!K37</f>
        <v>#REF!</v>
      </c>
      <c r="BF36" s="271" t="e">
        <f>(Financials!Y37-Financials!L37)/Financials!L37</f>
        <v>#REF!</v>
      </c>
      <c r="BG36" s="271" t="e">
        <f>(Financials!Z37-Financials!M37)/Financials!M37</f>
        <v>#REF!</v>
      </c>
      <c r="BH36" s="271" t="e">
        <f>(Financials!AA37-Financials!N37)/Financials!N37</f>
        <v>#REF!</v>
      </c>
      <c r="BI36" s="271" t="e">
        <f>(Financials!AB37-Financials!O37)/Financials!O37</f>
        <v>#REF!</v>
      </c>
      <c r="BJ36" s="271" t="e">
        <f>(Financials!AC37-Financials!P37)/Financials!P37</f>
        <v>#REF!</v>
      </c>
      <c r="BK36" s="271" t="e">
        <f>(Financials!AD37-Financials!Q37)/Financials!Q37</f>
        <v>#REF!</v>
      </c>
      <c r="BL36" s="271" t="e">
        <f>(Financials!AE37-Financials!R37)/Financials!R37</f>
        <v>#REF!</v>
      </c>
      <c r="BM36" s="271" t="e">
        <f>(Financials!AF37-Financials!S37)/Financials!S37</f>
        <v>#REF!</v>
      </c>
      <c r="BN36" s="271" t="e">
        <f>(Financials!AG37-Financials!T37)/Financials!T37</f>
        <v>#REF!</v>
      </c>
      <c r="BO36" s="271" t="e">
        <f>(Financials!AH37-Financials!U37)/Financials!U37</f>
        <v>#REF!</v>
      </c>
      <c r="BP36" s="271" t="e">
        <f>(Financials!AI37-Financials!V37)/Financials!V37</f>
        <v>#REF!</v>
      </c>
      <c r="BQ36" s="271" t="e">
        <f>(Financials!AJ37-Financials!W37)/Financials!W37</f>
        <v>#REF!</v>
      </c>
      <c r="BR36" s="271" t="e">
        <f>(Financials!AK37-Financials!X37)/Financials!X37</f>
        <v>#REF!</v>
      </c>
      <c r="BS36" s="271" t="e">
        <f>(Financials!AL37-Financials!Y37)/Financials!Y37</f>
        <v>#REF!</v>
      </c>
      <c r="BT36" s="271" t="e">
        <f>(Financials!AM37-Financials!Z37)/Financials!Z37</f>
        <v>#REF!</v>
      </c>
      <c r="BU36" s="271" t="e">
        <f>(Financials!AN37-Financials!AA37)/Financials!AA37</f>
        <v>#REF!</v>
      </c>
      <c r="BV36" s="271" t="e">
        <f>(Financials!AO37-Financials!AB37)/Financials!AB37</f>
        <v>#REF!</v>
      </c>
      <c r="BW36" s="271" t="e">
        <f>(Financials!AP37-Financials!AC37)/Financials!AC37</f>
        <v>#REF!</v>
      </c>
      <c r="BX36" s="271" t="e">
        <f>(Financials!AQ37-Financials!AD37)/Financials!AD37</f>
        <v>#REF!</v>
      </c>
      <c r="BY36" s="271" t="e">
        <f>(Financials!AR37-Financials!AE37)/Financials!AE37</f>
        <v>#REF!</v>
      </c>
      <c r="BZ36" s="271" t="e">
        <f>(Financials!AS37-Financials!AF37)/Financials!AF37</f>
        <v>#REF!</v>
      </c>
      <c r="CA36" s="271" t="e">
        <f>(Financials!AT37-Financials!AG37)/Financials!AG37</f>
        <v>#REF!</v>
      </c>
      <c r="CB36" s="271" t="e">
        <f>(Financials!AU37-Financials!AH37)/Financials!AH37</f>
        <v>#REF!</v>
      </c>
      <c r="CC36" s="271" t="e">
        <f>(Financials!AV37-Financials!AI37)/Financials!AI37</f>
        <v>#REF!</v>
      </c>
      <c r="CD36" s="271" t="e">
        <f>(Financials!AW37-Financials!AJ37)/Financials!AJ37</f>
        <v>#REF!</v>
      </c>
      <c r="CE36" s="271" t="e">
        <f>(Financials!AX37-Financials!AK37)/Financials!AK37</f>
        <v>#REF!</v>
      </c>
      <c r="CF36" s="271" t="e">
        <f>(Financials!AY37-Financials!AL37)/Financials!AL37</f>
        <v>#REF!</v>
      </c>
      <c r="CG36" s="271" t="e">
        <f>(Financials!AZ37-Financials!AM37)/Financials!AM37</f>
        <v>#REF!</v>
      </c>
      <c r="CH36" s="271" t="e">
        <f>(Financials!BA37-Financials!AN37)/Financials!AN37</f>
        <v>#REF!</v>
      </c>
      <c r="CI36" s="271" t="e">
        <f>(Financials!BB37-Financials!AO37)/Financials!AO37</f>
        <v>#REF!</v>
      </c>
      <c r="CJ36" s="271" t="e">
        <f>(Financials!BC37-Financials!AP37)/Financials!AP37</f>
        <v>#REF!</v>
      </c>
      <c r="CK36" s="271" t="e">
        <f>(Financials!BD37-Financials!AQ37)/Financials!AQ37</f>
        <v>#REF!</v>
      </c>
      <c r="CL36" s="271" t="e">
        <f>(Financials!BE37-Financials!AR37)/Financials!AR37</f>
        <v>#REF!</v>
      </c>
      <c r="CM36" s="271">
        <f>(Financials!BF37-Financials!AS37)/Financials!AS37</f>
        <v>13.050846371580759</v>
      </c>
    </row>
    <row r="37" spans="1:91" hidden="1">
      <c r="A37" s="127" t="s">
        <v>219</v>
      </c>
      <c r="B37" s="131" t="s">
        <v>353</v>
      </c>
      <c r="C37" s="134"/>
      <c r="D37" s="143"/>
      <c r="E37" s="143">
        <f>[2]Financials!D4/[2]Financials!C4-1</f>
        <v>3.8669760247486362E-2</v>
      </c>
      <c r="F37" s="143">
        <f>[2]Financials!E4/[2]Financials!D4-1</f>
        <v>0.45346239761727469</v>
      </c>
      <c r="G37" s="143">
        <f>[2]Financials!F4/[2]Financials!E4-1</f>
        <v>-1</v>
      </c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</row>
    <row r="38" spans="1:91" hidden="1">
      <c r="A38" s="127"/>
      <c r="B38" s="139"/>
      <c r="C38" s="132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</row>
    <row r="39" spans="1:91" hidden="1">
      <c r="A39" s="145" t="s">
        <v>221</v>
      </c>
      <c r="B39" s="139"/>
      <c r="C39" s="132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</row>
    <row r="40" spans="1:91" hidden="1">
      <c r="A40" s="127" t="s">
        <v>359</v>
      </c>
      <c r="B40" s="131" t="s">
        <v>353</v>
      </c>
      <c r="C40" s="132"/>
      <c r="D40" s="140"/>
      <c r="E40" s="140" t="e">
        <f>[2]Financials!D49/(([2]Financials!D6+[2]Financials!C6)/2)</f>
        <v>#DIV/0!</v>
      </c>
      <c r="F40" s="140" t="e">
        <f>[2]Financials!E49/(([2]Financials!E6+[2]Financials!D6)/2)</f>
        <v>#DIV/0!</v>
      </c>
      <c r="G40" s="140" t="e">
        <f>[2]Financials!F49/(([2]Financials!F6+[2]Financials!E6)/2)</f>
        <v>#DIV/0!</v>
      </c>
      <c r="H40" s="140" t="e">
        <f>[2]Financials!G49/(([2]Financials!G6+[2]Financials!F6)/2)</f>
        <v>#DIV/0!</v>
      </c>
      <c r="I40" s="140" t="e">
        <f>[2]Financials!H49/(([2]Financials!H6+[2]Financials!G6)/2)</f>
        <v>#DIV/0!</v>
      </c>
      <c r="J40" s="140" t="e">
        <f>[2]Financials!I49/(([2]Financials!I6+[2]Financials!H6)/2)</f>
        <v>#DIV/0!</v>
      </c>
      <c r="K40" s="140">
        <f>[2]Financials!J49/(([2]Financials!J6+[2]Financials!I6)/2)</f>
        <v>0.16087593268900682</v>
      </c>
      <c r="L40" s="140">
        <f>[2]Financials!K49/(([2]Financials!K6+[2]Financials!J6)/2)</f>
        <v>0</v>
      </c>
      <c r="M40" s="140">
        <f>[2]Financials!L49/(([2]Financials!L6+[2]Financials!K6)/2)</f>
        <v>0</v>
      </c>
      <c r="N40" s="140">
        <f>[2]Financials!M49/(([2]Financials!M6+[2]Financials!L6)/2)</f>
        <v>0</v>
      </c>
      <c r="O40" s="140">
        <f>[2]Financials!N49/(([2]Financials!N6+[2]Financials!M6)/2)</f>
        <v>0</v>
      </c>
      <c r="P40" s="140">
        <f>[2]Financials!O49/(([2]Financials!O6+[2]Financials!N6)/2)</f>
        <v>2.5197760810146774E-4</v>
      </c>
      <c r="Q40" s="140">
        <f>[2]Financials!P49/(([2]Financials!P6+[2]Financials!O6)/2)</f>
        <v>2.5666927457752408E-4</v>
      </c>
      <c r="R40" s="140">
        <f>[2]Financials!Q49/(([2]Financials!Q6+[2]Financials!P6)/2)</f>
        <v>3.1081666530377594E-4</v>
      </c>
      <c r="S40" s="140">
        <f>[2]Financials!R49/(([2]Financials!R6+[2]Financials!Q6)/2)</f>
        <v>4.1461508368264693E-4</v>
      </c>
      <c r="T40" s="140">
        <f>[2]Financials!S49/(([2]Financials!S6+[2]Financials!R6)/2)</f>
        <v>4.1015637844801013E-4</v>
      </c>
      <c r="U40" s="140">
        <f>[2]Financials!T49/(([2]Financials!T6+[2]Financials!J6)/2)</f>
        <v>4.7457490499469839E-4</v>
      </c>
      <c r="V40" s="140">
        <f>[2]Financials!U49/(([2]Financials!U6+[2]Financials!T6)/2)</f>
        <v>5.6716825294570296E-4</v>
      </c>
      <c r="W40" s="140">
        <f>[2]Financials!V49/(([2]Financials!V6+[2]Financials!U6)/2)</f>
        <v>6.131848362913772E-4</v>
      </c>
      <c r="X40" s="140">
        <f>[2]Financials!W49/(([2]Financials!W6+[2]Financials!V6)/2)</f>
        <v>8.2057982974791291E-2</v>
      </c>
      <c r="Y40" s="140">
        <f>[2]Financials!X49/(([2]Financials!X6+[2]Financials!W6)/2)</f>
        <v>8.8316380931110385E-7</v>
      </c>
      <c r="Z40" s="140">
        <f>[2]Financials!Y49/(([2]Financials!Y6+[2]Financials!X6)/2)</f>
        <v>1.8029963256730226E-6</v>
      </c>
      <c r="AA40" s="140">
        <f>[2]Financials!Z49/(([2]Financials!Z6+[2]Financials!Y6)/2)</f>
        <v>4.4506357821309977E-6</v>
      </c>
      <c r="AB40" s="140">
        <f>[2]Financials!AA49/(([2]Financials!AA6+[2]Financials!Z6)/2)</f>
        <v>4.3306017448900911E-6</v>
      </c>
      <c r="AC40" s="140">
        <f>[2]Financials!AB49/(([2]Financials!AB6+[2]Financials!AA6)/2)</f>
        <v>4.5054252466768972E-3</v>
      </c>
      <c r="AD40" s="140">
        <f>[2]Financials!AC49/(([2]Financials!AC6+[2]Financials!AB6)/2)</f>
        <v>4.5122477274832937E-3</v>
      </c>
      <c r="AE40" s="140">
        <f>[2]Financials!AD49/(([2]Financials!AD6+[2]Financials!AC6)/2)</f>
        <v>4.5591069335522904E-3</v>
      </c>
      <c r="AF40" s="140">
        <f>[2]Financials!AE49/(([2]Financials!AE6+[2]Financials!AD6)/2)</f>
        <v>4.3903693090968301E-4</v>
      </c>
      <c r="AG40" s="140">
        <f>[2]Financials!AF49/(([2]Financials!AF6+[2]Financials!AE6)/2)</f>
        <v>4.3465694390977739E-4</v>
      </c>
      <c r="AH40" s="140">
        <f>[2]Financials!AG49/(([2]Financials!AG6+[2]Financials!AF6)/2)</f>
        <v>4.2720374292122462E-4</v>
      </c>
      <c r="AI40" s="140">
        <f>[2]Financials!AH49/(([2]Financials!AH6+[2]Financials!AG6)/2)</f>
        <v>4.1991106746301822E-4</v>
      </c>
      <c r="AJ40" s="140">
        <f>[2]Financials!AI49/(([2]Financials!AI6+[2]Financials!AH6)/2)</f>
        <v>4.1220333690743818E-4</v>
      </c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</row>
    <row r="41" spans="1:91" hidden="1">
      <c r="A41" s="127" t="s">
        <v>360</v>
      </c>
      <c r="B41" s="131" t="s">
        <v>353</v>
      </c>
      <c r="C41" s="132"/>
      <c r="D41" s="140"/>
      <c r="E41" s="140" t="e">
        <f>[2]Financials!D50/(([2]Financials!D17+[2]Financials!C17)/2)</f>
        <v>#DIV/0!</v>
      </c>
      <c r="F41" s="140" t="e">
        <f>[2]Financials!E50/(([2]Financials!E17+[2]Financials!D17)/2)</f>
        <v>#DIV/0!</v>
      </c>
      <c r="G41" s="140" t="e">
        <f>[2]Financials!F50/(([2]Financials!F17+[2]Financials!E17)/2)</f>
        <v>#DIV/0!</v>
      </c>
      <c r="H41" s="140" t="e">
        <f>[2]Financials!G50/(([2]Financials!G17+[2]Financials!F17)/2)</f>
        <v>#DIV/0!</v>
      </c>
      <c r="I41" s="140" t="e">
        <f>[2]Financials!H50/(([2]Financials!H17+[2]Financials!G17)/2)</f>
        <v>#DIV/0!</v>
      </c>
      <c r="J41" s="140" t="e">
        <f>[2]Financials!I50/(([2]Financials!I17+[2]Financials!H17)/2)</f>
        <v>#DIV/0!</v>
      </c>
      <c r="K41" s="140">
        <f>[2]Financials!J50/(([2]Financials!J17+[2]Financials!I17)/2)</f>
        <v>0</v>
      </c>
      <c r="L41" s="140">
        <f>[2]Financials!K50/(([2]Financials!K17+[2]Financials!J17)/2)</f>
        <v>0</v>
      </c>
      <c r="M41" s="140">
        <f>[2]Financials!L50/(([2]Financials!L17+[2]Financials!K17)/2)</f>
        <v>0</v>
      </c>
      <c r="N41" s="140">
        <f>[2]Financials!M50/(([2]Financials!M17+[2]Financials!L17)/2)</f>
        <v>0</v>
      </c>
      <c r="O41" s="140">
        <f>[2]Financials!N50/(([2]Financials!N17+[2]Financials!M17)/2)</f>
        <v>0</v>
      </c>
      <c r="P41" s="140">
        <f>[2]Financials!O50/(([2]Financials!O17+[2]Financials!N17)/2)</f>
        <v>0</v>
      </c>
      <c r="Q41" s="140">
        <f>[2]Financials!P50/(([2]Financials!P17+[2]Financials!O17)/2)</f>
        <v>0</v>
      </c>
      <c r="R41" s="140">
        <f>[2]Financials!Q50/(([2]Financials!Q17+[2]Financials!P17)/2)</f>
        <v>0</v>
      </c>
      <c r="S41" s="140">
        <f>[2]Financials!R50/(([2]Financials!R17+[2]Financials!Q17)/2)</f>
        <v>0</v>
      </c>
      <c r="T41" s="140">
        <f>[2]Financials!S50/(([2]Financials!S17+[2]Financials!R17)/2)</f>
        <v>0</v>
      </c>
      <c r="U41" s="140">
        <f>[2]Financials!T50/(([2]Financials!T17+[2]Financials!J17)/2)</f>
        <v>0</v>
      </c>
      <c r="V41" s="140">
        <f>[2]Financials!U50/(([2]Financials!U17+[2]Financials!T17)/2)</f>
        <v>0</v>
      </c>
      <c r="W41" s="140">
        <f>[2]Financials!V50/(([2]Financials!V17+[2]Financials!U17)/2)</f>
        <v>0</v>
      </c>
      <c r="X41" s="140">
        <f>[2]Financials!W50/(([2]Financials!W17+[2]Financials!V17)/2)</f>
        <v>0.12103986393021934</v>
      </c>
      <c r="Y41" s="140">
        <f>[2]Financials!X50/(([2]Financials!X17+[2]Financials!W17)/2)</f>
        <v>0</v>
      </c>
      <c r="Z41" s="140">
        <f>[2]Financials!Y50/(([2]Financials!Y17+[2]Financials!X17)/2)</f>
        <v>0</v>
      </c>
      <c r="AA41" s="140">
        <f>[2]Financials!Z50/(([2]Financials!Z17+[2]Financials!Y17)/2)</f>
        <v>0</v>
      </c>
      <c r="AB41" s="140">
        <f>[2]Financials!AA50/(([2]Financials!AA17+[2]Financials!Z17)/2)</f>
        <v>0</v>
      </c>
      <c r="AC41" s="140">
        <f>[2]Financials!AB50/(([2]Financials!AB17+[2]Financials!AA17)/2)</f>
        <v>0</v>
      </c>
      <c r="AD41" s="140">
        <f>[2]Financials!AC50/(([2]Financials!AC17+[2]Financials!AB17)/2)</f>
        <v>0</v>
      </c>
      <c r="AE41" s="140">
        <f>[2]Financials!AD50/(([2]Financials!AD17+[2]Financials!AC17)/2)</f>
        <v>0</v>
      </c>
      <c r="AF41" s="140">
        <f>[2]Financials!AE50/(([2]Financials!AE17+[2]Financials!AD17)/2)</f>
        <v>0</v>
      </c>
      <c r="AG41" s="140">
        <f>[2]Financials!AF50/(([2]Financials!AF17+[2]Financials!AE17)/2)</f>
        <v>0</v>
      </c>
      <c r="AH41" s="140">
        <f>[2]Financials!AG50/(([2]Financials!AG17+[2]Financials!AF17)/2)</f>
        <v>0</v>
      </c>
      <c r="AI41" s="140">
        <f>[2]Financials!AH50/(([2]Financials!AH17+[2]Financials!AG17)/2)</f>
        <v>0</v>
      </c>
      <c r="AJ41" s="140">
        <f>[2]Financials!AI50/(([2]Financials!AI17+[2]Financials!AH17)/2)</f>
        <v>0</v>
      </c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</row>
    <row r="42" spans="1:91" hidden="1">
      <c r="A42" s="127" t="s">
        <v>361</v>
      </c>
      <c r="B42" s="131" t="s">
        <v>353</v>
      </c>
      <c r="C42" s="132"/>
      <c r="D42" s="140"/>
      <c r="E42" s="140" t="e">
        <f>[2]Financials!D51/([2]Financials!D51+[2]Financials!C51)/2</f>
        <v>#DIV/0!</v>
      </c>
      <c r="F42" s="140" t="e">
        <f>[2]Financials!E51/([2]Financials!E51+[2]Financials!D51)/2</f>
        <v>#DIV/0!</v>
      </c>
      <c r="G42" s="140" t="e">
        <f>[2]Financials!F51/([2]Financials!F51+[2]Financials!E51)/2</f>
        <v>#DIV/0!</v>
      </c>
      <c r="H42" s="140" t="e">
        <f>[2]Financials!G51/([2]Financials!G51+[2]Financials!F51)/2</f>
        <v>#DIV/0!</v>
      </c>
      <c r="I42" s="140" t="e">
        <f>[2]Financials!H51/([2]Financials!H51+[2]Financials!G51)/2</f>
        <v>#DIV/0!</v>
      </c>
      <c r="J42" s="140" t="e">
        <f>[2]Financials!I51/([2]Financials!I51+[2]Financials!H51)/2</f>
        <v>#DIV/0!</v>
      </c>
      <c r="K42" s="140">
        <f>[2]Financials!J51/([2]Financials!J51+[2]Financials!I51)/2</f>
        <v>0.5</v>
      </c>
      <c r="L42" s="140">
        <f>[2]Financials!K51/([2]Financials!K51+[2]Financials!J51)/2</f>
        <v>0</v>
      </c>
      <c r="M42" s="140" t="e">
        <f>[2]Financials!L51/([2]Financials!L51+[2]Financials!K51)/2</f>
        <v>#DIV/0!</v>
      </c>
      <c r="N42" s="140" t="e">
        <f>[2]Financials!M51/([2]Financials!M51+[2]Financials!L51)/2</f>
        <v>#DIV/0!</v>
      </c>
      <c r="O42" s="140">
        <f>[2]Financials!N51/([2]Financials!N51+[2]Financials!M51)/2</f>
        <v>0.5</v>
      </c>
      <c r="P42" s="140">
        <f>[2]Financials!O51/([2]Financials!O51+[2]Financials!N51)/2</f>
        <v>0.39150453206167768</v>
      </c>
      <c r="Q42" s="140">
        <f>[2]Financials!P51/([2]Financials!P51+[2]Financials!O51)/2</f>
        <v>0.27677340492861846</v>
      </c>
      <c r="R42" s="140">
        <f>[2]Financials!Q51/([2]Financials!Q51+[2]Financials!P51)/2</f>
        <v>0.288882052071678</v>
      </c>
      <c r="S42" s="140">
        <f>[2]Financials!R51/([2]Financials!R51+[2]Financials!Q51)/2</f>
        <v>0.26931511724377466</v>
      </c>
      <c r="T42" s="140">
        <f>[2]Financials!S51/([2]Financials!S51+[2]Financials!R51)/2</f>
        <v>0.26257777665283716</v>
      </c>
      <c r="U42" s="140">
        <f>[2]Financials!T51/([2]Financials!T51+[2]Financials!J51)/2</f>
        <v>0.27615314259412976</v>
      </c>
      <c r="V42" s="140">
        <f>[2]Financials!U51/([2]Financials!U51+[2]Financials!T51)/2</f>
        <v>0.27678502747844119</v>
      </c>
      <c r="W42" s="140">
        <f>[2]Financials!V51/([2]Financials!V51+[2]Financials!U51)/2</f>
        <v>0.27385651961702673</v>
      </c>
      <c r="X42" s="140">
        <f>[2]Financials!W51/([2]Financials!W51+[2]Financials!V51)/2</f>
        <v>0.27337981659314092</v>
      </c>
      <c r="Y42" s="140">
        <f>[2]Financials!X51/([2]Financials!X51+[2]Financials!W51)/2</f>
        <v>6.0978855509488984E-2</v>
      </c>
      <c r="Z42" s="140">
        <f>[2]Financials!Y51/([2]Financials!Y51+[2]Financials!X51)/2</f>
        <v>0.34661635073570662</v>
      </c>
      <c r="AA42" s="140">
        <f>[2]Financials!Z51/([2]Financials!Z51+[2]Financials!Y51)/2</f>
        <v>0.31403985555232183</v>
      </c>
      <c r="AB42" s="140">
        <f>[2]Financials!AA51/([2]Financials!AA51+[2]Financials!Z51)/2</f>
        <v>0.28402157712535525</v>
      </c>
      <c r="AC42" s="140">
        <f>[2]Financials!AB51/([2]Financials!AB51+[2]Financials!AA51)/2</f>
        <v>0.2808908905158598</v>
      </c>
      <c r="AD42" s="140">
        <f>[2]Financials!AC51/([2]Financials!AC51+[2]Financials!AB51)/2</f>
        <v>0.26176429338687124</v>
      </c>
      <c r="AE42" s="140">
        <f>[2]Financials!AD51/([2]Financials!AD51+[2]Financials!AC51)/2</f>
        <v>0.25518785957912621</v>
      </c>
      <c r="AF42" s="140">
        <f>[2]Financials!AE51/([2]Financials!AE51+[2]Financials!AD51)/2</f>
        <v>0.25758360091242827</v>
      </c>
      <c r="AG42" s="140">
        <f>[2]Financials!AF51/([2]Financials!AF51+[2]Financials!AE51)/2</f>
        <v>0.26196934109507602</v>
      </c>
      <c r="AH42" s="140">
        <f>[2]Financials!AG51/([2]Financials!AG51+[2]Financials!AF51)/2</f>
        <v>0.25556079230534967</v>
      </c>
      <c r="AI42" s="140">
        <f>[2]Financials!AH51/([2]Financials!AH51+[2]Financials!AG51)/2</f>
        <v>0.25488859147543103</v>
      </c>
      <c r="AJ42" s="140">
        <f>[2]Financials!AI51/([2]Financials!AI51+[2]Financials!AH51)/2</f>
        <v>0.25910486262111276</v>
      </c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</row>
    <row r="43" spans="1:91" hidden="1">
      <c r="A43" s="127" t="s">
        <v>225</v>
      </c>
      <c r="B43" s="131" t="s">
        <v>353</v>
      </c>
      <c r="C43" s="132"/>
      <c r="D43" s="140"/>
      <c r="E43" s="140" t="e">
        <f>([2]Financials!D53+[2]Financials!D54)/(([2]Financials!D5+[2]Financials!C5)/2)</f>
        <v>#DIV/0!</v>
      </c>
      <c r="F43" s="140" t="e">
        <f>([2]Financials!E53+[2]Financials!E54)/(([2]Financials!E5+[2]Financials!D5)/2)</f>
        <v>#DIV/0!</v>
      </c>
      <c r="G43" s="140" t="e">
        <f>([2]Financials!F53+[2]Financials!F54)/(([2]Financials!F5+[2]Financials!E5)/2)</f>
        <v>#DIV/0!</v>
      </c>
      <c r="H43" s="140" t="e">
        <f>([2]Financials!G53+[2]Financials!G54)/(([2]Financials!G5+[2]Financials!F5)/2)</f>
        <v>#DIV/0!</v>
      </c>
      <c r="I43" s="140" t="e">
        <f>([2]Financials!H53+[2]Financials!H54)/(([2]Financials!H5+[2]Financials!G5)/2)</f>
        <v>#DIV/0!</v>
      </c>
      <c r="J43" s="140" t="e">
        <f>([2]Financials!I53+[2]Financials!I54)/(([2]Financials!I5+[2]Financials!H5)/2)</f>
        <v>#DIV/0!</v>
      </c>
      <c r="K43" s="140">
        <f>([2]Financials!J53+[2]Financials!J54)/(([2]Financials!J5+[2]Financials!I5)/2)</f>
        <v>4.4148878199829093E-2</v>
      </c>
      <c r="L43" s="140">
        <f>([2]Financials!K53+[2]Financials!K54)/(([2]Financials!K5+[2]Financials!J5)/2)</f>
        <v>2.1044525150265424E-3</v>
      </c>
      <c r="M43" s="140">
        <f>([2]Financials!L53+[2]Financials!L54)/(([2]Financials!L5+[2]Financials!K5)/2)</f>
        <v>3.5979928555399071E-3</v>
      </c>
      <c r="N43" s="140">
        <f>([2]Financials!M53+[2]Financials!M54)/(([2]Financials!M5+[2]Financials!L5)/2)</f>
        <v>5.0753365780652187E-3</v>
      </c>
      <c r="O43" s="140">
        <f>([2]Financials!N53+[2]Financials!N54)/(([2]Financials!N5+[2]Financials!M5)/2)</f>
        <v>8.7001972924286609E-3</v>
      </c>
      <c r="P43" s="140">
        <f>([2]Financials!O53+[2]Financials!O54)/(([2]Financials!O5+[2]Financials!N5)/2)</f>
        <v>9.9201952647050319E-3</v>
      </c>
      <c r="Q43" s="140">
        <f>([2]Financials!P53+[2]Financials!P54)/(([2]Financials!P5+[2]Financials!O5)/2)</f>
        <v>1.115819993037691E-2</v>
      </c>
      <c r="R43" s="140">
        <f>([2]Financials!Q53+[2]Financials!Q54)/(([2]Financials!Q5+[2]Financials!P5)/2)</f>
        <v>1.2500436508417442E-2</v>
      </c>
      <c r="S43" s="140">
        <f>([2]Financials!R53+[2]Financials!R54)/(([2]Financials!R5+[2]Financials!Q5)/2)</f>
        <v>1.406928690072924E-2</v>
      </c>
      <c r="T43" s="140">
        <f>([2]Financials!S53+[2]Financials!S54)/(([2]Financials!S5+[2]Financials!R5)/2)</f>
        <v>1.559063284261464E-2</v>
      </c>
      <c r="U43" s="140">
        <f>([2]Financials!T53+[2]Financials!T54)/(([2]Financials!T5+[2]Financials!J5)/2)</f>
        <v>1.9185357177584482E-2</v>
      </c>
      <c r="V43" s="140">
        <f>([2]Financials!U53+[2]Financials!U54)/(([2]Financials!U5+[2]Financials!T5)/2)</f>
        <v>1.7949542633925765E-2</v>
      </c>
      <c r="W43" s="140">
        <f>([2]Financials!V53+[2]Financials!V54)/(([2]Financials!V5+[2]Financials!U5)/2)</f>
        <v>1.7612628679775467E-2</v>
      </c>
      <c r="X43" s="140">
        <f>([2]Financials!W53+[2]Financials!W54)/(([2]Financials!W5+[2]Financials!V5)/2)</f>
        <v>2.7545176108931004E-2</v>
      </c>
      <c r="Y43" s="140">
        <f>([2]Financials!X53+[2]Financials!X54)/(([2]Financials!X5+[2]Financials!W5)/2)</f>
        <v>4.4319074300102268E-4</v>
      </c>
      <c r="Z43" s="140">
        <f>([2]Financials!Y53+[2]Financials!Y54)/(([2]Financials!Y5+[2]Financials!X5)/2)</f>
        <v>3.3788458683326676E-3</v>
      </c>
      <c r="AA43" s="140">
        <f>([2]Financials!Z53+[2]Financials!Z54)/(([2]Financials!Z5+[2]Financials!Y5)/2)</f>
        <v>8.5217815203069737E-3</v>
      </c>
      <c r="AB43" s="140">
        <f>([2]Financials!AA53+[2]Financials!AA54)/(([2]Financials!AA5+[2]Financials!Z5)/2)</f>
        <v>8.4611894360333752E-3</v>
      </c>
      <c r="AC43" s="140">
        <f>([2]Financials!AB53+[2]Financials!AB54)/(([2]Financials!AB5+[2]Financials!AA5)/2)</f>
        <v>1.1563190237505381E-2</v>
      </c>
      <c r="AD43" s="140">
        <f>([2]Financials!AC53+[2]Financials!AC54)/(([2]Financials!AC5+[2]Financials!AB5)/2)</f>
        <v>1.259325622422818E-2</v>
      </c>
      <c r="AE43" s="140">
        <f>([2]Financials!AD53+[2]Financials!AD54)/(([2]Financials!AD5+[2]Financials!AC5)/2)</f>
        <v>1.3935436917951859E-2</v>
      </c>
      <c r="AF43" s="140">
        <f>([2]Financials!AE53+[2]Financials!AE54)/(([2]Financials!AE5+[2]Financials!AD5)/2)</f>
        <v>1.4754380235174796E-2</v>
      </c>
      <c r="AG43" s="140">
        <f>([2]Financials!AF53+[2]Financials!AF54)/(([2]Financials!AF5+[2]Financials!AE5)/2)</f>
        <v>1.3952379919355037E-2</v>
      </c>
      <c r="AH43" s="140">
        <f>([2]Financials!AG53+[2]Financials!AG54)/(([2]Financials!AG5+[2]Financials!AF5)/2)</f>
        <v>1.5702712596882849E-2</v>
      </c>
      <c r="AI43" s="140">
        <f>([2]Financials!AH53+[2]Financials!AH54)/(([2]Financials!AH5+[2]Financials!AG5)/2)</f>
        <v>1.7188899457122535E-2</v>
      </c>
      <c r="AJ43" s="140">
        <f>([2]Financials!AI53+[2]Financials!AI54)/(([2]Financials!AI5+[2]Financials!AH5)/2)</f>
        <v>1.7659802615608403E-2</v>
      </c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</row>
    <row r="44" spans="1:91" hidden="1">
      <c r="A44" s="127" t="s">
        <v>227</v>
      </c>
      <c r="B44" s="131" t="s">
        <v>353</v>
      </c>
      <c r="C44" s="132"/>
      <c r="D44" s="140"/>
      <c r="E44" s="140" t="e">
        <f>([2]Financials!D42+[2]Financials!C42)/[2]Financials!D30</f>
        <v>#DIV/0!</v>
      </c>
      <c r="F44" s="140" t="e">
        <f>([2]Financials!E42+[2]Financials!D42)/[2]Financials!E30</f>
        <v>#DIV/0!</v>
      </c>
      <c r="G44" s="140" t="e">
        <f>([2]Financials!F42+[2]Financials!E42)/[2]Financials!F30</f>
        <v>#DIV/0!</v>
      </c>
      <c r="H44" s="140" t="e">
        <f>([2]Financials!G42+[2]Financials!F42)/[2]Financials!G30</f>
        <v>#DIV/0!</v>
      </c>
      <c r="I44" s="140" t="e">
        <f>([2]Financials!H42+[2]Financials!G42)/[2]Financials!H30</f>
        <v>#DIV/0!</v>
      </c>
      <c r="J44" s="140" t="e">
        <f>([2]Financials!I42+[2]Financials!H42)/[2]Financials!I30</f>
        <v>#DIV/0!</v>
      </c>
      <c r="K44" s="140">
        <f>([2]Financials!J42+[2]Financials!I42)/[2]Financials!J30</f>
        <v>0.15685882636158255</v>
      </c>
      <c r="L44" s="140">
        <f>([2]Financials!K42+[2]Financials!J42)/[2]Financials!K30</f>
        <v>0.16264760466233763</v>
      </c>
      <c r="M44" s="140">
        <f>([2]Financials!L42+[2]Financials!K42)/[2]Financials!L30</f>
        <v>4.2141160632226497E-2</v>
      </c>
      <c r="N44" s="140">
        <f>([2]Financials!M42+[2]Financials!L42)/[2]Financials!M30</f>
        <v>6.788252174617565E-2</v>
      </c>
      <c r="O44" s="140">
        <f>([2]Financials!N42+[2]Financials!M42)/[2]Financials!N30</f>
        <v>9.355830354612911E-2</v>
      </c>
      <c r="P44" s="140">
        <f>([2]Financials!O42+[2]Financials!N42)/[2]Financials!O30</f>
        <v>0.11967387899290378</v>
      </c>
      <c r="Q44" s="140">
        <f>([2]Financials!P42+[2]Financials!O42)/[2]Financials!P30</f>
        <v>0.1490369305956544</v>
      </c>
      <c r="R44" s="140">
        <f>([2]Financials!Q42+[2]Financials!P42)/[2]Financials!Q30</f>
        <v>0.17720722871050465</v>
      </c>
      <c r="S44" s="140">
        <f>([2]Financials!R42+[2]Financials!Q42)/[2]Financials!R30</f>
        <v>0.19994172463541804</v>
      </c>
      <c r="T44" s="140">
        <f>([2]Financials!S42+[2]Financials!R42)/[2]Financials!S30</f>
        <v>0.22496629795044937</v>
      </c>
      <c r="U44" s="140">
        <f>([2]Financials!T42+[2]Financials!J42)/[2]Financials!T30</f>
        <v>0.2545801759994481</v>
      </c>
      <c r="V44" s="140">
        <f>([2]Financials!U42+[2]Financials!T42)/[2]Financials!U30</f>
        <v>0.27179165151819273</v>
      </c>
      <c r="W44" s="140">
        <f>([2]Financials!V42+[2]Financials!U42)/[2]Financials!V30</f>
        <v>0.29578594860015878</v>
      </c>
      <c r="X44" s="140">
        <f>([2]Financials!W42+[2]Financials!V42)/[2]Financials!W30</f>
        <v>0.31027963931829577</v>
      </c>
      <c r="Y44" s="140">
        <f>([2]Financials!X42+[2]Financials!W42)/[2]Financials!X30</f>
        <v>0.16462452072475053</v>
      </c>
      <c r="Z44" s="140">
        <f>([2]Financials!Y42+[2]Financials!X42)/[2]Financials!Y30</f>
        <v>4.4123193838037825E-2</v>
      </c>
      <c r="AA44" s="140">
        <f>([2]Financials!Z42+[2]Financials!Y42)/[2]Financials!Z30</f>
        <v>6.8098922217974561E-2</v>
      </c>
      <c r="AB44" s="140">
        <f>([2]Financials!AA42+[2]Financials!Z42)/[2]Financials!AA30</f>
        <v>0.10269270760489818</v>
      </c>
      <c r="AC44" s="140">
        <f>([2]Financials!AB42+[2]Financials!AA42)/[2]Financials!AB30</f>
        <v>0.14076881835743926</v>
      </c>
      <c r="AD44" s="140">
        <f>([2]Financials!AC42+[2]Financials!AB42)/[2]Financials!AC30</f>
        <v>0.16773488832353309</v>
      </c>
      <c r="AE44" s="140">
        <f>([2]Financials!AD42+[2]Financials!AC42)/[2]Financials!AD30</f>
        <v>0.19693256077362842</v>
      </c>
      <c r="AF44" s="140">
        <f>([2]Financials!AE42+[2]Financials!AD42)/[2]Financials!AE30</f>
        <v>0.22474045939576182</v>
      </c>
      <c r="AG44" s="140">
        <f>([2]Financials!AF42+[2]Financials!AE42)/[2]Financials!AF30</f>
        <v>0.2498442007727476</v>
      </c>
      <c r="AH44" s="140">
        <f>([2]Financials!AG42+[2]Financials!AF42)/[2]Financials!AG30</f>
        <v>0.27487726729304846</v>
      </c>
      <c r="AI44" s="140">
        <f>([2]Financials!AH42+[2]Financials!AG42)/[2]Financials!AH30</f>
        <v>0.30234722746234183</v>
      </c>
      <c r="AJ44" s="140">
        <f>([2]Financials!AI42+[2]Financials!AH42)/[2]Financials!AI30</f>
        <v>0.3279321397440762</v>
      </c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</row>
    <row r="45" spans="1:91" hidden="1">
      <c r="A45" s="145"/>
      <c r="B45" s="139"/>
      <c r="C45" s="132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</row>
    <row r="46" spans="1:91" hidden="1">
      <c r="A46" s="145" t="s">
        <v>362</v>
      </c>
      <c r="B46" s="139"/>
      <c r="C46" s="132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</row>
    <row r="47" spans="1:91" hidden="1">
      <c r="A47" s="127" t="s">
        <v>363</v>
      </c>
      <c r="B47" s="149">
        <v>0.15</v>
      </c>
      <c r="C47" s="123">
        <v>13.2</v>
      </c>
      <c r="D47" s="140" t="e">
        <f>([2]Financials!C36-[2]Financials!C10)/[2]Financials!C6</f>
        <v>#DIV/0!</v>
      </c>
      <c r="E47" s="140" t="e">
        <f>([2]Financials!D36-[2]Financials!D10)/[2]Financials!D6</f>
        <v>#DIV/0!</v>
      </c>
      <c r="F47" s="140" t="e">
        <f>([2]Financials!E36-[2]Financials!E10)/[2]Financials!E6</f>
        <v>#DIV/0!</v>
      </c>
      <c r="G47" s="140" t="e">
        <f>([2]Financials!F36-[2]Financials!F10)/[2]Financials!F6</f>
        <v>#DIV/0!</v>
      </c>
      <c r="H47" s="140" t="e">
        <f>([2]Financials!G36-[2]Financials!G10)/[2]Financials!G6</f>
        <v>#DIV/0!</v>
      </c>
      <c r="I47" s="140" t="e">
        <f>([2]Financials!H36-[2]Financials!H10)/[2]Financials!H6</f>
        <v>#DIV/0!</v>
      </c>
      <c r="J47" s="140" t="e">
        <f>([2]Financials!I36-[2]Financials!I10)/[2]Financials!I6</f>
        <v>#DIV/0!</v>
      </c>
      <c r="K47" s="140">
        <f>([2]Financials!J36-[2]Financials!J10)/[2]Financials!J6</f>
        <v>-9.5377470656005311E-2</v>
      </c>
      <c r="L47" s="140">
        <f>([2]Financials!K36-[2]Financials!K10)/[2]Financials!K6</f>
        <v>-3.6274471563658896E-3</v>
      </c>
      <c r="M47" s="140">
        <f>([2]Financials!L36-[2]Financials!L10)/[2]Financials!L6</f>
        <v>-1.6823878274407497E-2</v>
      </c>
      <c r="N47" s="140">
        <f>([2]Financials!M36-[2]Financials!M10)/[2]Financials!M6</f>
        <v>1.9767192539899649E-2</v>
      </c>
      <c r="O47" s="140">
        <f>([2]Financials!N36-[2]Financials!N10)/[2]Financials!N6</f>
        <v>1.5074013821922697E-2</v>
      </c>
      <c r="P47" s="140">
        <f>([2]Financials!O36-[2]Financials!O10)/[2]Financials!O6</f>
        <v>-2.1802367633129031E-2</v>
      </c>
      <c r="Q47" s="140">
        <f>([2]Financials!P36-[2]Financials!P10)/[2]Financials!P6</f>
        <v>-1.8090866641624889E-2</v>
      </c>
      <c r="R47" s="140">
        <f>([2]Financials!Q36-[2]Financials!Q10)/[2]Financials!Q6</f>
        <v>-1.5382716172303426E-2</v>
      </c>
      <c r="S47" s="140">
        <f>([2]Financials!R36-[2]Financials!R10)/[2]Financials!R6</f>
        <v>2.9038416151020135E-3</v>
      </c>
      <c r="T47" s="140">
        <f>([2]Financials!S36-[2]Financials!S10)/[2]Financials!S6</f>
        <v>-1.5418828391860439E-2</v>
      </c>
      <c r="U47" s="140">
        <f>([2]Financials!T36-[2]Financials!T10)/[2]Financials!T6</f>
        <v>-1.0637643301773195E-3</v>
      </c>
      <c r="V47" s="140">
        <f>([2]Financials!U36-[2]Financials!U10)/[2]Financials!U6</f>
        <v>-1.9308338957850543E-2</v>
      </c>
      <c r="W47" s="140">
        <f>([2]Financials!V36-[2]Financials!V10)/[2]Financials!V6</f>
        <v>5.9543719196870924E-2</v>
      </c>
      <c r="X47" s="140">
        <f>([2]Financials!W36-[2]Financials!W10)/[2]Financials!W6</f>
        <v>-3.3882064848842125E-2</v>
      </c>
      <c r="Y47" s="140">
        <f>([2]Financials!X36-[2]Financials!X10)/[2]Financials!X6</f>
        <v>-8.8287959764856046E-3</v>
      </c>
      <c r="Z47" s="140">
        <f>([2]Financials!Y36-[2]Financials!Y10)/[2]Financials!Y6</f>
        <v>-4.0430847679361767E-2</v>
      </c>
      <c r="AA47" s="140">
        <f>([2]Financials!Z36-[2]Financials!Z10)/[2]Financials!Z6</f>
        <v>-8.3732587226977795E-2</v>
      </c>
      <c r="AB47" s="140">
        <f>([2]Financials!AA36-[2]Financials!AA10)/[2]Financials!AA6</f>
        <v>-2.0450665219033833E-2</v>
      </c>
      <c r="AC47" s="140">
        <f>([2]Financials!AB36-[2]Financials!AB10)/[2]Financials!AB6</f>
        <v>-2.43127099806036E-2</v>
      </c>
      <c r="AD47" s="140">
        <f>([2]Financials!AC36-[2]Financials!AC10)/[2]Financials!AC6</f>
        <v>7.4503586871035754E-2</v>
      </c>
      <c r="AE47" s="140">
        <f>([2]Financials!AD36-[2]Financials!AD10)/[2]Financials!AD6</f>
        <v>2.46688909724968E-3</v>
      </c>
      <c r="AF47" s="140">
        <f>([2]Financials!AE36-[2]Financials!AE10)/[2]Financials!AE6</f>
        <v>3.3165497491860228E-2</v>
      </c>
      <c r="AG47" s="140">
        <f>([2]Financials!AF36-[2]Financials!AF10)/[2]Financials!AF6</f>
        <v>1.8744383201538352E-2</v>
      </c>
      <c r="AH47" s="140">
        <f>([2]Financials!AG36-[2]Financials!AG10)/[2]Financials!AG6</f>
        <v>1.2839230572720357E-2</v>
      </c>
      <c r="AI47" s="140">
        <f>([2]Financials!AH36-[2]Financials!AH10)/[2]Financials!AH6</f>
        <v>-7.1115920774982569E-3</v>
      </c>
      <c r="AJ47" s="140">
        <f>([2]Financials!AI36-[2]Financials!AI10)/[2]Financials!AI6</f>
        <v>8.4969887200497793E-2</v>
      </c>
      <c r="AK47" s="208" t="e">
        <f>(Financials!D36-Financials!D9)/Financials!D5</f>
        <v>#REF!</v>
      </c>
      <c r="AL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M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N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O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P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Q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R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S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T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U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V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W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X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Y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AZ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A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B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C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D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E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F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G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H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I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J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K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L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M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N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O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P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Q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R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S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T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U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V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W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X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Y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BZ47" s="270">
        <f>('Evolutive SFP'!B4+'Evolutive SFP'!B11)/('Evolutive SFP'!B28+'Evolutive SFP'!B29+'Evolutive SFP'!B32+'Evolutive SFP'!B33+'Evolutive SFP'!B34+'Evolutive SFP'!B35+'Evolutive SFP'!B36)</f>
        <v>17.970469294516228</v>
      </c>
      <c r="CA47" s="270">
        <f>('Evolutive SFP'!C4+'Evolutive SFP'!C11)/('Evolutive SFP'!C28+'Evolutive SFP'!C29+'Evolutive SFP'!C32+'Evolutive SFP'!C33+'Evolutive SFP'!C34+'Evolutive SFP'!C35+'Evolutive SFP'!C36)</f>
        <v>1.0733100040200236</v>
      </c>
      <c r="CB47" s="270">
        <f>('Evolutive SFP'!D4+'Evolutive SFP'!D11)/('Evolutive SFP'!D28+'Evolutive SFP'!D29+'Evolutive SFP'!D32+'Evolutive SFP'!D33+'Evolutive SFP'!D34+'Evolutive SFP'!D35+'Evolutive SFP'!D36)</f>
        <v>1.1484479304410189</v>
      </c>
      <c r="CC47" s="270">
        <f>('Evolutive SFP'!E4+'Evolutive SFP'!E11)/('Evolutive SFP'!E28+'Evolutive SFP'!E29+'Evolutive SFP'!E32+'Evolutive SFP'!E33+'Evolutive SFP'!E34+'Evolutive SFP'!E35+'Evolutive SFP'!E36)</f>
        <v>1.4432375836053715</v>
      </c>
      <c r="CD47" s="270">
        <f>('Evolutive SFP'!F4+'Evolutive SFP'!F11)/('Evolutive SFP'!F28+'Evolutive SFP'!F29+'Evolutive SFP'!F32+'Evolutive SFP'!F33+'Evolutive SFP'!F34+'Evolutive SFP'!F35+'Evolutive SFP'!F36)</f>
        <v>1.5923220768736475</v>
      </c>
      <c r="CE47" s="270">
        <f>('Evolutive SFP'!G4+'Evolutive SFP'!G11)/('Evolutive SFP'!G28+'Evolutive SFP'!G29+'Evolutive SFP'!G32+'Evolutive SFP'!G33+'Evolutive SFP'!G34+'Evolutive SFP'!G35+'Evolutive SFP'!G36)</f>
        <v>1.8901846429523101</v>
      </c>
      <c r="CF47" s="270">
        <f>('Evolutive SFP'!H4+'Evolutive SFP'!H11)/('Evolutive SFP'!H28+'Evolutive SFP'!H29+'Evolutive SFP'!H32+'Evolutive SFP'!H33+'Evolutive SFP'!H34+'Evolutive SFP'!H35+'Evolutive SFP'!H36)</f>
        <v>1.8929958909242741</v>
      </c>
      <c r="CG47" s="270" t="e">
        <f>('Evolutive SFP'!#REF!+'Evolutive SFP'!#REF!)/('Evolutive SFP'!#REF!+'Evolutive SFP'!#REF!+'Evolutive SFP'!#REF!+'Evolutive SFP'!#REF!+'Evolutive SFP'!#REF!+'Evolutive SFP'!#REF!+'Evolutive SFP'!#REF!)</f>
        <v>#REF!</v>
      </c>
      <c r="CH47" s="270">
        <f>('Evolutive SFP'!I4+'Evolutive SFP'!I11)/('Evolutive SFP'!I28+'Evolutive SFP'!I29+'Evolutive SFP'!I32+'Evolutive SFP'!I33+'Evolutive SFP'!I34+'Evolutive SFP'!I35+'Evolutive SFP'!I36)</f>
        <v>1.6100668546727179</v>
      </c>
      <c r="CI47" s="270">
        <f>('Evolutive SFP'!J4+'Evolutive SFP'!J11)/('Evolutive SFP'!J28+'Evolutive SFP'!J29+'Evolutive SFP'!J32+'Evolutive SFP'!J33+'Evolutive SFP'!J34+'Evolutive SFP'!J35+'Evolutive SFP'!J36)</f>
        <v>1.4610191093304969</v>
      </c>
      <c r="CJ47" s="270">
        <f>('Evolutive SFP'!K4+'Evolutive SFP'!K11)/('Evolutive SFP'!K28+'Evolutive SFP'!K29+'Evolutive SFP'!K32+'Evolutive SFP'!K33+'Evolutive SFP'!K34+'Evolutive SFP'!K35+'Evolutive SFP'!K36)</f>
        <v>1.4036814868112879</v>
      </c>
      <c r="CK47" s="270">
        <f>('Evolutive SFP'!L4+'Evolutive SFP'!L11)/('Evolutive SFP'!L28+'Evolutive SFP'!L29+'Evolutive SFP'!L32+'Evolutive SFP'!L33+'Evolutive SFP'!L34+'Evolutive SFP'!L35+'Evolutive SFP'!L36)</f>
        <v>1.3985274889533101</v>
      </c>
      <c r="CL47" s="270">
        <f>('Evolutive SFP'!M4+'Evolutive SFP'!M11)/('Evolutive SFP'!M28+'Evolutive SFP'!M29+'Evolutive SFP'!M32+'Evolutive SFP'!M33+'Evolutive SFP'!M34+'Evolutive SFP'!M35+'Evolutive SFP'!M36)</f>
        <v>1.355477105677352</v>
      </c>
      <c r="CM47" s="270">
        <f>('Evolutive SFP'!N4+'Evolutive SFP'!N11)/('Evolutive SFP'!N28+'Evolutive SFP'!N29+'Evolutive SFP'!N32+'Evolutive SFP'!N33+'Evolutive SFP'!N34+'Evolutive SFP'!N35+'Evolutive SFP'!N36)</f>
        <v>1.3809961712522294</v>
      </c>
    </row>
    <row r="48" spans="1:91" hidden="1">
      <c r="A48" s="150"/>
      <c r="B48" s="139"/>
      <c r="C48" s="123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</row>
    <row r="49" spans="1:91" hidden="1">
      <c r="A49" s="145" t="s">
        <v>364</v>
      </c>
      <c r="B49" s="139"/>
      <c r="C49" s="123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</row>
    <row r="50" spans="1:91" ht="12.95" hidden="1" thickBot="1">
      <c r="A50" s="152" t="s">
        <v>365</v>
      </c>
      <c r="B50" s="153">
        <v>1</v>
      </c>
      <c r="C50" s="154">
        <v>44.1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</row>
    <row r="51" spans="1:91" hidden="1">
      <c r="A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</row>
    <row r="52" spans="1:91" hidden="1">
      <c r="A52" s="102" t="s">
        <v>366</v>
      </c>
      <c r="CI52" s="270">
        <f>('Evolutive SFP'!J4+'Evolutive SFP'!J11)/('Evolutive SFP'!J28+'Evolutive SFP'!J29+'Evolutive SFP'!J32+'Evolutive SFP'!J33+'Evolutive SFP'!J34+'Evolutive SFP'!J35+'Evolutive SFP'!J36)</f>
        <v>1.4610191093304969</v>
      </c>
      <c r="CJ52" s="270">
        <f>('Evolutive SFP'!K4+'Evolutive SFP'!K11)/('Evolutive SFP'!K28+'Evolutive SFP'!K29+'Evolutive SFP'!K32+'Evolutive SFP'!K33+'Evolutive SFP'!K34+'Evolutive SFP'!K35+'Evolutive SFP'!K36)</f>
        <v>1.4036814868112879</v>
      </c>
      <c r="CK52" s="270">
        <f>('Evolutive SFP'!L4+'Evolutive SFP'!L11)/('Evolutive SFP'!L28+'Evolutive SFP'!L29+'Evolutive SFP'!L32+'Evolutive SFP'!L33+'Evolutive SFP'!L34+'Evolutive SFP'!L35+'Evolutive SFP'!L36)</f>
        <v>1.3985274889533101</v>
      </c>
      <c r="CL52" s="270">
        <f>('Evolutive SFP'!M4+'Evolutive SFP'!M11)/('Evolutive SFP'!M28+'Evolutive SFP'!M29+'Evolutive SFP'!M32+'Evolutive SFP'!M33+'Evolutive SFP'!M34+'Evolutive SFP'!M35+'Evolutive SFP'!M36)</f>
        <v>1.355477105677352</v>
      </c>
      <c r="CM52" s="270">
        <f>('Evolutive SFP'!N4+'Evolutive SFP'!N11)/('Evolutive SFP'!N28+'Evolutive SFP'!N29+'Evolutive SFP'!N32+'Evolutive SFP'!N33+'Evolutive SFP'!N34+'Evolutive SFP'!N35+'Evolutive SFP'!N36)</f>
        <v>1.3809961712522294</v>
      </c>
    </row>
    <row r="53" spans="1:91" hidden="1">
      <c r="A53" s="102" t="s">
        <v>367</v>
      </c>
      <c r="CI53" s="270">
        <f>('Evolutive SFP'!J4+'Evolutive SFP'!J11)/('Evolutive SFP'!J31+'Evolutive SFP'!J32+'Evolutive SFP'!J33+'Evolutive SFP'!J34+'Evolutive SFP'!J35+'Evolutive SFP'!J36)</f>
        <v>0.28592351031836899</v>
      </c>
      <c r="CJ53" s="270">
        <f>('Evolutive SFP'!K4+'Evolutive SFP'!K11)/('Evolutive SFP'!K31+'Evolutive SFP'!K32+'Evolutive SFP'!K33+'Evolutive SFP'!K34+'Evolutive SFP'!K35+'Evolutive SFP'!K36)</f>
        <v>0.27577912723791087</v>
      </c>
      <c r="CK53" s="270">
        <f>('Evolutive SFP'!L4+'Evolutive SFP'!L11)/('Evolutive SFP'!L31+'Evolutive SFP'!L32+'Evolutive SFP'!L33+'Evolutive SFP'!L34+'Evolutive SFP'!L35+'Evolutive SFP'!L36)</f>
        <v>0.28292018546931713</v>
      </c>
      <c r="CL53" s="270">
        <f>('Evolutive SFP'!M4+'Evolutive SFP'!M11)/('Evolutive SFP'!M31+'Evolutive SFP'!M32+'Evolutive SFP'!M33+'Evolutive SFP'!M34+'Evolutive SFP'!M35+'Evolutive SFP'!M36)</f>
        <v>0.27817270310900644</v>
      </c>
      <c r="CM53" s="270">
        <f>('Evolutive SFP'!N4+'Evolutive SFP'!N11)/('Evolutive SFP'!N31+'Evolutive SFP'!N32+'Evolutive SFP'!N33+'Evolutive SFP'!N34+'Evolutive SFP'!N35+'Evolutive SFP'!N36)</f>
        <v>0.27661364174320302</v>
      </c>
    </row>
    <row r="54" spans="1:91" hidden="1"/>
    <row r="55" spans="1:91" hidden="1">
      <c r="A55" s="102" t="s">
        <v>368</v>
      </c>
      <c r="AM55" s="270" t="e">
        <f>('Evolutitve SCI'!#REF!-'Evolutitve SCI'!#REF!)/'Evolutive SFP'!#REF!</f>
        <v>#REF!</v>
      </c>
      <c r="AN55" s="270" t="e">
        <f>('Evolutitve SCI'!#REF!-'Evolutitve SCI'!#REF!)/'Evolutive SFP'!#REF!</f>
        <v>#REF!</v>
      </c>
      <c r="AO55" s="270" t="e">
        <f>('Evolutitve SCI'!#REF!-'Evolutitve SCI'!#REF!)/'Evolutive SFP'!#REF!</f>
        <v>#REF!</v>
      </c>
      <c r="AP55" s="270" t="e">
        <f>('Evolutitve SCI'!#REF!-'Evolutitve SCI'!#REF!)/'Evolutive SFP'!#REF!</f>
        <v>#REF!</v>
      </c>
      <c r="AQ55" s="270" t="e">
        <f>('Evolutitve SCI'!#REF!-'Evolutitve SCI'!#REF!)/'Evolutive SFP'!#REF!</f>
        <v>#REF!</v>
      </c>
      <c r="AR55" s="270" t="e">
        <f>('Evolutitve SCI'!#REF!-'Evolutitve SCI'!#REF!)/'Evolutive SFP'!#REF!</f>
        <v>#REF!</v>
      </c>
      <c r="AS55" s="270" t="e">
        <f>('Evolutitve SCI'!#REF!-'Evolutitve SCI'!#REF!)/'Evolutive SFP'!#REF!</f>
        <v>#REF!</v>
      </c>
      <c r="AT55" s="270" t="e">
        <f>('Evolutitve SCI'!#REF!-'Evolutitve SCI'!#REF!)/'Evolutive SFP'!#REF!</f>
        <v>#REF!</v>
      </c>
      <c r="AU55" s="270" t="e">
        <f>('Evolutitve SCI'!#REF!-'Evolutitve SCI'!#REF!)/'Evolutive SFP'!#REF!</f>
        <v>#REF!</v>
      </c>
      <c r="AV55" s="270" t="e">
        <f>('Evolutitve SCI'!#REF!-'Evolutitve SCI'!#REF!)/'Evolutive SFP'!#REF!</f>
        <v>#REF!</v>
      </c>
      <c r="AW55" s="270" t="e">
        <f>('Evolutitve SCI'!#REF!-'Evolutitve SCI'!#REF!)/'Evolutive SFP'!#REF!</f>
        <v>#REF!</v>
      </c>
      <c r="AX55" s="270" t="e">
        <f>('Evolutitve SCI'!#REF!-'Evolutitve SCI'!#REF!)/'Evolutive SFP'!#REF!</f>
        <v>#REF!</v>
      </c>
      <c r="AY55" s="270" t="e">
        <f>('Evolutitve SCI'!#REF!-'Evolutitve SCI'!#REF!)/'Evolutive SFP'!#REF!</f>
        <v>#REF!</v>
      </c>
      <c r="AZ55" s="270" t="e">
        <f>('Evolutitve SCI'!#REF!-'Evolutitve SCI'!#REF!)/'Evolutive SFP'!#REF!</f>
        <v>#REF!</v>
      </c>
      <c r="BA55" s="270" t="e">
        <f>('Evolutitve SCI'!#REF!-'Evolutitve SCI'!#REF!)/'Evolutive SFP'!#REF!</f>
        <v>#REF!</v>
      </c>
      <c r="BB55" s="270" t="e">
        <f>('Evolutitve SCI'!#REF!-'Evolutitve SCI'!#REF!)/'Evolutive SFP'!#REF!</f>
        <v>#REF!</v>
      </c>
      <c r="BC55" s="270" t="e">
        <f>('Evolutitve SCI'!#REF!-'Evolutitve SCI'!#REF!)/'Evolutive SFP'!#REF!</f>
        <v>#REF!</v>
      </c>
      <c r="BD55" s="270" t="e">
        <f>('Evolutitve SCI'!#REF!-'Evolutitve SCI'!#REF!)/'Evolutive SFP'!#REF!</f>
        <v>#REF!</v>
      </c>
      <c r="BE55" s="270" t="e">
        <f>('Evolutitve SCI'!#REF!-'Evolutitve SCI'!#REF!)/'Evolutive SFP'!#REF!</f>
        <v>#REF!</v>
      </c>
      <c r="BF55" s="270" t="e">
        <f>('Evolutitve SCI'!#REF!-'Evolutitve SCI'!#REF!)/'Evolutive SFP'!#REF!</f>
        <v>#REF!</v>
      </c>
      <c r="BG55" s="270" t="e">
        <f>('Evolutitve SCI'!#REF!-'Evolutitve SCI'!#REF!)/'Evolutive SFP'!#REF!</f>
        <v>#REF!</v>
      </c>
      <c r="BH55" s="270" t="e">
        <f>('Evolutitve SCI'!#REF!-'Evolutitve SCI'!#REF!)/'Evolutive SFP'!#REF!</f>
        <v>#REF!</v>
      </c>
      <c r="BI55" s="270" t="e">
        <f>('Evolutitve SCI'!#REF!-'Evolutitve SCI'!#REF!)/'Evolutive SFP'!#REF!</f>
        <v>#REF!</v>
      </c>
      <c r="BJ55" s="270" t="e">
        <f>('Evolutitve SCI'!#REF!-'Evolutitve SCI'!#REF!)/'Evolutive SFP'!#REF!</f>
        <v>#REF!</v>
      </c>
      <c r="BK55" s="270" t="e">
        <f>('Evolutitve SCI'!#REF!-'Evolutitve SCI'!#REF!)/'Evolutive SFP'!#REF!</f>
        <v>#REF!</v>
      </c>
      <c r="BL55" s="270" t="e">
        <f>('Evolutitve SCI'!#REF!-'Evolutitve SCI'!#REF!)/'Evolutive SFP'!#REF!</f>
        <v>#REF!</v>
      </c>
      <c r="BM55" s="270" t="e">
        <f>('Evolutitve SCI'!#REF!-'Evolutitve SCI'!#REF!)/'Evolutive SFP'!#REF!</f>
        <v>#REF!</v>
      </c>
      <c r="BN55" s="270" t="e">
        <f>('Evolutitve SCI'!#REF!-'Evolutitve SCI'!#REF!)/'Evolutive SFP'!#REF!</f>
        <v>#REF!</v>
      </c>
      <c r="BO55" s="270" t="e">
        <f>('Evolutitve SCI'!#REF!-'Evolutitve SCI'!#REF!)/'Evolutive SFP'!#REF!</f>
        <v>#REF!</v>
      </c>
      <c r="BP55" s="270" t="e">
        <f>('Evolutitve SCI'!#REF!-'Evolutitve SCI'!#REF!)/'Evolutive SFP'!#REF!</f>
        <v>#REF!</v>
      </c>
      <c r="BQ55" s="270" t="e">
        <f>('Evolutitve SCI'!#REF!-'Evolutitve SCI'!#REF!)/'Evolutive SFP'!#REF!</f>
        <v>#REF!</v>
      </c>
      <c r="BR55" s="270" t="e">
        <f>('Evolutitve SCI'!#REF!-'Evolutitve SCI'!#REF!)/'Evolutive SFP'!#REF!</f>
        <v>#REF!</v>
      </c>
      <c r="BS55" s="270" t="e">
        <f>('Evolutitve SCI'!#REF!-'Evolutitve SCI'!#REF!)/'Evolutive SFP'!#REF!</f>
        <v>#REF!</v>
      </c>
      <c r="BT55" s="270" t="e">
        <f>('Evolutitve SCI'!#REF!-'Evolutitve SCI'!#REF!)/'Evolutive SFP'!#REF!</f>
        <v>#REF!</v>
      </c>
      <c r="BU55" s="270" t="e">
        <f>('Evolutitve SCI'!#REF!-'Evolutitve SCI'!#REF!)/'Evolutive SFP'!#REF!</f>
        <v>#REF!</v>
      </c>
      <c r="BV55" s="270" t="e">
        <f>('Evolutitve SCI'!#REF!-'Evolutitve SCI'!#REF!)/'Evolutive SFP'!#REF!</f>
        <v>#REF!</v>
      </c>
      <c r="BW55" s="270" t="e">
        <f>('Evolutitve SCI'!#REF!-'Evolutitve SCI'!#REF!)/'Evolutive SFP'!#REF!</f>
        <v>#REF!</v>
      </c>
      <c r="BX55" s="270" t="e">
        <f>('Evolutitve SCI'!#REF!-'Evolutitve SCI'!#REF!)/'Evolutive SFP'!#REF!</f>
        <v>#REF!</v>
      </c>
      <c r="BY55" s="270" t="e">
        <f>('Evolutitve SCI'!#REF!-'Evolutitve SCI'!#REF!)/'Evolutive SFP'!#REF!</f>
        <v>#REF!</v>
      </c>
      <c r="BZ55" s="270">
        <f>('Evolutitve SCI'!B5-'Evolutitve SCI'!B13)/'Evolutive SFP'!B27</f>
        <v>9.8869394683854139E-2</v>
      </c>
      <c r="CA55" s="270">
        <f>('Evolutitve SCI'!C5-'Evolutitve SCI'!C13)/'Evolutive SFP'!C27</f>
        <v>2.2335588008680881E-3</v>
      </c>
      <c r="CB55" s="270">
        <f>('Evolutitve SCI'!D5-'Evolutitve SCI'!D13)/'Evolutive SFP'!D27</f>
        <v>4.2302832776589284E-3</v>
      </c>
      <c r="CC55" s="270">
        <f>('Evolutitve SCI'!E5-'Evolutitve SCI'!E13)/'Evolutive SFP'!E27</f>
        <v>6.2835807726616859E-3</v>
      </c>
      <c r="CD55" s="270">
        <f>('Evolutitve SCI'!F5-'Evolutitve SCI'!F13)/'Evolutive SFP'!F27</f>
        <v>8.3988667714826257E-3</v>
      </c>
      <c r="CE55" s="270">
        <f>('Evolutitve SCI'!G5-'Evolutitve SCI'!G13)/'Evolutive SFP'!G27</f>
        <v>8.8565284124089948E-3</v>
      </c>
      <c r="CF55" s="270">
        <f>('Evolutitve SCI'!H5-'Evolutitve SCI'!H13)/'Evolutive SFP'!H27</f>
        <v>9.504238212789529E-3</v>
      </c>
      <c r="CG55" s="270" t="e">
        <f>('Evolutitve SCI'!#REF!-'Evolutitve SCI'!#REF!)/'Evolutive SFP'!#REF!</f>
        <v>#REF!</v>
      </c>
      <c r="CH55" s="270">
        <f>('Evolutitve SCI'!I5-'Evolutitve SCI'!I13)/'Evolutive SFP'!I27</f>
        <v>1.0703793415958115E-2</v>
      </c>
      <c r="CI55" s="270">
        <f>('Evolutitve SCI'!J5-'Evolutitve SCI'!J13)/'Evolutive SFP'!J27</f>
        <v>1.3610660115948314E-2</v>
      </c>
      <c r="CJ55" s="270">
        <f>('Evolutitve SCI'!K5-'Evolutitve SCI'!K13)/'Evolutive SFP'!K27</f>
        <v>1.4071150541634764E-2</v>
      </c>
      <c r="CK55" s="270">
        <f>('Evolutitve SCI'!L5-'Evolutitve SCI'!L13)/'Evolutive SFP'!L27</f>
        <v>1.4600817125470863E-2</v>
      </c>
      <c r="CL55" s="270">
        <f>('Evolutitve SCI'!M5-'Evolutitve SCI'!M13)/'Evolutive SFP'!M27</f>
        <v>1.5416875212943479E-2</v>
      </c>
      <c r="CM55" s="270">
        <f>('Evolutitve SCI'!N5-'Evolutitve SCI'!N13)/'Evolutive SFP'!N27</f>
        <v>2.0610799325979236E-2</v>
      </c>
    </row>
    <row r="56" spans="1:91" hidden="1">
      <c r="A56" s="102" t="s">
        <v>190</v>
      </c>
      <c r="AM56" s="270" t="e">
        <f>('Evolutitve SCI'!#REF!)/(('Evolutive SFP'!#REF!+'Evolutive SFP'!#REF!)/2)</f>
        <v>#REF!</v>
      </c>
      <c r="AN56" s="270" t="e">
        <f>('Evolutitve SCI'!#REF!)/(('Evolutive SFP'!#REF!+'Evolutive SFP'!#REF!)/2)</f>
        <v>#REF!</v>
      </c>
      <c r="AO56" s="270" t="e">
        <f>('Evolutitve SCI'!#REF!)/(('Evolutive SFP'!#REF!+'Evolutive SFP'!#REF!)/2)</f>
        <v>#REF!</v>
      </c>
      <c r="AP56" s="270" t="e">
        <f>('Evolutitve SCI'!#REF!)/(('Evolutive SFP'!#REF!+'Evolutive SFP'!#REF!)/2)</f>
        <v>#REF!</v>
      </c>
      <c r="AQ56" s="270" t="e">
        <f>('Evolutitve SCI'!#REF!)/(('Evolutive SFP'!#REF!+'Evolutive SFP'!#REF!)/2)</f>
        <v>#REF!</v>
      </c>
      <c r="AR56" s="270" t="e">
        <f>('Evolutitve SCI'!#REF!)/(('Evolutive SFP'!#REF!+'Evolutive SFP'!#REF!)/2)</f>
        <v>#REF!</v>
      </c>
      <c r="AS56" s="270" t="e">
        <f>('Evolutitve SCI'!#REF!)/(('Evolutive SFP'!#REF!+'Evolutive SFP'!#REF!)/2)</f>
        <v>#REF!</v>
      </c>
      <c r="AT56" s="270" t="e">
        <f>('Evolutitve SCI'!#REF!)/(('Evolutive SFP'!#REF!+'Evolutive SFP'!#REF!)/2)</f>
        <v>#REF!</v>
      </c>
      <c r="AU56" s="270" t="e">
        <f>('Evolutitve SCI'!#REF!)/(('Evolutive SFP'!#REF!+'Evolutive SFP'!#REF!)/2)</f>
        <v>#REF!</v>
      </c>
      <c r="AV56" s="270" t="e">
        <f>('Evolutitve SCI'!#REF!)/(('Evolutive SFP'!#REF!+'Evolutive SFP'!#REF!)/2)</f>
        <v>#REF!</v>
      </c>
      <c r="AW56" s="270" t="e">
        <f>('Evolutitve SCI'!#REF!)/(('Evolutive SFP'!#REF!+'Evolutive SFP'!#REF!)/2)</f>
        <v>#REF!</v>
      </c>
      <c r="AX56" s="270" t="e">
        <f>('Evolutitve SCI'!#REF!)/(('Evolutive SFP'!#REF!+'Evolutive SFP'!#REF!)/2)</f>
        <v>#REF!</v>
      </c>
      <c r="AY56" s="270" t="e">
        <f>('Evolutitve SCI'!#REF!)/(('Evolutive SFP'!#REF!+'Evolutive SFP'!#REF!)/2)</f>
        <v>#REF!</v>
      </c>
      <c r="AZ56" s="270" t="e">
        <f>('Evolutitve SCI'!#REF!)/(('Evolutive SFP'!#REF!+'Evolutive SFP'!#REF!)/2)</f>
        <v>#REF!</v>
      </c>
      <c r="BA56" s="270" t="e">
        <f>('Evolutitve SCI'!#REF!)/(('Evolutive SFP'!#REF!+'Evolutive SFP'!#REF!)/2)</f>
        <v>#REF!</v>
      </c>
      <c r="BB56" s="270" t="e">
        <f>('Evolutitve SCI'!#REF!)/(('Evolutive SFP'!#REF!+'Evolutive SFP'!#REF!)/2)</f>
        <v>#REF!</v>
      </c>
      <c r="BC56" s="270" t="e">
        <f>('Evolutitve SCI'!#REF!)/(('Evolutive SFP'!#REF!+'Evolutive SFP'!#REF!)/2)</f>
        <v>#REF!</v>
      </c>
      <c r="BD56" s="270" t="e">
        <f>('Evolutitve SCI'!#REF!)/(('Evolutive SFP'!#REF!+'Evolutive SFP'!#REF!)/2)</f>
        <v>#REF!</v>
      </c>
      <c r="BE56" s="270" t="e">
        <f>('Evolutitve SCI'!#REF!)/(('Evolutive SFP'!#REF!+'Evolutive SFP'!#REF!)/2)</f>
        <v>#REF!</v>
      </c>
      <c r="BF56" s="270" t="e">
        <f>('Evolutitve SCI'!#REF!)/(('Evolutive SFP'!#REF!+'Evolutive SFP'!#REF!)/2)</f>
        <v>#REF!</v>
      </c>
      <c r="BG56" s="270" t="e">
        <f>('Evolutitve SCI'!#REF!)/(('Evolutive SFP'!#REF!+'Evolutive SFP'!#REF!)/2)</f>
        <v>#REF!</v>
      </c>
      <c r="BH56" s="270" t="e">
        <f>('Evolutitve SCI'!#REF!)/(('Evolutive SFP'!#REF!+'Evolutive SFP'!#REF!)/2)</f>
        <v>#REF!</v>
      </c>
      <c r="BI56" s="270" t="e">
        <f>('Evolutitve SCI'!#REF!)/(('Evolutive SFP'!#REF!+'Evolutive SFP'!#REF!)/2)</f>
        <v>#REF!</v>
      </c>
      <c r="BJ56" s="270" t="e">
        <f>('Evolutitve SCI'!#REF!)/(('Evolutive SFP'!#REF!+'Evolutive SFP'!#REF!)/2)</f>
        <v>#REF!</v>
      </c>
      <c r="BK56" s="270" t="e">
        <f>('Evolutitve SCI'!#REF!)/(('Evolutive SFP'!#REF!+'Evolutive SFP'!#REF!)/2)</f>
        <v>#REF!</v>
      </c>
      <c r="BL56" s="270" t="e">
        <f>('Evolutitve SCI'!#REF!)/(('Evolutive SFP'!#REF!+'Evolutive SFP'!#REF!)/2)</f>
        <v>#REF!</v>
      </c>
      <c r="BM56" s="270" t="e">
        <f>('Evolutitve SCI'!#REF!)/(('Evolutive SFP'!#REF!+'Evolutive SFP'!#REF!)/2)</f>
        <v>#REF!</v>
      </c>
      <c r="BN56" s="270" t="e">
        <f>('Evolutitve SCI'!#REF!)/(('Evolutive SFP'!#REF!+'Evolutive SFP'!#REF!)/2)</f>
        <v>#REF!</v>
      </c>
      <c r="BO56" s="270" t="e">
        <f>('Evolutitve SCI'!#REF!)/(('Evolutive SFP'!#REF!+'Evolutive SFP'!#REF!)/2)</f>
        <v>#REF!</v>
      </c>
      <c r="BP56" s="270" t="e">
        <f>('Evolutitve SCI'!#REF!)/(('Evolutive SFP'!#REF!+'Evolutive SFP'!#REF!)/2)</f>
        <v>#REF!</v>
      </c>
      <c r="BQ56" s="270" t="e">
        <f>('Evolutitve SCI'!#REF!)/(('Evolutive SFP'!#REF!+'Evolutive SFP'!#REF!)/2)</f>
        <v>#REF!</v>
      </c>
      <c r="BR56" s="270" t="e">
        <f>('Evolutitve SCI'!#REF!)/(('Evolutive SFP'!#REF!+'Evolutive SFP'!#REF!)/2)</f>
        <v>#REF!</v>
      </c>
      <c r="BS56" s="270" t="e">
        <f>('Evolutitve SCI'!#REF!)/(('Evolutive SFP'!#REF!+'Evolutive SFP'!#REF!)/2)</f>
        <v>#REF!</v>
      </c>
      <c r="BT56" s="270" t="e">
        <f>('Evolutitve SCI'!#REF!)/(('Evolutive SFP'!#REF!+'Evolutive SFP'!#REF!)/2)</f>
        <v>#REF!</v>
      </c>
      <c r="BU56" s="270" t="e">
        <f>('Evolutitve SCI'!#REF!)/(('Evolutive SFP'!#REF!+'Evolutive SFP'!#REF!)/2)</f>
        <v>#REF!</v>
      </c>
      <c r="BV56" s="270" t="e">
        <f>('Evolutitve SCI'!#REF!)/(('Evolutive SFP'!#REF!+'Evolutive SFP'!#REF!)/2)</f>
        <v>#REF!</v>
      </c>
      <c r="BW56" s="270" t="e">
        <f>('Evolutitve SCI'!#REF!)/(('Evolutive SFP'!#REF!+'Evolutive SFP'!#REF!)/2)</f>
        <v>#REF!</v>
      </c>
      <c r="BX56" s="270" t="e">
        <f>('Evolutitve SCI'!#REF!)/(('Evolutive SFP'!#REF!+'Evolutive SFP'!#REF!)/2)</f>
        <v>#REF!</v>
      </c>
      <c r="BY56" s="270" t="e">
        <f>('Evolutitve SCI'!#REF!)/(('Evolutive SFP'!#REF!+'Evolutive SFP'!#REF!)/2)</f>
        <v>#REF!</v>
      </c>
      <c r="BZ56" s="270" t="e">
        <f>('Evolutitve SCI'!B33)/(('Evolutive SFP'!B27+'Evolutive SFP'!#REF!)/2)</f>
        <v>#REF!</v>
      </c>
      <c r="CA56" s="270">
        <f>('Evolutitve SCI'!C33)/(('Evolutive SFP'!C27+'Evolutive SFP'!B27)/2)</f>
        <v>-6.2656688654894411E-6</v>
      </c>
      <c r="CB56" s="270">
        <f>('Evolutitve SCI'!D33)/(('Evolutive SFP'!D27+'Evolutive SFP'!C27)/2)</f>
        <v>5.2436674519234349E-3</v>
      </c>
      <c r="CC56" s="270">
        <f>('Evolutitve SCI'!E33)/(('Evolutive SFP'!E27+'Evolutive SFP'!D27)/2)</f>
        <v>3.3977494317402267E-3</v>
      </c>
      <c r="CD56" s="270">
        <f>('Evolutitve SCI'!F33)/(('Evolutive SFP'!F27+'Evolutive SFP'!E27)/2)</f>
        <v>1.8707901440706182E-2</v>
      </c>
      <c r="CE56" s="270">
        <f>('Evolutitve SCI'!G33)/(('Evolutive SFP'!G27+'Evolutive SFP'!F27)/2)</f>
        <v>3.1916431038338078E-2</v>
      </c>
      <c r="CF56" s="270">
        <f>('Evolutitve SCI'!H33)/(('Evolutive SFP'!H27+'Evolutive SFP'!G27)/2)</f>
        <v>1.7293272746700752E-2</v>
      </c>
      <c r="CG56" s="270" t="e">
        <f>('Evolutitve SCI'!#REF!)/(('Evolutive SFP'!#REF!+'Evolutive SFP'!H27)/2)</f>
        <v>#REF!</v>
      </c>
      <c r="CH56" s="270" t="e">
        <f>('Evolutitve SCI'!I33)/(('Evolutive SFP'!I27+'Evolutive SFP'!#REF!)/2)</f>
        <v>#REF!</v>
      </c>
      <c r="CI56" s="270">
        <f>('Evolutitve SCI'!J33)/(('Evolutive SFP'!J27+'Evolutive SFP'!I27)/2)</f>
        <v>2.2307426938022522E-2</v>
      </c>
      <c r="CJ56" s="270">
        <f>('Evolutitve SCI'!K33)/(('Evolutive SFP'!K27+'Evolutive SFP'!J27)/2)</f>
        <v>2.5183931449700953E-2</v>
      </c>
      <c r="CK56" s="270">
        <f>('Evolutitve SCI'!L33)/(('Evolutive SFP'!L27+'Evolutive SFP'!K27)/2)</f>
        <v>2.3201019693742105E-2</v>
      </c>
      <c r="CL56" s="270">
        <f>('Evolutitve SCI'!M33)/(('Evolutive SFP'!M27+'Evolutive SFP'!L27)/2)</f>
        <v>3.0775369741948527E-2</v>
      </c>
      <c r="CM56" s="270">
        <f>('Evolutitve SCI'!N33)/(('Evolutive SFP'!N27+'Evolutive SFP'!M27)/2)</f>
        <v>9.2045859593577084E-2</v>
      </c>
    </row>
    <row r="57" spans="1:91" hidden="1">
      <c r="A57" s="102" t="s">
        <v>369</v>
      </c>
      <c r="AM57" s="270" t="e">
        <f>(Financials!F4-Financials!#REF!)/Financials!#REF!</f>
        <v>#REF!</v>
      </c>
      <c r="AN57" s="270" t="e">
        <f>(Financials!G4-Financials!#REF!)/Financials!#REF!</f>
        <v>#REF!</v>
      </c>
      <c r="AO57" s="270" t="e">
        <f>(Financials!H4-Financials!#REF!)/Financials!#REF!</f>
        <v>#REF!</v>
      </c>
      <c r="AP57" s="270" t="e">
        <f>(Financials!I4-Financials!#REF!)/Financials!#REF!</f>
        <v>#REF!</v>
      </c>
      <c r="AQ57" s="270" t="e">
        <f>(Financials!J4-Financials!#REF!)/Financials!#REF!</f>
        <v>#REF!</v>
      </c>
      <c r="AR57" s="270" t="e">
        <f>(Financials!K4-Financials!#REF!)/Financials!#REF!</f>
        <v>#REF!</v>
      </c>
      <c r="AS57" s="270" t="e">
        <f>(Financials!L4-Financials!#REF!)/Financials!#REF!</f>
        <v>#REF!</v>
      </c>
      <c r="AT57" s="270" t="e">
        <f>(Financials!M4-Financials!#REF!)/Financials!#REF!</f>
        <v>#REF!</v>
      </c>
      <c r="AU57" s="270" t="e">
        <f>(Financials!N4-Financials!A4)/Financials!A4</f>
        <v>#REF!</v>
      </c>
      <c r="AV57" s="270" t="e">
        <f>(Financials!O4-Financials!B4)/Financials!B4</f>
        <v>#REF!</v>
      </c>
      <c r="AW57" s="270" t="e">
        <f>(Financials!P4-Financials!C4)/Financials!C4</f>
        <v>#REF!</v>
      </c>
      <c r="AX57" s="270" t="e">
        <f>(Financials!Q4-Financials!D4)/Financials!D4</f>
        <v>#REF!</v>
      </c>
      <c r="AY57" s="270" t="e">
        <f>(Financials!R4-Financials!E4)/Financials!E4</f>
        <v>#REF!</v>
      </c>
      <c r="AZ57" s="270" t="e">
        <f>(Financials!S4-Financials!F4)/Financials!F4</f>
        <v>#REF!</v>
      </c>
      <c r="BA57" s="270" t="e">
        <f>(Financials!T4-Financials!G4)/Financials!G4</f>
        <v>#REF!</v>
      </c>
      <c r="BB57" s="270" t="e">
        <f>(Financials!U4-Financials!H4)/Financials!H4</f>
        <v>#REF!</v>
      </c>
      <c r="BC57" s="270" t="e">
        <f>(Financials!V4-Financials!I4)/Financials!I4</f>
        <v>#REF!</v>
      </c>
      <c r="BD57" s="270" t="e">
        <f>(Financials!W4-Financials!J4)/Financials!J4</f>
        <v>#REF!</v>
      </c>
      <c r="BE57" s="270" t="e">
        <f>(Financials!X4-Financials!K4)/Financials!K4</f>
        <v>#REF!</v>
      </c>
      <c r="BF57" s="270" t="e">
        <f>(Financials!Y4-Financials!L4)/Financials!L4</f>
        <v>#REF!</v>
      </c>
      <c r="BG57" s="270" t="e">
        <f>(Financials!Z4-Financials!M4)/Financials!M4</f>
        <v>#REF!</v>
      </c>
      <c r="BH57" s="270" t="e">
        <f>(Financials!AA4-Financials!N4)/Financials!N4</f>
        <v>#REF!</v>
      </c>
      <c r="BI57" s="270" t="e">
        <f>(Financials!AB4-Financials!O4)/Financials!O4</f>
        <v>#REF!</v>
      </c>
      <c r="BJ57" s="270" t="e">
        <f>(Financials!AC4-Financials!P4)/Financials!P4</f>
        <v>#REF!</v>
      </c>
      <c r="BK57" s="270" t="e">
        <f>(Financials!AD4-Financials!Q4)/Financials!Q4</f>
        <v>#REF!</v>
      </c>
      <c r="BL57" s="270" t="e">
        <f>(Financials!AE4-Financials!R4)/Financials!R4</f>
        <v>#REF!</v>
      </c>
      <c r="BM57" s="270" t="e">
        <f>(Financials!AF4-Financials!S4)/Financials!S4</f>
        <v>#REF!</v>
      </c>
      <c r="BN57" s="270" t="e">
        <f>(Financials!AG4-Financials!T4)/Financials!T4</f>
        <v>#REF!</v>
      </c>
      <c r="BO57" s="270" t="e">
        <f>(Financials!AH4-Financials!U4)/Financials!U4</f>
        <v>#REF!</v>
      </c>
      <c r="BP57" s="270" t="e">
        <f>(Financials!AI4-Financials!V4)/Financials!V4</f>
        <v>#REF!</v>
      </c>
      <c r="BQ57" s="270" t="e">
        <f>(Financials!AJ4-Financials!W4)/Financials!W4</f>
        <v>#REF!</v>
      </c>
      <c r="BR57" s="270" t="e">
        <f>(Financials!AK4-Financials!X4)/Financials!X4</f>
        <v>#REF!</v>
      </c>
      <c r="BS57" s="270" t="e">
        <f>(Financials!AL4-Financials!Y4)/Financials!Y4</f>
        <v>#REF!</v>
      </c>
      <c r="BT57" s="270" t="e">
        <f>(Financials!AM4-Financials!Z4)/Financials!Z4</f>
        <v>#REF!</v>
      </c>
      <c r="BU57" s="270" t="e">
        <f>(Financials!AN4-Financials!AA4)/Financials!AA4</f>
        <v>#REF!</v>
      </c>
      <c r="BV57" s="270" t="e">
        <f>(Financials!AO4-Financials!AB4)/Financials!AB4</f>
        <v>#REF!</v>
      </c>
      <c r="BW57" s="270" t="e">
        <f>(Financials!AP4-Financials!AC4)/Financials!AC4</f>
        <v>#REF!</v>
      </c>
      <c r="BX57" s="270" t="e">
        <f>(Financials!AQ4-Financials!AD4)/Financials!AD4</f>
        <v>#REF!</v>
      </c>
      <c r="BY57" s="270" t="e">
        <f>(Financials!AR4-Financials!AE4)/Financials!AE4</f>
        <v>#REF!</v>
      </c>
      <c r="BZ57" s="270" t="e">
        <f>(Financials!AS4-Financials!AF4)/Financials!AF4</f>
        <v>#REF!</v>
      </c>
      <c r="CA57" s="270" t="e">
        <f>(Financials!AT4-Financials!AG4)/Financials!AG4</f>
        <v>#REF!</v>
      </c>
      <c r="CB57" s="270" t="e">
        <f>(Financials!AU4-Financials!AH4)/Financials!AH4</f>
        <v>#REF!</v>
      </c>
      <c r="CC57" s="270" t="e">
        <f>(Financials!AV4-Financials!AI4)/Financials!AI4</f>
        <v>#REF!</v>
      </c>
      <c r="CD57" s="270" t="e">
        <f>(Financials!AW4-Financials!AJ4)/Financials!AJ4</f>
        <v>#REF!</v>
      </c>
      <c r="CE57" s="270" t="e">
        <f>(Financials!AX4-Financials!AK4)/Financials!AK4</f>
        <v>#REF!</v>
      </c>
      <c r="CF57" s="270" t="e">
        <f>(Financials!AY4-Financials!AL4)/Financials!AL4</f>
        <v>#REF!</v>
      </c>
      <c r="CG57" s="270" t="e">
        <f>(Financials!AZ4-Financials!AM4)/Financials!AM4</f>
        <v>#REF!</v>
      </c>
      <c r="CH57" s="270" t="e">
        <f>(Financials!BA4-Financials!AN4)/Financials!AN4</f>
        <v>#REF!</v>
      </c>
      <c r="CI57" s="270" t="e">
        <f>(Financials!BB4-Financials!AO4)/Financials!AO4</f>
        <v>#REF!</v>
      </c>
      <c r="CJ57" s="270" t="e">
        <f>(Financials!BC4-Financials!AP4)/Financials!AP4</f>
        <v>#REF!</v>
      </c>
      <c r="CK57" s="270" t="e">
        <f>(Financials!BD4-Financials!AQ4)/Financials!AQ4</f>
        <v>#REF!</v>
      </c>
      <c r="CL57" s="270" t="e">
        <f>(Financials!BE4-Financials!AR4)/Financials!AR4</f>
        <v>#REF!</v>
      </c>
      <c r="CM57" s="270">
        <f>(Financials!BF4-Financials!AS4)/Financials!AS4</f>
        <v>11.329258723744877</v>
      </c>
    </row>
    <row r="58" spans="1:91" hidden="1">
      <c r="A58" s="102" t="s">
        <v>370</v>
      </c>
      <c r="AM58" s="270" t="e">
        <f>(Financials!F5-Financials!#REF!)/Financials!#REF!</f>
        <v>#REF!</v>
      </c>
      <c r="AN58" s="270" t="e">
        <f>(Financials!G5-Financials!#REF!)/Financials!#REF!</f>
        <v>#REF!</v>
      </c>
      <c r="AO58" s="270" t="e">
        <f>(Financials!H5-Financials!#REF!)/Financials!#REF!</f>
        <v>#REF!</v>
      </c>
      <c r="AP58" s="270" t="e">
        <f>(Financials!I5-Financials!#REF!)/Financials!#REF!</f>
        <v>#REF!</v>
      </c>
      <c r="AQ58" s="270" t="e">
        <f>(Financials!J5-Financials!#REF!)/Financials!#REF!</f>
        <v>#REF!</v>
      </c>
      <c r="AR58" s="270" t="e">
        <f>(Financials!K5-Financials!#REF!)/Financials!#REF!</f>
        <v>#REF!</v>
      </c>
      <c r="AS58" s="270" t="e">
        <f>(Financials!L5-Financials!#REF!)/Financials!#REF!</f>
        <v>#REF!</v>
      </c>
      <c r="AT58" s="270" t="e">
        <f>(Financials!M5-Financials!#REF!)/Financials!#REF!</f>
        <v>#REF!</v>
      </c>
      <c r="AU58" s="270" t="e">
        <f>(Financials!N5-Financials!A5)/Financials!A5</f>
        <v>#REF!</v>
      </c>
      <c r="AV58" s="270" t="e">
        <f>(Financials!O5-Financials!B5)/Financials!B5</f>
        <v>#REF!</v>
      </c>
      <c r="AW58" s="270" t="e">
        <f>(Financials!P5-Financials!C5)/Financials!C5</f>
        <v>#REF!</v>
      </c>
      <c r="AX58" s="270" t="e">
        <f>(Financials!Q5-Financials!D5)/Financials!D5</f>
        <v>#REF!</v>
      </c>
      <c r="AY58" s="270" t="e">
        <f>(Financials!R5-Financials!E5)/Financials!E5</f>
        <v>#REF!</v>
      </c>
      <c r="AZ58" s="270" t="e">
        <f>(Financials!S5-Financials!F5)/Financials!F5</f>
        <v>#REF!</v>
      </c>
      <c r="BA58" s="270" t="e">
        <f>(Financials!T5-Financials!G5)/Financials!G5</f>
        <v>#REF!</v>
      </c>
      <c r="BB58" s="270" t="e">
        <f>(Financials!U5-Financials!H5)/Financials!H5</f>
        <v>#REF!</v>
      </c>
      <c r="BC58" s="270" t="e">
        <f>(Financials!V5-Financials!I5)/Financials!I5</f>
        <v>#REF!</v>
      </c>
      <c r="BD58" s="270" t="e">
        <f>(Financials!W5-Financials!J5)/Financials!J5</f>
        <v>#REF!</v>
      </c>
      <c r="BE58" s="270" t="e">
        <f>(Financials!X5-Financials!K5)/Financials!K5</f>
        <v>#REF!</v>
      </c>
      <c r="BF58" s="270" t="e">
        <f>(Financials!Y5-Financials!L5)/Financials!L5</f>
        <v>#REF!</v>
      </c>
      <c r="BG58" s="270" t="e">
        <f>(Financials!Z5-Financials!M5)/Financials!M5</f>
        <v>#REF!</v>
      </c>
      <c r="BH58" s="270" t="e">
        <f>(Financials!AA5-Financials!N5)/Financials!N5</f>
        <v>#REF!</v>
      </c>
      <c r="BI58" s="270" t="e">
        <f>(Financials!AB5-Financials!O5)/Financials!O5</f>
        <v>#REF!</v>
      </c>
      <c r="BJ58" s="270" t="e">
        <f>(Financials!AC5-Financials!P5)/Financials!P5</f>
        <v>#REF!</v>
      </c>
      <c r="BK58" s="270" t="e">
        <f>(Financials!AD5-Financials!Q5)/Financials!Q5</f>
        <v>#REF!</v>
      </c>
      <c r="BL58" s="270" t="e">
        <f>(Financials!AE5-Financials!R5)/Financials!R5</f>
        <v>#REF!</v>
      </c>
      <c r="BM58" s="270" t="e">
        <f>(Financials!AF5-Financials!S5)/Financials!S5</f>
        <v>#REF!</v>
      </c>
      <c r="BN58" s="270" t="e">
        <f>(Financials!AG5-Financials!T5)/Financials!T5</f>
        <v>#REF!</v>
      </c>
      <c r="BO58" s="270" t="e">
        <f>(Financials!AH5-Financials!U5)/Financials!U5</f>
        <v>#REF!</v>
      </c>
      <c r="BP58" s="270" t="e">
        <f>(Financials!AI5-Financials!V5)/Financials!V5</f>
        <v>#REF!</v>
      </c>
      <c r="BQ58" s="270" t="e">
        <f>(Financials!AJ5-Financials!W5)/Financials!W5</f>
        <v>#REF!</v>
      </c>
      <c r="BR58" s="270" t="e">
        <f>(Financials!AK5-Financials!X5)/Financials!X5</f>
        <v>#REF!</v>
      </c>
      <c r="BS58" s="270" t="e">
        <f>(Financials!AL5-Financials!Y5)/Financials!Y5</f>
        <v>#REF!</v>
      </c>
      <c r="BT58" s="270" t="e">
        <f>(Financials!AM5-Financials!Z5)/Financials!Z5</f>
        <v>#REF!</v>
      </c>
      <c r="BU58" s="270" t="e">
        <f>(Financials!AN5-Financials!AA5)/Financials!AA5</f>
        <v>#REF!</v>
      </c>
      <c r="BV58" s="270" t="e">
        <f>(Financials!AO5-Financials!AB5)/Financials!AB5</f>
        <v>#REF!</v>
      </c>
      <c r="BW58" s="270" t="e">
        <f>(Financials!AP5-Financials!AC5)/Financials!AC5</f>
        <v>#REF!</v>
      </c>
      <c r="BX58" s="270" t="e">
        <f>(Financials!AQ5-Financials!AD5)/Financials!AD5</f>
        <v>#REF!</v>
      </c>
      <c r="BY58" s="270" t="e">
        <f>(Financials!AR5-Financials!AE5)/Financials!AE5</f>
        <v>#REF!</v>
      </c>
      <c r="BZ58" s="270" t="e">
        <f>(Financials!AS5-Financials!AF5)/Financials!AF5</f>
        <v>#REF!</v>
      </c>
      <c r="CA58" s="270" t="e">
        <f>(Financials!AT5-Financials!AG5)/Financials!AG5</f>
        <v>#REF!</v>
      </c>
      <c r="CB58" s="270" t="e">
        <f>(Financials!AU5-Financials!AH5)/Financials!AH5</f>
        <v>#REF!</v>
      </c>
      <c r="CC58" s="270" t="e">
        <f>(Financials!AV5-Financials!AI5)/Financials!AI5</f>
        <v>#REF!</v>
      </c>
      <c r="CD58" s="270" t="e">
        <f>(Financials!AW5-Financials!AJ5)/Financials!AJ5</f>
        <v>#REF!</v>
      </c>
      <c r="CE58" s="270" t="e">
        <f>(Financials!AX5-Financials!AK5)/Financials!AK5</f>
        <v>#REF!</v>
      </c>
      <c r="CF58" s="270" t="e">
        <f>(Financials!AY5-Financials!AL5)/Financials!AL5</f>
        <v>#REF!</v>
      </c>
      <c r="CG58" s="270" t="e">
        <f>(Financials!AZ5-Financials!AM5)/Financials!AM5</f>
        <v>#REF!</v>
      </c>
      <c r="CH58" s="270" t="e">
        <f>(Financials!BA5-Financials!AN5)/Financials!AN5</f>
        <v>#REF!</v>
      </c>
      <c r="CI58" s="270" t="e">
        <f>(Financials!BB5-Financials!AO5)/Financials!AO5</f>
        <v>#REF!</v>
      </c>
      <c r="CJ58" s="270" t="e">
        <f>(Financials!BC5-Financials!AP5)/Financials!AP5</f>
        <v>#REF!</v>
      </c>
      <c r="CK58" s="270" t="e">
        <f>(Financials!BD5-Financials!AQ5)/Financials!AQ5</f>
        <v>#REF!</v>
      </c>
      <c r="CL58" s="270" t="e">
        <f>(Financials!BE5-Financials!AR5)/Financials!AR5</f>
        <v>#REF!</v>
      </c>
      <c r="CM58" s="270">
        <f>(Financials!BF5-Financials!AS5)/Financials!AS5</f>
        <v>8.8482079962541551</v>
      </c>
    </row>
    <row r="59" spans="1:91" hidden="1">
      <c r="A59" s="102" t="s">
        <v>371</v>
      </c>
      <c r="AM59" s="270" t="e">
        <f>(Financials!F6-Financials!#REF!)/Financials!#REF!</f>
        <v>#REF!</v>
      </c>
      <c r="AN59" s="270" t="e">
        <f>(Financials!G6-Financials!#REF!)/Financials!#REF!</f>
        <v>#REF!</v>
      </c>
      <c r="AO59" s="270" t="e">
        <f>(Financials!H6-Financials!#REF!)/Financials!#REF!</f>
        <v>#REF!</v>
      </c>
      <c r="AP59" s="270" t="e">
        <f>(Financials!I6-Financials!#REF!)/Financials!#REF!</f>
        <v>#REF!</v>
      </c>
      <c r="AQ59" s="270" t="e">
        <f>(Financials!J6-Financials!#REF!)/Financials!#REF!</f>
        <v>#REF!</v>
      </c>
      <c r="AR59" s="270" t="e">
        <f>(Financials!K6-Financials!#REF!)/Financials!#REF!</f>
        <v>#REF!</v>
      </c>
      <c r="AS59" s="270" t="e">
        <f>(Financials!L6-Financials!#REF!)/Financials!#REF!</f>
        <v>#REF!</v>
      </c>
      <c r="AT59" s="270" t="e">
        <f>(Financials!M6-Financials!#REF!)/Financials!#REF!</f>
        <v>#REF!</v>
      </c>
      <c r="AU59" s="270" t="e">
        <f>(Financials!N6-Financials!A6)/Financials!A6</f>
        <v>#REF!</v>
      </c>
      <c r="AV59" s="270" t="e">
        <f>(Financials!O6-Financials!B6)/Financials!B6</f>
        <v>#REF!</v>
      </c>
      <c r="AW59" s="270" t="e">
        <f>(Financials!P6-Financials!C6)/Financials!C6</f>
        <v>#REF!</v>
      </c>
      <c r="AX59" s="270" t="e">
        <f>(Financials!Q6-Financials!D6)/Financials!D6</f>
        <v>#REF!</v>
      </c>
      <c r="AY59" s="270" t="e">
        <f>(Financials!R6-Financials!E6)/Financials!E6</f>
        <v>#REF!</v>
      </c>
      <c r="AZ59" s="270" t="e">
        <f>(Financials!S6-Financials!F6)/Financials!F6</f>
        <v>#REF!</v>
      </c>
      <c r="BA59" s="270" t="e">
        <f>(Financials!T6-Financials!G6)/Financials!G6</f>
        <v>#REF!</v>
      </c>
      <c r="BB59" s="270" t="e">
        <f>(Financials!U6-Financials!H6)/Financials!H6</f>
        <v>#REF!</v>
      </c>
      <c r="BC59" s="270" t="e">
        <f>(Financials!V6-Financials!I6)/Financials!I6</f>
        <v>#REF!</v>
      </c>
      <c r="BD59" s="270" t="e">
        <f>(Financials!W6-Financials!J6)/Financials!J6</f>
        <v>#REF!</v>
      </c>
      <c r="BE59" s="270" t="e">
        <f>(Financials!X6-Financials!K6)/Financials!K6</f>
        <v>#REF!</v>
      </c>
      <c r="BF59" s="270" t="e">
        <f>(Financials!Y6-Financials!L6)/Financials!L6</f>
        <v>#REF!</v>
      </c>
      <c r="BG59" s="270" t="e">
        <f>(Financials!Z6-Financials!M6)/Financials!M6</f>
        <v>#REF!</v>
      </c>
      <c r="BH59" s="270" t="e">
        <f>(Financials!AA6-Financials!N6)/Financials!N6</f>
        <v>#REF!</v>
      </c>
      <c r="BI59" s="270" t="e">
        <f>(Financials!AB6-Financials!O6)/Financials!O6</f>
        <v>#REF!</v>
      </c>
      <c r="BJ59" s="270" t="e">
        <f>(Financials!AC6-Financials!P6)/Financials!P6</f>
        <v>#REF!</v>
      </c>
      <c r="BK59" s="270" t="e">
        <f>(Financials!AD6-Financials!Q6)/Financials!Q6</f>
        <v>#REF!</v>
      </c>
      <c r="BL59" s="270" t="e">
        <f>(Financials!AE6-Financials!R6)/Financials!R6</f>
        <v>#REF!</v>
      </c>
      <c r="BM59" s="270" t="e">
        <f>(Financials!AF6-Financials!S6)/Financials!S6</f>
        <v>#REF!</v>
      </c>
      <c r="BN59" s="270" t="e">
        <f>(Financials!AG6-Financials!T6)/Financials!T6</f>
        <v>#REF!</v>
      </c>
      <c r="BO59" s="270" t="e">
        <f>(Financials!AH6-Financials!U6)/Financials!U6</f>
        <v>#REF!</v>
      </c>
      <c r="BP59" s="270" t="e">
        <f>(Financials!AI6-Financials!V6)/Financials!V6</f>
        <v>#REF!</v>
      </c>
      <c r="BQ59" s="270" t="e">
        <f>(Financials!AJ6-Financials!W6)/Financials!W6</f>
        <v>#REF!</v>
      </c>
      <c r="BR59" s="270" t="e">
        <f>(Financials!AK6-Financials!X6)/Financials!X6</f>
        <v>#REF!</v>
      </c>
      <c r="BS59" s="270" t="e">
        <f>(Financials!AL6-Financials!Y6)/Financials!Y6</f>
        <v>#REF!</v>
      </c>
      <c r="BT59" s="270" t="e">
        <f>(Financials!AM6-Financials!Z6)/Financials!Z6</f>
        <v>#REF!</v>
      </c>
      <c r="BU59" s="270" t="e">
        <f>(Financials!AN6-Financials!AA6)/Financials!AA6</f>
        <v>#REF!</v>
      </c>
      <c r="BV59" s="270" t="e">
        <f>(Financials!AO6-Financials!AB6)/Financials!AB6</f>
        <v>#REF!</v>
      </c>
      <c r="BW59" s="270" t="e">
        <f>(Financials!AP6-Financials!AC6)/Financials!AC6</f>
        <v>#REF!</v>
      </c>
      <c r="BX59" s="270" t="e">
        <f>(Financials!AQ6-Financials!AD6)/Financials!AD6</f>
        <v>#REF!</v>
      </c>
      <c r="BY59" s="270" t="e">
        <f>(Financials!AR6-Financials!AE6)/Financials!AE6</f>
        <v>#REF!</v>
      </c>
      <c r="BZ59" s="270" t="e">
        <f>(Financials!AS6-Financials!AF6)/Financials!AF6</f>
        <v>#REF!</v>
      </c>
      <c r="CA59" s="270" t="e">
        <f>(Financials!AT6-Financials!AG6)/Financials!AG6</f>
        <v>#REF!</v>
      </c>
      <c r="CB59" s="270" t="e">
        <f>(Financials!AU6-Financials!AH6)/Financials!AH6</f>
        <v>#REF!</v>
      </c>
      <c r="CC59" s="270" t="e">
        <f>(Financials!AV6-Financials!AI6)/Financials!AI6</f>
        <v>#REF!</v>
      </c>
      <c r="CD59" s="270" t="e">
        <f>(Financials!AW6-Financials!AJ6)/Financials!AJ6</f>
        <v>#REF!</v>
      </c>
      <c r="CE59" s="270" t="e">
        <f>(Financials!AX6-Financials!AK6)/Financials!AK6</f>
        <v>#REF!</v>
      </c>
      <c r="CF59" s="270" t="e">
        <f>(Financials!AY6-Financials!AL6)/Financials!AL6</f>
        <v>#REF!</v>
      </c>
      <c r="CG59" s="270" t="e">
        <f>(Financials!AZ6-Financials!AM6)/Financials!AM6</f>
        <v>#REF!</v>
      </c>
      <c r="CH59" s="270" t="e">
        <f>(Financials!BA6-Financials!AN6)/Financials!AN6</f>
        <v>#REF!</v>
      </c>
      <c r="CI59" s="270" t="e">
        <f>(Financials!BB6-Financials!AO6)/Financials!AO6</f>
        <v>#REF!</v>
      </c>
      <c r="CJ59" s="270" t="e">
        <f>(Financials!BC6-Financials!AP6)/Financials!AP6</f>
        <v>#REF!</v>
      </c>
      <c r="CK59" s="270" t="e">
        <f>(Financials!BD6-Financials!AQ6)/Financials!AQ6</f>
        <v>#REF!</v>
      </c>
      <c r="CL59" s="270" t="e">
        <f>(Financials!BE6-Financials!AR6)/Financials!AR6</f>
        <v>#REF!</v>
      </c>
      <c r="CM59" s="270">
        <f>(Financials!BF6-Financials!AS6)/Financials!AS6</f>
        <v>7.8902626428610407</v>
      </c>
    </row>
    <row r="60" spans="1:91" hidden="1">
      <c r="A60" s="102" t="s">
        <v>372</v>
      </c>
      <c r="AM60" s="270" t="e">
        <f>(Financials!F7-Financials!#REF!)/Financials!#REF!</f>
        <v>#REF!</v>
      </c>
      <c r="AN60" s="270" t="e">
        <f>(Financials!G7-Financials!#REF!)/Financials!#REF!</f>
        <v>#REF!</v>
      </c>
      <c r="AO60" s="270" t="e">
        <f>(Financials!H7-Financials!#REF!)/Financials!#REF!</f>
        <v>#REF!</v>
      </c>
      <c r="AP60" s="270" t="e">
        <f>(Financials!I7-Financials!#REF!)/Financials!#REF!</f>
        <v>#REF!</v>
      </c>
      <c r="AQ60" s="270" t="e">
        <f>(Financials!J7-Financials!#REF!)/Financials!#REF!</f>
        <v>#REF!</v>
      </c>
      <c r="AR60" s="270" t="e">
        <f>(Financials!K7-Financials!#REF!)/Financials!#REF!</f>
        <v>#REF!</v>
      </c>
      <c r="AS60" s="270" t="e">
        <f>(Financials!L7-Financials!#REF!)/Financials!#REF!</f>
        <v>#REF!</v>
      </c>
      <c r="AT60" s="270" t="e">
        <f>(Financials!M7-Financials!#REF!)/Financials!#REF!</f>
        <v>#REF!</v>
      </c>
      <c r="AU60" s="270" t="e">
        <f>(Financials!N7-Financials!A7)/Financials!A7</f>
        <v>#REF!</v>
      </c>
      <c r="AV60" s="270" t="e">
        <f>(Financials!O7-Financials!B7)/Financials!B7</f>
        <v>#REF!</v>
      </c>
      <c r="AW60" s="270" t="e">
        <f>(Financials!P7-Financials!C7)/Financials!C7</f>
        <v>#REF!</v>
      </c>
      <c r="AX60" s="270" t="e">
        <f>(Financials!Q7-Financials!D7)/Financials!D7</f>
        <v>#REF!</v>
      </c>
      <c r="AY60" s="270" t="e">
        <f>(Financials!R7-Financials!E7)/Financials!E7</f>
        <v>#REF!</v>
      </c>
      <c r="AZ60" s="270" t="e">
        <f>(Financials!S7-Financials!F7)/Financials!F7</f>
        <v>#REF!</v>
      </c>
      <c r="BA60" s="270" t="e">
        <f>(Financials!T7-Financials!G7)/Financials!G7</f>
        <v>#REF!</v>
      </c>
      <c r="BB60" s="270" t="e">
        <f>(Financials!U7-Financials!H7)/Financials!H7</f>
        <v>#REF!</v>
      </c>
      <c r="BC60" s="270" t="e">
        <f>(Financials!V7-Financials!I7)/Financials!I7</f>
        <v>#REF!</v>
      </c>
      <c r="BD60" s="270" t="e">
        <f>(Financials!W7-Financials!J7)/Financials!J7</f>
        <v>#REF!</v>
      </c>
      <c r="BE60" s="270" t="e">
        <f>(Financials!X7-Financials!K7)/Financials!K7</f>
        <v>#REF!</v>
      </c>
      <c r="BF60" s="270" t="e">
        <f>(Financials!Y7-Financials!L7)/Financials!L7</f>
        <v>#REF!</v>
      </c>
      <c r="BG60" s="270" t="e">
        <f>(Financials!Z7-Financials!M7)/Financials!M7</f>
        <v>#REF!</v>
      </c>
      <c r="BH60" s="270" t="e">
        <f>(Financials!AA7-Financials!N7)/Financials!N7</f>
        <v>#REF!</v>
      </c>
      <c r="BI60" s="270" t="e">
        <f>(Financials!AB7-Financials!O7)/Financials!O7</f>
        <v>#REF!</v>
      </c>
      <c r="BJ60" s="270" t="e">
        <f>(Financials!AC7-Financials!P7)/Financials!P7</f>
        <v>#REF!</v>
      </c>
      <c r="BK60" s="270" t="e">
        <f>(Financials!AD7-Financials!Q7)/Financials!Q7</f>
        <v>#REF!</v>
      </c>
      <c r="BL60" s="270" t="e">
        <f>(Financials!AE7-Financials!R7)/Financials!R7</f>
        <v>#REF!</v>
      </c>
      <c r="BM60" s="270" t="e">
        <f>(Financials!AF7-Financials!S7)/Financials!S7</f>
        <v>#REF!</v>
      </c>
      <c r="BN60" s="270" t="e">
        <f>(Financials!AG7-Financials!T7)/Financials!T7</f>
        <v>#REF!</v>
      </c>
      <c r="BO60" s="270" t="e">
        <f>(Financials!AH7-Financials!U7)/Financials!U7</f>
        <v>#REF!</v>
      </c>
      <c r="BP60" s="270" t="e">
        <f>(Financials!AI7-Financials!V7)/Financials!V7</f>
        <v>#REF!</v>
      </c>
      <c r="BQ60" s="270" t="e">
        <f>(Financials!AJ7-Financials!W7)/Financials!W7</f>
        <v>#REF!</v>
      </c>
      <c r="BR60" s="270" t="e">
        <f>(Financials!AK7-Financials!X7)/Financials!X7</f>
        <v>#REF!</v>
      </c>
      <c r="BS60" s="270" t="e">
        <f>(Financials!AL7-Financials!Y7)/Financials!Y7</f>
        <v>#REF!</v>
      </c>
      <c r="BT60" s="270" t="e">
        <f>(Financials!AM7-Financials!Z7)/Financials!Z7</f>
        <v>#REF!</v>
      </c>
      <c r="BU60" s="270" t="e">
        <f>(Financials!AN7-Financials!AA7)/Financials!AA7</f>
        <v>#REF!</v>
      </c>
      <c r="BV60" s="270" t="e">
        <f>(Financials!AO7-Financials!AB7)/Financials!AB7</f>
        <v>#REF!</v>
      </c>
      <c r="BW60" s="270" t="e">
        <f>(Financials!AP7-Financials!AC7)/Financials!AC7</f>
        <v>#REF!</v>
      </c>
      <c r="BX60" s="270" t="e">
        <f>(Financials!AQ7-Financials!AD7)/Financials!AD7</f>
        <v>#REF!</v>
      </c>
      <c r="BY60" s="270" t="e">
        <f>(Financials!AR7-Financials!AE7)/Financials!AE7</f>
        <v>#REF!</v>
      </c>
      <c r="BZ60" s="270" t="e">
        <f>(Financials!AS7-Financials!AF7)/Financials!AF7</f>
        <v>#REF!</v>
      </c>
      <c r="CA60" s="270" t="e">
        <f>(Financials!AT7-Financials!AG7)/Financials!AG7</f>
        <v>#REF!</v>
      </c>
      <c r="CB60" s="270" t="e">
        <f>(Financials!AU7-Financials!AH7)/Financials!AH7</f>
        <v>#REF!</v>
      </c>
      <c r="CC60" s="270" t="e">
        <f>(Financials!AV7-Financials!AI7)/Financials!AI7</f>
        <v>#REF!</v>
      </c>
      <c r="CD60" s="270" t="e">
        <f>(Financials!AW7-Financials!AJ7)/Financials!AJ7</f>
        <v>#REF!</v>
      </c>
      <c r="CE60" s="270" t="e">
        <f>(Financials!AX7-Financials!AK7)/Financials!AK7</f>
        <v>#REF!</v>
      </c>
      <c r="CF60" s="270" t="e">
        <f>(Financials!AY7-Financials!AL7)/Financials!AL7</f>
        <v>#REF!</v>
      </c>
      <c r="CG60" s="270" t="e">
        <f>(Financials!AZ7-Financials!AM7)/Financials!AM7</f>
        <v>#REF!</v>
      </c>
      <c r="CH60" s="270" t="e">
        <f>(Financials!BA7-Financials!AN7)/Financials!AN7</f>
        <v>#REF!</v>
      </c>
      <c r="CI60" s="270" t="e">
        <f>(Financials!BB7-Financials!AO7)/Financials!AO7</f>
        <v>#REF!</v>
      </c>
      <c r="CJ60" s="270" t="e">
        <f>(Financials!BC7-Financials!AP7)/Financials!AP7</f>
        <v>#REF!</v>
      </c>
      <c r="CK60" s="270" t="e">
        <f>(Financials!BD7-Financials!AQ7)/Financials!AQ7</f>
        <v>#REF!</v>
      </c>
      <c r="CL60" s="270" t="e">
        <f>(Financials!BE7-Financials!AR7)/Financials!AR7</f>
        <v>#REF!</v>
      </c>
      <c r="CM60" s="270">
        <f>(Financials!BF7-Financials!AS7)/Financials!AS7</f>
        <v>90.604377141193638</v>
      </c>
    </row>
    <row r="61" spans="1:91" hidden="1"/>
    <row r="63" spans="1:91">
      <c r="CI63" s="102" t="e">
        <f>(BM57+BZ57)/2</f>
        <v>#REF!</v>
      </c>
      <c r="CK63" s="102">
        <f>12.2-9.64</f>
        <v>2.5599999999999987</v>
      </c>
    </row>
  </sheetData>
  <mergeCells count="1">
    <mergeCell ref="F3:W3"/>
  </mergeCells>
  <phoneticPr fontId="41" type="noConversion"/>
  <pageMargins left="0.7" right="0.7" top="0.75" bottom="0.75" header="0.3" footer="0.3"/>
  <pageSetup scale="4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4"/>
  <sheetViews>
    <sheetView zoomScale="70" zoomScaleNormal="70" workbookViewId="0">
      <selection activeCell="E4" sqref="E4"/>
    </sheetView>
  </sheetViews>
  <sheetFormatPr defaultColWidth="8.85546875"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5" width="19" bestFit="1" customWidth="1"/>
  </cols>
  <sheetData>
    <row r="1" spans="1:5">
      <c r="A1" s="372" t="s">
        <v>88</v>
      </c>
      <c r="B1" s="373"/>
      <c r="C1" s="373"/>
      <c r="D1" s="373"/>
      <c r="E1" s="373"/>
    </row>
    <row r="2" spans="1:5">
      <c r="A2" s="376" t="s">
        <v>373</v>
      </c>
      <c r="B2" s="377"/>
      <c r="C2" s="377"/>
      <c r="D2" s="377"/>
      <c r="E2" s="377"/>
    </row>
    <row r="3" spans="1:5" ht="14.45" customHeight="1">
      <c r="A3" s="248"/>
      <c r="B3" s="370" t="s">
        <v>90</v>
      </c>
      <c r="C3" s="378" t="s">
        <v>92</v>
      </c>
      <c r="D3" s="380"/>
      <c r="E3" s="381"/>
    </row>
    <row r="4" spans="1:5">
      <c r="A4" s="43"/>
      <c r="B4" s="371"/>
      <c r="C4" s="273">
        <v>43891</v>
      </c>
      <c r="D4" s="223">
        <v>43983</v>
      </c>
      <c r="E4" s="224">
        <v>44075</v>
      </c>
    </row>
    <row r="5" spans="1:5">
      <c r="A5" s="361" t="s">
        <v>96</v>
      </c>
      <c r="B5" s="362"/>
      <c r="C5" s="362"/>
      <c r="D5" s="362"/>
      <c r="E5" s="362"/>
    </row>
    <row r="6" spans="1:5">
      <c r="A6" s="238" t="s">
        <v>97</v>
      </c>
      <c r="B6" s="239" t="s">
        <v>98</v>
      </c>
      <c r="C6" s="260">
        <f>'Prudential Ratios'!CC6</f>
        <v>0.58329084000000009</v>
      </c>
      <c r="D6" s="260">
        <f>'Prudential Ratios'!CF6</f>
        <v>0.63133574000000003</v>
      </c>
      <c r="E6" s="260">
        <f>'Prudential Ratios'!CI6</f>
        <v>0.65359414999999998</v>
      </c>
    </row>
    <row r="7" spans="1:5">
      <c r="A7" s="238" t="s">
        <v>99</v>
      </c>
      <c r="B7" s="240" t="s">
        <v>100</v>
      </c>
      <c r="C7" s="261">
        <f>'Prudential Ratios'!CC7</f>
        <v>0.18819147721714752</v>
      </c>
      <c r="D7" s="261">
        <f>'Prudential Ratios'!CF7</f>
        <v>0.19260583897872979</v>
      </c>
      <c r="E7" s="261">
        <f>'Prudential Ratios'!CI7</f>
        <v>0.190078075850102</v>
      </c>
    </row>
    <row r="8" spans="1:5">
      <c r="A8" s="238" t="s">
        <v>101</v>
      </c>
      <c r="B8" s="240" t="s">
        <v>102</v>
      </c>
      <c r="C8" s="254">
        <f>'Prudential Ratios'!CC10</f>
        <v>0.12861665990101284</v>
      </c>
      <c r="D8" s="254">
        <f>'Prudential Ratios'!CF10</f>
        <v>0.13559419306835968</v>
      </c>
      <c r="E8" s="254">
        <f>'Prudential Ratios'!CI10</f>
        <v>0.13501356391956856</v>
      </c>
    </row>
    <row r="9" spans="1:5">
      <c r="A9" s="361" t="s">
        <v>103</v>
      </c>
      <c r="B9" s="362"/>
      <c r="C9" s="362"/>
      <c r="D9" s="362"/>
      <c r="E9" s="362"/>
    </row>
    <row r="10" spans="1:5">
      <c r="A10" s="238" t="s">
        <v>104</v>
      </c>
      <c r="B10" s="239" t="s">
        <v>105</v>
      </c>
      <c r="C10" s="254"/>
      <c r="D10" s="254"/>
      <c r="E10" s="254"/>
    </row>
    <row r="11" spans="1:5">
      <c r="A11" s="238" t="s">
        <v>106</v>
      </c>
      <c r="B11" s="239" t="s">
        <v>107</v>
      </c>
      <c r="C11" s="126">
        <v>5.6281711740564205E-2</v>
      </c>
      <c r="D11" s="126">
        <v>4.6092465741791759E-2</v>
      </c>
      <c r="E11" s="126">
        <v>4.6073268083153866E-2</v>
      </c>
    </row>
    <row r="12" spans="1:5">
      <c r="A12" s="238" t="s">
        <v>108</v>
      </c>
      <c r="B12" s="239" t="s">
        <v>105</v>
      </c>
      <c r="C12" s="126">
        <v>9.2299141827292281E-3</v>
      </c>
      <c r="D12" s="126">
        <v>1.0993197686751522E-2</v>
      </c>
      <c r="E12" s="126">
        <v>1.1039495498004313E-2</v>
      </c>
    </row>
    <row r="13" spans="1:5">
      <c r="A13" s="242" t="s">
        <v>109</v>
      </c>
      <c r="B13" s="239" t="s">
        <v>110</v>
      </c>
      <c r="C13" s="126">
        <v>5.2850755648498275E-2</v>
      </c>
      <c r="D13" s="126">
        <v>5.9893796905143404E-2</v>
      </c>
      <c r="E13" s="126">
        <v>5.6228953636999937E-2</v>
      </c>
    </row>
    <row r="14" spans="1:5">
      <c r="A14" s="361" t="s">
        <v>111</v>
      </c>
      <c r="B14" s="362"/>
      <c r="C14" s="362"/>
      <c r="D14" s="362"/>
      <c r="E14" s="362"/>
    </row>
    <row r="15" spans="1:5">
      <c r="A15" s="238" t="s">
        <v>112</v>
      </c>
      <c r="B15" s="239"/>
      <c r="C15" s="254">
        <f>Financials!AV41</f>
        <v>3.5843680102653583E-2</v>
      </c>
      <c r="D15" s="254"/>
      <c r="E15" s="254"/>
    </row>
    <row r="16" spans="1:5">
      <c r="A16" s="238" t="s">
        <v>113</v>
      </c>
      <c r="B16" s="239"/>
      <c r="C16" s="254"/>
      <c r="D16" s="254"/>
      <c r="E16" s="254"/>
    </row>
    <row r="17" spans="1:7">
      <c r="A17" s="238" t="s">
        <v>114</v>
      </c>
      <c r="B17" s="239"/>
      <c r="C17" s="253"/>
      <c r="D17" s="253"/>
      <c r="E17" s="253"/>
    </row>
    <row r="18" spans="1:7">
      <c r="A18" s="242" t="s">
        <v>115</v>
      </c>
      <c r="B18" s="243"/>
      <c r="C18" s="253"/>
      <c r="D18" s="253"/>
      <c r="E18" s="253"/>
    </row>
    <row r="19" spans="1:7">
      <c r="A19" s="361" t="s">
        <v>116</v>
      </c>
      <c r="B19" s="362"/>
      <c r="C19" s="362"/>
      <c r="D19" s="362"/>
      <c r="E19" s="362"/>
    </row>
    <row r="20" spans="1:7">
      <c r="A20" s="238" t="s">
        <v>117</v>
      </c>
      <c r="B20" s="244" t="s">
        <v>118</v>
      </c>
      <c r="C20" s="261"/>
      <c r="D20" s="261"/>
      <c r="E20" s="261"/>
      <c r="G20" s="195"/>
    </row>
    <row r="21" spans="1:7">
      <c r="A21" s="238" t="s">
        <v>119</v>
      </c>
      <c r="B21" s="239" t="s">
        <v>120</v>
      </c>
      <c r="C21" s="261"/>
      <c r="D21" s="261"/>
      <c r="E21" s="261"/>
      <c r="G21" s="226"/>
    </row>
    <row r="22" spans="1:7">
      <c r="A22" s="238" t="s">
        <v>121</v>
      </c>
      <c r="B22" s="239"/>
      <c r="C22" s="261"/>
      <c r="D22" s="261"/>
      <c r="E22" s="261"/>
    </row>
    <row r="23" spans="1:7">
      <c r="A23" s="361" t="s">
        <v>122</v>
      </c>
      <c r="B23" s="362"/>
      <c r="C23" s="362"/>
      <c r="D23" s="362"/>
      <c r="E23" s="362"/>
    </row>
    <row r="24" spans="1:7">
      <c r="A24" s="245" t="s">
        <v>123</v>
      </c>
      <c r="B24" s="243" t="s">
        <v>124</v>
      </c>
      <c r="C24" s="253">
        <f>Financials!AV31/Financials!AV4</f>
        <v>0.72147579847827858</v>
      </c>
      <c r="D24" s="253"/>
      <c r="E24" s="253"/>
    </row>
    <row r="25" spans="1:7">
      <c r="A25" s="245" t="s">
        <v>125</v>
      </c>
      <c r="B25" s="246" t="s">
        <v>126</v>
      </c>
      <c r="C25" s="253">
        <f>Financials!AV31/Financials!AV5</f>
        <v>0.96125262876573969</v>
      </c>
      <c r="D25" s="253"/>
      <c r="E25" s="253"/>
    </row>
    <row r="26" spans="1:7">
      <c r="A26" s="245" t="s">
        <v>127</v>
      </c>
      <c r="B26" s="246"/>
      <c r="C26" s="253"/>
      <c r="D26" s="253"/>
      <c r="E26" s="253"/>
    </row>
    <row r="27" spans="1:7">
      <c r="A27" s="245" t="s">
        <v>128</v>
      </c>
      <c r="B27" s="247"/>
      <c r="C27" s="253"/>
      <c r="D27" s="253"/>
      <c r="E27" s="253"/>
    </row>
    <row r="28" spans="1:7">
      <c r="A28" s="361" t="s">
        <v>129</v>
      </c>
      <c r="B28" s="362"/>
      <c r="C28" s="362">
        <v>2015</v>
      </c>
      <c r="D28" s="362">
        <v>2016</v>
      </c>
      <c r="E28" s="362">
        <v>2017</v>
      </c>
    </row>
    <row r="29" spans="1:7">
      <c r="A29" s="196" t="s">
        <v>27</v>
      </c>
      <c r="B29" s="249"/>
      <c r="C29" s="262">
        <v>32287995000</v>
      </c>
      <c r="D29" s="262">
        <v>34484633191.779999</v>
      </c>
      <c r="E29" s="262">
        <v>37038736368.150002</v>
      </c>
    </row>
    <row r="30" spans="1:7">
      <c r="A30" s="196" t="s">
        <v>131</v>
      </c>
      <c r="B30" s="249"/>
      <c r="C30" s="262">
        <v>30426610000</v>
      </c>
      <c r="D30" s="262">
        <v>32935176890.91</v>
      </c>
      <c r="E30" s="262">
        <v>34818535526.945</v>
      </c>
    </row>
    <row r="31" spans="1:7">
      <c r="A31" s="196" t="s">
        <v>132</v>
      </c>
      <c r="B31" s="249"/>
      <c r="C31" s="199">
        <v>24900152000</v>
      </c>
      <c r="D31" s="199">
        <v>26843352087.939999</v>
      </c>
      <c r="E31" s="199">
        <v>28268507426.619999</v>
      </c>
    </row>
    <row r="32" spans="1:7">
      <c r="A32" s="196" t="s">
        <v>133</v>
      </c>
      <c r="B32" s="249"/>
      <c r="C32" s="200">
        <v>25830313000</v>
      </c>
      <c r="D32" s="200">
        <v>26899520929.049999</v>
      </c>
      <c r="E32" s="200">
        <v>30403318259.57</v>
      </c>
    </row>
    <row r="33" spans="1:5">
      <c r="A33" s="196" t="s">
        <v>134</v>
      </c>
      <c r="B33" s="249"/>
      <c r="C33" s="262">
        <v>4057843000</v>
      </c>
      <c r="D33" s="262">
        <v>3934092558.7950001</v>
      </c>
      <c r="E33" s="262">
        <v>4252451960.625</v>
      </c>
    </row>
    <row r="34" spans="1:5">
      <c r="A34" s="196" t="s">
        <v>135</v>
      </c>
      <c r="B34" s="249"/>
      <c r="C34" s="262">
        <v>2563456000</v>
      </c>
      <c r="D34" s="262">
        <v>2227420440.165</v>
      </c>
      <c r="E34" s="262">
        <v>2490639324.6350002</v>
      </c>
    </row>
    <row r="35" spans="1:5">
      <c r="A35" s="196" t="s">
        <v>136</v>
      </c>
      <c r="B35" s="249"/>
      <c r="C35" s="199">
        <v>0</v>
      </c>
      <c r="D35" s="199">
        <v>1461446866.3599999</v>
      </c>
      <c r="E35" s="199">
        <v>1448345728.75</v>
      </c>
    </row>
    <row r="36" spans="1:5">
      <c r="A36" s="196" t="s">
        <v>106</v>
      </c>
      <c r="B36" s="249"/>
      <c r="C36" s="200">
        <v>1157968000</v>
      </c>
      <c r="D36" s="200">
        <v>1231932957.72</v>
      </c>
      <c r="E36" s="200">
        <v>1380607205.1300001</v>
      </c>
    </row>
    <row r="37" spans="1:5">
      <c r="A37" s="196" t="s">
        <v>23</v>
      </c>
      <c r="B37" s="249"/>
      <c r="C37" s="262">
        <v>320370000</v>
      </c>
      <c r="D37" s="262">
        <v>303851448.54000002</v>
      </c>
      <c r="E37" s="262">
        <v>301707498.67000002</v>
      </c>
    </row>
    <row r="38" spans="1:5">
      <c r="A38" s="196" t="s">
        <v>137</v>
      </c>
      <c r="B38" s="249"/>
      <c r="C38" s="262">
        <v>0</v>
      </c>
      <c r="D38" s="262">
        <v>666865205.59000003</v>
      </c>
      <c r="E38" s="262">
        <v>666871205.59000003</v>
      </c>
    </row>
    <row r="39" spans="1:5">
      <c r="A39" s="196" t="s">
        <v>138</v>
      </c>
      <c r="B39" s="249"/>
      <c r="C39" s="262">
        <v>4680656000</v>
      </c>
      <c r="D39" s="262">
        <v>925821743.94000006</v>
      </c>
      <c r="E39" s="262">
        <v>947841186.87</v>
      </c>
    </row>
    <row r="40" spans="1:5">
      <c r="A40" s="196" t="s">
        <v>139</v>
      </c>
      <c r="B40" s="249"/>
      <c r="C40" s="262">
        <v>1947404000</v>
      </c>
      <c r="D40" s="262">
        <v>6211094861.3199997</v>
      </c>
      <c r="E40" s="262">
        <v>5187299682.0699997</v>
      </c>
    </row>
    <row r="41" spans="1:5">
      <c r="A41" s="196" t="s">
        <v>140</v>
      </c>
      <c r="B41" s="249"/>
      <c r="C41" s="262">
        <v>8573442000</v>
      </c>
      <c r="D41" s="262">
        <v>8534653866.8000002</v>
      </c>
      <c r="E41" s="262">
        <v>9760557073.7399998</v>
      </c>
    </row>
    <row r="42" spans="1:5">
      <c r="A42" s="196" t="s">
        <v>141</v>
      </c>
      <c r="B42" s="249"/>
      <c r="C42" s="262">
        <v>329468000</v>
      </c>
      <c r="D42" s="262">
        <v>0</v>
      </c>
      <c r="E42" s="262">
        <v>0</v>
      </c>
    </row>
    <row r="43" spans="1:5">
      <c r="A43" s="196" t="s">
        <v>142</v>
      </c>
      <c r="B43" s="249"/>
      <c r="C43" s="262">
        <v>24572016000</v>
      </c>
      <c r="D43" s="262">
        <v>25854910046.814999</v>
      </c>
      <c r="E43" s="262">
        <v>28116815764.915001</v>
      </c>
    </row>
    <row r="44" spans="1:5">
      <c r="A44" s="196" t="s">
        <v>143</v>
      </c>
      <c r="B44" s="249"/>
      <c r="C44" s="262">
        <v>4601812000</v>
      </c>
      <c r="D44" s="262">
        <v>3667447515.0700002</v>
      </c>
      <c r="E44" s="262">
        <v>5236445384.25</v>
      </c>
    </row>
    <row r="45" spans="1:5">
      <c r="A45" s="196" t="s">
        <v>144</v>
      </c>
      <c r="B45" s="249"/>
      <c r="C45" s="262">
        <v>2290844000</v>
      </c>
      <c r="D45" s="262">
        <v>1822986659.8199999</v>
      </c>
      <c r="E45" s="262">
        <v>2743444185.1799998</v>
      </c>
    </row>
    <row r="46" spans="1:5">
      <c r="A46" s="196" t="s">
        <v>145</v>
      </c>
      <c r="B46" s="249"/>
      <c r="C46" s="262">
        <v>2262095000</v>
      </c>
      <c r="D46" s="262">
        <v>1818853774.6400001</v>
      </c>
      <c r="E46" s="262">
        <v>2465214636.7800002</v>
      </c>
    </row>
    <row r="47" spans="1:5">
      <c r="A47" s="196" t="s">
        <v>146</v>
      </c>
      <c r="B47" s="249"/>
      <c r="C47" s="262">
        <v>1160634000</v>
      </c>
      <c r="D47" s="262">
        <v>925513326.45000005</v>
      </c>
      <c r="E47" s="262">
        <v>1270243060.51</v>
      </c>
    </row>
    <row r="48" spans="1:5">
      <c r="A48" s="196" t="s">
        <v>147</v>
      </c>
      <c r="B48" s="249"/>
      <c r="C48" s="262">
        <v>3923914000</v>
      </c>
      <c r="D48" s="262">
        <v>3180317385.5799999</v>
      </c>
      <c r="E48" s="262">
        <v>4425053884</v>
      </c>
    </row>
    <row r="49" spans="1:5">
      <c r="A49" s="196" t="s">
        <v>87</v>
      </c>
      <c r="B49" s="249"/>
      <c r="C49" s="262">
        <v>3471602000</v>
      </c>
      <c r="D49" s="262">
        <v>2769974181.6999998</v>
      </c>
      <c r="E49" s="262">
        <v>3763244259.5799999</v>
      </c>
    </row>
    <row r="50" spans="1:5">
      <c r="A50" s="196" t="s">
        <v>148</v>
      </c>
      <c r="B50" s="249"/>
      <c r="C50" s="262">
        <v>848802000</v>
      </c>
      <c r="D50" s="262">
        <v>661659287.57000005</v>
      </c>
      <c r="E50" s="262">
        <v>1111222968.8099999</v>
      </c>
    </row>
    <row r="51" spans="1:5">
      <c r="A51" s="365" t="s">
        <v>149</v>
      </c>
      <c r="B51" s="366"/>
      <c r="C51" s="366"/>
      <c r="D51" s="366"/>
      <c r="E51" s="366"/>
    </row>
    <row r="52" spans="1:5">
      <c r="A52" s="228">
        <v>1</v>
      </c>
      <c r="B52" s="225"/>
      <c r="C52" s="229"/>
      <c r="D52" s="229"/>
      <c r="E52" s="229"/>
    </row>
    <row r="53" spans="1:5">
      <c r="A53" s="228">
        <v>2</v>
      </c>
      <c r="B53" s="225"/>
      <c r="C53" s="229"/>
      <c r="D53" s="229"/>
      <c r="E53" s="229"/>
    </row>
    <row r="54" spans="1:5">
      <c r="A54" s="228">
        <v>3</v>
      </c>
      <c r="B54" s="225"/>
      <c r="C54" s="229"/>
      <c r="D54" s="229"/>
      <c r="E54" s="229"/>
    </row>
    <row r="55" spans="1:5">
      <c r="A55" s="227">
        <v>4</v>
      </c>
      <c r="B55" s="229"/>
      <c r="C55" s="229"/>
      <c r="D55" s="229"/>
      <c r="E55" s="230"/>
    </row>
    <row r="56" spans="1:5">
      <c r="A56" s="250" t="s">
        <v>150</v>
      </c>
      <c r="B56" s="225"/>
      <c r="C56" s="358"/>
      <c r="D56" s="359"/>
      <c r="E56" s="359"/>
    </row>
    <row r="57" spans="1:5">
      <c r="A57" s="250"/>
      <c r="B57" s="225"/>
      <c r="C57" s="304"/>
      <c r="D57" s="304"/>
      <c r="E57" s="305"/>
    </row>
    <row r="58" spans="1:5">
      <c r="A58" s="251" t="s">
        <v>151</v>
      </c>
      <c r="B58" s="233"/>
      <c r="C58" s="358"/>
      <c r="D58" s="359"/>
      <c r="E58" s="359"/>
    </row>
    <row r="59" spans="1:5">
      <c r="A59" s="43"/>
      <c r="B59" s="225"/>
      <c r="C59" s="229"/>
      <c r="D59" s="229"/>
      <c r="E59" s="229"/>
    </row>
    <row r="60" spans="1:5">
      <c r="A60" s="250" t="s">
        <v>152</v>
      </c>
      <c r="B60" s="225"/>
      <c r="C60" s="358"/>
      <c r="D60" s="359"/>
      <c r="E60" s="359"/>
    </row>
    <row r="61" spans="1:5" ht="15" thickBot="1">
      <c r="A61" s="252"/>
      <c r="B61" s="234"/>
      <c r="C61" s="235"/>
      <c r="D61" s="235"/>
      <c r="E61" s="235"/>
    </row>
    <row r="62" spans="1:5">
      <c r="A62" s="257" t="s">
        <v>153</v>
      </c>
    </row>
    <row r="63" spans="1:5">
      <c r="A63" s="194"/>
    </row>
    <row r="64" spans="1:5">
      <c r="A64" s="194"/>
    </row>
  </sheetData>
  <mergeCells count="14">
    <mergeCell ref="A1:E1"/>
    <mergeCell ref="A2:E2"/>
    <mergeCell ref="B3:B4"/>
    <mergeCell ref="A51:E51"/>
    <mergeCell ref="C56:E56"/>
    <mergeCell ref="C58:E58"/>
    <mergeCell ref="C60:E60"/>
    <mergeCell ref="C3:E3"/>
    <mergeCell ref="A5:E5"/>
    <mergeCell ref="A9:E9"/>
    <mergeCell ref="A14:E14"/>
    <mergeCell ref="A19:E19"/>
    <mergeCell ref="A23:E23"/>
    <mergeCell ref="A28:E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064A96-8384-48F4-B8DD-6EEAB885305D}"/>
</file>

<file path=customXml/itemProps2.xml><?xml version="1.0" encoding="utf-8"?>
<ds:datastoreItem xmlns:ds="http://schemas.openxmlformats.org/officeDocument/2006/customXml" ds:itemID="{2071AF57-8E01-4C4C-83A9-D5D5788AB48C}"/>
</file>

<file path=customXml/itemProps3.xml><?xml version="1.0" encoding="utf-8"?>
<ds:datastoreItem xmlns:ds="http://schemas.openxmlformats.org/officeDocument/2006/customXml" ds:itemID="{9F010FF3-210A-47AF-BFE2-ED31953DC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Enock Langat</cp:lastModifiedBy>
  <cp:revision/>
  <dcterms:created xsi:type="dcterms:W3CDTF">2012-11-01T05:11:14Z</dcterms:created>
  <dcterms:modified xsi:type="dcterms:W3CDTF">2023-09-28T13:27:38Z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2021-08-02T13:35:01Z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01fff76f-be31-4e8e-b00a-b3762f91fc85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
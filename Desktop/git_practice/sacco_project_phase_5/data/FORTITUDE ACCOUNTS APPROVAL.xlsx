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1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3b8\AC\Temp\"/>
    </mc:Choice>
  </mc:AlternateContent>
  <xr:revisionPtr revIDLastSave="270" documentId="8_{58309EB5-A324-477A-AE17-4610C4C924F7}" xr6:coauthVersionLast="47" xr6:coauthVersionMax="47" xr10:uidLastSave="{120BD881-5EE5-4D1E-AC7E-0FB98D3954CB}"/>
  <bookViews>
    <workbookView xWindow="-60" yWindow="-60" windowWidth="15480" windowHeight="11640" firstSheet="2" activeTab="2" xr2:uid="{00000000-000D-0000-FFFF-FFFF00000000}"/>
  </bookViews>
  <sheets>
    <sheet name="compliance status" sheetId="8" r:id="rId1"/>
    <sheet name="Prudential Ratios" sheetId="5" r:id="rId2"/>
    <sheet name="CAELS" sheetId="9" r:id="rId3"/>
    <sheet name="Financials" sheetId="6" r:id="rId4"/>
    <sheet name="form4" sheetId="20" r:id="rId5"/>
    <sheet name="SFP" sheetId="4" r:id="rId6"/>
    <sheet name="SCI" sheetId="7" r:id="rId7"/>
    <sheet name="Sheet1" sheetId="24" r:id="rId8"/>
    <sheet name="DEC 2020" sheetId="26" r:id="rId9"/>
    <sheet name="DEC 2019 REPORT" sheetId="25" r:id="rId10"/>
  </sheets>
  <externalReferences>
    <externalReference r:id="rId11"/>
  </externalReferences>
  <definedNames>
    <definedName name="BALANCE1_LDA01">'[1]Financial Statements'!$E$112</definedName>
    <definedName name="BALANCE1_LDA12">'[1]Financial Statements'!$E$123</definedName>
    <definedName name="BALANCE2_LDA01">'[1]Financial Statements'!$F$112</definedName>
    <definedName name="BALANCE2_LDA12">'[1]Financial Statements'!$F$123</definedName>
    <definedName name="BALANCE3_LDA01">'[1]Financial Statements'!$G$112</definedName>
    <definedName name="BALANCE3_LDA12">'[1]Financial Statements'!$G$123</definedName>
    <definedName name="BALANCE4_LDA01">'[1]Financial Statements'!$H$112</definedName>
    <definedName name="BALANCE4_LDA12">'[1]Financial Statements'!$H$123</definedName>
    <definedName name="BALANCE5_LDA01">'[1]Financial Statements'!$I$112</definedName>
    <definedName name="BALANCE5_LDA12">'[1]Financial Statements'!$I$123</definedName>
    <definedName name="BALANCE6_LDA01">'[1]Financial Statements'!$J$112</definedName>
    <definedName name="BALANCE6_LDA12">'[1]Financial Statements'!$J$123</definedName>
    <definedName name="NotApplicable">'Prudential Ratios'!$B$76</definedName>
    <definedName name="PEARLS1_LA002">'[1]Financial Statements'!$E$280</definedName>
    <definedName name="PEARLS1_LE008">'[1]Financial Statements'!$E$275</definedName>
    <definedName name="PEARLS1_LE009">'[1]Financial Statements'!$E$276</definedName>
    <definedName name="PEARLS1_LR001">'[1]Financial Statements'!$E$282</definedName>
    <definedName name="PEARLS1_LR005">'[1]Financial Statements'!$E$286</definedName>
    <definedName name="PEARLS1_LR006">'[1]Financial Statements'!$E$287</definedName>
    <definedName name="PEARLS1_LR007">'[1]Financial Statements'!$E$288</definedName>
    <definedName name="PEARLS1_LR009">'[1]Financial Statements'!$E$290</definedName>
    <definedName name="PEARLS1_LS001">'[1]Financial Statements'!$E$298</definedName>
    <definedName name="PEARLS1_LS005">'[1]Financial Statements'!$E$302</definedName>
    <definedName name="PEARLS1_LS011">'[1]Financial Statements'!$E$308</definedName>
    <definedName name="PEARLS2_LA002">'[1]Financial Statements'!$F$280</definedName>
    <definedName name="PEARLS2_LE008">'[1]Financial Statements'!$F$275</definedName>
    <definedName name="PEARLS2_LE009">'[1]Financial Statements'!$F$276</definedName>
    <definedName name="PEARLS2_LR001">'[1]Financial Statements'!$F$282</definedName>
    <definedName name="PEARLS2_LR005">'[1]Financial Statements'!$F$286</definedName>
    <definedName name="PEARLS2_LR006">'[1]Financial Statements'!$F$287</definedName>
    <definedName name="PEARLS2_LR007">'[1]Financial Statements'!$F$288</definedName>
    <definedName name="PEARLS2_LR009">'[1]Financial Statements'!$F$290</definedName>
    <definedName name="PEARLS2_LS001">'[1]Financial Statements'!$F$298</definedName>
    <definedName name="PEARLS2_LS005">'[1]Financial Statements'!$F$302</definedName>
    <definedName name="PEARLS2_LS010">'[1]Financial Statements'!$F$307</definedName>
    <definedName name="PEARLS2_LS011">'[1]Financial Statements'!$F$308</definedName>
    <definedName name="PEARLS3_LA002">'[1]Financial Statements'!$G$280</definedName>
    <definedName name="PEARLS3_LE008">'[1]Financial Statements'!$G$275</definedName>
    <definedName name="PEARLS3_LE009">'[1]Financial Statements'!$G$276</definedName>
    <definedName name="PEARLS3_LR001">'[1]Financial Statements'!$G$282</definedName>
    <definedName name="PEARLS3_LR005">'[1]Financial Statements'!$G$286</definedName>
    <definedName name="PEARLS3_LR006">'[1]Financial Statements'!$G$287</definedName>
    <definedName name="PEARLS3_LR007">'[1]Financial Statements'!$G$288</definedName>
    <definedName name="PEARLS3_LR009">'[1]Financial Statements'!$G$290</definedName>
    <definedName name="PEARLS3_LS001">'[1]Financial Statements'!$G$298</definedName>
    <definedName name="PEARLS3_LS005">'[1]Financial Statements'!$G$302</definedName>
    <definedName name="PEARLS3_LS010">'[1]Financial Statements'!$G$307</definedName>
    <definedName name="PEARLS3_LS011">'[1]Financial Statements'!$G$308</definedName>
    <definedName name="PEARLS4_LA002">'[1]Financial Statements'!$H$280</definedName>
    <definedName name="PEARLS4_LE008">'[1]Financial Statements'!$H$275</definedName>
    <definedName name="PEARLS4_LE009">'[1]Financial Statements'!$H$276</definedName>
    <definedName name="PEARLS4_LR001">'[1]Financial Statements'!$H$282</definedName>
    <definedName name="PEARLS4_LR005">'[1]Financial Statements'!$H$286</definedName>
    <definedName name="PEARLS4_LR006">'[1]Financial Statements'!$H$287</definedName>
    <definedName name="PEARLS4_LR007">'[1]Financial Statements'!$H$288</definedName>
    <definedName name="PEARLS4_LR009">'[1]Financial Statements'!$H$290</definedName>
    <definedName name="PEARLS4_LS001">'[1]Financial Statements'!$H$298</definedName>
    <definedName name="PEARLS4_LS005">'[1]Financial Statements'!$H$302</definedName>
    <definedName name="PEARLS4_LS010">'[1]Financial Statements'!$H$307</definedName>
    <definedName name="PEARLS4_LS011">'[1]Financial Statements'!$H$308</definedName>
    <definedName name="PEARLS5_LA002">'[1]Financial Statements'!$I$280</definedName>
    <definedName name="PEARLS5_LE008">'[1]Financial Statements'!$I$275</definedName>
    <definedName name="PEARLS5_LE009">'[1]Financial Statements'!$I$276</definedName>
    <definedName name="PEARLS5_LR001">'[1]Financial Statements'!$I$282</definedName>
    <definedName name="PEARLS5_LR005">'[1]Financial Statements'!$I$286</definedName>
    <definedName name="PEARLS5_LR006">'[1]Financial Statements'!$I$287</definedName>
    <definedName name="PEARLS5_LR007">'[1]Financial Statements'!$I$288</definedName>
    <definedName name="PEARLS5_LR009">'[1]Financial Statements'!$I$290</definedName>
    <definedName name="PEARLS5_LS001">'[1]Financial Statements'!$I$298</definedName>
    <definedName name="PEARLS5_LS005">'[1]Financial Statements'!$I$302</definedName>
    <definedName name="PEARLS5_LS010">'[1]Financial Statements'!$I$307</definedName>
    <definedName name="PEARLS5_LS011">'[1]Financial Statements'!$I$308</definedName>
    <definedName name="PEARLS6_LA002">'[1]Financial Statements'!$J$280</definedName>
    <definedName name="PEARLS6_LE008">'[1]Financial Statements'!$J$275</definedName>
    <definedName name="PEARLS6_LE009">'[1]Financial Statements'!$J$276</definedName>
    <definedName name="PEARLS6_LR001">'[1]Financial Statements'!$J$282</definedName>
    <definedName name="PEARLS6_LR005">'[1]Financial Statements'!$J$286</definedName>
    <definedName name="PEARLS6_LR006">'[1]Financial Statements'!$J$287</definedName>
    <definedName name="PEARLS6_LR007">'[1]Financial Statements'!$J$288</definedName>
    <definedName name="PEARLS6_LR009">'[1]Financial Statements'!$J$290</definedName>
    <definedName name="PEARLS6_LS001">'[1]Financial Statements'!$J$298</definedName>
    <definedName name="PEARLS6_LS005">'[1]Financial Statements'!$J$302</definedName>
    <definedName name="PEARLS6_LS010">'[1]Financial Statements'!$J$307</definedName>
    <definedName name="PEARLS6_LS011">'[1]Financial Statements'!$J$308</definedName>
    <definedName name="_xlnm.Print_Area" localSheetId="8">'DEC 2020'!$A$1:$G$64</definedName>
    <definedName name="_xlnm.Print_Area" localSheetId="6">SCI!$A$1:$A$37</definedName>
    <definedName name="_xlnm.Print_Area" localSheetId="5">SFP!$A$1:$A$56</definedName>
    <definedName name="units">'[1]SASRA B.S.'!$C$2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Y20" i="9" l="1"/>
  <c r="BZ20" i="9"/>
  <c r="CA20" i="9"/>
  <c r="BY21" i="9"/>
  <c r="BZ21" i="9"/>
  <c r="CA21" i="9"/>
  <c r="BY22" i="9"/>
  <c r="BZ22" i="9"/>
  <c r="CA22" i="9"/>
  <c r="BY23" i="9"/>
  <c r="BZ23" i="9"/>
  <c r="CA23" i="9"/>
  <c r="BY15" i="9"/>
  <c r="BZ15" i="9"/>
  <c r="CA15" i="9"/>
  <c r="BY16" i="9"/>
  <c r="BZ16" i="9"/>
  <c r="CA16" i="9"/>
  <c r="BY17" i="9"/>
  <c r="BZ17" i="9"/>
  <c r="CA17" i="9"/>
  <c r="BY18" i="9"/>
  <c r="BZ18" i="9"/>
  <c r="CA18" i="9"/>
  <c r="BY11" i="9"/>
  <c r="BZ11" i="9"/>
  <c r="CA11" i="9"/>
  <c r="BY12" i="9"/>
  <c r="BZ12" i="9"/>
  <c r="CA12" i="9"/>
  <c r="BY13" i="9"/>
  <c r="BZ13" i="9"/>
  <c r="CA13" i="9"/>
  <c r="BZ4" i="9"/>
  <c r="CA4" i="9"/>
  <c r="BZ5" i="9"/>
  <c r="CA5" i="9"/>
  <c r="BZ6" i="9"/>
  <c r="CA6" i="9"/>
  <c r="BZ7" i="9"/>
  <c r="CA7" i="9"/>
  <c r="CA55" i="5"/>
  <c r="CB55" i="5"/>
  <c r="CA56" i="5"/>
  <c r="CB56" i="5"/>
  <c r="CA57" i="5"/>
  <c r="CB57" i="5"/>
  <c r="CA58" i="5"/>
  <c r="CB58" i="5"/>
  <c r="CA52" i="5"/>
  <c r="CB52" i="5"/>
  <c r="CA53" i="5"/>
  <c r="CB53" i="5"/>
  <c r="CA47" i="5"/>
  <c r="CB47" i="5"/>
  <c r="CA48" i="5"/>
  <c r="CB48" i="5"/>
  <c r="CA40" i="5"/>
  <c r="CB40" i="5"/>
  <c r="CA41" i="5"/>
  <c r="CB41" i="5"/>
  <c r="CA42" i="5"/>
  <c r="CB42" i="5"/>
  <c r="CA43" i="5"/>
  <c r="CB43" i="5"/>
  <c r="CA44" i="5"/>
  <c r="CB44" i="5"/>
  <c r="CA30" i="5"/>
  <c r="CB30" i="5"/>
  <c r="CA31" i="5"/>
  <c r="CB31" i="5"/>
  <c r="CA32" i="5"/>
  <c r="CB32" i="5"/>
  <c r="CA33" i="5"/>
  <c r="CB33" i="5"/>
  <c r="CA34" i="5"/>
  <c r="CB34" i="5"/>
  <c r="CA35" i="5"/>
  <c r="CB35" i="5"/>
  <c r="CA36" i="5"/>
  <c r="CB36" i="5"/>
  <c r="CA24" i="5"/>
  <c r="CB24" i="5"/>
  <c r="CA25" i="5"/>
  <c r="CB25" i="5"/>
  <c r="CA26" i="5"/>
  <c r="CB26" i="5"/>
  <c r="CA27" i="5"/>
  <c r="CB27" i="5"/>
  <c r="CA19" i="5"/>
  <c r="CB19" i="5"/>
  <c r="CA20" i="5"/>
  <c r="CB20" i="5"/>
  <c r="CA21" i="5"/>
  <c r="CB21" i="5"/>
  <c r="CA14" i="5"/>
  <c r="CB14" i="5"/>
  <c r="CA15" i="5"/>
  <c r="CB15" i="5"/>
  <c r="CA6" i="5"/>
  <c r="CB6" i="5"/>
  <c r="CC6" i="5"/>
  <c r="CA7" i="5"/>
  <c r="CB7" i="5"/>
  <c r="CC7" i="5"/>
  <c r="CA8" i="5"/>
  <c r="CB8" i="5"/>
  <c r="CC8" i="5"/>
  <c r="CA9" i="5"/>
  <c r="CB9" i="5"/>
  <c r="CC9" i="5"/>
  <c r="CA10" i="5"/>
  <c r="CB10" i="5"/>
  <c r="CC10" i="5"/>
  <c r="BY56" i="6"/>
  <c r="BZ56" i="6"/>
  <c r="BY48" i="6"/>
  <c r="BZ48" i="6"/>
  <c r="BY49" i="6"/>
  <c r="BZ49" i="6"/>
  <c r="BY50" i="6"/>
  <c r="BZ50" i="6"/>
  <c r="BY51" i="6"/>
  <c r="BZ51" i="6"/>
  <c r="BY52" i="6"/>
  <c r="BZ52" i="6"/>
  <c r="BY53" i="6"/>
  <c r="BZ53" i="6"/>
  <c r="BY42" i="6"/>
  <c r="BZ42" i="6"/>
  <c r="BY43" i="6"/>
  <c r="BZ43" i="6"/>
  <c r="BY44" i="6"/>
  <c r="BZ44" i="6"/>
  <c r="BY38" i="6"/>
  <c r="BZ38" i="6"/>
  <c r="BY39" i="6"/>
  <c r="BZ39" i="6"/>
  <c r="BY32" i="6"/>
  <c r="BZ32" i="6"/>
  <c r="BY33" i="6"/>
  <c r="BZ33" i="6"/>
  <c r="BY34" i="6"/>
  <c r="BZ34" i="6"/>
  <c r="BY35" i="6"/>
  <c r="BZ35" i="6"/>
  <c r="BY36" i="6"/>
  <c r="BZ36" i="6"/>
  <c r="BY27" i="6"/>
  <c r="BZ27" i="6"/>
  <c r="BY28" i="6"/>
  <c r="BZ28" i="6"/>
  <c r="BY29" i="6"/>
  <c r="BZ29" i="6"/>
  <c r="BY23" i="6"/>
  <c r="BZ23" i="6"/>
  <c r="BY18" i="6"/>
  <c r="BZ18" i="6"/>
  <c r="BY19" i="6"/>
  <c r="BZ19" i="6"/>
  <c r="BY20" i="6"/>
  <c r="BZ20" i="6"/>
  <c r="BY21" i="6"/>
  <c r="BZ21" i="6"/>
  <c r="BZ5" i="6"/>
  <c r="BZ6" i="6"/>
  <c r="BZ7" i="6"/>
  <c r="BZ8" i="6"/>
  <c r="BZ9" i="6"/>
  <c r="BZ10" i="6"/>
  <c r="BX37" i="7"/>
  <c r="BY37" i="7"/>
  <c r="BX35" i="7"/>
  <c r="BY35" i="7"/>
  <c r="BX33" i="7"/>
  <c r="BY33" i="7"/>
  <c r="BX29" i="7"/>
  <c r="BY29" i="7"/>
  <c r="BX30" i="7"/>
  <c r="BY30" i="7"/>
  <c r="BX23" i="7"/>
  <c r="BY23" i="7"/>
  <c r="BX19" i="7"/>
  <c r="BY19" i="7"/>
  <c r="BX20" i="7"/>
  <c r="BY20" i="7"/>
  <c r="BX12" i="7"/>
  <c r="BY12" i="7"/>
  <c r="BX7" i="7"/>
  <c r="BY7" i="7"/>
  <c r="BX4" i="7"/>
  <c r="BX3" i="7" s="1"/>
  <c r="BY4" i="7"/>
  <c r="BY3" i="7" s="1"/>
  <c r="BX55" i="4"/>
  <c r="BY55" i="4"/>
  <c r="BX56" i="4"/>
  <c r="BY56" i="4"/>
  <c r="BX57" i="4"/>
  <c r="BY57" i="4"/>
  <c r="BX49" i="4"/>
  <c r="BY49" i="4"/>
  <c r="BX45" i="4"/>
  <c r="BY45" i="4"/>
  <c r="BX40" i="4"/>
  <c r="BY40" i="4"/>
  <c r="BX32" i="4"/>
  <c r="BY32" i="4"/>
  <c r="BX33" i="4"/>
  <c r="BY33" i="4"/>
  <c r="BX27" i="4"/>
  <c r="BY27" i="4"/>
  <c r="BX21" i="4"/>
  <c r="BY21" i="4"/>
  <c r="BX17" i="4"/>
  <c r="BY17" i="4"/>
  <c r="BX14" i="4"/>
  <c r="BY14" i="4"/>
  <c r="BX8" i="4"/>
  <c r="BY8" i="4"/>
  <c r="BX4" i="4"/>
  <c r="BY4" i="4"/>
  <c r="BF20" i="9"/>
  <c r="BG20" i="9"/>
  <c r="BH20" i="9"/>
  <c r="BI20" i="9"/>
  <c r="BJ20" i="9"/>
  <c r="BK20" i="9"/>
  <c r="BL20" i="9"/>
  <c r="BM20" i="9"/>
  <c r="BN20" i="9"/>
  <c r="BO20" i="9"/>
  <c r="BP20" i="9"/>
  <c r="BQ20" i="9"/>
  <c r="BR20" i="9"/>
  <c r="BS20" i="9"/>
  <c r="BT20" i="9"/>
  <c r="BU20" i="9"/>
  <c r="BV20" i="9"/>
  <c r="BW20" i="9"/>
  <c r="BX20" i="9"/>
  <c r="BF21" i="9"/>
  <c r="BG21" i="9"/>
  <c r="BH21" i="9"/>
  <c r="BI21" i="9"/>
  <c r="BJ21" i="9"/>
  <c r="BK21" i="9"/>
  <c r="BL21" i="9"/>
  <c r="BM21" i="9"/>
  <c r="BN21" i="9"/>
  <c r="BO21" i="9"/>
  <c r="BP21" i="9"/>
  <c r="BQ21" i="9"/>
  <c r="BR21" i="9"/>
  <c r="BS21" i="9"/>
  <c r="BT21" i="9"/>
  <c r="BU21" i="9"/>
  <c r="BV21" i="9"/>
  <c r="BW21" i="9"/>
  <c r="BX21" i="9"/>
  <c r="BF22" i="9"/>
  <c r="BG22" i="9"/>
  <c r="BH22" i="9"/>
  <c r="BI22" i="9"/>
  <c r="BJ22" i="9"/>
  <c r="BK22" i="9"/>
  <c r="BL22" i="9"/>
  <c r="BM22" i="9"/>
  <c r="BN22" i="9"/>
  <c r="BO22" i="9"/>
  <c r="BP22" i="9"/>
  <c r="BQ22" i="9"/>
  <c r="BR22" i="9"/>
  <c r="BS22" i="9"/>
  <c r="BT22" i="9"/>
  <c r="BU22" i="9"/>
  <c r="BV22" i="9"/>
  <c r="BW22" i="9"/>
  <c r="BX22" i="9"/>
  <c r="BF23" i="9"/>
  <c r="BG23" i="9"/>
  <c r="BH23" i="9"/>
  <c r="BI23" i="9"/>
  <c r="BJ23" i="9"/>
  <c r="BK23" i="9"/>
  <c r="BL23" i="9"/>
  <c r="BM23" i="9"/>
  <c r="BN23" i="9"/>
  <c r="BO23" i="9"/>
  <c r="BP23" i="9"/>
  <c r="BQ23" i="9"/>
  <c r="BR23" i="9"/>
  <c r="BS23" i="9"/>
  <c r="BT23" i="9"/>
  <c r="BU23" i="9"/>
  <c r="BV23" i="9"/>
  <c r="BW23" i="9"/>
  <c r="BX23" i="9"/>
  <c r="BF15" i="9"/>
  <c r="BG15" i="9"/>
  <c r="BH15" i="9"/>
  <c r="BI15" i="9"/>
  <c r="BJ15" i="9"/>
  <c r="BK15" i="9"/>
  <c r="BL15" i="9"/>
  <c r="BM15" i="9"/>
  <c r="BN15" i="9"/>
  <c r="BO15" i="9"/>
  <c r="BP15" i="9"/>
  <c r="BQ15" i="9"/>
  <c r="BR15" i="9"/>
  <c r="BS15" i="9"/>
  <c r="BT15" i="9"/>
  <c r="BU15" i="9"/>
  <c r="BV15" i="9"/>
  <c r="BW15" i="9"/>
  <c r="BX15" i="9"/>
  <c r="BF16" i="9"/>
  <c r="BG16" i="9"/>
  <c r="BH16" i="9"/>
  <c r="BI16" i="9"/>
  <c r="BJ16" i="9"/>
  <c r="BK16" i="9"/>
  <c r="BL16" i="9"/>
  <c r="BM16" i="9"/>
  <c r="BN16" i="9"/>
  <c r="BO16" i="9"/>
  <c r="BP16" i="9"/>
  <c r="BQ16" i="9"/>
  <c r="BR16" i="9"/>
  <c r="BS16" i="9"/>
  <c r="BT16" i="9"/>
  <c r="BU16" i="9"/>
  <c r="BV16" i="9"/>
  <c r="BW16" i="9"/>
  <c r="BX16" i="9"/>
  <c r="BF17" i="9"/>
  <c r="BG17" i="9"/>
  <c r="BH17" i="9"/>
  <c r="BI17" i="9"/>
  <c r="BJ17" i="9"/>
  <c r="BK17" i="9"/>
  <c r="BL17" i="9"/>
  <c r="BM17" i="9"/>
  <c r="BN17" i="9"/>
  <c r="BO17" i="9"/>
  <c r="BP17" i="9"/>
  <c r="BQ17" i="9"/>
  <c r="BR17" i="9"/>
  <c r="BS17" i="9"/>
  <c r="BT17" i="9"/>
  <c r="BU17" i="9"/>
  <c r="BV17" i="9"/>
  <c r="BW17" i="9"/>
  <c r="BX17" i="9"/>
  <c r="BF18" i="9"/>
  <c r="BG18" i="9"/>
  <c r="BH18" i="9"/>
  <c r="BI18" i="9"/>
  <c r="BJ18" i="9"/>
  <c r="BK18" i="9"/>
  <c r="BL18" i="9"/>
  <c r="BM18" i="9"/>
  <c r="BN18" i="9"/>
  <c r="BO18" i="9"/>
  <c r="BP18" i="9"/>
  <c r="BQ18" i="9"/>
  <c r="BR18" i="9"/>
  <c r="BS18" i="9"/>
  <c r="BT18" i="9"/>
  <c r="BU18" i="9"/>
  <c r="BV18" i="9"/>
  <c r="BW18" i="9"/>
  <c r="BX18" i="9"/>
  <c r="BF11" i="9"/>
  <c r="BG11" i="9"/>
  <c r="BH11" i="9"/>
  <c r="BI11" i="9"/>
  <c r="BJ11" i="9"/>
  <c r="BK11" i="9"/>
  <c r="BL11" i="9"/>
  <c r="BM11" i="9"/>
  <c r="BN11" i="9"/>
  <c r="BO11" i="9"/>
  <c r="BP11" i="9"/>
  <c r="BQ11" i="9"/>
  <c r="BR11" i="9"/>
  <c r="BS11" i="9"/>
  <c r="BT11" i="9"/>
  <c r="BU11" i="9"/>
  <c r="BV11" i="9"/>
  <c r="BW11" i="9"/>
  <c r="BX11" i="9"/>
  <c r="BF12" i="9"/>
  <c r="BG12" i="9"/>
  <c r="BH12" i="9"/>
  <c r="BI12" i="9"/>
  <c r="BJ12" i="9"/>
  <c r="BK12" i="9"/>
  <c r="BL12" i="9"/>
  <c r="BM12" i="9"/>
  <c r="BN12" i="9"/>
  <c r="BO12" i="9"/>
  <c r="BP12" i="9"/>
  <c r="BQ12" i="9"/>
  <c r="BR12" i="9"/>
  <c r="BS12" i="9"/>
  <c r="BT12" i="9"/>
  <c r="BU12" i="9"/>
  <c r="BV12" i="9"/>
  <c r="BW12" i="9"/>
  <c r="BX12" i="9"/>
  <c r="BF13" i="9"/>
  <c r="BG13" i="9"/>
  <c r="BH13" i="9"/>
  <c r="BI13" i="9"/>
  <c r="BJ13" i="9"/>
  <c r="BK13" i="9"/>
  <c r="BL13" i="9"/>
  <c r="BM13" i="9"/>
  <c r="BN13" i="9"/>
  <c r="BO13" i="9"/>
  <c r="BP13" i="9"/>
  <c r="BQ13" i="9"/>
  <c r="BR13" i="9"/>
  <c r="BS13" i="9"/>
  <c r="BT13" i="9"/>
  <c r="BU13" i="9"/>
  <c r="BV13" i="9"/>
  <c r="BW13" i="9"/>
  <c r="BX13" i="9"/>
  <c r="BG4" i="9"/>
  <c r="BH4" i="9"/>
  <c r="BI4" i="9"/>
  <c r="BJ4" i="9"/>
  <c r="BK4" i="9"/>
  <c r="BL4" i="9"/>
  <c r="BM4" i="9"/>
  <c r="BN4" i="9"/>
  <c r="BO4" i="9"/>
  <c r="BP4" i="9"/>
  <c r="BQ4" i="9"/>
  <c r="BR4" i="9"/>
  <c r="BS4" i="9"/>
  <c r="BT4" i="9"/>
  <c r="BU4" i="9"/>
  <c r="BV4" i="9"/>
  <c r="BW4" i="9"/>
  <c r="BX4" i="9"/>
  <c r="BY4" i="9"/>
  <c r="BG5" i="9"/>
  <c r="BH5" i="9"/>
  <c r="BI5" i="9"/>
  <c r="BJ5" i="9"/>
  <c r="BK5" i="9"/>
  <c r="BL5" i="9"/>
  <c r="BM5" i="9"/>
  <c r="BN5" i="9"/>
  <c r="BO5" i="9"/>
  <c r="BP5" i="9"/>
  <c r="BQ5" i="9"/>
  <c r="BR5" i="9"/>
  <c r="BS5" i="9"/>
  <c r="BT5" i="9"/>
  <c r="BU5" i="9"/>
  <c r="BV5" i="9"/>
  <c r="BW5" i="9"/>
  <c r="BX5" i="9"/>
  <c r="BY5" i="9"/>
  <c r="BG6" i="9"/>
  <c r="BH6" i="9"/>
  <c r="BI6" i="9"/>
  <c r="BJ6" i="9"/>
  <c r="BK6" i="9"/>
  <c r="BL6" i="9"/>
  <c r="BM6" i="9"/>
  <c r="BN6" i="9"/>
  <c r="BO6" i="9"/>
  <c r="BP6" i="9"/>
  <c r="BQ6" i="9"/>
  <c r="BR6" i="9"/>
  <c r="BS6" i="9"/>
  <c r="BT6" i="9"/>
  <c r="BU6" i="9"/>
  <c r="BV6" i="9"/>
  <c r="BW6" i="9"/>
  <c r="BX6" i="9"/>
  <c r="BY6" i="9"/>
  <c r="BG7" i="9"/>
  <c r="BH7" i="9"/>
  <c r="BI7" i="9"/>
  <c r="BJ7" i="9"/>
  <c r="BK7" i="9"/>
  <c r="BL7" i="9"/>
  <c r="BM7" i="9"/>
  <c r="BN7" i="9"/>
  <c r="BO7" i="9"/>
  <c r="BP7" i="9"/>
  <c r="BQ7" i="9"/>
  <c r="BR7" i="9"/>
  <c r="BS7" i="9"/>
  <c r="BT7" i="9"/>
  <c r="BU7" i="9"/>
  <c r="BV7" i="9"/>
  <c r="BW7" i="9"/>
  <c r="BX7" i="9"/>
  <c r="BY7" i="9"/>
  <c r="BH55" i="5"/>
  <c r="BI55" i="5"/>
  <c r="BJ55" i="5"/>
  <c r="BK55" i="5"/>
  <c r="BL55" i="5"/>
  <c r="BM55" i="5"/>
  <c r="BN55" i="5"/>
  <c r="BO55" i="5"/>
  <c r="BP55" i="5"/>
  <c r="BQ55" i="5"/>
  <c r="BR55" i="5"/>
  <c r="BS55" i="5"/>
  <c r="BT55" i="5"/>
  <c r="BU55" i="5"/>
  <c r="BV55" i="5"/>
  <c r="BW55" i="5"/>
  <c r="BX55" i="5"/>
  <c r="BY55" i="5"/>
  <c r="BZ55" i="5"/>
  <c r="BH56" i="5"/>
  <c r="BI56" i="5"/>
  <c r="BJ56" i="5"/>
  <c r="BK56" i="5"/>
  <c r="BL56" i="5"/>
  <c r="BM56" i="5"/>
  <c r="BN56" i="5"/>
  <c r="BO56" i="5"/>
  <c r="BP56" i="5"/>
  <c r="BQ56" i="5"/>
  <c r="BR56" i="5"/>
  <c r="BS56" i="5"/>
  <c r="BT56" i="5"/>
  <c r="BU56" i="5"/>
  <c r="BV56" i="5"/>
  <c r="BW56" i="5"/>
  <c r="BX56" i="5"/>
  <c r="BY56" i="5"/>
  <c r="BZ56" i="5"/>
  <c r="BH57" i="5"/>
  <c r="BI57" i="5"/>
  <c r="BJ57" i="5"/>
  <c r="BK57" i="5"/>
  <c r="BL57" i="5"/>
  <c r="BM57" i="5"/>
  <c r="BN57" i="5"/>
  <c r="BO57" i="5"/>
  <c r="BP57" i="5"/>
  <c r="BQ57" i="5"/>
  <c r="BR57" i="5"/>
  <c r="BS57" i="5"/>
  <c r="BT57" i="5"/>
  <c r="BU57" i="5"/>
  <c r="BV57" i="5"/>
  <c r="BW57" i="5"/>
  <c r="BX57" i="5"/>
  <c r="BY57" i="5"/>
  <c r="BZ57" i="5"/>
  <c r="BH58" i="5"/>
  <c r="BI58" i="5"/>
  <c r="BJ58" i="5"/>
  <c r="BK58" i="5"/>
  <c r="BL58" i="5"/>
  <c r="BM58" i="5"/>
  <c r="BN58" i="5"/>
  <c r="BO58" i="5"/>
  <c r="BP58" i="5"/>
  <c r="BQ58" i="5"/>
  <c r="BR58" i="5"/>
  <c r="BS58" i="5"/>
  <c r="BT58" i="5"/>
  <c r="BU58" i="5"/>
  <c r="BV58" i="5"/>
  <c r="BW58" i="5"/>
  <c r="BX58" i="5"/>
  <c r="BY58" i="5"/>
  <c r="BZ58" i="5"/>
  <c r="BH52" i="5"/>
  <c r="BI52" i="5"/>
  <c r="BJ52" i="5"/>
  <c r="BK52" i="5"/>
  <c r="BL52" i="5"/>
  <c r="BM52" i="5"/>
  <c r="BN52" i="5"/>
  <c r="BO52" i="5"/>
  <c r="BP52" i="5"/>
  <c r="BQ52" i="5"/>
  <c r="BR52" i="5"/>
  <c r="BS52" i="5"/>
  <c r="BT52" i="5"/>
  <c r="BU52" i="5"/>
  <c r="BV52" i="5"/>
  <c r="BW52" i="5"/>
  <c r="BX52" i="5"/>
  <c r="BY52" i="5"/>
  <c r="BZ52" i="5"/>
  <c r="BH53" i="5"/>
  <c r="BI53" i="5"/>
  <c r="BJ53" i="5"/>
  <c r="BK53" i="5"/>
  <c r="BL53" i="5"/>
  <c r="BM53" i="5"/>
  <c r="BN53" i="5"/>
  <c r="BO53" i="5"/>
  <c r="BP53" i="5"/>
  <c r="BQ53" i="5"/>
  <c r="BR53" i="5"/>
  <c r="BS53" i="5"/>
  <c r="BT53" i="5"/>
  <c r="BU53" i="5"/>
  <c r="BV53" i="5"/>
  <c r="BW53" i="5"/>
  <c r="BX53" i="5"/>
  <c r="BY53" i="5"/>
  <c r="BZ53" i="5"/>
  <c r="BH47" i="5"/>
  <c r="BI47" i="5"/>
  <c r="BJ47" i="5"/>
  <c r="BK47" i="5"/>
  <c r="BL47" i="5"/>
  <c r="BM47" i="5"/>
  <c r="BN47" i="5"/>
  <c r="BO47" i="5"/>
  <c r="BP47" i="5"/>
  <c r="BQ47" i="5"/>
  <c r="BR47" i="5"/>
  <c r="BS47" i="5"/>
  <c r="BT47" i="5"/>
  <c r="BU47" i="5"/>
  <c r="BV47" i="5"/>
  <c r="BW47" i="5"/>
  <c r="BX47" i="5"/>
  <c r="BY47" i="5"/>
  <c r="BZ47" i="5"/>
  <c r="BH48" i="5"/>
  <c r="BI48" i="5"/>
  <c r="BJ48" i="5"/>
  <c r="BK48" i="5"/>
  <c r="BL48" i="5"/>
  <c r="BM48" i="5"/>
  <c r="BN48" i="5"/>
  <c r="BO48" i="5"/>
  <c r="BP48" i="5"/>
  <c r="BQ48" i="5"/>
  <c r="BR48" i="5"/>
  <c r="BS48" i="5"/>
  <c r="BT48" i="5"/>
  <c r="BU48" i="5"/>
  <c r="BV48" i="5"/>
  <c r="BW48" i="5"/>
  <c r="BX48" i="5"/>
  <c r="BY48" i="5"/>
  <c r="BZ48" i="5"/>
  <c r="BI40" i="5"/>
  <c r="BJ40" i="5"/>
  <c r="BK40" i="5"/>
  <c r="BL40" i="5"/>
  <c r="BM40" i="5"/>
  <c r="BN40" i="5"/>
  <c r="BO40" i="5"/>
  <c r="BP40" i="5"/>
  <c r="BQ40" i="5"/>
  <c r="BR40" i="5"/>
  <c r="BS40" i="5"/>
  <c r="BT40" i="5"/>
  <c r="BU40" i="5"/>
  <c r="BV40" i="5"/>
  <c r="BW40" i="5"/>
  <c r="BX40" i="5"/>
  <c r="BY40" i="5"/>
  <c r="BZ40" i="5"/>
  <c r="BI41" i="5"/>
  <c r="BJ41" i="5"/>
  <c r="BK41" i="5"/>
  <c r="BL41" i="5"/>
  <c r="BM41" i="5"/>
  <c r="BN41" i="5"/>
  <c r="BO41" i="5"/>
  <c r="BP41" i="5"/>
  <c r="BQ41" i="5"/>
  <c r="BR41" i="5"/>
  <c r="BS41" i="5"/>
  <c r="BT41" i="5"/>
  <c r="BU41" i="5"/>
  <c r="BV41" i="5"/>
  <c r="BW41" i="5"/>
  <c r="BX41" i="5"/>
  <c r="BY41" i="5"/>
  <c r="BZ41" i="5"/>
  <c r="BI42" i="5"/>
  <c r="BJ42" i="5"/>
  <c r="BK42" i="5"/>
  <c r="BL42" i="5"/>
  <c r="BM42" i="5"/>
  <c r="BN42" i="5"/>
  <c r="BO42" i="5"/>
  <c r="BP42" i="5"/>
  <c r="BQ42" i="5"/>
  <c r="BR42" i="5"/>
  <c r="BS42" i="5"/>
  <c r="BT42" i="5"/>
  <c r="BU42" i="5"/>
  <c r="BV42" i="5"/>
  <c r="BW42" i="5"/>
  <c r="BX42" i="5"/>
  <c r="BY42" i="5"/>
  <c r="BZ42" i="5"/>
  <c r="BI43" i="5"/>
  <c r="BJ43" i="5"/>
  <c r="BK43" i="5"/>
  <c r="BL43" i="5"/>
  <c r="BM43" i="5"/>
  <c r="BN43" i="5"/>
  <c r="BO43" i="5"/>
  <c r="BP43" i="5"/>
  <c r="BQ43" i="5"/>
  <c r="BR43" i="5"/>
  <c r="BS43" i="5"/>
  <c r="BT43" i="5"/>
  <c r="BU43" i="5"/>
  <c r="BV43" i="5"/>
  <c r="BW43" i="5"/>
  <c r="BX43" i="5"/>
  <c r="BY43" i="5"/>
  <c r="BZ43" i="5"/>
  <c r="BI44" i="5"/>
  <c r="BJ44" i="5"/>
  <c r="BK44" i="5"/>
  <c r="BL44" i="5"/>
  <c r="BM44" i="5"/>
  <c r="BN44" i="5"/>
  <c r="BO44" i="5"/>
  <c r="BP44" i="5"/>
  <c r="BQ44" i="5"/>
  <c r="BR44" i="5"/>
  <c r="BS44" i="5"/>
  <c r="BT44" i="5"/>
  <c r="BU44" i="5"/>
  <c r="BV44" i="5"/>
  <c r="BW44" i="5"/>
  <c r="BX44" i="5"/>
  <c r="BY44" i="5"/>
  <c r="BZ44" i="5"/>
  <c r="BH30" i="5"/>
  <c r="BI30" i="5"/>
  <c r="BJ30" i="5"/>
  <c r="BK30" i="5"/>
  <c r="BL30" i="5"/>
  <c r="BM30" i="5"/>
  <c r="BN30" i="5"/>
  <c r="BO30" i="5"/>
  <c r="BP30" i="5"/>
  <c r="BQ30" i="5"/>
  <c r="BR30" i="5"/>
  <c r="BS30" i="5"/>
  <c r="BT30" i="5"/>
  <c r="BU30" i="5"/>
  <c r="BV30" i="5"/>
  <c r="BW30" i="5"/>
  <c r="BX30" i="5"/>
  <c r="BY30" i="5"/>
  <c r="BZ30" i="5"/>
  <c r="BH31" i="5"/>
  <c r="BI31" i="5"/>
  <c r="BJ31" i="5"/>
  <c r="BK31" i="5"/>
  <c r="BL31" i="5"/>
  <c r="BM31" i="5"/>
  <c r="BN31" i="5"/>
  <c r="BO31" i="5"/>
  <c r="BP31" i="5"/>
  <c r="BQ31" i="5"/>
  <c r="BR31" i="5"/>
  <c r="BS31" i="5"/>
  <c r="BT31" i="5"/>
  <c r="BU31" i="5"/>
  <c r="BV31" i="5"/>
  <c r="BW31" i="5"/>
  <c r="BX31" i="5"/>
  <c r="BY31" i="5"/>
  <c r="BZ31" i="5"/>
  <c r="BH32" i="5"/>
  <c r="BI32" i="5"/>
  <c r="BJ32" i="5"/>
  <c r="BK32" i="5"/>
  <c r="BL32" i="5"/>
  <c r="BM32" i="5"/>
  <c r="BN32" i="5"/>
  <c r="BO32" i="5"/>
  <c r="BP32" i="5"/>
  <c r="BQ32" i="5"/>
  <c r="BR32" i="5"/>
  <c r="BS32" i="5"/>
  <c r="BT32" i="5"/>
  <c r="BU32" i="5"/>
  <c r="BV32" i="5"/>
  <c r="BW32" i="5"/>
  <c r="BX32" i="5"/>
  <c r="BY32" i="5"/>
  <c r="BZ32" i="5"/>
  <c r="BH33" i="5"/>
  <c r="BI33" i="5"/>
  <c r="BJ33" i="5"/>
  <c r="BK33" i="5"/>
  <c r="BL33" i="5"/>
  <c r="BM33" i="5"/>
  <c r="BN33" i="5"/>
  <c r="BO33" i="5"/>
  <c r="BP33" i="5"/>
  <c r="BQ33" i="5"/>
  <c r="BR33" i="5"/>
  <c r="BS33" i="5"/>
  <c r="BT33" i="5"/>
  <c r="BU33" i="5"/>
  <c r="BV33" i="5"/>
  <c r="BW33" i="5"/>
  <c r="BX33" i="5"/>
  <c r="BY33" i="5"/>
  <c r="BZ33" i="5"/>
  <c r="BH34" i="5"/>
  <c r="BI34" i="5"/>
  <c r="BJ34" i="5"/>
  <c r="BK34" i="5"/>
  <c r="BL34" i="5"/>
  <c r="BM34" i="5"/>
  <c r="BN34" i="5"/>
  <c r="BO34" i="5"/>
  <c r="BP34" i="5"/>
  <c r="BQ34" i="5"/>
  <c r="BR34" i="5"/>
  <c r="BS34" i="5"/>
  <c r="BT34" i="5"/>
  <c r="BU34" i="5"/>
  <c r="BV34" i="5"/>
  <c r="BW34" i="5"/>
  <c r="BX34" i="5"/>
  <c r="BY34" i="5"/>
  <c r="BZ34" i="5"/>
  <c r="BH35" i="5"/>
  <c r="BI35" i="5"/>
  <c r="BJ35" i="5"/>
  <c r="BK35" i="5"/>
  <c r="BL35" i="5"/>
  <c r="BM35" i="5"/>
  <c r="BN35" i="5"/>
  <c r="BO35" i="5"/>
  <c r="BP35" i="5"/>
  <c r="BQ35" i="5"/>
  <c r="BR35" i="5"/>
  <c r="BS35" i="5"/>
  <c r="BT35" i="5"/>
  <c r="BU35" i="5"/>
  <c r="BV35" i="5"/>
  <c r="BW35" i="5"/>
  <c r="BX35" i="5"/>
  <c r="BY35" i="5"/>
  <c r="BZ35" i="5"/>
  <c r="BH36" i="5"/>
  <c r="BI36" i="5"/>
  <c r="BJ36" i="5"/>
  <c r="BK36" i="5"/>
  <c r="BL36" i="5"/>
  <c r="BM36" i="5"/>
  <c r="BN36" i="5"/>
  <c r="BO36" i="5"/>
  <c r="BP36" i="5"/>
  <c r="BQ36" i="5"/>
  <c r="BR36" i="5"/>
  <c r="BS36" i="5"/>
  <c r="BT36" i="5"/>
  <c r="BU36" i="5"/>
  <c r="BV36" i="5"/>
  <c r="BW36" i="5"/>
  <c r="BX36" i="5"/>
  <c r="BY36" i="5"/>
  <c r="BZ36" i="5"/>
  <c r="BH24" i="5"/>
  <c r="BI24" i="5"/>
  <c r="BJ24" i="5"/>
  <c r="BK24" i="5"/>
  <c r="BL24" i="5"/>
  <c r="BM24" i="5"/>
  <c r="BN24" i="5"/>
  <c r="BO24" i="5"/>
  <c r="BP24" i="5"/>
  <c r="BQ24" i="5"/>
  <c r="BR24" i="5"/>
  <c r="BS24" i="5"/>
  <c r="BT24" i="5"/>
  <c r="BU24" i="5"/>
  <c r="BV24" i="5"/>
  <c r="BW24" i="5"/>
  <c r="BX24" i="5"/>
  <c r="BY24" i="5"/>
  <c r="BZ24" i="5"/>
  <c r="BH25" i="5"/>
  <c r="BI25" i="5"/>
  <c r="BJ25" i="5"/>
  <c r="BK25" i="5"/>
  <c r="BL25" i="5"/>
  <c r="BM25" i="5"/>
  <c r="BN25" i="5"/>
  <c r="BO25" i="5"/>
  <c r="BP25" i="5"/>
  <c r="BQ25" i="5"/>
  <c r="BR25" i="5"/>
  <c r="BS25" i="5"/>
  <c r="BT25" i="5"/>
  <c r="BU25" i="5"/>
  <c r="BV25" i="5"/>
  <c r="BW25" i="5"/>
  <c r="BX25" i="5"/>
  <c r="BY25" i="5"/>
  <c r="BZ25" i="5"/>
  <c r="BH26" i="5"/>
  <c r="BI26" i="5"/>
  <c r="BJ26" i="5"/>
  <c r="BK26" i="5"/>
  <c r="BL26" i="5"/>
  <c r="BM26" i="5"/>
  <c r="BN26" i="5"/>
  <c r="BO26" i="5"/>
  <c r="BP26" i="5"/>
  <c r="BQ26" i="5"/>
  <c r="BR26" i="5"/>
  <c r="BS26" i="5"/>
  <c r="BT26" i="5"/>
  <c r="BU26" i="5"/>
  <c r="BV26" i="5"/>
  <c r="BW26" i="5"/>
  <c r="BX26" i="5"/>
  <c r="BY26" i="5"/>
  <c r="BZ26" i="5"/>
  <c r="BH27" i="5"/>
  <c r="BI27" i="5"/>
  <c r="BJ27" i="5"/>
  <c r="BK27" i="5"/>
  <c r="BL27" i="5"/>
  <c r="BM27" i="5"/>
  <c r="BN27" i="5"/>
  <c r="BO27" i="5"/>
  <c r="BP27" i="5"/>
  <c r="BQ27" i="5"/>
  <c r="BR27" i="5"/>
  <c r="BS27" i="5"/>
  <c r="BT27" i="5"/>
  <c r="BU27" i="5"/>
  <c r="BV27" i="5"/>
  <c r="BW27" i="5"/>
  <c r="BX27" i="5"/>
  <c r="BY27" i="5"/>
  <c r="BZ27" i="5"/>
  <c r="BH19" i="5"/>
  <c r="BI19" i="5"/>
  <c r="BJ19" i="5"/>
  <c r="BK19" i="5"/>
  <c r="BL19" i="5"/>
  <c r="BM19" i="5"/>
  <c r="BN19" i="5"/>
  <c r="BO19" i="5"/>
  <c r="BP19" i="5"/>
  <c r="BQ19" i="5"/>
  <c r="BR19" i="5"/>
  <c r="BS19" i="5"/>
  <c r="BT19" i="5"/>
  <c r="BU19" i="5"/>
  <c r="BV19" i="5"/>
  <c r="BW19" i="5"/>
  <c r="BX19" i="5"/>
  <c r="BY19" i="5"/>
  <c r="BZ19" i="5"/>
  <c r="BH20" i="5"/>
  <c r="BI20" i="5"/>
  <c r="BJ20" i="5"/>
  <c r="BK20" i="5"/>
  <c r="BL20" i="5"/>
  <c r="BM20" i="5"/>
  <c r="BN20" i="5"/>
  <c r="BO20" i="5"/>
  <c r="BP20" i="5"/>
  <c r="BQ20" i="5"/>
  <c r="BR20" i="5"/>
  <c r="BS20" i="5"/>
  <c r="BT20" i="5"/>
  <c r="BU20" i="5"/>
  <c r="BV20" i="5"/>
  <c r="BW20" i="5"/>
  <c r="BX20" i="5"/>
  <c r="BY20" i="5"/>
  <c r="BZ20" i="5"/>
  <c r="BH21" i="5"/>
  <c r="BI21" i="5"/>
  <c r="BJ21" i="5"/>
  <c r="BK21" i="5"/>
  <c r="BL21" i="5"/>
  <c r="BM21" i="5"/>
  <c r="BN21" i="5"/>
  <c r="BO21" i="5"/>
  <c r="BP21" i="5"/>
  <c r="BQ21" i="5"/>
  <c r="BR21" i="5"/>
  <c r="BS21" i="5"/>
  <c r="BT21" i="5"/>
  <c r="BU21" i="5"/>
  <c r="BV21" i="5"/>
  <c r="BW21" i="5"/>
  <c r="BX21" i="5"/>
  <c r="BY21" i="5"/>
  <c r="BZ21" i="5"/>
  <c r="BH14" i="5"/>
  <c r="BI14" i="5"/>
  <c r="BJ14" i="5"/>
  <c r="BK14" i="5"/>
  <c r="BL14" i="5"/>
  <c r="BM14" i="5"/>
  <c r="BN14" i="5"/>
  <c r="BO14" i="5"/>
  <c r="BP14" i="5"/>
  <c r="BQ14" i="5"/>
  <c r="BR14" i="5"/>
  <c r="BS14" i="5"/>
  <c r="BT14" i="5"/>
  <c r="BU14" i="5"/>
  <c r="BV14" i="5"/>
  <c r="BW14" i="5"/>
  <c r="BX14" i="5"/>
  <c r="BY14" i="5"/>
  <c r="BZ14" i="5"/>
  <c r="BH15" i="5"/>
  <c r="BI15" i="5"/>
  <c r="BJ15" i="5"/>
  <c r="BK15" i="5"/>
  <c r="BL15" i="5"/>
  <c r="BM15" i="5"/>
  <c r="BN15" i="5"/>
  <c r="BO15" i="5"/>
  <c r="BP15" i="5"/>
  <c r="BQ15" i="5"/>
  <c r="BR15" i="5"/>
  <c r="BS15" i="5"/>
  <c r="BT15" i="5"/>
  <c r="BU15" i="5"/>
  <c r="BV15" i="5"/>
  <c r="BW15" i="5"/>
  <c r="BX15" i="5"/>
  <c r="BY15" i="5"/>
  <c r="BZ15" i="5"/>
  <c r="BI6" i="5"/>
  <c r="BJ6" i="5"/>
  <c r="BK6" i="5"/>
  <c r="BL6" i="5"/>
  <c r="BM6" i="5"/>
  <c r="BN6" i="5"/>
  <c r="BO6" i="5"/>
  <c r="BP6" i="5"/>
  <c r="BQ6" i="5"/>
  <c r="BR6" i="5"/>
  <c r="BS6" i="5"/>
  <c r="BT6" i="5"/>
  <c r="BU6" i="5"/>
  <c r="BV6" i="5"/>
  <c r="BW6" i="5"/>
  <c r="BX6" i="5"/>
  <c r="BY6" i="5"/>
  <c r="BZ6" i="5"/>
  <c r="BI7" i="5"/>
  <c r="BJ7" i="5"/>
  <c r="BK7" i="5"/>
  <c r="BL7" i="5"/>
  <c r="BM7" i="5"/>
  <c r="BN7" i="5"/>
  <c r="BO7" i="5"/>
  <c r="BP7" i="5"/>
  <c r="BQ7" i="5"/>
  <c r="BR7" i="5"/>
  <c r="BS7" i="5"/>
  <c r="BT7" i="5"/>
  <c r="BU7" i="5"/>
  <c r="BV7" i="5"/>
  <c r="BW7" i="5"/>
  <c r="BX7" i="5"/>
  <c r="BY7" i="5"/>
  <c r="BZ7" i="5"/>
  <c r="BI8" i="5"/>
  <c r="BJ8" i="5"/>
  <c r="BK8" i="5"/>
  <c r="BL8" i="5"/>
  <c r="BM8" i="5"/>
  <c r="BN8" i="5"/>
  <c r="BO8" i="5"/>
  <c r="BP8" i="5"/>
  <c r="BQ8" i="5"/>
  <c r="BR8" i="5"/>
  <c r="BS8" i="5"/>
  <c r="BT8" i="5"/>
  <c r="BU8" i="5"/>
  <c r="BV8" i="5"/>
  <c r="BW8" i="5"/>
  <c r="BX8" i="5"/>
  <c r="BY8" i="5"/>
  <c r="BZ8" i="5"/>
  <c r="BI9" i="5"/>
  <c r="BJ9" i="5"/>
  <c r="BK9" i="5"/>
  <c r="BL9" i="5"/>
  <c r="BM9" i="5"/>
  <c r="BN9" i="5"/>
  <c r="BO9" i="5"/>
  <c r="BP9" i="5"/>
  <c r="BQ9" i="5"/>
  <c r="BR9" i="5"/>
  <c r="BS9" i="5"/>
  <c r="BT9" i="5"/>
  <c r="BU9" i="5"/>
  <c r="BV9" i="5"/>
  <c r="BW9" i="5"/>
  <c r="BX9" i="5"/>
  <c r="BY9" i="5"/>
  <c r="BZ9" i="5"/>
  <c r="BI10" i="5"/>
  <c r="BJ10" i="5"/>
  <c r="BK10" i="5"/>
  <c r="BL10" i="5"/>
  <c r="BM10" i="5"/>
  <c r="BN10" i="5"/>
  <c r="BO10" i="5"/>
  <c r="BP10" i="5"/>
  <c r="BQ10" i="5"/>
  <c r="BR10" i="5"/>
  <c r="BS10" i="5"/>
  <c r="BT10" i="5"/>
  <c r="BU10" i="5"/>
  <c r="BV10" i="5"/>
  <c r="BW10" i="5"/>
  <c r="BX10" i="5"/>
  <c r="BY10" i="5"/>
  <c r="BZ10" i="5"/>
  <c r="BG56" i="6"/>
  <c r="BH56" i="6"/>
  <c r="BI56" i="6"/>
  <c r="BJ56" i="6"/>
  <c r="BK56" i="6"/>
  <c r="BL56" i="6"/>
  <c r="BM56" i="6"/>
  <c r="BN56" i="6"/>
  <c r="BO56" i="6"/>
  <c r="BP56" i="6"/>
  <c r="BQ56" i="6"/>
  <c r="BR56" i="6"/>
  <c r="BS56" i="6"/>
  <c r="BT56" i="6"/>
  <c r="BU56" i="6"/>
  <c r="BV56" i="6"/>
  <c r="BW56" i="6"/>
  <c r="BX56" i="6"/>
  <c r="BG50" i="6"/>
  <c r="BH50" i="6"/>
  <c r="BI50" i="6"/>
  <c r="BJ50" i="6"/>
  <c r="BK50" i="6"/>
  <c r="BL50" i="6"/>
  <c r="BM50" i="6"/>
  <c r="BN50" i="6"/>
  <c r="BO50" i="6"/>
  <c r="BP50" i="6"/>
  <c r="BQ50" i="6"/>
  <c r="BR50" i="6"/>
  <c r="BS50" i="6"/>
  <c r="BT50" i="6"/>
  <c r="BU50" i="6"/>
  <c r="BV50" i="6"/>
  <c r="BW50" i="6"/>
  <c r="BX50" i="6"/>
  <c r="BG51" i="6"/>
  <c r="BH51" i="6"/>
  <c r="BI51" i="6"/>
  <c r="BJ51" i="6"/>
  <c r="BK51" i="6"/>
  <c r="BL51" i="6"/>
  <c r="BM51" i="6"/>
  <c r="BN51" i="6"/>
  <c r="BO51" i="6"/>
  <c r="BP51" i="6"/>
  <c r="BQ51" i="6"/>
  <c r="BR51" i="6"/>
  <c r="BS51" i="6"/>
  <c r="BT51" i="6"/>
  <c r="BU51" i="6"/>
  <c r="BV51" i="6"/>
  <c r="BW51" i="6"/>
  <c r="BX51" i="6"/>
  <c r="BG52" i="6"/>
  <c r="BH52" i="6"/>
  <c r="BI52" i="6"/>
  <c r="BJ52" i="6"/>
  <c r="BK52" i="6"/>
  <c r="BL52" i="6"/>
  <c r="BM52" i="6"/>
  <c r="BN52" i="6"/>
  <c r="BO52" i="6"/>
  <c r="BP52" i="6"/>
  <c r="BQ52" i="6"/>
  <c r="BR52" i="6"/>
  <c r="BS52" i="6"/>
  <c r="BT52" i="6"/>
  <c r="BU52" i="6"/>
  <c r="BV52" i="6"/>
  <c r="BW52" i="6"/>
  <c r="BX52" i="6"/>
  <c r="BG53" i="6"/>
  <c r="BH53" i="6"/>
  <c r="BI53" i="6"/>
  <c r="BJ53" i="6"/>
  <c r="BK53" i="6"/>
  <c r="BL53" i="6"/>
  <c r="BM53" i="6"/>
  <c r="BN53" i="6"/>
  <c r="BO53" i="6"/>
  <c r="BP53" i="6"/>
  <c r="BQ53" i="6"/>
  <c r="BR53" i="6"/>
  <c r="BS53" i="6"/>
  <c r="BT53" i="6"/>
  <c r="BU53" i="6"/>
  <c r="BV53" i="6"/>
  <c r="BW53" i="6"/>
  <c r="BX53" i="6"/>
  <c r="BG47" i="6"/>
  <c r="BH47" i="6"/>
  <c r="BI47" i="6"/>
  <c r="BJ47" i="6"/>
  <c r="BK47" i="6"/>
  <c r="BL47" i="6"/>
  <c r="BM47" i="6"/>
  <c r="BN47" i="6"/>
  <c r="BO47" i="6"/>
  <c r="BP47" i="6"/>
  <c r="BQ47" i="6"/>
  <c r="BR47" i="6"/>
  <c r="BS47" i="6"/>
  <c r="BT47" i="6"/>
  <c r="BU47" i="6"/>
  <c r="BV47" i="6"/>
  <c r="BW47" i="6"/>
  <c r="BX47" i="6"/>
  <c r="BF48" i="6"/>
  <c r="BG48" i="6"/>
  <c r="BH48" i="6"/>
  <c r="BI48" i="6"/>
  <c r="BJ48" i="6"/>
  <c r="BK48" i="6"/>
  <c r="BL48" i="6"/>
  <c r="BM48" i="6"/>
  <c r="BN48" i="6"/>
  <c r="BO48" i="6"/>
  <c r="BP48" i="6"/>
  <c r="BQ48" i="6"/>
  <c r="BR48" i="6"/>
  <c r="BS48" i="6"/>
  <c r="BT48" i="6"/>
  <c r="BU48" i="6"/>
  <c r="BV48" i="6"/>
  <c r="BW48" i="6"/>
  <c r="BX48" i="6"/>
  <c r="BF49" i="6"/>
  <c r="BG49" i="6"/>
  <c r="BH49" i="6"/>
  <c r="BI49" i="6"/>
  <c r="BJ49" i="6"/>
  <c r="BK49" i="6"/>
  <c r="BL49" i="6"/>
  <c r="BM49" i="6"/>
  <c r="BN49" i="6"/>
  <c r="BO49" i="6"/>
  <c r="BP49" i="6"/>
  <c r="BQ49" i="6"/>
  <c r="BR49" i="6"/>
  <c r="BS49" i="6"/>
  <c r="BT49" i="6"/>
  <c r="BU49" i="6"/>
  <c r="BV49" i="6"/>
  <c r="BW49" i="6"/>
  <c r="BX49" i="6"/>
  <c r="BG43" i="6"/>
  <c r="BH43" i="6"/>
  <c r="BI43" i="6"/>
  <c r="BJ43" i="6"/>
  <c r="BK43" i="6"/>
  <c r="BL43" i="6"/>
  <c r="BM43" i="6"/>
  <c r="BN43" i="6"/>
  <c r="BO43" i="6"/>
  <c r="BP43" i="6"/>
  <c r="BQ43" i="6"/>
  <c r="BR43" i="6"/>
  <c r="BS43" i="6"/>
  <c r="BT43" i="6"/>
  <c r="BU43" i="6"/>
  <c r="BV43" i="6"/>
  <c r="BW43" i="6"/>
  <c r="BX43" i="6"/>
  <c r="BG44" i="6"/>
  <c r="BH44" i="6"/>
  <c r="BI44" i="6"/>
  <c r="BJ44" i="6"/>
  <c r="BK44" i="6"/>
  <c r="BL44" i="6"/>
  <c r="BM44" i="6"/>
  <c r="BN44" i="6"/>
  <c r="BO44" i="6"/>
  <c r="BP44" i="6"/>
  <c r="BQ44" i="6"/>
  <c r="BR44" i="6"/>
  <c r="BS44" i="6"/>
  <c r="BT44" i="6"/>
  <c r="BU44" i="6"/>
  <c r="BV44" i="6"/>
  <c r="BW44" i="6"/>
  <c r="BX44" i="6"/>
  <c r="BG42" i="6"/>
  <c r="BG41" i="6" s="1"/>
  <c r="BH42" i="6"/>
  <c r="BH41" i="6" s="1"/>
  <c r="BI42" i="6"/>
  <c r="BI41" i="6" s="1"/>
  <c r="BJ42" i="6"/>
  <c r="BJ41" i="6" s="1"/>
  <c r="BK42" i="6"/>
  <c r="BK41" i="6" s="1"/>
  <c r="BL42" i="6"/>
  <c r="BL41" i="6" s="1"/>
  <c r="BM42" i="6"/>
  <c r="BM41" i="6" s="1"/>
  <c r="BN42" i="6"/>
  <c r="BN41" i="6" s="1"/>
  <c r="BO42" i="6"/>
  <c r="BO41" i="6" s="1"/>
  <c r="BP42" i="6"/>
  <c r="BP41" i="6" s="1"/>
  <c r="BQ42" i="6"/>
  <c r="BQ41" i="6" s="1"/>
  <c r="BR42" i="6"/>
  <c r="BR41" i="6" s="1"/>
  <c r="BS42" i="6"/>
  <c r="BS41" i="6" s="1"/>
  <c r="BT42" i="6"/>
  <c r="BT41" i="6" s="1"/>
  <c r="BU42" i="6"/>
  <c r="BU41" i="6" s="1"/>
  <c r="BV42" i="6"/>
  <c r="BV41" i="6" s="1"/>
  <c r="BW42" i="6"/>
  <c r="BW41" i="6" s="1"/>
  <c r="BX42" i="6"/>
  <c r="BX41" i="6" s="1"/>
  <c r="BF38" i="6"/>
  <c r="BG38" i="6"/>
  <c r="BH38" i="6"/>
  <c r="BI38" i="6"/>
  <c r="BJ38" i="6"/>
  <c r="BK38" i="6"/>
  <c r="BL38" i="6"/>
  <c r="BM38" i="6"/>
  <c r="BN38" i="6"/>
  <c r="BO38" i="6"/>
  <c r="BP38" i="6"/>
  <c r="BQ38" i="6"/>
  <c r="BR38" i="6"/>
  <c r="BS38" i="6"/>
  <c r="BT38" i="6"/>
  <c r="BU38" i="6"/>
  <c r="BV38" i="6"/>
  <c r="BW38" i="6"/>
  <c r="BX38" i="6"/>
  <c r="BF39" i="6"/>
  <c r="BG39" i="6"/>
  <c r="BH39" i="6"/>
  <c r="BI39" i="6"/>
  <c r="BJ39" i="6"/>
  <c r="BK39" i="6"/>
  <c r="BL39" i="6"/>
  <c r="BM39" i="6"/>
  <c r="BN39" i="6"/>
  <c r="BO39" i="6"/>
  <c r="BP39" i="6"/>
  <c r="BQ39" i="6"/>
  <c r="BR39" i="6"/>
  <c r="BS39" i="6"/>
  <c r="BT39" i="6"/>
  <c r="BU39" i="6"/>
  <c r="BV39" i="6"/>
  <c r="BW39" i="6"/>
  <c r="BX39" i="6"/>
  <c r="BG35" i="6"/>
  <c r="BH35" i="6"/>
  <c r="BI35" i="6"/>
  <c r="BJ35" i="6"/>
  <c r="BK35" i="6"/>
  <c r="BL35" i="6"/>
  <c r="BM35" i="6"/>
  <c r="BN35" i="6"/>
  <c r="BO35" i="6"/>
  <c r="BP35" i="6"/>
  <c r="BQ35" i="6"/>
  <c r="BR35" i="6"/>
  <c r="BS35" i="6"/>
  <c r="BT35" i="6"/>
  <c r="BU35" i="6"/>
  <c r="BV35" i="6"/>
  <c r="BW35" i="6"/>
  <c r="BX35" i="6"/>
  <c r="BG36" i="6"/>
  <c r="BH36" i="6"/>
  <c r="BI36" i="6"/>
  <c r="BJ36" i="6"/>
  <c r="BK36" i="6"/>
  <c r="BL36" i="6"/>
  <c r="BM36" i="6"/>
  <c r="BN36" i="6"/>
  <c r="BO36" i="6"/>
  <c r="BP36" i="6"/>
  <c r="BQ36" i="6"/>
  <c r="BR36" i="6"/>
  <c r="BS36" i="6"/>
  <c r="BT36" i="6"/>
  <c r="BU36" i="6"/>
  <c r="BV36" i="6"/>
  <c r="BW36" i="6"/>
  <c r="BX36" i="6"/>
  <c r="BG33" i="6"/>
  <c r="BH33" i="6"/>
  <c r="BI33" i="6"/>
  <c r="BJ33" i="6"/>
  <c r="BK33" i="6"/>
  <c r="BL33" i="6"/>
  <c r="BM33" i="6"/>
  <c r="BN33" i="6"/>
  <c r="BO33" i="6"/>
  <c r="BP33" i="6"/>
  <c r="BQ33" i="6"/>
  <c r="BR33" i="6"/>
  <c r="BS33" i="6"/>
  <c r="BT33" i="6"/>
  <c r="BU33" i="6"/>
  <c r="BV33" i="6"/>
  <c r="BW33" i="6"/>
  <c r="BX33" i="6"/>
  <c r="BG34" i="6"/>
  <c r="BH34" i="6"/>
  <c r="BI34" i="6"/>
  <c r="BJ34" i="6"/>
  <c r="BK34" i="6"/>
  <c r="BL34" i="6"/>
  <c r="BM34" i="6"/>
  <c r="BN34" i="6"/>
  <c r="BO34" i="6"/>
  <c r="BP34" i="6"/>
  <c r="BQ34" i="6"/>
  <c r="BR34" i="6"/>
  <c r="BS34" i="6"/>
  <c r="BT34" i="6"/>
  <c r="BU34" i="6"/>
  <c r="BV34" i="6"/>
  <c r="BW34" i="6"/>
  <c r="BX34" i="6"/>
  <c r="BG32" i="6"/>
  <c r="BG31" i="6" s="1"/>
  <c r="BH32" i="6"/>
  <c r="BH31" i="6" s="1"/>
  <c r="BI32" i="6"/>
  <c r="BI31" i="6" s="1"/>
  <c r="BJ32" i="6"/>
  <c r="BJ31" i="6" s="1"/>
  <c r="BK32" i="6"/>
  <c r="BK31" i="6" s="1"/>
  <c r="BL32" i="6"/>
  <c r="BL31" i="6" s="1"/>
  <c r="BM32" i="6"/>
  <c r="BM31" i="6" s="1"/>
  <c r="BN32" i="6"/>
  <c r="BN31" i="6" s="1"/>
  <c r="BO32" i="6"/>
  <c r="BO31" i="6" s="1"/>
  <c r="BP32" i="6"/>
  <c r="BP31" i="6" s="1"/>
  <c r="BQ32" i="6"/>
  <c r="BQ31" i="6" s="1"/>
  <c r="BR32" i="6"/>
  <c r="BR31" i="6" s="1"/>
  <c r="BS32" i="6"/>
  <c r="BS31" i="6" s="1"/>
  <c r="BT32" i="6"/>
  <c r="BT31" i="6" s="1"/>
  <c r="BU32" i="6"/>
  <c r="BU31" i="6" s="1"/>
  <c r="BV32" i="6"/>
  <c r="BV31" i="6" s="1"/>
  <c r="BW32" i="6"/>
  <c r="BW31" i="6" s="1"/>
  <c r="BX32" i="6"/>
  <c r="BX31" i="6" s="1"/>
  <c r="BG28" i="6"/>
  <c r="BH28" i="6"/>
  <c r="BI28" i="6"/>
  <c r="BJ28" i="6"/>
  <c r="BK28" i="6"/>
  <c r="BL28" i="6"/>
  <c r="BM28" i="6"/>
  <c r="BN28" i="6"/>
  <c r="BO28" i="6"/>
  <c r="BP28" i="6"/>
  <c r="BQ28" i="6"/>
  <c r="BR28" i="6"/>
  <c r="BS28" i="6"/>
  <c r="BT28" i="6"/>
  <c r="BU28" i="6"/>
  <c r="BV28" i="6"/>
  <c r="BW28" i="6"/>
  <c r="BX28" i="6"/>
  <c r="BG29" i="6"/>
  <c r="BH29" i="6"/>
  <c r="BI29" i="6"/>
  <c r="BJ29" i="6"/>
  <c r="BK29" i="6"/>
  <c r="BL29" i="6"/>
  <c r="BM29" i="6"/>
  <c r="BN29" i="6"/>
  <c r="BO29" i="6"/>
  <c r="BP29" i="6"/>
  <c r="BQ29" i="6"/>
  <c r="BR29" i="6"/>
  <c r="BS29" i="6"/>
  <c r="BT29" i="6"/>
  <c r="BU29" i="6"/>
  <c r="BV29" i="6"/>
  <c r="BW29" i="6"/>
  <c r="BX29" i="6"/>
  <c r="BG27" i="6"/>
  <c r="BG26" i="6" s="1"/>
  <c r="BH27" i="6"/>
  <c r="BH26" i="6" s="1"/>
  <c r="BI27" i="6"/>
  <c r="BI26" i="6" s="1"/>
  <c r="BJ27" i="6"/>
  <c r="BJ26" i="6" s="1"/>
  <c r="BK27" i="6"/>
  <c r="BK26" i="6" s="1"/>
  <c r="BL27" i="6"/>
  <c r="BL26" i="6" s="1"/>
  <c r="BM27" i="6"/>
  <c r="BM26" i="6" s="1"/>
  <c r="BN27" i="6"/>
  <c r="BN26" i="6" s="1"/>
  <c r="BO27" i="6"/>
  <c r="BO26" i="6" s="1"/>
  <c r="BP27" i="6"/>
  <c r="BP26" i="6" s="1"/>
  <c r="BQ27" i="6"/>
  <c r="BQ26" i="6" s="1"/>
  <c r="BR27" i="6"/>
  <c r="BR26" i="6" s="1"/>
  <c r="BS27" i="6"/>
  <c r="BS26" i="6" s="1"/>
  <c r="BT27" i="6"/>
  <c r="BT26" i="6" s="1"/>
  <c r="BU27" i="6"/>
  <c r="BU26" i="6" s="1"/>
  <c r="BV27" i="6"/>
  <c r="BV26" i="6" s="1"/>
  <c r="BW27" i="6"/>
  <c r="BW26" i="6" s="1"/>
  <c r="BX27" i="6"/>
  <c r="BX26" i="6" s="1"/>
  <c r="BH18" i="6"/>
  <c r="BI18" i="6"/>
  <c r="BJ18" i="6"/>
  <c r="BK18" i="6"/>
  <c r="BL18" i="6"/>
  <c r="BM18" i="6"/>
  <c r="BN18" i="6"/>
  <c r="BO18" i="6"/>
  <c r="BP18" i="6"/>
  <c r="BQ18" i="6"/>
  <c r="BR18" i="6"/>
  <c r="BS18" i="6"/>
  <c r="BT18" i="6"/>
  <c r="BU18" i="6"/>
  <c r="BV18" i="6"/>
  <c r="BW18" i="6"/>
  <c r="BX18" i="6"/>
  <c r="BH19" i="6"/>
  <c r="BI19" i="6"/>
  <c r="BJ19" i="6"/>
  <c r="BK19" i="6"/>
  <c r="BL19" i="6"/>
  <c r="BM19" i="6"/>
  <c r="BN19" i="6"/>
  <c r="BO19" i="6"/>
  <c r="BP19" i="6"/>
  <c r="BQ19" i="6"/>
  <c r="BR19" i="6"/>
  <c r="BS19" i="6"/>
  <c r="BT19" i="6"/>
  <c r="BU19" i="6"/>
  <c r="BV19" i="6"/>
  <c r="BW19" i="6"/>
  <c r="BX19" i="6"/>
  <c r="BH20" i="6"/>
  <c r="BI20" i="6"/>
  <c r="BJ20" i="6"/>
  <c r="BK20" i="6"/>
  <c r="BL20" i="6"/>
  <c r="BM20" i="6"/>
  <c r="BN20" i="6"/>
  <c r="BO20" i="6"/>
  <c r="BP20" i="6"/>
  <c r="BQ20" i="6"/>
  <c r="BR20" i="6"/>
  <c r="BS20" i="6"/>
  <c r="BT20" i="6"/>
  <c r="BU20" i="6"/>
  <c r="BV20" i="6"/>
  <c r="BW20" i="6"/>
  <c r="BX20" i="6"/>
  <c r="BH21" i="6"/>
  <c r="BI21" i="6"/>
  <c r="BJ21" i="6"/>
  <c r="BK21" i="6"/>
  <c r="BL21" i="6"/>
  <c r="BM21" i="6"/>
  <c r="BN21" i="6"/>
  <c r="BO21" i="6"/>
  <c r="BP21" i="6"/>
  <c r="BQ21" i="6"/>
  <c r="BR21" i="6"/>
  <c r="BS21" i="6"/>
  <c r="BT21" i="6"/>
  <c r="BU21" i="6"/>
  <c r="BV21" i="6"/>
  <c r="BW21" i="6"/>
  <c r="BX21" i="6"/>
  <c r="BH23" i="6"/>
  <c r="BI23" i="6"/>
  <c r="BJ23" i="6"/>
  <c r="BK23" i="6"/>
  <c r="BL23" i="6"/>
  <c r="BM23" i="6"/>
  <c r="BN23" i="6"/>
  <c r="BO23" i="6"/>
  <c r="BP23" i="6"/>
  <c r="BQ23" i="6"/>
  <c r="BR23" i="6"/>
  <c r="BS23" i="6"/>
  <c r="BT23" i="6"/>
  <c r="BU23" i="6"/>
  <c r="BV23" i="6"/>
  <c r="BW23" i="6"/>
  <c r="BX23" i="6"/>
  <c r="BG14" i="6"/>
  <c r="BG15" i="6"/>
  <c r="BG5" i="6"/>
  <c r="BH5" i="6"/>
  <c r="BI5" i="6"/>
  <c r="BJ5" i="6"/>
  <c r="BK5" i="6"/>
  <c r="BL5" i="6"/>
  <c r="BM5" i="6"/>
  <c r="BN5" i="6"/>
  <c r="BO5" i="6"/>
  <c r="BP5" i="6"/>
  <c r="BQ5" i="6"/>
  <c r="BR5" i="6"/>
  <c r="BS5" i="6"/>
  <c r="BT5" i="6"/>
  <c r="BU5" i="6"/>
  <c r="BV5" i="6"/>
  <c r="BW5" i="6"/>
  <c r="BX5" i="6"/>
  <c r="BG6" i="6"/>
  <c r="BH6" i="6"/>
  <c r="BI6" i="6"/>
  <c r="BJ6" i="6"/>
  <c r="BK6" i="6"/>
  <c r="BL6" i="6"/>
  <c r="BM6" i="6"/>
  <c r="BN6" i="6"/>
  <c r="BO6" i="6"/>
  <c r="BP6" i="6"/>
  <c r="BQ6" i="6"/>
  <c r="BR6" i="6"/>
  <c r="BS6" i="6"/>
  <c r="BT6" i="6"/>
  <c r="BU6" i="6"/>
  <c r="BV6" i="6"/>
  <c r="BW6" i="6"/>
  <c r="BX6" i="6"/>
  <c r="BY6" i="6"/>
  <c r="BG7" i="6"/>
  <c r="BH7" i="6"/>
  <c r="BI7" i="6"/>
  <c r="BJ7" i="6"/>
  <c r="BK7" i="6"/>
  <c r="BL7" i="6"/>
  <c r="BM7" i="6"/>
  <c r="BN7" i="6"/>
  <c r="BO7" i="6"/>
  <c r="BP7" i="6"/>
  <c r="BQ7" i="6"/>
  <c r="BR7" i="6"/>
  <c r="BS7" i="6"/>
  <c r="BT7" i="6"/>
  <c r="BU7" i="6"/>
  <c r="BV7" i="6"/>
  <c r="BW7" i="6"/>
  <c r="BX7" i="6"/>
  <c r="BY7" i="6"/>
  <c r="BG8" i="6"/>
  <c r="BH8" i="6"/>
  <c r="BI8" i="6"/>
  <c r="BJ8" i="6"/>
  <c r="BK8" i="6"/>
  <c r="BL8" i="6"/>
  <c r="BM8" i="6"/>
  <c r="BN8" i="6"/>
  <c r="BO8" i="6"/>
  <c r="BP8" i="6"/>
  <c r="BQ8" i="6"/>
  <c r="BR8" i="6"/>
  <c r="BS8" i="6"/>
  <c r="BT8" i="6"/>
  <c r="BU8" i="6"/>
  <c r="BV8" i="6"/>
  <c r="BW8" i="6"/>
  <c r="BX8" i="6"/>
  <c r="BY8" i="6"/>
  <c r="BG9" i="6"/>
  <c r="BH9" i="6"/>
  <c r="BI9" i="6"/>
  <c r="BJ9" i="6"/>
  <c r="BK9" i="6"/>
  <c r="BL9" i="6"/>
  <c r="BM9" i="6"/>
  <c r="BN9" i="6"/>
  <c r="BO9" i="6"/>
  <c r="BP9" i="6"/>
  <c r="BQ9" i="6"/>
  <c r="BR9" i="6"/>
  <c r="BS9" i="6"/>
  <c r="BT9" i="6"/>
  <c r="BU9" i="6"/>
  <c r="BV9" i="6"/>
  <c r="BW9" i="6"/>
  <c r="BX9" i="6"/>
  <c r="BY9" i="6"/>
  <c r="BG10" i="6"/>
  <c r="BH10" i="6"/>
  <c r="BI10" i="6"/>
  <c r="BJ10" i="6"/>
  <c r="BK10" i="6"/>
  <c r="BL10" i="6"/>
  <c r="BM10" i="6"/>
  <c r="BN10" i="6"/>
  <c r="BO10" i="6"/>
  <c r="BP10" i="6"/>
  <c r="BQ10" i="6"/>
  <c r="BR10" i="6"/>
  <c r="BS10" i="6"/>
  <c r="BT10" i="6"/>
  <c r="BU10" i="6"/>
  <c r="BV10" i="6"/>
  <c r="BW10" i="6"/>
  <c r="BX10" i="6"/>
  <c r="BY10" i="6"/>
  <c r="BU37" i="7"/>
  <c r="BV37" i="7"/>
  <c r="BW37" i="7"/>
  <c r="BV35" i="7"/>
  <c r="BW35" i="7"/>
  <c r="BV33" i="7"/>
  <c r="BW33" i="7"/>
  <c r="BW29" i="7"/>
  <c r="BT30" i="7"/>
  <c r="BU30" i="7"/>
  <c r="BV30" i="7"/>
  <c r="BW30" i="7"/>
  <c r="BW23" i="7"/>
  <c r="BW20" i="7"/>
  <c r="BW19" i="7"/>
  <c r="BW12" i="7"/>
  <c r="BW7" i="7"/>
  <c r="BV4" i="7"/>
  <c r="BW4" i="7"/>
  <c r="BW3" i="7"/>
  <c r="BV57" i="4"/>
  <c r="BW57" i="4"/>
  <c r="BU57" i="4"/>
  <c r="BW56" i="4"/>
  <c r="BW55" i="4"/>
  <c r="BW49" i="4"/>
  <c r="BW45" i="4"/>
  <c r="BW40" i="4"/>
  <c r="BW33" i="4"/>
  <c r="BW32" i="4"/>
  <c r="BW27" i="4"/>
  <c r="BW21" i="4"/>
  <c r="BW17" i="4"/>
  <c r="BW14" i="4"/>
  <c r="BW8" i="4"/>
  <c r="BW4" i="4"/>
  <c r="BS7" i="7"/>
  <c r="BT7" i="7"/>
  <c r="BU7" i="7"/>
  <c r="BV7" i="7"/>
  <c r="BS23" i="7"/>
  <c r="BT23" i="7"/>
  <c r="BU23" i="7"/>
  <c r="BV23" i="7"/>
  <c r="BS20" i="7"/>
  <c r="BT20" i="7"/>
  <c r="BU20" i="7"/>
  <c r="BV20" i="7"/>
  <c r="BS12" i="7"/>
  <c r="BT12" i="7"/>
  <c r="BU12" i="7"/>
  <c r="BV12" i="7"/>
  <c r="BS4" i="7"/>
  <c r="BT4" i="7"/>
  <c r="BU4" i="7"/>
  <c r="BS3" i="7"/>
  <c r="BS19" i="7" s="1"/>
  <c r="BS29" i="7" s="1"/>
  <c r="BS33" i="7" s="1"/>
  <c r="BS35" i="7" s="1"/>
  <c r="BS37" i="7" s="1"/>
  <c r="BT3" i="7"/>
  <c r="BT19" i="7" s="1"/>
  <c r="BT29" i="7" s="1"/>
  <c r="BT33" i="7" s="1"/>
  <c r="BT35" i="7" s="1"/>
  <c r="BT37" i="7" s="1"/>
  <c r="BU3" i="7"/>
  <c r="BU19" i="7" s="1"/>
  <c r="BU29" i="7" s="1"/>
  <c r="BU33" i="7" s="1"/>
  <c r="BU35" i="7" s="1"/>
  <c r="BV3" i="7"/>
  <c r="BV19" i="7" s="1"/>
  <c r="BV29" i="7" s="1"/>
  <c r="BS56" i="4"/>
  <c r="BT56" i="4"/>
  <c r="BU56" i="4"/>
  <c r="BV56" i="4"/>
  <c r="BS55" i="4"/>
  <c r="BT55" i="4"/>
  <c r="BU55" i="4"/>
  <c r="BV55" i="4"/>
  <c r="BS49" i="4"/>
  <c r="BT49" i="4"/>
  <c r="BU49" i="4"/>
  <c r="BV49" i="4"/>
  <c r="BS45" i="4"/>
  <c r="BT45" i="4"/>
  <c r="BU45" i="4"/>
  <c r="BV45" i="4"/>
  <c r="BS40" i="4"/>
  <c r="BT40" i="4"/>
  <c r="BU40" i="4"/>
  <c r="BV40" i="4"/>
  <c r="BS33" i="4"/>
  <c r="BT33" i="4"/>
  <c r="BU33" i="4"/>
  <c r="BV33" i="4"/>
  <c r="BS32" i="4"/>
  <c r="BT32" i="4"/>
  <c r="BU32" i="4"/>
  <c r="BV32" i="4"/>
  <c r="BS27" i="4"/>
  <c r="BT27" i="4"/>
  <c r="BU27" i="4"/>
  <c r="BV27" i="4"/>
  <c r="BS21" i="4"/>
  <c r="BT21" i="4"/>
  <c r="BU21" i="4"/>
  <c r="BV21" i="4"/>
  <c r="BS17" i="4"/>
  <c r="BT17" i="4"/>
  <c r="BU17" i="4"/>
  <c r="BV17" i="4"/>
  <c r="BS14" i="4"/>
  <c r="BT14" i="4"/>
  <c r="BU14" i="4"/>
  <c r="BV14" i="4"/>
  <c r="BS8" i="4"/>
  <c r="BT8" i="4"/>
  <c r="BU8" i="4"/>
  <c r="BV8" i="4"/>
  <c r="BS4" i="4"/>
  <c r="BT4" i="4"/>
  <c r="BU4" i="4"/>
  <c r="BV4" i="4"/>
  <c r="BS11" i="7"/>
  <c r="BS24" i="7"/>
  <c r="BS34" i="7"/>
  <c r="BS28" i="7"/>
  <c r="BS27" i="7"/>
  <c r="BS26" i="7"/>
  <c r="BS25" i="7"/>
  <c r="BS6" i="7"/>
  <c r="BS5" i="7"/>
  <c r="BG49" i="4"/>
  <c r="BG45" i="4"/>
  <c r="BG55" i="4"/>
  <c r="BS5" i="4"/>
  <c r="BS6" i="4"/>
  <c r="BS7" i="4"/>
  <c r="BS42" i="4"/>
  <c r="BS46" i="4"/>
  <c r="BS47" i="4"/>
  <c r="BS53" i="4"/>
  <c r="BG33" i="4"/>
  <c r="BH33" i="4"/>
  <c r="BI33" i="4"/>
  <c r="BJ33" i="4"/>
  <c r="BK33" i="4"/>
  <c r="BL33" i="4"/>
  <c r="BM33" i="4"/>
  <c r="BN33" i="4"/>
  <c r="BO33" i="4"/>
  <c r="BP33" i="4"/>
  <c r="BQ33" i="4"/>
  <c r="BR33" i="4"/>
  <c r="BH49" i="4"/>
  <c r="BI49" i="4"/>
  <c r="BJ49" i="4"/>
  <c r="BK49" i="4"/>
  <c r="BL49" i="4"/>
  <c r="BM49" i="4"/>
  <c r="BN49" i="4"/>
  <c r="BO49" i="4"/>
  <c r="BP49" i="4"/>
  <c r="BQ49" i="4"/>
  <c r="BR49" i="4"/>
  <c r="BG21" i="4"/>
  <c r="BH21" i="4"/>
  <c r="BI21" i="4"/>
  <c r="BJ21" i="4"/>
  <c r="BK21" i="4"/>
  <c r="BL21" i="4"/>
  <c r="BM21" i="4"/>
  <c r="BN21" i="4"/>
  <c r="BO21" i="4"/>
  <c r="BP21" i="4"/>
  <c r="BQ21" i="4"/>
  <c r="BR21" i="4"/>
  <c r="BG17" i="4"/>
  <c r="BH17" i="4"/>
  <c r="BI17" i="4"/>
  <c r="BJ17" i="4"/>
  <c r="BK17" i="4"/>
  <c r="BL17" i="4"/>
  <c r="BM17" i="4"/>
  <c r="BN17" i="4"/>
  <c r="BO17" i="4"/>
  <c r="BP17" i="4"/>
  <c r="BQ17" i="4"/>
  <c r="BR17" i="4"/>
  <c r="BH45" i="4"/>
  <c r="BI45" i="4"/>
  <c r="BI55" i="4"/>
  <c r="BJ45" i="4"/>
  <c r="BK45" i="4"/>
  <c r="BK55" i="4"/>
  <c r="BL45" i="4"/>
  <c r="BM45" i="4"/>
  <c r="BM55" i="4"/>
  <c r="BN45" i="4"/>
  <c r="BO45" i="4"/>
  <c r="BP45" i="4"/>
  <c r="BQ45" i="4"/>
  <c r="BR45" i="4"/>
  <c r="BG32" i="4"/>
  <c r="BG40" i="4"/>
  <c r="BG56" i="4"/>
  <c r="BH32" i="4"/>
  <c r="BH40" i="4"/>
  <c r="BI32" i="4"/>
  <c r="BJ32" i="4"/>
  <c r="BK32" i="4"/>
  <c r="BK40" i="4"/>
  <c r="BL32" i="4"/>
  <c r="BL40" i="4"/>
  <c r="BM32" i="4"/>
  <c r="BN32" i="4"/>
  <c r="BN40" i="4"/>
  <c r="BO32" i="4"/>
  <c r="BO40" i="4"/>
  <c r="BP32" i="4"/>
  <c r="BP40" i="4"/>
  <c r="BQ32" i="4"/>
  <c r="BR32" i="4"/>
  <c r="BG14" i="4"/>
  <c r="BH14" i="4"/>
  <c r="BI14" i="4"/>
  <c r="BJ14" i="4"/>
  <c r="BK14" i="4"/>
  <c r="BL14" i="4"/>
  <c r="BM14" i="4"/>
  <c r="BN14" i="4"/>
  <c r="BO14" i="4"/>
  <c r="BP14" i="4"/>
  <c r="BQ14" i="4"/>
  <c r="BR14" i="4"/>
  <c r="BG8" i="4"/>
  <c r="BH8" i="4"/>
  <c r="BI8" i="4"/>
  <c r="BJ8" i="4"/>
  <c r="BK8" i="4"/>
  <c r="BL8" i="4"/>
  <c r="BM8" i="4"/>
  <c r="BN8" i="4"/>
  <c r="BO8" i="4"/>
  <c r="BP8" i="4"/>
  <c r="BP27" i="4"/>
  <c r="BQ8" i="4"/>
  <c r="BR8" i="4"/>
  <c r="BG4" i="4"/>
  <c r="BH4" i="4"/>
  <c r="BI4" i="4"/>
  <c r="BJ4" i="4"/>
  <c r="BK4" i="4"/>
  <c r="BL4" i="4"/>
  <c r="BM4" i="4"/>
  <c r="BN4" i="4"/>
  <c r="BO4" i="4"/>
  <c r="BP4" i="4"/>
  <c r="BQ4" i="4"/>
  <c r="BR4" i="4"/>
  <c r="BF29" i="4"/>
  <c r="BS30" i="7"/>
  <c r="BG30" i="7"/>
  <c r="BH30" i="7"/>
  <c r="BI30" i="7"/>
  <c r="BJ30" i="7"/>
  <c r="BK30" i="7"/>
  <c r="BL30" i="7"/>
  <c r="BM30" i="7"/>
  <c r="BN30" i="7"/>
  <c r="BO30" i="7"/>
  <c r="BP30" i="7"/>
  <c r="BQ30" i="7"/>
  <c r="BR30" i="7"/>
  <c r="BG23" i="7"/>
  <c r="BH23" i="7"/>
  <c r="BI23" i="7"/>
  <c r="BJ23" i="7"/>
  <c r="BK23" i="7"/>
  <c r="BL23" i="7"/>
  <c r="BM23" i="7"/>
  <c r="BN23" i="7"/>
  <c r="BO23" i="7"/>
  <c r="BP23" i="7"/>
  <c r="BQ23" i="7"/>
  <c r="BR23" i="7"/>
  <c r="BG20" i="7"/>
  <c r="BH20" i="7"/>
  <c r="BI20" i="7"/>
  <c r="BJ20" i="7"/>
  <c r="BK20" i="7"/>
  <c r="BL20" i="7"/>
  <c r="BM20" i="7"/>
  <c r="BN20" i="7"/>
  <c r="BO20" i="7"/>
  <c r="BP20" i="7"/>
  <c r="BQ20" i="7"/>
  <c r="BR20" i="7"/>
  <c r="BG12" i="7"/>
  <c r="BH12" i="7"/>
  <c r="BI12" i="7"/>
  <c r="BJ12" i="7"/>
  <c r="BK12" i="7"/>
  <c r="BL12" i="7"/>
  <c r="BM12" i="7"/>
  <c r="BN12" i="7"/>
  <c r="BO12" i="7"/>
  <c r="BP12" i="7"/>
  <c r="BQ12" i="7"/>
  <c r="BR12" i="7"/>
  <c r="BG7" i="7"/>
  <c r="BH7" i="7"/>
  <c r="BI7" i="7"/>
  <c r="BJ7" i="7"/>
  <c r="BJ3" i="7"/>
  <c r="BJ19" i="7"/>
  <c r="BK7" i="7"/>
  <c r="BK3" i="7"/>
  <c r="BK19" i="7"/>
  <c r="BK29" i="7"/>
  <c r="BK33" i="7"/>
  <c r="BK35" i="7"/>
  <c r="BK37" i="7"/>
  <c r="BL7" i="7"/>
  <c r="BL3" i="7"/>
  <c r="BL19" i="7"/>
  <c r="BM7" i="7"/>
  <c r="BN7" i="7"/>
  <c r="BO7" i="7"/>
  <c r="BO3" i="7"/>
  <c r="BO19" i="7"/>
  <c r="BO29" i="7"/>
  <c r="BO33" i="7"/>
  <c r="BO35" i="7"/>
  <c r="BO37" i="7"/>
  <c r="BP7" i="7"/>
  <c r="BQ7" i="7"/>
  <c r="BQ3" i="7"/>
  <c r="BQ19" i="7"/>
  <c r="BQ29" i="7"/>
  <c r="BQ33" i="7"/>
  <c r="BQ35" i="7"/>
  <c r="BQ37" i="7"/>
  <c r="BR7" i="7"/>
  <c r="BG4" i="7"/>
  <c r="BG3" i="7"/>
  <c r="BG19" i="7"/>
  <c r="BH4" i="7"/>
  <c r="BI4" i="7"/>
  <c r="BI3" i="7"/>
  <c r="BI19" i="7"/>
  <c r="BJ4" i="7"/>
  <c r="BK4" i="7"/>
  <c r="BL4" i="7"/>
  <c r="BM4" i="7"/>
  <c r="BM3" i="7"/>
  <c r="BN4" i="7"/>
  <c r="BO4" i="7"/>
  <c r="BP4" i="7"/>
  <c r="BP3" i="7"/>
  <c r="BQ4" i="7"/>
  <c r="BR4" i="7"/>
  <c r="BR3" i="7"/>
  <c r="BF15" i="4"/>
  <c r="BH26" i="9"/>
  <c r="BF53" i="4"/>
  <c r="BG23" i="6"/>
  <c r="BF46" i="4"/>
  <c r="BF50" i="4"/>
  <c r="BF47" i="4"/>
  <c r="BF42" i="4"/>
  <c r="BG18" i="6"/>
  <c r="BF26" i="4"/>
  <c r="BF51" i="4"/>
  <c r="BF38" i="4"/>
  <c r="BF31" i="4"/>
  <c r="BF25" i="4"/>
  <c r="BF12" i="4"/>
  <c r="BF7" i="4"/>
  <c r="BF6" i="4"/>
  <c r="BF5" i="4"/>
  <c r="BF13" i="7"/>
  <c r="BF12" i="7"/>
  <c r="BF28" i="7"/>
  <c r="BF27" i="7"/>
  <c r="BF26" i="7"/>
  <c r="BF25" i="7"/>
  <c r="BF24" i="7"/>
  <c r="BF6" i="7"/>
  <c r="BF11" i="7"/>
  <c r="BF7" i="7"/>
  <c r="BF5" i="7"/>
  <c r="BF4" i="7"/>
  <c r="AT30" i="7"/>
  <c r="AU30" i="7"/>
  <c r="AV30" i="7"/>
  <c r="AW30" i="7"/>
  <c r="AX30" i="7"/>
  <c r="AY30" i="7"/>
  <c r="AZ30" i="7"/>
  <c r="BA30" i="7"/>
  <c r="BB30" i="7"/>
  <c r="BC30" i="7"/>
  <c r="BD30" i="7"/>
  <c r="H69" i="20"/>
  <c r="E69" i="20"/>
  <c r="F69" i="20"/>
  <c r="AT23" i="7"/>
  <c r="AU23" i="7"/>
  <c r="AV23" i="7"/>
  <c r="AW23" i="7"/>
  <c r="AX23" i="7"/>
  <c r="AY23" i="7"/>
  <c r="AZ23" i="7"/>
  <c r="BA23" i="7"/>
  <c r="BB23" i="7"/>
  <c r="BC23" i="7"/>
  <c r="BD23" i="7"/>
  <c r="AT20" i="7"/>
  <c r="AU20" i="7"/>
  <c r="AV20" i="7"/>
  <c r="AW20" i="7"/>
  <c r="AX20" i="7"/>
  <c r="AY20" i="7"/>
  <c r="AZ20" i="7"/>
  <c r="BA20" i="7"/>
  <c r="BB20" i="7"/>
  <c r="BC20" i="7"/>
  <c r="BD20" i="7"/>
  <c r="AT12" i="7"/>
  <c r="AU12" i="7"/>
  <c r="AV12" i="7"/>
  <c r="AW12" i="7"/>
  <c r="AX12" i="7"/>
  <c r="AY12" i="7"/>
  <c r="AZ12" i="7"/>
  <c r="BA12" i="7"/>
  <c r="BB12" i="7"/>
  <c r="BC12" i="7"/>
  <c r="BD12" i="7"/>
  <c r="AT7" i="7"/>
  <c r="AU7" i="7"/>
  <c r="AV7" i="7"/>
  <c r="AW7" i="7"/>
  <c r="AX7" i="7"/>
  <c r="AY7" i="7"/>
  <c r="AZ7" i="7"/>
  <c r="BA7" i="7"/>
  <c r="BB7" i="7"/>
  <c r="BC7" i="7"/>
  <c r="BD7" i="7"/>
  <c r="AT4" i="7"/>
  <c r="AU4" i="7"/>
  <c r="AU3" i="7"/>
  <c r="AU19" i="7"/>
  <c r="AV4" i="7"/>
  <c r="AW4" i="7"/>
  <c r="AX4" i="7"/>
  <c r="AY4" i="7"/>
  <c r="AY3" i="7"/>
  <c r="AY19" i="7"/>
  <c r="AZ4" i="7"/>
  <c r="BA4" i="7"/>
  <c r="BB4" i="7"/>
  <c r="BC4" i="7"/>
  <c r="BC3" i="7"/>
  <c r="BC19" i="7"/>
  <c r="BD4" i="7"/>
  <c r="BD3" i="7"/>
  <c r="BD19" i="7"/>
  <c r="AT32" i="4"/>
  <c r="AU6" i="6"/>
  <c r="AU32" i="4"/>
  <c r="AV32" i="4"/>
  <c r="AW32" i="4"/>
  <c r="AX6" i="6"/>
  <c r="AX32" i="4"/>
  <c r="AY6" i="6"/>
  <c r="BA31" i="5"/>
  <c r="AY32" i="4"/>
  <c r="AZ32" i="4"/>
  <c r="BA32" i="4"/>
  <c r="BB32" i="4"/>
  <c r="BC6" i="6"/>
  <c r="BC32" i="4"/>
  <c r="BD32" i="4"/>
  <c r="BE6" i="6"/>
  <c r="AT33" i="4"/>
  <c r="AU33" i="4"/>
  <c r="AV33" i="4"/>
  <c r="AW33" i="4"/>
  <c r="AW40" i="4"/>
  <c r="AX33" i="4"/>
  <c r="AY33" i="4"/>
  <c r="AZ33" i="4"/>
  <c r="BA33" i="4"/>
  <c r="BA40" i="4"/>
  <c r="BB33" i="4"/>
  <c r="BC33" i="4"/>
  <c r="BC40" i="4"/>
  <c r="BD33" i="4"/>
  <c r="AT45" i="4"/>
  <c r="AU45" i="4"/>
  <c r="AV45" i="4"/>
  <c r="AW45" i="4"/>
  <c r="AX45" i="4"/>
  <c r="AY45" i="4"/>
  <c r="AZ19" i="6"/>
  <c r="AZ45" i="4"/>
  <c r="BA19" i="6"/>
  <c r="BA45" i="4"/>
  <c r="BB45" i="4"/>
  <c r="BC19" i="6"/>
  <c r="BC45" i="4"/>
  <c r="BD45" i="4"/>
  <c r="AT49" i="4"/>
  <c r="AU49" i="4"/>
  <c r="AV49" i="4"/>
  <c r="AV55" i="4"/>
  <c r="AW49" i="4"/>
  <c r="AX49" i="4"/>
  <c r="AX55" i="4"/>
  <c r="AY49" i="4"/>
  <c r="AZ49" i="4"/>
  <c r="AZ55" i="4"/>
  <c r="BA49" i="4"/>
  <c r="BB49" i="4"/>
  <c r="BC49" i="4"/>
  <c r="BC55" i="4"/>
  <c r="BD49" i="4"/>
  <c r="AT21" i="4"/>
  <c r="AU21" i="4"/>
  <c r="AV21" i="4"/>
  <c r="AW21" i="4"/>
  <c r="AX21" i="4"/>
  <c r="AY21" i="4"/>
  <c r="AZ21" i="4"/>
  <c r="BA21" i="4"/>
  <c r="BB21" i="4"/>
  <c r="BC21" i="4"/>
  <c r="BD21" i="4"/>
  <c r="AT17" i="4"/>
  <c r="AU38" i="6"/>
  <c r="AU17" i="4"/>
  <c r="AV17" i="4"/>
  <c r="AW38" i="6"/>
  <c r="AW17" i="4"/>
  <c r="AX38" i="6"/>
  <c r="AX17" i="4"/>
  <c r="AY38" i="6"/>
  <c r="AY17" i="4"/>
  <c r="AZ38" i="6"/>
  <c r="AZ17" i="4"/>
  <c r="BA38" i="6"/>
  <c r="BA17" i="4"/>
  <c r="BB38" i="6"/>
  <c r="BB17" i="4"/>
  <c r="BC38" i="6"/>
  <c r="BC17" i="4"/>
  <c r="BD17" i="4"/>
  <c r="BE38" i="6"/>
  <c r="BE17" i="4"/>
  <c r="AT8" i="4"/>
  <c r="AU8" i="4"/>
  <c r="AV8" i="4"/>
  <c r="AW8" i="4"/>
  <c r="AX8" i="4"/>
  <c r="AX27" i="4"/>
  <c r="AY5" i="6"/>
  <c r="AY8" i="4"/>
  <c r="AZ8" i="4"/>
  <c r="BA8" i="4"/>
  <c r="BB8" i="4"/>
  <c r="BC8" i="4"/>
  <c r="BD8" i="4"/>
  <c r="AT14" i="4"/>
  <c r="AU14" i="4"/>
  <c r="AX52" i="5"/>
  <c r="AV14" i="4"/>
  <c r="AY52" i="5"/>
  <c r="AW14" i="4"/>
  <c r="AX14" i="4"/>
  <c r="AY14" i="4"/>
  <c r="AZ14" i="4"/>
  <c r="BC52" i="5"/>
  <c r="BA14" i="4"/>
  <c r="BD52" i="5"/>
  <c r="BB14" i="4"/>
  <c r="BC14" i="4"/>
  <c r="BD14" i="4"/>
  <c r="BG52" i="5"/>
  <c r="AT4" i="4"/>
  <c r="AW47" i="5"/>
  <c r="AV15" i="9"/>
  <c r="AU4" i="4"/>
  <c r="AV4" i="4"/>
  <c r="AY47" i="5"/>
  <c r="AX15" i="9"/>
  <c r="AW4" i="4"/>
  <c r="AX4" i="4"/>
  <c r="AY4" i="4"/>
  <c r="AZ4" i="4"/>
  <c r="BA4" i="4"/>
  <c r="BB4" i="4"/>
  <c r="BC4" i="4"/>
  <c r="BD4" i="4"/>
  <c r="BG47" i="5"/>
  <c r="BE4" i="4"/>
  <c r="AU12" i="9"/>
  <c r="AU7" i="6"/>
  <c r="AV7" i="6"/>
  <c r="AW7" i="6"/>
  <c r="AX7" i="6"/>
  <c r="AY7" i="6"/>
  <c r="AZ7" i="6"/>
  <c r="BA7" i="6"/>
  <c r="BB7" i="6"/>
  <c r="BC7" i="6"/>
  <c r="BD7" i="6"/>
  <c r="BF33" i="5"/>
  <c r="BE7" i="6"/>
  <c r="BF7" i="6"/>
  <c r="AU8" i="6"/>
  <c r="AV8" i="6"/>
  <c r="AW8" i="6"/>
  <c r="AX8" i="6"/>
  <c r="AY8" i="6"/>
  <c r="BA32" i="5"/>
  <c r="AZ8" i="6"/>
  <c r="BB32" i="5"/>
  <c r="BA8" i="6"/>
  <c r="BB8" i="6"/>
  <c r="BD32" i="5"/>
  <c r="BC8" i="6"/>
  <c r="BD8" i="6"/>
  <c r="BE8" i="6"/>
  <c r="BF8" i="6"/>
  <c r="AU9" i="6"/>
  <c r="AV9" i="6"/>
  <c r="AY42" i="5"/>
  <c r="AW9" i="6"/>
  <c r="AX9" i="6"/>
  <c r="BA42" i="5"/>
  <c r="AY9" i="6"/>
  <c r="AZ9" i="6"/>
  <c r="BA9" i="6"/>
  <c r="BB9" i="6"/>
  <c r="BC9" i="6"/>
  <c r="BE42" i="5"/>
  <c r="BD9" i="6"/>
  <c r="BE9" i="6"/>
  <c r="BF9" i="6"/>
  <c r="AU10" i="6"/>
  <c r="AV10" i="6"/>
  <c r="AW10" i="6"/>
  <c r="AX10" i="6"/>
  <c r="AY10" i="6"/>
  <c r="AZ10" i="6"/>
  <c r="BA10" i="6"/>
  <c r="BB10" i="6"/>
  <c r="BC10" i="6"/>
  <c r="BD10" i="6"/>
  <c r="BE10" i="6"/>
  <c r="BF10" i="6"/>
  <c r="AU18" i="6"/>
  <c r="AV18" i="6"/>
  <c r="AW18" i="6"/>
  <c r="AX18" i="6"/>
  <c r="AY18" i="6"/>
  <c r="AZ18" i="6"/>
  <c r="BA18" i="6"/>
  <c r="BB18" i="6"/>
  <c r="BC18" i="6"/>
  <c r="BD18" i="6"/>
  <c r="BE18" i="6"/>
  <c r="BF18" i="6"/>
  <c r="AW19" i="6"/>
  <c r="AW17" i="6"/>
  <c r="AW14" i="6"/>
  <c r="AW15" i="6"/>
  <c r="AY19" i="6"/>
  <c r="AU20" i="6"/>
  <c r="AV20" i="6"/>
  <c r="AW20" i="6"/>
  <c r="AX20" i="6"/>
  <c r="AY20" i="6"/>
  <c r="AZ20" i="6"/>
  <c r="BA20" i="6"/>
  <c r="BB20" i="6"/>
  <c r="BC20" i="6"/>
  <c r="BD20" i="6"/>
  <c r="BE20" i="6"/>
  <c r="BF20" i="6"/>
  <c r="AU21" i="6"/>
  <c r="AV21" i="6"/>
  <c r="AW21" i="6"/>
  <c r="AX21" i="6"/>
  <c r="AY21" i="6"/>
  <c r="AZ21" i="6"/>
  <c r="BA21" i="6"/>
  <c r="BB21" i="6"/>
  <c r="BC21" i="6"/>
  <c r="BD21" i="6"/>
  <c r="BE21" i="6"/>
  <c r="BF21" i="6"/>
  <c r="AU23" i="6"/>
  <c r="AV23" i="6"/>
  <c r="AW23" i="6"/>
  <c r="AX23" i="6"/>
  <c r="AY23" i="6"/>
  <c r="AZ23" i="6"/>
  <c r="BA23" i="6"/>
  <c r="BB23" i="6"/>
  <c r="BC23" i="6"/>
  <c r="BD23" i="6"/>
  <c r="BE23" i="6"/>
  <c r="BF23" i="6"/>
  <c r="AU27" i="6"/>
  <c r="AV27" i="6"/>
  <c r="AW27" i="6"/>
  <c r="AW26" i="6"/>
  <c r="AX27" i="6"/>
  <c r="AY27" i="6"/>
  <c r="AZ27" i="6"/>
  <c r="BA27" i="6"/>
  <c r="BB27" i="6"/>
  <c r="BC27" i="6"/>
  <c r="BD27" i="6"/>
  <c r="BE27" i="6"/>
  <c r="BE26" i="6"/>
  <c r="BF27" i="6"/>
  <c r="AU28" i="6"/>
  <c r="AV28" i="6"/>
  <c r="AW28" i="6"/>
  <c r="AX28" i="6"/>
  <c r="AY28" i="6"/>
  <c r="AZ28" i="6"/>
  <c r="BA28" i="6"/>
  <c r="BB28" i="6"/>
  <c r="BC28" i="6"/>
  <c r="BD28" i="6"/>
  <c r="BD26" i="6"/>
  <c r="BE28" i="6"/>
  <c r="BF28" i="6"/>
  <c r="BF26" i="6"/>
  <c r="AU29" i="6"/>
  <c r="AV29" i="6"/>
  <c r="AV26" i="6"/>
  <c r="AW29" i="6"/>
  <c r="AX29" i="6"/>
  <c r="AY29" i="6"/>
  <c r="AZ29" i="6"/>
  <c r="BA29" i="6"/>
  <c r="BB29" i="6"/>
  <c r="BC29" i="6"/>
  <c r="BD29" i="6"/>
  <c r="BE29" i="6"/>
  <c r="BF29" i="6"/>
  <c r="AU32" i="6"/>
  <c r="AV32" i="6"/>
  <c r="AV31" i="6"/>
  <c r="AY44" i="5"/>
  <c r="AW32" i="6"/>
  <c r="AX32" i="6"/>
  <c r="AY32" i="6"/>
  <c r="AZ32" i="6"/>
  <c r="BA32" i="6"/>
  <c r="BB32" i="6"/>
  <c r="BC32" i="6"/>
  <c r="BD32" i="6"/>
  <c r="BE32" i="6"/>
  <c r="BE31" i="6"/>
  <c r="BF32" i="6"/>
  <c r="AU33" i="6"/>
  <c r="AV33" i="6"/>
  <c r="AW33" i="6"/>
  <c r="AW31" i="6"/>
  <c r="AX33" i="6"/>
  <c r="AY33" i="6"/>
  <c r="AY31" i="6"/>
  <c r="AZ33" i="6"/>
  <c r="BA33" i="6"/>
  <c r="BA31" i="6"/>
  <c r="BB33" i="6"/>
  <c r="BC33" i="6"/>
  <c r="BD33" i="6"/>
  <c r="BE33" i="6"/>
  <c r="BF33" i="6"/>
  <c r="AU34" i="6"/>
  <c r="AV34" i="6"/>
  <c r="AW34" i="6"/>
  <c r="AX34" i="6"/>
  <c r="AY34" i="6"/>
  <c r="AZ34" i="6"/>
  <c r="BA34" i="6"/>
  <c r="BB34" i="6"/>
  <c r="BC34" i="6"/>
  <c r="BD34" i="6"/>
  <c r="BE34" i="6"/>
  <c r="BF34" i="6"/>
  <c r="AU35" i="6"/>
  <c r="AV35" i="6"/>
  <c r="AW35" i="6"/>
  <c r="AX35" i="6"/>
  <c r="AY35" i="6"/>
  <c r="AZ35" i="6"/>
  <c r="BA35" i="6"/>
  <c r="BB35" i="6"/>
  <c r="BC35" i="6"/>
  <c r="BD35" i="6"/>
  <c r="BE35" i="6"/>
  <c r="BF35" i="6"/>
  <c r="AX36" i="6"/>
  <c r="AZ36" i="6"/>
  <c r="BE36" i="6"/>
  <c r="BF36" i="6"/>
  <c r="AU39" i="6"/>
  <c r="AV39" i="6"/>
  <c r="AW39" i="6"/>
  <c r="AX39" i="6"/>
  <c r="AY39" i="6"/>
  <c r="AZ39" i="6"/>
  <c r="BA39" i="6"/>
  <c r="BB39" i="6"/>
  <c r="BC39" i="6"/>
  <c r="BD39" i="6"/>
  <c r="BE39" i="6"/>
  <c r="AU42" i="6"/>
  <c r="AV42" i="6"/>
  <c r="AW42" i="6"/>
  <c r="AX42" i="6"/>
  <c r="AY42" i="6"/>
  <c r="AZ42" i="6"/>
  <c r="BA42" i="6"/>
  <c r="BB42" i="6"/>
  <c r="BC42" i="6"/>
  <c r="BD42" i="6"/>
  <c r="BE42" i="6"/>
  <c r="BF42" i="6"/>
  <c r="AU43" i="6"/>
  <c r="AV43" i="6"/>
  <c r="AW43" i="6"/>
  <c r="AX43" i="6"/>
  <c r="AY43" i="6"/>
  <c r="AZ43" i="6"/>
  <c r="BA43" i="6"/>
  <c r="BB43" i="6"/>
  <c r="BC43" i="6"/>
  <c r="BD43" i="6"/>
  <c r="BD41" i="6"/>
  <c r="BE43" i="6"/>
  <c r="BF43" i="6"/>
  <c r="AU44" i="6"/>
  <c r="AV44" i="6"/>
  <c r="AW44" i="6"/>
  <c r="AX44" i="6"/>
  <c r="AY44" i="6"/>
  <c r="AZ44" i="6"/>
  <c r="BA44" i="6"/>
  <c r="BB44" i="6"/>
  <c r="BC44" i="6"/>
  <c r="BD44" i="6"/>
  <c r="BE44" i="6"/>
  <c r="BF44" i="6"/>
  <c r="AU48" i="6"/>
  <c r="AU47" i="6"/>
  <c r="AV48" i="6"/>
  <c r="AW48" i="6"/>
  <c r="AX48" i="6"/>
  <c r="AX47" i="6"/>
  <c r="AY48" i="6"/>
  <c r="AZ48" i="6"/>
  <c r="AZ47" i="6"/>
  <c r="BA48" i="6"/>
  <c r="BB48" i="6"/>
  <c r="BC48" i="6"/>
  <c r="BC47" i="6"/>
  <c r="BD48" i="6"/>
  <c r="BE48" i="6"/>
  <c r="AU49" i="6"/>
  <c r="AV49" i="6"/>
  <c r="AV47" i="6"/>
  <c r="AW49" i="6"/>
  <c r="AX49" i="6"/>
  <c r="AY49" i="6"/>
  <c r="AZ49" i="6"/>
  <c r="BA49" i="6"/>
  <c r="BB49" i="6"/>
  <c r="BC49" i="6"/>
  <c r="BD49" i="6"/>
  <c r="BE49" i="6"/>
  <c r="AU50" i="6"/>
  <c r="AV50" i="6"/>
  <c r="AW50" i="6"/>
  <c r="AX50" i="6"/>
  <c r="AY50" i="6"/>
  <c r="AZ50" i="6"/>
  <c r="BA50" i="6"/>
  <c r="BB50" i="6"/>
  <c r="BC50" i="6"/>
  <c r="BD50" i="6"/>
  <c r="BF42" i="5"/>
  <c r="BE50" i="6"/>
  <c r="BG42" i="5"/>
  <c r="BF50" i="6"/>
  <c r="AU51" i="6"/>
  <c r="AV51" i="6"/>
  <c r="AW51" i="6"/>
  <c r="AX51" i="6"/>
  <c r="AY51" i="6"/>
  <c r="AZ51" i="6"/>
  <c r="BA51" i="6"/>
  <c r="BB51" i="6"/>
  <c r="BC51" i="6"/>
  <c r="BD51" i="6"/>
  <c r="BE51" i="6"/>
  <c r="BF51" i="6"/>
  <c r="AU52" i="6"/>
  <c r="AV52" i="6"/>
  <c r="AW52" i="6"/>
  <c r="AX52" i="6"/>
  <c r="AY52" i="6"/>
  <c r="AZ52" i="6"/>
  <c r="BA52" i="6"/>
  <c r="BB52" i="6"/>
  <c r="BC52" i="6"/>
  <c r="BD52" i="6"/>
  <c r="BE52" i="6"/>
  <c r="BF52" i="6"/>
  <c r="AU53" i="6"/>
  <c r="AV53" i="6"/>
  <c r="AW53" i="6"/>
  <c r="AX53" i="6"/>
  <c r="AY53" i="6"/>
  <c r="AZ53" i="6"/>
  <c r="BA53" i="6"/>
  <c r="BA47" i="6"/>
  <c r="BB53" i="6"/>
  <c r="BC53" i="6"/>
  <c r="BD53" i="6"/>
  <c r="BE53" i="6"/>
  <c r="BF53" i="6"/>
  <c r="AZ47" i="5"/>
  <c r="AY15" i="9"/>
  <c r="BA47" i="5"/>
  <c r="AZ15" i="9"/>
  <c r="BB47" i="5"/>
  <c r="BA15" i="9"/>
  <c r="BA48" i="5"/>
  <c r="AZ16" i="9"/>
  <c r="AW52" i="5"/>
  <c r="AZ52" i="5"/>
  <c r="BA52" i="5"/>
  <c r="BB52" i="5"/>
  <c r="BE52" i="5"/>
  <c r="BF52" i="5"/>
  <c r="BF32" i="4"/>
  <c r="BE23" i="7"/>
  <c r="BE30" i="7"/>
  <c r="BF30" i="7"/>
  <c r="BE20" i="7"/>
  <c r="BF20" i="7"/>
  <c r="BE12" i="7"/>
  <c r="BE7" i="7"/>
  <c r="BE4" i="7"/>
  <c r="BE8" i="4"/>
  <c r="BE27" i="4"/>
  <c r="BF5" i="6"/>
  <c r="BE14" i="4"/>
  <c r="BE49" i="4"/>
  <c r="BE45" i="4"/>
  <c r="BF19" i="6"/>
  <c r="BE33" i="4"/>
  <c r="BE32" i="4"/>
  <c r="BE21" i="4"/>
  <c r="BF17" i="4"/>
  <c r="AS47" i="4"/>
  <c r="AS45" i="4"/>
  <c r="AT19" i="6"/>
  <c r="AS38" i="4"/>
  <c r="AT10" i="6"/>
  <c r="AS29" i="4"/>
  <c r="AT8" i="6"/>
  <c r="AW32" i="5"/>
  <c r="AS12" i="4"/>
  <c r="AS15" i="4"/>
  <c r="F35" i="26"/>
  <c r="AS6" i="4"/>
  <c r="AS5" i="4"/>
  <c r="AS16" i="7"/>
  <c r="AT51" i="6"/>
  <c r="AS25" i="7"/>
  <c r="AS24" i="7"/>
  <c r="AS28" i="7"/>
  <c r="AT52" i="6"/>
  <c r="AS27" i="7"/>
  <c r="AS11" i="7"/>
  <c r="AS7" i="7"/>
  <c r="AS6" i="7"/>
  <c r="AS13" i="7"/>
  <c r="F48" i="26"/>
  <c r="AS5" i="7"/>
  <c r="F43" i="26"/>
  <c r="F42" i="26"/>
  <c r="AI7" i="6"/>
  <c r="AJ7" i="6"/>
  <c r="AK7" i="6"/>
  <c r="AM33" i="5"/>
  <c r="AL7" i="6"/>
  <c r="AO33" i="5"/>
  <c r="AM7" i="6"/>
  <c r="AN7" i="6"/>
  <c r="AO7" i="6"/>
  <c r="AP7" i="6"/>
  <c r="AQ7" i="6"/>
  <c r="AR7" i="6"/>
  <c r="AS7" i="6"/>
  <c r="AT7" i="6"/>
  <c r="AW33" i="5"/>
  <c r="AI8" i="6"/>
  <c r="AJ8" i="6"/>
  <c r="AK8" i="6"/>
  <c r="AL8" i="6"/>
  <c r="AM8" i="6"/>
  <c r="AN8" i="6"/>
  <c r="AP32" i="5"/>
  <c r="AO8" i="6"/>
  <c r="AP8" i="6"/>
  <c r="AS32" i="5"/>
  <c r="AQ8" i="6"/>
  <c r="AR8" i="6"/>
  <c r="AT32" i="5"/>
  <c r="AS8" i="6"/>
  <c r="AI9" i="6"/>
  <c r="AJ9" i="6"/>
  <c r="AK9" i="6"/>
  <c r="AL9" i="6"/>
  <c r="AM9" i="6"/>
  <c r="AN9" i="6"/>
  <c r="AO9" i="6"/>
  <c r="AQ42" i="5"/>
  <c r="AP9" i="6"/>
  <c r="AQ9" i="6"/>
  <c r="AR9" i="6"/>
  <c r="AS9" i="6"/>
  <c r="AT9" i="6"/>
  <c r="AI10" i="6"/>
  <c r="AJ10" i="6"/>
  <c r="AK10" i="6"/>
  <c r="AL10" i="6"/>
  <c r="AM10" i="6"/>
  <c r="AN10" i="6"/>
  <c r="AO10" i="6"/>
  <c r="AP10" i="6"/>
  <c r="AQ10" i="6"/>
  <c r="AR10" i="6"/>
  <c r="AS10" i="6"/>
  <c r="AI18" i="6"/>
  <c r="AJ18" i="6"/>
  <c r="AK18" i="6"/>
  <c r="AL18" i="6"/>
  <c r="AM18" i="6"/>
  <c r="AN18" i="6"/>
  <c r="AP41" i="5"/>
  <c r="AO18" i="6"/>
  <c r="AP18" i="6"/>
  <c r="AR41" i="5"/>
  <c r="AQ18" i="6"/>
  <c r="AR18" i="6"/>
  <c r="AU41" i="5"/>
  <c r="AS18" i="6"/>
  <c r="AT18" i="6"/>
  <c r="AW41" i="5"/>
  <c r="AI20" i="6"/>
  <c r="AJ20" i="6"/>
  <c r="AK20" i="6"/>
  <c r="AL20" i="6"/>
  <c r="AM20" i="6"/>
  <c r="AN20" i="6"/>
  <c r="AO20" i="6"/>
  <c r="AP20" i="6"/>
  <c r="AQ20" i="6"/>
  <c r="AR20" i="6"/>
  <c r="AR17" i="6"/>
  <c r="AR14" i="6"/>
  <c r="AT6" i="5"/>
  <c r="AS4" i="9"/>
  <c r="AS20" i="6"/>
  <c r="AT20" i="6"/>
  <c r="AI21" i="6"/>
  <c r="AJ21" i="6"/>
  <c r="AK21" i="6"/>
  <c r="AL21" i="6"/>
  <c r="AM21" i="6"/>
  <c r="AN21" i="6"/>
  <c r="AO21" i="6"/>
  <c r="AP21" i="6"/>
  <c r="AQ21" i="6"/>
  <c r="AR21" i="6"/>
  <c r="AS21" i="6"/>
  <c r="AT21" i="6"/>
  <c r="AI23" i="6"/>
  <c r="AJ23" i="6"/>
  <c r="AK23" i="6"/>
  <c r="AL23" i="6"/>
  <c r="AM23" i="6"/>
  <c r="AN23" i="6"/>
  <c r="AO23" i="6"/>
  <c r="AP23" i="6"/>
  <c r="AQ23" i="6"/>
  <c r="AR23" i="6"/>
  <c r="AS23" i="6"/>
  <c r="AT23" i="6"/>
  <c r="AI27" i="6"/>
  <c r="AJ27" i="6"/>
  <c r="AK27" i="6"/>
  <c r="AL27" i="6"/>
  <c r="AM27" i="6"/>
  <c r="AN27" i="6"/>
  <c r="AO27" i="6"/>
  <c r="AP27" i="6"/>
  <c r="AP26" i="6"/>
  <c r="AQ27" i="6"/>
  <c r="AR27" i="6"/>
  <c r="AS27" i="6"/>
  <c r="AI28" i="6"/>
  <c r="AI26" i="6"/>
  <c r="AJ28" i="6"/>
  <c r="AK28" i="6"/>
  <c r="AL28" i="6"/>
  <c r="AM28" i="6"/>
  <c r="AN28" i="6"/>
  <c r="AO28" i="6"/>
  <c r="AP28" i="6"/>
  <c r="AQ28" i="6"/>
  <c r="AR28" i="6"/>
  <c r="AS28" i="6"/>
  <c r="AT28" i="6"/>
  <c r="AI29" i="6"/>
  <c r="AJ29" i="6"/>
  <c r="AK29" i="6"/>
  <c r="AL29" i="6"/>
  <c r="AM29" i="6"/>
  <c r="AN29" i="6"/>
  <c r="AO29" i="6"/>
  <c r="AP29" i="6"/>
  <c r="AQ29" i="6"/>
  <c r="AR29" i="6"/>
  <c r="AS29" i="6"/>
  <c r="AT29" i="6"/>
  <c r="AI32" i="6"/>
  <c r="AI31" i="6"/>
  <c r="AJ32" i="6"/>
  <c r="AK32" i="6"/>
  <c r="AK31" i="6"/>
  <c r="AL32" i="6"/>
  <c r="AM32" i="6"/>
  <c r="AN32" i="6"/>
  <c r="AO32" i="6"/>
  <c r="AP32" i="6"/>
  <c r="AP31" i="6"/>
  <c r="AQ32" i="6"/>
  <c r="AQ31" i="6"/>
  <c r="AR32" i="6"/>
  <c r="AS32" i="6"/>
  <c r="AI33" i="6"/>
  <c r="AJ33" i="6"/>
  <c r="AK33" i="6"/>
  <c r="AL33" i="6"/>
  <c r="AL31" i="6"/>
  <c r="AM33" i="6"/>
  <c r="AM31" i="6"/>
  <c r="AN33" i="6"/>
  <c r="AO33" i="6"/>
  <c r="AO31" i="6"/>
  <c r="AP33" i="6"/>
  <c r="AQ33" i="6"/>
  <c r="AR33" i="6"/>
  <c r="AS33" i="6"/>
  <c r="AT33" i="6"/>
  <c r="AI34" i="6"/>
  <c r="AJ34" i="6"/>
  <c r="AK34" i="6"/>
  <c r="AL34" i="6"/>
  <c r="AM34" i="6"/>
  <c r="AN34" i="6"/>
  <c r="AO34" i="6"/>
  <c r="AP34" i="6"/>
  <c r="AQ34" i="6"/>
  <c r="AR34" i="6"/>
  <c r="AS34" i="6"/>
  <c r="AT34" i="6"/>
  <c r="AI35" i="6"/>
  <c r="AJ35" i="6"/>
  <c r="AK35" i="6"/>
  <c r="AL35" i="6"/>
  <c r="AM35" i="6"/>
  <c r="AN35" i="6"/>
  <c r="AO35" i="6"/>
  <c r="AP35" i="6"/>
  <c r="AQ35" i="6"/>
  <c r="AR35" i="6"/>
  <c r="AS35" i="6"/>
  <c r="AT35" i="6"/>
  <c r="AI39" i="6"/>
  <c r="AJ39" i="6"/>
  <c r="AK39" i="6"/>
  <c r="AL39" i="6"/>
  <c r="AM39" i="6"/>
  <c r="AN39" i="6"/>
  <c r="AO39" i="6"/>
  <c r="AP39" i="6"/>
  <c r="AQ39" i="6"/>
  <c r="AR39" i="6"/>
  <c r="AS39" i="6"/>
  <c r="AT39" i="6"/>
  <c r="F37" i="26"/>
  <c r="AI42" i="6"/>
  <c r="AJ42" i="6"/>
  <c r="AK42" i="6"/>
  <c r="AL42" i="6"/>
  <c r="AM42" i="6"/>
  <c r="AM41" i="6"/>
  <c r="AN42" i="6"/>
  <c r="AO42" i="6"/>
  <c r="AP42" i="6"/>
  <c r="AQ42" i="6"/>
  <c r="AR42" i="6"/>
  <c r="AS42" i="6"/>
  <c r="AT42" i="6"/>
  <c r="AI43" i="6"/>
  <c r="AJ43" i="6"/>
  <c r="AK43" i="6"/>
  <c r="AL43" i="6"/>
  <c r="AM43" i="6"/>
  <c r="AN43" i="6"/>
  <c r="AN41" i="6"/>
  <c r="AO43" i="6"/>
  <c r="AP43" i="6"/>
  <c r="AQ43" i="6"/>
  <c r="AR43" i="6"/>
  <c r="AS43" i="6"/>
  <c r="AT43" i="6"/>
  <c r="AI44" i="6"/>
  <c r="AJ44" i="6"/>
  <c r="AJ41" i="6"/>
  <c r="AM36" i="5"/>
  <c r="AK44" i="6"/>
  <c r="AL44" i="6"/>
  <c r="AM44" i="6"/>
  <c r="AN44" i="6"/>
  <c r="AO44" i="6"/>
  <c r="AP44" i="6"/>
  <c r="AP41" i="6"/>
  <c r="AQ44" i="6"/>
  <c r="AR44" i="6"/>
  <c r="AR41" i="6"/>
  <c r="AS44" i="6"/>
  <c r="AT44" i="6"/>
  <c r="AI48" i="6"/>
  <c r="AJ48" i="6"/>
  <c r="AK48" i="6"/>
  <c r="AL48" i="6"/>
  <c r="AM48" i="6"/>
  <c r="AN48" i="6"/>
  <c r="AO48" i="6"/>
  <c r="AP48" i="6"/>
  <c r="AQ48" i="6"/>
  <c r="AR48" i="6"/>
  <c r="AS48" i="6"/>
  <c r="AI49" i="6"/>
  <c r="AJ49" i="6"/>
  <c r="AK49" i="6"/>
  <c r="AL49" i="6"/>
  <c r="AM49" i="6"/>
  <c r="AN49" i="6"/>
  <c r="AO49" i="6"/>
  <c r="AP49" i="6"/>
  <c r="AQ49" i="6"/>
  <c r="AR49" i="6"/>
  <c r="AS49" i="6"/>
  <c r="AT49" i="6"/>
  <c r="AI50" i="6"/>
  <c r="AJ50" i="6"/>
  <c r="AK50" i="6"/>
  <c r="AL50" i="6"/>
  <c r="AM50" i="6"/>
  <c r="AN50" i="6"/>
  <c r="AO50" i="6"/>
  <c r="AP50" i="6"/>
  <c r="AQ50" i="6"/>
  <c r="AR50" i="6"/>
  <c r="AS50" i="6"/>
  <c r="AT50" i="6"/>
  <c r="AI51" i="6"/>
  <c r="AJ51" i="6"/>
  <c r="AK51" i="6"/>
  <c r="AL51" i="6"/>
  <c r="AM51" i="6"/>
  <c r="AN51" i="6"/>
  <c r="AO51" i="6"/>
  <c r="AP51" i="6"/>
  <c r="AQ51" i="6"/>
  <c r="AR51" i="6"/>
  <c r="AS51" i="6"/>
  <c r="AI52" i="6"/>
  <c r="AJ52" i="6"/>
  <c r="AK52" i="6"/>
  <c r="AL52" i="6"/>
  <c r="AM52" i="6"/>
  <c r="AN52" i="6"/>
  <c r="AO52" i="6"/>
  <c r="AP52" i="6"/>
  <c r="AQ52" i="6"/>
  <c r="AR52" i="6"/>
  <c r="AS52" i="6"/>
  <c r="AI53" i="6"/>
  <c r="AJ53" i="6"/>
  <c r="AK53" i="6"/>
  <c r="AL53" i="6"/>
  <c r="AM53" i="6"/>
  <c r="AN53" i="6"/>
  <c r="AO53" i="6"/>
  <c r="AP53" i="6"/>
  <c r="AQ53" i="6"/>
  <c r="AR53" i="6"/>
  <c r="AS53" i="6"/>
  <c r="AH7" i="6"/>
  <c r="AH8" i="6"/>
  <c r="AK32" i="5"/>
  <c r="AH9" i="6"/>
  <c r="AH10" i="6"/>
  <c r="AH18" i="6"/>
  <c r="AH20" i="6"/>
  <c r="AH21" i="6"/>
  <c r="AH23" i="6"/>
  <c r="AH27" i="6"/>
  <c r="AH28" i="6"/>
  <c r="AH29" i="6"/>
  <c r="AH32" i="6"/>
  <c r="AH31" i="6"/>
  <c r="AH33" i="6"/>
  <c r="AH34" i="6"/>
  <c r="AH35" i="6"/>
  <c r="AH39" i="6"/>
  <c r="AH42" i="6"/>
  <c r="AH43" i="6"/>
  <c r="AH44" i="6"/>
  <c r="AH48" i="6"/>
  <c r="AH49" i="6"/>
  <c r="AH50" i="6"/>
  <c r="AH51" i="6"/>
  <c r="AH52" i="6"/>
  <c r="AH53" i="6"/>
  <c r="AK4" i="7"/>
  <c r="AL4" i="7"/>
  <c r="AL3" i="7"/>
  <c r="AL19" i="7"/>
  <c r="AM4" i="7"/>
  <c r="AN4" i="7"/>
  <c r="AO4" i="7"/>
  <c r="AP4" i="7"/>
  <c r="AQ4" i="7"/>
  <c r="AR4" i="7"/>
  <c r="AK7" i="7"/>
  <c r="AL7" i="7"/>
  <c r="AM7" i="7"/>
  <c r="AN7" i="7"/>
  <c r="AO7" i="7"/>
  <c r="AO3" i="7"/>
  <c r="AO19" i="7"/>
  <c r="AP7" i="7"/>
  <c r="AQ7" i="7"/>
  <c r="AR7" i="7"/>
  <c r="AK12" i="7"/>
  <c r="AL12" i="7"/>
  <c r="AM12" i="7"/>
  <c r="AN12" i="7"/>
  <c r="AO12" i="7"/>
  <c r="AP12" i="7"/>
  <c r="AQ12" i="7"/>
  <c r="AR12" i="7"/>
  <c r="AK20" i="7"/>
  <c r="AL20" i="7"/>
  <c r="AM20" i="7"/>
  <c r="AN20" i="7"/>
  <c r="AO20" i="7"/>
  <c r="AP20" i="7"/>
  <c r="AQ20" i="7"/>
  <c r="AR20" i="7"/>
  <c r="AS20" i="7"/>
  <c r="AK23" i="7"/>
  <c r="AL23" i="7"/>
  <c r="AM23" i="7"/>
  <c r="AN23" i="7"/>
  <c r="AO23" i="7"/>
  <c r="AP23" i="7"/>
  <c r="AQ23" i="7"/>
  <c r="AR23" i="7"/>
  <c r="AK30" i="7"/>
  <c r="AL30" i="7"/>
  <c r="AM30" i="7"/>
  <c r="AN30" i="7"/>
  <c r="AO30" i="7"/>
  <c r="AP30" i="7"/>
  <c r="AQ30" i="7"/>
  <c r="AR30" i="7"/>
  <c r="AS30" i="7"/>
  <c r="AQ4" i="4"/>
  <c r="AR36" i="6"/>
  <c r="AR4" i="4"/>
  <c r="AQ8" i="4"/>
  <c r="AR8" i="4"/>
  <c r="AQ14" i="4"/>
  <c r="AR14" i="4"/>
  <c r="AU52" i="5"/>
  <c r="AQ17" i="4"/>
  <c r="AR38" i="6"/>
  <c r="AR17" i="4"/>
  <c r="AS38" i="6"/>
  <c r="AS17" i="4"/>
  <c r="AT38" i="6"/>
  <c r="F36" i="26"/>
  <c r="AQ21" i="4"/>
  <c r="AR21" i="4"/>
  <c r="AS21" i="4"/>
  <c r="AQ32" i="4"/>
  <c r="AR32" i="4"/>
  <c r="AQ33" i="4"/>
  <c r="AR33" i="4"/>
  <c r="AQ45" i="4"/>
  <c r="AR45" i="4"/>
  <c r="AR55" i="4"/>
  <c r="AQ49" i="4"/>
  <c r="AR49" i="4"/>
  <c r="AS49" i="4"/>
  <c r="AS55" i="4"/>
  <c r="AK4" i="4"/>
  <c r="AL36" i="6"/>
  <c r="AL4" i="4"/>
  <c r="AM36" i="6"/>
  <c r="AM4" i="4"/>
  <c r="AN36" i="6"/>
  <c r="AN4" i="4"/>
  <c r="AO4" i="4"/>
  <c r="AP4" i="4"/>
  <c r="AQ36" i="6"/>
  <c r="AK8" i="4"/>
  <c r="AL8" i="4"/>
  <c r="AM8" i="4"/>
  <c r="AN8" i="4"/>
  <c r="AN27" i="4"/>
  <c r="AO5" i="6"/>
  <c r="AO8" i="4"/>
  <c r="AP8" i="4"/>
  <c r="AP27" i="4"/>
  <c r="AK14" i="4"/>
  <c r="AN52" i="5"/>
  <c r="AL14" i="4"/>
  <c r="AO52" i="5"/>
  <c r="AM14" i="4"/>
  <c r="AP52" i="5"/>
  <c r="AN14" i="4"/>
  <c r="AQ52" i="5"/>
  <c r="AO14" i="4"/>
  <c r="AP14" i="4"/>
  <c r="AS52" i="5"/>
  <c r="AK17" i="4"/>
  <c r="AL38" i="6"/>
  <c r="AL17" i="4"/>
  <c r="AM38" i="6"/>
  <c r="AM17" i="4"/>
  <c r="AN17" i="4"/>
  <c r="AO38" i="6"/>
  <c r="AO17" i="4"/>
  <c r="AP38" i="6"/>
  <c r="AP17" i="4"/>
  <c r="AQ38" i="6"/>
  <c r="AK21" i="4"/>
  <c r="AK27" i="4"/>
  <c r="AN57" i="5"/>
  <c r="AM13" i="9"/>
  <c r="AL21" i="4"/>
  <c r="AM21" i="4"/>
  <c r="AN21" i="4"/>
  <c r="AO21" i="4"/>
  <c r="AP21" i="4"/>
  <c r="AK32" i="4"/>
  <c r="AL6" i="6"/>
  <c r="AN40" i="5"/>
  <c r="AL32" i="4"/>
  <c r="AM32" i="4"/>
  <c r="AN32" i="4"/>
  <c r="AO6" i="6"/>
  <c r="AO32" i="4"/>
  <c r="AP6" i="6"/>
  <c r="AP32" i="4"/>
  <c r="AK33" i="4"/>
  <c r="AL33" i="4"/>
  <c r="AM33" i="4"/>
  <c r="AN33" i="4"/>
  <c r="AO33" i="4"/>
  <c r="AO40" i="4"/>
  <c r="AP33" i="4"/>
  <c r="AK45" i="4"/>
  <c r="AL45" i="4"/>
  <c r="AM19" i="6"/>
  <c r="AM17" i="6"/>
  <c r="AM14" i="6"/>
  <c r="AM45" i="4"/>
  <c r="AN19" i="6"/>
  <c r="AN45" i="4"/>
  <c r="AO45" i="4"/>
  <c r="AP45" i="4"/>
  <c r="AQ19" i="6"/>
  <c r="AK49" i="4"/>
  <c r="AL49" i="4"/>
  <c r="AM49" i="4"/>
  <c r="AN49" i="4"/>
  <c r="AO49" i="4"/>
  <c r="AP49" i="4"/>
  <c r="AJ4" i="4"/>
  <c r="AJ8" i="4"/>
  <c r="AJ14" i="4"/>
  <c r="AM52" i="5"/>
  <c r="AJ17" i="4"/>
  <c r="AK38" i="6"/>
  <c r="AJ21" i="4"/>
  <c r="AJ32" i="4"/>
  <c r="AK6" i="6"/>
  <c r="AJ33" i="4"/>
  <c r="AJ45" i="4"/>
  <c r="AK19" i="6"/>
  <c r="AJ49" i="4"/>
  <c r="G27" i="26"/>
  <c r="E27" i="26"/>
  <c r="D27" i="26"/>
  <c r="C27" i="26"/>
  <c r="G26" i="26"/>
  <c r="E26" i="26"/>
  <c r="D26" i="26"/>
  <c r="C26" i="26"/>
  <c r="G25" i="26"/>
  <c r="E25" i="26"/>
  <c r="D25" i="26"/>
  <c r="C25" i="26"/>
  <c r="G24" i="26"/>
  <c r="E24" i="26"/>
  <c r="D24" i="26"/>
  <c r="C24" i="26"/>
  <c r="G22" i="26"/>
  <c r="E22" i="26"/>
  <c r="D22" i="26"/>
  <c r="C22" i="26"/>
  <c r="G21" i="26"/>
  <c r="E21" i="26"/>
  <c r="D21" i="26"/>
  <c r="C21" i="26"/>
  <c r="G20" i="26"/>
  <c r="E20" i="26"/>
  <c r="D20" i="26"/>
  <c r="C20" i="26"/>
  <c r="G18" i="26"/>
  <c r="E18" i="26"/>
  <c r="D18" i="26"/>
  <c r="C18" i="26"/>
  <c r="G17" i="26"/>
  <c r="E17" i="26"/>
  <c r="D17" i="26"/>
  <c r="C17" i="26"/>
  <c r="G16" i="26"/>
  <c r="E16" i="26"/>
  <c r="D16" i="26"/>
  <c r="C16" i="26"/>
  <c r="G15" i="26"/>
  <c r="E15" i="26"/>
  <c r="D15" i="26"/>
  <c r="C15" i="26"/>
  <c r="G13" i="26"/>
  <c r="E13" i="26"/>
  <c r="D13" i="26"/>
  <c r="C13" i="26"/>
  <c r="G12" i="26"/>
  <c r="E12" i="26"/>
  <c r="D12" i="26"/>
  <c r="C12" i="26"/>
  <c r="G11" i="26"/>
  <c r="E11" i="26"/>
  <c r="D11" i="26"/>
  <c r="C11" i="26"/>
  <c r="G10" i="26"/>
  <c r="E10" i="26"/>
  <c r="D10" i="26"/>
  <c r="C10" i="26"/>
  <c r="G8" i="26"/>
  <c r="E8" i="26"/>
  <c r="D8" i="26"/>
  <c r="C8" i="26"/>
  <c r="G7" i="26"/>
  <c r="E7" i="26"/>
  <c r="D7" i="26"/>
  <c r="C7" i="26"/>
  <c r="G6" i="26"/>
  <c r="E6" i="26"/>
  <c r="D6" i="26"/>
  <c r="C6" i="26"/>
  <c r="AG49" i="4"/>
  <c r="AH49" i="4"/>
  <c r="AI49" i="4"/>
  <c r="AG45" i="4"/>
  <c r="AH19" i="6"/>
  <c r="AH17" i="6"/>
  <c r="AH14" i="6"/>
  <c r="AH45" i="4"/>
  <c r="AH55" i="4"/>
  <c r="AI45" i="4"/>
  <c r="AJ19" i="6"/>
  <c r="AG32" i="4"/>
  <c r="AH6" i="6"/>
  <c r="AH32" i="4"/>
  <c r="AI32" i="4"/>
  <c r="AG33" i="4"/>
  <c r="AG40" i="4"/>
  <c r="AH33" i="4"/>
  <c r="AI33" i="4"/>
  <c r="AG21" i="4"/>
  <c r="AH21" i="4"/>
  <c r="AI21" i="4"/>
  <c r="AG17" i="4"/>
  <c r="AH38" i="6"/>
  <c r="AH17" i="4"/>
  <c r="AI38" i="6"/>
  <c r="AI17" i="4"/>
  <c r="AJ38" i="6"/>
  <c r="AG14" i="4"/>
  <c r="AJ52" i="5"/>
  <c r="AH14" i="4"/>
  <c r="AK52" i="5"/>
  <c r="AI14" i="4"/>
  <c r="AL52" i="5"/>
  <c r="AG8" i="4"/>
  <c r="AH8" i="4"/>
  <c r="AI8" i="4"/>
  <c r="AG4" i="4"/>
  <c r="AH4" i="4"/>
  <c r="AI4" i="4"/>
  <c r="AG12" i="7"/>
  <c r="AH12" i="7"/>
  <c r="AH19" i="7"/>
  <c r="AI12" i="7"/>
  <c r="AG7" i="7"/>
  <c r="AH7" i="7"/>
  <c r="AI7" i="7"/>
  <c r="AJ7" i="7"/>
  <c r="AJ12" i="7"/>
  <c r="AG20" i="7"/>
  <c r="AH20" i="7"/>
  <c r="AI20" i="7"/>
  <c r="AJ20" i="7"/>
  <c r="AG23" i="7"/>
  <c r="AI23" i="7"/>
  <c r="AJ23" i="7"/>
  <c r="AH23" i="7"/>
  <c r="AG30" i="7"/>
  <c r="AH30" i="7"/>
  <c r="AI30" i="7"/>
  <c r="AJ30" i="7"/>
  <c r="AG4" i="7"/>
  <c r="AG3" i="7"/>
  <c r="AG19" i="7"/>
  <c r="AG29" i="7"/>
  <c r="AG33" i="7"/>
  <c r="AG35" i="7"/>
  <c r="AG37" i="7"/>
  <c r="AH56" i="6"/>
  <c r="AH4" i="7"/>
  <c r="AI4" i="7"/>
  <c r="AJ4" i="7"/>
  <c r="AJ3" i="7"/>
  <c r="AJ19" i="7"/>
  <c r="F35" i="25"/>
  <c r="AG28" i="6"/>
  <c r="AF47" i="4"/>
  <c r="AF45" i="4"/>
  <c r="AF38" i="4"/>
  <c r="AF29" i="4"/>
  <c r="AF6" i="4"/>
  <c r="AF12" i="4"/>
  <c r="F38" i="25"/>
  <c r="AF15" i="4"/>
  <c r="F32" i="25"/>
  <c r="AF7" i="4"/>
  <c r="AG38" i="6"/>
  <c r="F36" i="25"/>
  <c r="AF11" i="4"/>
  <c r="AG29" i="6"/>
  <c r="AF5" i="4"/>
  <c r="AF4" i="4"/>
  <c r="AF28" i="7"/>
  <c r="AG52" i="6"/>
  <c r="AF16" i="7"/>
  <c r="AG51" i="6"/>
  <c r="AF26" i="7"/>
  <c r="AF25" i="7"/>
  <c r="AG53" i="6"/>
  <c r="AF24" i="7"/>
  <c r="AF23" i="7"/>
  <c r="F47" i="25"/>
  <c r="AF27" i="7"/>
  <c r="AF11" i="7"/>
  <c r="AF14" i="7"/>
  <c r="AG50" i="6"/>
  <c r="AF13" i="7"/>
  <c r="F46" i="25"/>
  <c r="AF10" i="7"/>
  <c r="AF7" i="7"/>
  <c r="AF5" i="7"/>
  <c r="AF4" i="7"/>
  <c r="F42" i="25"/>
  <c r="F79" i="20"/>
  <c r="F76" i="20"/>
  <c r="E76" i="20"/>
  <c r="E77" i="20"/>
  <c r="H75" i="20"/>
  <c r="H74" i="20"/>
  <c r="H73" i="20"/>
  <c r="H72" i="20"/>
  <c r="H71" i="20"/>
  <c r="F77" i="20"/>
  <c r="AD7" i="6"/>
  <c r="AE7" i="6"/>
  <c r="AF7" i="6"/>
  <c r="AG7" i="6"/>
  <c r="AD8" i="6"/>
  <c r="AE8" i="6"/>
  <c r="AG32" i="5"/>
  <c r="AF8" i="6"/>
  <c r="AD9" i="6"/>
  <c r="AE9" i="6"/>
  <c r="AF9" i="6"/>
  <c r="AG9" i="6"/>
  <c r="AD10" i="6"/>
  <c r="AE10" i="6"/>
  <c r="AF10" i="6"/>
  <c r="AD18" i="6"/>
  <c r="AE18" i="6"/>
  <c r="AF18" i="6"/>
  <c r="AG18" i="6"/>
  <c r="AD20" i="6"/>
  <c r="AE20" i="6"/>
  <c r="AF20" i="6"/>
  <c r="AG20" i="6"/>
  <c r="AD21" i="6"/>
  <c r="AE21" i="6"/>
  <c r="AF21" i="6"/>
  <c r="AG21" i="6"/>
  <c r="AD23" i="6"/>
  <c r="AE23" i="6"/>
  <c r="AF23" i="6"/>
  <c r="AG23" i="6"/>
  <c r="AD27" i="6"/>
  <c r="AE27" i="6"/>
  <c r="AE26" i="6"/>
  <c r="AF27" i="6"/>
  <c r="AD29" i="6"/>
  <c r="AE29" i="6"/>
  <c r="AF29" i="6"/>
  <c r="AD32" i="6"/>
  <c r="AE32" i="6"/>
  <c r="AE31" i="6"/>
  <c r="AF32" i="6"/>
  <c r="AD33" i="6"/>
  <c r="AE33" i="6"/>
  <c r="AF33" i="6"/>
  <c r="AG33" i="6"/>
  <c r="AD34" i="6"/>
  <c r="AE34" i="6"/>
  <c r="AF34" i="6"/>
  <c r="AG34" i="6"/>
  <c r="AD35" i="6"/>
  <c r="AE35" i="6"/>
  <c r="AF35" i="6"/>
  <c r="AG35" i="6"/>
  <c r="AD39" i="6"/>
  <c r="AE39" i="6"/>
  <c r="AF39" i="6"/>
  <c r="AG39" i="6"/>
  <c r="F37" i="25"/>
  <c r="AD42" i="6"/>
  <c r="AE42" i="6"/>
  <c r="AF42" i="6"/>
  <c r="AG42" i="6"/>
  <c r="AD43" i="6"/>
  <c r="AE43" i="6"/>
  <c r="AF43" i="6"/>
  <c r="AG43" i="6"/>
  <c r="AD44" i="6"/>
  <c r="AE44" i="6"/>
  <c r="AF44" i="6"/>
  <c r="AG44" i="6"/>
  <c r="AD48" i="6"/>
  <c r="AE48" i="6"/>
  <c r="AF48" i="6"/>
  <c r="AD49" i="6"/>
  <c r="AE49" i="6"/>
  <c r="AF49" i="6"/>
  <c r="AG49" i="6"/>
  <c r="AD50" i="6"/>
  <c r="AE50" i="6"/>
  <c r="AF50" i="6"/>
  <c r="AD51" i="6"/>
  <c r="AE51" i="6"/>
  <c r="AF51" i="6"/>
  <c r="AD52" i="6"/>
  <c r="AD47" i="6"/>
  <c r="AE52" i="6"/>
  <c r="AF52" i="6"/>
  <c r="AD53" i="6"/>
  <c r="AE53" i="6"/>
  <c r="AF53" i="6"/>
  <c r="AF20" i="7"/>
  <c r="AF30" i="7"/>
  <c r="AF17" i="4"/>
  <c r="AF21" i="4"/>
  <c r="AF49" i="4"/>
  <c r="AE49" i="4"/>
  <c r="AE45" i="4"/>
  <c r="AF19" i="6"/>
  <c r="AE33" i="4"/>
  <c r="AE32" i="4"/>
  <c r="AE21" i="4"/>
  <c r="AE17" i="4"/>
  <c r="AF38" i="6"/>
  <c r="AE14" i="4"/>
  <c r="AE8" i="4"/>
  <c r="AE27" i="4"/>
  <c r="AE4" i="4"/>
  <c r="AE30" i="7"/>
  <c r="AE23" i="7"/>
  <c r="AE20" i="7"/>
  <c r="AE12" i="7"/>
  <c r="AE7" i="7"/>
  <c r="AE4" i="7"/>
  <c r="AD49" i="4"/>
  <c r="AD55" i="4"/>
  <c r="AD45" i="4"/>
  <c r="AE19" i="6"/>
  <c r="AD33" i="4"/>
  <c r="AD32" i="4"/>
  <c r="AE6" i="6"/>
  <c r="AG8" i="5"/>
  <c r="AF7" i="9"/>
  <c r="AD21" i="4"/>
  <c r="AD17" i="4"/>
  <c r="AE38" i="6"/>
  <c r="AD14" i="4"/>
  <c r="AG52" i="5"/>
  <c r="AD8" i="4"/>
  <c r="AD4" i="4"/>
  <c r="AD30" i="7"/>
  <c r="AD23" i="7"/>
  <c r="AD20" i="7"/>
  <c r="AD12" i="7"/>
  <c r="AD7" i="7"/>
  <c r="AD4" i="7"/>
  <c r="AD3" i="7"/>
  <c r="AD19" i="7"/>
  <c r="AC30" i="7"/>
  <c r="AC23" i="7"/>
  <c r="AC20" i="7"/>
  <c r="AC12" i="7"/>
  <c r="AC7" i="7"/>
  <c r="AC4" i="7"/>
  <c r="AC3" i="7"/>
  <c r="AC19" i="7"/>
  <c r="AC49" i="4"/>
  <c r="AC45" i="4"/>
  <c r="AD19" i="6"/>
  <c r="AC33" i="4"/>
  <c r="AC32" i="4"/>
  <c r="AC21" i="4"/>
  <c r="AC17" i="4"/>
  <c r="AD38" i="6"/>
  <c r="AC14" i="4"/>
  <c r="AF52" i="5"/>
  <c r="AC8" i="4"/>
  <c r="AC4" i="4"/>
  <c r="AB30" i="7"/>
  <c r="AB23" i="7"/>
  <c r="AB20" i="7"/>
  <c r="AB12" i="7"/>
  <c r="AB19" i="7"/>
  <c r="AB7" i="7"/>
  <c r="AB4" i="7"/>
  <c r="AB49" i="4"/>
  <c r="AB45" i="4"/>
  <c r="AB33" i="4"/>
  <c r="AB32" i="4"/>
  <c r="AB21" i="4"/>
  <c r="AB17" i="4"/>
  <c r="AC38" i="6"/>
  <c r="AB14" i="4"/>
  <c r="AE52" i="5"/>
  <c r="AB8" i="4"/>
  <c r="AB4" i="4"/>
  <c r="AA7" i="6"/>
  <c r="AD33" i="5"/>
  <c r="AB7" i="6"/>
  <c r="AC7" i="6"/>
  <c r="AA8" i="6"/>
  <c r="AB8" i="6"/>
  <c r="AC8" i="6"/>
  <c r="AA9" i="6"/>
  <c r="AB9" i="6"/>
  <c r="AC9" i="6"/>
  <c r="AA10" i="6"/>
  <c r="AB10" i="6"/>
  <c r="AC10" i="6"/>
  <c r="AA18" i="6"/>
  <c r="AB18" i="6"/>
  <c r="AC18" i="6"/>
  <c r="AA20" i="6"/>
  <c r="AB20" i="6"/>
  <c r="AC20" i="6"/>
  <c r="AA21" i="6"/>
  <c r="AB21" i="6"/>
  <c r="AC21" i="6"/>
  <c r="AA23" i="6"/>
  <c r="AB23" i="6"/>
  <c r="AC23" i="6"/>
  <c r="AA27" i="6"/>
  <c r="AB27" i="6"/>
  <c r="AC27" i="6"/>
  <c r="AA29" i="6"/>
  <c r="AB29" i="6"/>
  <c r="AC29" i="6"/>
  <c r="AA32" i="6"/>
  <c r="AB32" i="6"/>
  <c r="AB31" i="6"/>
  <c r="AC32" i="6"/>
  <c r="AA33" i="6"/>
  <c r="AB33" i="6"/>
  <c r="AC33" i="6"/>
  <c r="AC31" i="6"/>
  <c r="AA34" i="6"/>
  <c r="AB34" i="6"/>
  <c r="AC34" i="6"/>
  <c r="AA35" i="6"/>
  <c r="AB35" i="6"/>
  <c r="AC35" i="6"/>
  <c r="AA39" i="6"/>
  <c r="AB39" i="6"/>
  <c r="AC39" i="6"/>
  <c r="AA42" i="6"/>
  <c r="AB42" i="6"/>
  <c r="AC42" i="6"/>
  <c r="AA43" i="6"/>
  <c r="AB43" i="6"/>
  <c r="AC43" i="6"/>
  <c r="AA44" i="6"/>
  <c r="AB44" i="6"/>
  <c r="AC44" i="6"/>
  <c r="AA48" i="6"/>
  <c r="AB48" i="6"/>
  <c r="AC48" i="6"/>
  <c r="AA49" i="6"/>
  <c r="AB49" i="6"/>
  <c r="AC49" i="6"/>
  <c r="AA50" i="6"/>
  <c r="AB50" i="6"/>
  <c r="AC50" i="6"/>
  <c r="AA51" i="6"/>
  <c r="AA47" i="6"/>
  <c r="AB51" i="6"/>
  <c r="AC51" i="6"/>
  <c r="AA52" i="6"/>
  <c r="AB52" i="6"/>
  <c r="AC52" i="6"/>
  <c r="AA53" i="6"/>
  <c r="AB53" i="6"/>
  <c r="AC53" i="6"/>
  <c r="F53" i="20"/>
  <c r="F50" i="20"/>
  <c r="E50" i="20"/>
  <c r="E51" i="20"/>
  <c r="H49" i="20"/>
  <c r="H48" i="20"/>
  <c r="H47" i="20"/>
  <c r="H46" i="20"/>
  <c r="H45" i="20"/>
  <c r="F51" i="20"/>
  <c r="AA49" i="4"/>
  <c r="AA55" i="4"/>
  <c r="AA45" i="4"/>
  <c r="AB19" i="6"/>
  <c r="AB17" i="6"/>
  <c r="AA33" i="4"/>
  <c r="AA32" i="4"/>
  <c r="AB6" i="6"/>
  <c r="AA21" i="4"/>
  <c r="AA17" i="4"/>
  <c r="AB38" i="6"/>
  <c r="AA14" i="4"/>
  <c r="AD52" i="5"/>
  <c r="AA8" i="4"/>
  <c r="AA4" i="4"/>
  <c r="AA30" i="7"/>
  <c r="AA23" i="7"/>
  <c r="AA20" i="7"/>
  <c r="AA12" i="7"/>
  <c r="AA7" i="7"/>
  <c r="AA4" i="7"/>
  <c r="Z30" i="7"/>
  <c r="Z23" i="7"/>
  <c r="Z20" i="7"/>
  <c r="Z12" i="7"/>
  <c r="Z7" i="7"/>
  <c r="Z3" i="7"/>
  <c r="Z19" i="7"/>
  <c r="Z4" i="7"/>
  <c r="Z49" i="4"/>
  <c r="Z45" i="4"/>
  <c r="AA19" i="6"/>
  <c r="Z33" i="4"/>
  <c r="Z32" i="4"/>
  <c r="Z21" i="4"/>
  <c r="Z17" i="4"/>
  <c r="AA38" i="6"/>
  <c r="Z14" i="4"/>
  <c r="AC52" i="5"/>
  <c r="Z8" i="4"/>
  <c r="Z4" i="4"/>
  <c r="N26" i="20"/>
  <c r="N23" i="20"/>
  <c r="M23" i="20"/>
  <c r="M24" i="20"/>
  <c r="P22" i="20"/>
  <c r="P21" i="20"/>
  <c r="P20" i="20"/>
  <c r="P19" i="20"/>
  <c r="P18" i="20"/>
  <c r="P23" i="20"/>
  <c r="P24" i="20"/>
  <c r="N16" i="20"/>
  <c r="N24" i="20"/>
  <c r="N27" i="20"/>
  <c r="M16" i="20"/>
  <c r="P16" i="20"/>
  <c r="U7" i="6"/>
  <c r="W33" i="5"/>
  <c r="V7" i="6"/>
  <c r="W7" i="6"/>
  <c r="X7" i="6"/>
  <c r="Y7" i="6"/>
  <c r="Z7" i="6"/>
  <c r="U8" i="6"/>
  <c r="X32" i="5"/>
  <c r="V8" i="6"/>
  <c r="W8" i="6"/>
  <c r="Y32" i="5"/>
  <c r="X8" i="6"/>
  <c r="Y8" i="6"/>
  <c r="AA32" i="5"/>
  <c r="Z8" i="6"/>
  <c r="U9" i="6"/>
  <c r="V9" i="6"/>
  <c r="W9" i="6"/>
  <c r="X9" i="6"/>
  <c r="Y9" i="6"/>
  <c r="Z9" i="6"/>
  <c r="U10" i="6"/>
  <c r="V10" i="6"/>
  <c r="W10" i="6"/>
  <c r="X10" i="6"/>
  <c r="Y10" i="6"/>
  <c r="Z10" i="6"/>
  <c r="U18" i="6"/>
  <c r="U17" i="6"/>
  <c r="U14" i="6"/>
  <c r="V18" i="6"/>
  <c r="W18" i="6"/>
  <c r="X18" i="6"/>
  <c r="Y18" i="6"/>
  <c r="Z18" i="6"/>
  <c r="U20" i="6"/>
  <c r="V20" i="6"/>
  <c r="W20" i="6"/>
  <c r="X20" i="6"/>
  <c r="Y20" i="6"/>
  <c r="Z20" i="6"/>
  <c r="U21" i="6"/>
  <c r="V21" i="6"/>
  <c r="W21" i="6"/>
  <c r="X21" i="6"/>
  <c r="Y21" i="6"/>
  <c r="Z21" i="6"/>
  <c r="U23" i="6"/>
  <c r="V23" i="6"/>
  <c r="W23" i="6"/>
  <c r="X23" i="6"/>
  <c r="Y23" i="6"/>
  <c r="Z23" i="6"/>
  <c r="U27" i="6"/>
  <c r="V27" i="6"/>
  <c r="W27" i="6"/>
  <c r="X27" i="6"/>
  <c r="Y27" i="6"/>
  <c r="Z27" i="6"/>
  <c r="U29" i="6"/>
  <c r="U26" i="6"/>
  <c r="V29" i="6"/>
  <c r="W29" i="6"/>
  <c r="W26" i="6"/>
  <c r="X29" i="6"/>
  <c r="Y29" i="6"/>
  <c r="Z29" i="6"/>
  <c r="U32" i="6"/>
  <c r="V32" i="6"/>
  <c r="W32" i="6"/>
  <c r="X32" i="6"/>
  <c r="Y32" i="6"/>
  <c r="Z32" i="6"/>
  <c r="Z31" i="6"/>
  <c r="U33" i="6"/>
  <c r="V33" i="6"/>
  <c r="W33" i="6"/>
  <c r="X33" i="6"/>
  <c r="Y33" i="6"/>
  <c r="Z33" i="6"/>
  <c r="U34" i="6"/>
  <c r="V34" i="6"/>
  <c r="W34" i="6"/>
  <c r="X34" i="6"/>
  <c r="Y34" i="6"/>
  <c r="Z34" i="6"/>
  <c r="U35" i="6"/>
  <c r="V35" i="6"/>
  <c r="W35" i="6"/>
  <c r="X35" i="6"/>
  <c r="Y35" i="6"/>
  <c r="Z35" i="6"/>
  <c r="U39" i="6"/>
  <c r="V39" i="6"/>
  <c r="W39" i="6"/>
  <c r="X39" i="6"/>
  <c r="Y39" i="6"/>
  <c r="Z39" i="6"/>
  <c r="U42" i="6"/>
  <c r="V42" i="6"/>
  <c r="W42" i="6"/>
  <c r="X42" i="6"/>
  <c r="Y42" i="6"/>
  <c r="Z42" i="6"/>
  <c r="U43" i="6"/>
  <c r="V43" i="6"/>
  <c r="W43" i="6"/>
  <c r="X43" i="6"/>
  <c r="Y43" i="6"/>
  <c r="Z43" i="6"/>
  <c r="U44" i="6"/>
  <c r="V44" i="6"/>
  <c r="W44" i="6"/>
  <c r="X44" i="6"/>
  <c r="Y44" i="6"/>
  <c r="Z44" i="6"/>
  <c r="U48" i="6"/>
  <c r="V48" i="6"/>
  <c r="W48" i="6"/>
  <c r="X48" i="6"/>
  <c r="Y48" i="6"/>
  <c r="Z48" i="6"/>
  <c r="U49" i="6"/>
  <c r="V49" i="6"/>
  <c r="W49" i="6"/>
  <c r="X49" i="6"/>
  <c r="Y49" i="6"/>
  <c r="Z49" i="6"/>
  <c r="U50" i="6"/>
  <c r="V50" i="6"/>
  <c r="W50" i="6"/>
  <c r="X50" i="6"/>
  <c r="Y50" i="6"/>
  <c r="Z50" i="6"/>
  <c r="U51" i="6"/>
  <c r="V51" i="6"/>
  <c r="W51" i="6"/>
  <c r="X51" i="6"/>
  <c r="Y51" i="6"/>
  <c r="Z51" i="6"/>
  <c r="U52" i="6"/>
  <c r="V52" i="6"/>
  <c r="W52" i="6"/>
  <c r="X52" i="6"/>
  <c r="Y52" i="6"/>
  <c r="Z52" i="6"/>
  <c r="U53" i="6"/>
  <c r="V53" i="6"/>
  <c r="W53" i="6"/>
  <c r="X53" i="6"/>
  <c r="Y53" i="6"/>
  <c r="Z53" i="6"/>
  <c r="Y30" i="7"/>
  <c r="Y23" i="7"/>
  <c r="Y20" i="7"/>
  <c r="Y12" i="7"/>
  <c r="Y7" i="7"/>
  <c r="Y4" i="7"/>
  <c r="Y49" i="4"/>
  <c r="Y55" i="4"/>
  <c r="Y45" i="4"/>
  <c r="Z19" i="6"/>
  <c r="Y33" i="4"/>
  <c r="Y32" i="4"/>
  <c r="Y21" i="4"/>
  <c r="Y17" i="4"/>
  <c r="Z38" i="6"/>
  <c r="Y14" i="4"/>
  <c r="AB52" i="5"/>
  <c r="Y8" i="4"/>
  <c r="Y4" i="4"/>
  <c r="X49" i="4"/>
  <c r="X55" i="4"/>
  <c r="X45" i="4"/>
  <c r="Y19" i="6"/>
  <c r="X33" i="4"/>
  <c r="X32" i="4"/>
  <c r="X21" i="4"/>
  <c r="X17" i="4"/>
  <c r="Y38" i="6"/>
  <c r="X14" i="4"/>
  <c r="AA52" i="5"/>
  <c r="X8" i="4"/>
  <c r="X4" i="4"/>
  <c r="X30" i="7"/>
  <c r="X23" i="7"/>
  <c r="X20" i="7"/>
  <c r="X12" i="7"/>
  <c r="X7" i="7"/>
  <c r="X4" i="7"/>
  <c r="X3" i="7"/>
  <c r="X19" i="7"/>
  <c r="W30" i="7"/>
  <c r="W23" i="7"/>
  <c r="W20" i="7"/>
  <c r="W12" i="7"/>
  <c r="W7" i="7"/>
  <c r="W4" i="7"/>
  <c r="W49" i="4"/>
  <c r="W45" i="4"/>
  <c r="X19" i="6"/>
  <c r="W55" i="4"/>
  <c r="W33" i="4"/>
  <c r="W32" i="4"/>
  <c r="X6" i="6"/>
  <c r="W21" i="4"/>
  <c r="W17" i="4"/>
  <c r="W14" i="4"/>
  <c r="Z52" i="5"/>
  <c r="W8" i="4"/>
  <c r="W4" i="4"/>
  <c r="F26" i="20"/>
  <c r="F23" i="20"/>
  <c r="E23" i="20"/>
  <c r="E24" i="20"/>
  <c r="V49" i="4"/>
  <c r="V45" i="4"/>
  <c r="V33" i="4"/>
  <c r="V40" i="4"/>
  <c r="V32" i="4"/>
  <c r="V21" i="4"/>
  <c r="V17" i="4"/>
  <c r="V14" i="4"/>
  <c r="Y52" i="5"/>
  <c r="V8" i="4"/>
  <c r="V4" i="4"/>
  <c r="V30" i="7"/>
  <c r="V23" i="7"/>
  <c r="V20" i="7"/>
  <c r="V12" i="7"/>
  <c r="V7" i="7"/>
  <c r="V4" i="7"/>
  <c r="V3" i="7"/>
  <c r="V19" i="7"/>
  <c r="U49" i="4"/>
  <c r="U45" i="4"/>
  <c r="U33" i="4"/>
  <c r="U32" i="4"/>
  <c r="U21" i="4"/>
  <c r="U17" i="4"/>
  <c r="U14" i="4"/>
  <c r="X52" i="5"/>
  <c r="U8" i="4"/>
  <c r="U4" i="4"/>
  <c r="V36" i="6"/>
  <c r="U30" i="7"/>
  <c r="U23" i="7"/>
  <c r="U20" i="7"/>
  <c r="U12" i="7"/>
  <c r="U7" i="7"/>
  <c r="U4" i="7"/>
  <c r="T30" i="7"/>
  <c r="T23" i="7"/>
  <c r="T20" i="7"/>
  <c r="T12" i="7"/>
  <c r="T7" i="7"/>
  <c r="T4" i="7"/>
  <c r="T49" i="4"/>
  <c r="T45" i="4"/>
  <c r="T33" i="4"/>
  <c r="T32" i="4"/>
  <c r="T21" i="4"/>
  <c r="T17" i="4"/>
  <c r="U38" i="6"/>
  <c r="T14" i="4"/>
  <c r="T8" i="4"/>
  <c r="T4" i="4"/>
  <c r="S28" i="7"/>
  <c r="T52" i="6"/>
  <c r="S13" i="7"/>
  <c r="S12" i="7"/>
  <c r="S51" i="4"/>
  <c r="S47" i="4"/>
  <c r="S45" i="4"/>
  <c r="S38" i="4"/>
  <c r="S35" i="4"/>
  <c r="T10" i="6"/>
  <c r="S29" i="4"/>
  <c r="S6" i="4"/>
  <c r="S14" i="4"/>
  <c r="S5" i="4"/>
  <c r="S4" i="7"/>
  <c r="S7" i="7"/>
  <c r="S20" i="7"/>
  <c r="S30" i="7"/>
  <c r="S8" i="4"/>
  <c r="S17" i="4"/>
  <c r="T38" i="6"/>
  <c r="S21" i="4"/>
  <c r="T7" i="6"/>
  <c r="T9" i="6"/>
  <c r="T18" i="6"/>
  <c r="T20" i="6"/>
  <c r="T23" i="6"/>
  <c r="T27" i="6"/>
  <c r="T26" i="6"/>
  <c r="T29" i="6"/>
  <c r="T33" i="6"/>
  <c r="T34" i="6"/>
  <c r="T35" i="6"/>
  <c r="T39" i="6"/>
  <c r="T42" i="6"/>
  <c r="T44" i="6"/>
  <c r="T49" i="6"/>
  <c r="T50" i="6"/>
  <c r="T51" i="6"/>
  <c r="T53" i="6"/>
  <c r="R30" i="7"/>
  <c r="R23" i="7"/>
  <c r="R20" i="7"/>
  <c r="R12" i="7"/>
  <c r="R7" i="7"/>
  <c r="R4" i="7"/>
  <c r="R3" i="7"/>
  <c r="R49" i="4"/>
  <c r="R45" i="4"/>
  <c r="R33" i="4"/>
  <c r="R32" i="4"/>
  <c r="R21" i="4"/>
  <c r="R17" i="4"/>
  <c r="S38" i="6"/>
  <c r="R14" i="4"/>
  <c r="U52" i="5"/>
  <c r="R8" i="4"/>
  <c r="R4" i="4"/>
  <c r="S36" i="6"/>
  <c r="F37" i="5"/>
  <c r="G37" i="5"/>
  <c r="H37" i="5"/>
  <c r="I37" i="5"/>
  <c r="E37" i="5"/>
  <c r="D7" i="6"/>
  <c r="E7" i="6"/>
  <c r="G33" i="5"/>
  <c r="F7" i="6"/>
  <c r="D8" i="6"/>
  <c r="E8" i="6"/>
  <c r="F8" i="6"/>
  <c r="H32" i="5"/>
  <c r="D9" i="6"/>
  <c r="F42" i="5"/>
  <c r="E9" i="6"/>
  <c r="G42" i="5"/>
  <c r="F9" i="6"/>
  <c r="D10" i="6"/>
  <c r="E10" i="6"/>
  <c r="F10" i="6"/>
  <c r="D18" i="6"/>
  <c r="E18" i="6"/>
  <c r="F18" i="6"/>
  <c r="D20" i="6"/>
  <c r="E20" i="6"/>
  <c r="F20" i="6"/>
  <c r="D21" i="6"/>
  <c r="E21" i="6"/>
  <c r="F21" i="6"/>
  <c r="D23" i="6"/>
  <c r="E23" i="6"/>
  <c r="F23" i="6"/>
  <c r="D27" i="6"/>
  <c r="E27" i="6"/>
  <c r="F27" i="6"/>
  <c r="F26" i="6"/>
  <c r="D29" i="6"/>
  <c r="E29" i="6"/>
  <c r="F29" i="6"/>
  <c r="D32" i="6"/>
  <c r="E32" i="6"/>
  <c r="F32" i="6"/>
  <c r="D33" i="6"/>
  <c r="E33" i="6"/>
  <c r="F33" i="6"/>
  <c r="D34" i="6"/>
  <c r="E34" i="6"/>
  <c r="F34" i="6"/>
  <c r="D35" i="6"/>
  <c r="E35" i="6"/>
  <c r="F35" i="6"/>
  <c r="D39" i="6"/>
  <c r="E39" i="6"/>
  <c r="F39" i="6"/>
  <c r="D42" i="6"/>
  <c r="E42" i="6"/>
  <c r="F42" i="6"/>
  <c r="D43" i="6"/>
  <c r="E43" i="6"/>
  <c r="F43" i="6"/>
  <c r="D44" i="6"/>
  <c r="E44" i="6"/>
  <c r="F44" i="6"/>
  <c r="D48" i="6"/>
  <c r="E48" i="6"/>
  <c r="F48" i="6"/>
  <c r="D49" i="6"/>
  <c r="E49" i="6"/>
  <c r="F49" i="6"/>
  <c r="D50" i="6"/>
  <c r="E50" i="6"/>
  <c r="F50" i="6"/>
  <c r="D51" i="6"/>
  <c r="E51" i="6"/>
  <c r="F51" i="6"/>
  <c r="D52" i="6"/>
  <c r="E52" i="6"/>
  <c r="F52" i="6"/>
  <c r="F47" i="6"/>
  <c r="D53" i="6"/>
  <c r="E53" i="6"/>
  <c r="F53" i="6"/>
  <c r="C53" i="6"/>
  <c r="C52" i="6"/>
  <c r="C51" i="6"/>
  <c r="C50" i="6"/>
  <c r="C49" i="6"/>
  <c r="E41" i="5"/>
  <c r="C48" i="6"/>
  <c r="C44" i="6"/>
  <c r="C43" i="6"/>
  <c r="C42" i="6"/>
  <c r="C39" i="6"/>
  <c r="C35" i="6"/>
  <c r="C34" i="6"/>
  <c r="C33" i="6"/>
  <c r="C32" i="6"/>
  <c r="C29" i="6"/>
  <c r="C27" i="6"/>
  <c r="C26" i="6"/>
  <c r="C23" i="6"/>
  <c r="C21" i="6"/>
  <c r="C20" i="6"/>
  <c r="C18" i="6"/>
  <c r="C10" i="6"/>
  <c r="C9" i="6"/>
  <c r="C8" i="6"/>
  <c r="E32" i="5"/>
  <c r="C7" i="6"/>
  <c r="E33" i="5"/>
  <c r="Q30" i="7"/>
  <c r="P30" i="7"/>
  <c r="O30" i="7"/>
  <c r="N30" i="7"/>
  <c r="M30" i="7"/>
  <c r="L30" i="7"/>
  <c r="K30" i="7"/>
  <c r="J30" i="7"/>
  <c r="I30" i="7"/>
  <c r="H30" i="7"/>
  <c r="G30" i="7"/>
  <c r="F30" i="7"/>
  <c r="E30" i="7"/>
  <c r="D30" i="7"/>
  <c r="C30" i="7"/>
  <c r="B30" i="7"/>
  <c r="Q28" i="7"/>
  <c r="R52" i="6"/>
  <c r="P28" i="7"/>
  <c r="P23" i="7"/>
  <c r="O23" i="7"/>
  <c r="N23" i="7"/>
  <c r="M23" i="7"/>
  <c r="L23" i="7"/>
  <c r="K23" i="7"/>
  <c r="J23" i="7"/>
  <c r="I23" i="7"/>
  <c r="H23" i="7"/>
  <c r="G23" i="7"/>
  <c r="F23" i="7"/>
  <c r="E23" i="7"/>
  <c r="D23" i="7"/>
  <c r="C23" i="7"/>
  <c r="B23" i="7"/>
  <c r="Q20" i="7"/>
  <c r="P20" i="7"/>
  <c r="Q13" i="7"/>
  <c r="R48" i="6"/>
  <c r="P13" i="7"/>
  <c r="Q48" i="6"/>
  <c r="O12" i="7"/>
  <c r="N12" i="7"/>
  <c r="M12" i="7"/>
  <c r="L12" i="7"/>
  <c r="K12" i="7"/>
  <c r="J12" i="7"/>
  <c r="I12" i="7"/>
  <c r="H12" i="7"/>
  <c r="G12" i="7"/>
  <c r="F12" i="7"/>
  <c r="E12" i="7"/>
  <c r="D12" i="7"/>
  <c r="C12" i="7"/>
  <c r="B12" i="7"/>
  <c r="Q7" i="7"/>
  <c r="P7" i="7"/>
  <c r="O7" i="7"/>
  <c r="N7" i="7"/>
  <c r="M7" i="7"/>
  <c r="M3" i="7"/>
  <c r="M19" i="7"/>
  <c r="L7" i="7"/>
  <c r="L3" i="7"/>
  <c r="L19" i="7"/>
  <c r="O56" i="5"/>
  <c r="K7" i="7"/>
  <c r="J7" i="7"/>
  <c r="I7" i="7"/>
  <c r="H7" i="7"/>
  <c r="G7" i="7"/>
  <c r="F7" i="7"/>
  <c r="E7" i="7"/>
  <c r="E3" i="7"/>
  <c r="E19" i="7"/>
  <c r="D7" i="7"/>
  <c r="C7" i="7"/>
  <c r="B7" i="7"/>
  <c r="Q4" i="7"/>
  <c r="Q3" i="7"/>
  <c r="P4" i="7"/>
  <c r="P3" i="7"/>
  <c r="O4" i="7"/>
  <c r="N4" i="7"/>
  <c r="N3" i="7"/>
  <c r="N19" i="7"/>
  <c r="M4" i="7"/>
  <c r="L4" i="7"/>
  <c r="K4" i="7"/>
  <c r="J4" i="7"/>
  <c r="J3" i="7"/>
  <c r="I4" i="7"/>
  <c r="I3" i="7"/>
  <c r="I19" i="7"/>
  <c r="H4" i="7"/>
  <c r="H3" i="7"/>
  <c r="H19" i="7"/>
  <c r="G4" i="7"/>
  <c r="F4" i="7"/>
  <c r="E4" i="7"/>
  <c r="D4" i="7"/>
  <c r="D3" i="7"/>
  <c r="D19" i="7"/>
  <c r="C4" i="7"/>
  <c r="C3" i="7"/>
  <c r="C19" i="7"/>
  <c r="B4" i="7"/>
  <c r="Q51" i="4"/>
  <c r="P51" i="4"/>
  <c r="O49" i="4"/>
  <c r="N49" i="4"/>
  <c r="M49" i="4"/>
  <c r="L49" i="4"/>
  <c r="L55" i="4"/>
  <c r="K49" i="4"/>
  <c r="K55" i="4"/>
  <c r="J49" i="4"/>
  <c r="I49" i="4"/>
  <c r="H49" i="4"/>
  <c r="G49" i="4"/>
  <c r="F49" i="4"/>
  <c r="E49" i="4"/>
  <c r="D49" i="4"/>
  <c r="C49" i="4"/>
  <c r="B49" i="4"/>
  <c r="Q47" i="4"/>
  <c r="Q45" i="4"/>
  <c r="P47" i="4"/>
  <c r="P45" i="4"/>
  <c r="O45" i="4"/>
  <c r="P19" i="6"/>
  <c r="O55" i="4"/>
  <c r="N45" i="4"/>
  <c r="M45" i="4"/>
  <c r="N19" i="6"/>
  <c r="L45" i="4"/>
  <c r="M19" i="6"/>
  <c r="K45" i="4"/>
  <c r="L19" i="6"/>
  <c r="J45" i="4"/>
  <c r="I45" i="4"/>
  <c r="J19" i="6"/>
  <c r="H45" i="4"/>
  <c r="G45" i="4"/>
  <c r="F45" i="4"/>
  <c r="E45" i="4"/>
  <c r="E55" i="4"/>
  <c r="D45" i="4"/>
  <c r="D55" i="4"/>
  <c r="D56" i="4"/>
  <c r="C45" i="4"/>
  <c r="D19" i="6"/>
  <c r="B45" i="4"/>
  <c r="Q38" i="4"/>
  <c r="P38" i="4"/>
  <c r="O33" i="4"/>
  <c r="N33" i="4"/>
  <c r="M33" i="4"/>
  <c r="L33" i="4"/>
  <c r="K33" i="4"/>
  <c r="K40" i="4"/>
  <c r="J33" i="4"/>
  <c r="I33" i="4"/>
  <c r="H33" i="4"/>
  <c r="G33" i="4"/>
  <c r="F33" i="4"/>
  <c r="E33" i="4"/>
  <c r="D33" i="4"/>
  <c r="C33" i="4"/>
  <c r="B33" i="4"/>
  <c r="Q32" i="4"/>
  <c r="P32" i="4"/>
  <c r="Q6" i="6"/>
  <c r="O32" i="4"/>
  <c r="O40" i="4"/>
  <c r="N32" i="4"/>
  <c r="M32" i="4"/>
  <c r="L32" i="4"/>
  <c r="M6" i="6"/>
  <c r="K32" i="4"/>
  <c r="L6" i="6"/>
  <c r="J32" i="4"/>
  <c r="I32" i="4"/>
  <c r="H32" i="4"/>
  <c r="G32" i="4"/>
  <c r="F32" i="4"/>
  <c r="E32" i="4"/>
  <c r="D32" i="4"/>
  <c r="C32" i="4"/>
  <c r="B32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E27" i="4"/>
  <c r="D21" i="4"/>
  <c r="C21" i="4"/>
  <c r="B21" i="4"/>
  <c r="Q17" i="4"/>
  <c r="R38" i="6"/>
  <c r="P17" i="4"/>
  <c r="Q38" i="6"/>
  <c r="O17" i="4"/>
  <c r="P38" i="6"/>
  <c r="N17" i="4"/>
  <c r="M17" i="4"/>
  <c r="L17" i="4"/>
  <c r="M38" i="6"/>
  <c r="K17" i="4"/>
  <c r="L38" i="6"/>
  <c r="J17" i="4"/>
  <c r="K38" i="6"/>
  <c r="I17" i="4"/>
  <c r="J38" i="6"/>
  <c r="H17" i="4"/>
  <c r="G17" i="4"/>
  <c r="F17" i="4"/>
  <c r="E17" i="4"/>
  <c r="F38" i="6"/>
  <c r="D17" i="4"/>
  <c r="E38" i="6"/>
  <c r="C17" i="4"/>
  <c r="B17" i="4"/>
  <c r="C38" i="6"/>
  <c r="Q15" i="4"/>
  <c r="P15" i="4"/>
  <c r="P14" i="4"/>
  <c r="O14" i="4"/>
  <c r="N14" i="4"/>
  <c r="M14" i="4"/>
  <c r="L14" i="4"/>
  <c r="O52" i="5"/>
  <c r="K14" i="4"/>
  <c r="N52" i="5"/>
  <c r="J14" i="4"/>
  <c r="M52" i="5"/>
  <c r="I14" i="4"/>
  <c r="L52" i="5"/>
  <c r="H14" i="4"/>
  <c r="K52" i="5"/>
  <c r="G14" i="4"/>
  <c r="J52" i="5"/>
  <c r="F14" i="4"/>
  <c r="I52" i="5"/>
  <c r="E14" i="4"/>
  <c r="H52" i="5"/>
  <c r="D14" i="4"/>
  <c r="C14" i="4"/>
  <c r="B14" i="4"/>
  <c r="E52" i="5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N7" i="4"/>
  <c r="O38" i="6"/>
  <c r="H7" i="4"/>
  <c r="G7" i="4"/>
  <c r="F7" i="4"/>
  <c r="Q6" i="4"/>
  <c r="Q4" i="4"/>
  <c r="P5" i="4"/>
  <c r="P6" i="4"/>
  <c r="O4" i="4"/>
  <c r="N4" i="4"/>
  <c r="M4" i="4"/>
  <c r="L4" i="4"/>
  <c r="O48" i="5"/>
  <c r="K4" i="4"/>
  <c r="J4" i="4"/>
  <c r="K36" i="6"/>
  <c r="I4" i="4"/>
  <c r="L47" i="5"/>
  <c r="H4" i="4"/>
  <c r="I36" i="6"/>
  <c r="G4" i="4"/>
  <c r="J47" i="5"/>
  <c r="I15" i="9"/>
  <c r="F4" i="4"/>
  <c r="G36" i="6"/>
  <c r="E4" i="4"/>
  <c r="D4" i="4"/>
  <c r="E36" i="6"/>
  <c r="C4" i="4"/>
  <c r="B4" i="4"/>
  <c r="C36" i="6"/>
  <c r="H10" i="6"/>
  <c r="I10" i="6"/>
  <c r="J10" i="6"/>
  <c r="K10" i="6"/>
  <c r="L10" i="6"/>
  <c r="M10" i="6"/>
  <c r="N10" i="6"/>
  <c r="O10" i="6"/>
  <c r="P10" i="6"/>
  <c r="Q9" i="9"/>
  <c r="O7" i="6"/>
  <c r="P7" i="6"/>
  <c r="Q7" i="6"/>
  <c r="R7" i="6"/>
  <c r="T33" i="5"/>
  <c r="S7" i="6"/>
  <c r="O8" i="6"/>
  <c r="R32" i="5"/>
  <c r="P8" i="6"/>
  <c r="Q8" i="6"/>
  <c r="S32" i="5"/>
  <c r="R8" i="6"/>
  <c r="S8" i="6"/>
  <c r="O9" i="6"/>
  <c r="R42" i="5"/>
  <c r="P9" i="6"/>
  <c r="Q9" i="6"/>
  <c r="S42" i="5"/>
  <c r="R9" i="6"/>
  <c r="S9" i="6"/>
  <c r="S10" i="6"/>
  <c r="O18" i="6"/>
  <c r="P18" i="6"/>
  <c r="Q18" i="6"/>
  <c r="R18" i="6"/>
  <c r="S18" i="6"/>
  <c r="O20" i="6"/>
  <c r="P20" i="6"/>
  <c r="Q20" i="6"/>
  <c r="R20" i="6"/>
  <c r="S20" i="6"/>
  <c r="O21" i="6"/>
  <c r="P21" i="6"/>
  <c r="S21" i="6"/>
  <c r="O23" i="6"/>
  <c r="P23" i="6"/>
  <c r="Q23" i="6"/>
  <c r="R23" i="6"/>
  <c r="S23" i="6"/>
  <c r="O27" i="6"/>
  <c r="O26" i="6"/>
  <c r="P27" i="6"/>
  <c r="Q27" i="6"/>
  <c r="Q26" i="6"/>
  <c r="S19" i="5"/>
  <c r="R27" i="6"/>
  <c r="R26" i="6"/>
  <c r="S27" i="6"/>
  <c r="O29" i="6"/>
  <c r="P29" i="6"/>
  <c r="Q29" i="6"/>
  <c r="R29" i="6"/>
  <c r="S29" i="6"/>
  <c r="O32" i="6"/>
  <c r="P32" i="6"/>
  <c r="S32" i="6"/>
  <c r="O33" i="6"/>
  <c r="P33" i="6"/>
  <c r="Q33" i="6"/>
  <c r="R33" i="6"/>
  <c r="S33" i="6"/>
  <c r="S31" i="6"/>
  <c r="O34" i="6"/>
  <c r="P34" i="6"/>
  <c r="Q34" i="6"/>
  <c r="R34" i="6"/>
  <c r="S34" i="6"/>
  <c r="O35" i="6"/>
  <c r="P35" i="6"/>
  <c r="Q35" i="6"/>
  <c r="R35" i="6"/>
  <c r="S35" i="6"/>
  <c r="O39" i="6"/>
  <c r="P39" i="6"/>
  <c r="Q39" i="6"/>
  <c r="R39" i="6"/>
  <c r="S39" i="6"/>
  <c r="O42" i="6"/>
  <c r="P42" i="6"/>
  <c r="Q42" i="6"/>
  <c r="R42" i="6"/>
  <c r="S42" i="6"/>
  <c r="O43" i="6"/>
  <c r="P43" i="6"/>
  <c r="S43" i="6"/>
  <c r="O44" i="6"/>
  <c r="P44" i="6"/>
  <c r="Q44" i="6"/>
  <c r="R44" i="6"/>
  <c r="S44" i="6"/>
  <c r="O48" i="6"/>
  <c r="P48" i="6"/>
  <c r="S48" i="6"/>
  <c r="O49" i="6"/>
  <c r="P49" i="6"/>
  <c r="Q49" i="6"/>
  <c r="R49" i="6"/>
  <c r="S49" i="6"/>
  <c r="O50" i="6"/>
  <c r="P50" i="6"/>
  <c r="Q50" i="6"/>
  <c r="R50" i="6"/>
  <c r="S50" i="6"/>
  <c r="O51" i="6"/>
  <c r="P51" i="6"/>
  <c r="Q51" i="6"/>
  <c r="R51" i="6"/>
  <c r="S51" i="6"/>
  <c r="O52" i="6"/>
  <c r="P52" i="6"/>
  <c r="S52" i="6"/>
  <c r="O53" i="6"/>
  <c r="P53" i="6"/>
  <c r="Q53" i="6"/>
  <c r="R53" i="6"/>
  <c r="S53" i="6"/>
  <c r="M14" i="8"/>
  <c r="N14" i="8"/>
  <c r="F14" i="8"/>
  <c r="K14" i="8"/>
  <c r="L14" i="8"/>
  <c r="J14" i="8"/>
  <c r="I14" i="8"/>
  <c r="B14" i="8"/>
  <c r="C14" i="8"/>
  <c r="D14" i="8"/>
  <c r="E14" i="8"/>
  <c r="G14" i="8"/>
  <c r="H14" i="8"/>
  <c r="N7" i="6"/>
  <c r="N8" i="6"/>
  <c r="N9" i="6"/>
  <c r="N18" i="6"/>
  <c r="N20" i="6"/>
  <c r="N21" i="6"/>
  <c r="N23" i="6"/>
  <c r="N27" i="6"/>
  <c r="N29" i="6"/>
  <c r="N32" i="6"/>
  <c r="N34" i="6"/>
  <c r="N35" i="6"/>
  <c r="N39" i="6"/>
  <c r="N42" i="6"/>
  <c r="N43" i="6"/>
  <c r="N41" i="6"/>
  <c r="Q36" i="5"/>
  <c r="N44" i="6"/>
  <c r="N48" i="6"/>
  <c r="N49" i="6"/>
  <c r="N50" i="6"/>
  <c r="N51" i="6"/>
  <c r="N52" i="6"/>
  <c r="N53" i="6"/>
  <c r="K7" i="6"/>
  <c r="L7" i="6"/>
  <c r="N33" i="5"/>
  <c r="M7" i="6"/>
  <c r="K8" i="6"/>
  <c r="L8" i="6"/>
  <c r="O32" i="5"/>
  <c r="M8" i="6"/>
  <c r="K9" i="6"/>
  <c r="L9" i="6"/>
  <c r="N42" i="5"/>
  <c r="M9" i="6"/>
  <c r="K18" i="6"/>
  <c r="M41" i="5"/>
  <c r="L18" i="6"/>
  <c r="M18" i="6"/>
  <c r="K20" i="6"/>
  <c r="L20" i="6"/>
  <c r="L17" i="6"/>
  <c r="L14" i="6"/>
  <c r="M20" i="6"/>
  <c r="K21" i="6"/>
  <c r="L21" i="6"/>
  <c r="M21" i="6"/>
  <c r="K23" i="6"/>
  <c r="L23" i="6"/>
  <c r="M23" i="6"/>
  <c r="K27" i="6"/>
  <c r="K26" i="6"/>
  <c r="L27" i="6"/>
  <c r="M27" i="6"/>
  <c r="K29" i="6"/>
  <c r="L29" i="6"/>
  <c r="M29" i="6"/>
  <c r="K32" i="6"/>
  <c r="L32" i="6"/>
  <c r="M32" i="6"/>
  <c r="K33" i="6"/>
  <c r="L33" i="6"/>
  <c r="M33" i="6"/>
  <c r="K34" i="6"/>
  <c r="L34" i="6"/>
  <c r="M34" i="6"/>
  <c r="K35" i="6"/>
  <c r="L35" i="6"/>
  <c r="M35" i="6"/>
  <c r="K39" i="6"/>
  <c r="L39" i="6"/>
  <c r="M39" i="6"/>
  <c r="K42" i="6"/>
  <c r="L42" i="6"/>
  <c r="M42" i="6"/>
  <c r="K43" i="6"/>
  <c r="L43" i="6"/>
  <c r="M43" i="6"/>
  <c r="M41" i="6"/>
  <c r="K44" i="6"/>
  <c r="L44" i="6"/>
  <c r="M44" i="6"/>
  <c r="K48" i="6"/>
  <c r="L48" i="6"/>
  <c r="M48" i="6"/>
  <c r="K49" i="6"/>
  <c r="L49" i="6"/>
  <c r="M49" i="6"/>
  <c r="K50" i="6"/>
  <c r="L50" i="6"/>
  <c r="M50" i="6"/>
  <c r="K51" i="6"/>
  <c r="L51" i="6"/>
  <c r="M51" i="6"/>
  <c r="K52" i="6"/>
  <c r="L52" i="6"/>
  <c r="M52" i="6"/>
  <c r="K53" i="6"/>
  <c r="L53" i="6"/>
  <c r="M53" i="6"/>
  <c r="N33" i="6"/>
  <c r="J37" i="5"/>
  <c r="K37" i="5"/>
  <c r="L37" i="5"/>
  <c r="M37" i="5"/>
  <c r="N37" i="5"/>
  <c r="O37" i="5"/>
  <c r="P37" i="5"/>
  <c r="Q37" i="5"/>
  <c r="P52" i="5"/>
  <c r="Q52" i="5"/>
  <c r="R52" i="5"/>
  <c r="S52" i="5"/>
  <c r="H7" i="6"/>
  <c r="K33" i="5"/>
  <c r="I7" i="6"/>
  <c r="J7" i="6"/>
  <c r="H8" i="6"/>
  <c r="K32" i="5"/>
  <c r="I8" i="6"/>
  <c r="J8" i="6"/>
  <c r="L32" i="5"/>
  <c r="H9" i="6"/>
  <c r="I9" i="6"/>
  <c r="J9" i="6"/>
  <c r="H18" i="6"/>
  <c r="I18" i="6"/>
  <c r="J18" i="6"/>
  <c r="L41" i="5"/>
  <c r="H20" i="6"/>
  <c r="I20" i="6"/>
  <c r="J20" i="6"/>
  <c r="H21" i="6"/>
  <c r="I21" i="6"/>
  <c r="J21" i="6"/>
  <c r="H23" i="6"/>
  <c r="I23" i="6"/>
  <c r="J23" i="6"/>
  <c r="H27" i="6"/>
  <c r="I27" i="6"/>
  <c r="J27" i="6"/>
  <c r="H29" i="6"/>
  <c r="I29" i="6"/>
  <c r="J29" i="6"/>
  <c r="H32" i="6"/>
  <c r="I32" i="6"/>
  <c r="J32" i="6"/>
  <c r="H33" i="6"/>
  <c r="I33" i="6"/>
  <c r="J33" i="6"/>
  <c r="H34" i="6"/>
  <c r="I34" i="6"/>
  <c r="J34" i="6"/>
  <c r="H35" i="6"/>
  <c r="I35" i="6"/>
  <c r="J35" i="6"/>
  <c r="H39" i="6"/>
  <c r="I39" i="6"/>
  <c r="J39" i="6"/>
  <c r="H42" i="6"/>
  <c r="I42" i="6"/>
  <c r="I41" i="6"/>
  <c r="J42" i="6"/>
  <c r="H43" i="6"/>
  <c r="I43" i="6"/>
  <c r="J43" i="6"/>
  <c r="H44" i="6"/>
  <c r="I44" i="6"/>
  <c r="J44" i="6"/>
  <c r="H48" i="6"/>
  <c r="I48" i="6"/>
  <c r="J48" i="6"/>
  <c r="H49" i="6"/>
  <c r="I49" i="6"/>
  <c r="J49" i="6"/>
  <c r="H50" i="6"/>
  <c r="I50" i="6"/>
  <c r="J50" i="6"/>
  <c r="H51" i="6"/>
  <c r="I51" i="6"/>
  <c r="J51" i="6"/>
  <c r="H52" i="6"/>
  <c r="I52" i="6"/>
  <c r="J52" i="6"/>
  <c r="H53" i="6"/>
  <c r="I53" i="6"/>
  <c r="J53" i="6"/>
  <c r="G10" i="6"/>
  <c r="G21" i="6"/>
  <c r="G27" i="6"/>
  <c r="G51" i="6"/>
  <c r="G52" i="6"/>
  <c r="G53" i="6"/>
  <c r="G7" i="6"/>
  <c r="I33" i="5"/>
  <c r="G9" i="6"/>
  <c r="G18" i="6"/>
  <c r="I41" i="5"/>
  <c r="G20" i="6"/>
  <c r="G23" i="6"/>
  <c r="G29" i="6"/>
  <c r="G33" i="6"/>
  <c r="G34" i="6"/>
  <c r="G35" i="6"/>
  <c r="G42" i="6"/>
  <c r="G44" i="6"/>
  <c r="G49" i="6"/>
  <c r="G50" i="6"/>
  <c r="G39" i="6"/>
  <c r="G32" i="6"/>
  <c r="G43" i="6"/>
  <c r="G41" i="6"/>
  <c r="G48" i="6"/>
  <c r="G8" i="6"/>
  <c r="T32" i="6"/>
  <c r="T31" i="6"/>
  <c r="AG27" i="6"/>
  <c r="AS19" i="6"/>
  <c r="AO19" i="6"/>
  <c r="F24" i="20"/>
  <c r="F27" i="20"/>
  <c r="H23" i="20"/>
  <c r="H24" i="20"/>
  <c r="AM3" i="7"/>
  <c r="AM19" i="7"/>
  <c r="AG48" i="6"/>
  <c r="T48" i="6"/>
  <c r="BE3" i="7"/>
  <c r="BE19" i="7"/>
  <c r="AN3" i="7"/>
  <c r="AN19" i="7"/>
  <c r="AN29" i="7"/>
  <c r="AN33" i="7"/>
  <c r="Q23" i="7"/>
  <c r="AQ3" i="7"/>
  <c r="AQ19" i="7"/>
  <c r="AQ29" i="7"/>
  <c r="AQ33" i="7"/>
  <c r="P12" i="7"/>
  <c r="AH3" i="7"/>
  <c r="AI3" i="7"/>
  <c r="AI19" i="7"/>
  <c r="AI29" i="7"/>
  <c r="AI33" i="7"/>
  <c r="AA47" i="5"/>
  <c r="Z15" i="9"/>
  <c r="AS32" i="4"/>
  <c r="F31" i="26"/>
  <c r="AG47" i="5"/>
  <c r="AF15" i="9"/>
  <c r="W40" i="4"/>
  <c r="W56" i="4"/>
  <c r="AF14" i="4"/>
  <c r="AI52" i="5"/>
  <c r="S4" i="4"/>
  <c r="V47" i="5"/>
  <c r="U15" i="9"/>
  <c r="AG32" i="6"/>
  <c r="G47" i="5"/>
  <c r="F15" i="9"/>
  <c r="F32" i="26"/>
  <c r="D6" i="6"/>
  <c r="G31" i="5"/>
  <c r="Q12" i="7"/>
  <c r="F54" i="20"/>
  <c r="AS36" i="6"/>
  <c r="F80" i="20"/>
  <c r="AR19" i="6"/>
  <c r="AI19" i="6"/>
  <c r="BH42" i="5"/>
  <c r="AU31" i="6"/>
  <c r="AJ33" i="5"/>
  <c r="AP33" i="5"/>
  <c r="AQ33" i="5"/>
  <c r="AP47" i="6"/>
  <c r="AW42" i="5"/>
  <c r="E42" i="5"/>
  <c r="AD42" i="5"/>
  <c r="AN31" i="6"/>
  <c r="R19" i="7"/>
  <c r="U56" i="5"/>
  <c r="T12" i="9"/>
  <c r="T3" i="7"/>
  <c r="AK3" i="7"/>
  <c r="AK19" i="7"/>
  <c r="W3" i="7"/>
  <c r="W19" i="7"/>
  <c r="AP3" i="7"/>
  <c r="AP19" i="7"/>
  <c r="P47" i="6"/>
  <c r="O3" i="7"/>
  <c r="O19" i="7"/>
  <c r="AR3" i="7"/>
  <c r="AR19" i="7"/>
  <c r="AL47" i="6"/>
  <c r="AS23" i="7"/>
  <c r="F47" i="26"/>
  <c r="AF12" i="7"/>
  <c r="AB3" i="7"/>
  <c r="P19" i="7"/>
  <c r="S3" i="7"/>
  <c r="S19" i="7"/>
  <c r="K3" i="7"/>
  <c r="K19" i="7"/>
  <c r="K29" i="7"/>
  <c r="K33" i="7"/>
  <c r="K35" i="7"/>
  <c r="K37" i="7"/>
  <c r="L56" i="6"/>
  <c r="B3" i="7"/>
  <c r="B19" i="7"/>
  <c r="N12" i="9"/>
  <c r="Y3" i="7"/>
  <c r="Y19" i="7"/>
  <c r="AA3" i="7"/>
  <c r="AA19" i="7"/>
  <c r="G3" i="7"/>
  <c r="G19" i="7"/>
  <c r="J56" i="5"/>
  <c r="I12" i="9"/>
  <c r="AS4" i="7"/>
  <c r="AS3" i="7"/>
  <c r="U3" i="7"/>
  <c r="U19" i="7"/>
  <c r="X56" i="5"/>
  <c r="W12" i="9"/>
  <c r="AE3" i="7"/>
  <c r="AE19" i="7"/>
  <c r="J19" i="7"/>
  <c r="M56" i="5"/>
  <c r="L12" i="9"/>
  <c r="F3" i="7"/>
  <c r="F19" i="7"/>
  <c r="I56" i="5"/>
  <c r="H12" i="9"/>
  <c r="AT53" i="6"/>
  <c r="AE42" i="5"/>
  <c r="E19" i="6"/>
  <c r="M55" i="4"/>
  <c r="U47" i="5"/>
  <c r="Q32" i="6"/>
  <c r="AA36" i="6"/>
  <c r="F41" i="5"/>
  <c r="AD32" i="5"/>
  <c r="AC55" i="4"/>
  <c r="P6" i="6"/>
  <c r="AK40" i="4"/>
  <c r="O31" i="6"/>
  <c r="AH47" i="5"/>
  <c r="AG15" i="9"/>
  <c r="AI42" i="5"/>
  <c r="Z47" i="5"/>
  <c r="Y15" i="9"/>
  <c r="AE55" i="4"/>
  <c r="AS33" i="4"/>
  <c r="AH36" i="6"/>
  <c r="AF8" i="4"/>
  <c r="F39" i="25"/>
  <c r="AA40" i="4"/>
  <c r="AA56" i="4"/>
  <c r="AE41" i="5"/>
  <c r="N36" i="6"/>
  <c r="I47" i="5"/>
  <c r="AS31" i="6"/>
  <c r="U41" i="6"/>
  <c r="M36" i="6"/>
  <c r="AJ40" i="4"/>
  <c r="AF6" i="6"/>
  <c r="AD40" i="4"/>
  <c r="AD56" i="4"/>
  <c r="AF41" i="5"/>
  <c r="W48" i="5"/>
  <c r="V16" i="9"/>
  <c r="X47" i="5"/>
  <c r="W15" i="9"/>
  <c r="F38" i="26"/>
  <c r="L33" i="5"/>
  <c r="L26" i="6"/>
  <c r="Z32" i="5"/>
  <c r="V42" i="5"/>
  <c r="AK41" i="6"/>
  <c r="T36" i="6"/>
  <c r="N48" i="5"/>
  <c r="M16" i="9"/>
  <c r="AJ36" i="6"/>
  <c r="AP55" i="4"/>
  <c r="AI55" i="4"/>
  <c r="N41" i="5"/>
  <c r="X38" i="6"/>
  <c r="AA27" i="4"/>
  <c r="W38" i="6"/>
  <c r="R27" i="4"/>
  <c r="N16" i="9"/>
  <c r="V26" i="6"/>
  <c r="O47" i="5"/>
  <c r="N15" i="9"/>
  <c r="BE55" i="4"/>
  <c r="AH52" i="5"/>
  <c r="Q21" i="6"/>
  <c r="Q43" i="6"/>
  <c r="P49" i="4"/>
  <c r="P55" i="4"/>
  <c r="V33" i="5"/>
  <c r="O36" i="6"/>
  <c r="N27" i="4"/>
  <c r="Q57" i="5"/>
  <c r="P13" i="9"/>
  <c r="Q47" i="5"/>
  <c r="P15" i="9"/>
  <c r="E6" i="6"/>
  <c r="D40" i="4"/>
  <c r="G48" i="5"/>
  <c r="F16" i="9"/>
  <c r="R21" i="6"/>
  <c r="Q49" i="4"/>
  <c r="Q55" i="4"/>
  <c r="Q56" i="4"/>
  <c r="R43" i="6"/>
  <c r="R41" i="6"/>
  <c r="K6" i="6"/>
  <c r="F33" i="5"/>
  <c r="I6" i="6"/>
  <c r="H40" i="4"/>
  <c r="N31" i="6"/>
  <c r="K47" i="5"/>
  <c r="J15" i="9"/>
  <c r="K48" i="5"/>
  <c r="J16" i="9"/>
  <c r="J36" i="6"/>
  <c r="M48" i="5"/>
  <c r="L16" i="9"/>
  <c r="W6" i="6"/>
  <c r="AE33" i="5"/>
  <c r="AF33" i="5"/>
  <c r="F52" i="5"/>
  <c r="R6" i="6"/>
  <c r="R10" i="6"/>
  <c r="Q33" i="4"/>
  <c r="Q40" i="4"/>
  <c r="U19" i="6"/>
  <c r="D27" i="4"/>
  <c r="G52" i="5"/>
  <c r="E47" i="5"/>
  <c r="D15" i="9"/>
  <c r="S6" i="6"/>
  <c r="Y27" i="4"/>
  <c r="AB57" i="5"/>
  <c r="AA13" i="9"/>
  <c r="S19" i="6"/>
  <c r="R55" i="4"/>
  <c r="AM55" i="4"/>
  <c r="AD41" i="5"/>
  <c r="N56" i="5"/>
  <c r="M12" i="9"/>
  <c r="F44" i="26"/>
  <c r="F18" i="26"/>
  <c r="H8" i="8"/>
  <c r="AD57" i="5"/>
  <c r="AC13" i="9"/>
  <c r="Z5" i="6"/>
  <c r="E5" i="6"/>
  <c r="G57" i="5"/>
  <c r="F13" i="9"/>
  <c r="AQ53" i="5"/>
  <c r="AQ26" i="5"/>
  <c r="AQ25" i="5"/>
  <c r="H76" i="20"/>
  <c r="H77" i="20"/>
  <c r="BB3" i="7"/>
  <c r="BB19" i="7"/>
  <c r="AX3" i="7"/>
  <c r="AX19" i="7"/>
  <c r="AX29" i="7"/>
  <c r="AX33" i="7"/>
  <c r="AT3" i="7"/>
  <c r="AT19" i="7"/>
  <c r="AZ3" i="7"/>
  <c r="AZ19" i="7"/>
  <c r="C8" i="8"/>
  <c r="AG33" i="5"/>
  <c r="AJ55" i="4"/>
  <c r="AR33" i="5"/>
  <c r="AN33" i="5"/>
  <c r="AZ41" i="6"/>
  <c r="BB36" i="5"/>
  <c r="BC26" i="6"/>
  <c r="BG33" i="5"/>
  <c r="BB40" i="4"/>
  <c r="AX40" i="4"/>
  <c r="AT40" i="4"/>
  <c r="P4" i="4"/>
  <c r="AJ27" i="4"/>
  <c r="AQ55" i="4"/>
  <c r="AV41" i="6"/>
  <c r="AX31" i="6"/>
  <c r="BB26" i="6"/>
  <c r="AL26" i="6"/>
  <c r="AN19" i="5"/>
  <c r="AM22" i="9"/>
  <c r="AT33" i="5"/>
  <c r="AL33" i="5"/>
  <c r="AS4" i="4"/>
  <c r="AY41" i="6"/>
  <c r="BA26" i="6"/>
  <c r="AX26" i="6"/>
  <c r="AX42" i="5"/>
  <c r="BB55" i="4"/>
  <c r="BD40" i="4"/>
  <c r="AJ41" i="5"/>
  <c r="BD31" i="6"/>
  <c r="AU55" i="4"/>
  <c r="AH15" i="6"/>
  <c r="AU4" i="9"/>
  <c r="AU7" i="9"/>
  <c r="AU22" i="9"/>
  <c r="AU23" i="9"/>
  <c r="AK34" i="5"/>
  <c r="AU16" i="9"/>
  <c r="AU15" i="9"/>
  <c r="AT47" i="5"/>
  <c r="AS15" i="9"/>
  <c r="AS33" i="5"/>
  <c r="AK33" i="5"/>
  <c r="AM47" i="5"/>
  <c r="AL15" i="9"/>
  <c r="AP47" i="5"/>
  <c r="AO15" i="9"/>
  <c r="AP48" i="5"/>
  <c r="AO16" i="9"/>
  <c r="AN47" i="5"/>
  <c r="AM15" i="9"/>
  <c r="AN48" i="5"/>
  <c r="AM16" i="9"/>
  <c r="AJ47" i="5"/>
  <c r="AI15" i="9"/>
  <c r="AJ48" i="5"/>
  <c r="AI16" i="9"/>
  <c r="AU47" i="5"/>
  <c r="AT15" i="9"/>
  <c r="AU48" i="5"/>
  <c r="AT16" i="9"/>
  <c r="AM26" i="6"/>
  <c r="AO20" i="5"/>
  <c r="AN23" i="9"/>
  <c r="AO32" i="5"/>
  <c r="AL47" i="5"/>
  <c r="AK15" i="9"/>
  <c r="AL48" i="5"/>
  <c r="AK16" i="9"/>
  <c r="AS47" i="5"/>
  <c r="AR15" i="9"/>
  <c r="AQ47" i="5"/>
  <c r="AP15" i="9"/>
  <c r="AO47" i="5"/>
  <c r="AN15" i="9"/>
  <c r="BB41" i="5"/>
  <c r="BD19" i="6"/>
  <c r="AZ17" i="6"/>
  <c r="AZ14" i="6"/>
  <c r="AV19" i="6"/>
  <c r="AV17" i="6"/>
  <c r="AV14" i="6"/>
  <c r="BF41" i="6"/>
  <c r="AY27" i="4"/>
  <c r="AX41" i="6"/>
  <c r="BB27" i="4"/>
  <c r="BC5" i="6"/>
  <c r="BE26" i="5"/>
  <c r="BC36" i="6"/>
  <c r="BE58" i="5"/>
  <c r="BD18" i="9"/>
  <c r="AY36" i="6"/>
  <c r="BA58" i="5"/>
  <c r="AZ18" i="9"/>
  <c r="AT27" i="4"/>
  <c r="AW57" i="5"/>
  <c r="AU5" i="6"/>
  <c r="AW58" i="5"/>
  <c r="AV18" i="9"/>
  <c r="AU36" i="6"/>
  <c r="BF31" i="6"/>
  <c r="AZ19" i="5"/>
  <c r="AY22" i="9"/>
  <c r="BD48" i="5"/>
  <c r="BC16" i="9"/>
  <c r="AZ48" i="5"/>
  <c r="AY16" i="9"/>
  <c r="BB6" i="6"/>
  <c r="BB56" i="4"/>
  <c r="AX56" i="4"/>
  <c r="S47" i="5"/>
  <c r="AU11" i="9"/>
  <c r="AU13" i="9"/>
  <c r="BE15" i="5"/>
  <c r="BD21" i="9"/>
  <c r="AU17" i="9"/>
  <c r="AU6" i="9"/>
  <c r="AU5" i="9"/>
  <c r="AU21" i="9"/>
  <c r="AU20" i="9"/>
  <c r="BF47" i="6"/>
  <c r="BB47" i="6"/>
  <c r="BE47" i="6"/>
  <c r="AW47" i="6"/>
  <c r="BG41" i="5"/>
  <c r="BC41" i="5"/>
  <c r="BD42" i="5"/>
  <c r="BA3" i="7"/>
  <c r="BA19" i="7"/>
  <c r="AW3" i="7"/>
  <c r="AW19" i="7"/>
  <c r="AZ29" i="7"/>
  <c r="AZ33" i="7"/>
  <c r="BC56" i="5"/>
  <c r="BB12" i="9"/>
  <c r="BB29" i="7"/>
  <c r="BB33" i="7"/>
  <c r="BE56" i="5"/>
  <c r="BD12" i="9"/>
  <c r="BE29" i="7"/>
  <c r="BE33" i="7"/>
  <c r="BE35" i="7"/>
  <c r="BE37" i="7"/>
  <c r="BF56" i="6"/>
  <c r="BC17" i="6"/>
  <c r="BC14" i="6"/>
  <c r="BE41" i="5"/>
  <c r="BD41" i="5"/>
  <c r="BE24" i="5"/>
  <c r="BC32" i="5"/>
  <c r="BD6" i="6"/>
  <c r="BD27" i="4"/>
  <c r="AZ44" i="5"/>
  <c r="AZ34" i="5"/>
  <c r="BA44" i="5"/>
  <c r="BA34" i="5"/>
  <c r="AZ27" i="4"/>
  <c r="BC55" i="5"/>
  <c r="BB11" i="9"/>
  <c r="AV27" i="4"/>
  <c r="AW5" i="6"/>
  <c r="BF14" i="4"/>
  <c r="BG21" i="6"/>
  <c r="BF21" i="4"/>
  <c r="BF8" i="4"/>
  <c r="BF4" i="4"/>
  <c r="BF23" i="7"/>
  <c r="AL56" i="5"/>
  <c r="AK12" i="9"/>
  <c r="AJ56" i="5"/>
  <c r="AI12" i="9"/>
  <c r="AT56" i="5"/>
  <c r="AS12" i="9"/>
  <c r="AW41" i="6"/>
  <c r="AY36" i="5"/>
  <c r="BG20" i="6"/>
  <c r="AZ15" i="6"/>
  <c r="BA14" i="5"/>
  <c r="AZ20" i="9"/>
  <c r="BA25" i="5"/>
  <c r="BA21" i="5"/>
  <c r="BA9" i="5"/>
  <c r="AY15" i="5"/>
  <c r="AX21" i="9"/>
  <c r="AX44" i="5"/>
  <c r="AV13" i="9"/>
  <c r="BG19" i="5"/>
  <c r="AP44" i="5"/>
  <c r="AP34" i="5"/>
  <c r="J8" i="8"/>
  <c r="F31" i="6"/>
  <c r="BH41" i="5"/>
  <c r="AR15" i="6"/>
  <c r="AB14" i="5"/>
  <c r="AA20" i="9"/>
  <c r="BG32" i="5"/>
  <c r="AX32" i="5"/>
  <c r="AY32" i="5"/>
  <c r="AQ44" i="5"/>
  <c r="AY34" i="5"/>
  <c r="AB21" i="5"/>
  <c r="AX34" i="5"/>
  <c r="BE19" i="5"/>
  <c r="BD22" i="9"/>
  <c r="AY41" i="5"/>
  <c r="BA27" i="5"/>
  <c r="AZ17" i="9"/>
  <c r="BE27" i="5"/>
  <c r="BD17" i="9"/>
  <c r="BA40" i="5"/>
  <c r="I42" i="5"/>
  <c r="AX33" i="5"/>
  <c r="AY33" i="5"/>
  <c r="BE33" i="5"/>
  <c r="BD33" i="5"/>
  <c r="AQ34" i="5"/>
  <c r="AE34" i="5"/>
  <c r="AE44" i="5"/>
  <c r="BE25" i="5"/>
  <c r="C41" i="6"/>
  <c r="F32" i="5"/>
  <c r="G32" i="5"/>
  <c r="U31" i="6"/>
  <c r="AA41" i="5"/>
  <c r="Y17" i="6"/>
  <c r="W42" i="5"/>
  <c r="X42" i="5"/>
  <c r="AB26" i="6"/>
  <c r="AQ27" i="5"/>
  <c r="AP17" i="9"/>
  <c r="AQ9" i="5"/>
  <c r="AQ15" i="5"/>
  <c r="AP21" i="9"/>
  <c r="Q41" i="5"/>
  <c r="BE41" i="6"/>
  <c r="BG36" i="5"/>
  <c r="F10" i="26"/>
  <c r="F25" i="26"/>
  <c r="G31" i="6"/>
  <c r="L41" i="6"/>
  <c r="O36" i="5"/>
  <c r="K31" i="6"/>
  <c r="M17" i="6"/>
  <c r="M14" i="6"/>
  <c r="M15" i="6"/>
  <c r="P32" i="5"/>
  <c r="U32" i="5"/>
  <c r="T32" i="5"/>
  <c r="S33" i="5"/>
  <c r="R33" i="5"/>
  <c r="X41" i="6"/>
  <c r="X26" i="6"/>
  <c r="AC32" i="5"/>
  <c r="AI33" i="5"/>
  <c r="AH33" i="5"/>
  <c r="AH41" i="6"/>
  <c r="AH26" i="6"/>
  <c r="AQ32" i="5"/>
  <c r="AR32" i="5"/>
  <c r="K41" i="6"/>
  <c r="O33" i="5"/>
  <c r="P33" i="5"/>
  <c r="S41" i="6"/>
  <c r="U36" i="5"/>
  <c r="Q33" i="5"/>
  <c r="Y33" i="5"/>
  <c r="H15" i="9"/>
  <c r="B8" i="8"/>
  <c r="J41" i="5"/>
  <c r="I26" i="6"/>
  <c r="J17" i="6"/>
  <c r="J14" i="6"/>
  <c r="O41" i="5"/>
  <c r="Q41" i="6"/>
  <c r="T36" i="5"/>
  <c r="P31" i="6"/>
  <c r="R34" i="5"/>
  <c r="E31" i="6"/>
  <c r="AA26" i="6"/>
  <c r="BA41" i="6"/>
  <c r="AQ21" i="5"/>
  <c r="AS41" i="5"/>
  <c r="AQ17" i="6"/>
  <c r="AQ14" i="6"/>
  <c r="AS6" i="5"/>
  <c r="AR4" i="9"/>
  <c r="AO41" i="6"/>
  <c r="AY26" i="6"/>
  <c r="AD41" i="6"/>
  <c r="AN41" i="5"/>
  <c r="F15" i="26"/>
  <c r="W31" i="6"/>
  <c r="AB41" i="6"/>
  <c r="AS26" i="6"/>
  <c r="AK17" i="6"/>
  <c r="AK14" i="6"/>
  <c r="AL42" i="5"/>
  <c r="BC31" i="6"/>
  <c r="L42" i="5"/>
  <c r="Z26" i="6"/>
  <c r="AB33" i="5"/>
  <c r="AE17" i="6"/>
  <c r="AE14" i="6"/>
  <c r="AE15" i="6"/>
  <c r="AG6" i="5"/>
  <c r="AF4" i="9"/>
  <c r="AG41" i="5"/>
  <c r="AI41" i="6"/>
  <c r="AK36" i="5"/>
  <c r="AJ26" i="6"/>
  <c r="BC41" i="6"/>
  <c r="BF36" i="5"/>
  <c r="AU41" i="6"/>
  <c r="AZ41" i="5"/>
  <c r="T41" i="5"/>
  <c r="E17" i="6"/>
  <c r="E14" i="6"/>
  <c r="J31" i="6"/>
  <c r="M44" i="5"/>
  <c r="H26" i="6"/>
  <c r="M32" i="5"/>
  <c r="L31" i="6"/>
  <c r="M26" i="6"/>
  <c r="N17" i="6"/>
  <c r="N14" i="6"/>
  <c r="AT41" i="5"/>
  <c r="AC41" i="5"/>
  <c r="AD17" i="6"/>
  <c r="AU42" i="5"/>
  <c r="AN42" i="5"/>
  <c r="AT17" i="6"/>
  <c r="AT14" i="6"/>
  <c r="BF17" i="6"/>
  <c r="BF14" i="6"/>
  <c r="AZ32" i="5"/>
  <c r="AT42" i="5"/>
  <c r="AM42" i="5"/>
  <c r="AM41" i="5"/>
  <c r="P17" i="6"/>
  <c r="P14" i="6"/>
  <c r="AN17" i="6"/>
  <c r="AN14" i="6"/>
  <c r="AQ41" i="5"/>
  <c r="BB42" i="5"/>
  <c r="AS56" i="5"/>
  <c r="AR12" i="9"/>
  <c r="AP29" i="7"/>
  <c r="AP33" i="7"/>
  <c r="AM29" i="7"/>
  <c r="AM33" i="7"/>
  <c r="AP56" i="5"/>
  <c r="AO12" i="9"/>
  <c r="Q56" i="5"/>
  <c r="P12" i="9"/>
  <c r="N29" i="7"/>
  <c r="N33" i="7"/>
  <c r="N35" i="7"/>
  <c r="N37" i="7"/>
  <c r="O56" i="6"/>
  <c r="BF56" i="5"/>
  <c r="BE12" i="9"/>
  <c r="BC29" i="7"/>
  <c r="BC33" i="7"/>
  <c r="BC35" i="7"/>
  <c r="BC37" i="7"/>
  <c r="BD56" i="6"/>
  <c r="AX56" i="5"/>
  <c r="AW12" i="9"/>
  <c r="AU29" i="7"/>
  <c r="AU33" i="7"/>
  <c r="AU35" i="7"/>
  <c r="AU37" i="7"/>
  <c r="AQ35" i="7"/>
  <c r="AQ37" i="7"/>
  <c r="AR56" i="6"/>
  <c r="AA29" i="7"/>
  <c r="AA33" i="7"/>
  <c r="AD56" i="5"/>
  <c r="AC12" i="9"/>
  <c r="Z29" i="7"/>
  <c r="Z33" i="7"/>
  <c r="AC56" i="5"/>
  <c r="AB12" i="9"/>
  <c r="AL29" i="7"/>
  <c r="AL33" i="7"/>
  <c r="AO56" i="5"/>
  <c r="AN12" i="9"/>
  <c r="M29" i="7"/>
  <c r="M33" i="7"/>
  <c r="M35" i="7"/>
  <c r="M37" i="7"/>
  <c r="N56" i="6"/>
  <c r="P56" i="5"/>
  <c r="O12" i="9"/>
  <c r="AI35" i="7"/>
  <c r="AI37" i="7"/>
  <c r="AJ56" i="6"/>
  <c r="W29" i="7"/>
  <c r="W33" i="7"/>
  <c r="Z56" i="5"/>
  <c r="Y12" i="9"/>
  <c r="AN35" i="7"/>
  <c r="AN37" i="7"/>
  <c r="AO56" i="6"/>
  <c r="K56" i="5"/>
  <c r="J12" i="9"/>
  <c r="H29" i="7"/>
  <c r="H33" i="7"/>
  <c r="BG56" i="5"/>
  <c r="BD29" i="7"/>
  <c r="BD33" i="7"/>
  <c r="BD35" i="7"/>
  <c r="BD37" i="7"/>
  <c r="E29" i="7"/>
  <c r="E33" i="7"/>
  <c r="H56" i="5"/>
  <c r="G12" i="9"/>
  <c r="AF56" i="5"/>
  <c r="AE12" i="9"/>
  <c r="AC29" i="7"/>
  <c r="AC33" i="7"/>
  <c r="AC35" i="7"/>
  <c r="AC37" i="7"/>
  <c r="AD56" i="6"/>
  <c r="AX35" i="7"/>
  <c r="AX37" i="7"/>
  <c r="AY56" i="6"/>
  <c r="AR29" i="7"/>
  <c r="AR33" i="7"/>
  <c r="AU56" i="5"/>
  <c r="AT12" i="9"/>
  <c r="AK29" i="7"/>
  <c r="AK33" i="7"/>
  <c r="AK35" i="7"/>
  <c r="AK37" i="7"/>
  <c r="AL56" i="6"/>
  <c r="AN56" i="5"/>
  <c r="AM12" i="9"/>
  <c r="AA56" i="5"/>
  <c r="Z12" i="9"/>
  <c r="X29" i="7"/>
  <c r="X33" i="7"/>
  <c r="AG47" i="6"/>
  <c r="AQ56" i="5"/>
  <c r="AP12" i="9"/>
  <c r="AO29" i="7"/>
  <c r="AO33" i="7"/>
  <c r="AR56" i="5"/>
  <c r="AQ12" i="9"/>
  <c r="AB29" i="7"/>
  <c r="AB33" i="7"/>
  <c r="AE56" i="5"/>
  <c r="AD12" i="9"/>
  <c r="T40" i="5"/>
  <c r="R47" i="6"/>
  <c r="AJ29" i="7"/>
  <c r="AJ33" i="7"/>
  <c r="AJ35" i="7"/>
  <c r="AJ37" i="7"/>
  <c r="AK56" i="6"/>
  <c r="AM56" i="5"/>
  <c r="AL12" i="9"/>
  <c r="AY29" i="7"/>
  <c r="AY33" i="7"/>
  <c r="BB56" i="5"/>
  <c r="BA12" i="9"/>
  <c r="AH29" i="7"/>
  <c r="AH33" i="7"/>
  <c r="AK56" i="5"/>
  <c r="AJ12" i="9"/>
  <c r="S56" i="5"/>
  <c r="R12" i="9"/>
  <c r="AF3" i="7"/>
  <c r="F48" i="25"/>
  <c r="F15" i="25"/>
  <c r="B29" i="7"/>
  <c r="B33" i="7"/>
  <c r="B35" i="7"/>
  <c r="E56" i="5"/>
  <c r="D12" i="9"/>
  <c r="Y56" i="5"/>
  <c r="X12" i="9"/>
  <c r="V29" i="7"/>
  <c r="V33" i="7"/>
  <c r="V35" i="7"/>
  <c r="V37" i="7"/>
  <c r="W56" i="6"/>
  <c r="Y42" i="5"/>
  <c r="F46" i="26"/>
  <c r="F27" i="26"/>
  <c r="U47" i="6"/>
  <c r="K47" i="6"/>
  <c r="AZ56" i="5"/>
  <c r="AY12" i="9"/>
  <c r="R29" i="7"/>
  <c r="R33" i="7"/>
  <c r="AO47" i="6"/>
  <c r="BA56" i="5"/>
  <c r="AZ12" i="9"/>
  <c r="BD47" i="6"/>
  <c r="AJ42" i="5"/>
  <c r="F49" i="25"/>
  <c r="J29" i="7"/>
  <c r="J33" i="7"/>
  <c r="H47" i="6"/>
  <c r="M47" i="6"/>
  <c r="N47" i="6"/>
  <c r="O47" i="6"/>
  <c r="C47" i="6"/>
  <c r="Z47" i="6"/>
  <c r="X47" i="6"/>
  <c r="AC47" i="6"/>
  <c r="AR47" i="6"/>
  <c r="AQ57" i="5"/>
  <c r="AP13" i="9"/>
  <c r="L29" i="7"/>
  <c r="L33" i="7"/>
  <c r="AY47" i="6"/>
  <c r="T47" i="6"/>
  <c r="AT48" i="6"/>
  <c r="AT47" i="6"/>
  <c r="P29" i="7"/>
  <c r="P33" i="7"/>
  <c r="AZ42" i="5"/>
  <c r="G29" i="7"/>
  <c r="G33" i="7"/>
  <c r="Q52" i="6"/>
  <c r="Q47" i="6"/>
  <c r="T19" i="7"/>
  <c r="AS12" i="7"/>
  <c r="AS19" i="7"/>
  <c r="S23" i="7"/>
  <c r="S29" i="7"/>
  <c r="S33" i="7"/>
  <c r="S40" i="5"/>
  <c r="AB41" i="5"/>
  <c r="AX41" i="5"/>
  <c r="AE47" i="6"/>
  <c r="S47" i="6"/>
  <c r="AJ47" i="6"/>
  <c r="AF47" i="6"/>
  <c r="J47" i="6"/>
  <c r="AK47" i="6"/>
  <c r="I47" i="6"/>
  <c r="E47" i="6"/>
  <c r="AS47" i="6"/>
  <c r="AN47" i="6"/>
  <c r="BE56" i="6"/>
  <c r="AV56" i="6"/>
  <c r="BB35" i="7"/>
  <c r="BB37" i="7"/>
  <c r="BC56" i="6"/>
  <c r="BA29" i="7"/>
  <c r="BA33" i="7"/>
  <c r="BD56" i="5"/>
  <c r="BC12" i="9"/>
  <c r="AZ35" i="7"/>
  <c r="AZ37" i="7"/>
  <c r="BA56" i="6"/>
  <c r="BB55" i="5"/>
  <c r="BA11" i="9"/>
  <c r="AY35" i="7"/>
  <c r="AY37" i="7"/>
  <c r="AZ56" i="6"/>
  <c r="AW29" i="7"/>
  <c r="AW33" i="7"/>
  <c r="R15" i="9"/>
  <c r="L8" i="8"/>
  <c r="O29" i="7"/>
  <c r="O33" i="7"/>
  <c r="R56" i="5"/>
  <c r="Q12" i="9"/>
  <c r="BG34" i="5"/>
  <c r="BA53" i="5"/>
  <c r="BA26" i="5"/>
  <c r="BA15" i="5"/>
  <c r="AZ21" i="9"/>
  <c r="AS40" i="4"/>
  <c r="AS56" i="4"/>
  <c r="F41" i="26"/>
  <c r="BG44" i="5"/>
  <c r="BA57" i="5"/>
  <c r="AZ13" i="9"/>
  <c r="BA24" i="5"/>
  <c r="AB26" i="5"/>
  <c r="N31" i="5"/>
  <c r="N40" i="5"/>
  <c r="C29" i="7"/>
  <c r="C33" i="7"/>
  <c r="F56" i="5"/>
  <c r="E12" i="9"/>
  <c r="AB27" i="5"/>
  <c r="AA17" i="9"/>
  <c r="Z35" i="7"/>
  <c r="Z37" i="7"/>
  <c r="AA56" i="6"/>
  <c r="BE9" i="5"/>
  <c r="AB53" i="5"/>
  <c r="BE53" i="5"/>
  <c r="AB25" i="5"/>
  <c r="AB15" i="5"/>
  <c r="AA21" i="9"/>
  <c r="F29" i="7"/>
  <c r="F33" i="7"/>
  <c r="AE29" i="7"/>
  <c r="AE33" i="7"/>
  <c r="AH56" i="5"/>
  <c r="AG12" i="9"/>
  <c r="AB9" i="5"/>
  <c r="W35" i="7"/>
  <c r="W37" i="7"/>
  <c r="X56" i="6"/>
  <c r="AO6" i="5"/>
  <c r="AN4" i="9"/>
  <c r="U29" i="7"/>
  <c r="U33" i="7"/>
  <c r="U35" i="7"/>
  <c r="L6" i="5"/>
  <c r="J42" i="5"/>
  <c r="K42" i="5"/>
  <c r="O42" i="5"/>
  <c r="P42" i="5"/>
  <c r="R19" i="6"/>
  <c r="R17" i="6"/>
  <c r="R14" i="6"/>
  <c r="R15" i="6"/>
  <c r="W56" i="5"/>
  <c r="V12" i="9"/>
  <c r="T29" i="7"/>
  <c r="T33" i="7"/>
  <c r="I32" i="5"/>
  <c r="J32" i="5"/>
  <c r="L47" i="6"/>
  <c r="G47" i="6"/>
  <c r="BF15" i="6"/>
  <c r="BH10" i="5"/>
  <c r="AT15" i="6"/>
  <c r="F34" i="26"/>
  <c r="N36" i="5"/>
  <c r="N44" i="5"/>
  <c r="N34" i="5"/>
  <c r="K19" i="5"/>
  <c r="I44" i="5"/>
  <c r="AR36" i="5"/>
  <c r="AG20" i="5"/>
  <c r="AF23" i="9"/>
  <c r="R44" i="5"/>
  <c r="I34" i="5"/>
  <c r="P35" i="5"/>
  <c r="P6" i="5"/>
  <c r="N15" i="6"/>
  <c r="M34" i="5"/>
  <c r="O19" i="5"/>
  <c r="AK15" i="6"/>
  <c r="G8" i="5"/>
  <c r="F7" i="9"/>
  <c r="G6" i="5"/>
  <c r="F4" i="9"/>
  <c r="AQ15" i="6"/>
  <c r="AM8" i="5"/>
  <c r="AL7" i="9"/>
  <c r="BA19" i="5"/>
  <c r="AZ22" i="9"/>
  <c r="L15" i="6"/>
  <c r="N8" i="5"/>
  <c r="M7" i="9"/>
  <c r="N6" i="5"/>
  <c r="S35" i="7"/>
  <c r="S37" i="7"/>
  <c r="T56" i="6"/>
  <c r="L35" i="7"/>
  <c r="L37" i="7"/>
  <c r="AH35" i="7"/>
  <c r="AH37" i="7"/>
  <c r="AI56" i="6"/>
  <c r="AB35" i="7"/>
  <c r="AB37" i="7"/>
  <c r="AC56" i="6"/>
  <c r="H35" i="7"/>
  <c r="H37" i="7"/>
  <c r="I56" i="6"/>
  <c r="V56" i="5"/>
  <c r="U12" i="9"/>
  <c r="F45" i="26"/>
  <c r="AS29" i="7"/>
  <c r="AS33" i="7"/>
  <c r="AS35" i="7"/>
  <c r="AS37" i="7"/>
  <c r="F49" i="26"/>
  <c r="F16" i="26"/>
  <c r="B37" i="7"/>
  <c r="C56" i="6"/>
  <c r="AO35" i="7"/>
  <c r="AO37" i="7"/>
  <c r="AP56" i="6"/>
  <c r="AA35" i="7"/>
  <c r="AA37" i="7"/>
  <c r="AB56" i="6"/>
  <c r="P35" i="7"/>
  <c r="P37" i="7"/>
  <c r="Q56" i="6"/>
  <c r="E35" i="7"/>
  <c r="E37" i="7"/>
  <c r="F56" i="6"/>
  <c r="AL35" i="7"/>
  <c r="AL37" i="7"/>
  <c r="AM56" i="6"/>
  <c r="F44" i="25"/>
  <c r="F27" i="25"/>
  <c r="AF19" i="7"/>
  <c r="F45" i="25"/>
  <c r="F18" i="25"/>
  <c r="AM35" i="7"/>
  <c r="AM37" i="7"/>
  <c r="AN56" i="6"/>
  <c r="AR35" i="7"/>
  <c r="AR37" i="7"/>
  <c r="AS56" i="6"/>
  <c r="AP35" i="7"/>
  <c r="AP37" i="7"/>
  <c r="AQ56" i="6"/>
  <c r="G35" i="7"/>
  <c r="G37" i="7"/>
  <c r="H56" i="6"/>
  <c r="X35" i="7"/>
  <c r="X37" i="7"/>
  <c r="Y56" i="6"/>
  <c r="C35" i="7"/>
  <c r="C37" i="7"/>
  <c r="D56" i="6"/>
  <c r="U37" i="7"/>
  <c r="V56" i="6"/>
  <c r="BA35" i="7"/>
  <c r="BA37" i="7"/>
  <c r="BB56" i="6"/>
  <c r="T35" i="7"/>
  <c r="T37" i="7"/>
  <c r="U56" i="6"/>
  <c r="AW35" i="7"/>
  <c r="AW37" i="7"/>
  <c r="AX56" i="6"/>
  <c r="AE35" i="7"/>
  <c r="AE37" i="7"/>
  <c r="AF56" i="6"/>
  <c r="O35" i="7"/>
  <c r="O37" i="7"/>
  <c r="P56" i="6"/>
  <c r="G3" i="8"/>
  <c r="M4" i="9"/>
  <c r="G6" i="8"/>
  <c r="AF29" i="7"/>
  <c r="AF33" i="7"/>
  <c r="AT56" i="6"/>
  <c r="F50" i="26"/>
  <c r="AF35" i="7"/>
  <c r="AF37" i="7"/>
  <c r="T6" i="5"/>
  <c r="M3" i="8"/>
  <c r="F35" i="7"/>
  <c r="F37" i="7"/>
  <c r="G56" i="6"/>
  <c r="F16" i="25"/>
  <c r="AI56" i="5"/>
  <c r="AH12" i="9"/>
  <c r="R35" i="7"/>
  <c r="R37" i="7"/>
  <c r="S56" i="6"/>
  <c r="J35" i="7"/>
  <c r="J37" i="7"/>
  <c r="K56" i="6"/>
  <c r="AT29" i="7"/>
  <c r="AT33" i="7"/>
  <c r="AW56" i="5"/>
  <c r="AV12" i="9"/>
  <c r="G25" i="5"/>
  <c r="G27" i="5"/>
  <c r="F17" i="9"/>
  <c r="G26" i="5"/>
  <c r="G24" i="5"/>
  <c r="G14" i="5"/>
  <c r="F20" i="9"/>
  <c r="G9" i="5"/>
  <c r="G15" i="5"/>
  <c r="F21" i="9"/>
  <c r="G53" i="5"/>
  <c r="G58" i="5"/>
  <c r="F18" i="9"/>
  <c r="H31" i="6"/>
  <c r="AV15" i="6"/>
  <c r="BH9" i="5"/>
  <c r="O5" i="6"/>
  <c r="S31" i="5"/>
  <c r="T48" i="5"/>
  <c r="S16" i="9"/>
  <c r="T47" i="5"/>
  <c r="M8" i="8"/>
  <c r="R36" i="6"/>
  <c r="AY27" i="5"/>
  <c r="AX17" i="9"/>
  <c r="BG57" i="5"/>
  <c r="F5" i="6"/>
  <c r="N8" i="8"/>
  <c r="T15" i="9"/>
  <c r="H38" i="6"/>
  <c r="G27" i="4"/>
  <c r="H5" i="6"/>
  <c r="J21" i="5"/>
  <c r="AY21" i="5"/>
  <c r="BD19" i="5"/>
  <c r="BC22" i="9"/>
  <c r="Y29" i="7"/>
  <c r="Y33" i="7"/>
  <c r="AB56" i="5"/>
  <c r="AA12" i="9"/>
  <c r="AY57" i="5"/>
  <c r="AX13" i="9"/>
  <c r="O19" i="6"/>
  <c r="N55" i="4"/>
  <c r="AH57" i="5"/>
  <c r="AG13" i="9"/>
  <c r="AF5" i="6"/>
  <c r="O41" i="6"/>
  <c r="Q44" i="5"/>
  <c r="Y31" i="6"/>
  <c r="AB34" i="5"/>
  <c r="W19" i="6"/>
  <c r="W17" i="6"/>
  <c r="W14" i="6"/>
  <c r="V55" i="4"/>
  <c r="V56" i="4"/>
  <c r="V47" i="6"/>
  <c r="AG56" i="5"/>
  <c r="AF12" i="9"/>
  <c r="AD29" i="7"/>
  <c r="AD33" i="7"/>
  <c r="AJ6" i="6"/>
  <c r="AI40" i="4"/>
  <c r="AI56" i="4"/>
  <c r="AQ26" i="6"/>
  <c r="O31" i="5"/>
  <c r="D29" i="7"/>
  <c r="D33" i="7"/>
  <c r="G56" i="5"/>
  <c r="F12" i="9"/>
  <c r="H41" i="5"/>
  <c r="G41" i="5"/>
  <c r="H50" i="20"/>
  <c r="H51" i="20"/>
  <c r="D17" i="6"/>
  <c r="D14" i="6"/>
  <c r="AB47" i="6"/>
  <c r="AG36" i="6"/>
  <c r="F40" i="25"/>
  <c r="AF27" i="4"/>
  <c r="AK42" i="5"/>
  <c r="AI47" i="6"/>
  <c r="AU40" i="4"/>
  <c r="AU56" i="4"/>
  <c r="AV6" i="6"/>
  <c r="AX48" i="5"/>
  <c r="AW16" i="9"/>
  <c r="I38" i="6"/>
  <c r="H27" i="4"/>
  <c r="O6" i="6"/>
  <c r="Q24" i="5"/>
  <c r="N40" i="4"/>
  <c r="Q48" i="5"/>
  <c r="P16" i="9"/>
  <c r="C55" i="4"/>
  <c r="O56" i="4"/>
  <c r="V38" i="6"/>
  <c r="U27" i="4"/>
  <c r="BG40" i="5"/>
  <c r="BF19" i="5"/>
  <c r="BE22" i="9"/>
  <c r="BD17" i="6"/>
  <c r="BD14" i="6"/>
  <c r="BD15" i="6"/>
  <c r="BF41" i="5"/>
  <c r="AT36" i="6"/>
  <c r="AI47" i="5"/>
  <c r="AH15" i="9"/>
  <c r="AH40" i="5"/>
  <c r="Q42" i="5"/>
  <c r="L36" i="6"/>
  <c r="K27" i="4"/>
  <c r="N47" i="5"/>
  <c r="M15" i="9"/>
  <c r="O27" i="4"/>
  <c r="P5" i="6"/>
  <c r="D8" i="8"/>
  <c r="O17" i="6"/>
  <c r="O14" i="6"/>
  <c r="Q7" i="5"/>
  <c r="J4" i="8"/>
  <c r="R41" i="5"/>
  <c r="U33" i="5"/>
  <c r="Q19" i="6"/>
  <c r="Q17" i="6"/>
  <c r="Q14" i="6"/>
  <c r="Y40" i="4"/>
  <c r="Y56" i="4"/>
  <c r="Y57" i="4"/>
  <c r="F47" i="5"/>
  <c r="E15" i="9"/>
  <c r="F48" i="5"/>
  <c r="E16" i="9"/>
  <c r="D36" i="6"/>
  <c r="E40" i="4"/>
  <c r="E56" i="4"/>
  <c r="F6" i="6"/>
  <c r="H19" i="5"/>
  <c r="G22" i="9"/>
  <c r="H48" i="5"/>
  <c r="G16" i="9"/>
  <c r="L56" i="5"/>
  <c r="K12" i="9"/>
  <c r="I29" i="7"/>
  <c r="I33" i="7"/>
  <c r="Q19" i="7"/>
  <c r="D47" i="6"/>
  <c r="AE36" i="6"/>
  <c r="AD27" i="4"/>
  <c r="AD57" i="4"/>
  <c r="AG48" i="5"/>
  <c r="AF16" i="9"/>
  <c r="H36" i="6"/>
  <c r="G6" i="6"/>
  <c r="I40" i="5"/>
  <c r="F40" i="4"/>
  <c r="I48" i="5"/>
  <c r="H16" i="9"/>
  <c r="AQ47" i="6"/>
  <c r="BE14" i="5"/>
  <c r="BD20" i="9"/>
  <c r="AZ6" i="6"/>
  <c r="AY40" i="4"/>
  <c r="BB48" i="5"/>
  <c r="BA16" i="9"/>
  <c r="BF49" i="4"/>
  <c r="J26" i="6"/>
  <c r="AF17" i="6"/>
  <c r="BD36" i="6"/>
  <c r="BF47" i="5"/>
  <c r="BE15" i="9"/>
  <c r="K41" i="5"/>
  <c r="M31" i="6"/>
  <c r="Y47" i="6"/>
  <c r="BH44" i="5"/>
  <c r="BN27" i="4"/>
  <c r="Z41" i="6"/>
  <c r="AM47" i="6"/>
  <c r="AV3" i="7"/>
  <c r="AV19" i="7"/>
  <c r="BF3" i="7"/>
  <c r="BF19" i="7"/>
  <c r="W47" i="6"/>
  <c r="AG41" i="6"/>
  <c r="AH47" i="6"/>
  <c r="BA27" i="4"/>
  <c r="BG48" i="5"/>
  <c r="AW48" i="5"/>
  <c r="AV16" i="9"/>
  <c r="BE47" i="5"/>
  <c r="BD15" i="9"/>
  <c r="AW36" i="6"/>
  <c r="AY58" i="5"/>
  <c r="AX18" i="9"/>
  <c r="AY48" i="5"/>
  <c r="AX16" i="9"/>
  <c r="BF29" i="7"/>
  <c r="BF33" i="7"/>
  <c r="I35" i="7"/>
  <c r="I37" i="7"/>
  <c r="J56" i="6"/>
  <c r="F6" i="5"/>
  <c r="E4" i="9"/>
  <c r="R55" i="5"/>
  <c r="Q11" i="9"/>
  <c r="Q19" i="5"/>
  <c r="P22" i="9"/>
  <c r="P44" i="5"/>
  <c r="O34" i="5"/>
  <c r="BB31" i="5"/>
  <c r="BB40" i="5"/>
  <c r="BB8" i="5"/>
  <c r="BA7" i="9"/>
  <c r="Q6" i="5"/>
  <c r="J3" i="8"/>
  <c r="Q35" i="5"/>
  <c r="K57" i="5"/>
  <c r="J13" i="9"/>
  <c r="I5" i="6"/>
  <c r="K9" i="5"/>
  <c r="AD35" i="7"/>
  <c r="AD37" i="7"/>
  <c r="AE56" i="6"/>
  <c r="R40" i="5"/>
  <c r="Y35" i="7"/>
  <c r="Y37" i="7"/>
  <c r="Z56" i="6"/>
  <c r="H14" i="5"/>
  <c r="G20" i="9"/>
  <c r="H25" i="5"/>
  <c r="H30" i="5"/>
  <c r="H9" i="5"/>
  <c r="H15" i="5"/>
  <c r="G21" i="9"/>
  <c r="H26" i="5"/>
  <c r="H27" i="5"/>
  <c r="G17" i="9"/>
  <c r="H43" i="5"/>
  <c r="H53" i="5"/>
  <c r="H21" i="5"/>
  <c r="AV29" i="7"/>
  <c r="AV33" i="7"/>
  <c r="AY56" i="5"/>
  <c r="AX12" i="9"/>
  <c r="N57" i="5"/>
  <c r="M13" i="9"/>
  <c r="L5" i="6"/>
  <c r="N58" i="5"/>
  <c r="M18" i="9"/>
  <c r="X57" i="5"/>
  <c r="W13" i="9"/>
  <c r="K14" i="5"/>
  <c r="J20" i="9"/>
  <c r="F29" i="25"/>
  <c r="AI57" i="5"/>
  <c r="AH13" i="9"/>
  <c r="AG5" i="6"/>
  <c r="AI58" i="5"/>
  <c r="AH18" i="9"/>
  <c r="AI55" i="5"/>
  <c r="AH11" i="9"/>
  <c r="BB5" i="6"/>
  <c r="BD53" i="5"/>
  <c r="BD57" i="5"/>
  <c r="BC13" i="9"/>
  <c r="BE55" i="5"/>
  <c r="BD11" i="9"/>
  <c r="H24" i="5"/>
  <c r="H40" i="5"/>
  <c r="H31" i="5"/>
  <c r="BF6" i="5"/>
  <c r="BE4" i="9"/>
  <c r="AH9" i="5"/>
  <c r="AH15" i="5"/>
  <c r="AG21" i="9"/>
  <c r="AH25" i="5"/>
  <c r="AH24" i="5"/>
  <c r="AG56" i="6"/>
  <c r="F50" i="25"/>
  <c r="AJ36" i="5"/>
  <c r="AS20" i="5"/>
  <c r="AR23" i="9"/>
  <c r="Q58" i="5"/>
  <c r="P18" i="9"/>
  <c r="Q25" i="5"/>
  <c r="Q53" i="5"/>
  <c r="Q27" i="5"/>
  <c r="J13" i="8"/>
  <c r="Q21" i="5"/>
  <c r="Q15" i="5"/>
  <c r="Q9" i="5"/>
  <c r="Q14" i="5"/>
  <c r="P20" i="9"/>
  <c r="J44" i="5"/>
  <c r="J34" i="5"/>
  <c r="AX31" i="5"/>
  <c r="AX19" i="5"/>
  <c r="AW22" i="9"/>
  <c r="AX40" i="5"/>
  <c r="D35" i="7"/>
  <c r="D37" i="7"/>
  <c r="E56" i="6"/>
  <c r="AX8" i="5"/>
  <c r="AW7" i="9"/>
  <c r="T56" i="5"/>
  <c r="S12" i="9"/>
  <c r="Q29" i="7"/>
  <c r="Q33" i="7"/>
  <c r="AM40" i="5"/>
  <c r="AM31" i="5"/>
  <c r="AL19" i="5"/>
  <c r="AK22" i="9"/>
  <c r="AT35" i="7"/>
  <c r="AT37" i="7"/>
  <c r="AU56" i="6"/>
  <c r="N9" i="5"/>
  <c r="N24" i="5"/>
  <c r="J10" i="8"/>
  <c r="P21" i="9"/>
  <c r="AI53" i="5"/>
  <c r="AI9" i="5"/>
  <c r="AI30" i="5"/>
  <c r="AI14" i="5"/>
  <c r="AH20" i="9"/>
  <c r="AI27" i="5"/>
  <c r="AH17" i="9"/>
  <c r="F21" i="25"/>
  <c r="F26" i="25"/>
  <c r="F11" i="25"/>
  <c r="F24" i="25"/>
  <c r="F30" i="25"/>
  <c r="F17" i="25"/>
  <c r="P5" i="9"/>
  <c r="Q35" i="7"/>
  <c r="Q37" i="7"/>
  <c r="R56" i="6"/>
  <c r="F22" i="25"/>
  <c r="BD25" i="5"/>
  <c r="BD26" i="5"/>
  <c r="BD24" i="5"/>
  <c r="AV35" i="7"/>
  <c r="AV37" i="7"/>
  <c r="AW56" i="6"/>
  <c r="J27" i="5"/>
  <c r="I17" i="9"/>
  <c r="R9" i="5"/>
  <c r="R14" i="5"/>
  <c r="K9" i="8"/>
  <c r="BF35" i="7"/>
  <c r="BF37" i="7"/>
  <c r="BI29" i="7"/>
  <c r="BI33" i="7"/>
  <c r="BI35" i="7"/>
  <c r="BI37" i="7"/>
  <c r="BG29" i="7"/>
  <c r="BG33" i="7"/>
  <c r="BG35" i="7"/>
  <c r="BG37" i="7"/>
  <c r="BL29" i="7"/>
  <c r="BL33" i="7"/>
  <c r="BL35" i="7"/>
  <c r="BL37" i="7"/>
  <c r="BJ29" i="7"/>
  <c r="BJ33" i="7"/>
  <c r="BJ35" i="7"/>
  <c r="BJ37" i="7"/>
  <c r="BP19" i="7"/>
  <c r="BP29" i="7"/>
  <c r="BP33" i="7"/>
  <c r="BP35" i="7"/>
  <c r="BP37" i="7"/>
  <c r="BM19" i="7"/>
  <c r="BM29" i="7"/>
  <c r="BM33" i="7"/>
  <c r="BM35" i="7"/>
  <c r="BM37" i="7"/>
  <c r="BR19" i="7"/>
  <c r="BR29" i="7"/>
  <c r="BR33" i="7"/>
  <c r="BR35" i="7"/>
  <c r="BR37" i="7"/>
  <c r="BN3" i="7"/>
  <c r="BN19" i="7"/>
  <c r="BN29" i="7"/>
  <c r="BN33" i="7"/>
  <c r="BN35" i="7"/>
  <c r="BN37" i="7"/>
  <c r="BH3" i="7"/>
  <c r="BH19" i="7"/>
  <c r="BH29" i="7"/>
  <c r="BH33" i="7"/>
  <c r="BH35" i="7"/>
  <c r="BH37" i="7"/>
  <c r="AQ36" i="5"/>
  <c r="AP36" i="5"/>
  <c r="L11" i="8"/>
  <c r="R22" i="9"/>
  <c r="AF14" i="6"/>
  <c r="Q20" i="9"/>
  <c r="R27" i="5"/>
  <c r="R24" i="5"/>
  <c r="R25" i="5"/>
  <c r="R30" i="5"/>
  <c r="R26" i="5"/>
  <c r="R15" i="5"/>
  <c r="K10" i="8"/>
  <c r="R53" i="5"/>
  <c r="R7" i="5"/>
  <c r="Q5" i="9"/>
  <c r="R21" i="5"/>
  <c r="R43" i="5"/>
  <c r="Y6" i="5"/>
  <c r="X4" i="9"/>
  <c r="Y8" i="5"/>
  <c r="X7" i="9"/>
  <c r="W15" i="6"/>
  <c r="S8" i="5"/>
  <c r="Q15" i="6"/>
  <c r="AI36" i="6"/>
  <c r="AK47" i="5"/>
  <c r="AJ15" i="9"/>
  <c r="P17" i="9"/>
  <c r="E3" i="8"/>
  <c r="K4" i="9"/>
  <c r="Q32" i="5"/>
  <c r="F36" i="5"/>
  <c r="E36" i="5"/>
  <c r="AS10" i="5"/>
  <c r="AR6" i="9"/>
  <c r="G21" i="5"/>
  <c r="H44" i="5"/>
  <c r="AR31" i="5"/>
  <c r="AR40" i="5"/>
  <c r="J25" i="5"/>
  <c r="T8" i="6"/>
  <c r="S32" i="4"/>
  <c r="BD14" i="5"/>
  <c r="BC20" i="9"/>
  <c r="P36" i="5"/>
  <c r="J53" i="5"/>
  <c r="P4" i="9"/>
  <c r="J11" i="8"/>
  <c r="AI15" i="5"/>
  <c r="AH21" i="9"/>
  <c r="R31" i="5"/>
  <c r="O57" i="4"/>
  <c r="J58" i="5"/>
  <c r="I18" i="9"/>
  <c r="N22" i="9"/>
  <c r="H11" i="8"/>
  <c r="Z36" i="5"/>
  <c r="BC27" i="4"/>
  <c r="BD38" i="6"/>
  <c r="AV38" i="6"/>
  <c r="AU27" i="4"/>
  <c r="U57" i="5"/>
  <c r="T13" i="9"/>
  <c r="S5" i="6"/>
  <c r="V55" i="5"/>
  <c r="U11" i="9"/>
  <c r="H6" i="6"/>
  <c r="G40" i="4"/>
  <c r="BD55" i="5"/>
  <c r="BC11" i="9"/>
  <c r="J57" i="5"/>
  <c r="I13" i="9"/>
  <c r="AB44" i="5"/>
  <c r="G8" i="8"/>
  <c r="R57" i="5"/>
  <c r="Q13" i="9"/>
  <c r="J48" i="5"/>
  <c r="I16" i="9"/>
  <c r="BF44" i="5"/>
  <c r="BE21" i="5"/>
  <c r="BF34" i="5"/>
  <c r="K43" i="5"/>
  <c r="U41" i="5"/>
  <c r="V41" i="5"/>
  <c r="Y47" i="5"/>
  <c r="X15" i="9"/>
  <c r="Y48" i="5"/>
  <c r="X16" i="9"/>
  <c r="V27" i="4"/>
  <c r="Y55" i="5"/>
  <c r="X11" i="9"/>
  <c r="W36" i="6"/>
  <c r="Q26" i="5"/>
  <c r="Q8" i="5"/>
  <c r="AG57" i="5"/>
  <c r="AF13" i="9"/>
  <c r="AJ20" i="5"/>
  <c r="AI23" i="9"/>
  <c r="AJ19" i="5"/>
  <c r="AI22" i="9"/>
  <c r="BE20" i="5"/>
  <c r="BD23" i="9"/>
  <c r="BE6" i="5"/>
  <c r="BD4" i="9"/>
  <c r="BE7" i="5"/>
  <c r="BD5" i="9"/>
  <c r="BC15" i="6"/>
  <c r="BE10" i="5"/>
  <c r="BD6" i="9"/>
  <c r="BE8" i="5"/>
  <c r="BD7" i="9"/>
  <c r="AB42" i="5"/>
  <c r="AA42" i="5"/>
  <c r="BD9" i="5"/>
  <c r="BD15" i="5"/>
  <c r="BC21" i="9"/>
  <c r="J26" i="5"/>
  <c r="J9" i="5"/>
  <c r="BE43" i="5"/>
  <c r="BD27" i="5"/>
  <c r="BC17" i="9"/>
  <c r="K58" i="5"/>
  <c r="J18" i="9"/>
  <c r="AI25" i="5"/>
  <c r="D9" i="8"/>
  <c r="Q20" i="5"/>
  <c r="AH31" i="5"/>
  <c r="AH7" i="5"/>
  <c r="AG5" i="9"/>
  <c r="I3" i="8"/>
  <c r="O4" i="9"/>
  <c r="R6" i="5"/>
  <c r="R8" i="5"/>
  <c r="AM7" i="5"/>
  <c r="AL5" i="9"/>
  <c r="AM6" i="5"/>
  <c r="AL4" i="9"/>
  <c r="AM57" i="5"/>
  <c r="AL13" i="9"/>
  <c r="AK5" i="6"/>
  <c r="AN55" i="5"/>
  <c r="AM11" i="9"/>
  <c r="N19" i="5"/>
  <c r="N20" i="5"/>
  <c r="AM27" i="4"/>
  <c r="AN5" i="6"/>
  <c r="AN38" i="6"/>
  <c r="AR6" i="6"/>
  <c r="AT8" i="5"/>
  <c r="AS7" i="9"/>
  <c r="AT48" i="5"/>
  <c r="AS16" i="9"/>
  <c r="AN34" i="5"/>
  <c r="AN44" i="5"/>
  <c r="AO44" i="5"/>
  <c r="AO34" i="5"/>
  <c r="AR34" i="5"/>
  <c r="AR44" i="5"/>
  <c r="AP36" i="6"/>
  <c r="AR48" i="5"/>
  <c r="AQ16" i="9"/>
  <c r="AR47" i="5"/>
  <c r="AQ15" i="9"/>
  <c r="AY6" i="5"/>
  <c r="AX4" i="9"/>
  <c r="AY35" i="5"/>
  <c r="AY20" i="5"/>
  <c r="AX23" i="9"/>
  <c r="AL36" i="5"/>
  <c r="X41" i="5"/>
  <c r="W41" i="5"/>
  <c r="AD36" i="6"/>
  <c r="AF48" i="5"/>
  <c r="AE16" i="9"/>
  <c r="AF47" i="5"/>
  <c r="AE15" i="9"/>
  <c r="K15" i="5"/>
  <c r="J21" i="9"/>
  <c r="P34" i="5"/>
  <c r="AG19" i="5"/>
  <c r="AF22" i="9"/>
  <c r="J15" i="5"/>
  <c r="K27" i="5"/>
  <c r="D13" i="8"/>
  <c r="BE30" i="5"/>
  <c r="K25" i="5"/>
  <c r="O15" i="6"/>
  <c r="Q10" i="5"/>
  <c r="O44" i="5"/>
  <c r="U9" i="5"/>
  <c r="H34" i="5"/>
  <c r="AY9" i="5"/>
  <c r="AY25" i="5"/>
  <c r="AY26" i="5"/>
  <c r="AY14" i="5"/>
  <c r="AX20" i="9"/>
  <c r="BB57" i="5"/>
  <c r="BA13" i="9"/>
  <c r="AZ5" i="6"/>
  <c r="N38" i="6"/>
  <c r="M27" i="4"/>
  <c r="H55" i="5"/>
  <c r="G11" i="9"/>
  <c r="H57" i="5"/>
  <c r="G13" i="9"/>
  <c r="O40" i="5"/>
  <c r="C19" i="6"/>
  <c r="C17" i="6"/>
  <c r="C14" i="6"/>
  <c r="B55" i="4"/>
  <c r="V52" i="5"/>
  <c r="S27" i="4"/>
  <c r="X36" i="6"/>
  <c r="Z48" i="5"/>
  <c r="Y16" i="9"/>
  <c r="Y36" i="6"/>
  <c r="AA48" i="5"/>
  <c r="Z16" i="9"/>
  <c r="X27" i="4"/>
  <c r="Z41" i="5"/>
  <c r="Y41" i="5"/>
  <c r="Z33" i="5"/>
  <c r="AA33" i="5"/>
  <c r="AJ6" i="5"/>
  <c r="AI4" i="9"/>
  <c r="AJ8" i="5"/>
  <c r="AI7" i="9"/>
  <c r="AO8" i="5"/>
  <c r="AN7" i="9"/>
  <c r="AO35" i="5"/>
  <c r="AM15" i="6"/>
  <c r="N56" i="4"/>
  <c r="N57" i="4"/>
  <c r="V41" i="6"/>
  <c r="X36" i="5"/>
  <c r="X17" i="6"/>
  <c r="X14" i="6"/>
  <c r="AE47" i="5"/>
  <c r="AD15" i="9"/>
  <c r="AC36" i="6"/>
  <c r="AB55" i="4"/>
  <c r="AC19" i="6"/>
  <c r="AC17" i="6"/>
  <c r="AC14" i="6"/>
  <c r="AE20" i="5"/>
  <c r="AD23" i="9"/>
  <c r="AL19" i="6"/>
  <c r="AL17" i="6"/>
  <c r="AL14" i="6"/>
  <c r="AK55" i="4"/>
  <c r="AK56" i="4"/>
  <c r="AK57" i="4"/>
  <c r="BB33" i="5"/>
  <c r="BC33" i="5"/>
  <c r="AJ56" i="4"/>
  <c r="AJ57" i="4"/>
  <c r="AF32" i="5"/>
  <c r="AE32" i="5"/>
  <c r="AG10" i="6"/>
  <c r="AF33" i="4"/>
  <c r="F41" i="25"/>
  <c r="F20" i="25"/>
  <c r="AQ24" i="5"/>
  <c r="AQ31" i="5"/>
  <c r="AQ5" i="6"/>
  <c r="AS57" i="5"/>
  <c r="AR13" i="9"/>
  <c r="AQ48" i="5"/>
  <c r="AP16" i="9"/>
  <c r="AO36" i="6"/>
  <c r="AQ58" i="5"/>
  <c r="AP18" i="9"/>
  <c r="AK44" i="5"/>
  <c r="AZ33" i="5"/>
  <c r="BA33" i="5"/>
  <c r="L20" i="5"/>
  <c r="Q14" i="4"/>
  <c r="R32" i="6"/>
  <c r="R31" i="6"/>
  <c r="U48" i="5"/>
  <c r="T16" i="9"/>
  <c r="R40" i="4"/>
  <c r="R56" i="4"/>
  <c r="R57" i="4"/>
  <c r="AB47" i="5"/>
  <c r="AA15" i="9"/>
  <c r="Z36" i="6"/>
  <c r="AB58" i="5"/>
  <c r="AA18" i="9"/>
  <c r="AC47" i="5"/>
  <c r="AB15" i="9"/>
  <c r="AC48" i="5"/>
  <c r="AB16" i="9"/>
  <c r="AA17" i="6"/>
  <c r="AN6" i="6"/>
  <c r="AQ40" i="5"/>
  <c r="AM40" i="4"/>
  <c r="AY17" i="6"/>
  <c r="AY14" i="6"/>
  <c r="BC36" i="5"/>
  <c r="AZ36" i="5"/>
  <c r="G40" i="5"/>
  <c r="T19" i="6"/>
  <c r="S55" i="4"/>
  <c r="W52" i="5"/>
  <c r="T27" i="4"/>
  <c r="AK36" i="6"/>
  <c r="AM58" i="5"/>
  <c r="AL18" i="9"/>
  <c r="AM48" i="5"/>
  <c r="AL16" i="9"/>
  <c r="AL40" i="4"/>
  <c r="AO48" i="5"/>
  <c r="AN16" i="9"/>
  <c r="AM6" i="6"/>
  <c r="AR31" i="6"/>
  <c r="AP42" i="5"/>
  <c r="AO42" i="5"/>
  <c r="AW6" i="6"/>
  <c r="AV40" i="4"/>
  <c r="AV56" i="4"/>
  <c r="C40" i="4"/>
  <c r="C56" i="4"/>
  <c r="T21" i="6"/>
  <c r="T43" i="6"/>
  <c r="T41" i="6"/>
  <c r="S49" i="4"/>
  <c r="AG34" i="5"/>
  <c r="AS44" i="5"/>
  <c r="AS34" i="5"/>
  <c r="AS8" i="4"/>
  <c r="F39" i="26"/>
  <c r="AT27" i="6"/>
  <c r="AU26" i="6"/>
  <c r="AU19" i="6"/>
  <c r="AU17" i="6"/>
  <c r="AU14" i="6"/>
  <c r="AW35" i="5"/>
  <c r="AT55" i="4"/>
  <c r="AT56" i="4"/>
  <c r="BJ27" i="4"/>
  <c r="J14" i="5"/>
  <c r="AA14" i="6"/>
  <c r="N26" i="6"/>
  <c r="P20" i="5"/>
  <c r="P47" i="5"/>
  <c r="P48" i="5"/>
  <c r="O16" i="9"/>
  <c r="Y6" i="6"/>
  <c r="X40" i="4"/>
  <c r="AD6" i="6"/>
  <c r="AG40" i="5"/>
  <c r="AC40" i="4"/>
  <c r="F10" i="25"/>
  <c r="F43" i="25"/>
  <c r="AQ14" i="5"/>
  <c r="AP20" i="9"/>
  <c r="BC48" i="5"/>
  <c r="BB16" i="9"/>
  <c r="BA36" i="6"/>
  <c r="BC47" i="5"/>
  <c r="BB15" i="9"/>
  <c r="BA6" i="6"/>
  <c r="AZ40" i="4"/>
  <c r="AZ56" i="4"/>
  <c r="AW31" i="5"/>
  <c r="L27" i="4"/>
  <c r="AT6" i="6"/>
  <c r="AW40" i="5"/>
  <c r="J41" i="6"/>
  <c r="L36" i="5"/>
  <c r="I31" i="6"/>
  <c r="P26" i="6"/>
  <c r="R19" i="5"/>
  <c r="L40" i="4"/>
  <c r="L56" i="4"/>
  <c r="K56" i="4"/>
  <c r="K57" i="4"/>
  <c r="AC42" i="5"/>
  <c r="Z27" i="4"/>
  <c r="Z55" i="4"/>
  <c r="AC41" i="6"/>
  <c r="AE36" i="5"/>
  <c r="AF31" i="6"/>
  <c r="AH34" i="5"/>
  <c r="AD26" i="6"/>
  <c r="AH32" i="5"/>
  <c r="AN31" i="5"/>
  <c r="AL27" i="4"/>
  <c r="AQ41" i="6"/>
  <c r="AS36" i="5"/>
  <c r="AJ31" i="6"/>
  <c r="AN26" i="6"/>
  <c r="AP19" i="5"/>
  <c r="AO22" i="9"/>
  <c r="AO41" i="5"/>
  <c r="BA41" i="5"/>
  <c r="BC42" i="5"/>
  <c r="AW27" i="4"/>
  <c r="BC56" i="4"/>
  <c r="BK27" i="4"/>
  <c r="M33" i="5"/>
  <c r="S41" i="5"/>
  <c r="D31" i="6"/>
  <c r="G44" i="5"/>
  <c r="W41" i="6"/>
  <c r="Y36" i="5"/>
  <c r="Z42" i="5"/>
  <c r="AD31" i="6"/>
  <c r="AN55" i="4"/>
  <c r="AN40" i="4"/>
  <c r="AN56" i="4"/>
  <c r="AN57" i="4"/>
  <c r="BB31" i="6"/>
  <c r="AM56" i="4"/>
  <c r="AG26" i="6"/>
  <c r="M19" i="5"/>
  <c r="D41" i="6"/>
  <c r="E26" i="6"/>
  <c r="Y26" i="6"/>
  <c r="Y14" i="6"/>
  <c r="X33" i="5"/>
  <c r="AF42" i="5"/>
  <c r="AI27" i="4"/>
  <c r="AI57" i="4"/>
  <c r="AG27" i="4"/>
  <c r="AH27" i="4"/>
  <c r="AR27" i="4"/>
  <c r="AK26" i="6"/>
  <c r="AM20" i="5"/>
  <c r="AL23" i="9"/>
  <c r="AJ17" i="6"/>
  <c r="AJ14" i="6"/>
  <c r="AM35" i="5"/>
  <c r="BA17" i="6"/>
  <c r="BA14" i="6"/>
  <c r="BM40" i="4"/>
  <c r="BM56" i="4"/>
  <c r="BR55" i="4"/>
  <c r="BN55" i="4"/>
  <c r="Q34" i="5"/>
  <c r="H41" i="6"/>
  <c r="M42" i="5"/>
  <c r="B27" i="4"/>
  <c r="E55" i="5"/>
  <c r="D11" i="9"/>
  <c r="F19" i="6"/>
  <c r="F17" i="6"/>
  <c r="F14" i="6"/>
  <c r="C31" i="6"/>
  <c r="E34" i="5"/>
  <c r="F41" i="6"/>
  <c r="H42" i="5"/>
  <c r="V31" i="6"/>
  <c r="AE40" i="4"/>
  <c r="AG31" i="6"/>
  <c r="AG55" i="4"/>
  <c r="AG56" i="4"/>
  <c r="AL55" i="4"/>
  <c r="AU32" i="5"/>
  <c r="AM32" i="5"/>
  <c r="AZ26" i="6"/>
  <c r="BB19" i="5"/>
  <c r="BA22" i="9"/>
  <c r="AY55" i="4"/>
  <c r="AY56" i="4"/>
  <c r="BJ55" i="4"/>
  <c r="F12" i="26"/>
  <c r="S26" i="6"/>
  <c r="U19" i="5"/>
  <c r="E41" i="6"/>
  <c r="G36" i="5"/>
  <c r="AA41" i="6"/>
  <c r="AC36" i="5"/>
  <c r="AA31" i="6"/>
  <c r="AR19" i="5"/>
  <c r="AQ22" i="9"/>
  <c r="BB41" i="6"/>
  <c r="BE48" i="5"/>
  <c r="BD16" i="9"/>
  <c r="BF48" i="5"/>
  <c r="BE16" i="9"/>
  <c r="BP55" i="4"/>
  <c r="BP56" i="4"/>
  <c r="S17" i="6"/>
  <c r="N32" i="5"/>
  <c r="P41" i="6"/>
  <c r="R36" i="5"/>
  <c r="T42" i="5"/>
  <c r="F55" i="4"/>
  <c r="F56" i="4"/>
  <c r="I55" i="4"/>
  <c r="Z17" i="6"/>
  <c r="Z14" i="6"/>
  <c r="AB32" i="5"/>
  <c r="AC33" i="5"/>
  <c r="AB14" i="6"/>
  <c r="AC26" i="6"/>
  <c r="AF26" i="6"/>
  <c r="AH19" i="5"/>
  <c r="AG22" i="9"/>
  <c r="AQ40" i="4"/>
  <c r="AQ56" i="4"/>
  <c r="AT41" i="6"/>
  <c r="AL41" i="6"/>
  <c r="AO36" i="5"/>
  <c r="AO26" i="6"/>
  <c r="AQ19" i="5"/>
  <c r="AP22" i="9"/>
  <c r="AS17" i="6"/>
  <c r="AS14" i="6"/>
  <c r="AL32" i="5"/>
  <c r="BL27" i="4"/>
  <c r="BH55" i="4"/>
  <c r="BH56" i="4"/>
  <c r="BO55" i="4"/>
  <c r="BO56" i="4"/>
  <c r="BN56" i="4"/>
  <c r="BR40" i="4"/>
  <c r="BQ40" i="4"/>
  <c r="BJ40" i="4"/>
  <c r="BJ56" i="4"/>
  <c r="BO27" i="4"/>
  <c r="BH27" i="4"/>
  <c r="BI27" i="4"/>
  <c r="AX10" i="5"/>
  <c r="AW6" i="9"/>
  <c r="L6" i="8"/>
  <c r="R7" i="9"/>
  <c r="I20" i="9"/>
  <c r="C9" i="8"/>
  <c r="K53" i="5"/>
  <c r="N10" i="5"/>
  <c r="N14" i="5"/>
  <c r="S20" i="5"/>
  <c r="S15" i="9"/>
  <c r="S4" i="9"/>
  <c r="AH53" i="5"/>
  <c r="V5" i="6"/>
  <c r="Y20" i="5"/>
  <c r="X23" i="9"/>
  <c r="Z35" i="5"/>
  <c r="AW14" i="5"/>
  <c r="AV20" i="9"/>
  <c r="AW24" i="5"/>
  <c r="AW27" i="5"/>
  <c r="AV17" i="9"/>
  <c r="AW9" i="5"/>
  <c r="AW15" i="5"/>
  <c r="AV21" i="9"/>
  <c r="AW21" i="5"/>
  <c r="AW25" i="5"/>
  <c r="AW53" i="5"/>
  <c r="AW26" i="5"/>
  <c r="AW7" i="5"/>
  <c r="AV5" i="9"/>
  <c r="AX6" i="5"/>
  <c r="AW4" i="9"/>
  <c r="AX20" i="5"/>
  <c r="AW23" i="9"/>
  <c r="J22" i="9"/>
  <c r="D11" i="8"/>
  <c r="BF8" i="5"/>
  <c r="BE7" i="9"/>
  <c r="AP8" i="5"/>
  <c r="AO7" i="9"/>
  <c r="AP35" i="5"/>
  <c r="AN15" i="6"/>
  <c r="Q31" i="6"/>
  <c r="N7" i="5"/>
  <c r="AI43" i="5"/>
  <c r="AH21" i="5"/>
  <c r="AH14" i="5"/>
  <c r="AG20" i="9"/>
  <c r="BF20" i="5"/>
  <c r="BE23" i="9"/>
  <c r="BF35" i="5"/>
  <c r="AM53" i="5"/>
  <c r="AM15" i="5"/>
  <c r="AL21" i="9"/>
  <c r="AM10" i="5"/>
  <c r="AL6" i="9"/>
  <c r="AM24" i="5"/>
  <c r="AM14" i="5"/>
  <c r="AL20" i="9"/>
  <c r="AM25" i="5"/>
  <c r="AM21" i="5"/>
  <c r="V34" i="5"/>
  <c r="V44" i="5"/>
  <c r="W34" i="5"/>
  <c r="G26" i="6"/>
  <c r="C13" i="8"/>
  <c r="N53" i="5"/>
  <c r="S35" i="5"/>
  <c r="K4" i="8"/>
  <c r="J17" i="9"/>
  <c r="K26" i="5"/>
  <c r="K30" i="5"/>
  <c r="N21" i="5"/>
  <c r="J9" i="8"/>
  <c r="S6" i="5"/>
  <c r="X55" i="5"/>
  <c r="W11" i="9"/>
  <c r="K55" i="5"/>
  <c r="J11" i="9"/>
  <c r="AH55" i="5"/>
  <c r="AG11" i="9"/>
  <c r="AE5" i="6"/>
  <c r="AH43" i="5"/>
  <c r="R35" i="5"/>
  <c r="AS7" i="5"/>
  <c r="AR5" i="9"/>
  <c r="AT35" i="5"/>
  <c r="AS8" i="5"/>
  <c r="AR7" i="9"/>
  <c r="T20" i="5"/>
  <c r="T8" i="5"/>
  <c r="T35" i="5"/>
  <c r="J36" i="5"/>
  <c r="K36" i="5"/>
  <c r="E57" i="5"/>
  <c r="D13" i="9"/>
  <c r="N25" i="5"/>
  <c r="K24" i="5"/>
  <c r="Q21" i="9"/>
  <c r="N26" i="5"/>
  <c r="N27" i="5"/>
  <c r="AH27" i="5"/>
  <c r="AG17" i="9"/>
  <c r="H20" i="5"/>
  <c r="G23" i="9"/>
  <c r="N15" i="5"/>
  <c r="AH26" i="5"/>
  <c r="I31" i="5"/>
  <c r="J40" i="5"/>
  <c r="D15" i="6"/>
  <c r="G35" i="5"/>
  <c r="F8" i="5"/>
  <c r="E7" i="9"/>
  <c r="AP6" i="5"/>
  <c r="AO4" i="9"/>
  <c r="W20" i="5"/>
  <c r="V23" i="9"/>
  <c r="U15" i="6"/>
  <c r="W6" i="5"/>
  <c r="V4" i="9"/>
  <c r="O6" i="5"/>
  <c r="O8" i="5"/>
  <c r="O20" i="5"/>
  <c r="O35" i="5"/>
  <c r="E48" i="5"/>
  <c r="D16" i="9"/>
  <c r="C6" i="6"/>
  <c r="B40" i="4"/>
  <c r="V19" i="6"/>
  <c r="V17" i="6"/>
  <c r="V14" i="6"/>
  <c r="X20" i="5"/>
  <c r="W23" i="9"/>
  <c r="U55" i="4"/>
  <c r="Z31" i="5"/>
  <c r="Z40" i="5"/>
  <c r="Z6" i="6"/>
  <c r="AB48" i="5"/>
  <c r="AA16" i="9"/>
  <c r="AD19" i="5"/>
  <c r="AC22" i="9"/>
  <c r="AK41" i="5"/>
  <c r="AI17" i="6"/>
  <c r="AI14" i="6"/>
  <c r="AL41" i="5"/>
  <c r="AR42" i="5"/>
  <c r="AS42" i="5"/>
  <c r="AM26" i="5"/>
  <c r="AW36" i="5"/>
  <c r="AX36" i="5"/>
  <c r="G7" i="5"/>
  <c r="F5" i="9"/>
  <c r="E15" i="6"/>
  <c r="G10" i="5"/>
  <c r="F6" i="9"/>
  <c r="X34" i="5"/>
  <c r="W44" i="5"/>
  <c r="BH6" i="5"/>
  <c r="BH7" i="5"/>
  <c r="E8" i="5"/>
  <c r="D7" i="9"/>
  <c r="E20" i="5"/>
  <c r="D23" i="9"/>
  <c r="E35" i="5"/>
  <c r="F33" i="26"/>
  <c r="AD24" i="5"/>
  <c r="T31" i="5"/>
  <c r="U31" i="5"/>
  <c r="U40" i="5"/>
  <c r="Z8" i="5"/>
  <c r="Y7" i="9"/>
  <c r="J15" i="6"/>
  <c r="BB7" i="5"/>
  <c r="BA5" i="9"/>
  <c r="BB35" i="5"/>
  <c r="BB6" i="5"/>
  <c r="BA4" i="9"/>
  <c r="BB20" i="5"/>
  <c r="BA23" i="9"/>
  <c r="E8" i="8"/>
  <c r="K15" i="9"/>
  <c r="K20" i="5"/>
  <c r="BE5" i="6"/>
  <c r="BE31" i="5"/>
  <c r="BE40" i="5"/>
  <c r="N5" i="6"/>
  <c r="AY10" i="5"/>
  <c r="AX6" i="9"/>
  <c r="AY7" i="5"/>
  <c r="AX5" i="9"/>
  <c r="BF40" i="5"/>
  <c r="BG31" i="5"/>
  <c r="BA6" i="5"/>
  <c r="AZ4" i="9"/>
  <c r="BA8" i="5"/>
  <c r="AZ7" i="9"/>
  <c r="P15" i="6"/>
  <c r="R10" i="5"/>
  <c r="AY53" i="5"/>
  <c r="S36" i="5"/>
  <c r="Z19" i="5"/>
  <c r="Y22" i="9"/>
  <c r="R48" i="5"/>
  <c r="Q16" i="9"/>
  <c r="P36" i="6"/>
  <c r="R58" i="5"/>
  <c r="Q18" i="9"/>
  <c r="R47" i="5"/>
  <c r="R20" i="5"/>
  <c r="AC20" i="5"/>
  <c r="AB23" i="9"/>
  <c r="BF31" i="5"/>
  <c r="BA5" i="6"/>
  <c r="BC57" i="5"/>
  <c r="BB13" i="9"/>
  <c r="F40" i="26"/>
  <c r="BF27" i="4"/>
  <c r="AN35" i="5"/>
  <c r="AX57" i="5"/>
  <c r="AW13" i="9"/>
  <c r="AV5" i="6"/>
  <c r="AY43" i="5"/>
  <c r="Q36" i="6"/>
  <c r="S48" i="5"/>
  <c r="R16" i="9"/>
  <c r="P27" i="4"/>
  <c r="I40" i="4"/>
  <c r="I56" i="4"/>
  <c r="J6" i="6"/>
  <c r="L48" i="5"/>
  <c r="K16" i="9"/>
  <c r="J55" i="4"/>
  <c r="K19" i="6"/>
  <c r="K17" i="6"/>
  <c r="K14" i="6"/>
  <c r="G38" i="6"/>
  <c r="F27" i="4"/>
  <c r="T55" i="4"/>
  <c r="AO19" i="5"/>
  <c r="AN22" i="9"/>
  <c r="AC56" i="4"/>
  <c r="T19" i="5"/>
  <c r="AN36" i="5"/>
  <c r="BA36" i="5"/>
  <c r="U53" i="5"/>
  <c r="U24" i="5"/>
  <c r="AA57" i="4"/>
  <c r="AB5" i="6"/>
  <c r="P41" i="5"/>
  <c r="Q10" i="6"/>
  <c r="P33" i="4"/>
  <c r="P40" i="4"/>
  <c r="P56" i="4"/>
  <c r="H19" i="6"/>
  <c r="H17" i="6"/>
  <c r="H14" i="6"/>
  <c r="G55" i="4"/>
  <c r="G56" i="4"/>
  <c r="G57" i="4"/>
  <c r="AD47" i="5"/>
  <c r="AC15" i="9"/>
  <c r="AB36" i="6"/>
  <c r="AD58" i="5"/>
  <c r="AC18" i="9"/>
  <c r="AD48" i="5"/>
  <c r="AC16" i="9"/>
  <c r="AR52" i="5"/>
  <c r="AO27" i="4"/>
  <c r="BE57" i="5"/>
  <c r="BD13" i="9"/>
  <c r="H55" i="4"/>
  <c r="H56" i="4"/>
  <c r="H57" i="4"/>
  <c r="I19" i="6"/>
  <c r="I17" i="6"/>
  <c r="I14" i="6"/>
  <c r="AP19" i="6"/>
  <c r="AP17" i="6"/>
  <c r="AP14" i="6"/>
  <c r="AS35" i="5"/>
  <c r="AO55" i="4"/>
  <c r="AO56" i="4"/>
  <c r="AQ6" i="6"/>
  <c r="AT31" i="5"/>
  <c r="AP40" i="4"/>
  <c r="AP56" i="4"/>
  <c r="AP57" i="4"/>
  <c r="AS48" i="5"/>
  <c r="AR16" i="9"/>
  <c r="AP31" i="5"/>
  <c r="AP40" i="5"/>
  <c r="AO40" i="5"/>
  <c r="AO31" i="5"/>
  <c r="AM5" i="6"/>
  <c r="AO57" i="5"/>
  <c r="AN13" i="9"/>
  <c r="D38" i="6"/>
  <c r="C27" i="4"/>
  <c r="AI6" i="6"/>
  <c r="AH40" i="4"/>
  <c r="AH56" i="4"/>
  <c r="AK48" i="5"/>
  <c r="AJ16" i="9"/>
  <c r="AP57" i="5"/>
  <c r="AO13" i="9"/>
  <c r="F26" i="26"/>
  <c r="AL5" i="6"/>
  <c r="AC27" i="4"/>
  <c r="AF55" i="4"/>
  <c r="AG19" i="6"/>
  <c r="AG17" i="6"/>
  <c r="AG14" i="6"/>
  <c r="BF6" i="6"/>
  <c r="BH8" i="5"/>
  <c r="BE40" i="4"/>
  <c r="BE56" i="4"/>
  <c r="AH57" i="4"/>
  <c r="AX19" i="6"/>
  <c r="AX17" i="6"/>
  <c r="AX14" i="6"/>
  <c r="AW55" i="4"/>
  <c r="AW56" i="4"/>
  <c r="BF33" i="4"/>
  <c r="BF40" i="4"/>
  <c r="AE48" i="5"/>
  <c r="AD16" i="9"/>
  <c r="AC6" i="6"/>
  <c r="AE19" i="5"/>
  <c r="AD22" i="9"/>
  <c r="AB40" i="4"/>
  <c r="AB56" i="4"/>
  <c r="AE56" i="4"/>
  <c r="AE57" i="4"/>
  <c r="AF41" i="6"/>
  <c r="AR40" i="4"/>
  <c r="AR56" i="4"/>
  <c r="AR57" i="4"/>
  <c r="AS6" i="6"/>
  <c r="AT26" i="6"/>
  <c r="J27" i="4"/>
  <c r="M47" i="5"/>
  <c r="M40" i="4"/>
  <c r="M56" i="4"/>
  <c r="M57" i="4"/>
  <c r="N6" i="6"/>
  <c r="AS41" i="6"/>
  <c r="AU36" i="5"/>
  <c r="AO17" i="6"/>
  <c r="AO14" i="6"/>
  <c r="BB19" i="6"/>
  <c r="BB17" i="6"/>
  <c r="BB14" i="6"/>
  <c r="BA55" i="4"/>
  <c r="BA56" i="4"/>
  <c r="BL55" i="4"/>
  <c r="BL56" i="4"/>
  <c r="U42" i="5"/>
  <c r="F36" i="6"/>
  <c r="H58" i="5"/>
  <c r="G18" i="9"/>
  <c r="H47" i="5"/>
  <c r="G15" i="9"/>
  <c r="E19" i="5"/>
  <c r="D22" i="9"/>
  <c r="H33" i="5"/>
  <c r="AB27" i="4"/>
  <c r="AH48" i="5"/>
  <c r="AG16" i="9"/>
  <c r="AF36" i="6"/>
  <c r="AH58" i="5"/>
  <c r="AG18" i="9"/>
  <c r="AH41" i="5"/>
  <c r="AI41" i="5"/>
  <c r="AH42" i="5"/>
  <c r="AG42" i="5"/>
  <c r="AV36" i="6"/>
  <c r="AX58" i="5"/>
  <c r="AW18" i="9"/>
  <c r="AX47" i="5"/>
  <c r="AW15" i="9"/>
  <c r="BQ55" i="4"/>
  <c r="S33" i="4"/>
  <c r="W27" i="4"/>
  <c r="X56" i="4"/>
  <c r="X57" i="4"/>
  <c r="Y19" i="5"/>
  <c r="X22" i="9"/>
  <c r="AT32" i="6"/>
  <c r="AT31" i="6"/>
  <c r="AS14" i="4"/>
  <c r="AS27" i="4"/>
  <c r="BI40" i="4"/>
  <c r="BI56" i="4"/>
  <c r="J40" i="4"/>
  <c r="D26" i="6"/>
  <c r="V6" i="6"/>
  <c r="Y40" i="5"/>
  <c r="U40" i="4"/>
  <c r="X48" i="5"/>
  <c r="W16" i="9"/>
  <c r="Y41" i="6"/>
  <c r="AA36" i="5"/>
  <c r="Z40" i="4"/>
  <c r="Z56" i="4"/>
  <c r="Z57" i="4"/>
  <c r="AA6" i="6"/>
  <c r="AD31" i="5"/>
  <c r="AG8" i="6"/>
  <c r="AF32" i="4"/>
  <c r="AQ27" i="4"/>
  <c r="AT52" i="5"/>
  <c r="AU33" i="5"/>
  <c r="AZ31" i="6"/>
  <c r="BE32" i="5"/>
  <c r="BF32" i="5"/>
  <c r="BM27" i="4"/>
  <c r="BG27" i="4"/>
  <c r="J33" i="5"/>
  <c r="U6" i="6"/>
  <c r="W8" i="5"/>
  <c r="V7" i="9"/>
  <c r="T40" i="4"/>
  <c r="X31" i="6"/>
  <c r="AE41" i="6"/>
  <c r="AG36" i="5"/>
  <c r="AM19" i="5"/>
  <c r="AL22" i="9"/>
  <c r="BE19" i="6"/>
  <c r="BE17" i="6"/>
  <c r="BE14" i="6"/>
  <c r="BD55" i="4"/>
  <c r="BD56" i="4"/>
  <c r="BR27" i="4"/>
  <c r="AH44" i="5"/>
  <c r="I27" i="4"/>
  <c r="W47" i="5"/>
  <c r="V15" i="9"/>
  <c r="U36" i="6"/>
  <c r="AR26" i="6"/>
  <c r="AN32" i="5"/>
  <c r="BD47" i="5"/>
  <c r="BC15" i="9"/>
  <c r="BB36" i="6"/>
  <c r="BD58" i="5"/>
  <c r="BC18" i="9"/>
  <c r="BF45" i="4"/>
  <c r="BQ27" i="4"/>
  <c r="BR56" i="4"/>
  <c r="BK56" i="4"/>
  <c r="G19" i="6"/>
  <c r="G17" i="6"/>
  <c r="G14" i="6"/>
  <c r="AB20" i="5"/>
  <c r="AA23" i="9"/>
  <c r="Z15" i="6"/>
  <c r="AB10" i="5"/>
  <c r="AA6" i="9"/>
  <c r="AC35" i="5"/>
  <c r="AB7" i="5"/>
  <c r="AA5" i="9"/>
  <c r="AB35" i="5"/>
  <c r="AB6" i="5"/>
  <c r="AA4" i="9"/>
  <c r="AA8" i="5"/>
  <c r="Z7" i="9"/>
  <c r="AA6" i="5"/>
  <c r="Z4" i="9"/>
  <c r="Y15" i="6"/>
  <c r="AD20" i="5"/>
  <c r="AC23" i="9"/>
  <c r="AB15" i="6"/>
  <c r="AD6" i="5"/>
  <c r="AC4" i="9"/>
  <c r="AA40" i="5"/>
  <c r="AZ31" i="5"/>
  <c r="AY19" i="5"/>
  <c r="AX22" i="9"/>
  <c r="AY31" i="5"/>
  <c r="AZ40" i="5"/>
  <c r="AY40" i="5"/>
  <c r="BB26" i="5"/>
  <c r="BB30" i="5"/>
  <c r="BB43" i="5"/>
  <c r="BB15" i="5"/>
  <c r="BA21" i="9"/>
  <c r="BB14" i="5"/>
  <c r="BA20" i="9"/>
  <c r="BB53" i="5"/>
  <c r="BB25" i="5"/>
  <c r="BB58" i="5"/>
  <c r="BA18" i="9"/>
  <c r="BB9" i="5"/>
  <c r="BB24" i="5"/>
  <c r="BB27" i="5"/>
  <c r="BA17" i="9"/>
  <c r="AT36" i="5"/>
  <c r="T6" i="6"/>
  <c r="V48" i="5"/>
  <c r="U16" i="9"/>
  <c r="AH8" i="5"/>
  <c r="AG7" i="9"/>
  <c r="AH6" i="5"/>
  <c r="AG4" i="9"/>
  <c r="AH35" i="5"/>
  <c r="T56" i="4"/>
  <c r="T57" i="4"/>
  <c r="AA31" i="5"/>
  <c r="C5" i="6"/>
  <c r="AP10" i="5"/>
  <c r="AO6" i="9"/>
  <c r="AU35" i="5"/>
  <c r="AS15" i="6"/>
  <c r="AU6" i="5"/>
  <c r="AT4" i="9"/>
  <c r="AU20" i="5"/>
  <c r="AT23" i="9"/>
  <c r="S14" i="6"/>
  <c r="H7" i="5"/>
  <c r="G5" i="9"/>
  <c r="H8" i="5"/>
  <c r="G7" i="9"/>
  <c r="F15" i="6"/>
  <c r="H10" i="5"/>
  <c r="G6" i="9"/>
  <c r="H6" i="5"/>
  <c r="G4" i="9"/>
  <c r="H35" i="5"/>
  <c r="BC8" i="5"/>
  <c r="BB7" i="9"/>
  <c r="BA15" i="6"/>
  <c r="BC10" i="5"/>
  <c r="BB6" i="9"/>
  <c r="BC20" i="5"/>
  <c r="BB23" i="9"/>
  <c r="BC35" i="5"/>
  <c r="BC6" i="5"/>
  <c r="BB4" i="9"/>
  <c r="BD44" i="5"/>
  <c r="BD34" i="5"/>
  <c r="BE34" i="5"/>
  <c r="BD21" i="5"/>
  <c r="AL34" i="5"/>
  <c r="AL44" i="5"/>
  <c r="AM44" i="5"/>
  <c r="AM34" i="5"/>
  <c r="U5" i="6"/>
  <c r="W57" i="5"/>
  <c r="V13" i="9"/>
  <c r="AY15" i="6"/>
  <c r="BA10" i="5"/>
  <c r="AZ6" i="9"/>
  <c r="BA20" i="5"/>
  <c r="AZ23" i="9"/>
  <c r="BA7" i="5"/>
  <c r="AZ5" i="9"/>
  <c r="AN6" i="5"/>
  <c r="AM4" i="9"/>
  <c r="AN8" i="5"/>
  <c r="AM7" i="9"/>
  <c r="AL15" i="6"/>
  <c r="AA57" i="5"/>
  <c r="Z13" i="9"/>
  <c r="AB55" i="5"/>
  <c r="AA11" i="9"/>
  <c r="Y5" i="6"/>
  <c r="AA24" i="5"/>
  <c r="C15" i="6"/>
  <c r="E6" i="5"/>
  <c r="D4" i="9"/>
  <c r="Y58" i="5"/>
  <c r="X18" i="9"/>
  <c r="U25" i="5"/>
  <c r="U21" i="5"/>
  <c r="U26" i="5"/>
  <c r="U27" i="5"/>
  <c r="U15" i="5"/>
  <c r="U58" i="5"/>
  <c r="T18" i="9"/>
  <c r="U14" i="5"/>
  <c r="V32" i="5"/>
  <c r="W32" i="5"/>
  <c r="AP20" i="5"/>
  <c r="AO23" i="9"/>
  <c r="V36" i="5"/>
  <c r="W36" i="5"/>
  <c r="V57" i="4"/>
  <c r="U56" i="4"/>
  <c r="U57" i="4"/>
  <c r="U20" i="5"/>
  <c r="AY24" i="5"/>
  <c r="D10" i="8"/>
  <c r="AJ44" i="5"/>
  <c r="AI44" i="5"/>
  <c r="AI21" i="5"/>
  <c r="AJ34" i="5"/>
  <c r="AI34" i="5"/>
  <c r="G20" i="5"/>
  <c r="F23" i="9"/>
  <c r="G19" i="5"/>
  <c r="F22" i="9"/>
  <c r="AO55" i="5"/>
  <c r="AN11" i="9"/>
  <c r="AP55" i="5"/>
  <c r="AO11" i="9"/>
  <c r="I8" i="8"/>
  <c r="O15" i="9"/>
  <c r="AW20" i="5"/>
  <c r="AV23" i="9"/>
  <c r="AW19" i="5"/>
  <c r="AV22" i="9"/>
  <c r="AT34" i="5"/>
  <c r="AU34" i="5"/>
  <c r="AT44" i="5"/>
  <c r="AU44" i="5"/>
  <c r="AA58" i="5"/>
  <c r="Z18" i="9"/>
  <c r="J5" i="8"/>
  <c r="P6" i="9"/>
  <c r="AY8" i="5"/>
  <c r="AX7" i="9"/>
  <c r="G12" i="8"/>
  <c r="M23" i="9"/>
  <c r="BE44" i="5"/>
  <c r="AX55" i="5"/>
  <c r="AW11" i="9"/>
  <c r="AY55" i="5"/>
  <c r="AX11" i="9"/>
  <c r="Q17" i="9"/>
  <c r="K13" i="8"/>
  <c r="AJ15" i="6"/>
  <c r="AL6" i="5"/>
  <c r="AK4" i="9"/>
  <c r="AL8" i="5"/>
  <c r="AK7" i="9"/>
  <c r="AL20" i="5"/>
  <c r="AK23" i="9"/>
  <c r="AD55" i="5"/>
  <c r="AC11" i="9"/>
  <c r="AC57" i="5"/>
  <c r="AB13" i="9"/>
  <c r="AA5" i="6"/>
  <c r="AC24" i="5"/>
  <c r="AC55" i="5"/>
  <c r="AB11" i="9"/>
  <c r="AC15" i="6"/>
  <c r="AE35" i="5"/>
  <c r="AE6" i="5"/>
  <c r="AD4" i="9"/>
  <c r="AY30" i="5"/>
  <c r="B56" i="4"/>
  <c r="AS5" i="6"/>
  <c r="AU57" i="5"/>
  <c r="AT13" i="9"/>
  <c r="AF34" i="5"/>
  <c r="AF44" i="5"/>
  <c r="AG44" i="5"/>
  <c r="AX5" i="6"/>
  <c r="AZ55" i="5"/>
  <c r="AY11" i="9"/>
  <c r="BA55" i="5"/>
  <c r="AZ11" i="9"/>
  <c r="AZ57" i="5"/>
  <c r="AY13" i="9"/>
  <c r="O23" i="9"/>
  <c r="I12" i="8"/>
  <c r="E44" i="5"/>
  <c r="T17" i="6"/>
  <c r="T14" i="6"/>
  <c r="U44" i="5"/>
  <c r="U34" i="5"/>
  <c r="M22" i="9"/>
  <c r="G11" i="8"/>
  <c r="Q7" i="9"/>
  <c r="K6" i="8"/>
  <c r="AG31" i="5"/>
  <c r="AD36" i="5"/>
  <c r="N11" i="8"/>
  <c r="T22" i="9"/>
  <c r="M5" i="6"/>
  <c r="O57" i="5"/>
  <c r="N13" i="9"/>
  <c r="P55" i="5"/>
  <c r="O11" i="9"/>
  <c r="O55" i="5"/>
  <c r="N11" i="9"/>
  <c r="L57" i="4"/>
  <c r="AU15" i="6"/>
  <c r="AW10" i="5"/>
  <c r="AV6" i="9"/>
  <c r="AW6" i="5"/>
  <c r="AV4" i="9"/>
  <c r="AW8" i="5"/>
  <c r="AV7" i="9"/>
  <c r="AX35" i="5"/>
  <c r="AM57" i="4"/>
  <c r="AQ55" i="5"/>
  <c r="AP11" i="9"/>
  <c r="J12" i="8"/>
  <c r="P23" i="9"/>
  <c r="Y57" i="5"/>
  <c r="X13" i="9"/>
  <c r="W5" i="6"/>
  <c r="AK58" i="5"/>
  <c r="AJ18" i="9"/>
  <c r="AD8" i="5"/>
  <c r="AC7" i="9"/>
  <c r="W10" i="5"/>
  <c r="V6" i="9"/>
  <c r="BD36" i="5"/>
  <c r="BE36" i="5"/>
  <c r="Y34" i="5"/>
  <c r="X44" i="5"/>
  <c r="Y44" i="5"/>
  <c r="AK57" i="5"/>
  <c r="AJ13" i="9"/>
  <c r="AI5" i="6"/>
  <c r="AL55" i="5"/>
  <c r="AK11" i="9"/>
  <c r="L22" i="9"/>
  <c r="F11" i="8"/>
  <c r="M36" i="5"/>
  <c r="Q27" i="4"/>
  <c r="T52" i="5"/>
  <c r="AS25" i="5"/>
  <c r="AS27" i="5"/>
  <c r="AR17" i="9"/>
  <c r="AS21" i="5"/>
  <c r="AS53" i="5"/>
  <c r="AS15" i="5"/>
  <c r="AR21" i="9"/>
  <c r="AS9" i="5"/>
  <c r="AS14" i="5"/>
  <c r="AR20" i="9"/>
  <c r="AS26" i="5"/>
  <c r="AS58" i="5"/>
  <c r="AR18" i="9"/>
  <c r="AF36" i="5"/>
  <c r="K3" i="8"/>
  <c r="Q4" i="9"/>
  <c r="BF14" i="5"/>
  <c r="BE20" i="9"/>
  <c r="S40" i="4"/>
  <c r="S56" i="4"/>
  <c r="S57" i="4"/>
  <c r="J56" i="4"/>
  <c r="AB8" i="5"/>
  <c r="AA7" i="9"/>
  <c r="F55" i="5"/>
  <c r="E11" i="9"/>
  <c r="AF15" i="6"/>
  <c r="AH10" i="5"/>
  <c r="AG6" i="9"/>
  <c r="AH20" i="5"/>
  <c r="AG23" i="9"/>
  <c r="AJ57" i="5"/>
  <c r="AI13" i="9"/>
  <c r="AK55" i="5"/>
  <c r="AJ11" i="9"/>
  <c r="AH5" i="6"/>
  <c r="AJ55" i="5"/>
  <c r="AI11" i="9"/>
  <c r="AG57" i="4"/>
  <c r="AF19" i="5"/>
  <c r="AE22" i="9"/>
  <c r="AD14" i="6"/>
  <c r="AF20" i="5"/>
  <c r="AE23" i="9"/>
  <c r="Q22" i="9"/>
  <c r="K11" i="8"/>
  <c r="BC19" i="5"/>
  <c r="BB22" i="9"/>
  <c r="BD40" i="5"/>
  <c r="BC31" i="5"/>
  <c r="BD31" i="5"/>
  <c r="BC40" i="5"/>
  <c r="AD35" i="5"/>
  <c r="AC6" i="5"/>
  <c r="AB4" i="9"/>
  <c r="AA15" i="6"/>
  <c r="AC10" i="5"/>
  <c r="AB6" i="9"/>
  <c r="AL56" i="4"/>
  <c r="AL57" i="4"/>
  <c r="E12" i="8"/>
  <c r="K23" i="9"/>
  <c r="AA35" i="5"/>
  <c r="Z6" i="5"/>
  <c r="Y4" i="9"/>
  <c r="Z20" i="5"/>
  <c r="Y23" i="9"/>
  <c r="X15" i="6"/>
  <c r="T5" i="6"/>
  <c r="W55" i="5"/>
  <c r="V11" i="9"/>
  <c r="V57" i="5"/>
  <c r="U13" i="9"/>
  <c r="Q55" i="5"/>
  <c r="P11" i="9"/>
  <c r="P57" i="5"/>
  <c r="O13" i="9"/>
  <c r="BG55" i="5"/>
  <c r="BF55" i="5"/>
  <c r="BE11" i="9"/>
  <c r="BD5" i="6"/>
  <c r="BF57" i="5"/>
  <c r="BE13" i="9"/>
  <c r="Y10" i="5"/>
  <c r="X6" i="9"/>
  <c r="F35" i="5"/>
  <c r="AA19" i="5"/>
  <c r="Z22" i="9"/>
  <c r="AA20" i="5"/>
  <c r="Z23" i="9"/>
  <c r="W58" i="5"/>
  <c r="V18" i="9"/>
  <c r="AC44" i="5"/>
  <c r="AD34" i="5"/>
  <c r="AC34" i="5"/>
  <c r="AD44" i="5"/>
  <c r="H36" i="5"/>
  <c r="I36" i="5"/>
  <c r="AJ5" i="6"/>
  <c r="AL21" i="5"/>
  <c r="AL57" i="5"/>
  <c r="AK13" i="9"/>
  <c r="AM55" i="5"/>
  <c r="AL11" i="9"/>
  <c r="F44" i="5"/>
  <c r="F34" i="5"/>
  <c r="L34" i="5"/>
  <c r="L44" i="5"/>
  <c r="K44" i="5"/>
  <c r="K34" i="5"/>
  <c r="K21" i="5"/>
  <c r="BB10" i="5"/>
  <c r="BA6" i="9"/>
  <c r="I21" i="9"/>
  <c r="C10" i="8"/>
  <c r="AM43" i="5"/>
  <c r="AM9" i="5"/>
  <c r="AM27" i="5"/>
  <c r="AL17" i="9"/>
  <c r="J6" i="8"/>
  <c r="P7" i="9"/>
  <c r="J19" i="5"/>
  <c r="K31" i="5"/>
  <c r="J24" i="5"/>
  <c r="K40" i="5"/>
  <c r="J31" i="5"/>
  <c r="G34" i="5"/>
  <c r="AN20" i="5"/>
  <c r="AM23" i="9"/>
  <c r="BQ56" i="4"/>
  <c r="AT5" i="6"/>
  <c r="F29" i="26"/>
  <c r="AS57" i="4"/>
  <c r="AW55" i="5"/>
  <c r="AV11" i="9"/>
  <c r="AD15" i="5"/>
  <c r="AC21" i="9"/>
  <c r="AD9" i="5"/>
  <c r="AD27" i="5"/>
  <c r="AC17" i="9"/>
  <c r="AD25" i="5"/>
  <c r="AD14" i="5"/>
  <c r="AC20" i="9"/>
  <c r="AD53" i="5"/>
  <c r="AD7" i="5"/>
  <c r="AC5" i="9"/>
  <c r="AD26" i="5"/>
  <c r="AD10" i="5"/>
  <c r="AC6" i="9"/>
  <c r="AD21" i="5"/>
  <c r="S22" i="9"/>
  <c r="M11" i="8"/>
  <c r="P14" i="5"/>
  <c r="P27" i="5"/>
  <c r="P26" i="5"/>
  <c r="P30" i="5"/>
  <c r="P43" i="5"/>
  <c r="P58" i="5"/>
  <c r="O18" i="9"/>
  <c r="P25" i="5"/>
  <c r="P7" i="5"/>
  <c r="P21" i="5"/>
  <c r="Q43" i="5"/>
  <c r="P15" i="5"/>
  <c r="P53" i="5"/>
  <c r="Q30" i="5"/>
  <c r="N4" i="9"/>
  <c r="H3" i="8"/>
  <c r="G10" i="8"/>
  <c r="M21" i="9"/>
  <c r="M17" i="9"/>
  <c r="G13" i="8"/>
  <c r="I19" i="5"/>
  <c r="I20" i="5"/>
  <c r="S34" i="5"/>
  <c r="S21" i="5"/>
  <c r="S44" i="5"/>
  <c r="AT20" i="5"/>
  <c r="AS23" i="9"/>
  <c r="AT19" i="5"/>
  <c r="AS22" i="9"/>
  <c r="BG7" i="5"/>
  <c r="BF5" i="9"/>
  <c r="BG6" i="5"/>
  <c r="BF4" i="9"/>
  <c r="BG8" i="5"/>
  <c r="BF7" i="9"/>
  <c r="BG20" i="5"/>
  <c r="BG35" i="5"/>
  <c r="BE15" i="6"/>
  <c r="BG10" i="5"/>
  <c r="BF6" i="9"/>
  <c r="AR5" i="6"/>
  <c r="AT55" i="5"/>
  <c r="AS11" i="9"/>
  <c r="AQ57" i="4"/>
  <c r="AT57" i="5"/>
  <c r="AS13" i="9"/>
  <c r="AU55" i="5"/>
  <c r="AT11" i="9"/>
  <c r="Y31" i="5"/>
  <c r="X40" i="5"/>
  <c r="X19" i="5"/>
  <c r="W22" i="9"/>
  <c r="X31" i="5"/>
  <c r="X24" i="5"/>
  <c r="AI36" i="5"/>
  <c r="AH36" i="5"/>
  <c r="AZ8" i="5"/>
  <c r="AY7" i="9"/>
  <c r="AZ6" i="5"/>
  <c r="AY4" i="9"/>
  <c r="AX15" i="6"/>
  <c r="AZ10" i="5"/>
  <c r="AY6" i="9"/>
  <c r="AZ35" i="5"/>
  <c r="AZ20" i="5"/>
  <c r="AY23" i="9"/>
  <c r="AZ7" i="5"/>
  <c r="AY5" i="9"/>
  <c r="AI6" i="5"/>
  <c r="AH4" i="9"/>
  <c r="AG15" i="6"/>
  <c r="AJ35" i="5"/>
  <c r="F33" i="25"/>
  <c r="AI20" i="5"/>
  <c r="AH23" i="9"/>
  <c r="AI7" i="5"/>
  <c r="AH5" i="9"/>
  <c r="AI35" i="5"/>
  <c r="AP58" i="5"/>
  <c r="AO18" i="9"/>
  <c r="AP25" i="5"/>
  <c r="AP26" i="5"/>
  <c r="AQ30" i="5"/>
  <c r="AP21" i="5"/>
  <c r="AP14" i="5"/>
  <c r="AO20" i="9"/>
  <c r="AQ43" i="5"/>
  <c r="AP9" i="5"/>
  <c r="AP53" i="5"/>
  <c r="AP27" i="5"/>
  <c r="AO17" i="9"/>
  <c r="AP15" i="5"/>
  <c r="AO21" i="9"/>
  <c r="AP43" i="5"/>
  <c r="AP24" i="5"/>
  <c r="AP30" i="5"/>
  <c r="M8" i="5"/>
  <c r="M35" i="5"/>
  <c r="M6" i="5"/>
  <c r="K15" i="6"/>
  <c r="M20" i="5"/>
  <c r="F6" i="26"/>
  <c r="H6" i="26"/>
  <c r="F13" i="26"/>
  <c r="F7" i="26"/>
  <c r="X6" i="5"/>
  <c r="W4" i="9"/>
  <c r="X35" i="5"/>
  <c r="X8" i="5"/>
  <c r="W7" i="9"/>
  <c r="X7" i="5"/>
  <c r="W5" i="9"/>
  <c r="Y35" i="5"/>
  <c r="V15" i="6"/>
  <c r="X10" i="5"/>
  <c r="W6" i="9"/>
  <c r="AP7" i="5"/>
  <c r="AO5" i="9"/>
  <c r="AU31" i="5"/>
  <c r="AU19" i="5"/>
  <c r="AT22" i="9"/>
  <c r="AU40" i="5"/>
  <c r="P31" i="5"/>
  <c r="P40" i="5"/>
  <c r="P8" i="5"/>
  <c r="P19" i="5"/>
  <c r="Q31" i="5"/>
  <c r="Q40" i="5"/>
  <c r="P24" i="5"/>
  <c r="J8" i="5"/>
  <c r="J6" i="5"/>
  <c r="J7" i="5"/>
  <c r="J35" i="5"/>
  <c r="H15" i="6"/>
  <c r="J10" i="5"/>
  <c r="J20" i="5"/>
  <c r="F22" i="26"/>
  <c r="F20" i="26"/>
  <c r="F10" i="5"/>
  <c r="E6" i="9"/>
  <c r="AI32" i="5"/>
  <c r="AJ32" i="5"/>
  <c r="AI26" i="5"/>
  <c r="W57" i="4"/>
  <c r="X5" i="6"/>
  <c r="Z55" i="5"/>
  <c r="Y11" i="9"/>
  <c r="AA55" i="5"/>
  <c r="Z11" i="9"/>
  <c r="Z57" i="5"/>
  <c r="Y13" i="9"/>
  <c r="AD5" i="6"/>
  <c r="AF57" i="5"/>
  <c r="AE13" i="9"/>
  <c r="AC57" i="4"/>
  <c r="AG55" i="5"/>
  <c r="AF11" i="9"/>
  <c r="AT40" i="5"/>
  <c r="AS31" i="5"/>
  <c r="AS24" i="5"/>
  <c r="AS40" i="5"/>
  <c r="AS19" i="5"/>
  <c r="AR22" i="9"/>
  <c r="Q5" i="6"/>
  <c r="S57" i="5"/>
  <c r="R13" i="9"/>
  <c r="P57" i="4"/>
  <c r="S55" i="5"/>
  <c r="R11" i="9"/>
  <c r="AB40" i="5"/>
  <c r="AB24" i="5"/>
  <c r="AB19" i="5"/>
  <c r="AA22" i="9"/>
  <c r="AB31" i="5"/>
  <c r="E31" i="5"/>
  <c r="F40" i="5"/>
  <c r="E40" i="5"/>
  <c r="F31" i="5"/>
  <c r="AQ7" i="5"/>
  <c r="AP5" i="9"/>
  <c r="AQ8" i="5"/>
  <c r="AP7" i="9"/>
  <c r="AQ35" i="5"/>
  <c r="AQ6" i="5"/>
  <c r="AP4" i="9"/>
  <c r="AO15" i="6"/>
  <c r="AQ10" i="5"/>
  <c r="AP6" i="9"/>
  <c r="AQ20" i="5"/>
  <c r="AP23" i="9"/>
  <c r="BH40" i="5"/>
  <c r="AU8" i="5"/>
  <c r="AT7" i="9"/>
  <c r="E14" i="5"/>
  <c r="D20" i="9"/>
  <c r="E21" i="5"/>
  <c r="Z21" i="5"/>
  <c r="Z34" i="5"/>
  <c r="Z44" i="5"/>
  <c r="AA34" i="5"/>
  <c r="AA44" i="5"/>
  <c r="AC31" i="5"/>
  <c r="AC40" i="5"/>
  <c r="AC19" i="5"/>
  <c r="AB22" i="9"/>
  <c r="AD40" i="5"/>
  <c r="L15" i="9"/>
  <c r="F8" i="8"/>
  <c r="AE40" i="5"/>
  <c r="AF40" i="5"/>
  <c r="AE31" i="5"/>
  <c r="AF31" i="5"/>
  <c r="AE8" i="5"/>
  <c r="AD7" i="9"/>
  <c r="AK40" i="5"/>
  <c r="AK31" i="5"/>
  <c r="AK19" i="5"/>
  <c r="AJ22" i="9"/>
  <c r="AL40" i="5"/>
  <c r="AK24" i="5"/>
  <c r="AL31" i="5"/>
  <c r="AO53" i="5"/>
  <c r="AO9" i="5"/>
  <c r="AO7" i="5"/>
  <c r="AN5" i="9"/>
  <c r="AO25" i="5"/>
  <c r="AO58" i="5"/>
  <c r="AN18" i="9"/>
  <c r="AO21" i="5"/>
  <c r="AO27" i="5"/>
  <c r="AN17" i="9"/>
  <c r="AO24" i="5"/>
  <c r="AO15" i="5"/>
  <c r="AN21" i="9"/>
  <c r="AO26" i="5"/>
  <c r="AO43" i="5"/>
  <c r="AO30" i="5"/>
  <c r="AO14" i="5"/>
  <c r="AN20" i="9"/>
  <c r="AP5" i="6"/>
  <c r="AO57" i="4"/>
  <c r="AR57" i="5"/>
  <c r="AQ13" i="9"/>
  <c r="AS55" i="5"/>
  <c r="AR11" i="9"/>
  <c r="AR55" i="5"/>
  <c r="AQ11" i="9"/>
  <c r="L31" i="5"/>
  <c r="L40" i="5"/>
  <c r="M31" i="5"/>
  <c r="M40" i="5"/>
  <c r="L8" i="5"/>
  <c r="L19" i="5"/>
  <c r="K12" i="8"/>
  <c r="Q23" i="9"/>
  <c r="AC8" i="5"/>
  <c r="AB7" i="9"/>
  <c r="BG21" i="5"/>
  <c r="BG9" i="5"/>
  <c r="BG53" i="5"/>
  <c r="BG24" i="5"/>
  <c r="BG25" i="5"/>
  <c r="BH43" i="5"/>
  <c r="BG43" i="5"/>
  <c r="BG26" i="5"/>
  <c r="BG27" i="5"/>
  <c r="BG15" i="5"/>
  <c r="BG30" i="5"/>
  <c r="BG14" i="5"/>
  <c r="BG58" i="5"/>
  <c r="E7" i="5"/>
  <c r="D5" i="9"/>
  <c r="T44" i="5"/>
  <c r="AO10" i="5"/>
  <c r="AN6" i="9"/>
  <c r="L12" i="8"/>
  <c r="R23" i="9"/>
  <c r="T23" i="9"/>
  <c r="N12" i="8"/>
  <c r="G15" i="6"/>
  <c r="I7" i="5"/>
  <c r="I6" i="5"/>
  <c r="I35" i="5"/>
  <c r="I8" i="5"/>
  <c r="F19" i="5"/>
  <c r="E22" i="9"/>
  <c r="F20" i="5"/>
  <c r="E23" i="9"/>
  <c r="F57" i="5"/>
  <c r="E13" i="9"/>
  <c r="D5" i="6"/>
  <c r="G55" i="5"/>
  <c r="F11" i="9"/>
  <c r="S58" i="5"/>
  <c r="R18" i="9"/>
  <c r="Q6" i="9"/>
  <c r="K5" i="8"/>
  <c r="D12" i="8"/>
  <c r="J23" i="9"/>
  <c r="T34" i="5"/>
  <c r="P10" i="5"/>
  <c r="AK20" i="5"/>
  <c r="AJ23" i="9"/>
  <c r="AK6" i="5"/>
  <c r="AJ4" i="9"/>
  <c r="AL35" i="5"/>
  <c r="AK7" i="5"/>
  <c r="AJ5" i="9"/>
  <c r="AI15" i="6"/>
  <c r="AK10" i="5"/>
  <c r="AJ6" i="9"/>
  <c r="AK35" i="5"/>
  <c r="AK8" i="5"/>
  <c r="AJ7" i="9"/>
  <c r="N23" i="9"/>
  <c r="H12" i="8"/>
  <c r="AB36" i="5"/>
  <c r="M20" i="9"/>
  <c r="G9" i="8"/>
  <c r="AW44" i="5"/>
  <c r="AW34" i="5"/>
  <c r="AG6" i="6"/>
  <c r="AF40" i="4"/>
  <c r="AF56" i="4"/>
  <c r="AF57" i="4"/>
  <c r="F31" i="25"/>
  <c r="AI48" i="5"/>
  <c r="AH16" i="9"/>
  <c r="BG19" i="6"/>
  <c r="BG17" i="6"/>
  <c r="BF55" i="4"/>
  <c r="BF56" i="4"/>
  <c r="I57" i="4"/>
  <c r="J5" i="6"/>
  <c r="L57" i="5"/>
  <c r="K13" i="9"/>
  <c r="M55" i="5"/>
  <c r="L11" i="9"/>
  <c r="L55" i="5"/>
  <c r="K11" i="9"/>
  <c r="J57" i="4"/>
  <c r="M57" i="5"/>
  <c r="L13" i="9"/>
  <c r="K5" i="6"/>
  <c r="M7" i="5"/>
  <c r="N55" i="5"/>
  <c r="M11" i="9"/>
  <c r="AN14" i="5"/>
  <c r="AM20" i="9"/>
  <c r="AN53" i="5"/>
  <c r="AN24" i="5"/>
  <c r="AN27" i="5"/>
  <c r="AM17" i="9"/>
  <c r="AN7" i="5"/>
  <c r="AM5" i="9"/>
  <c r="AN43" i="5"/>
  <c r="AN26" i="5"/>
  <c r="AN25" i="5"/>
  <c r="AN15" i="5"/>
  <c r="AM21" i="9"/>
  <c r="AN21" i="5"/>
  <c r="AN58" i="5"/>
  <c r="AM18" i="9"/>
  <c r="AN9" i="5"/>
  <c r="AN30" i="5"/>
  <c r="AN10" i="5"/>
  <c r="AM6" i="9"/>
  <c r="AP15" i="6"/>
  <c r="AR20" i="5"/>
  <c r="AQ23" i="9"/>
  <c r="AR8" i="5"/>
  <c r="AQ7" i="9"/>
  <c r="AR7" i="5"/>
  <c r="AQ5" i="9"/>
  <c r="AR6" i="5"/>
  <c r="AQ4" i="9"/>
  <c r="AR35" i="5"/>
  <c r="P9" i="5"/>
  <c r="G5" i="6"/>
  <c r="I57" i="5"/>
  <c r="H13" i="9"/>
  <c r="I55" i="5"/>
  <c r="H11" i="9"/>
  <c r="F57" i="4"/>
  <c r="J55" i="5"/>
  <c r="I11" i="9"/>
  <c r="BC53" i="5"/>
  <c r="BC9" i="5"/>
  <c r="BC26" i="5"/>
  <c r="BC58" i="5"/>
  <c r="BB18" i="9"/>
  <c r="BC27" i="5"/>
  <c r="BB17" i="9"/>
  <c r="BC24" i="5"/>
  <c r="BC7" i="5"/>
  <c r="BB5" i="9"/>
  <c r="BC14" i="5"/>
  <c r="BB20" i="9"/>
  <c r="BC15" i="5"/>
  <c r="BB21" i="9"/>
  <c r="BC30" i="5"/>
  <c r="BC21" i="5"/>
  <c r="BC43" i="5"/>
  <c r="BD30" i="5"/>
  <c r="BD43" i="5"/>
  <c r="BC25" i="5"/>
  <c r="W31" i="5"/>
  <c r="W24" i="5"/>
  <c r="W19" i="5"/>
  <c r="V22" i="9"/>
  <c r="W40" i="5"/>
  <c r="BC34" i="5"/>
  <c r="BB34" i="5"/>
  <c r="BB44" i="5"/>
  <c r="BC44" i="5"/>
  <c r="BB21" i="5"/>
  <c r="AE57" i="5"/>
  <c r="AD13" i="9"/>
  <c r="AC5" i="6"/>
  <c r="AB57" i="4"/>
  <c r="AE55" i="5"/>
  <c r="AD11" i="9"/>
  <c r="AF55" i="5"/>
  <c r="AE11" i="9"/>
  <c r="BD20" i="5"/>
  <c r="BC23" i="9"/>
  <c r="BB15" i="6"/>
  <c r="BD10" i="5"/>
  <c r="BC6" i="9"/>
  <c r="BD8" i="5"/>
  <c r="BC7" i="9"/>
  <c r="BE35" i="5"/>
  <c r="BD35" i="5"/>
  <c r="BD6" i="5"/>
  <c r="BC4" i="9"/>
  <c r="BD7" i="5"/>
  <c r="BC5" i="9"/>
  <c r="F14" i="5"/>
  <c r="E20" i="9"/>
  <c r="I15" i="6"/>
  <c r="K10" i="5"/>
  <c r="K8" i="5"/>
  <c r="K6" i="5"/>
  <c r="K35" i="5"/>
  <c r="K7" i="5"/>
  <c r="I14" i="5"/>
  <c r="N35" i="5"/>
  <c r="AX9" i="5"/>
  <c r="AX21" i="5"/>
  <c r="AX25" i="5"/>
  <c r="AX15" i="5"/>
  <c r="AW21" i="9"/>
  <c r="AX14" i="5"/>
  <c r="AW20" i="9"/>
  <c r="AX26" i="5"/>
  <c r="AX43" i="5"/>
  <c r="AX30" i="5"/>
  <c r="AX27" i="5"/>
  <c r="AW17" i="9"/>
  <c r="AX53" i="5"/>
  <c r="AX24" i="5"/>
  <c r="AX7" i="5"/>
  <c r="AW5" i="9"/>
  <c r="Q15" i="9"/>
  <c r="K8" i="8"/>
  <c r="BA35" i="5"/>
  <c r="L35" i="5"/>
  <c r="H6" i="8"/>
  <c r="N7" i="9"/>
  <c r="S7" i="9"/>
  <c r="M6" i="8"/>
  <c r="AG25" i="5"/>
  <c r="AG9" i="5"/>
  <c r="AG15" i="5"/>
  <c r="AF21" i="9"/>
  <c r="AG24" i="5"/>
  <c r="AG7" i="5"/>
  <c r="AF5" i="9"/>
  <c r="AG27" i="5"/>
  <c r="AF17" i="9"/>
  <c r="AH30" i="5"/>
  <c r="AG10" i="5"/>
  <c r="AF6" i="9"/>
  <c r="AG26" i="5"/>
  <c r="AG53" i="5"/>
  <c r="AG58" i="5"/>
  <c r="AF18" i="9"/>
  <c r="AG14" i="5"/>
  <c r="AF20" i="9"/>
  <c r="AG21" i="5"/>
  <c r="G4" i="8"/>
  <c r="M5" i="9"/>
  <c r="X14" i="5"/>
  <c r="W20" i="9"/>
  <c r="X30" i="5"/>
  <c r="X27" i="5"/>
  <c r="W17" i="9"/>
  <c r="X15" i="5"/>
  <c r="W21" i="9"/>
  <c r="X53" i="5"/>
  <c r="X9" i="5"/>
  <c r="X58" i="5"/>
  <c r="W18" i="9"/>
  <c r="X21" i="5"/>
  <c r="Y30" i="5"/>
  <c r="X43" i="5"/>
  <c r="Y43" i="5"/>
  <c r="X26" i="5"/>
  <c r="X25" i="5"/>
  <c r="G5" i="8"/>
  <c r="M6" i="9"/>
  <c r="M12" i="8"/>
  <c r="S23" i="9"/>
  <c r="L3" i="8"/>
  <c r="R4" i="9"/>
  <c r="V43" i="5"/>
  <c r="V58" i="5"/>
  <c r="U18" i="9"/>
  <c r="V15" i="5"/>
  <c r="U21" i="9"/>
  <c r="V14" i="5"/>
  <c r="U20" i="9"/>
  <c r="V53" i="5"/>
  <c r="V25" i="5"/>
  <c r="V27" i="5"/>
  <c r="U17" i="9"/>
  <c r="V30" i="5"/>
  <c r="V26" i="5"/>
  <c r="V9" i="5"/>
  <c r="V21" i="5"/>
  <c r="E10" i="5"/>
  <c r="D6" i="9"/>
  <c r="E15" i="5"/>
  <c r="D21" i="9"/>
  <c r="E24" i="5"/>
  <c r="BF15" i="5"/>
  <c r="BE21" i="9"/>
  <c r="BF53" i="5"/>
  <c r="BF43" i="5"/>
  <c r="BF25" i="5"/>
  <c r="BF30" i="5"/>
  <c r="BF9" i="5"/>
  <c r="BF27" i="5"/>
  <c r="BE17" i="9"/>
  <c r="BF10" i="5"/>
  <c r="BE6" i="9"/>
  <c r="BF26" i="5"/>
  <c r="BF7" i="5"/>
  <c r="BE5" i="9"/>
  <c r="BF58" i="5"/>
  <c r="BE18" i="9"/>
  <c r="BF21" i="5"/>
  <c r="BF24" i="5"/>
  <c r="AL10" i="5"/>
  <c r="AK6" i="9"/>
  <c r="N9" i="8"/>
  <c r="T20" i="9"/>
  <c r="U6" i="5"/>
  <c r="U8" i="5"/>
  <c r="S15" i="6"/>
  <c r="U10" i="5"/>
  <c r="U7" i="5"/>
  <c r="U35" i="5"/>
  <c r="I22" i="9"/>
  <c r="C11" i="8"/>
  <c r="AU9" i="5"/>
  <c r="AU25" i="5"/>
  <c r="AU58" i="5"/>
  <c r="AT18" i="9"/>
  <c r="AU15" i="5"/>
  <c r="AT21" i="9"/>
  <c r="AU14" i="5"/>
  <c r="AT20" i="9"/>
  <c r="AU53" i="5"/>
  <c r="AU21" i="5"/>
  <c r="AU27" i="5"/>
  <c r="AT17" i="9"/>
  <c r="AU26" i="5"/>
  <c r="E25" i="5"/>
  <c r="E9" i="5"/>
  <c r="AG35" i="5"/>
  <c r="AF35" i="5"/>
  <c r="AF6" i="5"/>
  <c r="AE4" i="9"/>
  <c r="AD15" i="6"/>
  <c r="AF8" i="5"/>
  <c r="AE7" i="9"/>
  <c r="AK21" i="5"/>
  <c r="AK27" i="5"/>
  <c r="AJ17" i="9"/>
  <c r="AK25" i="5"/>
  <c r="AK15" i="5"/>
  <c r="AJ21" i="9"/>
  <c r="AK26" i="5"/>
  <c r="AK53" i="5"/>
  <c r="AK43" i="5"/>
  <c r="AK14" i="5"/>
  <c r="AJ20" i="9"/>
  <c r="AK9" i="5"/>
  <c r="O15" i="5"/>
  <c r="O27" i="5"/>
  <c r="O9" i="5"/>
  <c r="O58" i="5"/>
  <c r="N18" i="9"/>
  <c r="O26" i="5"/>
  <c r="O25" i="5"/>
  <c r="O10" i="5"/>
  <c r="O53" i="5"/>
  <c r="O24" i="5"/>
  <c r="O21" i="5"/>
  <c r="O43" i="5"/>
  <c r="O30" i="5"/>
  <c r="O14" i="5"/>
  <c r="O7" i="5"/>
  <c r="N10" i="8"/>
  <c r="T21" i="9"/>
  <c r="AA10" i="5"/>
  <c r="Z6" i="9"/>
  <c r="AB43" i="5"/>
  <c r="AB30" i="5"/>
  <c r="AA27" i="5"/>
  <c r="Z17" i="9"/>
  <c r="AA26" i="5"/>
  <c r="AA9" i="5"/>
  <c r="AA25" i="5"/>
  <c r="AA14" i="5"/>
  <c r="Z20" i="9"/>
  <c r="AA53" i="5"/>
  <c r="AA15" i="5"/>
  <c r="Z21" i="9"/>
  <c r="AA21" i="5"/>
  <c r="AC26" i="5"/>
  <c r="AC58" i="5"/>
  <c r="AB18" i="9"/>
  <c r="AC43" i="5"/>
  <c r="AC15" i="5"/>
  <c r="AB21" i="9"/>
  <c r="AC9" i="5"/>
  <c r="AC25" i="5"/>
  <c r="AC7" i="5"/>
  <c r="AB5" i="9"/>
  <c r="AC21" i="5"/>
  <c r="AC30" i="5"/>
  <c r="AC27" i="5"/>
  <c r="AB17" i="9"/>
  <c r="AC53" i="5"/>
  <c r="AC14" i="5"/>
  <c r="AB20" i="9"/>
  <c r="E27" i="5"/>
  <c r="D17" i="9"/>
  <c r="AD30" i="5"/>
  <c r="AL26" i="5"/>
  <c r="AL27" i="5"/>
  <c r="AK17" i="9"/>
  <c r="AL15" i="5"/>
  <c r="AK21" i="9"/>
  <c r="AL30" i="5"/>
  <c r="AL43" i="5"/>
  <c r="AL24" i="5"/>
  <c r="AL14" i="5"/>
  <c r="AK20" i="9"/>
  <c r="AM30" i="5"/>
  <c r="AL53" i="5"/>
  <c r="AL25" i="5"/>
  <c r="AL9" i="5"/>
  <c r="AL58" i="5"/>
  <c r="AK18" i="9"/>
  <c r="N13" i="8"/>
  <c r="T17" i="9"/>
  <c r="AU10" i="5"/>
  <c r="AT6" i="9"/>
  <c r="E58" i="5"/>
  <c r="D18" i="9"/>
  <c r="AR10" i="5"/>
  <c r="AQ6" i="9"/>
  <c r="E30" i="5"/>
  <c r="E53" i="5"/>
  <c r="AU24" i="5"/>
  <c r="Y14" i="5"/>
  <c r="X20" i="9"/>
  <c r="Y21" i="5"/>
  <c r="Y24" i="5"/>
  <c r="Y27" i="5"/>
  <c r="X17" i="9"/>
  <c r="Y53" i="5"/>
  <c r="Y26" i="5"/>
  <c r="Y25" i="5"/>
  <c r="Y15" i="5"/>
  <c r="X21" i="9"/>
  <c r="Y7" i="5"/>
  <c r="X5" i="9"/>
  <c r="Y9" i="5"/>
  <c r="BA43" i="5"/>
  <c r="AZ21" i="5"/>
  <c r="AZ27" i="5"/>
  <c r="AY17" i="9"/>
  <c r="AZ58" i="5"/>
  <c r="AY18" i="9"/>
  <c r="AZ25" i="5"/>
  <c r="AZ26" i="5"/>
  <c r="AZ24" i="5"/>
  <c r="AZ9" i="5"/>
  <c r="AZ15" i="5"/>
  <c r="AY21" i="9"/>
  <c r="AZ30" i="5"/>
  <c r="AZ14" i="5"/>
  <c r="AY20" i="9"/>
  <c r="AZ43" i="5"/>
  <c r="AZ53" i="5"/>
  <c r="BA30" i="5"/>
  <c r="W30" i="5"/>
  <c r="W25" i="5"/>
  <c r="W26" i="5"/>
  <c r="W27" i="5"/>
  <c r="V17" i="9"/>
  <c r="W14" i="5"/>
  <c r="V20" i="9"/>
  <c r="W21" i="5"/>
  <c r="W43" i="5"/>
  <c r="W7" i="5"/>
  <c r="V5" i="9"/>
  <c r="W15" i="5"/>
  <c r="V21" i="9"/>
  <c r="W9" i="5"/>
  <c r="W53" i="5"/>
  <c r="AU7" i="5"/>
  <c r="AT5" i="9"/>
  <c r="E26" i="5"/>
  <c r="T57" i="5"/>
  <c r="S13" i="9"/>
  <c r="R5" i="6"/>
  <c r="T55" i="5"/>
  <c r="S11" i="9"/>
  <c r="Q57" i="4"/>
  <c r="U55" i="5"/>
  <c r="T11" i="9"/>
  <c r="V35" i="5"/>
  <c r="V7" i="5"/>
  <c r="U5" i="9"/>
  <c r="V20" i="5"/>
  <c r="U23" i="9"/>
  <c r="V8" i="5"/>
  <c r="U7" i="9"/>
  <c r="V6" i="5"/>
  <c r="U4" i="9"/>
  <c r="W35" i="5"/>
  <c r="T15" i="6"/>
  <c r="V10" i="5"/>
  <c r="U6" i="9"/>
  <c r="AA7" i="5"/>
  <c r="Z5" i="9"/>
  <c r="E43" i="5"/>
  <c r="AD43" i="5"/>
  <c r="AK30" i="5"/>
  <c r="AJ58" i="5"/>
  <c r="AI18" i="9"/>
  <c r="AJ30" i="5"/>
  <c r="AJ7" i="5"/>
  <c r="AI5" i="9"/>
  <c r="AJ27" i="5"/>
  <c r="AI17" i="9"/>
  <c r="AJ26" i="5"/>
  <c r="AJ43" i="5"/>
  <c r="AJ14" i="5"/>
  <c r="AI20" i="9"/>
  <c r="AJ21" i="5"/>
  <c r="AJ24" i="5"/>
  <c r="AJ9" i="5"/>
  <c r="AJ15" i="5"/>
  <c r="AI21" i="9"/>
  <c r="AJ10" i="5"/>
  <c r="AI6" i="9"/>
  <c r="AJ53" i="5"/>
  <c r="AJ25" i="5"/>
  <c r="AL7" i="5"/>
  <c r="AK5" i="9"/>
  <c r="V31" i="5"/>
  <c r="V40" i="5"/>
  <c r="V19" i="5"/>
  <c r="U22" i="9"/>
  <c r="V24" i="5"/>
  <c r="L5" i="9"/>
  <c r="F4" i="8"/>
  <c r="AI31" i="5"/>
  <c r="AJ31" i="5"/>
  <c r="AI19" i="5"/>
  <c r="AH22" i="9"/>
  <c r="AJ40" i="5"/>
  <c r="AI40" i="5"/>
  <c r="AI24" i="5"/>
  <c r="B4" i="8"/>
  <c r="H5" i="9"/>
  <c r="C12" i="8"/>
  <c r="I23" i="9"/>
  <c r="F12" i="8"/>
  <c r="L23" i="9"/>
  <c r="F13" i="25"/>
  <c r="F6" i="25"/>
  <c r="F7" i="25"/>
  <c r="O6" i="9"/>
  <c r="I5" i="8"/>
  <c r="F9" i="5"/>
  <c r="F25" i="5"/>
  <c r="F7" i="5"/>
  <c r="E5" i="9"/>
  <c r="F24" i="5"/>
  <c r="F21" i="5"/>
  <c r="G30" i="5"/>
  <c r="F30" i="5"/>
  <c r="F43" i="5"/>
  <c r="F27" i="5"/>
  <c r="E17" i="9"/>
  <c r="F15" i="5"/>
  <c r="E21" i="9"/>
  <c r="G43" i="5"/>
  <c r="F53" i="5"/>
  <c r="F26" i="5"/>
  <c r="F58" i="5"/>
  <c r="E18" i="9"/>
  <c r="I10" i="5"/>
  <c r="S24" i="5"/>
  <c r="S14" i="5"/>
  <c r="S25" i="5"/>
  <c r="S27" i="5"/>
  <c r="S15" i="5"/>
  <c r="S9" i="5"/>
  <c r="S43" i="5"/>
  <c r="T43" i="5"/>
  <c r="S30" i="5"/>
  <c r="S26" i="5"/>
  <c r="S53" i="5"/>
  <c r="S10" i="5"/>
  <c r="T30" i="5"/>
  <c r="S7" i="5"/>
  <c r="I6" i="9"/>
  <c r="C5" i="8"/>
  <c r="I11" i="8"/>
  <c r="O22" i="9"/>
  <c r="M10" i="5"/>
  <c r="B12" i="8"/>
  <c r="H23" i="9"/>
  <c r="D5" i="8"/>
  <c r="J6" i="9"/>
  <c r="E11" i="8"/>
  <c r="K22" i="9"/>
  <c r="AF43" i="5"/>
  <c r="AF21" i="5"/>
  <c r="AF15" i="5"/>
  <c r="AE21" i="9"/>
  <c r="AF26" i="5"/>
  <c r="AF30" i="5"/>
  <c r="AF7" i="5"/>
  <c r="AE5" i="9"/>
  <c r="AF27" i="5"/>
  <c r="AE17" i="9"/>
  <c r="AF9" i="5"/>
  <c r="AF53" i="5"/>
  <c r="AF24" i="5"/>
  <c r="AF58" i="5"/>
  <c r="AE18" i="9"/>
  <c r="AF14" i="5"/>
  <c r="AE20" i="9"/>
  <c r="AF25" i="5"/>
  <c r="AF10" i="5"/>
  <c r="AE6" i="9"/>
  <c r="O7" i="9"/>
  <c r="I6" i="8"/>
  <c r="B11" i="8"/>
  <c r="H22" i="9"/>
  <c r="AG43" i="5"/>
  <c r="D4" i="8"/>
  <c r="J5" i="9"/>
  <c r="I9" i="5"/>
  <c r="I53" i="5"/>
  <c r="I15" i="5"/>
  <c r="I26" i="5"/>
  <c r="I21" i="5"/>
  <c r="I43" i="5"/>
  <c r="I25" i="5"/>
  <c r="J43" i="5"/>
  <c r="I24" i="5"/>
  <c r="I30" i="5"/>
  <c r="I27" i="5"/>
  <c r="J30" i="5"/>
  <c r="I58" i="5"/>
  <c r="H18" i="9"/>
  <c r="E6" i="8"/>
  <c r="K7" i="9"/>
  <c r="I5" i="9"/>
  <c r="C4" i="8"/>
  <c r="F3" i="8"/>
  <c r="L4" i="9"/>
  <c r="I10" i="8"/>
  <c r="O21" i="9"/>
  <c r="L9" i="5"/>
  <c r="L15" i="5"/>
  <c r="L53" i="5"/>
  <c r="L25" i="5"/>
  <c r="L58" i="5"/>
  <c r="K18" i="9"/>
  <c r="L21" i="5"/>
  <c r="L26" i="5"/>
  <c r="L30" i="5"/>
  <c r="L43" i="5"/>
  <c r="L27" i="5"/>
  <c r="L14" i="5"/>
  <c r="L7" i="5"/>
  <c r="B9" i="8"/>
  <c r="H20" i="9"/>
  <c r="M26" i="5"/>
  <c r="M15" i="5"/>
  <c r="M30" i="5"/>
  <c r="M24" i="5"/>
  <c r="M43" i="5"/>
  <c r="M58" i="5"/>
  <c r="L18" i="9"/>
  <c r="M53" i="5"/>
  <c r="M21" i="5"/>
  <c r="M25" i="5"/>
  <c r="M9" i="5"/>
  <c r="M27" i="5"/>
  <c r="M14" i="5"/>
  <c r="N30" i="5"/>
  <c r="N43" i="5"/>
  <c r="F34" i="25"/>
  <c r="F8" i="25"/>
  <c r="AI10" i="5"/>
  <c r="AH6" i="9"/>
  <c r="L10" i="5"/>
  <c r="AE9" i="5"/>
  <c r="AE21" i="5"/>
  <c r="AE25" i="5"/>
  <c r="AE43" i="5"/>
  <c r="AE53" i="5"/>
  <c r="AE58" i="5"/>
  <c r="AD18" i="9"/>
  <c r="AE7" i="5"/>
  <c r="AD5" i="9"/>
  <c r="AE14" i="5"/>
  <c r="AD20" i="9"/>
  <c r="AE15" i="5"/>
  <c r="AD21" i="9"/>
  <c r="AE26" i="5"/>
  <c r="AE10" i="5"/>
  <c r="AD6" i="9"/>
  <c r="AE27" i="5"/>
  <c r="AD17" i="9"/>
  <c r="AE30" i="5"/>
  <c r="C3" i="8"/>
  <c r="I4" i="9"/>
  <c r="AI8" i="5"/>
  <c r="AH7" i="9"/>
  <c r="O17" i="9"/>
  <c r="I13" i="8"/>
  <c r="D3" i="8"/>
  <c r="J4" i="9"/>
  <c r="H7" i="9"/>
  <c r="B6" i="8"/>
  <c r="O20" i="9"/>
  <c r="I9" i="8"/>
  <c r="AS43" i="5"/>
  <c r="AS30" i="5"/>
  <c r="AR58" i="5"/>
  <c r="AQ18" i="9"/>
  <c r="AR53" i="5"/>
  <c r="AR26" i="5"/>
  <c r="AR30" i="5"/>
  <c r="AR21" i="5"/>
  <c r="AR24" i="5"/>
  <c r="AR15" i="5"/>
  <c r="AQ21" i="9"/>
  <c r="AR43" i="5"/>
  <c r="AR14" i="5"/>
  <c r="AQ20" i="9"/>
  <c r="AR25" i="5"/>
  <c r="AR9" i="5"/>
  <c r="AR27" i="5"/>
  <c r="AQ17" i="9"/>
  <c r="C6" i="8"/>
  <c r="I7" i="9"/>
  <c r="L7" i="9"/>
  <c r="F6" i="8"/>
  <c r="AT24" i="5"/>
  <c r="AT25" i="5"/>
  <c r="AT53" i="5"/>
  <c r="AT7" i="5"/>
  <c r="AS5" i="9"/>
  <c r="AT27" i="5"/>
  <c r="AS17" i="9"/>
  <c r="AT58" i="5"/>
  <c r="AS18" i="9"/>
  <c r="AU30" i="5"/>
  <c r="AT10" i="5"/>
  <c r="AS6" i="9"/>
  <c r="AT26" i="5"/>
  <c r="AU43" i="5"/>
  <c r="AT9" i="5"/>
  <c r="AT30" i="5"/>
  <c r="AT14" i="5"/>
  <c r="AS20" i="9"/>
  <c r="AT15" i="5"/>
  <c r="AS21" i="9"/>
  <c r="AT21" i="5"/>
  <c r="AT43" i="5"/>
  <c r="AG30" i="5"/>
  <c r="D6" i="8"/>
  <c r="J7" i="9"/>
  <c r="F25" i="25"/>
  <c r="F12" i="25"/>
  <c r="AE24" i="5"/>
  <c r="Z25" i="5"/>
  <c r="Z53" i="5"/>
  <c r="Z27" i="5"/>
  <c r="Y17" i="9"/>
  <c r="Z26" i="5"/>
  <c r="Z14" i="5"/>
  <c r="Y20" i="9"/>
  <c r="Z58" i="5"/>
  <c r="Y18" i="9"/>
  <c r="Z15" i="5"/>
  <c r="Y21" i="9"/>
  <c r="Z43" i="5"/>
  <c r="Z9" i="5"/>
  <c r="Z30" i="5"/>
  <c r="AA43" i="5"/>
  <c r="Z7" i="5"/>
  <c r="Y5" i="9"/>
  <c r="AA30" i="5"/>
  <c r="Z10" i="5"/>
  <c r="Y6" i="9"/>
  <c r="Z24" i="5"/>
  <c r="O5" i="9"/>
  <c r="I4" i="8"/>
  <c r="F21" i="26"/>
  <c r="F24" i="26"/>
  <c r="F30" i="26"/>
  <c r="F17" i="26"/>
  <c r="F11" i="26"/>
  <c r="F8" i="26"/>
  <c r="B3" i="8"/>
  <c r="H4" i="9"/>
  <c r="L24" i="5"/>
  <c r="AV58" i="5"/>
  <c r="AU18" i="9"/>
  <c r="AW30" i="5"/>
  <c r="AW43" i="5"/>
  <c r="H13" i="8"/>
  <c r="N17" i="9"/>
  <c r="T7" i="9"/>
  <c r="N6" i="8"/>
  <c r="H10" i="8"/>
  <c r="N21" i="9"/>
  <c r="T4" i="9"/>
  <c r="N3" i="8"/>
  <c r="N6" i="9"/>
  <c r="H5" i="8"/>
  <c r="N5" i="9"/>
  <c r="H4" i="8"/>
  <c r="N20" i="9"/>
  <c r="H9" i="8"/>
  <c r="T25" i="5"/>
  <c r="T14" i="5"/>
  <c r="T9" i="5"/>
  <c r="T27" i="5"/>
  <c r="T24" i="5"/>
  <c r="T53" i="5"/>
  <c r="T21" i="5"/>
  <c r="T15" i="5"/>
  <c r="T7" i="5"/>
  <c r="U30" i="5"/>
  <c r="T58" i="5"/>
  <c r="S18" i="9"/>
  <c r="U43" i="5"/>
  <c r="T26" i="5"/>
  <c r="T10" i="5"/>
  <c r="N4" i="8"/>
  <c r="T5" i="9"/>
  <c r="N5" i="8"/>
  <c r="T6" i="9"/>
  <c r="K5" i="9"/>
  <c r="E4" i="8"/>
  <c r="K20" i="9"/>
  <c r="E9" i="8"/>
  <c r="R5" i="9"/>
  <c r="L4" i="8"/>
  <c r="K21" i="9"/>
  <c r="E10" i="8"/>
  <c r="L17" i="9"/>
  <c r="F13" i="8"/>
  <c r="L5" i="8"/>
  <c r="R6" i="9"/>
  <c r="L13" i="8"/>
  <c r="R17" i="9"/>
  <c r="B5" i="8"/>
  <c r="H6" i="9"/>
  <c r="F9" i="8"/>
  <c r="L20" i="9"/>
  <c r="K17" i="9"/>
  <c r="E13" i="8"/>
  <c r="L10" i="8"/>
  <c r="R21" i="9"/>
  <c r="L21" i="9"/>
  <c r="F10" i="8"/>
  <c r="F5" i="8"/>
  <c r="L6" i="9"/>
  <c r="K6" i="9"/>
  <c r="E5" i="8"/>
  <c r="R20" i="9"/>
  <c r="L9" i="8"/>
  <c r="H17" i="9"/>
  <c r="B13" i="8"/>
  <c r="B10" i="8"/>
  <c r="H21" i="9"/>
  <c r="S21" i="9"/>
  <c r="M10" i="8"/>
  <c r="M9" i="8"/>
  <c r="S20" i="9"/>
  <c r="M5" i="8"/>
  <c r="S6" i="9"/>
  <c r="M4" i="8"/>
  <c r="S5" i="9"/>
  <c r="M13" i="8"/>
  <c r="S17" i="9"/>
  <c r="BZ47" i="6" l="1"/>
  <c r="BY47" i="6"/>
  <c r="BZ41" i="6"/>
  <c r="BY41" i="6"/>
  <c r="BZ31" i="6"/>
  <c r="BY31" i="6"/>
  <c r="BZ26" i="6"/>
  <c r="BY26" i="6"/>
  <c r="BZ17" i="6"/>
  <c r="BZ14" i="6" s="1"/>
  <c r="BZ15" i="6" s="1"/>
  <c r="BY17" i="6"/>
  <c r="BY14" i="6" s="1"/>
  <c r="BY15" i="6" s="1"/>
  <c r="BY5" i="6"/>
  <c r="BX17" i="6"/>
  <c r="BX14" i="6" s="1"/>
  <c r="BX15" i="6" s="1"/>
  <c r="BW17" i="6"/>
  <c r="BW14" i="6" s="1"/>
  <c r="BW15" i="6" s="1"/>
  <c r="BV17" i="6"/>
  <c r="BV14" i="6" s="1"/>
  <c r="BV15" i="6" s="1"/>
  <c r="BU17" i="6"/>
  <c r="BU14" i="6" s="1"/>
  <c r="BU15" i="6" s="1"/>
  <c r="BT17" i="6"/>
  <c r="BT14" i="6" s="1"/>
  <c r="BT15" i="6" s="1"/>
  <c r="BS17" i="6"/>
  <c r="BS14" i="6" s="1"/>
  <c r="BS15" i="6" s="1"/>
  <c r="BR17" i="6"/>
  <c r="BR14" i="6" s="1"/>
  <c r="BR15" i="6" s="1"/>
  <c r="BQ17" i="6"/>
  <c r="BQ14" i="6" s="1"/>
  <c r="BQ15" i="6" s="1"/>
  <c r="BP17" i="6"/>
  <c r="BP14" i="6" s="1"/>
  <c r="BP15" i="6" s="1"/>
  <c r="BO17" i="6"/>
  <c r="BO14" i="6" s="1"/>
  <c r="BO15" i="6" s="1"/>
  <c r="BN17" i="6"/>
  <c r="BN14" i="6" s="1"/>
  <c r="BN15" i="6" s="1"/>
  <c r="BM17" i="6"/>
  <c r="BM14" i="6" s="1"/>
  <c r="BM15" i="6" s="1"/>
  <c r="BL17" i="6"/>
  <c r="BL14" i="6" s="1"/>
  <c r="BL15" i="6" s="1"/>
  <c r="BK17" i="6"/>
  <c r="BK14" i="6" s="1"/>
  <c r="BK15" i="6" s="1"/>
  <c r="BJ17" i="6"/>
  <c r="BJ14" i="6" s="1"/>
  <c r="BJ15" i="6" s="1"/>
  <c r="BI17" i="6"/>
  <c r="BI14" i="6" s="1"/>
  <c r="BI15" i="6" s="1"/>
  <c r="BH17" i="6"/>
  <c r="BH14" i="6" s="1"/>
  <c r="BH15" i="6" s="1"/>
</calcChain>
</file>

<file path=xl/sharedStrings.xml><?xml version="1.0" encoding="utf-8"?>
<sst xmlns="http://schemas.openxmlformats.org/spreadsheetml/2006/main" count="633" uniqueCount="341">
  <si>
    <t>audited2017</t>
  </si>
  <si>
    <t>CORE CAPITAL</t>
  </si>
  <si>
    <t>CCA (Min 10%)</t>
  </si>
  <si>
    <t>ICA (Min 8%)</t>
  </si>
  <si>
    <t>CCD (Min 8%)</t>
  </si>
  <si>
    <t>NPL(5%)</t>
  </si>
  <si>
    <t>Liquidity(15%)</t>
  </si>
  <si>
    <t>NEA (Max 10%)</t>
  </si>
  <si>
    <t>LB ratio (Max 5%)</t>
  </si>
  <si>
    <t>FITD (Max 5%)</t>
  </si>
  <si>
    <t>FICC (Max 40%)</t>
  </si>
  <si>
    <t>EB ratio</t>
  </si>
  <si>
    <t>A=S+L</t>
  </si>
  <si>
    <t>FORTITUDE SACCO SOCIETY LTD</t>
  </si>
  <si>
    <t xml:space="preserve"> Sacco Financial Performance </t>
  </si>
  <si>
    <t>FINANCIAL SOUNDNESS INDICATORS</t>
  </si>
  <si>
    <t>Prude.  Std</t>
  </si>
  <si>
    <t>AUDITED 2013</t>
  </si>
  <si>
    <t>AUDITED 2014</t>
  </si>
  <si>
    <t>AUDITED 2015</t>
  </si>
  <si>
    <t>AUDITED 2016</t>
  </si>
  <si>
    <t>AUDITED 2017</t>
  </si>
  <si>
    <t>AUDITED 2018</t>
  </si>
  <si>
    <t>AUDITED 2019</t>
  </si>
  <si>
    <t>Audited-2021</t>
  </si>
  <si>
    <t>Audited-2022</t>
  </si>
  <si>
    <t>CAPITAL ADEQUACY REQUIREMENTS</t>
  </si>
  <si>
    <t xml:space="preserve">Core capital </t>
  </si>
  <si>
    <t>≥ Ksh.10M</t>
  </si>
  <si>
    <t>Core capital /Total Assets</t>
  </si>
  <si>
    <t>≥ 10%</t>
  </si>
  <si>
    <t>Core capital /Total Deposits</t>
  </si>
  <si>
    <t>≥ 8%</t>
  </si>
  <si>
    <t>Share Capital/Total Assets</t>
  </si>
  <si>
    <t>≤2%</t>
  </si>
  <si>
    <t>Institutional Capital/Total Assets</t>
  </si>
  <si>
    <t>ASSET MIX AND QUALITY</t>
  </si>
  <si>
    <t>Non Earning Assets</t>
  </si>
  <si>
    <t>2.1.1</t>
  </si>
  <si>
    <t>Non earning Assets/Total assets</t>
  </si>
  <si>
    <t>≤ 10%</t>
  </si>
  <si>
    <t>2.1.2</t>
  </si>
  <si>
    <t xml:space="preserve">Property and Equipment/Total Assets </t>
  </si>
  <si>
    <t>≤ 5%</t>
  </si>
  <si>
    <t>2.1.3</t>
  </si>
  <si>
    <t xml:space="preserve">Non Performing loans/Gross Loans </t>
  </si>
  <si>
    <t>≤ 6%</t>
  </si>
  <si>
    <t>Earning Assets</t>
  </si>
  <si>
    <t>2.2.1</t>
  </si>
  <si>
    <t>Equities &amp; Investments/Deposits</t>
  </si>
  <si>
    <t>2.2.2</t>
  </si>
  <si>
    <t>Equities &amp; Investments/Core Capital</t>
  </si>
  <si>
    <t>≤ 40%</t>
  </si>
  <si>
    <t>2.2.3</t>
  </si>
  <si>
    <t>Net Loans &amp; advances /Total assets</t>
  </si>
  <si>
    <t>NPR</t>
  </si>
  <si>
    <t>FUNDING MIX</t>
  </si>
  <si>
    <t>Total Deposits/Total Assets</t>
  </si>
  <si>
    <t>3.1.1</t>
  </si>
  <si>
    <t>BOSA Deposits/Total Assets</t>
  </si>
  <si>
    <t>3.1.2</t>
  </si>
  <si>
    <t>FOSA Deposits/Total Assets</t>
  </si>
  <si>
    <t>External Borrowing/Total assets</t>
  </si>
  <si>
    <t>≤ 25%</t>
  </si>
  <si>
    <t>GROWTH RATIOS</t>
  </si>
  <si>
    <t>Total Assets</t>
  </si>
  <si>
    <t>Total Deposits</t>
  </si>
  <si>
    <t>4.2.1</t>
  </si>
  <si>
    <t>FOSA Deposits</t>
  </si>
  <si>
    <t>4.2.2</t>
  </si>
  <si>
    <t>BOSA Deposits</t>
  </si>
  <si>
    <t>Net Loans &amp; advances</t>
  </si>
  <si>
    <t>Core capital</t>
  </si>
  <si>
    <t>Total Gross Income</t>
  </si>
  <si>
    <t>Membership</t>
  </si>
  <si>
    <t xml:space="preserve">Efficiency Ratios </t>
  </si>
  <si>
    <t>FinCost-Deposits/Average Deposits</t>
  </si>
  <si>
    <t>FinCost-Shares/Average Share capital</t>
  </si>
  <si>
    <t>FinCost-Ext Loans/Average Ext Loans</t>
  </si>
  <si>
    <t>OpEx/Average Total Assets</t>
  </si>
  <si>
    <t xml:space="preserve">Avge yield on Net loans </t>
  </si>
  <si>
    <t>Liquidity Ratio</t>
  </si>
  <si>
    <t>minimum Liquidity</t>
  </si>
  <si>
    <t>TECHNICAL Liquidity</t>
  </si>
  <si>
    <t>Loan Loss Provisions Ratios</t>
  </si>
  <si>
    <t>Actual LLP / Required LLP</t>
  </si>
  <si>
    <t>allowance for loan loss/NPL</t>
  </si>
  <si>
    <t xml:space="preserve">Loan interest/Net Loans </t>
  </si>
  <si>
    <t>Gross loans/Total assets</t>
  </si>
  <si>
    <t>Earnings</t>
  </si>
  <si>
    <t>ROA</t>
  </si>
  <si>
    <t>Cost Income Ratio</t>
  </si>
  <si>
    <t>Operating Expense Ratio</t>
  </si>
  <si>
    <t>Liquid assets/total assets</t>
  </si>
  <si>
    <t>FORTITUDE SACCO</t>
  </si>
  <si>
    <t>Audited 2020</t>
  </si>
  <si>
    <t>CAPITAL</t>
  </si>
  <si>
    <t>CCA</t>
  </si>
  <si>
    <t>ICA</t>
  </si>
  <si>
    <t>CCD</t>
  </si>
  <si>
    <t>Asset Quality</t>
  </si>
  <si>
    <t>NPL</t>
  </si>
  <si>
    <t>CIR</t>
  </si>
  <si>
    <t>OER</t>
  </si>
  <si>
    <t>LIQUIDITY</t>
  </si>
  <si>
    <t>MIN LIQ</t>
  </si>
  <si>
    <t>TEC LIQ</t>
  </si>
  <si>
    <t>EB</t>
  </si>
  <si>
    <t>LIQ/TA</t>
  </si>
  <si>
    <t>STRUCTURE</t>
  </si>
  <si>
    <t>NEA</t>
  </si>
  <si>
    <t>LB</t>
  </si>
  <si>
    <t>FITD</t>
  </si>
  <si>
    <t>FICC</t>
  </si>
  <si>
    <t>FORTITUDE SACCO SOCIETY</t>
  </si>
  <si>
    <t>Year</t>
  </si>
  <si>
    <t>AUDITED 2020</t>
  </si>
  <si>
    <t>Deposits-Members(BOSA)</t>
  </si>
  <si>
    <t>Deposits-Customers(FOSA)</t>
  </si>
  <si>
    <t xml:space="preserve">External Borrowing </t>
  </si>
  <si>
    <t>Short term Liabilities</t>
  </si>
  <si>
    <t>Share capital and Reserves</t>
  </si>
  <si>
    <t>Core Capital</t>
  </si>
  <si>
    <t>Institutional  Capital</t>
  </si>
  <si>
    <t>Total Capital</t>
  </si>
  <si>
    <t>5.3.1</t>
  </si>
  <si>
    <t>Members Share Capital</t>
  </si>
  <si>
    <t>5.3.3</t>
  </si>
  <si>
    <t>Retained Earnings</t>
  </si>
  <si>
    <t>5.3.5</t>
  </si>
  <si>
    <t>Statutory Reserves</t>
  </si>
  <si>
    <t>5.3.6</t>
  </si>
  <si>
    <t>Capital Reserve</t>
  </si>
  <si>
    <t>5.3.7</t>
  </si>
  <si>
    <t>Supplementary Capital &amp; reserves</t>
  </si>
  <si>
    <t>a</t>
  </si>
  <si>
    <t>Proposed Dividends</t>
  </si>
  <si>
    <t>b</t>
  </si>
  <si>
    <t>Investments</t>
  </si>
  <si>
    <t>Investments in Coop bank, CIC, Kuscco, Kerussu &amp; Codic</t>
  </si>
  <si>
    <t>Equity Investments (at cost)</t>
  </si>
  <si>
    <t>Deposits in KUSCCO CFP</t>
  </si>
  <si>
    <t>Gross Loans &amp; advances</t>
  </si>
  <si>
    <t>Allowance for loan losses</t>
  </si>
  <si>
    <t>Non Performing Loans</t>
  </si>
  <si>
    <t>Required loan loss provision</t>
  </si>
  <si>
    <t>Cash and Cash equipments</t>
  </si>
  <si>
    <t>Non-Earning Assets</t>
  </si>
  <si>
    <t>Property and Equipment</t>
  </si>
  <si>
    <t>Turnover</t>
  </si>
  <si>
    <t>Loan Interest</t>
  </si>
  <si>
    <t>Income from investments</t>
  </si>
  <si>
    <t>Fees &amp; Commissions</t>
  </si>
  <si>
    <t>Average yield on loans</t>
  </si>
  <si>
    <t>Total Expenses (FinCosts + OpEx)</t>
  </si>
  <si>
    <t>Financial Exp. (Interest on deposits)</t>
  </si>
  <si>
    <t>Financial Exp. (Dividends)</t>
  </si>
  <si>
    <t>Financial Exp. (Interest on bank loans)</t>
  </si>
  <si>
    <t>Other Financial Expenses</t>
  </si>
  <si>
    <t>Administrative Expenses</t>
  </si>
  <si>
    <t>Governance Expenses</t>
  </si>
  <si>
    <t>LLP</t>
  </si>
  <si>
    <t>Net Surplus</t>
  </si>
  <si>
    <t>RISK CLASSIFICATION OF ASSETS AND PROVISIONING</t>
  </si>
  <si>
    <t>SACCO SOCIETY CS NUMBER</t>
  </si>
  <si>
    <t xml:space="preserve">FINANCIAL YEAR </t>
  </si>
  <si>
    <t>START DATE:</t>
  </si>
  <si>
    <t>END DATE:</t>
  </si>
  <si>
    <r>
      <t xml:space="preserve">                                                            </t>
    </r>
    <r>
      <rPr>
        <b/>
        <sz val="11"/>
        <rFont val="Cambria"/>
        <family val="1"/>
      </rPr>
      <t>PORTFOLIO AGEING REPORT</t>
    </r>
  </si>
  <si>
    <t>A</t>
  </si>
  <si>
    <t>B</t>
  </si>
  <si>
    <t>C</t>
  </si>
  <si>
    <t>D</t>
  </si>
  <si>
    <t>NO.</t>
  </si>
  <si>
    <t>CLASSIFICATION</t>
  </si>
  <si>
    <t>NO. OF A/Cs</t>
  </si>
  <si>
    <t>OUTSTANDING LOAN PORTFOLIO(Kshs)</t>
  </si>
  <si>
    <t>REQUIRED PROVISION</t>
  </si>
  <si>
    <t>REQUIRED PROVISION AMOUNT(Kshs)</t>
  </si>
  <si>
    <t>Performing</t>
  </si>
  <si>
    <t>Watch</t>
  </si>
  <si>
    <t>Substandard</t>
  </si>
  <si>
    <t>Doubtful</t>
  </si>
  <si>
    <t>Loss</t>
  </si>
  <si>
    <t>subtotal</t>
  </si>
  <si>
    <t>Reschedule/Renegotiated loans</t>
  </si>
  <si>
    <t>GRAND TOTAL</t>
  </si>
  <si>
    <t>STATEMENT OF FINANCIAL POSITION</t>
  </si>
  <si>
    <t>AUDITED 2021</t>
  </si>
  <si>
    <t>Audited-22</t>
  </si>
  <si>
    <t>Cash &amp; Cash Equivalent</t>
  </si>
  <si>
    <t>Cash in hand</t>
  </si>
  <si>
    <t>Cash at bank</t>
  </si>
  <si>
    <t>Prepayments &amp; Sundry Receivables</t>
  </si>
  <si>
    <t>Financial Investments</t>
  </si>
  <si>
    <t xml:space="preserve">Government Securities - Treasury Bills/bonds,  </t>
  </si>
  <si>
    <t>Other Securities - Commercial papers/Bonds</t>
  </si>
  <si>
    <t>Balances  in NACCOS (E.g Jungu Kuu, ESS, Savings,Money Market,Coop FD, CFP)</t>
  </si>
  <si>
    <t>Equity Investments in NACCOs(Shares in- CIC, KUSCCO, COOP BANK,CAK, KERUSSU)</t>
  </si>
  <si>
    <t xml:space="preserve">Equity Investments in companies - shares/stocks </t>
  </si>
  <si>
    <t>Net Loan Portfolio</t>
  </si>
  <si>
    <t>Gross Loan Portfolio</t>
  </si>
  <si>
    <t>Allowance for Loan Loss</t>
  </si>
  <si>
    <t>Accounts Receivables</t>
  </si>
  <si>
    <t>Tax Recoverable</t>
  </si>
  <si>
    <t>Deferred Tax Assets</t>
  </si>
  <si>
    <t>Retirement Benefit Assets</t>
  </si>
  <si>
    <t>Property &amp; Equipment &amp; Other assets</t>
  </si>
  <si>
    <t>Investment Properties</t>
  </si>
  <si>
    <t>Property &amp; Equipment</t>
  </si>
  <si>
    <t>Prepaid Lease rentals</t>
  </si>
  <si>
    <t>Intangible Assets</t>
  </si>
  <si>
    <t>Other Assets</t>
  </si>
  <si>
    <t>LIABILITIES</t>
  </si>
  <si>
    <t>Savings Deposits - Withdrawable deposits - FOSA)</t>
  </si>
  <si>
    <t>Short Term Deposits (e.g Fixed deposits, special savings)</t>
  </si>
  <si>
    <t>Non withdrawable deposits (BOSA member deposits)</t>
  </si>
  <si>
    <t>Total Deposit liabilities</t>
  </si>
  <si>
    <t>Accounts Payable &amp; Other Liabilities</t>
  </si>
  <si>
    <t>Tax Payable</t>
  </si>
  <si>
    <t>Dividends Payable</t>
  </si>
  <si>
    <t>Deferred Tax Liability</t>
  </si>
  <si>
    <t>Retirement Benefits Liability</t>
  </si>
  <si>
    <t>Other Liabilities</t>
  </si>
  <si>
    <t>External Borrowings</t>
  </si>
  <si>
    <t>Total Liabilities</t>
  </si>
  <si>
    <t>EQUITY</t>
  </si>
  <si>
    <t>Share Capital (Members share capital per Bylaws)</t>
  </si>
  <si>
    <t>Capital Grants</t>
  </si>
  <si>
    <t>Prior Years' Retained Earnings</t>
  </si>
  <si>
    <t>Current Year's Surplus</t>
  </si>
  <si>
    <t>Other Equity Accounts</t>
  </si>
  <si>
    <t>Statutory Reserve</t>
  </si>
  <si>
    <t>Other Reserves (provide notes on these reserves)</t>
  </si>
  <si>
    <t>Revaluation Reserves (Not part of core capital)</t>
  </si>
  <si>
    <t>Adjustment to Equity</t>
  </si>
  <si>
    <t>Total Equity</t>
  </si>
  <si>
    <t>Total Liabilities and  Equity</t>
  </si>
  <si>
    <t>STATEMENT OF COMPREHENSIVE INCOME</t>
  </si>
  <si>
    <t>Audited 2021</t>
  </si>
  <si>
    <t xml:space="preserve">Financial Income </t>
  </si>
  <si>
    <t>Financial Income from Loans Portfolio</t>
  </si>
  <si>
    <t>Interest on Loan Portfolio</t>
  </si>
  <si>
    <t>Fees &amp; Commission on Loan Portfolio</t>
  </si>
  <si>
    <t>Financial Income from Investments in:</t>
  </si>
  <si>
    <t>Government Securities</t>
  </si>
  <si>
    <t>Deposit with Banks and Other Financial Inst.</t>
  </si>
  <si>
    <t>Other Investments - dividend &amp; Interest incomes from investments</t>
  </si>
  <si>
    <t>Other Operating Income- Salary processing fees, transaction fees, membership fees</t>
  </si>
  <si>
    <t>Financial Expense</t>
  </si>
  <si>
    <t>Interest Expense on Deposits</t>
  </si>
  <si>
    <t>Cost of External Borrowings</t>
  </si>
  <si>
    <t>Dividend Expenses (on member shares)</t>
  </si>
  <si>
    <t>Other Financial Expense</t>
  </si>
  <si>
    <t>Fees &amp; Commission Expense</t>
  </si>
  <si>
    <t>Other Expense</t>
  </si>
  <si>
    <t>Net Financial Income/(Loss)</t>
  </si>
  <si>
    <t>Provision for Loan Losses</t>
  </si>
  <si>
    <t>Value of Loans Recovered</t>
  </si>
  <si>
    <t>Operating Expenses</t>
  </si>
  <si>
    <t>Personnel Expenses</t>
  </si>
  <si>
    <t>Marketing Expenses</t>
  </si>
  <si>
    <t>Depreciation and Amortization Charges</t>
  </si>
  <si>
    <t>Net Operating Income</t>
  </si>
  <si>
    <t>Net Non- Operating Income/ (Expense)</t>
  </si>
  <si>
    <t>Non- Operating Income</t>
  </si>
  <si>
    <t>Non- Operating Expense</t>
  </si>
  <si>
    <t>Net Income (Before Taxes and Donations)</t>
  </si>
  <si>
    <r>
      <t xml:space="preserve">Taxes </t>
    </r>
    <r>
      <rPr>
        <i/>
        <sz val="11"/>
        <rFont val="Cambria"/>
        <family val="1"/>
      </rPr>
      <t>(Incomes taxes &amp; Other payable to KRA)</t>
    </r>
  </si>
  <si>
    <t>Net Income (After Taxes before Donations)</t>
  </si>
  <si>
    <t>Donations</t>
  </si>
  <si>
    <t>Net Income/(After Taxes and Donations)</t>
  </si>
  <si>
    <t>MAGADI  SACCO SOCIETY LIMITED</t>
  </si>
  <si>
    <t>PERFORMANCE AND COMPLIANCE REPORT AS AT :  31st December , 2020</t>
  </si>
  <si>
    <t>Prudential Standard</t>
  </si>
  <si>
    <t>Audited</t>
  </si>
  <si>
    <t>Returns</t>
  </si>
  <si>
    <t>Aggregate for all Licensed Saccos</t>
  </si>
  <si>
    <t xml:space="preserve"> 30th September  , 2020</t>
  </si>
  <si>
    <t xml:space="preserve"> 31st December  , 2020</t>
  </si>
  <si>
    <t>A. CAPITAL  ADEQUACY</t>
  </si>
  <si>
    <t xml:space="preserve">Core Capital </t>
  </si>
  <si>
    <r>
      <rPr>
        <sz val="11"/>
        <color indexed="8"/>
        <rFont val="Calibri"/>
        <family val="2"/>
      </rPr>
      <t>≥</t>
    </r>
    <r>
      <rPr>
        <sz val="11"/>
        <color indexed="8"/>
        <rFont val="Cambria"/>
        <family val="1"/>
      </rPr>
      <t>10M</t>
    </r>
  </si>
  <si>
    <t>Core Capital/Total Assets</t>
  </si>
  <si>
    <r>
      <rPr>
        <sz val="11"/>
        <color indexed="8"/>
        <rFont val="Calibri"/>
        <family val="2"/>
      </rPr>
      <t>≥</t>
    </r>
    <r>
      <rPr>
        <sz val="11"/>
        <color indexed="8"/>
        <rFont val="Cambria"/>
        <family val="1"/>
      </rPr>
      <t>10%</t>
    </r>
  </si>
  <si>
    <r>
      <rPr>
        <sz val="11"/>
        <color indexed="8"/>
        <rFont val="Calibri"/>
        <family val="2"/>
      </rPr>
      <t>≥</t>
    </r>
    <r>
      <rPr>
        <sz val="11"/>
        <color indexed="8"/>
        <rFont val="Cambria"/>
        <family val="1"/>
      </rPr>
      <t>8%</t>
    </r>
  </si>
  <si>
    <t>B. ASSET QUALITY</t>
  </si>
  <si>
    <t>NPL  (Substandard+Doubtful+Loss)</t>
  </si>
  <si>
    <t>&lt;5%</t>
  </si>
  <si>
    <t>&lt;10%</t>
  </si>
  <si>
    <t>Equity investments/Deposits</t>
  </si>
  <si>
    <t>Equity investments/Core capital</t>
  </si>
  <si>
    <t>&lt;40%</t>
  </si>
  <si>
    <t>C. EARNINGS RATING</t>
  </si>
  <si>
    <t xml:space="preserve">Yield on Gross Loans </t>
  </si>
  <si>
    <t>Total Expense/Total Income</t>
  </si>
  <si>
    <t>Net Income/Average Assets (ROA)</t>
  </si>
  <si>
    <t>Operating Expenses/Financial Income (OPEX)</t>
  </si>
  <si>
    <t>D. LIQUIDITY</t>
  </si>
  <si>
    <t>Liquid Assets/Short-term Liabilities</t>
  </si>
  <si>
    <t>&gt;15%</t>
  </si>
  <si>
    <t>External Borrowing/Total Assets</t>
  </si>
  <si>
    <t>&lt;25%</t>
  </si>
  <si>
    <t>Liquid Assets/Total Assets</t>
  </si>
  <si>
    <t>E. STRUCTURE/SENSITIVITY TO RISK</t>
  </si>
  <si>
    <t>Gross loans /Total Assets</t>
  </si>
  <si>
    <t>70-80</t>
  </si>
  <si>
    <t>Gross loans/Deposits</t>
  </si>
  <si>
    <t>&gt;100%</t>
  </si>
  <si>
    <t>Financial Investments/Total Assets</t>
  </si>
  <si>
    <t>Dividends+Interest on Deposits/Total Income</t>
  </si>
  <si>
    <t>F. KEY FINANCIAL STATISTICS</t>
  </si>
  <si>
    <t>AGGREGATE</t>
  </si>
  <si>
    <t>Average Assets</t>
  </si>
  <si>
    <t>Gross Loans</t>
  </si>
  <si>
    <t>Institutional Capital</t>
  </si>
  <si>
    <t>Non-performing Loans</t>
  </si>
  <si>
    <t>Equity Investments</t>
  </si>
  <si>
    <t>Liquid Assets</t>
  </si>
  <si>
    <t>Short-term Liabilities)</t>
  </si>
  <si>
    <t>External Borrowing</t>
  </si>
  <si>
    <t>Average Gross Loans</t>
  </si>
  <si>
    <t>Total Income</t>
  </si>
  <si>
    <t>Net Financial Income/Loss</t>
  </si>
  <si>
    <t>Dividends+Interest on Deposits</t>
  </si>
  <si>
    <t>Interest on Loan portfolio+Fees&amp;Commission on Loan</t>
  </si>
  <si>
    <t>Total Expenses</t>
  </si>
  <si>
    <t>Net Income</t>
  </si>
  <si>
    <t>G. AREAS OF IMPROVEMENT/REGULATORY CONCERNS</t>
  </si>
  <si>
    <t>Prepared by:</t>
  </si>
  <si>
    <t>Checked by:</t>
  </si>
  <si>
    <t>Approved by:</t>
  </si>
  <si>
    <t>DISCLAIMER: This report is prepared based on information submitted by the Sacco as at the stated date and may change upon verification by the Authority.</t>
  </si>
  <si>
    <t>EGERTON  SACCO SOCIETY LIMITED</t>
  </si>
  <si>
    <t>PERFORMANCE AND COMPLIANCE REPORT AS AT :  31st December , 2019</t>
  </si>
  <si>
    <t>Audited 2019</t>
  </si>
  <si>
    <t xml:space="preserve"> 30th September  , 2019</t>
  </si>
  <si>
    <t xml:space="preserve"> 31st December  , 2019</t>
  </si>
  <si>
    <t>Checked by: Nelly Kulei</t>
  </si>
  <si>
    <t>Approved by: Peter Owira</t>
  </si>
  <si>
    <t>22nd January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</si>
</sst>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(* #,##0.00_);_(* \(#,##0.00\);_(* &quot;-&quot;??_);_(@_)"/>
    <numFmt numFmtId="164" formatCode="_-* #,##0.00_-;\-* #,##0.00_-;_-* &quot;-&quot;??_-;_-@_-"/>
    <numFmt numFmtId="165" formatCode="&quot;£&quot;#,##0;\-&quot;£&quot;#,##0"/>
    <numFmt numFmtId="166" formatCode="_(* #,##0_);_(* \(#,##0\);_(* &quot;-&quot;??_);_(@_)"/>
    <numFmt numFmtId="167" formatCode="_(* #,##0.00_);_(* \(#,##0.00\);_(* \-??_);_(@_)"/>
    <numFmt numFmtId="168" formatCode="[$-10409]#,##0.00;\-\ #,##0.00"/>
    <numFmt numFmtId="169" formatCode="d/mmm/yy"/>
    <numFmt numFmtId="170" formatCode="\£#,##0;&quot;-£&quot;#,##0"/>
    <numFmt numFmtId="171" formatCode="_-* #,##0.00_-;\-* #,##0.00_-;_-* \-??_-;_-@_-"/>
    <numFmt numFmtId="172" formatCode="0.0"/>
    <numFmt numFmtId="173" formatCode="0.0%"/>
    <numFmt numFmtId="174" formatCode="#,##0.00_);\-#,##0.00"/>
    <numFmt numFmtId="175" formatCode="[$-10409]0.00;\-\ 0.00"/>
    <numFmt numFmtId="176" formatCode="_-* #,##0_-;\-* #,##0_-;_-* &quot;-&quot;??_-;_-@_-"/>
    <numFmt numFmtId="177" formatCode="_(* #,##0.0_);_(* \(#,##0.0\);_(* \-??_);_(@_)"/>
    <numFmt numFmtId="178" formatCode="[$-409]mmm\-yy;@"/>
  </numFmts>
  <fonts count="63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9"/>
      <name val="Arial"/>
      <family val="2"/>
    </font>
    <font>
      <sz val="10"/>
      <color indexed="9"/>
      <name val="Trebuchet MS"/>
      <family val="2"/>
    </font>
    <font>
      <b/>
      <sz val="11"/>
      <color indexed="9"/>
      <name val="Arial"/>
      <family val="2"/>
    </font>
    <font>
      <sz val="8"/>
      <color indexed="8"/>
      <name val="Trebuchet MS"/>
      <family val="2"/>
    </font>
    <font>
      <b/>
      <sz val="8.3000000000000007"/>
      <color indexed="8"/>
      <name val="Arial"/>
      <family val="2"/>
    </font>
    <font>
      <sz val="10"/>
      <name val="Arial Narrow"/>
      <family val="2"/>
    </font>
    <font>
      <sz val="11"/>
      <color indexed="62"/>
      <name val="Arial"/>
      <family val="2"/>
    </font>
    <font>
      <sz val="10"/>
      <color indexed="8"/>
      <name val="MS Sans Serif"/>
      <family val="2"/>
    </font>
    <font>
      <b/>
      <sz val="11"/>
      <color indexed="8"/>
      <name val="Arial"/>
      <family val="2"/>
    </font>
    <font>
      <sz val="10"/>
      <name val="Cambria"/>
      <family val="1"/>
    </font>
    <font>
      <sz val="11"/>
      <name val="Cambria"/>
      <family val="1"/>
    </font>
    <font>
      <b/>
      <sz val="11"/>
      <name val="Cambria"/>
      <family val="1"/>
    </font>
    <font>
      <b/>
      <sz val="10"/>
      <name val="Arial"/>
      <family val="2"/>
    </font>
    <font>
      <i/>
      <sz val="11"/>
      <name val="Cambria"/>
      <family val="1"/>
    </font>
    <font>
      <b/>
      <sz val="12"/>
      <name val="Cambria"/>
      <family val="1"/>
    </font>
    <font>
      <sz val="12"/>
      <name val="Cambria"/>
      <family val="1"/>
    </font>
    <font>
      <sz val="11"/>
      <color indexed="8"/>
      <name val="Cambria"/>
      <family val="1"/>
    </font>
    <font>
      <sz val="9"/>
      <color indexed="8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Arial"/>
      <family val="2"/>
    </font>
    <font>
      <sz val="10"/>
      <color theme="0"/>
      <name val="Trebuchet MS"/>
      <family val="2"/>
    </font>
    <font>
      <b/>
      <sz val="11"/>
      <color theme="0"/>
      <name val="Arial"/>
      <family val="2"/>
    </font>
    <font>
      <sz val="11"/>
      <color rgb="FF3F3F76"/>
      <name val="Arial"/>
      <family val="2"/>
    </font>
    <font>
      <sz val="10"/>
      <color rgb="FF000000"/>
      <name val="Times New Roman"/>
      <family val="1"/>
    </font>
    <font>
      <sz val="8"/>
      <color theme="1"/>
      <name val="Trebuchet MS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rgb="FFFF0000"/>
      <name val="Calibri"/>
      <family val="2"/>
      <scheme val="minor"/>
    </font>
    <font>
      <sz val="10"/>
      <name val="Cambria"/>
      <family val="1"/>
      <scheme val="major"/>
    </font>
    <font>
      <b/>
      <sz val="10"/>
      <name val="Cambria"/>
      <family val="1"/>
      <scheme val="major"/>
    </font>
    <font>
      <b/>
      <sz val="10"/>
      <color indexed="8"/>
      <name val="Cambria"/>
      <family val="1"/>
      <scheme val="major"/>
    </font>
    <font>
      <b/>
      <sz val="10"/>
      <color theme="1"/>
      <name val="Cambria"/>
      <family val="1"/>
      <scheme val="major"/>
    </font>
    <font>
      <i/>
      <sz val="10"/>
      <name val="Cambria"/>
      <family val="1"/>
      <scheme val="major"/>
    </font>
    <font>
      <sz val="10"/>
      <color indexed="8"/>
      <name val="Cambria"/>
      <family val="1"/>
      <scheme val="major"/>
    </font>
    <font>
      <i/>
      <sz val="10"/>
      <color indexed="8"/>
      <name val="Cambria"/>
      <family val="1"/>
      <scheme val="major"/>
    </font>
    <font>
      <sz val="10"/>
      <color theme="1"/>
      <name val="Cambria"/>
      <family val="1"/>
      <scheme val="major"/>
    </font>
    <font>
      <i/>
      <sz val="10"/>
      <color theme="1"/>
      <name val="Cambria"/>
      <family val="1"/>
      <scheme val="major"/>
    </font>
    <font>
      <b/>
      <i/>
      <sz val="10"/>
      <name val="Cambria"/>
      <family val="1"/>
      <scheme val="major"/>
    </font>
    <font>
      <b/>
      <i/>
      <sz val="10"/>
      <color theme="1"/>
      <name val="Cambria"/>
      <family val="1"/>
      <scheme val="major"/>
    </font>
    <font>
      <b/>
      <sz val="10"/>
      <color rgb="FFFF0000"/>
      <name val="Cambria"/>
      <family val="1"/>
      <scheme val="major"/>
    </font>
    <font>
      <sz val="11"/>
      <color indexed="8"/>
      <name val="Cambria"/>
      <family val="1"/>
      <scheme val="major"/>
    </font>
    <font>
      <sz val="1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1"/>
      <name val="Cambria"/>
      <family val="1"/>
      <scheme val="major"/>
    </font>
    <font>
      <b/>
      <sz val="12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sz val="11"/>
      <color indexed="8"/>
      <name val="Cambria"/>
      <family val="1"/>
      <scheme val="major"/>
    </font>
    <font>
      <b/>
      <sz val="2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name val="Cambria"/>
      <family val="1"/>
      <scheme val="major"/>
    </font>
    <font>
      <sz val="12"/>
      <color theme="1"/>
      <name val="Cambria"/>
      <family val="1"/>
      <scheme val="major"/>
    </font>
    <font>
      <sz val="10"/>
      <color rgb="FFFF0000"/>
      <name val="Cambria"/>
      <family val="1"/>
      <scheme val="major"/>
    </font>
    <font>
      <sz val="11"/>
      <color theme="1"/>
      <name val="Cambria"/>
      <family val="1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mbria"/>
      <family val="1"/>
    </font>
    <font>
      <b/>
      <sz val="11"/>
      <name val="Calibri"/>
      <family val="2"/>
      <scheme val="minor"/>
    </font>
    <font>
      <sz val="10"/>
      <color rgb="FF000000"/>
      <name val="Arial"/>
      <charset val="1"/>
    </font>
    <font>
      <sz val="9"/>
      <color rgb="FF000000"/>
      <name val="Arial"/>
      <charset val="1"/>
    </font>
  </fonts>
  <fills count="25">
    <fill>
      <patternFill patternType="none"/>
    </fill>
    <fill>
      <patternFill patternType="gray125"/>
    </fill>
    <fill>
      <patternFill patternType="solid">
        <fgColor indexed="29"/>
        <bgColor indexed="45"/>
      </patternFill>
    </fill>
    <fill>
      <patternFill patternType="solid">
        <fgColor indexed="62"/>
        <bgColor indexed="59"/>
      </patternFill>
    </fill>
    <fill>
      <patternFill patternType="solid">
        <fgColor indexed="49"/>
        <bgColor indexed="40"/>
      </patternFill>
    </fill>
    <fill>
      <patternFill patternType="solid">
        <fgColor indexed="55"/>
        <bgColor indexed="23"/>
      </patternFill>
    </fill>
    <fill>
      <patternFill patternType="solid">
        <fgColor indexed="47"/>
        <bgColor indexed="22"/>
      </patternFill>
    </fill>
    <fill>
      <patternFill patternType="solid">
        <fgColor indexed="26"/>
        <bgColor indexed="9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51"/>
      </patternFill>
    </fill>
    <fill>
      <patternFill patternType="solid">
        <fgColor indexed="9"/>
        <bgColor indexed="0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8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9"/>
        <bgColor indexed="51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6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/>
      <top style="thin">
        <color indexed="59"/>
      </top>
      <bottom style="thin">
        <color indexed="59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59"/>
      </left>
      <right style="thin">
        <color indexed="59"/>
      </right>
      <top/>
      <bottom/>
      <diagonal/>
    </border>
    <border>
      <left style="thin">
        <color indexed="59"/>
      </left>
      <right style="thin">
        <color indexed="59"/>
      </right>
      <top/>
      <bottom style="thin">
        <color indexed="5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/>
      <bottom style="thin">
        <color indexed="12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 count="691">
    <xf numFmtId="0" fontId="0" fillId="0" borderId="0"/>
    <xf numFmtId="0" fontId="3" fillId="2" borderId="0" applyNumberFormat="0" applyBorder="0" applyAlignment="0" applyProtection="0"/>
    <xf numFmtId="0" fontId="23" fillId="11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24" fillId="12" borderId="0" applyNumberFormat="0" applyBorder="0" applyAlignment="0" applyProtection="0"/>
    <xf numFmtId="0" fontId="4" fillId="3" borderId="0" applyNumberFormat="0" applyBorder="0" applyAlignment="0" applyProtection="0"/>
    <xf numFmtId="0" fontId="24" fillId="12" borderId="0" applyNumberFormat="0" applyBorder="0" applyAlignment="0" applyProtection="0"/>
    <xf numFmtId="0" fontId="4" fillId="3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4" fillId="3" borderId="0" applyNumberFormat="0" applyBorder="0" applyAlignment="0" applyProtection="0"/>
    <xf numFmtId="0" fontId="24" fillId="12" borderId="0" applyNumberFormat="0" applyBorder="0" applyAlignment="0" applyProtection="0"/>
    <xf numFmtId="0" fontId="4" fillId="3" borderId="0" applyNumberFormat="0" applyBorder="0" applyAlignment="0" applyProtection="0"/>
    <xf numFmtId="0" fontId="24" fillId="12" borderId="0" applyNumberFormat="0" applyBorder="0" applyAlignment="0" applyProtection="0"/>
    <xf numFmtId="0" fontId="4" fillId="3" borderId="0" applyNumberFormat="0" applyBorder="0" applyAlignment="0" applyProtection="0"/>
    <xf numFmtId="0" fontId="24" fillId="12" borderId="0" applyNumberFormat="0" applyBorder="0" applyAlignment="0" applyProtection="0"/>
    <xf numFmtId="0" fontId="4" fillId="3" borderId="0" applyNumberFormat="0" applyBorder="0" applyAlignment="0" applyProtection="0"/>
    <xf numFmtId="0" fontId="24" fillId="12" borderId="0" applyNumberFormat="0" applyBorder="0" applyAlignment="0" applyProtection="0"/>
    <xf numFmtId="0" fontId="4" fillId="3" borderId="0" applyNumberFormat="0" applyBorder="0" applyAlignment="0" applyProtection="0"/>
    <xf numFmtId="0" fontId="24" fillId="12" borderId="0" applyNumberFormat="0" applyBorder="0" applyAlignment="0" applyProtection="0"/>
    <xf numFmtId="0" fontId="4" fillId="3" borderId="0" applyNumberFormat="0" applyBorder="0" applyAlignment="0" applyProtection="0"/>
    <xf numFmtId="0" fontId="24" fillId="12" borderId="0" applyNumberFormat="0" applyBorder="0" applyAlignment="0" applyProtection="0"/>
    <xf numFmtId="0" fontId="4" fillId="3" borderId="0" applyNumberFormat="0" applyBorder="0" applyAlignment="0" applyProtection="0"/>
    <xf numFmtId="0" fontId="24" fillId="12" borderId="0" applyNumberFormat="0" applyBorder="0" applyAlignment="0" applyProtection="0"/>
    <xf numFmtId="0" fontId="4" fillId="3" borderId="0" applyNumberFormat="0" applyBorder="0" applyAlignment="0" applyProtection="0"/>
    <xf numFmtId="0" fontId="24" fillId="12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24" fillId="13" borderId="0" applyNumberFormat="0" applyBorder="0" applyAlignment="0" applyProtection="0"/>
    <xf numFmtId="0" fontId="4" fillId="4" borderId="0" applyNumberFormat="0" applyBorder="0" applyAlignment="0" applyProtection="0"/>
    <xf numFmtId="0" fontId="24" fillId="13" borderId="0" applyNumberFormat="0" applyBorder="0" applyAlignment="0" applyProtection="0"/>
    <xf numFmtId="0" fontId="4" fillId="4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4" fillId="4" borderId="0" applyNumberFormat="0" applyBorder="0" applyAlignment="0" applyProtection="0"/>
    <xf numFmtId="0" fontId="24" fillId="13" borderId="0" applyNumberFormat="0" applyBorder="0" applyAlignment="0" applyProtection="0"/>
    <xf numFmtId="0" fontId="4" fillId="4" borderId="0" applyNumberFormat="0" applyBorder="0" applyAlignment="0" applyProtection="0"/>
    <xf numFmtId="0" fontId="24" fillId="13" borderId="0" applyNumberFormat="0" applyBorder="0" applyAlignment="0" applyProtection="0"/>
    <xf numFmtId="0" fontId="4" fillId="4" borderId="0" applyNumberFormat="0" applyBorder="0" applyAlignment="0" applyProtection="0"/>
    <xf numFmtId="0" fontId="24" fillId="13" borderId="0" applyNumberFormat="0" applyBorder="0" applyAlignment="0" applyProtection="0"/>
    <xf numFmtId="0" fontId="4" fillId="4" borderId="0" applyNumberFormat="0" applyBorder="0" applyAlignment="0" applyProtection="0"/>
    <xf numFmtId="0" fontId="24" fillId="13" borderId="0" applyNumberFormat="0" applyBorder="0" applyAlignment="0" applyProtection="0"/>
    <xf numFmtId="0" fontId="4" fillId="4" borderId="0" applyNumberFormat="0" applyBorder="0" applyAlignment="0" applyProtection="0"/>
    <xf numFmtId="0" fontId="24" fillId="13" borderId="0" applyNumberFormat="0" applyBorder="0" applyAlignment="0" applyProtection="0"/>
    <xf numFmtId="0" fontId="4" fillId="4" borderId="0" applyNumberFormat="0" applyBorder="0" applyAlignment="0" applyProtection="0"/>
    <xf numFmtId="0" fontId="24" fillId="13" borderId="0" applyNumberFormat="0" applyBorder="0" applyAlignment="0" applyProtection="0"/>
    <xf numFmtId="0" fontId="4" fillId="4" borderId="0" applyNumberFormat="0" applyBorder="0" applyAlignment="0" applyProtection="0"/>
    <xf numFmtId="0" fontId="24" fillId="13" borderId="0" applyNumberFormat="0" applyBorder="0" applyAlignment="0" applyProtection="0"/>
    <xf numFmtId="0" fontId="4" fillId="4" borderId="0" applyNumberFormat="0" applyBorder="0" applyAlignment="0" applyProtection="0"/>
    <xf numFmtId="0" fontId="24" fillId="13" borderId="0" applyNumberFormat="0" applyBorder="0" applyAlignment="0" applyProtection="0"/>
    <xf numFmtId="0" fontId="5" fillId="5" borderId="2" applyNumberFormat="0" applyAlignment="0" applyProtection="0"/>
    <xf numFmtId="0" fontId="25" fillId="14" borderId="59" applyNumberFormat="0" applyAlignment="0" applyProtection="0"/>
    <xf numFmtId="43" fontId="2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9" fontId="2" fillId="0" borderId="0" applyFill="0" applyBorder="0" applyAlignment="0" applyProtection="0"/>
    <xf numFmtId="16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70" fontId="2" fillId="0" borderId="0" applyFill="0" applyBorder="0" applyAlignment="0" applyProtection="0"/>
    <xf numFmtId="165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6" fillId="0" borderId="0" applyFont="0" applyFill="0" applyBorder="0" applyAlignment="0" applyProtection="0"/>
    <xf numFmtId="171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71" fontId="2" fillId="0" borderId="0" applyFill="0" applyBorder="0" applyAlignment="0" applyProtection="0"/>
    <xf numFmtId="164" fontId="8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0" fontId="9" fillId="6" borderId="1" applyNumberFormat="0" applyAlignment="0" applyProtection="0"/>
    <xf numFmtId="0" fontId="26" fillId="15" borderId="58" applyNumberForma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2" fillId="0" borderId="0"/>
    <xf numFmtId="0" fontId="1" fillId="0" borderId="0"/>
    <xf numFmtId="0" fontId="22" fillId="0" borderId="0"/>
    <xf numFmtId="0" fontId="1" fillId="0" borderId="0"/>
    <xf numFmtId="0" fontId="22" fillId="0" borderId="0"/>
    <xf numFmtId="0" fontId="1" fillId="0" borderId="0"/>
    <xf numFmtId="0" fontId="22" fillId="0" borderId="0"/>
    <xf numFmtId="0" fontId="22" fillId="0" borderId="0"/>
    <xf numFmtId="0" fontId="10" fillId="0" borderId="0"/>
    <xf numFmtId="0" fontId="2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8" fillId="0" borderId="0"/>
    <xf numFmtId="0" fontId="6" fillId="0" borderId="0"/>
    <xf numFmtId="0" fontId="28" fillId="0" borderId="0"/>
    <xf numFmtId="0" fontId="6" fillId="0" borderId="0"/>
    <xf numFmtId="0" fontId="28" fillId="0" borderId="0"/>
    <xf numFmtId="0" fontId="2" fillId="0" borderId="0"/>
    <xf numFmtId="0" fontId="2" fillId="0" borderId="0"/>
    <xf numFmtId="0" fontId="28" fillId="0" borderId="0"/>
    <xf numFmtId="0" fontId="2" fillId="0" borderId="0"/>
    <xf numFmtId="0" fontId="6" fillId="0" borderId="0"/>
    <xf numFmtId="0" fontId="28" fillId="0" borderId="0"/>
    <xf numFmtId="0" fontId="6" fillId="0" borderId="0"/>
    <xf numFmtId="0" fontId="28" fillId="0" borderId="0"/>
    <xf numFmtId="0" fontId="6" fillId="0" borderId="0"/>
    <xf numFmtId="0" fontId="28" fillId="0" borderId="0"/>
    <xf numFmtId="0" fontId="6" fillId="0" borderId="0"/>
    <xf numFmtId="0" fontId="28" fillId="0" borderId="0"/>
    <xf numFmtId="0" fontId="6" fillId="0" borderId="0"/>
    <xf numFmtId="0" fontId="28" fillId="0" borderId="0"/>
    <xf numFmtId="0" fontId="6" fillId="0" borderId="0"/>
    <xf numFmtId="0" fontId="28" fillId="0" borderId="0"/>
    <xf numFmtId="0" fontId="6" fillId="0" borderId="0"/>
    <xf numFmtId="0" fontId="28" fillId="0" borderId="0"/>
    <xf numFmtId="0" fontId="6" fillId="0" borderId="0"/>
    <xf numFmtId="0" fontId="28" fillId="0" borderId="0"/>
    <xf numFmtId="0" fontId="6" fillId="0" borderId="0"/>
    <xf numFmtId="0" fontId="28" fillId="0" borderId="0"/>
    <xf numFmtId="0" fontId="6" fillId="0" borderId="0"/>
    <xf numFmtId="0" fontId="28" fillId="0" borderId="0"/>
    <xf numFmtId="0" fontId="2" fillId="7" borderId="3" applyNumberFormat="0" applyAlignment="0" applyProtection="0"/>
    <xf numFmtId="0" fontId="2" fillId="16" borderId="60" applyNumberFormat="0" applyFont="0" applyAlignment="0" applyProtection="0"/>
    <xf numFmtId="9" fontId="22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ont="0" applyFill="0" applyBorder="0" applyAlignment="0" applyProtection="0"/>
    <xf numFmtId="9" fontId="2" fillId="0" borderId="0" applyFill="0" applyBorder="0" applyAlignment="0" applyProtection="0"/>
    <xf numFmtId="9" fontId="6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30" fillId="0" borderId="61" applyNumberFormat="0" applyFill="0" applyAlignment="0" applyProtection="0"/>
    <xf numFmtId="0" fontId="30" fillId="0" borderId="61" applyNumberFormat="0" applyFill="0" applyAlignment="0" applyProtection="0"/>
  </cellStyleXfs>
  <cellXfs count="491">
    <xf numFmtId="0" fontId="0" fillId="0" borderId="0" xfId="0"/>
    <xf numFmtId="0" fontId="32" fillId="0" borderId="0" xfId="641" applyFont="1"/>
    <xf numFmtId="0" fontId="33" fillId="0" borderId="0" xfId="641" applyFont="1"/>
    <xf numFmtId="0" fontId="32" fillId="0" borderId="0" xfId="641" applyFont="1" applyAlignment="1">
      <alignment horizontal="center"/>
    </xf>
    <xf numFmtId="0" fontId="34" fillId="0" borderId="0" xfId="641" applyFont="1"/>
    <xf numFmtId="0" fontId="34" fillId="0" borderId="5" xfId="641" applyFont="1" applyBorder="1"/>
    <xf numFmtId="0" fontId="34" fillId="0" borderId="6" xfId="641" applyFont="1" applyBorder="1"/>
    <xf numFmtId="0" fontId="34" fillId="8" borderId="6" xfId="641" applyFont="1" applyFill="1" applyBorder="1"/>
    <xf numFmtId="17" fontId="35" fillId="0" borderId="7" xfId="0" applyNumberFormat="1" applyFont="1" applyBorder="1"/>
    <xf numFmtId="172" fontId="34" fillId="0" borderId="8" xfId="641" applyNumberFormat="1" applyFont="1" applyBorder="1"/>
    <xf numFmtId="0" fontId="34" fillId="0" borderId="8" xfId="641" applyFont="1" applyBorder="1"/>
    <xf numFmtId="0" fontId="32" fillId="0" borderId="8" xfId="641" applyFont="1" applyBorder="1"/>
    <xf numFmtId="0" fontId="32" fillId="17" borderId="8" xfId="641" applyFont="1" applyFill="1" applyBorder="1"/>
    <xf numFmtId="172" fontId="32" fillId="0" borderId="8" xfId="641" applyNumberFormat="1" applyFont="1" applyBorder="1"/>
    <xf numFmtId="0" fontId="32" fillId="0" borderId="8" xfId="641" applyFont="1" applyBorder="1" applyAlignment="1">
      <alignment horizontal="right"/>
    </xf>
    <xf numFmtId="0" fontId="36" fillId="0" borderId="8" xfId="641" applyFont="1" applyBorder="1"/>
    <xf numFmtId="173" fontId="37" fillId="0" borderId="7" xfId="681" applyNumberFormat="1" applyFont="1" applyBorder="1" applyAlignment="1">
      <alignment horizontal="right"/>
    </xf>
    <xf numFmtId="0" fontId="38" fillId="17" borderId="8" xfId="641" applyFont="1" applyFill="1" applyBorder="1"/>
    <xf numFmtId="9" fontId="37" fillId="0" borderId="7" xfId="681" applyFont="1" applyBorder="1" applyAlignment="1">
      <alignment horizontal="right"/>
    </xf>
    <xf numFmtId="9" fontId="32" fillId="0" borderId="7" xfId="679" applyFont="1" applyBorder="1" applyAlignment="1">
      <alignment horizontal="right"/>
    </xf>
    <xf numFmtId="166" fontId="37" fillId="0" borderId="7" xfId="56" applyNumberFormat="1" applyFont="1" applyBorder="1" applyAlignment="1">
      <alignment horizontal="right"/>
    </xf>
    <xf numFmtId="0" fontId="33" fillId="17" borderId="8" xfId="641" applyFont="1" applyFill="1" applyBorder="1"/>
    <xf numFmtId="14" fontId="34" fillId="8" borderId="7" xfId="641" applyNumberFormat="1" applyFont="1" applyFill="1" applyBorder="1" applyAlignment="1">
      <alignment horizontal="right"/>
    </xf>
    <xf numFmtId="9" fontId="32" fillId="0" borderId="7" xfId="681" applyFont="1" applyBorder="1" applyAlignment="1">
      <alignment horizontal="right"/>
    </xf>
    <xf numFmtId="0" fontId="32" fillId="0" borderId="7" xfId="641" applyFont="1" applyBorder="1" applyAlignment="1">
      <alignment horizontal="right"/>
    </xf>
    <xf numFmtId="173" fontId="32" fillId="0" borderId="7" xfId="681" applyNumberFormat="1" applyFont="1" applyBorder="1" applyAlignment="1">
      <alignment horizontal="right"/>
    </xf>
    <xf numFmtId="0" fontId="39" fillId="0" borderId="0" xfId="0" applyFont="1"/>
    <xf numFmtId="0" fontId="35" fillId="0" borderId="9" xfId="0" applyFont="1" applyBorder="1"/>
    <xf numFmtId="0" fontId="35" fillId="0" borderId="10" xfId="0" applyFont="1" applyBorder="1"/>
    <xf numFmtId="0" fontId="35" fillId="0" borderId="11" xfId="0" applyFont="1" applyBorder="1"/>
    <xf numFmtId="0" fontId="32" fillId="0" borderId="12" xfId="0" applyFont="1" applyBorder="1"/>
    <xf numFmtId="0" fontId="32" fillId="0" borderId="11" xfId="0" applyFont="1" applyBorder="1"/>
    <xf numFmtId="0" fontId="32" fillId="0" borderId="0" xfId="0" applyFont="1"/>
    <xf numFmtId="172" fontId="32" fillId="0" borderId="13" xfId="0" applyNumberFormat="1" applyFont="1" applyBorder="1"/>
    <xf numFmtId="172" fontId="32" fillId="0" borderId="12" xfId="0" applyNumberFormat="1" applyFont="1" applyBorder="1"/>
    <xf numFmtId="172" fontId="32" fillId="0" borderId="14" xfId="0" applyNumberFormat="1" applyFont="1" applyBorder="1"/>
    <xf numFmtId="172" fontId="32" fillId="0" borderId="11" xfId="0" applyNumberFormat="1" applyFont="1" applyBorder="1"/>
    <xf numFmtId="0" fontId="35" fillId="0" borderId="0" xfId="0" applyFont="1"/>
    <xf numFmtId="172" fontId="32" fillId="0" borderId="9" xfId="0" applyNumberFormat="1" applyFont="1" applyBorder="1"/>
    <xf numFmtId="172" fontId="32" fillId="0" borderId="12" xfId="0" applyNumberFormat="1" applyFont="1" applyBorder="1" applyAlignment="1">
      <alignment horizontal="right"/>
    </xf>
    <xf numFmtId="172" fontId="32" fillId="0" borderId="14" xfId="0" applyNumberFormat="1" applyFont="1" applyBorder="1" applyAlignment="1">
      <alignment horizontal="right"/>
    </xf>
    <xf numFmtId="166" fontId="40" fillId="0" borderId="0" xfId="0" applyNumberFormat="1" applyFont="1"/>
    <xf numFmtId="0" fontId="40" fillId="0" borderId="0" xfId="0" applyFont="1"/>
    <xf numFmtId="0" fontId="32" fillId="0" borderId="14" xfId="0" applyFont="1" applyBorder="1"/>
    <xf numFmtId="0" fontId="36" fillId="0" borderId="0" xfId="0" applyFont="1"/>
    <xf numFmtId="43" fontId="35" fillId="0" borderId="0" xfId="56" applyFont="1" applyBorder="1"/>
    <xf numFmtId="172" fontId="32" fillId="0" borderId="15" xfId="0" applyNumberFormat="1" applyFont="1" applyBorder="1"/>
    <xf numFmtId="172" fontId="32" fillId="0" borderId="16" xfId="0" applyNumberFormat="1" applyFont="1" applyBorder="1"/>
    <xf numFmtId="172" fontId="32" fillId="0" borderId="17" xfId="0" applyNumberFormat="1" applyFont="1" applyBorder="1"/>
    <xf numFmtId="172" fontId="41" fillId="0" borderId="9" xfId="0" applyNumberFormat="1" applyFont="1" applyBorder="1"/>
    <xf numFmtId="0" fontId="41" fillId="0" borderId="10" xfId="0" applyFont="1" applyBorder="1"/>
    <xf numFmtId="0" fontId="32" fillId="0" borderId="18" xfId="0" applyFont="1" applyBorder="1"/>
    <xf numFmtId="0" fontId="32" fillId="0" borderId="19" xfId="0" applyFont="1" applyBorder="1"/>
    <xf numFmtId="0" fontId="32" fillId="0" borderId="20" xfId="0" applyFont="1" applyBorder="1"/>
    <xf numFmtId="43" fontId="39" fillId="0" borderId="0" xfId="53" applyFont="1"/>
    <xf numFmtId="43" fontId="39" fillId="0" borderId="7" xfId="53" applyFont="1" applyBorder="1"/>
    <xf numFmtId="43" fontId="32" fillId="0" borderId="7" xfId="53" applyFont="1" applyBorder="1"/>
    <xf numFmtId="0" fontId="34" fillId="0" borderId="21" xfId="641" applyFont="1" applyBorder="1" applyAlignment="1">
      <alignment horizontal="center"/>
    </xf>
    <xf numFmtId="0" fontId="34" fillId="8" borderId="22" xfId="641" applyFont="1" applyFill="1" applyBorder="1" applyAlignment="1">
      <alignment horizontal="center"/>
    </xf>
    <xf numFmtId="0" fontId="34" fillId="0" borderId="12" xfId="641" applyFont="1" applyBorder="1" applyAlignment="1">
      <alignment horizontal="center"/>
    </xf>
    <xf numFmtId="0" fontId="37" fillId="0" borderId="12" xfId="641" applyFont="1" applyBorder="1" applyAlignment="1">
      <alignment horizontal="center"/>
    </xf>
    <xf numFmtId="173" fontId="37" fillId="0" borderId="23" xfId="681" applyNumberFormat="1" applyFont="1" applyBorder="1"/>
    <xf numFmtId="9" fontId="37" fillId="0" borderId="12" xfId="681" applyFont="1" applyBorder="1" applyAlignment="1">
      <alignment horizontal="center"/>
    </xf>
    <xf numFmtId="0" fontId="34" fillId="0" borderId="23" xfId="641" applyFont="1" applyBorder="1"/>
    <xf numFmtId="173" fontId="37" fillId="0" borderId="12" xfId="681" applyNumberFormat="1" applyFont="1" applyBorder="1" applyAlignment="1">
      <alignment horizontal="center"/>
    </xf>
    <xf numFmtId="14" fontId="34" fillId="8" borderId="23" xfId="641" applyNumberFormat="1" applyFont="1" applyFill="1" applyBorder="1" applyAlignment="1">
      <alignment horizontal="center"/>
    </xf>
    <xf numFmtId="173" fontId="38" fillId="0" borderId="12" xfId="681" applyNumberFormat="1" applyFont="1" applyBorder="1" applyAlignment="1">
      <alignment horizontal="center"/>
    </xf>
    <xf numFmtId="173" fontId="38" fillId="0" borderId="23" xfId="681" applyNumberFormat="1" applyFont="1" applyBorder="1"/>
    <xf numFmtId="0" fontId="32" fillId="0" borderId="12" xfId="641" applyFont="1" applyBorder="1" applyAlignment="1">
      <alignment horizontal="center"/>
    </xf>
    <xf numFmtId="9" fontId="37" fillId="0" borderId="12" xfId="641" applyNumberFormat="1" applyFont="1" applyBorder="1" applyAlignment="1">
      <alignment horizontal="center"/>
    </xf>
    <xf numFmtId="0" fontId="32" fillId="0" borderId="7" xfId="641" applyFont="1" applyBorder="1" applyAlignment="1">
      <alignment horizontal="center"/>
    </xf>
    <xf numFmtId="173" fontId="32" fillId="0" borderId="7" xfId="681" applyNumberFormat="1" applyFont="1" applyBorder="1"/>
    <xf numFmtId="173" fontId="32" fillId="0" borderId="7" xfId="679" applyNumberFormat="1" applyFont="1" applyBorder="1"/>
    <xf numFmtId="0" fontId="33" fillId="0" borderId="7" xfId="641" applyFont="1" applyBorder="1" applyAlignment="1">
      <alignment horizontal="center"/>
    </xf>
    <xf numFmtId="173" fontId="33" fillId="0" borderId="7" xfId="681" applyNumberFormat="1" applyFont="1" applyBorder="1"/>
    <xf numFmtId="43" fontId="39" fillId="0" borderId="24" xfId="53" applyFont="1" applyFill="1" applyBorder="1"/>
    <xf numFmtId="166" fontId="32" fillId="0" borderId="7" xfId="53" applyNumberFormat="1" applyFont="1" applyFill="1" applyBorder="1" applyAlignment="1">
      <alignment horizontal="right"/>
    </xf>
    <xf numFmtId="173" fontId="37" fillId="0" borderId="23" xfId="681" applyNumberFormat="1" applyFont="1" applyFill="1" applyBorder="1"/>
    <xf numFmtId="173" fontId="38" fillId="0" borderId="23" xfId="681" applyNumberFormat="1" applyFont="1" applyFill="1" applyBorder="1"/>
    <xf numFmtId="173" fontId="32" fillId="0" borderId="23" xfId="681" applyNumberFormat="1" applyFont="1" applyFill="1" applyBorder="1"/>
    <xf numFmtId="0" fontId="32" fillId="0" borderId="7" xfId="641" applyFont="1" applyBorder="1"/>
    <xf numFmtId="172" fontId="32" fillId="0" borderId="7" xfId="641" applyNumberFormat="1" applyFont="1" applyBorder="1"/>
    <xf numFmtId="0" fontId="33" fillId="17" borderId="7" xfId="641" applyFont="1" applyFill="1" applyBorder="1"/>
    <xf numFmtId="0" fontId="32" fillId="17" borderId="7" xfId="641" applyFont="1" applyFill="1" applyBorder="1"/>
    <xf numFmtId="9" fontId="37" fillId="0" borderId="7" xfId="641" applyNumberFormat="1" applyFont="1" applyBorder="1" applyAlignment="1">
      <alignment horizontal="center"/>
    </xf>
    <xf numFmtId="172" fontId="33" fillId="0" borderId="7" xfId="641" applyNumberFormat="1" applyFont="1" applyBorder="1"/>
    <xf numFmtId="9" fontId="32" fillId="0" borderId="7" xfId="679" applyFont="1" applyBorder="1"/>
    <xf numFmtId="166" fontId="2" fillId="0" borderId="7" xfId="56" applyNumberFormat="1" applyFont="1" applyFill="1" applyBorder="1"/>
    <xf numFmtId="0" fontId="0" fillId="0" borderId="7" xfId="0" applyBorder="1"/>
    <xf numFmtId="0" fontId="2" fillId="0" borderId="7" xfId="0" applyFont="1" applyBorder="1"/>
    <xf numFmtId="0" fontId="0" fillId="0" borderId="12" xfId="0" applyBorder="1"/>
    <xf numFmtId="173" fontId="22" fillId="0" borderId="7" xfId="679" applyNumberFormat="1" applyFont="1" applyFill="1" applyBorder="1"/>
    <xf numFmtId="0" fontId="0" fillId="0" borderId="14" xfId="0" applyBorder="1"/>
    <xf numFmtId="173" fontId="22" fillId="0" borderId="24" xfId="679" applyNumberFormat="1" applyFont="1" applyFill="1" applyBorder="1"/>
    <xf numFmtId="173" fontId="22" fillId="0" borderId="7" xfId="679" applyNumberFormat="1" applyFont="1" applyFill="1" applyBorder="1" applyAlignment="1">
      <alignment horizontal="right"/>
    </xf>
    <xf numFmtId="43" fontId="22" fillId="0" borderId="7" xfId="53" applyFont="1" applyFill="1" applyBorder="1" applyAlignment="1">
      <alignment horizontal="right"/>
    </xf>
    <xf numFmtId="173" fontId="2" fillId="0" borderId="7" xfId="681" applyNumberFormat="1" applyFont="1" applyFill="1" applyBorder="1" applyAlignment="1">
      <alignment horizontal="right"/>
    </xf>
    <xf numFmtId="0" fontId="37" fillId="0" borderId="7" xfId="641" applyFont="1" applyBorder="1" applyAlignment="1">
      <alignment horizontal="center"/>
    </xf>
    <xf numFmtId="0" fontId="37" fillId="0" borderId="24" xfId="641" applyFont="1" applyBorder="1" applyAlignment="1">
      <alignment horizontal="center"/>
    </xf>
    <xf numFmtId="0" fontId="29" fillId="0" borderId="16" xfId="0" applyFont="1" applyBorder="1"/>
    <xf numFmtId="0" fontId="29" fillId="0" borderId="25" xfId="0" applyFont="1" applyBorder="1"/>
    <xf numFmtId="0" fontId="29" fillId="0" borderId="26" xfId="0" applyFont="1" applyBorder="1"/>
    <xf numFmtId="0" fontId="29" fillId="0" borderId="0" xfId="0" applyFont="1"/>
    <xf numFmtId="43" fontId="35" fillId="0" borderId="18" xfId="56" applyFont="1" applyBorder="1"/>
    <xf numFmtId="0" fontId="40" fillId="0" borderId="18" xfId="0" applyFont="1" applyBorder="1"/>
    <xf numFmtId="0" fontId="35" fillId="0" borderId="27" xfId="0" applyFont="1" applyBorder="1"/>
    <xf numFmtId="9" fontId="40" fillId="0" borderId="18" xfId="681" applyFont="1" applyBorder="1"/>
    <xf numFmtId="0" fontId="42" fillId="0" borderId="18" xfId="0" applyFont="1" applyBorder="1"/>
    <xf numFmtId="0" fontId="40" fillId="0" borderId="20" xfId="0" applyFont="1" applyBorder="1"/>
    <xf numFmtId="0" fontId="42" fillId="0" borderId="27" xfId="0" applyFont="1" applyBorder="1"/>
    <xf numFmtId="0" fontId="32" fillId="0" borderId="27" xfId="0" applyFont="1" applyBorder="1"/>
    <xf numFmtId="0" fontId="36" fillId="0" borderId="18" xfId="0" applyFont="1" applyBorder="1"/>
    <xf numFmtId="0" fontId="41" fillId="0" borderId="15" xfId="0" applyFont="1" applyBorder="1"/>
    <xf numFmtId="0" fontId="32" fillId="0" borderId="16" xfId="0" applyFont="1" applyBorder="1"/>
    <xf numFmtId="0" fontId="32" fillId="0" borderId="17" xfId="0" applyFont="1" applyBorder="1"/>
    <xf numFmtId="43" fontId="39" fillId="0" borderId="23" xfId="53" applyFont="1" applyBorder="1"/>
    <xf numFmtId="43" fontId="32" fillId="0" borderId="23" xfId="53" applyFont="1" applyBorder="1"/>
    <xf numFmtId="43" fontId="39" fillId="0" borderId="28" xfId="53" applyFont="1" applyBorder="1"/>
    <xf numFmtId="43" fontId="39" fillId="0" borderId="29" xfId="53" applyFont="1" applyBorder="1"/>
    <xf numFmtId="43" fontId="39" fillId="0" borderId="30" xfId="53" applyFont="1" applyBorder="1"/>
    <xf numFmtId="43" fontId="39" fillId="0" borderId="31" xfId="53" applyFont="1" applyBorder="1"/>
    <xf numFmtId="43" fontId="39" fillId="0" borderId="32" xfId="53" applyFont="1" applyBorder="1"/>
    <xf numFmtId="38" fontId="39" fillId="0" borderId="28" xfId="53" applyNumberFormat="1" applyFont="1" applyBorder="1"/>
    <xf numFmtId="9" fontId="43" fillId="0" borderId="30" xfId="679" applyFont="1" applyBorder="1"/>
    <xf numFmtId="38" fontId="35" fillId="0" borderId="28" xfId="53" applyNumberFormat="1" applyFont="1" applyBorder="1"/>
    <xf numFmtId="43" fontId="35" fillId="0" borderId="29" xfId="53" applyFont="1" applyBorder="1"/>
    <xf numFmtId="166" fontId="39" fillId="0" borderId="30" xfId="53" applyNumberFormat="1" applyFont="1" applyBorder="1"/>
    <xf numFmtId="0" fontId="39" fillId="0" borderId="7" xfId="0" applyFont="1" applyBorder="1"/>
    <xf numFmtId="172" fontId="32" fillId="18" borderId="12" xfId="0" applyNumberFormat="1" applyFont="1" applyFill="1" applyBorder="1"/>
    <xf numFmtId="0" fontId="35" fillId="18" borderId="18" xfId="0" applyFont="1" applyFill="1" applyBorder="1"/>
    <xf numFmtId="43" fontId="39" fillId="18" borderId="23" xfId="53" applyFont="1" applyFill="1" applyBorder="1"/>
    <xf numFmtId="0" fontId="39" fillId="18" borderId="0" xfId="0" applyFont="1" applyFill="1"/>
    <xf numFmtId="172" fontId="32" fillId="19" borderId="14" xfId="0" applyNumberFormat="1" applyFont="1" applyFill="1" applyBorder="1"/>
    <xf numFmtId="0" fontId="35" fillId="19" borderId="20" xfId="0" applyFont="1" applyFill="1" applyBorder="1"/>
    <xf numFmtId="43" fontId="39" fillId="19" borderId="30" xfId="53" applyFont="1" applyFill="1" applyBorder="1"/>
    <xf numFmtId="0" fontId="39" fillId="19" borderId="0" xfId="0" applyFont="1" applyFill="1"/>
    <xf numFmtId="173" fontId="34" fillId="0" borderId="12" xfId="681" applyNumberFormat="1" applyFont="1" applyFill="1" applyBorder="1"/>
    <xf numFmtId="174" fontId="44" fillId="0" borderId="7" xfId="0" applyNumberFormat="1" applyFont="1" applyBorder="1" applyAlignment="1" applyProtection="1">
      <alignment horizontal="right" vertical="center"/>
      <protection locked="0"/>
    </xf>
    <xf numFmtId="177" fontId="45" fillId="0" borderId="7" xfId="54" applyNumberFormat="1" applyFont="1" applyFill="1" applyBorder="1" applyAlignment="1" applyProtection="1">
      <protection locked="0"/>
    </xf>
    <xf numFmtId="17" fontId="34" fillId="0" borderId="7" xfId="641" applyNumberFormat="1" applyFont="1" applyBorder="1"/>
    <xf numFmtId="43" fontId="39" fillId="0" borderId="33" xfId="53" applyFont="1" applyBorder="1"/>
    <xf numFmtId="0" fontId="46" fillId="0" borderId="7" xfId="0" applyFont="1" applyBorder="1"/>
    <xf numFmtId="0" fontId="47" fillId="0" borderId="0" xfId="0" applyFont="1"/>
    <xf numFmtId="0" fontId="45" fillId="0" borderId="0" xfId="0" applyFont="1"/>
    <xf numFmtId="43" fontId="47" fillId="20" borderId="7" xfId="53" applyFont="1" applyFill="1" applyBorder="1"/>
    <xf numFmtId="0" fontId="47" fillId="20" borderId="0" xfId="0" applyFont="1" applyFill="1"/>
    <xf numFmtId="43" fontId="45" fillId="0" borderId="7" xfId="53" applyFont="1" applyFill="1" applyBorder="1"/>
    <xf numFmtId="43" fontId="45" fillId="0" borderId="0" xfId="56" applyFont="1" applyFill="1" applyBorder="1" applyAlignment="1">
      <alignment horizontal="left" wrapText="1"/>
    </xf>
    <xf numFmtId="43" fontId="45" fillId="0" borderId="0" xfId="53" applyFont="1" applyFill="1" applyBorder="1" applyAlignment="1" applyProtection="1"/>
    <xf numFmtId="0" fontId="45" fillId="0" borderId="7" xfId="0" applyFont="1" applyBorder="1"/>
    <xf numFmtId="167" fontId="45" fillId="0" borderId="7" xfId="54" applyFont="1" applyFill="1" applyBorder="1" applyAlignment="1" applyProtection="1">
      <protection locked="0"/>
    </xf>
    <xf numFmtId="0" fontId="0" fillId="0" borderId="18" xfId="0" applyBorder="1"/>
    <xf numFmtId="17" fontId="48" fillId="0" borderId="7" xfId="0" applyNumberFormat="1" applyFont="1" applyBorder="1" applyAlignment="1">
      <alignment horizontal="center" vertical="center"/>
    </xf>
    <xf numFmtId="177" fontId="45" fillId="0" borderId="7" xfId="54" applyNumberFormat="1" applyFont="1" applyBorder="1" applyAlignment="1" applyProtection="1">
      <alignment horizontal="right" vertical="center"/>
      <protection locked="0"/>
    </xf>
    <xf numFmtId="0" fontId="12" fillId="0" borderId="0" xfId="0" applyFont="1"/>
    <xf numFmtId="0" fontId="13" fillId="0" borderId="34" xfId="0" applyFont="1" applyBorder="1" applyAlignment="1">
      <alignment wrapText="1"/>
    </xf>
    <xf numFmtId="0" fontId="14" fillId="0" borderId="34" xfId="0" applyFont="1" applyBorder="1" applyAlignment="1">
      <alignment wrapText="1"/>
    </xf>
    <xf numFmtId="49" fontId="14" fillId="0" borderId="34" xfId="0" applyNumberFormat="1" applyFont="1" applyBorder="1" applyAlignment="1" applyProtection="1">
      <alignment horizontal="right" wrapText="1"/>
      <protection locked="0"/>
    </xf>
    <xf numFmtId="0" fontId="14" fillId="0" borderId="35" xfId="0" applyFont="1" applyBorder="1" applyAlignment="1" applyProtection="1">
      <alignment horizontal="right" wrapText="1"/>
      <protection locked="0"/>
    </xf>
    <xf numFmtId="0" fontId="13" fillId="0" borderId="36" xfId="0" applyFont="1" applyBorder="1" applyAlignment="1">
      <alignment wrapText="1"/>
    </xf>
    <xf numFmtId="49" fontId="15" fillId="0" borderId="7" xfId="0" applyNumberFormat="1" applyFont="1" applyBorder="1" applyAlignment="1" applyProtection="1">
      <alignment horizontal="right"/>
      <protection locked="0"/>
    </xf>
    <xf numFmtId="0" fontId="13" fillId="0" borderId="34" xfId="0" applyFont="1" applyBorder="1" applyAlignment="1" applyProtection="1">
      <alignment wrapText="1"/>
      <protection locked="0"/>
    </xf>
    <xf numFmtId="9" fontId="12" fillId="0" borderId="0" xfId="679" applyFont="1"/>
    <xf numFmtId="0" fontId="32" fillId="0" borderId="16" xfId="641" applyFont="1" applyBorder="1"/>
    <xf numFmtId="0" fontId="34" fillId="0" borderId="37" xfId="641" applyFont="1" applyBorder="1" applyAlignment="1">
      <alignment horizontal="center"/>
    </xf>
    <xf numFmtId="0" fontId="37" fillId="0" borderId="38" xfId="641" applyFont="1" applyBorder="1" applyAlignment="1">
      <alignment horizontal="center"/>
    </xf>
    <xf numFmtId="173" fontId="37" fillId="0" borderId="39" xfId="681" applyNumberFormat="1" applyFont="1" applyFill="1" applyBorder="1"/>
    <xf numFmtId="17" fontId="49" fillId="0" borderId="7" xfId="0" applyNumberFormat="1" applyFont="1" applyBorder="1"/>
    <xf numFmtId="43" fontId="45" fillId="17" borderId="7" xfId="56" applyFont="1" applyFill="1" applyBorder="1" applyAlignment="1">
      <alignment horizontal="left"/>
    </xf>
    <xf numFmtId="43" fontId="47" fillId="17" borderId="7" xfId="56" applyFont="1" applyFill="1" applyBorder="1" applyAlignment="1">
      <alignment horizontal="left" wrapText="1"/>
    </xf>
    <xf numFmtId="43" fontId="45" fillId="17" borderId="7" xfId="56" applyFont="1" applyFill="1" applyBorder="1" applyAlignment="1">
      <alignment horizontal="left" wrapText="1"/>
    </xf>
    <xf numFmtId="0" fontId="49" fillId="0" borderId="0" xfId="0" applyFont="1"/>
    <xf numFmtId="0" fontId="46" fillId="0" borderId="0" xfId="0" applyFont="1"/>
    <xf numFmtId="43" fontId="47" fillId="17" borderId="7" xfId="53" applyFont="1" applyFill="1" applyBorder="1" applyAlignment="1">
      <alignment horizontal="left" wrapText="1"/>
    </xf>
    <xf numFmtId="43" fontId="49" fillId="20" borderId="0" xfId="53" applyFont="1" applyFill="1"/>
    <xf numFmtId="0" fontId="49" fillId="20" borderId="0" xfId="0" applyFont="1" applyFill="1"/>
    <xf numFmtId="0" fontId="46" fillId="20" borderId="0" xfId="0" applyFont="1" applyFill="1"/>
    <xf numFmtId="43" fontId="47" fillId="17" borderId="7" xfId="56" applyFont="1" applyFill="1" applyBorder="1" applyAlignment="1">
      <alignment horizontal="left"/>
    </xf>
    <xf numFmtId="0" fontId="47" fillId="0" borderId="0" xfId="0" applyFont="1" applyAlignment="1" applyProtection="1">
      <alignment horizontal="left" vertical="top" wrapText="1" readingOrder="1"/>
      <protection locked="0"/>
    </xf>
    <xf numFmtId="177" fontId="47" fillId="21" borderId="7" xfId="54" applyNumberFormat="1" applyFont="1" applyFill="1" applyBorder="1" applyAlignment="1" applyProtection="1"/>
    <xf numFmtId="174" fontId="50" fillId="21" borderId="7" xfId="0" applyNumberFormat="1" applyFont="1" applyFill="1" applyBorder="1" applyAlignment="1">
      <alignment horizontal="right" vertical="center"/>
    </xf>
    <xf numFmtId="43" fontId="12" fillId="0" borderId="0" xfId="53" applyFont="1"/>
    <xf numFmtId="43" fontId="13" fillId="0" borderId="34" xfId="53" applyFont="1" applyBorder="1" applyAlignment="1" applyProtection="1">
      <alignment wrapText="1"/>
      <protection locked="0"/>
    </xf>
    <xf numFmtId="43" fontId="13" fillId="0" borderId="34" xfId="53" applyFont="1" applyBorder="1" applyAlignment="1" applyProtection="1">
      <alignment horizontal="center" wrapText="1"/>
    </xf>
    <xf numFmtId="43" fontId="13" fillId="0" borderId="34" xfId="53" applyFont="1" applyBorder="1" applyAlignment="1" applyProtection="1">
      <alignment wrapText="1"/>
    </xf>
    <xf numFmtId="43" fontId="14" fillId="0" borderId="34" xfId="53" applyFont="1" applyBorder="1" applyAlignment="1" applyProtection="1">
      <alignment wrapText="1"/>
    </xf>
    <xf numFmtId="167" fontId="47" fillId="9" borderId="34" xfId="54" applyFont="1" applyFill="1" applyBorder="1" applyAlignment="1" applyProtection="1"/>
    <xf numFmtId="167" fontId="45" fillId="0" borderId="34" xfId="54" applyFont="1" applyFill="1" applyBorder="1" applyAlignment="1" applyProtection="1">
      <protection locked="0"/>
    </xf>
    <xf numFmtId="167" fontId="45" fillId="0" borderId="34" xfId="54" applyFont="1" applyFill="1" applyBorder="1" applyAlignment="1" applyProtection="1"/>
    <xf numFmtId="167" fontId="47" fillId="9" borderId="7" xfId="54" applyFont="1" applyFill="1" applyBorder="1" applyAlignment="1" applyProtection="1"/>
    <xf numFmtId="167" fontId="47" fillId="21" borderId="7" xfId="54" applyFont="1" applyFill="1" applyBorder="1" applyAlignment="1" applyProtection="1"/>
    <xf numFmtId="178" fontId="29" fillId="0" borderId="7" xfId="0" applyNumberFormat="1" applyFont="1" applyBorder="1"/>
    <xf numFmtId="0" fontId="34" fillId="18" borderId="0" xfId="641" applyFont="1" applyFill="1" applyAlignment="1">
      <alignment horizontal="center" wrapText="1"/>
    </xf>
    <xf numFmtId="0" fontId="34" fillId="18" borderId="0" xfId="641" applyFont="1" applyFill="1" applyAlignment="1">
      <alignment horizontal="center"/>
    </xf>
    <xf numFmtId="17" fontId="29" fillId="18" borderId="0" xfId="0" applyNumberFormat="1" applyFont="1" applyFill="1"/>
    <xf numFmtId="0" fontId="37" fillId="0" borderId="0" xfId="641" applyFont="1" applyAlignment="1">
      <alignment horizontal="center"/>
    </xf>
    <xf numFmtId="43" fontId="22" fillId="0" borderId="0" xfId="53" applyFont="1" applyFill="1" applyBorder="1" applyAlignment="1">
      <alignment horizontal="center"/>
    </xf>
    <xf numFmtId="173" fontId="22" fillId="0" borderId="0" xfId="679" applyNumberFormat="1" applyFont="1" applyFill="1" applyBorder="1" applyAlignment="1">
      <alignment horizontal="center"/>
    </xf>
    <xf numFmtId="0" fontId="22" fillId="0" borderId="0" xfId="679" applyNumberFormat="1" applyFont="1" applyFill="1" applyBorder="1" applyAlignment="1">
      <alignment horizontal="right"/>
    </xf>
    <xf numFmtId="173" fontId="2" fillId="0" borderId="0" xfId="681" applyNumberFormat="1" applyFont="1" applyFill="1" applyBorder="1" applyAlignment="1">
      <alignment horizontal="right"/>
    </xf>
    <xf numFmtId="173" fontId="2" fillId="0" borderId="0" xfId="681" applyNumberFormat="1" applyFont="1" applyFill="1" applyBorder="1" applyAlignment="1">
      <alignment horizontal="center"/>
    </xf>
    <xf numFmtId="2" fontId="2" fillId="0" borderId="0" xfId="681" applyNumberFormat="1" applyFont="1" applyFill="1" applyBorder="1" applyAlignment="1">
      <alignment horizontal="center"/>
    </xf>
    <xf numFmtId="9" fontId="37" fillId="0" borderId="0" xfId="641" applyNumberFormat="1" applyFont="1" applyAlignment="1">
      <alignment horizontal="center"/>
    </xf>
    <xf numFmtId="2" fontId="22" fillId="0" borderId="0" xfId="679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2" fontId="29" fillId="0" borderId="0" xfId="0" applyNumberFormat="1" applyFont="1"/>
    <xf numFmtId="17" fontId="35" fillId="18" borderId="40" xfId="0" applyNumberFormat="1" applyFont="1" applyFill="1" applyBorder="1"/>
    <xf numFmtId="17" fontId="35" fillId="18" borderId="41" xfId="0" applyNumberFormat="1" applyFont="1" applyFill="1" applyBorder="1"/>
    <xf numFmtId="17" fontId="35" fillId="18" borderId="42" xfId="0" applyNumberFormat="1" applyFont="1" applyFill="1" applyBorder="1"/>
    <xf numFmtId="0" fontId="29" fillId="0" borderId="43" xfId="0" applyFont="1" applyBorder="1"/>
    <xf numFmtId="0" fontId="29" fillId="0" borderId="44" xfId="0" applyFont="1" applyBorder="1"/>
    <xf numFmtId="0" fontId="34" fillId="18" borderId="45" xfId="641" applyFont="1" applyFill="1" applyBorder="1" applyAlignment="1">
      <alignment horizontal="center" wrapText="1"/>
    </xf>
    <xf numFmtId="0" fontId="34" fillId="18" borderId="42" xfId="641" applyFont="1" applyFill="1" applyBorder="1" applyAlignment="1">
      <alignment horizontal="center"/>
    </xf>
    <xf numFmtId="0" fontId="0" fillId="0" borderId="28" xfId="0" applyBorder="1"/>
    <xf numFmtId="43" fontId="22" fillId="0" borderId="23" xfId="53" applyFont="1" applyFill="1" applyBorder="1" applyAlignment="1">
      <alignment horizontal="right"/>
    </xf>
    <xf numFmtId="173" fontId="22" fillId="0" borderId="23" xfId="679" applyNumberFormat="1" applyFont="1" applyFill="1" applyBorder="1" applyAlignment="1">
      <alignment horizontal="right"/>
    </xf>
    <xf numFmtId="173" fontId="2" fillId="0" borderId="23" xfId="681" applyNumberFormat="1" applyFont="1" applyFill="1" applyBorder="1" applyAlignment="1">
      <alignment horizontal="right"/>
    </xf>
    <xf numFmtId="173" fontId="22" fillId="0" borderId="23" xfId="679" applyNumberFormat="1" applyFont="1" applyFill="1" applyBorder="1"/>
    <xf numFmtId="173" fontId="22" fillId="0" borderId="30" xfId="679" applyNumberFormat="1" applyFont="1" applyFill="1" applyBorder="1"/>
    <xf numFmtId="43" fontId="46" fillId="0" borderId="7" xfId="53" applyFont="1" applyBorder="1"/>
    <xf numFmtId="43" fontId="12" fillId="0" borderId="0" xfId="0" applyNumberFormat="1" applyFont="1"/>
    <xf numFmtId="0" fontId="51" fillId="0" borderId="0" xfId="0" applyFont="1" applyAlignment="1">
      <alignment horizontal="center" wrapText="1"/>
    </xf>
    <xf numFmtId="167" fontId="47" fillId="9" borderId="35" xfId="54" applyFont="1" applyFill="1" applyBorder="1" applyAlignment="1" applyProtection="1"/>
    <xf numFmtId="43" fontId="45" fillId="0" borderId="0" xfId="53" applyFont="1" applyFill="1" applyBorder="1"/>
    <xf numFmtId="43" fontId="45" fillId="0" borderId="7" xfId="0" applyNumberFormat="1" applyFont="1" applyBorder="1"/>
    <xf numFmtId="43" fontId="47" fillId="20" borderId="0" xfId="53" applyFont="1" applyFill="1" applyBorder="1"/>
    <xf numFmtId="43" fontId="47" fillId="22" borderId="7" xfId="53" applyFont="1" applyFill="1" applyBorder="1" applyAlignment="1" applyProtection="1">
      <protection locked="0"/>
    </xf>
    <xf numFmtId="167" fontId="47" fillId="22" borderId="34" xfId="54" applyFont="1" applyFill="1" applyBorder="1" applyAlignment="1" applyProtection="1">
      <protection locked="0"/>
    </xf>
    <xf numFmtId="166" fontId="47" fillId="20" borderId="7" xfId="54" applyNumberFormat="1" applyFont="1" applyFill="1" applyBorder="1" applyAlignment="1" applyProtection="1"/>
    <xf numFmtId="43" fontId="47" fillId="9" borderId="7" xfId="53" applyFont="1" applyFill="1" applyBorder="1" applyAlignment="1" applyProtection="1"/>
    <xf numFmtId="43" fontId="47" fillId="20" borderId="7" xfId="56" applyFont="1" applyFill="1" applyBorder="1" applyAlignment="1">
      <alignment horizontal="left" wrapText="1"/>
    </xf>
    <xf numFmtId="166" fontId="47" fillId="20" borderId="7" xfId="53" applyNumberFormat="1" applyFont="1" applyFill="1" applyBorder="1"/>
    <xf numFmtId="167" fontId="47" fillId="9" borderId="46" xfId="54" applyFont="1" applyFill="1" applyBorder="1" applyAlignment="1" applyProtection="1"/>
    <xf numFmtId="166" fontId="47" fillId="20" borderId="7" xfId="56" applyNumberFormat="1" applyFont="1" applyFill="1" applyBorder="1"/>
    <xf numFmtId="167" fontId="47" fillId="9" borderId="47" xfId="54" applyFont="1" applyFill="1" applyBorder="1" applyAlignment="1" applyProtection="1"/>
    <xf numFmtId="167" fontId="47" fillId="21" borderId="35" xfId="54" applyFont="1" applyFill="1" applyBorder="1" applyAlignment="1" applyProtection="1"/>
    <xf numFmtId="43" fontId="47" fillId="20" borderId="7" xfId="56" applyFont="1" applyFill="1" applyBorder="1"/>
    <xf numFmtId="167" fontId="45" fillId="0" borderId="36" xfId="54" applyFont="1" applyFill="1" applyBorder="1" applyAlignment="1" applyProtection="1">
      <protection locked="0"/>
    </xf>
    <xf numFmtId="43" fontId="33" fillId="20" borderId="33" xfId="56" applyFont="1" applyFill="1" applyBorder="1"/>
    <xf numFmtId="43" fontId="33" fillId="20" borderId="7" xfId="53" applyFont="1" applyFill="1" applyBorder="1"/>
    <xf numFmtId="43" fontId="32" fillId="20" borderId="7" xfId="56" applyFont="1" applyFill="1" applyBorder="1"/>
    <xf numFmtId="43" fontId="32" fillId="20" borderId="7" xfId="53" applyFont="1" applyFill="1" applyBorder="1"/>
    <xf numFmtId="43" fontId="52" fillId="0" borderId="0" xfId="53" applyFont="1"/>
    <xf numFmtId="166" fontId="39" fillId="0" borderId="7" xfId="53" applyNumberFormat="1" applyFont="1" applyBorder="1"/>
    <xf numFmtId="174" fontId="37" fillId="0" borderId="7" xfId="0" applyNumberFormat="1" applyFont="1" applyBorder="1" applyAlignment="1" applyProtection="1">
      <alignment horizontal="right" vertical="center"/>
      <protection locked="0"/>
    </xf>
    <xf numFmtId="177" fontId="32" fillId="0" borderId="7" xfId="54" applyNumberFormat="1" applyFont="1" applyBorder="1" applyAlignment="1" applyProtection="1">
      <alignment horizontal="right" vertical="center"/>
      <protection locked="0"/>
    </xf>
    <xf numFmtId="43" fontId="33" fillId="20" borderId="7" xfId="56" applyFont="1" applyFill="1" applyBorder="1"/>
    <xf numFmtId="177" fontId="32" fillId="0" borderId="7" xfId="54" applyNumberFormat="1" applyFont="1" applyFill="1" applyBorder="1" applyAlignment="1" applyProtection="1">
      <protection locked="0"/>
    </xf>
    <xf numFmtId="43" fontId="32" fillId="0" borderId="7" xfId="56" applyFont="1" applyBorder="1"/>
    <xf numFmtId="43" fontId="33" fillId="0" borderId="7" xfId="53" applyFont="1" applyBorder="1"/>
    <xf numFmtId="0" fontId="34" fillId="0" borderId="0" xfId="641" applyFont="1" applyAlignment="1">
      <alignment horizontal="center"/>
    </xf>
    <xf numFmtId="0" fontId="53" fillId="0" borderId="0" xfId="0" applyFont="1"/>
    <xf numFmtId="167" fontId="17" fillId="9" borderId="34" xfId="54" applyFont="1" applyFill="1" applyBorder="1" applyAlignment="1" applyProtection="1"/>
    <xf numFmtId="167" fontId="17" fillId="9" borderId="34" xfId="54" applyFont="1" applyFill="1" applyBorder="1" applyAlignment="1" applyProtection="1">
      <protection locked="0"/>
    </xf>
    <xf numFmtId="167" fontId="17" fillId="21" borderId="34" xfId="54" applyFont="1" applyFill="1" applyBorder="1" applyAlignment="1" applyProtection="1"/>
    <xf numFmtId="43" fontId="53" fillId="0" borderId="0" xfId="53" applyFont="1" applyFill="1" applyBorder="1" applyAlignment="1" applyProtection="1"/>
    <xf numFmtId="167" fontId="18" fillId="0" borderId="34" xfId="54" applyFont="1" applyFill="1" applyBorder="1" applyAlignment="1" applyProtection="1">
      <protection locked="0"/>
    </xf>
    <xf numFmtId="167" fontId="18" fillId="0" borderId="34" xfId="54" applyFont="1" applyFill="1" applyBorder="1" applyAlignment="1" applyProtection="1"/>
    <xf numFmtId="0" fontId="39" fillId="0" borderId="9" xfId="0" applyFont="1" applyBorder="1"/>
    <xf numFmtId="0" fontId="39" fillId="0" borderId="10" xfId="0" applyFont="1" applyBorder="1"/>
    <xf numFmtId="0" fontId="39" fillId="0" borderId="11" xfId="0" applyFont="1" applyBorder="1"/>
    <xf numFmtId="43" fontId="39" fillId="0" borderId="18" xfId="56" applyFont="1" applyFill="1" applyBorder="1"/>
    <xf numFmtId="17" fontId="39" fillId="0" borderId="7" xfId="0" applyNumberFormat="1" applyFont="1" applyBorder="1"/>
    <xf numFmtId="17" fontId="46" fillId="0" borderId="7" xfId="0" applyNumberFormat="1" applyFont="1" applyBorder="1"/>
    <xf numFmtId="17" fontId="54" fillId="0" borderId="7" xfId="0" applyNumberFormat="1" applyFont="1" applyBorder="1"/>
    <xf numFmtId="43" fontId="39" fillId="0" borderId="33" xfId="53" applyFont="1" applyFill="1" applyBorder="1"/>
    <xf numFmtId="43" fontId="39" fillId="0" borderId="7" xfId="53" applyFont="1" applyFill="1" applyBorder="1"/>
    <xf numFmtId="43" fontId="32" fillId="0" borderId="7" xfId="53" applyFont="1" applyFill="1" applyBorder="1"/>
    <xf numFmtId="0" fontId="39" fillId="0" borderId="18" xfId="0" applyFont="1" applyBorder="1"/>
    <xf numFmtId="43" fontId="39" fillId="0" borderId="23" xfId="53" applyFont="1" applyFill="1" applyBorder="1"/>
    <xf numFmtId="0" fontId="39" fillId="0" borderId="20" xfId="0" applyFont="1" applyBorder="1"/>
    <xf numFmtId="43" fontId="39" fillId="0" borderId="30" xfId="53" applyFont="1" applyFill="1" applyBorder="1"/>
    <xf numFmtId="43" fontId="39" fillId="0" borderId="31" xfId="53" applyFont="1" applyFill="1" applyBorder="1"/>
    <xf numFmtId="43" fontId="39" fillId="0" borderId="29" xfId="53" applyFont="1" applyFill="1" applyBorder="1"/>
    <xf numFmtId="43" fontId="39" fillId="0" borderId="28" xfId="53" applyFont="1" applyFill="1" applyBorder="1"/>
    <xf numFmtId="0" fontId="36" fillId="0" borderId="15" xfId="0" applyFont="1" applyBorder="1"/>
    <xf numFmtId="172" fontId="36" fillId="0" borderId="9" xfId="0" applyNumberFormat="1" applyFont="1" applyBorder="1"/>
    <xf numFmtId="0" fontId="36" fillId="0" borderId="10" xfId="0" applyFont="1" applyBorder="1"/>
    <xf numFmtId="9" fontId="39" fillId="0" borderId="0" xfId="679" applyFont="1" applyFill="1"/>
    <xf numFmtId="43" fontId="39" fillId="0" borderId="0" xfId="53" applyFont="1" applyFill="1"/>
    <xf numFmtId="0" fontId="55" fillId="0" borderId="0" xfId="0" applyFont="1"/>
    <xf numFmtId="17" fontId="43" fillId="0" borderId="7" xfId="0" applyNumberFormat="1" applyFont="1" applyBorder="1"/>
    <xf numFmtId="43" fontId="55" fillId="0" borderId="33" xfId="53" applyFont="1" applyBorder="1"/>
    <xf numFmtId="43" fontId="55" fillId="0" borderId="7" xfId="53" applyFont="1" applyBorder="1"/>
    <xf numFmtId="43" fontId="55" fillId="0" borderId="24" xfId="53" applyFont="1" applyFill="1" applyBorder="1"/>
    <xf numFmtId="43" fontId="55" fillId="0" borderId="28" xfId="53" applyFont="1" applyBorder="1"/>
    <xf numFmtId="43" fontId="55" fillId="0" borderId="29" xfId="53" applyFont="1" applyBorder="1"/>
    <xf numFmtId="43" fontId="55" fillId="18" borderId="23" xfId="53" applyFont="1" applyFill="1" applyBorder="1"/>
    <xf numFmtId="43" fontId="55" fillId="19" borderId="30" xfId="53" applyFont="1" applyFill="1" applyBorder="1"/>
    <xf numFmtId="43" fontId="55" fillId="0" borderId="31" xfId="53" applyFont="1" applyBorder="1"/>
    <xf numFmtId="43" fontId="55" fillId="0" borderId="23" xfId="53" applyFont="1" applyBorder="1"/>
    <xf numFmtId="43" fontId="55" fillId="0" borderId="30" xfId="53" applyFont="1" applyBorder="1"/>
    <xf numFmtId="43" fontId="55" fillId="0" borderId="32" xfId="53" applyFont="1" applyBorder="1"/>
    <xf numFmtId="38" fontId="55" fillId="0" borderId="28" xfId="53" applyNumberFormat="1" applyFont="1" applyBorder="1"/>
    <xf numFmtId="38" fontId="43" fillId="0" borderId="28" xfId="53" applyNumberFormat="1" applyFont="1" applyBorder="1"/>
    <xf numFmtId="43" fontId="43" fillId="0" borderId="29" xfId="53" applyFont="1" applyBorder="1"/>
    <xf numFmtId="166" fontId="55" fillId="0" borderId="30" xfId="53" applyNumberFormat="1" applyFont="1" applyBorder="1"/>
    <xf numFmtId="43" fontId="55" fillId="0" borderId="0" xfId="53" applyFont="1"/>
    <xf numFmtId="177" fontId="47" fillId="21" borderId="7" xfId="54" applyNumberFormat="1" applyFont="1" applyFill="1" applyBorder="1"/>
    <xf numFmtId="177" fontId="45" fillId="0" borderId="7" xfId="54" applyNumberFormat="1" applyFont="1" applyBorder="1" applyProtection="1">
      <protection locked="0"/>
    </xf>
    <xf numFmtId="167" fontId="17" fillId="9" borderId="34" xfId="54" applyFont="1" applyFill="1" applyBorder="1"/>
    <xf numFmtId="167" fontId="18" fillId="0" borderId="34" xfId="54" applyFont="1" applyBorder="1" applyProtection="1">
      <protection locked="0"/>
    </xf>
    <xf numFmtId="167" fontId="18" fillId="0" borderId="34" xfId="54" applyFont="1" applyBorder="1"/>
    <xf numFmtId="167" fontId="17" fillId="9" borderId="34" xfId="54" applyFont="1" applyFill="1" applyBorder="1" applyProtection="1">
      <protection locked="0"/>
    </xf>
    <xf numFmtId="167" fontId="17" fillId="21" borderId="34" xfId="54" applyFont="1" applyFill="1" applyBorder="1"/>
    <xf numFmtId="43" fontId="13" fillId="0" borderId="34" xfId="53" applyFont="1" applyBorder="1" applyAlignment="1">
      <alignment horizontal="center" wrapText="1"/>
    </xf>
    <xf numFmtId="43" fontId="13" fillId="0" borderId="34" xfId="53" applyFont="1" applyBorder="1" applyAlignment="1">
      <alignment wrapText="1"/>
    </xf>
    <xf numFmtId="43" fontId="14" fillId="0" borderId="34" xfId="53" applyFont="1" applyBorder="1" applyAlignment="1">
      <alignment wrapText="1"/>
    </xf>
    <xf numFmtId="43" fontId="14" fillId="0" borderId="34" xfId="53" applyFont="1" applyBorder="1" applyAlignment="1" applyProtection="1">
      <alignment horizontal="right" wrapText="1"/>
      <protection locked="0"/>
    </xf>
    <xf numFmtId="43" fontId="14" fillId="0" borderId="35" xfId="53" applyFont="1" applyBorder="1" applyAlignment="1" applyProtection="1">
      <alignment horizontal="right" wrapText="1"/>
      <protection locked="0"/>
    </xf>
    <xf numFmtId="43" fontId="13" fillId="0" borderId="36" xfId="53" applyFont="1" applyBorder="1" applyAlignment="1">
      <alignment wrapText="1"/>
    </xf>
    <xf numFmtId="43" fontId="15" fillId="0" borderId="7" xfId="53" applyFont="1" applyBorder="1" applyAlignment="1" applyProtection="1">
      <alignment horizontal="right"/>
      <protection locked="0"/>
    </xf>
    <xf numFmtId="43" fontId="14" fillId="0" borderId="34" xfId="53" applyFont="1" applyFill="1" applyBorder="1" applyAlignment="1">
      <alignment wrapText="1"/>
    </xf>
    <xf numFmtId="167" fontId="45" fillId="0" borderId="0" xfId="54" applyFont="1" applyFill="1" applyBorder="1" applyAlignment="1" applyProtection="1">
      <protection locked="0"/>
    </xf>
    <xf numFmtId="0" fontId="29" fillId="0" borderId="7" xfId="0" applyFont="1" applyBorder="1" applyAlignment="1" applyProtection="1">
      <alignment horizontal="right"/>
      <protection locked="0"/>
    </xf>
    <xf numFmtId="17" fontId="29" fillId="0" borderId="0" xfId="0" applyNumberFormat="1" applyFont="1" applyProtection="1">
      <protection locked="0"/>
    </xf>
    <xf numFmtId="17" fontId="29" fillId="0" borderId="23" xfId="0" applyNumberFormat="1" applyFont="1" applyBorder="1" applyAlignment="1" applyProtection="1">
      <alignment horizontal="right" wrapText="1"/>
      <protection locked="0"/>
    </xf>
    <xf numFmtId="0" fontId="0" fillId="0" borderId="7" xfId="0" applyBorder="1" applyAlignment="1" applyProtection="1">
      <alignment horizontal="center"/>
      <protection locked="0"/>
    </xf>
    <xf numFmtId="173" fontId="2" fillId="0" borderId="0" xfId="681" applyNumberFormat="1" applyFont="1" applyProtection="1">
      <protection locked="0"/>
    </xf>
    <xf numFmtId="173" fontId="22" fillId="0" borderId="0" xfId="681" applyNumberFormat="1" applyFont="1" applyProtection="1">
      <protection locked="0"/>
    </xf>
    <xf numFmtId="0" fontId="56" fillId="17" borderId="12" xfId="0" applyFont="1" applyFill="1" applyBorder="1" applyAlignment="1" applyProtection="1">
      <alignment horizontal="left"/>
      <protection locked="0"/>
    </xf>
    <xf numFmtId="0" fontId="0" fillId="0" borderId="12" xfId="0" applyBorder="1" applyAlignment="1" applyProtection="1">
      <alignment horizontal="left"/>
      <protection locked="0"/>
    </xf>
    <xf numFmtId="0" fontId="0" fillId="0" borderId="7" xfId="0" applyBorder="1" applyProtection="1">
      <protection locked="0"/>
    </xf>
    <xf numFmtId="0" fontId="0" fillId="0" borderId="18" xfId="0" applyBorder="1" applyProtection="1">
      <protection locked="0"/>
    </xf>
    <xf numFmtId="0" fontId="31" fillId="0" borderId="23" xfId="0" applyFont="1" applyBorder="1" applyProtection="1">
      <protection locked="0"/>
    </xf>
    <xf numFmtId="0" fontId="0" fillId="0" borderId="7" xfId="0" applyBorder="1" applyAlignment="1" applyProtection="1">
      <alignment horizontal="left"/>
      <protection locked="0"/>
    </xf>
    <xf numFmtId="0" fontId="0" fillId="0" borderId="18" xfId="0" applyBorder="1" applyAlignment="1" applyProtection="1">
      <alignment horizontal="left"/>
      <protection locked="0"/>
    </xf>
    <xf numFmtId="0" fontId="31" fillId="0" borderId="23" xfId="0" applyFont="1" applyBorder="1" applyAlignment="1" applyProtection="1">
      <alignment horizontal="left"/>
      <protection locked="0"/>
    </xf>
    <xf numFmtId="0" fontId="0" fillId="0" borderId="48" xfId="0" applyBorder="1" applyAlignment="1" applyProtection="1">
      <alignment horizontal="center"/>
      <protection locked="0"/>
    </xf>
    <xf numFmtId="166" fontId="56" fillId="0" borderId="7" xfId="56" applyNumberFormat="1" applyFont="1" applyBorder="1" applyAlignment="1" applyProtection="1">
      <alignment horizontal="right"/>
    </xf>
    <xf numFmtId="0" fontId="56" fillId="0" borderId="12" xfId="0" applyFont="1" applyBorder="1"/>
    <xf numFmtId="0" fontId="56" fillId="0" borderId="7" xfId="0" applyFont="1" applyBorder="1" applyAlignment="1">
      <alignment horizontal="center"/>
    </xf>
    <xf numFmtId="9" fontId="56" fillId="0" borderId="7" xfId="0" applyNumberFormat="1" applyFont="1" applyBorder="1" applyAlignment="1">
      <alignment horizontal="center"/>
    </xf>
    <xf numFmtId="173" fontId="22" fillId="17" borderId="7" xfId="679" applyNumberFormat="1" applyFont="1" applyFill="1" applyBorder="1" applyAlignment="1" applyProtection="1">
      <alignment horizontal="right"/>
    </xf>
    <xf numFmtId="0" fontId="56" fillId="17" borderId="12" xfId="0" applyFont="1" applyFill="1" applyBorder="1"/>
    <xf numFmtId="0" fontId="56" fillId="17" borderId="7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56" fillId="17" borderId="12" xfId="0" applyFont="1" applyFill="1" applyBorder="1" applyAlignment="1">
      <alignment horizontal="left"/>
    </xf>
    <xf numFmtId="9" fontId="56" fillId="17" borderId="7" xfId="0" applyNumberFormat="1" applyFont="1" applyFill="1" applyBorder="1" applyAlignment="1">
      <alignment horizontal="center"/>
    </xf>
    <xf numFmtId="0" fontId="31" fillId="0" borderId="7" xfId="0" applyFont="1" applyBorder="1" applyAlignment="1">
      <alignment horizontal="center"/>
    </xf>
    <xf numFmtId="0" fontId="29" fillId="0" borderId="12" xfId="0" applyFont="1" applyBorder="1" applyAlignment="1">
      <alignment horizontal="center"/>
    </xf>
    <xf numFmtId="43" fontId="57" fillId="0" borderId="7" xfId="53" applyFont="1" applyBorder="1" applyAlignment="1" applyProtection="1">
      <alignment horizontal="center"/>
    </xf>
    <xf numFmtId="0" fontId="29" fillId="17" borderId="12" xfId="0" applyFont="1" applyFill="1" applyBorder="1"/>
    <xf numFmtId="0" fontId="29" fillId="17" borderId="37" xfId="0" applyFont="1" applyFill="1" applyBorder="1"/>
    <xf numFmtId="173" fontId="56" fillId="0" borderId="7" xfId="679" applyNumberFormat="1" applyFont="1" applyBorder="1" applyAlignment="1" applyProtection="1">
      <alignment horizontal="right"/>
    </xf>
    <xf numFmtId="173" fontId="56" fillId="17" borderId="7" xfId="679" applyNumberFormat="1" applyFont="1" applyFill="1" applyBorder="1" applyAlignment="1" applyProtection="1">
      <alignment horizontal="right"/>
    </xf>
    <xf numFmtId="173" fontId="56" fillId="0" borderId="7" xfId="679" applyNumberFormat="1" applyFont="1" applyFill="1" applyBorder="1" applyAlignment="1" applyProtection="1">
      <alignment horizontal="right"/>
    </xf>
    <xf numFmtId="0" fontId="29" fillId="0" borderId="18" xfId="0" applyFont="1" applyBorder="1" applyAlignment="1">
      <alignment horizontal="right"/>
    </xf>
    <xf numFmtId="43" fontId="57" fillId="0" borderId="7" xfId="53" applyFont="1" applyBorder="1" applyProtection="1">
      <protection locked="0"/>
    </xf>
    <xf numFmtId="43" fontId="13" fillId="0" borderId="7" xfId="53" applyFont="1" applyBorder="1" applyProtection="1">
      <protection locked="0"/>
    </xf>
    <xf numFmtId="43" fontId="12" fillId="0" borderId="7" xfId="53" applyFont="1" applyBorder="1" applyProtection="1">
      <protection locked="0"/>
    </xf>
    <xf numFmtId="0" fontId="0" fillId="0" borderId="23" xfId="0" applyBorder="1" applyProtection="1">
      <protection locked="0"/>
    </xf>
    <xf numFmtId="0" fontId="57" fillId="0" borderId="12" xfId="0" applyFont="1" applyBorder="1"/>
    <xf numFmtId="0" fontId="29" fillId="0" borderId="7" xfId="0" applyFont="1" applyBorder="1" applyProtection="1">
      <protection locked="0"/>
    </xf>
    <xf numFmtId="0" fontId="29" fillId="17" borderId="7" xfId="0" applyFont="1" applyFill="1" applyBorder="1"/>
    <xf numFmtId="0" fontId="31" fillId="0" borderId="7" xfId="0" applyFont="1" applyBorder="1" applyProtection="1">
      <protection locked="0"/>
    </xf>
    <xf numFmtId="0" fontId="58" fillId="17" borderId="7" xfId="0" applyFont="1" applyFill="1" applyBorder="1"/>
    <xf numFmtId="0" fontId="0" fillId="17" borderId="7" xfId="0" applyFill="1" applyBorder="1" applyProtection="1">
      <protection locked="0"/>
    </xf>
    <xf numFmtId="0" fontId="13" fillId="0" borderId="34" xfId="477" applyFont="1" applyBorder="1"/>
    <xf numFmtId="0" fontId="13" fillId="23" borderId="34" xfId="477" applyFont="1" applyFill="1" applyBorder="1"/>
    <xf numFmtId="168" fontId="20" fillId="0" borderId="49" xfId="0" applyNumberFormat="1" applyFont="1" applyBorder="1" applyAlignment="1" applyProtection="1">
      <alignment vertical="top" wrapText="1" readingOrder="1"/>
      <protection locked="0"/>
    </xf>
    <xf numFmtId="168" fontId="20" fillId="10" borderId="49" xfId="0" applyNumberFormat="1" applyFont="1" applyFill="1" applyBorder="1" applyAlignment="1" applyProtection="1">
      <alignment vertical="top" wrapText="1" readingOrder="1"/>
      <protection locked="0"/>
    </xf>
    <xf numFmtId="168" fontId="21" fillId="0" borderId="49" xfId="0" applyNumberFormat="1" applyFont="1" applyBorder="1" applyAlignment="1" applyProtection="1">
      <alignment vertical="top" wrapText="1" readingOrder="1"/>
      <protection locked="0"/>
    </xf>
    <xf numFmtId="175" fontId="21" fillId="0" borderId="49" xfId="0" applyNumberFormat="1" applyFont="1" applyBorder="1" applyAlignment="1" applyProtection="1">
      <alignment vertical="top" wrapText="1" readingOrder="1"/>
      <protection locked="0"/>
    </xf>
    <xf numFmtId="0" fontId="0" fillId="0" borderId="0" xfId="0" applyProtection="1">
      <protection locked="0"/>
    </xf>
    <xf numFmtId="0" fontId="0" fillId="17" borderId="0" xfId="0" applyFill="1" applyProtection="1">
      <protection locked="0"/>
    </xf>
    <xf numFmtId="0" fontId="29" fillId="17" borderId="14" xfId="0" applyFont="1" applyFill="1" applyBorder="1"/>
    <xf numFmtId="0" fontId="0" fillId="0" borderId="24" xfId="0" applyBorder="1" applyAlignment="1" applyProtection="1">
      <alignment horizontal="center"/>
      <protection locked="0"/>
    </xf>
    <xf numFmtId="0" fontId="0" fillId="0" borderId="24" xfId="0" applyBorder="1" applyProtection="1">
      <protection locked="0"/>
    </xf>
    <xf numFmtId="0" fontId="0" fillId="0" borderId="20" xfId="0" applyBorder="1" applyProtection="1">
      <protection locked="0"/>
    </xf>
    <xf numFmtId="0" fontId="31" fillId="0" borderId="30" xfId="0" applyFont="1" applyBorder="1" applyProtection="1">
      <protection locked="0"/>
    </xf>
    <xf numFmtId="0" fontId="58" fillId="17" borderId="50" xfId="0" applyFont="1" applyFill="1" applyBorder="1"/>
    <xf numFmtId="0" fontId="0" fillId="0" borderId="0" xfId="0" applyAlignment="1" applyProtection="1">
      <alignment horizontal="center"/>
      <protection locked="0"/>
    </xf>
    <xf numFmtId="0" fontId="31" fillId="0" borderId="0" xfId="0" applyFont="1" applyProtection="1">
      <protection locked="0"/>
    </xf>
    <xf numFmtId="43" fontId="17" fillId="9" borderId="34" xfId="53" applyFont="1" applyFill="1" applyBorder="1" applyAlignment="1" applyProtection="1"/>
    <xf numFmtId="43" fontId="21" fillId="0" borderId="49" xfId="53" applyFont="1" applyBorder="1" applyAlignment="1" applyProtection="1">
      <alignment vertical="top" wrapText="1" readingOrder="1"/>
      <protection locked="0"/>
    </xf>
    <xf numFmtId="43" fontId="17" fillId="21" borderId="34" xfId="53" applyFont="1" applyFill="1" applyBorder="1" applyAlignment="1" applyProtection="1"/>
    <xf numFmtId="43" fontId="46" fillId="0" borderId="0" xfId="53" applyFont="1"/>
    <xf numFmtId="166" fontId="0" fillId="0" borderId="0" xfId="0" applyNumberFormat="1" applyProtection="1">
      <protection locked="0"/>
    </xf>
    <xf numFmtId="168" fontId="21" fillId="0" borderId="51" xfId="0" applyNumberFormat="1" applyFont="1" applyBorder="1" applyAlignment="1" applyProtection="1">
      <alignment vertical="top" wrapText="1" readingOrder="1"/>
      <protection locked="0"/>
    </xf>
    <xf numFmtId="43" fontId="17" fillId="9" borderId="47" xfId="53" applyFont="1" applyFill="1" applyBorder="1" applyAlignment="1" applyProtection="1"/>
    <xf numFmtId="168" fontId="21" fillId="0" borderId="7" xfId="0" applyNumberFormat="1" applyFont="1" applyBorder="1" applyAlignment="1" applyProtection="1">
      <alignment vertical="top" wrapText="1" readingOrder="1"/>
      <protection locked="0"/>
    </xf>
    <xf numFmtId="43" fontId="21" fillId="0" borderId="7" xfId="53" applyFont="1" applyBorder="1" applyAlignment="1" applyProtection="1">
      <alignment vertical="top" wrapText="1" readingOrder="1"/>
      <protection locked="0"/>
    </xf>
    <xf numFmtId="43" fontId="17" fillId="9" borderId="36" xfId="53" applyFont="1" applyFill="1" applyBorder="1" applyAlignment="1" applyProtection="1"/>
    <xf numFmtId="43" fontId="17" fillId="9" borderId="35" xfId="53" applyFont="1" applyFill="1" applyBorder="1" applyAlignment="1" applyProtection="1"/>
    <xf numFmtId="43" fontId="17" fillId="9" borderId="7" xfId="53" applyFont="1" applyFill="1" applyBorder="1" applyAlignment="1" applyProtection="1"/>
    <xf numFmtId="43" fontId="17" fillId="9" borderId="46" xfId="53" applyFont="1" applyFill="1" applyBorder="1" applyAlignment="1" applyProtection="1"/>
    <xf numFmtId="164" fontId="45" fillId="0" borderId="7" xfId="0" applyNumberFormat="1" applyFont="1" applyBorder="1"/>
    <xf numFmtId="43" fontId="17" fillId="21" borderId="35" xfId="53" applyFont="1" applyFill="1" applyBorder="1" applyAlignment="1" applyProtection="1"/>
    <xf numFmtId="43" fontId="17" fillId="21" borderId="46" xfId="53" applyFont="1" applyFill="1" applyBorder="1" applyAlignment="1" applyProtection="1"/>
    <xf numFmtId="43" fontId="21" fillId="0" borderId="51" xfId="53" applyFont="1" applyBorder="1" applyAlignment="1" applyProtection="1">
      <alignment vertical="top" wrapText="1" readingOrder="1"/>
      <protection locked="0"/>
    </xf>
    <xf numFmtId="0" fontId="33" fillId="0" borderId="0" xfId="0" applyFont="1" applyAlignment="1" applyProtection="1">
      <alignment horizontal="center" vertical="center" wrapText="1"/>
      <protection locked="0"/>
    </xf>
    <xf numFmtId="17" fontId="33" fillId="0" borderId="7" xfId="0" applyNumberFormat="1" applyFont="1" applyBorder="1" applyAlignment="1">
      <alignment horizontal="center" vertical="center"/>
    </xf>
    <xf numFmtId="17" fontId="35" fillId="0" borderId="7" xfId="0" applyNumberFormat="1" applyFont="1" applyBorder="1" applyAlignment="1">
      <alignment horizontal="center"/>
    </xf>
    <xf numFmtId="0" fontId="33" fillId="0" borderId="7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168" fontId="21" fillId="0" borderId="51" xfId="0" applyNumberFormat="1" applyFont="1" applyBorder="1" applyAlignment="1" applyProtection="1">
      <alignment wrapText="1" readingOrder="1"/>
      <protection locked="0"/>
    </xf>
    <xf numFmtId="43" fontId="21" fillId="0" borderId="7" xfId="53" applyFont="1" applyBorder="1" applyAlignment="1" applyProtection="1">
      <alignment wrapText="1" readingOrder="1"/>
      <protection locked="0"/>
    </xf>
    <xf numFmtId="17" fontId="49" fillId="0" borderId="7" xfId="0" applyNumberFormat="1" applyFont="1" applyBorder="1" applyAlignment="1">
      <alignment horizontal="center"/>
    </xf>
    <xf numFmtId="0" fontId="49" fillId="0" borderId="7" xfId="0" applyFont="1" applyBorder="1" applyAlignment="1">
      <alignment horizontal="right"/>
    </xf>
    <xf numFmtId="43" fontId="49" fillId="0" borderId="18" xfId="53" applyFont="1" applyBorder="1"/>
    <xf numFmtId="43" fontId="47" fillId="21" borderId="18" xfId="53" applyFont="1" applyFill="1" applyBorder="1" applyAlignment="1" applyProtection="1"/>
    <xf numFmtId="43" fontId="44" fillId="0" borderId="18" xfId="53" applyFont="1" applyBorder="1" applyAlignment="1" applyProtection="1">
      <alignment horizontal="right" vertical="center"/>
      <protection locked="0"/>
    </xf>
    <xf numFmtId="43" fontId="45" fillId="0" borderId="18" xfId="53" applyFont="1" applyFill="1" applyBorder="1" applyAlignment="1" applyProtection="1">
      <protection locked="0"/>
    </xf>
    <xf numFmtId="43" fontId="45" fillId="0" borderId="18" xfId="53" applyFont="1" applyBorder="1" applyAlignment="1" applyProtection="1">
      <alignment horizontal="right" vertical="center"/>
      <protection locked="0"/>
    </xf>
    <xf numFmtId="43" fontId="50" fillId="21" borderId="18" xfId="53" applyFont="1" applyFill="1" applyBorder="1" applyAlignment="1" applyProtection="1">
      <alignment horizontal="right" vertical="center"/>
    </xf>
    <xf numFmtId="168" fontId="20" fillId="0" borderId="7" xfId="0" applyNumberFormat="1" applyFont="1" applyBorder="1" applyAlignment="1" applyProtection="1">
      <alignment vertical="top" wrapText="1" readingOrder="1"/>
      <protection locked="0"/>
    </xf>
    <xf numFmtId="3" fontId="0" fillId="0" borderId="0" xfId="0" applyNumberFormat="1"/>
    <xf numFmtId="3" fontId="0" fillId="0" borderId="7" xfId="0" applyNumberFormat="1" applyBorder="1"/>
    <xf numFmtId="43" fontId="47" fillId="21" borderId="7" xfId="53" applyFont="1" applyFill="1" applyBorder="1" applyAlignment="1" applyProtection="1"/>
    <xf numFmtId="43" fontId="45" fillId="0" borderId="7" xfId="53" applyFont="1" applyFill="1" applyBorder="1" applyAlignment="1" applyProtection="1">
      <protection locked="0"/>
    </xf>
    <xf numFmtId="43" fontId="45" fillId="0" borderId="7" xfId="53" applyFont="1" applyBorder="1" applyAlignment="1" applyProtection="1">
      <alignment horizontal="right" vertical="center"/>
      <protection locked="0"/>
    </xf>
    <xf numFmtId="166" fontId="46" fillId="0" borderId="7" xfId="53" applyNumberFormat="1" applyFont="1" applyBorder="1"/>
    <xf numFmtId="3" fontId="46" fillId="0" borderId="7" xfId="0" applyNumberFormat="1" applyFont="1" applyBorder="1"/>
    <xf numFmtId="43" fontId="22" fillId="0" borderId="0" xfId="53" applyFont="1"/>
    <xf numFmtId="166" fontId="22" fillId="0" borderId="7" xfId="53" applyNumberFormat="1" applyFont="1" applyBorder="1"/>
    <xf numFmtId="176" fontId="45" fillId="0" borderId="7" xfId="0" applyNumberFormat="1" applyFont="1" applyBorder="1"/>
    <xf numFmtId="166" fontId="45" fillId="0" borderId="7" xfId="53" applyNumberFormat="1" applyFont="1" applyFill="1" applyBorder="1"/>
    <xf numFmtId="3" fontId="45" fillId="0" borderId="7" xfId="0" applyNumberFormat="1" applyFont="1" applyBorder="1"/>
    <xf numFmtId="168" fontId="21" fillId="0" borderId="52" xfId="0" applyNumberFormat="1" applyFont="1" applyBorder="1" applyAlignment="1" applyProtection="1">
      <alignment vertical="top" wrapText="1" readingOrder="1"/>
      <protection locked="0"/>
    </xf>
    <xf numFmtId="166" fontId="21" fillId="0" borderId="7" xfId="53" applyNumberFormat="1" applyFont="1" applyBorder="1" applyAlignment="1" applyProtection="1">
      <alignment vertical="top" wrapText="1" readingOrder="1"/>
      <protection locked="0"/>
    </xf>
    <xf numFmtId="17" fontId="34" fillId="0" borderId="0" xfId="641" applyNumberFormat="1" applyFont="1"/>
    <xf numFmtId="17" fontId="35" fillId="0" borderId="7" xfId="0" applyNumberFormat="1" applyFont="1" applyBorder="1" applyAlignment="1">
      <alignment horizontal="right"/>
    </xf>
    <xf numFmtId="17" fontId="35" fillId="18" borderId="53" xfId="0" applyNumberFormat="1" applyFont="1" applyFill="1" applyBorder="1"/>
    <xf numFmtId="17" fontId="29" fillId="0" borderId="7" xfId="0" applyNumberFormat="1" applyFont="1" applyBorder="1"/>
    <xf numFmtId="0" fontId="29" fillId="0" borderId="7" xfId="0" applyFont="1" applyBorder="1"/>
    <xf numFmtId="43" fontId="46" fillId="0" borderId="0" xfId="0" applyNumberFormat="1" applyFont="1"/>
    <xf numFmtId="43" fontId="45" fillId="0" borderId="0" xfId="0" applyNumberFormat="1" applyFont="1"/>
    <xf numFmtId="17" fontId="46" fillId="0" borderId="0" xfId="0" applyNumberFormat="1" applyFont="1"/>
    <xf numFmtId="17" fontId="49" fillId="0" borderId="0" xfId="0" applyNumberFormat="1" applyFont="1"/>
    <xf numFmtId="3" fontId="46" fillId="0" borderId="0" xfId="0" applyNumberFormat="1" applyFont="1"/>
    <xf numFmtId="17" fontId="32" fillId="0" borderId="0" xfId="0" applyNumberFormat="1" applyFont="1" applyAlignment="1">
      <alignment horizontal="center" vertical="center"/>
    </xf>
    <xf numFmtId="43" fontId="45" fillId="0" borderId="0" xfId="53" applyFont="1"/>
    <xf numFmtId="43" fontId="47" fillId="20" borderId="0" xfId="53" applyFont="1" applyFill="1"/>
    <xf numFmtId="0" fontId="61" fillId="0" borderId="62" xfId="0" applyFont="1" applyBorder="1" applyAlignment="1">
      <alignment wrapText="1" readingOrder="1"/>
    </xf>
    <xf numFmtId="4" fontId="61" fillId="0" borderId="62" xfId="0" applyNumberFormat="1" applyFont="1" applyBorder="1" applyAlignment="1">
      <alignment wrapText="1" readingOrder="1"/>
    </xf>
    <xf numFmtId="0" fontId="61" fillId="0" borderId="63" xfId="0" applyFont="1" applyBorder="1" applyAlignment="1">
      <alignment wrapText="1" readingOrder="1"/>
    </xf>
    <xf numFmtId="4" fontId="61" fillId="0" borderId="63" xfId="0" applyNumberFormat="1" applyFont="1" applyBorder="1" applyAlignment="1">
      <alignment wrapText="1" readingOrder="1"/>
    </xf>
    <xf numFmtId="0" fontId="61" fillId="0" borderId="64" xfId="0" applyFont="1" applyBorder="1" applyAlignment="1">
      <alignment wrapText="1" readingOrder="1"/>
    </xf>
    <xf numFmtId="4" fontId="61" fillId="0" borderId="64" xfId="0" applyNumberFormat="1" applyFont="1" applyBorder="1" applyAlignment="1">
      <alignment wrapText="1" readingOrder="1"/>
    </xf>
    <xf numFmtId="0" fontId="61" fillId="0" borderId="65" xfId="0" applyFont="1" applyBorder="1" applyAlignment="1">
      <alignment wrapText="1" readingOrder="1"/>
    </xf>
    <xf numFmtId="4" fontId="61" fillId="0" borderId="65" xfId="0" applyNumberFormat="1" applyFont="1" applyBorder="1" applyAlignment="1">
      <alignment wrapText="1" readingOrder="1"/>
    </xf>
    <xf numFmtId="0" fontId="62" fillId="0" borderId="62" xfId="0" applyFont="1" applyBorder="1" applyAlignment="1">
      <alignment wrapText="1" readingOrder="1"/>
    </xf>
    <xf numFmtId="4" fontId="62" fillId="0" borderId="62" xfId="0" applyNumberFormat="1" applyFont="1" applyBorder="1" applyAlignment="1">
      <alignment wrapText="1" readingOrder="1"/>
    </xf>
    <xf numFmtId="0" fontId="62" fillId="0" borderId="63" xfId="0" applyFont="1" applyBorder="1" applyAlignment="1">
      <alignment wrapText="1" readingOrder="1"/>
    </xf>
    <xf numFmtId="4" fontId="62" fillId="0" borderId="63" xfId="0" applyNumberFormat="1" applyFont="1" applyBorder="1" applyAlignment="1">
      <alignment wrapText="1" readingOrder="1"/>
    </xf>
    <xf numFmtId="0" fontId="62" fillId="0" borderId="64" xfId="0" applyFont="1" applyBorder="1" applyAlignment="1">
      <alignment wrapText="1" readingOrder="1"/>
    </xf>
    <xf numFmtId="4" fontId="62" fillId="0" borderId="64" xfId="0" applyNumberFormat="1" applyFont="1" applyBorder="1" applyAlignment="1">
      <alignment wrapText="1" readingOrder="1"/>
    </xf>
    <xf numFmtId="0" fontId="62" fillId="0" borderId="65" xfId="0" applyFont="1" applyBorder="1" applyAlignment="1">
      <alignment wrapText="1" readingOrder="1"/>
    </xf>
    <xf numFmtId="4" fontId="62" fillId="0" borderId="65" xfId="0" applyNumberFormat="1" applyFont="1" applyBorder="1" applyAlignment="1">
      <alignment wrapText="1" readingOrder="1"/>
    </xf>
    <xf numFmtId="0" fontId="51" fillId="0" borderId="0" xfId="0" applyFont="1" applyAlignment="1">
      <alignment horizontal="center" wrapText="1"/>
    </xf>
    <xf numFmtId="43" fontId="14" fillId="0" borderId="34" xfId="53" applyFont="1" applyBorder="1" applyAlignment="1">
      <alignment horizontal="center" wrapText="1"/>
    </xf>
    <xf numFmtId="43" fontId="13" fillId="0" borderId="34" xfId="53" applyFont="1" applyBorder="1" applyAlignment="1">
      <alignment horizontal="center" wrapText="1"/>
    </xf>
    <xf numFmtId="43" fontId="13" fillId="0" borderId="47" xfId="53" applyFont="1" applyBorder="1" applyAlignment="1">
      <alignment horizontal="center" wrapText="1"/>
    </xf>
    <xf numFmtId="0" fontId="14" fillId="0" borderId="34" xfId="0" applyFont="1" applyBorder="1" applyAlignment="1">
      <alignment horizontal="center" wrapText="1"/>
    </xf>
    <xf numFmtId="0" fontId="13" fillId="0" borderId="34" xfId="0" applyFont="1" applyBorder="1" applyAlignment="1">
      <alignment horizontal="center" wrapText="1"/>
    </xf>
    <xf numFmtId="0" fontId="13" fillId="0" borderId="47" xfId="0" applyFont="1" applyBorder="1" applyAlignment="1">
      <alignment horizontal="center" wrapText="1"/>
    </xf>
    <xf numFmtId="0" fontId="29" fillId="0" borderId="13" xfId="0" applyFont="1" applyBorder="1" applyAlignment="1" applyProtection="1">
      <alignment horizontal="center"/>
      <protection locked="0"/>
    </xf>
    <xf numFmtId="0" fontId="29" fillId="0" borderId="54" xfId="0" applyFont="1" applyBorder="1" applyAlignment="1" applyProtection="1">
      <alignment horizontal="center"/>
      <protection locked="0"/>
    </xf>
    <xf numFmtId="0" fontId="29" fillId="0" borderId="27" xfId="0" applyFont="1" applyBorder="1" applyAlignment="1" applyProtection="1">
      <alignment horizontal="center"/>
      <protection locked="0"/>
    </xf>
    <xf numFmtId="0" fontId="29" fillId="0" borderId="29" xfId="0" applyFont="1" applyBorder="1" applyAlignment="1" applyProtection="1">
      <alignment horizontal="center"/>
      <protection locked="0"/>
    </xf>
    <xf numFmtId="0" fontId="29" fillId="0" borderId="12" xfId="0" applyFont="1" applyBorder="1" applyAlignment="1" applyProtection="1">
      <alignment horizontal="center"/>
      <protection locked="0"/>
    </xf>
    <xf numFmtId="0" fontId="29" fillId="0" borderId="7" xfId="0" applyFont="1" applyBorder="1" applyAlignment="1" applyProtection="1">
      <alignment horizontal="center"/>
      <protection locked="0"/>
    </xf>
    <xf numFmtId="0" fontId="29" fillId="0" borderId="18" xfId="0" applyFont="1" applyBorder="1" applyAlignment="1" applyProtection="1">
      <alignment horizontal="center"/>
      <protection locked="0"/>
    </xf>
    <xf numFmtId="0" fontId="29" fillId="0" borderId="23" xfId="0" applyFont="1" applyBorder="1" applyAlignment="1" applyProtection="1">
      <alignment horizontal="center"/>
      <protection locked="0"/>
    </xf>
    <xf numFmtId="0" fontId="29" fillId="0" borderId="48" xfId="0" applyFont="1" applyBorder="1" applyAlignment="1">
      <alignment horizontal="center"/>
    </xf>
    <xf numFmtId="0" fontId="29" fillId="0" borderId="33" xfId="0" applyFont="1" applyBorder="1" applyAlignment="1">
      <alignment horizontal="center"/>
    </xf>
    <xf numFmtId="0" fontId="29" fillId="0" borderId="25" xfId="0" applyFont="1" applyBorder="1" applyAlignment="1" applyProtection="1">
      <alignment horizontal="center"/>
      <protection locked="0"/>
    </xf>
    <xf numFmtId="0" fontId="29" fillId="0" borderId="26" xfId="0" applyFont="1" applyBorder="1" applyAlignment="1" applyProtection="1">
      <alignment horizontal="center"/>
      <protection locked="0"/>
    </xf>
    <xf numFmtId="17" fontId="29" fillId="0" borderId="55" xfId="0" applyNumberFormat="1" applyFont="1" applyBorder="1" applyAlignment="1" applyProtection="1">
      <alignment horizontal="center" wrapText="1"/>
      <protection locked="0"/>
    </xf>
    <xf numFmtId="17" fontId="29" fillId="0" borderId="56" xfId="0" applyNumberFormat="1" applyFont="1" applyBorder="1" applyAlignment="1" applyProtection="1">
      <alignment horizontal="center" wrapText="1"/>
      <protection locked="0"/>
    </xf>
    <xf numFmtId="0" fontId="59" fillId="0" borderId="55" xfId="0" applyFont="1" applyBorder="1" applyAlignment="1">
      <alignment horizontal="center" wrapText="1"/>
    </xf>
    <xf numFmtId="0" fontId="59" fillId="0" borderId="56" xfId="0" applyFont="1" applyBorder="1" applyAlignment="1">
      <alignment horizontal="center" wrapText="1"/>
    </xf>
    <xf numFmtId="0" fontId="60" fillId="24" borderId="43" xfId="0" applyFont="1" applyFill="1" applyBorder="1" applyAlignment="1">
      <alignment horizontal="left"/>
    </xf>
    <xf numFmtId="0" fontId="60" fillId="24" borderId="44" xfId="0" applyFont="1" applyFill="1" applyBorder="1" applyAlignment="1">
      <alignment horizontal="left"/>
    </xf>
    <xf numFmtId="0" fontId="60" fillId="24" borderId="57" xfId="0" applyFont="1" applyFill="1" applyBorder="1" applyAlignment="1">
      <alignment horizontal="left"/>
    </xf>
    <xf numFmtId="0" fontId="0" fillId="0" borderId="18" xfId="0" applyBorder="1" applyAlignment="1" applyProtection="1">
      <alignment horizontal="center"/>
      <protection locked="0"/>
    </xf>
    <xf numFmtId="0" fontId="0" fillId="0" borderId="25" xfId="0" applyBorder="1" applyAlignment="1" applyProtection="1">
      <alignment horizontal="center"/>
      <protection locked="0"/>
    </xf>
    <xf numFmtId="0" fontId="0" fillId="0" borderId="26" xfId="0" applyBorder="1" applyAlignment="1" applyProtection="1">
      <alignment horizontal="center"/>
      <protection locked="0"/>
    </xf>
    <xf numFmtId="0" fontId="59" fillId="18" borderId="12" xfId="0" applyFont="1" applyFill="1" applyBorder="1" applyAlignment="1">
      <alignment horizontal="left"/>
    </xf>
    <xf numFmtId="0" fontId="59" fillId="18" borderId="7" xfId="0" applyFont="1" applyFill="1" applyBorder="1" applyAlignment="1">
      <alignment horizontal="left"/>
    </xf>
    <xf numFmtId="0" fontId="59" fillId="18" borderId="18" xfId="0" applyFont="1" applyFill="1" applyBorder="1" applyAlignment="1">
      <alignment horizontal="left"/>
    </xf>
    <xf numFmtId="0" fontId="59" fillId="18" borderId="23" xfId="0" applyFont="1" applyFill="1" applyBorder="1" applyAlignment="1">
      <alignment horizontal="left"/>
    </xf>
    <xf numFmtId="0" fontId="61" fillId="0" borderId="62" xfId="0" applyFont="1" applyFill="1" applyBorder="1" applyAlignment="1">
      <alignment wrapText="1" readingOrder="1"/>
    </xf>
    <xf numFmtId="4" fontId="61" fillId="0" borderId="62" xfId="0" applyNumberFormat="1" applyFont="1" applyFill="1" applyBorder="1" applyAlignment="1">
      <alignment wrapText="1" readingOrder="1"/>
    </xf>
    <xf numFmtId="0" fontId="61" fillId="0" borderId="64" xfId="0" applyFont="1" applyFill="1" applyBorder="1" applyAlignment="1">
      <alignment wrapText="1" readingOrder="1"/>
    </xf>
    <xf numFmtId="4" fontId="61" fillId="0" borderId="64" xfId="0" applyNumberFormat="1" applyFont="1" applyFill="1" applyBorder="1" applyAlignment="1">
      <alignment wrapText="1" readingOrder="1"/>
    </xf>
    <xf numFmtId="0" fontId="62" fillId="0" borderId="62" xfId="0" applyFont="1" applyFill="1" applyBorder="1" applyAlignment="1">
      <alignment wrapText="1" readingOrder="1"/>
    </xf>
    <xf numFmtId="4" fontId="62" fillId="0" borderId="62" xfId="0" applyNumberFormat="1" applyFont="1" applyFill="1" applyBorder="1" applyAlignment="1">
      <alignment wrapText="1" readingOrder="1"/>
    </xf>
    <xf numFmtId="0" fontId="62" fillId="0" borderId="64" xfId="0" applyFont="1" applyFill="1" applyBorder="1" applyAlignment="1">
      <alignment wrapText="1" readingOrder="1"/>
    </xf>
    <xf numFmtId="4" fontId="62" fillId="0" borderId="64" xfId="0" applyNumberFormat="1" applyFont="1" applyFill="1" applyBorder="1" applyAlignment="1">
      <alignment wrapText="1" readingOrder="1"/>
    </xf>
  </cellXfs>
  <cellStyles count="691">
    <cellStyle name="60% - Accent2 2" xfId="1" xr:uid="{00000000-0005-0000-0000-000000000000}"/>
    <cellStyle name="60% - Accent2 2 2" xfId="2" xr:uid="{00000000-0005-0000-0000-000001000000}"/>
    <cellStyle name="Accent1 2" xfId="3" xr:uid="{00000000-0005-0000-0000-000002000000}"/>
    <cellStyle name="Accent1 2 10" xfId="4" xr:uid="{00000000-0005-0000-0000-000003000000}"/>
    <cellStyle name="Accent1 2 10 2" xfId="5" xr:uid="{00000000-0005-0000-0000-000004000000}"/>
    <cellStyle name="Accent1 2 11" xfId="6" xr:uid="{00000000-0005-0000-0000-000005000000}"/>
    <cellStyle name="Accent1 2 11 2" xfId="7" xr:uid="{00000000-0005-0000-0000-000006000000}"/>
    <cellStyle name="Accent1 2 12" xfId="8" xr:uid="{00000000-0005-0000-0000-000007000000}"/>
    <cellStyle name="Accent1 2 12 2" xfId="9" xr:uid="{00000000-0005-0000-0000-000008000000}"/>
    <cellStyle name="Accent1 2 13" xfId="10" xr:uid="{00000000-0005-0000-0000-000009000000}"/>
    <cellStyle name="Accent1 2 2" xfId="11" xr:uid="{00000000-0005-0000-0000-00000A000000}"/>
    <cellStyle name="Accent1 2 2 2" xfId="12" xr:uid="{00000000-0005-0000-0000-00000B000000}"/>
    <cellStyle name="Accent1 2 3" xfId="13" xr:uid="{00000000-0005-0000-0000-00000C000000}"/>
    <cellStyle name="Accent1 2 3 2" xfId="14" xr:uid="{00000000-0005-0000-0000-00000D000000}"/>
    <cellStyle name="Accent1 2 4" xfId="15" xr:uid="{00000000-0005-0000-0000-00000E000000}"/>
    <cellStyle name="Accent1 2 4 2" xfId="16" xr:uid="{00000000-0005-0000-0000-00000F000000}"/>
    <cellStyle name="Accent1 2 5" xfId="17" xr:uid="{00000000-0005-0000-0000-000010000000}"/>
    <cellStyle name="Accent1 2 5 2" xfId="18" xr:uid="{00000000-0005-0000-0000-000011000000}"/>
    <cellStyle name="Accent1 2 6" xfId="19" xr:uid="{00000000-0005-0000-0000-000012000000}"/>
    <cellStyle name="Accent1 2 6 2" xfId="20" xr:uid="{00000000-0005-0000-0000-000013000000}"/>
    <cellStyle name="Accent1 2 7" xfId="21" xr:uid="{00000000-0005-0000-0000-000014000000}"/>
    <cellStyle name="Accent1 2 7 2" xfId="22" xr:uid="{00000000-0005-0000-0000-000015000000}"/>
    <cellStyle name="Accent1 2 8" xfId="23" xr:uid="{00000000-0005-0000-0000-000016000000}"/>
    <cellStyle name="Accent1 2 8 2" xfId="24" xr:uid="{00000000-0005-0000-0000-000017000000}"/>
    <cellStyle name="Accent1 2 9" xfId="25" xr:uid="{00000000-0005-0000-0000-000018000000}"/>
    <cellStyle name="Accent1 2 9 2" xfId="26" xr:uid="{00000000-0005-0000-0000-000019000000}"/>
    <cellStyle name="Accent5 2" xfId="27" xr:uid="{00000000-0005-0000-0000-00001A000000}"/>
    <cellStyle name="Accent5 2 10" xfId="28" xr:uid="{00000000-0005-0000-0000-00001B000000}"/>
    <cellStyle name="Accent5 2 10 2" xfId="29" xr:uid="{00000000-0005-0000-0000-00001C000000}"/>
    <cellStyle name="Accent5 2 11" xfId="30" xr:uid="{00000000-0005-0000-0000-00001D000000}"/>
    <cellStyle name="Accent5 2 11 2" xfId="31" xr:uid="{00000000-0005-0000-0000-00001E000000}"/>
    <cellStyle name="Accent5 2 12" xfId="32" xr:uid="{00000000-0005-0000-0000-00001F000000}"/>
    <cellStyle name="Accent5 2 12 2" xfId="33" xr:uid="{00000000-0005-0000-0000-000020000000}"/>
    <cellStyle name="Accent5 2 13" xfId="34" xr:uid="{00000000-0005-0000-0000-000021000000}"/>
    <cellStyle name="Accent5 2 2" xfId="35" xr:uid="{00000000-0005-0000-0000-000022000000}"/>
    <cellStyle name="Accent5 2 2 2" xfId="36" xr:uid="{00000000-0005-0000-0000-000023000000}"/>
    <cellStyle name="Accent5 2 3" xfId="37" xr:uid="{00000000-0005-0000-0000-000024000000}"/>
    <cellStyle name="Accent5 2 3 2" xfId="38" xr:uid="{00000000-0005-0000-0000-000025000000}"/>
    <cellStyle name="Accent5 2 4" xfId="39" xr:uid="{00000000-0005-0000-0000-000026000000}"/>
    <cellStyle name="Accent5 2 4 2" xfId="40" xr:uid="{00000000-0005-0000-0000-000027000000}"/>
    <cellStyle name="Accent5 2 5" xfId="41" xr:uid="{00000000-0005-0000-0000-000028000000}"/>
    <cellStyle name="Accent5 2 5 2" xfId="42" xr:uid="{00000000-0005-0000-0000-000029000000}"/>
    <cellStyle name="Accent5 2 6" xfId="43" xr:uid="{00000000-0005-0000-0000-00002A000000}"/>
    <cellStyle name="Accent5 2 6 2" xfId="44" xr:uid="{00000000-0005-0000-0000-00002B000000}"/>
    <cellStyle name="Accent5 2 7" xfId="45" xr:uid="{00000000-0005-0000-0000-00002C000000}"/>
    <cellStyle name="Accent5 2 7 2" xfId="46" xr:uid="{00000000-0005-0000-0000-00002D000000}"/>
    <cellStyle name="Accent5 2 8" xfId="47" xr:uid="{00000000-0005-0000-0000-00002E000000}"/>
    <cellStyle name="Accent5 2 8 2" xfId="48" xr:uid="{00000000-0005-0000-0000-00002F000000}"/>
    <cellStyle name="Accent5 2 9" xfId="49" xr:uid="{00000000-0005-0000-0000-000030000000}"/>
    <cellStyle name="Accent5 2 9 2" xfId="50" xr:uid="{00000000-0005-0000-0000-000031000000}"/>
    <cellStyle name="Check Cell 2" xfId="51" xr:uid="{00000000-0005-0000-0000-000032000000}"/>
    <cellStyle name="Check Cell 2 2" xfId="52" xr:uid="{00000000-0005-0000-0000-000033000000}"/>
    <cellStyle name="Comma" xfId="53" builtinId="3"/>
    <cellStyle name="Comma 10" xfId="54" xr:uid="{00000000-0005-0000-0000-000035000000}"/>
    <cellStyle name="Comma 10 10" xfId="55" xr:uid="{00000000-0005-0000-0000-000036000000}"/>
    <cellStyle name="Comma 10 10 2" xfId="56" xr:uid="{00000000-0005-0000-0000-000037000000}"/>
    <cellStyle name="Comma 10 11" xfId="57" xr:uid="{00000000-0005-0000-0000-000038000000}"/>
    <cellStyle name="Comma 10 11 2" xfId="58" xr:uid="{00000000-0005-0000-0000-000039000000}"/>
    <cellStyle name="Comma 10 12" xfId="59" xr:uid="{00000000-0005-0000-0000-00003A000000}"/>
    <cellStyle name="Comma 10 12 2" xfId="60" xr:uid="{00000000-0005-0000-0000-00003B000000}"/>
    <cellStyle name="Comma 10 13" xfId="61" xr:uid="{00000000-0005-0000-0000-00003C000000}"/>
    <cellStyle name="Comma 10 13 2" xfId="62" xr:uid="{00000000-0005-0000-0000-00003D000000}"/>
    <cellStyle name="Comma 10 14" xfId="63" xr:uid="{00000000-0005-0000-0000-00003E000000}"/>
    <cellStyle name="Comma 10 14 2" xfId="64" xr:uid="{00000000-0005-0000-0000-00003F000000}"/>
    <cellStyle name="Comma 10 15" xfId="65" xr:uid="{00000000-0005-0000-0000-000040000000}"/>
    <cellStyle name="Comma 10 15 2" xfId="66" xr:uid="{00000000-0005-0000-0000-000041000000}"/>
    <cellStyle name="Comma 10 16" xfId="67" xr:uid="{00000000-0005-0000-0000-000042000000}"/>
    <cellStyle name="Comma 10 16 2" xfId="68" xr:uid="{00000000-0005-0000-0000-000043000000}"/>
    <cellStyle name="Comma 10 17" xfId="69" xr:uid="{00000000-0005-0000-0000-000044000000}"/>
    <cellStyle name="Comma 10 19" xfId="70" xr:uid="{00000000-0005-0000-0000-000045000000}"/>
    <cellStyle name="Comma 10 2" xfId="71" xr:uid="{00000000-0005-0000-0000-000046000000}"/>
    <cellStyle name="Comma 10 2 2" xfId="72" xr:uid="{00000000-0005-0000-0000-000047000000}"/>
    <cellStyle name="Comma 10 3" xfId="73" xr:uid="{00000000-0005-0000-0000-000048000000}"/>
    <cellStyle name="Comma 10 3 2" xfId="74" xr:uid="{00000000-0005-0000-0000-000049000000}"/>
    <cellStyle name="Comma 10 4" xfId="75" xr:uid="{00000000-0005-0000-0000-00004A000000}"/>
    <cellStyle name="Comma 10 4 2" xfId="76" xr:uid="{00000000-0005-0000-0000-00004B000000}"/>
    <cellStyle name="Comma 10 5" xfId="77" xr:uid="{00000000-0005-0000-0000-00004C000000}"/>
    <cellStyle name="Comma 10 5 2" xfId="78" xr:uid="{00000000-0005-0000-0000-00004D000000}"/>
    <cellStyle name="Comma 10 6" xfId="79" xr:uid="{00000000-0005-0000-0000-00004E000000}"/>
    <cellStyle name="Comma 10 6 2" xfId="80" xr:uid="{00000000-0005-0000-0000-00004F000000}"/>
    <cellStyle name="Comma 10 7" xfId="81" xr:uid="{00000000-0005-0000-0000-000050000000}"/>
    <cellStyle name="Comma 10 7 2" xfId="82" xr:uid="{00000000-0005-0000-0000-000051000000}"/>
    <cellStyle name="Comma 10 8" xfId="83" xr:uid="{00000000-0005-0000-0000-000052000000}"/>
    <cellStyle name="Comma 10 8 2" xfId="84" xr:uid="{00000000-0005-0000-0000-000053000000}"/>
    <cellStyle name="Comma 10 9" xfId="85" xr:uid="{00000000-0005-0000-0000-000054000000}"/>
    <cellStyle name="Comma 10 9 2" xfId="86" xr:uid="{00000000-0005-0000-0000-000055000000}"/>
    <cellStyle name="Comma 11" xfId="87" xr:uid="{00000000-0005-0000-0000-000056000000}"/>
    <cellStyle name="Comma 11 10" xfId="88" xr:uid="{00000000-0005-0000-0000-000057000000}"/>
    <cellStyle name="Comma 11 10 2" xfId="89" xr:uid="{00000000-0005-0000-0000-000058000000}"/>
    <cellStyle name="Comma 11 11" xfId="90" xr:uid="{00000000-0005-0000-0000-000059000000}"/>
    <cellStyle name="Comma 11 11 2" xfId="91" xr:uid="{00000000-0005-0000-0000-00005A000000}"/>
    <cellStyle name="Comma 11 12" xfId="92" xr:uid="{00000000-0005-0000-0000-00005B000000}"/>
    <cellStyle name="Comma 11 12 2" xfId="93" xr:uid="{00000000-0005-0000-0000-00005C000000}"/>
    <cellStyle name="Comma 11 13" xfId="94" xr:uid="{00000000-0005-0000-0000-00005D000000}"/>
    <cellStyle name="Comma 11 13 2" xfId="95" xr:uid="{00000000-0005-0000-0000-00005E000000}"/>
    <cellStyle name="Comma 11 14" xfId="96" xr:uid="{00000000-0005-0000-0000-00005F000000}"/>
    <cellStyle name="Comma 11 14 2" xfId="97" xr:uid="{00000000-0005-0000-0000-000060000000}"/>
    <cellStyle name="Comma 11 15" xfId="98" xr:uid="{00000000-0005-0000-0000-000061000000}"/>
    <cellStyle name="Comma 11 15 2" xfId="99" xr:uid="{00000000-0005-0000-0000-000062000000}"/>
    <cellStyle name="Comma 11 16" xfId="100" xr:uid="{00000000-0005-0000-0000-000063000000}"/>
    <cellStyle name="Comma 11 16 2" xfId="101" xr:uid="{00000000-0005-0000-0000-000064000000}"/>
    <cellStyle name="Comma 11 17" xfId="102" xr:uid="{00000000-0005-0000-0000-000065000000}"/>
    <cellStyle name="Comma 11 17 2" xfId="103" xr:uid="{00000000-0005-0000-0000-000066000000}"/>
    <cellStyle name="Comma 11 18" xfId="104" xr:uid="{00000000-0005-0000-0000-000067000000}"/>
    <cellStyle name="Comma 11 2" xfId="105" xr:uid="{00000000-0005-0000-0000-000068000000}"/>
    <cellStyle name="Comma 11 2 2" xfId="106" xr:uid="{00000000-0005-0000-0000-000069000000}"/>
    <cellStyle name="Comma 11 2 2 2" xfId="107" xr:uid="{00000000-0005-0000-0000-00006A000000}"/>
    <cellStyle name="Comma 11 2 3" xfId="108" xr:uid="{00000000-0005-0000-0000-00006B000000}"/>
    <cellStyle name="Comma 11 3" xfId="109" xr:uid="{00000000-0005-0000-0000-00006C000000}"/>
    <cellStyle name="Comma 11 3 2" xfId="110" xr:uid="{00000000-0005-0000-0000-00006D000000}"/>
    <cellStyle name="Comma 11 4" xfId="111" xr:uid="{00000000-0005-0000-0000-00006E000000}"/>
    <cellStyle name="Comma 11 4 2" xfId="112" xr:uid="{00000000-0005-0000-0000-00006F000000}"/>
    <cellStyle name="Comma 11 5" xfId="113" xr:uid="{00000000-0005-0000-0000-000070000000}"/>
    <cellStyle name="Comma 11 5 2" xfId="114" xr:uid="{00000000-0005-0000-0000-000071000000}"/>
    <cellStyle name="Comma 11 6" xfId="115" xr:uid="{00000000-0005-0000-0000-000072000000}"/>
    <cellStyle name="Comma 11 6 2" xfId="116" xr:uid="{00000000-0005-0000-0000-000073000000}"/>
    <cellStyle name="Comma 11 7" xfId="117" xr:uid="{00000000-0005-0000-0000-000074000000}"/>
    <cellStyle name="Comma 11 7 2" xfId="118" xr:uid="{00000000-0005-0000-0000-000075000000}"/>
    <cellStyle name="Comma 11 8" xfId="119" xr:uid="{00000000-0005-0000-0000-000076000000}"/>
    <cellStyle name="Comma 11 8 2" xfId="120" xr:uid="{00000000-0005-0000-0000-000077000000}"/>
    <cellStyle name="Comma 11 9" xfId="121" xr:uid="{00000000-0005-0000-0000-000078000000}"/>
    <cellStyle name="Comma 11 9 2" xfId="122" xr:uid="{00000000-0005-0000-0000-000079000000}"/>
    <cellStyle name="Comma 12" xfId="123" xr:uid="{00000000-0005-0000-0000-00007A000000}"/>
    <cellStyle name="Comma 12 2" xfId="124" xr:uid="{00000000-0005-0000-0000-00007B000000}"/>
    <cellStyle name="Comma 13" xfId="125" xr:uid="{00000000-0005-0000-0000-00007C000000}"/>
    <cellStyle name="Comma 13 2" xfId="126" xr:uid="{00000000-0005-0000-0000-00007D000000}"/>
    <cellStyle name="Comma 14" xfId="127" xr:uid="{00000000-0005-0000-0000-00007E000000}"/>
    <cellStyle name="Comma 14 2" xfId="128" xr:uid="{00000000-0005-0000-0000-00007F000000}"/>
    <cellStyle name="Comma 15" xfId="129" xr:uid="{00000000-0005-0000-0000-000080000000}"/>
    <cellStyle name="Comma 15 2" xfId="130" xr:uid="{00000000-0005-0000-0000-000081000000}"/>
    <cellStyle name="Comma 16" xfId="131" xr:uid="{00000000-0005-0000-0000-000082000000}"/>
    <cellStyle name="Comma 16 10" xfId="132" xr:uid="{00000000-0005-0000-0000-000083000000}"/>
    <cellStyle name="Comma 16 10 2" xfId="133" xr:uid="{00000000-0005-0000-0000-000084000000}"/>
    <cellStyle name="Comma 16 11" xfId="134" xr:uid="{00000000-0005-0000-0000-000085000000}"/>
    <cellStyle name="Comma 16 11 2" xfId="135" xr:uid="{00000000-0005-0000-0000-000086000000}"/>
    <cellStyle name="Comma 16 12" xfId="136" xr:uid="{00000000-0005-0000-0000-000087000000}"/>
    <cellStyle name="Comma 16 12 2" xfId="137" xr:uid="{00000000-0005-0000-0000-000088000000}"/>
    <cellStyle name="Comma 16 13" xfId="138" xr:uid="{00000000-0005-0000-0000-000089000000}"/>
    <cellStyle name="Comma 16 13 2" xfId="139" xr:uid="{00000000-0005-0000-0000-00008A000000}"/>
    <cellStyle name="Comma 16 14" xfId="140" xr:uid="{00000000-0005-0000-0000-00008B000000}"/>
    <cellStyle name="Comma 16 14 2" xfId="141" xr:uid="{00000000-0005-0000-0000-00008C000000}"/>
    <cellStyle name="Comma 16 15" xfId="142" xr:uid="{00000000-0005-0000-0000-00008D000000}"/>
    <cellStyle name="Comma 16 15 2" xfId="143" xr:uid="{00000000-0005-0000-0000-00008E000000}"/>
    <cellStyle name="Comma 16 16" xfId="144" xr:uid="{00000000-0005-0000-0000-00008F000000}"/>
    <cellStyle name="Comma 16 16 2" xfId="145" xr:uid="{00000000-0005-0000-0000-000090000000}"/>
    <cellStyle name="Comma 16 17" xfId="146" xr:uid="{00000000-0005-0000-0000-000091000000}"/>
    <cellStyle name="Comma 16 2" xfId="147" xr:uid="{00000000-0005-0000-0000-000092000000}"/>
    <cellStyle name="Comma 16 2 2" xfId="148" xr:uid="{00000000-0005-0000-0000-000093000000}"/>
    <cellStyle name="Comma 16 3" xfId="149" xr:uid="{00000000-0005-0000-0000-000094000000}"/>
    <cellStyle name="Comma 16 3 2" xfId="150" xr:uid="{00000000-0005-0000-0000-000095000000}"/>
    <cellStyle name="Comma 16 4" xfId="151" xr:uid="{00000000-0005-0000-0000-000096000000}"/>
    <cellStyle name="Comma 16 4 2" xfId="152" xr:uid="{00000000-0005-0000-0000-000097000000}"/>
    <cellStyle name="Comma 16 5" xfId="153" xr:uid="{00000000-0005-0000-0000-000098000000}"/>
    <cellStyle name="Comma 16 5 2" xfId="154" xr:uid="{00000000-0005-0000-0000-000099000000}"/>
    <cellStyle name="Comma 16 6" xfId="155" xr:uid="{00000000-0005-0000-0000-00009A000000}"/>
    <cellStyle name="Comma 16 6 2" xfId="156" xr:uid="{00000000-0005-0000-0000-00009B000000}"/>
    <cellStyle name="Comma 16 7" xfId="157" xr:uid="{00000000-0005-0000-0000-00009C000000}"/>
    <cellStyle name="Comma 16 7 2" xfId="158" xr:uid="{00000000-0005-0000-0000-00009D000000}"/>
    <cellStyle name="Comma 16 8" xfId="159" xr:uid="{00000000-0005-0000-0000-00009E000000}"/>
    <cellStyle name="Comma 16 8 2" xfId="160" xr:uid="{00000000-0005-0000-0000-00009F000000}"/>
    <cellStyle name="Comma 16 9" xfId="161" xr:uid="{00000000-0005-0000-0000-0000A0000000}"/>
    <cellStyle name="Comma 16 9 2" xfId="162" xr:uid="{00000000-0005-0000-0000-0000A1000000}"/>
    <cellStyle name="Comma 17" xfId="163" xr:uid="{00000000-0005-0000-0000-0000A2000000}"/>
    <cellStyle name="Comma 17 10" xfId="164" xr:uid="{00000000-0005-0000-0000-0000A3000000}"/>
    <cellStyle name="Comma 17 10 2" xfId="165" xr:uid="{00000000-0005-0000-0000-0000A4000000}"/>
    <cellStyle name="Comma 17 11" xfId="166" xr:uid="{00000000-0005-0000-0000-0000A5000000}"/>
    <cellStyle name="Comma 17 2" xfId="167" xr:uid="{00000000-0005-0000-0000-0000A6000000}"/>
    <cellStyle name="Comma 17 2 2" xfId="168" xr:uid="{00000000-0005-0000-0000-0000A7000000}"/>
    <cellStyle name="Comma 17 3" xfId="169" xr:uid="{00000000-0005-0000-0000-0000A8000000}"/>
    <cellStyle name="Comma 17 3 2" xfId="170" xr:uid="{00000000-0005-0000-0000-0000A9000000}"/>
    <cellStyle name="Comma 17 4" xfId="171" xr:uid="{00000000-0005-0000-0000-0000AA000000}"/>
    <cellStyle name="Comma 17 4 2" xfId="172" xr:uid="{00000000-0005-0000-0000-0000AB000000}"/>
    <cellStyle name="Comma 17 5" xfId="173" xr:uid="{00000000-0005-0000-0000-0000AC000000}"/>
    <cellStyle name="Comma 17 5 2" xfId="174" xr:uid="{00000000-0005-0000-0000-0000AD000000}"/>
    <cellStyle name="Comma 17 6" xfId="175" xr:uid="{00000000-0005-0000-0000-0000AE000000}"/>
    <cellStyle name="Comma 17 6 2" xfId="176" xr:uid="{00000000-0005-0000-0000-0000AF000000}"/>
    <cellStyle name="Comma 17 7" xfId="177" xr:uid="{00000000-0005-0000-0000-0000B0000000}"/>
    <cellStyle name="Comma 17 7 2" xfId="178" xr:uid="{00000000-0005-0000-0000-0000B1000000}"/>
    <cellStyle name="Comma 17 8" xfId="179" xr:uid="{00000000-0005-0000-0000-0000B2000000}"/>
    <cellStyle name="Comma 17 8 2" xfId="180" xr:uid="{00000000-0005-0000-0000-0000B3000000}"/>
    <cellStyle name="Comma 17 9" xfId="181" xr:uid="{00000000-0005-0000-0000-0000B4000000}"/>
    <cellStyle name="Comma 17 9 2" xfId="182" xr:uid="{00000000-0005-0000-0000-0000B5000000}"/>
    <cellStyle name="Comma 18" xfId="183" xr:uid="{00000000-0005-0000-0000-0000B6000000}"/>
    <cellStyle name="Comma 18 2" xfId="184" xr:uid="{00000000-0005-0000-0000-0000B7000000}"/>
    <cellStyle name="Comma 19" xfId="185" xr:uid="{00000000-0005-0000-0000-0000B8000000}"/>
    <cellStyle name="Comma 2" xfId="186" xr:uid="{00000000-0005-0000-0000-0000B9000000}"/>
    <cellStyle name="Comma 2 10" xfId="187" xr:uid="{00000000-0005-0000-0000-0000BA000000}"/>
    <cellStyle name="Comma 2 10 2" xfId="188" xr:uid="{00000000-0005-0000-0000-0000BB000000}"/>
    <cellStyle name="Comma 2 11" xfId="189" xr:uid="{00000000-0005-0000-0000-0000BC000000}"/>
    <cellStyle name="Comma 2 11 2" xfId="190" xr:uid="{00000000-0005-0000-0000-0000BD000000}"/>
    <cellStyle name="Comma 2 12" xfId="191" xr:uid="{00000000-0005-0000-0000-0000BE000000}"/>
    <cellStyle name="Comma 2 12 2" xfId="192" xr:uid="{00000000-0005-0000-0000-0000BF000000}"/>
    <cellStyle name="Comma 2 13" xfId="193" xr:uid="{00000000-0005-0000-0000-0000C0000000}"/>
    <cellStyle name="Comma 2 13 2" xfId="194" xr:uid="{00000000-0005-0000-0000-0000C1000000}"/>
    <cellStyle name="Comma 2 14" xfId="195" xr:uid="{00000000-0005-0000-0000-0000C2000000}"/>
    <cellStyle name="Comma 2 14 2" xfId="196" xr:uid="{00000000-0005-0000-0000-0000C3000000}"/>
    <cellStyle name="Comma 2 15" xfId="197" xr:uid="{00000000-0005-0000-0000-0000C4000000}"/>
    <cellStyle name="Comma 2 15 2" xfId="198" xr:uid="{00000000-0005-0000-0000-0000C5000000}"/>
    <cellStyle name="Comma 2 16" xfId="199" xr:uid="{00000000-0005-0000-0000-0000C6000000}"/>
    <cellStyle name="Comma 2 16 2" xfId="200" xr:uid="{00000000-0005-0000-0000-0000C7000000}"/>
    <cellStyle name="Comma 2 17" xfId="201" xr:uid="{00000000-0005-0000-0000-0000C8000000}"/>
    <cellStyle name="Comma 2 17 2" xfId="202" xr:uid="{00000000-0005-0000-0000-0000C9000000}"/>
    <cellStyle name="Comma 2 18" xfId="203" xr:uid="{00000000-0005-0000-0000-0000CA000000}"/>
    <cellStyle name="Comma 2 18 2" xfId="204" xr:uid="{00000000-0005-0000-0000-0000CB000000}"/>
    <cellStyle name="Comma 2 19" xfId="205" xr:uid="{00000000-0005-0000-0000-0000CC000000}"/>
    <cellStyle name="Comma 2 19 2" xfId="206" xr:uid="{00000000-0005-0000-0000-0000CD000000}"/>
    <cellStyle name="Comma 2 2" xfId="207" xr:uid="{00000000-0005-0000-0000-0000CE000000}"/>
    <cellStyle name="Comma 2 2 2" xfId="208" xr:uid="{00000000-0005-0000-0000-0000CF000000}"/>
    <cellStyle name="Comma 2 20" xfId="209" xr:uid="{00000000-0005-0000-0000-0000D0000000}"/>
    <cellStyle name="Comma 2 20 2" xfId="210" xr:uid="{00000000-0005-0000-0000-0000D1000000}"/>
    <cellStyle name="Comma 2 21" xfId="211" xr:uid="{00000000-0005-0000-0000-0000D2000000}"/>
    <cellStyle name="Comma 2 21 2" xfId="212" xr:uid="{00000000-0005-0000-0000-0000D3000000}"/>
    <cellStyle name="Comma 2 22" xfId="213" xr:uid="{00000000-0005-0000-0000-0000D4000000}"/>
    <cellStyle name="Comma 2 22 2" xfId="214" xr:uid="{00000000-0005-0000-0000-0000D5000000}"/>
    <cellStyle name="Comma 2 23" xfId="215" xr:uid="{00000000-0005-0000-0000-0000D6000000}"/>
    <cellStyle name="Comma 2 23 2" xfId="216" xr:uid="{00000000-0005-0000-0000-0000D7000000}"/>
    <cellStyle name="Comma 2 24" xfId="217" xr:uid="{00000000-0005-0000-0000-0000D8000000}"/>
    <cellStyle name="Comma 2 24 2" xfId="218" xr:uid="{00000000-0005-0000-0000-0000D9000000}"/>
    <cellStyle name="Comma 2 25" xfId="219" xr:uid="{00000000-0005-0000-0000-0000DA000000}"/>
    <cellStyle name="Comma 2 25 2" xfId="220" xr:uid="{00000000-0005-0000-0000-0000DB000000}"/>
    <cellStyle name="Comma 2 26" xfId="221" xr:uid="{00000000-0005-0000-0000-0000DC000000}"/>
    <cellStyle name="Comma 2 26 2" xfId="222" xr:uid="{00000000-0005-0000-0000-0000DD000000}"/>
    <cellStyle name="Comma 2 27" xfId="223" xr:uid="{00000000-0005-0000-0000-0000DE000000}"/>
    <cellStyle name="Comma 2 3" xfId="224" xr:uid="{00000000-0005-0000-0000-0000DF000000}"/>
    <cellStyle name="Comma 2 3 2" xfId="225" xr:uid="{00000000-0005-0000-0000-0000E0000000}"/>
    <cellStyle name="Comma 2 4" xfId="226" xr:uid="{00000000-0005-0000-0000-0000E1000000}"/>
    <cellStyle name="Comma 2 4 2" xfId="227" xr:uid="{00000000-0005-0000-0000-0000E2000000}"/>
    <cellStyle name="Comma 2 5" xfId="228" xr:uid="{00000000-0005-0000-0000-0000E3000000}"/>
    <cellStyle name="Comma 2 5 2" xfId="229" xr:uid="{00000000-0005-0000-0000-0000E4000000}"/>
    <cellStyle name="Comma 2 6" xfId="230" xr:uid="{00000000-0005-0000-0000-0000E5000000}"/>
    <cellStyle name="Comma 2 6 2" xfId="231" xr:uid="{00000000-0005-0000-0000-0000E6000000}"/>
    <cellStyle name="Comma 2 7" xfId="232" xr:uid="{00000000-0005-0000-0000-0000E7000000}"/>
    <cellStyle name="Comma 2 7 2" xfId="233" xr:uid="{00000000-0005-0000-0000-0000E8000000}"/>
    <cellStyle name="Comma 2 8" xfId="234" xr:uid="{00000000-0005-0000-0000-0000E9000000}"/>
    <cellStyle name="Comma 2 8 2" xfId="235" xr:uid="{00000000-0005-0000-0000-0000EA000000}"/>
    <cellStyle name="Comma 2 9" xfId="236" xr:uid="{00000000-0005-0000-0000-0000EB000000}"/>
    <cellStyle name="Comma 2 9 2" xfId="237" xr:uid="{00000000-0005-0000-0000-0000EC000000}"/>
    <cellStyle name="Comma 24" xfId="238" xr:uid="{00000000-0005-0000-0000-0000ED000000}"/>
    <cellStyle name="Comma 24 2" xfId="239" xr:uid="{00000000-0005-0000-0000-0000EE000000}"/>
    <cellStyle name="Comma 3" xfId="240" xr:uid="{00000000-0005-0000-0000-0000EF000000}"/>
    <cellStyle name="Comma 3 10" xfId="241" xr:uid="{00000000-0005-0000-0000-0000F0000000}"/>
    <cellStyle name="Comma 3 10 2" xfId="242" xr:uid="{00000000-0005-0000-0000-0000F1000000}"/>
    <cellStyle name="Comma 3 11" xfId="243" xr:uid="{00000000-0005-0000-0000-0000F2000000}"/>
    <cellStyle name="Comma 3 11 2" xfId="244" xr:uid="{00000000-0005-0000-0000-0000F3000000}"/>
    <cellStyle name="Comma 3 12" xfId="245" xr:uid="{00000000-0005-0000-0000-0000F4000000}"/>
    <cellStyle name="Comma 3 12 2" xfId="246" xr:uid="{00000000-0005-0000-0000-0000F5000000}"/>
    <cellStyle name="Comma 3 13" xfId="247" xr:uid="{00000000-0005-0000-0000-0000F6000000}"/>
    <cellStyle name="Comma 3 13 2" xfId="248" xr:uid="{00000000-0005-0000-0000-0000F7000000}"/>
    <cellStyle name="Comma 3 14" xfId="249" xr:uid="{00000000-0005-0000-0000-0000F8000000}"/>
    <cellStyle name="Comma 3 14 2" xfId="250" xr:uid="{00000000-0005-0000-0000-0000F9000000}"/>
    <cellStyle name="Comma 3 15" xfId="251" xr:uid="{00000000-0005-0000-0000-0000FA000000}"/>
    <cellStyle name="Comma 3 15 2" xfId="252" xr:uid="{00000000-0005-0000-0000-0000FB000000}"/>
    <cellStyle name="Comma 3 16" xfId="253" xr:uid="{00000000-0005-0000-0000-0000FC000000}"/>
    <cellStyle name="Comma 3 16 2" xfId="254" xr:uid="{00000000-0005-0000-0000-0000FD000000}"/>
    <cellStyle name="Comma 3 17" xfId="255" xr:uid="{00000000-0005-0000-0000-0000FE000000}"/>
    <cellStyle name="Comma 3 17 2" xfId="256" xr:uid="{00000000-0005-0000-0000-0000FF000000}"/>
    <cellStyle name="Comma 3 18" xfId="257" xr:uid="{00000000-0005-0000-0000-000000010000}"/>
    <cellStyle name="Comma 3 18 2" xfId="258" xr:uid="{00000000-0005-0000-0000-000001010000}"/>
    <cellStyle name="Comma 3 19" xfId="259" xr:uid="{00000000-0005-0000-0000-000002010000}"/>
    <cellStyle name="Comma 3 19 2" xfId="260" xr:uid="{00000000-0005-0000-0000-000003010000}"/>
    <cellStyle name="Comma 3 2" xfId="261" xr:uid="{00000000-0005-0000-0000-000004010000}"/>
    <cellStyle name="Comma 3 2 2" xfId="262" xr:uid="{00000000-0005-0000-0000-000005010000}"/>
    <cellStyle name="Comma 3 20" xfId="263" xr:uid="{00000000-0005-0000-0000-000006010000}"/>
    <cellStyle name="Comma 3 20 2" xfId="264" xr:uid="{00000000-0005-0000-0000-000007010000}"/>
    <cellStyle name="Comma 3 21" xfId="265" xr:uid="{00000000-0005-0000-0000-000008010000}"/>
    <cellStyle name="Comma 3 3" xfId="266" xr:uid="{00000000-0005-0000-0000-000009010000}"/>
    <cellStyle name="Comma 3 3 2" xfId="267" xr:uid="{00000000-0005-0000-0000-00000A010000}"/>
    <cellStyle name="Comma 3 4" xfId="268" xr:uid="{00000000-0005-0000-0000-00000B010000}"/>
    <cellStyle name="Comma 3 4 2" xfId="269" xr:uid="{00000000-0005-0000-0000-00000C010000}"/>
    <cellStyle name="Comma 3 5" xfId="270" xr:uid="{00000000-0005-0000-0000-00000D010000}"/>
    <cellStyle name="Comma 3 5 2" xfId="271" xr:uid="{00000000-0005-0000-0000-00000E010000}"/>
    <cellStyle name="Comma 3 6" xfId="272" xr:uid="{00000000-0005-0000-0000-00000F010000}"/>
    <cellStyle name="Comma 3 6 2" xfId="273" xr:uid="{00000000-0005-0000-0000-000010010000}"/>
    <cellStyle name="Comma 3 7" xfId="274" xr:uid="{00000000-0005-0000-0000-000011010000}"/>
    <cellStyle name="Comma 3 7 2" xfId="275" xr:uid="{00000000-0005-0000-0000-000012010000}"/>
    <cellStyle name="Comma 3 8" xfId="276" xr:uid="{00000000-0005-0000-0000-000013010000}"/>
    <cellStyle name="Comma 3 8 2" xfId="277" xr:uid="{00000000-0005-0000-0000-000014010000}"/>
    <cellStyle name="Comma 3 9" xfId="278" xr:uid="{00000000-0005-0000-0000-000015010000}"/>
    <cellStyle name="Comma 3 9 2" xfId="279" xr:uid="{00000000-0005-0000-0000-000016010000}"/>
    <cellStyle name="Comma 4" xfId="280" xr:uid="{00000000-0005-0000-0000-000017010000}"/>
    <cellStyle name="Comma 4 2" xfId="281" xr:uid="{00000000-0005-0000-0000-000018010000}"/>
    <cellStyle name="Comma 5" xfId="282" xr:uid="{00000000-0005-0000-0000-000019010000}"/>
    <cellStyle name="Comma 5 10" xfId="283" xr:uid="{00000000-0005-0000-0000-00001A010000}"/>
    <cellStyle name="Comma 5 10 2" xfId="284" xr:uid="{00000000-0005-0000-0000-00001B010000}"/>
    <cellStyle name="Comma 5 11" xfId="285" xr:uid="{00000000-0005-0000-0000-00001C010000}"/>
    <cellStyle name="Comma 5 11 2" xfId="286" xr:uid="{00000000-0005-0000-0000-00001D010000}"/>
    <cellStyle name="Comma 5 12" xfId="287" xr:uid="{00000000-0005-0000-0000-00001E010000}"/>
    <cellStyle name="Comma 5 12 2" xfId="288" xr:uid="{00000000-0005-0000-0000-00001F010000}"/>
    <cellStyle name="Comma 5 13" xfId="289" xr:uid="{00000000-0005-0000-0000-000020010000}"/>
    <cellStyle name="Comma 5 13 2" xfId="290" xr:uid="{00000000-0005-0000-0000-000021010000}"/>
    <cellStyle name="Comma 5 14" xfId="291" xr:uid="{00000000-0005-0000-0000-000022010000}"/>
    <cellStyle name="Comma 5 14 2" xfId="292" xr:uid="{00000000-0005-0000-0000-000023010000}"/>
    <cellStyle name="Comma 5 15" xfId="293" xr:uid="{00000000-0005-0000-0000-000024010000}"/>
    <cellStyle name="Comma 5 15 2" xfId="294" xr:uid="{00000000-0005-0000-0000-000025010000}"/>
    <cellStyle name="Comma 5 16" xfId="295" xr:uid="{00000000-0005-0000-0000-000026010000}"/>
    <cellStyle name="Comma 5 16 2" xfId="296" xr:uid="{00000000-0005-0000-0000-000027010000}"/>
    <cellStyle name="Comma 5 17" xfId="297" xr:uid="{00000000-0005-0000-0000-000028010000}"/>
    <cellStyle name="Comma 5 17 2" xfId="298" xr:uid="{00000000-0005-0000-0000-000029010000}"/>
    <cellStyle name="Comma 5 18" xfId="299" xr:uid="{00000000-0005-0000-0000-00002A010000}"/>
    <cellStyle name="Comma 5 18 2" xfId="300" xr:uid="{00000000-0005-0000-0000-00002B010000}"/>
    <cellStyle name="Comma 5 19" xfId="301" xr:uid="{00000000-0005-0000-0000-00002C010000}"/>
    <cellStyle name="Comma 5 19 2" xfId="302" xr:uid="{00000000-0005-0000-0000-00002D010000}"/>
    <cellStyle name="Comma 5 2" xfId="303" xr:uid="{00000000-0005-0000-0000-00002E010000}"/>
    <cellStyle name="Comma 5 2 2" xfId="304" xr:uid="{00000000-0005-0000-0000-00002F010000}"/>
    <cellStyle name="Comma 5 20" xfId="305" xr:uid="{00000000-0005-0000-0000-000030010000}"/>
    <cellStyle name="Comma 5 20 2" xfId="306" xr:uid="{00000000-0005-0000-0000-000031010000}"/>
    <cellStyle name="Comma 5 21" xfId="307" xr:uid="{00000000-0005-0000-0000-000032010000}"/>
    <cellStyle name="Comma 5 3" xfId="308" xr:uid="{00000000-0005-0000-0000-000033010000}"/>
    <cellStyle name="Comma 5 3 2" xfId="309" xr:uid="{00000000-0005-0000-0000-000034010000}"/>
    <cellStyle name="Comma 5 4" xfId="310" xr:uid="{00000000-0005-0000-0000-000035010000}"/>
    <cellStyle name="Comma 5 4 2" xfId="311" xr:uid="{00000000-0005-0000-0000-000036010000}"/>
    <cellStyle name="Comma 5 5" xfId="312" xr:uid="{00000000-0005-0000-0000-000037010000}"/>
    <cellStyle name="Comma 5 5 2" xfId="313" xr:uid="{00000000-0005-0000-0000-000038010000}"/>
    <cellStyle name="Comma 5 6" xfId="314" xr:uid="{00000000-0005-0000-0000-000039010000}"/>
    <cellStyle name="Comma 5 6 2" xfId="315" xr:uid="{00000000-0005-0000-0000-00003A010000}"/>
    <cellStyle name="Comma 5 7" xfId="316" xr:uid="{00000000-0005-0000-0000-00003B010000}"/>
    <cellStyle name="Comma 5 7 2" xfId="317" xr:uid="{00000000-0005-0000-0000-00003C010000}"/>
    <cellStyle name="Comma 5 8" xfId="318" xr:uid="{00000000-0005-0000-0000-00003D010000}"/>
    <cellStyle name="Comma 5 8 2" xfId="319" xr:uid="{00000000-0005-0000-0000-00003E010000}"/>
    <cellStyle name="Comma 5 9" xfId="320" xr:uid="{00000000-0005-0000-0000-00003F010000}"/>
    <cellStyle name="Comma 5 9 2" xfId="321" xr:uid="{00000000-0005-0000-0000-000040010000}"/>
    <cellStyle name="Comma 6" xfId="322" xr:uid="{00000000-0005-0000-0000-000041010000}"/>
    <cellStyle name="Comma 6 10" xfId="323" xr:uid="{00000000-0005-0000-0000-000042010000}"/>
    <cellStyle name="Comma 6 10 2" xfId="324" xr:uid="{00000000-0005-0000-0000-000043010000}"/>
    <cellStyle name="Comma 6 11" xfId="325" xr:uid="{00000000-0005-0000-0000-000044010000}"/>
    <cellStyle name="Comma 6 11 2" xfId="326" xr:uid="{00000000-0005-0000-0000-000045010000}"/>
    <cellStyle name="Comma 6 12" xfId="327" xr:uid="{00000000-0005-0000-0000-000046010000}"/>
    <cellStyle name="Comma 6 12 2" xfId="328" xr:uid="{00000000-0005-0000-0000-000047010000}"/>
    <cellStyle name="Comma 6 13" xfId="329" xr:uid="{00000000-0005-0000-0000-000048010000}"/>
    <cellStyle name="Comma 6 13 2" xfId="330" xr:uid="{00000000-0005-0000-0000-000049010000}"/>
    <cellStyle name="Comma 6 14" xfId="331" xr:uid="{00000000-0005-0000-0000-00004A010000}"/>
    <cellStyle name="Comma 6 14 2" xfId="332" xr:uid="{00000000-0005-0000-0000-00004B010000}"/>
    <cellStyle name="Comma 6 15" xfId="333" xr:uid="{00000000-0005-0000-0000-00004C010000}"/>
    <cellStyle name="Comma 6 15 2" xfId="334" xr:uid="{00000000-0005-0000-0000-00004D010000}"/>
    <cellStyle name="Comma 6 16" xfId="335" xr:uid="{00000000-0005-0000-0000-00004E010000}"/>
    <cellStyle name="Comma 6 16 2" xfId="336" xr:uid="{00000000-0005-0000-0000-00004F010000}"/>
    <cellStyle name="Comma 6 17" xfId="337" xr:uid="{00000000-0005-0000-0000-000050010000}"/>
    <cellStyle name="Comma 6 17 2" xfId="338" xr:uid="{00000000-0005-0000-0000-000051010000}"/>
    <cellStyle name="Comma 6 18" xfId="339" xr:uid="{00000000-0005-0000-0000-000052010000}"/>
    <cellStyle name="Comma 6 18 2" xfId="340" xr:uid="{00000000-0005-0000-0000-000053010000}"/>
    <cellStyle name="Comma 6 19" xfId="341" xr:uid="{00000000-0005-0000-0000-000054010000}"/>
    <cellStyle name="Comma 6 19 2" xfId="342" xr:uid="{00000000-0005-0000-0000-000055010000}"/>
    <cellStyle name="Comma 6 2" xfId="343" xr:uid="{00000000-0005-0000-0000-000056010000}"/>
    <cellStyle name="Comma 6 2 2" xfId="344" xr:uid="{00000000-0005-0000-0000-000057010000}"/>
    <cellStyle name="Comma 6 20" xfId="345" xr:uid="{00000000-0005-0000-0000-000058010000}"/>
    <cellStyle name="Comma 6 3" xfId="346" xr:uid="{00000000-0005-0000-0000-000059010000}"/>
    <cellStyle name="Comma 6 3 2" xfId="347" xr:uid="{00000000-0005-0000-0000-00005A010000}"/>
    <cellStyle name="Comma 6 4" xfId="348" xr:uid="{00000000-0005-0000-0000-00005B010000}"/>
    <cellStyle name="Comma 6 4 2" xfId="349" xr:uid="{00000000-0005-0000-0000-00005C010000}"/>
    <cellStyle name="Comma 6 5" xfId="350" xr:uid="{00000000-0005-0000-0000-00005D010000}"/>
    <cellStyle name="Comma 6 5 2" xfId="351" xr:uid="{00000000-0005-0000-0000-00005E010000}"/>
    <cellStyle name="Comma 6 6" xfId="352" xr:uid="{00000000-0005-0000-0000-00005F010000}"/>
    <cellStyle name="Comma 6 6 2" xfId="353" xr:uid="{00000000-0005-0000-0000-000060010000}"/>
    <cellStyle name="Comma 6 7" xfId="354" xr:uid="{00000000-0005-0000-0000-000061010000}"/>
    <cellStyle name="Comma 6 7 2" xfId="355" xr:uid="{00000000-0005-0000-0000-000062010000}"/>
    <cellStyle name="Comma 6 8" xfId="356" xr:uid="{00000000-0005-0000-0000-000063010000}"/>
    <cellStyle name="Comma 6 8 2" xfId="357" xr:uid="{00000000-0005-0000-0000-000064010000}"/>
    <cellStyle name="Comma 6 9" xfId="358" xr:uid="{00000000-0005-0000-0000-000065010000}"/>
    <cellStyle name="Comma 6 9 2" xfId="359" xr:uid="{00000000-0005-0000-0000-000066010000}"/>
    <cellStyle name="Comma 7" xfId="360" xr:uid="{00000000-0005-0000-0000-000067010000}"/>
    <cellStyle name="Comma 7 10" xfId="361" xr:uid="{00000000-0005-0000-0000-000068010000}"/>
    <cellStyle name="Comma 7 10 2" xfId="362" xr:uid="{00000000-0005-0000-0000-000069010000}"/>
    <cellStyle name="Comma 7 11" xfId="363" xr:uid="{00000000-0005-0000-0000-00006A010000}"/>
    <cellStyle name="Comma 7 11 2" xfId="364" xr:uid="{00000000-0005-0000-0000-00006B010000}"/>
    <cellStyle name="Comma 7 12" xfId="365" xr:uid="{00000000-0005-0000-0000-00006C010000}"/>
    <cellStyle name="Comma 7 12 2" xfId="366" xr:uid="{00000000-0005-0000-0000-00006D010000}"/>
    <cellStyle name="Comma 7 13" xfId="367" xr:uid="{00000000-0005-0000-0000-00006E010000}"/>
    <cellStyle name="Comma 7 13 2" xfId="368" xr:uid="{00000000-0005-0000-0000-00006F010000}"/>
    <cellStyle name="Comma 7 14" xfId="369" xr:uid="{00000000-0005-0000-0000-000070010000}"/>
    <cellStyle name="Comma 7 14 2" xfId="370" xr:uid="{00000000-0005-0000-0000-000071010000}"/>
    <cellStyle name="Comma 7 15" xfId="371" xr:uid="{00000000-0005-0000-0000-000072010000}"/>
    <cellStyle name="Comma 7 15 2" xfId="372" xr:uid="{00000000-0005-0000-0000-000073010000}"/>
    <cellStyle name="Comma 7 16" xfId="373" xr:uid="{00000000-0005-0000-0000-000074010000}"/>
    <cellStyle name="Comma 7 16 2" xfId="374" xr:uid="{00000000-0005-0000-0000-000075010000}"/>
    <cellStyle name="Comma 7 17" xfId="375" xr:uid="{00000000-0005-0000-0000-000076010000}"/>
    <cellStyle name="Comma 7 17 2" xfId="376" xr:uid="{00000000-0005-0000-0000-000077010000}"/>
    <cellStyle name="Comma 7 18" xfId="377" xr:uid="{00000000-0005-0000-0000-000078010000}"/>
    <cellStyle name="Comma 7 18 2" xfId="378" xr:uid="{00000000-0005-0000-0000-000079010000}"/>
    <cellStyle name="Comma 7 19" xfId="379" xr:uid="{00000000-0005-0000-0000-00007A010000}"/>
    <cellStyle name="Comma 7 19 2" xfId="380" xr:uid="{00000000-0005-0000-0000-00007B010000}"/>
    <cellStyle name="Comma 7 2" xfId="381" xr:uid="{00000000-0005-0000-0000-00007C010000}"/>
    <cellStyle name="Comma 7 2 2" xfId="382" xr:uid="{00000000-0005-0000-0000-00007D010000}"/>
    <cellStyle name="Comma 7 20" xfId="383" xr:uid="{00000000-0005-0000-0000-00007E010000}"/>
    <cellStyle name="Comma 7 3" xfId="384" xr:uid="{00000000-0005-0000-0000-00007F010000}"/>
    <cellStyle name="Comma 7 3 2" xfId="385" xr:uid="{00000000-0005-0000-0000-000080010000}"/>
    <cellStyle name="Comma 7 4" xfId="386" xr:uid="{00000000-0005-0000-0000-000081010000}"/>
    <cellStyle name="Comma 7 4 2" xfId="387" xr:uid="{00000000-0005-0000-0000-000082010000}"/>
    <cellStyle name="Comma 7 5" xfId="388" xr:uid="{00000000-0005-0000-0000-000083010000}"/>
    <cellStyle name="Comma 7 5 2" xfId="389" xr:uid="{00000000-0005-0000-0000-000084010000}"/>
    <cellStyle name="Comma 7 6" xfId="390" xr:uid="{00000000-0005-0000-0000-000085010000}"/>
    <cellStyle name="Comma 7 6 2" xfId="391" xr:uid="{00000000-0005-0000-0000-000086010000}"/>
    <cellStyle name="Comma 7 7" xfId="392" xr:uid="{00000000-0005-0000-0000-000087010000}"/>
    <cellStyle name="Comma 7 7 2" xfId="393" xr:uid="{00000000-0005-0000-0000-000088010000}"/>
    <cellStyle name="Comma 7 8" xfId="394" xr:uid="{00000000-0005-0000-0000-000089010000}"/>
    <cellStyle name="Comma 7 8 2" xfId="395" xr:uid="{00000000-0005-0000-0000-00008A010000}"/>
    <cellStyle name="Comma 7 9" xfId="396" xr:uid="{00000000-0005-0000-0000-00008B010000}"/>
    <cellStyle name="Comma 7 9 2" xfId="397" xr:uid="{00000000-0005-0000-0000-00008C010000}"/>
    <cellStyle name="Comma 8" xfId="398" xr:uid="{00000000-0005-0000-0000-00008D010000}"/>
    <cellStyle name="Comma 8 10" xfId="399" xr:uid="{00000000-0005-0000-0000-00008E010000}"/>
    <cellStyle name="Comma 8 10 2" xfId="400" xr:uid="{00000000-0005-0000-0000-00008F010000}"/>
    <cellStyle name="Comma 8 11" xfId="401" xr:uid="{00000000-0005-0000-0000-000090010000}"/>
    <cellStyle name="Comma 8 11 2" xfId="402" xr:uid="{00000000-0005-0000-0000-000091010000}"/>
    <cellStyle name="Comma 8 12" xfId="403" xr:uid="{00000000-0005-0000-0000-000092010000}"/>
    <cellStyle name="Comma 8 12 2" xfId="404" xr:uid="{00000000-0005-0000-0000-000093010000}"/>
    <cellStyle name="Comma 8 13" xfId="405" xr:uid="{00000000-0005-0000-0000-000094010000}"/>
    <cellStyle name="Comma 8 13 2" xfId="406" xr:uid="{00000000-0005-0000-0000-000095010000}"/>
    <cellStyle name="Comma 8 14" xfId="407" xr:uid="{00000000-0005-0000-0000-000096010000}"/>
    <cellStyle name="Comma 8 14 2" xfId="408" xr:uid="{00000000-0005-0000-0000-000097010000}"/>
    <cellStyle name="Comma 8 15" xfId="409" xr:uid="{00000000-0005-0000-0000-000098010000}"/>
    <cellStyle name="Comma 8 15 2" xfId="410" xr:uid="{00000000-0005-0000-0000-000099010000}"/>
    <cellStyle name="Comma 8 16" xfId="411" xr:uid="{00000000-0005-0000-0000-00009A010000}"/>
    <cellStyle name="Comma 8 16 2" xfId="412" xr:uid="{00000000-0005-0000-0000-00009B010000}"/>
    <cellStyle name="Comma 8 17" xfId="413" xr:uid="{00000000-0005-0000-0000-00009C010000}"/>
    <cellStyle name="Comma 8 17 2" xfId="414" xr:uid="{00000000-0005-0000-0000-00009D010000}"/>
    <cellStyle name="Comma 8 18" xfId="415" xr:uid="{00000000-0005-0000-0000-00009E010000}"/>
    <cellStyle name="Comma 8 18 2" xfId="416" xr:uid="{00000000-0005-0000-0000-00009F010000}"/>
    <cellStyle name="Comma 8 19" xfId="417" xr:uid="{00000000-0005-0000-0000-0000A0010000}"/>
    <cellStyle name="Comma 8 19 2" xfId="418" xr:uid="{00000000-0005-0000-0000-0000A1010000}"/>
    <cellStyle name="Comma 8 2" xfId="419" xr:uid="{00000000-0005-0000-0000-0000A2010000}"/>
    <cellStyle name="Comma 8 2 2" xfId="420" xr:uid="{00000000-0005-0000-0000-0000A3010000}"/>
    <cellStyle name="Comma 8 20" xfId="421" xr:uid="{00000000-0005-0000-0000-0000A4010000}"/>
    <cellStyle name="Comma 8 3" xfId="422" xr:uid="{00000000-0005-0000-0000-0000A5010000}"/>
    <cellStyle name="Comma 8 3 2" xfId="423" xr:uid="{00000000-0005-0000-0000-0000A6010000}"/>
    <cellStyle name="Comma 8 4" xfId="424" xr:uid="{00000000-0005-0000-0000-0000A7010000}"/>
    <cellStyle name="Comma 8 4 2" xfId="425" xr:uid="{00000000-0005-0000-0000-0000A8010000}"/>
    <cellStyle name="Comma 8 5" xfId="426" xr:uid="{00000000-0005-0000-0000-0000A9010000}"/>
    <cellStyle name="Comma 8 5 2" xfId="427" xr:uid="{00000000-0005-0000-0000-0000AA010000}"/>
    <cellStyle name="Comma 8 6" xfId="428" xr:uid="{00000000-0005-0000-0000-0000AB010000}"/>
    <cellStyle name="Comma 8 6 2" xfId="429" xr:uid="{00000000-0005-0000-0000-0000AC010000}"/>
    <cellStyle name="Comma 8 7" xfId="430" xr:uid="{00000000-0005-0000-0000-0000AD010000}"/>
    <cellStyle name="Comma 8 7 2" xfId="431" xr:uid="{00000000-0005-0000-0000-0000AE010000}"/>
    <cellStyle name="Comma 8 8" xfId="432" xr:uid="{00000000-0005-0000-0000-0000AF010000}"/>
    <cellStyle name="Comma 8 8 2" xfId="433" xr:uid="{00000000-0005-0000-0000-0000B0010000}"/>
    <cellStyle name="Comma 8 9" xfId="434" xr:uid="{00000000-0005-0000-0000-0000B1010000}"/>
    <cellStyle name="Comma 8 9 2" xfId="435" xr:uid="{00000000-0005-0000-0000-0000B2010000}"/>
    <cellStyle name="Comma 9" xfId="436" xr:uid="{00000000-0005-0000-0000-0000B3010000}"/>
    <cellStyle name="Comma 9 10" xfId="437" xr:uid="{00000000-0005-0000-0000-0000B4010000}"/>
    <cellStyle name="Comma 9 10 2" xfId="438" xr:uid="{00000000-0005-0000-0000-0000B5010000}"/>
    <cellStyle name="Comma 9 11" xfId="439" xr:uid="{00000000-0005-0000-0000-0000B6010000}"/>
    <cellStyle name="Comma 9 11 2" xfId="440" xr:uid="{00000000-0005-0000-0000-0000B7010000}"/>
    <cellStyle name="Comma 9 12" xfId="441" xr:uid="{00000000-0005-0000-0000-0000B8010000}"/>
    <cellStyle name="Comma 9 12 2" xfId="442" xr:uid="{00000000-0005-0000-0000-0000B9010000}"/>
    <cellStyle name="Comma 9 13" xfId="443" xr:uid="{00000000-0005-0000-0000-0000BA010000}"/>
    <cellStyle name="Comma 9 13 2" xfId="444" xr:uid="{00000000-0005-0000-0000-0000BB010000}"/>
    <cellStyle name="Comma 9 14" xfId="445" xr:uid="{00000000-0005-0000-0000-0000BC010000}"/>
    <cellStyle name="Comma 9 14 2" xfId="446" xr:uid="{00000000-0005-0000-0000-0000BD010000}"/>
    <cellStyle name="Comma 9 15" xfId="447" xr:uid="{00000000-0005-0000-0000-0000BE010000}"/>
    <cellStyle name="Comma 9 15 2" xfId="448" xr:uid="{00000000-0005-0000-0000-0000BF010000}"/>
    <cellStyle name="Comma 9 16" xfId="449" xr:uid="{00000000-0005-0000-0000-0000C0010000}"/>
    <cellStyle name="Comma 9 16 2" xfId="450" xr:uid="{00000000-0005-0000-0000-0000C1010000}"/>
    <cellStyle name="Comma 9 17" xfId="451" xr:uid="{00000000-0005-0000-0000-0000C2010000}"/>
    <cellStyle name="Comma 9 17 2" xfId="452" xr:uid="{00000000-0005-0000-0000-0000C3010000}"/>
    <cellStyle name="Comma 9 18" xfId="453" xr:uid="{00000000-0005-0000-0000-0000C4010000}"/>
    <cellStyle name="Comma 9 18 2" xfId="454" xr:uid="{00000000-0005-0000-0000-0000C5010000}"/>
    <cellStyle name="Comma 9 19" xfId="455" xr:uid="{00000000-0005-0000-0000-0000C6010000}"/>
    <cellStyle name="Comma 9 19 2" xfId="456" xr:uid="{00000000-0005-0000-0000-0000C7010000}"/>
    <cellStyle name="Comma 9 2" xfId="457" xr:uid="{00000000-0005-0000-0000-0000C8010000}"/>
    <cellStyle name="Comma 9 2 2" xfId="458" xr:uid="{00000000-0005-0000-0000-0000C9010000}"/>
    <cellStyle name="Comma 9 20" xfId="459" xr:uid="{00000000-0005-0000-0000-0000CA010000}"/>
    <cellStyle name="Comma 9 3" xfId="460" xr:uid="{00000000-0005-0000-0000-0000CB010000}"/>
    <cellStyle name="Comma 9 3 2" xfId="461" xr:uid="{00000000-0005-0000-0000-0000CC010000}"/>
    <cellStyle name="Comma 9 4" xfId="462" xr:uid="{00000000-0005-0000-0000-0000CD010000}"/>
    <cellStyle name="Comma 9 4 2" xfId="463" xr:uid="{00000000-0005-0000-0000-0000CE010000}"/>
    <cellStyle name="Comma 9 5" xfId="464" xr:uid="{00000000-0005-0000-0000-0000CF010000}"/>
    <cellStyle name="Comma 9 5 2" xfId="465" xr:uid="{00000000-0005-0000-0000-0000D0010000}"/>
    <cellStyle name="Comma 9 6" xfId="466" xr:uid="{00000000-0005-0000-0000-0000D1010000}"/>
    <cellStyle name="Comma 9 6 2" xfId="467" xr:uid="{00000000-0005-0000-0000-0000D2010000}"/>
    <cellStyle name="Comma 9 7" xfId="468" xr:uid="{00000000-0005-0000-0000-0000D3010000}"/>
    <cellStyle name="Comma 9 7 2" xfId="469" xr:uid="{00000000-0005-0000-0000-0000D4010000}"/>
    <cellStyle name="Comma 9 8" xfId="470" xr:uid="{00000000-0005-0000-0000-0000D5010000}"/>
    <cellStyle name="Comma 9 8 2" xfId="471" xr:uid="{00000000-0005-0000-0000-0000D6010000}"/>
    <cellStyle name="Comma 9 9" xfId="472" xr:uid="{00000000-0005-0000-0000-0000D7010000}"/>
    <cellStyle name="Comma 9 9 2" xfId="473" xr:uid="{00000000-0005-0000-0000-0000D8010000}"/>
    <cellStyle name="Input 2" xfId="474" xr:uid="{00000000-0005-0000-0000-0000D9010000}"/>
    <cellStyle name="Input 2 2" xfId="475" xr:uid="{00000000-0005-0000-0000-0000DA010000}"/>
    <cellStyle name="Jun" xfId="476" xr:uid="{00000000-0005-0000-0000-0000DB010000}"/>
    <cellStyle name="Normal" xfId="0" builtinId="0"/>
    <cellStyle name="Normal 10" xfId="477" xr:uid="{00000000-0005-0000-0000-0000DD010000}"/>
    <cellStyle name="Normal 10 2" xfId="478" xr:uid="{00000000-0005-0000-0000-0000DE010000}"/>
    <cellStyle name="Normal 10 2 2" xfId="479" xr:uid="{00000000-0005-0000-0000-0000DF010000}"/>
    <cellStyle name="Normal 10 3" xfId="480" xr:uid="{00000000-0005-0000-0000-0000E0010000}"/>
    <cellStyle name="Normal 10 4" xfId="481" xr:uid="{00000000-0005-0000-0000-0000E1010000}"/>
    <cellStyle name="Normal 10 5" xfId="482" xr:uid="{00000000-0005-0000-0000-0000E2010000}"/>
    <cellStyle name="Normal 11" xfId="483" xr:uid="{00000000-0005-0000-0000-0000E3010000}"/>
    <cellStyle name="Normal 12" xfId="484" xr:uid="{00000000-0005-0000-0000-0000E4010000}"/>
    <cellStyle name="Normal 12 2" xfId="485" xr:uid="{00000000-0005-0000-0000-0000E5010000}"/>
    <cellStyle name="Normal 12 3" xfId="486" xr:uid="{00000000-0005-0000-0000-0000E6010000}"/>
    <cellStyle name="Normal 12 4" xfId="487" xr:uid="{00000000-0005-0000-0000-0000E7010000}"/>
    <cellStyle name="Normal 12 5" xfId="488" xr:uid="{00000000-0005-0000-0000-0000E8010000}"/>
    <cellStyle name="Normal 13" xfId="489" xr:uid="{00000000-0005-0000-0000-0000E9010000}"/>
    <cellStyle name="Normal 13 2" xfId="490" xr:uid="{00000000-0005-0000-0000-0000EA010000}"/>
    <cellStyle name="Normal 13 3" xfId="491" xr:uid="{00000000-0005-0000-0000-0000EB010000}"/>
    <cellStyle name="Normal 13 4" xfId="492" xr:uid="{00000000-0005-0000-0000-0000EC010000}"/>
    <cellStyle name="Normal 13 5" xfId="493" xr:uid="{00000000-0005-0000-0000-0000ED010000}"/>
    <cellStyle name="Normal 14" xfId="494" xr:uid="{00000000-0005-0000-0000-0000EE010000}"/>
    <cellStyle name="Normal 14 10" xfId="495" xr:uid="{00000000-0005-0000-0000-0000EF010000}"/>
    <cellStyle name="Normal 14 11" xfId="496" xr:uid="{00000000-0005-0000-0000-0000F0010000}"/>
    <cellStyle name="Normal 14 12" xfId="497" xr:uid="{00000000-0005-0000-0000-0000F1010000}"/>
    <cellStyle name="Normal 14 2" xfId="498" xr:uid="{00000000-0005-0000-0000-0000F2010000}"/>
    <cellStyle name="Normal 14 3" xfId="499" xr:uid="{00000000-0005-0000-0000-0000F3010000}"/>
    <cellStyle name="Normal 14 4" xfId="500" xr:uid="{00000000-0005-0000-0000-0000F4010000}"/>
    <cellStyle name="Normal 14 5" xfId="501" xr:uid="{00000000-0005-0000-0000-0000F5010000}"/>
    <cellStyle name="Normal 14 6" xfId="502" xr:uid="{00000000-0005-0000-0000-0000F6010000}"/>
    <cellStyle name="Normal 14 7" xfId="503" xr:uid="{00000000-0005-0000-0000-0000F7010000}"/>
    <cellStyle name="Normal 14 8" xfId="504" xr:uid="{00000000-0005-0000-0000-0000F8010000}"/>
    <cellStyle name="Normal 14 9" xfId="505" xr:uid="{00000000-0005-0000-0000-0000F9010000}"/>
    <cellStyle name="Normal 15" xfId="506" xr:uid="{00000000-0005-0000-0000-0000FA010000}"/>
    <cellStyle name="Normal 16" xfId="507" xr:uid="{00000000-0005-0000-0000-0000FB010000}"/>
    <cellStyle name="Normal 17" xfId="508" xr:uid="{00000000-0005-0000-0000-0000FC010000}"/>
    <cellStyle name="Normal 17 2" xfId="509" xr:uid="{00000000-0005-0000-0000-0000FD010000}"/>
    <cellStyle name="Normal 17 2 2" xfId="510" xr:uid="{00000000-0005-0000-0000-0000FE010000}"/>
    <cellStyle name="Normal 17 3" xfId="511" xr:uid="{00000000-0005-0000-0000-0000FF010000}"/>
    <cellStyle name="Normal 17 3 2" xfId="512" xr:uid="{00000000-0005-0000-0000-000000020000}"/>
    <cellStyle name="Normal 17 4" xfId="513" xr:uid="{00000000-0005-0000-0000-000001020000}"/>
    <cellStyle name="Normal 17 4 2" xfId="514" xr:uid="{00000000-0005-0000-0000-000002020000}"/>
    <cellStyle name="Normal 17 5" xfId="515" xr:uid="{00000000-0005-0000-0000-000003020000}"/>
    <cellStyle name="Normal 17 5 2" xfId="516" xr:uid="{00000000-0005-0000-0000-000004020000}"/>
    <cellStyle name="Normal 17 6" xfId="517" xr:uid="{00000000-0005-0000-0000-000005020000}"/>
    <cellStyle name="Normal 18" xfId="518" xr:uid="{00000000-0005-0000-0000-000006020000}"/>
    <cellStyle name="Normal 19" xfId="519" xr:uid="{00000000-0005-0000-0000-000007020000}"/>
    <cellStyle name="Normal 2" xfId="520" xr:uid="{00000000-0005-0000-0000-000008020000}"/>
    <cellStyle name="Normal 2 10" xfId="521" xr:uid="{00000000-0005-0000-0000-000009020000}"/>
    <cellStyle name="Normal 2 11" xfId="522" xr:uid="{00000000-0005-0000-0000-00000A020000}"/>
    <cellStyle name="Normal 2 12" xfId="523" xr:uid="{00000000-0005-0000-0000-00000B020000}"/>
    <cellStyle name="Normal 2 13" xfId="524" xr:uid="{00000000-0005-0000-0000-00000C020000}"/>
    <cellStyle name="Normal 2 14" xfId="525" xr:uid="{00000000-0005-0000-0000-00000D020000}"/>
    <cellStyle name="Normal 2 15" xfId="526" xr:uid="{00000000-0005-0000-0000-00000E020000}"/>
    <cellStyle name="Normal 2 16" xfId="527" xr:uid="{00000000-0005-0000-0000-00000F020000}"/>
    <cellStyle name="Normal 2 17" xfId="528" xr:uid="{00000000-0005-0000-0000-000010020000}"/>
    <cellStyle name="Normal 2 18" xfId="529" xr:uid="{00000000-0005-0000-0000-000011020000}"/>
    <cellStyle name="Normal 2 19" xfId="530" xr:uid="{00000000-0005-0000-0000-000012020000}"/>
    <cellStyle name="Normal 2 2" xfId="531" xr:uid="{00000000-0005-0000-0000-000013020000}"/>
    <cellStyle name="Normal 2 20" xfId="532" xr:uid="{00000000-0005-0000-0000-000014020000}"/>
    <cellStyle name="Normal 2 3" xfId="533" xr:uid="{00000000-0005-0000-0000-000015020000}"/>
    <cellStyle name="Normal 2 4" xfId="534" xr:uid="{00000000-0005-0000-0000-000016020000}"/>
    <cellStyle name="Normal 2 5" xfId="535" xr:uid="{00000000-0005-0000-0000-000017020000}"/>
    <cellStyle name="Normal 2 6" xfId="536" xr:uid="{00000000-0005-0000-0000-000018020000}"/>
    <cellStyle name="Normal 2 7" xfId="537" xr:uid="{00000000-0005-0000-0000-000019020000}"/>
    <cellStyle name="Normal 2 8" xfId="538" xr:uid="{00000000-0005-0000-0000-00001A020000}"/>
    <cellStyle name="Normal 2 9" xfId="539" xr:uid="{00000000-0005-0000-0000-00001B020000}"/>
    <cellStyle name="Normal 2_deposits mobilized" xfId="540" xr:uid="{00000000-0005-0000-0000-00001C020000}"/>
    <cellStyle name="Normal 21" xfId="541" xr:uid="{00000000-0005-0000-0000-00001D020000}"/>
    <cellStyle name="Normal 21 10" xfId="542" xr:uid="{00000000-0005-0000-0000-00001E020000}"/>
    <cellStyle name="Normal 21 11" xfId="543" xr:uid="{00000000-0005-0000-0000-00001F020000}"/>
    <cellStyle name="Normal 21 12" xfId="544" xr:uid="{00000000-0005-0000-0000-000020020000}"/>
    <cellStyle name="Normal 21 13" xfId="545" xr:uid="{00000000-0005-0000-0000-000021020000}"/>
    <cellStyle name="Normal 21 14" xfId="546" xr:uid="{00000000-0005-0000-0000-000022020000}"/>
    <cellStyle name="Normal 21 15" xfId="547" xr:uid="{00000000-0005-0000-0000-000023020000}"/>
    <cellStyle name="Normal 21 16" xfId="548" xr:uid="{00000000-0005-0000-0000-000024020000}"/>
    <cellStyle name="Normal 21 2" xfId="549" xr:uid="{00000000-0005-0000-0000-000025020000}"/>
    <cellStyle name="Normal 21 3" xfId="550" xr:uid="{00000000-0005-0000-0000-000026020000}"/>
    <cellStyle name="Normal 21 4" xfId="551" xr:uid="{00000000-0005-0000-0000-000027020000}"/>
    <cellStyle name="Normal 21 5" xfId="552" xr:uid="{00000000-0005-0000-0000-000028020000}"/>
    <cellStyle name="Normal 21 6" xfId="553" xr:uid="{00000000-0005-0000-0000-000029020000}"/>
    <cellStyle name="Normal 21 7" xfId="554" xr:uid="{00000000-0005-0000-0000-00002A020000}"/>
    <cellStyle name="Normal 21 8" xfId="555" xr:uid="{00000000-0005-0000-0000-00002B020000}"/>
    <cellStyle name="Normal 21 9" xfId="556" xr:uid="{00000000-0005-0000-0000-00002C020000}"/>
    <cellStyle name="Normal 22" xfId="557" xr:uid="{00000000-0005-0000-0000-00002D020000}"/>
    <cellStyle name="Normal 26" xfId="558" xr:uid="{00000000-0005-0000-0000-00002E020000}"/>
    <cellStyle name="Normal 27" xfId="559" xr:uid="{00000000-0005-0000-0000-00002F020000}"/>
    <cellStyle name="Normal 3" xfId="560" xr:uid="{00000000-0005-0000-0000-000030020000}"/>
    <cellStyle name="Normal 3 10" xfId="561" xr:uid="{00000000-0005-0000-0000-000031020000}"/>
    <cellStyle name="Normal 3 11" xfId="562" xr:uid="{00000000-0005-0000-0000-000032020000}"/>
    <cellStyle name="Normal 3 12" xfId="563" xr:uid="{00000000-0005-0000-0000-000033020000}"/>
    <cellStyle name="Normal 3 13" xfId="564" xr:uid="{00000000-0005-0000-0000-000034020000}"/>
    <cellStyle name="Normal 3 14" xfId="565" xr:uid="{00000000-0005-0000-0000-000035020000}"/>
    <cellStyle name="Normal 3 15" xfId="566" xr:uid="{00000000-0005-0000-0000-000036020000}"/>
    <cellStyle name="Normal 3 16" xfId="567" xr:uid="{00000000-0005-0000-0000-000037020000}"/>
    <cellStyle name="Normal 3 17" xfId="568" xr:uid="{00000000-0005-0000-0000-000038020000}"/>
    <cellStyle name="Normal 3 18" xfId="569" xr:uid="{00000000-0005-0000-0000-000039020000}"/>
    <cellStyle name="Normal 3 19" xfId="570" xr:uid="{00000000-0005-0000-0000-00003A020000}"/>
    <cellStyle name="Normal 3 2" xfId="571" xr:uid="{00000000-0005-0000-0000-00003B020000}"/>
    <cellStyle name="Normal 3 20" xfId="572" xr:uid="{00000000-0005-0000-0000-00003C020000}"/>
    <cellStyle name="Normal 3 21" xfId="573" xr:uid="{00000000-0005-0000-0000-00003D020000}"/>
    <cellStyle name="Normal 3 22" xfId="574" xr:uid="{00000000-0005-0000-0000-00003E020000}"/>
    <cellStyle name="Normal 3 23" xfId="575" xr:uid="{00000000-0005-0000-0000-00003F020000}"/>
    <cellStyle name="Normal 3 24" xfId="576" xr:uid="{00000000-0005-0000-0000-000040020000}"/>
    <cellStyle name="Normal 3 25" xfId="577" xr:uid="{00000000-0005-0000-0000-000041020000}"/>
    <cellStyle name="Normal 3 26" xfId="578" xr:uid="{00000000-0005-0000-0000-000042020000}"/>
    <cellStyle name="Normal 3 27" xfId="579" xr:uid="{00000000-0005-0000-0000-000043020000}"/>
    <cellStyle name="Normal 3 28" xfId="580" xr:uid="{00000000-0005-0000-0000-000044020000}"/>
    <cellStyle name="Normal 3 29" xfId="581" xr:uid="{00000000-0005-0000-0000-000045020000}"/>
    <cellStyle name="Normal 3 3" xfId="582" xr:uid="{00000000-0005-0000-0000-000046020000}"/>
    <cellStyle name="Normal 3 30" xfId="583" xr:uid="{00000000-0005-0000-0000-000047020000}"/>
    <cellStyle name="Normal 3 4" xfId="584" xr:uid="{00000000-0005-0000-0000-000048020000}"/>
    <cellStyle name="Normal 3 5" xfId="585" xr:uid="{00000000-0005-0000-0000-000049020000}"/>
    <cellStyle name="Normal 3 6" xfId="586" xr:uid="{00000000-0005-0000-0000-00004A020000}"/>
    <cellStyle name="Normal 3 7" xfId="587" xr:uid="{00000000-0005-0000-0000-00004B020000}"/>
    <cellStyle name="Normal 3 8" xfId="588" xr:uid="{00000000-0005-0000-0000-00004C020000}"/>
    <cellStyle name="Normal 3 9" xfId="589" xr:uid="{00000000-0005-0000-0000-00004D020000}"/>
    <cellStyle name="Normal 3_deposits mobilized" xfId="590" xr:uid="{00000000-0005-0000-0000-00004E020000}"/>
    <cellStyle name="Normal 4" xfId="591" xr:uid="{00000000-0005-0000-0000-00004F020000}"/>
    <cellStyle name="Normal 4 10" xfId="592" xr:uid="{00000000-0005-0000-0000-000050020000}"/>
    <cellStyle name="Normal 4 11" xfId="593" xr:uid="{00000000-0005-0000-0000-000051020000}"/>
    <cellStyle name="Normal 4 12" xfId="594" xr:uid="{00000000-0005-0000-0000-000052020000}"/>
    <cellStyle name="Normal 4 13" xfId="595" xr:uid="{00000000-0005-0000-0000-000053020000}"/>
    <cellStyle name="Normal 4 14" xfId="596" xr:uid="{00000000-0005-0000-0000-000054020000}"/>
    <cellStyle name="Normal 4 15" xfId="597" xr:uid="{00000000-0005-0000-0000-000055020000}"/>
    <cellStyle name="Normal 4 16" xfId="598" xr:uid="{00000000-0005-0000-0000-000056020000}"/>
    <cellStyle name="Normal 4 17" xfId="599" xr:uid="{00000000-0005-0000-0000-000057020000}"/>
    <cellStyle name="Normal 4 18" xfId="600" xr:uid="{00000000-0005-0000-0000-000058020000}"/>
    <cellStyle name="Normal 4 19" xfId="601" xr:uid="{00000000-0005-0000-0000-000059020000}"/>
    <cellStyle name="Normal 4 2" xfId="602" xr:uid="{00000000-0005-0000-0000-00005A020000}"/>
    <cellStyle name="Normal 4 20" xfId="603" xr:uid="{00000000-0005-0000-0000-00005B020000}"/>
    <cellStyle name="Normal 4 21" xfId="604" xr:uid="{00000000-0005-0000-0000-00005C020000}"/>
    <cellStyle name="Normal 4 22" xfId="605" xr:uid="{00000000-0005-0000-0000-00005D020000}"/>
    <cellStyle name="Normal 4 23" xfId="606" xr:uid="{00000000-0005-0000-0000-00005E020000}"/>
    <cellStyle name="Normal 4 24" xfId="607" xr:uid="{00000000-0005-0000-0000-00005F020000}"/>
    <cellStyle name="Normal 4 25" xfId="608" xr:uid="{00000000-0005-0000-0000-000060020000}"/>
    <cellStyle name="Normal 4 26" xfId="609" xr:uid="{00000000-0005-0000-0000-000061020000}"/>
    <cellStyle name="Normal 4 27" xfId="610" xr:uid="{00000000-0005-0000-0000-000062020000}"/>
    <cellStyle name="Normal 4 28" xfId="611" xr:uid="{00000000-0005-0000-0000-000063020000}"/>
    <cellStyle name="Normal 4 29" xfId="612" xr:uid="{00000000-0005-0000-0000-000064020000}"/>
    <cellStyle name="Normal 4 3" xfId="613" xr:uid="{00000000-0005-0000-0000-000065020000}"/>
    <cellStyle name="Normal 4 30" xfId="614" xr:uid="{00000000-0005-0000-0000-000066020000}"/>
    <cellStyle name="Normal 4 4" xfId="615" xr:uid="{00000000-0005-0000-0000-000067020000}"/>
    <cellStyle name="Normal 4 5" xfId="616" xr:uid="{00000000-0005-0000-0000-000068020000}"/>
    <cellStyle name="Normal 4 6" xfId="617" xr:uid="{00000000-0005-0000-0000-000069020000}"/>
    <cellStyle name="Normal 4 7" xfId="618" xr:uid="{00000000-0005-0000-0000-00006A020000}"/>
    <cellStyle name="Normal 4 8" xfId="619" xr:uid="{00000000-0005-0000-0000-00006B020000}"/>
    <cellStyle name="Normal 4 9" xfId="620" xr:uid="{00000000-0005-0000-0000-00006C020000}"/>
    <cellStyle name="Normal 5" xfId="621" xr:uid="{00000000-0005-0000-0000-00006D020000}"/>
    <cellStyle name="Normal 5 10" xfId="622" xr:uid="{00000000-0005-0000-0000-00006E020000}"/>
    <cellStyle name="Normal 5 11" xfId="623" xr:uid="{00000000-0005-0000-0000-00006F020000}"/>
    <cellStyle name="Normal 5 12" xfId="624" xr:uid="{00000000-0005-0000-0000-000070020000}"/>
    <cellStyle name="Normal 5 13" xfId="625" xr:uid="{00000000-0005-0000-0000-000071020000}"/>
    <cellStyle name="Normal 5 14" xfId="626" xr:uid="{00000000-0005-0000-0000-000072020000}"/>
    <cellStyle name="Normal 5 15" xfId="627" xr:uid="{00000000-0005-0000-0000-000073020000}"/>
    <cellStyle name="Normal 5 2" xfId="628" xr:uid="{00000000-0005-0000-0000-000074020000}"/>
    <cellStyle name="Normal 5 3" xfId="629" xr:uid="{00000000-0005-0000-0000-000075020000}"/>
    <cellStyle name="Normal 5 4" xfId="630" xr:uid="{00000000-0005-0000-0000-000076020000}"/>
    <cellStyle name="Normal 5 5" xfId="631" xr:uid="{00000000-0005-0000-0000-000077020000}"/>
    <cellStyle name="Normal 5 6" xfId="632" xr:uid="{00000000-0005-0000-0000-000078020000}"/>
    <cellStyle name="Normal 5 7" xfId="633" xr:uid="{00000000-0005-0000-0000-000079020000}"/>
    <cellStyle name="Normal 5 8" xfId="634" xr:uid="{00000000-0005-0000-0000-00007A020000}"/>
    <cellStyle name="Normal 5 9" xfId="635" xr:uid="{00000000-0005-0000-0000-00007B020000}"/>
    <cellStyle name="Normal 6" xfId="636" xr:uid="{00000000-0005-0000-0000-00007C020000}"/>
    <cellStyle name="Normal 6 2" xfId="637" xr:uid="{00000000-0005-0000-0000-00007D020000}"/>
    <cellStyle name="Normal 6 3" xfId="638" xr:uid="{00000000-0005-0000-0000-00007E020000}"/>
    <cellStyle name="Normal 6 4" xfId="639" xr:uid="{00000000-0005-0000-0000-00007F020000}"/>
    <cellStyle name="Normal 6 5" xfId="640" xr:uid="{00000000-0005-0000-0000-000080020000}"/>
    <cellStyle name="Normal 7" xfId="641" xr:uid="{00000000-0005-0000-0000-000081020000}"/>
    <cellStyle name="Normal 7 2" xfId="642" xr:uid="{00000000-0005-0000-0000-000082020000}"/>
    <cellStyle name="Normal 7 3" xfId="643" xr:uid="{00000000-0005-0000-0000-000083020000}"/>
    <cellStyle name="Normal 7 4" xfId="644" xr:uid="{00000000-0005-0000-0000-000084020000}"/>
    <cellStyle name="Normal 8" xfId="645" xr:uid="{00000000-0005-0000-0000-000085020000}"/>
    <cellStyle name="Normal 9" xfId="646" xr:uid="{00000000-0005-0000-0000-000086020000}"/>
    <cellStyle name="Normal 9 10" xfId="647" xr:uid="{00000000-0005-0000-0000-000087020000}"/>
    <cellStyle name="Normal 9 10 2" xfId="648" xr:uid="{00000000-0005-0000-0000-000088020000}"/>
    <cellStyle name="Normal 9 11" xfId="649" xr:uid="{00000000-0005-0000-0000-000089020000}"/>
    <cellStyle name="Normal 9 11 2" xfId="650" xr:uid="{00000000-0005-0000-0000-00008A020000}"/>
    <cellStyle name="Normal 9 12" xfId="651" xr:uid="{00000000-0005-0000-0000-00008B020000}"/>
    <cellStyle name="Normal 9 12 2" xfId="652" xr:uid="{00000000-0005-0000-0000-00008C020000}"/>
    <cellStyle name="Normal 9 13" xfId="653" xr:uid="{00000000-0005-0000-0000-00008D020000}"/>
    <cellStyle name="Normal 9 14" xfId="654" xr:uid="{00000000-0005-0000-0000-00008E020000}"/>
    <cellStyle name="Normal 9 15" xfId="655" xr:uid="{00000000-0005-0000-0000-00008F020000}"/>
    <cellStyle name="Normal 9 2" xfId="656" xr:uid="{00000000-0005-0000-0000-000090020000}"/>
    <cellStyle name="Normal 9 2 2" xfId="657" xr:uid="{00000000-0005-0000-0000-000091020000}"/>
    <cellStyle name="Normal 9 2 2 2" xfId="658" xr:uid="{00000000-0005-0000-0000-000092020000}"/>
    <cellStyle name="Normal 9 2 3" xfId="659" xr:uid="{00000000-0005-0000-0000-000093020000}"/>
    <cellStyle name="Normal 9 2 3 2" xfId="660" xr:uid="{00000000-0005-0000-0000-000094020000}"/>
    <cellStyle name="Normal 9 2 4" xfId="661" xr:uid="{00000000-0005-0000-0000-000095020000}"/>
    <cellStyle name="Normal 9 2 4 2" xfId="662" xr:uid="{00000000-0005-0000-0000-000096020000}"/>
    <cellStyle name="Normal 9 3" xfId="663" xr:uid="{00000000-0005-0000-0000-000097020000}"/>
    <cellStyle name="Normal 9 3 2" xfId="664" xr:uid="{00000000-0005-0000-0000-000098020000}"/>
    <cellStyle name="Normal 9 4" xfId="665" xr:uid="{00000000-0005-0000-0000-000099020000}"/>
    <cellStyle name="Normal 9 4 2" xfId="666" xr:uid="{00000000-0005-0000-0000-00009A020000}"/>
    <cellStyle name="Normal 9 5" xfId="667" xr:uid="{00000000-0005-0000-0000-00009B020000}"/>
    <cellStyle name="Normal 9 5 2" xfId="668" xr:uid="{00000000-0005-0000-0000-00009C020000}"/>
    <cellStyle name="Normal 9 6" xfId="669" xr:uid="{00000000-0005-0000-0000-00009D020000}"/>
    <cellStyle name="Normal 9 6 2" xfId="670" xr:uid="{00000000-0005-0000-0000-00009E020000}"/>
    <cellStyle name="Normal 9 7" xfId="671" xr:uid="{00000000-0005-0000-0000-00009F020000}"/>
    <cellStyle name="Normal 9 7 2" xfId="672" xr:uid="{00000000-0005-0000-0000-0000A0020000}"/>
    <cellStyle name="Normal 9 8" xfId="673" xr:uid="{00000000-0005-0000-0000-0000A1020000}"/>
    <cellStyle name="Normal 9 8 2" xfId="674" xr:uid="{00000000-0005-0000-0000-0000A2020000}"/>
    <cellStyle name="Normal 9 9" xfId="675" xr:uid="{00000000-0005-0000-0000-0000A3020000}"/>
    <cellStyle name="Normal 9 9 2" xfId="676" xr:uid="{00000000-0005-0000-0000-0000A4020000}"/>
    <cellStyle name="Note 2" xfId="677" xr:uid="{00000000-0005-0000-0000-0000A5020000}"/>
    <cellStyle name="Note 2 2" xfId="678" xr:uid="{00000000-0005-0000-0000-0000A6020000}"/>
    <cellStyle name="Per cent" xfId="679" builtinId="5"/>
    <cellStyle name="Percent 2" xfId="680" xr:uid="{00000000-0005-0000-0000-0000A8020000}"/>
    <cellStyle name="Percent 2 2" xfId="681" xr:uid="{00000000-0005-0000-0000-0000A9020000}"/>
    <cellStyle name="Percent 3" xfId="682" xr:uid="{00000000-0005-0000-0000-0000AA020000}"/>
    <cellStyle name="Percent 3 2" xfId="683" xr:uid="{00000000-0005-0000-0000-0000AB020000}"/>
    <cellStyle name="Percent 3 4" xfId="684" xr:uid="{00000000-0005-0000-0000-0000AC020000}"/>
    <cellStyle name="Percent 4" xfId="685" xr:uid="{00000000-0005-0000-0000-0000AD020000}"/>
    <cellStyle name="Percent 5" xfId="686" xr:uid="{00000000-0005-0000-0000-0000AE020000}"/>
    <cellStyle name="Total 2" xfId="687" xr:uid="{00000000-0005-0000-0000-0000AF020000}"/>
    <cellStyle name="Total 2 2" xfId="688" xr:uid="{00000000-0005-0000-0000-0000B0020000}"/>
    <cellStyle name="Total 2 2 2" xfId="689" xr:uid="{00000000-0005-0000-0000-0000B1020000}"/>
    <cellStyle name="Total 2 3" xfId="690" xr:uid="{00000000-0005-0000-0000-0000B202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n\Supervision\Documents%20and%20Settings\Francis\My%20Documents\Downloads\Wakenya%20Pamoja%20financials%20(3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 Statements"/>
      <sheetName val="SASRA B.S."/>
      <sheetName val="SASRA I.S."/>
      <sheetName val="SASRA Prudential Ratios"/>
      <sheetName val="PEARLS PL"/>
      <sheetName val="PEARLS BS"/>
      <sheetName val="PEARLS Ratios"/>
      <sheetName val="BS Yr. 1"/>
      <sheetName val="P&amp;L Yr. 1"/>
      <sheetName val="Rates Yr.1"/>
      <sheetName val="PEARLS Yr. 1"/>
      <sheetName val="BS Yr. 2"/>
      <sheetName val="P&amp;L Yr. 2"/>
      <sheetName val="Rates Yr. 2"/>
      <sheetName val="PEARLS Yr. 2"/>
      <sheetName val="BS Yr. 3"/>
      <sheetName val="P&amp;L Yr. 3"/>
      <sheetName val="Rates Yr. 3"/>
      <sheetName val="PEARLS Yr. 3"/>
      <sheetName val="BS Yr. 4"/>
      <sheetName val="P&amp;L Yr. 4"/>
      <sheetName val="Rates Yr. 4"/>
      <sheetName val="PEARLS Yr. 4"/>
      <sheetName val="Pro Forma SASRA BS"/>
      <sheetName val="Pro Forma SASRA P&amp;L "/>
      <sheetName val="SASRA Pro Forma Ratios"/>
      <sheetName val="ProForma PEARLS"/>
      <sheetName val=" Key Regulatory Ratios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14"/>
  <sheetViews>
    <sheetView workbookViewId="0">
      <selection activeCell="I3" sqref="I3"/>
    </sheetView>
  </sheetViews>
  <sheetFormatPr defaultRowHeight="15"/>
  <cols>
    <col min="1" max="1" width="16.85546875" bestFit="1" customWidth="1"/>
    <col min="2" max="2" width="14.85546875" bestFit="1" customWidth="1"/>
    <col min="3" max="12" width="13.42578125" bestFit="1" customWidth="1"/>
    <col min="14" max="14" width="13" customWidth="1"/>
  </cols>
  <sheetData>
    <row r="2" spans="1:14" ht="15.75">
      <c r="B2" s="152" t="s">
        <v>0</v>
      </c>
      <c r="C2" s="191">
        <v>43101</v>
      </c>
      <c r="D2" s="191">
        <v>43133</v>
      </c>
      <c r="E2" s="191">
        <v>43165</v>
      </c>
      <c r="F2" s="191">
        <v>43197</v>
      </c>
      <c r="G2" s="191">
        <v>43229</v>
      </c>
      <c r="H2" s="191">
        <v>43261</v>
      </c>
      <c r="I2" s="191">
        <v>43293</v>
      </c>
      <c r="J2" s="191">
        <v>43325</v>
      </c>
      <c r="K2" s="191">
        <v>43357</v>
      </c>
      <c r="L2" s="191">
        <v>43389</v>
      </c>
      <c r="M2" s="191">
        <v>43421</v>
      </c>
      <c r="N2" s="191">
        <v>43453</v>
      </c>
    </row>
    <row r="3" spans="1:14">
      <c r="A3" s="87" t="s">
        <v>1</v>
      </c>
      <c r="B3" s="151" t="str">
        <f>IF('Prudential Ratios'!I6&gt;10,"compliant","not compliant")</f>
        <v>compliant</v>
      </c>
      <c r="C3" s="151" t="str">
        <f>IF('Prudential Ratios'!J6&gt;10,"compliant","not compliant")</f>
        <v>compliant</v>
      </c>
      <c r="D3" s="151" t="str">
        <f>IF('Prudential Ratios'!K6&gt;10,"compliant","not compliant")</f>
        <v>compliant</v>
      </c>
      <c r="E3" s="88" t="str">
        <f>IF('Prudential Ratios'!L6&gt;10,"compliant","not compliant")</f>
        <v>compliant</v>
      </c>
      <c r="F3" s="151" t="str">
        <f>IF('Prudential Ratios'!M6&gt;10,"compliant","not compliant")</f>
        <v>compliant</v>
      </c>
      <c r="G3" s="88" t="str">
        <f>IF('Prudential Ratios'!N6&gt;10,"compliant","not compliant")</f>
        <v>compliant</v>
      </c>
      <c r="H3" s="88" t="str">
        <f>IF('Prudential Ratios'!O6&gt;10,"compliant","not compliant")</f>
        <v>compliant</v>
      </c>
      <c r="I3" s="151" t="str">
        <f>IF('Prudential Ratios'!P6&gt;10,"compliant","not compliant")</f>
        <v>compliant</v>
      </c>
      <c r="J3" s="151" t="str">
        <f>IF('Prudential Ratios'!Q6&gt;10,"compliant","not compliant")</f>
        <v>compliant</v>
      </c>
      <c r="K3" s="151" t="str">
        <f>IF('Prudential Ratios'!R6&gt;10,"compliant","not compliant")</f>
        <v>compliant</v>
      </c>
      <c r="L3" s="88" t="str">
        <f>IF('Prudential Ratios'!S6&gt;10,"compliant","not compliant")</f>
        <v>compliant</v>
      </c>
      <c r="M3" s="151" t="str">
        <f>IF('Prudential Ratios'!T6&gt;10,"compliant","not compliant")</f>
        <v>compliant</v>
      </c>
      <c r="N3" s="88" t="str">
        <f>IF('Prudential Ratios'!U6&gt;10,"compliant","not compliant")</f>
        <v>compliant</v>
      </c>
    </row>
    <row r="4" spans="1:14">
      <c r="A4" s="89" t="s">
        <v>2</v>
      </c>
      <c r="B4" s="88" t="str">
        <f>IF('Prudential Ratios'!I7&gt;10%,"compliant","not compliant")</f>
        <v>compliant</v>
      </c>
      <c r="C4" s="88" t="str">
        <f>IF('Prudential Ratios'!J7&gt;10%,"compliant","not compliant")</f>
        <v>compliant</v>
      </c>
      <c r="D4" s="88" t="str">
        <f>IF('Prudential Ratios'!K7&gt;10%,"compliant","not compliant")</f>
        <v>compliant</v>
      </c>
      <c r="E4" s="88" t="str">
        <f>IF('Prudential Ratios'!L7&gt;10%,"compliant","not compliant")</f>
        <v>compliant</v>
      </c>
      <c r="F4" s="88" t="str">
        <f>IF('Prudential Ratios'!M7&gt;10%,"compliant","not compliant")</f>
        <v>compliant</v>
      </c>
      <c r="G4" s="88" t="str">
        <f>IF('Prudential Ratios'!N7&gt;10%,"compliant","not compliant")</f>
        <v>compliant</v>
      </c>
      <c r="H4" s="88" t="str">
        <f>IF('Prudential Ratios'!O7&gt;10%,"compliant","not compliant")</f>
        <v>compliant</v>
      </c>
      <c r="I4" s="88" t="str">
        <f>IF('Prudential Ratios'!P7&gt;10%,"compliant","not compliant")</f>
        <v>compliant</v>
      </c>
      <c r="J4" s="88" t="str">
        <f>IF('Prudential Ratios'!Q7&gt;10%,"compliant","not compliant")</f>
        <v>compliant</v>
      </c>
      <c r="K4" s="88" t="str">
        <f>IF('Prudential Ratios'!R7&gt;10%,"compliant","not compliant")</f>
        <v>compliant</v>
      </c>
      <c r="L4" s="88" t="str">
        <f>IF('Prudential Ratios'!S7&gt;10%,"compliant","not compliant")</f>
        <v>compliant</v>
      </c>
      <c r="M4" s="88" t="str">
        <f>IF('Prudential Ratios'!T7&gt;10%,"compliant","not compliant")</f>
        <v>compliant</v>
      </c>
      <c r="N4" s="88" t="str">
        <f>IF('Prudential Ratios'!U7&gt;10%,"compliant","not compliant")</f>
        <v>compliant</v>
      </c>
    </row>
    <row r="5" spans="1:14">
      <c r="A5" s="89" t="s">
        <v>3</v>
      </c>
      <c r="B5" s="88" t="str">
        <f>IF('Prudential Ratios'!I10&gt;8%,"compliant","not compliant")</f>
        <v>compliant</v>
      </c>
      <c r="C5" s="88" t="str">
        <f>IF('Prudential Ratios'!J10&gt;8%,"compliant","not compliant")</f>
        <v>compliant</v>
      </c>
      <c r="D5" s="88" t="str">
        <f>IF('Prudential Ratios'!K10&gt;8%,"compliant","not compliant")</f>
        <v>compliant</v>
      </c>
      <c r="E5" s="88" t="str">
        <f>IF('Prudential Ratios'!L10&gt;8%,"compliant","not compliant")</f>
        <v>compliant</v>
      </c>
      <c r="F5" s="88" t="str">
        <f>IF('Prudential Ratios'!M10&gt;8%,"compliant","not compliant")</f>
        <v>compliant</v>
      </c>
      <c r="G5" s="88" t="str">
        <f>IF('Prudential Ratios'!N10&gt;8%,"compliant","not compliant")</f>
        <v>compliant</v>
      </c>
      <c r="H5" s="88" t="str">
        <f>IF('Prudential Ratios'!O10&gt;8%,"compliant","not compliant")</f>
        <v>compliant</v>
      </c>
      <c r="I5" s="88" t="str">
        <f>IF('Prudential Ratios'!P10&gt;8%,"compliant","not compliant")</f>
        <v>compliant</v>
      </c>
      <c r="J5" s="88" t="str">
        <f>IF('Prudential Ratios'!Q10&gt;8%,"compliant","not compliant")</f>
        <v>compliant</v>
      </c>
      <c r="K5" s="88" t="str">
        <f>IF('Prudential Ratios'!R10&gt;8%,"compliant","not compliant")</f>
        <v>compliant</v>
      </c>
      <c r="L5" s="88" t="str">
        <f>IF('Prudential Ratios'!S10&gt;8%,"compliant","not compliant")</f>
        <v>compliant</v>
      </c>
      <c r="M5" s="88" t="str">
        <f>IF('Prudential Ratios'!T10&gt;8%,"compliant","not compliant")</f>
        <v>compliant</v>
      </c>
      <c r="N5" s="88" t="str">
        <f>IF('Prudential Ratios'!U10&gt;8%,"compliant","not compliant")</f>
        <v>compliant</v>
      </c>
    </row>
    <row r="6" spans="1:14">
      <c r="A6" s="89" t="s">
        <v>4</v>
      </c>
      <c r="B6" s="88" t="str">
        <f>IF('Prudential Ratios'!I8&gt;8%,"compliant","not compliant")</f>
        <v>compliant</v>
      </c>
      <c r="C6" s="88" t="str">
        <f>IF('Prudential Ratios'!J8&gt;8%,"compliant","not compliant")</f>
        <v>compliant</v>
      </c>
      <c r="D6" s="88" t="str">
        <f>IF('Prudential Ratios'!K8&gt;8%,"compliant","not compliant")</f>
        <v>compliant</v>
      </c>
      <c r="E6" s="88" t="str">
        <f>IF('Prudential Ratios'!L8&gt;8%,"compliant","not compliant")</f>
        <v>compliant</v>
      </c>
      <c r="F6" s="88" t="str">
        <f>IF('Prudential Ratios'!M8&gt;8%,"compliant","not compliant")</f>
        <v>compliant</v>
      </c>
      <c r="G6" s="88" t="str">
        <f>IF('Prudential Ratios'!N8&gt;8%,"compliant","not compliant")</f>
        <v>compliant</v>
      </c>
      <c r="H6" s="88" t="str">
        <f>IF('Prudential Ratios'!O8&gt;8%,"compliant","not compliant")</f>
        <v>compliant</v>
      </c>
      <c r="I6" s="88" t="str">
        <f>IF('Prudential Ratios'!P8&gt;8%,"compliant","not compliant")</f>
        <v>compliant</v>
      </c>
      <c r="J6" s="88" t="str">
        <f>IF('Prudential Ratios'!Q8&gt;8%,"compliant","not compliant")</f>
        <v>compliant</v>
      </c>
      <c r="K6" s="88" t="str">
        <f>IF('Prudential Ratios'!R8&gt;8%,"compliant","not compliant")</f>
        <v>compliant</v>
      </c>
      <c r="L6" s="88" t="str">
        <f>IF('Prudential Ratios'!S8&gt;8%,"compliant","not compliant")</f>
        <v>compliant</v>
      </c>
      <c r="M6" s="88" t="str">
        <f>IF('Prudential Ratios'!T8&gt;8%,"compliant","not compliant")</f>
        <v>compliant</v>
      </c>
      <c r="N6" s="88" t="str">
        <f>IF('Prudential Ratios'!U8&gt;8%,"compliant","not compliant")</f>
        <v>compliant</v>
      </c>
    </row>
    <row r="7" spans="1:14">
      <c r="A7" s="89" t="s">
        <v>5</v>
      </c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</row>
    <row r="8" spans="1:14">
      <c r="A8" s="89" t="s">
        <v>6</v>
      </c>
      <c r="B8" s="88" t="str">
        <f>IF('Prudential Ratios'!I47&gt;15%,"compliant","not compliant")</f>
        <v>not compliant</v>
      </c>
      <c r="C8" s="88" t="str">
        <f>IF('Prudential Ratios'!J47&gt;15%,"compliant","not compliant")</f>
        <v>not compliant</v>
      </c>
      <c r="D8" s="88" t="str">
        <f>IF('Prudential Ratios'!K47&gt;15%,"compliant","not compliant")</f>
        <v>not compliant</v>
      </c>
      <c r="E8" s="88" t="str">
        <f>IF('Prudential Ratios'!L47&gt;15%,"compliant","not compliant")</f>
        <v>not compliant</v>
      </c>
      <c r="F8" s="88" t="str">
        <f>IF('Prudential Ratios'!M47&gt;15%,"compliant","not compliant")</f>
        <v>not compliant</v>
      </c>
      <c r="G8" s="88" t="str">
        <f>IF('Prudential Ratios'!N47&gt;15%,"compliant","not compliant")</f>
        <v>not compliant</v>
      </c>
      <c r="H8" s="88" t="str">
        <f>IF('Prudential Ratios'!O47&gt;15%,"compliant","not compliant")</f>
        <v>not compliant</v>
      </c>
      <c r="I8" s="88" t="str">
        <f>IF('Prudential Ratios'!P47&gt;15%,"compliant","not compliant")</f>
        <v>not compliant</v>
      </c>
      <c r="J8" s="88" t="str">
        <f>IF('Prudential Ratios'!Q47&gt;15%,"compliant","not compliant")</f>
        <v>not compliant</v>
      </c>
      <c r="K8" s="88" t="str">
        <f>IF('Prudential Ratios'!R47&gt;15%,"compliant","not compliant")</f>
        <v>not compliant</v>
      </c>
      <c r="L8" s="88" t="str">
        <f>IF('Prudential Ratios'!S47&gt;15%,"compliant","not compliant")</f>
        <v>compliant</v>
      </c>
      <c r="M8" s="88" t="str">
        <f>IF('Prudential Ratios'!T47&gt;15%,"compliant","not compliant")</f>
        <v>compliant</v>
      </c>
      <c r="N8" s="88" t="str">
        <f>IF('Prudential Ratios'!U47&gt;15%,"compliant","not compliant")</f>
        <v>compliant</v>
      </c>
    </row>
    <row r="9" spans="1:14">
      <c r="A9" s="89" t="s">
        <v>7</v>
      </c>
      <c r="B9" s="88" t="str">
        <f>IF('Prudential Ratios'!I14&lt;10%,"compliant","not compliant")</f>
        <v>not compliant</v>
      </c>
      <c r="C9" s="88" t="str">
        <f>IF('Prudential Ratios'!J14&lt;10%,"compliant","not compliant")</f>
        <v>not compliant</v>
      </c>
      <c r="D9" s="88" t="str">
        <f>IF('Prudential Ratios'!K14&lt;10%,"compliant","not compliant")</f>
        <v>not compliant</v>
      </c>
      <c r="E9" s="88" t="str">
        <f>IF('Prudential Ratios'!L14&lt;10%,"compliant","not compliant")</f>
        <v>not compliant</v>
      </c>
      <c r="F9" s="88" t="str">
        <f>IF('Prudential Ratios'!M14&lt;10%,"compliant","not compliant")</f>
        <v>not compliant</v>
      </c>
      <c r="G9" s="88" t="str">
        <f>IF('Prudential Ratios'!N14&lt;10%,"compliant","not compliant")</f>
        <v>not compliant</v>
      </c>
      <c r="H9" s="88" t="str">
        <f>IF('Prudential Ratios'!O14&lt;10%,"compliant","not compliant")</f>
        <v>compliant</v>
      </c>
      <c r="I9" s="88" t="str">
        <f>IF('Prudential Ratios'!P14&lt;10%,"compliant","not compliant")</f>
        <v>compliant</v>
      </c>
      <c r="J9" s="88" t="str">
        <f>IF('Prudential Ratios'!Q14&lt;10%,"compliant","not compliant")</f>
        <v>not compliant</v>
      </c>
      <c r="K9" s="88" t="str">
        <f>IF('Prudential Ratios'!R14&lt;10%,"compliant","not compliant")</f>
        <v>compliant</v>
      </c>
      <c r="L9" s="88" t="str">
        <f>IF('Prudential Ratios'!S14&lt;10%,"compliant","not compliant")</f>
        <v>compliant</v>
      </c>
      <c r="M9" s="88" t="str">
        <f>IF('Prudential Ratios'!T14&lt;10%,"compliant","not compliant")</f>
        <v>compliant</v>
      </c>
      <c r="N9" s="88" t="str">
        <f>IF('Prudential Ratios'!U14&lt;10%,"compliant","not compliant")</f>
        <v>compliant</v>
      </c>
    </row>
    <row r="10" spans="1:14">
      <c r="A10" s="89" t="s">
        <v>8</v>
      </c>
      <c r="B10" s="88" t="str">
        <f>IF('Prudential Ratios'!I15&lt;5%,"compliant","not compliant")</f>
        <v>compliant</v>
      </c>
      <c r="C10" s="88" t="str">
        <f>IF('Prudential Ratios'!J15&lt;5%,"compliant","not compliant")</f>
        <v>compliant</v>
      </c>
      <c r="D10" s="88" t="str">
        <f>IF('Prudential Ratios'!K15&lt;5%,"compliant","not compliant")</f>
        <v>compliant</v>
      </c>
      <c r="E10" s="88" t="str">
        <f>IF('Prudential Ratios'!L15&lt;5%,"compliant","not compliant")</f>
        <v>compliant</v>
      </c>
      <c r="F10" s="88" t="str">
        <f>IF('Prudential Ratios'!M15&lt;5%,"compliant","not compliant")</f>
        <v>compliant</v>
      </c>
      <c r="G10" s="88" t="str">
        <f>IF('Prudential Ratios'!N15&lt;5%,"compliant","not compliant")</f>
        <v>compliant</v>
      </c>
      <c r="H10" s="88" t="str">
        <f>IF('Prudential Ratios'!O15&lt;5%,"compliant","not compliant")</f>
        <v>compliant</v>
      </c>
      <c r="I10" s="88" t="str">
        <f>IF('Prudential Ratios'!P15&lt;5%,"compliant","not compliant")</f>
        <v>compliant</v>
      </c>
      <c r="J10" s="88" t="str">
        <f>IF('Prudential Ratios'!Q15&lt;5%,"compliant","not compliant")</f>
        <v>compliant</v>
      </c>
      <c r="K10" s="88" t="str">
        <f>IF('Prudential Ratios'!R15&lt;5%,"compliant","not compliant")</f>
        <v>compliant</v>
      </c>
      <c r="L10" s="88" t="str">
        <f>IF('Prudential Ratios'!S15&lt;5%,"compliant","not compliant")</f>
        <v>compliant</v>
      </c>
      <c r="M10" s="88" t="str">
        <f>IF('Prudential Ratios'!T15&lt;5%,"compliant","not compliant")</f>
        <v>compliant</v>
      </c>
      <c r="N10" s="88" t="str">
        <f>IF('Prudential Ratios'!U15&lt;5%,"compliant","not compliant")</f>
        <v>compliant</v>
      </c>
    </row>
    <row r="11" spans="1:14">
      <c r="A11" s="89" t="s">
        <v>9</v>
      </c>
      <c r="B11" s="88" t="str">
        <f>IF('Prudential Ratios'!I19&lt;5%,"compliant","not compliant")</f>
        <v>not compliant</v>
      </c>
      <c r="C11" s="88" t="str">
        <f>IF('Prudential Ratios'!J19&lt;5%,"compliant","not compliant")</f>
        <v>not compliant</v>
      </c>
      <c r="D11" s="88" t="str">
        <f>IF('Prudential Ratios'!K19&lt;5%,"compliant","not compliant")</f>
        <v>not compliant</v>
      </c>
      <c r="E11" s="88" t="str">
        <f>IF('Prudential Ratios'!L19&lt;5%,"compliant","not compliant")</f>
        <v>not compliant</v>
      </c>
      <c r="F11" s="88" t="str">
        <f>IF('Prudential Ratios'!M19&lt;5%,"compliant","not compliant")</f>
        <v>not compliant</v>
      </c>
      <c r="G11" s="88" t="str">
        <f>IF('Prudential Ratios'!N19&lt;5%,"compliant","not compliant")</f>
        <v>not compliant</v>
      </c>
      <c r="H11" s="88" t="str">
        <f>IF('Prudential Ratios'!O19&lt;5%,"compliant","not compliant")</f>
        <v>not compliant</v>
      </c>
      <c r="I11" s="88" t="str">
        <f>IF('Prudential Ratios'!P19&lt;5%,"compliant","not compliant")</f>
        <v>not compliant</v>
      </c>
      <c r="J11" s="88" t="str">
        <f>IF('Prudential Ratios'!Q19&lt;5%,"compliant","not compliant")</f>
        <v>not compliant</v>
      </c>
      <c r="K11" s="88" t="str">
        <f>IF('Prudential Ratios'!R19&lt;5%,"compliant","not compliant")</f>
        <v>not compliant</v>
      </c>
      <c r="L11" s="88" t="str">
        <f>IF('Prudential Ratios'!S19&lt;5%,"compliant","not compliant")</f>
        <v>not compliant</v>
      </c>
      <c r="M11" s="88" t="str">
        <f>IF('Prudential Ratios'!T19&lt;5%,"compliant","not compliant")</f>
        <v>not compliant</v>
      </c>
      <c r="N11" s="88" t="str">
        <f>IF('Prudential Ratios'!U19&lt;5%,"compliant","not compliant")</f>
        <v>not compliant</v>
      </c>
    </row>
    <row r="12" spans="1:14">
      <c r="A12" s="89" t="s">
        <v>10</v>
      </c>
      <c r="B12" s="88" t="str">
        <f>IF('Prudential Ratios'!I20&lt;40%,"compliant","not compliant")</f>
        <v>not compliant</v>
      </c>
      <c r="C12" s="88" t="str">
        <f>IF('Prudential Ratios'!J20&lt;40%,"compliant","not compliant")</f>
        <v>not compliant</v>
      </c>
      <c r="D12" s="88" t="str">
        <f>IF('Prudential Ratios'!K20&lt;40%,"compliant","not compliant")</f>
        <v>not compliant</v>
      </c>
      <c r="E12" s="88" t="str">
        <f>IF('Prudential Ratios'!L20&lt;40%,"compliant","not compliant")</f>
        <v>not compliant</v>
      </c>
      <c r="F12" s="88" t="str">
        <f>IF('Prudential Ratios'!M20&lt;40%,"compliant","not compliant")</f>
        <v>not compliant</v>
      </c>
      <c r="G12" s="88" t="str">
        <f>IF('Prudential Ratios'!N20&lt;40%,"compliant","not compliant")</f>
        <v>compliant</v>
      </c>
      <c r="H12" s="88" t="str">
        <f>IF('Prudential Ratios'!O20&lt;40%,"compliant","not compliant")</f>
        <v>compliant</v>
      </c>
      <c r="I12" s="88" t="str">
        <f>IF('Prudential Ratios'!P20&lt;40%,"compliant","not compliant")</f>
        <v>compliant</v>
      </c>
      <c r="J12" s="88" t="str">
        <f>IF('Prudential Ratios'!Q20&lt;40%,"compliant","not compliant")</f>
        <v>compliant</v>
      </c>
      <c r="K12" s="88" t="str">
        <f>IF('Prudential Ratios'!R20&lt;40%,"compliant","not compliant")</f>
        <v>compliant</v>
      </c>
      <c r="L12" s="88" t="str">
        <f>IF('Prudential Ratios'!S20&lt;40%,"compliant","not compliant")</f>
        <v>not compliant</v>
      </c>
      <c r="M12" s="88" t="str">
        <f>IF('Prudential Ratios'!T20&lt;40%,"compliant","not compliant")</f>
        <v>not compliant</v>
      </c>
      <c r="N12" s="88" t="str">
        <f>IF('Prudential Ratios'!U20&lt;40%,"compliant","not compliant")</f>
        <v>compliant</v>
      </c>
    </row>
    <row r="13" spans="1:14">
      <c r="A13" s="89" t="s">
        <v>11</v>
      </c>
      <c r="B13" s="88" t="str">
        <f>IF('Prudential Ratios'!I27&lt;25%,"compliant","not compliant")</f>
        <v>compliant</v>
      </c>
      <c r="C13" s="88" t="str">
        <f>IF('Prudential Ratios'!J27&lt;25%,"compliant","not compliant")</f>
        <v>compliant</v>
      </c>
      <c r="D13" s="88" t="str">
        <f>IF('Prudential Ratios'!K27&lt;25%,"compliant","not compliant")</f>
        <v>compliant</v>
      </c>
      <c r="E13" s="88" t="str">
        <f>IF('Prudential Ratios'!L27&lt;25%,"compliant","not compliant")</f>
        <v>compliant</v>
      </c>
      <c r="F13" s="88" t="str">
        <f>IF('Prudential Ratios'!M27&lt;25%,"compliant","not compliant")</f>
        <v>compliant</v>
      </c>
      <c r="G13" s="88" t="str">
        <f>IF('Prudential Ratios'!N27&lt;25%,"compliant","not compliant")</f>
        <v>compliant</v>
      </c>
      <c r="H13" s="88" t="str">
        <f>IF('Prudential Ratios'!O27&lt;25%,"compliant","not compliant")</f>
        <v>compliant</v>
      </c>
      <c r="I13" s="88" t="str">
        <f>IF('Prudential Ratios'!P27&lt;25%,"compliant","not compliant")</f>
        <v>compliant</v>
      </c>
      <c r="J13" s="88" t="str">
        <f>IF('Prudential Ratios'!Q27&lt;25%,"compliant","not compliant")</f>
        <v>compliant</v>
      </c>
      <c r="K13" s="88" t="str">
        <f>IF('Prudential Ratios'!R27&lt;25%,"compliant","not compliant")</f>
        <v>compliant</v>
      </c>
      <c r="L13" s="88" t="str">
        <f>IF('Prudential Ratios'!S27&lt;25%,"compliant","not compliant")</f>
        <v>compliant</v>
      </c>
      <c r="M13" s="88" t="str">
        <f>IF('Prudential Ratios'!T27&lt;25%,"compliant","not compliant")</f>
        <v>compliant</v>
      </c>
      <c r="N13" s="88" t="str">
        <f>IF('Prudential Ratios'!U27&lt;25%,"compliant","not compliant")</f>
        <v>compliant</v>
      </c>
    </row>
    <row r="14" spans="1:14">
      <c r="A14" s="89" t="s">
        <v>12</v>
      </c>
      <c r="B14" s="88" t="e">
        <f>IF(SFP!#REF!=SFP!#REF!,"balancing","notbalancing")</f>
        <v>#REF!</v>
      </c>
      <c r="C14" s="88" t="e">
        <f>IF(SFP!#REF!=SFP!#REF!,"balancing","notbalancing")</f>
        <v>#REF!</v>
      </c>
      <c r="D14" s="88" t="e">
        <f>IF(SFP!#REF!=SFP!#REF!,"balancing","notbalancing")</f>
        <v>#REF!</v>
      </c>
      <c r="E14" s="88" t="e">
        <f>IF(SFP!#REF!=SFP!#REF!,"balancing","notbalancing")</f>
        <v>#REF!</v>
      </c>
      <c r="F14" s="88" t="e">
        <f>IF(SFP!#REF!=SFP!#REF!,"balancing","notbalancing")</f>
        <v>#REF!</v>
      </c>
      <c r="G14" s="88" t="e">
        <f>IF(SFP!#REF!=SFP!#REF!,"balancing","notbalancing")</f>
        <v>#REF!</v>
      </c>
      <c r="H14" s="88" t="e">
        <f>IF(SFP!#REF!=SFP!#REF!,"balancing","notbalancing")</f>
        <v>#REF!</v>
      </c>
      <c r="I14" s="88" t="e">
        <f>IF(SFP!#REF!=SFP!#REF!,"balancing","notbalancing")</f>
        <v>#REF!</v>
      </c>
      <c r="J14" s="88" t="e">
        <f>IF(SFP!#REF!=SFP!#REF!,"balancing","notbalancing")</f>
        <v>#REF!</v>
      </c>
      <c r="K14" s="88" t="e">
        <f>IF(SFP!#REF!=SFP!#REF!,"balancing","notbalancing")</f>
        <v>#REF!</v>
      </c>
      <c r="L14" s="88" t="e">
        <f>IF(SFP!#REF!=SFP!#REF!,"balancing","notbalancing")</f>
        <v>#REF!</v>
      </c>
      <c r="M14" s="88" t="e">
        <f>IF(SFP!#REF!=SFP!#REF!,"balancing","notbalancing")</f>
        <v>#REF!</v>
      </c>
      <c r="N14" s="88" t="e">
        <f>IF(SFP!#REF!=SFP!#REF!,"balancing","notbalancing")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D76"/>
  <sheetViews>
    <sheetView topLeftCell="A4" workbookViewId="0">
      <pane xSplit="4" topLeftCell="BS41" activePane="topRight" state="frozen"/>
      <selection pane="topRight" activeCell="BZ55" sqref="BZ55:CB58"/>
    </sheetView>
  </sheetViews>
  <sheetFormatPr defaultRowHeight="12.75"/>
  <cols>
    <col min="1" max="1" width="9.140625" style="1"/>
    <col min="2" max="2" width="4.85546875" style="1" bestFit="1" customWidth="1"/>
    <col min="3" max="3" width="34" style="1" customWidth="1"/>
    <col min="4" max="4" width="10.42578125" style="3" bestFit="1" customWidth="1"/>
    <col min="5" max="5" width="14.140625" style="3" hidden="1" customWidth="1"/>
    <col min="6" max="8" width="10.42578125" style="3" hidden="1" customWidth="1"/>
    <col min="9" max="9" width="14.140625" style="1" hidden="1" customWidth="1"/>
    <col min="10" max="21" width="0" style="1" hidden="1" customWidth="1"/>
    <col min="22" max="22" width="14.140625" style="1" hidden="1" customWidth="1"/>
    <col min="23" max="34" width="0" style="1" hidden="1" customWidth="1"/>
    <col min="35" max="35" width="14.140625" style="1" hidden="1" customWidth="1"/>
    <col min="36" max="36" width="12" style="1" hidden="1" customWidth="1"/>
    <col min="37" max="48" width="0" style="1" hidden="1" customWidth="1"/>
    <col min="49" max="59" width="9.140625" style="1"/>
    <col min="60" max="60" width="13.7109375" style="1" customWidth="1"/>
    <col min="61" max="61" width="14" style="1" customWidth="1"/>
    <col min="62" max="73" width="9.140625" style="1"/>
    <col min="74" max="74" width="12" style="1" customWidth="1"/>
    <col min="75" max="16384" width="9.140625" style="1"/>
  </cols>
  <sheetData>
    <row r="1" spans="2:82">
      <c r="C1" s="2" t="s">
        <v>13</v>
      </c>
    </row>
    <row r="2" spans="2:82" ht="13.5" thickBot="1">
      <c r="C2" s="4" t="s">
        <v>14</v>
      </c>
    </row>
    <row r="3" spans="2:82" s="4" customFormat="1" ht="15" customHeight="1">
      <c r="B3" s="5"/>
      <c r="C3" s="5"/>
      <c r="D3" s="57"/>
      <c r="E3" s="250"/>
      <c r="F3" s="250"/>
      <c r="G3" s="250"/>
      <c r="H3" s="250"/>
    </row>
    <row r="4" spans="2:82" s="4" customFormat="1">
      <c r="B4" s="6"/>
      <c r="C4" s="7" t="s">
        <v>15</v>
      </c>
      <c r="D4" s="58" t="s">
        <v>16</v>
      </c>
      <c r="E4" s="139" t="s">
        <v>17</v>
      </c>
      <c r="F4" s="139" t="s">
        <v>18</v>
      </c>
      <c r="G4" s="139" t="s">
        <v>19</v>
      </c>
      <c r="H4" s="139" t="s">
        <v>20</v>
      </c>
      <c r="I4" s="139" t="s">
        <v>21</v>
      </c>
      <c r="J4" s="8">
        <v>43101</v>
      </c>
      <c r="K4" s="8">
        <v>43132</v>
      </c>
      <c r="L4" s="8">
        <v>43160</v>
      </c>
      <c r="M4" s="8">
        <v>43191</v>
      </c>
      <c r="N4" s="8">
        <v>43221</v>
      </c>
      <c r="O4" s="8">
        <v>43252</v>
      </c>
      <c r="P4" s="8">
        <v>43282</v>
      </c>
      <c r="Q4" s="8">
        <v>43313</v>
      </c>
      <c r="R4" s="8">
        <v>43344</v>
      </c>
      <c r="S4" s="8">
        <v>43374</v>
      </c>
      <c r="T4" s="8">
        <v>43405</v>
      </c>
      <c r="U4" s="8">
        <v>43435</v>
      </c>
      <c r="V4" s="8" t="s">
        <v>22</v>
      </c>
      <c r="W4" s="8">
        <v>43466</v>
      </c>
      <c r="X4" s="8">
        <v>43497</v>
      </c>
      <c r="Y4" s="8">
        <v>43525</v>
      </c>
      <c r="Z4" s="8">
        <v>43556</v>
      </c>
      <c r="AA4" s="8">
        <v>43586</v>
      </c>
      <c r="AB4" s="8">
        <v>43617</v>
      </c>
      <c r="AC4" s="8">
        <v>43647</v>
      </c>
      <c r="AD4" s="8">
        <v>43678</v>
      </c>
      <c r="AE4" s="8">
        <v>43709</v>
      </c>
      <c r="AF4" s="8">
        <v>43739</v>
      </c>
      <c r="AG4" s="8">
        <v>43770</v>
      </c>
      <c r="AH4" s="8">
        <v>43800</v>
      </c>
      <c r="AI4" s="8" t="s">
        <v>23</v>
      </c>
      <c r="AJ4" s="421">
        <v>43831</v>
      </c>
      <c r="AK4" s="421">
        <v>43862</v>
      </c>
      <c r="AL4" s="421">
        <v>43891</v>
      </c>
      <c r="AM4" s="421">
        <v>43922</v>
      </c>
      <c r="AN4" s="421">
        <v>43952</v>
      </c>
      <c r="AO4" s="421">
        <v>43983</v>
      </c>
      <c r="AP4" s="421">
        <v>44013</v>
      </c>
      <c r="AQ4" s="421">
        <v>44044</v>
      </c>
      <c r="AR4" s="421">
        <v>44075</v>
      </c>
      <c r="AS4" s="421">
        <v>44105</v>
      </c>
      <c r="AT4" s="421">
        <v>44136</v>
      </c>
      <c r="AU4" s="421">
        <v>44166</v>
      </c>
      <c r="AV4" s="421">
        <v>44197</v>
      </c>
      <c r="AW4" s="421">
        <v>44197</v>
      </c>
      <c r="AX4" s="421">
        <v>44228</v>
      </c>
      <c r="AY4" s="421">
        <v>44256</v>
      </c>
      <c r="AZ4" s="421">
        <v>44287</v>
      </c>
      <c r="BA4" s="421">
        <v>44317</v>
      </c>
      <c r="BB4" s="421">
        <v>44348</v>
      </c>
      <c r="BC4" s="421">
        <v>44378</v>
      </c>
      <c r="BD4" s="421">
        <v>44409</v>
      </c>
      <c r="BE4" s="421">
        <v>44440</v>
      </c>
      <c r="BF4" s="421">
        <v>44470</v>
      </c>
      <c r="BG4" s="421">
        <v>44501</v>
      </c>
      <c r="BH4" s="421">
        <v>44531</v>
      </c>
      <c r="BI4" s="421" t="s">
        <v>24</v>
      </c>
      <c r="BJ4" s="421">
        <v>44583</v>
      </c>
      <c r="BK4" s="421">
        <v>44614</v>
      </c>
      <c r="BL4" s="421">
        <v>44642</v>
      </c>
      <c r="BM4" s="421">
        <v>44673</v>
      </c>
      <c r="BN4" s="421">
        <v>44703</v>
      </c>
      <c r="BO4" s="421">
        <v>44734</v>
      </c>
      <c r="BP4" s="421">
        <v>44764</v>
      </c>
      <c r="BQ4" s="421">
        <v>44795</v>
      </c>
      <c r="BR4" s="421">
        <v>44826</v>
      </c>
      <c r="BS4" s="421">
        <v>44856</v>
      </c>
      <c r="BT4" s="421">
        <v>44887</v>
      </c>
      <c r="BU4" s="421">
        <v>44917</v>
      </c>
      <c r="BV4" s="421" t="s">
        <v>25</v>
      </c>
      <c r="BW4" s="421">
        <v>44949</v>
      </c>
      <c r="BX4" s="421">
        <v>44980</v>
      </c>
      <c r="BY4" s="421">
        <v>45008</v>
      </c>
      <c r="BZ4" s="421">
        <v>45039</v>
      </c>
      <c r="CA4" s="421">
        <v>45069</v>
      </c>
      <c r="CB4" s="421">
        <v>45100</v>
      </c>
      <c r="CC4" s="421">
        <v>45130</v>
      </c>
      <c r="CD4" s="421">
        <v>45161</v>
      </c>
    </row>
    <row r="5" spans="2:82" s="4" customFormat="1">
      <c r="B5" s="9">
        <v>1</v>
      </c>
      <c r="C5" s="10" t="s">
        <v>26</v>
      </c>
      <c r="D5" s="164"/>
      <c r="E5" s="250"/>
      <c r="F5" s="250"/>
      <c r="G5" s="250"/>
      <c r="H5" s="250"/>
    </row>
    <row r="6" spans="2:82" s="4" customFormat="1">
      <c r="B6" s="11">
        <v>1.1000000000000001</v>
      </c>
      <c r="C6" s="163" t="s">
        <v>27</v>
      </c>
      <c r="D6" s="97" t="s">
        <v>28</v>
      </c>
      <c r="E6" s="76">
        <f>Financials!C14/1000000</f>
        <v>25.989635</v>
      </c>
      <c r="F6" s="76">
        <f>Financials!D14/1000000</f>
        <v>35.288687000000003</v>
      </c>
      <c r="G6" s="76">
        <f>Financials!E14/1000000</f>
        <v>94.944699389999997</v>
      </c>
      <c r="H6" s="76">
        <f>Financials!F14/1000000</f>
        <v>75.269883280000002</v>
      </c>
      <c r="I6" s="76">
        <f>Financials!G14/1000000</f>
        <v>78.350880050000001</v>
      </c>
      <c r="J6" s="76">
        <f>Financials!H14/1000000</f>
        <v>85.261209280000003</v>
      </c>
      <c r="K6" s="76">
        <f>Financials!I14/1000000</f>
        <v>89.37324903999999</v>
      </c>
      <c r="L6" s="76">
        <f>Financials!J14/1000000</f>
        <v>93.106243509999985</v>
      </c>
      <c r="M6" s="76">
        <f>Financials!K14/1000000</f>
        <v>97.580077430000003</v>
      </c>
      <c r="N6" s="76">
        <f>Financials!L14/1000000</f>
        <v>100.42555630000001</v>
      </c>
      <c r="O6" s="76">
        <f>Financials!M14/1000000</f>
        <v>103.10712766999998</v>
      </c>
      <c r="P6" s="76">
        <f>Financials!N14/1000000</f>
        <v>106.56795700000001</v>
      </c>
      <c r="Q6" s="76">
        <f>Financials!O14/1000000</f>
        <v>109.94600219999998</v>
      </c>
      <c r="R6" s="76">
        <f>Financials!P14/1000000</f>
        <v>114.27092678999999</v>
      </c>
      <c r="S6" s="76">
        <f>Financials!Q14/1000000</f>
        <v>52.818795999999999</v>
      </c>
      <c r="T6" s="76">
        <f>Financials!R14/1000000</f>
        <v>62.725036920000001</v>
      </c>
      <c r="U6" s="76">
        <f>Financials!S14/1000000</f>
        <v>150.54801883000002</v>
      </c>
      <c r="V6" s="76">
        <f>Financials!T14/1000000</f>
        <v>88.729697000000002</v>
      </c>
      <c r="W6" s="76">
        <f>Financials!U14/1000000</f>
        <v>155.78812582999998</v>
      </c>
      <c r="X6" s="76">
        <f>Financials!V14/1000000</f>
        <v>163.40642119999998</v>
      </c>
      <c r="Y6" s="76">
        <f>Financials!W14/1000000</f>
        <v>167.00552625999998</v>
      </c>
      <c r="Z6" s="76">
        <f>Financials!X14/1000000</f>
        <v>111.20985765</v>
      </c>
      <c r="AA6" s="76">
        <f>Financials!Y14/1000000</f>
        <v>113.81809759999999</v>
      </c>
      <c r="AB6" s="76">
        <f>Financials!Z14/1000000</f>
        <v>123.11010106000002</v>
      </c>
      <c r="AC6" s="76">
        <f>Financials!AA14/1000000</f>
        <v>130.28037244000001</v>
      </c>
      <c r="AD6" s="76">
        <f>Financials!AB14/1000000</f>
        <v>138.38068153999998</v>
      </c>
      <c r="AE6" s="76">
        <f>Financials!AC14/1000000</f>
        <v>139.57203121000001</v>
      </c>
      <c r="AF6" s="76">
        <f>Financials!AD14/1000000</f>
        <v>147.67664898000001</v>
      </c>
      <c r="AG6" s="76">
        <f>Financials!AE14/1000000</f>
        <v>154.16032692000002</v>
      </c>
      <c r="AH6" s="76">
        <f>Financials!AF14/1000000</f>
        <v>163.63228946999999</v>
      </c>
      <c r="AI6" s="76">
        <f>Financials!AG14/1000000</f>
        <v>102.63769499999999</v>
      </c>
      <c r="AJ6" s="76">
        <f>Financials!AH14/1000000</f>
        <v>172.37666025999999</v>
      </c>
      <c r="AK6" s="76">
        <f>Financials!AI14/1000000</f>
        <v>113.7563244</v>
      </c>
      <c r="AL6" s="76">
        <f>Financials!AJ14/1000000</f>
        <v>118.74226551</v>
      </c>
      <c r="AM6" s="76">
        <f>Financials!AK14/1000000</f>
        <v>128.74174794999999</v>
      </c>
      <c r="AN6" s="76">
        <f>Financials!AL14/1000000</f>
        <v>134.5316693</v>
      </c>
      <c r="AO6" s="76">
        <f>Financials!AM14/1000000</f>
        <v>141.03633293000001</v>
      </c>
      <c r="AP6" s="76">
        <f>Financials!AN14/1000000</f>
        <v>0</v>
      </c>
      <c r="AQ6" s="76">
        <f>Financials!AO14/1000000</f>
        <v>153.69685567000002</v>
      </c>
      <c r="AR6" s="76">
        <f>Financials!AP14/1000000</f>
        <v>158.21409113000001</v>
      </c>
      <c r="AS6" s="76">
        <f>Financials!AQ14/1000000</f>
        <v>165.57866883000003</v>
      </c>
      <c r="AT6" s="76">
        <f>Financials!AR14/1000000</f>
        <v>171.84636825999999</v>
      </c>
      <c r="AU6" s="76">
        <f>Financials!AS14/1000000</f>
        <v>179.88597140000002</v>
      </c>
      <c r="AV6" s="76"/>
      <c r="AW6" s="76">
        <f>Financials!AU14/1000000</f>
        <v>62.318938520000003</v>
      </c>
      <c r="AX6" s="76">
        <f>Financials!AV14/1000000</f>
        <v>62.166030849999999</v>
      </c>
      <c r="AY6" s="76">
        <f>Financials!AW14/1000000</f>
        <v>64.83734475</v>
      </c>
      <c r="AZ6" s="76">
        <f>Financials!AX14/1000000</f>
        <v>73.348040150000003</v>
      </c>
      <c r="BA6" s="76">
        <f>Financials!AY14/1000000</f>
        <v>76.554845849999992</v>
      </c>
      <c r="BB6" s="76">
        <f>Financials!AZ14/1000000</f>
        <v>77.700708150000011</v>
      </c>
      <c r="BC6" s="76">
        <f>Financials!BA14/1000000</f>
        <v>79.695653120000003</v>
      </c>
      <c r="BD6" s="76">
        <f>Financials!BB14/1000000</f>
        <v>81.326497239999995</v>
      </c>
      <c r="BE6" s="76">
        <f>Financials!BC14/1000000</f>
        <v>83.998760919999995</v>
      </c>
      <c r="BF6" s="76">
        <f>Financials!BD14/1000000</f>
        <v>86.654592280000003</v>
      </c>
      <c r="BG6" s="76">
        <f>Financials!BE14/1000000</f>
        <v>89.440196579999991</v>
      </c>
      <c r="BH6" s="76">
        <f>Financials!BF14/1000000</f>
        <v>73.706994630000011</v>
      </c>
      <c r="BI6" s="76">
        <f>Financials!BG14/1000000</f>
        <v>76.784139999999994</v>
      </c>
      <c r="BJ6" s="76">
        <f>Financials!BH14/1000000</f>
        <v>76.169122779999995</v>
      </c>
      <c r="BK6" s="76">
        <f>Financials!BI14/1000000</f>
        <v>75.281436279999994</v>
      </c>
      <c r="BL6" s="76">
        <f>Financials!BJ14/1000000</f>
        <v>83.722482420000006</v>
      </c>
      <c r="BM6" s="76">
        <f>Financials!BK14/1000000</f>
        <v>84.616760370000009</v>
      </c>
      <c r="BN6" s="76">
        <f>Financials!BL14/1000000</f>
        <v>84.755653670000001</v>
      </c>
      <c r="BO6" s="76">
        <f>Financials!BM14/1000000</f>
        <v>95.221177870000005</v>
      </c>
      <c r="BP6" s="76">
        <f>Financials!BN14/1000000</f>
        <v>98.00413017999999</v>
      </c>
      <c r="BQ6" s="76">
        <f>Financials!BO14/1000000</f>
        <v>100.97532347000002</v>
      </c>
      <c r="BR6" s="76">
        <f>Financials!BP14/1000000</f>
        <v>104.18377522000002</v>
      </c>
      <c r="BS6" s="76">
        <f>Financials!BQ14/1000000</f>
        <v>105.74016061</v>
      </c>
      <c r="BT6" s="76">
        <f>Financials!BR14/1000000</f>
        <v>109.97113511000001</v>
      </c>
      <c r="BU6" s="76">
        <f>Financials!BS14/1000000</f>
        <v>116.52306348</v>
      </c>
      <c r="BV6" s="76">
        <f>Financials!BT14/1000000</f>
        <v>104.81907</v>
      </c>
      <c r="BW6" s="76">
        <f>Financials!BU14/1000000</f>
        <v>84.088098979999998</v>
      </c>
      <c r="BX6" s="76">
        <f>Financials!BV14/1000000</f>
        <v>85.792232960000007</v>
      </c>
      <c r="BY6" s="76">
        <f>Financials!BW14/1000000</f>
        <v>88.434172010000012</v>
      </c>
      <c r="BZ6" s="76">
        <f>Financials!BX14/1000000</f>
        <v>92.841717040000006</v>
      </c>
      <c r="CA6" s="76">
        <f>Financials!BY14/1000000</f>
        <v>102.55275904999999</v>
      </c>
      <c r="CB6" s="76">
        <f>Financials!BZ14/1000000</f>
        <v>116.20578811</v>
      </c>
      <c r="CC6" s="76">
        <f>Financials!CA14/1000000</f>
        <v>0</v>
      </c>
    </row>
    <row r="7" spans="2:82" s="4" customFormat="1">
      <c r="B7" s="11">
        <v>1.2</v>
      </c>
      <c r="C7" s="11" t="s">
        <v>29</v>
      </c>
      <c r="D7" s="165" t="s">
        <v>30</v>
      </c>
      <c r="E7" s="166">
        <f>Financials!C14/Financials!C5</f>
        <v>6.3455260148954418E-2</v>
      </c>
      <c r="F7" s="166">
        <f>Financials!D14/Financials!D5</f>
        <v>8.3161502252843841E-2</v>
      </c>
      <c r="G7" s="166">
        <f>Financials!E14/Financials!E5</f>
        <v>0.20483458306253358</v>
      </c>
      <c r="H7" s="166">
        <f>Financials!F14/Financials!F5</f>
        <v>0.16493137029177229</v>
      </c>
      <c r="I7" s="166">
        <f>Financials!G14/Financials!G5</f>
        <v>0.17936092081925703</v>
      </c>
      <c r="J7" s="166">
        <f>Financials!H14/Financials!H5</f>
        <v>0.2015065783136378</v>
      </c>
      <c r="K7" s="166">
        <f>Financials!I14/Financials!I5</f>
        <v>0.2113520139115356</v>
      </c>
      <c r="L7" s="166">
        <f>Financials!J14/Financials!J5</f>
        <v>0.22749189390845997</v>
      </c>
      <c r="M7" s="166">
        <f>Financials!K14/Financials!K5</f>
        <v>0.2379036151363117</v>
      </c>
      <c r="N7" s="166">
        <f>Financials!L14/Financials!L5</f>
        <v>0.24465767376372968</v>
      </c>
      <c r="O7" s="166">
        <f>Financials!M14/Financials!M5</f>
        <v>0.24539976430005275</v>
      </c>
      <c r="P7" s="166">
        <f>Financials!N14/Financials!N5</f>
        <v>0.25509249710530318</v>
      </c>
      <c r="Q7" s="166">
        <f>Financials!O14/Financials!O5</f>
        <v>0.26039213692896029</v>
      </c>
      <c r="R7" s="166">
        <f>Financials!P14/Financials!P5</f>
        <v>0.26917966500492929</v>
      </c>
      <c r="S7" s="166">
        <f>Financials!Q14/Financials!Q5</f>
        <v>0.12245697015065801</v>
      </c>
      <c r="T7" s="166">
        <f>Financials!R14/Financials!R5</f>
        <v>0.13183856378732597</v>
      </c>
      <c r="U7" s="166">
        <f>Financials!S14/Financials!S5</f>
        <v>0.24110186226954231</v>
      </c>
      <c r="V7" s="166">
        <f>Financials!T14/Financials!T5</f>
        <v>0.15034182116486344</v>
      </c>
      <c r="W7" s="166">
        <f>Financials!U14/Financials!U5</f>
        <v>0.25864937917148656</v>
      </c>
      <c r="X7" s="166">
        <f>Financials!V14/Financials!V5</f>
        <v>0.26092796692310843</v>
      </c>
      <c r="Y7" s="166">
        <f>Financials!W14/Financials!W5</f>
        <v>0.27913949892744716</v>
      </c>
      <c r="Z7" s="166">
        <f>Financials!X14/Financials!X5</f>
        <v>0.18878797518125656</v>
      </c>
      <c r="AA7" s="166">
        <f>Financials!Y14/Financials!Y5</f>
        <v>0.18443981870095577</v>
      </c>
      <c r="AB7" s="166">
        <f>Financials!Z14/Financials!Z5</f>
        <v>0.20376488016012018</v>
      </c>
      <c r="AC7" s="166">
        <f>Financials!AA14/Financials!AA5</f>
        <v>0.20620030972476203</v>
      </c>
      <c r="AD7" s="166">
        <f>Financials!AB14/Financials!AB5</f>
        <v>0.2198390389086218</v>
      </c>
      <c r="AE7" s="166">
        <f>Financials!AC14/Financials!AC5</f>
        <v>0.218887130852048</v>
      </c>
      <c r="AF7" s="166">
        <f>Financials!AD14/Financials!AD5</f>
        <v>0.22971372967608389</v>
      </c>
      <c r="AG7" s="166">
        <f>Financials!AE14/Financials!AE5</f>
        <v>0.23842702858128817</v>
      </c>
      <c r="AH7" s="166">
        <f>Financials!AF14/Financials!AF5</f>
        <v>0.24826373491417605</v>
      </c>
      <c r="AI7" s="166">
        <f>Financials!AG14/Financials!AG5</f>
        <v>0.15560682091377473</v>
      </c>
      <c r="AJ7" s="166">
        <f>Financials!AH14/Financials!AH5</f>
        <v>0.25130054441664396</v>
      </c>
      <c r="AK7" s="166">
        <f>Financials!AI14/Financials!AI5</f>
        <v>0.17019963105634525</v>
      </c>
      <c r="AL7" s="166">
        <f>Financials!AJ14/Financials!AJ5</f>
        <v>0.17543622565384123</v>
      </c>
      <c r="AM7" s="166">
        <f>Financials!AK14/Financials!AK5</f>
        <v>0.19301961700627149</v>
      </c>
      <c r="AN7" s="166">
        <f>Financials!AL14/Financials!AL5</f>
        <v>0.19787691371895078</v>
      </c>
      <c r="AO7" s="166">
        <f>Financials!AM14/Financials!AM5</f>
        <v>0.20537401563200969</v>
      </c>
      <c r="AP7" s="166" t="e">
        <f>Financials!AN14/Financials!AN5</f>
        <v>#DIV/0!</v>
      </c>
      <c r="AQ7" s="166">
        <f>Financials!AO14/Financials!AO5</f>
        <v>0.22075342827448419</v>
      </c>
      <c r="AR7" s="166">
        <f>Financials!AP14/Financials!AP5</f>
        <v>0.22577503311883829</v>
      </c>
      <c r="AS7" s="166">
        <f>Financials!AQ14/Financials!AQ5</f>
        <v>0.23401621887058191</v>
      </c>
      <c r="AT7" s="166">
        <f>Financials!AR14/Financials!AR5</f>
        <v>0.23971946645589615</v>
      </c>
      <c r="AU7" s="166">
        <f>Financials!AS14/Financials!AS5</f>
        <v>0.2456981325777651</v>
      </c>
      <c r="AV7" s="166"/>
      <c r="AW7" s="166">
        <f>Financials!AU14/Financials!AU5</f>
        <v>0.27949298520313642</v>
      </c>
      <c r="AX7" s="166">
        <f>Financials!AV14/Financials!AV5</f>
        <v>0.27821053245902821</v>
      </c>
      <c r="AY7" s="166">
        <f>Financials!AW14/Financials!AW5</f>
        <v>0.28743070937956028</v>
      </c>
      <c r="AZ7" s="166">
        <f>Financials!AX14/Financials!AX5</f>
        <v>0.32214302053220872</v>
      </c>
      <c r="BA7" s="166">
        <f>Financials!AY14/Financials!AY5</f>
        <v>0.33224419800118227</v>
      </c>
      <c r="BB7" s="166">
        <f>Financials!AZ14/Financials!AZ5</f>
        <v>0.33311785640404185</v>
      </c>
      <c r="BC7" s="166">
        <f>Financials!BA14/Financials!BA5</f>
        <v>0.33321642092311093</v>
      </c>
      <c r="BD7" s="166">
        <f>Financials!BB14/Financials!BB5</f>
        <v>0.33145769791231561</v>
      </c>
      <c r="BE7" s="166">
        <f>Financials!BC14/Financials!BC5</f>
        <v>0.33874048090309766</v>
      </c>
      <c r="BF7" s="166">
        <f>Financials!BD14/Financials!BD5</f>
        <v>0.34524005760307175</v>
      </c>
      <c r="BG7" s="166">
        <f>Financials!BE14/Financials!BE5</f>
        <v>0.35668952800519754</v>
      </c>
      <c r="BH7" s="166">
        <f>Financials!BF14/Financials!BF5</f>
        <v>0.29473320244912521</v>
      </c>
      <c r="BI7" s="166">
        <f>Financials!BG14/Financials!BG5</f>
        <v>0.31006823907692388</v>
      </c>
      <c r="BJ7" s="166">
        <f>Financials!BH14/Financials!BH5</f>
        <v>0.3020998342762875</v>
      </c>
      <c r="BK7" s="166">
        <f>Financials!BI14/Financials!BI5</f>
        <v>0.29651816435603007</v>
      </c>
      <c r="BL7" s="166">
        <f>Financials!BJ14/Financials!BJ5</f>
        <v>0.32306666720822336</v>
      </c>
      <c r="BM7" s="166">
        <f>Financials!BK14/Financials!BK5</f>
        <v>0.33612628496196284</v>
      </c>
      <c r="BN7" s="166">
        <f>Financials!BL14/Financials!BL5</f>
        <v>0.33513254264492537</v>
      </c>
      <c r="BO7" s="166">
        <f>Financials!BM14/Financials!BM5</f>
        <v>0.35616706144463062</v>
      </c>
      <c r="BP7" s="166">
        <f>Financials!BN14/Financials!BN5</f>
        <v>0.35758593642244946</v>
      </c>
      <c r="BQ7" s="166">
        <f>Financials!BO14/Financials!BO5</f>
        <v>0.35946262966420756</v>
      </c>
      <c r="BR7" s="166">
        <f>Financials!BP14/Financials!BP5</f>
        <v>0.36578745461384254</v>
      </c>
      <c r="BS7" s="166">
        <f>Financials!BQ14/Financials!BQ5</f>
        <v>0.36248789220331745</v>
      </c>
      <c r="BT7" s="166">
        <f>Financials!BR14/Financials!BR5</f>
        <v>0.36769422680462627</v>
      </c>
      <c r="BU7" s="166">
        <f>Financials!BS14/Financials!BS5</f>
        <v>0.36987752063363233</v>
      </c>
      <c r="BV7" s="166">
        <f>Financials!BT14/Financials!BT5</f>
        <v>0.33853984151905731</v>
      </c>
      <c r="BW7" s="166">
        <f>Financials!BU14/Financials!BU5</f>
        <v>0.25716950146060819</v>
      </c>
      <c r="BX7" s="166">
        <f>Financials!BV14/Financials!BV5</f>
        <v>0.26174332425346009</v>
      </c>
      <c r="BY7" s="166">
        <f>Financials!BW14/Financials!BW5</f>
        <v>0.27131159556993539</v>
      </c>
      <c r="BZ7" s="166">
        <f>Financials!BX14/Financials!BX5</f>
        <v>0.281734104374744</v>
      </c>
      <c r="CA7" s="166">
        <f>Financials!BY14/Financials!BY5</f>
        <v>0.31023518420658908</v>
      </c>
      <c r="CB7" s="166">
        <f>Financials!BZ14/Financials!BZ5</f>
        <v>0.33781191987365478</v>
      </c>
      <c r="CC7" s="166" t="e">
        <f>Financials!CA14/Financials!CA5</f>
        <v>#DIV/0!</v>
      </c>
    </row>
    <row r="8" spans="2:82" s="4" customFormat="1">
      <c r="B8" s="11">
        <v>1.3</v>
      </c>
      <c r="C8" s="11" t="s">
        <v>31</v>
      </c>
      <c r="D8" s="60" t="s">
        <v>32</v>
      </c>
      <c r="E8" s="77">
        <f>Financials!C14/Financials!C6</f>
        <v>8.7708087914287497E-2</v>
      </c>
      <c r="F8" s="77">
        <f>Financials!D14/Financials!D6</f>
        <v>0.10820486279769082</v>
      </c>
      <c r="G8" s="77">
        <f>Financials!E14/Financials!E6</f>
        <v>0.26090139029372172</v>
      </c>
      <c r="H8" s="77">
        <f>Financials!F14/Financials!F6</f>
        <v>0.21334301656847876</v>
      </c>
      <c r="I8" s="77">
        <f>Financials!G14/Financials!G6</f>
        <v>0.22591234463924931</v>
      </c>
      <c r="J8" s="77">
        <f>Financials!H14/Financials!H6</f>
        <v>0.2554796746807026</v>
      </c>
      <c r="K8" s="77">
        <f>Financials!I14/Financials!I6</f>
        <v>0.27117475384190476</v>
      </c>
      <c r="L8" s="77">
        <f>Financials!J14/Financials!J6</f>
        <v>0.29894231147943329</v>
      </c>
      <c r="M8" s="77">
        <f>Financials!K14/Financials!K6</f>
        <v>0.31622613631182372</v>
      </c>
      <c r="N8" s="77">
        <f>Financials!L14/Financials!L6</f>
        <v>0.32812397154799477</v>
      </c>
      <c r="O8" s="77">
        <f>Financials!M14/Financials!M6</f>
        <v>0.32924031318667135</v>
      </c>
      <c r="P8" s="77">
        <f>Financials!N14/Financials!N6</f>
        <v>0.34734426493788501</v>
      </c>
      <c r="Q8" s="77">
        <f>Financials!O14/Financials!O6</f>
        <v>0.35842249104545804</v>
      </c>
      <c r="R8" s="77">
        <f>Financials!P14/Financials!P6</f>
        <v>0.37474180212704322</v>
      </c>
      <c r="S8" s="77">
        <f>Financials!Q14/Financials!Q6</f>
        <v>0.17321049654875301</v>
      </c>
      <c r="T8" s="77">
        <f>Financials!R14/Financials!R6</f>
        <v>0.18430397874783772</v>
      </c>
      <c r="U8" s="77">
        <f>Financials!S14/Financials!S6</f>
        <v>0.34747495800317046</v>
      </c>
      <c r="V8" s="77">
        <f>Financials!T14/Financials!T6</f>
        <v>0.20476934519185361</v>
      </c>
      <c r="W8" s="77">
        <f>Financials!U14/Financials!U6</f>
        <v>0.35535989666450579</v>
      </c>
      <c r="X8" s="77">
        <f>Financials!V14/Financials!V6</f>
        <v>0.35976739089457771</v>
      </c>
      <c r="Y8" s="77">
        <f>Financials!W14/Financials!W6</f>
        <v>0.35443834516011652</v>
      </c>
      <c r="Z8" s="77">
        <f>Financials!X14/Financials!X6</f>
        <v>0.24016291206303994</v>
      </c>
      <c r="AA8" s="77">
        <f>Financials!Y14/Financials!Y6</f>
        <v>0.23410756504706712</v>
      </c>
      <c r="AB8" s="77">
        <f>Financials!Z14/Financials!Z6</f>
        <v>0.26405944273900928</v>
      </c>
      <c r="AC8" s="77">
        <f>Financials!AA14/Financials!AA6</f>
        <v>0.26410265014603962</v>
      </c>
      <c r="AD8" s="77">
        <f>Financials!AB14/Financials!AB6</f>
        <v>0.28636871056472768</v>
      </c>
      <c r="AE8" s="77">
        <f>Financials!AC14/Financials!AC6</f>
        <v>0.28484364802053008</v>
      </c>
      <c r="AF8" s="77">
        <f>Financials!AD14/Financials!AD6</f>
        <v>0.30326394008739826</v>
      </c>
      <c r="AG8" s="77">
        <f>Financials!AE14/Financials!AE6</f>
        <v>0.31876763645307782</v>
      </c>
      <c r="AH8" s="77">
        <f>Financials!AF14/Financials!AF6</f>
        <v>0.33600863855145041</v>
      </c>
      <c r="AI8" s="77">
        <f>Financials!AG14/Financials!AG6</f>
        <v>0.21083105175249287</v>
      </c>
      <c r="AJ8" s="77">
        <f>Financials!AH14/Financials!AH6</f>
        <v>0.34585041848132486</v>
      </c>
      <c r="AK8" s="77">
        <f>Financials!AI14/Financials!AI6</f>
        <v>0.21161603801924489</v>
      </c>
      <c r="AL8" s="77">
        <f>Financials!AJ14/Financials!AJ6</f>
        <v>0.21771767551513765</v>
      </c>
      <c r="AM8" s="77">
        <f>Financials!AK14/Financials!AK6</f>
        <v>0.24530757621900073</v>
      </c>
      <c r="AN8" s="77">
        <f>Financials!AL14/Financials!AL6</f>
        <v>0.25299075415607519</v>
      </c>
      <c r="AO8" s="77">
        <f>Financials!AM14/Financials!AM6</f>
        <v>0.26523210095266531</v>
      </c>
      <c r="AP8" s="77" t="e">
        <f>Financials!AN14/Financials!AN6</f>
        <v>#DIV/0!</v>
      </c>
      <c r="AQ8" s="77">
        <f>Financials!AO14/Financials!AO6</f>
        <v>0.29007439054255857</v>
      </c>
      <c r="AR8" s="77">
        <f>Financials!AP14/Financials!AP6</f>
        <v>0.29830322567138212</v>
      </c>
      <c r="AS8" s="77">
        <f>Financials!AQ14/Financials!AQ6</f>
        <v>0.31182872225895175</v>
      </c>
      <c r="AT8" s="77">
        <f>Financials!AR14/Financials!AR6</f>
        <v>0.32201779738842107</v>
      </c>
      <c r="AU8" s="77">
        <f>Financials!AS14/Financials!AS6</f>
        <v>0.33302156562742458</v>
      </c>
      <c r="AV8" s="77"/>
      <c r="AW8" s="77">
        <f>Financials!AU14/Financials!AU6</f>
        <v>0.4613194797420867</v>
      </c>
      <c r="AX8" s="77">
        <f>Financials!AV14/Financials!AV6</f>
        <v>0.4550595717006764</v>
      </c>
      <c r="AY8" s="77">
        <f>Financials!AW14/Financials!AW6</f>
        <v>0.47614927528543038</v>
      </c>
      <c r="AZ8" s="77">
        <f>Financials!AX14/Financials!AX6</f>
        <v>0.5226151412422444</v>
      </c>
      <c r="BA8" s="77">
        <f>Financials!AY14/Financials!AY6</f>
        <v>0.54483248419353747</v>
      </c>
      <c r="BB8" s="77">
        <f>Financials!AZ14/Financials!AZ6</f>
        <v>0.54787085518681888</v>
      </c>
      <c r="BC8" s="77">
        <f>Financials!BA14/Financials!BA6</f>
        <v>0.54940749693179125</v>
      </c>
      <c r="BD8" s="77">
        <f>Financials!BB14/Financials!BB6</f>
        <v>0.54404629727948672</v>
      </c>
      <c r="BE8" s="77">
        <f>Financials!BC14/Financials!BC6</f>
        <v>0.54869962271332284</v>
      </c>
      <c r="BF8" s="77">
        <f>Financials!BD14/Financials!BD6</f>
        <v>0.56440642548689313</v>
      </c>
      <c r="BG8" s="77">
        <f>Financials!BE14/Financials!BE6</f>
        <v>0.5882169674127804</v>
      </c>
      <c r="BH8" s="77">
        <f>Financials!BF14/Financials!BF6</f>
        <v>0.48219134786304729</v>
      </c>
      <c r="BI8" s="77">
        <f>Financials!BG14/Financials!BG6</f>
        <v>0.50232204128954827</v>
      </c>
      <c r="BJ8" s="77">
        <f>Financials!BH14/Financials!BH6</f>
        <v>0.5032074016732121</v>
      </c>
      <c r="BK8" s="77">
        <f>Financials!BI14/Financials!BI6</f>
        <v>0.49187855636639277</v>
      </c>
      <c r="BL8" s="77">
        <f>Financials!BJ14/Financials!BJ6</f>
        <v>0.55879044343319328</v>
      </c>
      <c r="BM8" s="77">
        <f>Financials!BK14/Financials!BK6</f>
        <v>0.54731127019370585</v>
      </c>
      <c r="BN8" s="77">
        <f>Financials!BL14/Financials!BL6</f>
        <v>0.54305525869767513</v>
      </c>
      <c r="BO8" s="77">
        <f>Financials!BM14/Financials!BM6</f>
        <v>0.5960749596838496</v>
      </c>
      <c r="BP8" s="77">
        <f>Financials!BN14/Financials!BN6</f>
        <v>0.60192895415679382</v>
      </c>
      <c r="BQ8" s="77">
        <f>Financials!BO14/Financials!BO6</f>
        <v>0.60762187127923495</v>
      </c>
      <c r="BR8" s="77">
        <f>Financials!BP14/Financials!BP6</f>
        <v>0.6280051723956741</v>
      </c>
      <c r="BS8" s="77">
        <f>Financials!BQ14/Financials!BQ6</f>
        <v>0.61700042097330954</v>
      </c>
      <c r="BT8" s="77">
        <f>Financials!BR14/Financials!BR6</f>
        <v>0.62479897563937514</v>
      </c>
      <c r="BU8" s="77">
        <f>Financials!BS14/Financials!BS6</f>
        <v>0.63368261429994377</v>
      </c>
      <c r="BV8" s="77">
        <f>Financials!BT14/Financials!BT6</f>
        <v>0.56999192020312039</v>
      </c>
      <c r="BW8" s="77">
        <f>Financials!BU14/Financials!BU6</f>
        <v>0.44523941404885503</v>
      </c>
      <c r="BX8" s="77">
        <f>Financials!BV14/Financials!BV6</f>
        <v>0.45477138174659215</v>
      </c>
      <c r="BY8" s="77">
        <f>Financials!BW14/Financials!BW6</f>
        <v>0.47489399815905153</v>
      </c>
      <c r="BZ8" s="77">
        <f>Financials!BX14/Financials!BX6</f>
        <v>0.49190656037825559</v>
      </c>
      <c r="CA8" s="77">
        <f>Financials!BY14/Financials!BY6</f>
        <v>0.51979683190111137</v>
      </c>
      <c r="CB8" s="77">
        <f>Financials!BZ14/Financials!BZ6</f>
        <v>0.58461274623460269</v>
      </c>
      <c r="CC8" s="77" t="e">
        <f>Financials!CA14/Financials!CA6</f>
        <v>#DIV/0!</v>
      </c>
    </row>
    <row r="9" spans="2:82" s="4" customFormat="1">
      <c r="B9" s="11">
        <v>1.4</v>
      </c>
      <c r="C9" s="12" t="s">
        <v>33</v>
      </c>
      <c r="D9" s="60" t="s">
        <v>34</v>
      </c>
      <c r="E9" s="77">
        <f>Financials!C18/Financials!C5</f>
        <v>1.9594444046008939E-2</v>
      </c>
      <c r="F9" s="77">
        <f>Financials!D18/Financials!D5</f>
        <v>2.2998192342437732E-2</v>
      </c>
      <c r="G9" s="77">
        <f>Financials!E18/Financials!E5</f>
        <v>2.1441489395745819E-2</v>
      </c>
      <c r="H9" s="77">
        <f>Financials!F18/Financials!F5</f>
        <v>2.1777319148539215E-2</v>
      </c>
      <c r="I9" s="77">
        <f>Financials!G18/Financials!G5</f>
        <v>2.4372394500627514E-2</v>
      </c>
      <c r="J9" s="77">
        <f>Financials!H18/Financials!H5</f>
        <v>3.0581227756742341E-2</v>
      </c>
      <c r="K9" s="77">
        <f>Financials!I18/Financials!I5</f>
        <v>3.4259820992789874E-2</v>
      </c>
      <c r="L9" s="77">
        <f>Financials!J18/Financials!J5</f>
        <v>3.7908674868801027E-2</v>
      </c>
      <c r="M9" s="77">
        <f>Financials!K18/Financials!K5</f>
        <v>3.7995444732514358E-2</v>
      </c>
      <c r="N9" s="77">
        <f>Financials!L18/Financials!L5</f>
        <v>3.8600643379331417E-2</v>
      </c>
      <c r="O9" s="77">
        <f>Financials!M18/Financials!M5</f>
        <v>3.8133953341535527E-2</v>
      </c>
      <c r="P9" s="77">
        <f>Financials!N18/Financials!N5</f>
        <v>3.8615300719449457E-2</v>
      </c>
      <c r="Q9" s="77">
        <f>Financials!O18/Financials!O5</f>
        <v>3.8471598270078927E-2</v>
      </c>
      <c r="R9" s="77">
        <f>Financials!P18/Financials!P5</f>
        <v>3.8561272683258992E-2</v>
      </c>
      <c r="S9" s="77">
        <f>Financials!Q18/Financials!Q5</f>
        <v>3.7952454795875508E-2</v>
      </c>
      <c r="T9" s="77">
        <f>Financials!R18/Financials!R5</f>
        <v>3.905847290240308E-2</v>
      </c>
      <c r="U9" s="77">
        <f>Financials!S18/Financials!S5</f>
        <v>3.7164599711732693E-2</v>
      </c>
      <c r="V9" s="77">
        <f>Financials!T18/Financials!T5</f>
        <v>3.932011194185582E-2</v>
      </c>
      <c r="W9" s="77">
        <f>Financials!U18/Financials!U5</f>
        <v>3.9499854369665653E-2</v>
      </c>
      <c r="X9" s="77">
        <f>Financials!V18/Financials!V5</f>
        <v>3.8047749592127596E-2</v>
      </c>
      <c r="Y9" s="77">
        <f>Financials!W18/Financials!W5</f>
        <v>4.0262491511781608E-2</v>
      </c>
      <c r="Z9" s="77">
        <f>Financials!X18/Financials!X5</f>
        <v>4.1010597772493093E-2</v>
      </c>
      <c r="AA9" s="77">
        <f>Financials!Y18/Financials!Y5</f>
        <v>3.9180305065532668E-2</v>
      </c>
      <c r="AB9" s="77">
        <f>Financials!Z18/Financials!Z5</f>
        <v>4.0352015536344502E-2</v>
      </c>
      <c r="AC9" s="77">
        <f>Financials!AA18/Financials!AA5</f>
        <v>3.8750320187227905E-2</v>
      </c>
      <c r="AD9" s="77">
        <f>Financials!AB18/Financials!AB5</f>
        <v>3.9323336084789898E-2</v>
      </c>
      <c r="AE9" s="77">
        <f>Financials!AC18/Financials!AC5</f>
        <v>3.9672877240133381E-2</v>
      </c>
      <c r="AF9" s="77">
        <f>Financials!AD18/Financials!AD5</f>
        <v>3.979461592946338E-2</v>
      </c>
      <c r="AG9" s="77">
        <f>Financials!AE18/Financials!AE5</f>
        <v>3.9694189463442012E-2</v>
      </c>
      <c r="AH9" s="77">
        <f>Financials!AF18/Financials!AF5</f>
        <v>3.9149356726293195E-2</v>
      </c>
      <c r="AI9" s="77">
        <f>Financials!AG18/Financials!AG5</f>
        <v>3.9121808393807501E-2</v>
      </c>
      <c r="AJ9" s="77">
        <f>Financials!AH18/Financials!AH5</f>
        <v>3.7766591743311255E-2</v>
      </c>
      <c r="AK9" s="77">
        <f>Financials!AI18/Financials!AI5</f>
        <v>3.8890464978355438E-2</v>
      </c>
      <c r="AL9" s="77">
        <f>Financials!AJ18/Financials!AJ5</f>
        <v>3.8770656434381337E-2</v>
      </c>
      <c r="AM9" s="77">
        <f>Financials!AK18/Financials!AK5</f>
        <v>3.9733204766294307E-2</v>
      </c>
      <c r="AN9" s="77">
        <f>Financials!AL18/Financials!AL5</f>
        <v>3.9138635262889986E-2</v>
      </c>
      <c r="AO9" s="77">
        <f>Financials!AM18/Financials!AM5</f>
        <v>3.874802475152498E-2</v>
      </c>
      <c r="AP9" s="77" t="e">
        <f>Financials!AN18/Financials!AN5</f>
        <v>#DIV/0!</v>
      </c>
      <c r="AQ9" s="77">
        <f>Financials!AO18/Financials!AO5</f>
        <v>3.9023080333793786E-2</v>
      </c>
      <c r="AR9" s="77">
        <f>Financials!AP18/Financials!AP5</f>
        <v>3.8981142444316823E-2</v>
      </c>
      <c r="AS9" s="77">
        <f>Financials!AQ18/Financials!AQ5</f>
        <v>3.8776283375694519E-2</v>
      </c>
      <c r="AT9" s="77">
        <f>Financials!AR18/Financials!AR5</f>
        <v>3.8439666303363575E-2</v>
      </c>
      <c r="AU9" s="77">
        <f>Financials!AS18/Financials!AS5</f>
        <v>3.7884342068900019E-2</v>
      </c>
      <c r="AV9" s="77"/>
      <c r="AW9" s="77">
        <f>Financials!AU18/Financials!AU5</f>
        <v>0.12436863565432577</v>
      </c>
      <c r="AX9" s="77">
        <f>Financials!AV18/Financials!AV5</f>
        <v>0.12483961829860228</v>
      </c>
      <c r="AY9" s="77">
        <f>Financials!AW18/Financials!AW5</f>
        <v>0.12441108430303961</v>
      </c>
      <c r="AZ9" s="77">
        <f>Financials!AX18/Financials!AX5</f>
        <v>0.12377008312920471</v>
      </c>
      <c r="BA9" s="77">
        <f>Financials!AY18/Financials!AY5</f>
        <v>0.12310058217843457</v>
      </c>
      <c r="BB9" s="77">
        <f>Financials!AZ18/Financials!AZ5</f>
        <v>0.12232881090912569</v>
      </c>
      <c r="BC9" s="77">
        <f>Financials!BA18/Financials!BA5</f>
        <v>0.12002909544591872</v>
      </c>
      <c r="BD9" s="77">
        <f>Financials!BB18/Financials!BB5</f>
        <v>0.11773735442544331</v>
      </c>
      <c r="BE9" s="77">
        <f>Financials!BC18/Financials!BC5</f>
        <v>0.11721331607167948</v>
      </c>
      <c r="BF9" s="77">
        <f>Financials!BD18/Financials!BD5</f>
        <v>0.11693967941432162</v>
      </c>
      <c r="BG9" s="77">
        <f>Financials!BE18/Financials!BE5</f>
        <v>0.11739299441477066</v>
      </c>
      <c r="BH9" s="77">
        <f>Financials!BF18/Financials!BF5</f>
        <v>0.11836239967919521</v>
      </c>
      <c r="BI9" s="77">
        <f>Financials!BG18/Financials!BG5</f>
        <v>0.11953465393717398</v>
      </c>
      <c r="BJ9" s="77">
        <f>Financials!BH18/Financials!BH5</f>
        <v>0.11837059956057268</v>
      </c>
      <c r="BK9" s="77">
        <f>Financials!BI18/Financials!BI5</f>
        <v>0.11839466819692245</v>
      </c>
      <c r="BL9" s="77">
        <f>Financials!BJ18/Financials!BJ5</f>
        <v>0.13651068055130006</v>
      </c>
      <c r="BM9" s="77">
        <f>Financials!BK18/Financials!BK5</f>
        <v>0.14181075565946524</v>
      </c>
      <c r="BN9" s="77">
        <f>Financials!BL18/Financials!BL5</f>
        <v>0.14135356798263748</v>
      </c>
      <c r="BO9" s="77">
        <f>Financials!BM18/Financials!BM5</f>
        <v>0.13454789261501818</v>
      </c>
      <c r="BP9" s="77">
        <f>Financials!BN18/Financials!BN5</f>
        <v>0.13607964503011255</v>
      </c>
      <c r="BQ9" s="77">
        <f>Financials!BO18/Financials!BO5</f>
        <v>0.13330421676967541</v>
      </c>
      <c r="BR9" s="77">
        <f>Financials!BP18/Financials!BP5</f>
        <v>0.13213111123403593</v>
      </c>
      <c r="BS9" s="77">
        <f>Financials!BQ18/Financials!BQ5</f>
        <v>0.12972090687911494</v>
      </c>
      <c r="BT9" s="77">
        <f>Financials!BR18/Financials!BR5</f>
        <v>0.12957162580928072</v>
      </c>
      <c r="BU9" s="77">
        <f>Financials!BS18/Financials!BS5</f>
        <v>0.12532426394531973</v>
      </c>
      <c r="BV9" s="77">
        <f>Financials!BT18/Financials!BT5</f>
        <v>0.12750775402640871</v>
      </c>
      <c r="BW9" s="77">
        <f>Financials!BU18/Financials!BU5</f>
        <v>0.10726015559261273</v>
      </c>
      <c r="BX9" s="77">
        <f>Financials!BV18/Financials!BV5</f>
        <v>0.10723208037193363</v>
      </c>
      <c r="BY9" s="77">
        <f>Financials!BW18/Financials!BW5</f>
        <v>0.10954111037453562</v>
      </c>
      <c r="BZ9" s="77">
        <f>Financials!BX18/Financials!BX5</f>
        <v>0.10951569987355544</v>
      </c>
      <c r="CA9" s="77">
        <f>Financials!BY18/Financials!BY5</f>
        <v>0.11100520344675895</v>
      </c>
      <c r="CB9" s="77">
        <f>Financials!BZ18/Financials!BZ5</f>
        <v>0.10788586109494047</v>
      </c>
      <c r="CC9" s="77" t="e">
        <f>Financials!CA18/Financials!CA5</f>
        <v>#DIV/0!</v>
      </c>
    </row>
    <row r="10" spans="2:82" s="4" customFormat="1">
      <c r="B10" s="11">
        <v>1.5</v>
      </c>
      <c r="C10" s="12" t="s">
        <v>35</v>
      </c>
      <c r="D10" s="60" t="s">
        <v>32</v>
      </c>
      <c r="E10" s="77">
        <f>Financials!C15/Financials!C5</f>
        <v>4.3860816102945475E-2</v>
      </c>
      <c r="F10" s="77">
        <f>Financials!D15/Financials!D5</f>
        <v>6.0163309910406117E-2</v>
      </c>
      <c r="G10" s="77">
        <f>Financials!E15/Financials!E5</f>
        <v>0.18339309366678777</v>
      </c>
      <c r="H10" s="77">
        <f>Financials!F15/Financials!F5</f>
        <v>0.14315405114323307</v>
      </c>
      <c r="I10" s="77">
        <f>Financials!G15/Financials!G5</f>
        <v>0.15498852631862953</v>
      </c>
      <c r="J10" s="77">
        <f>Financials!H15/Financials!H5</f>
        <v>0.17092535055689548</v>
      </c>
      <c r="K10" s="77">
        <f>Financials!I15/Financials!I5</f>
        <v>0.17709219291874573</v>
      </c>
      <c r="L10" s="77">
        <f>Financials!J15/Financials!J5</f>
        <v>0.18958321903965894</v>
      </c>
      <c r="M10" s="77">
        <f>Financials!K15/Financials!K5</f>
        <v>0.19990817040379735</v>
      </c>
      <c r="N10" s="77">
        <f>Financials!L15/Financials!L5</f>
        <v>0.20605703038439827</v>
      </c>
      <c r="O10" s="77">
        <f>Financials!M15/Financials!M5</f>
        <v>0.20726581095851723</v>
      </c>
      <c r="P10" s="77">
        <f>Financials!N15/Financials!N5</f>
        <v>0.21647719638585375</v>
      </c>
      <c r="Q10" s="77">
        <f>Financials!O15/Financials!O5</f>
        <v>0.22192053865888139</v>
      </c>
      <c r="R10" s="77">
        <f>Financials!P15/Financials!P5</f>
        <v>0.23061839232167028</v>
      </c>
      <c r="S10" s="77">
        <f>Financials!Q15/Financials!Q5</f>
        <v>8.4504515354782511E-2</v>
      </c>
      <c r="T10" s="77">
        <f>Financials!R15/Financials!R5</f>
        <v>9.2780090884922894E-2</v>
      </c>
      <c r="U10" s="77">
        <f>Financials!S15/Financials!S5</f>
        <v>0.20393726255780961</v>
      </c>
      <c r="V10" s="77">
        <f>Financials!T15/Financials!T5</f>
        <v>0.11102170922300764</v>
      </c>
      <c r="W10" s="77">
        <f>Financials!U15/Financials!U5</f>
        <v>0.21914952480182093</v>
      </c>
      <c r="X10" s="77">
        <f>Financials!V15/Financials!V5</f>
        <v>0.22288021733098087</v>
      </c>
      <c r="Y10" s="77">
        <f>Financials!W15/Financials!W5</f>
        <v>0.23887700741566556</v>
      </c>
      <c r="Z10" s="77">
        <f>Financials!X15/Financials!X5</f>
        <v>0.14777737740876346</v>
      </c>
      <c r="AA10" s="77">
        <f>Financials!Y15/Financials!Y5</f>
        <v>0.14525951363542308</v>
      </c>
      <c r="AB10" s="77">
        <f>Financials!Z15/Financials!Z5</f>
        <v>0.16341286462377569</v>
      </c>
      <c r="AC10" s="77">
        <f>Financials!AA15/Financials!AA5</f>
        <v>0.16744998953753412</v>
      </c>
      <c r="AD10" s="77">
        <f>Financials!AB15/Financials!AB5</f>
        <v>0.18051570282383192</v>
      </c>
      <c r="AE10" s="77">
        <f>Financials!AC15/Financials!AC5</f>
        <v>0.17921425361191462</v>
      </c>
      <c r="AF10" s="77">
        <f>Financials!AD15/Financials!AD5</f>
        <v>0.18991911374662049</v>
      </c>
      <c r="AG10" s="77">
        <f>Financials!AE15/Financials!AE5</f>
        <v>0.19873283911784617</v>
      </c>
      <c r="AH10" s="77">
        <f>Financials!AF15/Financials!AF5</f>
        <v>0.20911437818788287</v>
      </c>
      <c r="AI10" s="77">
        <f>Financials!AG15/Financials!AG5</f>
        <v>0.11648501251996723</v>
      </c>
      <c r="AJ10" s="77">
        <f>Financials!AH15/Financials!AH5</f>
        <v>0.21353395267333272</v>
      </c>
      <c r="AK10" s="77">
        <f>Financials!AI15/Financials!AI5</f>
        <v>0.13130916607798981</v>
      </c>
      <c r="AL10" s="77">
        <f>Financials!AJ15/Financials!AJ5</f>
        <v>0.13666556921945988</v>
      </c>
      <c r="AM10" s="77">
        <f>Financials!AK15/Financials!AK5</f>
        <v>0.15328641223997719</v>
      </c>
      <c r="AN10" s="77">
        <f>Financials!AL15/Financials!AL5</f>
        <v>0.15873827845606081</v>
      </c>
      <c r="AO10" s="77">
        <f>Financials!AM15/Financials!AM5</f>
        <v>0.16662599088048471</v>
      </c>
      <c r="AP10" s="77" t="e">
        <f>Financials!AN15/Financials!AN5</f>
        <v>#DIV/0!</v>
      </c>
      <c r="AQ10" s="77">
        <f>Financials!AO15/Financials!AO5</f>
        <v>0.1817303479406904</v>
      </c>
      <c r="AR10" s="77">
        <f>Financials!AP15/Financials!AP5</f>
        <v>0.18679389067452148</v>
      </c>
      <c r="AS10" s="77">
        <f>Financials!AQ15/Financials!AQ5</f>
        <v>0.19523993549488738</v>
      </c>
      <c r="AT10" s="77">
        <f>Financials!AR15/Financials!AR5</f>
        <v>0.20127980015253258</v>
      </c>
      <c r="AU10" s="77">
        <f>Financials!AS15/Financials!AS5</f>
        <v>0.20781379050886509</v>
      </c>
      <c r="AV10" s="77"/>
      <c r="AW10" s="77">
        <f>Financials!AU15/Financials!AU5</f>
        <v>0.15512434954881066</v>
      </c>
      <c r="AX10" s="77">
        <f>Financials!AV15/Financials!AV5</f>
        <v>0.15337091416042598</v>
      </c>
      <c r="AY10" s="77">
        <f>Financials!AW15/Financials!AW5</f>
        <v>0.16301962507652065</v>
      </c>
      <c r="AZ10" s="77">
        <f>Financials!AX15/Financials!AX5</f>
        <v>0.19837293740300399</v>
      </c>
      <c r="BA10" s="77">
        <f>Financials!AY15/Financials!AY5</f>
        <v>0.20914361582274768</v>
      </c>
      <c r="BB10" s="77">
        <f>Financials!AZ15/Financials!AZ5</f>
        <v>0.21078904549491614</v>
      </c>
      <c r="BC10" s="77">
        <f>Financials!BA15/Financials!BA5</f>
        <v>0.21318732547719224</v>
      </c>
      <c r="BD10" s="77">
        <f>Financials!BB15/Financials!BB5</f>
        <v>0.21372034348687233</v>
      </c>
      <c r="BE10" s="77">
        <f>Financials!BC15/Financials!BC5</f>
        <v>0.22152716483141821</v>
      </c>
      <c r="BF10" s="77">
        <f>Financials!BD15/Financials!BD5</f>
        <v>0.22830037818875012</v>
      </c>
      <c r="BG10" s="77">
        <f>Financials!BE15/Financials!BE5</f>
        <v>0.23929653359042688</v>
      </c>
      <c r="BH10" s="77">
        <f>Financials!BF15/Financials!BF5</f>
        <v>0.17637080276993003</v>
      </c>
      <c r="BI10" s="77">
        <f>Financials!BG15/Financials!BG5</f>
        <v>0.19053358513974991</v>
      </c>
      <c r="BJ10" s="77">
        <f>Financials!BH15/Financials!BH5</f>
        <v>0.18372923471571487</v>
      </c>
      <c r="BK10" s="77">
        <f>Financials!BI15/Financials!BI5</f>
        <v>0.17812349615910764</v>
      </c>
      <c r="BL10" s="77">
        <f>Financials!BJ15/Financials!BJ5</f>
        <v>0.18655598665692327</v>
      </c>
      <c r="BM10" s="77">
        <f>Financials!BK15/Financials!BK5</f>
        <v>0.19431552930249762</v>
      </c>
      <c r="BN10" s="77">
        <f>Financials!BL15/Financials!BL5</f>
        <v>0.19377897466228788</v>
      </c>
      <c r="BO10" s="77">
        <f>Financials!BM15/Financials!BM5</f>
        <v>0.22161916882961247</v>
      </c>
      <c r="BP10" s="77">
        <f>Financials!BN15/Financials!BN5</f>
        <v>0.22150629139233691</v>
      </c>
      <c r="BQ10" s="77">
        <f>Financials!BO15/Financials!BO5</f>
        <v>0.22615841289453215</v>
      </c>
      <c r="BR10" s="77">
        <f>Financials!BP15/Financials!BP5</f>
        <v>0.23365634337980659</v>
      </c>
      <c r="BS10" s="77">
        <f>Financials!BQ15/Financials!BQ5</f>
        <v>0.23276698532420251</v>
      </c>
      <c r="BT10" s="77">
        <f>Financials!BR15/Financials!BR5</f>
        <v>0.23812260099534549</v>
      </c>
      <c r="BU10" s="77">
        <f>Financials!BS15/Financials!BS5</f>
        <v>0.2445532566883126</v>
      </c>
      <c r="BV10" s="77">
        <f>Financials!BT15/Financials!BT5</f>
        <v>0.2110320874926486</v>
      </c>
      <c r="BW10" s="77">
        <f>Financials!BU15/Financials!BU5</f>
        <v>0.14990934586799545</v>
      </c>
      <c r="BX10" s="77">
        <f>Financials!BV15/Financials!BV5</f>
        <v>0.15451124388152643</v>
      </c>
      <c r="BY10" s="77">
        <f>Financials!BW15/Financials!BW5</f>
        <v>0.1617704851953998</v>
      </c>
      <c r="BZ10" s="77">
        <f>Financials!BX15/Financials!BX5</f>
        <v>0.17221840450118853</v>
      </c>
      <c r="CA10" s="77">
        <f>Financials!BY15/Financials!BY5</f>
        <v>0.19922998075983012</v>
      </c>
      <c r="CB10" s="77">
        <f>Financials!BZ15/Financials!BZ5</f>
        <v>0.22992605877871428</v>
      </c>
      <c r="CC10" s="77" t="e">
        <f>Financials!CA15/Financials!CA5</f>
        <v>#DIV/0!</v>
      </c>
    </row>
    <row r="11" spans="2:82" s="4" customFormat="1">
      <c r="B11" s="10"/>
      <c r="C11" s="11"/>
      <c r="D11" s="62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77"/>
      <c r="AU11" s="77"/>
      <c r="AV11" s="77"/>
      <c r="AW11" s="77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  <c r="BI11" s="77"/>
    </row>
    <row r="12" spans="2:82" s="4" customFormat="1">
      <c r="B12" s="9">
        <v>2</v>
      </c>
      <c r="C12" s="10" t="s">
        <v>36</v>
      </c>
      <c r="D12" s="59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  <c r="BG12" s="63"/>
      <c r="BH12" s="63"/>
      <c r="BI12" s="63"/>
    </row>
    <row r="13" spans="2:82" s="4" customFormat="1">
      <c r="B13" s="13">
        <v>2.1</v>
      </c>
      <c r="C13" s="10" t="s">
        <v>37</v>
      </c>
      <c r="D13" s="59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63"/>
      <c r="AS13" s="63"/>
      <c r="AT13" s="63"/>
      <c r="AU13" s="63"/>
      <c r="AV13" s="63"/>
      <c r="AW13" s="63"/>
      <c r="AX13" s="63"/>
      <c r="AY13" s="63"/>
      <c r="AZ13" s="63"/>
      <c r="BA13" s="63"/>
      <c r="BB13" s="63"/>
      <c r="BC13" s="63"/>
      <c r="BD13" s="63"/>
      <c r="BE13" s="63"/>
      <c r="BF13" s="63"/>
      <c r="BG13" s="63"/>
      <c r="BH13" s="63"/>
      <c r="BI13" s="63"/>
    </row>
    <row r="14" spans="2:82" s="4" customFormat="1">
      <c r="B14" s="14" t="s">
        <v>38</v>
      </c>
      <c r="C14" s="12" t="s">
        <v>39</v>
      </c>
      <c r="D14" s="60" t="s">
        <v>40</v>
      </c>
      <c r="E14" s="77">
        <f>Financials!C38/Financials!C5</f>
        <v>0.1392102317235529</v>
      </c>
      <c r="F14" s="77">
        <f>Financials!D38/Financials!D5</f>
        <v>9.4990974437856576E-2</v>
      </c>
      <c r="G14" s="77">
        <f>Financials!E38/Financials!E5</f>
        <v>0.11800483721459713</v>
      </c>
      <c r="H14" s="77">
        <f>Financials!F38/Financials!F5</f>
        <v>0.12675514964687595</v>
      </c>
      <c r="I14" s="77">
        <f>Financials!G38/Financials!G5</f>
        <v>0.10067358347108002</v>
      </c>
      <c r="J14" s="77">
        <f>Financials!H38/Financials!H5</f>
        <v>0.13039883370297098</v>
      </c>
      <c r="K14" s="77">
        <f>Financials!I38/Financials!I5</f>
        <v>0.12645070234799485</v>
      </c>
      <c r="L14" s="77">
        <f>Financials!J38/Financials!J5</f>
        <v>0.12800998294838778</v>
      </c>
      <c r="M14" s="77">
        <f>Financials!K38/Financials!K5</f>
        <v>0.10490782507946483</v>
      </c>
      <c r="N14" s="77">
        <f>Financials!L38/Financials!L5</f>
        <v>0.12445920570487373</v>
      </c>
      <c r="O14" s="77">
        <f>Financials!M38/Financials!M5</f>
        <v>8.7847647900714032E-2</v>
      </c>
      <c r="P14" s="77">
        <f>Financials!N38/Financials!N5</f>
        <v>9.2577020011448227E-2</v>
      </c>
      <c r="Q14" s="77">
        <f>Financials!O38/Financials!O5</f>
        <v>0.10608278014093755</v>
      </c>
      <c r="R14" s="77">
        <f>Financials!P38/Financials!P5</f>
        <v>7.9538244815096623E-2</v>
      </c>
      <c r="S14" s="77">
        <f>Financials!Q38/Financials!Q5</f>
        <v>8.099511581227381E-2</v>
      </c>
      <c r="T14" s="77">
        <f>Financials!R38/Financials!R5</f>
        <v>9.9098640290051984E-2</v>
      </c>
      <c r="U14" s="77">
        <f>Financials!S38/Financials!S5</f>
        <v>4.0956810575312912E-2</v>
      </c>
      <c r="V14" s="77">
        <f>Financials!T38/Financials!T5</f>
        <v>5.3367462257584548E-2</v>
      </c>
      <c r="W14" s="77">
        <f>Financials!U38/Financials!U5</f>
        <v>4.3302198545886121E-2</v>
      </c>
      <c r="X14" s="77">
        <f>Financials!V38/Financials!V5</f>
        <v>5.8974291916017219E-2</v>
      </c>
      <c r="Y14" s="77">
        <f>Financials!W38/Financials!W5</f>
        <v>4.1797812802805499E-2</v>
      </c>
      <c r="Z14" s="77">
        <f>Financials!X38/Financials!X5</f>
        <v>3.9852185448152541E-2</v>
      </c>
      <c r="AA14" s="77">
        <f>Financials!Y38/Financials!Y5</f>
        <v>7.2852537996085931E-2</v>
      </c>
      <c r="AB14" s="77">
        <f>Financials!Z38/Financials!Z5</f>
        <v>5.4640365308192176E-2</v>
      </c>
      <c r="AC14" s="77">
        <f>Financials!AA38/Financials!AA5</f>
        <v>4.3928177637063894E-2</v>
      </c>
      <c r="AD14" s="77">
        <f>Financials!AB38/Financials!AB5</f>
        <v>4.075979452850477E-2</v>
      </c>
      <c r="AE14" s="77">
        <f>Financials!AC38/Financials!AC5</f>
        <v>4.313589934198693E-2</v>
      </c>
      <c r="AF14" s="77">
        <f>Financials!AD38/Financials!AD5</f>
        <v>3.9635737234903275E-2</v>
      </c>
      <c r="AG14" s="77">
        <f>Financials!AE38/Financials!AE5</f>
        <v>3.9920032831780111E-2</v>
      </c>
      <c r="AH14" s="77">
        <f>Financials!AF38/Financials!AF5</f>
        <v>4.1315651248527048E-2</v>
      </c>
      <c r="AI14" s="77">
        <f>Financials!AG38/Financials!AG5</f>
        <v>4.1460676614543251E-2</v>
      </c>
      <c r="AJ14" s="77">
        <f>Financials!AH38/Financials!AH5</f>
        <v>3.7172769574722382E-2</v>
      </c>
      <c r="AK14" s="77">
        <f>Financials!AI38/Financials!AI5</f>
        <v>4.5636777109771876E-2</v>
      </c>
      <c r="AL14" s="77">
        <f>Financials!AJ38/Financials!AJ5</f>
        <v>3.2370093826500301E-2</v>
      </c>
      <c r="AM14" s="77">
        <f>Financials!AK38/Financials!AK5</f>
        <v>3.6247895798823322E-2</v>
      </c>
      <c r="AN14" s="77">
        <f>Financials!AL38/Financials!AL5</f>
        <v>6.2151428966846396E-2</v>
      </c>
      <c r="AO14" s="77">
        <f>Financials!AM38/Financials!AM5</f>
        <v>3.8338004599404389E-2</v>
      </c>
      <c r="AP14" s="77" t="e">
        <f>Financials!AN38/Financials!AN5</f>
        <v>#DIV/0!</v>
      </c>
      <c r="AQ14" s="77">
        <f>Financials!AO38/Financials!AO5</f>
        <v>3.4092355642855648E-2</v>
      </c>
      <c r="AR14" s="77">
        <f>Financials!AP38/Financials!AP5</f>
        <v>3.450476512838186E-2</v>
      </c>
      <c r="AS14" s="77">
        <f>Financials!AQ38/Financials!AQ5</f>
        <v>3.1631885306548785E-2</v>
      </c>
      <c r="AT14" s="77">
        <f>Financials!AR38/Financials!AR5</f>
        <v>3.1323170698155711E-2</v>
      </c>
      <c r="AU14" s="77">
        <f>Financials!AS38/Financials!AS5</f>
        <v>3.147326994664227E-2</v>
      </c>
      <c r="AV14" s="77"/>
      <c r="AW14" s="77">
        <f>Financials!AU38/Financials!AU5</f>
        <v>0.12843818656352751</v>
      </c>
      <c r="AX14" s="77">
        <f>Financials!AV38/Financials!AV5</f>
        <v>0.12652994765324999</v>
      </c>
      <c r="AY14" s="77">
        <f>Financials!AW38/Financials!AW5</f>
        <v>0.12687347024136544</v>
      </c>
      <c r="AZ14" s="77">
        <f>Financials!AX38/Financials!AX5</f>
        <v>0.11583735568968517</v>
      </c>
      <c r="BA14" s="77">
        <f>Financials!AY38/Financials!AY5</f>
        <v>0.1243363550155455</v>
      </c>
      <c r="BB14" s="77">
        <f>Financials!AZ38/Financials!AZ5</f>
        <v>0.12067688006678111</v>
      </c>
      <c r="BC14" s="77">
        <f>Financials!BA38/Financials!BA5</f>
        <v>0.11768697218722562</v>
      </c>
      <c r="BD14" s="77">
        <f>Financials!BB38/Financials!BB5</f>
        <v>0.12012868788162948</v>
      </c>
      <c r="BE14" s="77">
        <f>Financials!BC38/Financials!BC5</f>
        <v>0.11701870421381055</v>
      </c>
      <c r="BF14" s="77">
        <f>Financials!BD38/Financials!BD5</f>
        <v>0.11619010611671678</v>
      </c>
      <c r="BG14" s="77">
        <f>Financials!BE38/Financials!BE5</f>
        <v>0.11196649904085919</v>
      </c>
      <c r="BH14" s="77">
        <f>Financials!BF38/Financials!BF5</f>
        <v>8.8579664463505819E-2</v>
      </c>
      <c r="BI14" s="77">
        <f>Financials!BG38/Financials!BG5</f>
        <v>8.9470078943971146E-2</v>
      </c>
      <c r="BJ14" s="77">
        <f>Financials!BH38/Financials!BH5</f>
        <v>0.11261289877316565</v>
      </c>
      <c r="BK14" s="77">
        <f>Financials!BI38/Financials!BI5</f>
        <v>0.11165988812396566</v>
      </c>
      <c r="BL14" s="77">
        <f>Financials!BJ38/Financials!BJ5</f>
        <v>0.10623915580039282</v>
      </c>
      <c r="BM14" s="77">
        <f>Financials!BK38/Financials!BK5</f>
        <v>0.1094050026868178</v>
      </c>
      <c r="BN14" s="77">
        <f>Financials!BL38/Financials!BL5</f>
        <v>0.11081871844621997</v>
      </c>
      <c r="BO14" s="77">
        <f>Financials!BM38/Financials!BM5</f>
        <v>7.9978306950295716E-2</v>
      </c>
      <c r="BP14" s="77">
        <f>Financials!BN38/Financials!BN5</f>
        <v>0.10419077499146784</v>
      </c>
      <c r="BQ14" s="77">
        <f>Financials!BO38/Financials!BO5</f>
        <v>0.10152282217881002</v>
      </c>
      <c r="BR14" s="77">
        <f>Financials!BP38/Financials!BP5</f>
        <v>9.9580345701600181E-2</v>
      </c>
      <c r="BS14" s="77">
        <f>Financials!BQ38/Financials!BQ5</f>
        <v>0.10220318759635201</v>
      </c>
      <c r="BT14" s="77">
        <f>Financials!BR38/Financials!BR5</f>
        <v>0.10664825507435567</v>
      </c>
      <c r="BU14" s="77">
        <f>Financials!BS38/Financials!BS5</f>
        <v>0.10307251000720849</v>
      </c>
      <c r="BV14" s="77">
        <f>Financials!BT38/Financials!BT5</f>
        <v>0.10487362623854456</v>
      </c>
      <c r="BW14" s="77">
        <f>Financials!BU38/Financials!BU5</f>
        <v>8.9014927586186884E-2</v>
      </c>
      <c r="BX14" s="77">
        <f>Financials!BV38/Financials!BV5</f>
        <v>8.9127845637167497E-2</v>
      </c>
      <c r="BY14" s="77">
        <f>Financials!BW38/Financials!BW5</f>
        <v>9.3162079554655913E-2</v>
      </c>
      <c r="BZ14" s="77">
        <f>Financials!BX38/Financials!BX5</f>
        <v>6.8231061791162451E-2</v>
      </c>
      <c r="CA14" s="77">
        <f>Financials!BY38/Financials!BY5</f>
        <v>8.8517876301716397E-2</v>
      </c>
      <c r="CB14" s="77">
        <f>Financials!BZ38/Financials!BZ5</f>
        <v>8.2979190127115521E-2</v>
      </c>
    </row>
    <row r="15" spans="2:82" s="4" customFormat="1">
      <c r="B15" s="14" t="s">
        <v>41</v>
      </c>
      <c r="C15" s="11" t="s">
        <v>42</v>
      </c>
      <c r="D15" s="60" t="s">
        <v>43</v>
      </c>
      <c r="E15" s="77">
        <f>Financials!C39/Financials!C5</f>
        <v>1.7833781223728661E-2</v>
      </c>
      <c r="F15" s="77">
        <f>Financials!D39/Financials!D5</f>
        <v>1.4523109600851885E-2</v>
      </c>
      <c r="G15" s="77">
        <f>Financials!E39/Financials!E5</f>
        <v>1.2881880388370185E-2</v>
      </c>
      <c r="H15" s="77">
        <f>Financials!F39/Financials!F5</f>
        <v>1.2663382408461696E-2</v>
      </c>
      <c r="I15" s="77">
        <f>Financials!G39/Financials!G5</f>
        <v>1.3661078286910861E-2</v>
      </c>
      <c r="J15" s="77">
        <f>Financials!H39/Financials!H5</f>
        <v>1.3696816397596198E-2</v>
      </c>
      <c r="K15" s="77">
        <f>Financials!I39/Financials!I5</f>
        <v>1.3297813109254732E-2</v>
      </c>
      <c r="L15" s="77">
        <f>Financials!J39/Financials!J5</f>
        <v>1.3318732889024281E-2</v>
      </c>
      <c r="M15" s="77">
        <f>Financials!K39/Financials!K5</f>
        <v>1.290415973292309E-2</v>
      </c>
      <c r="N15" s="77">
        <f>Financials!L39/Financials!L5</f>
        <v>1.2523924201387589E-2</v>
      </c>
      <c r="O15" s="77">
        <f>Financials!M39/Financials!M5</f>
        <v>1.1873241085809959E-2</v>
      </c>
      <c r="P15" s="77">
        <f>Financials!N39/Financials!N5</f>
        <v>1.1577411930464245E-2</v>
      </c>
      <c r="Q15" s="77">
        <f>Financials!O39/Financials!O5</f>
        <v>1.1149896890358467E-2</v>
      </c>
      <c r="R15" s="77">
        <f>Financials!P39/Financials!P5</f>
        <v>1.0815216697499262E-2</v>
      </c>
      <c r="S15" s="77">
        <f>Financials!Q39/Financials!Q5</f>
        <v>1.0229009166940833E-2</v>
      </c>
      <c r="T15" s="77">
        <f>Financials!R39/Financials!R5</f>
        <v>8.9620891848926736E-3</v>
      </c>
      <c r="U15" s="77">
        <f>Financials!S39/Financials!S5</f>
        <v>1.1219685336203954E-2</v>
      </c>
      <c r="V15" s="77">
        <f>Financials!T39/Financials!T5</f>
        <v>5.1649462632815156E-3</v>
      </c>
      <c r="W15" s="77">
        <f>Financials!U39/Financials!U5</f>
        <v>1.1631406682626745E-2</v>
      </c>
      <c r="X15" s="77">
        <f>Financials!V39/Financials!V5</f>
        <v>1.1186820476524634E-2</v>
      </c>
      <c r="Y15" s="77">
        <f>Financials!W39/Financials!W5</f>
        <v>1.1457956136211147E-2</v>
      </c>
      <c r="Z15" s="77">
        <f>Financials!X39/Financials!X5</f>
        <v>1.056484941362258E-2</v>
      </c>
      <c r="AA15" s="77">
        <f>Financials!Y39/Financials!Y5</f>
        <v>1.108953397406826E-2</v>
      </c>
      <c r="AB15" s="77">
        <f>Financials!Z39/Financials!Z5</f>
        <v>1.0959528050384235E-2</v>
      </c>
      <c r="AC15" s="77">
        <f>Financials!AA39/Financials!AA5</f>
        <v>1.0119119713599847E-2</v>
      </c>
      <c r="AD15" s="77">
        <f>Financials!AB39/Financials!AB5</f>
        <v>9.8509013240676326E-3</v>
      </c>
      <c r="AE15" s="77">
        <f>Financials!AC39/Financials!AC5</f>
        <v>9.3818237869295138E-3</v>
      </c>
      <c r="AF15" s="77">
        <f>Financials!AD39/Financials!AD5</f>
        <v>8.9673216026549922E-3</v>
      </c>
      <c r="AG15" s="77">
        <f>Financials!AE39/Financials!AE5</f>
        <v>8.5812564690462331E-3</v>
      </c>
      <c r="AH15" s="77">
        <f>Financials!AF39/Financials!AF5</f>
        <v>8.08030150716222E-3</v>
      </c>
      <c r="AI15" s="77">
        <f>Financials!AG39/Financials!AG5</f>
        <v>3.6780872241755423E-3</v>
      </c>
      <c r="AJ15" s="77">
        <f>Financials!AH39/Financials!AH5</f>
        <v>7.7402116274374955E-3</v>
      </c>
      <c r="AK15" s="77">
        <f>Financials!AI39/Financials!AI5</f>
        <v>8.1606241816356753E-3</v>
      </c>
      <c r="AL15" s="77">
        <f>Financials!AJ39/Financials!AJ5</f>
        <v>7.8863672895601849E-3</v>
      </c>
      <c r="AM15" s="77">
        <f>Financials!AK39/Financials!AK5</f>
        <v>8.1535184590301353E-3</v>
      </c>
      <c r="AN15" s="77">
        <f>Financials!AL39/Financials!AL5</f>
        <v>8.4508783655982793E-3</v>
      </c>
      <c r="AO15" s="77">
        <f>Financials!AM39/Financials!AM5</f>
        <v>8.8590576499138051E-3</v>
      </c>
      <c r="AP15" s="77" t="e">
        <f>Financials!AN39/Financials!AN5</f>
        <v>#DIV/0!</v>
      </c>
      <c r="AQ15" s="77">
        <f>Financials!AO39/Financials!AO5</f>
        <v>8.3758364316626442E-3</v>
      </c>
      <c r="AR15" s="77">
        <f>Financials!AP39/Financials!AP5</f>
        <v>8.1388181543468E-3</v>
      </c>
      <c r="AS15" s="77">
        <f>Financials!AQ39/Financials!AQ5</f>
        <v>7.9107839569426651E-3</v>
      </c>
      <c r="AT15" s="77">
        <f>Financials!AR39/Financials!AR5</f>
        <v>8.1842700201439338E-3</v>
      </c>
      <c r="AU15" s="77">
        <f>Financials!AS39/Financials!AS5</f>
        <v>7.8216417213719906E-3</v>
      </c>
      <c r="AV15" s="77"/>
      <c r="AW15" s="77">
        <f>Financials!AU39/Financials!AU5</f>
        <v>9.0453428651708939E-2</v>
      </c>
      <c r="AX15" s="77">
        <f>Financials!AV39/Financials!AV5</f>
        <v>8.9961576500984644E-2</v>
      </c>
      <c r="AY15" s="77">
        <f>Financials!AW39/Financials!AW5</f>
        <v>9.1433653257099207E-2</v>
      </c>
      <c r="AZ15" s="77">
        <f>Financials!AX39/Financials!AX5</f>
        <v>9.0922642382926661E-2</v>
      </c>
      <c r="BA15" s="77">
        <f>Financials!AY39/Financials!AY5</f>
        <v>8.9513999089970486E-2</v>
      </c>
      <c r="BB15" s="77">
        <f>Financials!AZ39/Financials!AZ5</f>
        <v>8.8144286968391591E-2</v>
      </c>
      <c r="BC15" s="77">
        <f>Financials!BA39/Financials!BA5</f>
        <v>8.5622296977297965E-2</v>
      </c>
      <c r="BD15" s="77">
        <f>Financials!BB39/Financials!BB5</f>
        <v>8.3150844385466521E-2</v>
      </c>
      <c r="BE15" s="77">
        <f>Financials!BC39/Financials!BC5</f>
        <v>8.1966096051298037E-2</v>
      </c>
      <c r="BF15" s="77">
        <f>Financials!BD39/Financials!BD5</f>
        <v>8.0673870136806464E-2</v>
      </c>
      <c r="BG15" s="77">
        <f>Financials!BE39/Financials!BE5</f>
        <v>8.0448505509091564E-2</v>
      </c>
      <c r="BH15" s="77">
        <f>Financials!BF39/Financials!BF5</f>
        <v>8.0358451523106555E-2</v>
      </c>
      <c r="BI15" s="77">
        <f>Financials!BG39/Financials!BG5</f>
        <v>8.1151575930541314E-2</v>
      </c>
      <c r="BJ15" s="77">
        <f>Financials!BH39/Financials!BH5</f>
        <v>7.9467150654794719E-2</v>
      </c>
      <c r="BK15" s="77">
        <f>Financials!BI39/Financials!BI5</f>
        <v>7.9068608411600974E-2</v>
      </c>
      <c r="BL15" s="77">
        <f>Financials!BJ39/Financials!BJ5</f>
        <v>7.7227440592204169E-2</v>
      </c>
      <c r="BM15" s="77">
        <f>Financials!BK39/Financials!BK5</f>
        <v>7.9258262768253887E-2</v>
      </c>
      <c r="BN15" s="77">
        <f>Financials!BL39/Financials!BL5</f>
        <v>7.9017096846085391E-2</v>
      </c>
      <c r="BO15" s="77">
        <f>Financials!BM39/Financials!BM5</f>
        <v>7.4515433753457788E-2</v>
      </c>
      <c r="BP15" s="77">
        <f>Financials!BN39/Financials!BN5</f>
        <v>7.2745332707638416E-2</v>
      </c>
      <c r="BQ15" s="77">
        <f>Financials!BO39/Financials!BO5</f>
        <v>7.0746658452151043E-2</v>
      </c>
      <c r="BR15" s="77">
        <f>Financials!BP39/Financials!BP5</f>
        <v>6.9548852709411024E-2</v>
      </c>
      <c r="BS15" s="77">
        <f>Financials!BQ39/Financials!BQ5</f>
        <v>6.7686809270649753E-2</v>
      </c>
      <c r="BT15" s="77">
        <f>Financials!BR39/Financials!BR5</f>
        <v>6.580263081802265E-2</v>
      </c>
      <c r="BU15" s="77">
        <f>Financials!BS39/Financials!BS5</f>
        <v>6.2700760175540188E-2</v>
      </c>
      <c r="BV15" s="77">
        <f>Financials!BT39/Financials!BT5</f>
        <v>6.3796409647513791E-2</v>
      </c>
      <c r="BW15" s="77">
        <f>Financials!BU39/Financials!BU5</f>
        <v>6.0247855928516114E-2</v>
      </c>
      <c r="BX15" s="77">
        <f>Financials!BV39/Financials!BV5</f>
        <v>5.9939215372399775E-2</v>
      </c>
      <c r="BY15" s="77">
        <f>Financials!BW39/Financials!BW5</f>
        <v>6.0111175178059154E-2</v>
      </c>
      <c r="BZ15" s="77">
        <f>Financials!BX39/Financials!BX5</f>
        <v>5.9295755353562879E-2</v>
      </c>
      <c r="CA15" s="77">
        <f>Financials!BY39/Financials!BY5</f>
        <v>5.9041350624605929E-2</v>
      </c>
      <c r="CB15" s="77">
        <f>Financials!BZ39/Financials!BZ5</f>
        <v>5.6581641762765388E-2</v>
      </c>
    </row>
    <row r="16" spans="2:82" s="4" customFormat="1">
      <c r="B16" s="14" t="s">
        <v>44</v>
      </c>
      <c r="C16" s="11" t="s">
        <v>45</v>
      </c>
      <c r="D16" s="60" t="s">
        <v>46</v>
      </c>
      <c r="E16" s="136"/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/>
      <c r="R16" s="136"/>
      <c r="S16" s="136"/>
      <c r="T16" s="136"/>
      <c r="U16" s="136"/>
      <c r="V16" s="136"/>
      <c r="W16" s="136"/>
      <c r="X16" s="136"/>
      <c r="Y16" s="136"/>
      <c r="Z16" s="136"/>
      <c r="AA16" s="136"/>
      <c r="AB16" s="136"/>
      <c r="AC16" s="136"/>
      <c r="AD16" s="136"/>
      <c r="AE16" s="136"/>
      <c r="AF16" s="136"/>
      <c r="AG16" s="136"/>
      <c r="AH16" s="136"/>
      <c r="AI16" s="136"/>
      <c r="AJ16" s="136"/>
      <c r="AK16" s="136"/>
      <c r="AL16" s="136"/>
      <c r="AM16" s="136"/>
      <c r="AN16" s="136"/>
      <c r="AO16" s="136"/>
      <c r="AP16" s="136"/>
      <c r="AQ16" s="136"/>
      <c r="AR16" s="136"/>
      <c r="AS16" s="136"/>
      <c r="AT16" s="136"/>
      <c r="AU16" s="136"/>
      <c r="AV16" s="136"/>
      <c r="AW16" s="136"/>
      <c r="AX16" s="136"/>
      <c r="AY16" s="136"/>
      <c r="AZ16" s="136"/>
      <c r="BA16" s="136"/>
      <c r="BB16" s="136"/>
      <c r="BC16" s="136"/>
      <c r="BD16" s="136"/>
      <c r="BE16" s="136"/>
      <c r="BF16" s="136"/>
      <c r="BG16" s="136"/>
      <c r="BH16" s="136"/>
      <c r="BI16" s="136"/>
    </row>
    <row r="17" spans="2:80" s="4" customFormat="1">
      <c r="B17" s="14"/>
      <c r="C17" s="11"/>
      <c r="D17" s="60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</row>
    <row r="18" spans="2:80" s="4" customFormat="1">
      <c r="B18" s="14">
        <v>2.2000000000000002</v>
      </c>
      <c r="C18" s="10" t="s">
        <v>47</v>
      </c>
      <c r="D18" s="60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</row>
    <row r="19" spans="2:80" s="4" customFormat="1">
      <c r="B19" s="14" t="s">
        <v>48</v>
      </c>
      <c r="C19" s="11" t="s">
        <v>49</v>
      </c>
      <c r="D19" s="60" t="s">
        <v>43</v>
      </c>
      <c r="E19" s="61">
        <f>Financials!C26/Financials!C6</f>
        <v>6.0285213968960846E-2</v>
      </c>
      <c r="F19" s="61">
        <f>Financials!D26/Financials!D6</f>
        <v>0.13586799455071197</v>
      </c>
      <c r="G19" s="61">
        <f>Financials!E26/Financials!E6</f>
        <v>0.12176193961482382</v>
      </c>
      <c r="H19" s="61">
        <f>Financials!F26/Financials!F6</f>
        <v>0.11269645695005888</v>
      </c>
      <c r="I19" s="61">
        <f>Financials!G26/Financials!G6</f>
        <v>0.11464342642449089</v>
      </c>
      <c r="J19" s="61">
        <f>Financials!H26/Financials!H6</f>
        <v>0.11914009443710825</v>
      </c>
      <c r="K19" s="61">
        <f>Financials!I26/Financials!I6</f>
        <v>0.12064095926833265</v>
      </c>
      <c r="L19" s="61">
        <f>Financials!J26/Financials!J6</f>
        <v>0.12766200383297657</v>
      </c>
      <c r="M19" s="61">
        <f>Financials!K26/Financials!K6</f>
        <v>0.12885155885067326</v>
      </c>
      <c r="N19" s="61">
        <f>Financials!L26/Financials!L6</f>
        <v>0.12991125760253941</v>
      </c>
      <c r="O19" s="61">
        <f>Financials!M26/Financials!M6</f>
        <v>0.12696306296456936</v>
      </c>
      <c r="P19" s="61">
        <f>Financials!N26/Financials!N6</f>
        <v>0.12959449870502415</v>
      </c>
      <c r="Q19" s="61">
        <f>Financials!O26/Financials!O6</f>
        <v>0.12961906520907518</v>
      </c>
      <c r="R19" s="61">
        <f>Financials!P26/Financials!P6</f>
        <v>0.13039155507705413</v>
      </c>
      <c r="S19" s="61">
        <f>Financials!Q26/Financials!Q6</f>
        <v>0.1092785927940443</v>
      </c>
      <c r="T19" s="61">
        <f>Financials!R26/Financials!R6</f>
        <v>9.1619162521626843E-2</v>
      </c>
      <c r="U19" s="61">
        <f>Financials!S26/Financials!S6</f>
        <v>8.6725683257034406E-2</v>
      </c>
      <c r="V19" s="61">
        <f>Financials!T26/Financials!T6</f>
        <v>9.7586092112738592E-3</v>
      </c>
      <c r="W19" s="61">
        <f>Financials!U26/Financials!U6</f>
        <v>9.6455287494653201E-3</v>
      </c>
      <c r="X19" s="61">
        <f>Financials!V26/Financials!V6</f>
        <v>9.3098922725698731E-3</v>
      </c>
      <c r="Y19" s="61">
        <f>Financials!W26/Financials!W6</f>
        <v>8.9743258736175672E-3</v>
      </c>
      <c r="Z19" s="61">
        <f>Financials!X26/Financials!X6</f>
        <v>9.1317630439297047E-3</v>
      </c>
      <c r="AA19" s="61">
        <f>Financials!Y26/Financials!Y6</f>
        <v>8.6975333584485004E-3</v>
      </c>
      <c r="AB19" s="61">
        <f>Financials!Z26/Financials!Z6</f>
        <v>9.0698476520906599E-3</v>
      </c>
      <c r="AC19" s="61">
        <f>Financials!AA26/Financials!AA6</f>
        <v>8.5720707196815238E-3</v>
      </c>
      <c r="AD19" s="61">
        <f>Financials!AB26/Financials!AB6</f>
        <v>8.7506855165320335E-3</v>
      </c>
      <c r="AE19" s="61">
        <f>Financials!AC26/Financials!AC6</f>
        <v>8.629787820115465E-3</v>
      </c>
      <c r="AF19" s="61">
        <f>Financials!AD26/Financials!AD6</f>
        <v>8.6836222303101167E-3</v>
      </c>
      <c r="AG19" s="61">
        <f>Financials!AE26/Financials!AE6</f>
        <v>8.7436663554513582E-3</v>
      </c>
      <c r="AH19" s="61">
        <f>Financials!AF26/Financials!AF6</f>
        <v>8.6830722287846648E-3</v>
      </c>
      <c r="AI19" s="61">
        <f>Financials!AG26/Financials!AG6</f>
        <v>0.11977916882243211</v>
      </c>
      <c r="AJ19" s="61">
        <f>Financials!AH26/Financials!AH6</f>
        <v>8.4840226824468463E-3</v>
      </c>
      <c r="AK19" s="61">
        <f>Financials!AI26/Financials!AI6</f>
        <v>7.8662003863892941E-3</v>
      </c>
      <c r="AL19" s="61">
        <f>Financials!AJ26/Financials!AJ6</f>
        <v>7.7531883729077128E-3</v>
      </c>
      <c r="AM19" s="61">
        <f>Financials!AK26/Financials!AK6</f>
        <v>8.0571887500171403E-3</v>
      </c>
      <c r="AN19" s="61">
        <f>Financials!AL26/Financials!AL6</f>
        <v>7.9519217209400774E-3</v>
      </c>
      <c r="AO19" s="61">
        <f>Financials!AM26/Financials!AM6</f>
        <v>7.952195632359679E-3</v>
      </c>
      <c r="AP19" s="61" t="e">
        <f>Financials!AN26/Financials!AN6</f>
        <v>#DIV/0!</v>
      </c>
      <c r="AQ19" s="61">
        <f>Financials!AO26/Financials!AO6</f>
        <v>7.9806154247542213E-3</v>
      </c>
      <c r="AR19" s="61">
        <f>Financials!AP26/Financials!AP6</f>
        <v>7.9726879541608467E-3</v>
      </c>
      <c r="AS19" s="61">
        <f>Financials!AQ26/Financials!AQ6</f>
        <v>7.9634948949600052E-3</v>
      </c>
      <c r="AT19" s="61">
        <f>Financials!AR26/Financials!AR6</f>
        <v>7.9237633108111358E-3</v>
      </c>
      <c r="AU19" s="61">
        <f>Financials!AS26/Financials!AS6</f>
        <v>7.8282924204748777E-3</v>
      </c>
      <c r="AV19" s="61"/>
      <c r="AW19" s="61">
        <f>Financials!AU26/Financials!AU6</f>
        <v>7.0609206246242992E-2</v>
      </c>
      <c r="AX19" s="61">
        <f>Financials!AV26/Financials!AV6</f>
        <v>6.9822387880689563E-2</v>
      </c>
      <c r="AY19" s="61">
        <f>Financials!AW26/Financials!AW6</f>
        <v>7.0048282238887483E-2</v>
      </c>
      <c r="AZ19" s="61">
        <f>Financials!AX26/Financials!AX6</f>
        <v>6.7963080755506652E-2</v>
      </c>
      <c r="BA19" s="61">
        <f>Financials!AY26/Financials!AY6</f>
        <v>6.7884385366086278E-2</v>
      </c>
      <c r="BB19" s="61">
        <f>Financials!AZ26/Financials!AZ6</f>
        <v>6.7256274106686678E-2</v>
      </c>
      <c r="BC19" s="61">
        <f>Financials!BA26/Financials!BA6</f>
        <v>6.6790700397753297E-2</v>
      </c>
      <c r="BD19" s="61">
        <f>Financials!BB26/Financials!BB6</f>
        <v>6.4812659410720716E-2</v>
      </c>
      <c r="BE19" s="61">
        <f>Financials!BC26/Financials!BC6</f>
        <v>6.3287484252597226E-2</v>
      </c>
      <c r="BF19" s="61">
        <f>Financials!BD26/Financials!BD6</f>
        <v>6.3103931378385381E-2</v>
      </c>
      <c r="BG19" s="61">
        <f>Financials!BE26/Financials!BE6</f>
        <v>6.3717811859845999E-2</v>
      </c>
      <c r="BH19" s="61">
        <f>Financials!BF26/Financials!BF6</f>
        <v>6.3382119880449492E-2</v>
      </c>
      <c r="BI19" s="61">
        <f>Financials!BG26/Financials!BG6</f>
        <v>6.3382119946792853E-2</v>
      </c>
      <c r="BJ19" s="61">
        <f>Financials!BH26/Financials!BH6</f>
        <v>6.4006505495815255E-2</v>
      </c>
      <c r="BK19" s="61">
        <f>Financials!BI26/Financials!BI6</f>
        <v>6.3303255333317029E-2</v>
      </c>
      <c r="BL19" s="61">
        <f>Financials!BJ26/Financials!BJ6</f>
        <v>6.4664053286770842E-2</v>
      </c>
      <c r="BM19" s="61">
        <f>Financials!BK26/Financials!BK6</f>
        <v>6.2666299178333176E-2</v>
      </c>
      <c r="BN19" s="61">
        <f>Financials!BL26/Financials!BL6</f>
        <v>6.2717827023684225E-2</v>
      </c>
      <c r="BO19" s="61">
        <f>Financials!BM26/Financials!BM6</f>
        <v>6.1274952868221697E-2</v>
      </c>
      <c r="BP19" s="61">
        <f>Financials!BN26/Financials!BN6</f>
        <v>9.0829026296953247E-2</v>
      </c>
      <c r="BQ19" s="61">
        <f>Financials!BO26/Financials!BO6</f>
        <v>8.9233932965368343E-2</v>
      </c>
      <c r="BR19" s="61">
        <f>Financials!BP26/Financials!BP6</f>
        <v>8.9604960070394826E-2</v>
      </c>
      <c r="BS19" s="61">
        <f>Financials!BQ26/Financials!BQ6</f>
        <v>8.6959243567348105E-2</v>
      </c>
      <c r="BT19" s="61">
        <f>Financials!BR26/Financials!BR6</f>
        <v>8.487991354039999E-2</v>
      </c>
      <c r="BU19" s="61">
        <f>Financials!BS26/Financials!BS6</f>
        <v>5.4192278483417886E-2</v>
      </c>
      <c r="BV19" s="61">
        <f>Financials!BT26/Financials!BT6</f>
        <v>5.418834888330621E-2</v>
      </c>
      <c r="BW19" s="61">
        <f>Financials!BU26/Financials!BU6</f>
        <v>5.2770874465841923E-2</v>
      </c>
      <c r="BX19" s="61">
        <f>Financials!BV26/Financials!BV6</f>
        <v>5.2829971732036948E-2</v>
      </c>
      <c r="BY19" s="61">
        <f>Financials!BW26/Financials!BW6</f>
        <v>5.3519468226444038E-2</v>
      </c>
      <c r="BZ19" s="61">
        <f>Financials!BX26/Financials!BX6</f>
        <v>5.2825752888616434E-2</v>
      </c>
      <c r="CA19" s="61">
        <f>Financials!BY26/Financials!BY6</f>
        <v>5.0542184139918615E-2</v>
      </c>
      <c r="CB19" s="61">
        <f>Financials!BZ26/Financials!BZ6</f>
        <v>5.0172843046175072E-2</v>
      </c>
    </row>
    <row r="20" spans="2:80" s="4" customFormat="1">
      <c r="B20" s="14" t="s">
        <v>50</v>
      </c>
      <c r="C20" s="11" t="s">
        <v>51</v>
      </c>
      <c r="D20" s="60" t="s">
        <v>52</v>
      </c>
      <c r="E20" s="61">
        <f>Financials!C26/Financials!C14</f>
        <v>0.68733927967822561</v>
      </c>
      <c r="F20" s="61">
        <f>Financials!D26/Financials!D14</f>
        <v>1.2556551622337209</v>
      </c>
      <c r="G20" s="61">
        <f>Financials!E26/Financials!E14</f>
        <v>0.46669716661051408</v>
      </c>
      <c r="H20" s="61">
        <f>Financials!F26/Financials!F14</f>
        <v>0.52824066502259104</v>
      </c>
      <c r="I20" s="61">
        <f>Financials!G26/Financials!G14</f>
        <v>0.50746862287477268</v>
      </c>
      <c r="J20" s="61">
        <f>Financials!H26/Financials!H14</f>
        <v>0.46633883727153258</v>
      </c>
      <c r="K20" s="61">
        <f>Financials!I26/Financials!I14</f>
        <v>0.44488270961487253</v>
      </c>
      <c r="L20" s="61">
        <f>Financials!J26/Financials!J14</f>
        <v>0.42704561693254817</v>
      </c>
      <c r="M20" s="61">
        <f>Financials!K26/Financials!K14</f>
        <v>0.40746650594249278</v>
      </c>
      <c r="N20" s="61">
        <f>Financials!L26/Financials!L14</f>
        <v>0.39592126411750828</v>
      </c>
      <c r="O20" s="61">
        <f>Financials!M26/Financials!M14</f>
        <v>0.38562429289327138</v>
      </c>
      <c r="P20" s="61">
        <f>Financials!N26/Financials!N14</f>
        <v>0.37310101759762554</v>
      </c>
      <c r="Q20" s="61">
        <f>Financials!O26/Financials!O14</f>
        <v>0.3616376439742891</v>
      </c>
      <c r="R20" s="61">
        <f>Financials!P26/Financials!P14</f>
        <v>0.34795038700499548</v>
      </c>
      <c r="S20" s="61">
        <f>Financials!Q26/Financials!Q14</f>
        <v>0.63090052260941354</v>
      </c>
      <c r="T20" s="61">
        <f>Financials!R26/Financials!R14</f>
        <v>0.49710897802688769</v>
      </c>
      <c r="U20" s="61">
        <f>Financials!S26/Financials!S14</f>
        <v>0.24958829768746416</v>
      </c>
      <c r="V20" s="61">
        <f>Financials!T26/Financials!T14</f>
        <v>4.7656592358249573E-2</v>
      </c>
      <c r="W20" s="61">
        <f>Financials!U26/Financials!U14</f>
        <v>2.7142986138842883E-2</v>
      </c>
      <c r="X20" s="61">
        <f>Financials!V26/Financials!V14</f>
        <v>2.5877532283902688E-2</v>
      </c>
      <c r="Y20" s="61">
        <f>Financials!W26/Financials!W14</f>
        <v>2.5319850394751844E-2</v>
      </c>
      <c r="Z20" s="61">
        <f>Financials!X26/Financials!X14</f>
        <v>3.8023202523180283E-2</v>
      </c>
      <c r="AA20" s="61">
        <f>Financials!Y26/Financials!Y14</f>
        <v>3.7151868017164968E-2</v>
      </c>
      <c r="AB20" s="61">
        <f>Financials!Z26/Financials!Z14</f>
        <v>3.4347749726394386E-2</v>
      </c>
      <c r="AC20" s="61">
        <f>Financials!AA26/Financials!AA14</f>
        <v>3.2457344577729398E-2</v>
      </c>
      <c r="AD20" s="61">
        <f>Financials!AB26/Financials!AB14</f>
        <v>3.0557407962886092E-2</v>
      </c>
      <c r="AE20" s="61">
        <f>Financials!AC26/Financials!AC14</f>
        <v>3.0296578070413825E-2</v>
      </c>
      <c r="AF20" s="61">
        <f>Financials!AD26/Financials!AD14</f>
        <v>2.8633876575657385E-2</v>
      </c>
      <c r="AG20" s="61">
        <f>Financials!AE26/Financials!AE14</f>
        <v>2.7429592454058349E-2</v>
      </c>
      <c r="AH20" s="61">
        <f>Financials!AF26/Financials!AF14</f>
        <v>2.5841812479041642E-2</v>
      </c>
      <c r="AI20" s="61">
        <f>Financials!AG26/Financials!AG14</f>
        <v>0.56812868800297978</v>
      </c>
      <c r="AJ20" s="61">
        <f>Financials!AH26/Financials!AH14</f>
        <v>2.4530901884408051E-2</v>
      </c>
      <c r="AK20" s="61">
        <f>Financials!AI26/Financials!AI14</f>
        <v>3.7172042629745876E-2</v>
      </c>
      <c r="AL20" s="61">
        <f>Financials!AJ26/Financials!AJ14</f>
        <v>3.5611203153639415E-2</v>
      </c>
      <c r="AM20" s="61">
        <f>Financials!AK26/Financials!AK14</f>
        <v>3.2845250335130319E-2</v>
      </c>
      <c r="AN20" s="61">
        <f>Financials!AL26/Financials!AL14</f>
        <v>3.143166930137839E-2</v>
      </c>
      <c r="AO20" s="61">
        <f>Financials!AM26/Financials!AM14</f>
        <v>2.9982025568537306E-2</v>
      </c>
      <c r="AP20" s="61" t="e">
        <f>Financials!AN26/Financials!AN14</f>
        <v>#DIV/0!</v>
      </c>
      <c r="AQ20" s="61">
        <f>Financials!AO26/Financials!AO14</f>
        <v>2.7512306101297616E-2</v>
      </c>
      <c r="AR20" s="61">
        <f>Financials!AP26/Financials!AP14</f>
        <v>2.6726790956473762E-2</v>
      </c>
      <c r="AS20" s="61">
        <f>Financials!AQ26/Financials!AQ14</f>
        <v>2.5538041644370672E-2</v>
      </c>
      <c r="AT20" s="61">
        <f>Financials!AR26/Financials!AR14</f>
        <v>2.4606600551501236E-2</v>
      </c>
      <c r="AU20" s="61">
        <f>Financials!AS26/Financials!AS14</f>
        <v>2.350686330396079E-2</v>
      </c>
      <c r="AV20" s="61"/>
      <c r="AW20" s="61">
        <f>Financials!AU26/Financials!AU14</f>
        <v>0.15305923410327046</v>
      </c>
      <c r="AX20" s="61">
        <f>Financials!AV26/Financials!AV14</f>
        <v>0.15343570869138093</v>
      </c>
      <c r="AY20" s="61">
        <f>Financials!AW26/Financials!AW14</f>
        <v>0.1471141212950427</v>
      </c>
      <c r="AZ20" s="61">
        <f>Financials!AX26/Financials!AX14</f>
        <v>0.13004422450134134</v>
      </c>
      <c r="BA20" s="61">
        <f>Financials!AY26/Financials!AY14</f>
        <v>0.12459680238517522</v>
      </c>
      <c r="BB20" s="61">
        <f>Financials!AZ26/Financials!AZ14</f>
        <v>0.1227593573740164</v>
      </c>
      <c r="BC20" s="61">
        <f>Financials!BA26/Financials!BA14</f>
        <v>0.12156860030260079</v>
      </c>
      <c r="BD20" s="61">
        <f>Financials!BB26/Financials!BB14</f>
        <v>0.11913077937450833</v>
      </c>
      <c r="BE20" s="61">
        <f>Financials!BC26/Financials!BC14</f>
        <v>0.1153408561493814</v>
      </c>
      <c r="BF20" s="61">
        <f>Financials!BD26/Financials!BD14</f>
        <v>0.11180583446396432</v>
      </c>
      <c r="BG20" s="61">
        <f>Financials!BE26/Financials!BE14</f>
        <v>0.10832365502835303</v>
      </c>
      <c r="BH20" s="61">
        <f>Financials!BF26/Financials!BF14</f>
        <v>0.13144599164075291</v>
      </c>
      <c r="BI20" s="61">
        <f>Financials!BG26/Financials!BG14</f>
        <v>0.12617825764539395</v>
      </c>
      <c r="BJ20" s="61">
        <f>Financials!BH26/Financials!BH14</f>
        <v>0.12719706682172716</v>
      </c>
      <c r="BK20" s="61">
        <f>Financials!BI26/Financials!BI14</f>
        <v>0.12869692023362655</v>
      </c>
      <c r="BL20" s="61">
        <f>Financials!BJ26/Financials!BJ14</f>
        <v>0.11572147313307053</v>
      </c>
      <c r="BM20" s="61">
        <f>Financials!BK26/Financials!BK14</f>
        <v>0.11449846292431391</v>
      </c>
      <c r="BN20" s="61">
        <f>Financials!BL26/Financials!BL14</f>
        <v>0.11549069089965287</v>
      </c>
      <c r="BO20" s="61">
        <f>Financials!BM26/Financials!BM14</f>
        <v>0.10279739464432651</v>
      </c>
      <c r="BP20" s="61">
        <f>Financials!BN26/Financials!BN14</f>
        <v>0.15089658948902065</v>
      </c>
      <c r="BQ20" s="61">
        <f>Financials!BO26/Financials!BO14</f>
        <v>0.1468576711656262</v>
      </c>
      <c r="BR20" s="61">
        <f>Financials!BP26/Financials!BP14</f>
        <v>0.14268188226631243</v>
      </c>
      <c r="BS20" s="61">
        <f>Financials!BQ26/Financials!BQ14</f>
        <v>0.14093871026890242</v>
      </c>
      <c r="BT20" s="61">
        <f>Financials!BR26/Financials!BR14</f>
        <v>0.13585155682039954</v>
      </c>
      <c r="BU20" s="61">
        <f>Financials!BS26/Financials!BS14</f>
        <v>8.551959176485599E-2</v>
      </c>
      <c r="BV20" s="61">
        <f>Financials!BT26/Financials!BT14</f>
        <v>9.5068626348239871E-2</v>
      </c>
      <c r="BW20" s="61">
        <f>Financials!BU26/Financials!BU14</f>
        <v>0.11852246858821781</v>
      </c>
      <c r="BX20" s="61">
        <f>Financials!BV26/Financials!BV14</f>
        <v>0.1161681975878484</v>
      </c>
      <c r="BY20" s="61">
        <f>Financials!BW26/Financials!BW14</f>
        <v>0.11269771450874241</v>
      </c>
      <c r="BZ20" s="61">
        <f>Financials!BX26/Financials!BX14</f>
        <v>0.10738981169105702</v>
      </c>
      <c r="CA20" s="61">
        <f>Financials!BY26/Financials!BY14</f>
        <v>9.7234498246295598E-2</v>
      </c>
      <c r="CB20" s="61">
        <f>Financials!BZ26/Financials!BZ14</f>
        <v>8.5822355686444307E-2</v>
      </c>
    </row>
    <row r="21" spans="2:80" s="4" customFormat="1">
      <c r="B21" s="14" t="s">
        <v>53</v>
      </c>
      <c r="C21" s="12" t="s">
        <v>54</v>
      </c>
      <c r="D21" s="64" t="s">
        <v>55</v>
      </c>
      <c r="E21" s="61">
        <f>Financials!C31/Financials!C5</f>
        <v>0.76404584818512067</v>
      </c>
      <c r="F21" s="61">
        <f>Financials!D31/Financials!D5</f>
        <v>0.68763306865672236</v>
      </c>
      <c r="G21" s="61">
        <f>Financials!E31/Financials!E5</f>
        <v>0.6464268684005976</v>
      </c>
      <c r="H21" s="61">
        <f>Financials!F31/Financials!F5</f>
        <v>0.67849006639307885</v>
      </c>
      <c r="I21" s="61">
        <f>Financials!G31/Financials!G5</f>
        <v>0.71111690364452995</v>
      </c>
      <c r="J21" s="61">
        <f>Financials!H31/Financials!H5</f>
        <v>0.74479353457343056</v>
      </c>
      <c r="K21" s="61">
        <f>Financials!I31/Financials!I5</f>
        <v>0.73132542202254325</v>
      </c>
      <c r="L21" s="61">
        <f>Financials!J31/Financials!J5</f>
        <v>0.75374881521474268</v>
      </c>
      <c r="M21" s="61">
        <f>Financials!K31/Financials!K5</f>
        <v>0.74678154076387915</v>
      </c>
      <c r="N21" s="61">
        <f>Financials!L31/Financials!L5</f>
        <v>0.74941909122878658</v>
      </c>
      <c r="O21" s="61">
        <f>Financials!M31/Financials!M5</f>
        <v>0.75202995475778955</v>
      </c>
      <c r="P21" s="61">
        <f>Financials!N31/Financials!N5</f>
        <v>0.76342329688935551</v>
      </c>
      <c r="Q21" s="61">
        <f>Financials!O31/Financials!O5</f>
        <v>0.76740099321945421</v>
      </c>
      <c r="R21" s="61">
        <f>Financials!P31/Financials!P5</f>
        <v>0.74674791478036628</v>
      </c>
      <c r="S21" s="61">
        <f>Financials!Q31/Financials!Q5</f>
        <v>0.74000752805270986</v>
      </c>
      <c r="T21" s="61">
        <f>Financials!R31/Financials!R5</f>
        <v>0.75593935217769004</v>
      </c>
      <c r="U21" s="61">
        <f>Financials!S31/Financials!S5</f>
        <v>0.74774198000767755</v>
      </c>
      <c r="V21" s="61">
        <f>Financials!T31/Financials!T5</f>
        <v>0.79206368587366549</v>
      </c>
      <c r="W21" s="61">
        <f>Financials!U31/Financials!U5</f>
        <v>0.7851715554867319</v>
      </c>
      <c r="X21" s="61">
        <f>Financials!V31/Financials!V5</f>
        <v>0.76436971150823563</v>
      </c>
      <c r="Y21" s="61">
        <f>Financials!W31/Financials!W5</f>
        <v>0.79524999584913236</v>
      </c>
      <c r="Z21" s="61">
        <f>Financials!X31/Financials!X5</f>
        <v>0.81413121749588524</v>
      </c>
      <c r="AA21" s="61">
        <f>Financials!Y31/Financials!Y5</f>
        <v>0.77988244737052381</v>
      </c>
      <c r="AB21" s="61">
        <f>Financials!Z31/Financials!Z5</f>
        <v>0.8032030134716549</v>
      </c>
      <c r="AC21" s="61">
        <f>Financials!AA31/Financials!AA5</f>
        <v>0.84217381393134516</v>
      </c>
      <c r="AD21" s="61">
        <f>Financials!AB31/Financials!AB5</f>
        <v>0.85334962074951271</v>
      </c>
      <c r="AE21" s="61">
        <f>Financials!AC31/Financials!AC5</f>
        <v>0.82980039209791001</v>
      </c>
      <c r="AF21" s="61">
        <f>Financials!AD31/Financials!AD5</f>
        <v>0.80841193862777572</v>
      </c>
      <c r="AG21" s="61">
        <f>Financials!AE31/Financials!AE5</f>
        <v>0.82463999046687864</v>
      </c>
      <c r="AH21" s="61">
        <f>Financials!AF31/Financials!AF5</f>
        <v>0.80291976171167689</v>
      </c>
      <c r="AI21" s="61">
        <f>Financials!AG31/Financials!AG5</f>
        <v>0.80245390372256065</v>
      </c>
      <c r="AJ21" s="61">
        <f>Financials!AH31/Financials!AH5</f>
        <v>0.78166312259968718</v>
      </c>
      <c r="AK21" s="61">
        <f>Financials!AI31/Financials!AI5</f>
        <v>0.7935030390638923</v>
      </c>
      <c r="AL21" s="61">
        <f>Financials!AJ31/Financials!AJ5</f>
        <v>0.81273132843689666</v>
      </c>
      <c r="AM21" s="61">
        <f>Financials!AK31/Financials!AK5</f>
        <v>0.83003181885349653</v>
      </c>
      <c r="AN21" s="61">
        <f>Financials!AL31/Financials!AL5</f>
        <v>0.79655250064098126</v>
      </c>
      <c r="AO21" s="61">
        <f>Financials!AM31/Financials!AM5</f>
        <v>0.7927572146916988</v>
      </c>
      <c r="AP21" s="61" t="e">
        <f>Financials!AN31/Financials!AN5</f>
        <v>#DIV/0!</v>
      </c>
      <c r="AQ21" s="61">
        <f>Financials!AO31/Financials!AO5</f>
        <v>0.8445514645589296</v>
      </c>
      <c r="AR21" s="61">
        <f>Financials!AP31/Financials!AP5</f>
        <v>0.83009212810006427</v>
      </c>
      <c r="AS21" s="61">
        <f>Financials!AQ31/Financials!AQ5</f>
        <v>0.83948578753339909</v>
      </c>
      <c r="AT21" s="61">
        <f>Financials!AR31/Financials!AR5</f>
        <v>0.82079464839822769</v>
      </c>
      <c r="AU21" s="61">
        <f>Financials!AS31/Financials!AS5</f>
        <v>0.8053225517560616</v>
      </c>
      <c r="AV21" s="61"/>
      <c r="AW21" s="61">
        <f>Financials!AU31/Financials!AU5</f>
        <v>0.74028500960012622</v>
      </c>
      <c r="AX21" s="61">
        <f>Financials!AV31/Financials!AV5</f>
        <v>0.72998044120824357</v>
      </c>
      <c r="AY21" s="61">
        <f>Financials!AW31/Financials!AW5</f>
        <v>0.72420355294236316</v>
      </c>
      <c r="AZ21" s="61">
        <f>Financials!AX31/Financials!AX5</f>
        <v>0.7186291458199916</v>
      </c>
      <c r="BA21" s="61">
        <f>Financials!AY31/Financials!AY5</f>
        <v>0.71080982129190429</v>
      </c>
      <c r="BB21" s="61">
        <f>Financials!AZ31/Financials!AZ5</f>
        <v>0.704489367654902</v>
      </c>
      <c r="BC21" s="61">
        <f>Financials!BA31/Financials!BA5</f>
        <v>0.72125272607452928</v>
      </c>
      <c r="BD21" s="61">
        <f>Financials!BB31/Financials!BB5</f>
        <v>0.70429393045080702</v>
      </c>
      <c r="BE21" s="61">
        <f>Financials!BC31/Financials!BC5</f>
        <v>0.70574736627710877</v>
      </c>
      <c r="BF21" s="61">
        <f>Financials!BD31/Financials!BD5</f>
        <v>0.69974036727138833</v>
      </c>
      <c r="BG21" s="61">
        <f>Financials!BE31/Financials!BE5</f>
        <v>0.70377302426635391</v>
      </c>
      <c r="BH21" s="61">
        <f>Financials!BF31/Financials!BF5</f>
        <v>0.70320167822229329</v>
      </c>
      <c r="BI21" s="61">
        <f>Financials!BG31/Financials!BG5</f>
        <v>0.70025617774727933</v>
      </c>
      <c r="BJ21" s="61">
        <f>Financials!BH31/Financials!BH5</f>
        <v>0.70786104918718451</v>
      </c>
      <c r="BK21" s="61">
        <f>Financials!BI31/Financials!BI5</f>
        <v>0.70117994331252465</v>
      </c>
      <c r="BL21" s="61">
        <f>Financials!BJ31/Financials!BJ5</f>
        <v>0.72668102378980226</v>
      </c>
      <c r="BM21" s="61">
        <f>Financials!BK31/Financials!BK5</f>
        <v>0.7564938322028254</v>
      </c>
      <c r="BN21" s="61">
        <f>Financials!BL31/Financials!BL5</f>
        <v>0.76729950069922515</v>
      </c>
      <c r="BO21" s="61">
        <f>Financials!BM31/Financials!BM5</f>
        <v>0.75755535606683144</v>
      </c>
      <c r="BP21" s="61">
        <f>Financials!BN31/Financials!BN5</f>
        <v>0.76065029766804837</v>
      </c>
      <c r="BQ21" s="61">
        <f>Financials!BO31/Financials!BO5</f>
        <v>0.79088382167576265</v>
      </c>
      <c r="BR21" s="61">
        <f>Financials!BP31/Financials!BP5</f>
        <v>0.79387754404988897</v>
      </c>
      <c r="BS21" s="61">
        <f>Financials!BQ31/Financials!BQ5</f>
        <v>0.79327288808187157</v>
      </c>
      <c r="BT21" s="61">
        <f>Financials!BR31/Financials!BR5</f>
        <v>0.79815483449794844</v>
      </c>
      <c r="BU21" s="61">
        <f>Financials!BS31/Financials!BS5</f>
        <v>0.82673926477058379</v>
      </c>
      <c r="BV21" s="61">
        <f>Financials!BT31/Financials!BT5</f>
        <v>0.82371165844020255</v>
      </c>
      <c r="BW21" s="61">
        <f>Financials!BU31/Financials!BU5</f>
        <v>0.84179299885725245</v>
      </c>
      <c r="BX21" s="61">
        <f>Financials!BV31/Financials!BV5</f>
        <v>0.841271301737465</v>
      </c>
      <c r="BY21" s="61">
        <f>Financials!BW31/Financials!BW5</f>
        <v>0.85063397368499494</v>
      </c>
      <c r="BZ21" s="61">
        <f>Financials!BX31/Financials!BX5</f>
        <v>0.84382181793517952</v>
      </c>
      <c r="CA21" s="61">
        <f>Financials!BY31/Financials!BY5</f>
        <v>0.82633294811124236</v>
      </c>
      <c r="CB21" s="61">
        <f>Financials!BZ31/Financials!BZ5</f>
        <v>0.80124146392971785</v>
      </c>
    </row>
    <row r="22" spans="2:80" s="4" customFormat="1">
      <c r="B22" s="10"/>
      <c r="C22" s="10"/>
      <c r="D22" s="59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63"/>
      <c r="AS22" s="63"/>
      <c r="AT22" s="63"/>
      <c r="AU22" s="63"/>
      <c r="AV22" s="63"/>
      <c r="AW22" s="63"/>
      <c r="AX22" s="63"/>
      <c r="AY22" s="63"/>
      <c r="AZ22" s="63"/>
      <c r="BA22" s="63"/>
      <c r="BB22" s="63"/>
      <c r="BC22" s="63"/>
      <c r="BD22" s="63"/>
      <c r="BE22" s="63"/>
      <c r="BF22" s="63"/>
      <c r="BG22" s="63"/>
      <c r="BH22" s="63"/>
      <c r="BI22" s="63"/>
    </row>
    <row r="23" spans="2:80" s="4" customFormat="1">
      <c r="B23" s="9">
        <v>3</v>
      </c>
      <c r="C23" s="10" t="s">
        <v>56</v>
      </c>
      <c r="D23" s="59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5"/>
      <c r="BF23" s="65"/>
      <c r="BG23" s="65"/>
      <c r="BH23" s="65"/>
      <c r="BI23" s="65"/>
    </row>
    <row r="24" spans="2:80" s="4" customFormat="1">
      <c r="B24" s="11">
        <v>3.1</v>
      </c>
      <c r="C24" s="12" t="s">
        <v>57</v>
      </c>
      <c r="D24" s="64" t="s">
        <v>55</v>
      </c>
      <c r="E24" s="61">
        <f>Financials!C6/Financials!C5</f>
        <v>0.7234824251438009</v>
      </c>
      <c r="F24" s="61">
        <f>Financials!D6/Financials!D5</f>
        <v>0.76855605286732631</v>
      </c>
      <c r="G24" s="61">
        <f>Financials!E6/Financials!E5</f>
        <v>0.78510345549301841</v>
      </c>
      <c r="H24" s="61">
        <f>Financials!F6/Financials!F5</f>
        <v>0.7730807079819868</v>
      </c>
      <c r="I24" s="61">
        <f>Financials!G6/Financials!G5</f>
        <v>0.79394032719049301</v>
      </c>
      <c r="J24" s="61">
        <f>Financials!H6/Financials!H5</f>
        <v>0.78873819831452285</v>
      </c>
      <c r="K24" s="61">
        <f>Financials!I6/Financials!I5</f>
        <v>0.77939413945132263</v>
      </c>
      <c r="L24" s="61">
        <f>Financials!J6/Financials!J5</f>
        <v>0.76098927844180742</v>
      </c>
      <c r="M24" s="61">
        <f>Financials!K6/Financials!K5</f>
        <v>0.75232116456598042</v>
      </c>
      <c r="N24" s="61">
        <f>Financials!L6/Financials!L5</f>
        <v>0.74562572374552505</v>
      </c>
      <c r="O24" s="61">
        <f>Financials!M6/Financials!M5</f>
        <v>0.74535150912979775</v>
      </c>
      <c r="P24" s="61">
        <f>Financials!N6/Financials!N5</f>
        <v>0.73440825962945133</v>
      </c>
      <c r="Q24" s="61">
        <f>Financials!O6/Financials!O5</f>
        <v>0.72649497013828657</v>
      </c>
      <c r="R24" s="61">
        <f>Financials!P6/Financials!P5</f>
        <v>0.71830701426171084</v>
      </c>
      <c r="S24" s="61">
        <f>Financials!Q6/Financials!Q5</f>
        <v>0.70698354078207049</v>
      </c>
      <c r="T24" s="61">
        <f>Financials!R6/Financials!R5</f>
        <v>0.71533216310921732</v>
      </c>
      <c r="U24" s="61">
        <f>Financials!S6/Financials!S5</f>
        <v>0.69386831112975467</v>
      </c>
      <c r="V24" s="61">
        <f>Financials!T6/Financials!T5</f>
        <v>0.73420082006906051</v>
      </c>
      <c r="W24" s="61">
        <f>Financials!U6/Financials!U5</f>
        <v>0.72785190900614394</v>
      </c>
      <c r="X24" s="61">
        <f>Financials!V6/Financials!V5</f>
        <v>0.72526853051995455</v>
      </c>
      <c r="Y24" s="61">
        <f>Financials!W6/Financials!W5</f>
        <v>0.78755445831163284</v>
      </c>
      <c r="Z24" s="61">
        <f>Financials!X6/Financials!X5</f>
        <v>0.78608296992877036</v>
      </c>
      <c r="AA24" s="61">
        <f>Financials!Y6/Financials!Y5</f>
        <v>0.78784219836669656</v>
      </c>
      <c r="AB24" s="61">
        <f>Financials!Z6/Financials!Z5</f>
        <v>0.77166291819193544</v>
      </c>
      <c r="AC24" s="61">
        <f>Financials!AA6/Financials!AA5</f>
        <v>0.78075819992999085</v>
      </c>
      <c r="AD24" s="61">
        <f>Financials!AB6/Financials!AB5</f>
        <v>0.76767827907976616</v>
      </c>
      <c r="AE24" s="61">
        <f>Financials!AC6/Financials!AC5</f>
        <v>0.76844659297535656</v>
      </c>
      <c r="AF24" s="61">
        <f>Financials!AD6/Financials!AD5</f>
        <v>0.75747129582858486</v>
      </c>
      <c r="AG24" s="61">
        <f>Financials!AE6/Financials!AE5</f>
        <v>0.74796497923773486</v>
      </c>
      <c r="AH24" s="61">
        <f>Financials!AF6/Financials!AF5</f>
        <v>0.73886116733323604</v>
      </c>
      <c r="AI24" s="61">
        <f>Financials!AG6/Financials!AG5</f>
        <v>0.73806405470315084</v>
      </c>
      <c r="AJ24" s="61">
        <f>Financials!AH6/Financials!AH5</f>
        <v>0.72661627972040066</v>
      </c>
      <c r="AK24" s="61">
        <f>Financials!AI6/Financials!AI5</f>
        <v>0.80428512247671358</v>
      </c>
      <c r="AL24" s="61">
        <f>Financials!AJ6/Financials!AJ5</f>
        <v>0.805796889199487</v>
      </c>
      <c r="AM24" s="61">
        <f>Financials!AK6/Financials!AK5</f>
        <v>0.78684735294906405</v>
      </c>
      <c r="AN24" s="61">
        <f>Financials!AL6/Financials!AL5</f>
        <v>0.78215077218543894</v>
      </c>
      <c r="AO24" s="61">
        <f>Financials!AM6/Financials!AM5</f>
        <v>0.77431809684553143</v>
      </c>
      <c r="AP24" s="61" t="e">
        <f>Financials!AN6/Financials!AN5</f>
        <v>#DIV/0!</v>
      </c>
      <c r="AQ24" s="61">
        <f>Financials!AO6/Financials!AO5</f>
        <v>0.7610235011149532</v>
      </c>
      <c r="AR24" s="61">
        <f>Financials!AP6/Financials!AP5</f>
        <v>0.7568642028952024</v>
      </c>
      <c r="AS24" s="61">
        <f>Financials!AQ6/Financials!AQ5</f>
        <v>0.75046396359937606</v>
      </c>
      <c r="AT24" s="61">
        <f>Financials!AR6/Financials!AR5</f>
        <v>0.74442924707898706</v>
      </c>
      <c r="AU24" s="61">
        <f>Financials!AS6/Financials!AS5</f>
        <v>0.73778444982943081</v>
      </c>
      <c r="AV24" s="61"/>
      <c r="AW24" s="61">
        <f>Financials!AU6/Financials!AU5</f>
        <v>0.60585558918820126</v>
      </c>
      <c r="AX24" s="61">
        <f>Financials!AV6/Financials!AV5</f>
        <v>0.61137167474421616</v>
      </c>
      <c r="AY24" s="61">
        <f>Financials!AW6/Financials!AW5</f>
        <v>0.60365671922373143</v>
      </c>
      <c r="AZ24" s="61">
        <f>Financials!AX6/Financials!AX5</f>
        <v>0.61640583119440817</v>
      </c>
      <c r="BA24" s="61">
        <f>Financials!AY6/Financials!AY5</f>
        <v>0.60980981795344136</v>
      </c>
      <c r="BB24" s="61">
        <f>Financials!AZ6/Financials!AZ5</f>
        <v>0.60802259008731496</v>
      </c>
      <c r="BC24" s="61">
        <f>Financials!BA6/Financials!BA5</f>
        <v>0.60650140885223425</v>
      </c>
      <c r="BD24" s="61">
        <f>Financials!BB6/Financials!BB5</f>
        <v>0.60924538880197465</v>
      </c>
      <c r="BE24" s="61">
        <f>Financials!BC6/Financials!BC5</f>
        <v>0.61735140116922982</v>
      </c>
      <c r="BF24" s="61">
        <f>Financials!BD6/Financials!BD5</f>
        <v>0.61168697238917069</v>
      </c>
      <c r="BG24" s="61">
        <f>Financials!BE6/Financials!BE5</f>
        <v>0.60639108996475299</v>
      </c>
      <c r="BH24" s="61">
        <f>Financials!BF6/Financials!BF5</f>
        <v>0.61123701981653089</v>
      </c>
      <c r="BI24" s="61">
        <f>Financials!BG6/Financials!BG5</f>
        <v>0.61726982610781844</v>
      </c>
      <c r="BJ24" s="61">
        <f>Financials!BH6/Financials!BH5</f>
        <v>0.60034855066077542</v>
      </c>
      <c r="BK24" s="61">
        <f>Financials!BI6/Financials!BI5</f>
        <v>0.6028279958908358</v>
      </c>
      <c r="BL24" s="61">
        <f>Financials!BJ6/Financials!BJ5</f>
        <v>0.57815352965471367</v>
      </c>
      <c r="BM24" s="61">
        <f>Financials!BK6/Financials!BK5</f>
        <v>0.61414098935510708</v>
      </c>
      <c r="BN24" s="61">
        <f>Financials!BL6/Financials!BL5</f>
        <v>0.61712420104101662</v>
      </c>
      <c r="BO24" s="61">
        <f>Financials!BM6/Financials!BM5</f>
        <v>0.59752058974853939</v>
      </c>
      <c r="BP24" s="61">
        <f>Financials!BN6/Financials!BN5</f>
        <v>0.59406668171224652</v>
      </c>
      <c r="BQ24" s="61">
        <f>Financials!BO6/Financials!BO5</f>
        <v>0.59158935294318116</v>
      </c>
      <c r="BR24" s="61">
        <f>Financials!BP6/Financials!BP5</f>
        <v>0.58245930239469179</v>
      </c>
      <c r="BS24" s="61">
        <f>Financials!BQ6/Financials!BQ5</f>
        <v>0.58750023481588221</v>
      </c>
      <c r="BT24" s="61">
        <f>Financials!BR6/Financials!BR5</f>
        <v>0.58850004744062523</v>
      </c>
      <c r="BU24" s="61">
        <f>Financials!BS6/Financials!BS5</f>
        <v>0.58369523210330121</v>
      </c>
      <c r="BV24" s="61">
        <f>Financials!BT6/Financials!BT5</f>
        <v>0.59393796564417345</v>
      </c>
      <c r="BW24" s="61">
        <f>Financials!BU6/Financials!BU5</f>
        <v>0.57759823893845486</v>
      </c>
      <c r="BX24" s="61">
        <f>Financials!BV6/Financials!BV5</f>
        <v>0.57554924245279082</v>
      </c>
      <c r="BY24" s="61">
        <f>Financials!BW6/Financials!BW5</f>
        <v>0.57130980096966344</v>
      </c>
      <c r="BZ24" s="61">
        <f>Financials!BX6/Financials!BX5</f>
        <v>0.57273906686282494</v>
      </c>
      <c r="CA24" s="61">
        <f>Financials!BY6/Financials!BY5</f>
        <v>0.59683931329848838</v>
      </c>
      <c r="CB24" s="61">
        <f>Financials!BZ6/Financials!BZ5</f>
        <v>0.57783878652911247</v>
      </c>
    </row>
    <row r="25" spans="2:80" s="4" customFormat="1">
      <c r="B25" s="14" t="s">
        <v>58</v>
      </c>
      <c r="C25" s="15" t="s">
        <v>59</v>
      </c>
      <c r="D25" s="66" t="s">
        <v>55</v>
      </c>
      <c r="E25" s="67">
        <f>Financials!C7/Financials!C5</f>
        <v>0.60032313512979851</v>
      </c>
      <c r="F25" s="67">
        <f>Financials!D7/Financials!D5</f>
        <v>0.56787730580265472</v>
      </c>
      <c r="G25" s="67">
        <f>Financials!E7/Financials!E5</f>
        <v>0.52270070350239928</v>
      </c>
      <c r="H25" s="67">
        <f>Financials!F7/Financials!F5</f>
        <v>0.53606474862487341</v>
      </c>
      <c r="I25" s="67">
        <f>Financials!G7/Financials!G5</f>
        <v>0.55681232388445534</v>
      </c>
      <c r="J25" s="67">
        <f>Financials!H7/Financials!H5</f>
        <v>0.56256362252786307</v>
      </c>
      <c r="K25" s="67">
        <f>Financials!I7/Financials!I5</f>
        <v>0.54611908875314152</v>
      </c>
      <c r="L25" s="67">
        <f>Financials!J7/Financials!J5</f>
        <v>0.55267112658211681</v>
      </c>
      <c r="M25" s="67">
        <f>Financials!K7/Financials!K5</f>
        <v>0.54620695356578775</v>
      </c>
      <c r="N25" s="67">
        <f>Financials!L7/Financials!L5</f>
        <v>0.55332536282928402</v>
      </c>
      <c r="O25" s="67">
        <f>Financials!M7/Financials!M5</f>
        <v>0.54687196969980645</v>
      </c>
      <c r="P25" s="67">
        <f>Financials!N7/Financials!N5</f>
        <v>0.55629727047225908</v>
      </c>
      <c r="Q25" s="67">
        <f>Financials!O7/Financials!O5</f>
        <v>0.55922062241887072</v>
      </c>
      <c r="R25" s="67">
        <f>Financials!P7/Financials!P5</f>
        <v>0.54428238361431158</v>
      </c>
      <c r="S25" s="67">
        <f>Financials!Q7/Financials!Q5</f>
        <v>0.52192642957872581</v>
      </c>
      <c r="T25" s="67">
        <f>Financials!R7/Financials!R5</f>
        <v>0.55323157694616465</v>
      </c>
      <c r="U25" s="67">
        <f>Financials!S7/Financials!S5</f>
        <v>0.59220486336552691</v>
      </c>
      <c r="V25" s="67">
        <f>Financials!T7/Financials!T5</f>
        <v>0.61962863420273506</v>
      </c>
      <c r="W25" s="67">
        <f>Financials!U7/Financials!U5</f>
        <v>0.61949568428983448</v>
      </c>
      <c r="X25" s="67">
        <f>Financials!V7/Financials!V5</f>
        <v>0.60768497872881178</v>
      </c>
      <c r="Y25" s="67">
        <f>Financials!W7/Financials!W5</f>
        <v>0.65179774621536202</v>
      </c>
      <c r="Z25" s="67">
        <f>Financials!X7/Financials!X5</f>
        <v>0.66993415358370056</v>
      </c>
      <c r="AA25" s="67">
        <f>Financials!Y7/Financials!Y5</f>
        <v>0.64350052341114861</v>
      </c>
      <c r="AB25" s="67">
        <f>Financials!Z7/Financials!Z5</f>
        <v>0.66870155027976397</v>
      </c>
      <c r="AC25" s="67">
        <f>Financials!AA7/Financials!AA5</f>
        <v>0.64653452443442538</v>
      </c>
      <c r="AD25" s="67">
        <f>Financials!AB7/Financials!AB5</f>
        <v>0.65716040307814594</v>
      </c>
      <c r="AE25" s="67">
        <f>Financials!AC7/Financials!AC5</f>
        <v>0.65543794667947508</v>
      </c>
      <c r="AF25" s="67">
        <f>Financials!AD7/Financials!AD5</f>
        <v>0.64969541161012445</v>
      </c>
      <c r="AG25" s="67">
        <f>Financials!AE7/Financials!AE5</f>
        <v>0.64936459938214153</v>
      </c>
      <c r="AH25" s="67">
        <f>Financials!AF7/Financials!AF5</f>
        <v>0.64281786379704775</v>
      </c>
      <c r="AI25" s="67">
        <f>Financials!AG7/Financials!AG5</f>
        <v>0.63635384745709067</v>
      </c>
      <c r="AJ25" s="67">
        <f>Financials!AH7/Financials!AH5</f>
        <v>0.62303026238665971</v>
      </c>
      <c r="AK25" s="67">
        <f>Financials!AI7/Financials!AI5</f>
        <v>0.65445791334263359</v>
      </c>
      <c r="AL25" s="67">
        <f>Financials!AJ7/Financials!AJ5</f>
        <v>0.65339367683742366</v>
      </c>
      <c r="AM25" s="67">
        <f>Financials!AK7/Financials!AK5</f>
        <v>0.67621357318309416</v>
      </c>
      <c r="AN25" s="67">
        <f>Financials!AL7/Financials!AL5</f>
        <v>0.6622911088779857</v>
      </c>
      <c r="AO25" s="67">
        <f>Financials!AM7/Financials!AM5</f>
        <v>0.66400851807358974</v>
      </c>
      <c r="AP25" s="67" t="e">
        <f>Financials!AN7/Financials!AN5</f>
        <v>#DIV/0!</v>
      </c>
      <c r="AQ25" s="67">
        <f>Financials!AO7/Financials!AO5</f>
        <v>0.66931991516506584</v>
      </c>
      <c r="AR25" s="67">
        <f>Financials!AP7/Financials!AP5</f>
        <v>0.67257168425893665</v>
      </c>
      <c r="AS25" s="67">
        <f>Financials!AQ7/Financials!AQ5</f>
        <v>0.6728119368940656</v>
      </c>
      <c r="AT25" s="67">
        <f>Financials!AR7/Financials!AR5</f>
        <v>0.66884709672771736</v>
      </c>
      <c r="AU25" s="67">
        <f>Financials!AS7/Financials!AS5</f>
        <v>0.6653318782158627</v>
      </c>
      <c r="AV25" s="67"/>
      <c r="AW25" s="67">
        <f>Financials!AU7/Financials!AU5</f>
        <v>0.5519327527160629</v>
      </c>
      <c r="AX25" s="67">
        <f>Financials!AV7/Financials!AV5</f>
        <v>0.55725721147655816</v>
      </c>
      <c r="AY25" s="67">
        <f>Financials!AW7/Financials!AW5</f>
        <v>0.556157890721516</v>
      </c>
      <c r="AZ25" s="67">
        <f>Financials!AX7/Financials!AX5</f>
        <v>0.55433575761489773</v>
      </c>
      <c r="BA25" s="67">
        <f>Financials!AY7/Financials!AY5</f>
        <v>0.55238564592189798</v>
      </c>
      <c r="BB25" s="67">
        <f>Financials!AZ7/Financials!AZ5</f>
        <v>0.5492846998430182</v>
      </c>
      <c r="BC25" s="67">
        <f>Financials!BA7/Financials!BA5</f>
        <v>0.54040481648424032</v>
      </c>
      <c r="BD25" s="67">
        <f>Financials!BB7/Financials!BB5</f>
        <v>0.53128650830048463</v>
      </c>
      <c r="BE25" s="67">
        <f>Financials!BC7/Financials!BC5</f>
        <v>0.54501956351575498</v>
      </c>
      <c r="BF25" s="67">
        <f>Financials!BD7/Financials!BD5</f>
        <v>0.54389717098519363</v>
      </c>
      <c r="BG25" s="67">
        <f>Financials!BE7/Financials!BE5</f>
        <v>0.5390476802963543</v>
      </c>
      <c r="BH25" s="67">
        <f>Financials!BF7/Financials!BF5</f>
        <v>0.54611012414841764</v>
      </c>
      <c r="BI25" s="67">
        <f>Financials!BG7/Financials!BG5</f>
        <v>0.55150013711844781</v>
      </c>
      <c r="BJ25" s="67">
        <f>Financials!BH7/Financials!BH5</f>
        <v>0.53984397772801584</v>
      </c>
      <c r="BK25" s="67">
        <f>Financials!BI7/Financials!BI5</f>
        <v>0.54147394608865118</v>
      </c>
      <c r="BL25" s="67">
        <f>Financials!BJ7/Financials!BJ5</f>
        <v>0.51718943119088223</v>
      </c>
      <c r="BM25" s="67">
        <f>Financials!BK7/Financials!BK5</f>
        <v>0.53913120508299417</v>
      </c>
      <c r="BN25" s="67">
        <f>Financials!BL7/Financials!BL5</f>
        <v>0.54826322644807335</v>
      </c>
      <c r="BO25" s="67">
        <f>Financials!BM7/Financials!BM5</f>
        <v>0.53268780771816637</v>
      </c>
      <c r="BP25" s="67">
        <f>Financials!BN7/Financials!BN5</f>
        <v>0.52362406331689881</v>
      </c>
      <c r="BQ25" s="67">
        <f>Financials!BO7/Financials!BO5</f>
        <v>0.52224808250058119</v>
      </c>
      <c r="BR25" s="67">
        <f>Financials!BP7/Financials!BP5</f>
        <v>0.52004549384337873</v>
      </c>
      <c r="BS25" s="67">
        <f>Financials!BQ7/Financials!BQ5</f>
        <v>0.51862755633173341</v>
      </c>
      <c r="BT25" s="67">
        <f>Financials!BR7/Financials!BR5</f>
        <v>0.51540544906278052</v>
      </c>
      <c r="BU25" s="67">
        <f>Financials!BS7/Financials!BS5</f>
        <v>0.50653669154584802</v>
      </c>
      <c r="BV25" s="67">
        <f>Financials!BT7/Financials!BT5</f>
        <v>0.51538805775611995</v>
      </c>
      <c r="BW25" s="67">
        <f>Financials!BU7/Financials!BU5</f>
        <v>0.51605428483801419</v>
      </c>
      <c r="BX25" s="67">
        <f>Financials!BV7/Financials!BV5</f>
        <v>0.51607587413832789</v>
      </c>
      <c r="BY25" s="67">
        <f>Financials!BW7/Financials!BW5</f>
        <v>0.51989199261320274</v>
      </c>
      <c r="BZ25" s="67">
        <f>Financials!BX7/Financials!BX5</f>
        <v>0.5242640149508222</v>
      </c>
      <c r="CA25" s="67">
        <f>Financials!BY7/Financials!BY5</f>
        <v>0.52862117059972569</v>
      </c>
      <c r="CB25" s="67">
        <f>Financials!BZ7/Financials!BZ5</f>
        <v>0.51735354352867524</v>
      </c>
    </row>
    <row r="26" spans="2:80" s="4" customFormat="1">
      <c r="B26" s="14" t="s">
        <v>60</v>
      </c>
      <c r="C26" s="15" t="s">
        <v>61</v>
      </c>
      <c r="D26" s="66" t="s">
        <v>55</v>
      </c>
      <c r="E26" s="78">
        <f>Financials!C8/Financials!C5</f>
        <v>0.1231592900140024</v>
      </c>
      <c r="F26" s="78">
        <f>Financials!D8/Financials!D5</f>
        <v>0.19320635976094785</v>
      </c>
      <c r="G26" s="78">
        <f>Financials!E8/Financials!E5</f>
        <v>8.7900988782040942E-3</v>
      </c>
      <c r="H26" s="78">
        <f>Financials!F8/Financials!F5</f>
        <v>1.0921820242309503E-2</v>
      </c>
      <c r="I26" s="78">
        <f>Financials!G8/Financials!G5</f>
        <v>1.1620508783210845E-2</v>
      </c>
      <c r="J26" s="78">
        <f>Financials!H8/Financials!H5</f>
        <v>1.6878266464672196E-2</v>
      </c>
      <c r="K26" s="78">
        <f>Financials!I8/Financials!I5</f>
        <v>1.6883389525530975E-2</v>
      </c>
      <c r="L26" s="78">
        <f>Financials!J8/Financials!J5</f>
        <v>2.076549426442565E-2</v>
      </c>
      <c r="M26" s="78">
        <f>Financials!K8/Financials!K5</f>
        <v>2.0877506159600871E-2</v>
      </c>
      <c r="N26" s="78">
        <f>Financials!L8/Financials!L5</f>
        <v>2.017858740700694E-2</v>
      </c>
      <c r="O26" s="78">
        <f>Financials!M8/Financials!M5</f>
        <v>2.0128597889721996E-2</v>
      </c>
      <c r="P26" s="78">
        <f>Financials!N8/Financials!N5</f>
        <v>1.9955983697180345E-2</v>
      </c>
      <c r="Q26" s="78">
        <f>Financials!O8/Financials!O5</f>
        <v>1.6917451921607391E-2</v>
      </c>
      <c r="R26" s="78">
        <f>Financials!P8/Financials!P5</f>
        <v>1.6978920529990792E-2</v>
      </c>
      <c r="S26" s="78">
        <f>Financials!Q8/Financials!Q5</f>
        <v>0.17127707498502395</v>
      </c>
      <c r="T26" s="78">
        <f>Financials!R8/Financials!R5</f>
        <v>0.15064448905049371</v>
      </c>
      <c r="U26" s="78">
        <f>Financials!S8/Financials!S5</f>
        <v>2.1164184719087792E-2</v>
      </c>
      <c r="V26" s="78">
        <f>Financials!T8/Financials!T5</f>
        <v>0.11457218586632543</v>
      </c>
      <c r="W26" s="78">
        <f>Financials!U8/Financials!U5</f>
        <v>2.3846380901219991E-2</v>
      </c>
      <c r="X26" s="78">
        <f>Financials!V8/Financials!V5</f>
        <v>2.4929217047067503E-2</v>
      </c>
      <c r="Y26" s="78">
        <f>Financials!W8/Financials!W5</f>
        <v>2.2752223199813505E-2</v>
      </c>
      <c r="Z26" s="78">
        <f>Financials!X8/Financials!X5</f>
        <v>2.4478993450980861E-2</v>
      </c>
      <c r="AA26" s="78">
        <f>Financials!Y8/Financials!Y5</f>
        <v>2.3787069521792336E-2</v>
      </c>
      <c r="AB26" s="78">
        <f>Financials!Z8/Financials!Z5</f>
        <v>2.1676005266547026E-2</v>
      </c>
      <c r="AC26" s="78">
        <f>Financials!AA8/Financials!AA5</f>
        <v>2.283293078379137E-2</v>
      </c>
      <c r="AD26" s="78">
        <f>Financials!AB8/Financials!AB5</f>
        <v>1.9874337840291585E-2</v>
      </c>
      <c r="AE26" s="78">
        <f>Financials!AC8/Financials!AC5</f>
        <v>1.756145512911382E-2</v>
      </c>
      <c r="AF26" s="78">
        <f>Financials!AD8/Financials!AD5</f>
        <v>1.934448099263137E-2</v>
      </c>
      <c r="AG26" s="78">
        <f>Financials!AE8/Financials!AE5</f>
        <v>1.6875757516682046E-2</v>
      </c>
      <c r="AH26" s="78">
        <f>Financials!AF8/Financials!AF5</f>
        <v>1.9783594470855266E-2</v>
      </c>
      <c r="AI26" s="78">
        <f>Financials!AG8/Financials!AG5</f>
        <v>0.10171020724606014</v>
      </c>
      <c r="AJ26" s="78">
        <f>Financials!AH8/Financials!AH5</f>
        <v>1.8772069506943413E-2</v>
      </c>
      <c r="AK26" s="78">
        <f>Financials!AI8/Financials!AI5</f>
        <v>2.3260393586252762E-2</v>
      </c>
      <c r="AL26" s="78">
        <f>Financials!AJ8/Financials!AJ5</f>
        <v>2.2754182750954793E-2</v>
      </c>
      <c r="AM26" s="78">
        <f>Financials!AK8/Financials!AK5</f>
        <v>1.6955428161059882E-2</v>
      </c>
      <c r="AN26" s="78">
        <f>Financials!AL8/Financials!AL5</f>
        <v>1.7639612553918983E-2</v>
      </c>
      <c r="AO26" s="78">
        <f>Financials!AM8/Financials!AM5</f>
        <v>1.6995894485787835E-2</v>
      </c>
      <c r="AP26" s="78" t="e">
        <f>Financials!AN8/Financials!AN5</f>
        <v>#DIV/0!</v>
      </c>
      <c r="AQ26" s="78">
        <f>Financials!AO8/Financials!AO5</f>
        <v>1.4705763625104404E-2</v>
      </c>
      <c r="AR26" s="78">
        <f>Financials!AP8/Financials!AP5</f>
        <v>1.6804549801462371E-2</v>
      </c>
      <c r="AS26" s="78">
        <f>Financials!AQ8/Financials!AQ5</f>
        <v>1.5955662730374964E-2</v>
      </c>
      <c r="AT26" s="78">
        <f>Financials!AR8/Financials!AR5</f>
        <v>1.4683754937090617E-2</v>
      </c>
      <c r="AU26" s="78">
        <f>Financials!AS8/Financials!AS5</f>
        <v>1.5541451981632443E-2</v>
      </c>
      <c r="AV26" s="78"/>
      <c r="AW26" s="78">
        <f>Financials!AU8/Financials!AU5</f>
        <v>5.3922836472138386E-2</v>
      </c>
      <c r="AX26" s="78">
        <f>Financials!AV8/Financials!AV5</f>
        <v>5.4114463267657932E-2</v>
      </c>
      <c r="AY26" s="78">
        <f>Financials!AW8/Financials!AW5</f>
        <v>4.7498828502215394E-2</v>
      </c>
      <c r="AZ26" s="78">
        <f>Financials!AX8/Financials!AX5</f>
        <v>6.2070073579510485E-2</v>
      </c>
      <c r="BA26" s="78">
        <f>Financials!AY8/Financials!AY5</f>
        <v>5.7424172031543368E-2</v>
      </c>
      <c r="BB26" s="78">
        <f>Financials!AZ8/Financials!AZ5</f>
        <v>5.8737890244296695E-2</v>
      </c>
      <c r="BC26" s="78">
        <f>Financials!BA8/Financials!BA5</f>
        <v>6.6096592367993839E-2</v>
      </c>
      <c r="BD26" s="78">
        <f>Financials!BB8/Financials!BB5</f>
        <v>7.7958880501490108E-2</v>
      </c>
      <c r="BE26" s="78">
        <f>Financials!BC8/Financials!BC5</f>
        <v>7.233183765347484E-2</v>
      </c>
      <c r="BF26" s="78">
        <f>Financials!BD8/Financials!BD5</f>
        <v>6.7789801403977126E-2</v>
      </c>
      <c r="BG26" s="78">
        <f>Financials!BE8/Financials!BE5</f>
        <v>6.7343409668398718E-2</v>
      </c>
      <c r="BH26" s="78">
        <f>Financials!BF8/Financials!BF5</f>
        <v>6.5126895668113263E-2</v>
      </c>
      <c r="BI26" s="78">
        <f>Financials!BG8/Financials!BG5</f>
        <v>6.5769688989370675E-2</v>
      </c>
      <c r="BJ26" s="78">
        <f>Financials!BH8/Financials!BH5</f>
        <v>6.050457293275964E-2</v>
      </c>
      <c r="BK26" s="78">
        <f>Financials!BI8/Financials!BI5</f>
        <v>6.1354049802184618E-2</v>
      </c>
      <c r="BL26" s="78">
        <f>Financials!BJ8/Financials!BJ5</f>
        <v>6.0964098463831468E-2</v>
      </c>
      <c r="BM26" s="78">
        <f>Financials!BK8/Financials!BK5</f>
        <v>7.5009784272112925E-2</v>
      </c>
      <c r="BN26" s="78">
        <f>Financials!BL8/Financials!BL5</f>
        <v>6.8860974592943214E-2</v>
      </c>
      <c r="BO26" s="78">
        <f>Financials!BM8/Financials!BM5</f>
        <v>6.4832782030372932E-2</v>
      </c>
      <c r="BP26" s="78">
        <f>Financials!BN8/Financials!BN5</f>
        <v>7.0442618395347698E-2</v>
      </c>
      <c r="BQ26" s="78">
        <f>Financials!BO8/Financials!BO5</f>
        <v>6.9341270442600078E-2</v>
      </c>
      <c r="BR26" s="78">
        <f>Financials!BP8/Financials!BP5</f>
        <v>6.2413808551313031E-2</v>
      </c>
      <c r="BS26" s="78">
        <f>Financials!BQ8/Financials!BQ5</f>
        <v>6.8872678484148769E-2</v>
      </c>
      <c r="BT26" s="78">
        <f>Financials!BR8/Financials!BR5</f>
        <v>7.3094598377844655E-2</v>
      </c>
      <c r="BU26" s="78">
        <f>Financials!BS8/Financials!BS5</f>
        <v>7.7158540557453192E-2</v>
      </c>
      <c r="BV26" s="78">
        <f>Financials!BT8/Financials!BT5</f>
        <v>7.8549907888053466E-2</v>
      </c>
      <c r="BW26" s="78">
        <f>Financials!BU8/Financials!BU5</f>
        <v>6.1543954100440675E-2</v>
      </c>
      <c r="BX26" s="78">
        <f>Financials!BV8/Financials!BV5</f>
        <v>5.9473368314462975E-2</v>
      </c>
      <c r="BY26" s="78">
        <f>Financials!BW8/Financials!BW5</f>
        <v>5.1417808356460641E-2</v>
      </c>
      <c r="BZ26" s="78">
        <f>Financials!BX8/Financials!BX5</f>
        <v>4.8475051912002798E-2</v>
      </c>
      <c r="CA26" s="78">
        <f>Financials!BY8/Financials!BY5</f>
        <v>6.8218142698762654E-2</v>
      </c>
      <c r="CB26" s="78">
        <f>Financials!BZ8/Financials!BZ5</f>
        <v>6.0485243000437262E-2</v>
      </c>
    </row>
    <row r="27" spans="2:80" s="4" customFormat="1">
      <c r="B27" s="11">
        <v>3.2</v>
      </c>
      <c r="C27" s="12" t="s">
        <v>62</v>
      </c>
      <c r="D27" s="60" t="s">
        <v>63</v>
      </c>
      <c r="E27" s="79">
        <f>Financials!C9/Financials!C5</f>
        <v>0.14272236489371123</v>
      </c>
      <c r="F27" s="79">
        <f>Financials!D9/Financials!D5</f>
        <v>1.8448707145193885E-3</v>
      </c>
      <c r="G27" s="79">
        <f>Financials!E9/Financials!E5</f>
        <v>1.6889319727143176E-3</v>
      </c>
      <c r="H27" s="79">
        <f>Financials!F9/Financials!F5</f>
        <v>1.7153850607630448E-3</v>
      </c>
      <c r="I27" s="79">
        <f>Financials!G9/Financials!G5</f>
        <v>1.7921053850611665E-3</v>
      </c>
      <c r="J27" s="79">
        <f>Financials!H9/Financials!H5</f>
        <v>1.8501943028645556E-3</v>
      </c>
      <c r="K27" s="79">
        <f>Financials!I9/Financials!I5</f>
        <v>1.8513069985670941E-3</v>
      </c>
      <c r="L27" s="79">
        <f>Financials!J9/Financials!J5</f>
        <v>1.9127874793044421E-3</v>
      </c>
      <c r="M27" s="79">
        <f>Financials!K9/Financials!K5</f>
        <v>1.9086200510740675E-3</v>
      </c>
      <c r="N27" s="79">
        <f>Financials!L9/Financials!L5</f>
        <v>0</v>
      </c>
      <c r="O27" s="79">
        <f>Financials!M9/Financials!M5</f>
        <v>0</v>
      </c>
      <c r="P27" s="79">
        <f>Financials!N9/Financials!N5</f>
        <v>0</v>
      </c>
      <c r="Q27" s="79">
        <f>Financials!O9/Financials!O5</f>
        <v>0</v>
      </c>
      <c r="R27" s="79">
        <f>Financials!P9/Financials!P5</f>
        <v>0</v>
      </c>
      <c r="S27" s="79">
        <f>Financials!Q9/Financials!Q5</f>
        <v>0</v>
      </c>
      <c r="T27" s="79">
        <f>Financials!R9/Financials!R5</f>
        <v>0</v>
      </c>
      <c r="U27" s="79">
        <f>Financials!S9/Financials!S5</f>
        <v>0</v>
      </c>
      <c r="V27" s="79">
        <f>Financials!T9/Financials!T5</f>
        <v>0</v>
      </c>
      <c r="W27" s="79">
        <f>Financials!U9/Financials!U5</f>
        <v>0</v>
      </c>
      <c r="X27" s="79">
        <f>Financials!V9/Financials!V5</f>
        <v>0</v>
      </c>
      <c r="Y27" s="79">
        <f>Financials!W9/Financials!W5</f>
        <v>0</v>
      </c>
      <c r="Z27" s="79">
        <f>Financials!X9/Financials!X5</f>
        <v>0</v>
      </c>
      <c r="AA27" s="79">
        <f>Financials!Y9/Financials!Y5</f>
        <v>0</v>
      </c>
      <c r="AB27" s="79">
        <f>Financials!Z9/Financials!Z5</f>
        <v>0</v>
      </c>
      <c r="AC27" s="79">
        <f>Financials!AA9/Financials!AA5</f>
        <v>0</v>
      </c>
      <c r="AD27" s="79">
        <f>Financials!AB9/Financials!AB5</f>
        <v>0</v>
      </c>
      <c r="AE27" s="79">
        <f>Financials!AC9/Financials!AC5</f>
        <v>0</v>
      </c>
      <c r="AF27" s="79">
        <f>Financials!AD9/Financials!AD5</f>
        <v>0</v>
      </c>
      <c r="AG27" s="79">
        <f>Financials!AE9/Financials!AE5</f>
        <v>0</v>
      </c>
      <c r="AH27" s="79">
        <f>Financials!AF9/Financials!AF5</f>
        <v>0</v>
      </c>
      <c r="AI27" s="79">
        <f>Financials!AG9/Financials!AG5</f>
        <v>1.1611646592205726E-5</v>
      </c>
      <c r="AJ27" s="79">
        <f>Financials!AH9/Financials!AH5</f>
        <v>1.457857137025402E-2</v>
      </c>
      <c r="AK27" s="79">
        <f>Financials!AI9/Financials!AI5</f>
        <v>1.4961773066601057E-2</v>
      </c>
      <c r="AL27" s="79">
        <f>Financials!AJ9/Financials!AJ5</f>
        <v>1.4774539200539906E-2</v>
      </c>
      <c r="AM27" s="79">
        <f>Financials!AK9/Financials!AK5</f>
        <v>1.4992775853970491E-2</v>
      </c>
      <c r="AN27" s="79">
        <f>Financials!AL9/Financials!AL5</f>
        <v>1.3499622726810946E-2</v>
      </c>
      <c r="AO27" s="79">
        <f>Financials!AM9/Financials!AM5</f>
        <v>1.3364894101217962E-2</v>
      </c>
      <c r="AP27" s="79" t="e">
        <f>Financials!AN9/Financials!AN5</f>
        <v>#DIV/0!</v>
      </c>
      <c r="AQ27" s="79">
        <f>Financials!AO9/Financials!AO5</f>
        <v>1.1998877955304941E-2</v>
      </c>
      <c r="AR27" s="79">
        <f>Financials!AP9/Financials!AP5</f>
        <v>1.1921445449206786E-2</v>
      </c>
      <c r="AS27" s="79">
        <f>Financials!AQ9/Financials!AQ5</f>
        <v>1.0639525939024298E-2</v>
      </c>
      <c r="AT27" s="79">
        <f>Financials!AR9/Financials!AR5</f>
        <v>1.0501314147177712E-2</v>
      </c>
      <c r="AU27" s="79">
        <f>Financials!AS9/Financials!AS5</f>
        <v>1.0282181517073736E-2</v>
      </c>
      <c r="AV27" s="79"/>
      <c r="AW27" s="79">
        <f>Financials!AU9/Financials!AU5</f>
        <v>0</v>
      </c>
      <c r="AX27" s="79">
        <f>Financials!AV9/Financials!AV5</f>
        <v>0</v>
      </c>
      <c r="AY27" s="79">
        <f>Financials!AW9/Financials!AW5</f>
        <v>0</v>
      </c>
      <c r="AZ27" s="79">
        <f>Financials!AX9/Financials!AX5</f>
        <v>0</v>
      </c>
      <c r="BA27" s="79">
        <f>Financials!AY9/Financials!AY5</f>
        <v>0</v>
      </c>
      <c r="BB27" s="79">
        <f>Financials!AZ9/Financials!AZ5</f>
        <v>0</v>
      </c>
      <c r="BC27" s="79">
        <f>Financials!BA9/Financials!BA5</f>
        <v>0</v>
      </c>
      <c r="BD27" s="79">
        <f>Financials!BB9/Financials!BB5</f>
        <v>0</v>
      </c>
      <c r="BE27" s="79">
        <f>Financials!BC9/Financials!BC5</f>
        <v>0</v>
      </c>
      <c r="BF27" s="79">
        <f>Financials!BD9/Financials!BD5</f>
        <v>0</v>
      </c>
      <c r="BG27" s="79">
        <f>Financials!BE9/Financials!BE5</f>
        <v>0</v>
      </c>
      <c r="BH27" s="79">
        <f>Financials!BF9/Financials!BF5</f>
        <v>0</v>
      </c>
      <c r="BI27" s="79">
        <f>Financials!BG9/Financials!BG5</f>
        <v>0</v>
      </c>
      <c r="BJ27" s="79">
        <f>Financials!BH9/Financials!BH5</f>
        <v>0</v>
      </c>
      <c r="BK27" s="79">
        <f>Financials!BI9/Financials!BI5</f>
        <v>0</v>
      </c>
      <c r="BL27" s="79">
        <f>Financials!BJ9/Financials!BJ5</f>
        <v>0</v>
      </c>
      <c r="BM27" s="79">
        <f>Financials!BK9/Financials!BK5</f>
        <v>0</v>
      </c>
      <c r="BN27" s="79">
        <f>Financials!BL9/Financials!BL5</f>
        <v>0</v>
      </c>
      <c r="BO27" s="79">
        <f>Financials!BM9/Financials!BM5</f>
        <v>0</v>
      </c>
      <c r="BP27" s="79">
        <f>Financials!BN9/Financials!BN5</f>
        <v>0</v>
      </c>
      <c r="BQ27" s="79">
        <f>Financials!BO9/Financials!BO5</f>
        <v>0</v>
      </c>
      <c r="BR27" s="79">
        <f>Financials!BP9/Financials!BP5</f>
        <v>0</v>
      </c>
      <c r="BS27" s="79">
        <f>Financials!BQ9/Financials!BQ5</f>
        <v>0</v>
      </c>
      <c r="BT27" s="79">
        <f>Financials!BR9/Financials!BR5</f>
        <v>0</v>
      </c>
      <c r="BU27" s="79">
        <f>Financials!BS9/Financials!BS5</f>
        <v>0</v>
      </c>
      <c r="BV27" s="79">
        <f>Financials!BT9/Financials!BT5</f>
        <v>0</v>
      </c>
      <c r="BW27" s="79">
        <f>Financials!BU9/Financials!BU5</f>
        <v>6.1166682224978078E-2</v>
      </c>
      <c r="BX27" s="79">
        <f>Financials!BV9/Financials!BV5</f>
        <v>5.8475538821828044E-2</v>
      </c>
      <c r="BY27" s="79">
        <f>Financials!BW9/Financials!BW5</f>
        <v>5.6245745366716789E-2</v>
      </c>
      <c r="BZ27" s="79">
        <f>Financials!BX9/Financials!BX5</f>
        <v>5.3104864780249235E-2</v>
      </c>
      <c r="CA27" s="79">
        <f>Financials!BY9/Financials!BY5</f>
        <v>5.0418793755306772E-2</v>
      </c>
      <c r="CB27" s="79">
        <f>Financials!BZ9/Financials!BZ5</f>
        <v>4.6027730838157692E-2</v>
      </c>
    </row>
    <row r="28" spans="2:80" s="4" customFormat="1">
      <c r="B28" s="11"/>
      <c r="C28" s="11"/>
      <c r="D28" s="68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3"/>
      <c r="AQ28" s="63"/>
      <c r="AR28" s="63"/>
      <c r="AS28" s="63"/>
      <c r="AT28" s="63"/>
      <c r="AU28" s="63"/>
      <c r="AV28" s="63"/>
      <c r="AW28" s="63"/>
      <c r="AX28" s="63"/>
      <c r="AY28" s="63"/>
      <c r="AZ28" s="63"/>
      <c r="BA28" s="63"/>
      <c r="BB28" s="63"/>
      <c r="BC28" s="63"/>
      <c r="BD28" s="63"/>
      <c r="BE28" s="63"/>
      <c r="BF28" s="63"/>
      <c r="BG28" s="63"/>
      <c r="BH28" s="63"/>
      <c r="BI28" s="63"/>
    </row>
    <row r="29" spans="2:80" s="4" customFormat="1">
      <c r="B29" s="9">
        <v>4</v>
      </c>
      <c r="C29" s="10" t="s">
        <v>64</v>
      </c>
      <c r="D29" s="59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</row>
    <row r="30" spans="2:80">
      <c r="B30" s="11">
        <v>4.0999999999999996</v>
      </c>
      <c r="C30" s="12" t="s">
        <v>65</v>
      </c>
      <c r="D30" s="64" t="s">
        <v>55</v>
      </c>
      <c r="E30" s="16" t="e">
        <f>Financials!C5/Financials!B5-1</f>
        <v>#VALUE!</v>
      </c>
      <c r="F30" s="16">
        <f>Financials!D5/Financials!C5-1</f>
        <v>3.6049778940889343E-2</v>
      </c>
      <c r="G30" s="16">
        <f>Financials!E5/Financials!D5-1</f>
        <v>9.2331022289195763E-2</v>
      </c>
      <c r="H30" s="16">
        <f>Financials!F5/Financials!E5-1</f>
        <v>-1.5421078715096348E-2</v>
      </c>
      <c r="I30" s="16">
        <f>Financials!G5/Financials!F5-1</f>
        <v>-4.2810163362967057E-2</v>
      </c>
      <c r="J30" s="16">
        <f>Financials!H5/Financials!G5-1</f>
        <v>-3.1396117539359669E-2</v>
      </c>
      <c r="K30" s="16">
        <f>Financials!I5/Financials!H5-1</f>
        <v>-6.0103251562249049E-4</v>
      </c>
      <c r="L30" s="16">
        <f>Financials!J5/Financials!I5-1</f>
        <v>-3.2141825164865967E-2</v>
      </c>
      <c r="M30" s="16">
        <f>Financials!K5/Financials!J5-1</f>
        <v>2.1834771294733102E-3</v>
      </c>
      <c r="N30" s="16">
        <f>Financials!L5/Financials!K5-1</f>
        <v>7.4928205871271913E-4</v>
      </c>
      <c r="O30" s="16">
        <f>Financials!M5/Financials!L5-1</f>
        <v>2.3597327317457006E-2</v>
      </c>
      <c r="P30" s="16">
        <f>Financials!N5/Financials!M5-1</f>
        <v>-5.7069411590775498E-3</v>
      </c>
      <c r="Q30" s="16">
        <f>Financials!O5/Financials!N5-1</f>
        <v>1.0700828679599983E-2</v>
      </c>
      <c r="R30" s="16">
        <f>Financials!P5/Financials!O5-1</f>
        <v>5.4070465229363318E-3</v>
      </c>
      <c r="S30" s="16">
        <f>Financials!Q5/Financials!P5-1</f>
        <v>1.6041591324635673E-2</v>
      </c>
      <c r="T30" s="16">
        <f>Financials!R5/Financials!Q5-1</f>
        <v>0.10304562110206961</v>
      </c>
      <c r="U30" s="16">
        <f>Financials!S5/Financials!R5-1</f>
        <v>0.31242960233121808</v>
      </c>
      <c r="V30" s="16">
        <f>Financials!T5/Financials!S5-1</f>
        <v>-5.4819589768080768E-2</v>
      </c>
      <c r="W30" s="16">
        <f>Financials!U5/Financials!T5-1</f>
        <v>2.0548669038102929E-2</v>
      </c>
      <c r="X30" s="16">
        <f>Financials!V5/Financials!U5-1</f>
        <v>3.9741971961639644E-2</v>
      </c>
      <c r="Y30" s="16">
        <f>Financials!W5/Financials!V5-1</f>
        <v>-4.4653186020532143E-2</v>
      </c>
      <c r="Z30" s="16">
        <f>Financials!X5/Financials!W5-1</f>
        <v>-1.540095865972102E-2</v>
      </c>
      <c r="AA30" s="16">
        <f>Financials!Y5/Financials!X5-1</f>
        <v>4.7581160123507882E-2</v>
      </c>
      <c r="AB30" s="16">
        <f>Financials!Z5/Financials!Y5-1</f>
        <v>-2.0943582001466399E-2</v>
      </c>
      <c r="AC30" s="16">
        <f>Financials!AA5/Financials!Z5-1</f>
        <v>4.5743860996786179E-2</v>
      </c>
      <c r="AD30" s="16">
        <f>Financials!AB5/Financials!AA5-1</f>
        <v>-3.7210133915089871E-3</v>
      </c>
      <c r="AE30" s="16">
        <f>Financials!AC5/Financials!AB5-1</f>
        <v>1.2995513253533764E-2</v>
      </c>
      <c r="AF30" s="16">
        <f>Financials!AD5/Financials!AC5-1</f>
        <v>8.2000288260637433E-3</v>
      </c>
      <c r="AG30" s="16">
        <f>Financials!AE5/Financials!AD5-1</f>
        <v>5.7551393270545148E-3</v>
      </c>
      <c r="AH30" s="16">
        <f>Financials!AF5/Financials!AE5-1</f>
        <v>1.9385814900181542E-2</v>
      </c>
      <c r="AI30" s="16">
        <f>Financials!AG5/Financials!AF5-1</f>
        <v>7.4294702925215006E-4</v>
      </c>
      <c r="AJ30" s="16">
        <f>Financials!AH5/Financials!AG5-1</f>
        <v>3.9936382761351474E-2</v>
      </c>
      <c r="AK30" s="16">
        <f>Financials!AI5/Financials!AH5-1</f>
        <v>-2.5612051101246314E-2</v>
      </c>
      <c r="AL30" s="16">
        <f>Financials!AJ5/Financials!AI5-1</f>
        <v>1.2672738115196758E-2</v>
      </c>
      <c r="AM30" s="16">
        <f>Financials!AK5/Financials!AJ5-1</f>
        <v>-1.4556120598093969E-2</v>
      </c>
      <c r="AN30" s="16">
        <f>Financials!AL5/Financials!AK5-1</f>
        <v>1.9322125642297072E-2</v>
      </c>
      <c r="AO30" s="16">
        <f>Financials!AM5/Financials!AL5-1</f>
        <v>1.0080785120527569E-2</v>
      </c>
      <c r="AP30" s="16">
        <f>Financials!AN5/Financials!AM5-1</f>
        <v>-1</v>
      </c>
      <c r="AQ30" s="16" t="e">
        <f>Financials!AO5/Financials!AN5-1</f>
        <v>#DIV/0!</v>
      </c>
      <c r="AR30" s="16">
        <f>Financials!AP5/Financials!AO5-1</f>
        <v>6.4952279845651439E-3</v>
      </c>
      <c r="AS30" s="16">
        <f>Financials!AQ5/Financials!AP5-1</f>
        <v>9.6926218318726942E-3</v>
      </c>
      <c r="AT30" s="16">
        <f>Financials!AR5/Financials!AQ5-1</f>
        <v>1.3161380557664026E-2</v>
      </c>
      <c r="AU30" s="16">
        <f>Financials!AS5/Financials!AR5-1</f>
        <v>2.1311881115899656E-2</v>
      </c>
      <c r="AV30" s="16"/>
      <c r="AW30" s="16">
        <f>Financials!AU5/Financials!AT5-1</f>
        <v>-0.69397124395414078</v>
      </c>
      <c r="AX30" s="16">
        <f>Financials!AV5/Financials!AU5-1</f>
        <v>2.1447072057032557E-3</v>
      </c>
      <c r="AY30" s="16">
        <f>Financials!AW5/Financials!AV5-1</f>
        <v>9.5143162751427646E-3</v>
      </c>
      <c r="AZ30" s="16">
        <f>Financials!AX5/Financials!AW5-1</f>
        <v>9.3638188927267496E-3</v>
      </c>
      <c r="BA30" s="16">
        <f>Financials!AY5/Financials!AX5-1</f>
        <v>1.1988303992590321E-2</v>
      </c>
      <c r="BB30" s="16">
        <f>Financials!AZ5/Financials!AY5-1</f>
        <v>1.2305934757634418E-2</v>
      </c>
      <c r="BC30" s="16">
        <f>Financials!BA5/Financials!AZ5-1</f>
        <v>2.5371341620647803E-2</v>
      </c>
      <c r="BD30" s="16">
        <f>Financials!BB5/Financials!BA5-1</f>
        <v>2.5878006023596134E-2</v>
      </c>
      <c r="BE30" s="16">
        <f>Financials!BC5/Financials!BB5-1</f>
        <v>1.0652424590781306E-2</v>
      </c>
      <c r="BF30" s="16">
        <f>Financials!BD5/Financials!BC5-1</f>
        <v>1.2196014124777221E-2</v>
      </c>
      <c r="BG30" s="16">
        <f>Financials!BE5/Financials!BD5-1</f>
        <v>-9.8505974648299688E-4</v>
      </c>
      <c r="BH30" s="16">
        <f>Financials!BF5/Financials!BE5-1</f>
        <v>-2.6737397026865839E-3</v>
      </c>
      <c r="BI30" s="16">
        <f>Financials!BG5/Financials!BF5-1</f>
        <v>-9.7733708597446123E-3</v>
      </c>
      <c r="BJ30" s="16">
        <f>Financials!BH5/Financials!BG5-1</f>
        <v>1.8155766588999089E-2</v>
      </c>
      <c r="BK30" s="16">
        <f>Financials!BI5/Financials!BH5-1</f>
        <v>6.9505106848071208E-3</v>
      </c>
      <c r="BL30" s="16">
        <f>Financials!BJ5/Financials!BI5-1</f>
        <v>2.0735811985952868E-2</v>
      </c>
      <c r="BM30" s="16">
        <f>Financials!BK5/Financials!BJ5-1</f>
        <v>-2.8586861643130845E-2</v>
      </c>
      <c r="BN30" s="16">
        <f>Financials!BL5/Financials!BK5-1</f>
        <v>4.6115286042753834E-3</v>
      </c>
      <c r="BO30" s="16">
        <f>Financials!BM5/Financials!BL5-1</f>
        <v>5.712835036547248E-2</v>
      </c>
      <c r="BP30" s="16">
        <f>Financials!BN5/Financials!BM5-1</f>
        <v>2.5142296133763509E-2</v>
      </c>
      <c r="BQ30" s="16">
        <f>Financials!BO5/Financials!BN5-1</f>
        <v>2.493791127429823E-2</v>
      </c>
      <c r="BR30" s="16">
        <f>Financials!BP5/Financials!BO5-1</f>
        <v>1.3934214150168822E-2</v>
      </c>
      <c r="BS30" s="16">
        <f>Financials!BQ5/Financials!BP5-1</f>
        <v>2.4177372843147804E-2</v>
      </c>
      <c r="BT30" s="16">
        <f>Financials!BR5/Financials!BQ5-1</f>
        <v>2.5286964846322535E-2</v>
      </c>
      <c r="BU30" s="16">
        <f>Financials!BS5/Financials!BR5-1</f>
        <v>5.3324193421873334E-2</v>
      </c>
      <c r="BV30" s="16">
        <f>Financials!BT5/Financials!BS5-1</f>
        <v>-1.7174175596113117E-2</v>
      </c>
      <c r="BW30" s="16">
        <f>Financials!BU5/Financials!BT5-1</f>
        <v>5.6050182029597995E-2</v>
      </c>
      <c r="BX30" s="16">
        <f>Financials!BV5/Financials!BU5-1</f>
        <v>2.4374577274899334E-3</v>
      </c>
      <c r="BY30" s="16">
        <f>Financials!BW5/Financials!BV5-1</f>
        <v>-5.5581317950805786E-3</v>
      </c>
      <c r="BZ30" s="16">
        <f>Financials!BX5/Financials!BW5-1</f>
        <v>1.1001926295174824E-2</v>
      </c>
      <c r="CA30" s="16">
        <f>Financials!BY5/Financials!BX5-1</f>
        <v>3.1192327307982826E-3</v>
      </c>
      <c r="CB30" s="16">
        <f>Financials!BZ5/Financials!BY5-1</f>
        <v>4.0630359294920648E-2</v>
      </c>
    </row>
    <row r="31" spans="2:80">
      <c r="B31" s="11">
        <v>4.2</v>
      </c>
      <c r="C31" s="12" t="s">
        <v>66</v>
      </c>
      <c r="D31" s="64" t="s">
        <v>55</v>
      </c>
      <c r="E31" s="16" t="e">
        <f>Financials!C6/Financials!B6-1</f>
        <v>#VALUE!</v>
      </c>
      <c r="F31" s="16">
        <f>Financials!D6/Financials!C6-1</f>
        <v>0.10059664340651953</v>
      </c>
      <c r="G31" s="16">
        <f>Financials!E6/Financials!D6-1</f>
        <v>0.11584946464472501</v>
      </c>
      <c r="H31" s="16">
        <f>Financials!F6/Financials!E6-1</f>
        <v>-3.0498510475804652E-2</v>
      </c>
      <c r="I31" s="16">
        <f>Financials!G6/Financials!F6-1</f>
        <v>-1.6982826971892573E-2</v>
      </c>
      <c r="J31" s="16">
        <f>Financials!H6/Financials!G6-1</f>
        <v>-3.7742693035979213E-2</v>
      </c>
      <c r="K31" s="16">
        <f>Financials!I6/Financials!H6-1</f>
        <v>-1.2440756773876016E-2</v>
      </c>
      <c r="L31" s="16">
        <f>Financials!J6/Financials!I6-1</f>
        <v>-5.4997135826175159E-2</v>
      </c>
      <c r="M31" s="16">
        <f>Financials!K6/Financials!J6-1</f>
        <v>-9.231980026530251E-3</v>
      </c>
      <c r="N31" s="16">
        <f>Financials!L6/Financials!K6-1</f>
        <v>-8.1570971709647999E-3</v>
      </c>
      <c r="O31" s="16">
        <f>Financials!M6/Financials!L6-1</f>
        <v>2.3220884634712835E-2</v>
      </c>
      <c r="P31" s="16">
        <f>Financials!N6/Financials!M6-1</f>
        <v>-2.0305150039156561E-2</v>
      </c>
      <c r="Q31" s="16">
        <f>Financials!O6/Financials!N6-1</f>
        <v>-1.8952847724518218E-4</v>
      </c>
      <c r="R31" s="16">
        <f>Financials!P6/Financials!O6-1</f>
        <v>-5.9243857282204049E-3</v>
      </c>
      <c r="S31" s="16">
        <f>Financials!Q6/Financials!P6-1</f>
        <v>2.4596105117513645E-5</v>
      </c>
      <c r="T31" s="16">
        <f>Financials!R6/Financials!Q6-1</f>
        <v>0.11607125857307388</v>
      </c>
      <c r="U31" s="16">
        <f>Financials!S6/Financials!R6-1</f>
        <v>0.27304958257164058</v>
      </c>
      <c r="V31" s="16">
        <f>Financials!T6/Financials!S6-1</f>
        <v>1.2094683441410403E-4</v>
      </c>
      <c r="W31" s="16">
        <f>Financials!U6/Financials!T6-1</f>
        <v>1.1723600258567446E-2</v>
      </c>
      <c r="X31" s="16">
        <f>Financials!V6/Financials!U6-1</f>
        <v>3.6051596202068659E-2</v>
      </c>
      <c r="Y31" s="16">
        <f>Financials!W6/Financials!V6-1</f>
        <v>3.7391822369498895E-2</v>
      </c>
      <c r="Z31" s="16">
        <f>Financials!X6/Financials!W6-1</f>
        <v>-1.7240610554036806E-2</v>
      </c>
      <c r="AA31" s="16">
        <f>Financials!Y6/Financials!X6-1</f>
        <v>4.9925613111837963E-2</v>
      </c>
      <c r="AB31" s="16">
        <f>Financials!Z6/Financials!Y6-1</f>
        <v>-4.1049674473455866E-2</v>
      </c>
      <c r="AC31" s="16">
        <f>Financials!AA6/Financials!Z6-1</f>
        <v>5.8069625028435379E-2</v>
      </c>
      <c r="AD31" s="16">
        <f>Financials!AB6/Financials!AA6-1</f>
        <v>-2.041152050465822E-2</v>
      </c>
      <c r="AE31" s="16">
        <f>Financials!AC6/Financials!AB6-1</f>
        <v>1.4009347499223779E-2</v>
      </c>
      <c r="AF31" s="16">
        <f>Financials!AD6/Financials!AC6-1</f>
        <v>-6.1995338773193076E-3</v>
      </c>
      <c r="AG31" s="16">
        <f>Financials!AE6/Financials!AD6-1</f>
        <v>-6.8671564879423386E-3</v>
      </c>
      <c r="AH31" s="16">
        <f>Financials!AF6/Financials!AE6-1</f>
        <v>6.9784202031422105E-3</v>
      </c>
      <c r="AI31" s="16">
        <f>Financials!AG6/Financials!AF6-1</f>
        <v>-3.36694015390826E-4</v>
      </c>
      <c r="AJ31" s="16">
        <f>Financials!AH6/Financials!AG6-1</f>
        <v>2.3806403757001604E-2</v>
      </c>
      <c r="AK31" s="16">
        <f>Financials!AI6/Financials!AH6-1</f>
        <v>7.8541387926826189E-2</v>
      </c>
      <c r="AL31" s="16">
        <f>Financials!AJ6/Financials!AI6-1</f>
        <v>1.4576198596758516E-2</v>
      </c>
      <c r="AM31" s="16">
        <f>Financials!AK6/Financials!AJ6-1</f>
        <v>-3.7730328349175224E-2</v>
      </c>
      <c r="AN31" s="16">
        <f>Financials!AL6/Financials!AK6-1</f>
        <v>1.323793578096466E-2</v>
      </c>
      <c r="AO31" s="16">
        <f>Financials!AM6/Financials!AL6-1</f>
        <v>-3.4444753658657845E-5</v>
      </c>
      <c r="AP31" s="16">
        <f>Financials!AN6/Financials!AM6-1</f>
        <v>-1</v>
      </c>
      <c r="AQ31" s="16" t="e">
        <f>Financials!AO6/Financials!AN6-1</f>
        <v>#DIV/0!</v>
      </c>
      <c r="AR31" s="16">
        <f>Financials!AP6/Financials!AO6-1</f>
        <v>9.9432846725644453E-4</v>
      </c>
      <c r="AS31" s="16">
        <f>Financials!AQ6/Financials!AP6-1</f>
        <v>1.1544000871601678E-3</v>
      </c>
      <c r="AT31" s="16">
        <f>Financials!AR6/Financials!AQ6-1</f>
        <v>5.01423157032721E-3</v>
      </c>
      <c r="AU31" s="16">
        <f>Financials!AS6/Financials!AR6-1</f>
        <v>1.2195621370320264E-2</v>
      </c>
      <c r="AV31" s="16"/>
      <c r="AW31" s="16">
        <f>Financials!AU6/Financials!AT6-1</f>
        <v>-0.7498226460698485</v>
      </c>
      <c r="AX31" s="16">
        <f>Financials!AV6/Financials!AU6-1</f>
        <v>1.1268855011059342E-2</v>
      </c>
      <c r="AY31" s="16">
        <f>Financials!AW6/Financials!AV6-1</f>
        <v>-3.2248379400304783E-3</v>
      </c>
      <c r="AZ31" s="16">
        <f>Financials!AX6/Financials!AW6-1</f>
        <v>3.0681385543457562E-2</v>
      </c>
      <c r="BA31" s="16">
        <f>Financials!AY6/Financials!AX6-1</f>
        <v>1.1592561234219367E-3</v>
      </c>
      <c r="BB31" s="16">
        <f>Financials!AZ6/Financials!AY6-1</f>
        <v>9.3390730863747162E-3</v>
      </c>
      <c r="BC31" s="16">
        <f>Financials!BA6/Financials!AZ6-1</f>
        <v>2.280601646777991E-2</v>
      </c>
      <c r="BD31" s="16">
        <f>Financials!BB6/Financials!BA6-1</f>
        <v>3.0519361572523218E-2</v>
      </c>
      <c r="BE31" s="16">
        <f>Financials!BC6/Financials!BB6-1</f>
        <v>2.4099159196091735E-2</v>
      </c>
      <c r="BF31" s="16">
        <f>Financials!BD6/Financials!BC6-1</f>
        <v>2.9087391261126694E-3</v>
      </c>
      <c r="BG31" s="16">
        <f>Financials!BE6/Financials!BD6-1</f>
        <v>-9.6343622535393081E-3</v>
      </c>
      <c r="BH31" s="16">
        <f>Financials!BF6/Financials!BE6-1</f>
        <v>5.2963198458759742E-3</v>
      </c>
      <c r="BI31" s="16">
        <f>Financials!BG6/Financials!BF6-1</f>
        <v>-1.0467203770403444E-9</v>
      </c>
      <c r="BJ31" s="16">
        <f>Financials!BH6/Financials!BG6-1</f>
        <v>-9.7550326202894277E-3</v>
      </c>
      <c r="BK31" s="16">
        <f>Financials!BI6/Financials!BH6-1</f>
        <v>1.1109225880965079E-2</v>
      </c>
      <c r="BL31" s="16">
        <f>Financials!BJ6/Financials!BI6-1</f>
        <v>-2.1044117779301152E-2</v>
      </c>
      <c r="BM31" s="16">
        <f>Financials!BK6/Financials!BJ6-1</f>
        <v>3.1879241867347696E-2</v>
      </c>
      <c r="BN31" s="16">
        <f>Financials!BL6/Financials!BK6-1</f>
        <v>9.4914648141655178E-3</v>
      </c>
      <c r="BO31" s="16">
        <f>Financials!BM6/Financials!BL6-1</f>
        <v>2.3547535949404841E-2</v>
      </c>
      <c r="BP31" s="16">
        <f>Financials!BN6/Financials!BM6-1</f>
        <v>1.9216563572061807E-2</v>
      </c>
      <c r="BQ31" s="16">
        <f>Financials!BO6/Financials!BN6-1</f>
        <v>2.0663798195296401E-2</v>
      </c>
      <c r="BR31" s="16">
        <f>Financials!BP6/Financials!BO6-1</f>
        <v>-1.7139218109986087E-3</v>
      </c>
      <c r="BS31" s="16">
        <f>Financials!BQ6/Financials!BP6-1</f>
        <v>3.304118341770379E-2</v>
      </c>
      <c r="BT31" s="16">
        <f>Financials!BR6/Financials!BQ6-1</f>
        <v>2.7031806449252516E-2</v>
      </c>
      <c r="BU31" s="16">
        <f>Financials!BS6/Financials!BR6-1</f>
        <v>4.4724316052723978E-2</v>
      </c>
      <c r="BV31" s="16">
        <f>Financials!BT6/Financials!BS6-1</f>
        <v>7.2535500330150882E-5</v>
      </c>
      <c r="BW31" s="16">
        <f>Financials!BU6/Financials!BT6-1</f>
        <v>2.6997364462745033E-2</v>
      </c>
      <c r="BX31" s="16">
        <f>Financials!BV6/Financials!BU6-1</f>
        <v>-1.1186314180665624E-3</v>
      </c>
      <c r="BY31" s="16">
        <f>Financials!BW6/Financials!BV6-1</f>
        <v>-1.2883096885226708E-2</v>
      </c>
      <c r="BZ31" s="16">
        <f>Financials!BX6/Financials!BW6-1</f>
        <v>1.3531185496963083E-2</v>
      </c>
      <c r="CA31" s="16">
        <f>Financials!BY6/Financials!BX6-1</f>
        <v>4.5329415538104545E-2</v>
      </c>
      <c r="CB31" s="16">
        <f>Financials!BZ6/Financials!BY6-1</f>
        <v>7.501635100239934E-3</v>
      </c>
    </row>
    <row r="32" spans="2:80">
      <c r="B32" s="11" t="s">
        <v>67</v>
      </c>
      <c r="C32" s="17" t="s">
        <v>68</v>
      </c>
      <c r="D32" s="64" t="s">
        <v>55</v>
      </c>
      <c r="E32" s="16" t="e">
        <f>Financials!C8/Financials!B8-1</f>
        <v>#VALUE!</v>
      </c>
      <c r="F32" s="16">
        <f>Financials!D8/Financials!C8-1</f>
        <v>0.62530497128999207</v>
      </c>
      <c r="G32" s="16">
        <f>Financials!E8/Financials!D8-1</f>
        <v>-0.95030340768527566</v>
      </c>
      <c r="H32" s="16">
        <f>Financials!F8/Financials!E8-1</f>
        <v>0.22335301816738395</v>
      </c>
      <c r="I32" s="16">
        <f>Financials!G8/Financials!F8-1</f>
        <v>1.8422996997498942E-2</v>
      </c>
      <c r="J32" s="16">
        <f>Financials!H8/Financials!G8-1</f>
        <v>0.40685358376963654</v>
      </c>
      <c r="K32" s="16">
        <f>Financials!I8/Financials!H8-1</f>
        <v>-2.9768490919968027E-4</v>
      </c>
      <c r="L32" s="16">
        <f>Financials!J8/Financials!I8-1</f>
        <v>0.1904039380199265</v>
      </c>
      <c r="M32" s="16">
        <f>Financials!K8/Financials!J8-1</f>
        <v>7.5893908610273897E-3</v>
      </c>
      <c r="N32" s="16">
        <f>Financials!L8/Financials!K8-1</f>
        <v>-3.2752920480650261E-2</v>
      </c>
      <c r="O32" s="16">
        <f>Financials!M8/Financials!L8-1</f>
        <v>2.106151372185372E-2</v>
      </c>
      <c r="P32" s="16">
        <f>Financials!N8/Financials!M8-1</f>
        <v>-1.4233570507127258E-2</v>
      </c>
      <c r="Q32" s="16">
        <f>Financials!O8/Financials!N8-1</f>
        <v>-0.14319018617299284</v>
      </c>
      <c r="R32" s="16">
        <f>Financials!P8/Financials!O8-1</f>
        <v>9.0601363791986689E-3</v>
      </c>
      <c r="S32" s="16">
        <f>Financials!Q8/Financials!P8-1</f>
        <v>9.2494520495471715</v>
      </c>
      <c r="T32" s="16">
        <f>Financials!R8/Financials!Q8-1</f>
        <v>-2.98307931470978E-2</v>
      </c>
      <c r="U32" s="16">
        <f>Financials!S8/Financials!R8-1</f>
        <v>-0.8156155415335069</v>
      </c>
      <c r="V32" s="16">
        <f>Financials!T8/Financials!S8-1</f>
        <v>4.1167284294506326</v>
      </c>
      <c r="W32" s="16">
        <f>Financials!U8/Financials!T8-1</f>
        <v>-0.78758900246077479</v>
      </c>
      <c r="X32" s="16">
        <f>Financials!V8/Financials!U8-1</f>
        <v>8.6955433587476261E-2</v>
      </c>
      <c r="Y32" s="16">
        <f>Financials!W8/Financials!V8-1</f>
        <v>-0.12808076146745784</v>
      </c>
      <c r="Z32" s="16">
        <f>Financials!X8/Financials!W8-1</f>
        <v>5.9324764579853362E-2</v>
      </c>
      <c r="AA32" s="16">
        <f>Financials!Y8/Financials!X8-1</f>
        <v>1.7970201081910275E-2</v>
      </c>
      <c r="AB32" s="16">
        <f>Financials!Z8/Financials!Y8-1</f>
        <v>-0.10783326826616946</v>
      </c>
      <c r="AC32" s="16">
        <f>Financials!AA8/Financials!Z8-1</f>
        <v>0.10155893127433346</v>
      </c>
      <c r="AD32" s="16">
        <f>Financials!AB8/Financials!AA8-1</f>
        <v>-0.13281455847549928</v>
      </c>
      <c r="AE32" s="16">
        <f>Financials!AC8/Financials!AB8-1</f>
        <v>-0.10489217829787278</v>
      </c>
      <c r="AF32" s="16">
        <f>Financials!AD8/Financials!AC8-1</f>
        <v>0.11056322787645589</v>
      </c>
      <c r="AG32" s="16">
        <f>Financials!AE8/Financials!AD8-1</f>
        <v>-0.12259833391728681</v>
      </c>
      <c r="AH32" s="16">
        <f>Financials!AF8/Financials!AE8-1</f>
        <v>0.19503468519216982</v>
      </c>
      <c r="AI32" s="16">
        <f>Financials!AG8/Financials!AF8-1</f>
        <v>4.1449585004548419</v>
      </c>
      <c r="AJ32" s="16">
        <f>Financials!AH8/Financials!AG8-1</f>
        <v>-0.80806490726375357</v>
      </c>
      <c r="AK32" s="16">
        <f>Financials!AI8/Financials!AH8-1</f>
        <v>0.20736007229801467</v>
      </c>
      <c r="AL32" s="16">
        <f>Financials!AJ8/Financials!AI8-1</f>
        <v>-9.3658361997170925E-3</v>
      </c>
      <c r="AM32" s="16">
        <f>Financials!AK8/Financials!AJ8-1</f>
        <v>-0.2656900453498352</v>
      </c>
      <c r="AN32" s="16">
        <f>Financials!AL8/Financials!AK8-1</f>
        <v>6.0453749275493962E-2</v>
      </c>
      <c r="AO32" s="16">
        <f>Financials!AM8/Financials!AL8-1</f>
        <v>-2.6779846011062758E-2</v>
      </c>
      <c r="AP32" s="16">
        <f>Financials!AN8/Financials!AM8-1</f>
        <v>-1</v>
      </c>
      <c r="AQ32" s="16" t="e">
        <f>Financials!AO8/Financials!AN8-1</f>
        <v>#DIV/0!</v>
      </c>
      <c r="AR32" s="16">
        <f>Financials!AP8/Financials!AO8-1</f>
        <v>0.15014083013868418</v>
      </c>
      <c r="AS32" s="16">
        <f>Financials!AQ8/Financials!AP8-1</f>
        <v>-4.131231567444682E-2</v>
      </c>
      <c r="AT32" s="16">
        <f>Financials!AR8/Financials!AQ8-1</f>
        <v>-6.7602914699894212E-2</v>
      </c>
      <c r="AU32" s="16">
        <f>Financials!AS8/Financials!AR8-1</f>
        <v>8.0968023958210011E-2</v>
      </c>
      <c r="AV32" s="16"/>
      <c r="AW32" s="16">
        <f>Financials!AU8/Financials!AT8-1</f>
        <v>-0.7883659108936012</v>
      </c>
      <c r="AX32" s="16">
        <f>Financials!AV8/Financials!AU8-1</f>
        <v>5.7060513680775582E-3</v>
      </c>
      <c r="AY32" s="16">
        <f>Financials!AW8/Financials!AV8-1</f>
        <v>-0.11390145103882998</v>
      </c>
      <c r="AZ32" s="16">
        <f>Financials!AX8/Financials!AW8-1</f>
        <v>0.31900698359845081</v>
      </c>
      <c r="BA32" s="16">
        <f>Financials!AY8/Financials!AX8-1</f>
        <v>-6.3758311999754902E-2</v>
      </c>
      <c r="BB32" s="16">
        <f>Financials!AZ8/Financials!AY8-1</f>
        <v>3.5464905907255373E-2</v>
      </c>
      <c r="BC32" s="16">
        <f>Financials!BA8/Financials!AZ8-1</f>
        <v>0.15383019905968731</v>
      </c>
      <c r="BD32" s="16">
        <f>Financials!BB8/Financials!BA8-1</f>
        <v>0.20999128722750382</v>
      </c>
      <c r="BE32" s="16">
        <f>Financials!BC8/Financials!BB8-1</f>
        <v>-6.2296089562319357E-2</v>
      </c>
      <c r="BF32" s="16">
        <f>Financials!BD8/Financials!BC8-1</f>
        <v>-5.1364253896852174E-2</v>
      </c>
      <c r="BG32" s="16">
        <f>Financials!BE8/Financials!BD8-1</f>
        <v>-7.5635126083077875E-3</v>
      </c>
      <c r="BH32" s="16">
        <f>Financials!BF8/Financials!BE8-1</f>
        <v>-3.5499336590137598E-2</v>
      </c>
      <c r="BI32" s="16">
        <f>Financials!BG8/Financials!BF8-1</f>
        <v>2.7015478076819477E-8</v>
      </c>
      <c r="BJ32" s="16">
        <f>Financials!BH8/Financials!BG8-1</f>
        <v>-6.3351510656377785E-2</v>
      </c>
      <c r="BK32" s="16">
        <f>Financials!BI8/Financials!BH8-1</f>
        <v>2.1087973789174708E-2</v>
      </c>
      <c r="BL32" s="16">
        <f>Financials!BJ8/Financials!BI8-1</f>
        <v>1.4248264753581985E-2</v>
      </c>
      <c r="BM32" s="16">
        <f>Financials!BK8/Financials!BJ8-1</f>
        <v>0.19521967491201875</v>
      </c>
      <c r="BN32" s="16">
        <f>Financials!BL8/Financials!BK8-1</f>
        <v>-7.773992928658513E-2</v>
      </c>
      <c r="BO32" s="16">
        <f>Financials!BM8/Financials!BL8-1</f>
        <v>-4.7109800215355824E-3</v>
      </c>
      <c r="BP32" s="16">
        <f>Financials!BN8/Financials!BM8-1</f>
        <v>0.11384557789993432</v>
      </c>
      <c r="BQ32" s="16">
        <f>Financials!BO8/Financials!BN8-1</f>
        <v>8.91333274514583E-3</v>
      </c>
      <c r="BR32" s="16">
        <f>Financials!BP8/Financials!BO8-1</f>
        <v>-8.7361746883769187E-2</v>
      </c>
      <c r="BS32" s="16">
        <f>Financials!BQ8/Financials!BP8-1</f>
        <v>0.13016399011404878</v>
      </c>
      <c r="BT32" s="16">
        <f>Financials!BR8/Financials!BQ8-1</f>
        <v>8.8137423531881254E-2</v>
      </c>
      <c r="BU32" s="16">
        <f>Financials!BS8/Financials!BR8-1</f>
        <v>0.11188732549247482</v>
      </c>
      <c r="BV32" s="16">
        <f>Financials!BT8/Financials!BS8-1</f>
        <v>5.4870684653263169E-4</v>
      </c>
      <c r="BW32" s="16">
        <f>Financials!BU8/Financials!BT8-1</f>
        <v>-0.1725833208713875</v>
      </c>
      <c r="BX32" s="16">
        <f>Financials!BV8/Financials!BU8-1</f>
        <v>-3.1288564294343457E-2</v>
      </c>
      <c r="BY32" s="16">
        <f>Financials!BW8/Financials!BV8-1</f>
        <v>-0.14025348067318488</v>
      </c>
      <c r="BZ32" s="16">
        <f>Financials!BX8/Financials!BW8-1</f>
        <v>-4.6859980485038921E-2</v>
      </c>
      <c r="CA32" s="16">
        <f>Financials!BY8/Financials!BX8-1</f>
        <v>0.41167318575596767</v>
      </c>
      <c r="CB32" s="16">
        <f>Financials!BZ8/Financials!BY8-1</f>
        <v>-7.733078524978243E-2</v>
      </c>
    </row>
    <row r="33" spans="2:80">
      <c r="B33" s="11" t="s">
        <v>69</v>
      </c>
      <c r="C33" s="17" t="s">
        <v>70</v>
      </c>
      <c r="D33" s="64" t="s">
        <v>55</v>
      </c>
      <c r="E33" s="16" t="e">
        <f>Financials!C7/Financials!B7-1</f>
        <v>#VALUE!</v>
      </c>
      <c r="F33" s="16">
        <f>Financials!D7/Financials!C7-1</f>
        <v>-1.994588795053065E-2</v>
      </c>
      <c r="G33" s="16">
        <f>Financials!E7/Financials!D7-1</f>
        <v>5.4323142937409141E-3</v>
      </c>
      <c r="H33" s="16">
        <f>Financials!F7/Financials!E7-1</f>
        <v>9.7519448575187351E-3</v>
      </c>
      <c r="I33" s="16">
        <f>Financials!G7/Financials!F7-1</f>
        <v>-5.7635785534315698E-3</v>
      </c>
      <c r="J33" s="16">
        <f>Financials!H7/Financials!G7-1</f>
        <v>-2.1391435609310783E-2</v>
      </c>
      <c r="K33" s="16">
        <f>Financials!I7/Financials!H7-1</f>
        <v>-2.9814883922099966E-2</v>
      </c>
      <c r="L33" s="16">
        <f>Financials!J7/Financials!I7-1</f>
        <v>-2.0529992681439957E-2</v>
      </c>
      <c r="M33" s="16">
        <f>Financials!K7/Financials!J7-1</f>
        <v>-9.5382993098619417E-3</v>
      </c>
      <c r="N33" s="16">
        <f>Financials!L7/Financials!K7-1</f>
        <v>1.3791486873825809E-2</v>
      </c>
      <c r="O33" s="16">
        <f>Financials!M7/Financials!L7-1</f>
        <v>1.1659186752770667E-2</v>
      </c>
      <c r="P33" s="16">
        <f>Financials!N7/Financials!M7-1</f>
        <v>1.1429631301716148E-2</v>
      </c>
      <c r="Q33" s="16">
        <f>Financials!O7/Financials!N7-1</f>
        <v>1.6012079321642725E-2</v>
      </c>
      <c r="R33" s="16">
        <f>Financials!P7/Financials!O7-1</f>
        <v>-2.1449993354782149E-2</v>
      </c>
      <c r="S33" s="16">
        <f>Financials!Q7/Financials!P7-1</f>
        <v>-2.5691486573385824E-2</v>
      </c>
      <c r="T33" s="16">
        <f>Financials!R7/Financials!Q7-1</f>
        <v>0.16920629771214291</v>
      </c>
      <c r="U33" s="16">
        <f>Financials!S7/Financials!R7-1</f>
        <v>0.40488581222301456</v>
      </c>
      <c r="V33" s="16">
        <f>Financials!T7/Financials!S7-1</f>
        <v>-1.1050258285877579E-2</v>
      </c>
      <c r="W33" s="16">
        <f>Financials!U7/Financials!T7-1</f>
        <v>2.03296961740842E-2</v>
      </c>
      <c r="X33" s="16">
        <f>Financials!V7/Financials!U7-1</f>
        <v>1.991925712811593E-2</v>
      </c>
      <c r="Y33" s="16">
        <f>Financials!W7/Financials!V7-1</f>
        <v>2.4696877497986769E-2</v>
      </c>
      <c r="Z33" s="16">
        <f>Financials!X7/Financials!W7-1</f>
        <v>1.1995713715888146E-2</v>
      </c>
      <c r="AA33" s="16">
        <f>Financials!Y7/Financials!X7-1</f>
        <v>6.246690438230118E-3</v>
      </c>
      <c r="AB33" s="16">
        <f>Financials!Z7/Financials!Y7-1</f>
        <v>1.739862006090398E-2</v>
      </c>
      <c r="AC33" s="16">
        <f>Financials!AA7/Financials!Z7-1</f>
        <v>1.1078125311529075E-2</v>
      </c>
      <c r="AD33" s="16">
        <f>Financials!AB7/Financials!AA7-1</f>
        <v>1.2652960784504952E-2</v>
      </c>
      <c r="AE33" s="16">
        <f>Financials!AC7/Financials!AB7-1</f>
        <v>1.0340391923253645E-2</v>
      </c>
      <c r="AF33" s="16">
        <f>Financials!AD7/Financials!AC7-1</f>
        <v>-6.3318574716142439E-4</v>
      </c>
      <c r="AG33" s="16">
        <f>Financials!AE7/Financials!AD7-1</f>
        <v>5.243028432471819E-3</v>
      </c>
      <c r="AH33" s="16">
        <f>Financials!AF7/Financials!AE7-1</f>
        <v>9.1086156261577234E-3</v>
      </c>
      <c r="AI33" s="16">
        <f>Financials!AG7/Financials!AF7-1</f>
        <v>-9.3202748038863081E-3</v>
      </c>
      <c r="AJ33" s="16">
        <f>Financials!AH7/Financials!AG7-1</f>
        <v>1.8162835042695891E-2</v>
      </c>
      <c r="AK33" s="16">
        <f>Financials!AI7/Financials!AH7-1</f>
        <v>2.3539212011383093E-2</v>
      </c>
      <c r="AL33" s="16">
        <f>Financials!AJ7/Financials!AI7-1</f>
        <v>1.1025996172344232E-2</v>
      </c>
      <c r="AM33" s="16">
        <f>Financials!AK7/Financials!AJ7-1</f>
        <v>1.9860691164261368E-2</v>
      </c>
      <c r="AN33" s="16">
        <f>Financials!AL7/Financials!AK7-1</f>
        <v>-1.6645514556788976E-3</v>
      </c>
      <c r="AO33" s="16">
        <f>Financials!AM7/Financials!AL7-1</f>
        <v>1.2700059342112491E-2</v>
      </c>
      <c r="AP33" s="16">
        <f>Financials!AN7/Financials!AM7-1</f>
        <v>-1</v>
      </c>
      <c r="AQ33" s="16" t="e">
        <f>Financials!AO7/Financials!AN7-1</f>
        <v>#DIV/0!</v>
      </c>
      <c r="AR33" s="16">
        <f>Financials!AP7/Financials!AO7-1</f>
        <v>1.1385102021379767E-2</v>
      </c>
      <c r="AS33" s="16">
        <f>Financials!AQ7/Financials!AP7-1</f>
        <v>1.0053299093111479E-2</v>
      </c>
      <c r="AT33" s="16">
        <f>Financials!AR7/Financials!AQ7-1</f>
        <v>7.1908816465242609E-3</v>
      </c>
      <c r="AU33" s="16">
        <f>Financials!AS7/Financials!AR7-1</f>
        <v>1.5944235134568219E-2</v>
      </c>
      <c r="AV33" s="16"/>
      <c r="AW33" s="16">
        <f>Financials!AU7/Financials!AT7-1</f>
        <v>-0.7452905989913281</v>
      </c>
      <c r="AX33" s="16">
        <f>Financials!AV7/Financials!AU7-1</f>
        <v>1.1812330914040103E-2</v>
      </c>
      <c r="AY33" s="16">
        <f>Financials!AW7/Financials!AV7-1</f>
        <v>7.5228121410770843E-3</v>
      </c>
      <c r="AZ33" s="16">
        <f>Financials!AX7/Financials!AW7-1</f>
        <v>6.0568529003157678E-3</v>
      </c>
      <c r="BA33" s="16">
        <f>Financials!AY7/Financials!AX7-1</f>
        <v>8.4282049051955799E-3</v>
      </c>
      <c r="BB33" s="16">
        <f>Financials!AZ7/Financials!AY7-1</f>
        <v>6.6231185183123209E-3</v>
      </c>
      <c r="BC33" s="16">
        <f>Financials!BA7/Financials!AZ7-1</f>
        <v>8.7949142859213847E-3</v>
      </c>
      <c r="BD33" s="16">
        <f>Financials!BB7/Financials!BA7-1</f>
        <v>8.5682568642215795E-3</v>
      </c>
      <c r="BE33" s="16">
        <f>Financials!BC7/Financials!BB7-1</f>
        <v>3.6776456226273568E-2</v>
      </c>
      <c r="BF33" s="16">
        <f>Financials!BD7/Financials!BC7-1</f>
        <v>1.0111536205509308E-2</v>
      </c>
      <c r="BG33" s="16">
        <f>Financials!BE7/Financials!BD7-1</f>
        <v>-9.8924670823131722E-3</v>
      </c>
      <c r="BH33" s="16">
        <f>Financials!BF7/Financials!BE7-1</f>
        <v>1.0392935051698249E-2</v>
      </c>
      <c r="BI33" s="16">
        <f>Financials!BG7/Financials!BF7-1</f>
        <v>-4.3933052751299329E-9</v>
      </c>
      <c r="BJ33" s="16">
        <f>Financials!BH7/Financials!BG7-1</f>
        <v>-3.363332139891928E-3</v>
      </c>
      <c r="BK33" s="16">
        <f>Financials!BI7/Financials!BH7-1</f>
        <v>9.9908288894290376E-3</v>
      </c>
      <c r="BL33" s="16">
        <f>Financials!BJ7/Financials!BI7-1</f>
        <v>-2.5043073982460529E-2</v>
      </c>
      <c r="BM33" s="16">
        <f>Financials!BK7/Financials!BJ7-1</f>
        <v>1.2625363805046641E-2</v>
      </c>
      <c r="BN33" s="16">
        <f>Financials!BL7/Financials!BK7-1</f>
        <v>2.1628043056275637E-2</v>
      </c>
      <c r="BO33" s="16">
        <f>Financials!BM7/Financials!BL7-1</f>
        <v>2.7096759855804287E-2</v>
      </c>
      <c r="BP33" s="16">
        <f>Financials!BN7/Financials!BM7-1</f>
        <v>7.6993818930812807E-3</v>
      </c>
      <c r="BQ33" s="16">
        <f>Financials!BO7/Financials!BN7-1</f>
        <v>2.2244576489611978E-2</v>
      </c>
      <c r="BR33" s="16">
        <f>Financials!BP7/Financials!BO7-1</f>
        <v>9.6579322947267787E-3</v>
      </c>
      <c r="BS33" s="16">
        <f>Financials!BQ7/Financials!BP7-1</f>
        <v>2.1384887315006651E-2</v>
      </c>
      <c r="BT33" s="16">
        <f>Financials!BR7/Financials!BQ7-1</f>
        <v>1.8917105509189902E-2</v>
      </c>
      <c r="BU33" s="16">
        <f>Financials!BS7/Financials!BR7-1</f>
        <v>3.5199284430002642E-2</v>
      </c>
      <c r="BV33" s="16">
        <f>Financials!BT7/Financials!BS7-1</f>
        <v>2.3813253591242756E-9</v>
      </c>
      <c r="BW33" s="16">
        <f>Financials!BU7/Financials!BT7-1</f>
        <v>5.7415307240629598E-2</v>
      </c>
      <c r="BX33" s="16">
        <f>Financials!BV7/Financials!BU7-1</f>
        <v>2.4793950274144549E-3</v>
      </c>
      <c r="BY33" s="16">
        <f>Financials!BW7/Financials!BV7-1</f>
        <v>1.7952597808812421E-3</v>
      </c>
      <c r="BZ33" s="16">
        <f>Financials!BX7/Financials!BW7-1</f>
        <v>1.9503928764805778E-2</v>
      </c>
      <c r="CA33" s="16">
        <f>Financials!BY7/Financials!BX7-1</f>
        <v>1.1456151738727272E-2</v>
      </c>
      <c r="CB33" s="16">
        <f>Financials!BZ7/Financials!BY7-1</f>
        <v>1.8449191646932261E-2</v>
      </c>
    </row>
    <row r="34" spans="2:80">
      <c r="B34" s="11">
        <v>4.3</v>
      </c>
      <c r="C34" s="12" t="s">
        <v>71</v>
      </c>
      <c r="D34" s="64" t="s">
        <v>55</v>
      </c>
      <c r="E34" s="16" t="e">
        <f>Financials!C31/Financials!B31-1</f>
        <v>#VALUE!</v>
      </c>
      <c r="F34" s="16">
        <f>Financials!D31/Financials!C31-1</f>
        <v>-6.7566311018511183E-2</v>
      </c>
      <c r="G34" s="16">
        <f>Financials!E31/Financials!D31-1</f>
        <v>2.6873421568576417E-2</v>
      </c>
      <c r="H34" s="16">
        <f>Financials!F31/Financials!E31-1</f>
        <v>3.3414683589291672E-2</v>
      </c>
      <c r="I34" s="16">
        <f>Financials!G31/Financials!F31-1</f>
        <v>3.2186269842839899E-3</v>
      </c>
      <c r="J34" s="16">
        <f>Financials!H31/Financials!G31-1</f>
        <v>1.447442118465414E-2</v>
      </c>
      <c r="K34" s="16">
        <f>Financials!I31/Financials!H31-1</f>
        <v>-1.8673178892442466E-2</v>
      </c>
      <c r="L34" s="16">
        <f>Financials!J31/Financials!I31-1</f>
        <v>-2.4660286520191699E-3</v>
      </c>
      <c r="M34" s="16">
        <f>Financials!K31/Financials!J31-1</f>
        <v>-7.0802022214420113E-3</v>
      </c>
      <c r="N34" s="16">
        <f>Financials!L31/Financials!K31-1</f>
        <v>4.2838187204650158E-3</v>
      </c>
      <c r="O34" s="16">
        <f>Financials!M31/Financials!L31-1</f>
        <v>2.7163386631339881E-2</v>
      </c>
      <c r="P34" s="16">
        <f>Financials!N31/Financials!M31-1</f>
        <v>9.3567154502718353E-3</v>
      </c>
      <c r="Q34" s="16">
        <f>Financials!O31/Financials!N31-1</f>
        <v>1.5966925474716787E-2</v>
      </c>
      <c r="R34" s="16">
        <f>Financials!P31/Financials!O31-1</f>
        <v>-2.1651493638624064E-2</v>
      </c>
      <c r="S34" s="16">
        <f>Financials!Q31/Financials!P31-1</f>
        <v>6.870473305610858E-3</v>
      </c>
      <c r="T34" s="16">
        <f>Financials!R31/Financials!Q31-1</f>
        <v>0.12679339145715152</v>
      </c>
      <c r="U34" s="16">
        <f>Financials!S31/Financials!R31-1</f>
        <v>0.29819767503935557</v>
      </c>
      <c r="V34" s="16">
        <f>Financials!T31/Financials!S31-1</f>
        <v>1.2050942173802426E-3</v>
      </c>
      <c r="W34" s="16">
        <f>Financials!U31/Financials!T31-1</f>
        <v>1.1668379967074705E-2</v>
      </c>
      <c r="X34" s="16">
        <f>Financials!V31/Financials!U31-1</f>
        <v>1.2195698631306762E-2</v>
      </c>
      <c r="Y34" s="16">
        <f>Financials!W31/Financials!V31-1</f>
        <v>-6.0574897027850794E-3</v>
      </c>
      <c r="Z34" s="16">
        <f>Financials!X31/Financials!W31-1</f>
        <v>7.9758823710998072E-3</v>
      </c>
      <c r="AA34" s="16">
        <f>Financials!Y31/Financials!X31-1</f>
        <v>3.5116470404883415E-3</v>
      </c>
      <c r="AB34" s="16">
        <f>Financials!Z31/Financials!Y31-1</f>
        <v>8.3328172682608503E-3</v>
      </c>
      <c r="AC34" s="16">
        <f>Financials!AA31/Financials!Z31-1</f>
        <v>9.6482559252790701E-2</v>
      </c>
      <c r="AD34" s="16">
        <f>Financials!AB31/Financials!AA31-1</f>
        <v>9.4997984019147275E-3</v>
      </c>
      <c r="AE34" s="16">
        <f>Financials!AC31/Financials!AB31-1</f>
        <v>-1.4959339464045818E-2</v>
      </c>
      <c r="AF34" s="16">
        <f>Financials!AD31/Financials!AC31-1</f>
        <v>-1.7786750175831423E-2</v>
      </c>
      <c r="AG34" s="16">
        <f>Financials!AE31/Financials!AD31-1</f>
        <v>2.5944656278212186E-2</v>
      </c>
      <c r="AH34" s="16">
        <f>Financials!AF31/Financials!AE31-1</f>
        <v>-7.4638326374112385E-3</v>
      </c>
      <c r="AI34" s="16">
        <f>Financials!AG31/Financials!AF31-1</f>
        <v>1.6231105644770594E-4</v>
      </c>
      <c r="AJ34" s="16">
        <f>Financials!AH31/Financials!AG31-1</f>
        <v>1.2992667221549903E-2</v>
      </c>
      <c r="AK34" s="16">
        <f>Financials!AI31/Financials!AH31-1</f>
        <v>-1.0852915630814586E-2</v>
      </c>
      <c r="AL34" s="16">
        <f>Financials!AJ31/Financials!AI31-1</f>
        <v>3.7211981810599815E-2</v>
      </c>
      <c r="AM34" s="16">
        <f>Financials!AK31/Financials!AJ31-1</f>
        <v>6.4208760983159863E-3</v>
      </c>
      <c r="AN34" s="16">
        <f>Financials!AL31/Financials!AK31-1</f>
        <v>-2.1792213627941592E-2</v>
      </c>
      <c r="AO34" s="16">
        <f>Financials!AM31/Financials!AL31-1</f>
        <v>5.2681137544552392E-3</v>
      </c>
      <c r="AP34" s="16">
        <f>Financials!AN31/Financials!AM31-1</f>
        <v>-1</v>
      </c>
      <c r="AQ34" s="16" t="e">
        <f>Financials!AO31/Financials!AN31-1</f>
        <v>#DIV/0!</v>
      </c>
      <c r="AR34" s="16">
        <f>Financials!AP31/Financials!AO31-1</f>
        <v>-1.0736703705082395E-2</v>
      </c>
      <c r="AS34" s="16">
        <f>Financials!AQ31/Financials!AP31-1</f>
        <v>2.1118713347218376E-2</v>
      </c>
      <c r="AT34" s="16">
        <f>Financials!AR31/Financials!AQ31-1</f>
        <v>-9.3966431892623659E-3</v>
      </c>
      <c r="AU34" s="16">
        <f>Financials!AS31/Financials!AR31-1</f>
        <v>2.0600059273190308E-3</v>
      </c>
      <c r="AV34" s="16"/>
      <c r="AW34" s="16">
        <f>Financials!AU31/Financials!AT31-1</f>
        <v>-0.72004850618151595</v>
      </c>
      <c r="AX34" s="16">
        <f>Financials!AV31/Financials!AU31-1</f>
        <v>-1.1804877805537739E-2</v>
      </c>
      <c r="AY34" s="16">
        <f>Financials!AW31/Financials!AV31-1</f>
        <v>1.5252646804513326E-3</v>
      </c>
      <c r="AZ34" s="16">
        <f>Financials!AX31/Financials!AW31-1</f>
        <v>1.5944495790312097E-3</v>
      </c>
      <c r="BA34" s="16">
        <f>Financials!AY31/Financials!AX31-1</f>
        <v>9.7697079858583002E-4</v>
      </c>
      <c r="BB34" s="16">
        <f>Financials!AZ31/Financials!AY31-1</f>
        <v>3.3046062229933337E-3</v>
      </c>
      <c r="BC34" s="16">
        <f>Financials!BA31/Financials!AZ31-1</f>
        <v>4.977010205903265E-2</v>
      </c>
      <c r="BD34" s="16">
        <f>Financials!BB31/Financials!BA31-1</f>
        <v>1.7565645231751859E-3</v>
      </c>
      <c r="BE34" s="16">
        <f>Financials!BC31/Financials!BB31-1</f>
        <v>1.2738085673929866E-2</v>
      </c>
      <c r="BF34" s="16">
        <f>Financials!BD31/Financials!BC31-1</f>
        <v>3.5806642970963587E-3</v>
      </c>
      <c r="BG34" s="16">
        <f>Financials!BE31/Financials!BD31-1</f>
        <v>4.7723393908545297E-3</v>
      </c>
      <c r="BH34" s="16">
        <f>Financials!BF31/Financials!BE31-1</f>
        <v>-3.4834019003142647E-3</v>
      </c>
      <c r="BI34" s="16">
        <f>Financials!BG31/Financials!BF31-1</f>
        <v>-1.3921132585623441E-2</v>
      </c>
      <c r="BJ34" s="16">
        <f>Financials!BH31/Financials!BG31-1</f>
        <v>2.9213068126297204E-2</v>
      </c>
      <c r="BK34" s="16">
        <f>Financials!BI31/Financials!BH31-1</f>
        <v>-2.5535339015605452E-3</v>
      </c>
      <c r="BL34" s="16">
        <f>Financials!BJ31/Financials!BI31-1</f>
        <v>5.7858759291779194E-2</v>
      </c>
      <c r="BM34" s="16">
        <f>Financials!BK31/Financials!BJ31-1</f>
        <v>1.1266324054069798E-2</v>
      </c>
      <c r="BN34" s="16">
        <f>Financials!BL31/Financials!BK31-1</f>
        <v>1.896128095341143E-2</v>
      </c>
      <c r="BO34" s="16">
        <f>Financials!BM31/Financials!BL31-1</f>
        <v>4.3703590501067424E-2</v>
      </c>
      <c r="BP34" s="16">
        <f>Financials!BN31/Financials!BM31-1</f>
        <v>2.9330446232713303E-2</v>
      </c>
      <c r="BQ34" s="16">
        <f>Financials!BO31/Financials!BN31-1</f>
        <v>6.5676059989848046E-2</v>
      </c>
      <c r="BR34" s="16">
        <f>Financials!BP31/Financials!BO31-1</f>
        <v>1.7772246310646889E-2</v>
      </c>
      <c r="BS34" s="16">
        <f>Financials!BQ31/Financials!BP31-1</f>
        <v>2.3397309261000476E-2</v>
      </c>
      <c r="BT34" s="16">
        <f>Financials!BR31/Financials!BQ31-1</f>
        <v>3.1596768318346902E-2</v>
      </c>
      <c r="BU34" s="16">
        <f>Financials!BS31/Financials!BR31-1</f>
        <v>9.1047039491315651E-2</v>
      </c>
      <c r="BV34" s="16">
        <f>Financials!BT31/Financials!BS31-1</f>
        <v>-2.077338736023937E-2</v>
      </c>
      <c r="BW34" s="16">
        <f>Financials!BU31/Financials!BT31-1</f>
        <v>7.9231598297182515E-2</v>
      </c>
      <c r="BX34" s="16">
        <f>Financials!BV31/Financials!BU31-1</f>
        <v>1.8162019850764821E-3</v>
      </c>
      <c r="BY34" s="16">
        <f>Financials!BW31/Financials!BV31-1</f>
        <v>5.5092051789280561E-3</v>
      </c>
      <c r="BZ34" s="16">
        <f>Financials!BX31/Financials!BW31-1</f>
        <v>2.9054914026782619E-3</v>
      </c>
      <c r="CA34" s="16">
        <f>Financials!BY31/Financials!BX31-1</f>
        <v>-1.7671201109897172E-2</v>
      </c>
      <c r="CB34" s="16">
        <f>Financials!BZ31/Financials!BY31-1</f>
        <v>9.0317642507018459E-3</v>
      </c>
    </row>
    <row r="35" spans="2:80">
      <c r="B35" s="11">
        <v>4.4000000000000004</v>
      </c>
      <c r="C35" s="12" t="s">
        <v>72</v>
      </c>
      <c r="D35" s="64" t="s">
        <v>55</v>
      </c>
      <c r="E35" s="16" t="e">
        <f>Financials!C14/Financials!B14-1</f>
        <v>#VALUE!</v>
      </c>
      <c r="F35" s="16">
        <f>Financials!D14/Financials!C14-1</f>
        <v>0.35779848389559921</v>
      </c>
      <c r="G35" s="16">
        <f>Financials!E14/Financials!D14-1</f>
        <v>1.6905138009243585</v>
      </c>
      <c r="H35" s="16">
        <f>Financials!F14/Financials!E14-1</f>
        <v>-0.20722395495911416</v>
      </c>
      <c r="I35" s="16">
        <f>Financials!G14/Financials!F14-1</f>
        <v>4.0932663048497853E-2</v>
      </c>
      <c r="J35" s="16">
        <f>Financials!H14/Financials!G14-1</f>
        <v>8.8197212661684787E-2</v>
      </c>
      <c r="K35" s="16">
        <f>Financials!I14/Financials!H14-1</f>
        <v>4.8228729040142415E-2</v>
      </c>
      <c r="L35" s="16">
        <f>Financials!J14/Financials!I14-1</f>
        <v>4.1768588588843247E-2</v>
      </c>
      <c r="M35" s="16">
        <f>Financials!K14/Financials!J14-1</f>
        <v>4.8050847626770699E-2</v>
      </c>
      <c r="N35" s="16">
        <f>Financials!L14/Financials!K14-1</f>
        <v>2.916044898653869E-2</v>
      </c>
      <c r="O35" s="16">
        <f>Financials!M14/Financials!L14-1</f>
        <v>2.6702081310750803E-2</v>
      </c>
      <c r="P35" s="16">
        <f>Financials!N14/Financials!M14-1</f>
        <v>3.3565374268562653E-2</v>
      </c>
      <c r="Q35" s="16">
        <f>Financials!O14/Financials!N14-1</f>
        <v>3.1698507648035168E-2</v>
      </c>
      <c r="R35" s="16">
        <f>Financials!P14/Financials!O14-1</f>
        <v>3.933680628180225E-2</v>
      </c>
      <c r="S35" s="16">
        <f>Financials!Q14/Financials!P14-1</f>
        <v>-0.53777572752982827</v>
      </c>
      <c r="T35" s="16">
        <f>Financials!R14/Financials!Q14-1</f>
        <v>0.18755143377368921</v>
      </c>
      <c r="U35" s="16">
        <f>Financials!S14/Financials!R14-1</f>
        <v>1.4001264283353092</v>
      </c>
      <c r="V35" s="16">
        <f>Financials!T14/Financials!S14-1</f>
        <v>-0.41062195511058663</v>
      </c>
      <c r="W35" s="16">
        <f>Financials!U14/Financials!T14-1</f>
        <v>0.75576082300833258</v>
      </c>
      <c r="X35" s="16">
        <f>Financials!V14/Financials!U14-1</f>
        <v>4.8901643366024539E-2</v>
      </c>
      <c r="Y35" s="16">
        <f>Financials!W14/Financials!V14-1</f>
        <v>2.2025481211628284E-2</v>
      </c>
      <c r="Z35" s="16">
        <f>Financials!X14/Financials!W14-1</f>
        <v>-0.33409474440465736</v>
      </c>
      <c r="AA35" s="16">
        <f>Financials!Y14/Financials!X14-1</f>
        <v>2.3453316145846115E-2</v>
      </c>
      <c r="AB35" s="16">
        <f>Financials!Z14/Financials!Y14-1</f>
        <v>8.1639068442838081E-2</v>
      </c>
      <c r="AC35" s="16">
        <f>Financials!AA14/Financials!Z14-1</f>
        <v>5.8242754398401653E-2</v>
      </c>
      <c r="AD35" s="16">
        <f>Financials!AB14/Financials!AA14-1</f>
        <v>6.2175974387320254E-2</v>
      </c>
      <c r="AE35" s="16">
        <f>Financials!AC14/Financials!AB14-1</f>
        <v>8.6092195582636588E-3</v>
      </c>
      <c r="AF35" s="16">
        <f>Financials!AD14/Financials!AC14-1</f>
        <v>5.8067635039328325E-2</v>
      </c>
      <c r="AG35" s="16">
        <f>Financials!AE14/Financials!AD14-1</f>
        <v>4.3904557591079252E-2</v>
      </c>
      <c r="AH35" s="16">
        <f>Financials!AF14/Financials!AE14-1</f>
        <v>6.1442283752520588E-2</v>
      </c>
      <c r="AI35" s="16">
        <f>Financials!AG14/Financials!AF14-1</f>
        <v>-0.37275402469500141</v>
      </c>
      <c r="AJ35" s="16">
        <f>Financials!AH14/Financials!AG14-1</f>
        <v>0.67946737560698334</v>
      </c>
      <c r="AK35" s="16">
        <f>Financials!AI14/Financials!AH14-1</f>
        <v>-0.3400711892873518</v>
      </c>
      <c r="AL35" s="16">
        <f>Financials!AJ14/Financials!AI14-1</f>
        <v>4.3830012408523356E-2</v>
      </c>
      <c r="AM35" s="16">
        <f>Financials!AK14/Financials!AJ14-1</f>
        <v>8.4211652835256778E-2</v>
      </c>
      <c r="AN35" s="16">
        <f>Financials!AL14/Financials!AK14-1</f>
        <v>4.4973145403064407E-2</v>
      </c>
      <c r="AO35" s="16">
        <f>Financials!AM14/Financials!AL14-1</f>
        <v>4.835042680913193E-2</v>
      </c>
      <c r="AP35" s="16">
        <f>Financials!AN14/Financials!AM14-1</f>
        <v>-1</v>
      </c>
      <c r="AQ35" s="16" t="e">
        <f>Financials!AO14/Financials!AN14-1</f>
        <v>#DIV/0!</v>
      </c>
      <c r="AR35" s="16">
        <f>Financials!AP14/Financials!AO14-1</f>
        <v>2.9390552202960496E-2</v>
      </c>
      <c r="AS35" s="16">
        <f>Financials!AQ14/Financials!AP14-1</f>
        <v>4.654817815151957E-2</v>
      </c>
      <c r="AT35" s="16">
        <f>Financials!AR14/Financials!AQ14-1</f>
        <v>3.7853302447038217E-2</v>
      </c>
      <c r="AU35" s="16">
        <f>Financials!AS14/Financials!AR14-1</f>
        <v>4.6783666256107637E-2</v>
      </c>
      <c r="AV35" s="16"/>
      <c r="AW35" s="16">
        <f>Financials!AU14/Financials!AT14-1</f>
        <v>-0.39979135536894228</v>
      </c>
      <c r="AX35" s="16">
        <f>Financials!AV14/Financials!AU14-1</f>
        <v>-2.4536308485249014E-3</v>
      </c>
      <c r="AY35" s="16">
        <f>Financials!AW14/Financials!AV14-1</f>
        <v>4.2970636269920259E-2</v>
      </c>
      <c r="AZ35" s="16">
        <f>Financials!AX14/Financials!AW14-1</f>
        <v>0.13126224451071478</v>
      </c>
      <c r="BA35" s="16">
        <f>Financials!AY14/Financials!AX14-1</f>
        <v>4.3720400619320365E-2</v>
      </c>
      <c r="BB35" s="16">
        <f>Financials!AZ14/Financials!AY14-1</f>
        <v>1.4967861110257941E-2</v>
      </c>
      <c r="BC35" s="16">
        <f>Financials!BA14/Financials!AZ14-1</f>
        <v>2.567473344192428E-2</v>
      </c>
      <c r="BD35" s="16">
        <f>Financials!BB14/Financials!BA14-1</f>
        <v>2.0463401153691274E-2</v>
      </c>
      <c r="BE35" s="16">
        <f>Financials!BC14/Financials!BB14-1</f>
        <v>3.2858462748173833E-2</v>
      </c>
      <c r="BF35" s="16">
        <f>Financials!BD14/Financials!BC14-1</f>
        <v>3.1617506388331051E-2</v>
      </c>
      <c r="BG35" s="16">
        <f>Financials!BE14/Financials!BD14-1</f>
        <v>3.2146066661984829E-2</v>
      </c>
      <c r="BH35" s="16">
        <f>Financials!BF14/Financials!BE14-1</f>
        <v>-0.17590750637413222</v>
      </c>
      <c r="BI35" s="16">
        <f>Financials!BG14/Financials!BF14-1</f>
        <v>4.1748349467331858E-2</v>
      </c>
      <c r="BJ35" s="16">
        <f>Financials!BH14/Financials!BG14-1</f>
        <v>-8.0096908033351344E-3</v>
      </c>
      <c r="BK35" s="16">
        <f>Financials!BI14/Financials!BH14-1</f>
        <v>-1.1654151545947511E-2</v>
      </c>
      <c r="BL35" s="16">
        <f>Financials!BJ14/Financials!BI14-1</f>
        <v>0.11212652889092833</v>
      </c>
      <c r="BM35" s="16">
        <f>Financials!BK14/Financials!BJ14-1</f>
        <v>1.0681455257308237E-2</v>
      </c>
      <c r="BN35" s="16">
        <f>Financials!BL14/Financials!BK14-1</f>
        <v>1.6414395846953145E-3</v>
      </c>
      <c r="BO35" s="16">
        <f>Financials!BM14/Financials!BL14-1</f>
        <v>0.12347877394407214</v>
      </c>
      <c r="BP35" s="16">
        <f>Financials!BN14/Financials!BM14-1</f>
        <v>2.9226190772386751E-2</v>
      </c>
      <c r="BQ35" s="16">
        <f>Financials!BO14/Financials!BN14-1</f>
        <v>3.0317021175974457E-2</v>
      </c>
      <c r="BR35" s="16">
        <f>Financials!BP14/Financials!BO14-1</f>
        <v>3.1774612249231726E-2</v>
      </c>
      <c r="BS35" s="16">
        <f>Financials!BQ14/Financials!BP14-1</f>
        <v>1.4938846156356211E-2</v>
      </c>
      <c r="BT35" s="16">
        <f>Financials!BR14/Financials!BQ14-1</f>
        <v>4.0012938088916261E-2</v>
      </c>
      <c r="BU35" s="16">
        <f>Financials!BS14/Financials!BR14-1</f>
        <v>5.9578619093513474E-2</v>
      </c>
      <c r="BV35" s="16">
        <f>Financials!BT14/Financials!BS14-1</f>
        <v>-0.10044357855394759</v>
      </c>
      <c r="BW35" s="16">
        <f>Financials!BU14/Financials!BT14-1</f>
        <v>-0.19777862005453772</v>
      </c>
      <c r="BX35" s="16">
        <f>Financials!BV14/Financials!BU14-1</f>
        <v>2.0266054301041114E-2</v>
      </c>
      <c r="BY35" s="16">
        <f>Financials!BW14/Financials!BV14-1</f>
        <v>3.0794618100589366E-2</v>
      </c>
      <c r="BZ35" s="16">
        <f>Financials!BX14/Financials!BW14-1</f>
        <v>4.9839840525691903E-2</v>
      </c>
      <c r="CA35" s="16">
        <f>Financials!BY14/Financials!BX14-1</f>
        <v>0.1045978286443805</v>
      </c>
      <c r="CB35" s="16">
        <f>Financials!BZ14/Financials!BY14-1</f>
        <v>0.13313175760920704</v>
      </c>
    </row>
    <row r="36" spans="2:80">
      <c r="B36" s="11">
        <v>4.5</v>
      </c>
      <c r="C36" s="12" t="s">
        <v>73</v>
      </c>
      <c r="D36" s="64" t="s">
        <v>55</v>
      </c>
      <c r="E36" s="18" t="e">
        <f>Financials!C41/Financials!B41-1</f>
        <v>#VALUE!</v>
      </c>
      <c r="F36" s="18">
        <f>Financials!D41/Financials!C41-1</f>
        <v>1.6737639187563476</v>
      </c>
      <c r="G36" s="18">
        <f>Financials!E41/Financials!D41-1</f>
        <v>-0.84907459816394693</v>
      </c>
      <c r="H36" s="18">
        <f>Financials!F41/Financials!E41-1</f>
        <v>5.6488553879612056</v>
      </c>
      <c r="I36" s="18">
        <f>Financials!G41/Financials!F41-1</f>
        <v>6.9450884650423816E-4</v>
      </c>
      <c r="J36" s="18">
        <f>Financials!H41/Financials!G41-1</f>
        <v>-1.5117212420412973E-2</v>
      </c>
      <c r="K36" s="18">
        <f>Financials!I41/Financials!H41-1</f>
        <v>1.4209694789923955E-3</v>
      </c>
      <c r="L36" s="18">
        <f>Financials!J41/Financials!I41-1</f>
        <v>1.4608582881221466E-3</v>
      </c>
      <c r="M36" s="18">
        <f>Financials!K41/Financials!J41-1</f>
        <v>1.4633766242857504E-3</v>
      </c>
      <c r="N36" s="18">
        <f>Financials!L41/Financials!K41-1</f>
        <v>1.4844509635536518E-3</v>
      </c>
      <c r="O36" s="18">
        <f>Financials!M41/Financials!L41-1</f>
        <v>1.5007932545310076E-3</v>
      </c>
      <c r="P36" s="18">
        <f>Financials!N41/Financials!M41-1</f>
        <v>1.62467654532783E-3</v>
      </c>
      <c r="Q36" s="18">
        <f>Financials!O41/Financials!N41-1</f>
        <v>1.575829251440064E-3</v>
      </c>
      <c r="R36" s="18">
        <f>Financials!P41/Financials!O41-1</f>
        <v>1.5825777793843088E-3</v>
      </c>
      <c r="S36" s="18">
        <f>Financials!Q41/Financials!P41-1</f>
        <v>-0.10153252669626844</v>
      </c>
      <c r="T36" s="18">
        <f>Financials!R41/Financials!Q41-1</f>
        <v>-4.8266609207638922E-3</v>
      </c>
      <c r="U36" s="18">
        <f>Financials!S41/Financials!R41-1</f>
        <v>0.23355699619897119</v>
      </c>
      <c r="V36" s="18">
        <f>Financials!T41/Financials!S41-1</f>
        <v>-0.61511405558663579</v>
      </c>
      <c r="W36" s="18">
        <f>Financials!U41/Financials!T41-1</f>
        <v>-0.1991878493012551</v>
      </c>
      <c r="X36" s="18">
        <f>Financials!V41/Financials!U41-1</f>
        <v>6.7075877488762536E-3</v>
      </c>
      <c r="Y36" s="18">
        <f>Financials!W41/Financials!V41-1</f>
        <v>-1.7210192525396906E-2</v>
      </c>
      <c r="Z36" s="18">
        <f>Financials!X41/Financials!W41-1</f>
        <v>0.15596093957049839</v>
      </c>
      <c r="AA36" s="18">
        <f>Financials!Y41/Financials!X41-1</f>
        <v>6.4928381524818057E-3</v>
      </c>
      <c r="AB36" s="18">
        <f>Financials!Z41/Financials!Y41-1</f>
        <v>6.1331118703848997E-3</v>
      </c>
      <c r="AC36" s="18">
        <f>Financials!AA41/Financials!Z41-1</f>
        <v>-1.4795655030756083E-2</v>
      </c>
      <c r="AD36" s="18">
        <f>Financials!AB41/Financials!AA41-1</f>
        <v>7.9079289379963447E-2</v>
      </c>
      <c r="AE36" s="18">
        <f>Financials!AC41/Financials!AB41-1</f>
        <v>5.5027301592083244E-3</v>
      </c>
      <c r="AF36" s="18">
        <f>Financials!AD41/Financials!AC41-1</f>
        <v>5.501280298225053E-3</v>
      </c>
      <c r="AG36" s="18">
        <f>Financials!AE41/Financials!AD41-1</f>
        <v>5.3991327616875751E-3</v>
      </c>
      <c r="AH36" s="18">
        <f>Financials!AF41/Financials!AE41-1</f>
        <v>2.7023923629976077E-2</v>
      </c>
      <c r="AI36" s="18">
        <f>Financials!AG41/Financials!AF41-1</f>
        <v>0.41175841825783688</v>
      </c>
      <c r="AJ36" s="18">
        <f>Financials!AH41/Financials!AG41-1</f>
        <v>-0.32290045429857583</v>
      </c>
      <c r="AK36" s="18">
        <f>Financials!AI41/Financials!AH41-1</f>
        <v>0.1595661503663004</v>
      </c>
      <c r="AL36" s="18">
        <f>Financials!AJ41/Financials!AI41-1</f>
        <v>4.850483171465525E-3</v>
      </c>
      <c r="AM36" s="18">
        <f>Financials!AK41/Financials!AJ41-1</f>
        <v>4.6756320757006531E-3</v>
      </c>
      <c r="AN36" s="18">
        <f>Financials!AL41/Financials!AK41-1</f>
        <v>-3.1989107105087178E-2</v>
      </c>
      <c r="AO36" s="18">
        <f>Financials!AM41/Financials!AL41-1</f>
        <v>4.8368615454923436E-3</v>
      </c>
      <c r="AP36" s="18">
        <f>Financials!AN41/Financials!AM41-1</f>
        <v>-1</v>
      </c>
      <c r="AQ36" s="18" t="e">
        <f>Financials!AO41/Financials!AN41-1</f>
        <v>#DIV/0!</v>
      </c>
      <c r="AR36" s="18">
        <f>Financials!AP41/Financials!AO41-1</f>
        <v>5.6884981912634691E-2</v>
      </c>
      <c r="AS36" s="18">
        <f>Financials!AQ41/Financials!AP41-1</f>
        <v>-6.2270467422500642E-2</v>
      </c>
      <c r="AT36" s="18">
        <f>Financials!AR41/Financials!AQ41-1</f>
        <v>4.616067720569994E-3</v>
      </c>
      <c r="AU36" s="18">
        <f>Financials!AS41/Financials!AR41-1</f>
        <v>4.2065143742106903E-2</v>
      </c>
      <c r="AV36" s="18"/>
      <c r="AW36" s="18">
        <f>Financials!AU41/Financials!AT41-1</f>
        <v>-0.3006839533719875</v>
      </c>
      <c r="AX36" s="18">
        <f>Financials!AV41/Financials!AU41-1</f>
        <v>0.38074806657480886</v>
      </c>
      <c r="AY36" s="18">
        <f>Financials!AW41/Financials!AV41-1</f>
        <v>0</v>
      </c>
      <c r="AZ36" s="18">
        <f>Financials!AX41/Financials!AW41-1</f>
        <v>0</v>
      </c>
      <c r="BA36" s="18">
        <f>Financials!AY41/Financials!AX41-1</f>
        <v>0</v>
      </c>
      <c r="BB36" s="18">
        <f>Financials!AZ41/Financials!AY41-1</f>
        <v>0</v>
      </c>
      <c r="BC36" s="18">
        <f>Financials!BA41/Financials!AZ41-1</f>
        <v>0</v>
      </c>
      <c r="BD36" s="18">
        <f>Financials!BB41/Financials!BA41-1</f>
        <v>0</v>
      </c>
      <c r="BE36" s="18">
        <f>Financials!BC41/Financials!BB41-1</f>
        <v>0</v>
      </c>
      <c r="BF36" s="18">
        <f>Financials!BD41/Financials!BC41-1</f>
        <v>0</v>
      </c>
      <c r="BG36" s="18">
        <f>Financials!BE41/Financials!BD41-1</f>
        <v>0</v>
      </c>
      <c r="BH36" s="18">
        <f>Financials!BF41/Financials!BE41-1</f>
        <v>-1.587339234413232E-3</v>
      </c>
      <c r="BI36" s="18">
        <f>Financials!BG41/Financials!BF41-1</f>
        <v>-0.18683119304522067</v>
      </c>
      <c r="BJ36" s="18">
        <f>Financials!BH41/Financials!BG41-1</f>
        <v>0.45681634377850044</v>
      </c>
      <c r="BK36" s="18">
        <f>Financials!BI41/Financials!BH41-1</f>
        <v>-0.13292633494026995</v>
      </c>
      <c r="BL36" s="18">
        <f>Financials!BJ41/Financials!BI41-1</f>
        <v>9.2551714866772716E-2</v>
      </c>
      <c r="BM36" s="18">
        <f>Financials!BK41/Financials!BJ41-1</f>
        <v>-8.3294825438758657E-2</v>
      </c>
      <c r="BN36" s="18">
        <f>Financials!BL41/Financials!BK41-1</f>
        <v>0</v>
      </c>
      <c r="BO36" s="18">
        <f>Financials!BM41/Financials!BL41-1</f>
        <v>-2.2313604469881287E-4</v>
      </c>
      <c r="BP36" s="18">
        <f>Financials!BN41/Financials!BM41-1</f>
        <v>0</v>
      </c>
      <c r="BQ36" s="18">
        <f>Financials!BO41/Financials!BN41-1</f>
        <v>0</v>
      </c>
      <c r="BR36" s="18">
        <f>Financials!BP41/Financials!BO41-1</f>
        <v>0</v>
      </c>
      <c r="BS36" s="18">
        <f>Financials!BQ41/Financials!BP41-1</f>
        <v>0</v>
      </c>
      <c r="BT36" s="18">
        <f>Financials!BR41/Financials!BQ41-1</f>
        <v>0</v>
      </c>
      <c r="BU36" s="18">
        <f>Financials!BS41/Financials!BR41-1</f>
        <v>4.3890893225990268E-2</v>
      </c>
      <c r="BV36" s="18">
        <f>Financials!BT41/Financials!BS41-1</f>
        <v>-6.0874283167745458E-2</v>
      </c>
      <c r="BW36" s="18">
        <f>Financials!BU41/Financials!BT41-1</f>
        <v>0.39358461296640135</v>
      </c>
      <c r="BX36" s="18">
        <f>Financials!BV41/Financials!BU41-1</f>
        <v>0</v>
      </c>
      <c r="BY36" s="18">
        <f>Financials!BW41/Financials!BV41-1</f>
        <v>0</v>
      </c>
      <c r="BZ36" s="18">
        <f>Financials!BX41/Financials!BW41-1</f>
        <v>0</v>
      </c>
      <c r="CA36" s="18">
        <f>Financials!BY41/Financials!BX41-1</f>
        <v>3.7939548844791338E-2</v>
      </c>
      <c r="CB36" s="18">
        <f>Financials!BZ41/Financials!BY41-1</f>
        <v>-1.6918768296048103E-4</v>
      </c>
    </row>
    <row r="37" spans="2:80">
      <c r="B37" s="11">
        <v>4.5999999999999996</v>
      </c>
      <c r="C37" s="12" t="s">
        <v>74</v>
      </c>
      <c r="D37" s="64" t="s">
        <v>55</v>
      </c>
      <c r="E37" s="19" t="e">
        <f>Financials!C4/Financials!B4-1</f>
        <v>#VALUE!</v>
      </c>
      <c r="F37" s="19" t="e">
        <f>Financials!D4/Financials!C4-1</f>
        <v>#DIV/0!</v>
      </c>
      <c r="G37" s="19" t="e">
        <f>Financials!E4/Financials!D4-1</f>
        <v>#DIV/0!</v>
      </c>
      <c r="H37" s="19" t="e">
        <f>Financials!F4/Financials!E4-1</f>
        <v>#DIV/0!</v>
      </c>
      <c r="I37" s="19" t="e">
        <f>Financials!G4/Financials!F4-1</f>
        <v>#DIV/0!</v>
      </c>
      <c r="J37" s="19" t="e">
        <f>Financials!H4/Financials!G4-1</f>
        <v>#DIV/0!</v>
      </c>
      <c r="K37" s="19" t="e">
        <f>Financials!I4/Financials!H4-1</f>
        <v>#DIV/0!</v>
      </c>
      <c r="L37" s="19" t="e">
        <f>Financials!J4/Financials!I4-1</f>
        <v>#DIV/0!</v>
      </c>
      <c r="M37" s="19" t="e">
        <f>Financials!K4/Financials!J4-1</f>
        <v>#DIV/0!</v>
      </c>
      <c r="N37" s="19" t="e">
        <f>Financials!L4/Financials!K4-1</f>
        <v>#DIV/0!</v>
      </c>
      <c r="O37" s="19" t="e">
        <f>Financials!M4/Financials!L4-1</f>
        <v>#DIV/0!</v>
      </c>
      <c r="P37" s="19" t="e">
        <f>Financials!N4/Financials!M4-1</f>
        <v>#DIV/0!</v>
      </c>
      <c r="Q37" s="19" t="e">
        <f>Financials!O4/Financials!N4-1</f>
        <v>#DIV/0!</v>
      </c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</row>
    <row r="38" spans="2:80">
      <c r="B38" s="11"/>
      <c r="C38" s="12"/>
      <c r="D38" s="68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</row>
    <row r="39" spans="2:80">
      <c r="B39" s="13">
        <v>5</v>
      </c>
      <c r="C39" s="21" t="s">
        <v>75</v>
      </c>
      <c r="D39" s="68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</row>
    <row r="40" spans="2:80">
      <c r="B40" s="13">
        <v>5.0999999999999996</v>
      </c>
      <c r="C40" s="12" t="s">
        <v>76</v>
      </c>
      <c r="D40" s="64" t="s">
        <v>55</v>
      </c>
      <c r="E40" s="16" t="e">
        <f>Financials!C48/((Financials!C6+Financials!B6)/2)</f>
        <v>#VALUE!</v>
      </c>
      <c r="F40" s="16">
        <f>Financials!D48/((Financials!D6+Financials!C6)/2)</f>
        <v>7.6341226822504479E-2</v>
      </c>
      <c r="G40" s="16">
        <f>Financials!E48/((Financials!E6+Financials!D6)/2)</f>
        <v>7.1337244742157267E-3</v>
      </c>
      <c r="H40" s="16">
        <f>Financials!F48/((Financials!F6+Financials!E6)/2)</f>
        <v>2.0536809390574559E-3</v>
      </c>
      <c r="I40" s="16">
        <f>Financials!G48/((Financials!G6+Financials!F6)/2)</f>
        <v>3.1188737844658697E-3</v>
      </c>
      <c r="J40" s="16">
        <f>Financials!H48/((Financials!H6+Financials!G6)/2)</f>
        <v>4.209476312082479E-3</v>
      </c>
      <c r="K40" s="16">
        <f>Financials!I48/((Financials!I6+Financials!H6)/2)</f>
        <v>5.2784952904714891E-3</v>
      </c>
      <c r="L40" s="16">
        <f>Financials!J48/((Financials!J6+Financials!I6)/2)</f>
        <v>6.3742263017729532E-3</v>
      </c>
      <c r="M40" s="16">
        <f>Financials!K48/((Financials!K6+Financials!J6)/2)</f>
        <v>7.5312981399281069E-3</v>
      </c>
      <c r="N40" s="16">
        <f>Financials!L48/((Financials!L6+Financials!K6)/2)</f>
        <v>8.5301533621805082E-3</v>
      </c>
      <c r="O40" s="16">
        <f>Financials!M48/((Financials!M6+Financials!L6)/2)</f>
        <v>9.3340128469999676E-3</v>
      </c>
      <c r="P40" s="16">
        <f>Financials!N48/((Financials!N6+Financials!M6)/2)</f>
        <v>1.0278508075539127E-2</v>
      </c>
      <c r="Q40" s="16">
        <f>Financials!O48/((Financials!O6+Financials!N6)/2)</f>
        <v>1.1211825606335494E-2</v>
      </c>
      <c r="R40" s="16">
        <f>Financials!P48/((Financials!P6+Financials!O6)/2)</f>
        <v>1.2135579621254531E-2</v>
      </c>
      <c r="S40" s="16">
        <f>Financials!Q48/((Financials!Q6+Financials!P6)/2)</f>
        <v>9.5523513770187321E-2</v>
      </c>
      <c r="T40" s="16">
        <f>Financials!R48/((Financials!R6+Financials!Q6)/2)</f>
        <v>0.10755208186068836</v>
      </c>
      <c r="U40" s="16">
        <f>Financials!S48/((Financials!S6+Financials!R6)/2)</f>
        <v>4.7706732196148667E-3</v>
      </c>
      <c r="V40" s="16">
        <f>Financials!T48/((Financials!T6+Financials!S6)/2)</f>
        <v>0.12477017767958989</v>
      </c>
      <c r="W40" s="16">
        <f>Financials!U48/((Financials!U6+Financials!T6)/2)</f>
        <v>4.323579025593373E-3</v>
      </c>
      <c r="X40" s="16">
        <f>Financials!V48/((Financials!V6+Financials!U6)/2)</f>
        <v>4.7306273506960202E-3</v>
      </c>
      <c r="Y40" s="16">
        <f>Financials!W48/((Financials!W6+Financials!V6)/2)</f>
        <v>4.6376305878254526E-3</v>
      </c>
      <c r="Z40" s="16">
        <f>Financials!X48/((Financials!X6+Financials!W6)/2)</f>
        <v>9.0984562203711068E-4</v>
      </c>
      <c r="AA40" s="16">
        <f>Financials!Y48/((Financials!Y6+Financials!X6)/2)</f>
        <v>1.0030814360111734E-3</v>
      </c>
      <c r="AB40" s="16">
        <f>Financials!Z48/((Financials!Z6+Financials!Y6)/2)</f>
        <v>1.4403720081886508E-3</v>
      </c>
      <c r="AC40" s="16">
        <f>Financials!AA48/((Financials!AA6+Financials!Z6)/2)</f>
        <v>1.7484355310314643E-3</v>
      </c>
      <c r="AD40" s="16">
        <f>Financials!AB48/((Financials!AB6+Financials!AA6)/2)</f>
        <v>1.9705675937796482E-3</v>
      </c>
      <c r="AE40" s="16">
        <f>Financials!AC48/((Financials!AC6+Financials!AB6)/2)</f>
        <v>2.2117728636683797E-3</v>
      </c>
      <c r="AF40" s="16">
        <f>Financials!AD48/((Financials!AD6+Financials!AC6)/2)</f>
        <v>2.4842227816114725E-3</v>
      </c>
      <c r="AG40" s="16">
        <f>Financials!AE48/((Financials!AE6+Financials!AD6)/2)</f>
        <v>2.7504745938961165E-3</v>
      </c>
      <c r="AH40" s="16">
        <f>Financials!AF48/((Financials!AF6+Financials!AE6)/2)</f>
        <v>3.0079515489761133E-3</v>
      </c>
      <c r="AI40" s="16">
        <f>Financials!AG48/((Financials!AG6+Financials!AF6)/2)</f>
        <v>0.1188196458022744</v>
      </c>
      <c r="AJ40" s="16">
        <f>Financials!AH48/((Financials!AH6+Financials!AG6)/2)</f>
        <v>3.0064178353494666E-3</v>
      </c>
      <c r="AK40" s="16">
        <f>Financials!AI48/((Financials!AI6+Financials!AH6)/2)</f>
        <v>5.0281519352108131E-4</v>
      </c>
      <c r="AL40" s="16">
        <f>Financials!AJ48/((Financials!AJ6+Financials!AI6)/2)</f>
        <v>7.34806694516354E-4</v>
      </c>
      <c r="AM40" s="16">
        <f>Financials!AK48/((Financials!AK6+Financials!AJ6)/2)</f>
        <v>1.0324352974201054E-3</v>
      </c>
      <c r="AN40" s="16">
        <f>Financials!AL48/((Financials!AL6+Financials!AK6)/2)</f>
        <v>1.3078128780337971E-3</v>
      </c>
      <c r="AO40" s="16">
        <f>Financials!AM48/((Financials!AM6+Financials!AL6)/2)</f>
        <v>1.5501032139198087E-3</v>
      </c>
      <c r="AP40" s="16">
        <f>Financials!AN48/((Financials!AN6+Financials!AM6)/2)</f>
        <v>0</v>
      </c>
      <c r="AQ40" s="16">
        <f>Financials!AO48/((Financials!AO6+Financials!AN6)/2)</f>
        <v>3.9742696675781394E-3</v>
      </c>
      <c r="AR40" s="16">
        <f>Financials!AP48/((Financials!AP6+Financials!AO6)/2)</f>
        <v>2.1949266620760401E-3</v>
      </c>
      <c r="AS40" s="16">
        <f>Financials!AQ48/((Financials!AQ6+Financials!AP6)/2)</f>
        <v>2.3724576483827417E-3</v>
      </c>
      <c r="AT40" s="16">
        <f>Financials!AR48/((Financials!AR6+Financials!AQ6)/2)</f>
        <v>2.5285954515525152E-3</v>
      </c>
      <c r="AU40" s="16">
        <f>Financials!AS48/((Financials!AS6+Financials!AR6)/2)</f>
        <v>2.6978036112029866E-3</v>
      </c>
      <c r="AV40" s="16"/>
      <c r="AW40" s="16">
        <f>Financials!AU48/((Financials!AU6+Financials!AT6)/2)</f>
        <v>2.1887510167886509E-2</v>
      </c>
      <c r="AX40" s="16">
        <f>Financials!AV48/((Financials!AV6+Financials!AU6)/2)</f>
        <v>0</v>
      </c>
      <c r="AY40" s="16">
        <f>Financials!AW48/((Financials!AW6+Financials!AV6)/2)</f>
        <v>0</v>
      </c>
      <c r="AZ40" s="16">
        <f>Financials!AX48/((Financials!AX6+Financials!AW6)/2)</f>
        <v>0</v>
      </c>
      <c r="BA40" s="16">
        <f>Financials!AY48/((Financials!AY6+Financials!AX6)/2)</f>
        <v>0</v>
      </c>
      <c r="BB40" s="16">
        <f>Financials!AZ48/((Financials!AZ6+Financials!AY6)/2)</f>
        <v>0</v>
      </c>
      <c r="BC40" s="16">
        <f>Financials!BA48/((Financials!BA6+Financials!AZ6)/2)</f>
        <v>0</v>
      </c>
      <c r="BD40" s="16">
        <f>Financials!BB48/((Financials!BB6+Financials!BA6)/2)</f>
        <v>0</v>
      </c>
      <c r="BE40" s="16">
        <f>Financials!BC48/((Financials!BC6+Financials!BB6)/2)</f>
        <v>0</v>
      </c>
      <c r="BF40" s="16">
        <f>Financials!BD48/((Financials!BD6+Financials!BC6)/2)</f>
        <v>0</v>
      </c>
      <c r="BG40" s="16">
        <f>Financials!BE48/((Financials!BE6+Financials!BD6)/2)</f>
        <v>0</v>
      </c>
      <c r="BH40" s="16">
        <f>Financials!BF48/((Financials!BF6+Financials!BE6)/2)</f>
        <v>6.2706727094793094E-2</v>
      </c>
      <c r="BI40" s="16">
        <f>Financials!BG48/((Financials!BG6+Financials!BF6)/2)</f>
        <v>6.2541544545720015E-2</v>
      </c>
      <c r="BJ40" s="16">
        <f>Financials!BH48/((Financials!BH6+Financials!BG6)/2)</f>
        <v>0</v>
      </c>
      <c r="BK40" s="16">
        <f>Financials!BI48/((Financials!BI6+Financials!BH6)/2)</f>
        <v>0</v>
      </c>
      <c r="BL40" s="16">
        <f>Financials!BJ48/((Financials!BJ6+Financials!BI6)/2)</f>
        <v>0</v>
      </c>
      <c r="BM40" s="16">
        <f>Financials!BK48/((Financials!BK6+Financials!BJ6)/2)</f>
        <v>0</v>
      </c>
      <c r="BN40" s="16">
        <f>Financials!BL48/((Financials!BL6+Financials!BK6)/2)</f>
        <v>0</v>
      </c>
      <c r="BO40" s="16">
        <f>Financials!BM48/((Financials!BM6+Financials!BL6)/2)</f>
        <v>0</v>
      </c>
      <c r="BP40" s="16">
        <f>Financials!BN48/((Financials!BN6+Financials!BM6)/2)</f>
        <v>0</v>
      </c>
      <c r="BQ40" s="16">
        <f>Financials!BO48/((Financials!BO6+Financials!BN6)/2)</f>
        <v>0</v>
      </c>
      <c r="BR40" s="16">
        <f>Financials!BP48/((Financials!BP6+Financials!BO6)/2)</f>
        <v>0</v>
      </c>
      <c r="BS40" s="16">
        <f>Financials!BQ48/((Financials!BQ6+Financials!BP6)/2)</f>
        <v>0</v>
      </c>
      <c r="BT40" s="16">
        <f>Financials!BR48/((Financials!BR6+Financials!BQ6)/2)</f>
        <v>0</v>
      </c>
      <c r="BU40" s="16">
        <f>Financials!BS48/((Financials!BS6+Financials!BR6)/2)</f>
        <v>0</v>
      </c>
      <c r="BV40" s="16">
        <f>Financials!BT48/((Financials!BT6+Financials!BS6)/2)</f>
        <v>6.5083404670282619E-2</v>
      </c>
      <c r="BW40" s="16">
        <f>Financials!BU48/((Financials!BU6+Financials!BT6)/2)</f>
        <v>0</v>
      </c>
      <c r="BX40" s="16">
        <f>Financials!BV48/((Financials!BV6+Financials!BU6)/2)</f>
        <v>0</v>
      </c>
      <c r="BY40" s="16">
        <f>Financials!BW48/((Financials!BW6+Financials!BV6)/2)</f>
        <v>0</v>
      </c>
      <c r="BZ40" s="16">
        <f>Financials!BX48/((Financials!BX6+Financials!BW6)/2)</f>
        <v>0</v>
      </c>
      <c r="CA40" s="16">
        <f>Financials!BY48/((Financials!BY6+Financials!BX6)/2)</f>
        <v>0</v>
      </c>
      <c r="CB40" s="16">
        <f>Financials!BZ48/((Financials!BZ6+Financials!BY6)/2)</f>
        <v>0</v>
      </c>
    </row>
    <row r="41" spans="2:80">
      <c r="B41" s="13">
        <v>5.2</v>
      </c>
      <c r="C41" s="12" t="s">
        <v>77</v>
      </c>
      <c r="D41" s="64" t="s">
        <v>55</v>
      </c>
      <c r="E41" s="16" t="e">
        <f>Financials!C49/((Financials!C18+Financials!B18)/2)</f>
        <v>#VALUE!</v>
      </c>
      <c r="F41" s="16">
        <f>Financials!D49/((Financials!D18+Financials!C18)/2)</f>
        <v>0</v>
      </c>
      <c r="G41" s="16">
        <f>Financials!E49/((Financials!E18+Financials!D18)/2)</f>
        <v>0</v>
      </c>
      <c r="H41" s="16">
        <f>Financials!F49/((Financials!F18+Financials!E18)/2)</f>
        <v>0</v>
      </c>
      <c r="I41" s="16">
        <f>Financials!G49/((Financials!G18+Financials!F18)/2)</f>
        <v>0</v>
      </c>
      <c r="J41" s="16">
        <f>Financials!H49/((Financials!H18+Financials!G18)/2)</f>
        <v>0</v>
      </c>
      <c r="K41" s="16">
        <f>Financials!I49/((Financials!I18+Financials!H18)/2)</f>
        <v>0</v>
      </c>
      <c r="L41" s="16">
        <f>Financials!J49/((Financials!J18+Financials!I18)/2)</f>
        <v>0</v>
      </c>
      <c r="M41" s="16">
        <f>Financials!K49/((Financials!K18+Financials!J18)/2)</f>
        <v>0</v>
      </c>
      <c r="N41" s="16">
        <f>Financials!L49/((Financials!L18+Financials!K18)/2)</f>
        <v>0</v>
      </c>
      <c r="O41" s="16">
        <f>Financials!M49/((Financials!M18+Financials!L18)/2)</f>
        <v>0</v>
      </c>
      <c r="P41" s="16">
        <f>Financials!N49/((Financials!N18+Financials!M18)/2)</f>
        <v>0</v>
      </c>
      <c r="Q41" s="16">
        <f>Financials!O49/((Financials!O18+Financials!N18)/2)</f>
        <v>0</v>
      </c>
      <c r="R41" s="16">
        <f>Financials!P49/((Financials!P18+Financials!O18)/2)</f>
        <v>0</v>
      </c>
      <c r="S41" s="16">
        <f>Financials!Q49/((Financials!Q18+Financials!P18)/2)</f>
        <v>0</v>
      </c>
      <c r="T41" s="16">
        <f>Financials!R49/((Financials!R18+Financials!Q18)/2)</f>
        <v>0</v>
      </c>
      <c r="U41" s="16">
        <f>Financials!S49/((Financials!S18+Financials!R18)/2)</f>
        <v>0</v>
      </c>
      <c r="V41" s="16">
        <f>Financials!T49/((Financials!T18+Financials!S18)/2)</f>
        <v>0</v>
      </c>
      <c r="W41" s="16">
        <f>Financials!U49/((Financials!U18+Financials!T18)/2)</f>
        <v>0</v>
      </c>
      <c r="X41" s="16">
        <f>Financials!V49/((Financials!V18+Financials!U18)/2)</f>
        <v>0</v>
      </c>
      <c r="Y41" s="16">
        <f>Financials!W49/((Financials!W18+Financials!V18)/2)</f>
        <v>0</v>
      </c>
      <c r="Z41" s="16">
        <f>Financials!X49/((Financials!X18+Financials!W18)/2)</f>
        <v>0</v>
      </c>
      <c r="AA41" s="16">
        <f>Financials!Y49/((Financials!Y18+Financials!X18)/2)</f>
        <v>0</v>
      </c>
      <c r="AB41" s="16">
        <f>Financials!Z49/((Financials!Z18+Financials!Y18)/2)</f>
        <v>0</v>
      </c>
      <c r="AC41" s="16">
        <f>Financials!AA49/((Financials!AA18+Financials!Z18)/2)</f>
        <v>0</v>
      </c>
      <c r="AD41" s="16">
        <f>Financials!AB49/((Financials!AB18+Financials!AA18)/2)</f>
        <v>0</v>
      </c>
      <c r="AE41" s="16">
        <f>Financials!AC49/((Financials!AC18+Financials!AB18)/2)</f>
        <v>0</v>
      </c>
      <c r="AF41" s="16">
        <f>Financials!AD49/((Financials!AD18+Financials!AC18)/2)</f>
        <v>0</v>
      </c>
      <c r="AG41" s="16">
        <f>Financials!AE49/((Financials!AE18+Financials!AD18)/2)</f>
        <v>0</v>
      </c>
      <c r="AH41" s="16">
        <f>Financials!AF49/((Financials!AF18+Financials!AE18)/2)</f>
        <v>0</v>
      </c>
      <c r="AI41" s="16">
        <f>Financials!AG49/((Financials!AG18+Financials!AF18)/2)</f>
        <v>0</v>
      </c>
      <c r="AJ41" s="16">
        <f>Financials!AH49/((Financials!AH18+Financials!AG18)/2)</f>
        <v>0</v>
      </c>
      <c r="AK41" s="16">
        <f>Financials!AI49/((Financials!AI18+Financials!AH18)/2)</f>
        <v>0</v>
      </c>
      <c r="AL41" s="16">
        <f>Financials!AJ49/((Financials!AJ18+Financials!AI18)/2)</f>
        <v>0</v>
      </c>
      <c r="AM41" s="16">
        <f>Financials!AK49/((Financials!AK18+Financials!AJ18)/2)</f>
        <v>0</v>
      </c>
      <c r="AN41" s="16">
        <f>Financials!AL49/((Financials!AL18+Financials!AK18)/2)</f>
        <v>0</v>
      </c>
      <c r="AO41" s="16">
        <f>Financials!AM49/((Financials!AM18+Financials!AL18)/2)</f>
        <v>0</v>
      </c>
      <c r="AP41" s="16">
        <f>Financials!AN49/((Financials!AN18+Financials!AM18)/2)</f>
        <v>0</v>
      </c>
      <c r="AQ41" s="16">
        <f>Financials!AO49/((Financials!AO18+Financials!AN18)/2)</f>
        <v>0</v>
      </c>
      <c r="AR41" s="16">
        <f>Financials!AP49/((Financials!AP18+Financials!AO18)/2)</f>
        <v>0</v>
      </c>
      <c r="AS41" s="16">
        <f>Financials!AQ49/((Financials!AQ18+Financials!AP18)/2)</f>
        <v>0</v>
      </c>
      <c r="AT41" s="16">
        <f>Financials!AR49/((Financials!AR18+Financials!AQ18)/2)</f>
        <v>0</v>
      </c>
      <c r="AU41" s="16">
        <f>Financials!AS49/((Financials!AS18+Financials!AR18)/2)</f>
        <v>0</v>
      </c>
      <c r="AV41" s="16"/>
      <c r="AW41" s="16">
        <f>Financials!AU49/((Financials!AU18+Financials!AT18)/2)</f>
        <v>0.11899175358045894</v>
      </c>
      <c r="AX41" s="16">
        <f>Financials!AV49/((Financials!AV18+Financials!AU18)/2)</f>
        <v>0</v>
      </c>
      <c r="AY41" s="16">
        <f>Financials!AW49/((Financials!AW18+Financials!AV18)/2)</f>
        <v>0</v>
      </c>
      <c r="AZ41" s="16">
        <f>Financials!AX49/((Financials!AX18+Financials!AW18)/2)</f>
        <v>0</v>
      </c>
      <c r="BA41" s="16">
        <f>Financials!AY49/((Financials!AY18+Financials!AX18)/2)</f>
        <v>0</v>
      </c>
      <c r="BB41" s="16">
        <f>Financials!AZ49/((Financials!AZ18+Financials!AY18)/2)</f>
        <v>0</v>
      </c>
      <c r="BC41" s="16">
        <f>Financials!BA49/((Financials!BA18+Financials!AZ18)/2)</f>
        <v>0</v>
      </c>
      <c r="BD41" s="16">
        <f>Financials!BB49/((Financials!BB18+Financials!BA18)/2)</f>
        <v>0</v>
      </c>
      <c r="BE41" s="16">
        <f>Financials!BC49/((Financials!BC18+Financials!BB18)/2)</f>
        <v>0</v>
      </c>
      <c r="BF41" s="16">
        <f>Financials!BD49/((Financials!BD18+Financials!BC18)/2)</f>
        <v>0</v>
      </c>
      <c r="BG41" s="16">
        <f>Financials!BE49/((Financials!BE18+Financials!BD18)/2)</f>
        <v>0</v>
      </c>
      <c r="BH41" s="16">
        <f>Financials!BF49/((Financials!BF18+Financials!BE18)/2)</f>
        <v>0.12029844622337145</v>
      </c>
      <c r="BI41" s="16">
        <f>Financials!BG49/((Financials!BG18+Financials!BF18)/2)</f>
        <v>0</v>
      </c>
      <c r="BJ41" s="16">
        <f>Financials!BH49/((Financials!BH18+Financials!BG18)/2)</f>
        <v>0</v>
      </c>
      <c r="BK41" s="16">
        <f>Financials!BI49/((Financials!BI18+Financials!BH18)/2)</f>
        <v>0</v>
      </c>
      <c r="BL41" s="16">
        <f>Financials!BJ49/((Financials!BJ18+Financials!BI18)/2)</f>
        <v>0</v>
      </c>
      <c r="BM41" s="16">
        <f>Financials!BK49/((Financials!BK18+Financials!BJ18)/2)</f>
        <v>0</v>
      </c>
      <c r="BN41" s="16">
        <f>Financials!BL49/((Financials!BL18+Financials!BK18)/2)</f>
        <v>0</v>
      </c>
      <c r="BO41" s="16">
        <f>Financials!BM49/((Financials!BM18+Financials!BL18)/2)</f>
        <v>0</v>
      </c>
      <c r="BP41" s="16">
        <f>Financials!BN49/((Financials!BN18+Financials!BM18)/2)</f>
        <v>0</v>
      </c>
      <c r="BQ41" s="16">
        <f>Financials!BO49/((Financials!BO18+Financials!BN18)/2)</f>
        <v>0</v>
      </c>
      <c r="BR41" s="16">
        <f>Financials!BP49/((Financials!BP18+Financials!BO18)/2)</f>
        <v>0</v>
      </c>
      <c r="BS41" s="16">
        <f>Financials!BQ49/((Financials!BQ18+Financials!BP18)/2)</f>
        <v>0</v>
      </c>
      <c r="BT41" s="16">
        <f>Financials!BR49/((Financials!BR18+Financials!BQ18)/2)</f>
        <v>0</v>
      </c>
      <c r="BU41" s="16">
        <f>Financials!BS49/((Financials!BS18+Financials!BR18)/2)</f>
        <v>0</v>
      </c>
      <c r="BV41" s="16">
        <f>Financials!BT49/((Financials!BT18+Financials!BS18)/2)</f>
        <v>0</v>
      </c>
      <c r="BW41" s="16">
        <f>Financials!BU49/((Financials!BU18+Financials!BT18)/2)</f>
        <v>0</v>
      </c>
      <c r="BX41" s="16">
        <f>Financials!BV49/((Financials!BV18+Financials!BU18)/2)</f>
        <v>0</v>
      </c>
      <c r="BY41" s="16">
        <f>Financials!BW49/((Financials!BW18+Financials!BV18)/2)</f>
        <v>0</v>
      </c>
      <c r="BZ41" s="16">
        <f>Financials!BX49/((Financials!BX18+Financials!BW18)/2)</f>
        <v>0</v>
      </c>
      <c r="CA41" s="16">
        <f>Financials!BY49/((Financials!BY18+Financials!BX18)/2)</f>
        <v>0</v>
      </c>
      <c r="CB41" s="16">
        <f>Financials!BZ49/((Financials!BZ18+Financials!BY18)/2)</f>
        <v>0</v>
      </c>
    </row>
    <row r="42" spans="2:80">
      <c r="B42" s="13">
        <v>5.3</v>
      </c>
      <c r="C42" s="12" t="s">
        <v>78</v>
      </c>
      <c r="D42" s="64" t="s">
        <v>55</v>
      </c>
      <c r="E42" s="16" t="e">
        <f>Financials!C50/((Financials!C9+Financials!B9)/2)</f>
        <v>#VALUE!</v>
      </c>
      <c r="F42" s="16">
        <f>Financials!D50/((Financials!D9+Financials!C9)/2)</f>
        <v>0.20523164055977081</v>
      </c>
      <c r="G42" s="16">
        <f>Financials!E50/((Financials!E9+Financials!D9)/2)</f>
        <v>7.2103164809915912</v>
      </c>
      <c r="H42" s="16">
        <f>Financials!F50/((Financials!F9+Financials!E9)/2)</f>
        <v>8.1587017457248751E-2</v>
      </c>
      <c r="I42" s="16">
        <f>Financials!G50/((Financials!G9+Financials!F9)/2)</f>
        <v>9.7970435991033195E-2</v>
      </c>
      <c r="J42" s="16">
        <f>Financials!H50/((Financials!H9+Financials!G9)/2)</f>
        <v>0.14430267447272399</v>
      </c>
      <c r="K42" s="16">
        <f>Financials!I50/((Financials!I9+Financials!H9)/2)</f>
        <v>0.24657016854835939</v>
      </c>
      <c r="L42" s="16">
        <f>Financials!J50/((Financials!J9+Financials!I9)/2)</f>
        <v>0.3048011841013909</v>
      </c>
      <c r="M42" s="16">
        <f>Financials!K50/((Financials!K9+Financials!J9)/2)</f>
        <v>0.39230610265635435</v>
      </c>
      <c r="N42" s="16">
        <f>Financials!L50/((Financials!L9+Financials!K9)/2)</f>
        <v>1.0196025587880047</v>
      </c>
      <c r="O42" s="16" t="e">
        <f>Financials!M50/((Financials!M9+Financials!L9)/2)</f>
        <v>#DIV/0!</v>
      </c>
      <c r="P42" s="16" t="e">
        <f>Financials!N50/((Financials!N9+Financials!M9)/2)</f>
        <v>#DIV/0!</v>
      </c>
      <c r="Q42" s="16" t="e">
        <f>Financials!O50/((Financials!O9+Financials!N9)/2)</f>
        <v>#DIV/0!</v>
      </c>
      <c r="R42" s="16" t="e">
        <f>Financials!P50/((Financials!P9+Financials!O9)/2)</f>
        <v>#DIV/0!</v>
      </c>
      <c r="S42" s="16" t="e">
        <f>Financials!Q50/((Financials!Q9+Financials!P9)/2)</f>
        <v>#DIV/0!</v>
      </c>
      <c r="T42" s="16" t="e">
        <f>Financials!R50/((Financials!R9+Financials!Q9)/2)</f>
        <v>#DIV/0!</v>
      </c>
      <c r="U42" s="16" t="e">
        <f>Financials!S50/((Financials!S9+Financials!R9)/2)</f>
        <v>#DIV/0!</v>
      </c>
      <c r="V42" s="16" t="e">
        <f>Financials!T50/((Financials!T9+Financials!S9)/2)</f>
        <v>#DIV/0!</v>
      </c>
      <c r="W42" s="16" t="e">
        <f>Financials!U50/((Financials!U9+Financials!T9)/2)</f>
        <v>#DIV/0!</v>
      </c>
      <c r="X42" s="16" t="e">
        <f>Financials!V50/((Financials!V9+Financials!U9)/2)</f>
        <v>#DIV/0!</v>
      </c>
      <c r="Y42" s="16" t="e">
        <f>Financials!W50/((Financials!W9+Financials!V9)/2)</f>
        <v>#DIV/0!</v>
      </c>
      <c r="Z42" s="16" t="e">
        <f>Financials!X50/((Financials!X9+Financials!W9)/2)</f>
        <v>#DIV/0!</v>
      </c>
      <c r="AA42" s="16" t="e">
        <f>Financials!Y50/((Financials!Y9+Financials!X9)/2)</f>
        <v>#DIV/0!</v>
      </c>
      <c r="AB42" s="16" t="e">
        <f>Financials!Z50/((Financials!Z9+Financials!Y9)/2)</f>
        <v>#DIV/0!</v>
      </c>
      <c r="AC42" s="16" t="e">
        <f>Financials!AA50/((Financials!AA9+Financials!Z9)/2)</f>
        <v>#DIV/0!</v>
      </c>
      <c r="AD42" s="16" t="e">
        <f>Financials!AB50/((Financials!AB9+Financials!AA9)/2)</f>
        <v>#DIV/0!</v>
      </c>
      <c r="AE42" s="16" t="e">
        <f>Financials!AC50/((Financials!AC9+Financials!AB9)/2)</f>
        <v>#DIV/0!</v>
      </c>
      <c r="AF42" s="16" t="e">
        <f>Financials!AD50/((Financials!AD9+Financials!AC9)/2)</f>
        <v>#DIV/0!</v>
      </c>
      <c r="AG42" s="16" t="e">
        <f>Financials!AE50/((Financials!AE9+Financials!AD9)/2)</f>
        <v>#DIV/0!</v>
      </c>
      <c r="AH42" s="16" t="e">
        <f>Financials!AF50/((Financials!AF9+Financials!AE9)/2)</f>
        <v>#DIV/0!</v>
      </c>
      <c r="AI42" s="16">
        <f>Financials!AG50/((Financials!AG9+Financials!AF9)/2)</f>
        <v>0.48726987857422638</v>
      </c>
      <c r="AJ42" s="16">
        <f>Financials!AH50/((Financials!AH9+Financials!AG9)/2)</f>
        <v>2.9701251811237774E-4</v>
      </c>
      <c r="AK42" s="16">
        <f>Financials!AI50/((Financials!AI9+Financials!AH9)/2)</f>
        <v>4.9599999999999999E-7</v>
      </c>
      <c r="AL42" s="16">
        <f>Financials!AJ50/((Financials!AJ9+Financials!AI9)/2)</f>
        <v>0</v>
      </c>
      <c r="AM42" s="16">
        <f>Financials!AK50/((Financials!AK9+Financials!AJ9)/2)</f>
        <v>2.5010729999999999E-3</v>
      </c>
      <c r="AN42" s="16">
        <f>Financials!AL50/((Financials!AL9+Financials!AK9)/2)</f>
        <v>2.6082644529846419E-3</v>
      </c>
      <c r="AO42" s="16">
        <f>Financials!AM50/((Financials!AM9+Financials!AL9)/2)</f>
        <v>2.7251915790946304E-3</v>
      </c>
      <c r="AP42" s="16">
        <f>Financials!AN50/((Financials!AN9+Financials!AM9)/2)</f>
        <v>0</v>
      </c>
      <c r="AQ42" s="16">
        <f>Financials!AO50/((Financials!AO9+Financials!AN9)/2)</f>
        <v>1.1481104242470529E-2</v>
      </c>
      <c r="AR42" s="16">
        <f>Financials!AP50/((Financials!AP9+Financials!AO9)/2)</f>
        <v>5.7405521212352643E-3</v>
      </c>
      <c r="AS42" s="16">
        <f>Financials!AQ50/((Financials!AQ9+Financials!AP9)/2)</f>
        <v>8.6691335963969465E-3</v>
      </c>
      <c r="AT42" s="16">
        <f>Financials!AR50/((Financials!AR9+Financials!AQ9)/2)</f>
        <v>9.144767036321241E-3</v>
      </c>
      <c r="AU42" s="16">
        <f>Financials!AS50/((Financials!AS9+Financials!AR9)/2)</f>
        <v>9.14476836469196E-3</v>
      </c>
      <c r="AV42" s="16"/>
      <c r="AW42" s="16">
        <f>Financials!AU50/((Financials!AU9+Financials!AT9)/2)</f>
        <v>9.0580353211117029E-2</v>
      </c>
      <c r="AX42" s="16" t="e">
        <f>Financials!AV50/((Financials!AV9+Financials!AU9)/2)</f>
        <v>#DIV/0!</v>
      </c>
      <c r="AY42" s="16" t="e">
        <f>Financials!AW50/((Financials!AW9+Financials!AV9)/2)</f>
        <v>#DIV/0!</v>
      </c>
      <c r="AZ42" s="16" t="e">
        <f>Financials!AX50/((Financials!AX9+Financials!AW9)/2)</f>
        <v>#DIV/0!</v>
      </c>
      <c r="BA42" s="16" t="e">
        <f>Financials!AY50/((Financials!AY9+Financials!AX9)/2)</f>
        <v>#DIV/0!</v>
      </c>
      <c r="BB42" s="16" t="e">
        <f>Financials!AZ50/((Financials!AZ9+Financials!AY9)/2)</f>
        <v>#DIV/0!</v>
      </c>
      <c r="BC42" s="16" t="e">
        <f>Financials!BA50/((Financials!BA9+Financials!AZ9)/2)</f>
        <v>#DIV/0!</v>
      </c>
      <c r="BD42" s="16" t="e">
        <f>Financials!BB50/((Financials!BB9+Financials!BA9)/2)</f>
        <v>#DIV/0!</v>
      </c>
      <c r="BE42" s="16" t="e">
        <f>Financials!BC50/((Financials!BC9+Financials!BB9)/2)</f>
        <v>#DIV/0!</v>
      </c>
      <c r="BF42" s="16" t="e">
        <f>Financials!BD50/((Financials!BD9+Financials!BC9)/2)</f>
        <v>#DIV/0!</v>
      </c>
      <c r="BG42" s="16" t="e">
        <f>Financials!BE50/((Financials!BE9+Financials!BD9)/2)</f>
        <v>#DIV/0!</v>
      </c>
      <c r="BH42" s="16" t="e">
        <f>Financials!BF50/((Financials!BF9+Financials!BE9)/2)</f>
        <v>#DIV/0!</v>
      </c>
      <c r="BI42" s="16" t="e">
        <f>Financials!BG50/((Financials!BG9+Financials!BF9)/2)</f>
        <v>#DIV/0!</v>
      </c>
      <c r="BJ42" s="16" t="e">
        <f>Financials!BH50/((Financials!BH9+Financials!BG9)/2)</f>
        <v>#DIV/0!</v>
      </c>
      <c r="BK42" s="16" t="e">
        <f>Financials!BI50/((Financials!BI9+Financials!BH9)/2)</f>
        <v>#DIV/0!</v>
      </c>
      <c r="BL42" s="16" t="e">
        <f>Financials!BJ50/((Financials!BJ9+Financials!BI9)/2)</f>
        <v>#DIV/0!</v>
      </c>
      <c r="BM42" s="16" t="e">
        <f>Financials!BK50/((Financials!BK9+Financials!BJ9)/2)</f>
        <v>#DIV/0!</v>
      </c>
      <c r="BN42" s="16" t="e">
        <f>Financials!BL50/((Financials!BL9+Financials!BK9)/2)</f>
        <v>#DIV/0!</v>
      </c>
      <c r="BO42" s="16" t="e">
        <f>Financials!BM50/((Financials!BM9+Financials!BL9)/2)</f>
        <v>#DIV/0!</v>
      </c>
      <c r="BP42" s="16" t="e">
        <f>Financials!BN50/((Financials!BN9+Financials!BM9)/2)</f>
        <v>#DIV/0!</v>
      </c>
      <c r="BQ42" s="16" t="e">
        <f>Financials!BO50/((Financials!BO9+Financials!BN9)/2)</f>
        <v>#DIV/0!</v>
      </c>
      <c r="BR42" s="16" t="e">
        <f>Financials!BP50/((Financials!BP9+Financials!BO9)/2)</f>
        <v>#DIV/0!</v>
      </c>
      <c r="BS42" s="16" t="e">
        <f>Financials!BQ50/((Financials!BQ9+Financials!BP9)/2)</f>
        <v>#DIV/0!</v>
      </c>
      <c r="BT42" s="16" t="e">
        <f>Financials!BR50/((Financials!BR9+Financials!BQ9)/2)</f>
        <v>#DIV/0!</v>
      </c>
      <c r="BU42" s="16" t="e">
        <f>Financials!BS50/((Financials!BS9+Financials!BR9)/2)</f>
        <v>#DIV/0!</v>
      </c>
      <c r="BV42" s="16" t="e">
        <f>Financials!BT50/((Financials!BT9+Financials!BS9)/2)</f>
        <v>#DIV/0!</v>
      </c>
      <c r="BW42" s="16">
        <f>Financials!BU50/((Financials!BU9+Financials!BT9)/2)</f>
        <v>0</v>
      </c>
      <c r="BX42" s="16">
        <f>Financials!BV50/((Financials!BV9+Financials!BU9)/2)</f>
        <v>9.4573011055781014E-3</v>
      </c>
      <c r="BY42" s="16">
        <f>Financials!BW50/((Financials!BW9+Financials!BV9)/2)</f>
        <v>2.102404906106025E-2</v>
      </c>
      <c r="BZ42" s="16">
        <f>Financials!BX50/((Financials!BX9+Financials!BW9)/2)</f>
        <v>3.5037910867424221E-2</v>
      </c>
      <c r="CA42" s="16">
        <f>Financials!BY50/((Financials!BY9+Financials!BX9)/2)</f>
        <v>4.9517184551549243E-2</v>
      </c>
      <c r="CB42" s="16">
        <f>Financials!BZ50/((Financials!BZ9+Financials!BY9)/2)</f>
        <v>6.4849267632446833E-2</v>
      </c>
    </row>
    <row r="43" spans="2:80">
      <c r="B43" s="13">
        <v>5.4</v>
      </c>
      <c r="C43" s="12" t="s">
        <v>79</v>
      </c>
      <c r="D43" s="64" t="s">
        <v>55</v>
      </c>
      <c r="E43" s="16" t="e">
        <f>(Financials!C52+Financials!C53)/((Financials!C5+Financials!B5)/2)</f>
        <v>#VALUE!</v>
      </c>
      <c r="F43" s="16">
        <f>(Financials!D52+Financials!D53)/((Financials!D5+Financials!C5)/2)</f>
        <v>2.6206335659930687E-2</v>
      </c>
      <c r="G43" s="16">
        <f>(Financials!E52+Financials!E53)/((Financials!E5+Financials!D5)/2)</f>
        <v>1.7617452015933649E-2</v>
      </c>
      <c r="H43" s="16">
        <f>(Financials!F52+Financials!F53)/((Financials!F5+Financials!E5)/2)</f>
        <v>1.5180531837668001E-3</v>
      </c>
      <c r="I43" s="16">
        <f>(Financials!G52+Financials!G53)/((Financials!G5+Financials!F5)/2)</f>
        <v>3.3022340475466535E-3</v>
      </c>
      <c r="J43" s="16">
        <f>(Financials!H52+Financials!H53)/((Financials!H5+Financials!G5)/2)</f>
        <v>4.2012773724691994E-3</v>
      </c>
      <c r="K43" s="16">
        <f>(Financials!I52+Financials!I53)/((Financials!I5+Financials!H5)/2)</f>
        <v>4.9105246648784408E-3</v>
      </c>
      <c r="L43" s="16">
        <f>(Financials!J52+Financials!J53)/((Financials!J5+Financials!I5)/2)</f>
        <v>6.5042710332929889E-3</v>
      </c>
      <c r="M43" s="16">
        <f>(Financials!K52+Financials!K53)/((Financials!K5+Financials!J5)/2)</f>
        <v>7.7572266830300161E-3</v>
      </c>
      <c r="N43" s="16">
        <f>(Financials!L52+Financials!L53)/((Financials!L5+Financials!K5)/2)</f>
        <v>8.6600281294948161E-3</v>
      </c>
      <c r="O43" s="16">
        <f>(Financials!M52+Financials!M53)/((Financials!M5+Financials!L5)/2)</f>
        <v>1.0148446289292333E-2</v>
      </c>
      <c r="P43" s="16">
        <f>(Financials!N52+Financials!N53)/((Financials!N5+Financials!M5)/2)</f>
        <v>1.1287215999080794E-2</v>
      </c>
      <c r="Q43" s="16">
        <f>(Financials!O52+Financials!O53)/((Financials!O5+Financials!N5)/2)</f>
        <v>1.3161306555631242E-2</v>
      </c>
      <c r="R43" s="16">
        <f>(Financials!P52+Financials!P53)/((Financials!P5+Financials!O5)/2)</f>
        <v>1.4504815921952741E-2</v>
      </c>
      <c r="S43" s="16">
        <f>(Financials!Q52+Financials!Q53)/((Financials!Q5+Financials!P5)/2)</f>
        <v>2.299468767267767E-2</v>
      </c>
      <c r="T43" s="16">
        <f>(Financials!R52+Financials!R53)/((Financials!R5+Financials!Q5)/2)</f>
        <v>2.2433482097999061E-2</v>
      </c>
      <c r="U43" s="16">
        <f>(Financials!S52+Financials!S53)/((Financials!S5+Financials!R5)/2)</f>
        <v>2.0002929226472399E-2</v>
      </c>
      <c r="V43" s="16">
        <f>(Financials!T52+Financials!T53)/((Financials!T5+Financials!S5)/2)</f>
        <v>2.2978987269493985E-2</v>
      </c>
      <c r="W43" s="16">
        <f>(Financials!U52+Financials!U53)/((Financials!U5+Financials!T5)/2)</f>
        <v>2.0585563849595957E-2</v>
      </c>
      <c r="X43" s="16">
        <f>(Financials!V52+Financials!V53)/((Financials!V5+Financials!U5)/2)</f>
        <v>2.1028649063610988E-2</v>
      </c>
      <c r="Y43" s="16">
        <f>(Financials!W52+Financials!W53)/((Financials!W5+Financials!V5)/2)</f>
        <v>2.4713185008539983E-2</v>
      </c>
      <c r="Z43" s="16">
        <f>(Financials!X52+Financials!X53)/((Financials!X5+Financials!W5)/2)</f>
        <v>8.1992506579917634E-3</v>
      </c>
      <c r="AA43" s="16">
        <f>(Financials!Y52+Financials!Y53)/((Financials!Y5+Financials!X5)/2)</f>
        <v>1.6194334753696863E-2</v>
      </c>
      <c r="AB43" s="16">
        <f>(Financials!Z52+Financials!Z53)/((Financials!Z5+Financials!Y5)/2)</f>
        <v>1.807072997880713E-2</v>
      </c>
      <c r="AC43" s="16">
        <f>(Financials!AA52+Financials!AA53)/((Financials!AA5+Financials!Z5)/2)</f>
        <v>1.6512201092231081E-2</v>
      </c>
      <c r="AD43" s="16">
        <f>(Financials!AB52+Financials!AB53)/((Financials!AB5+Financials!AA5)/2)</f>
        <v>1.7462779505858228E-2</v>
      </c>
      <c r="AE43" s="16">
        <f>(Financials!AC52+Financials!AC53)/((Financials!AC5+Financials!AB5)/2)</f>
        <v>2.0143300548977609E-2</v>
      </c>
      <c r="AF43" s="16">
        <f>(Financials!AD52+Financials!AD53)/((Financials!AD5+Financials!AC5)/2)</f>
        <v>2.1095987194818484E-2</v>
      </c>
      <c r="AG43" s="16">
        <f>(Financials!AE52+Financials!AE53)/((Financials!AE5+Financials!AD5)/2)</f>
        <v>2.2799720464519699E-2</v>
      </c>
      <c r="AH43" s="16">
        <f>(Financials!AF52+Financials!AF53)/((Financials!AF5+Financials!AE5)/2)</f>
        <v>2.3814414512599878E-2</v>
      </c>
      <c r="AI43" s="16">
        <f>(Financials!AG52+Financials!AG53)/((Financials!AG5+Financials!AF5)/2)</f>
        <v>2.6580796567152822E-2</v>
      </c>
      <c r="AJ43" s="16">
        <f>(Financials!AH52+Financials!AH53)/((Financials!AH5+Financials!AG5)/2)</f>
        <v>2.4363185580715697E-2</v>
      </c>
      <c r="AK43" s="16">
        <f>(Financials!AI52+Financials!AI53)/((Financials!AI5+Financials!AH5)/2)</f>
        <v>3.2803881671444883E-3</v>
      </c>
      <c r="AL43" s="16">
        <f>(Financials!AJ52+Financials!AJ53)/((Financials!AJ5+Financials!AI5)/2)</f>
        <v>4.8284449976748745E-3</v>
      </c>
      <c r="AM43" s="16">
        <f>(Financials!AK52+Financials!AK53)/((Financials!AK5+Financials!AJ5)/2)</f>
        <v>6.1768159172360176E-3</v>
      </c>
      <c r="AN43" s="16">
        <f>(Financials!AL52+Financials!AL53)/((Financials!AL5+Financials!AK5)/2)</f>
        <v>7.4407536974928816E-3</v>
      </c>
      <c r="AO43" s="16">
        <f>(Financials!AM52+Financials!AM53)/((Financials!AM5+Financials!AL5)/2)</f>
        <v>9.18118457685284E-3</v>
      </c>
      <c r="AP43" s="16">
        <f>(Financials!AN52+Financials!AN53)/((Financials!AN5+Financials!AM5)/2)</f>
        <v>0</v>
      </c>
      <c r="AQ43" s="16">
        <f>(Financials!AO52+Financials!AO53)/((Financials!AO5+Financials!AN5)/2)</f>
        <v>2.9891495697202553E-2</v>
      </c>
      <c r="AR43" s="16">
        <f>(Financials!AP52+Financials!AP53)/((Financials!AP5+Financials!AO5)/2)</f>
        <v>1.6451293797152135E-2</v>
      </c>
      <c r="AS43" s="16">
        <f>(Financials!AQ52+Financials!AQ53)/((Financials!AQ5+Financials!AP5)/2)</f>
        <v>1.8280976717625273E-2</v>
      </c>
      <c r="AT43" s="16">
        <f>(Financials!AR52+Financials!AR53)/((Financials!AR5+Financials!AQ5)/2)</f>
        <v>1.9922586672219446E-2</v>
      </c>
      <c r="AU43" s="16">
        <f>(Financials!AS52+Financials!AS53)/((Financials!AS5+Financials!AR5)/2)</f>
        <v>2.1523731629181083E-2</v>
      </c>
      <c r="AV43" s="16"/>
      <c r="AW43" s="16">
        <f>(Financials!AU52+Financials!AU53)/((Financials!AU5+Financials!AT5)/2)</f>
        <v>2.4843635557486234E-2</v>
      </c>
      <c r="AX43" s="16">
        <f>(Financials!AV52+Financials!AV53)/((Financials!AV5+Financials!AU5)/2)</f>
        <v>5.8252792876119786E-3</v>
      </c>
      <c r="AY43" s="16">
        <f>(Financials!AW52+Financials!AW53)/((Financials!AW5+Financials!AV5)/2)</f>
        <v>9.1475651292950277E-3</v>
      </c>
      <c r="AZ43" s="16">
        <f>(Financials!AX52+Financials!AX53)/((Financials!AX5+Financials!AW5)/2)</f>
        <v>1.0498944139584547E-2</v>
      </c>
      <c r="BA43" s="16">
        <f>(Financials!AY52+Financials!AY53)/((Financials!AY5+Financials!AX5)/2)</f>
        <v>1.349818479766025E-2</v>
      </c>
      <c r="BB43" s="16">
        <f>(Financials!AZ52+Financials!AZ53)/((Financials!AZ5+Financials!AY5)/2)</f>
        <v>1.6553811440476796E-2</v>
      </c>
      <c r="BC43" s="16">
        <f>(Financials!BA52+Financials!BA53)/((Financials!BA5+Financials!AZ5)/2)</f>
        <v>1.7892709390609704E-2</v>
      </c>
      <c r="BD43" s="16">
        <f>(Financials!BB52+Financials!BB53)/((Financials!BB5+Financials!BA5)/2)</f>
        <v>2.0732625325877028E-2</v>
      </c>
      <c r="BE43" s="16">
        <f>(Financials!BC52+Financials!BC53)/((Financials!BC5+Financials!BB5)/2)</f>
        <v>2.2295723273352622E-2</v>
      </c>
      <c r="BF43" s="16">
        <f>(Financials!BD52+Financials!BD53)/((Financials!BD5+Financials!BC5)/2)</f>
        <v>2.3201821118921523E-2</v>
      </c>
      <c r="BG43" s="16">
        <f>(Financials!BE52+Financials!BE53)/((Financials!BE5+Financials!BD5)/2)</f>
        <v>2.6672073814865655E-2</v>
      </c>
      <c r="BH43" s="16">
        <f>(Financials!BF52+Financials!BF53)/((Financials!BF5+Financials!BE5)/2)</f>
        <v>4.3840086264039888E-2</v>
      </c>
      <c r="BI43" s="16">
        <f>(Financials!BG52+Financials!BG53)/((Financials!BG5+Financials!BF5)/2)</f>
        <v>5.0742308452462699E-2</v>
      </c>
      <c r="BJ43" s="16">
        <f>(Financials!BH52+Financials!BH53)/((Financials!BH5+Financials!BG5)/2)</f>
        <v>2.8266564468885096E-3</v>
      </c>
      <c r="BK43" s="16">
        <f>(Financials!BI52+Financials!BI53)/((Financials!BI5+Financials!BH5)/2)</f>
        <v>6.4850742718550528E-3</v>
      </c>
      <c r="BL43" s="16">
        <f>(Financials!BJ52+Financials!BJ53)/((Financials!BJ5+Financials!BI5)/2)</f>
        <v>1.4314155930017072E-2</v>
      </c>
      <c r="BM43" s="16">
        <f>(Financials!BK52+Financials!BK53)/((Financials!BK5+Financials!BJ5)/2)</f>
        <v>1.7424663832553755E-2</v>
      </c>
      <c r="BN43" s="16">
        <f>(Financials!BL52+Financials!BL53)/((Financials!BL5+Financials!BK5)/2)</f>
        <v>2.1827860929404065E-2</v>
      </c>
      <c r="BO43" s="16">
        <f>(Financials!BM52+Financials!BM53)/((Financials!BM5+Financials!BL5)/2)</f>
        <v>2.4382232558067121E-2</v>
      </c>
      <c r="BP43" s="16">
        <f>(Financials!BN52+Financials!BN53)/((Financials!BN5+Financials!BM5)/2)</f>
        <v>2.7040607002650374E-2</v>
      </c>
      <c r="BQ43" s="16">
        <f>(Financials!BO52+Financials!BO53)/((Financials!BO5+Financials!BN5)/2)</f>
        <v>2.9032243965261509E-2</v>
      </c>
      <c r="BR43" s="16">
        <f>(Financials!BP52+Financials!BP53)/((Financials!BP5+Financials!BO5)/2)</f>
        <v>3.0725921722737373E-2</v>
      </c>
      <c r="BS43" s="16">
        <f>(Financials!BQ52+Financials!BQ53)/((Financials!BQ5+Financials!BP5)/2)</f>
        <v>3.315554335981663E-2</v>
      </c>
      <c r="BT43" s="16">
        <f>(Financials!BR52+Financials!BR53)/((Financials!BR5+Financials!BQ5)/2)</f>
        <v>3.4625829401741352E-2</v>
      </c>
      <c r="BU43" s="16">
        <f>(Financials!BS52+Financials!BS53)/((Financials!BS5+Financials!BR5)/2)</f>
        <v>2.9123422170374516E-2</v>
      </c>
      <c r="BV43" s="16">
        <f>(Financials!BT52+Financials!BT53)/((Financials!BT5+Financials!BS5)/2)</f>
        <v>3.5322897053361987E-2</v>
      </c>
      <c r="BW43" s="16">
        <f>(Financials!BU52+Financials!BU53)/((Financials!BU5+Financials!BT5)/2)</f>
        <v>1.5406463069272331E-3</v>
      </c>
      <c r="BX43" s="16">
        <f>(Financials!BV52+Financials!BV53)/((Financials!BV5+Financials!BU5)/2)</f>
        <v>7.1290749977512523E-3</v>
      </c>
      <c r="BY43" s="16">
        <f>(Financials!BW52+Financials!BW53)/((Financials!BW5+Financials!BV5)/2)</f>
        <v>1.2201676330578285E-2</v>
      </c>
      <c r="BZ43" s="16">
        <f>(Financials!BX52+Financials!BX53)/((Financials!BX5+Financials!BW5)/2)</f>
        <v>1.3175710234659322E-2</v>
      </c>
      <c r="CA43" s="16">
        <f>(Financials!BY52+Financials!BY53)/((Financials!BY5+Financials!BX5)/2)</f>
        <v>1.6155903830303266E-2</v>
      </c>
      <c r="CB43" s="16">
        <f>(Financials!BZ52+Financials!BZ53)/((Financials!BZ5+Financials!BY5)/2)</f>
        <v>1.9647726794414705E-2</v>
      </c>
    </row>
    <row r="44" spans="2:80">
      <c r="B44" s="13">
        <v>5.5</v>
      </c>
      <c r="C44" s="12" t="s">
        <v>80</v>
      </c>
      <c r="D44" s="64" t="s">
        <v>55</v>
      </c>
      <c r="E44" s="16" t="e">
        <f>Financials!C42/((Financials!C31+Financials!B31)/2)</f>
        <v>#VALUE!</v>
      </c>
      <c r="F44" s="16">
        <f>Financials!D42/((Financials!D31+Financials!C31)/2)</f>
        <v>2.5609859353847294E-2</v>
      </c>
      <c r="G44" s="16">
        <f>Financials!E42/((Financials!E31+Financials!D31)/2)</f>
        <v>2.1452182837075593E-2</v>
      </c>
      <c r="H44" s="16">
        <f>Financials!F42/((Financials!F31+Financials!E31)/2)</f>
        <v>2.5418561476430946E-2</v>
      </c>
      <c r="I44" s="16">
        <f>Financials!G42/((Financials!G31+Financials!F31)/2)</f>
        <v>2.4967436047283395E-2</v>
      </c>
      <c r="J44" s="16">
        <f>Financials!H42/((Financials!H31+Financials!G31)/2)</f>
        <v>2.4748276040988205E-2</v>
      </c>
      <c r="K44" s="16">
        <f>Financials!I42/((Financials!I31+Financials!H31)/2)</f>
        <v>2.4803301298862112E-2</v>
      </c>
      <c r="L44" s="16">
        <f>Financials!J42/((Financials!J31+Financials!I31)/2)</f>
        <v>2.5070198040250086E-2</v>
      </c>
      <c r="M44" s="16">
        <f>Financials!K42/((Financials!K31+Financials!J31)/2)</f>
        <v>2.5190362803041363E-2</v>
      </c>
      <c r="N44" s="16">
        <f>Financials!L42/((Financials!L31+Financials!K31)/2)</f>
        <v>2.5226143011932812E-2</v>
      </c>
      <c r="O44" s="16">
        <f>Financials!M42/((Financials!M31+Financials!L31)/2)</f>
        <v>2.4835039486754203E-2</v>
      </c>
      <c r="P44" s="16">
        <f>Financials!N42/((Financials!N31+Financials!M31)/2)</f>
        <v>2.4392540531711276E-2</v>
      </c>
      <c r="Q44" s="16">
        <f>Financials!O42/((Financials!O31+Financials!N31)/2)</f>
        <v>2.4087182241866872E-2</v>
      </c>
      <c r="R44" s="16">
        <f>Financials!P42/((Financials!P31+Financials!O31)/2)</f>
        <v>2.4159449373168083E-2</v>
      </c>
      <c r="S44" s="16">
        <f>Financials!Q42/((Financials!Q31+Financials!P31)/2)</f>
        <v>3.2237760451610142E-2</v>
      </c>
      <c r="T44" s="16">
        <f>Financials!R42/((Financials!R31+Financials!Q31)/2)</f>
        <v>3.706016406928847E-2</v>
      </c>
      <c r="U44" s="16">
        <f>Financials!S42/((Financials!S31+Financials!R31)/2)</f>
        <v>3.9002963863231377E-2</v>
      </c>
      <c r="V44" s="16">
        <f>Financials!T42/((Financials!T31+Financials!S31)/2)</f>
        <v>3.9163027349552786E-2</v>
      </c>
      <c r="W44" s="16">
        <f>Financials!U42/((Financials!U31+Financials!T31)/2)</f>
        <v>3.4281887414843865E-2</v>
      </c>
      <c r="X44" s="16">
        <f>Financials!V42/((Financials!V31+Financials!U31)/2)</f>
        <v>3.3877606671105204E-2</v>
      </c>
      <c r="Y44" s="16">
        <f>Financials!W42/((Financials!W31+Financials!V31)/2)</f>
        <v>3.377581349011366E-2</v>
      </c>
      <c r="Z44" s="16">
        <f>Financials!X42/((Financials!X31+Financials!W31)/2)</f>
        <v>3.8302082170984672E-2</v>
      </c>
      <c r="AA44" s="16">
        <f>Financials!Y42/((Financials!Y31+Financials!X31)/2)</f>
        <v>3.8083676153369043E-2</v>
      </c>
      <c r="AB44" s="16">
        <f>Financials!Z42/((Financials!Z31+Financials!Y31)/2)</f>
        <v>3.7859304601324549E-2</v>
      </c>
      <c r="AC44" s="16">
        <f>Financials!AA42/((Financials!AA31+Financials!Z31)/2)</f>
        <v>3.5967740953164289E-2</v>
      </c>
      <c r="AD44" s="16">
        <f>Financials!AB42/((Financials!AB31+Financials!AA31)/2)</f>
        <v>3.4222735476322215E-2</v>
      </c>
      <c r="AE44" s="16">
        <f>Financials!AC42/((Financials!AC31+Financials!AB31)/2)</f>
        <v>3.4318400940717607E-2</v>
      </c>
      <c r="AF44" s="16">
        <f>Financials!AD42/((Financials!AD31+Financials!AC31)/2)</f>
        <v>3.488927286803313E-2</v>
      </c>
      <c r="AG44" s="16">
        <f>Financials!AE42/((Financials!AE31+Financials!AD31)/2)</f>
        <v>3.4754330552673358E-2</v>
      </c>
      <c r="AH44" s="16">
        <f>Financials!AF42/((Financials!AF31+Financials!AE31)/2)</f>
        <v>3.4443427167672458E-2</v>
      </c>
      <c r="AI44" s="16">
        <f>Financials!AG42/((Financials!AG31+Financials!AF31)/2)</f>
        <v>3.9854835879859822E-2</v>
      </c>
      <c r="AJ44" s="16">
        <f>Financials!AH42/((Financials!AH31+Financials!AG31)/2)</f>
        <v>3.434421165595674E-2</v>
      </c>
      <c r="AK44" s="16">
        <f>Financials!AI42/((Financials!AI31+Financials!AH31)/2)</f>
        <v>3.9555108530005073E-2</v>
      </c>
      <c r="AL44" s="16">
        <f>Financials!AJ42/((Financials!AJ31+Financials!AI31)/2)</f>
        <v>3.9045625184776944E-2</v>
      </c>
      <c r="AM44" s="16">
        <f>Financials!AK42/((Financials!AK31+Financials!AJ31)/2)</f>
        <v>3.8222495646927236E-2</v>
      </c>
      <c r="AN44" s="16">
        <f>Financials!AL42/((Financials!AL31+Financials!AK31)/2)</f>
        <v>3.8520288758411306E-2</v>
      </c>
      <c r="AO44" s="16">
        <f>Financials!AM42/((Financials!AM31+Financials!AL31)/2)</f>
        <v>3.8847035059356341E-2</v>
      </c>
      <c r="AP44" s="16">
        <f>Financials!AN42/((Financials!AN31+Financials!AM31)/2)</f>
        <v>0</v>
      </c>
      <c r="AQ44" s="16">
        <f>Financials!AO42/((Financials!AO31+Financials!AN31)/2)</f>
        <v>7.1744809802047532E-2</v>
      </c>
      <c r="AR44" s="16">
        <f>Financials!AP42/((Financials!AP31+Financials!AO31)/2)</f>
        <v>3.6066019986230637E-2</v>
      </c>
      <c r="AS44" s="16">
        <f>Financials!AQ42/((Financials!AQ31+Financials!AP31)/2)</f>
        <v>3.5882836749110997E-2</v>
      </c>
      <c r="AT44" s="16">
        <f>Financials!AR42/((Financials!AR31+Financials!AQ31)/2)</f>
        <v>3.5679406784099248E-2</v>
      </c>
      <c r="AU44" s="16">
        <f>Financials!AS42/((Financials!AS31+Financials!AR31)/2)</f>
        <v>3.5811744041451557E-2</v>
      </c>
      <c r="AV44" s="16"/>
      <c r="AW44" s="16">
        <f>Financials!AU42/((Financials!AU31+Financials!AT31)/2)</f>
        <v>2.8391682216252597E-2</v>
      </c>
      <c r="AX44" s="16">
        <f>Financials!AV42/((Financials!AV31+Financials!AU31)/2)</f>
        <v>8.9496304627786544E-2</v>
      </c>
      <c r="AY44" s="16">
        <f>Financials!AW42/((Financials!AW31+Financials!AV31)/2)</f>
        <v>8.9962253352344632E-2</v>
      </c>
      <c r="AZ44" s="16">
        <f>Financials!AX42/((Financials!AX31+Financials!AW31)/2)</f>
        <v>8.9822141277044076E-2</v>
      </c>
      <c r="BA44" s="16">
        <f>Financials!AY42/((Financials!AY31+Financials!AX31)/2)</f>
        <v>8.9706826358762634E-2</v>
      </c>
      <c r="BB44" s="16">
        <f>Financials!AZ42/((Financials!AZ31+Financials!AY31)/2)</f>
        <v>8.951514250492229E-2</v>
      </c>
      <c r="BC44" s="16">
        <f>Financials!BA42/((Financials!BA31+Financials!AZ31)/2)</f>
        <v>8.719780177139369E-2</v>
      </c>
      <c r="BD44" s="16">
        <f>Financials!BB42/((Financials!BB31+Financials!BA31)/2)</f>
        <v>8.5056053828011319E-2</v>
      </c>
      <c r="BE44" s="16">
        <f>Financials!BC42/((Financials!BC31+Financials!BB31)/2)</f>
        <v>8.4443656331148323E-2</v>
      </c>
      <c r="BF44" s="16">
        <f>Financials!BD42/((Financials!BD31+Financials!BC31)/2)</f>
        <v>8.376263282729926E-2</v>
      </c>
      <c r="BG44" s="16">
        <f>Financials!BE42/((Financials!BE31+Financials!BD31)/2)</f>
        <v>8.341416459226883E-2</v>
      </c>
      <c r="BH44" s="16">
        <f>Financials!BF42/((Financials!BF31+Financials!BE31)/2)</f>
        <v>8.3361260002756066E-2</v>
      </c>
      <c r="BI44" s="16">
        <f>Financials!BG42/((Financials!BG31+Financials!BF31)/2)</f>
        <v>9.9555452023675481E-2</v>
      </c>
      <c r="BJ44" s="16">
        <f>Financials!BH42/((Financials!BH31+Financials!BG31)/2)</f>
        <v>0.10654883037429501</v>
      </c>
      <c r="BK44" s="16">
        <f>Financials!BI42/((Financials!BI31+Financials!BH31)/2)</f>
        <v>9.7340823163020659E-2</v>
      </c>
      <c r="BL44" s="16">
        <f>Financials!BJ42/((Financials!BJ31+Financials!BI31)/2)</f>
        <v>9.4915996313680862E-2</v>
      </c>
      <c r="BM44" s="16">
        <f>Financials!BK42/((Financials!BK31+Financials!BJ31)/2)</f>
        <v>9.1803175975609858E-2</v>
      </c>
      <c r="BN44" s="16">
        <f>Financials!BL42/((Financials!BL31+Financials!BK31)/2)</f>
        <v>9.043441897929945E-2</v>
      </c>
      <c r="BO44" s="16">
        <f>Financials!BM42/((Financials!BM31+Financials!BL31)/2)</f>
        <v>8.7651632699908666E-2</v>
      </c>
      <c r="BP44" s="16">
        <f>Financials!BN42/((Financials!BN31+Financials!BM31)/2)</f>
        <v>8.4576161240126291E-2</v>
      </c>
      <c r="BQ44" s="16">
        <f>Financials!BO42/((Financials!BO31+Financials!BN31)/2)</f>
        <v>8.0720474369441575E-2</v>
      </c>
      <c r="BR44" s="16">
        <f>Financials!BP42/((Financials!BP31+Financials!BO31)/2)</f>
        <v>7.754406574813974E-2</v>
      </c>
      <c r="BS44" s="16">
        <f>Financials!BQ42/((Financials!BQ31+Financials!BP31)/2)</f>
        <v>7.5978189442030122E-2</v>
      </c>
      <c r="BT44" s="16">
        <f>Financials!BR42/((Financials!BR31+Financials!BQ31)/2)</f>
        <v>7.3941511507056412E-2</v>
      </c>
      <c r="BU44" s="16">
        <f>Financials!BS42/((Financials!BS31+Financials!BR31)/2)</f>
        <v>6.9638925552691841E-2</v>
      </c>
      <c r="BV44" s="16">
        <f>Financials!BT42/((Financials!BT31+Financials!BS31)/2)</f>
        <v>8.4106197735013516E-2</v>
      </c>
      <c r="BW44" s="16">
        <f>Financials!BU42/((Financials!BU31+Financials!BT31)/2)</f>
        <v>8.1759349464442299E-2</v>
      </c>
      <c r="BX44" s="16">
        <f>Financials!BV42/((Financials!BV31+Financials!BU31)/2)</f>
        <v>7.8686719833261573E-2</v>
      </c>
      <c r="BY44" s="16">
        <f>Financials!BW42/((Financials!BW31+Financials!BV31)/2)</f>
        <v>7.8399434601640033E-2</v>
      </c>
      <c r="BZ44" s="16">
        <f>Financials!BX42/((Financials!BX31+Financials!BW31)/2)</f>
        <v>7.8071240901729136E-2</v>
      </c>
      <c r="CA44" s="16">
        <f>Financials!BY42/((Financials!BY31+Financials!BX31)/2)</f>
        <v>7.8653099188297937E-2</v>
      </c>
      <c r="CB44" s="16">
        <f>Financials!BZ42/((Financials!BZ31+Financials!BY31)/2)</f>
        <v>7.9003776284658142E-2</v>
      </c>
    </row>
    <row r="45" spans="2:80">
      <c r="B45" s="13"/>
      <c r="C45" s="21"/>
      <c r="D45" s="68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</row>
    <row r="46" spans="2:80">
      <c r="B46" s="13">
        <v>6</v>
      </c>
      <c r="C46" s="21" t="s">
        <v>81</v>
      </c>
      <c r="D46" s="68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</row>
    <row r="47" spans="2:80">
      <c r="B47" s="13">
        <v>6.1</v>
      </c>
      <c r="C47" s="12" t="s">
        <v>82</v>
      </c>
      <c r="D47" s="69">
        <v>0.15</v>
      </c>
      <c r="E47" s="16">
        <f>(SFP!B4+SFP!B11)/(SFP!B31+SFP!B34+SFP!B35+SFP!B36+SFP!B37+SFP!B38)</f>
        <v>0.12988213943930602</v>
      </c>
      <c r="F47" s="16">
        <f>(SFP!C4+SFP!C11)/(SFP!C31+SFP!C34+SFP!C35+SFP!C36+SFP!C37+SFP!C38)</f>
        <v>0.19610163240925135</v>
      </c>
      <c r="G47" s="16">
        <f>(SFP!D4+SFP!D11)/(SFP!D31+SFP!D34+SFP!D35+SFP!D36+SFP!D37+SFP!D38)</f>
        <v>0.28117847936152124</v>
      </c>
      <c r="H47" s="16">
        <f>(SFP!E4+SFP!E11)/(SFP!E31+SFP!E34+SFP!E35+SFP!E36+SFP!E37+SFP!E38)</f>
        <v>0.18048740106872116</v>
      </c>
      <c r="I47" s="16">
        <f>(SFP!F4+SFP!F11)/(SFP!F31+SFP!F34+SFP!F35+SFP!F36+SFP!F37+SFP!F38)</f>
        <v>0.14704210574669535</v>
      </c>
      <c r="J47" s="16">
        <f>(SFP!G4+SFP!G11)/(SFP!G31+SFP!G34+SFP!G35+SFP!G36+SFP!G37+SFP!G38)</f>
        <v>5.4056083515242985E-2</v>
      </c>
      <c r="K47" s="16">
        <f>(SFP!H4+SFP!H11)/(SFP!H31+SFP!H34+SFP!H35+SFP!H36+SFP!H37+SFP!H38)</f>
        <v>8.6783220371645819E-2</v>
      </c>
      <c r="L47" s="16">
        <f>(SFP!I4+SFP!I11)/(SFP!I31+SFP!I34+SFP!I35+SFP!I36+SFP!I37+SFP!I38)</f>
        <v>3.7384218054572448E-2</v>
      </c>
      <c r="M47" s="16">
        <f>(SFP!J4+SFP!J11)/(SFP!J31+SFP!J34+SFP!J35+SFP!J36+SFP!J37+SFP!J38)</f>
        <v>9.2400292332692424E-2</v>
      </c>
      <c r="N47" s="16">
        <f>(SFP!K4+SFP!K11)/(SFP!K31+SFP!K34+SFP!K35+SFP!K36+SFP!K37+SFP!K38)</f>
        <v>5.1961539970702401E-2</v>
      </c>
      <c r="O47" s="16">
        <f>(SFP!L4+SFP!L11)/(SFP!L31+SFP!L34+SFP!L35+SFP!L36+SFP!L37+SFP!L38)</f>
        <v>0.11776272164724919</v>
      </c>
      <c r="P47" s="16">
        <f>(SFP!M4+SFP!M11)/(SFP!M31+SFP!M34+SFP!M35+SFP!M36+SFP!M37+SFP!M38)</f>
        <v>8.6140990045503477E-2</v>
      </c>
      <c r="Q47" s="16">
        <f>(SFP!N4+SFP!N11)/(SFP!N31+SFP!N34+SFP!N35+SFP!N36+SFP!N37+SFP!N38)</f>
        <v>5.6520589606475088E-2</v>
      </c>
      <c r="R47" s="16">
        <f>(SFP!O4+SFP!O11)/(SFP!O31+SFP!O34+SFP!O35+SFP!O36+SFP!O37+SFP!O38)</f>
        <v>0.14377386748395526</v>
      </c>
      <c r="S47" s="16">
        <f>(SFP!P4+SFP!P11)/(SFP!P31+SFP!P34+SFP!P35+SFP!P36+SFP!P37+SFP!P38)</f>
        <v>0.16275081433742414</v>
      </c>
      <c r="T47" s="16">
        <f>(SFP!Q4+SFP!Q11)/(SFP!Q31+SFP!Q34+SFP!Q35+SFP!Q36+SFP!Q37+SFP!Q38)</f>
        <v>0.22579502136381588</v>
      </c>
      <c r="U47" s="16">
        <f>(SFP!R4+SFP!R11)/(SFP!R31+SFP!R34+SFP!R35+SFP!R36+SFP!R37+SFP!R38)</f>
        <v>0.2531159165096511</v>
      </c>
      <c r="V47" s="16">
        <f>(SFP!S4+SFP!S11)/(SFP!S31+SFP!S34+SFP!S35+SFP!S36+SFP!S37+SFP!S38)</f>
        <v>0.20525015756822076</v>
      </c>
      <c r="W47" s="16">
        <f>(SFP!T4+SFP!T11)/(SFP!T31+SFP!T34+SFP!T35+SFP!T36+SFP!T37+SFP!T38)</f>
        <v>0.26279967074539218</v>
      </c>
      <c r="X47" s="16">
        <f>(SFP!U4+SFP!U11)/(SFP!U31+SFP!U34+SFP!U35+SFP!U36+SFP!U37+SFP!U38)</f>
        <v>0.27638488587213306</v>
      </c>
      <c r="Y47" s="16">
        <f>(SFP!V4+SFP!V11)/(SFP!V31+SFP!V34+SFP!V35+SFP!V36+SFP!V37+SFP!V38)</f>
        <v>0.26967942476488815</v>
      </c>
      <c r="Z47" s="16">
        <f>(SFP!W4+SFP!W11)/(SFP!W31+SFP!W34+SFP!W35+SFP!W36+SFP!W37+SFP!W38)</f>
        <v>0.20183358674780927</v>
      </c>
      <c r="AA47" s="16">
        <f>(SFP!X4+SFP!X11)/(SFP!X31+SFP!X34+SFP!X35+SFP!X36+SFP!X37+SFP!X38)</f>
        <v>0.21134838898740665</v>
      </c>
      <c r="AB47" s="16">
        <f>(SFP!Y4+SFP!Y11)/(SFP!Y31+SFP!Y34+SFP!Y35+SFP!Y36+SFP!Y37+SFP!Y38)</f>
        <v>0.19694405071338303</v>
      </c>
      <c r="AC47" s="16">
        <f>(SFP!Z4+SFP!Z11)/(SFP!Z31+SFP!Z34+SFP!Z35+SFP!Z36+SFP!Z37+SFP!Z38)</f>
        <v>0.16420284280771177</v>
      </c>
      <c r="AD47" s="16">
        <f>(SFP!AA4+SFP!AA11)/(SFP!AA31+SFP!AA34+SFP!AA35+SFP!AA36+SFP!AA37+SFP!AA38)</f>
        <v>0.14959884993041572</v>
      </c>
      <c r="AE47" s="16">
        <f>(SFP!AB4+SFP!AB11)/(SFP!AB31+SFP!AB34+SFP!AB35+SFP!AB36+SFP!AB37+SFP!AB38)</f>
        <v>0.18206674138468065</v>
      </c>
      <c r="AF47" s="16">
        <f>(SFP!AC4+SFP!AC11)/(SFP!AC31+SFP!AC34+SFP!AC35+SFP!AC36+SFP!AC37+SFP!AC38)</f>
        <v>0.22163052592123239</v>
      </c>
      <c r="AG47" s="16">
        <f>(SFP!AD4+SFP!AD11)/(SFP!AD31+SFP!AD34+SFP!AD35+SFP!AD36+SFP!AD37+SFP!AD38)</f>
        <v>0.1963644302853938</v>
      </c>
      <c r="AH47" s="16">
        <f>(SFP!AE4+SFP!AE11)/(SFP!AE31+SFP!AE34+SFP!AE35+SFP!AE36+SFP!AE37+SFP!AE38)</f>
        <v>0.23002341911650989</v>
      </c>
      <c r="AI47" s="16">
        <f>(SFP!AF4+SFP!AF11)/(SFP!AF31+SFP!AF34+SFP!AF35+SFP!AF36+SFP!AF37+SFP!AF38)</f>
        <v>0.20384745975561716</v>
      </c>
      <c r="AJ47" s="16">
        <f>(SFP!AG4+SFP!AG11)/(SFP!AG31+SFP!AG34+SFP!AG35+SFP!AG36+SFP!AG37+SFP!AG38)</f>
        <v>0.27754131931373383</v>
      </c>
      <c r="AK47" s="16">
        <f>(SFP!AH4+SFP!AH11)/(SFP!AH31+SFP!AH34+SFP!AH35+SFP!AH36+SFP!AH37+SFP!AH38)</f>
        <v>0.23237724788614592</v>
      </c>
      <c r="AL47" s="16">
        <f>(SFP!AI4+SFP!AI11)/(SFP!AI31+SFP!AI34+SFP!AI35+SFP!AI36+SFP!AI37+SFP!AI38)</f>
        <v>0.22612449533815923</v>
      </c>
      <c r="AM47" s="16">
        <f>(SFP!AJ4+SFP!AJ11)/(SFP!AJ31+SFP!AJ34+SFP!AJ35+SFP!AJ36+SFP!AJ37+SFP!AJ38)</f>
        <v>0.18695206891502519</v>
      </c>
      <c r="AN47" s="16">
        <f>(SFP!AK4+SFP!AK11)/(SFP!AK31+SFP!AK34+SFP!AK35+SFP!AK36+SFP!AK37+SFP!AK38)</f>
        <v>0.20197933651628647</v>
      </c>
      <c r="AO47" s="16">
        <f>(SFP!AL4+SFP!AL11)/(SFP!AL31+SFP!AL34+SFP!AL35+SFP!AL36+SFP!AL37+SFP!AL38)</f>
        <v>0.2425618676355851</v>
      </c>
      <c r="AP47" s="16" t="e">
        <f>(SFP!AM4+SFP!AM11)/(SFP!AM31+SFP!AM34+SFP!AM35+SFP!AM36+SFP!AM37+SFP!AM38)</f>
        <v>#DIV/0!</v>
      </c>
      <c r="AQ47" s="16">
        <f>(SFP!AN4+SFP!AN11)/(SFP!AN31+SFP!AN34+SFP!AN35+SFP!AN36+SFP!AN37+SFP!AN38)</f>
        <v>0.17065169032985181</v>
      </c>
      <c r="AR47" s="16">
        <f>(SFP!AO4+SFP!AO11)/(SFP!AO31+SFP!AO34+SFP!AO35+SFP!AO36+SFP!AO37+SFP!AO38)</f>
        <v>0.19038151772824793</v>
      </c>
      <c r="AS47" s="16">
        <f>(SFP!AP4+SFP!AP11)/(SFP!AP31+SFP!AP34+SFP!AP35+SFP!AP36+SFP!AP37+SFP!AP38)</f>
        <v>0.18135962909954367</v>
      </c>
      <c r="AT47" s="16">
        <f>(SFP!AQ4+SFP!AQ11)/(SFP!AQ31+SFP!AQ34+SFP!AQ35+SFP!AQ36+SFP!AQ37+SFP!AQ38)</f>
        <v>0.2105964357446293</v>
      </c>
      <c r="AU47" s="16">
        <f>(SFP!AR4+SFP!AR11)/(SFP!AR31+SFP!AR34+SFP!AR35+SFP!AR36+SFP!AR37+SFP!AR38)</f>
        <v>0.23441973633209498</v>
      </c>
      <c r="AV47" s="16"/>
      <c r="AW47" s="16">
        <f>(SFP!AT4+SFP!AT11)/(SFP!AT31+SFP!AT34+SFP!AT35+SFP!AT36+SFP!AT37+SFP!AT38)</f>
        <v>0.13809820928042382</v>
      </c>
      <c r="AX47" s="16">
        <f>(SFP!AU4+SFP!AU11)/(SFP!AU31+SFP!AU34+SFP!AU35+SFP!AU36+SFP!AU37+SFP!AU38)</f>
        <v>0.15701801497254281</v>
      </c>
      <c r="AY47" s="16">
        <f>(SFP!AV4+SFP!AV11)/(SFP!AV31+SFP!AV34+SFP!AV35+SFP!AV36+SFP!AV37+SFP!AV38)</f>
        <v>0.16672166857194501</v>
      </c>
      <c r="AZ47" s="16">
        <f>(SFP!AW4+SFP!AW11)/(SFP!AW31+SFP!AW34+SFP!AW35+SFP!AW36+SFP!AW37+SFP!AW38)</f>
        <v>0.20935865108344609</v>
      </c>
      <c r="BA47" s="16">
        <f>(SFP!AX4+SFP!AX11)/(SFP!AX31+SFP!AX34+SFP!AX35+SFP!AX36+SFP!AX37+SFP!AX38)</f>
        <v>0.21088947805617561</v>
      </c>
      <c r="BB47" s="16">
        <f>(SFP!AY4+SFP!AY11)/(SFP!AY31+SFP!AY34+SFP!AY35+SFP!AY36+SFP!AY37+SFP!AY38)</f>
        <v>0.22953567008002104</v>
      </c>
      <c r="BC47" s="16">
        <f>(SFP!AZ4+SFP!AZ11)/(SFP!AZ31+SFP!AZ34+SFP!AZ35+SFP!AZ36+SFP!AZ37+SFP!AZ38)</f>
        <v>0.20904444075300638</v>
      </c>
      <c r="BD47" s="16">
        <f>(SFP!BA4+SFP!BA11)/(SFP!BA31+SFP!BA34+SFP!BA35+SFP!BA36+SFP!BA37+SFP!BA38)</f>
        <v>0.23994181050654545</v>
      </c>
      <c r="BE47" s="16">
        <f>(SFP!BB4+SFP!BB11)/(SFP!BB31+SFP!BB34+SFP!BB35+SFP!BB36+SFP!BB37+SFP!BB38)</f>
        <v>0.24420296180092479</v>
      </c>
      <c r="BF47" s="16">
        <f>(SFP!BC4+SFP!BC11)/(SFP!BC31+SFP!BC34+SFP!BC35+SFP!BC36+SFP!BC37+SFP!BC38)</f>
        <v>0.25788200702878666</v>
      </c>
      <c r="BG47" s="16">
        <f>(SFP!BD4+SFP!BD11)/(SFP!BD31+SFP!BD34+SFP!BD35+SFP!BD36+SFP!BD37+SFP!BD38)</f>
        <v>0.26329942553874713</v>
      </c>
      <c r="BH47" s="16">
        <f>(SFP!BE4+SFP!BE11)/(SFP!BE31+SFP!BE34+SFP!BE35+SFP!BE36+SFP!BE37+SFP!BE38)</f>
        <v>0.27459935569470245</v>
      </c>
      <c r="BI47" s="16">
        <f>(SFP!BF4+SFP!BF11)/(SFP!BF31+SFP!BF34+SFP!BF35+SFP!BF36+SFP!BF37+SFP!BF38)</f>
        <v>0.30089927125547578</v>
      </c>
      <c r="BJ47" s="16">
        <f>(SFP!BG4+SFP!BG11)/(SFP!BG31+SFP!BG34+SFP!BG35+SFP!BG36+SFP!BG37+SFP!BG38)</f>
        <v>0.22957162873913017</v>
      </c>
      <c r="BK47" s="16">
        <f>(SFP!BH4+SFP!BH11)/(SFP!BH31+SFP!BH34+SFP!BH35+SFP!BH36+SFP!BH37+SFP!BH38)</f>
        <v>0.24051071293004631</v>
      </c>
      <c r="BL47" s="16">
        <f>(SFP!BI4+SFP!BI11)/(SFP!BI31+SFP!BI34+SFP!BI35+SFP!BI36+SFP!BI37+SFP!BI38)</f>
        <v>0.21840910585178619</v>
      </c>
      <c r="BM47" s="16">
        <f>(SFP!BJ4+SFP!BJ11)/(SFP!BJ31+SFP!BJ34+SFP!BJ35+SFP!BJ36+SFP!BJ37+SFP!BJ38)</f>
        <v>0.16891500678771768</v>
      </c>
      <c r="BN47" s="16">
        <f>(SFP!BK4+SFP!BK11)/(SFP!BK31+SFP!BK34+SFP!BK35+SFP!BK36+SFP!BK37+SFP!BK38)</f>
        <v>0.14508413151489349</v>
      </c>
      <c r="BO47" s="16">
        <f>(SFP!BL4+SFP!BL11)/(SFP!BL31+SFP!BL34+SFP!BL35+SFP!BL36+SFP!BL37+SFP!BL38)</f>
        <v>0.22573646027081218</v>
      </c>
      <c r="BP47" s="16">
        <f>(SFP!BM4+SFP!BM11)/(SFP!BM31+SFP!BM34+SFP!BM35+SFP!BM36+SFP!BM37+SFP!BM38)</f>
        <v>0.14736354935179305</v>
      </c>
      <c r="BQ47" s="16">
        <f>(SFP!BN4+SFP!BN11)/(SFP!BN31+SFP!BN34+SFP!BN35+SFP!BN36+SFP!BN37+SFP!BN38)</f>
        <v>9.9506058090155891E-2</v>
      </c>
      <c r="BR47" s="16">
        <f>(SFP!BO4+SFP!BO11)/(SFP!BO31+SFP!BO34+SFP!BO35+SFP!BO36+SFP!BO37+SFP!BO38)</f>
        <v>9.852613847583587E-2</v>
      </c>
      <c r="BS47" s="16">
        <f>(SFP!BP4+SFP!BP11)/(SFP!BP31+SFP!BP34+SFP!BP35+SFP!BP36+SFP!BP37+SFP!BP38)</f>
        <v>9.7340006646470786E-2</v>
      </c>
      <c r="BT47" s="16">
        <f>(SFP!BQ4+SFP!BQ11)/(SFP!BQ31+SFP!BQ34+SFP!BQ35+SFP!BQ36+SFP!BQ37+SFP!BQ38)</f>
        <v>8.378518180540237E-2</v>
      </c>
      <c r="BU47" s="16">
        <f>(SFP!BR4+SFP!BR11)/(SFP!BR31+SFP!BR34+SFP!BR35+SFP!BR36+SFP!BR37+SFP!BR38)</f>
        <v>7.2103503094257587E-2</v>
      </c>
      <c r="BV47" s="16">
        <f>(SFP!BS4+SFP!BS11)/(SFP!BS31+SFP!BS34+SFP!BS35+SFP!BS36+SFP!BS37+SFP!BS38)</f>
        <v>7.1621265890090977E-2</v>
      </c>
      <c r="BW47" s="16">
        <f>(SFP!BT4+SFP!BT11)/(SFP!BT31+SFP!BT34+SFP!BT35+SFP!BT36+SFP!BT37+SFP!BT38)</f>
        <v>6.4245481231683541E-2</v>
      </c>
      <c r="BX47" s="16">
        <f>(SFP!BU4+SFP!BU11)/(SFP!BU31+SFP!BU34+SFP!BU35+SFP!BU36+SFP!BU37+SFP!BU38)</f>
        <v>6.5022000020646856E-2</v>
      </c>
      <c r="BY47" s="16">
        <f>(SFP!BV4+SFP!BV11)/(SFP!BV31+SFP!BV34+SFP!BV35+SFP!BV36+SFP!BV37+SFP!BV38)</f>
        <v>4.2471604861510928E-2</v>
      </c>
      <c r="BZ47" s="16">
        <f>(SFP!BW4+SFP!BW11)/(SFP!BW31+SFP!BW34+SFP!BW35+SFP!BW36+SFP!BW37+SFP!BW38)</f>
        <v>9.6271349302153503E-2</v>
      </c>
      <c r="CA47" s="16">
        <f>(SFP!BX4+SFP!BX11)/(SFP!BX31+SFP!BX34+SFP!BX35+SFP!BX36+SFP!BX37+SFP!BX38)</f>
        <v>9.9291782568449075E-2</v>
      </c>
      <c r="CB47" s="16">
        <f>(SFP!BY4+SFP!BY11)/(SFP!BY31+SFP!BY34+SFP!BY35+SFP!BY36+SFP!BY37+SFP!BY38)</f>
        <v>0.16102079886494391</v>
      </c>
    </row>
    <row r="48" spans="2:80">
      <c r="B48" s="13"/>
      <c r="C48" s="12" t="s">
        <v>83</v>
      </c>
      <c r="D48" s="68"/>
      <c r="E48" s="25">
        <f>(SFP!B4+SFP!B11)/(SFP!B32+SFP!B34+SFP!B35+SFP!B36+SFP!B37+SFP!B38)</f>
        <v>0.10957700844815306</v>
      </c>
      <c r="F48" s="25">
        <f>(SFP!C4+SFP!C11)/(SFP!C32+SFP!C34+SFP!C35+SFP!C36+SFP!C37+SFP!C38)</f>
        <v>0.14876492135969818</v>
      </c>
      <c r="G48" s="25">
        <f>(SFP!D4+SFP!D11)/(SFP!D32+SFP!D34+SFP!D35+SFP!D36+SFP!D37+SFP!D38)</f>
        <v>0.18838482630876585</v>
      </c>
      <c r="H48" s="25">
        <f>(SFP!E4+SFP!E11)/(SFP!E32+SFP!E34+SFP!E35+SFP!E36+SFP!E37+SFP!E38)</f>
        <v>0.12915454067729354</v>
      </c>
      <c r="I48" s="25">
        <f>(SFP!F4+SFP!F11)/(SFP!F32+SFP!F34+SFP!F35+SFP!F36+SFP!F37+SFP!F38)</f>
        <v>0.1037380550284283</v>
      </c>
      <c r="J48" s="25">
        <f>(SFP!G4+SFP!G11)/(SFP!G32+SFP!G34+SFP!G35+SFP!G36+SFP!G37+SFP!G38)</f>
        <v>3.8709043627382714E-2</v>
      </c>
      <c r="K48" s="25">
        <f>(SFP!H4+SFP!H11)/(SFP!H32+SFP!H34+SFP!H35+SFP!H36+SFP!H37+SFP!H38)</f>
        <v>6.1113504346788673E-2</v>
      </c>
      <c r="L48" s="25">
        <f>(SFP!I4+SFP!I11)/(SFP!I32+SFP!I34+SFP!I35+SFP!I36+SFP!I37+SFP!I38)</f>
        <v>2.7303009722520775E-2</v>
      </c>
      <c r="M48" s="25">
        <f>(SFP!J4+SFP!J11)/(SFP!J32+SFP!J34+SFP!J35+SFP!J36+SFP!J37+SFP!J38)</f>
        <v>6.7409984703910922E-2</v>
      </c>
      <c r="N48" s="25">
        <f>(SFP!K4+SFP!K11)/(SFP!K32+SFP!K34+SFP!K35+SFP!K36+SFP!K37+SFP!K38)</f>
        <v>3.8732805738390198E-2</v>
      </c>
      <c r="O48" s="25">
        <f>(SFP!L4+SFP!L11)/(SFP!L32+SFP!L34+SFP!L35+SFP!L36+SFP!L37+SFP!L38)</f>
        <v>8.6788054997579148E-2</v>
      </c>
      <c r="P48" s="25">
        <f>(SFP!M4+SFP!M11)/(SFP!M32+SFP!M34+SFP!M35+SFP!M36+SFP!M37+SFP!M38)</f>
        <v>6.5544262419102634E-2</v>
      </c>
      <c r="Q48" s="25">
        <f>(SFP!N4+SFP!N11)/(SFP!N32+SFP!N34+SFP!N35+SFP!N36+SFP!N37+SFP!N38)</f>
        <v>4.3737538975159244E-2</v>
      </c>
      <c r="R48" s="25">
        <f>(SFP!O4+SFP!O11)/(SFP!O32+SFP!O34+SFP!O35+SFP!O36+SFP!O37+SFP!O38)</f>
        <v>0.10953810119175024</v>
      </c>
      <c r="S48" s="25">
        <f>(SFP!P4+SFP!P11)/(SFP!P32+SFP!P34+SFP!P35+SFP!P36+SFP!P37+SFP!P38)</f>
        <v>0.12557609830901867</v>
      </c>
      <c r="T48" s="25">
        <f>(SFP!Q4+SFP!Q11)/(SFP!Q32+SFP!Q34+SFP!Q35+SFP!Q36+SFP!Q37+SFP!Q38)</f>
        <v>0.18027685780173369</v>
      </c>
      <c r="U48" s="25">
        <f>(SFP!R4+SFP!R11)/(SFP!R32+SFP!R34+SFP!R35+SFP!R36+SFP!R37+SFP!R38)</f>
        <v>0.2162877657231124</v>
      </c>
      <c r="V48" s="25">
        <f>(SFP!S4+SFP!S11)/(SFP!S32+SFP!S34+SFP!S35+SFP!S36+SFP!S37+SFP!S38)</f>
        <v>0.17701090281339443</v>
      </c>
      <c r="W48" s="25">
        <f>(SFP!T4+SFP!T11)/(SFP!T32+SFP!T34+SFP!T35+SFP!T36+SFP!T37+SFP!T38)</f>
        <v>0.22402149726273343</v>
      </c>
      <c r="X48" s="25">
        <f>(SFP!U4+SFP!U11)/(SFP!U32+SFP!U34+SFP!U35+SFP!U36+SFP!U37+SFP!U38)</f>
        <v>0.232007670028609</v>
      </c>
      <c r="Y48" s="25">
        <f>(SFP!V4+SFP!V11)/(SFP!V32+SFP!V34+SFP!V35+SFP!V36+SFP!V37+SFP!V38)</f>
        <v>0.21838891639960548</v>
      </c>
      <c r="Z48" s="25">
        <f>(SFP!W4+SFP!W11)/(SFP!W32+SFP!W34+SFP!W35+SFP!W36+SFP!W37+SFP!W38)</f>
        <v>0.17267718179175012</v>
      </c>
      <c r="AA48" s="25">
        <f>(SFP!X4+SFP!X11)/(SFP!X32+SFP!X34+SFP!X35+SFP!X36+SFP!X37+SFP!X38)</f>
        <v>0.17362601659559862</v>
      </c>
      <c r="AB48" s="25">
        <f>(SFP!Y4+SFP!Y11)/(SFP!Y32+SFP!Y34+SFP!Y35+SFP!Y36+SFP!Y37+SFP!Y38)</f>
        <v>0.17125132722024969</v>
      </c>
      <c r="AC48" s="25">
        <f>(SFP!Z4+SFP!Z11)/(SFP!Z32+SFP!Z34+SFP!Z35+SFP!Z36+SFP!Z37+SFP!Z38)</f>
        <v>0.13620168188940371</v>
      </c>
      <c r="AD48" s="25">
        <f>(SFP!AA4+SFP!AA11)/(SFP!AA32+SFP!AA34+SFP!AA35+SFP!AA36+SFP!AA37+SFP!AA38)</f>
        <v>0.12822256001014556</v>
      </c>
      <c r="AE48" s="25">
        <f>(SFP!AB4+SFP!AB11)/(SFP!AB32+SFP!AB34+SFP!AB35+SFP!AB36+SFP!AB37+SFP!AB38)</f>
        <v>0.15550042536488501</v>
      </c>
      <c r="AF48" s="25">
        <f>(SFP!AC4+SFP!AC11)/(SFP!AC32+SFP!AC34+SFP!AC35+SFP!AC36+SFP!AC37+SFP!AC38)</f>
        <v>0.19035364422573714</v>
      </c>
      <c r="AG48" s="25">
        <f>(SFP!AD4+SFP!AD11)/(SFP!AD32+SFP!AD34+SFP!AD35+SFP!AD36+SFP!AD37+SFP!AD38)</f>
        <v>0.1707210385074929</v>
      </c>
      <c r="AH48" s="25">
        <f>(SFP!AE4+SFP!AE11)/(SFP!AE32+SFP!AE34+SFP!AE35+SFP!AE36+SFP!AE37+SFP!AE38)</f>
        <v>0.20038220608331117</v>
      </c>
      <c r="AI48" s="25">
        <f>(SFP!AF4+SFP!AF11)/(SFP!AF32+SFP!AF34+SFP!AF35+SFP!AF36+SFP!AF37+SFP!AF38)</f>
        <v>0.17904554213024598</v>
      </c>
      <c r="AJ48" s="25">
        <f>(SFP!AG4+SFP!AG11)/(SFP!AG32+SFP!AG34+SFP!AG35+SFP!AG36+SFP!AG37+SFP!AG38)</f>
        <v>0.23837964916988827</v>
      </c>
      <c r="AK48" s="25">
        <f>(SFP!AH4+SFP!AH11)/(SFP!AH32+SFP!AH34+SFP!AH35+SFP!AH36+SFP!AH37+SFP!AH38)</f>
        <v>0.18964923440056841</v>
      </c>
      <c r="AL48" s="25">
        <f>(SFP!AI4+SFP!AI11)/(SFP!AI32+SFP!AI34+SFP!AI35+SFP!AI36+SFP!AI37+SFP!AI38)</f>
        <v>0.18356762006268557</v>
      </c>
      <c r="AM48" s="25">
        <f>(SFP!AJ4+SFP!AJ11)/(SFP!AJ32+SFP!AJ34+SFP!AJ35+SFP!AJ36+SFP!AJ37+SFP!AJ38)</f>
        <v>0.16083649105707748</v>
      </c>
      <c r="AN48" s="25">
        <f>(SFP!AK4+SFP!AK11)/(SFP!AK32+SFP!AK34+SFP!AK35+SFP!AK36+SFP!AK37+SFP!AK38)</f>
        <v>0.17128132106783953</v>
      </c>
      <c r="AO48" s="25">
        <f>(SFP!AL4+SFP!AL11)/(SFP!AL32+SFP!AL34+SFP!AL35+SFP!AL36+SFP!AL37+SFP!AL38)</f>
        <v>0.20831352507973047</v>
      </c>
      <c r="AP48" s="25" t="e">
        <f>(SFP!AM4+SFP!AM11)/(SFP!AM32+SFP!AM34+SFP!AM35+SFP!AM36+SFP!AM37+SFP!AM38)</f>
        <v>#DIV/0!</v>
      </c>
      <c r="AQ48" s="25">
        <f>(SFP!AN4+SFP!AN11)/(SFP!AN32+SFP!AN34+SFP!AN35+SFP!AN36+SFP!AN37+SFP!AN38)</f>
        <v>0.150254923970087</v>
      </c>
      <c r="AR48" s="25">
        <f>(SFP!AO4+SFP!AO11)/(SFP!AO32+SFP!AO34+SFP!AO35+SFP!AO36+SFP!AO37+SFP!AO38)</f>
        <v>0.16937158764999621</v>
      </c>
      <c r="AS48" s="25">
        <f>(SFP!AP4+SFP!AP11)/(SFP!AP32+SFP!AP34+SFP!AP35+SFP!AP36+SFP!AP37+SFP!AP38)</f>
        <v>0.16271522601611496</v>
      </c>
      <c r="AT48" s="25">
        <f>(SFP!AQ4+SFP!AQ11)/(SFP!AQ32+SFP!AQ34+SFP!AQ35+SFP!AQ36+SFP!AQ37+SFP!AQ38)</f>
        <v>0.18936707774652672</v>
      </c>
      <c r="AU48" s="25">
        <f>(SFP!AR4+SFP!AR11)/(SFP!AR32+SFP!AR34+SFP!AR35+SFP!AR36+SFP!AR37+SFP!AR38)</f>
        <v>0.21159196301625691</v>
      </c>
      <c r="AV48" s="25"/>
      <c r="AW48" s="25">
        <f>(SFP!AT4+SFP!AT11)/(SFP!AT32+SFP!AT34+SFP!AT35+SFP!AT36+SFP!AT37+SFP!AT38)</f>
        <v>0.12737983592437196</v>
      </c>
      <c r="AX48" s="25">
        <f>(SFP!AU4+SFP!AU11)/(SFP!AU32+SFP!AU34+SFP!AU35+SFP!AU36+SFP!AU37+SFP!AU38)</f>
        <v>0.14481138922559622</v>
      </c>
      <c r="AY48" s="25">
        <f>(SFP!AV4+SFP!AV11)/(SFP!AV32+SFP!AV34+SFP!AV35+SFP!AV36+SFP!AV37+SFP!AV38)</f>
        <v>0.15519654546277115</v>
      </c>
      <c r="AZ48" s="25">
        <f>(SFP!AW4+SFP!AW11)/(SFP!AW32+SFP!AW34+SFP!AW35+SFP!AW36+SFP!AW37+SFP!AW38)</f>
        <v>0.18944731867746115</v>
      </c>
      <c r="BA48" s="25">
        <f>(SFP!AX4+SFP!AX11)/(SFP!AX32+SFP!AX34+SFP!AX35+SFP!AX36+SFP!AX37+SFP!AX38)</f>
        <v>0.19205085057427856</v>
      </c>
      <c r="BB48" s="25">
        <f>(SFP!AY4+SFP!AY11)/(SFP!AY32+SFP!AY34+SFP!AY35+SFP!AY36+SFP!AY37+SFP!AY38)</f>
        <v>0.2085436669181559</v>
      </c>
      <c r="BC48" s="25">
        <f>(SFP!AZ4+SFP!AZ11)/(SFP!AZ32+SFP!AZ34+SFP!AZ35+SFP!AZ36+SFP!AZ37+SFP!AZ38)</f>
        <v>0.18754842540420333</v>
      </c>
      <c r="BD48" s="25">
        <f>(SFP!BA4+SFP!BA11)/(SFP!BA32+SFP!BA34+SFP!BA35+SFP!BA36+SFP!BA37+SFP!BA38)</f>
        <v>0.21094720084752439</v>
      </c>
      <c r="BE48" s="25">
        <f>(SFP!BB4+SFP!BB11)/(SFP!BB32+SFP!BB34+SFP!BB35+SFP!BB36+SFP!BB37+SFP!BB38)</f>
        <v>0.21652151720534601</v>
      </c>
      <c r="BF48" s="25">
        <f>(SFP!BC4+SFP!BC11)/(SFP!BC32+SFP!BC34+SFP!BC35+SFP!BC36+SFP!BC37+SFP!BC38)</f>
        <v>0.23021588860516673</v>
      </c>
      <c r="BG48" s="25">
        <f>(SFP!BD4+SFP!BD11)/(SFP!BD32+SFP!BD34+SFP!BD35+SFP!BD36+SFP!BD37+SFP!BD38)</f>
        <v>0.23471924070362571</v>
      </c>
      <c r="BH48" s="25">
        <f>(SFP!BE4+SFP!BE11)/(SFP!BE32+SFP!BE34+SFP!BE35+SFP!BE36+SFP!BE37+SFP!BE38)</f>
        <v>0.24838855453050218</v>
      </c>
      <c r="BI48" s="25">
        <f>(SFP!BF4+SFP!BF11)/(SFP!BF32+SFP!BF34+SFP!BF35+SFP!BF36+SFP!BF37+SFP!BF38)</f>
        <v>0.26971243549023127</v>
      </c>
      <c r="BJ48" s="25">
        <f>(SFP!BG4+SFP!BG11)/(SFP!BG32+SFP!BG34+SFP!BG35+SFP!BG36+SFP!BG37+SFP!BG38)</f>
        <v>0.20899752007687297</v>
      </c>
      <c r="BK48" s="25">
        <f>(SFP!BH4+SFP!BH11)/(SFP!BH32+SFP!BH34+SFP!BH35+SFP!BH36+SFP!BH37+SFP!BH38)</f>
        <v>0.21883785472016978</v>
      </c>
      <c r="BL48" s="25">
        <f>(SFP!BI4+SFP!BI11)/(SFP!BI32+SFP!BI34+SFP!BI35+SFP!BI36+SFP!BI37+SFP!BI38)</f>
        <v>0.19807375316292125</v>
      </c>
      <c r="BM48" s="25">
        <f>(SFP!BJ4+SFP!BJ11)/(SFP!BJ32+SFP!BJ34+SFP!BJ35+SFP!BJ36+SFP!BJ37+SFP!BJ38)</f>
        <v>0.14915058657944702</v>
      </c>
      <c r="BN48" s="25">
        <f>(SFP!BK4+SFP!BK11)/(SFP!BK32+SFP!BK34+SFP!BK35+SFP!BK36+SFP!BK37+SFP!BK38)</f>
        <v>0.12952635620035949</v>
      </c>
      <c r="BO48" s="25">
        <f>(SFP!BL4+SFP!BL11)/(SFP!BL32+SFP!BL34+SFP!BL35+SFP!BL36+SFP!BL37+SFP!BL38)</f>
        <v>0.20222077871537308</v>
      </c>
      <c r="BP48" s="25">
        <f>(SFP!BM4+SFP!BM11)/(SFP!BM32+SFP!BM34+SFP!BM35+SFP!BM36+SFP!BM37+SFP!BM38)</f>
        <v>0.13065996150058989</v>
      </c>
      <c r="BQ48" s="25">
        <f>(SFP!BN4+SFP!BN11)/(SFP!BN32+SFP!BN34+SFP!BN35+SFP!BN36+SFP!BN37+SFP!BN38)</f>
        <v>8.8378962270490066E-2</v>
      </c>
      <c r="BR48" s="25">
        <f>(SFP!BO4+SFP!BO11)/(SFP!BO32+SFP!BO34+SFP!BO35+SFP!BO36+SFP!BO37+SFP!BO38)</f>
        <v>8.8511705310746605E-2</v>
      </c>
      <c r="BS48" s="25">
        <f>(SFP!BP4+SFP!BP11)/(SFP!BP32+SFP!BP34+SFP!BP35+SFP!BP36+SFP!BP37+SFP!BP38)</f>
        <v>8.6488987869451389E-2</v>
      </c>
      <c r="BT48" s="25">
        <f>(SFP!BQ4+SFP!BQ11)/(SFP!BQ32+SFP!BQ34+SFP!BQ35+SFP!BQ36+SFP!BQ37+SFP!BQ38)</f>
        <v>7.379632269749227E-2</v>
      </c>
      <c r="BU48" s="25">
        <f>(SFP!BR4+SFP!BR11)/(SFP!BR32+SFP!BR34+SFP!BR35+SFP!BR36+SFP!BR37+SFP!BR38)</f>
        <v>6.301143477470543E-2</v>
      </c>
      <c r="BV48" s="25">
        <f>(SFP!BS4+SFP!BS11)/(SFP!BS32+SFP!BS34+SFP!BS35+SFP!BS36+SFP!BS37+SFP!BS38)</f>
        <v>6.2638528129989074E-2</v>
      </c>
      <c r="BW48" s="25">
        <f>(SFP!BT4+SFP!BT11)/(SFP!BT32+SFP!BT34+SFP!BT35+SFP!BT36+SFP!BT37+SFP!BT38)</f>
        <v>5.8291706448513628E-2</v>
      </c>
      <c r="BX48" s="25">
        <f>(SFP!BU4+SFP!BU11)/(SFP!BU32+SFP!BU34+SFP!BU35+SFP!BU36+SFP!BU37+SFP!BU38)</f>
        <v>5.9182815268952631E-2</v>
      </c>
      <c r="BY48" s="25">
        <f>(SFP!BV4+SFP!BV11)/(SFP!BV32+SFP!BV34+SFP!BV35+SFP!BV36+SFP!BV37+SFP!BV38)</f>
        <v>3.9136682250823368E-2</v>
      </c>
      <c r="BZ48" s="25">
        <f>(SFP!BW4+SFP!BW11)/(SFP!BW32+SFP!BW34+SFP!BW35+SFP!BW36+SFP!BW37+SFP!BW38)</f>
        <v>8.906663614089852E-2</v>
      </c>
      <c r="CA48" s="25">
        <f>(SFP!BX4+SFP!BX11)/(SFP!BX32+SFP!BX34+SFP!BX35+SFP!BX36+SFP!BX37+SFP!BX38)</f>
        <v>8.840149085898942E-2</v>
      </c>
      <c r="CB48" s="25">
        <f>(SFP!BY4+SFP!BY11)/(SFP!BY32+SFP!BY34+SFP!BY35+SFP!BY36+SFP!BY37+SFP!BY38)</f>
        <v>0.14477410621269984</v>
      </c>
    </row>
    <row r="49" spans="2:80">
      <c r="B49" s="81">
        <v>7</v>
      </c>
      <c r="C49" s="82" t="s">
        <v>84</v>
      </c>
      <c r="D49" s="70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</row>
    <row r="50" spans="2:80">
      <c r="B50" s="81">
        <v>7.1</v>
      </c>
      <c r="C50" s="83" t="s">
        <v>85</v>
      </c>
      <c r="D50" s="84">
        <v>1</v>
      </c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</row>
    <row r="51" spans="2:80">
      <c r="B51" s="81">
        <v>7.2</v>
      </c>
      <c r="C51" s="71" t="s">
        <v>86</v>
      </c>
      <c r="D51" s="70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71"/>
      <c r="AJ51" s="71"/>
      <c r="AK51" s="71"/>
      <c r="AL51" s="71"/>
      <c r="AM51" s="71"/>
      <c r="AN51" s="71"/>
      <c r="AO51" s="71"/>
      <c r="AP51" s="71"/>
      <c r="AQ51" s="71"/>
      <c r="AR51" s="71"/>
      <c r="AS51" s="71"/>
      <c r="AT51" s="71"/>
      <c r="AU51" s="71"/>
      <c r="AV51" s="71"/>
      <c r="AW51" s="71"/>
      <c r="AX51" s="71"/>
      <c r="AY51" s="71"/>
      <c r="AZ51" s="71"/>
      <c r="BA51" s="71"/>
      <c r="BB51" s="71"/>
      <c r="BC51" s="71"/>
      <c r="BD51" s="71"/>
      <c r="BE51" s="71"/>
      <c r="BF51" s="71"/>
      <c r="BG51" s="71"/>
      <c r="BH51" s="71"/>
      <c r="BI51" s="71"/>
    </row>
    <row r="52" spans="2:80">
      <c r="B52" s="81"/>
      <c r="C52" s="71" t="s">
        <v>87</v>
      </c>
      <c r="D52" s="70"/>
      <c r="E52" s="71">
        <f>SCI!B5/SFP!B14</f>
        <v>0.18221794501871033</v>
      </c>
      <c r="F52" s="71">
        <f>SCI!C5/SFP!C14</f>
        <v>0.17887556201439339</v>
      </c>
      <c r="G52" s="71">
        <f>SCI!D5/SFP!D14</f>
        <v>0.18355944480655353</v>
      </c>
      <c r="H52" s="71">
        <f>SCI!E5/SFP!E14</f>
        <v>2.7879871706139404E-2</v>
      </c>
      <c r="I52" s="71">
        <f>SCI!F5/SFP!F14</f>
        <v>4.1473116830354019E-2</v>
      </c>
      <c r="J52" s="71">
        <f>SCI!G5/SFP!G14</f>
        <v>5.4842344445820028E-2</v>
      </c>
      <c r="K52" s="71">
        <f>SCI!H5/SFP!H14</f>
        <v>6.8532487587909197E-2</v>
      </c>
      <c r="L52" s="71">
        <f>SCI!I5/SFP!I14</f>
        <v>8.3915036117342093E-2</v>
      </c>
      <c r="M52" s="71">
        <f>SCI!J5/SFP!J14</f>
        <v>9.856345486648628E-2</v>
      </c>
      <c r="N52" s="71">
        <f>SCI!K5/SFP!K14</f>
        <v>0.11109975582091552</v>
      </c>
      <c r="O52" s="71">
        <f>SCI!L5/SFP!L14</f>
        <v>0.12313870101448715</v>
      </c>
      <c r="P52" s="71" t="e">
        <f>SCI!M5/SFP!#REF!</f>
        <v>#REF!</v>
      </c>
      <c r="Q52" s="71" t="e">
        <f>SCI!N5/SFP!#REF!</f>
        <v>#REF!</v>
      </c>
      <c r="R52" s="71" t="e">
        <f>SCI!O5/SFP!#REF!</f>
        <v>#REF!</v>
      </c>
      <c r="S52" s="71" t="e">
        <f>SCI!P5/SFP!#REF!</f>
        <v>#REF!</v>
      </c>
      <c r="T52" s="71">
        <f>SCI!Q5/SFP!Q14</f>
        <v>0.17700194224215759</v>
      </c>
      <c r="U52" s="71">
        <f>SCI!R5/SFP!R14</f>
        <v>0.19743058791480642</v>
      </c>
      <c r="V52" s="71">
        <f>SCI!S5/SFP!S14</f>
        <v>0.19732612443464215</v>
      </c>
      <c r="W52" s="71">
        <f>SCI!T5/SFP!T14</f>
        <v>0.21110355121429916</v>
      </c>
      <c r="X52" s="71">
        <f>SCI!U5/SFP!U14</f>
        <v>0.22582622301519897</v>
      </c>
      <c r="Y52" s="71">
        <f>SCI!V5/SFP!V14</f>
        <v>0.24499069256063102</v>
      </c>
      <c r="Z52" s="71">
        <f>SCI!W5/SFP!W14</f>
        <v>6.8275433581767103E-2</v>
      </c>
      <c r="AA52" s="71">
        <f>SCI!X5/SFP!X14</f>
        <v>8.525014489992247E-2</v>
      </c>
      <c r="AB52" s="71">
        <f>SCI!Y5/SFP!Y14</f>
        <v>0.10078980230809265</v>
      </c>
      <c r="AC52" s="71">
        <f>SCI!Z5/SFP!Z14</f>
        <v>0.10743956920505514</v>
      </c>
      <c r="AD52" s="71">
        <f>SCI!AA5/SFP!AA14</f>
        <v>0.12347970898537768</v>
      </c>
      <c r="AE52" s="71">
        <f>SCI!AB5/SFP!AB14</f>
        <v>0.1413471604333334</v>
      </c>
      <c r="AF52" s="71">
        <f>SCI!AC5/SFP!AC14</f>
        <v>0.16120408330513528</v>
      </c>
      <c r="AG52" s="71">
        <f>SCI!AD5/SFP!AD14</f>
        <v>0.17278057360253951</v>
      </c>
      <c r="AH52" s="71">
        <f>SCI!AE5/SFP!AE14</f>
        <v>0.19018322787284403</v>
      </c>
      <c r="AI52" s="71">
        <f>SCI!AF5/SFP!AF14</f>
        <v>0.19019059792601445</v>
      </c>
      <c r="AJ52" s="71">
        <f>SCI!AG5/SFP!AG14</f>
        <v>0.20284699484703786</v>
      </c>
      <c r="AK52" s="71">
        <f>SCI!AH5/SFP!AH14</f>
        <v>3.0773093639556683E-2</v>
      </c>
      <c r="AL52" s="71">
        <f>SCI!AI5/SFP!AI14</f>
        <v>4.4814718618712043E-2</v>
      </c>
      <c r="AM52" s="71">
        <f>SCI!AJ5/SFP!AJ14</f>
        <v>5.9974419972296751E-2</v>
      </c>
      <c r="AN52" s="71">
        <f>SCI!AK5/SFP!AK14</f>
        <v>7.6405613731788183E-2</v>
      </c>
      <c r="AO52" s="71">
        <f>SCI!AL5/SFP!AL14</f>
        <v>9.1267165845552736E-2</v>
      </c>
      <c r="AP52" s="71" t="e">
        <f>SCI!AM5/SFP!AM14</f>
        <v>#DIV/0!</v>
      </c>
      <c r="AQ52" s="71">
        <f>SCI!AN5/SFP!AN14</f>
        <v>0.11461897152987213</v>
      </c>
      <c r="AR52" s="71">
        <f>SCI!AO5/SFP!AO14</f>
        <v>0.13118121981789699</v>
      </c>
      <c r="AS52" s="71">
        <f>SCI!AP5/SFP!AP14</f>
        <v>0.14490794784058875</v>
      </c>
      <c r="AT52" s="71">
        <f>SCI!AQ5/SFP!AQ14</f>
        <v>0.16136540558943233</v>
      </c>
      <c r="AU52" s="71">
        <f>SCI!AR5/SFP!AR14</f>
        <v>0.17675146204875886</v>
      </c>
      <c r="AV52" s="71"/>
      <c r="AW52" s="71">
        <f>SCI!AT5/SFP!AT14</f>
        <v>0.24003846777553495</v>
      </c>
      <c r="AX52" s="71">
        <f>SCI!AU5/SFP!AU14</f>
        <v>3.8282977624817471E-2</v>
      </c>
      <c r="AY52" s="71">
        <f>SCI!AV5/SFP!AV14</f>
        <v>5.8908122714832589E-2</v>
      </c>
      <c r="AZ52" s="71">
        <f>SCI!AW5/SFP!AW14</f>
        <v>7.7882410941602156E-2</v>
      </c>
      <c r="BA52" s="71">
        <f>SCI!AX5/SFP!AX14</f>
        <v>9.7545583960686938E-2</v>
      </c>
      <c r="BB52" s="71">
        <f>SCI!AY5/SFP!AY14</f>
        <v>0.11928978378262041</v>
      </c>
      <c r="BC52" s="71">
        <f>SCI!AZ5/SFP!AZ14</f>
        <v>0.13388179863185998</v>
      </c>
      <c r="BD52" s="71">
        <f>SCI!BA5/SFP!BA14</f>
        <v>0.15363809670793926</v>
      </c>
      <c r="BE52" s="71">
        <f>SCI!BB5/SFP!BB14</f>
        <v>0.17175595202100219</v>
      </c>
      <c r="BF52" s="71">
        <f>SCI!BC5/SFP!BC14</f>
        <v>0.19120653599258983</v>
      </c>
      <c r="BG52" s="71">
        <f>SCI!BD5/SFP!BD14</f>
        <v>0.21477165185927155</v>
      </c>
      <c r="BH52" s="71">
        <f>SCI!BE5/SFP!BE14</f>
        <v>0.23620814958024927</v>
      </c>
      <c r="BI52" s="71">
        <f>SCI!BF5/SFP!BF14</f>
        <v>0.23963945017953325</v>
      </c>
      <c r="BJ52" s="71">
        <f>SCI!BG5/SFP!BG14</f>
        <v>2.0120186130596841E-2</v>
      </c>
      <c r="BK52" s="71">
        <f>SCI!BH5/SFP!BH14</f>
        <v>3.9746397300433618E-2</v>
      </c>
      <c r="BL52" s="71">
        <f>SCI!BI5/SFP!BI14</f>
        <v>5.9337933909414817E-2</v>
      </c>
      <c r="BM52" s="71">
        <f>SCI!BJ5/SFP!BJ14</f>
        <v>8.0104090449980347E-2</v>
      </c>
      <c r="BN52" s="71">
        <f>SCI!BK5/SFP!BK14</f>
        <v>9.5914439678982097E-2</v>
      </c>
      <c r="BO52" s="71">
        <f>SCI!BL5/SFP!BL14</f>
        <v>0.11230229217048869</v>
      </c>
      <c r="BP52" s="71">
        <f>SCI!BM5/SFP!BM14</f>
        <v>0.12717020677182217</v>
      </c>
      <c r="BQ52" s="71">
        <f>SCI!BN5/SFP!BN14</f>
        <v>0.13954868224780265</v>
      </c>
      <c r="BR52" s="71">
        <f>SCI!BO5/SFP!BO14</f>
        <v>0.15667974862823275</v>
      </c>
      <c r="BS52" s="71">
        <f>SCI!BP5/SFP!BP14</f>
        <v>0.17187496233506266</v>
      </c>
      <c r="BT52" s="71">
        <f>SCI!BQ5/SFP!BQ14</f>
        <v>0.1862350274418659</v>
      </c>
      <c r="BU52" s="71">
        <f>SCI!BR5/SFP!BR14</f>
        <v>0.19028343905153927</v>
      </c>
      <c r="BV52" s="71">
        <f>SCI!BS5/SFP!BS14</f>
        <v>0.19430905115537658</v>
      </c>
      <c r="BW52" s="71">
        <f>SCI!BT5/SFP!BT14</f>
        <v>1.925900059480621E-2</v>
      </c>
      <c r="BX52" s="71">
        <f>SCI!BU5/SFP!BU14</f>
        <v>3.5813415353411863E-2</v>
      </c>
      <c r="BY52" s="71">
        <f>SCI!BV5/SFP!BV14</f>
        <v>5.2102131846432753E-2</v>
      </c>
      <c r="BZ52" s="71">
        <f>SCI!BW5/SFP!BW14</f>
        <v>6.7278371938486445E-2</v>
      </c>
      <c r="CA52" s="71">
        <f>SCI!BX5/SFP!BX14</f>
        <v>9.5703544981833977E-2</v>
      </c>
      <c r="CB52" s="71">
        <f>SCI!BY5/SFP!BY14</f>
        <v>0.11776273078739942</v>
      </c>
    </row>
    <row r="53" spans="2:80">
      <c r="B53" s="81"/>
      <c r="C53" s="71" t="s">
        <v>88</v>
      </c>
      <c r="D53" s="70"/>
      <c r="E53" s="71">
        <f>Financials!C32/Financials!C5</f>
        <v>0.78261577447846919</v>
      </c>
      <c r="F53" s="71">
        <f>Financials!D32/Financials!D5</f>
        <v>0.711134132263334</v>
      </c>
      <c r="G53" s="71">
        <f>Financials!E32/Financials!E5</f>
        <v>0.66794146739433413</v>
      </c>
      <c r="H53" s="71">
        <f>Financials!F32/Financials!F5</f>
        <v>0.70034164022695633</v>
      </c>
      <c r="I53" s="71">
        <f>Financials!G32/Financials!G5</f>
        <v>0.73394578564629698</v>
      </c>
      <c r="J53" s="71">
        <f>Financials!H32/Financials!H5</f>
        <v>0.76836238703742499</v>
      </c>
      <c r="K53" s="71">
        <f>Financials!I32/Financials!I5</f>
        <v>0.75490844865235895</v>
      </c>
      <c r="L53" s="71">
        <f>Financials!J32/Financials!J5</f>
        <v>0.77811501601046662</v>
      </c>
      <c r="M53" s="71">
        <f>Financials!K32/Financials!K5</f>
        <v>0.77109465443196257</v>
      </c>
      <c r="N53" s="71">
        <f>Financials!L32/Financials!L5</f>
        <v>0.77371400115674294</v>
      </c>
      <c r="O53" s="71">
        <f>Financials!M32/Financials!M5</f>
        <v>0.77576478610169897</v>
      </c>
      <c r="P53" s="71">
        <f>Financials!N32/Financials!N5</f>
        <v>0.78729435898002109</v>
      </c>
      <c r="Q53" s="71">
        <f>Financials!O32/Financials!O5</f>
        <v>0.79101931964533756</v>
      </c>
      <c r="R53" s="71">
        <f>Financials!P32/Financials!P5</f>
        <v>0.77023922261191979</v>
      </c>
      <c r="S53" s="71">
        <f>Financials!Q32/Financials!Q5</f>
        <v>0.75807843885754977</v>
      </c>
      <c r="T53" s="71">
        <f>Financials!R32/Financials!R5</f>
        <v>0.77740815196254809</v>
      </c>
      <c r="U53" s="71">
        <f>Financials!S32/Financials!S5</f>
        <v>0.7656994502875889</v>
      </c>
      <c r="V53" s="71">
        <f>Financials!T32/Financials!T5</f>
        <v>0.81106267356974238</v>
      </c>
      <c r="W53" s="71">
        <f>Financials!U32/Financials!U5</f>
        <v>0.80378799929480305</v>
      </c>
      <c r="X53" s="71">
        <f>Financials!V32/Financials!V5</f>
        <v>0.78227458051429133</v>
      </c>
      <c r="Y53" s="71">
        <f>Financials!W32/Financials!W5</f>
        <v>0.81500288114479102</v>
      </c>
      <c r="Z53" s="71">
        <f>Financials!X32/Financials!X5</f>
        <v>0.83453539249409481</v>
      </c>
      <c r="AA53" s="71">
        <f>Financials!Y32/Financials!Y5</f>
        <v>0.79968663406098528</v>
      </c>
      <c r="AB53" s="71">
        <f>Financials!Z32/Financials!Z5</f>
        <v>0.82376460328937529</v>
      </c>
      <c r="AC53" s="71">
        <f>Financials!AA32/Financials!AA5</f>
        <v>0.86215514063092502</v>
      </c>
      <c r="AD53" s="71">
        <f>Financials!AB32/Financials!AB5</f>
        <v>0.87372592825121453</v>
      </c>
      <c r="AE53" s="71">
        <f>Financials!AC32/Financials!AC5</f>
        <v>0.85847034543070599</v>
      </c>
      <c r="AF53" s="71">
        <f>Financials!AD32/Financials!AD5</f>
        <v>0.83716238010129052</v>
      </c>
      <c r="AG53" s="71">
        <f>Financials!AE32/Financials!AE5</f>
        <v>0.8535377915514708</v>
      </c>
      <c r="AH53" s="71">
        <f>Financials!AF32/Financials!AF5</f>
        <v>0.82848690959927551</v>
      </c>
      <c r="AI53" s="71">
        <f>Financials!AG32/Financials!AG5</f>
        <v>0.82800207020543437</v>
      </c>
      <c r="AJ53" s="71">
        <f>Financials!AH32/Financials!AH5</f>
        <v>0.8065241476191306</v>
      </c>
      <c r="AK53" s="71">
        <f>Financials!AI32/Financials!AI5</f>
        <v>0.81959155864323463</v>
      </c>
      <c r="AL53" s="71">
        <f>Financials!AJ32/Financials!AJ5</f>
        <v>0.83897057028697752</v>
      </c>
      <c r="AM53" s="71">
        <f>Financials!AK32/Financials!AK5</f>
        <v>0.85714289064100213</v>
      </c>
      <c r="AN53" s="71">
        <f>Financials!AL32/Financials!AL5</f>
        <v>0.82362472614559046</v>
      </c>
      <c r="AO53" s="71">
        <f>Financials!AM32/Financials!AM5</f>
        <v>0.82002958068373355</v>
      </c>
      <c r="AP53" s="71" t="e">
        <f>Financials!AN32/Financials!AN5</f>
        <v>#DIV/0!</v>
      </c>
      <c r="AQ53" s="71">
        <f>Financials!AO32/Financials!AO5</f>
        <v>0.8727585189845688</v>
      </c>
      <c r="AR53" s="71">
        <f>Financials!AP32/Financials!AP5</f>
        <v>0.86523081232939758</v>
      </c>
      <c r="AS53" s="71">
        <f>Financials!AQ32/Financials!AQ5</f>
        <v>0.87316034724493352</v>
      </c>
      <c r="AT53" s="71">
        <f>Financials!AR32/Financials!AR5</f>
        <v>0.85562474781910314</v>
      </c>
      <c r="AU53" s="71">
        <f>Financials!AS32/Financials!AS5</f>
        <v>0.83846194429400767</v>
      </c>
      <c r="AV53" s="71"/>
      <c r="AW53" s="71">
        <f>Financials!AU32/Financials!AU5</f>
        <v>0.74971587886947888</v>
      </c>
      <c r="AX53" s="71">
        <f>Financials!AV32/Financials!AV5</f>
        <v>0.74517579261363232</v>
      </c>
      <c r="AY53" s="71">
        <f>Financials!AW32/Financials!AW5</f>
        <v>0.73685077209631855</v>
      </c>
      <c r="AZ53" s="71">
        <f>Financials!AX32/Financials!AX5</f>
        <v>0.73728426989018159</v>
      </c>
      <c r="BA53" s="71">
        <f>Financials!AY32/Financials!AY5</f>
        <v>0.72445362998454421</v>
      </c>
      <c r="BB53" s="71">
        <f>Financials!AZ32/Financials!AZ5</f>
        <v>0.72357250689812425</v>
      </c>
      <c r="BC53" s="71">
        <f>Financials!BA32/Financials!BA5</f>
        <v>0.73913030196141793</v>
      </c>
      <c r="BD53" s="71">
        <f>Financials!BB32/Financials!BB5</f>
        <v>0.72392696615013896</v>
      </c>
      <c r="BE53" s="71">
        <f>Financials!BC32/Financials!BC5</f>
        <v>0.72536826422543343</v>
      </c>
      <c r="BF53" s="71">
        <f>Financials!BD32/Financials!BD5</f>
        <v>0.7206712606535991</v>
      </c>
      <c r="BG53" s="71">
        <f>Financials!BE32/Financials!BE5</f>
        <v>0.72493232379135852</v>
      </c>
      <c r="BH53" s="71">
        <f>Financials!BF32/Financials!BF5</f>
        <v>0.72815385270033794</v>
      </c>
      <c r="BI53" s="71">
        <f>Financials!BG32/Financials!BG5</f>
        <v>0.72684906814314187</v>
      </c>
      <c r="BJ53" s="71">
        <f>Financials!BH32/Financials!BH5</f>
        <v>0.73324902472401177</v>
      </c>
      <c r="BK53" s="71">
        <f>Financials!BI32/Financials!BI5</f>
        <v>0.72636537303346627</v>
      </c>
      <c r="BL53" s="71">
        <f>Financials!BJ32/Financials!BJ5</f>
        <v>0.75162389162033205</v>
      </c>
      <c r="BM53" s="71">
        <f>Financials!BK32/Financials!BK5</f>
        <v>0.78302384424455129</v>
      </c>
      <c r="BN53" s="71">
        <f>Financials!BL32/Financials!BL5</f>
        <v>0.79966827230999427</v>
      </c>
      <c r="BO53" s="71">
        <f>Financials!BM32/Financials!BM5</f>
        <v>0.78700822658218272</v>
      </c>
      <c r="BP53" s="71">
        <f>Financials!BN32/Financials!BN5</f>
        <v>0.79218814465580445</v>
      </c>
      <c r="BQ53" s="71">
        <f>Financials!BO32/Financials!BO5</f>
        <v>0.82405975549915478</v>
      </c>
      <c r="BR53" s="71">
        <f>Financials!BP32/Financials!BP5</f>
        <v>0.8275646783847006</v>
      </c>
      <c r="BS53" s="71">
        <f>Financials!BQ32/Financials!BQ5</f>
        <v>0.83188630210880976</v>
      </c>
      <c r="BT53" s="71">
        <f>Financials!BR32/Financials!BR5</f>
        <v>0.83678242365173516</v>
      </c>
      <c r="BU53" s="71">
        <f>Financials!BS32/Financials!BS5</f>
        <v>0.85427595953265001</v>
      </c>
      <c r="BV53" s="71">
        <f>Financials!BT32/Financials!BT5</f>
        <v>0.85172953794657058</v>
      </c>
      <c r="BW53" s="71">
        <f>Financials!BU32/Financials!BU5</f>
        <v>0.88636213767357508</v>
      </c>
      <c r="BX53" s="71">
        <f>Financials!BV32/Financials!BV5</f>
        <v>0.88604470867885221</v>
      </c>
      <c r="BY53" s="71">
        <f>Financials!BW32/Financials!BW5</f>
        <v>0.89443203410929151</v>
      </c>
      <c r="BZ53" s="71">
        <f>Financials!BX32/Financials!BX5</f>
        <v>0.88332557958357394</v>
      </c>
      <c r="CA53" s="71">
        <f>Financials!BY32/Financials!BY5</f>
        <v>0.86041983883162598</v>
      </c>
      <c r="CB53" s="71">
        <f>Financials!BZ32/Financials!BZ5</f>
        <v>0.83990430926979309</v>
      </c>
    </row>
    <row r="54" spans="2:80" s="2" customFormat="1">
      <c r="B54" s="85">
        <v>8</v>
      </c>
      <c r="C54" s="74" t="s">
        <v>89</v>
      </c>
      <c r="D54" s="73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/>
      <c r="AN54" s="74"/>
      <c r="AO54" s="74"/>
      <c r="AP54" s="74"/>
      <c r="AQ54" s="74"/>
      <c r="AR54" s="74"/>
      <c r="AS54" s="74"/>
      <c r="AT54" s="74"/>
      <c r="AU54" s="74"/>
      <c r="AV54" s="74"/>
      <c r="AW54" s="74"/>
      <c r="AX54" s="74"/>
      <c r="AY54" s="74"/>
      <c r="AZ54" s="74"/>
      <c r="BA54" s="74"/>
      <c r="BB54" s="74"/>
      <c r="BC54" s="74"/>
      <c r="BD54" s="74"/>
      <c r="BE54" s="74"/>
      <c r="BF54" s="74"/>
      <c r="BG54" s="74"/>
      <c r="BH54" s="74"/>
      <c r="BI54" s="74"/>
    </row>
    <row r="55" spans="2:80">
      <c r="B55" s="80">
        <v>8.1</v>
      </c>
      <c r="C55" s="71" t="s">
        <v>90</v>
      </c>
      <c r="D55" s="70"/>
      <c r="E55" s="72" t="e">
        <f>SCI!B33/(SFP!A27+SFP!B27/2)</f>
        <v>#REF!</v>
      </c>
      <c r="F55" s="72" t="e">
        <f>SCI!C33/(SFP!B27+SFP!C27/2)</f>
        <v>#REF!</v>
      </c>
      <c r="G55" s="72" t="e">
        <f>SCI!D33/(SFP!C27+SFP!D27/2)</f>
        <v>#REF!</v>
      </c>
      <c r="H55" s="72" t="e">
        <f>SCI!E33/(SFP!D27+SFP!E27/2)</f>
        <v>#REF!</v>
      </c>
      <c r="I55" s="72" t="e">
        <f>SCI!F33/(SFP!E27+SFP!F27/2)</f>
        <v>#REF!</v>
      </c>
      <c r="J55" s="72" t="e">
        <f>SCI!G33/(SFP!F27+SFP!G27/2)</f>
        <v>#REF!</v>
      </c>
      <c r="K55" s="72" t="e">
        <f>SCI!H33/(SFP!G27+SFP!H27/2)</f>
        <v>#REF!</v>
      </c>
      <c r="L55" s="72" t="e">
        <f>SCI!I33/(SFP!H27+SFP!I27/2)</f>
        <v>#REF!</v>
      </c>
      <c r="M55" s="72" t="e">
        <f>SCI!J33/(SFP!I27+SFP!J27/2)</f>
        <v>#REF!</v>
      </c>
      <c r="N55" s="72" t="e">
        <f>SCI!K33/(SFP!J27+SFP!K27/2)</f>
        <v>#REF!</v>
      </c>
      <c r="O55" s="72" t="e">
        <f>SCI!L33/(SFP!K27+SFP!L27/2)</f>
        <v>#REF!</v>
      </c>
      <c r="P55" s="72" t="e">
        <f>SCI!M33/(SFP!L27+SFP!M27/2)</f>
        <v>#REF!</v>
      </c>
      <c r="Q55" s="72" t="e">
        <f>SCI!N33/(SFP!M27+SFP!N27/2)</f>
        <v>#REF!</v>
      </c>
      <c r="R55" s="72" t="e">
        <f>SCI!O33/(SFP!N27+SFP!O27/2)</f>
        <v>#REF!</v>
      </c>
      <c r="S55" s="72" t="e">
        <f>SCI!P33/(SFP!O27+SFP!P27/2)</f>
        <v>#REF!</v>
      </c>
      <c r="T55" s="72" t="e">
        <f>SCI!Q33/(SFP!#REF!+SFP!Q27/2)</f>
        <v>#REF!</v>
      </c>
      <c r="U55" s="72">
        <f>SCI!R33/(SFP!Q27+SFP!R27/2)</f>
        <v>9.171872610570507E-2</v>
      </c>
      <c r="V55" s="72">
        <f>SCI!S33/(SFP!R27+SFP!S27/2)</f>
        <v>2.1403286692598458E-2</v>
      </c>
      <c r="W55" s="72">
        <f>SCI!T33/(SFP!S27+SFP!T27/2)</f>
        <v>8.6521768483988973E-2</v>
      </c>
      <c r="X55" s="72">
        <f>SCI!U33/(SFP!T27+SFP!U27/2)</f>
        <v>9.2418745160710331E-2</v>
      </c>
      <c r="Y55" s="72">
        <f>SCI!V33/(SFP!U27+SFP!V27/2)</f>
        <v>9.5308003681039338E-2</v>
      </c>
      <c r="Z55" s="72">
        <f>SCI!W33/(SFP!V27+SFP!W27/2)</f>
        <v>2.5179366139760146E-2</v>
      </c>
      <c r="AA55" s="72">
        <f>SCI!X33/(SFP!W27+SFP!X27/2)</f>
        <v>2.7427623319558749E-2</v>
      </c>
      <c r="AB55" s="72">
        <f>SCI!Y33/(SFP!X27+SFP!Y27/2)</f>
        <v>3.6644693878419822E-2</v>
      </c>
      <c r="AC55" s="72">
        <f>SCI!Z33/(SFP!Y27+SFP!Z27/2)</f>
        <v>4.568531585493979E-2</v>
      </c>
      <c r="AD55" s="72">
        <f>SCI!AA33/(SFP!Z27+SFP!AA27/2)</f>
        <v>5.2575624969119605E-2</v>
      </c>
      <c r="AE55" s="72">
        <f>SCI!AB33/(SFP!AA27+SFP!AB27/2)</f>
        <v>5.3055817022838049E-2</v>
      </c>
      <c r="AF55" s="72">
        <f>SCI!AC33/(SFP!AB27+SFP!AC27/2)</f>
        <v>6.0506372558145297E-2</v>
      </c>
      <c r="AG55" s="72">
        <f>SCI!AD33/(SFP!AC27+SFP!AD27/2)</f>
        <v>6.6585992327878971E-2</v>
      </c>
      <c r="AH55" s="72">
        <f>SCI!AE33/(SFP!AD27+SFP!AE27/2)</f>
        <v>7.4956495741135415E-2</v>
      </c>
      <c r="AI55" s="72">
        <f>SCI!AF33/(SFP!AE27+SFP!AF27/2)</f>
        <v>1.6980051691769124E-2</v>
      </c>
      <c r="AJ55" s="72">
        <f>SCI!AG33/(SFP!AF27+SFP!AG27/2)</f>
        <v>7.83584875532021E-2</v>
      </c>
      <c r="AK55" s="72">
        <f>SCI!AH33/(SFP!AG27+SFP!AH27/2)</f>
        <v>1.0909144504646367E-2</v>
      </c>
      <c r="AL55" s="72">
        <f>SCI!AI33/(SFP!AH27+SFP!AI27/2)</f>
        <v>1.5657981164439103E-2</v>
      </c>
      <c r="AM55" s="72">
        <f>SCI!AJ33/(SFP!AI27+SFP!AJ27/2)</f>
        <v>2.6091216952632418E-2</v>
      </c>
      <c r="AN55" s="72">
        <f>SCI!AK33/(SFP!AJ27+SFP!AK27/2)</f>
        <v>3.2496986027020752E-2</v>
      </c>
      <c r="AO55" s="72">
        <f>SCI!AL33/(SFP!AK27+SFP!AL27/2)</f>
        <v>3.8238641961165602E-2</v>
      </c>
      <c r="AP55" s="72">
        <f>SCI!AM33/(SFP!AL27+SFP!AM27/2)</f>
        <v>0</v>
      </c>
      <c r="AQ55" s="72">
        <f>SCI!AN33/(SFP!AM27+SFP!AN27/2)</f>
        <v>0.14770287745275873</v>
      </c>
      <c r="AR55" s="72">
        <f>SCI!AO33/(SFP!AN27+SFP!AO27/2)</f>
        <v>5.2191419391750642E-2</v>
      </c>
      <c r="AS55" s="72">
        <f>SCI!AP33/(SFP!AO27+SFP!AP27/2)</f>
        <v>5.9946485181328918E-2</v>
      </c>
      <c r="AT55" s="72">
        <f>SCI!AQ33/(SFP!AP27+SFP!AQ27/2)</f>
        <v>6.4982224255463725E-2</v>
      </c>
      <c r="AU55" s="72">
        <f>SCI!AR33/(SFP!AQ27+SFP!AR27/2)</f>
        <v>7.0430829150388244E-2</v>
      </c>
      <c r="AV55" s="72"/>
      <c r="AW55" s="72">
        <f>SCI!AT33/(SFP!AS27+SFP!AT27/2)</f>
        <v>1.9576662622373162E-2</v>
      </c>
      <c r="AX55" s="72">
        <f>SCI!AU33/(SFP!AT27+SFP!AU27/2)</f>
        <v>-7.200279872362959E-4</v>
      </c>
      <c r="AY55" s="72">
        <f>SCI!AV33/(SFP!AU27+SFP!AV27/2)</f>
        <v>6.726155267735694E-3</v>
      </c>
      <c r="AZ55" s="72">
        <f>SCI!AW33/(SFP!AV27+SFP!AW27/2)</f>
        <v>3.1393134393966356E-2</v>
      </c>
      <c r="BA55" s="72">
        <f>SCI!AX33/(SFP!AW27+SFP!AX27/2)</f>
        <v>3.9028305099484871E-2</v>
      </c>
      <c r="BB55" s="72">
        <f>SCI!AY33/(SFP!AX27+SFP!AY27/2)</f>
        <v>4.2229527437968685E-2</v>
      </c>
      <c r="BC55" s="72">
        <f>SCI!AZ33/(SFP!AY27+SFP!AZ27/2)</f>
        <v>4.6697119540165206E-2</v>
      </c>
      <c r="BD55" s="72">
        <f>SCI!BA33/(SFP!AZ27+SFP!BA27/2)</f>
        <v>4.9541918300420484E-2</v>
      </c>
      <c r="BE55" s="72">
        <f>SCI!BB33/(SFP!BA27+SFP!BB27/2)</f>
        <v>5.6512644587265355E-2</v>
      </c>
      <c r="BF55" s="72">
        <f>SCI!BC33/(SFP!BB27+SFP!BC27/2)</f>
        <v>6.1955186594706536E-2</v>
      </c>
      <c r="BG55" s="72">
        <f>SCI!BD33/(SFP!BC27+SFP!BD27/2)</f>
        <v>6.8653684025828624E-2</v>
      </c>
      <c r="BH55" s="72">
        <f>SCI!BE33/(SFP!BD27+SFP!BE27/2)</f>
        <v>2.7053206250020431E-2</v>
      </c>
      <c r="BI55" s="72">
        <f>SCI!BF33/(SFP!BE27+SFP!BF27/2)</f>
        <v>3.7389783974527975E-2</v>
      </c>
      <c r="BJ55" s="72">
        <f>SCI!BG33/(SFP!BF27+SFP!BG27/2)</f>
        <v>5.9316265695625609E-3</v>
      </c>
      <c r="BK55" s="72">
        <f>SCI!BH33/(SFP!BG27+SFP!BH27/2)</f>
        <v>8.5554082887603702E-3</v>
      </c>
      <c r="BL55" s="72">
        <f>SCI!BI33/(SFP!BH27+SFP!BI27/2)</f>
        <v>1.1148933721945324E-2</v>
      </c>
      <c r="BM55" s="72">
        <f>SCI!BJ33/(SFP!BI27+SFP!BJ27/2)</f>
        <v>1.9326396083323972E-2</v>
      </c>
      <c r="BN55" s="72">
        <f>SCI!BK33/(SFP!BJ27+SFP!BK27/2)</f>
        <v>1.991298741671399E-2</v>
      </c>
      <c r="BO55" s="72">
        <f>SCI!BL33/(SFP!BK27+SFP!BL27/2)</f>
        <v>4.6995716612459215E-2</v>
      </c>
      <c r="BP55" s="72">
        <f>SCI!BM33/(SFP!BL27+SFP!BM27/2)</f>
        <v>4.8533370130060337E-2</v>
      </c>
      <c r="BQ55" s="72">
        <f>SCI!BN33/(SFP!BM27+SFP!BN27/2)</f>
        <v>5.415104978720902E-2</v>
      </c>
      <c r="BR55" s="72">
        <f>SCI!BO33/(SFP!BN27+SFP!BO27/2)</f>
        <v>6.0162405400159699E-2</v>
      </c>
      <c r="BS55" s="72">
        <f>SCI!BP33/(SFP!BO27+SFP!BP27/2)</f>
        <v>6.2268271659027159E-2</v>
      </c>
      <c r="BT55" s="72">
        <f>SCI!BQ33/(SFP!BP27+SFP!BQ27/2)</f>
        <v>6.8297307477652364E-2</v>
      </c>
      <c r="BU55" s="72">
        <f>SCI!BR33/(SFP!BQ27+SFP!BR27/2)</f>
        <v>8.4166388036689382E-2</v>
      </c>
      <c r="BV55" s="72">
        <f>SCI!BS33/(SFP!BR27+SFP!BS27/2)</f>
        <v>5.5979082076481348E-2</v>
      </c>
      <c r="BW55" s="72">
        <f>SCI!BT33/(SFP!BS27+SFP!BT27/2)</f>
        <v>-4.7251571062700429E-3</v>
      </c>
      <c r="BX55" s="72">
        <f>SCI!BU33/(SFP!BT27+SFP!BU27/2)</f>
        <v>-1.2379500428404959E-3</v>
      </c>
      <c r="BY55" s="72">
        <f>SCI!BV33/(SFP!BU27+SFP!BV27/2)</f>
        <v>3.0096990831575484E-3</v>
      </c>
      <c r="BZ55" s="72">
        <f>SCI!BW33/(SFP!BV27+SFP!BW27/2)</f>
        <v>1.1201605297020103E-2</v>
      </c>
      <c r="CA55" s="72">
        <f>SCI!BX33/(SFP!BW27+SFP!BX27/2)</f>
        <v>2.624848004261722E-2</v>
      </c>
      <c r="CB55" s="72">
        <f>SCI!BY33/(SFP!BX27+SFP!BY27/2)</f>
        <v>5.3347726409512075E-2</v>
      </c>
    </row>
    <row r="56" spans="2:80">
      <c r="B56" s="80">
        <v>8.1999999999999993</v>
      </c>
      <c r="C56" s="71" t="s">
        <v>91</v>
      </c>
      <c r="D56" s="70"/>
      <c r="E56" s="72" t="e">
        <f>SCI!B23/SCI!B19</f>
        <v>#REF!</v>
      </c>
      <c r="F56" s="72" t="e">
        <f>SCI!C23/SCI!C19</f>
        <v>#REF!</v>
      </c>
      <c r="G56" s="72" t="e">
        <f>SCI!D23/SCI!D19</f>
        <v>#REF!</v>
      </c>
      <c r="H56" s="72" t="e">
        <f>SCI!E23/SCI!E19</f>
        <v>#REF!</v>
      </c>
      <c r="I56" s="72" t="e">
        <f>SCI!F23/SCI!F19</f>
        <v>#REF!</v>
      </c>
      <c r="J56" s="72" t="e">
        <f>SCI!G23/SCI!G19</f>
        <v>#REF!</v>
      </c>
      <c r="K56" s="72" t="e">
        <f>SCI!H23/SCI!H19</f>
        <v>#REF!</v>
      </c>
      <c r="L56" s="72" t="e">
        <f>SCI!I23/SCI!I19</f>
        <v>#REF!</v>
      </c>
      <c r="M56" s="72" t="e">
        <f>SCI!J23/SCI!J19</f>
        <v>#REF!</v>
      </c>
      <c r="N56" s="72" t="e">
        <f>SCI!K23/SCI!K19</f>
        <v>#REF!</v>
      </c>
      <c r="O56" s="72" t="e">
        <f>SCI!L23/SCI!L19</f>
        <v>#REF!</v>
      </c>
      <c r="P56" s="72" t="e">
        <f>SCI!M23/SCI!M19</f>
        <v>#REF!</v>
      </c>
      <c r="Q56" s="72" t="e">
        <f>SCI!N23/SCI!N19</f>
        <v>#REF!</v>
      </c>
      <c r="R56" s="72" t="e">
        <f>SCI!O23/SCI!O19</f>
        <v>#REF!</v>
      </c>
      <c r="S56" s="72" t="e">
        <f>SCI!P23/SCI!P19</f>
        <v>#REF!</v>
      </c>
      <c r="T56" s="72">
        <f>SCI!Q23/SCI!Q19</f>
        <v>0.62015327422078503</v>
      </c>
      <c r="U56" s="72">
        <f>SCI!R23/SCI!R19</f>
        <v>0.28779091844743093</v>
      </c>
      <c r="V56" s="72">
        <f>SCI!S23/SCI!S19</f>
        <v>0.59346690595014484</v>
      </c>
      <c r="W56" s="72">
        <f>SCI!T23/SCI!T19</f>
        <v>0.29062189047777387</v>
      </c>
      <c r="X56" s="72">
        <f>SCI!U23/SCI!U19</f>
        <v>0.28378980928479264</v>
      </c>
      <c r="Y56" s="72">
        <f>SCI!V23/SCI!V19</f>
        <v>0.30491294255765539</v>
      </c>
      <c r="Z56" s="72">
        <f>SCI!W23/SCI!W19</f>
        <v>0.35188480121631338</v>
      </c>
      <c r="AA56" s="72">
        <f>SCI!X23/SCI!X19</f>
        <v>0.42614588607338072</v>
      </c>
      <c r="AB56" s="72">
        <f>SCI!Y23/SCI!Y19</f>
        <v>0.38569896660788255</v>
      </c>
      <c r="AC56" s="72">
        <f>SCI!Z23/SCI!Z19</f>
        <v>0.34384251542582783</v>
      </c>
      <c r="AD56" s="72">
        <f>SCI!AA23/SCI!AA19</f>
        <v>0.32839930980193094</v>
      </c>
      <c r="AE56" s="72">
        <f>SCI!AB23/SCI!AB19</f>
        <v>0.33231225714729862</v>
      </c>
      <c r="AF56" s="72">
        <f>SCI!AC23/SCI!AC19</f>
        <v>0.32035506397067742</v>
      </c>
      <c r="AG56" s="72">
        <f>SCI!AD23/SCI!AD19</f>
        <v>0.31898609337433875</v>
      </c>
      <c r="AH56" s="72">
        <f>SCI!AE23/SCI!AE19</f>
        <v>0.31572365801218999</v>
      </c>
      <c r="AI56" s="72">
        <f>SCI!AF23/SCI!AF19</f>
        <v>0.63147857570557575</v>
      </c>
      <c r="AJ56" s="72">
        <f>SCI!AG23/SCI!AG19</f>
        <v>0.3157004454984208</v>
      </c>
      <c r="AK56" s="72">
        <f>SCI!AH23/SCI!AH19</f>
        <v>0.31370932124097189</v>
      </c>
      <c r="AL56" s="72">
        <f>SCI!AI23/SCI!AI19</f>
        <v>0.37094405179533174</v>
      </c>
      <c r="AM56" s="72">
        <f>SCI!AJ23/SCI!AJ19</f>
        <v>0.301333215366059</v>
      </c>
      <c r="AN56" s="72">
        <f>SCI!AK23/SCI!AK19</f>
        <v>0.2912775194079365</v>
      </c>
      <c r="AO56" s="72">
        <f>SCI!AL23/SCI!AL19</f>
        <v>0.29034706688627054</v>
      </c>
      <c r="AP56" s="72" t="e">
        <f>SCI!AM23/SCI!AM19</f>
        <v>#DIV/0!</v>
      </c>
      <c r="AQ56" s="72">
        <f>SCI!AN23/SCI!AN19</f>
        <v>0.30665091943194944</v>
      </c>
      <c r="AR56" s="72">
        <f>SCI!AO23/SCI!AO19</f>
        <v>0.29829176435579485</v>
      </c>
      <c r="AS56" s="72">
        <f>SCI!AP23/SCI!AP19</f>
        <v>0.29542991851828149</v>
      </c>
      <c r="AT56" s="72">
        <f>SCI!AQ23/SCI!AQ19</f>
        <v>0.29374035516329322</v>
      </c>
      <c r="AU56" s="72">
        <f>SCI!AR23/SCI!AR19</f>
        <v>0.29795185613546138</v>
      </c>
      <c r="AV56" s="72"/>
      <c r="AW56" s="72">
        <f>SCI!AT23/SCI!AT19</f>
        <v>0.55022136537724731</v>
      </c>
      <c r="AX56" s="72">
        <f>SCI!AU23/SCI!AU19</f>
        <v>0.52426377446963113</v>
      </c>
      <c r="AY56" s="72">
        <f>SCI!AV23/SCI!AV19</f>
        <v>0.50223993218932439</v>
      </c>
      <c r="AZ56" s="72">
        <f>SCI!AW23/SCI!AW19</f>
        <v>0.30152520899437751</v>
      </c>
      <c r="BA56" s="72">
        <f>SCI!AX23/SCI!AX19</f>
        <v>0.32426910935528003</v>
      </c>
      <c r="BB56" s="72">
        <f>SCI!AY23/SCI!AY19</f>
        <v>0.33819078881838505</v>
      </c>
      <c r="BC56" s="72">
        <f>SCI!AZ23/SCI!AZ19</f>
        <v>0.35261352813861324</v>
      </c>
      <c r="BD56" s="72">
        <f>SCI!BA23/SCI!BA19</f>
        <v>0.36558806279409456</v>
      </c>
      <c r="BE56" s="72">
        <f>SCI!BB23/SCI!BB19</f>
        <v>0.36011531856873463</v>
      </c>
      <c r="BF56" s="72">
        <f>SCI!BC23/SCI!BC19</f>
        <v>0.35517955850973915</v>
      </c>
      <c r="BG56" s="72">
        <f>SCI!BD23/SCI!BD19</f>
        <v>0.36081002271475027</v>
      </c>
      <c r="BH56" s="72">
        <f>SCI!BE23/SCI!BE19</f>
        <v>0.58569754354233194</v>
      </c>
      <c r="BI56" s="72">
        <f>SCI!BF23/SCI!BF19</f>
        <v>0.53882045527661404</v>
      </c>
      <c r="BJ56" s="72">
        <f>SCI!BG23/SCI!BG19</f>
        <v>0.4050066233853179</v>
      </c>
      <c r="BK56" s="72">
        <f>SCI!BH23/SCI!BH19</f>
        <v>0.5418480167118358</v>
      </c>
      <c r="BL56" s="72">
        <f>SCI!BI23/SCI!BI19</f>
        <v>0.62137931737634766</v>
      </c>
      <c r="BM56" s="72">
        <f>SCI!BJ23/SCI!BJ19</f>
        <v>0.55420097719930594</v>
      </c>
      <c r="BN56" s="72">
        <f>SCI!BK23/SCI!BK19</f>
        <v>0.55777807812200275</v>
      </c>
      <c r="BO56" s="72">
        <f>SCI!BL23/SCI!BL19</f>
        <v>0.41190682192643679</v>
      </c>
      <c r="BP56" s="72">
        <f>SCI!BM23/SCI!BM19</f>
        <v>0.41851912391561119</v>
      </c>
      <c r="BQ56" s="72">
        <f>SCI!BN23/SCI!BN19</f>
        <v>0.40798802596468003</v>
      </c>
      <c r="BR56" s="72">
        <f>SCI!BO23/SCI!BO19</f>
        <v>0.400354097872336</v>
      </c>
      <c r="BS56" s="72">
        <f>SCI!BP23/SCI!BP19</f>
        <v>0.3983522689144125</v>
      </c>
      <c r="BT56" s="72">
        <f>SCI!BQ23/SCI!BQ19</f>
        <v>0.39121110071971649</v>
      </c>
      <c r="BU56" s="72">
        <f>SCI!BR23/SCI!BR19</f>
        <v>0.36267871990509182</v>
      </c>
      <c r="BV56" s="72">
        <f>SCI!BS23/SCI!BS19</f>
        <v>0.457417365947003</v>
      </c>
      <c r="BW56" s="72">
        <f>SCI!BT23/SCI!BT19</f>
        <v>0.32390865063102958</v>
      </c>
      <c r="BX56" s="72">
        <f>SCI!BU23/SCI!BU19</f>
        <v>0.47494466724780382</v>
      </c>
      <c r="BY56" s="72">
        <f>SCI!BV23/SCI!BV19</f>
        <v>0.53190624877067272</v>
      </c>
      <c r="BZ56" s="72">
        <f>SCI!BW23/SCI!BW19</f>
        <v>0.4927397514406488</v>
      </c>
      <c r="CA56" s="72">
        <f>SCI!BX23/SCI!BX19</f>
        <v>0.42974102095170735</v>
      </c>
      <c r="CB56" s="72">
        <f>SCI!BY23/SCI!BY19</f>
        <v>0.31228584510546453</v>
      </c>
    </row>
    <row r="57" spans="2:80">
      <c r="B57" s="80">
        <v>8.3000000000000007</v>
      </c>
      <c r="C57" s="80" t="s">
        <v>92</v>
      </c>
      <c r="D57" s="70"/>
      <c r="E57" s="72">
        <f>SCI!B23/SFP!B27</f>
        <v>8.511625057051328E-2</v>
      </c>
      <c r="F57" s="72">
        <f>SCI!C23/SFP!C27</f>
        <v>6.0332292640779231E-2</v>
      </c>
      <c r="G57" s="72">
        <f>SCI!D23/SFP!D27</f>
        <v>5.0864586829587354E-2</v>
      </c>
      <c r="H57" s="72">
        <f>SCI!E23/SFP!E27</f>
        <v>6.8212320229515053E-3</v>
      </c>
      <c r="I57" s="72">
        <f>SCI!F23/SFP!F27</f>
        <v>1.206515205652208E-2</v>
      </c>
      <c r="J57" s="72">
        <f>SCI!G23/SFP!G27</f>
        <v>1.6300070517401528E-2</v>
      </c>
      <c r="K57" s="72">
        <f>SCI!H23/SFP!H27</f>
        <v>1.9844365287732865E-2</v>
      </c>
      <c r="L57" s="72">
        <f>SCI!I23/SFP!I27</f>
        <v>2.4996546038452902E-2</v>
      </c>
      <c r="M57" s="72">
        <f>SCI!J23/SFP!J27</f>
        <v>2.8964105222676631E-2</v>
      </c>
      <c r="N57" s="72">
        <f>SCI!K23/SFP!K27</f>
        <v>3.3034753646451469E-2</v>
      </c>
      <c r="O57" s="72">
        <f>SCI!L23/SFP!L27</f>
        <v>3.68812220715369E-2</v>
      </c>
      <c r="P57" s="72">
        <f>SCI!M23/SFP!M27</f>
        <v>4.156845540924746E-2</v>
      </c>
      <c r="Q57" s="72">
        <f>SCI!N23/SFP!N27</f>
        <v>4.6026425888027113E-2</v>
      </c>
      <c r="R57" s="72">
        <f>SCI!O23/SFP!O27</f>
        <v>5.0026511681690963E-2</v>
      </c>
      <c r="S57" s="72">
        <f>SCI!P23/SFP!P27</f>
        <v>5.8324276017402865E-2</v>
      </c>
      <c r="T57" s="72">
        <f>SCI!Q23/SFP!Q27</f>
        <v>5.3899370942410485E-2</v>
      </c>
      <c r="U57" s="72">
        <f>SCI!R23/SFP!R27</f>
        <v>4.8860963987668288E-2</v>
      </c>
      <c r="V57" s="72">
        <f>SCI!S23/SFP!S27</f>
        <v>5.6671521833393947E-2</v>
      </c>
      <c r="W57" s="72">
        <f>SCI!T23/SFP!T27</f>
        <v>5.4654003762069081E-2</v>
      </c>
      <c r="X57" s="72">
        <f>SCI!U23/SFP!U27</f>
        <v>5.5574311322709478E-2</v>
      </c>
      <c r="Y57" s="72">
        <f>SCI!V23/SFP!V27</f>
        <v>6.7479628714612397E-2</v>
      </c>
      <c r="Z57" s="72">
        <f>SCI!W23/SFP!W27</f>
        <v>2.1463423141422584E-2</v>
      </c>
      <c r="AA57" s="72">
        <f>SCI!X23/SFP!X27</f>
        <v>3.0839953808625337E-2</v>
      </c>
      <c r="AB57" s="72">
        <f>SCI!Y23/SFP!Y27</f>
        <v>3.6261474047195714E-2</v>
      </c>
      <c r="AC57" s="72">
        <f>SCI!Z23/SFP!Z27</f>
        <v>3.603384857054126E-2</v>
      </c>
      <c r="AD57" s="72">
        <f>SCI!AA23/SFP!AA27</f>
        <v>3.9911829901974442E-2</v>
      </c>
      <c r="AE57" s="72">
        <f>SCI!AB23/SFP!AB27</f>
        <v>4.4787612288389844E-2</v>
      </c>
      <c r="AF57" s="72">
        <f>SCI!AC23/SFP!AC27</f>
        <v>4.7878481739192548E-2</v>
      </c>
      <c r="AG57" s="72">
        <f>SCI!AD23/SFP!AD27</f>
        <v>5.2017390351999537E-2</v>
      </c>
      <c r="AH57" s="72">
        <f>SCI!AE23/SFP!AE27</f>
        <v>5.5166622082372573E-2</v>
      </c>
      <c r="AI57" s="72">
        <f>SCI!AF23/SFP!AF27</f>
        <v>5.8270747773591085E-2</v>
      </c>
      <c r="AJ57" s="72">
        <f>SCI!AG23/SFP!AG27</f>
        <v>5.6765545719589937E-2</v>
      </c>
      <c r="AK57" s="72">
        <f>SCI!AH23/SFP!AH27</f>
        <v>8.0113694235842605E-3</v>
      </c>
      <c r="AL57" s="72">
        <f>SCI!AI23/SFP!AI27</f>
        <v>1.4525669977310744E-2</v>
      </c>
      <c r="AM57" s="72">
        <f>SCI!AJ23/SFP!AJ27</f>
        <v>1.7842021628272208E-2</v>
      </c>
      <c r="AN57" s="72">
        <f>SCI!AK23/SFP!AK27</f>
        <v>2.0720272708937709E-2</v>
      </c>
      <c r="AO57" s="72">
        <f>SCI!AL23/SFP!AL27</f>
        <v>2.4429699716482178E-2</v>
      </c>
      <c r="AP57" s="72" t="e">
        <f>SCI!AM23/SFP!AM27</f>
        <v>#DIV/0!</v>
      </c>
      <c r="AQ57" s="72">
        <f>SCI!AN23/SFP!AN27</f>
        <v>3.4433255130779467E-2</v>
      </c>
      <c r="AR57" s="72">
        <f>SCI!AO23/SFP!AO27</f>
        <v>3.7851012591715472E-2</v>
      </c>
      <c r="AS57" s="72">
        <f>SCI!AP23/SFP!AP27</f>
        <v>4.1693511334431888E-2</v>
      </c>
      <c r="AT57" s="72">
        <f>SCI!AQ23/SFP!AQ27</f>
        <v>4.499378755903434E-2</v>
      </c>
      <c r="AU57" s="72">
        <f>SCI!AR23/SFP!AR27</f>
        <v>4.8604403699782084E-2</v>
      </c>
      <c r="AV57" s="72"/>
      <c r="AW57" s="72">
        <f>SCI!AT23/SFP!AT27</f>
        <v>0.10176668604254741</v>
      </c>
      <c r="AX57" s="72">
        <f>SCI!AU23/SFP!AU27</f>
        <v>1.5556841923814348E-2</v>
      </c>
      <c r="AY57" s="72">
        <f>SCI!AV23/SFP!AV27</f>
        <v>2.2877119041531103E-2</v>
      </c>
      <c r="AZ57" s="72">
        <f>SCI!AW23/SFP!AW27</f>
        <v>2.8255720304611154E-2</v>
      </c>
      <c r="BA57" s="72">
        <f>SCI!AX23/SFP!AX27</f>
        <v>3.5035275344796397E-2</v>
      </c>
      <c r="BB57" s="72">
        <f>SCI!AY23/SFP!AY27</f>
        <v>4.1858869303963792E-2</v>
      </c>
      <c r="BC57" s="72">
        <f>SCI!AZ23/SFP!AZ27</f>
        <v>4.7260024930359676E-2</v>
      </c>
      <c r="BD57" s="72">
        <f>SCI!BA23/SFP!BA27</f>
        <v>5.3417385070437723E-2</v>
      </c>
      <c r="BE57" s="72">
        <f>SCI!BB23/SFP!BB27</f>
        <v>5.830384405715016E-2</v>
      </c>
      <c r="BF57" s="72">
        <f>SCI!BC23/SFP!BC27</f>
        <v>6.2307123611538458E-2</v>
      </c>
      <c r="BG57" s="72">
        <f>SCI!BD23/SFP!BD27</f>
        <v>7.0112673520019653E-2</v>
      </c>
      <c r="BH57" s="72">
        <f>SCI!BE23/SFP!BE27</f>
        <v>9.2744805977109282E-2</v>
      </c>
      <c r="BI57" s="72">
        <f>SCI!BF23/SFP!BF27</f>
        <v>9.7027732162151062E-2</v>
      </c>
      <c r="BJ57" s="72">
        <f>SCI!BG23/SFP!BG27</f>
        <v>6.4192789634346954E-3</v>
      </c>
      <c r="BK57" s="72">
        <f>SCI!BH23/SFP!BH27</f>
        <v>1.6600261102044531E-2</v>
      </c>
      <c r="BL57" s="72">
        <f>SCI!BI23/SFP!BI27</f>
        <v>2.9544931698086176E-2</v>
      </c>
      <c r="BM57" s="72">
        <f>SCI!BJ23/SFP!BJ27</f>
        <v>3.720670933717745E-2</v>
      </c>
      <c r="BN57" s="72">
        <f>SCI!BK23/SFP!BK27</f>
        <v>4.5542858489985974E-2</v>
      </c>
      <c r="BO57" s="72">
        <f>SCI!BL23/SFP!BL27</f>
        <v>5.0972207027374435E-2</v>
      </c>
      <c r="BP57" s="72">
        <f>SCI!BM23/SFP!BM27</f>
        <v>5.6946159046818344E-2</v>
      </c>
      <c r="BQ57" s="72">
        <f>SCI!BN23/SFP!BN27</f>
        <v>6.1777011827201453E-2</v>
      </c>
      <c r="BR57" s="72">
        <f>SCI!BO23/SFP!BO27</f>
        <v>6.6753632957391118E-2</v>
      </c>
      <c r="BS57" s="72">
        <f>SCI!BP23/SFP!BP27</f>
        <v>7.1487560969042047E-2</v>
      </c>
      <c r="BT57" s="72">
        <f>SCI!BQ23/SFP!BQ27</f>
        <v>7.5422997416793744E-2</v>
      </c>
      <c r="BU57" s="72">
        <f>SCI!BR23/SFP!BR27</f>
        <v>7.3194323673124034E-2</v>
      </c>
      <c r="BV57" s="72">
        <f>SCI!BS23/SFP!BS27</f>
        <v>7.730279640265833E-2</v>
      </c>
      <c r="BW57" s="72">
        <f>SCI!BT23/SFP!BT27</f>
        <v>5.3664655627601553E-3</v>
      </c>
      <c r="BX57" s="72">
        <f>SCI!BU23/SFP!BU27</f>
        <v>1.4882908818392528E-2</v>
      </c>
      <c r="BY57" s="72">
        <f>SCI!BV23/SFP!BV27</f>
        <v>2.4675500695036701E-2</v>
      </c>
      <c r="BZ57" s="72">
        <f>SCI!BW23/SFP!BW27</f>
        <v>2.900491383449641E-2</v>
      </c>
      <c r="CA57" s="72">
        <f>SCI!BX23/SFP!BX27</f>
        <v>3.5520603400542181E-2</v>
      </c>
      <c r="CB57" s="72">
        <f>SCI!BY23/SFP!BY27</f>
        <v>4.1496513322196907E-2</v>
      </c>
    </row>
    <row r="58" spans="2:80">
      <c r="B58" s="80"/>
      <c r="C58" s="80" t="s">
        <v>93</v>
      </c>
      <c r="D58" s="70"/>
      <c r="E58" s="86">
        <f>(Financials!C36+Financials!C29)/Financials!C5</f>
        <v>8.6323741291082709E-2</v>
      </c>
      <c r="F58" s="86">
        <f>(Financials!D36+Financials!D29)/Financials!D5</f>
        <v>0.12367589071780827</v>
      </c>
      <c r="G58" s="86">
        <f>(Financials!E36+Financials!E29)/Financials!E5</f>
        <v>0.14978837534289544</v>
      </c>
      <c r="H58" s="86">
        <f>(Financials!F36+Financials!F29)/Financials!F5</f>
        <v>0.10763132723403221</v>
      </c>
      <c r="I58" s="86">
        <f>(Financials!G36+Financials!G29)/Financials!G5</f>
        <v>8.3528394974427586E-2</v>
      </c>
      <c r="J58" s="86">
        <f>(Financials!H36+Financials!H29)/Financials!H5</f>
        <v>3.0837288290251574E-2</v>
      </c>
      <c r="K58" s="86">
        <f>(Financials!I36+Financials!I29)/Financials!I5</f>
        <v>4.8197018997937671E-2</v>
      </c>
      <c r="L58" s="86">
        <f>(Financials!J36+Financials!J29)/Financials!J5</f>
        <v>2.1091785655577313E-2</v>
      </c>
      <c r="M58" s="86">
        <f>(Financials!K36+Financials!K29)/Financials!K5</f>
        <v>5.1372879345975474E-2</v>
      </c>
      <c r="N58" s="86">
        <f>(Financials!L36+Financials!L29)/Financials!L5</f>
        <v>2.925652759375489E-2</v>
      </c>
      <c r="O58" s="86">
        <f>(Financials!M36+Financials!M29)/Financials!M5</f>
        <v>6.54902867571132E-2</v>
      </c>
      <c r="P58" s="86">
        <f>(Financials!N36+Financials!N29)/Financials!N5</f>
        <v>4.8824412847688459E-2</v>
      </c>
      <c r="Q58" s="86">
        <f>(Financials!O36+Financials!O29)/Financials!O5</f>
        <v>3.2348627731188663E-2</v>
      </c>
      <c r="R58" s="86">
        <f>(Financials!P36+Financials!P29)/Financials!P5</f>
        <v>8.0052671792196994E-2</v>
      </c>
      <c r="S58" s="86">
        <f>(Financials!Q36+Financials!Q29)/Financials!Q5</f>
        <v>0.10173918966980086</v>
      </c>
      <c r="T58" s="86">
        <f>(Financials!R36+Financials!R29)/Financials!R5</f>
        <v>0.14496200753225796</v>
      </c>
      <c r="U58" s="86">
        <f>(Financials!S36+Financials!S29)/Financials!S5</f>
        <v>0.15112500604387705</v>
      </c>
      <c r="V58" s="86">
        <f>(Financials!T36+Financials!T29)/Financials!T5</f>
        <v>0.14740407298309921</v>
      </c>
      <c r="W58" s="86">
        <f>(Financials!U36+Financials!U29)/Financials!U5</f>
        <v>0.16450572945370998</v>
      </c>
      <c r="X58" s="86">
        <f>(Financials!V36+Financials!V29)/Financials!V5</f>
        <v>0.16990382468792126</v>
      </c>
      <c r="Y58" s="86">
        <f>(Financials!W36+Financials!W29)/Financials!W5</f>
        <v>0.15588442099595312</v>
      </c>
      <c r="Z58" s="86">
        <f>(Financials!X36+Financials!X29)/Financials!X5</f>
        <v>0.13883827364170409</v>
      </c>
      <c r="AA58" s="86">
        <f>(Financials!Y36+Financials!Y29)/Financials!Y5</f>
        <v>0.14041273083190237</v>
      </c>
      <c r="AB58" s="86">
        <f>(Financials!Z36+Financials!Z29)/Financials!Z5</f>
        <v>0.13515775611338435</v>
      </c>
      <c r="AC58" s="86">
        <f>(Financials!AA36+Financials!AA29)/Financials!AA5</f>
        <v>0.1072052939268197</v>
      </c>
      <c r="AD58" s="86">
        <f>(Financials!AB36+Financials!AB29)/Financials!AB5</f>
        <v>9.9172873523882918E-2</v>
      </c>
      <c r="AE58" s="86">
        <f>(Financials!AC36+Financials!AC29)/Financials!AC5</f>
        <v>0.12043217751163512</v>
      </c>
      <c r="AF58" s="86">
        <f>(Financials!AD36+Financials!AD29)/Financials!AD5</f>
        <v>0.14537472955404213</v>
      </c>
      <c r="AG58" s="86">
        <f>(Financials!AE36+Financials!AE29)/Financials!AE5</f>
        <v>0.12890002047732441</v>
      </c>
      <c r="AH58" s="86">
        <f>(Financials!AF36+Financials!AF29)/Financials!AF5</f>
        <v>0.14934900215679747</v>
      </c>
      <c r="AI58" s="86">
        <f>(Financials!AG36+Financials!AG29)/Financials!AG5</f>
        <v>0.14967459607400055</v>
      </c>
      <c r="AJ58" s="86">
        <f>(Financials!AH36+Financials!AH29)/Financials!AH5</f>
        <v>0.17499947882700745</v>
      </c>
      <c r="AK58" s="86">
        <f>(Financials!AI36+Financials!AI29)/Financials!AI5</f>
        <v>0.15453351588514233</v>
      </c>
      <c r="AL58" s="86">
        <f>(Financials!AJ36+Financials!AJ29)/Financials!AJ5</f>
        <v>0.14865108266433641</v>
      </c>
      <c r="AM58" s="86">
        <f>(Financials!AK36+Financials!AK29)/Financials!AK5</f>
        <v>0.12738050770751821</v>
      </c>
      <c r="AN58" s="86">
        <f>(Financials!AL36+Financials!AL29)/Financials!AL5</f>
        <v>0.135076468677781</v>
      </c>
      <c r="AO58" s="86">
        <f>(Financials!AM36+Financials!AM29)/Financials!AM5</f>
        <v>0.16274725172110488</v>
      </c>
      <c r="AP58" s="86" t="e">
        <f>(Financials!AN36+Financials!AN29)/Financials!AN5</f>
        <v>#DIV/0!</v>
      </c>
      <c r="AQ58" s="86">
        <f>(Financials!AO36+Financials!AO29)/Financials!AO5</f>
        <v>0.11528274390661621</v>
      </c>
      <c r="AR58" s="86">
        <f>(Financials!AP36+Financials!AP29)/Financials!AP5</f>
        <v>0.12936886465819566</v>
      </c>
      <c r="AS58" s="86">
        <f>(Financials!AQ36+Financials!AQ29)/Financials!AQ5</f>
        <v>0.12290601121707713</v>
      </c>
      <c r="AT58" s="86">
        <f>(Financials!AR36+Financials!AR29)/Financials!AR5</f>
        <v>0.14198349974811744</v>
      </c>
      <c r="AU58" s="86">
        <f>(Financials!AS36+Financials!AS29)/Financials!AS5</f>
        <v>0.1574285858807522</v>
      </c>
      <c r="AV58" s="86">
        <f>(Financials!AT36+Financials!AT29)/Financials!AT5</f>
        <v>0.15860449861372344</v>
      </c>
      <c r="AW58" s="86">
        <f>(Financials!AU36+Financials!AU29)/Financials!AU5</f>
        <v>8.8497821583917516E-2</v>
      </c>
      <c r="AX58" s="86">
        <f>(Financials!AV36+Financials!AV29)/Financials!AV5</f>
        <v>0.10080218092524908</v>
      </c>
      <c r="AY58" s="86">
        <f>(Financials!AW36+Financials!AW29)/Financials!AW5</f>
        <v>0.10663786057268669</v>
      </c>
      <c r="AZ58" s="86">
        <f>(Financials!AX36+Financials!AX29)/Financials!AX5</f>
        <v>0.12364065920669247</v>
      </c>
      <c r="BA58" s="86">
        <f>(Financials!AY36+Financials!AY29)/Financials!AY5</f>
        <v>0.12345725901057579</v>
      </c>
      <c r="BB58" s="86">
        <f>(Financials!AZ36+Financials!AZ29)/Financials!AZ5</f>
        <v>0.13394041829634684</v>
      </c>
      <c r="BC58" s="86">
        <f>(Financials!BA36+Financials!BA29)/Financials!BA5</f>
        <v>0.12055164784878027</v>
      </c>
      <c r="BD58" s="86">
        <f>(Financials!BB36+Financials!BB29)/Financials!BB5</f>
        <v>0.13609056778558898</v>
      </c>
      <c r="BE58" s="86">
        <f>(Financials!BC36+Financials!BC29)/Financials!BC5</f>
        <v>0.13816331242926427</v>
      </c>
      <c r="BF58" s="86">
        <f>(Financials!BD36+Financials!BD29)/Financials!BD5</f>
        <v>0.14546967388119644</v>
      </c>
      <c r="BG58" s="86">
        <f>(Financials!BE36+Financials!BE29)/Financials!BE5</f>
        <v>0.14562256330892576</v>
      </c>
      <c r="BH58" s="86">
        <f>(Financials!BF36+Financials!BF29)/Financials!BF5</f>
        <v>0.16947715924882076</v>
      </c>
      <c r="BI58" s="86">
        <f>(Financials!BG36+Financials!BG29)/Financials!BG5</f>
        <v>0.17114987315084787</v>
      </c>
      <c r="BJ58" s="86">
        <f>(Financials!BH36+Financials!BH29)/Financials!BH5</f>
        <v>0.14109983923237626</v>
      </c>
      <c r="BK58" s="86">
        <f>(Financials!BI36+Financials!BI29)/Financials!BI5</f>
        <v>0.1489991940175604</v>
      </c>
      <c r="BL58" s="86">
        <f>(Financials!BJ36+Financials!BJ29)/Financials!BJ5</f>
        <v>0.12969406976027789</v>
      </c>
      <c r="BM58" s="86">
        <f>(Financials!BK36+Financials!BK29)/Financials!BK5</f>
        <v>9.5615222133752148E-2</v>
      </c>
      <c r="BN58" s="86">
        <f>(Financials!BL36+Financials!BL29)/Financials!BL5</f>
        <v>8.317709196153511E-2</v>
      </c>
      <c r="BO58" s="86">
        <f>(Financials!BM36+Financials!BM29)/Financials!BM5</f>
        <v>0.12585329100823905</v>
      </c>
      <c r="BP58" s="86">
        <f>(Financials!BN36+Financials!BN29)/Financials!BN5</f>
        <v>8.1200429085098419E-2</v>
      </c>
      <c r="BQ58" s="86">
        <f>(Financials!BO36+Financials!BO29)/Financials!BO5</f>
        <v>5.4803511481869946E-2</v>
      </c>
      <c r="BR58" s="86">
        <f>(Financials!BP36+Financials!BP29)/Financials!BP5</f>
        <v>5.4350867714804435E-2</v>
      </c>
      <c r="BS58" s="86">
        <f>(Financials!BQ36+Financials!BQ29)/Financials!BQ5</f>
        <v>5.3435348306548003E-2</v>
      </c>
      <c r="BT58" s="86">
        <f>(Financials!BR36+Financials!BR29)/Financials!BR5</f>
        <v>4.5245077282414344E-2</v>
      </c>
      <c r="BU58" s="86">
        <f>(Financials!BS36+Financials!BS29)/Financials!BS5</f>
        <v>3.8556450654622397E-2</v>
      </c>
      <c r="BV58" s="86">
        <f>(Financials!BT36+Financials!BT29)/Financials!BT5</f>
        <v>3.9230197623885271E-2</v>
      </c>
      <c r="BW58" s="86">
        <f>(Financials!BU36+Financials!BU29)/Financials!BU5</f>
        <v>3.8711709397848036E-2</v>
      </c>
      <c r="BX58" s="86">
        <f>(Financials!BV36+Financials!BV29)/Financials!BV5</f>
        <v>3.9194602416191361E-2</v>
      </c>
      <c r="BY58" s="86">
        <f>(Financials!BW36+Financials!BW29)/Financials!BW5</f>
        <v>2.5627750019897214E-2</v>
      </c>
      <c r="BZ58" s="86">
        <f>(Financials!BX36+Financials!BX29)/Financials!BX5</f>
        <v>5.7691747857905658E-2</v>
      </c>
      <c r="CA58" s="86">
        <f>(Financials!BY36+Financials!BY29)/Financials!BY5</f>
        <v>5.4983613112366402E-2</v>
      </c>
      <c r="CB58" s="86">
        <f>(Financials!BZ36+Financials!BZ29)/Financials!BZ5</f>
        <v>8.6787531200649137E-2</v>
      </c>
    </row>
    <row r="59" spans="2:80">
      <c r="E59" s="1"/>
      <c r="F59" s="1"/>
      <c r="G59" s="1"/>
      <c r="H59" s="1"/>
    </row>
    <row r="76" spans="2:8">
      <c r="B76" s="1">
        <v>0</v>
      </c>
      <c r="D76" s="1"/>
      <c r="E76" s="1"/>
      <c r="F76" s="1"/>
      <c r="G76" s="1"/>
      <c r="H76" s="1"/>
    </row>
  </sheetData>
  <pageMargins left="0.7" right="0.7" top="0.75" bottom="0.75" header="0.3" footer="0.3"/>
  <pageSetup scale="9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M54"/>
  <sheetViews>
    <sheetView tabSelected="1" topLeftCell="A7" workbookViewId="0">
      <pane xSplit="3" topLeftCell="BN1" activePane="topRight" state="frozen"/>
      <selection pane="topRight" activeCell="BX20" sqref="BX20:CA23"/>
    </sheetView>
  </sheetViews>
  <sheetFormatPr defaultRowHeight="15"/>
  <cols>
    <col min="2" max="2" width="16.5703125" customWidth="1"/>
    <col min="3" max="7" width="14" customWidth="1"/>
    <col min="8" max="8" width="14.140625" bestFit="1" customWidth="1"/>
    <col min="9" max="20" width="0" hidden="1" customWidth="1"/>
    <col min="21" max="21" width="14.140625" bestFit="1" customWidth="1"/>
    <col min="34" max="34" width="14.140625" bestFit="1" customWidth="1"/>
    <col min="45" max="46" width="0" hidden="1" customWidth="1"/>
    <col min="47" max="47" width="12.28515625" hidden="1" customWidth="1"/>
    <col min="60" max="60" width="13.7109375" customWidth="1"/>
    <col min="73" max="73" width="13" customWidth="1"/>
  </cols>
  <sheetData>
    <row r="1" spans="2:91" ht="15.75" thickBot="1">
      <c r="B1" s="102" t="s">
        <v>94</v>
      </c>
    </row>
    <row r="2" spans="2:91" ht="39">
      <c r="B2" s="211" t="s">
        <v>15</v>
      </c>
      <c r="C2" s="212" t="s">
        <v>16</v>
      </c>
      <c r="D2" s="206" t="s">
        <v>17</v>
      </c>
      <c r="E2" s="206" t="s">
        <v>18</v>
      </c>
      <c r="F2" s="206" t="s">
        <v>19</v>
      </c>
      <c r="G2" s="206" t="s">
        <v>20</v>
      </c>
      <c r="H2" s="206" t="s">
        <v>21</v>
      </c>
      <c r="I2" s="207">
        <v>43101</v>
      </c>
      <c r="J2" s="207">
        <v>43132</v>
      </c>
      <c r="K2" s="207">
        <v>43160</v>
      </c>
      <c r="L2" s="207">
        <v>43191</v>
      </c>
      <c r="M2" s="207">
        <v>43221</v>
      </c>
      <c r="N2" s="207">
        <v>43252</v>
      </c>
      <c r="O2" s="207">
        <v>43282</v>
      </c>
      <c r="P2" s="207">
        <v>43313</v>
      </c>
      <c r="Q2" s="207">
        <v>43344</v>
      </c>
      <c r="R2" s="207">
        <v>43374</v>
      </c>
      <c r="S2" s="207">
        <v>43405</v>
      </c>
      <c r="T2" s="208">
        <v>43435</v>
      </c>
      <c r="U2" s="208" t="s">
        <v>22</v>
      </c>
      <c r="V2" s="208">
        <v>43466</v>
      </c>
      <c r="W2" s="208">
        <v>43497</v>
      </c>
      <c r="X2" s="208">
        <v>43525</v>
      </c>
      <c r="Y2" s="208">
        <v>43556</v>
      </c>
      <c r="Z2" s="208">
        <v>43586</v>
      </c>
      <c r="AA2" s="208">
        <v>43617</v>
      </c>
      <c r="AB2" s="208">
        <v>43647</v>
      </c>
      <c r="AC2" s="208">
        <v>43678</v>
      </c>
      <c r="AD2" s="208">
        <v>43709</v>
      </c>
      <c r="AE2" s="208">
        <v>43739</v>
      </c>
      <c r="AF2" s="208">
        <v>43770</v>
      </c>
      <c r="AG2" s="208">
        <v>43800</v>
      </c>
      <c r="AH2" s="423" t="s">
        <v>23</v>
      </c>
      <c r="AI2" s="424">
        <v>43831</v>
      </c>
      <c r="AJ2" s="424">
        <v>43862</v>
      </c>
      <c r="AK2" s="424">
        <v>43891</v>
      </c>
      <c r="AL2" s="424">
        <v>43922</v>
      </c>
      <c r="AM2" s="424">
        <v>43952</v>
      </c>
      <c r="AN2" s="424">
        <v>43983</v>
      </c>
      <c r="AO2" s="424">
        <v>44013</v>
      </c>
      <c r="AP2" s="424">
        <v>44044</v>
      </c>
      <c r="AQ2" s="424">
        <v>44075</v>
      </c>
      <c r="AR2" s="424">
        <v>44105</v>
      </c>
      <c r="AS2" s="424">
        <v>44136</v>
      </c>
      <c r="AT2" s="424">
        <v>44166</v>
      </c>
      <c r="AU2" s="425" t="s">
        <v>95</v>
      </c>
      <c r="AV2" s="424">
        <v>44197</v>
      </c>
      <c r="AW2" s="424">
        <v>44228</v>
      </c>
      <c r="AX2" s="424">
        <v>44256</v>
      </c>
      <c r="AY2" s="424">
        <v>44287</v>
      </c>
      <c r="AZ2" s="424">
        <v>44317</v>
      </c>
      <c r="BA2" s="424">
        <v>44348</v>
      </c>
      <c r="BB2" s="424">
        <v>44378</v>
      </c>
      <c r="BC2" s="424">
        <v>44409</v>
      </c>
      <c r="BD2" s="424">
        <v>44440</v>
      </c>
      <c r="BE2" s="424">
        <v>44470</v>
      </c>
      <c r="BF2" s="424">
        <v>44501</v>
      </c>
      <c r="BG2" s="424">
        <v>44531</v>
      </c>
      <c r="BH2" s="424" t="s">
        <v>24</v>
      </c>
      <c r="BI2" s="424">
        <v>44583</v>
      </c>
      <c r="BJ2" s="424">
        <v>44614</v>
      </c>
      <c r="BK2" s="424">
        <v>44642</v>
      </c>
      <c r="BL2" s="424">
        <v>44673</v>
      </c>
      <c r="BM2" s="424">
        <v>44703</v>
      </c>
      <c r="BN2" s="424">
        <v>44734</v>
      </c>
      <c r="BO2" s="424">
        <v>44764</v>
      </c>
      <c r="BP2" s="424">
        <v>44795</v>
      </c>
      <c r="BQ2" s="424">
        <v>44826</v>
      </c>
      <c r="BR2" s="424">
        <v>44856</v>
      </c>
      <c r="BS2" s="424">
        <v>44887</v>
      </c>
      <c r="BT2" s="424">
        <v>44917</v>
      </c>
      <c r="BU2" s="424" t="s">
        <v>25</v>
      </c>
      <c r="BV2" s="424">
        <v>44949</v>
      </c>
      <c r="BW2" s="424">
        <v>44980</v>
      </c>
      <c r="BX2" s="424">
        <v>45008</v>
      </c>
      <c r="BY2" s="424">
        <v>45039</v>
      </c>
      <c r="BZ2" s="424">
        <v>45069</v>
      </c>
      <c r="CA2" s="424">
        <v>45100</v>
      </c>
      <c r="CB2" s="424"/>
      <c r="CC2" s="424"/>
      <c r="CD2" s="424"/>
      <c r="CE2" s="424"/>
      <c r="CF2" s="424"/>
      <c r="CG2" s="424"/>
      <c r="CH2" s="424"/>
      <c r="CI2" s="424"/>
      <c r="CJ2" s="424"/>
      <c r="CK2" s="424"/>
      <c r="CL2" s="424"/>
      <c r="CM2" s="424"/>
    </row>
    <row r="3" spans="2:91">
      <c r="B3" s="209" t="s">
        <v>96</v>
      </c>
      <c r="C3" s="210"/>
      <c r="D3" s="102"/>
      <c r="E3" s="102"/>
      <c r="F3" s="102"/>
      <c r="G3" s="102"/>
      <c r="T3" s="213"/>
      <c r="U3" s="213"/>
    </row>
    <row r="4" spans="2:91">
      <c r="B4" s="90" t="s">
        <v>1</v>
      </c>
      <c r="C4" s="97" t="s">
        <v>28</v>
      </c>
      <c r="D4" s="95">
        <f>'Prudential Ratios'!E6</f>
        <v>25.989635</v>
      </c>
      <c r="E4" s="95">
        <f>'Prudential Ratios'!F6</f>
        <v>35.288687000000003</v>
      </c>
      <c r="F4" s="95">
        <f>'Prudential Ratios'!G6</f>
        <v>94.944699389999997</v>
      </c>
      <c r="G4" s="95">
        <f>'Prudential Ratios'!H6</f>
        <v>75.269883280000002</v>
      </c>
      <c r="H4" s="95">
        <f>'Prudential Ratios'!I6</f>
        <v>78.350880050000001</v>
      </c>
      <c r="I4" s="95">
        <f>'Prudential Ratios'!J6</f>
        <v>85.261209280000003</v>
      </c>
      <c r="J4" s="95">
        <f>'Prudential Ratios'!K6</f>
        <v>89.37324903999999</v>
      </c>
      <c r="K4" s="95">
        <f>'Prudential Ratios'!L6</f>
        <v>93.106243509999985</v>
      </c>
      <c r="L4" s="95">
        <f>'Prudential Ratios'!M6</f>
        <v>97.580077430000003</v>
      </c>
      <c r="M4" s="95">
        <f>'Prudential Ratios'!N6</f>
        <v>100.42555630000001</v>
      </c>
      <c r="N4" s="95">
        <f>'Prudential Ratios'!O6</f>
        <v>103.10712766999998</v>
      </c>
      <c r="O4" s="95">
        <f>'Prudential Ratios'!P6</f>
        <v>106.56795700000001</v>
      </c>
      <c r="P4" s="95">
        <f>'Prudential Ratios'!Q6</f>
        <v>109.94600219999998</v>
      </c>
      <c r="Q4" s="95">
        <f>'Prudential Ratios'!R6</f>
        <v>114.27092678999999</v>
      </c>
      <c r="R4" s="95">
        <f>'Prudential Ratios'!S6</f>
        <v>52.818795999999999</v>
      </c>
      <c r="S4" s="95">
        <f>'Prudential Ratios'!T6</f>
        <v>62.725036920000001</v>
      </c>
      <c r="T4" s="214">
        <f>'Prudential Ratios'!U6</f>
        <v>150.54801883000002</v>
      </c>
      <c r="U4" s="214">
        <f>'Prudential Ratios'!V6</f>
        <v>88.729697000000002</v>
      </c>
      <c r="V4" s="214">
        <f>'Prudential Ratios'!W6</f>
        <v>155.78812582999998</v>
      </c>
      <c r="W4" s="214">
        <f>'Prudential Ratios'!X6</f>
        <v>163.40642119999998</v>
      </c>
      <c r="X4" s="214">
        <f>'Prudential Ratios'!Y6</f>
        <v>167.00552625999998</v>
      </c>
      <c r="Y4" s="214">
        <f>'Prudential Ratios'!Z6</f>
        <v>111.20985765</v>
      </c>
      <c r="Z4" s="214">
        <f>'Prudential Ratios'!AA6</f>
        <v>113.81809759999999</v>
      </c>
      <c r="AA4" s="214">
        <f>'Prudential Ratios'!AB6</f>
        <v>123.11010106000002</v>
      </c>
      <c r="AB4" s="214">
        <f>'Prudential Ratios'!AC6</f>
        <v>130.28037244000001</v>
      </c>
      <c r="AC4" s="214">
        <f>'Prudential Ratios'!AD6</f>
        <v>138.38068153999998</v>
      </c>
      <c r="AD4" s="214">
        <f>'Prudential Ratios'!AE6</f>
        <v>139.57203121000001</v>
      </c>
      <c r="AE4" s="214">
        <f>'Prudential Ratios'!AF6</f>
        <v>147.67664898000001</v>
      </c>
      <c r="AF4" s="214">
        <f>'Prudential Ratios'!AG6</f>
        <v>154.16032692000002</v>
      </c>
      <c r="AG4" s="214">
        <f>'Prudential Ratios'!AH6</f>
        <v>163.63228946999999</v>
      </c>
      <c r="AH4" s="214">
        <f>'Prudential Ratios'!AI6</f>
        <v>102.63769499999999</v>
      </c>
      <c r="AI4" s="214">
        <f>'Prudential Ratios'!AJ6</f>
        <v>172.37666025999999</v>
      </c>
      <c r="AJ4" s="214">
        <f>'Prudential Ratios'!AK6</f>
        <v>113.7563244</v>
      </c>
      <c r="AK4" s="214">
        <f>'Prudential Ratios'!AL6</f>
        <v>118.74226551</v>
      </c>
      <c r="AL4" s="214">
        <f>'Prudential Ratios'!AM6</f>
        <v>128.74174794999999</v>
      </c>
      <c r="AM4" s="214">
        <f>'Prudential Ratios'!AN6</f>
        <v>134.5316693</v>
      </c>
      <c r="AN4" s="214">
        <f>'Prudential Ratios'!AO6</f>
        <v>141.03633293000001</v>
      </c>
      <c r="AO4" s="214">
        <f>'Prudential Ratios'!AP6</f>
        <v>0</v>
      </c>
      <c r="AP4" s="214">
        <f>'Prudential Ratios'!AQ6</f>
        <v>153.69685567000002</v>
      </c>
      <c r="AQ4" s="214">
        <f>'Prudential Ratios'!AR6</f>
        <v>158.21409113000001</v>
      </c>
      <c r="AR4" s="214">
        <f>'Prudential Ratios'!AS6</f>
        <v>165.57866883000003</v>
      </c>
      <c r="AS4" s="214">
        <f>'Prudential Ratios'!AT6</f>
        <v>171.84636825999999</v>
      </c>
      <c r="AT4" s="214">
        <f>'Prudential Ratios'!AU6</f>
        <v>179.88597140000002</v>
      </c>
      <c r="AU4" s="214">
        <f>'Prudential Ratios'!AV6</f>
        <v>0</v>
      </c>
      <c r="AV4" s="214">
        <f>'Prudential Ratios'!AW6</f>
        <v>62.318938520000003</v>
      </c>
      <c r="AW4" s="214">
        <f>'Prudential Ratios'!AX6</f>
        <v>62.166030849999999</v>
      </c>
      <c r="AX4" s="214">
        <f>'Prudential Ratios'!AY6</f>
        <v>64.83734475</v>
      </c>
      <c r="AY4" s="214">
        <f>'Prudential Ratios'!AZ6</f>
        <v>73.348040150000003</v>
      </c>
      <c r="AZ4" s="214">
        <f>'Prudential Ratios'!BA6</f>
        <v>76.554845849999992</v>
      </c>
      <c r="BA4" s="214">
        <f>'Prudential Ratios'!BB6</f>
        <v>77.700708150000011</v>
      </c>
      <c r="BB4" s="214">
        <f>'Prudential Ratios'!BC6</f>
        <v>79.695653120000003</v>
      </c>
      <c r="BC4" s="214">
        <f>'Prudential Ratios'!BD6</f>
        <v>81.326497239999995</v>
      </c>
      <c r="BD4" s="214">
        <f>'Prudential Ratios'!BE6</f>
        <v>83.998760919999995</v>
      </c>
      <c r="BE4" s="214">
        <f>'Prudential Ratios'!BF6</f>
        <v>86.654592280000003</v>
      </c>
      <c r="BF4" s="214">
        <f>'Prudential Ratios'!BG6</f>
        <v>89.440196579999991</v>
      </c>
      <c r="BG4" s="214">
        <f>'Prudential Ratios'!BH6</f>
        <v>73.706994630000011</v>
      </c>
      <c r="BH4" s="214">
        <f>'Prudential Ratios'!BI6</f>
        <v>76.784139999999994</v>
      </c>
      <c r="BI4" s="214">
        <f>'Prudential Ratios'!BJ6</f>
        <v>76.169122779999995</v>
      </c>
      <c r="BJ4" s="214">
        <f>'Prudential Ratios'!BK6</f>
        <v>75.281436279999994</v>
      </c>
      <c r="BK4" s="214">
        <f>'Prudential Ratios'!BL6</f>
        <v>83.722482420000006</v>
      </c>
      <c r="BL4" s="214">
        <f>'Prudential Ratios'!BM6</f>
        <v>84.616760370000009</v>
      </c>
      <c r="BM4" s="214">
        <f>'Prudential Ratios'!BN6</f>
        <v>84.755653670000001</v>
      </c>
      <c r="BN4" s="214">
        <f>'Prudential Ratios'!BO6</f>
        <v>95.221177870000005</v>
      </c>
      <c r="BO4" s="214">
        <f>'Prudential Ratios'!BP6</f>
        <v>98.00413017999999</v>
      </c>
      <c r="BP4" s="214">
        <f>'Prudential Ratios'!BQ6</f>
        <v>100.97532347000002</v>
      </c>
      <c r="BQ4" s="214">
        <f>'Prudential Ratios'!BR6</f>
        <v>104.18377522000002</v>
      </c>
      <c r="BR4" s="214">
        <f>'Prudential Ratios'!BS6</f>
        <v>105.74016061</v>
      </c>
      <c r="BS4" s="214">
        <f>'Prudential Ratios'!BT6</f>
        <v>109.97113511000001</v>
      </c>
      <c r="BT4" s="214">
        <f>'Prudential Ratios'!BU6</f>
        <v>116.52306348</v>
      </c>
      <c r="BU4" s="214">
        <f>'Prudential Ratios'!BV6</f>
        <v>104.81907</v>
      </c>
      <c r="BV4" s="214">
        <f>'Prudential Ratios'!BW6</f>
        <v>84.088098979999998</v>
      </c>
      <c r="BW4" s="214">
        <f>'Prudential Ratios'!BX6</f>
        <v>85.792232960000007</v>
      </c>
      <c r="BX4" s="214">
        <f>'Prudential Ratios'!BY6</f>
        <v>88.434172010000012</v>
      </c>
      <c r="BY4" s="214">
        <f>'Prudential Ratios'!BZ6</f>
        <v>92.841717040000006</v>
      </c>
      <c r="BZ4" s="214">
        <f>'Prudential Ratios'!CA6</f>
        <v>102.55275904999999</v>
      </c>
      <c r="CA4" s="214">
        <f>'Prudential Ratios'!CB6</f>
        <v>116.20578811</v>
      </c>
    </row>
    <row r="5" spans="2:91">
      <c r="B5" s="90" t="s">
        <v>97</v>
      </c>
      <c r="C5" s="97" t="s">
        <v>30</v>
      </c>
      <c r="D5" s="94">
        <f>'Prudential Ratios'!E7</f>
        <v>6.3455260148954418E-2</v>
      </c>
      <c r="E5" s="94">
        <f>'Prudential Ratios'!F7</f>
        <v>8.3161502252843841E-2</v>
      </c>
      <c r="F5" s="94">
        <f>'Prudential Ratios'!G7</f>
        <v>0.20483458306253358</v>
      </c>
      <c r="G5" s="94">
        <f>'Prudential Ratios'!H7</f>
        <v>0.16493137029177229</v>
      </c>
      <c r="H5" s="94">
        <f>'Prudential Ratios'!I7</f>
        <v>0.17936092081925703</v>
      </c>
      <c r="I5" s="94">
        <f>'Prudential Ratios'!J7</f>
        <v>0.2015065783136378</v>
      </c>
      <c r="J5" s="94">
        <f>'Prudential Ratios'!K7</f>
        <v>0.2113520139115356</v>
      </c>
      <c r="K5" s="94">
        <f>'Prudential Ratios'!L7</f>
        <v>0.22749189390845997</v>
      </c>
      <c r="L5" s="94">
        <f>'Prudential Ratios'!M7</f>
        <v>0.2379036151363117</v>
      </c>
      <c r="M5" s="94">
        <f>'Prudential Ratios'!N7</f>
        <v>0.24465767376372968</v>
      </c>
      <c r="N5" s="94">
        <f>'Prudential Ratios'!O7</f>
        <v>0.24539976430005275</v>
      </c>
      <c r="O5" s="94">
        <f>'Prudential Ratios'!P7</f>
        <v>0.25509249710530318</v>
      </c>
      <c r="P5" s="94">
        <f>'Prudential Ratios'!Q7</f>
        <v>0.26039213692896029</v>
      </c>
      <c r="Q5" s="94">
        <f>'Prudential Ratios'!R7</f>
        <v>0.26917966500492929</v>
      </c>
      <c r="R5" s="94">
        <f>'Prudential Ratios'!S7</f>
        <v>0.12245697015065801</v>
      </c>
      <c r="S5" s="94">
        <f>'Prudential Ratios'!T7</f>
        <v>0.13183856378732597</v>
      </c>
      <c r="T5" s="215">
        <f>'Prudential Ratios'!U7</f>
        <v>0.24110186226954231</v>
      </c>
      <c r="U5" s="215">
        <f>'Prudential Ratios'!V7</f>
        <v>0.15034182116486344</v>
      </c>
      <c r="V5" s="215">
        <f>'Prudential Ratios'!W7</f>
        <v>0.25864937917148656</v>
      </c>
      <c r="W5" s="215">
        <f>'Prudential Ratios'!X7</f>
        <v>0.26092796692310843</v>
      </c>
      <c r="X5" s="215">
        <f>'Prudential Ratios'!Y7</f>
        <v>0.27913949892744716</v>
      </c>
      <c r="Y5" s="215">
        <f>'Prudential Ratios'!Z7</f>
        <v>0.18878797518125656</v>
      </c>
      <c r="Z5" s="215">
        <f>'Prudential Ratios'!AA7</f>
        <v>0.18443981870095577</v>
      </c>
      <c r="AA5" s="215">
        <f>'Prudential Ratios'!AB7</f>
        <v>0.20376488016012018</v>
      </c>
      <c r="AB5" s="215">
        <f>'Prudential Ratios'!AC7</f>
        <v>0.20620030972476203</v>
      </c>
      <c r="AC5" s="215">
        <f>'Prudential Ratios'!AD7</f>
        <v>0.2198390389086218</v>
      </c>
      <c r="AD5" s="215">
        <f>'Prudential Ratios'!AE7</f>
        <v>0.218887130852048</v>
      </c>
      <c r="AE5" s="215">
        <f>'Prudential Ratios'!AF7</f>
        <v>0.22971372967608389</v>
      </c>
      <c r="AF5" s="215">
        <f>'Prudential Ratios'!AG7</f>
        <v>0.23842702858128817</v>
      </c>
      <c r="AG5" s="215">
        <f>'Prudential Ratios'!AH7</f>
        <v>0.24826373491417605</v>
      </c>
      <c r="AH5" s="215">
        <f>'Prudential Ratios'!AI7</f>
        <v>0.15560682091377473</v>
      </c>
      <c r="AI5" s="215">
        <f>'Prudential Ratios'!AJ7</f>
        <v>0.25130054441664396</v>
      </c>
      <c r="AJ5" s="215">
        <f>'Prudential Ratios'!AK7</f>
        <v>0.17019963105634525</v>
      </c>
      <c r="AK5" s="215">
        <f>'Prudential Ratios'!AL7</f>
        <v>0.17543622565384123</v>
      </c>
      <c r="AL5" s="215">
        <f>'Prudential Ratios'!AM7</f>
        <v>0.19301961700627149</v>
      </c>
      <c r="AM5" s="215">
        <f>'Prudential Ratios'!AN7</f>
        <v>0.19787691371895078</v>
      </c>
      <c r="AN5" s="215">
        <f>'Prudential Ratios'!AO7</f>
        <v>0.20537401563200969</v>
      </c>
      <c r="AO5" s="215" t="e">
        <f>'Prudential Ratios'!AP7</f>
        <v>#DIV/0!</v>
      </c>
      <c r="AP5" s="215">
        <f>'Prudential Ratios'!AQ7</f>
        <v>0.22075342827448419</v>
      </c>
      <c r="AQ5" s="215">
        <f>'Prudential Ratios'!AR7</f>
        <v>0.22577503311883829</v>
      </c>
      <c r="AR5" s="215">
        <f>'Prudential Ratios'!AS7</f>
        <v>0.23401621887058191</v>
      </c>
      <c r="AS5" s="215">
        <f>'Prudential Ratios'!AT7</f>
        <v>0.23971946645589615</v>
      </c>
      <c r="AT5" s="215">
        <f>'Prudential Ratios'!AU7</f>
        <v>0.2456981325777651</v>
      </c>
      <c r="AU5" s="215">
        <f>'Prudential Ratios'!AV7</f>
        <v>0</v>
      </c>
      <c r="AV5" s="215">
        <f>'Prudential Ratios'!AW7</f>
        <v>0.27949298520313642</v>
      </c>
      <c r="AW5" s="215">
        <f>'Prudential Ratios'!AX7</f>
        <v>0.27821053245902821</v>
      </c>
      <c r="AX5" s="215">
        <f>'Prudential Ratios'!AY7</f>
        <v>0.28743070937956028</v>
      </c>
      <c r="AY5" s="215">
        <f>'Prudential Ratios'!AZ7</f>
        <v>0.32214302053220872</v>
      </c>
      <c r="AZ5" s="215">
        <f>'Prudential Ratios'!BA7</f>
        <v>0.33224419800118227</v>
      </c>
      <c r="BA5" s="215">
        <f>'Prudential Ratios'!BB7</f>
        <v>0.33311785640404185</v>
      </c>
      <c r="BB5" s="215">
        <f>'Prudential Ratios'!BC7</f>
        <v>0.33321642092311093</v>
      </c>
      <c r="BC5" s="215">
        <f>'Prudential Ratios'!BD7</f>
        <v>0.33145769791231561</v>
      </c>
      <c r="BD5" s="215">
        <f>'Prudential Ratios'!BE7</f>
        <v>0.33874048090309766</v>
      </c>
      <c r="BE5" s="215">
        <f>'Prudential Ratios'!BF7</f>
        <v>0.34524005760307175</v>
      </c>
      <c r="BF5" s="215">
        <f>'Prudential Ratios'!BG7</f>
        <v>0.35668952800519754</v>
      </c>
      <c r="BG5" s="215">
        <f>'Prudential Ratios'!BH7</f>
        <v>0.29473320244912521</v>
      </c>
      <c r="BH5" s="215">
        <f>'Prudential Ratios'!BI7</f>
        <v>0.31006823907692388</v>
      </c>
      <c r="BI5" s="215">
        <f>'Prudential Ratios'!BJ7</f>
        <v>0.3020998342762875</v>
      </c>
      <c r="BJ5" s="215">
        <f>'Prudential Ratios'!BK7</f>
        <v>0.29651816435603007</v>
      </c>
      <c r="BK5" s="215">
        <f>'Prudential Ratios'!BL7</f>
        <v>0.32306666720822336</v>
      </c>
      <c r="BL5" s="215">
        <f>'Prudential Ratios'!BM7</f>
        <v>0.33612628496196284</v>
      </c>
      <c r="BM5" s="215">
        <f>'Prudential Ratios'!BN7</f>
        <v>0.33513254264492537</v>
      </c>
      <c r="BN5" s="215">
        <f>'Prudential Ratios'!BO7</f>
        <v>0.35616706144463062</v>
      </c>
      <c r="BO5" s="215">
        <f>'Prudential Ratios'!BP7</f>
        <v>0.35758593642244946</v>
      </c>
      <c r="BP5" s="215">
        <f>'Prudential Ratios'!BQ7</f>
        <v>0.35946262966420756</v>
      </c>
      <c r="BQ5" s="215">
        <f>'Prudential Ratios'!BR7</f>
        <v>0.36578745461384254</v>
      </c>
      <c r="BR5" s="215">
        <f>'Prudential Ratios'!BS7</f>
        <v>0.36248789220331745</v>
      </c>
      <c r="BS5" s="215">
        <f>'Prudential Ratios'!BT7</f>
        <v>0.36769422680462627</v>
      </c>
      <c r="BT5" s="215">
        <f>'Prudential Ratios'!BU7</f>
        <v>0.36987752063363233</v>
      </c>
      <c r="BU5" s="215">
        <f>'Prudential Ratios'!BV7</f>
        <v>0.33853984151905731</v>
      </c>
      <c r="BV5" s="215">
        <f>'Prudential Ratios'!BW7</f>
        <v>0.25716950146060819</v>
      </c>
      <c r="BW5" s="215">
        <f>'Prudential Ratios'!BX7</f>
        <v>0.26174332425346009</v>
      </c>
      <c r="BX5" s="215">
        <f>'Prudential Ratios'!BY7</f>
        <v>0.27131159556993539</v>
      </c>
      <c r="BY5" s="215">
        <f>'Prudential Ratios'!BZ7</f>
        <v>0.281734104374744</v>
      </c>
      <c r="BZ5" s="215">
        <f>'Prudential Ratios'!CA7</f>
        <v>0.31023518420658908</v>
      </c>
      <c r="CA5" s="215">
        <f>'Prudential Ratios'!CB7</f>
        <v>0.33781191987365478</v>
      </c>
    </row>
    <row r="6" spans="2:91">
      <c r="B6" s="90" t="s">
        <v>98</v>
      </c>
      <c r="C6" s="97" t="s">
        <v>32</v>
      </c>
      <c r="D6" s="94">
        <f>'Prudential Ratios'!E10</f>
        <v>4.3860816102945475E-2</v>
      </c>
      <c r="E6" s="94">
        <f>'Prudential Ratios'!F10</f>
        <v>6.0163309910406117E-2</v>
      </c>
      <c r="F6" s="94">
        <f>'Prudential Ratios'!G10</f>
        <v>0.18339309366678777</v>
      </c>
      <c r="G6" s="94">
        <f>'Prudential Ratios'!H10</f>
        <v>0.14315405114323307</v>
      </c>
      <c r="H6" s="94">
        <f>'Prudential Ratios'!I10</f>
        <v>0.15498852631862953</v>
      </c>
      <c r="I6" s="94">
        <f>'Prudential Ratios'!J10</f>
        <v>0.17092535055689548</v>
      </c>
      <c r="J6" s="94">
        <f>'Prudential Ratios'!K10</f>
        <v>0.17709219291874573</v>
      </c>
      <c r="K6" s="94">
        <f>'Prudential Ratios'!L10</f>
        <v>0.18958321903965894</v>
      </c>
      <c r="L6" s="94">
        <f>'Prudential Ratios'!M10</f>
        <v>0.19990817040379735</v>
      </c>
      <c r="M6" s="94">
        <f>'Prudential Ratios'!N10</f>
        <v>0.20605703038439827</v>
      </c>
      <c r="N6" s="94">
        <f>'Prudential Ratios'!O10</f>
        <v>0.20726581095851723</v>
      </c>
      <c r="O6" s="94">
        <f>'Prudential Ratios'!P10</f>
        <v>0.21647719638585375</v>
      </c>
      <c r="P6" s="94">
        <f>'Prudential Ratios'!Q10</f>
        <v>0.22192053865888139</v>
      </c>
      <c r="Q6" s="94">
        <f>'Prudential Ratios'!R10</f>
        <v>0.23061839232167028</v>
      </c>
      <c r="R6" s="94">
        <f>'Prudential Ratios'!S10</f>
        <v>8.4504515354782511E-2</v>
      </c>
      <c r="S6" s="94">
        <f>'Prudential Ratios'!T10</f>
        <v>9.2780090884922894E-2</v>
      </c>
      <c r="T6" s="215">
        <f>'Prudential Ratios'!U10</f>
        <v>0.20393726255780961</v>
      </c>
      <c r="U6" s="215">
        <f>'Prudential Ratios'!V10</f>
        <v>0.11102170922300764</v>
      </c>
      <c r="V6" s="215">
        <f>'Prudential Ratios'!W10</f>
        <v>0.21914952480182093</v>
      </c>
      <c r="W6" s="215">
        <f>'Prudential Ratios'!X10</f>
        <v>0.22288021733098087</v>
      </c>
      <c r="X6" s="215">
        <f>'Prudential Ratios'!Y10</f>
        <v>0.23887700741566556</v>
      </c>
      <c r="Y6" s="215">
        <f>'Prudential Ratios'!Z10</f>
        <v>0.14777737740876346</v>
      </c>
      <c r="Z6" s="215">
        <f>'Prudential Ratios'!AA10</f>
        <v>0.14525951363542308</v>
      </c>
      <c r="AA6" s="215">
        <f>'Prudential Ratios'!AB10</f>
        <v>0.16341286462377569</v>
      </c>
      <c r="AB6" s="215">
        <f>'Prudential Ratios'!AC10</f>
        <v>0.16744998953753412</v>
      </c>
      <c r="AC6" s="215">
        <f>'Prudential Ratios'!AD10</f>
        <v>0.18051570282383192</v>
      </c>
      <c r="AD6" s="215">
        <f>'Prudential Ratios'!AE10</f>
        <v>0.17921425361191462</v>
      </c>
      <c r="AE6" s="215">
        <f>'Prudential Ratios'!AF10</f>
        <v>0.18991911374662049</v>
      </c>
      <c r="AF6" s="215">
        <f>'Prudential Ratios'!AG10</f>
        <v>0.19873283911784617</v>
      </c>
      <c r="AG6" s="215">
        <f>'Prudential Ratios'!AH10</f>
        <v>0.20911437818788287</v>
      </c>
      <c r="AH6" s="215">
        <f>'Prudential Ratios'!AI10</f>
        <v>0.11648501251996723</v>
      </c>
      <c r="AI6" s="215">
        <f>'Prudential Ratios'!AJ10</f>
        <v>0.21353395267333272</v>
      </c>
      <c r="AJ6" s="215">
        <f>'Prudential Ratios'!AK10</f>
        <v>0.13130916607798981</v>
      </c>
      <c r="AK6" s="215">
        <f>'Prudential Ratios'!AL10</f>
        <v>0.13666556921945988</v>
      </c>
      <c r="AL6" s="215">
        <f>'Prudential Ratios'!AM10</f>
        <v>0.15328641223997719</v>
      </c>
      <c r="AM6" s="215">
        <f>'Prudential Ratios'!AN10</f>
        <v>0.15873827845606081</v>
      </c>
      <c r="AN6" s="215">
        <f>'Prudential Ratios'!AO10</f>
        <v>0.16662599088048471</v>
      </c>
      <c r="AO6" s="215" t="e">
        <f>'Prudential Ratios'!AP10</f>
        <v>#DIV/0!</v>
      </c>
      <c r="AP6" s="215">
        <f>'Prudential Ratios'!AQ10</f>
        <v>0.1817303479406904</v>
      </c>
      <c r="AQ6" s="215">
        <f>'Prudential Ratios'!AR10</f>
        <v>0.18679389067452148</v>
      </c>
      <c r="AR6" s="215">
        <f>'Prudential Ratios'!AS10</f>
        <v>0.19523993549488738</v>
      </c>
      <c r="AS6" s="215">
        <f>'Prudential Ratios'!AT10</f>
        <v>0.20127980015253258</v>
      </c>
      <c r="AT6" s="215">
        <f>'Prudential Ratios'!AU10</f>
        <v>0.20781379050886509</v>
      </c>
      <c r="AU6" s="215">
        <f>'Prudential Ratios'!AV10</f>
        <v>0</v>
      </c>
      <c r="AV6" s="215">
        <f>'Prudential Ratios'!AW10</f>
        <v>0.15512434954881066</v>
      </c>
      <c r="AW6" s="215">
        <f>'Prudential Ratios'!AX10</f>
        <v>0.15337091416042598</v>
      </c>
      <c r="AX6" s="215">
        <f>'Prudential Ratios'!AY10</f>
        <v>0.16301962507652065</v>
      </c>
      <c r="AY6" s="215">
        <f>'Prudential Ratios'!AZ10</f>
        <v>0.19837293740300399</v>
      </c>
      <c r="AZ6" s="215">
        <f>'Prudential Ratios'!BA10</f>
        <v>0.20914361582274768</v>
      </c>
      <c r="BA6" s="215">
        <f>'Prudential Ratios'!BB10</f>
        <v>0.21078904549491614</v>
      </c>
      <c r="BB6" s="215">
        <f>'Prudential Ratios'!BC10</f>
        <v>0.21318732547719224</v>
      </c>
      <c r="BC6" s="215">
        <f>'Prudential Ratios'!BD10</f>
        <v>0.21372034348687233</v>
      </c>
      <c r="BD6" s="215">
        <f>'Prudential Ratios'!BE10</f>
        <v>0.22152716483141821</v>
      </c>
      <c r="BE6" s="215">
        <f>'Prudential Ratios'!BF10</f>
        <v>0.22830037818875012</v>
      </c>
      <c r="BF6" s="215">
        <f>'Prudential Ratios'!BG10</f>
        <v>0.23929653359042688</v>
      </c>
      <c r="BG6" s="215">
        <f>'Prudential Ratios'!BH10</f>
        <v>0.17637080276993003</v>
      </c>
      <c r="BH6" s="215">
        <f>'Prudential Ratios'!BI10</f>
        <v>0.19053358513974991</v>
      </c>
      <c r="BI6" s="215">
        <f>'Prudential Ratios'!BJ10</f>
        <v>0.18372923471571487</v>
      </c>
      <c r="BJ6" s="215">
        <f>'Prudential Ratios'!BK10</f>
        <v>0.17812349615910764</v>
      </c>
      <c r="BK6" s="215">
        <f>'Prudential Ratios'!BL10</f>
        <v>0.18655598665692327</v>
      </c>
      <c r="BL6" s="215">
        <f>'Prudential Ratios'!BM10</f>
        <v>0.19431552930249762</v>
      </c>
      <c r="BM6" s="215">
        <f>'Prudential Ratios'!BN10</f>
        <v>0.19377897466228788</v>
      </c>
      <c r="BN6" s="215">
        <f>'Prudential Ratios'!BO10</f>
        <v>0.22161916882961247</v>
      </c>
      <c r="BO6" s="215">
        <f>'Prudential Ratios'!BP10</f>
        <v>0.22150629139233691</v>
      </c>
      <c r="BP6" s="215">
        <f>'Prudential Ratios'!BQ10</f>
        <v>0.22615841289453215</v>
      </c>
      <c r="BQ6" s="215">
        <f>'Prudential Ratios'!BR10</f>
        <v>0.23365634337980659</v>
      </c>
      <c r="BR6" s="215">
        <f>'Prudential Ratios'!BS10</f>
        <v>0.23276698532420251</v>
      </c>
      <c r="BS6" s="215">
        <f>'Prudential Ratios'!BT10</f>
        <v>0.23812260099534549</v>
      </c>
      <c r="BT6" s="215">
        <f>'Prudential Ratios'!BU10</f>
        <v>0.2445532566883126</v>
      </c>
      <c r="BU6" s="215">
        <f>'Prudential Ratios'!BV10</f>
        <v>0.2110320874926486</v>
      </c>
      <c r="BV6" s="215">
        <f>'Prudential Ratios'!BW10</f>
        <v>0.14990934586799545</v>
      </c>
      <c r="BW6" s="215">
        <f>'Prudential Ratios'!BX10</f>
        <v>0.15451124388152643</v>
      </c>
      <c r="BX6" s="215">
        <f>'Prudential Ratios'!BY10</f>
        <v>0.1617704851953998</v>
      </c>
      <c r="BY6" s="215">
        <f>'Prudential Ratios'!BZ10</f>
        <v>0.17221840450118853</v>
      </c>
      <c r="BZ6" s="215">
        <f>'Prudential Ratios'!CA10</f>
        <v>0.19922998075983012</v>
      </c>
      <c r="CA6" s="215">
        <f>'Prudential Ratios'!CB10</f>
        <v>0.22992605877871428</v>
      </c>
    </row>
    <row r="7" spans="2:91">
      <c r="B7" s="90" t="s">
        <v>99</v>
      </c>
      <c r="C7" s="97" t="s">
        <v>32</v>
      </c>
      <c r="D7" s="94">
        <f>'Prudential Ratios'!E8</f>
        <v>8.7708087914287497E-2</v>
      </c>
      <c r="E7" s="94">
        <f>'Prudential Ratios'!F8</f>
        <v>0.10820486279769082</v>
      </c>
      <c r="F7" s="94">
        <f>'Prudential Ratios'!G8</f>
        <v>0.26090139029372172</v>
      </c>
      <c r="G7" s="94">
        <f>'Prudential Ratios'!H8</f>
        <v>0.21334301656847876</v>
      </c>
      <c r="H7" s="94">
        <f>'Prudential Ratios'!I8</f>
        <v>0.22591234463924931</v>
      </c>
      <c r="I7" s="94">
        <f>'Prudential Ratios'!J8</f>
        <v>0.2554796746807026</v>
      </c>
      <c r="J7" s="94">
        <f>'Prudential Ratios'!K8</f>
        <v>0.27117475384190476</v>
      </c>
      <c r="K7" s="94">
        <f>'Prudential Ratios'!L8</f>
        <v>0.29894231147943329</v>
      </c>
      <c r="L7" s="94">
        <f>'Prudential Ratios'!M8</f>
        <v>0.31622613631182372</v>
      </c>
      <c r="M7" s="94">
        <f>'Prudential Ratios'!N8</f>
        <v>0.32812397154799477</v>
      </c>
      <c r="N7" s="94">
        <f>'Prudential Ratios'!O8</f>
        <v>0.32924031318667135</v>
      </c>
      <c r="O7" s="94">
        <f>'Prudential Ratios'!P8</f>
        <v>0.34734426493788501</v>
      </c>
      <c r="P7" s="94">
        <f>'Prudential Ratios'!Q8</f>
        <v>0.35842249104545804</v>
      </c>
      <c r="Q7" s="94">
        <f>'Prudential Ratios'!R8</f>
        <v>0.37474180212704322</v>
      </c>
      <c r="R7" s="94">
        <f>'Prudential Ratios'!S8</f>
        <v>0.17321049654875301</v>
      </c>
      <c r="S7" s="94">
        <f>'Prudential Ratios'!T8</f>
        <v>0.18430397874783772</v>
      </c>
      <c r="T7" s="215">
        <f>'Prudential Ratios'!U8</f>
        <v>0.34747495800317046</v>
      </c>
      <c r="U7" s="215">
        <f>'Prudential Ratios'!V8</f>
        <v>0.20476934519185361</v>
      </c>
      <c r="V7" s="215">
        <f>'Prudential Ratios'!W8</f>
        <v>0.35535989666450579</v>
      </c>
      <c r="W7" s="215">
        <f>'Prudential Ratios'!X8</f>
        <v>0.35976739089457771</v>
      </c>
      <c r="X7" s="215">
        <f>'Prudential Ratios'!Y8</f>
        <v>0.35443834516011652</v>
      </c>
      <c r="Y7" s="215">
        <f>'Prudential Ratios'!Z8</f>
        <v>0.24016291206303994</v>
      </c>
      <c r="Z7" s="215">
        <f>'Prudential Ratios'!AA8</f>
        <v>0.23410756504706712</v>
      </c>
      <c r="AA7" s="215">
        <f>'Prudential Ratios'!AB8</f>
        <v>0.26405944273900928</v>
      </c>
      <c r="AB7" s="215">
        <f>'Prudential Ratios'!AC8</f>
        <v>0.26410265014603962</v>
      </c>
      <c r="AC7" s="215">
        <f>'Prudential Ratios'!AD8</f>
        <v>0.28636871056472768</v>
      </c>
      <c r="AD7" s="215">
        <f>'Prudential Ratios'!AE8</f>
        <v>0.28484364802053008</v>
      </c>
      <c r="AE7" s="215">
        <f>'Prudential Ratios'!AF8</f>
        <v>0.30326394008739826</v>
      </c>
      <c r="AF7" s="215">
        <f>'Prudential Ratios'!AG8</f>
        <v>0.31876763645307782</v>
      </c>
      <c r="AG7" s="215">
        <f>'Prudential Ratios'!AH8</f>
        <v>0.33600863855145041</v>
      </c>
      <c r="AH7" s="215">
        <f>'Prudential Ratios'!AI8</f>
        <v>0.21083105175249287</v>
      </c>
      <c r="AI7" s="215">
        <f>'Prudential Ratios'!AJ8</f>
        <v>0.34585041848132486</v>
      </c>
      <c r="AJ7" s="215">
        <f>'Prudential Ratios'!AK8</f>
        <v>0.21161603801924489</v>
      </c>
      <c r="AK7" s="215">
        <f>'Prudential Ratios'!AL8</f>
        <v>0.21771767551513765</v>
      </c>
      <c r="AL7" s="215">
        <f>'Prudential Ratios'!AM8</f>
        <v>0.24530757621900073</v>
      </c>
      <c r="AM7" s="215">
        <f>'Prudential Ratios'!AN8</f>
        <v>0.25299075415607519</v>
      </c>
      <c r="AN7" s="215">
        <f>'Prudential Ratios'!AO8</f>
        <v>0.26523210095266531</v>
      </c>
      <c r="AO7" s="215" t="e">
        <f>'Prudential Ratios'!AP8</f>
        <v>#DIV/0!</v>
      </c>
      <c r="AP7" s="215">
        <f>'Prudential Ratios'!AQ8</f>
        <v>0.29007439054255857</v>
      </c>
      <c r="AQ7" s="215">
        <f>'Prudential Ratios'!AR8</f>
        <v>0.29830322567138212</v>
      </c>
      <c r="AR7" s="215">
        <f>'Prudential Ratios'!AS8</f>
        <v>0.31182872225895175</v>
      </c>
      <c r="AS7" s="215">
        <f>'Prudential Ratios'!AT8</f>
        <v>0.32201779738842107</v>
      </c>
      <c r="AT7" s="215">
        <f>'Prudential Ratios'!AU8</f>
        <v>0.33302156562742458</v>
      </c>
      <c r="AU7" s="215">
        <f>'Prudential Ratios'!AV8</f>
        <v>0</v>
      </c>
      <c r="AV7" s="215">
        <f>'Prudential Ratios'!AW8</f>
        <v>0.4613194797420867</v>
      </c>
      <c r="AW7" s="215">
        <f>'Prudential Ratios'!AX8</f>
        <v>0.4550595717006764</v>
      </c>
      <c r="AX7" s="215">
        <f>'Prudential Ratios'!AY8</f>
        <v>0.47614927528543038</v>
      </c>
      <c r="AY7" s="215">
        <f>'Prudential Ratios'!AZ8</f>
        <v>0.5226151412422444</v>
      </c>
      <c r="AZ7" s="215">
        <f>'Prudential Ratios'!BA8</f>
        <v>0.54483248419353747</v>
      </c>
      <c r="BA7" s="215">
        <f>'Prudential Ratios'!BB8</f>
        <v>0.54787085518681888</v>
      </c>
      <c r="BB7" s="215">
        <f>'Prudential Ratios'!BC8</f>
        <v>0.54940749693179125</v>
      </c>
      <c r="BC7" s="215">
        <f>'Prudential Ratios'!BD8</f>
        <v>0.54404629727948672</v>
      </c>
      <c r="BD7" s="215">
        <f>'Prudential Ratios'!BE8</f>
        <v>0.54869962271332284</v>
      </c>
      <c r="BE7" s="215">
        <f>'Prudential Ratios'!BF8</f>
        <v>0.56440642548689313</v>
      </c>
      <c r="BF7" s="215">
        <f>'Prudential Ratios'!BG8</f>
        <v>0.5882169674127804</v>
      </c>
      <c r="BG7" s="215">
        <f>'Prudential Ratios'!BH8</f>
        <v>0.48219134786304729</v>
      </c>
      <c r="BH7" s="215">
        <f>'Prudential Ratios'!BI8</f>
        <v>0.50232204128954827</v>
      </c>
      <c r="BI7" s="215">
        <f>'Prudential Ratios'!BJ8</f>
        <v>0.5032074016732121</v>
      </c>
      <c r="BJ7" s="215">
        <f>'Prudential Ratios'!BK8</f>
        <v>0.49187855636639277</v>
      </c>
      <c r="BK7" s="215">
        <f>'Prudential Ratios'!BL8</f>
        <v>0.55879044343319328</v>
      </c>
      <c r="BL7" s="215">
        <f>'Prudential Ratios'!BM8</f>
        <v>0.54731127019370585</v>
      </c>
      <c r="BM7" s="215">
        <f>'Prudential Ratios'!BN8</f>
        <v>0.54305525869767513</v>
      </c>
      <c r="BN7" s="215">
        <f>'Prudential Ratios'!BO8</f>
        <v>0.5960749596838496</v>
      </c>
      <c r="BO7" s="215">
        <f>'Prudential Ratios'!BP8</f>
        <v>0.60192895415679382</v>
      </c>
      <c r="BP7" s="215">
        <f>'Prudential Ratios'!BQ8</f>
        <v>0.60762187127923495</v>
      </c>
      <c r="BQ7" s="215">
        <f>'Prudential Ratios'!BR8</f>
        <v>0.6280051723956741</v>
      </c>
      <c r="BR7" s="215">
        <f>'Prudential Ratios'!BS8</f>
        <v>0.61700042097330954</v>
      </c>
      <c r="BS7" s="215">
        <f>'Prudential Ratios'!BT8</f>
        <v>0.62479897563937514</v>
      </c>
      <c r="BT7" s="215">
        <f>'Prudential Ratios'!BU8</f>
        <v>0.63368261429994377</v>
      </c>
      <c r="BU7" s="215">
        <f>'Prudential Ratios'!BV8</f>
        <v>0.56999192020312039</v>
      </c>
      <c r="BV7" s="215">
        <f>'Prudential Ratios'!BW8</f>
        <v>0.44523941404885503</v>
      </c>
      <c r="BW7" s="215">
        <f>'Prudential Ratios'!BX8</f>
        <v>0.45477138174659215</v>
      </c>
      <c r="BX7" s="215">
        <f>'Prudential Ratios'!BY8</f>
        <v>0.47489399815905153</v>
      </c>
      <c r="BY7" s="215">
        <f>'Prudential Ratios'!BZ8</f>
        <v>0.49190656037825559</v>
      </c>
      <c r="BZ7" s="215">
        <f>'Prudential Ratios'!CA8</f>
        <v>0.51979683190111137</v>
      </c>
      <c r="CA7" s="215">
        <f>'Prudential Ratios'!CB8</f>
        <v>0.58461274623460269</v>
      </c>
    </row>
    <row r="8" spans="2:91">
      <c r="B8" s="99" t="s">
        <v>100</v>
      </c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1"/>
      <c r="BF8" s="101"/>
      <c r="BG8" s="101"/>
      <c r="BH8" s="101"/>
    </row>
    <row r="9" spans="2:91">
      <c r="B9" s="90" t="s">
        <v>101</v>
      </c>
      <c r="C9" s="97" t="s">
        <v>46</v>
      </c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 t="e">
        <f>form4!#REF!</f>
        <v>#REF!</v>
      </c>
      <c r="R9" s="96"/>
      <c r="S9" s="96"/>
      <c r="T9" s="216"/>
      <c r="U9" s="216"/>
      <c r="V9" s="216"/>
      <c r="W9" s="216"/>
      <c r="X9" s="216"/>
      <c r="Y9" s="216"/>
      <c r="Z9" s="216"/>
      <c r="AA9" s="216"/>
      <c r="AB9" s="216"/>
      <c r="AC9" s="216"/>
      <c r="AD9" s="216"/>
      <c r="AE9" s="216"/>
      <c r="AF9" s="216"/>
      <c r="AG9" s="216"/>
      <c r="AH9" s="216"/>
      <c r="AI9" s="216"/>
      <c r="AJ9" s="216"/>
      <c r="AK9" s="216"/>
      <c r="AL9" s="216"/>
      <c r="AM9" s="216"/>
      <c r="AN9" s="216"/>
      <c r="AO9" s="216"/>
      <c r="AP9" s="216"/>
      <c r="AQ9" s="216"/>
      <c r="AR9" s="216"/>
      <c r="AS9" s="216"/>
      <c r="AT9" s="216"/>
      <c r="AU9" s="216"/>
      <c r="AV9" s="216"/>
      <c r="AW9" s="216"/>
      <c r="AX9" s="216"/>
      <c r="AY9" s="216"/>
      <c r="AZ9" s="216"/>
      <c r="BA9" s="216"/>
      <c r="BB9" s="216"/>
      <c r="BC9" s="216"/>
      <c r="BD9" s="216"/>
      <c r="BE9" s="216"/>
      <c r="BF9" s="216"/>
      <c r="BG9" s="216"/>
      <c r="BH9" s="216"/>
    </row>
    <row r="10" spans="2:91">
      <c r="B10" s="99" t="s">
        <v>89</v>
      </c>
      <c r="C10" s="100"/>
      <c r="T10" s="213"/>
      <c r="U10" s="213"/>
      <c r="V10" s="213"/>
      <c r="W10" s="213"/>
      <c r="X10" s="213"/>
      <c r="Y10" s="213"/>
      <c r="Z10" s="213"/>
      <c r="AA10" s="213"/>
      <c r="AB10" s="213"/>
      <c r="AC10" s="213"/>
      <c r="AD10" s="213"/>
      <c r="AE10" s="213"/>
      <c r="AF10" s="213"/>
      <c r="AG10" s="213"/>
      <c r="AH10" s="213"/>
      <c r="AI10" s="213"/>
      <c r="AJ10" s="213"/>
      <c r="AK10" s="213"/>
      <c r="AL10" s="213"/>
      <c r="AM10" s="213"/>
      <c r="AN10" s="213"/>
      <c r="AO10" s="213"/>
      <c r="AP10" s="213"/>
      <c r="AQ10" s="213"/>
      <c r="AR10" s="213"/>
      <c r="AS10" s="213"/>
      <c r="AT10" s="213"/>
      <c r="AU10" s="213"/>
      <c r="AV10" s="213"/>
      <c r="AW10" s="213"/>
      <c r="AX10" s="213"/>
      <c r="AY10" s="213"/>
      <c r="AZ10" s="213"/>
      <c r="BA10" s="213"/>
      <c r="BB10" s="213"/>
      <c r="BC10" s="213"/>
      <c r="BD10" s="213"/>
      <c r="BE10" s="213"/>
      <c r="BF10" s="213"/>
      <c r="BG10" s="213"/>
      <c r="BH10" s="213"/>
    </row>
    <row r="11" spans="2:91">
      <c r="B11" s="90" t="s">
        <v>90</v>
      </c>
      <c r="C11" s="88"/>
      <c r="D11" s="96" t="e">
        <f>'Prudential Ratios'!E55</f>
        <v>#REF!</v>
      </c>
      <c r="E11" s="96" t="e">
        <f>'Prudential Ratios'!F55</f>
        <v>#REF!</v>
      </c>
      <c r="F11" s="96" t="e">
        <f>'Prudential Ratios'!G55</f>
        <v>#REF!</v>
      </c>
      <c r="G11" s="96" t="e">
        <f>'Prudential Ratios'!H55</f>
        <v>#REF!</v>
      </c>
      <c r="H11" s="96" t="e">
        <f>'Prudential Ratios'!I55</f>
        <v>#REF!</v>
      </c>
      <c r="I11" s="96" t="e">
        <f>'Prudential Ratios'!J55</f>
        <v>#REF!</v>
      </c>
      <c r="J11" s="96" t="e">
        <f>'Prudential Ratios'!K55</f>
        <v>#REF!</v>
      </c>
      <c r="K11" s="96" t="e">
        <f>'Prudential Ratios'!L55</f>
        <v>#REF!</v>
      </c>
      <c r="L11" s="96" t="e">
        <f>'Prudential Ratios'!M55</f>
        <v>#REF!</v>
      </c>
      <c r="M11" s="96" t="e">
        <f>'Prudential Ratios'!N55</f>
        <v>#REF!</v>
      </c>
      <c r="N11" s="96" t="e">
        <f>'Prudential Ratios'!O55</f>
        <v>#REF!</v>
      </c>
      <c r="O11" s="96" t="e">
        <f>'Prudential Ratios'!P55</f>
        <v>#REF!</v>
      </c>
      <c r="P11" s="96" t="e">
        <f>'Prudential Ratios'!Q55</f>
        <v>#REF!</v>
      </c>
      <c r="Q11" s="96" t="e">
        <f>'Prudential Ratios'!R55</f>
        <v>#REF!</v>
      </c>
      <c r="R11" s="96" t="e">
        <f>'Prudential Ratios'!S55</f>
        <v>#REF!</v>
      </c>
      <c r="S11" s="96" t="e">
        <f>'Prudential Ratios'!T55</f>
        <v>#REF!</v>
      </c>
      <c r="T11" s="216">
        <f>'Prudential Ratios'!U55</f>
        <v>9.171872610570507E-2</v>
      </c>
      <c r="U11" s="216">
        <f>'Prudential Ratios'!V55</f>
        <v>2.1403286692598458E-2</v>
      </c>
      <c r="V11" s="216">
        <f>'Prudential Ratios'!W55</f>
        <v>8.6521768483988973E-2</v>
      </c>
      <c r="W11" s="216">
        <f>'Prudential Ratios'!X55</f>
        <v>9.2418745160710331E-2</v>
      </c>
      <c r="X11" s="216">
        <f>'Prudential Ratios'!Y55</f>
        <v>9.5308003681039338E-2</v>
      </c>
      <c r="Y11" s="216">
        <f>'Prudential Ratios'!Z55</f>
        <v>2.5179366139760146E-2</v>
      </c>
      <c r="Z11" s="216">
        <f>'Prudential Ratios'!AA55</f>
        <v>2.7427623319558749E-2</v>
      </c>
      <c r="AA11" s="216">
        <f>'Prudential Ratios'!AB55</f>
        <v>3.6644693878419822E-2</v>
      </c>
      <c r="AB11" s="216">
        <f>'Prudential Ratios'!AC55</f>
        <v>4.568531585493979E-2</v>
      </c>
      <c r="AC11" s="216">
        <f>'Prudential Ratios'!AD55</f>
        <v>5.2575624969119605E-2</v>
      </c>
      <c r="AD11" s="216">
        <f>'Prudential Ratios'!AE55</f>
        <v>5.3055817022838049E-2</v>
      </c>
      <c r="AE11" s="216">
        <f>'Prudential Ratios'!AF55</f>
        <v>6.0506372558145297E-2</v>
      </c>
      <c r="AF11" s="216">
        <f>'Prudential Ratios'!AG55</f>
        <v>6.6585992327878971E-2</v>
      </c>
      <c r="AG11" s="216">
        <f>'Prudential Ratios'!AH55</f>
        <v>7.4956495741135415E-2</v>
      </c>
      <c r="AH11" s="216">
        <f>'Prudential Ratios'!AI55</f>
        <v>1.6980051691769124E-2</v>
      </c>
      <c r="AI11" s="216">
        <f>'Prudential Ratios'!AJ55</f>
        <v>7.83584875532021E-2</v>
      </c>
      <c r="AJ11" s="216">
        <f>'Prudential Ratios'!AK55</f>
        <v>1.0909144504646367E-2</v>
      </c>
      <c r="AK11" s="216">
        <f>'Prudential Ratios'!AL55</f>
        <v>1.5657981164439103E-2</v>
      </c>
      <c r="AL11" s="216">
        <f>'Prudential Ratios'!AM55</f>
        <v>2.6091216952632418E-2</v>
      </c>
      <c r="AM11" s="216">
        <f>'Prudential Ratios'!AN55</f>
        <v>3.2496986027020752E-2</v>
      </c>
      <c r="AN11" s="216">
        <f>'Prudential Ratios'!AO55</f>
        <v>3.8238641961165602E-2</v>
      </c>
      <c r="AO11" s="216">
        <f>'Prudential Ratios'!AP55</f>
        <v>0</v>
      </c>
      <c r="AP11" s="216">
        <f>'Prudential Ratios'!AQ55</f>
        <v>0.14770287745275873</v>
      </c>
      <c r="AQ11" s="216">
        <f>'Prudential Ratios'!AR55</f>
        <v>5.2191419391750642E-2</v>
      </c>
      <c r="AR11" s="216">
        <f>'Prudential Ratios'!AS55</f>
        <v>5.9946485181328918E-2</v>
      </c>
      <c r="AS11" s="216">
        <f>'Prudential Ratios'!AT55</f>
        <v>6.4982224255463725E-2</v>
      </c>
      <c r="AT11" s="216">
        <f>'Prudential Ratios'!AU55</f>
        <v>7.0430829150388244E-2</v>
      </c>
      <c r="AU11" s="216">
        <f>'Prudential Ratios'!AV55</f>
        <v>0</v>
      </c>
      <c r="AV11" s="216">
        <f>'Prudential Ratios'!AW55</f>
        <v>1.9576662622373162E-2</v>
      </c>
      <c r="AW11" s="216">
        <f>'Prudential Ratios'!AX55</f>
        <v>-7.200279872362959E-4</v>
      </c>
      <c r="AX11" s="216">
        <f>'Prudential Ratios'!AY55</f>
        <v>6.726155267735694E-3</v>
      </c>
      <c r="AY11" s="216">
        <f>'Prudential Ratios'!AZ55</f>
        <v>3.1393134393966356E-2</v>
      </c>
      <c r="AZ11" s="216">
        <f>'Prudential Ratios'!BA55</f>
        <v>3.9028305099484871E-2</v>
      </c>
      <c r="BA11" s="216">
        <f>'Prudential Ratios'!BB55</f>
        <v>4.2229527437968685E-2</v>
      </c>
      <c r="BB11" s="216">
        <f>'Prudential Ratios'!BC55</f>
        <v>4.6697119540165206E-2</v>
      </c>
      <c r="BC11" s="216">
        <f>'Prudential Ratios'!BD55</f>
        <v>4.9541918300420484E-2</v>
      </c>
      <c r="BD11" s="216">
        <f>'Prudential Ratios'!BE55</f>
        <v>5.6512644587265355E-2</v>
      </c>
      <c r="BE11" s="216">
        <f>'Prudential Ratios'!BF55</f>
        <v>6.1955186594706536E-2</v>
      </c>
      <c r="BF11" s="216">
        <f>'Prudential Ratios'!BG55</f>
        <v>6.8653684025828624E-2</v>
      </c>
      <c r="BG11" s="216">
        <f>'Prudential Ratios'!BH55</f>
        <v>2.7053206250020431E-2</v>
      </c>
      <c r="BH11" s="216">
        <f>'Prudential Ratios'!BI55</f>
        <v>3.7389783974527975E-2</v>
      </c>
      <c r="BI11" s="216">
        <f>'Prudential Ratios'!BJ55</f>
        <v>5.9316265695625609E-3</v>
      </c>
      <c r="BJ11" s="216">
        <f>'Prudential Ratios'!BK55</f>
        <v>8.5554082887603702E-3</v>
      </c>
      <c r="BK11" s="216">
        <f>'Prudential Ratios'!BL55</f>
        <v>1.1148933721945324E-2</v>
      </c>
      <c r="BL11" s="216">
        <f>'Prudential Ratios'!BM55</f>
        <v>1.9326396083323972E-2</v>
      </c>
      <c r="BM11" s="216">
        <f>'Prudential Ratios'!BN55</f>
        <v>1.991298741671399E-2</v>
      </c>
      <c r="BN11" s="216">
        <f>'Prudential Ratios'!BO55</f>
        <v>4.6995716612459215E-2</v>
      </c>
      <c r="BO11" s="216">
        <f>'Prudential Ratios'!BP55</f>
        <v>4.8533370130060337E-2</v>
      </c>
      <c r="BP11" s="216">
        <f>'Prudential Ratios'!BQ55</f>
        <v>5.415104978720902E-2</v>
      </c>
      <c r="BQ11" s="216">
        <f>'Prudential Ratios'!BR55</f>
        <v>6.0162405400159699E-2</v>
      </c>
      <c r="BR11" s="216">
        <f>'Prudential Ratios'!BS55</f>
        <v>6.2268271659027159E-2</v>
      </c>
      <c r="BS11" s="216">
        <f>'Prudential Ratios'!BT55</f>
        <v>6.8297307477652364E-2</v>
      </c>
      <c r="BT11" s="216">
        <f>'Prudential Ratios'!BU55</f>
        <v>8.4166388036689382E-2</v>
      </c>
      <c r="BU11" s="216">
        <f>'Prudential Ratios'!BV55</f>
        <v>5.5979082076481348E-2</v>
      </c>
      <c r="BV11" s="216">
        <f>'Prudential Ratios'!BW55</f>
        <v>-4.7251571062700429E-3</v>
      </c>
      <c r="BW11" s="216">
        <f>'Prudential Ratios'!BX55</f>
        <v>-1.2379500428404959E-3</v>
      </c>
      <c r="BX11" s="216">
        <f>'Prudential Ratios'!BY55</f>
        <v>3.0096990831575484E-3</v>
      </c>
      <c r="BY11" s="216">
        <f>'Prudential Ratios'!BZ55</f>
        <v>1.1201605297020103E-2</v>
      </c>
      <c r="BZ11" s="216">
        <f>'Prudential Ratios'!CA55</f>
        <v>2.624848004261722E-2</v>
      </c>
      <c r="CA11" s="216">
        <f>'Prudential Ratios'!CB55</f>
        <v>5.3347726409512075E-2</v>
      </c>
    </row>
    <row r="12" spans="2:91">
      <c r="B12" s="90" t="s">
        <v>102</v>
      </c>
      <c r="C12" s="88"/>
      <c r="D12" s="96" t="e">
        <f>'Prudential Ratios'!E56</f>
        <v>#REF!</v>
      </c>
      <c r="E12" s="96" t="e">
        <f>'Prudential Ratios'!F56</f>
        <v>#REF!</v>
      </c>
      <c r="F12" s="96" t="e">
        <f>'Prudential Ratios'!G56</f>
        <v>#REF!</v>
      </c>
      <c r="G12" s="96" t="e">
        <f>'Prudential Ratios'!H56</f>
        <v>#REF!</v>
      </c>
      <c r="H12" s="96" t="e">
        <f>'Prudential Ratios'!I56</f>
        <v>#REF!</v>
      </c>
      <c r="I12" s="96" t="e">
        <f>'Prudential Ratios'!J56</f>
        <v>#REF!</v>
      </c>
      <c r="J12" s="96" t="e">
        <f>'Prudential Ratios'!K56</f>
        <v>#REF!</v>
      </c>
      <c r="K12" s="96" t="e">
        <f>'Prudential Ratios'!L56</f>
        <v>#REF!</v>
      </c>
      <c r="L12" s="96" t="e">
        <f>'Prudential Ratios'!M56</f>
        <v>#REF!</v>
      </c>
      <c r="M12" s="96" t="e">
        <f>'Prudential Ratios'!N56</f>
        <v>#REF!</v>
      </c>
      <c r="N12" s="96" t="e">
        <f>'Prudential Ratios'!O56</f>
        <v>#REF!</v>
      </c>
      <c r="O12" s="96" t="e">
        <f>'Prudential Ratios'!P56</f>
        <v>#REF!</v>
      </c>
      <c r="P12" s="96" t="e">
        <f>'Prudential Ratios'!Q56</f>
        <v>#REF!</v>
      </c>
      <c r="Q12" s="96" t="e">
        <f>'Prudential Ratios'!R56</f>
        <v>#REF!</v>
      </c>
      <c r="R12" s="96" t="e">
        <f>'Prudential Ratios'!S56</f>
        <v>#REF!</v>
      </c>
      <c r="S12" s="96">
        <f>'Prudential Ratios'!T56</f>
        <v>0.62015327422078503</v>
      </c>
      <c r="T12" s="216">
        <f>'Prudential Ratios'!U56</f>
        <v>0.28779091844743093</v>
      </c>
      <c r="U12" s="216">
        <f>'Prudential Ratios'!V56</f>
        <v>0.59346690595014484</v>
      </c>
      <c r="V12" s="216">
        <f>'Prudential Ratios'!W56</f>
        <v>0.29062189047777387</v>
      </c>
      <c r="W12" s="216">
        <f>'Prudential Ratios'!X56</f>
        <v>0.28378980928479264</v>
      </c>
      <c r="X12" s="216">
        <f>'Prudential Ratios'!Y56</f>
        <v>0.30491294255765539</v>
      </c>
      <c r="Y12" s="216">
        <f>'Prudential Ratios'!Z56</f>
        <v>0.35188480121631338</v>
      </c>
      <c r="Z12" s="216">
        <f>'Prudential Ratios'!AA56</f>
        <v>0.42614588607338072</v>
      </c>
      <c r="AA12" s="216">
        <f>'Prudential Ratios'!AB56</f>
        <v>0.38569896660788255</v>
      </c>
      <c r="AB12" s="216">
        <f>'Prudential Ratios'!AC56</f>
        <v>0.34384251542582783</v>
      </c>
      <c r="AC12" s="216">
        <f>'Prudential Ratios'!AD56</f>
        <v>0.32839930980193094</v>
      </c>
      <c r="AD12" s="216">
        <f>'Prudential Ratios'!AE56</f>
        <v>0.33231225714729862</v>
      </c>
      <c r="AE12" s="216">
        <f>'Prudential Ratios'!AF56</f>
        <v>0.32035506397067742</v>
      </c>
      <c r="AF12" s="216">
        <f>'Prudential Ratios'!AG56</f>
        <v>0.31898609337433875</v>
      </c>
      <c r="AG12" s="216">
        <f>'Prudential Ratios'!AH56</f>
        <v>0.31572365801218999</v>
      </c>
      <c r="AH12" s="216">
        <f>'Prudential Ratios'!AI56</f>
        <v>0.63147857570557575</v>
      </c>
      <c r="AI12" s="216">
        <f>'Prudential Ratios'!AJ56</f>
        <v>0.3157004454984208</v>
      </c>
      <c r="AJ12" s="216">
        <f>'Prudential Ratios'!AK56</f>
        <v>0.31370932124097189</v>
      </c>
      <c r="AK12" s="216">
        <f>'Prudential Ratios'!AL56</f>
        <v>0.37094405179533174</v>
      </c>
      <c r="AL12" s="216">
        <f>'Prudential Ratios'!AM56</f>
        <v>0.301333215366059</v>
      </c>
      <c r="AM12" s="216">
        <f>'Prudential Ratios'!AN56</f>
        <v>0.2912775194079365</v>
      </c>
      <c r="AN12" s="216">
        <f>'Prudential Ratios'!AO56</f>
        <v>0.29034706688627054</v>
      </c>
      <c r="AO12" s="216" t="e">
        <f>'Prudential Ratios'!AP56</f>
        <v>#DIV/0!</v>
      </c>
      <c r="AP12" s="216">
        <f>'Prudential Ratios'!AQ56</f>
        <v>0.30665091943194944</v>
      </c>
      <c r="AQ12" s="216">
        <f>'Prudential Ratios'!AR56</f>
        <v>0.29829176435579485</v>
      </c>
      <c r="AR12" s="216">
        <f>'Prudential Ratios'!AS56</f>
        <v>0.29542991851828149</v>
      </c>
      <c r="AS12" s="216">
        <f>'Prudential Ratios'!AT56</f>
        <v>0.29374035516329322</v>
      </c>
      <c r="AT12" s="216">
        <f>'Prudential Ratios'!AU56</f>
        <v>0.29795185613546138</v>
      </c>
      <c r="AU12" s="216">
        <f>'Prudential Ratios'!AV56</f>
        <v>0</v>
      </c>
      <c r="AV12" s="216">
        <f>'Prudential Ratios'!AW56</f>
        <v>0.55022136537724731</v>
      </c>
      <c r="AW12" s="216">
        <f>'Prudential Ratios'!AX56</f>
        <v>0.52426377446963113</v>
      </c>
      <c r="AX12" s="216">
        <f>'Prudential Ratios'!AY56</f>
        <v>0.50223993218932439</v>
      </c>
      <c r="AY12" s="216">
        <f>'Prudential Ratios'!AZ56</f>
        <v>0.30152520899437751</v>
      </c>
      <c r="AZ12" s="216">
        <f>'Prudential Ratios'!BA56</f>
        <v>0.32426910935528003</v>
      </c>
      <c r="BA12" s="216">
        <f>'Prudential Ratios'!BB56</f>
        <v>0.33819078881838505</v>
      </c>
      <c r="BB12" s="216">
        <f>'Prudential Ratios'!BC56</f>
        <v>0.35261352813861324</v>
      </c>
      <c r="BC12" s="216">
        <f>'Prudential Ratios'!BD56</f>
        <v>0.36558806279409456</v>
      </c>
      <c r="BD12" s="216">
        <f>'Prudential Ratios'!BE56</f>
        <v>0.36011531856873463</v>
      </c>
      <c r="BE12" s="216">
        <f>'Prudential Ratios'!BF56</f>
        <v>0.35517955850973915</v>
      </c>
      <c r="BF12" s="216">
        <f>'Prudential Ratios'!BG56</f>
        <v>0.36081002271475027</v>
      </c>
      <c r="BG12" s="216">
        <f>'Prudential Ratios'!BH56</f>
        <v>0.58569754354233194</v>
      </c>
      <c r="BH12" s="216">
        <f>'Prudential Ratios'!BI56</f>
        <v>0.53882045527661404</v>
      </c>
      <c r="BI12" s="216">
        <f>'Prudential Ratios'!BJ56</f>
        <v>0.4050066233853179</v>
      </c>
      <c r="BJ12" s="216">
        <f>'Prudential Ratios'!BK56</f>
        <v>0.5418480167118358</v>
      </c>
      <c r="BK12" s="216">
        <f>'Prudential Ratios'!BL56</f>
        <v>0.62137931737634766</v>
      </c>
      <c r="BL12" s="216">
        <f>'Prudential Ratios'!BM56</f>
        <v>0.55420097719930594</v>
      </c>
      <c r="BM12" s="216">
        <f>'Prudential Ratios'!BN56</f>
        <v>0.55777807812200275</v>
      </c>
      <c r="BN12" s="216">
        <f>'Prudential Ratios'!BO56</f>
        <v>0.41190682192643679</v>
      </c>
      <c r="BO12" s="216">
        <f>'Prudential Ratios'!BP56</f>
        <v>0.41851912391561119</v>
      </c>
      <c r="BP12" s="216">
        <f>'Prudential Ratios'!BQ56</f>
        <v>0.40798802596468003</v>
      </c>
      <c r="BQ12" s="216">
        <f>'Prudential Ratios'!BR56</f>
        <v>0.400354097872336</v>
      </c>
      <c r="BR12" s="216">
        <f>'Prudential Ratios'!BS56</f>
        <v>0.3983522689144125</v>
      </c>
      <c r="BS12" s="216">
        <f>'Prudential Ratios'!BT56</f>
        <v>0.39121110071971649</v>
      </c>
      <c r="BT12" s="216">
        <f>'Prudential Ratios'!BU56</f>
        <v>0.36267871990509182</v>
      </c>
      <c r="BU12" s="216">
        <f>'Prudential Ratios'!BV56</f>
        <v>0.457417365947003</v>
      </c>
      <c r="BV12" s="216">
        <f>'Prudential Ratios'!BW56</f>
        <v>0.32390865063102958</v>
      </c>
      <c r="BW12" s="216">
        <f>'Prudential Ratios'!BX56</f>
        <v>0.47494466724780382</v>
      </c>
      <c r="BX12" s="216">
        <f>'Prudential Ratios'!BY56</f>
        <v>0.53190624877067272</v>
      </c>
      <c r="BY12" s="216">
        <f>'Prudential Ratios'!BZ56</f>
        <v>0.4927397514406488</v>
      </c>
      <c r="BZ12" s="216">
        <f>'Prudential Ratios'!CA56</f>
        <v>0.42974102095170735</v>
      </c>
      <c r="CA12" s="216">
        <f>'Prudential Ratios'!CB56</f>
        <v>0.31228584510546453</v>
      </c>
    </row>
    <row r="13" spans="2:91">
      <c r="B13" s="90" t="s">
        <v>103</v>
      </c>
      <c r="C13" s="88"/>
      <c r="D13" s="96">
        <f>'Prudential Ratios'!E57</f>
        <v>8.511625057051328E-2</v>
      </c>
      <c r="E13" s="96">
        <f>'Prudential Ratios'!F57</f>
        <v>6.0332292640779231E-2</v>
      </c>
      <c r="F13" s="96">
        <f>'Prudential Ratios'!G57</f>
        <v>5.0864586829587354E-2</v>
      </c>
      <c r="G13" s="96">
        <f>'Prudential Ratios'!H57</f>
        <v>6.8212320229515053E-3</v>
      </c>
      <c r="H13" s="96">
        <f>'Prudential Ratios'!I57</f>
        <v>1.206515205652208E-2</v>
      </c>
      <c r="I13" s="96">
        <f>'Prudential Ratios'!J57</f>
        <v>1.6300070517401528E-2</v>
      </c>
      <c r="J13" s="96">
        <f>'Prudential Ratios'!K57</f>
        <v>1.9844365287732865E-2</v>
      </c>
      <c r="K13" s="96">
        <f>'Prudential Ratios'!L57</f>
        <v>2.4996546038452902E-2</v>
      </c>
      <c r="L13" s="96">
        <f>'Prudential Ratios'!M57</f>
        <v>2.8964105222676631E-2</v>
      </c>
      <c r="M13" s="96">
        <f>'Prudential Ratios'!N57</f>
        <v>3.3034753646451469E-2</v>
      </c>
      <c r="N13" s="96">
        <f>'Prudential Ratios'!O57</f>
        <v>3.68812220715369E-2</v>
      </c>
      <c r="O13" s="96">
        <f>'Prudential Ratios'!P57</f>
        <v>4.156845540924746E-2</v>
      </c>
      <c r="P13" s="96">
        <f>'Prudential Ratios'!Q57</f>
        <v>4.6026425888027113E-2</v>
      </c>
      <c r="Q13" s="96">
        <f>'Prudential Ratios'!R57</f>
        <v>5.0026511681690963E-2</v>
      </c>
      <c r="R13" s="96">
        <f>'Prudential Ratios'!S57</f>
        <v>5.8324276017402865E-2</v>
      </c>
      <c r="S13" s="96">
        <f>'Prudential Ratios'!T57</f>
        <v>5.3899370942410485E-2</v>
      </c>
      <c r="T13" s="216">
        <f>'Prudential Ratios'!U57</f>
        <v>4.8860963987668288E-2</v>
      </c>
      <c r="U13" s="216">
        <f>'Prudential Ratios'!V57</f>
        <v>5.6671521833393947E-2</v>
      </c>
      <c r="V13" s="216">
        <f>'Prudential Ratios'!W57</f>
        <v>5.4654003762069081E-2</v>
      </c>
      <c r="W13" s="216">
        <f>'Prudential Ratios'!X57</f>
        <v>5.5574311322709478E-2</v>
      </c>
      <c r="X13" s="216">
        <f>'Prudential Ratios'!Y57</f>
        <v>6.7479628714612397E-2</v>
      </c>
      <c r="Y13" s="216">
        <f>'Prudential Ratios'!Z57</f>
        <v>2.1463423141422584E-2</v>
      </c>
      <c r="Z13" s="216">
        <f>'Prudential Ratios'!AA57</f>
        <v>3.0839953808625337E-2</v>
      </c>
      <c r="AA13" s="216">
        <f>'Prudential Ratios'!AB57</f>
        <v>3.6261474047195714E-2</v>
      </c>
      <c r="AB13" s="216">
        <f>'Prudential Ratios'!AC57</f>
        <v>3.603384857054126E-2</v>
      </c>
      <c r="AC13" s="216">
        <f>'Prudential Ratios'!AD57</f>
        <v>3.9911829901974442E-2</v>
      </c>
      <c r="AD13" s="216">
        <f>'Prudential Ratios'!AE57</f>
        <v>4.4787612288389844E-2</v>
      </c>
      <c r="AE13" s="216">
        <f>'Prudential Ratios'!AF57</f>
        <v>4.7878481739192548E-2</v>
      </c>
      <c r="AF13" s="216">
        <f>'Prudential Ratios'!AG57</f>
        <v>5.2017390351999537E-2</v>
      </c>
      <c r="AG13" s="216">
        <f>'Prudential Ratios'!AH57</f>
        <v>5.5166622082372573E-2</v>
      </c>
      <c r="AH13" s="216">
        <f>'Prudential Ratios'!AI57</f>
        <v>5.8270747773591085E-2</v>
      </c>
      <c r="AI13" s="216">
        <f>'Prudential Ratios'!AJ57</f>
        <v>5.6765545719589937E-2</v>
      </c>
      <c r="AJ13" s="216">
        <f>'Prudential Ratios'!AK57</f>
        <v>8.0113694235842605E-3</v>
      </c>
      <c r="AK13" s="216">
        <f>'Prudential Ratios'!AL57</f>
        <v>1.4525669977310744E-2</v>
      </c>
      <c r="AL13" s="216">
        <f>'Prudential Ratios'!AM57</f>
        <v>1.7842021628272208E-2</v>
      </c>
      <c r="AM13" s="216">
        <f>'Prudential Ratios'!AN57</f>
        <v>2.0720272708937709E-2</v>
      </c>
      <c r="AN13" s="216">
        <f>'Prudential Ratios'!AO57</f>
        <v>2.4429699716482178E-2</v>
      </c>
      <c r="AO13" s="216" t="e">
        <f>'Prudential Ratios'!AP57</f>
        <v>#DIV/0!</v>
      </c>
      <c r="AP13" s="216">
        <f>'Prudential Ratios'!AQ57</f>
        <v>3.4433255130779467E-2</v>
      </c>
      <c r="AQ13" s="216">
        <f>'Prudential Ratios'!AR57</f>
        <v>3.7851012591715472E-2</v>
      </c>
      <c r="AR13" s="216">
        <f>'Prudential Ratios'!AS57</f>
        <v>4.1693511334431888E-2</v>
      </c>
      <c r="AS13" s="216">
        <f>'Prudential Ratios'!AT57</f>
        <v>4.499378755903434E-2</v>
      </c>
      <c r="AT13" s="216">
        <f>'Prudential Ratios'!AU57</f>
        <v>4.8604403699782084E-2</v>
      </c>
      <c r="AU13" s="216">
        <f>'Prudential Ratios'!AV57</f>
        <v>0</v>
      </c>
      <c r="AV13" s="216">
        <f>'Prudential Ratios'!AW57</f>
        <v>0.10176668604254741</v>
      </c>
      <c r="AW13" s="216">
        <f>'Prudential Ratios'!AX57</f>
        <v>1.5556841923814348E-2</v>
      </c>
      <c r="AX13" s="216">
        <f>'Prudential Ratios'!AY57</f>
        <v>2.2877119041531103E-2</v>
      </c>
      <c r="AY13" s="216">
        <f>'Prudential Ratios'!AZ57</f>
        <v>2.8255720304611154E-2</v>
      </c>
      <c r="AZ13" s="216">
        <f>'Prudential Ratios'!BA57</f>
        <v>3.5035275344796397E-2</v>
      </c>
      <c r="BA13" s="216">
        <f>'Prudential Ratios'!BB57</f>
        <v>4.1858869303963792E-2</v>
      </c>
      <c r="BB13" s="216">
        <f>'Prudential Ratios'!BC57</f>
        <v>4.7260024930359676E-2</v>
      </c>
      <c r="BC13" s="216">
        <f>'Prudential Ratios'!BD57</f>
        <v>5.3417385070437723E-2</v>
      </c>
      <c r="BD13" s="216">
        <f>'Prudential Ratios'!BE57</f>
        <v>5.830384405715016E-2</v>
      </c>
      <c r="BE13" s="216">
        <f>'Prudential Ratios'!BF57</f>
        <v>6.2307123611538458E-2</v>
      </c>
      <c r="BF13" s="216">
        <f>'Prudential Ratios'!BG57</f>
        <v>7.0112673520019653E-2</v>
      </c>
      <c r="BG13" s="216">
        <f>'Prudential Ratios'!BH57</f>
        <v>9.2744805977109282E-2</v>
      </c>
      <c r="BH13" s="216">
        <f>'Prudential Ratios'!BI57</f>
        <v>9.7027732162151062E-2</v>
      </c>
      <c r="BI13" s="216">
        <f>'Prudential Ratios'!BJ57</f>
        <v>6.4192789634346954E-3</v>
      </c>
      <c r="BJ13" s="216">
        <f>'Prudential Ratios'!BK57</f>
        <v>1.6600261102044531E-2</v>
      </c>
      <c r="BK13" s="216">
        <f>'Prudential Ratios'!BL57</f>
        <v>2.9544931698086176E-2</v>
      </c>
      <c r="BL13" s="216">
        <f>'Prudential Ratios'!BM57</f>
        <v>3.720670933717745E-2</v>
      </c>
      <c r="BM13" s="216">
        <f>'Prudential Ratios'!BN57</f>
        <v>4.5542858489985974E-2</v>
      </c>
      <c r="BN13" s="216">
        <f>'Prudential Ratios'!BO57</f>
        <v>5.0972207027374435E-2</v>
      </c>
      <c r="BO13" s="216">
        <f>'Prudential Ratios'!BP57</f>
        <v>5.6946159046818344E-2</v>
      </c>
      <c r="BP13" s="216">
        <f>'Prudential Ratios'!BQ57</f>
        <v>6.1777011827201453E-2</v>
      </c>
      <c r="BQ13" s="216">
        <f>'Prudential Ratios'!BR57</f>
        <v>6.6753632957391118E-2</v>
      </c>
      <c r="BR13" s="216">
        <f>'Prudential Ratios'!BS57</f>
        <v>7.1487560969042047E-2</v>
      </c>
      <c r="BS13" s="216">
        <f>'Prudential Ratios'!BT57</f>
        <v>7.5422997416793744E-2</v>
      </c>
      <c r="BT13" s="216">
        <f>'Prudential Ratios'!BU57</f>
        <v>7.3194323673124034E-2</v>
      </c>
      <c r="BU13" s="216">
        <f>'Prudential Ratios'!BV57</f>
        <v>7.730279640265833E-2</v>
      </c>
      <c r="BV13" s="216">
        <f>'Prudential Ratios'!BW57</f>
        <v>5.3664655627601553E-3</v>
      </c>
      <c r="BW13" s="216">
        <f>'Prudential Ratios'!BX57</f>
        <v>1.4882908818392528E-2</v>
      </c>
      <c r="BX13" s="216">
        <f>'Prudential Ratios'!BY57</f>
        <v>2.4675500695036701E-2</v>
      </c>
      <c r="BY13" s="216">
        <f>'Prudential Ratios'!BZ57</f>
        <v>2.900491383449641E-2</v>
      </c>
      <c r="BZ13" s="216">
        <f>'Prudential Ratios'!CA57</f>
        <v>3.5520603400542181E-2</v>
      </c>
      <c r="CA13" s="216">
        <f>'Prudential Ratios'!CB57</f>
        <v>4.1496513322196907E-2</v>
      </c>
    </row>
    <row r="14" spans="2:91">
      <c r="B14" s="99" t="s">
        <v>104</v>
      </c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1"/>
      <c r="AQ14" s="101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1"/>
      <c r="BF14" s="101"/>
      <c r="BG14" s="101"/>
      <c r="BH14" s="101"/>
    </row>
    <row r="15" spans="2:91">
      <c r="B15" s="90" t="s">
        <v>105</v>
      </c>
      <c r="C15" s="84">
        <v>0.15</v>
      </c>
      <c r="D15" s="91">
        <f>'Prudential Ratios'!E47</f>
        <v>0.12988213943930602</v>
      </c>
      <c r="E15" s="91">
        <f>'Prudential Ratios'!F47</f>
        <v>0.19610163240925135</v>
      </c>
      <c r="F15" s="91">
        <f>'Prudential Ratios'!G47</f>
        <v>0.28117847936152124</v>
      </c>
      <c r="G15" s="91">
        <f>'Prudential Ratios'!H47</f>
        <v>0.18048740106872116</v>
      </c>
      <c r="H15" s="91">
        <f>'Prudential Ratios'!I47</f>
        <v>0.14704210574669535</v>
      </c>
      <c r="I15" s="91">
        <f>'Prudential Ratios'!J47</f>
        <v>5.4056083515242985E-2</v>
      </c>
      <c r="J15" s="91">
        <f>'Prudential Ratios'!K47</f>
        <v>8.6783220371645819E-2</v>
      </c>
      <c r="K15" s="91">
        <f>'Prudential Ratios'!L47</f>
        <v>3.7384218054572448E-2</v>
      </c>
      <c r="L15" s="91">
        <f>'Prudential Ratios'!M47</f>
        <v>9.2400292332692424E-2</v>
      </c>
      <c r="M15" s="91">
        <f>'Prudential Ratios'!N47</f>
        <v>5.1961539970702401E-2</v>
      </c>
      <c r="N15" s="91">
        <f>'Prudential Ratios'!O47</f>
        <v>0.11776272164724919</v>
      </c>
      <c r="O15" s="91">
        <f>'Prudential Ratios'!P47</f>
        <v>8.6140990045503477E-2</v>
      </c>
      <c r="P15" s="91">
        <f>'Prudential Ratios'!Q47</f>
        <v>5.6520589606475088E-2</v>
      </c>
      <c r="Q15" s="91">
        <f>'Prudential Ratios'!R47</f>
        <v>0.14377386748395526</v>
      </c>
      <c r="R15" s="91">
        <f>'Prudential Ratios'!S47</f>
        <v>0.16275081433742414</v>
      </c>
      <c r="S15" s="91">
        <f>'Prudential Ratios'!T47</f>
        <v>0.22579502136381588</v>
      </c>
      <c r="T15" s="217">
        <f>'Prudential Ratios'!U47</f>
        <v>0.2531159165096511</v>
      </c>
      <c r="U15" s="217">
        <f>'Prudential Ratios'!V47</f>
        <v>0.20525015756822076</v>
      </c>
      <c r="V15" s="217">
        <f>'Prudential Ratios'!W47</f>
        <v>0.26279967074539218</v>
      </c>
      <c r="W15" s="217">
        <f>'Prudential Ratios'!X47</f>
        <v>0.27638488587213306</v>
      </c>
      <c r="X15" s="217">
        <f>'Prudential Ratios'!Y47</f>
        <v>0.26967942476488815</v>
      </c>
      <c r="Y15" s="217">
        <f>'Prudential Ratios'!Z47</f>
        <v>0.20183358674780927</v>
      </c>
      <c r="Z15" s="217">
        <f>'Prudential Ratios'!AA47</f>
        <v>0.21134838898740665</v>
      </c>
      <c r="AA15" s="217">
        <f>'Prudential Ratios'!AB47</f>
        <v>0.19694405071338303</v>
      </c>
      <c r="AB15" s="217">
        <f>'Prudential Ratios'!AC47</f>
        <v>0.16420284280771177</v>
      </c>
      <c r="AC15" s="217">
        <f>'Prudential Ratios'!AD47</f>
        <v>0.14959884993041572</v>
      </c>
      <c r="AD15" s="217">
        <f>'Prudential Ratios'!AE47</f>
        <v>0.18206674138468065</v>
      </c>
      <c r="AE15" s="217">
        <f>'Prudential Ratios'!AF47</f>
        <v>0.22163052592123239</v>
      </c>
      <c r="AF15" s="217">
        <f>'Prudential Ratios'!AG47</f>
        <v>0.1963644302853938</v>
      </c>
      <c r="AG15" s="217">
        <f>'Prudential Ratios'!AH47</f>
        <v>0.23002341911650989</v>
      </c>
      <c r="AH15" s="217">
        <f>'Prudential Ratios'!AI47</f>
        <v>0.20384745975561716</v>
      </c>
      <c r="AI15" s="217">
        <f>'Prudential Ratios'!AJ47</f>
        <v>0.27754131931373383</v>
      </c>
      <c r="AJ15" s="217">
        <f>'Prudential Ratios'!AK47</f>
        <v>0.23237724788614592</v>
      </c>
      <c r="AK15" s="217">
        <f>'Prudential Ratios'!AL47</f>
        <v>0.22612449533815923</v>
      </c>
      <c r="AL15" s="217">
        <f>'Prudential Ratios'!AM47</f>
        <v>0.18695206891502519</v>
      </c>
      <c r="AM15" s="217">
        <f>'Prudential Ratios'!AN47</f>
        <v>0.20197933651628647</v>
      </c>
      <c r="AN15" s="217">
        <f>'Prudential Ratios'!AO47</f>
        <v>0.2425618676355851</v>
      </c>
      <c r="AO15" s="217" t="e">
        <f>'Prudential Ratios'!AP47</f>
        <v>#DIV/0!</v>
      </c>
      <c r="AP15" s="217">
        <f>'Prudential Ratios'!AQ47</f>
        <v>0.17065169032985181</v>
      </c>
      <c r="AQ15" s="217">
        <f>'Prudential Ratios'!AR47</f>
        <v>0.19038151772824793</v>
      </c>
      <c r="AR15" s="217">
        <f>'Prudential Ratios'!AS47</f>
        <v>0.18135962909954367</v>
      </c>
      <c r="AS15" s="217">
        <f>'Prudential Ratios'!AT47</f>
        <v>0.2105964357446293</v>
      </c>
      <c r="AT15" s="217">
        <f>'Prudential Ratios'!AU47</f>
        <v>0.23441973633209498</v>
      </c>
      <c r="AU15" s="217">
        <f>'Prudential Ratios'!AV47</f>
        <v>0</v>
      </c>
      <c r="AV15" s="217">
        <f>'Prudential Ratios'!AW47</f>
        <v>0.13809820928042382</v>
      </c>
      <c r="AW15" s="217">
        <f>'Prudential Ratios'!AX47</f>
        <v>0.15701801497254281</v>
      </c>
      <c r="AX15" s="217">
        <f>'Prudential Ratios'!AY47</f>
        <v>0.16672166857194501</v>
      </c>
      <c r="AY15" s="217">
        <f>'Prudential Ratios'!AZ47</f>
        <v>0.20935865108344609</v>
      </c>
      <c r="AZ15" s="217">
        <f>'Prudential Ratios'!BA47</f>
        <v>0.21088947805617561</v>
      </c>
      <c r="BA15" s="217">
        <f>'Prudential Ratios'!BB47</f>
        <v>0.22953567008002104</v>
      </c>
      <c r="BB15" s="217">
        <f>'Prudential Ratios'!BC47</f>
        <v>0.20904444075300638</v>
      </c>
      <c r="BC15" s="217">
        <f>'Prudential Ratios'!BD47</f>
        <v>0.23994181050654545</v>
      </c>
      <c r="BD15" s="217">
        <f>'Prudential Ratios'!BE47</f>
        <v>0.24420296180092479</v>
      </c>
      <c r="BE15" s="217">
        <f>'Prudential Ratios'!BF47</f>
        <v>0.25788200702878666</v>
      </c>
      <c r="BF15" s="217">
        <f>'Prudential Ratios'!BG47</f>
        <v>0.26329942553874713</v>
      </c>
      <c r="BG15" s="217">
        <f>'Prudential Ratios'!BH47</f>
        <v>0.27459935569470245</v>
      </c>
      <c r="BH15" s="217">
        <f>'Prudential Ratios'!BI47</f>
        <v>0.30089927125547578</v>
      </c>
      <c r="BI15" s="217">
        <f>'Prudential Ratios'!BJ47</f>
        <v>0.22957162873913017</v>
      </c>
      <c r="BJ15" s="217">
        <f>'Prudential Ratios'!BK47</f>
        <v>0.24051071293004631</v>
      </c>
      <c r="BK15" s="217">
        <f>'Prudential Ratios'!BL47</f>
        <v>0.21840910585178619</v>
      </c>
      <c r="BL15" s="217">
        <f>'Prudential Ratios'!BM47</f>
        <v>0.16891500678771768</v>
      </c>
      <c r="BM15" s="217">
        <f>'Prudential Ratios'!BN47</f>
        <v>0.14508413151489349</v>
      </c>
      <c r="BN15" s="217">
        <f>'Prudential Ratios'!BO47</f>
        <v>0.22573646027081218</v>
      </c>
      <c r="BO15" s="217">
        <f>'Prudential Ratios'!BP47</f>
        <v>0.14736354935179305</v>
      </c>
      <c r="BP15" s="217">
        <f>'Prudential Ratios'!BQ47</f>
        <v>9.9506058090155891E-2</v>
      </c>
      <c r="BQ15" s="217">
        <f>'Prudential Ratios'!BR47</f>
        <v>9.852613847583587E-2</v>
      </c>
      <c r="BR15" s="217">
        <f>'Prudential Ratios'!BS47</f>
        <v>9.7340006646470786E-2</v>
      </c>
      <c r="BS15" s="217">
        <f>'Prudential Ratios'!BT47</f>
        <v>8.378518180540237E-2</v>
      </c>
      <c r="BT15" s="217">
        <f>'Prudential Ratios'!BU47</f>
        <v>7.2103503094257587E-2</v>
      </c>
      <c r="BU15" s="217">
        <f>'Prudential Ratios'!BV47</f>
        <v>7.1621265890090977E-2</v>
      </c>
      <c r="BV15" s="217">
        <f>'Prudential Ratios'!BW47</f>
        <v>6.4245481231683541E-2</v>
      </c>
      <c r="BW15" s="217">
        <f>'Prudential Ratios'!BX47</f>
        <v>6.5022000020646856E-2</v>
      </c>
      <c r="BX15" s="217">
        <f>'Prudential Ratios'!BY47</f>
        <v>4.2471604861510928E-2</v>
      </c>
      <c r="BY15" s="217">
        <f>'Prudential Ratios'!BZ47</f>
        <v>9.6271349302153503E-2</v>
      </c>
      <c r="BZ15" s="217">
        <f>'Prudential Ratios'!CA47</f>
        <v>9.9291782568449075E-2</v>
      </c>
      <c r="CA15" s="217">
        <f>'Prudential Ratios'!CB47</f>
        <v>0.16102079886494391</v>
      </c>
    </row>
    <row r="16" spans="2:91">
      <c r="B16" s="90" t="s">
        <v>106</v>
      </c>
      <c r="C16" s="84"/>
      <c r="D16" s="91">
        <f>'Prudential Ratios'!E48</f>
        <v>0.10957700844815306</v>
      </c>
      <c r="E16" s="91">
        <f>'Prudential Ratios'!F48</f>
        <v>0.14876492135969818</v>
      </c>
      <c r="F16" s="91">
        <f>'Prudential Ratios'!G48</f>
        <v>0.18838482630876585</v>
      </c>
      <c r="G16" s="91">
        <f>'Prudential Ratios'!H48</f>
        <v>0.12915454067729354</v>
      </c>
      <c r="H16" s="91">
        <f>'Prudential Ratios'!I48</f>
        <v>0.1037380550284283</v>
      </c>
      <c r="I16" s="91">
        <f>'Prudential Ratios'!J48</f>
        <v>3.8709043627382714E-2</v>
      </c>
      <c r="J16" s="91">
        <f>'Prudential Ratios'!K48</f>
        <v>6.1113504346788673E-2</v>
      </c>
      <c r="K16" s="91">
        <f>'Prudential Ratios'!L48</f>
        <v>2.7303009722520775E-2</v>
      </c>
      <c r="L16" s="91">
        <f>'Prudential Ratios'!M48</f>
        <v>6.7409984703910922E-2</v>
      </c>
      <c r="M16" s="91">
        <f>'Prudential Ratios'!N48</f>
        <v>3.8732805738390198E-2</v>
      </c>
      <c r="N16" s="91">
        <f>'Prudential Ratios'!O48</f>
        <v>8.6788054997579148E-2</v>
      </c>
      <c r="O16" s="91">
        <f>'Prudential Ratios'!P48</f>
        <v>6.5544262419102634E-2</v>
      </c>
      <c r="P16" s="91">
        <f>'Prudential Ratios'!Q48</f>
        <v>4.3737538975159244E-2</v>
      </c>
      <c r="Q16" s="91">
        <f>'Prudential Ratios'!R48</f>
        <v>0.10953810119175024</v>
      </c>
      <c r="R16" s="91">
        <f>'Prudential Ratios'!S48</f>
        <v>0.12557609830901867</v>
      </c>
      <c r="S16" s="91">
        <f>'Prudential Ratios'!T48</f>
        <v>0.18027685780173369</v>
      </c>
      <c r="T16" s="217">
        <f>'Prudential Ratios'!U48</f>
        <v>0.2162877657231124</v>
      </c>
      <c r="U16" s="217">
        <f>'Prudential Ratios'!V48</f>
        <v>0.17701090281339443</v>
      </c>
      <c r="V16" s="217">
        <f>'Prudential Ratios'!W48</f>
        <v>0.22402149726273343</v>
      </c>
      <c r="W16" s="217">
        <f>'Prudential Ratios'!X48</f>
        <v>0.232007670028609</v>
      </c>
      <c r="X16" s="217">
        <f>'Prudential Ratios'!Y48</f>
        <v>0.21838891639960548</v>
      </c>
      <c r="Y16" s="217">
        <f>'Prudential Ratios'!Z48</f>
        <v>0.17267718179175012</v>
      </c>
      <c r="Z16" s="217">
        <f>'Prudential Ratios'!AA48</f>
        <v>0.17362601659559862</v>
      </c>
      <c r="AA16" s="217">
        <f>'Prudential Ratios'!AB48</f>
        <v>0.17125132722024969</v>
      </c>
      <c r="AB16" s="217">
        <f>'Prudential Ratios'!AC48</f>
        <v>0.13620168188940371</v>
      </c>
      <c r="AC16" s="217">
        <f>'Prudential Ratios'!AD48</f>
        <v>0.12822256001014556</v>
      </c>
      <c r="AD16" s="217">
        <f>'Prudential Ratios'!AE48</f>
        <v>0.15550042536488501</v>
      </c>
      <c r="AE16" s="217">
        <f>'Prudential Ratios'!AF48</f>
        <v>0.19035364422573714</v>
      </c>
      <c r="AF16" s="217">
        <f>'Prudential Ratios'!AG48</f>
        <v>0.1707210385074929</v>
      </c>
      <c r="AG16" s="217">
        <f>'Prudential Ratios'!AH48</f>
        <v>0.20038220608331117</v>
      </c>
      <c r="AH16" s="217">
        <f>'Prudential Ratios'!AI48</f>
        <v>0.17904554213024598</v>
      </c>
      <c r="AI16" s="217">
        <f>'Prudential Ratios'!AJ48</f>
        <v>0.23837964916988827</v>
      </c>
      <c r="AJ16" s="217">
        <f>'Prudential Ratios'!AK48</f>
        <v>0.18964923440056841</v>
      </c>
      <c r="AK16" s="217">
        <f>'Prudential Ratios'!AL48</f>
        <v>0.18356762006268557</v>
      </c>
      <c r="AL16" s="217">
        <f>'Prudential Ratios'!AM48</f>
        <v>0.16083649105707748</v>
      </c>
      <c r="AM16" s="217">
        <f>'Prudential Ratios'!AN48</f>
        <v>0.17128132106783953</v>
      </c>
      <c r="AN16" s="217">
        <f>'Prudential Ratios'!AO48</f>
        <v>0.20831352507973047</v>
      </c>
      <c r="AO16" s="217" t="e">
        <f>'Prudential Ratios'!AP48</f>
        <v>#DIV/0!</v>
      </c>
      <c r="AP16" s="217">
        <f>'Prudential Ratios'!AQ48</f>
        <v>0.150254923970087</v>
      </c>
      <c r="AQ16" s="217">
        <f>'Prudential Ratios'!AR48</f>
        <v>0.16937158764999621</v>
      </c>
      <c r="AR16" s="217">
        <f>'Prudential Ratios'!AS48</f>
        <v>0.16271522601611496</v>
      </c>
      <c r="AS16" s="217">
        <f>'Prudential Ratios'!AT48</f>
        <v>0.18936707774652672</v>
      </c>
      <c r="AT16" s="217">
        <f>'Prudential Ratios'!AU48</f>
        <v>0.21159196301625691</v>
      </c>
      <c r="AU16" s="217">
        <f>'Prudential Ratios'!AV48</f>
        <v>0</v>
      </c>
      <c r="AV16" s="217">
        <f>'Prudential Ratios'!AW48</f>
        <v>0.12737983592437196</v>
      </c>
      <c r="AW16" s="217">
        <f>'Prudential Ratios'!AX48</f>
        <v>0.14481138922559622</v>
      </c>
      <c r="AX16" s="217">
        <f>'Prudential Ratios'!AY48</f>
        <v>0.15519654546277115</v>
      </c>
      <c r="AY16" s="217">
        <f>'Prudential Ratios'!AZ48</f>
        <v>0.18944731867746115</v>
      </c>
      <c r="AZ16" s="217">
        <f>'Prudential Ratios'!BA48</f>
        <v>0.19205085057427856</v>
      </c>
      <c r="BA16" s="217">
        <f>'Prudential Ratios'!BB48</f>
        <v>0.2085436669181559</v>
      </c>
      <c r="BB16" s="217">
        <f>'Prudential Ratios'!BC48</f>
        <v>0.18754842540420333</v>
      </c>
      <c r="BC16" s="217">
        <f>'Prudential Ratios'!BD48</f>
        <v>0.21094720084752439</v>
      </c>
      <c r="BD16" s="217">
        <f>'Prudential Ratios'!BE48</f>
        <v>0.21652151720534601</v>
      </c>
      <c r="BE16" s="217">
        <f>'Prudential Ratios'!BF48</f>
        <v>0.23021588860516673</v>
      </c>
      <c r="BF16" s="217">
        <f>'Prudential Ratios'!BG48</f>
        <v>0.23471924070362571</v>
      </c>
      <c r="BG16" s="217">
        <f>'Prudential Ratios'!BH48</f>
        <v>0.24838855453050218</v>
      </c>
      <c r="BH16" s="217">
        <f>'Prudential Ratios'!BI48</f>
        <v>0.26971243549023127</v>
      </c>
      <c r="BI16" s="217">
        <f>'Prudential Ratios'!BJ48</f>
        <v>0.20899752007687297</v>
      </c>
      <c r="BJ16" s="217">
        <f>'Prudential Ratios'!BK48</f>
        <v>0.21883785472016978</v>
      </c>
      <c r="BK16" s="217">
        <f>'Prudential Ratios'!BL48</f>
        <v>0.19807375316292125</v>
      </c>
      <c r="BL16" s="217">
        <f>'Prudential Ratios'!BM48</f>
        <v>0.14915058657944702</v>
      </c>
      <c r="BM16" s="217">
        <f>'Prudential Ratios'!BN48</f>
        <v>0.12952635620035949</v>
      </c>
      <c r="BN16" s="217">
        <f>'Prudential Ratios'!BO48</f>
        <v>0.20222077871537308</v>
      </c>
      <c r="BO16" s="217">
        <f>'Prudential Ratios'!BP48</f>
        <v>0.13065996150058989</v>
      </c>
      <c r="BP16" s="217">
        <f>'Prudential Ratios'!BQ48</f>
        <v>8.8378962270490066E-2</v>
      </c>
      <c r="BQ16" s="217">
        <f>'Prudential Ratios'!BR48</f>
        <v>8.8511705310746605E-2</v>
      </c>
      <c r="BR16" s="217">
        <f>'Prudential Ratios'!BS48</f>
        <v>8.6488987869451389E-2</v>
      </c>
      <c r="BS16" s="217">
        <f>'Prudential Ratios'!BT48</f>
        <v>7.379632269749227E-2</v>
      </c>
      <c r="BT16" s="217">
        <f>'Prudential Ratios'!BU48</f>
        <v>6.301143477470543E-2</v>
      </c>
      <c r="BU16" s="217">
        <f>'Prudential Ratios'!BV48</f>
        <v>6.2638528129989074E-2</v>
      </c>
      <c r="BV16" s="217">
        <f>'Prudential Ratios'!BW48</f>
        <v>5.8291706448513628E-2</v>
      </c>
      <c r="BW16" s="217">
        <f>'Prudential Ratios'!BX48</f>
        <v>5.9182815268952631E-2</v>
      </c>
      <c r="BX16" s="217">
        <f>'Prudential Ratios'!BY48</f>
        <v>3.9136682250823368E-2</v>
      </c>
      <c r="BY16" s="217">
        <f>'Prudential Ratios'!BZ48</f>
        <v>8.906663614089852E-2</v>
      </c>
      <c r="BZ16" s="217">
        <f>'Prudential Ratios'!CA48</f>
        <v>8.840149085898942E-2</v>
      </c>
      <c r="CA16" s="217">
        <f>'Prudential Ratios'!CB48</f>
        <v>0.14477410621269984</v>
      </c>
    </row>
    <row r="17" spans="2:79">
      <c r="B17" s="90" t="s">
        <v>107</v>
      </c>
      <c r="C17" s="97" t="s">
        <v>63</v>
      </c>
      <c r="D17" s="91">
        <f>'Prudential Ratios'!E27</f>
        <v>0.14272236489371123</v>
      </c>
      <c r="E17" s="91">
        <f>'Prudential Ratios'!F27</f>
        <v>1.8448707145193885E-3</v>
      </c>
      <c r="F17" s="91">
        <f>'Prudential Ratios'!G27</f>
        <v>1.6889319727143176E-3</v>
      </c>
      <c r="G17" s="91">
        <f>'Prudential Ratios'!H27</f>
        <v>1.7153850607630448E-3</v>
      </c>
      <c r="H17" s="91">
        <f>'Prudential Ratios'!I27</f>
        <v>1.7921053850611665E-3</v>
      </c>
      <c r="I17" s="91">
        <f>'Prudential Ratios'!J27</f>
        <v>1.8501943028645556E-3</v>
      </c>
      <c r="J17" s="91">
        <f>'Prudential Ratios'!K27</f>
        <v>1.8513069985670941E-3</v>
      </c>
      <c r="K17" s="91">
        <f>'Prudential Ratios'!L27</f>
        <v>1.9127874793044421E-3</v>
      </c>
      <c r="L17" s="91">
        <f>'Prudential Ratios'!M27</f>
        <v>1.9086200510740675E-3</v>
      </c>
      <c r="M17" s="91">
        <f>'Prudential Ratios'!N27</f>
        <v>0</v>
      </c>
      <c r="N17" s="91">
        <f>'Prudential Ratios'!O27</f>
        <v>0</v>
      </c>
      <c r="O17" s="91">
        <f>'Prudential Ratios'!P27</f>
        <v>0</v>
      </c>
      <c r="P17" s="91">
        <f>'Prudential Ratios'!Q27</f>
        <v>0</v>
      </c>
      <c r="Q17" s="91">
        <f>'Prudential Ratios'!R27</f>
        <v>0</v>
      </c>
      <c r="R17" s="91">
        <f>'Prudential Ratios'!S27</f>
        <v>0</v>
      </c>
      <c r="S17" s="91">
        <f>'Prudential Ratios'!T27</f>
        <v>0</v>
      </c>
      <c r="T17" s="217">
        <f>'Prudential Ratios'!U27</f>
        <v>0</v>
      </c>
      <c r="U17" s="217">
        <f>'Prudential Ratios'!V27</f>
        <v>0</v>
      </c>
      <c r="V17" s="217">
        <f>'Prudential Ratios'!W27</f>
        <v>0</v>
      </c>
      <c r="W17" s="217">
        <f>'Prudential Ratios'!X27</f>
        <v>0</v>
      </c>
      <c r="X17" s="217">
        <f>'Prudential Ratios'!Y27</f>
        <v>0</v>
      </c>
      <c r="Y17" s="217">
        <f>'Prudential Ratios'!Z27</f>
        <v>0</v>
      </c>
      <c r="Z17" s="217">
        <f>'Prudential Ratios'!AA27</f>
        <v>0</v>
      </c>
      <c r="AA17" s="217">
        <f>'Prudential Ratios'!AB27</f>
        <v>0</v>
      </c>
      <c r="AB17" s="217">
        <f>'Prudential Ratios'!AC27</f>
        <v>0</v>
      </c>
      <c r="AC17" s="217">
        <f>'Prudential Ratios'!AD27</f>
        <v>0</v>
      </c>
      <c r="AD17" s="217">
        <f>'Prudential Ratios'!AE27</f>
        <v>0</v>
      </c>
      <c r="AE17" s="217">
        <f>'Prudential Ratios'!AF27</f>
        <v>0</v>
      </c>
      <c r="AF17" s="217">
        <f>'Prudential Ratios'!AG27</f>
        <v>0</v>
      </c>
      <c r="AG17" s="217">
        <f>'Prudential Ratios'!AH27</f>
        <v>0</v>
      </c>
      <c r="AH17" s="217">
        <f>'Prudential Ratios'!AI27</f>
        <v>1.1611646592205726E-5</v>
      </c>
      <c r="AI17" s="217">
        <f>'Prudential Ratios'!AJ27</f>
        <v>1.457857137025402E-2</v>
      </c>
      <c r="AJ17" s="217">
        <f>'Prudential Ratios'!AK27</f>
        <v>1.4961773066601057E-2</v>
      </c>
      <c r="AK17" s="217">
        <f>'Prudential Ratios'!AL27</f>
        <v>1.4774539200539906E-2</v>
      </c>
      <c r="AL17" s="217">
        <f>'Prudential Ratios'!AM27</f>
        <v>1.4992775853970491E-2</v>
      </c>
      <c r="AM17" s="217">
        <f>'Prudential Ratios'!AN27</f>
        <v>1.3499622726810946E-2</v>
      </c>
      <c r="AN17" s="217">
        <f>'Prudential Ratios'!AO27</f>
        <v>1.3364894101217962E-2</v>
      </c>
      <c r="AO17" s="217" t="e">
        <f>'Prudential Ratios'!AP27</f>
        <v>#DIV/0!</v>
      </c>
      <c r="AP17" s="217">
        <f>'Prudential Ratios'!AQ27</f>
        <v>1.1998877955304941E-2</v>
      </c>
      <c r="AQ17" s="217">
        <f>'Prudential Ratios'!AR27</f>
        <v>1.1921445449206786E-2</v>
      </c>
      <c r="AR17" s="217">
        <f>'Prudential Ratios'!AS27</f>
        <v>1.0639525939024298E-2</v>
      </c>
      <c r="AS17" s="217">
        <f>'Prudential Ratios'!AT27</f>
        <v>1.0501314147177712E-2</v>
      </c>
      <c r="AT17" s="217">
        <f>'Prudential Ratios'!AU27</f>
        <v>1.0282181517073736E-2</v>
      </c>
      <c r="AU17" s="217">
        <f>'Prudential Ratios'!AV27</f>
        <v>0</v>
      </c>
      <c r="AV17" s="217">
        <f>'Prudential Ratios'!AW27</f>
        <v>0</v>
      </c>
      <c r="AW17" s="217">
        <f>'Prudential Ratios'!AX27</f>
        <v>0</v>
      </c>
      <c r="AX17" s="217">
        <f>'Prudential Ratios'!AY27</f>
        <v>0</v>
      </c>
      <c r="AY17" s="217">
        <f>'Prudential Ratios'!AZ27</f>
        <v>0</v>
      </c>
      <c r="AZ17" s="217">
        <f>'Prudential Ratios'!BA27</f>
        <v>0</v>
      </c>
      <c r="BA17" s="217">
        <f>'Prudential Ratios'!BB27</f>
        <v>0</v>
      </c>
      <c r="BB17" s="217">
        <f>'Prudential Ratios'!BC27</f>
        <v>0</v>
      </c>
      <c r="BC17" s="217">
        <f>'Prudential Ratios'!BD27</f>
        <v>0</v>
      </c>
      <c r="BD17" s="217">
        <f>'Prudential Ratios'!BE27</f>
        <v>0</v>
      </c>
      <c r="BE17" s="217">
        <f>'Prudential Ratios'!BF27</f>
        <v>0</v>
      </c>
      <c r="BF17" s="217">
        <f>'Prudential Ratios'!BG27</f>
        <v>0</v>
      </c>
      <c r="BG17" s="217">
        <f>'Prudential Ratios'!BH27</f>
        <v>0</v>
      </c>
      <c r="BH17" s="217">
        <f>'Prudential Ratios'!BI27</f>
        <v>0</v>
      </c>
      <c r="BI17" s="217">
        <f>'Prudential Ratios'!BJ27</f>
        <v>0</v>
      </c>
      <c r="BJ17" s="217">
        <f>'Prudential Ratios'!BK27</f>
        <v>0</v>
      </c>
      <c r="BK17" s="217">
        <f>'Prudential Ratios'!BL27</f>
        <v>0</v>
      </c>
      <c r="BL17" s="217">
        <f>'Prudential Ratios'!BM27</f>
        <v>0</v>
      </c>
      <c r="BM17" s="217">
        <f>'Prudential Ratios'!BN27</f>
        <v>0</v>
      </c>
      <c r="BN17" s="217">
        <f>'Prudential Ratios'!BO27</f>
        <v>0</v>
      </c>
      <c r="BO17" s="217">
        <f>'Prudential Ratios'!BP27</f>
        <v>0</v>
      </c>
      <c r="BP17" s="217">
        <f>'Prudential Ratios'!BQ27</f>
        <v>0</v>
      </c>
      <c r="BQ17" s="217">
        <f>'Prudential Ratios'!BR27</f>
        <v>0</v>
      </c>
      <c r="BR17" s="217">
        <f>'Prudential Ratios'!BS27</f>
        <v>0</v>
      </c>
      <c r="BS17" s="217">
        <f>'Prudential Ratios'!BT27</f>
        <v>0</v>
      </c>
      <c r="BT17" s="217">
        <f>'Prudential Ratios'!BU27</f>
        <v>0</v>
      </c>
      <c r="BU17" s="217">
        <f>'Prudential Ratios'!BV27</f>
        <v>0</v>
      </c>
      <c r="BV17" s="217">
        <f>'Prudential Ratios'!BW27</f>
        <v>6.1166682224978078E-2</v>
      </c>
      <c r="BW17" s="217">
        <f>'Prudential Ratios'!BX27</f>
        <v>5.8475538821828044E-2</v>
      </c>
      <c r="BX17" s="217">
        <f>'Prudential Ratios'!BY27</f>
        <v>5.6245745366716789E-2</v>
      </c>
      <c r="BY17" s="217">
        <f>'Prudential Ratios'!BZ27</f>
        <v>5.3104864780249235E-2</v>
      </c>
      <c r="BZ17" s="217">
        <f>'Prudential Ratios'!CA27</f>
        <v>5.0418793755306772E-2</v>
      </c>
      <c r="CA17" s="217">
        <f>'Prudential Ratios'!CB27</f>
        <v>4.6027730838157692E-2</v>
      </c>
    </row>
    <row r="18" spans="2:79">
      <c r="B18" s="90" t="s">
        <v>108</v>
      </c>
      <c r="C18" s="88"/>
      <c r="D18" s="91">
        <f>'Prudential Ratios'!E58</f>
        <v>8.6323741291082709E-2</v>
      </c>
      <c r="E18" s="91">
        <f>'Prudential Ratios'!F58</f>
        <v>0.12367589071780827</v>
      </c>
      <c r="F18" s="91">
        <f>'Prudential Ratios'!G58</f>
        <v>0.14978837534289544</v>
      </c>
      <c r="G18" s="91">
        <f>'Prudential Ratios'!H58</f>
        <v>0.10763132723403221</v>
      </c>
      <c r="H18" s="91">
        <f>'Prudential Ratios'!I58</f>
        <v>8.3528394974427586E-2</v>
      </c>
      <c r="I18" s="91">
        <f>'Prudential Ratios'!J58</f>
        <v>3.0837288290251574E-2</v>
      </c>
      <c r="J18" s="91">
        <f>'Prudential Ratios'!K58</f>
        <v>4.8197018997937671E-2</v>
      </c>
      <c r="K18" s="91">
        <f>'Prudential Ratios'!L58</f>
        <v>2.1091785655577313E-2</v>
      </c>
      <c r="L18" s="91">
        <f>'Prudential Ratios'!M58</f>
        <v>5.1372879345975474E-2</v>
      </c>
      <c r="M18" s="91">
        <f>'Prudential Ratios'!N58</f>
        <v>2.925652759375489E-2</v>
      </c>
      <c r="N18" s="91">
        <f>'Prudential Ratios'!O58</f>
        <v>6.54902867571132E-2</v>
      </c>
      <c r="O18" s="91">
        <f>'Prudential Ratios'!P58</f>
        <v>4.8824412847688459E-2</v>
      </c>
      <c r="P18" s="91">
        <f>'Prudential Ratios'!Q58</f>
        <v>3.2348627731188663E-2</v>
      </c>
      <c r="Q18" s="91">
        <f>'Prudential Ratios'!R58</f>
        <v>8.0052671792196994E-2</v>
      </c>
      <c r="R18" s="91">
        <f>'Prudential Ratios'!S58</f>
        <v>0.10173918966980086</v>
      </c>
      <c r="S18" s="91">
        <f>'Prudential Ratios'!T58</f>
        <v>0.14496200753225796</v>
      </c>
      <c r="T18" s="217">
        <f>'Prudential Ratios'!U58</f>
        <v>0.15112500604387705</v>
      </c>
      <c r="U18" s="217">
        <f>'Prudential Ratios'!V58</f>
        <v>0.14740407298309921</v>
      </c>
      <c r="V18" s="217">
        <f>'Prudential Ratios'!W58</f>
        <v>0.16450572945370998</v>
      </c>
      <c r="W18" s="217">
        <f>'Prudential Ratios'!X58</f>
        <v>0.16990382468792126</v>
      </c>
      <c r="X18" s="217">
        <f>'Prudential Ratios'!Y58</f>
        <v>0.15588442099595312</v>
      </c>
      <c r="Y18" s="217">
        <f>'Prudential Ratios'!Z58</f>
        <v>0.13883827364170409</v>
      </c>
      <c r="Z18" s="217">
        <f>'Prudential Ratios'!AA58</f>
        <v>0.14041273083190237</v>
      </c>
      <c r="AA18" s="217">
        <f>'Prudential Ratios'!AB58</f>
        <v>0.13515775611338435</v>
      </c>
      <c r="AB18" s="217">
        <f>'Prudential Ratios'!AC58</f>
        <v>0.1072052939268197</v>
      </c>
      <c r="AC18" s="217">
        <f>'Prudential Ratios'!AD58</f>
        <v>9.9172873523882918E-2</v>
      </c>
      <c r="AD18" s="217">
        <f>'Prudential Ratios'!AE58</f>
        <v>0.12043217751163512</v>
      </c>
      <c r="AE18" s="217">
        <f>'Prudential Ratios'!AF58</f>
        <v>0.14537472955404213</v>
      </c>
      <c r="AF18" s="217">
        <f>'Prudential Ratios'!AG58</f>
        <v>0.12890002047732441</v>
      </c>
      <c r="AG18" s="217">
        <f>'Prudential Ratios'!AH58</f>
        <v>0.14934900215679747</v>
      </c>
      <c r="AH18" s="217">
        <f>'Prudential Ratios'!AI58</f>
        <v>0.14967459607400055</v>
      </c>
      <c r="AI18" s="217">
        <f>'Prudential Ratios'!AJ58</f>
        <v>0.17499947882700745</v>
      </c>
      <c r="AJ18" s="217">
        <f>'Prudential Ratios'!AK58</f>
        <v>0.15453351588514233</v>
      </c>
      <c r="AK18" s="217">
        <f>'Prudential Ratios'!AL58</f>
        <v>0.14865108266433641</v>
      </c>
      <c r="AL18" s="217">
        <f>'Prudential Ratios'!AM58</f>
        <v>0.12738050770751821</v>
      </c>
      <c r="AM18" s="217">
        <f>'Prudential Ratios'!AN58</f>
        <v>0.135076468677781</v>
      </c>
      <c r="AN18" s="217">
        <f>'Prudential Ratios'!AO58</f>
        <v>0.16274725172110488</v>
      </c>
      <c r="AO18" s="217" t="e">
        <f>'Prudential Ratios'!AP58</f>
        <v>#DIV/0!</v>
      </c>
      <c r="AP18" s="217">
        <f>'Prudential Ratios'!AQ58</f>
        <v>0.11528274390661621</v>
      </c>
      <c r="AQ18" s="217">
        <f>'Prudential Ratios'!AR58</f>
        <v>0.12936886465819566</v>
      </c>
      <c r="AR18" s="217">
        <f>'Prudential Ratios'!AS58</f>
        <v>0.12290601121707713</v>
      </c>
      <c r="AS18" s="217">
        <f>'Prudential Ratios'!AT58</f>
        <v>0.14198349974811744</v>
      </c>
      <c r="AT18" s="217">
        <f>'Prudential Ratios'!AU58</f>
        <v>0.1574285858807522</v>
      </c>
      <c r="AU18" s="217">
        <f>'Prudential Ratios'!AV58</f>
        <v>0.15860449861372344</v>
      </c>
      <c r="AV18" s="217">
        <f>'Prudential Ratios'!AW58</f>
        <v>8.8497821583917516E-2</v>
      </c>
      <c r="AW18" s="217">
        <f>'Prudential Ratios'!AX58</f>
        <v>0.10080218092524908</v>
      </c>
      <c r="AX18" s="217">
        <f>'Prudential Ratios'!AY58</f>
        <v>0.10663786057268669</v>
      </c>
      <c r="AY18" s="217">
        <f>'Prudential Ratios'!AZ58</f>
        <v>0.12364065920669247</v>
      </c>
      <c r="AZ18" s="217">
        <f>'Prudential Ratios'!BA58</f>
        <v>0.12345725901057579</v>
      </c>
      <c r="BA18" s="217">
        <f>'Prudential Ratios'!BB58</f>
        <v>0.13394041829634684</v>
      </c>
      <c r="BB18" s="217">
        <f>'Prudential Ratios'!BC58</f>
        <v>0.12055164784878027</v>
      </c>
      <c r="BC18" s="217">
        <f>'Prudential Ratios'!BD58</f>
        <v>0.13609056778558898</v>
      </c>
      <c r="BD18" s="217">
        <f>'Prudential Ratios'!BE58</f>
        <v>0.13816331242926427</v>
      </c>
      <c r="BE18" s="217">
        <f>'Prudential Ratios'!BF58</f>
        <v>0.14546967388119644</v>
      </c>
      <c r="BF18" s="217">
        <f>'Prudential Ratios'!BG58</f>
        <v>0.14562256330892576</v>
      </c>
      <c r="BG18" s="217">
        <f>'Prudential Ratios'!BH58</f>
        <v>0.16947715924882076</v>
      </c>
      <c r="BH18" s="217">
        <f>'Prudential Ratios'!BI58</f>
        <v>0.17114987315084787</v>
      </c>
      <c r="BI18" s="217">
        <f>'Prudential Ratios'!BJ58</f>
        <v>0.14109983923237626</v>
      </c>
      <c r="BJ18" s="217">
        <f>'Prudential Ratios'!BK58</f>
        <v>0.1489991940175604</v>
      </c>
      <c r="BK18" s="217">
        <f>'Prudential Ratios'!BL58</f>
        <v>0.12969406976027789</v>
      </c>
      <c r="BL18" s="217">
        <f>'Prudential Ratios'!BM58</f>
        <v>9.5615222133752148E-2</v>
      </c>
      <c r="BM18" s="217">
        <f>'Prudential Ratios'!BN58</f>
        <v>8.317709196153511E-2</v>
      </c>
      <c r="BN18" s="217">
        <f>'Prudential Ratios'!BO58</f>
        <v>0.12585329100823905</v>
      </c>
      <c r="BO18" s="217">
        <f>'Prudential Ratios'!BP58</f>
        <v>8.1200429085098419E-2</v>
      </c>
      <c r="BP18" s="217">
        <f>'Prudential Ratios'!BQ58</f>
        <v>5.4803511481869946E-2</v>
      </c>
      <c r="BQ18" s="217">
        <f>'Prudential Ratios'!BR58</f>
        <v>5.4350867714804435E-2</v>
      </c>
      <c r="BR18" s="217">
        <f>'Prudential Ratios'!BS58</f>
        <v>5.3435348306548003E-2</v>
      </c>
      <c r="BS18" s="217">
        <f>'Prudential Ratios'!BT58</f>
        <v>4.5245077282414344E-2</v>
      </c>
      <c r="BT18" s="217">
        <f>'Prudential Ratios'!BU58</f>
        <v>3.8556450654622397E-2</v>
      </c>
      <c r="BU18" s="217">
        <f>'Prudential Ratios'!BV58</f>
        <v>3.9230197623885271E-2</v>
      </c>
      <c r="BV18" s="217">
        <f>'Prudential Ratios'!BW58</f>
        <v>3.8711709397848036E-2</v>
      </c>
      <c r="BW18" s="217">
        <f>'Prudential Ratios'!BX58</f>
        <v>3.9194602416191361E-2</v>
      </c>
      <c r="BX18" s="217">
        <f>'Prudential Ratios'!BY58</f>
        <v>2.5627750019897214E-2</v>
      </c>
      <c r="BY18" s="217">
        <f>'Prudential Ratios'!BZ58</f>
        <v>5.7691747857905658E-2</v>
      </c>
      <c r="BZ18" s="217">
        <f>'Prudential Ratios'!CA58</f>
        <v>5.4983613112366402E-2</v>
      </c>
      <c r="CA18" s="217">
        <f>'Prudential Ratios'!CB58</f>
        <v>8.6787531200649137E-2</v>
      </c>
    </row>
    <row r="19" spans="2:79">
      <c r="B19" s="99" t="s">
        <v>109</v>
      </c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</row>
    <row r="20" spans="2:79">
      <c r="B20" s="90" t="s">
        <v>110</v>
      </c>
      <c r="C20" s="97" t="s">
        <v>40</v>
      </c>
      <c r="D20" s="91">
        <f>'Prudential Ratios'!E14</f>
        <v>0.1392102317235529</v>
      </c>
      <c r="E20" s="91">
        <f>'Prudential Ratios'!F14</f>
        <v>9.4990974437856576E-2</v>
      </c>
      <c r="F20" s="91">
        <f>'Prudential Ratios'!G14</f>
        <v>0.11800483721459713</v>
      </c>
      <c r="G20" s="91">
        <f>'Prudential Ratios'!H14</f>
        <v>0.12675514964687595</v>
      </c>
      <c r="H20" s="91">
        <f>'Prudential Ratios'!I14</f>
        <v>0.10067358347108002</v>
      </c>
      <c r="I20" s="91">
        <f>'Prudential Ratios'!J14</f>
        <v>0.13039883370297098</v>
      </c>
      <c r="J20" s="91">
        <f>'Prudential Ratios'!K14</f>
        <v>0.12645070234799485</v>
      </c>
      <c r="K20" s="91">
        <f>'Prudential Ratios'!L14</f>
        <v>0.12800998294838778</v>
      </c>
      <c r="L20" s="91">
        <f>'Prudential Ratios'!M14</f>
        <v>0.10490782507946483</v>
      </c>
      <c r="M20" s="91">
        <f>'Prudential Ratios'!N14</f>
        <v>0.12445920570487373</v>
      </c>
      <c r="N20" s="91">
        <f>'Prudential Ratios'!O14</f>
        <v>8.7847647900714032E-2</v>
      </c>
      <c r="O20" s="91">
        <f>'Prudential Ratios'!P14</f>
        <v>9.2577020011448227E-2</v>
      </c>
      <c r="P20" s="91">
        <f>'Prudential Ratios'!Q14</f>
        <v>0.10608278014093755</v>
      </c>
      <c r="Q20" s="91">
        <f>'Prudential Ratios'!R14</f>
        <v>7.9538244815096623E-2</v>
      </c>
      <c r="R20" s="91">
        <f>'Prudential Ratios'!S14</f>
        <v>8.099511581227381E-2</v>
      </c>
      <c r="S20" s="91">
        <f>'Prudential Ratios'!T14</f>
        <v>9.9098640290051984E-2</v>
      </c>
      <c r="T20" s="217">
        <f>'Prudential Ratios'!U14</f>
        <v>4.0956810575312912E-2</v>
      </c>
      <c r="U20" s="217">
        <f>'Prudential Ratios'!V14</f>
        <v>5.3367462257584548E-2</v>
      </c>
      <c r="V20" s="217">
        <f>'Prudential Ratios'!W14</f>
        <v>4.3302198545886121E-2</v>
      </c>
      <c r="W20" s="217">
        <f>'Prudential Ratios'!X14</f>
        <v>5.8974291916017219E-2</v>
      </c>
      <c r="X20" s="217">
        <f>'Prudential Ratios'!Y14</f>
        <v>4.1797812802805499E-2</v>
      </c>
      <c r="Y20" s="217">
        <f>'Prudential Ratios'!Z14</f>
        <v>3.9852185448152541E-2</v>
      </c>
      <c r="Z20" s="217">
        <f>'Prudential Ratios'!AA14</f>
        <v>7.2852537996085931E-2</v>
      </c>
      <c r="AA20" s="217">
        <f>'Prudential Ratios'!AB14</f>
        <v>5.4640365308192176E-2</v>
      </c>
      <c r="AB20" s="217">
        <f>'Prudential Ratios'!AC14</f>
        <v>4.3928177637063894E-2</v>
      </c>
      <c r="AC20" s="217">
        <f>'Prudential Ratios'!AD14</f>
        <v>4.075979452850477E-2</v>
      </c>
      <c r="AD20" s="217">
        <f>'Prudential Ratios'!AE14</f>
        <v>4.313589934198693E-2</v>
      </c>
      <c r="AE20" s="217">
        <f>'Prudential Ratios'!AF14</f>
        <v>3.9635737234903275E-2</v>
      </c>
      <c r="AF20" s="217">
        <f>'Prudential Ratios'!AG14</f>
        <v>3.9920032831780111E-2</v>
      </c>
      <c r="AG20" s="217">
        <f>'Prudential Ratios'!AH14</f>
        <v>4.1315651248527048E-2</v>
      </c>
      <c r="AH20" s="217">
        <f>'Prudential Ratios'!AI14</f>
        <v>4.1460676614543251E-2</v>
      </c>
      <c r="AI20" s="217">
        <f>'Prudential Ratios'!AJ14</f>
        <v>3.7172769574722382E-2</v>
      </c>
      <c r="AJ20" s="217">
        <f>'Prudential Ratios'!AK14</f>
        <v>4.5636777109771876E-2</v>
      </c>
      <c r="AK20" s="217">
        <f>'Prudential Ratios'!AL14</f>
        <v>3.2370093826500301E-2</v>
      </c>
      <c r="AL20" s="217">
        <f>'Prudential Ratios'!AM14</f>
        <v>3.6247895798823322E-2</v>
      </c>
      <c r="AM20" s="217">
        <f>'Prudential Ratios'!AN14</f>
        <v>6.2151428966846396E-2</v>
      </c>
      <c r="AN20" s="217">
        <f>'Prudential Ratios'!AO14</f>
        <v>3.8338004599404389E-2</v>
      </c>
      <c r="AO20" s="217" t="e">
        <f>'Prudential Ratios'!AP14</f>
        <v>#DIV/0!</v>
      </c>
      <c r="AP20" s="217">
        <f>'Prudential Ratios'!AQ14</f>
        <v>3.4092355642855648E-2</v>
      </c>
      <c r="AQ20" s="217">
        <f>'Prudential Ratios'!AR14</f>
        <v>3.450476512838186E-2</v>
      </c>
      <c r="AR20" s="217">
        <f>'Prudential Ratios'!AS14</f>
        <v>3.1631885306548785E-2</v>
      </c>
      <c r="AS20" s="217">
        <f>'Prudential Ratios'!AT14</f>
        <v>3.1323170698155711E-2</v>
      </c>
      <c r="AT20" s="217">
        <f>'Prudential Ratios'!AU14</f>
        <v>3.147326994664227E-2</v>
      </c>
      <c r="AU20" s="217">
        <f>'Prudential Ratios'!AV14</f>
        <v>0</v>
      </c>
      <c r="AV20" s="217">
        <f>'Prudential Ratios'!AW14</f>
        <v>0.12843818656352751</v>
      </c>
      <c r="AW20" s="217">
        <f>'Prudential Ratios'!AX14</f>
        <v>0.12652994765324999</v>
      </c>
      <c r="AX20" s="217">
        <f>'Prudential Ratios'!AY14</f>
        <v>0.12687347024136544</v>
      </c>
      <c r="AY20" s="217">
        <f>'Prudential Ratios'!AZ14</f>
        <v>0.11583735568968517</v>
      </c>
      <c r="AZ20" s="217">
        <f>'Prudential Ratios'!BA14</f>
        <v>0.1243363550155455</v>
      </c>
      <c r="BA20" s="217">
        <f>'Prudential Ratios'!BB14</f>
        <v>0.12067688006678111</v>
      </c>
      <c r="BB20" s="217">
        <f>'Prudential Ratios'!BC14</f>
        <v>0.11768697218722562</v>
      </c>
      <c r="BC20" s="217">
        <f>'Prudential Ratios'!BD14</f>
        <v>0.12012868788162948</v>
      </c>
      <c r="BD20" s="217">
        <f>'Prudential Ratios'!BE14</f>
        <v>0.11701870421381055</v>
      </c>
      <c r="BE20" s="217">
        <f>'Prudential Ratios'!BF14</f>
        <v>0.11619010611671678</v>
      </c>
      <c r="BF20" s="217">
        <f>'Prudential Ratios'!BG14</f>
        <v>0.11196649904085919</v>
      </c>
      <c r="BG20" s="217">
        <f>'Prudential Ratios'!BH14</f>
        <v>8.8579664463505819E-2</v>
      </c>
      <c r="BH20" s="217">
        <f>'Prudential Ratios'!BI14</f>
        <v>8.9470078943971146E-2</v>
      </c>
      <c r="BI20" s="217">
        <f>'Prudential Ratios'!BJ14</f>
        <v>0.11261289877316565</v>
      </c>
      <c r="BJ20" s="217">
        <f>'Prudential Ratios'!BK14</f>
        <v>0.11165988812396566</v>
      </c>
      <c r="BK20" s="217">
        <f>'Prudential Ratios'!BL14</f>
        <v>0.10623915580039282</v>
      </c>
      <c r="BL20" s="217">
        <f>'Prudential Ratios'!BM14</f>
        <v>0.1094050026868178</v>
      </c>
      <c r="BM20" s="217">
        <f>'Prudential Ratios'!BN14</f>
        <v>0.11081871844621997</v>
      </c>
      <c r="BN20" s="217">
        <f>'Prudential Ratios'!BO14</f>
        <v>7.9978306950295716E-2</v>
      </c>
      <c r="BO20" s="217">
        <f>'Prudential Ratios'!BP14</f>
        <v>0.10419077499146784</v>
      </c>
      <c r="BP20" s="217">
        <f>'Prudential Ratios'!BQ14</f>
        <v>0.10152282217881002</v>
      </c>
      <c r="BQ20" s="217">
        <f>'Prudential Ratios'!BR14</f>
        <v>9.9580345701600181E-2</v>
      </c>
      <c r="BR20" s="217">
        <f>'Prudential Ratios'!BS14</f>
        <v>0.10220318759635201</v>
      </c>
      <c r="BS20" s="217">
        <f>'Prudential Ratios'!BT14</f>
        <v>0.10664825507435567</v>
      </c>
      <c r="BT20" s="217">
        <f>'Prudential Ratios'!BU14</f>
        <v>0.10307251000720849</v>
      </c>
      <c r="BU20" s="217">
        <f>'Prudential Ratios'!BV14</f>
        <v>0.10487362623854456</v>
      </c>
      <c r="BV20" s="217">
        <f>'Prudential Ratios'!BW14</f>
        <v>8.9014927586186884E-2</v>
      </c>
      <c r="BW20" s="217">
        <f>'Prudential Ratios'!BX14</f>
        <v>8.9127845637167497E-2</v>
      </c>
      <c r="BX20" s="217">
        <f>'Prudential Ratios'!BY14</f>
        <v>9.3162079554655913E-2</v>
      </c>
      <c r="BY20" s="217">
        <f>'Prudential Ratios'!BZ14</f>
        <v>6.8231061791162451E-2</v>
      </c>
      <c r="BZ20" s="217">
        <f>'Prudential Ratios'!CA14</f>
        <v>8.8517876301716397E-2</v>
      </c>
      <c r="CA20" s="217">
        <f>'Prudential Ratios'!CB14</f>
        <v>8.2979190127115521E-2</v>
      </c>
    </row>
    <row r="21" spans="2:79">
      <c r="B21" s="90" t="s">
        <v>111</v>
      </c>
      <c r="C21" s="97" t="s">
        <v>43</v>
      </c>
      <c r="D21" s="91">
        <f>'Prudential Ratios'!E15</f>
        <v>1.7833781223728661E-2</v>
      </c>
      <c r="E21" s="91">
        <f>'Prudential Ratios'!F15</f>
        <v>1.4523109600851885E-2</v>
      </c>
      <c r="F21" s="91">
        <f>'Prudential Ratios'!G15</f>
        <v>1.2881880388370185E-2</v>
      </c>
      <c r="G21" s="91">
        <f>'Prudential Ratios'!H15</f>
        <v>1.2663382408461696E-2</v>
      </c>
      <c r="H21" s="91">
        <f>'Prudential Ratios'!I15</f>
        <v>1.3661078286910861E-2</v>
      </c>
      <c r="I21" s="91">
        <f>'Prudential Ratios'!J15</f>
        <v>1.3696816397596198E-2</v>
      </c>
      <c r="J21" s="91">
        <f>'Prudential Ratios'!K15</f>
        <v>1.3297813109254732E-2</v>
      </c>
      <c r="K21" s="91">
        <f>'Prudential Ratios'!L15</f>
        <v>1.3318732889024281E-2</v>
      </c>
      <c r="L21" s="91">
        <f>'Prudential Ratios'!M15</f>
        <v>1.290415973292309E-2</v>
      </c>
      <c r="M21" s="91">
        <f>'Prudential Ratios'!N15</f>
        <v>1.2523924201387589E-2</v>
      </c>
      <c r="N21" s="91">
        <f>'Prudential Ratios'!O15</f>
        <v>1.1873241085809959E-2</v>
      </c>
      <c r="O21" s="91">
        <f>'Prudential Ratios'!P15</f>
        <v>1.1577411930464245E-2</v>
      </c>
      <c r="P21" s="91">
        <f>'Prudential Ratios'!Q15</f>
        <v>1.1149896890358467E-2</v>
      </c>
      <c r="Q21" s="91">
        <f>'Prudential Ratios'!R15</f>
        <v>1.0815216697499262E-2</v>
      </c>
      <c r="R21" s="91">
        <f>'Prudential Ratios'!S15</f>
        <v>1.0229009166940833E-2</v>
      </c>
      <c r="S21" s="91">
        <f>'Prudential Ratios'!T15</f>
        <v>8.9620891848926736E-3</v>
      </c>
      <c r="T21" s="217">
        <f>'Prudential Ratios'!U15</f>
        <v>1.1219685336203954E-2</v>
      </c>
      <c r="U21" s="217">
        <f>'Prudential Ratios'!V15</f>
        <v>5.1649462632815156E-3</v>
      </c>
      <c r="V21" s="217">
        <f>'Prudential Ratios'!W15</f>
        <v>1.1631406682626745E-2</v>
      </c>
      <c r="W21" s="217">
        <f>'Prudential Ratios'!X15</f>
        <v>1.1186820476524634E-2</v>
      </c>
      <c r="X21" s="217">
        <f>'Prudential Ratios'!Y15</f>
        <v>1.1457956136211147E-2</v>
      </c>
      <c r="Y21" s="217">
        <f>'Prudential Ratios'!Z15</f>
        <v>1.056484941362258E-2</v>
      </c>
      <c r="Z21" s="217">
        <f>'Prudential Ratios'!AA15</f>
        <v>1.108953397406826E-2</v>
      </c>
      <c r="AA21" s="217">
        <f>'Prudential Ratios'!AB15</f>
        <v>1.0959528050384235E-2</v>
      </c>
      <c r="AB21" s="217">
        <f>'Prudential Ratios'!AC15</f>
        <v>1.0119119713599847E-2</v>
      </c>
      <c r="AC21" s="217">
        <f>'Prudential Ratios'!AD15</f>
        <v>9.8509013240676326E-3</v>
      </c>
      <c r="AD21" s="217">
        <f>'Prudential Ratios'!AE15</f>
        <v>9.3818237869295138E-3</v>
      </c>
      <c r="AE21" s="217">
        <f>'Prudential Ratios'!AF15</f>
        <v>8.9673216026549922E-3</v>
      </c>
      <c r="AF21" s="217">
        <f>'Prudential Ratios'!AG15</f>
        <v>8.5812564690462331E-3</v>
      </c>
      <c r="AG21" s="217">
        <f>'Prudential Ratios'!AH15</f>
        <v>8.08030150716222E-3</v>
      </c>
      <c r="AH21" s="217">
        <f>'Prudential Ratios'!AI15</f>
        <v>3.6780872241755423E-3</v>
      </c>
      <c r="AI21" s="217">
        <f>'Prudential Ratios'!AJ15</f>
        <v>7.7402116274374955E-3</v>
      </c>
      <c r="AJ21" s="217">
        <f>'Prudential Ratios'!AK15</f>
        <v>8.1606241816356753E-3</v>
      </c>
      <c r="AK21" s="217">
        <f>'Prudential Ratios'!AL15</f>
        <v>7.8863672895601849E-3</v>
      </c>
      <c r="AL21" s="217">
        <f>'Prudential Ratios'!AM15</f>
        <v>8.1535184590301353E-3</v>
      </c>
      <c r="AM21" s="217">
        <f>'Prudential Ratios'!AN15</f>
        <v>8.4508783655982793E-3</v>
      </c>
      <c r="AN21" s="217">
        <f>'Prudential Ratios'!AO15</f>
        <v>8.8590576499138051E-3</v>
      </c>
      <c r="AO21" s="217" t="e">
        <f>'Prudential Ratios'!AP15</f>
        <v>#DIV/0!</v>
      </c>
      <c r="AP21" s="217">
        <f>'Prudential Ratios'!AQ15</f>
        <v>8.3758364316626442E-3</v>
      </c>
      <c r="AQ21" s="217">
        <f>'Prudential Ratios'!AR15</f>
        <v>8.1388181543468E-3</v>
      </c>
      <c r="AR21" s="217">
        <f>'Prudential Ratios'!AS15</f>
        <v>7.9107839569426651E-3</v>
      </c>
      <c r="AS21" s="217">
        <f>'Prudential Ratios'!AT15</f>
        <v>8.1842700201439338E-3</v>
      </c>
      <c r="AT21" s="217">
        <f>'Prudential Ratios'!AU15</f>
        <v>7.8216417213719906E-3</v>
      </c>
      <c r="AU21" s="217">
        <f>'Prudential Ratios'!AV15</f>
        <v>0</v>
      </c>
      <c r="AV21" s="217">
        <f>'Prudential Ratios'!AW15</f>
        <v>9.0453428651708939E-2</v>
      </c>
      <c r="AW21" s="217">
        <f>'Prudential Ratios'!AX15</f>
        <v>8.9961576500984644E-2</v>
      </c>
      <c r="AX21" s="217">
        <f>'Prudential Ratios'!AY15</f>
        <v>9.1433653257099207E-2</v>
      </c>
      <c r="AY21" s="217">
        <f>'Prudential Ratios'!AZ15</f>
        <v>9.0922642382926661E-2</v>
      </c>
      <c r="AZ21" s="217">
        <f>'Prudential Ratios'!BA15</f>
        <v>8.9513999089970486E-2</v>
      </c>
      <c r="BA21" s="217">
        <f>'Prudential Ratios'!BB15</f>
        <v>8.8144286968391591E-2</v>
      </c>
      <c r="BB21" s="217">
        <f>'Prudential Ratios'!BC15</f>
        <v>8.5622296977297965E-2</v>
      </c>
      <c r="BC21" s="217">
        <f>'Prudential Ratios'!BD15</f>
        <v>8.3150844385466521E-2</v>
      </c>
      <c r="BD21" s="217">
        <f>'Prudential Ratios'!BE15</f>
        <v>8.1966096051298037E-2</v>
      </c>
      <c r="BE21" s="217">
        <f>'Prudential Ratios'!BF15</f>
        <v>8.0673870136806464E-2</v>
      </c>
      <c r="BF21" s="217">
        <f>'Prudential Ratios'!BG15</f>
        <v>8.0448505509091564E-2</v>
      </c>
      <c r="BG21" s="217">
        <f>'Prudential Ratios'!BH15</f>
        <v>8.0358451523106555E-2</v>
      </c>
      <c r="BH21" s="217">
        <f>'Prudential Ratios'!BI15</f>
        <v>8.1151575930541314E-2</v>
      </c>
      <c r="BI21" s="217">
        <f>'Prudential Ratios'!BJ15</f>
        <v>7.9467150654794719E-2</v>
      </c>
      <c r="BJ21" s="217">
        <f>'Prudential Ratios'!BK15</f>
        <v>7.9068608411600974E-2</v>
      </c>
      <c r="BK21" s="217">
        <f>'Prudential Ratios'!BL15</f>
        <v>7.7227440592204169E-2</v>
      </c>
      <c r="BL21" s="217">
        <f>'Prudential Ratios'!BM15</f>
        <v>7.9258262768253887E-2</v>
      </c>
      <c r="BM21" s="217">
        <f>'Prudential Ratios'!BN15</f>
        <v>7.9017096846085391E-2</v>
      </c>
      <c r="BN21" s="217">
        <f>'Prudential Ratios'!BO15</f>
        <v>7.4515433753457788E-2</v>
      </c>
      <c r="BO21" s="217">
        <f>'Prudential Ratios'!BP15</f>
        <v>7.2745332707638416E-2</v>
      </c>
      <c r="BP21" s="217">
        <f>'Prudential Ratios'!BQ15</f>
        <v>7.0746658452151043E-2</v>
      </c>
      <c r="BQ21" s="217">
        <f>'Prudential Ratios'!BR15</f>
        <v>6.9548852709411024E-2</v>
      </c>
      <c r="BR21" s="217">
        <f>'Prudential Ratios'!BS15</f>
        <v>6.7686809270649753E-2</v>
      </c>
      <c r="BS21" s="217">
        <f>'Prudential Ratios'!BT15</f>
        <v>6.580263081802265E-2</v>
      </c>
      <c r="BT21" s="217">
        <f>'Prudential Ratios'!BU15</f>
        <v>6.2700760175540188E-2</v>
      </c>
      <c r="BU21" s="217">
        <f>'Prudential Ratios'!BV15</f>
        <v>6.3796409647513791E-2</v>
      </c>
      <c r="BV21" s="217">
        <f>'Prudential Ratios'!BW15</f>
        <v>6.0247855928516114E-2</v>
      </c>
      <c r="BW21" s="217">
        <f>'Prudential Ratios'!BX15</f>
        <v>5.9939215372399775E-2</v>
      </c>
      <c r="BX21" s="217">
        <f>'Prudential Ratios'!BY15</f>
        <v>6.0111175178059154E-2</v>
      </c>
      <c r="BY21" s="217">
        <f>'Prudential Ratios'!BZ15</f>
        <v>5.9295755353562879E-2</v>
      </c>
      <c r="BZ21" s="217">
        <f>'Prudential Ratios'!CA15</f>
        <v>5.9041350624605929E-2</v>
      </c>
      <c r="CA21" s="217">
        <f>'Prudential Ratios'!CB15</f>
        <v>5.6581641762765388E-2</v>
      </c>
    </row>
    <row r="22" spans="2:79">
      <c r="B22" s="90" t="s">
        <v>112</v>
      </c>
      <c r="C22" s="97" t="s">
        <v>43</v>
      </c>
      <c r="D22" s="91">
        <f>'Prudential Ratios'!E19</f>
        <v>6.0285213968960846E-2</v>
      </c>
      <c r="E22" s="91">
        <f>'Prudential Ratios'!F19</f>
        <v>0.13586799455071197</v>
      </c>
      <c r="F22" s="91">
        <f>'Prudential Ratios'!G19</f>
        <v>0.12176193961482382</v>
      </c>
      <c r="G22" s="91">
        <f>'Prudential Ratios'!H19</f>
        <v>0.11269645695005888</v>
      </c>
      <c r="H22" s="91">
        <f>'Prudential Ratios'!I19</f>
        <v>0.11464342642449089</v>
      </c>
      <c r="I22" s="91">
        <f>'Prudential Ratios'!J19</f>
        <v>0.11914009443710825</v>
      </c>
      <c r="J22" s="91">
        <f>'Prudential Ratios'!K19</f>
        <v>0.12064095926833265</v>
      </c>
      <c r="K22" s="91">
        <f>'Prudential Ratios'!L19</f>
        <v>0.12766200383297657</v>
      </c>
      <c r="L22" s="91">
        <f>'Prudential Ratios'!M19</f>
        <v>0.12885155885067326</v>
      </c>
      <c r="M22" s="91">
        <f>'Prudential Ratios'!N19</f>
        <v>0.12991125760253941</v>
      </c>
      <c r="N22" s="91">
        <f>'Prudential Ratios'!O19</f>
        <v>0.12696306296456936</v>
      </c>
      <c r="O22" s="91">
        <f>'Prudential Ratios'!P19</f>
        <v>0.12959449870502415</v>
      </c>
      <c r="P22" s="91">
        <f>'Prudential Ratios'!Q19</f>
        <v>0.12961906520907518</v>
      </c>
      <c r="Q22" s="91">
        <f>'Prudential Ratios'!R19</f>
        <v>0.13039155507705413</v>
      </c>
      <c r="R22" s="91">
        <f>'Prudential Ratios'!S19</f>
        <v>0.1092785927940443</v>
      </c>
      <c r="S22" s="91">
        <f>'Prudential Ratios'!T19</f>
        <v>9.1619162521626843E-2</v>
      </c>
      <c r="T22" s="217">
        <f>'Prudential Ratios'!U19</f>
        <v>8.6725683257034406E-2</v>
      </c>
      <c r="U22" s="217">
        <f>'Prudential Ratios'!V19</f>
        <v>9.7586092112738592E-3</v>
      </c>
      <c r="V22" s="217">
        <f>'Prudential Ratios'!W19</f>
        <v>9.6455287494653201E-3</v>
      </c>
      <c r="W22" s="217">
        <f>'Prudential Ratios'!X19</f>
        <v>9.3098922725698731E-3</v>
      </c>
      <c r="X22" s="217">
        <f>'Prudential Ratios'!Y19</f>
        <v>8.9743258736175672E-3</v>
      </c>
      <c r="Y22" s="217">
        <f>'Prudential Ratios'!Z19</f>
        <v>9.1317630439297047E-3</v>
      </c>
      <c r="Z22" s="217">
        <f>'Prudential Ratios'!AA19</f>
        <v>8.6975333584485004E-3</v>
      </c>
      <c r="AA22" s="217">
        <f>'Prudential Ratios'!AB19</f>
        <v>9.0698476520906599E-3</v>
      </c>
      <c r="AB22" s="217">
        <f>'Prudential Ratios'!AC19</f>
        <v>8.5720707196815238E-3</v>
      </c>
      <c r="AC22" s="217">
        <f>'Prudential Ratios'!AD19</f>
        <v>8.7506855165320335E-3</v>
      </c>
      <c r="AD22" s="217">
        <f>'Prudential Ratios'!AE19</f>
        <v>8.629787820115465E-3</v>
      </c>
      <c r="AE22" s="217">
        <f>'Prudential Ratios'!AF19</f>
        <v>8.6836222303101167E-3</v>
      </c>
      <c r="AF22" s="217">
        <f>'Prudential Ratios'!AG19</f>
        <v>8.7436663554513582E-3</v>
      </c>
      <c r="AG22" s="217">
        <f>'Prudential Ratios'!AH19</f>
        <v>8.6830722287846648E-3</v>
      </c>
      <c r="AH22" s="217">
        <f>'Prudential Ratios'!AI19</f>
        <v>0.11977916882243211</v>
      </c>
      <c r="AI22" s="217">
        <f>'Prudential Ratios'!AJ19</f>
        <v>8.4840226824468463E-3</v>
      </c>
      <c r="AJ22" s="217">
        <f>'Prudential Ratios'!AK19</f>
        <v>7.8662003863892941E-3</v>
      </c>
      <c r="AK22" s="217">
        <f>'Prudential Ratios'!AL19</f>
        <v>7.7531883729077128E-3</v>
      </c>
      <c r="AL22" s="217">
        <f>'Prudential Ratios'!AM19</f>
        <v>8.0571887500171403E-3</v>
      </c>
      <c r="AM22" s="217">
        <f>'Prudential Ratios'!AN19</f>
        <v>7.9519217209400774E-3</v>
      </c>
      <c r="AN22" s="217">
        <f>'Prudential Ratios'!AO19</f>
        <v>7.952195632359679E-3</v>
      </c>
      <c r="AO22" s="217" t="e">
        <f>'Prudential Ratios'!AP19</f>
        <v>#DIV/0!</v>
      </c>
      <c r="AP22" s="217">
        <f>'Prudential Ratios'!AQ19</f>
        <v>7.9806154247542213E-3</v>
      </c>
      <c r="AQ22" s="217">
        <f>'Prudential Ratios'!AR19</f>
        <v>7.9726879541608467E-3</v>
      </c>
      <c r="AR22" s="217">
        <f>'Prudential Ratios'!AS19</f>
        <v>7.9634948949600052E-3</v>
      </c>
      <c r="AS22" s="217">
        <f>'Prudential Ratios'!AT19</f>
        <v>7.9237633108111358E-3</v>
      </c>
      <c r="AT22" s="217">
        <f>'Prudential Ratios'!AU19</f>
        <v>7.8282924204748777E-3</v>
      </c>
      <c r="AU22" s="217">
        <f>'Prudential Ratios'!AV19</f>
        <v>0</v>
      </c>
      <c r="AV22" s="217">
        <f>'Prudential Ratios'!AW19</f>
        <v>7.0609206246242992E-2</v>
      </c>
      <c r="AW22" s="217">
        <f>'Prudential Ratios'!AX19</f>
        <v>6.9822387880689563E-2</v>
      </c>
      <c r="AX22" s="217">
        <f>'Prudential Ratios'!AY19</f>
        <v>7.0048282238887483E-2</v>
      </c>
      <c r="AY22" s="217">
        <f>'Prudential Ratios'!AZ19</f>
        <v>6.7963080755506652E-2</v>
      </c>
      <c r="AZ22" s="217">
        <f>'Prudential Ratios'!BA19</f>
        <v>6.7884385366086278E-2</v>
      </c>
      <c r="BA22" s="217">
        <f>'Prudential Ratios'!BB19</f>
        <v>6.7256274106686678E-2</v>
      </c>
      <c r="BB22" s="217">
        <f>'Prudential Ratios'!BC19</f>
        <v>6.6790700397753297E-2</v>
      </c>
      <c r="BC22" s="217">
        <f>'Prudential Ratios'!BD19</f>
        <v>6.4812659410720716E-2</v>
      </c>
      <c r="BD22" s="217">
        <f>'Prudential Ratios'!BE19</f>
        <v>6.3287484252597226E-2</v>
      </c>
      <c r="BE22" s="217">
        <f>'Prudential Ratios'!BF19</f>
        <v>6.3103931378385381E-2</v>
      </c>
      <c r="BF22" s="217">
        <f>'Prudential Ratios'!BG19</f>
        <v>6.3717811859845999E-2</v>
      </c>
      <c r="BG22" s="217">
        <f>'Prudential Ratios'!BH19</f>
        <v>6.3382119880449492E-2</v>
      </c>
      <c r="BH22" s="217">
        <f>'Prudential Ratios'!BI19</f>
        <v>6.3382119946792853E-2</v>
      </c>
      <c r="BI22" s="217">
        <f>'Prudential Ratios'!BJ19</f>
        <v>6.4006505495815255E-2</v>
      </c>
      <c r="BJ22" s="217">
        <f>'Prudential Ratios'!BK19</f>
        <v>6.3303255333317029E-2</v>
      </c>
      <c r="BK22" s="217">
        <f>'Prudential Ratios'!BL19</f>
        <v>6.4664053286770842E-2</v>
      </c>
      <c r="BL22" s="217">
        <f>'Prudential Ratios'!BM19</f>
        <v>6.2666299178333176E-2</v>
      </c>
      <c r="BM22" s="217">
        <f>'Prudential Ratios'!BN19</f>
        <v>6.2717827023684225E-2</v>
      </c>
      <c r="BN22" s="217">
        <f>'Prudential Ratios'!BO19</f>
        <v>6.1274952868221697E-2</v>
      </c>
      <c r="BO22" s="217">
        <f>'Prudential Ratios'!BP19</f>
        <v>9.0829026296953247E-2</v>
      </c>
      <c r="BP22" s="217">
        <f>'Prudential Ratios'!BQ19</f>
        <v>8.9233932965368343E-2</v>
      </c>
      <c r="BQ22" s="217">
        <f>'Prudential Ratios'!BR19</f>
        <v>8.9604960070394826E-2</v>
      </c>
      <c r="BR22" s="217">
        <f>'Prudential Ratios'!BS19</f>
        <v>8.6959243567348105E-2</v>
      </c>
      <c r="BS22" s="217">
        <f>'Prudential Ratios'!BT19</f>
        <v>8.487991354039999E-2</v>
      </c>
      <c r="BT22" s="217">
        <f>'Prudential Ratios'!BU19</f>
        <v>5.4192278483417886E-2</v>
      </c>
      <c r="BU22" s="217">
        <f>'Prudential Ratios'!BV19</f>
        <v>5.418834888330621E-2</v>
      </c>
      <c r="BV22" s="217">
        <f>'Prudential Ratios'!BW19</f>
        <v>5.2770874465841923E-2</v>
      </c>
      <c r="BW22" s="217">
        <f>'Prudential Ratios'!BX19</f>
        <v>5.2829971732036948E-2</v>
      </c>
      <c r="BX22" s="217">
        <f>'Prudential Ratios'!BY19</f>
        <v>5.3519468226444038E-2</v>
      </c>
      <c r="BY22" s="217">
        <f>'Prudential Ratios'!BZ19</f>
        <v>5.2825752888616434E-2</v>
      </c>
      <c r="BZ22" s="217">
        <f>'Prudential Ratios'!CA19</f>
        <v>5.0542184139918615E-2</v>
      </c>
      <c r="CA22" s="217">
        <f>'Prudential Ratios'!CB19</f>
        <v>5.0172843046175072E-2</v>
      </c>
    </row>
    <row r="23" spans="2:79">
      <c r="B23" s="92" t="s">
        <v>113</v>
      </c>
      <c r="C23" s="98" t="s">
        <v>52</v>
      </c>
      <c r="D23" s="93">
        <f>'Prudential Ratios'!E20</f>
        <v>0.68733927967822561</v>
      </c>
      <c r="E23" s="93">
        <f>'Prudential Ratios'!F20</f>
        <v>1.2556551622337209</v>
      </c>
      <c r="F23" s="93">
        <f>'Prudential Ratios'!G20</f>
        <v>0.46669716661051408</v>
      </c>
      <c r="G23" s="93">
        <f>'Prudential Ratios'!H20</f>
        <v>0.52824066502259104</v>
      </c>
      <c r="H23" s="93">
        <f>'Prudential Ratios'!I20</f>
        <v>0.50746862287477268</v>
      </c>
      <c r="I23" s="93">
        <f>'Prudential Ratios'!J20</f>
        <v>0.46633883727153258</v>
      </c>
      <c r="J23" s="93">
        <f>'Prudential Ratios'!K20</f>
        <v>0.44488270961487253</v>
      </c>
      <c r="K23" s="93">
        <f>'Prudential Ratios'!L20</f>
        <v>0.42704561693254817</v>
      </c>
      <c r="L23" s="93">
        <f>'Prudential Ratios'!M20</f>
        <v>0.40746650594249278</v>
      </c>
      <c r="M23" s="93">
        <f>'Prudential Ratios'!N20</f>
        <v>0.39592126411750828</v>
      </c>
      <c r="N23" s="93">
        <f>'Prudential Ratios'!O20</f>
        <v>0.38562429289327138</v>
      </c>
      <c r="O23" s="93">
        <f>'Prudential Ratios'!P20</f>
        <v>0.37310101759762554</v>
      </c>
      <c r="P23" s="93">
        <f>'Prudential Ratios'!Q20</f>
        <v>0.3616376439742891</v>
      </c>
      <c r="Q23" s="93">
        <f>'Prudential Ratios'!R20</f>
        <v>0.34795038700499548</v>
      </c>
      <c r="R23" s="93">
        <f>'Prudential Ratios'!S20</f>
        <v>0.63090052260941354</v>
      </c>
      <c r="S23" s="93">
        <f>'Prudential Ratios'!T20</f>
        <v>0.49710897802688769</v>
      </c>
      <c r="T23" s="218">
        <f>'Prudential Ratios'!U20</f>
        <v>0.24958829768746416</v>
      </c>
      <c r="U23" s="218">
        <f>'Prudential Ratios'!V20</f>
        <v>4.7656592358249573E-2</v>
      </c>
      <c r="V23" s="218">
        <f>'Prudential Ratios'!W20</f>
        <v>2.7142986138842883E-2</v>
      </c>
      <c r="W23" s="218">
        <f>'Prudential Ratios'!X20</f>
        <v>2.5877532283902688E-2</v>
      </c>
      <c r="X23" s="218">
        <f>'Prudential Ratios'!Y20</f>
        <v>2.5319850394751844E-2</v>
      </c>
      <c r="Y23" s="218">
        <f>'Prudential Ratios'!Z20</f>
        <v>3.8023202523180283E-2</v>
      </c>
      <c r="Z23" s="218">
        <f>'Prudential Ratios'!AA20</f>
        <v>3.7151868017164968E-2</v>
      </c>
      <c r="AA23" s="218">
        <f>'Prudential Ratios'!AB20</f>
        <v>3.4347749726394386E-2</v>
      </c>
      <c r="AB23" s="218">
        <f>'Prudential Ratios'!AC20</f>
        <v>3.2457344577729398E-2</v>
      </c>
      <c r="AC23" s="218">
        <f>'Prudential Ratios'!AD20</f>
        <v>3.0557407962886092E-2</v>
      </c>
      <c r="AD23" s="218">
        <f>'Prudential Ratios'!AE20</f>
        <v>3.0296578070413825E-2</v>
      </c>
      <c r="AE23" s="218">
        <f>'Prudential Ratios'!AF20</f>
        <v>2.8633876575657385E-2</v>
      </c>
      <c r="AF23" s="218">
        <f>'Prudential Ratios'!AG20</f>
        <v>2.7429592454058349E-2</v>
      </c>
      <c r="AG23" s="218">
        <f>'Prudential Ratios'!AH20</f>
        <v>2.5841812479041642E-2</v>
      </c>
      <c r="AH23" s="218">
        <f>'Prudential Ratios'!AI20</f>
        <v>0.56812868800297978</v>
      </c>
      <c r="AI23" s="218">
        <f>'Prudential Ratios'!AJ20</f>
        <v>2.4530901884408051E-2</v>
      </c>
      <c r="AJ23" s="218">
        <f>'Prudential Ratios'!AK20</f>
        <v>3.7172042629745876E-2</v>
      </c>
      <c r="AK23" s="218">
        <f>'Prudential Ratios'!AL20</f>
        <v>3.5611203153639415E-2</v>
      </c>
      <c r="AL23" s="218">
        <f>'Prudential Ratios'!AM20</f>
        <v>3.2845250335130319E-2</v>
      </c>
      <c r="AM23" s="218">
        <f>'Prudential Ratios'!AN20</f>
        <v>3.143166930137839E-2</v>
      </c>
      <c r="AN23" s="218">
        <f>'Prudential Ratios'!AO20</f>
        <v>2.9982025568537306E-2</v>
      </c>
      <c r="AO23" s="218" t="e">
        <f>'Prudential Ratios'!AP20</f>
        <v>#DIV/0!</v>
      </c>
      <c r="AP23" s="218">
        <f>'Prudential Ratios'!AQ20</f>
        <v>2.7512306101297616E-2</v>
      </c>
      <c r="AQ23" s="218">
        <f>'Prudential Ratios'!AR20</f>
        <v>2.6726790956473762E-2</v>
      </c>
      <c r="AR23" s="218">
        <f>'Prudential Ratios'!AS20</f>
        <v>2.5538041644370672E-2</v>
      </c>
      <c r="AS23" s="218">
        <f>'Prudential Ratios'!AT20</f>
        <v>2.4606600551501236E-2</v>
      </c>
      <c r="AT23" s="218">
        <f>'Prudential Ratios'!AU20</f>
        <v>2.350686330396079E-2</v>
      </c>
      <c r="AU23" s="218">
        <f>'Prudential Ratios'!AV20</f>
        <v>0</v>
      </c>
      <c r="AV23" s="218">
        <f>'Prudential Ratios'!AW20</f>
        <v>0.15305923410327046</v>
      </c>
      <c r="AW23" s="218">
        <f>'Prudential Ratios'!AX20</f>
        <v>0.15343570869138093</v>
      </c>
      <c r="AX23" s="218">
        <f>'Prudential Ratios'!AY20</f>
        <v>0.1471141212950427</v>
      </c>
      <c r="AY23" s="218">
        <f>'Prudential Ratios'!AZ20</f>
        <v>0.13004422450134134</v>
      </c>
      <c r="AZ23" s="218">
        <f>'Prudential Ratios'!BA20</f>
        <v>0.12459680238517522</v>
      </c>
      <c r="BA23" s="218">
        <f>'Prudential Ratios'!BB20</f>
        <v>0.1227593573740164</v>
      </c>
      <c r="BB23" s="218">
        <f>'Prudential Ratios'!BC20</f>
        <v>0.12156860030260079</v>
      </c>
      <c r="BC23" s="218">
        <f>'Prudential Ratios'!BD20</f>
        <v>0.11913077937450833</v>
      </c>
      <c r="BD23" s="218">
        <f>'Prudential Ratios'!BE20</f>
        <v>0.1153408561493814</v>
      </c>
      <c r="BE23" s="218">
        <f>'Prudential Ratios'!BF20</f>
        <v>0.11180583446396432</v>
      </c>
      <c r="BF23" s="218">
        <f>'Prudential Ratios'!BG20</f>
        <v>0.10832365502835303</v>
      </c>
      <c r="BG23" s="218">
        <f>'Prudential Ratios'!BH20</f>
        <v>0.13144599164075291</v>
      </c>
      <c r="BH23" s="218">
        <f>'Prudential Ratios'!BI20</f>
        <v>0.12617825764539395</v>
      </c>
      <c r="BI23" s="218">
        <f>'Prudential Ratios'!BJ20</f>
        <v>0.12719706682172716</v>
      </c>
      <c r="BJ23" s="218">
        <f>'Prudential Ratios'!BK20</f>
        <v>0.12869692023362655</v>
      </c>
      <c r="BK23" s="218">
        <f>'Prudential Ratios'!BL20</f>
        <v>0.11572147313307053</v>
      </c>
      <c r="BL23" s="218">
        <f>'Prudential Ratios'!BM20</f>
        <v>0.11449846292431391</v>
      </c>
      <c r="BM23" s="218">
        <f>'Prudential Ratios'!BN20</f>
        <v>0.11549069089965287</v>
      </c>
      <c r="BN23" s="218">
        <f>'Prudential Ratios'!BO20</f>
        <v>0.10279739464432651</v>
      </c>
      <c r="BO23" s="218">
        <f>'Prudential Ratios'!BP20</f>
        <v>0.15089658948902065</v>
      </c>
      <c r="BP23" s="218">
        <f>'Prudential Ratios'!BQ20</f>
        <v>0.1468576711656262</v>
      </c>
      <c r="BQ23" s="218">
        <f>'Prudential Ratios'!BR20</f>
        <v>0.14268188226631243</v>
      </c>
      <c r="BR23" s="218">
        <f>'Prudential Ratios'!BS20</f>
        <v>0.14093871026890242</v>
      </c>
      <c r="BS23" s="218">
        <f>'Prudential Ratios'!BT20</f>
        <v>0.13585155682039954</v>
      </c>
      <c r="BT23" s="218">
        <f>'Prudential Ratios'!BU20</f>
        <v>8.551959176485599E-2</v>
      </c>
      <c r="BU23" s="218">
        <f>'Prudential Ratios'!BV20</f>
        <v>9.5068626348239871E-2</v>
      </c>
      <c r="BV23" s="218">
        <f>'Prudential Ratios'!BW20</f>
        <v>0.11852246858821781</v>
      </c>
      <c r="BW23" s="218">
        <f>'Prudential Ratios'!BX20</f>
        <v>0.1161681975878484</v>
      </c>
      <c r="BX23" s="218">
        <f>'Prudential Ratios'!BY20</f>
        <v>0.11269771450874241</v>
      </c>
      <c r="BY23" s="218">
        <f>'Prudential Ratios'!BZ20</f>
        <v>0.10738981169105702</v>
      </c>
      <c r="BZ23" s="218">
        <f>'Prudential Ratios'!CA20</f>
        <v>9.7234498246295598E-2</v>
      </c>
      <c r="CA23" s="218">
        <f>'Prudential Ratios'!CB20</f>
        <v>8.5822355686444307E-2</v>
      </c>
    </row>
    <row r="26" spans="2:79" ht="26.25">
      <c r="B26" s="450"/>
      <c r="C26" s="450"/>
      <c r="D26" s="221"/>
      <c r="E26" s="221"/>
      <c r="F26" s="221"/>
      <c r="G26" s="221"/>
      <c r="BH26">
        <f>37194132-32071373</f>
        <v>5122759</v>
      </c>
    </row>
    <row r="27" spans="2:79">
      <c r="B27" s="192"/>
      <c r="C27" s="193"/>
      <c r="D27" s="193"/>
      <c r="E27" s="193"/>
      <c r="F27" s="193"/>
      <c r="G27" s="193"/>
      <c r="H27" s="194"/>
      <c r="I27" s="194"/>
      <c r="J27" s="194"/>
      <c r="K27" s="194"/>
      <c r="L27" s="194"/>
      <c r="M27" s="194"/>
      <c r="N27" s="194"/>
      <c r="O27" s="194"/>
      <c r="P27" s="194"/>
      <c r="Q27" s="194"/>
      <c r="R27" s="194"/>
    </row>
    <row r="28" spans="2:79"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</row>
    <row r="29" spans="2:79">
      <c r="C29" s="195"/>
      <c r="D29" s="195"/>
      <c r="E29" s="195"/>
      <c r="F29" s="195"/>
      <c r="G29" s="195"/>
      <c r="H29" s="196"/>
      <c r="I29" s="196"/>
      <c r="J29" s="196"/>
      <c r="K29" s="196"/>
      <c r="L29" s="196"/>
      <c r="M29" s="196"/>
      <c r="N29" s="196"/>
      <c r="O29" s="196"/>
      <c r="P29" s="196"/>
      <c r="Q29" s="196"/>
      <c r="R29" s="196"/>
      <c r="S29" s="196"/>
      <c r="T29" s="196"/>
      <c r="U29" s="196"/>
      <c r="V29" s="196"/>
      <c r="W29" s="196"/>
      <c r="X29" s="196"/>
      <c r="Y29" s="196"/>
      <c r="Z29" s="196"/>
      <c r="AA29" s="196"/>
      <c r="AB29" s="196"/>
      <c r="AC29" s="196"/>
      <c r="AD29" s="196"/>
      <c r="AE29" s="196"/>
      <c r="AF29" s="196"/>
      <c r="AG29" s="196"/>
      <c r="AH29" s="196"/>
      <c r="AI29" s="196"/>
      <c r="AJ29" s="196"/>
      <c r="AK29" s="196"/>
    </row>
    <row r="30" spans="2:79">
      <c r="C30" s="195"/>
      <c r="D30" s="195"/>
      <c r="E30" s="195"/>
      <c r="F30" s="195"/>
      <c r="G30" s="195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  <c r="AH30" s="197"/>
      <c r="AI30" s="197"/>
      <c r="AJ30" s="197"/>
      <c r="AK30" s="197"/>
    </row>
    <row r="31" spans="2:79">
      <c r="C31" s="195"/>
      <c r="D31" s="195"/>
      <c r="E31" s="195"/>
      <c r="F31" s="195"/>
      <c r="G31" s="195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7"/>
      <c r="AB31" s="197"/>
      <c r="AC31" s="197"/>
      <c r="AD31" s="197"/>
      <c r="AE31" s="197"/>
      <c r="AF31" s="197"/>
      <c r="AG31" s="197"/>
      <c r="AH31" s="197"/>
      <c r="AI31" s="197"/>
      <c r="AJ31" s="197"/>
      <c r="AK31" s="197"/>
    </row>
    <row r="32" spans="2:79">
      <c r="C32" s="195"/>
      <c r="D32" s="195"/>
      <c r="E32" s="195"/>
      <c r="F32" s="195"/>
      <c r="G32" s="195"/>
      <c r="H32" s="197"/>
      <c r="I32" s="197"/>
      <c r="J32" s="197"/>
      <c r="K32" s="197"/>
      <c r="L32" s="197"/>
      <c r="M32" s="197"/>
      <c r="N32" s="197"/>
      <c r="O32" s="197"/>
      <c r="P32" s="197"/>
      <c r="Q32" s="197"/>
      <c r="R32" s="197"/>
      <c r="S32" s="197"/>
      <c r="T32" s="197"/>
      <c r="U32" s="197"/>
      <c r="V32" s="197"/>
      <c r="W32" s="197"/>
      <c r="X32" s="197"/>
      <c r="Y32" s="197"/>
      <c r="Z32" s="197"/>
      <c r="AA32" s="197"/>
      <c r="AB32" s="197"/>
      <c r="AC32" s="197"/>
      <c r="AD32" s="197"/>
      <c r="AE32" s="197"/>
      <c r="AF32" s="197"/>
      <c r="AG32" s="197"/>
      <c r="AH32" s="197"/>
      <c r="AI32" s="197"/>
      <c r="AJ32" s="197"/>
      <c r="AK32" s="197"/>
    </row>
    <row r="33" spans="2:37">
      <c r="C33" s="195"/>
      <c r="D33" s="195"/>
      <c r="E33" s="195"/>
      <c r="F33" s="195"/>
      <c r="G33" s="195"/>
      <c r="H33" s="198"/>
      <c r="I33" s="198"/>
      <c r="J33" s="198"/>
      <c r="K33" s="198"/>
      <c r="L33" s="198"/>
      <c r="M33" s="198"/>
      <c r="N33" s="198"/>
      <c r="O33" s="198"/>
      <c r="P33" s="198"/>
      <c r="Q33" s="198"/>
      <c r="R33" s="198"/>
      <c r="S33" s="198"/>
      <c r="T33" s="198"/>
      <c r="U33" s="198"/>
      <c r="V33" s="198"/>
      <c r="W33" s="198"/>
      <c r="X33" s="198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</row>
    <row r="34" spans="2:37">
      <c r="B34" s="102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02"/>
      <c r="AH34" s="102"/>
      <c r="AI34" s="102"/>
      <c r="AJ34" s="102"/>
      <c r="AK34" s="102"/>
    </row>
    <row r="35" spans="2:37">
      <c r="C35" s="195"/>
      <c r="D35" s="195"/>
      <c r="E35" s="195"/>
      <c r="F35" s="195"/>
      <c r="G35" s="195"/>
      <c r="H35" s="199"/>
      <c r="I35" s="199"/>
      <c r="J35" s="199"/>
      <c r="K35" s="199"/>
      <c r="L35" s="199"/>
      <c r="M35" s="199"/>
      <c r="N35" s="199"/>
      <c r="O35" s="199"/>
      <c r="P35" s="199"/>
      <c r="Q35" s="199"/>
      <c r="R35" s="199"/>
      <c r="S35" s="199"/>
      <c r="T35" s="199"/>
      <c r="U35" s="199"/>
      <c r="V35" s="199"/>
      <c r="W35" s="199"/>
      <c r="X35" s="199"/>
      <c r="Y35" s="199"/>
      <c r="Z35" s="199"/>
      <c r="AA35" s="199"/>
      <c r="AB35" s="199"/>
      <c r="AC35" s="199"/>
      <c r="AD35" s="199"/>
      <c r="AE35" s="199"/>
      <c r="AF35" s="199"/>
      <c r="AG35" s="199"/>
      <c r="AH35" s="199"/>
      <c r="AI35" s="199"/>
      <c r="AJ35" s="199"/>
      <c r="AK35" s="199"/>
    </row>
    <row r="36" spans="2:37">
      <c r="C36" s="195"/>
      <c r="D36" s="195"/>
      <c r="E36" s="195"/>
      <c r="F36" s="195"/>
      <c r="G36" s="195"/>
      <c r="H36" s="199"/>
      <c r="I36" s="199"/>
      <c r="J36" s="199"/>
      <c r="K36" s="199"/>
      <c r="L36" s="199"/>
      <c r="M36" s="199"/>
      <c r="N36" s="199"/>
      <c r="O36" s="199"/>
      <c r="P36" s="199"/>
      <c r="Q36" s="199"/>
      <c r="R36" s="199"/>
      <c r="S36" s="199"/>
      <c r="T36" s="199"/>
      <c r="U36" s="199"/>
      <c r="V36" s="199"/>
      <c r="W36" s="199"/>
      <c r="X36" s="199"/>
      <c r="Y36" s="199"/>
      <c r="Z36" s="199"/>
      <c r="AA36" s="199"/>
      <c r="AB36" s="199"/>
      <c r="AC36" s="199"/>
      <c r="AD36" s="199"/>
      <c r="AE36" s="199"/>
      <c r="AF36" s="199"/>
      <c r="AG36" s="199"/>
      <c r="AH36" s="199"/>
      <c r="AI36" s="199"/>
      <c r="AJ36" s="199"/>
      <c r="AK36" s="199"/>
    </row>
    <row r="37" spans="2:37">
      <c r="B37" s="102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  <c r="AB37" s="102"/>
      <c r="AC37" s="102"/>
      <c r="AD37" s="102"/>
      <c r="AE37" s="102"/>
      <c r="AF37" s="102"/>
      <c r="AG37" s="102"/>
      <c r="AH37" s="102"/>
      <c r="AI37" s="102"/>
      <c r="AJ37" s="102"/>
      <c r="AK37" s="102"/>
    </row>
    <row r="38" spans="2:37">
      <c r="H38" s="197"/>
      <c r="I38" s="197"/>
      <c r="J38" s="197"/>
      <c r="K38" s="197"/>
      <c r="L38" s="197"/>
      <c r="M38" s="197"/>
      <c r="N38" s="197"/>
      <c r="O38" s="197"/>
      <c r="P38" s="197"/>
      <c r="Q38" s="197"/>
      <c r="R38" s="197"/>
      <c r="S38" s="197"/>
      <c r="T38" s="197"/>
      <c r="U38" s="197"/>
      <c r="V38" s="197"/>
      <c r="W38" s="197"/>
      <c r="X38" s="197"/>
      <c r="Y38" s="197"/>
      <c r="Z38" s="197"/>
      <c r="AA38" s="197"/>
      <c r="AB38" s="197"/>
      <c r="AC38" s="197"/>
      <c r="AD38" s="197"/>
      <c r="AE38" s="197"/>
      <c r="AF38" s="197"/>
      <c r="AG38" s="197"/>
      <c r="AH38" s="197"/>
      <c r="AI38" s="197"/>
      <c r="AJ38" s="197"/>
      <c r="AK38" s="197"/>
    </row>
    <row r="39" spans="2:37">
      <c r="H39" s="200"/>
      <c r="I39" s="200"/>
      <c r="J39" s="200"/>
      <c r="K39" s="200"/>
      <c r="L39" s="200"/>
      <c r="M39" s="200"/>
      <c r="N39" s="200"/>
      <c r="O39" s="200"/>
      <c r="P39" s="200"/>
      <c r="Q39" s="200"/>
      <c r="R39" s="200"/>
      <c r="S39" s="200"/>
      <c r="T39" s="200"/>
      <c r="U39" s="200"/>
      <c r="V39" s="200"/>
      <c r="W39" s="200"/>
      <c r="X39" s="200"/>
      <c r="Y39" s="200"/>
      <c r="Z39" s="200"/>
      <c r="AA39" s="200"/>
      <c r="AB39" s="200"/>
      <c r="AC39" s="200"/>
      <c r="AD39" s="200"/>
      <c r="AE39" s="200"/>
      <c r="AF39" s="200"/>
      <c r="AG39" s="200"/>
      <c r="AH39" s="200"/>
      <c r="AI39" s="200"/>
      <c r="AJ39" s="200"/>
      <c r="AK39" s="200"/>
    </row>
    <row r="40" spans="2:37">
      <c r="H40" s="197"/>
      <c r="I40" s="197"/>
      <c r="J40" s="197"/>
      <c r="K40" s="197"/>
      <c r="L40" s="197"/>
      <c r="M40" s="197"/>
      <c r="N40" s="197"/>
      <c r="O40" s="197"/>
      <c r="P40" s="197"/>
      <c r="Q40" s="197"/>
      <c r="R40" s="197"/>
      <c r="S40" s="197"/>
      <c r="T40" s="197"/>
      <c r="U40" s="197"/>
      <c r="V40" s="197"/>
      <c r="W40" s="197"/>
      <c r="X40" s="197"/>
      <c r="Y40" s="197"/>
      <c r="Z40" s="197"/>
      <c r="AA40" s="197"/>
      <c r="AB40" s="197"/>
      <c r="AC40" s="197"/>
      <c r="AD40" s="197"/>
      <c r="AE40" s="197"/>
      <c r="AF40" s="197"/>
      <c r="AG40" s="197"/>
      <c r="AH40" s="197"/>
      <c r="AI40" s="197"/>
      <c r="AJ40" s="197"/>
      <c r="AK40" s="197"/>
    </row>
    <row r="41" spans="2:37">
      <c r="H41" s="201"/>
      <c r="I41" s="201"/>
      <c r="J41" s="201"/>
      <c r="K41" s="201"/>
      <c r="L41" s="201"/>
      <c r="M41" s="201"/>
      <c r="N41" s="201"/>
      <c r="O41" s="201"/>
      <c r="P41" s="201"/>
      <c r="Q41" s="201"/>
      <c r="R41" s="201"/>
      <c r="S41" s="201"/>
      <c r="T41" s="201"/>
      <c r="U41" s="201"/>
      <c r="V41" s="201"/>
      <c r="W41" s="201"/>
      <c r="X41" s="201"/>
      <c r="Y41" s="201"/>
      <c r="Z41" s="201"/>
      <c r="AA41" s="201"/>
      <c r="AB41" s="201"/>
      <c r="AC41" s="201"/>
      <c r="AD41" s="201"/>
      <c r="AE41" s="201"/>
      <c r="AF41" s="201"/>
      <c r="AG41" s="201"/>
      <c r="AH41" s="201"/>
      <c r="AI41" s="201"/>
      <c r="AJ41" s="201"/>
      <c r="AK41" s="201"/>
    </row>
    <row r="42" spans="2:37"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  <c r="AC42" s="102"/>
      <c r="AD42" s="102"/>
      <c r="AE42" s="102"/>
      <c r="AF42" s="102"/>
      <c r="AG42" s="102"/>
      <c r="AH42" s="102"/>
      <c r="AI42" s="102"/>
      <c r="AJ42" s="102"/>
      <c r="AK42" s="102"/>
    </row>
    <row r="43" spans="2:37">
      <c r="C43" s="202"/>
      <c r="D43" s="202"/>
      <c r="E43" s="202"/>
      <c r="F43" s="202"/>
      <c r="G43" s="202"/>
      <c r="H43" s="197"/>
      <c r="I43" s="197"/>
      <c r="J43" s="197"/>
      <c r="K43" s="197"/>
      <c r="L43" s="197"/>
      <c r="M43" s="197"/>
      <c r="N43" s="197"/>
      <c r="O43" s="197"/>
      <c r="P43" s="197"/>
      <c r="Q43" s="197"/>
      <c r="R43" s="197"/>
      <c r="S43" s="197"/>
      <c r="T43" s="197"/>
      <c r="U43" s="197"/>
      <c r="V43" s="197"/>
      <c r="W43" s="197"/>
      <c r="X43" s="197"/>
      <c r="Y43" s="197"/>
      <c r="Z43" s="197"/>
      <c r="AA43" s="197"/>
      <c r="AB43" s="197"/>
      <c r="AC43" s="197"/>
      <c r="AD43" s="197"/>
      <c r="AE43" s="197"/>
      <c r="AF43" s="197"/>
      <c r="AG43" s="197"/>
      <c r="AH43" s="197"/>
      <c r="AI43" s="197"/>
      <c r="AJ43" s="197"/>
      <c r="AK43" s="197"/>
    </row>
    <row r="44" spans="2:37">
      <c r="C44" s="202"/>
      <c r="D44" s="202"/>
      <c r="E44" s="202"/>
      <c r="F44" s="202"/>
      <c r="G44" s="202"/>
      <c r="H44" s="197"/>
      <c r="I44" s="197"/>
      <c r="J44" s="197"/>
      <c r="K44" s="197"/>
      <c r="L44" s="197"/>
      <c r="M44" s="197"/>
      <c r="N44" s="197"/>
      <c r="O44" s="197"/>
      <c r="P44" s="197"/>
      <c r="Q44" s="197"/>
      <c r="R44" s="197"/>
      <c r="S44" s="197"/>
      <c r="T44" s="197"/>
      <c r="U44" s="197"/>
      <c r="V44" s="197"/>
      <c r="W44" s="197"/>
      <c r="X44" s="197"/>
      <c r="Y44" s="197"/>
      <c r="Z44" s="197"/>
      <c r="AA44" s="197"/>
      <c r="AB44" s="197"/>
      <c r="AC44" s="197"/>
      <c r="AD44" s="197"/>
      <c r="AE44" s="197"/>
      <c r="AF44" s="197"/>
      <c r="AG44" s="197"/>
      <c r="AH44" s="197"/>
      <c r="AI44" s="197"/>
      <c r="AJ44" s="197"/>
      <c r="AK44" s="197"/>
    </row>
    <row r="45" spans="2:37">
      <c r="C45" s="195"/>
      <c r="D45" s="195"/>
      <c r="E45" s="195"/>
      <c r="F45" s="195"/>
      <c r="G45" s="195"/>
      <c r="H45" s="197"/>
      <c r="I45" s="197"/>
      <c r="J45" s="197"/>
      <c r="K45" s="197"/>
      <c r="L45" s="197"/>
      <c r="M45" s="197"/>
      <c r="N45" s="197"/>
      <c r="O45" s="197"/>
      <c r="P45" s="197"/>
      <c r="Q45" s="197"/>
      <c r="R45" s="197"/>
      <c r="S45" s="197"/>
      <c r="T45" s="197"/>
      <c r="U45" s="197"/>
      <c r="V45" s="197"/>
      <c r="W45" s="197"/>
      <c r="X45" s="197"/>
      <c r="Y45" s="197"/>
      <c r="Z45" s="197"/>
      <c r="AA45" s="197"/>
      <c r="AB45" s="197"/>
      <c r="AC45" s="197"/>
      <c r="AD45" s="197"/>
      <c r="AE45" s="197"/>
      <c r="AF45" s="197"/>
      <c r="AG45" s="197"/>
      <c r="AH45" s="197"/>
      <c r="AI45" s="197"/>
      <c r="AJ45" s="197"/>
      <c r="AK45" s="197"/>
    </row>
    <row r="46" spans="2:37">
      <c r="H46" s="197"/>
      <c r="I46" s="197"/>
      <c r="J46" s="197"/>
      <c r="K46" s="197"/>
      <c r="L46" s="197"/>
      <c r="M46" s="197"/>
      <c r="N46" s="197"/>
      <c r="O46" s="197"/>
      <c r="P46" s="197"/>
      <c r="Q46" s="197"/>
      <c r="R46" s="197"/>
      <c r="S46" s="197"/>
      <c r="T46" s="197"/>
      <c r="U46" s="197"/>
      <c r="V46" s="197"/>
      <c r="W46" s="197"/>
      <c r="X46" s="197"/>
      <c r="Y46" s="197"/>
      <c r="Z46" s="197"/>
      <c r="AA46" s="197"/>
      <c r="AB46" s="197"/>
      <c r="AC46" s="197"/>
      <c r="AD46" s="197"/>
      <c r="AE46" s="197"/>
      <c r="AF46" s="197"/>
      <c r="AG46" s="197"/>
      <c r="AH46" s="197"/>
      <c r="AI46" s="197"/>
      <c r="AJ46" s="197"/>
      <c r="AK46" s="197"/>
    </row>
    <row r="47" spans="2:37">
      <c r="H47" s="203"/>
      <c r="I47" s="203"/>
      <c r="J47" s="203"/>
      <c r="K47" s="203"/>
      <c r="L47" s="203"/>
      <c r="M47" s="203"/>
      <c r="N47" s="203"/>
      <c r="O47" s="203"/>
      <c r="P47" s="203"/>
      <c r="Q47" s="203"/>
      <c r="R47" s="203"/>
      <c r="S47" s="203"/>
      <c r="T47" s="203"/>
      <c r="U47" s="203"/>
      <c r="V47" s="203"/>
      <c r="W47" s="203"/>
      <c r="X47" s="203"/>
      <c r="Y47" s="203"/>
      <c r="Z47" s="203"/>
      <c r="AA47" s="203"/>
      <c r="AB47" s="203"/>
      <c r="AC47" s="203"/>
      <c r="AD47" s="203"/>
      <c r="AE47" s="203"/>
      <c r="AF47" s="203"/>
      <c r="AG47" s="203"/>
      <c r="AH47" s="203"/>
      <c r="AI47" s="203"/>
      <c r="AJ47" s="203"/>
      <c r="AK47" s="203"/>
    </row>
    <row r="48" spans="2:37"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  <c r="AC48" s="102"/>
      <c r="AD48" s="102"/>
      <c r="AE48" s="102"/>
      <c r="AF48" s="102"/>
      <c r="AG48" s="102"/>
      <c r="AH48" s="102"/>
      <c r="AI48" s="102"/>
      <c r="AJ48" s="102"/>
      <c r="AK48" s="102"/>
    </row>
    <row r="49" spans="3:37">
      <c r="C49" s="195"/>
      <c r="D49" s="195"/>
      <c r="E49" s="195"/>
      <c r="F49" s="195"/>
      <c r="G49" s="195"/>
      <c r="H49" s="197"/>
      <c r="I49" s="197"/>
      <c r="J49" s="197"/>
      <c r="K49" s="197"/>
      <c r="L49" s="197"/>
      <c r="M49" s="197"/>
      <c r="N49" s="197"/>
      <c r="O49" s="197"/>
      <c r="P49" s="197"/>
      <c r="Q49" s="197"/>
      <c r="R49" s="197"/>
      <c r="S49" s="197"/>
      <c r="T49" s="197"/>
      <c r="U49" s="197"/>
      <c r="V49" s="197"/>
      <c r="W49" s="197"/>
      <c r="X49" s="197"/>
      <c r="Y49" s="197"/>
      <c r="Z49" s="197"/>
      <c r="AA49" s="197"/>
      <c r="AB49" s="197"/>
      <c r="AC49" s="197"/>
      <c r="AD49" s="197"/>
      <c r="AE49" s="197"/>
      <c r="AF49" s="197"/>
      <c r="AG49" s="197"/>
      <c r="AH49" s="197"/>
      <c r="AI49" s="197"/>
      <c r="AJ49" s="197"/>
      <c r="AK49" s="197"/>
    </row>
    <row r="50" spans="3:37">
      <c r="C50" s="195"/>
      <c r="D50" s="195"/>
      <c r="E50" s="195"/>
      <c r="F50" s="195"/>
      <c r="G50" s="195"/>
      <c r="H50" s="197"/>
      <c r="I50" s="197"/>
      <c r="J50" s="197"/>
      <c r="K50" s="197"/>
      <c r="L50" s="197"/>
      <c r="M50" s="197"/>
      <c r="N50" s="197"/>
      <c r="O50" s="197"/>
      <c r="P50" s="197"/>
      <c r="Q50" s="197"/>
      <c r="R50" s="197"/>
      <c r="S50" s="197"/>
      <c r="T50" s="197"/>
      <c r="U50" s="197"/>
      <c r="V50" s="197"/>
      <c r="W50" s="197"/>
      <c r="X50" s="197"/>
      <c r="Y50" s="197"/>
      <c r="Z50" s="197"/>
      <c r="AA50" s="197"/>
      <c r="AB50" s="197"/>
      <c r="AC50" s="197"/>
      <c r="AD50" s="197"/>
      <c r="AE50" s="197"/>
      <c r="AF50" s="197"/>
      <c r="AG50" s="197"/>
      <c r="AH50" s="197"/>
      <c r="AI50" s="197"/>
      <c r="AJ50" s="197"/>
      <c r="AK50" s="197"/>
    </row>
    <row r="51" spans="3:37">
      <c r="C51" s="195"/>
      <c r="D51" s="195"/>
      <c r="E51" s="195"/>
      <c r="F51" s="195"/>
      <c r="G51" s="195"/>
      <c r="H51" s="197"/>
      <c r="I51" s="197"/>
      <c r="J51" s="197"/>
      <c r="K51" s="197"/>
      <c r="L51" s="197"/>
      <c r="M51" s="197"/>
      <c r="N51" s="197"/>
      <c r="O51" s="197"/>
      <c r="P51" s="197"/>
      <c r="Q51" s="197"/>
      <c r="R51" s="197"/>
      <c r="S51" s="197"/>
      <c r="T51" s="197"/>
      <c r="U51" s="197"/>
      <c r="V51" s="197"/>
      <c r="W51" s="197"/>
      <c r="X51" s="197"/>
      <c r="Y51" s="197"/>
      <c r="Z51" s="197"/>
      <c r="AA51" s="197"/>
      <c r="AB51" s="197"/>
      <c r="AC51" s="197"/>
      <c r="AD51" s="197"/>
      <c r="AE51" s="197"/>
      <c r="AF51" s="197"/>
      <c r="AG51" s="197"/>
      <c r="AH51" s="197"/>
      <c r="AI51" s="197"/>
      <c r="AJ51" s="197"/>
      <c r="AK51" s="197"/>
    </row>
    <row r="52" spans="3:37">
      <c r="C52" s="195"/>
      <c r="D52" s="195"/>
      <c r="E52" s="195"/>
      <c r="F52" s="195"/>
      <c r="G52" s="195"/>
      <c r="H52" s="197"/>
      <c r="I52" s="197"/>
      <c r="J52" s="197"/>
      <c r="K52" s="197"/>
      <c r="L52" s="197"/>
      <c r="M52" s="197"/>
      <c r="N52" s="197"/>
      <c r="O52" s="197"/>
      <c r="P52" s="197"/>
      <c r="Q52" s="197"/>
      <c r="R52" s="197"/>
      <c r="S52" s="197"/>
      <c r="T52" s="197"/>
      <c r="U52" s="197"/>
      <c r="V52" s="197"/>
      <c r="W52" s="197"/>
      <c r="X52" s="197"/>
      <c r="Y52" s="197"/>
      <c r="Z52" s="197"/>
      <c r="AA52" s="197"/>
      <c r="AB52" s="197"/>
      <c r="AC52" s="197"/>
      <c r="AD52" s="197"/>
      <c r="AE52" s="197"/>
      <c r="AF52" s="197"/>
      <c r="AG52" s="197"/>
      <c r="AH52" s="197"/>
      <c r="AI52" s="197"/>
      <c r="AJ52" s="197"/>
      <c r="AK52" s="197"/>
    </row>
    <row r="53" spans="3:37">
      <c r="H53" s="204"/>
      <c r="I53" s="204"/>
      <c r="J53" s="204"/>
      <c r="K53" s="204"/>
      <c r="L53" s="204"/>
      <c r="M53" s="204"/>
      <c r="N53" s="204"/>
      <c r="O53" s="204"/>
      <c r="P53" s="204"/>
      <c r="Q53" s="204"/>
      <c r="R53" s="204"/>
      <c r="S53" s="204"/>
      <c r="T53" s="204"/>
      <c r="U53" s="204"/>
      <c r="V53" s="204"/>
      <c r="W53" s="204"/>
      <c r="X53" s="204"/>
      <c r="Y53" s="204"/>
      <c r="Z53" s="204"/>
      <c r="AA53" s="204"/>
      <c r="AB53" s="204"/>
      <c r="AC53" s="204"/>
      <c r="AD53" s="204"/>
      <c r="AE53" s="204"/>
      <c r="AF53" s="204"/>
      <c r="AG53" s="204"/>
      <c r="AH53" s="204"/>
      <c r="AI53" s="204"/>
      <c r="AJ53" s="204"/>
      <c r="AK53" s="204"/>
    </row>
    <row r="54" spans="3:37" s="102" customFormat="1">
      <c r="H54" s="205"/>
      <c r="I54" s="205"/>
      <c r="J54" s="205"/>
      <c r="K54" s="205"/>
      <c r="L54" s="205"/>
      <c r="M54" s="205"/>
      <c r="N54" s="205"/>
      <c r="O54" s="205"/>
      <c r="Q54" s="205"/>
      <c r="R54" s="205"/>
      <c r="S54" s="205"/>
      <c r="T54" s="205"/>
      <c r="U54" s="205"/>
      <c r="V54" s="205"/>
      <c r="X54" s="205"/>
      <c r="Y54" s="205"/>
      <c r="Z54" s="205"/>
      <c r="AA54" s="205"/>
      <c r="AB54" s="205"/>
      <c r="AC54" s="205"/>
      <c r="AD54" s="205"/>
      <c r="AE54" s="205"/>
      <c r="AF54" s="205"/>
      <c r="AG54" s="205"/>
      <c r="AH54" s="205"/>
      <c r="AI54" s="205"/>
      <c r="AJ54" s="205"/>
      <c r="AK54" s="205"/>
    </row>
  </sheetData>
  <mergeCells count="1">
    <mergeCell ref="B26:C2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I56"/>
  <sheetViews>
    <sheetView workbookViewId="0">
      <pane xSplit="2" ySplit="11" topLeftCell="BN22" activePane="bottomRight" state="frozen"/>
      <selection pane="bottomRight" activeCell="BX56" sqref="BX56:BZ56"/>
      <selection pane="bottomLeft" activeCell="A12" sqref="A12"/>
      <selection pane="topRight" activeCell="D1" sqref="D1"/>
    </sheetView>
  </sheetViews>
  <sheetFormatPr defaultRowHeight="12.75"/>
  <cols>
    <col min="1" max="1" width="5" style="26" bestFit="1" customWidth="1"/>
    <col min="2" max="2" width="40.85546875" style="26" customWidth="1"/>
    <col min="3" max="6" width="15.5703125" style="26" hidden="1" customWidth="1"/>
    <col min="7" max="8" width="15.28515625" style="26" hidden="1" customWidth="1"/>
    <col min="9" max="13" width="14.85546875" style="26" hidden="1" customWidth="1"/>
    <col min="14" max="14" width="15.5703125" style="26" hidden="1" customWidth="1"/>
    <col min="15" max="18" width="15.28515625" style="26" hidden="1" customWidth="1"/>
    <col min="19" max="19" width="15.140625" style="26" hidden="1" customWidth="1"/>
    <col min="20" max="20" width="17.5703125" style="280" hidden="1" customWidth="1"/>
    <col min="21" max="23" width="15.140625" style="26" hidden="1" customWidth="1"/>
    <col min="24" max="24" width="14.42578125" style="26" hidden="1" customWidth="1"/>
    <col min="25" max="32" width="15.140625" style="26" hidden="1" customWidth="1"/>
    <col min="33" max="33" width="16.5703125" style="26" hidden="1" customWidth="1"/>
    <col min="34" max="34" width="15.140625" style="26" hidden="1" customWidth="1"/>
    <col min="35" max="38" width="14.42578125" style="26" hidden="1" customWidth="1"/>
    <col min="39" max="39" width="15.140625" style="26" hidden="1" customWidth="1"/>
    <col min="40" max="40" width="7.28515625" style="26" hidden="1" customWidth="1"/>
    <col min="41" max="45" width="15.140625" style="26" hidden="1" customWidth="1"/>
    <col min="46" max="46" width="15.28515625" style="26" hidden="1" customWidth="1"/>
    <col min="47" max="47" width="16.28515625" style="26" customWidth="1"/>
    <col min="48" max="48" width="16.85546875" style="26" customWidth="1"/>
    <col min="49" max="49" width="15.42578125" style="26" customWidth="1"/>
    <col min="50" max="50" width="15.28515625" style="26" customWidth="1"/>
    <col min="51" max="51" width="14.5703125" style="26" customWidth="1"/>
    <col min="52" max="52" width="15" style="26" customWidth="1"/>
    <col min="53" max="53" width="15.140625" style="26" customWidth="1"/>
    <col min="54" max="54" width="15.85546875" style="26" customWidth="1"/>
    <col min="55" max="55" width="14.42578125" style="26" customWidth="1"/>
    <col min="56" max="56" width="15.28515625" style="26" customWidth="1"/>
    <col min="57" max="57" width="15.140625" style="26" customWidth="1"/>
    <col min="58" max="58" width="16.7109375" style="26" customWidth="1"/>
    <col min="59" max="59" width="16.28515625" style="26" customWidth="1"/>
    <col min="60" max="77" width="14.5703125" style="26" bestFit="1" customWidth="1"/>
    <col min="78" max="78" width="19.5703125" style="26" customWidth="1"/>
    <col min="79" max="16384" width="9.140625" style="26"/>
  </cols>
  <sheetData>
    <row r="1" spans="1:87" ht="13.5" thickBot="1">
      <c r="B1" s="37" t="s">
        <v>114</v>
      </c>
      <c r="C1" s="37"/>
      <c r="D1" s="37"/>
      <c r="E1" s="37"/>
      <c r="F1" s="37"/>
    </row>
    <row r="2" spans="1:87">
      <c r="A2" s="27"/>
      <c r="B2" s="28"/>
      <c r="C2" s="37"/>
      <c r="D2" s="37"/>
      <c r="E2" s="37"/>
      <c r="F2" s="37"/>
      <c r="G2" s="127"/>
    </row>
    <row r="3" spans="1:87">
      <c r="A3" s="29"/>
      <c r="B3" s="103" t="s">
        <v>115</v>
      </c>
      <c r="C3" s="103" t="s">
        <v>17</v>
      </c>
      <c r="D3" s="103" t="s">
        <v>18</v>
      </c>
      <c r="E3" s="103" t="s">
        <v>19</v>
      </c>
      <c r="F3" s="103" t="s">
        <v>20</v>
      </c>
      <c r="G3" s="8" t="s">
        <v>21</v>
      </c>
      <c r="H3" s="8">
        <v>43101</v>
      </c>
      <c r="I3" s="8">
        <v>43132</v>
      </c>
      <c r="J3" s="8">
        <v>43160</v>
      </c>
      <c r="K3" s="8">
        <v>43191</v>
      </c>
      <c r="L3" s="8">
        <v>43221</v>
      </c>
      <c r="M3" s="8">
        <v>43252</v>
      </c>
      <c r="N3" s="8">
        <v>43282</v>
      </c>
      <c r="O3" s="8">
        <v>43313</v>
      </c>
      <c r="P3" s="8">
        <v>43344</v>
      </c>
      <c r="Q3" s="8">
        <v>43374</v>
      </c>
      <c r="R3" s="8">
        <v>43405</v>
      </c>
      <c r="S3" s="8">
        <v>43435</v>
      </c>
      <c r="T3" s="281" t="s">
        <v>22</v>
      </c>
      <c r="U3" s="8">
        <v>43466</v>
      </c>
      <c r="V3" s="8">
        <v>43497</v>
      </c>
      <c r="W3" s="8">
        <v>43525</v>
      </c>
      <c r="X3" s="8">
        <v>43556</v>
      </c>
      <c r="Y3" s="8">
        <v>43586</v>
      </c>
      <c r="Z3" s="8">
        <v>43617</v>
      </c>
      <c r="AA3" s="8">
        <v>43647</v>
      </c>
      <c r="AB3" s="8">
        <v>43678</v>
      </c>
      <c r="AC3" s="8">
        <v>43709</v>
      </c>
      <c r="AD3" s="8">
        <v>43739</v>
      </c>
      <c r="AE3" s="8">
        <v>43770</v>
      </c>
      <c r="AF3" s="8">
        <v>43800</v>
      </c>
      <c r="AG3" s="8" t="s">
        <v>23</v>
      </c>
      <c r="AH3" s="8">
        <v>43831</v>
      </c>
      <c r="AI3" s="8">
        <v>43862</v>
      </c>
      <c r="AJ3" s="8">
        <v>43891</v>
      </c>
      <c r="AK3" s="8">
        <v>43922</v>
      </c>
      <c r="AL3" s="8">
        <v>43952</v>
      </c>
      <c r="AM3" s="8">
        <v>43983</v>
      </c>
      <c r="AN3" s="8">
        <v>44013</v>
      </c>
      <c r="AO3" s="8">
        <v>44044</v>
      </c>
      <c r="AP3" s="8">
        <v>44075</v>
      </c>
      <c r="AQ3" s="8">
        <v>44105</v>
      </c>
      <c r="AR3" s="8">
        <v>44136</v>
      </c>
      <c r="AS3" s="8">
        <v>44166</v>
      </c>
      <c r="AT3" s="422" t="s">
        <v>116</v>
      </c>
      <c r="AU3" s="8">
        <v>44197</v>
      </c>
      <c r="AV3" s="8">
        <v>44228</v>
      </c>
      <c r="AW3" s="8">
        <v>44256</v>
      </c>
      <c r="AX3" s="8">
        <v>44287</v>
      </c>
      <c r="AY3" s="8">
        <v>44317</v>
      </c>
      <c r="AZ3" s="8">
        <v>44348</v>
      </c>
      <c r="BA3" s="8">
        <v>44378</v>
      </c>
      <c r="BB3" s="8">
        <v>44409</v>
      </c>
      <c r="BC3" s="8">
        <v>44440</v>
      </c>
      <c r="BD3" s="8">
        <v>44470</v>
      </c>
      <c r="BE3" s="8">
        <v>44501</v>
      </c>
      <c r="BF3" s="8">
        <v>44531</v>
      </c>
      <c r="BG3" s="8" t="s">
        <v>24</v>
      </c>
      <c r="BH3" s="8">
        <v>44583</v>
      </c>
      <c r="BI3" s="8">
        <v>44614</v>
      </c>
      <c r="BJ3" s="8">
        <v>44642</v>
      </c>
      <c r="BK3" s="8">
        <v>44673</v>
      </c>
      <c r="BL3" s="8">
        <v>44703</v>
      </c>
      <c r="BM3" s="8">
        <v>44734</v>
      </c>
      <c r="BN3" s="8">
        <v>44764</v>
      </c>
      <c r="BO3" s="8">
        <v>44795</v>
      </c>
      <c r="BP3" s="8">
        <v>44826</v>
      </c>
      <c r="BQ3" s="8">
        <v>44856</v>
      </c>
      <c r="BR3" s="8">
        <v>44887</v>
      </c>
      <c r="BS3" s="8">
        <v>44917</v>
      </c>
      <c r="BT3" s="8" t="s">
        <v>25</v>
      </c>
      <c r="BU3" s="8">
        <v>44949</v>
      </c>
      <c r="BV3" s="8">
        <v>44980</v>
      </c>
      <c r="BW3" s="8">
        <v>45008</v>
      </c>
      <c r="BX3" s="8">
        <v>45039</v>
      </c>
      <c r="BY3" s="8">
        <v>45069</v>
      </c>
      <c r="BZ3" s="8">
        <v>45100</v>
      </c>
      <c r="CA3" s="8"/>
      <c r="CB3" s="8"/>
      <c r="CC3" s="8"/>
      <c r="CD3" s="8"/>
      <c r="CE3" s="8"/>
      <c r="CF3" s="8"/>
      <c r="CG3" s="8"/>
      <c r="CH3" s="8"/>
      <c r="CI3" s="8"/>
    </row>
    <row r="4" spans="1:87">
      <c r="A4" s="30">
        <v>1</v>
      </c>
      <c r="B4" s="51" t="s">
        <v>74</v>
      </c>
      <c r="C4" s="51"/>
      <c r="D4" s="51"/>
      <c r="E4" s="51"/>
      <c r="F4" s="51"/>
      <c r="G4" s="127"/>
      <c r="H4" s="127"/>
      <c r="I4" s="127"/>
      <c r="J4" s="127"/>
      <c r="K4" s="127"/>
      <c r="L4" s="127"/>
      <c r="M4" s="127"/>
      <c r="N4" s="127"/>
    </row>
    <row r="5" spans="1:87">
      <c r="A5" s="30">
        <v>2</v>
      </c>
      <c r="B5" s="51" t="s">
        <v>65</v>
      </c>
      <c r="C5" s="140">
        <f>SFP!B27</f>
        <v>409574162</v>
      </c>
      <c r="D5" s="140">
        <f>SFP!C27</f>
        <v>424339220</v>
      </c>
      <c r="E5" s="140">
        <f>SFP!D27</f>
        <v>463518893.97999996</v>
      </c>
      <c r="F5" s="140">
        <f>SFP!E27</f>
        <v>456370932.63</v>
      </c>
      <c r="G5" s="140">
        <f>SFP!F27</f>
        <v>436833618.45000005</v>
      </c>
      <c r="H5" s="140">
        <f>SFP!G27</f>
        <v>423118738.82000005</v>
      </c>
      <c r="I5" s="140">
        <f>SFP!H27</f>
        <v>422864430.70000005</v>
      </c>
      <c r="J5" s="140">
        <f>SFP!I27</f>
        <v>409272796.10000008</v>
      </c>
      <c r="K5" s="140">
        <f>SFP!J27</f>
        <v>410166433.89000005</v>
      </c>
      <c r="L5" s="140">
        <f>SFP!K27</f>
        <v>410473764.24000001</v>
      </c>
      <c r="M5" s="140">
        <f>SFP!L27</f>
        <v>420159848.00999999</v>
      </c>
      <c r="N5" s="140">
        <f>SFP!M27</f>
        <v>417762020.47999996</v>
      </c>
      <c r="O5" s="140">
        <f>SFP!N27</f>
        <v>422232420.28999996</v>
      </c>
      <c r="P5" s="140">
        <f>SFP!O27</f>
        <v>424515450.63</v>
      </c>
      <c r="Q5" s="140">
        <f>SFP!P27</f>
        <v>431325354</v>
      </c>
      <c r="R5" s="140">
        <f>SFP!Q27</f>
        <v>475771543</v>
      </c>
      <c r="S5" s="140">
        <f>SFP!R27</f>
        <v>624416656.98000002</v>
      </c>
      <c r="T5" s="282">
        <f>SFP!S27</f>
        <v>590186392</v>
      </c>
      <c r="U5" s="140">
        <f>SFP!T27</f>
        <v>602313936.84000003</v>
      </c>
      <c r="V5" s="140">
        <f>SFP!U27</f>
        <v>626251080.43000007</v>
      </c>
      <c r="W5" s="140">
        <f>SFP!V27</f>
        <v>598286974.44000006</v>
      </c>
      <c r="X5" s="140">
        <f>SFP!W27</f>
        <v>589072781.48000002</v>
      </c>
      <c r="Y5" s="140">
        <f>SFP!X27</f>
        <v>617101547.82000005</v>
      </c>
      <c r="Z5" s="140">
        <f>SFP!Y27</f>
        <v>604177230.95000005</v>
      </c>
      <c r="AA5" s="140">
        <f>SFP!Z27</f>
        <v>631814630.22000003</v>
      </c>
      <c r="AB5" s="140">
        <f>SFP!AA27</f>
        <v>629463639.5200001</v>
      </c>
      <c r="AC5" s="140">
        <f>SFP!AB27</f>
        <v>637643842.58999991</v>
      </c>
      <c r="AD5" s="140">
        <f>SFP!AC27</f>
        <v>642872540.48000002</v>
      </c>
      <c r="AE5" s="140">
        <f>SFP!AD27</f>
        <v>646572361.51999998</v>
      </c>
      <c r="AF5" s="140">
        <f>SFP!AE27</f>
        <v>659106693.63999999</v>
      </c>
      <c r="AG5" s="55">
        <f>SFP!AF27</f>
        <v>659596375</v>
      </c>
      <c r="AH5" s="55">
        <f>SFP!AG27</f>
        <v>685938268.29999995</v>
      </c>
      <c r="AI5" s="55">
        <f>SFP!AH27</f>
        <v>668369982.31999993</v>
      </c>
      <c r="AJ5" s="55">
        <f>SFP!AI27</f>
        <v>676840060.07000005</v>
      </c>
      <c r="AK5" s="55">
        <f>SFP!AJ27</f>
        <v>666987894.52999997</v>
      </c>
      <c r="AL5" s="55">
        <f>SFP!AK27</f>
        <v>679875518.42999983</v>
      </c>
      <c r="AM5" s="55">
        <f>SFP!AL27</f>
        <v>686729197.43999994</v>
      </c>
      <c r="AN5" s="55">
        <f>SFP!AM27</f>
        <v>0</v>
      </c>
      <c r="AO5" s="55">
        <f>SFP!AN27</f>
        <v>696237684.1500001</v>
      </c>
      <c r="AP5" s="55">
        <f>SFP!AO27</f>
        <v>700759906.63999999</v>
      </c>
      <c r="AQ5" s="55">
        <f>SFP!AP27</f>
        <v>707552107.40999985</v>
      </c>
      <c r="AR5" s="55">
        <f>SFP!AQ27</f>
        <v>716864469.96000004</v>
      </c>
      <c r="AS5" s="55">
        <f>SFP!AR27</f>
        <v>732142200.31999993</v>
      </c>
      <c r="AT5" s="55">
        <f>SFP!AS27</f>
        <v>728596193.74000001</v>
      </c>
      <c r="AU5" s="55">
        <f>SFP!AT27</f>
        <v>222971386.83000001</v>
      </c>
      <c r="AV5" s="55">
        <f>SFP!AU27</f>
        <v>223449595.16999999</v>
      </c>
      <c r="AW5" s="55">
        <f>SFP!AV27</f>
        <v>225575565.28999996</v>
      </c>
      <c r="AX5" s="55">
        <f>SFP!AW27</f>
        <v>227687814.03</v>
      </c>
      <c r="AY5" s="55">
        <f>SFP!AX27</f>
        <v>230417404.75999999</v>
      </c>
      <c r="AZ5" s="55">
        <f>SFP!AY27</f>
        <v>233252906.31</v>
      </c>
      <c r="BA5" s="55">
        <f>SFP!AZ27</f>
        <v>239170845.47999999</v>
      </c>
      <c r="BB5" s="55">
        <f>SFP!BA27</f>
        <v>245360110.06</v>
      </c>
      <c r="BC5" s="55">
        <f>SFP!BB27</f>
        <v>247973790.12999997</v>
      </c>
      <c r="BD5" s="55">
        <f>SFP!BC27</f>
        <v>250998081.977</v>
      </c>
      <c r="BE5" s="55">
        <f>SFP!BD27</f>
        <v>250750833.87</v>
      </c>
      <c r="BF5" s="55">
        <f>SFP!BE27</f>
        <v>250080391.41000003</v>
      </c>
      <c r="BG5" s="55">
        <f>SFP!BF27</f>
        <v>247636263</v>
      </c>
      <c r="BH5" s="55">
        <f>SFP!BG27</f>
        <v>252132289.19</v>
      </c>
      <c r="BI5" s="55">
        <f>SFP!BH27</f>
        <v>253884737.35999998</v>
      </c>
      <c r="BJ5" s="55">
        <f>SFP!BI27</f>
        <v>259149243.53999999</v>
      </c>
      <c r="BK5" s="55">
        <f>SFP!BJ27</f>
        <v>251740979.97</v>
      </c>
      <c r="BL5" s="55">
        <f>SFP!BK27</f>
        <v>252901890.69999999</v>
      </c>
      <c r="BM5" s="55">
        <f>SFP!BL27</f>
        <v>267349758.52000001</v>
      </c>
      <c r="BN5" s="55">
        <f>SFP!BM27</f>
        <v>274071545.31999999</v>
      </c>
      <c r="BO5" s="55">
        <f>SFP!BN27</f>
        <v>280906317.19999999</v>
      </c>
      <c r="BP5" s="55">
        <f>SFP!BO27</f>
        <v>284820525.98000002</v>
      </c>
      <c r="BQ5" s="55">
        <f>SFP!BP27</f>
        <v>291706738.02999997</v>
      </c>
      <c r="BR5" s="55">
        <f>SFP!BQ27</f>
        <v>299083116.06</v>
      </c>
      <c r="BS5" s="55">
        <f>SFP!BR27</f>
        <v>315031481.99000001</v>
      </c>
      <c r="BT5" s="55">
        <f>SFP!BS27</f>
        <v>309621076</v>
      </c>
      <c r="BU5" s="55">
        <f>SFP!BT27</f>
        <v>326975393.67000002</v>
      </c>
      <c r="BV5" s="55">
        <f>SFP!BU27</f>
        <v>327772382.37</v>
      </c>
      <c r="BW5" s="55">
        <f>SFP!BV27</f>
        <v>325950580.26999998</v>
      </c>
      <c r="BX5" s="55">
        <f>SFP!BW27</f>
        <v>329536664.52999997</v>
      </c>
      <c r="BY5" s="55">
        <f>SFP!BX27</f>
        <v>330564566.08000004</v>
      </c>
      <c r="BZ5" s="55">
        <f>SFP!BY27</f>
        <v>343995523.17000002</v>
      </c>
    </row>
    <row r="6" spans="1:87">
      <c r="A6" s="30">
        <v>3</v>
      </c>
      <c r="B6" s="51" t="s">
        <v>66</v>
      </c>
      <c r="C6" s="55">
        <f>SFP!B32</f>
        <v>296319708</v>
      </c>
      <c r="D6" s="55">
        <f>SFP!C32</f>
        <v>326128476</v>
      </c>
      <c r="E6" s="55">
        <f>SFP!D32</f>
        <v>363910285.35000002</v>
      </c>
      <c r="F6" s="55">
        <f>SFP!E32</f>
        <v>352811563.69999999</v>
      </c>
      <c r="G6" s="55">
        <f>SFP!F32</f>
        <v>346819825.96000004</v>
      </c>
      <c r="H6" s="55">
        <f>SFP!G32</f>
        <v>333729911.73000002</v>
      </c>
      <c r="I6" s="55">
        <f>SFP!H32</f>
        <v>329578059.06999999</v>
      </c>
      <c r="J6" s="55">
        <f>SFP!I32</f>
        <v>311452209.79000002</v>
      </c>
      <c r="K6" s="55">
        <f>SFP!J32</f>
        <v>308576889.21000004</v>
      </c>
      <c r="L6" s="55">
        <f>SFP!K32</f>
        <v>306059797.54000002</v>
      </c>
      <c r="M6" s="55">
        <f>SFP!L32</f>
        <v>313166776.78999996</v>
      </c>
      <c r="N6" s="55">
        <f>SFP!M32</f>
        <v>306807878.39999998</v>
      </c>
      <c r="O6" s="55">
        <f>SFP!N32</f>
        <v>306749729.56999999</v>
      </c>
      <c r="P6" s="55">
        <f>SFP!O32</f>
        <v>304932425.85000002</v>
      </c>
      <c r="Q6" s="55">
        <f>SFP!P32</f>
        <v>304939926</v>
      </c>
      <c r="R6" s="55">
        <f>SFP!Q32</f>
        <v>340334687</v>
      </c>
      <c r="S6" s="55">
        <f>SFP!R32</f>
        <v>433262931.21999997</v>
      </c>
      <c r="T6" s="283">
        <f>SFP!S32</f>
        <v>433315333</v>
      </c>
      <c r="U6" s="55">
        <f>SFP!T32</f>
        <v>438395348.75</v>
      </c>
      <c r="V6" s="55">
        <f>SFP!U32</f>
        <v>454200200.84000003</v>
      </c>
      <c r="W6" s="55">
        <f>SFP!V32</f>
        <v>471183574.06999999</v>
      </c>
      <c r="X6" s="55">
        <f>SFP!W32</f>
        <v>463060081.56999999</v>
      </c>
      <c r="Y6" s="55">
        <f>SFP!X32</f>
        <v>486178640.04999995</v>
      </c>
      <c r="Z6" s="55">
        <f>SFP!Y32</f>
        <v>466221165.13999999</v>
      </c>
      <c r="AA6" s="55">
        <f>SFP!Z32</f>
        <v>493294453.38</v>
      </c>
      <c r="AB6" s="55">
        <f>SFP!AA32</f>
        <v>483225563.52999997</v>
      </c>
      <c r="AC6" s="55">
        <f>SFP!AB32</f>
        <v>489995238.37</v>
      </c>
      <c r="AD6" s="55">
        <f>SFP!AC32</f>
        <v>486957496.29000002</v>
      </c>
      <c r="AE6" s="55">
        <f>SFP!AD32</f>
        <v>483613482.95999998</v>
      </c>
      <c r="AF6" s="55">
        <f>SFP!AE32</f>
        <v>486988341.06</v>
      </c>
      <c r="AG6" s="55">
        <f>SFP!AF32</f>
        <v>486824375</v>
      </c>
      <c r="AH6" s="55">
        <f>SFP!AG32</f>
        <v>498413912.63</v>
      </c>
      <c r="AI6" s="55">
        <f>SFP!AH32</f>
        <v>537560033.09000003</v>
      </c>
      <c r="AJ6" s="55">
        <f>SFP!AI32</f>
        <v>545395614.88999999</v>
      </c>
      <c r="AK6" s="55">
        <f>SFP!AJ32</f>
        <v>524817659.25999999</v>
      </c>
      <c r="AL6" s="55">
        <f>SFP!AK32</f>
        <v>531765161.73000002</v>
      </c>
      <c r="AM6" s="55">
        <f>SFP!AL32</f>
        <v>531746845.20999998</v>
      </c>
      <c r="AN6" s="55">
        <f>SFP!AM32</f>
        <v>0</v>
      </c>
      <c r="AO6" s="55">
        <f>SFP!AN32</f>
        <v>529853240</v>
      </c>
      <c r="AP6" s="55">
        <f>SFP!AO32</f>
        <v>530380088.16000003</v>
      </c>
      <c r="AQ6" s="55">
        <f>SFP!AP32</f>
        <v>530992358.97999996</v>
      </c>
      <c r="AR6" s="55">
        <f>SFP!AQ32</f>
        <v>533654877.63</v>
      </c>
      <c r="AS6" s="55">
        <f>SFP!AR32</f>
        <v>540163130.46000004</v>
      </c>
      <c r="AT6" s="55">
        <f>SFP!AS32</f>
        <v>539970780</v>
      </c>
      <c r="AU6" s="55">
        <f>SFP!AT32</f>
        <v>135088460.94</v>
      </c>
      <c r="AV6" s="55">
        <f>SFP!AU32</f>
        <v>136610753.22</v>
      </c>
      <c r="AW6" s="55">
        <f>SFP!AV32</f>
        <v>136170205.68000001</v>
      </c>
      <c r="AX6" s="55">
        <f>SFP!AW32</f>
        <v>140348096.25999999</v>
      </c>
      <c r="AY6" s="55">
        <f>SFP!AX32</f>
        <v>140510795.65000001</v>
      </c>
      <c r="AZ6" s="55">
        <f>SFP!AY32</f>
        <v>141823036.24000001</v>
      </c>
      <c r="BA6" s="55">
        <f>SFP!AZ32</f>
        <v>145057454.74000001</v>
      </c>
      <c r="BB6" s="55">
        <f>SFP!BA32</f>
        <v>149484515.65000001</v>
      </c>
      <c r="BC6" s="55">
        <f>SFP!BB32</f>
        <v>153086966.79000002</v>
      </c>
      <c r="BD6" s="55">
        <f>SFP!BC32</f>
        <v>153532256.84</v>
      </c>
      <c r="BE6" s="55">
        <f>SFP!BD32</f>
        <v>152053071.46000001</v>
      </c>
      <c r="BF6" s="55">
        <f>SFP!BE32</f>
        <v>152858393.16</v>
      </c>
      <c r="BG6" s="55">
        <f>SFP!BF32</f>
        <v>152858393</v>
      </c>
      <c r="BH6" s="55">
        <f>SFP!BG32</f>
        <v>151367254.38999999</v>
      </c>
      <c r="BI6" s="55">
        <f>SFP!BH32</f>
        <v>153048827.41</v>
      </c>
      <c r="BJ6" s="55">
        <f>SFP!BI32</f>
        <v>149828049.86000001</v>
      </c>
      <c r="BK6" s="55">
        <f>SFP!BJ32</f>
        <v>154604454.5</v>
      </c>
      <c r="BL6" s="55">
        <f>SFP!BK32</f>
        <v>156071877.24000001</v>
      </c>
      <c r="BM6" s="55">
        <f>SFP!BL32</f>
        <v>159746985.38</v>
      </c>
      <c r="BN6" s="55">
        <f>SFP!BM32</f>
        <v>162816773.47999999</v>
      </c>
      <c r="BO6" s="55">
        <f>SFP!BN32</f>
        <v>166181186.43000001</v>
      </c>
      <c r="BP6" s="55">
        <f>SFP!BO32</f>
        <v>165896364.87</v>
      </c>
      <c r="BQ6" s="55">
        <f>SFP!BP32</f>
        <v>171377777.09</v>
      </c>
      <c r="BR6" s="55">
        <f>SFP!BQ32</f>
        <v>176010427.99000001</v>
      </c>
      <c r="BS6" s="55">
        <f>SFP!BR32</f>
        <v>183882374</v>
      </c>
      <c r="BT6" s="55">
        <f>SFP!BS32</f>
        <v>183895712</v>
      </c>
      <c r="BU6" s="55">
        <f>SFP!BT32</f>
        <v>188860411.56</v>
      </c>
      <c r="BV6" s="55">
        <f>SFP!BU32</f>
        <v>188649146.37</v>
      </c>
      <c r="BW6" s="55">
        <f>SFP!BV32</f>
        <v>186218761.13999999</v>
      </c>
      <c r="BX6" s="55">
        <f>SFP!BW32</f>
        <v>188738521.73999998</v>
      </c>
      <c r="BY6" s="55">
        <f>SFP!BX32</f>
        <v>197293928.62</v>
      </c>
      <c r="BZ6" s="55">
        <f>SFP!BY32</f>
        <v>198773955.68000001</v>
      </c>
    </row>
    <row r="7" spans="1:87">
      <c r="A7" s="30">
        <v>3.1</v>
      </c>
      <c r="B7" s="104" t="s">
        <v>117</v>
      </c>
      <c r="C7" s="55">
        <f>SFP!B31</f>
        <v>245876845</v>
      </c>
      <c r="D7" s="55">
        <f>SFP!C31</f>
        <v>240972613</v>
      </c>
      <c r="E7" s="55">
        <f>SFP!D31</f>
        <v>242281651.97</v>
      </c>
      <c r="F7" s="55">
        <f>SFP!E31</f>
        <v>244644369.28</v>
      </c>
      <c r="G7" s="55">
        <f>SFP!F31</f>
        <v>243234342.24000001</v>
      </c>
      <c r="H7" s="55">
        <f>SFP!G31</f>
        <v>238031210.47</v>
      </c>
      <c r="I7" s="55">
        <f>SFP!H31</f>
        <v>230934337.56</v>
      </c>
      <c r="J7" s="55">
        <f>SFP!I31</f>
        <v>226193257.30000001</v>
      </c>
      <c r="K7" s="55">
        <f>SFP!J31</f>
        <v>224035758.31</v>
      </c>
      <c r="L7" s="55">
        <f>SFP!K31</f>
        <v>227125544.53</v>
      </c>
      <c r="M7" s="55">
        <f>SFP!L31</f>
        <v>229773643.66999999</v>
      </c>
      <c r="N7" s="55">
        <f>SFP!M31</f>
        <v>232399871.69999999</v>
      </c>
      <c r="O7" s="55">
        <f>SFP!N31</f>
        <v>236121076.88</v>
      </c>
      <c r="P7" s="55">
        <f>SFP!O31</f>
        <v>231056281.34999999</v>
      </c>
      <c r="Q7" s="55">
        <f>SFP!P31</f>
        <v>225120102</v>
      </c>
      <c r="R7" s="55">
        <f>SFP!Q31</f>
        <v>263211841</v>
      </c>
      <c r="S7" s="55">
        <f>SFP!R31</f>
        <v>369782581.02999997</v>
      </c>
      <c r="T7" s="283">
        <f>SFP!S31</f>
        <v>365696388</v>
      </c>
      <c r="U7" s="55">
        <f>SFP!T31</f>
        <v>373130884.45999998</v>
      </c>
      <c r="V7" s="55">
        <f>SFP!U31</f>
        <v>380563374.49000001</v>
      </c>
      <c r="W7" s="55">
        <f>SFP!V31</f>
        <v>389962101.52999997</v>
      </c>
      <c r="X7" s="55">
        <f>SFP!W31</f>
        <v>394639975.25999999</v>
      </c>
      <c r="Y7" s="55">
        <f>SFP!X31</f>
        <v>397105169.01999998</v>
      </c>
      <c r="Z7" s="55">
        <f>SFP!Y31</f>
        <v>404014250.98000002</v>
      </c>
      <c r="AA7" s="55">
        <f>SFP!Z31</f>
        <v>408489971.48000002</v>
      </c>
      <c r="AB7" s="55">
        <f>SFP!AA31</f>
        <v>413658579.06999999</v>
      </c>
      <c r="AC7" s="55">
        <f>SFP!AB31</f>
        <v>417935970.89999998</v>
      </c>
      <c r="AD7" s="55">
        <f>SFP!AC31</f>
        <v>417671339.80000001</v>
      </c>
      <c r="AE7" s="55">
        <f>SFP!AD31</f>
        <v>419861202.50999999</v>
      </c>
      <c r="AF7" s="55">
        <f>SFP!AE31</f>
        <v>423685556.81999999</v>
      </c>
      <c r="AG7" s="55">
        <f>SFP!AF31</f>
        <v>419736691</v>
      </c>
      <c r="AH7" s="55">
        <f>SFP!AG31</f>
        <v>427360299.27999997</v>
      </c>
      <c r="AI7" s="55">
        <f>SFP!AH31</f>
        <v>437420023.97000003</v>
      </c>
      <c r="AJ7" s="55">
        <f>SFP!AI31</f>
        <v>442243015.48000002</v>
      </c>
      <c r="AK7" s="55">
        <f>SFP!AJ31</f>
        <v>451026267.43000001</v>
      </c>
      <c r="AL7" s="55">
        <f>SFP!AK31</f>
        <v>450275511</v>
      </c>
      <c r="AM7" s="55">
        <f>SFP!AL31</f>
        <v>455994036.70999998</v>
      </c>
      <c r="AN7" s="55">
        <f>SFP!AM31</f>
        <v>0</v>
      </c>
      <c r="AO7" s="55">
        <f>SFP!AN31</f>
        <v>466005747.69</v>
      </c>
      <c r="AP7" s="55">
        <f>SFP!AO31</f>
        <v>471311270.67000002</v>
      </c>
      <c r="AQ7" s="55">
        <f>SFP!AP31</f>
        <v>476049503.83999997</v>
      </c>
      <c r="AR7" s="55">
        <f>SFP!AQ31</f>
        <v>479472719.48000002</v>
      </c>
      <c r="AS7" s="55">
        <f>SFP!AR31</f>
        <v>487117545.25999999</v>
      </c>
      <c r="AT7" s="55">
        <f>SFP!AS31</f>
        <v>483159282</v>
      </c>
      <c r="AU7" s="55">
        <f>SFP!AT31</f>
        <v>123065211.31</v>
      </c>
      <c r="AV7" s="55">
        <f>SFP!AU31</f>
        <v>124518898.31</v>
      </c>
      <c r="AW7" s="55">
        <f>SFP!AV31</f>
        <v>125455630.59</v>
      </c>
      <c r="AX7" s="55">
        <f>SFP!AW31</f>
        <v>126215496.89</v>
      </c>
      <c r="AY7" s="55">
        <f>SFP!AX31</f>
        <v>127279266.95999999</v>
      </c>
      <c r="AZ7" s="55">
        <f>SFP!AY31</f>
        <v>128122252.63</v>
      </c>
      <c r="BA7" s="55">
        <f>SFP!AZ31</f>
        <v>129249076.86</v>
      </c>
      <c r="BB7" s="55">
        <f>SFP!BA31</f>
        <v>130356516.15000001</v>
      </c>
      <c r="BC7" s="55">
        <f>SFP!BB31</f>
        <v>135150566.86000001</v>
      </c>
      <c r="BD7" s="55">
        <f>SFP!BC31</f>
        <v>136517146.71000001</v>
      </c>
      <c r="BE7" s="55">
        <f>SFP!BD31</f>
        <v>135166655.33000001</v>
      </c>
      <c r="BF7" s="55">
        <f>SFP!BE31</f>
        <v>136571433.59999999</v>
      </c>
      <c r="BG7" s="55">
        <f>SFP!BF31</f>
        <v>136571433</v>
      </c>
      <c r="BH7" s="55">
        <f>SFP!BG31</f>
        <v>136112097.91</v>
      </c>
      <c r="BI7" s="55">
        <f>SFP!BH31</f>
        <v>137471970.59</v>
      </c>
      <c r="BJ7" s="55">
        <f>SFP!BI31</f>
        <v>134029249.86</v>
      </c>
      <c r="BK7" s="55">
        <f>SFP!BJ31</f>
        <v>135721417.90000001</v>
      </c>
      <c r="BL7" s="55">
        <f>SFP!BK31</f>
        <v>138656806.56999999</v>
      </c>
      <c r="BM7" s="55">
        <f>SFP!BL31</f>
        <v>142413956.75999999</v>
      </c>
      <c r="BN7" s="55">
        <f>SFP!BM31</f>
        <v>143510456.19999999</v>
      </c>
      <c r="BO7" s="55">
        <f>SFP!BN31</f>
        <v>146702785.52000001</v>
      </c>
      <c r="BP7" s="55">
        <f>SFP!BO31</f>
        <v>148119631.09</v>
      </c>
      <c r="BQ7" s="55">
        <f>SFP!BP31</f>
        <v>151287152.71000001</v>
      </c>
      <c r="BR7" s="55">
        <f>SFP!BQ31</f>
        <v>154149067.74000001</v>
      </c>
      <c r="BS7" s="55">
        <f>SFP!BR31</f>
        <v>159575004.62</v>
      </c>
      <c r="BT7" s="55">
        <f>SFP!BS31</f>
        <v>159575005</v>
      </c>
      <c r="BU7" s="55">
        <f>SFP!BT31</f>
        <v>168737052.94</v>
      </c>
      <c r="BV7" s="55">
        <f>SFP!BU31</f>
        <v>169155418.75</v>
      </c>
      <c r="BW7" s="55">
        <f>SFP!BV31</f>
        <v>169459096.66999999</v>
      </c>
      <c r="BX7" s="55">
        <f>SFP!BW31</f>
        <v>172764214.81999999</v>
      </c>
      <c r="BY7" s="55">
        <f>SFP!BX31</f>
        <v>174743427.88</v>
      </c>
      <c r="BZ7" s="55">
        <f>SFP!BY31</f>
        <v>177967302.87</v>
      </c>
    </row>
    <row r="8" spans="1:87">
      <c r="A8" s="30">
        <v>3.2</v>
      </c>
      <c r="B8" s="104" t="s">
        <v>118</v>
      </c>
      <c r="C8" s="55">
        <f>SFP!B29</f>
        <v>50442863</v>
      </c>
      <c r="D8" s="55">
        <f>SFP!C29</f>
        <v>81985036</v>
      </c>
      <c r="E8" s="55">
        <f>SFP!D29</f>
        <v>4074376.91</v>
      </c>
      <c r="F8" s="55">
        <f>SFP!E29</f>
        <v>4984401.29</v>
      </c>
      <c r="G8" s="55">
        <f>SFP!F29</f>
        <v>5076228.9000000004</v>
      </c>
      <c r="H8" s="55">
        <f>SFP!G29</f>
        <v>7141510.8200000003</v>
      </c>
      <c r="I8" s="55">
        <f>SFP!H29</f>
        <v>7139384.9000000004</v>
      </c>
      <c r="J8" s="55">
        <f>SFP!I29</f>
        <v>8498751.9000000004</v>
      </c>
      <c r="K8" s="55">
        <f>SFP!J29</f>
        <v>8563252.25</v>
      </c>
      <c r="L8" s="55">
        <f>SFP!K29</f>
        <v>8282780.7300000004</v>
      </c>
      <c r="M8" s="55">
        <f>SFP!L29</f>
        <v>8457228.6300000008</v>
      </c>
      <c r="N8" s="55">
        <f>SFP!M29</f>
        <v>8336852.0700000003</v>
      </c>
      <c r="O8" s="55">
        <f>SFP!N29</f>
        <v>7143096.6699999999</v>
      </c>
      <c r="P8" s="55">
        <f>SFP!O29</f>
        <v>7207814.0999999996</v>
      </c>
      <c r="Q8" s="55">
        <f>SFP!P29</f>
        <v>73876145</v>
      </c>
      <c r="R8" s="55">
        <f>SFP!Q29</f>
        <v>71672361</v>
      </c>
      <c r="S8" s="55">
        <f>SFP!R29</f>
        <v>13215269.470000001</v>
      </c>
      <c r="T8" s="283">
        <f>SFP!S29</f>
        <v>67618945</v>
      </c>
      <c r="U8" s="55">
        <f>SFP!T29</f>
        <v>14363007.560000001</v>
      </c>
      <c r="V8" s="55">
        <f>SFP!U29</f>
        <v>15611949.109999999</v>
      </c>
      <c r="W8" s="55">
        <f>SFP!V29</f>
        <v>13612358.779999999</v>
      </c>
      <c r="X8" s="55">
        <f>SFP!W29</f>
        <v>14419908.76</v>
      </c>
      <c r="Y8" s="55">
        <f>SFP!X29</f>
        <v>14679037.42</v>
      </c>
      <c r="Z8" s="55">
        <f>SFP!Y29</f>
        <v>13096148.84</v>
      </c>
      <c r="AA8" s="55">
        <f>SFP!Z29</f>
        <v>14426179.720000001</v>
      </c>
      <c r="AB8" s="55">
        <f>SFP!AA29</f>
        <v>12510173.029999999</v>
      </c>
      <c r="AC8" s="55">
        <f>SFP!AB29</f>
        <v>11197953.73</v>
      </c>
      <c r="AD8" s="55">
        <f>SFP!AC29</f>
        <v>12436035.640000001</v>
      </c>
      <c r="AE8" s="55">
        <f>SFP!AD29</f>
        <v>10911398.390000001</v>
      </c>
      <c r="AF8" s="55">
        <f>SFP!AE29</f>
        <v>13039499.539999999</v>
      </c>
      <c r="AG8" s="55">
        <f>SFP!AF29</f>
        <v>67087684</v>
      </c>
      <c r="AH8" s="55">
        <f>SFP!AG29</f>
        <v>12876480.85</v>
      </c>
      <c r="AI8" s="55">
        <f>SFP!AH29</f>
        <v>15546548.85</v>
      </c>
      <c r="AJ8" s="55">
        <f>SFP!AI29</f>
        <v>15400942.42</v>
      </c>
      <c r="AK8" s="55">
        <f>SFP!AJ29</f>
        <v>11309065.33</v>
      </c>
      <c r="AL8" s="55">
        <f>SFP!AK29</f>
        <v>11992740.73</v>
      </c>
      <c r="AM8" s="55">
        <f>SFP!AL29</f>
        <v>11671576.98</v>
      </c>
      <c r="AN8" s="55">
        <f>SFP!AM29</f>
        <v>0</v>
      </c>
      <c r="AO8" s="55">
        <f>SFP!AN29</f>
        <v>10238706.810000001</v>
      </c>
      <c r="AP8" s="55">
        <f>SFP!AO29</f>
        <v>11775954.75</v>
      </c>
      <c r="AQ8" s="55">
        <f>SFP!AP29</f>
        <v>11289462.789999999</v>
      </c>
      <c r="AR8" s="55">
        <f>SFP!AQ29</f>
        <v>10526262.199999999</v>
      </c>
      <c r="AS8" s="55">
        <f>SFP!AR29</f>
        <v>11378552.85</v>
      </c>
      <c r="AT8" s="55">
        <f>SFP!AS29</f>
        <v>56811498</v>
      </c>
      <c r="AU8" s="55">
        <f>SFP!AT29</f>
        <v>12023249.630000001</v>
      </c>
      <c r="AV8" s="55">
        <f>SFP!AU29</f>
        <v>12091854.91</v>
      </c>
      <c r="AW8" s="55">
        <f>SFP!AV29</f>
        <v>10714575.09</v>
      </c>
      <c r="AX8" s="55">
        <f>SFP!AW29</f>
        <v>14132599.369999999</v>
      </c>
      <c r="AY8" s="55">
        <f>SFP!AX29</f>
        <v>13231528.689999999</v>
      </c>
      <c r="AZ8" s="55">
        <f>SFP!AY29</f>
        <v>13700783.609999999</v>
      </c>
      <c r="BA8" s="55">
        <f>SFP!AZ29</f>
        <v>15808377.880000001</v>
      </c>
      <c r="BB8" s="55">
        <f>SFP!BA29</f>
        <v>19127999.5</v>
      </c>
      <c r="BC8" s="55">
        <f>SFP!BB29</f>
        <v>17936399.93</v>
      </c>
      <c r="BD8" s="55">
        <f>SFP!BC29</f>
        <v>17015110.129999999</v>
      </c>
      <c r="BE8" s="55">
        <f>SFP!BD29</f>
        <v>16886416.129999999</v>
      </c>
      <c r="BF8" s="55">
        <f>SFP!BE29</f>
        <v>16286959.560000001</v>
      </c>
      <c r="BG8" s="55">
        <f>SFP!BF29</f>
        <v>16286960</v>
      </c>
      <c r="BH8" s="55">
        <f>SFP!BG29</f>
        <v>15255156.48</v>
      </c>
      <c r="BI8" s="55">
        <f>SFP!BH29</f>
        <v>15576856.82</v>
      </c>
      <c r="BJ8" s="55">
        <f>SFP!BI29</f>
        <v>15798800</v>
      </c>
      <c r="BK8" s="55">
        <f>SFP!BJ29</f>
        <v>18883036.600000001</v>
      </c>
      <c r="BL8" s="55">
        <f>SFP!BK29</f>
        <v>17415070.670000002</v>
      </c>
      <c r="BM8" s="55">
        <f>SFP!BL29</f>
        <v>17333028.620000001</v>
      </c>
      <c r="BN8" s="55">
        <f>SFP!BM29</f>
        <v>19306317.280000001</v>
      </c>
      <c r="BO8" s="55">
        <f>SFP!BN29</f>
        <v>19478400.91</v>
      </c>
      <c r="BP8" s="55">
        <f>SFP!BO29</f>
        <v>17776733.780000001</v>
      </c>
      <c r="BQ8" s="55">
        <f>SFP!BP29</f>
        <v>20090624.379999999</v>
      </c>
      <c r="BR8" s="55">
        <f>SFP!BQ29</f>
        <v>21861360.25</v>
      </c>
      <c r="BS8" s="55">
        <f>SFP!BR29</f>
        <v>24307369.379999999</v>
      </c>
      <c r="BT8" s="55">
        <f>SFP!BS29</f>
        <v>24320707</v>
      </c>
      <c r="BU8" s="55">
        <f>SFP!BT29</f>
        <v>20123358.620000001</v>
      </c>
      <c r="BV8" s="55">
        <f>SFP!BU29</f>
        <v>19493727.620000001</v>
      </c>
      <c r="BW8" s="55">
        <f>SFP!BV29</f>
        <v>16759664.470000001</v>
      </c>
      <c r="BX8" s="55">
        <f>SFP!BW29</f>
        <v>15974306.92</v>
      </c>
      <c r="BY8" s="55">
        <f>SFP!BX29</f>
        <v>22550500.739999998</v>
      </c>
      <c r="BZ8" s="55">
        <f>SFP!BY29</f>
        <v>20806652.809999999</v>
      </c>
    </row>
    <row r="9" spans="1:87">
      <c r="A9" s="30">
        <v>4</v>
      </c>
      <c r="B9" s="51" t="s">
        <v>119</v>
      </c>
      <c r="C9" s="56">
        <f>SFP!B39</f>
        <v>58455393</v>
      </c>
      <c r="D9" s="56">
        <f>SFP!C39</f>
        <v>782851</v>
      </c>
      <c r="E9" s="56">
        <f>SFP!D39</f>
        <v>782851.88</v>
      </c>
      <c r="F9" s="56">
        <f>SFP!E39</f>
        <v>782851.88</v>
      </c>
      <c r="G9" s="56">
        <f>SFP!F39</f>
        <v>782851.88</v>
      </c>
      <c r="H9" s="56">
        <f>SFP!G39</f>
        <v>782851.88</v>
      </c>
      <c r="I9" s="56">
        <f>SFP!H39</f>
        <v>782851.88</v>
      </c>
      <c r="J9" s="56">
        <f>SFP!I39</f>
        <v>782851.88</v>
      </c>
      <c r="K9" s="56">
        <f>SFP!J39</f>
        <v>782851.88</v>
      </c>
      <c r="L9" s="56">
        <f>SFP!K39</f>
        <v>0</v>
      </c>
      <c r="M9" s="56">
        <f>SFP!L39</f>
        <v>0</v>
      </c>
      <c r="N9" s="56">
        <f>SFP!M39</f>
        <v>0</v>
      </c>
      <c r="O9" s="56">
        <f>SFP!N39</f>
        <v>0</v>
      </c>
      <c r="P9" s="56">
        <f>SFP!O39</f>
        <v>0</v>
      </c>
      <c r="Q9" s="56">
        <f>SFP!P39</f>
        <v>0</v>
      </c>
      <c r="R9" s="56">
        <f>SFP!Q39</f>
        <v>0</v>
      </c>
      <c r="S9" s="56">
        <f>SFP!R39</f>
        <v>0</v>
      </c>
      <c r="T9" s="283">
        <f>SFP!S39</f>
        <v>0</v>
      </c>
      <c r="U9" s="56">
        <f>SFP!T39</f>
        <v>0</v>
      </c>
      <c r="V9" s="56">
        <f>SFP!U39</f>
        <v>0</v>
      </c>
      <c r="W9" s="56">
        <f>SFP!V39</f>
        <v>0</v>
      </c>
      <c r="X9" s="56">
        <f>SFP!W39</f>
        <v>0</v>
      </c>
      <c r="Y9" s="56">
        <f>SFP!X39</f>
        <v>0</v>
      </c>
      <c r="Z9" s="56">
        <f>SFP!Y39</f>
        <v>0</v>
      </c>
      <c r="AA9" s="56">
        <f>SFP!Z39</f>
        <v>0</v>
      </c>
      <c r="AB9" s="56">
        <f>SFP!AA39</f>
        <v>0</v>
      </c>
      <c r="AC9" s="56">
        <f>SFP!AB39</f>
        <v>0</v>
      </c>
      <c r="AD9" s="56">
        <f>SFP!AC39</f>
        <v>0</v>
      </c>
      <c r="AE9" s="56">
        <f>SFP!AD39</f>
        <v>0</v>
      </c>
      <c r="AF9" s="56">
        <f>SFP!AE39</f>
        <v>0</v>
      </c>
      <c r="AG9" s="56">
        <f>SFP!AF39</f>
        <v>7659</v>
      </c>
      <c r="AH9" s="56">
        <f>SFP!AG39</f>
        <v>10000000</v>
      </c>
      <c r="AI9" s="56">
        <f>SFP!AH39</f>
        <v>10000000</v>
      </c>
      <c r="AJ9" s="56">
        <f>SFP!AI39</f>
        <v>10000000</v>
      </c>
      <c r="AK9" s="56">
        <f>SFP!AJ39</f>
        <v>10000000</v>
      </c>
      <c r="AL9" s="56">
        <f>SFP!AK39</f>
        <v>9178063</v>
      </c>
      <c r="AM9" s="56">
        <f>SFP!AL39</f>
        <v>9178063</v>
      </c>
      <c r="AN9" s="56">
        <f>SFP!AM39</f>
        <v>0</v>
      </c>
      <c r="AO9" s="56">
        <f>SFP!AN39</f>
        <v>8354071</v>
      </c>
      <c r="AP9" s="56">
        <f>SFP!AO39</f>
        <v>8354071</v>
      </c>
      <c r="AQ9" s="56">
        <f>SFP!AP39</f>
        <v>7528019</v>
      </c>
      <c r="AR9" s="56">
        <f>SFP!AQ39</f>
        <v>7528019</v>
      </c>
      <c r="AS9" s="56">
        <f>SFP!AR39</f>
        <v>7528019</v>
      </c>
      <c r="AT9" s="56">
        <f>SFP!AS39</f>
        <v>7528019</v>
      </c>
      <c r="AU9" s="56">
        <f>SFP!AT39</f>
        <v>0</v>
      </c>
      <c r="AV9" s="56">
        <f>SFP!AU39</f>
        <v>0</v>
      </c>
      <c r="AW9" s="56">
        <f>SFP!AV39</f>
        <v>0</v>
      </c>
      <c r="AX9" s="56">
        <f>SFP!AW39</f>
        <v>0</v>
      </c>
      <c r="AY9" s="56">
        <f>SFP!AX39</f>
        <v>0</v>
      </c>
      <c r="AZ9" s="56">
        <f>SFP!AY39</f>
        <v>0</v>
      </c>
      <c r="BA9" s="56">
        <f>SFP!AZ39</f>
        <v>0</v>
      </c>
      <c r="BB9" s="56">
        <f>SFP!BA39</f>
        <v>0</v>
      </c>
      <c r="BC9" s="56">
        <f>SFP!BB39</f>
        <v>0</v>
      </c>
      <c r="BD9" s="56">
        <f>SFP!BC39</f>
        <v>0</v>
      </c>
      <c r="BE9" s="56">
        <f>SFP!BD39</f>
        <v>0</v>
      </c>
      <c r="BF9" s="56">
        <f>SFP!BE39</f>
        <v>0</v>
      </c>
      <c r="BG9" s="56">
        <f>SFP!BF39</f>
        <v>0</v>
      </c>
      <c r="BH9" s="56">
        <f>SFP!BG39</f>
        <v>0</v>
      </c>
      <c r="BI9" s="56">
        <f>SFP!BH39</f>
        <v>0</v>
      </c>
      <c r="BJ9" s="56">
        <f>SFP!BI39</f>
        <v>0</v>
      </c>
      <c r="BK9" s="56">
        <f>SFP!BJ39</f>
        <v>0</v>
      </c>
      <c r="BL9" s="56">
        <f>SFP!BK39</f>
        <v>0</v>
      </c>
      <c r="BM9" s="56">
        <f>SFP!BL39</f>
        <v>0</v>
      </c>
      <c r="BN9" s="56">
        <f>SFP!BM39</f>
        <v>0</v>
      </c>
      <c r="BO9" s="56">
        <f>SFP!BN39</f>
        <v>0</v>
      </c>
      <c r="BP9" s="56">
        <f>SFP!BO39</f>
        <v>0</v>
      </c>
      <c r="BQ9" s="56">
        <f>SFP!BP39</f>
        <v>0</v>
      </c>
      <c r="BR9" s="56">
        <f>SFP!BQ39</f>
        <v>0</v>
      </c>
      <c r="BS9" s="56">
        <f>SFP!BR39</f>
        <v>0</v>
      </c>
      <c r="BT9" s="56">
        <f>SFP!BS39</f>
        <v>0</v>
      </c>
      <c r="BU9" s="56">
        <f>SFP!BT39</f>
        <v>20000000</v>
      </c>
      <c r="BV9" s="56">
        <f>SFP!BU39</f>
        <v>19166666.670000002</v>
      </c>
      <c r="BW9" s="56">
        <f>SFP!BV39</f>
        <v>18333333.34</v>
      </c>
      <c r="BX9" s="56">
        <f>SFP!BW39</f>
        <v>17500000.010000002</v>
      </c>
      <c r="BY9" s="56">
        <f>SFP!BX39</f>
        <v>16666666.68</v>
      </c>
      <c r="BZ9" s="56">
        <f>SFP!BY39</f>
        <v>15833333.35</v>
      </c>
    </row>
    <row r="10" spans="1:87">
      <c r="A10" s="43">
        <v>4.0999999999999996</v>
      </c>
      <c r="B10" s="53" t="s">
        <v>120</v>
      </c>
      <c r="C10" s="75">
        <f>SFP!B34+SFP!B35+SFP!B36+SFP!B37+SFP!B38</f>
        <v>26338982</v>
      </c>
      <c r="D10" s="75">
        <f>SFP!C34+SFP!C35+SFP!C36+SFP!C37+SFP!C38</f>
        <v>26646429</v>
      </c>
      <c r="E10" s="75">
        <f>SFP!D34+SFP!D35+SFP!D36+SFP!D37+SFP!D38</f>
        <v>4642444.88</v>
      </c>
      <c r="F10" s="75">
        <f>SFP!E34+SFP!E35+SFP!E36+SFP!E37+SFP!E38</f>
        <v>27506533.770000003</v>
      </c>
      <c r="G10" s="75">
        <f>SFP!F34+SFP!F35+SFP!F36+SFP!F37+SFP!F38</f>
        <v>4912342.24</v>
      </c>
      <c r="H10" s="75">
        <f>SFP!G34+SFP!G35+SFP!G36+SFP!G37+SFP!G38</f>
        <v>3344665.8699999996</v>
      </c>
      <c r="I10" s="75">
        <f>SFP!H34+SFP!H35+SFP!H36+SFP!H37+SFP!H38</f>
        <v>3912962.56</v>
      </c>
      <c r="J10" s="75">
        <f>SFP!I34+SFP!I35+SFP!I36+SFP!I37+SFP!I38</f>
        <v>4714182.7699999996</v>
      </c>
      <c r="K10" s="75">
        <f>SFP!J34+SFP!J35+SFP!J36+SFP!J37+SFP!J38</f>
        <v>4009307.2199999997</v>
      </c>
      <c r="L10" s="75">
        <f>SFP!K34+SFP!K35+SFP!K36+SFP!K37+SFP!K38</f>
        <v>3988410.46</v>
      </c>
      <c r="M10" s="75">
        <f>SFP!L34+SFP!L35+SFP!L36+SFP!L37+SFP!L38</f>
        <v>3885943.55</v>
      </c>
      <c r="N10" s="75">
        <f>SFP!M34+SFP!M35+SFP!M36+SFP!M37+SFP!M38</f>
        <v>4386185.08</v>
      </c>
      <c r="O10" s="75">
        <f>SFP!N34+SFP!N35+SFP!N36+SFP!N37+SFP!N38</f>
        <v>5536688.46</v>
      </c>
      <c r="P10" s="75">
        <f>SFP!O34+SFP!O35+SFP!O36+SFP!O37+SFP!O38</f>
        <v>5312097.93</v>
      </c>
      <c r="Q10" s="75">
        <f>SFP!P34+SFP!P35+SFP!P36+SFP!P37+SFP!P38</f>
        <v>44511065</v>
      </c>
      <c r="R10" s="75">
        <f>SFP!Q34+SFP!Q35+SFP!Q36+SFP!Q37+SFP!Q38</f>
        <v>42236869</v>
      </c>
      <c r="S10" s="75">
        <f>SFP!R34+SFP!R35+SFP!R36+SFP!R37+SFP!R38</f>
        <v>3030683.19</v>
      </c>
      <c r="T10" s="284">
        <f>SFP!S34+SFP!S35+SFP!S36+SFP!S37+SFP!S38</f>
        <v>58156529</v>
      </c>
      <c r="U10" s="75">
        <f>SFP!T34+SFP!T35+SFP!T36+SFP!T37+SFP!T38</f>
        <v>3901907.32</v>
      </c>
      <c r="V10" s="75">
        <f>SFP!U34+SFP!U35+SFP!U36+SFP!U37+SFP!U38</f>
        <v>4415903.3899999997</v>
      </c>
      <c r="W10" s="75">
        <f>SFP!V34+SFP!V35+SFP!V36+SFP!V37+SFP!V38</f>
        <v>-44130680.829999998</v>
      </c>
      <c r="X10" s="75">
        <f>SFP!W34+SFP!W35+SFP!W36+SFP!W37+SFP!W38</f>
        <v>10574287.379999999</v>
      </c>
      <c r="Y10" s="75">
        <f>SFP!X34+SFP!X35+SFP!X36+SFP!X37+SFP!X38</f>
        <v>12876255.23</v>
      </c>
      <c r="Z10" s="75">
        <f>SFP!Y34+SFP!Y35+SFP!Y36+SFP!Y37+SFP!Y38</f>
        <v>10617409.810000001</v>
      </c>
      <c r="AA10" s="75">
        <f>SFP!Z34+SFP!Z35+SFP!Z36+SFP!Z37+SFP!Z38</f>
        <v>4011249.4600000004</v>
      </c>
      <c r="AB10" s="75">
        <f>SFP!AA34+SFP!AA35+SFP!AA36+SFP!AA37+SFP!AA38</f>
        <v>3628839.5100000002</v>
      </c>
      <c r="AC10" s="75">
        <f>SFP!AB34+SFP!AB35+SFP!AB36+SFP!AB37+SFP!AB38</f>
        <v>3848018.0700000003</v>
      </c>
      <c r="AD10" s="75">
        <f>SFP!AC34+SFP!AC35+SFP!AC36+SFP!AC37+SFP!AC38</f>
        <v>4009840.2700000005</v>
      </c>
      <c r="AE10" s="75">
        <f>SFP!AD34+SFP!AD35+SFP!AD36+SFP!AD37+SFP!AD38</f>
        <v>4569996.76</v>
      </c>
      <c r="AF10" s="75">
        <f>SFP!AE34+SFP!AE35+SFP!AE36+SFP!AE37+SFP!AE38</f>
        <v>4257508.2300000004</v>
      </c>
      <c r="AG10" s="75">
        <f>SFP!AF34+SFP!AF35+SFP!AF36+SFP!AF37+SFP!AF38</f>
        <v>64570649</v>
      </c>
      <c r="AH10" s="75">
        <f>SFP!AG34+SFP!AG35+SFP!AG36+SFP!AG37+SFP!AG38</f>
        <v>5147695.41</v>
      </c>
      <c r="AI10" s="75">
        <f>SFP!AH34+SFP!AH35+SFP!AH36+SFP!AH37+SFP!AH38</f>
        <v>7053624.8900000006</v>
      </c>
      <c r="AJ10" s="75">
        <f>SFP!AI34+SFP!AI35+SFP!AI36+SFP!AI37+SFP!AI38</f>
        <v>2702179.73</v>
      </c>
      <c r="AK10" s="75">
        <f>SFP!AJ34+SFP!AJ35+SFP!AJ36+SFP!AJ37+SFP!AJ38</f>
        <v>3428487.3800000004</v>
      </c>
      <c r="AL10" s="75">
        <f>SFP!AK34+SFP!AK35+SFP!AK36+SFP!AK37+SFP!AK38</f>
        <v>4400624.46</v>
      </c>
      <c r="AM10" s="75">
        <f>SFP!AL34+SFP!AL35+SFP!AL36+SFP!AL37+SFP!AL38</f>
        <v>4767956.3</v>
      </c>
      <c r="AN10" s="75">
        <f>SFP!AM34+SFP!AM35+SFP!AM36+SFP!AM37+SFP!AM38</f>
        <v>0</v>
      </c>
      <c r="AO10" s="75">
        <f>SFP!AN34+SFP!AN35+SFP!AN36+SFP!AN37+SFP!AN38</f>
        <v>4333517.54</v>
      </c>
      <c r="AP10" s="75">
        <f>SFP!AO34+SFP!AO35+SFP!AO36+SFP!AO37+SFP!AO38</f>
        <v>4872103.6499999994</v>
      </c>
      <c r="AQ10" s="75">
        <f>SFP!AP34+SFP!AP35+SFP!AP36+SFP!AP37+SFP!AP38</f>
        <v>3453060.6599999997</v>
      </c>
      <c r="AR10" s="75">
        <f>SFP!AQ34+SFP!AQ35+SFP!AQ36+SFP!AQ37+SFP!AQ38</f>
        <v>3835205.1300000004</v>
      </c>
      <c r="AS10" s="75">
        <f>SFP!AR34+SFP!AR35+SFP!AR36+SFP!AR37+SFP!AR38</f>
        <v>4565079.5200000005</v>
      </c>
      <c r="AT10" s="75">
        <f>SFP!AS34+SFP!AS35+SFP!AS36+SFP!AS37+SFP!AS38</f>
        <v>72931396</v>
      </c>
      <c r="AU10" s="75">
        <f>SFP!AT34+SFP!AT35+SFP!AT36+SFP!AT37+SFP!AT38</f>
        <v>19822101.369999997</v>
      </c>
      <c r="AV10" s="75">
        <f>SFP!AU34+SFP!AU35+SFP!AU36+SFP!AU37+SFP!AU38</f>
        <v>18930925.100000001</v>
      </c>
      <c r="AW10" s="75">
        <f>SFP!AV34+SFP!AV35+SFP!AV36+SFP!AV37+SFP!AV38</f>
        <v>18826128.859999999</v>
      </c>
      <c r="AX10" s="75">
        <f>SFP!AW34+SFP!AW35+SFP!AW36+SFP!AW37+SFP!AW38</f>
        <v>8249791.6200000001</v>
      </c>
      <c r="AY10" s="75">
        <f>SFP!AX34+SFP!AX35+SFP!AX36+SFP!AX37+SFP!AX38</f>
        <v>7609877.2599999998</v>
      </c>
      <c r="AZ10" s="75">
        <f>SFP!AY34+SFP!AY35+SFP!AY36+SFP!AY37+SFP!AY38</f>
        <v>7987275.9199999999</v>
      </c>
      <c r="BA10" s="75">
        <f>SFP!AZ34+SFP!AZ35+SFP!AZ36+SFP!AZ37+SFP!AZ38</f>
        <v>8675851.6199999992</v>
      </c>
      <c r="BB10" s="75">
        <f>SFP!BA34+SFP!BA35+SFP!BA36+SFP!BA37+SFP!BA38</f>
        <v>8807211.1699999999</v>
      </c>
      <c r="BC10" s="75">
        <f>SFP!BB34+SFP!BB35+SFP!BB36+SFP!BB37+SFP!BB38</f>
        <v>5146176.42</v>
      </c>
      <c r="BD10" s="75">
        <f>SFP!BC34+SFP!BC35+SFP!BC36+SFP!BC37+SFP!BC38</f>
        <v>5069346.8600000003</v>
      </c>
      <c r="BE10" s="75">
        <f>SFP!BD34+SFP!BD35+SFP!BD36+SFP!BD37+SFP!BD38</f>
        <v>3515679.83</v>
      </c>
      <c r="BF10" s="75">
        <f>SFP!BE34+SFP!BE35+SFP!BE36+SFP!BE37+SFP!BE38</f>
        <v>17773117.620000001</v>
      </c>
      <c r="BG10" s="75">
        <f>SFP!BF34+SFP!BF35+SFP!BF36+SFP!BF37+SFP!BF38</f>
        <v>4282730</v>
      </c>
      <c r="BH10" s="75">
        <f>SFP!BG34+SFP!BG35+SFP!BG36+SFP!BG37+SFP!BG38</f>
        <v>18854026.02</v>
      </c>
      <c r="BI10" s="75">
        <f>SFP!BH34+SFP!BH35+SFP!BH36+SFP!BH37+SFP!BH38</f>
        <v>19812587.670000002</v>
      </c>
      <c r="BJ10" s="75">
        <f>SFP!BI34+SFP!BI35+SFP!BI36+SFP!BI37+SFP!BI38</f>
        <v>19856825.259999998</v>
      </c>
      <c r="BK10" s="75">
        <f>SFP!BJ34+SFP!BJ35+SFP!BJ36+SFP!BJ37+SFP!BJ38</f>
        <v>6777879.0999999996</v>
      </c>
      <c r="BL10" s="75">
        <f>SFP!BK34+SFP!BK35+SFP!BK36+SFP!BK37+SFP!BK38</f>
        <v>6332473.79</v>
      </c>
      <c r="BM10" s="75">
        <f>SFP!BL34+SFP!BL35+SFP!BL36+SFP!BL37+SFP!BL38</f>
        <v>6639709.2699999996</v>
      </c>
      <c r="BN10" s="75">
        <f>SFP!BM34+SFP!BM35+SFP!BM36+SFP!BM37+SFP!BM38</f>
        <v>7508755.6600000001</v>
      </c>
      <c r="BO10" s="75">
        <f>SFP!BN34+SFP!BN35+SFP!BN36+SFP!BN37+SFP!BN38</f>
        <v>8007921.2999999998</v>
      </c>
      <c r="BP10" s="75">
        <f>SFP!BO34+SFP!BO35+SFP!BO36+SFP!BO37+SFP!BO38</f>
        <v>8998499.8900000006</v>
      </c>
      <c r="BQ10" s="75">
        <f>SFP!BP34+SFP!BP35+SFP!BP36+SFP!BP37+SFP!BP38</f>
        <v>8846914.3300000001</v>
      </c>
      <c r="BR10" s="75">
        <f>SFP!BQ34+SFP!BQ35+SFP!BQ36+SFP!BQ37+SFP!BQ38</f>
        <v>7359666.96</v>
      </c>
      <c r="BS10" s="75">
        <f>SFP!BR34+SFP!BR35+SFP!BR36+SFP!BR37+SFP!BR38</f>
        <v>8884158.5099999998</v>
      </c>
      <c r="BT10" s="75">
        <f>SFP!BS34+SFP!BS35+SFP!BS36+SFP!BS37+SFP!BS38</f>
        <v>10018423</v>
      </c>
      <c r="BU10" s="75">
        <f>SFP!BT34+SFP!BT35+SFP!BT36+SFP!BT37+SFP!BT38</f>
        <v>28284997.129999999</v>
      </c>
      <c r="BV10" s="75">
        <f>SFP!BU34+SFP!BU35+SFP!BU36+SFP!BU37+SFP!BU38</f>
        <v>28422450.370000001</v>
      </c>
      <c r="BW10" s="75">
        <f>SFP!BV34+SFP!BV35+SFP!BV36+SFP!BV37+SFP!BV38</f>
        <v>27222427.780000001</v>
      </c>
      <c r="BX10" s="75">
        <f>SFP!BW34+SFP!BW35+SFP!BW36+SFP!BW37+SFP!BW38</f>
        <v>24714539.740000002</v>
      </c>
      <c r="BY10" s="75">
        <f>SFP!BX34+SFP!BX35+SFP!BX36+SFP!BX37+SFP!BX38</f>
        <v>8309325.7300000004</v>
      </c>
      <c r="BZ10" s="75">
        <f>SFP!BY34+SFP!BY35+SFP!BY36+SFP!BY37+SFP!BY38</f>
        <v>7440560.0300000003</v>
      </c>
    </row>
    <row r="11" spans="1:87">
      <c r="A11" s="31"/>
      <c r="B11" s="32"/>
      <c r="C11" s="117"/>
      <c r="D11" s="117"/>
      <c r="E11" s="117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285"/>
      <c r="U11" s="117"/>
      <c r="V11" s="117"/>
      <c r="W11" s="117"/>
      <c r="X11" s="117"/>
      <c r="Y11" s="117"/>
      <c r="Z11" s="117"/>
      <c r="AA11" s="117"/>
      <c r="AB11" s="117"/>
      <c r="AC11" s="117"/>
      <c r="AD11" s="117"/>
      <c r="AE11" s="117"/>
      <c r="AF11" s="117"/>
      <c r="AG11" s="117"/>
      <c r="AH11" s="117"/>
      <c r="AI11" s="117"/>
      <c r="AJ11" s="117"/>
      <c r="AK11" s="117"/>
      <c r="AL11" s="117"/>
      <c r="AM11" s="117"/>
      <c r="AN11" s="117"/>
      <c r="AO11" s="117"/>
      <c r="AP11" s="117"/>
      <c r="AQ11" s="117"/>
      <c r="AR11" s="117"/>
      <c r="AS11" s="117"/>
      <c r="AT11" s="117"/>
      <c r="AU11" s="117"/>
      <c r="AV11" s="117"/>
      <c r="AW11" s="117"/>
      <c r="AX11" s="117"/>
      <c r="AY11" s="117"/>
      <c r="AZ11" s="117"/>
      <c r="BA11" s="117"/>
      <c r="BB11" s="117"/>
      <c r="BC11" s="117"/>
      <c r="BD11" s="117"/>
      <c r="BE11" s="117"/>
      <c r="BF11" s="117"/>
      <c r="BG11" s="117"/>
    </row>
    <row r="12" spans="1:87" ht="13.5" thickBot="1">
      <c r="A12" s="31"/>
      <c r="B12" s="32"/>
      <c r="C12" s="117"/>
      <c r="D12" s="117"/>
      <c r="E12" s="117"/>
      <c r="F12" s="117"/>
      <c r="G12" s="117"/>
      <c r="H12" s="117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285"/>
      <c r="U12" s="117"/>
      <c r="V12" s="117"/>
      <c r="W12" s="117"/>
      <c r="X12" s="117"/>
      <c r="Y12" s="117"/>
      <c r="Z12" s="117"/>
      <c r="AA12" s="117"/>
      <c r="AB12" s="117"/>
      <c r="AC12" s="117"/>
      <c r="AD12" s="117"/>
      <c r="AE12" s="117"/>
      <c r="AF12" s="117"/>
      <c r="AG12" s="117"/>
      <c r="AH12" s="117"/>
      <c r="AI12" s="117"/>
      <c r="AJ12" s="117"/>
      <c r="AK12" s="117"/>
      <c r="AL12" s="117"/>
      <c r="AM12" s="117"/>
      <c r="AN12" s="117"/>
      <c r="AO12" s="117"/>
      <c r="AP12" s="117"/>
      <c r="AQ12" s="117"/>
      <c r="AR12" s="117"/>
      <c r="AS12" s="117"/>
      <c r="AT12" s="117"/>
      <c r="AU12" s="117"/>
      <c r="AV12" s="117"/>
      <c r="AW12" s="117"/>
      <c r="AX12" s="117"/>
      <c r="AY12" s="117"/>
      <c r="AZ12" s="117"/>
      <c r="BA12" s="117"/>
      <c r="BB12" s="117"/>
      <c r="BC12" s="117"/>
      <c r="BD12" s="117"/>
      <c r="BE12" s="117"/>
      <c r="BF12" s="117"/>
      <c r="BG12" s="117"/>
    </row>
    <row r="13" spans="1:87" ht="12" customHeight="1">
      <c r="A13" s="33">
        <v>5</v>
      </c>
      <c r="B13" s="105" t="s">
        <v>121</v>
      </c>
      <c r="C13" s="118"/>
      <c r="D13" s="118"/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286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  <c r="AF13" s="118"/>
      <c r="AG13" s="118"/>
      <c r="AH13" s="118"/>
      <c r="AI13" s="118"/>
      <c r="AJ13" s="118"/>
      <c r="AK13" s="118"/>
      <c r="AL13" s="118"/>
      <c r="AM13" s="118"/>
      <c r="AN13" s="118"/>
      <c r="AO13" s="118"/>
      <c r="AP13" s="118"/>
      <c r="AQ13" s="118"/>
      <c r="AR13" s="118"/>
      <c r="AS13" s="118"/>
      <c r="AT13" s="118"/>
      <c r="AU13" s="118"/>
      <c r="AV13" s="118"/>
      <c r="AW13" s="118"/>
      <c r="AX13" s="118"/>
      <c r="AY13" s="118"/>
      <c r="AZ13" s="118"/>
      <c r="BA13" s="118"/>
      <c r="BB13" s="118"/>
      <c r="BC13" s="118"/>
      <c r="BD13" s="118"/>
      <c r="BE13" s="118"/>
      <c r="BF13" s="118"/>
      <c r="BG13" s="118"/>
    </row>
    <row r="14" spans="1:87" s="131" customFormat="1">
      <c r="A14" s="128">
        <v>5.0999999999999996</v>
      </c>
      <c r="B14" s="129" t="s">
        <v>122</v>
      </c>
      <c r="C14" s="130">
        <f>C17-C28</f>
        <v>25989635</v>
      </c>
      <c r="D14" s="130">
        <f>D17-D28</f>
        <v>35288687</v>
      </c>
      <c r="E14" s="130">
        <f>E17-E28</f>
        <v>94944699.390000001</v>
      </c>
      <c r="F14" s="130">
        <f>F17-F28</f>
        <v>75269883.280000001</v>
      </c>
      <c r="G14" s="130">
        <f>G17-G28</f>
        <v>78350880.049999997</v>
      </c>
      <c r="H14" s="130">
        <f t="shared" ref="H14:N14" si="0">H17-H28</f>
        <v>85261209.280000001</v>
      </c>
      <c r="I14" s="130">
        <f t="shared" si="0"/>
        <v>89373249.039999992</v>
      </c>
      <c r="J14" s="130">
        <f t="shared" si="0"/>
        <v>93106243.50999999</v>
      </c>
      <c r="K14" s="130">
        <f t="shared" si="0"/>
        <v>97580077.430000007</v>
      </c>
      <c r="L14" s="130">
        <f t="shared" si="0"/>
        <v>100425556.30000001</v>
      </c>
      <c r="M14" s="130">
        <f>M17-M28</f>
        <v>103107127.66999999</v>
      </c>
      <c r="N14" s="130">
        <f t="shared" si="0"/>
        <v>106567957</v>
      </c>
      <c r="O14" s="130">
        <f>O17-O28</f>
        <v>109946002.19999999</v>
      </c>
      <c r="P14" s="130">
        <f>P17-P28</f>
        <v>114270926.78999999</v>
      </c>
      <c r="Q14" s="130">
        <f>Q17-Q28</f>
        <v>52818796</v>
      </c>
      <c r="R14" s="130">
        <f>R17-R28</f>
        <v>62725036.920000002</v>
      </c>
      <c r="S14" s="130">
        <f>S17-S26</f>
        <v>150548018.83000001</v>
      </c>
      <c r="T14" s="287">
        <f>T17-T26</f>
        <v>88729697</v>
      </c>
      <c r="U14" s="130">
        <f t="shared" ref="U14:Z14" si="1">U17-U26</f>
        <v>155788125.82999998</v>
      </c>
      <c r="V14" s="130">
        <f t="shared" si="1"/>
        <v>163406421.19999999</v>
      </c>
      <c r="W14" s="130">
        <f t="shared" si="1"/>
        <v>167005526.25999999</v>
      </c>
      <c r="X14" s="130">
        <f t="shared" si="1"/>
        <v>111209857.65000001</v>
      </c>
      <c r="Y14" s="130">
        <f t="shared" si="1"/>
        <v>113818097.59999999</v>
      </c>
      <c r="Z14" s="130">
        <f t="shared" si="1"/>
        <v>123110101.06000002</v>
      </c>
      <c r="AA14" s="130">
        <f t="shared" ref="AA14:AF14" si="2">AA17-AA26</f>
        <v>130280372.44</v>
      </c>
      <c r="AB14" s="130">
        <f t="shared" si="2"/>
        <v>138380681.53999999</v>
      </c>
      <c r="AC14" s="130">
        <f t="shared" si="2"/>
        <v>139572031.21000001</v>
      </c>
      <c r="AD14" s="130">
        <f t="shared" si="2"/>
        <v>147676648.98000002</v>
      </c>
      <c r="AE14" s="130">
        <f t="shared" si="2"/>
        <v>154160326.92000002</v>
      </c>
      <c r="AF14" s="130">
        <f t="shared" si="2"/>
        <v>163632289.47</v>
      </c>
      <c r="AG14" s="130">
        <f>AG17</f>
        <v>102637695</v>
      </c>
      <c r="AH14" s="130">
        <f t="shared" ref="AH14:AT14" si="3">AH17</f>
        <v>172376660.25999999</v>
      </c>
      <c r="AI14" s="130">
        <f t="shared" si="3"/>
        <v>113756324.39999999</v>
      </c>
      <c r="AJ14" s="130">
        <f t="shared" si="3"/>
        <v>118742265.50999999</v>
      </c>
      <c r="AK14" s="130">
        <f t="shared" si="3"/>
        <v>128741747.95</v>
      </c>
      <c r="AL14" s="130">
        <f t="shared" si="3"/>
        <v>134531669.30000001</v>
      </c>
      <c r="AM14" s="130">
        <f t="shared" si="3"/>
        <v>141036332.93000001</v>
      </c>
      <c r="AN14" s="130">
        <f t="shared" si="3"/>
        <v>0</v>
      </c>
      <c r="AO14" s="130">
        <f t="shared" si="3"/>
        <v>153696855.67000002</v>
      </c>
      <c r="AP14" s="130">
        <f t="shared" si="3"/>
        <v>158214091.13000003</v>
      </c>
      <c r="AQ14" s="130">
        <f t="shared" si="3"/>
        <v>165578668.83000001</v>
      </c>
      <c r="AR14" s="130">
        <f t="shared" si="3"/>
        <v>171846368.25999999</v>
      </c>
      <c r="AS14" s="130">
        <f t="shared" si="3"/>
        <v>179885971.40000001</v>
      </c>
      <c r="AT14" s="130">
        <f t="shared" si="3"/>
        <v>103828792</v>
      </c>
      <c r="AU14" s="130">
        <f t="shared" ref="AU14:BG14" si="4">AU17</f>
        <v>62318938.520000003</v>
      </c>
      <c r="AV14" s="130">
        <f t="shared" si="4"/>
        <v>62166030.850000001</v>
      </c>
      <c r="AW14" s="130">
        <f t="shared" si="4"/>
        <v>64837344.75</v>
      </c>
      <c r="AX14" s="130">
        <f t="shared" si="4"/>
        <v>73348040.150000006</v>
      </c>
      <c r="AY14" s="130">
        <f t="shared" si="4"/>
        <v>76554845.849999994</v>
      </c>
      <c r="AZ14" s="130">
        <f t="shared" si="4"/>
        <v>77700708.150000006</v>
      </c>
      <c r="BA14" s="130">
        <f t="shared" si="4"/>
        <v>79695653.120000005</v>
      </c>
      <c r="BB14" s="130">
        <f t="shared" si="4"/>
        <v>81326497.239999995</v>
      </c>
      <c r="BC14" s="130">
        <f t="shared" si="4"/>
        <v>83998760.920000002</v>
      </c>
      <c r="BD14" s="130">
        <f t="shared" si="4"/>
        <v>86654592.280000001</v>
      </c>
      <c r="BE14" s="130">
        <f t="shared" si="4"/>
        <v>89440196.579999998</v>
      </c>
      <c r="BF14" s="130">
        <f t="shared" si="4"/>
        <v>73706994.63000001</v>
      </c>
      <c r="BG14" s="130">
        <f t="shared" ref="BG14:BY14" si="5">BG17</f>
        <v>76784140</v>
      </c>
      <c r="BH14" s="130">
        <f t="shared" si="5"/>
        <v>76169122.780000001</v>
      </c>
      <c r="BI14" s="130">
        <f t="shared" si="5"/>
        <v>75281436.280000001</v>
      </c>
      <c r="BJ14" s="130">
        <f t="shared" si="5"/>
        <v>83722482.420000002</v>
      </c>
      <c r="BK14" s="130">
        <f t="shared" si="5"/>
        <v>84616760.370000005</v>
      </c>
      <c r="BL14" s="130">
        <f t="shared" si="5"/>
        <v>84755653.670000002</v>
      </c>
      <c r="BM14" s="130">
        <f t="shared" si="5"/>
        <v>95221177.870000005</v>
      </c>
      <c r="BN14" s="130">
        <f t="shared" si="5"/>
        <v>98004130.179999992</v>
      </c>
      <c r="BO14" s="130">
        <f t="shared" si="5"/>
        <v>100975323.47000001</v>
      </c>
      <c r="BP14" s="130">
        <f t="shared" si="5"/>
        <v>104183775.22000001</v>
      </c>
      <c r="BQ14" s="130">
        <f t="shared" si="5"/>
        <v>105740160.61</v>
      </c>
      <c r="BR14" s="130">
        <f t="shared" si="5"/>
        <v>109971135.11</v>
      </c>
      <c r="BS14" s="130">
        <f t="shared" si="5"/>
        <v>116523063.48</v>
      </c>
      <c r="BT14" s="130">
        <f t="shared" si="5"/>
        <v>104819070</v>
      </c>
      <c r="BU14" s="130">
        <f t="shared" si="5"/>
        <v>84088098.980000004</v>
      </c>
      <c r="BV14" s="130">
        <f t="shared" si="5"/>
        <v>85792232.960000008</v>
      </c>
      <c r="BW14" s="130">
        <f t="shared" si="5"/>
        <v>88434172.010000005</v>
      </c>
      <c r="BX14" s="130">
        <f t="shared" si="5"/>
        <v>92841717.040000007</v>
      </c>
      <c r="BY14" s="130">
        <f t="shared" ref="BY14:BZ14" si="6">BY17</f>
        <v>102552759.05</v>
      </c>
      <c r="BZ14" s="130">
        <f t="shared" si="6"/>
        <v>116205788.11</v>
      </c>
    </row>
    <row r="15" spans="1:87" s="135" customFormat="1">
      <c r="A15" s="132">
        <v>5.2</v>
      </c>
      <c r="B15" s="133" t="s">
        <v>123</v>
      </c>
      <c r="C15" s="134">
        <f>C14-C18</f>
        <v>17964257</v>
      </c>
      <c r="D15" s="134">
        <f>D14-D18</f>
        <v>25529652</v>
      </c>
      <c r="E15" s="134">
        <f>E14-E18</f>
        <v>85006163.939999998</v>
      </c>
      <c r="F15" s="134">
        <f>F14-F18</f>
        <v>65331347.829999998</v>
      </c>
      <c r="G15" s="134">
        <f t="shared" ref="G15:N15" si="7">G14-G18</f>
        <v>67704198.769999996</v>
      </c>
      <c r="H15" s="134">
        <f t="shared" si="7"/>
        <v>72321718.760000005</v>
      </c>
      <c r="I15" s="134">
        <f t="shared" si="7"/>
        <v>74885989.339999989</v>
      </c>
      <c r="J15" s="134">
        <f t="shared" si="7"/>
        <v>77591254.149999991</v>
      </c>
      <c r="K15" s="134">
        <f t="shared" si="7"/>
        <v>81995621.360000014</v>
      </c>
      <c r="L15" s="134">
        <f t="shared" si="7"/>
        <v>84581004.910000011</v>
      </c>
      <c r="M15" s="134">
        <f t="shared" si="7"/>
        <v>87084771.629999995</v>
      </c>
      <c r="N15" s="134">
        <f t="shared" si="7"/>
        <v>90435950.950000003</v>
      </c>
      <c r="O15" s="134">
        <f t="shared" ref="O15:T15" si="8">O14-O18</f>
        <v>93702046.149999991</v>
      </c>
      <c r="P15" s="134">
        <f t="shared" si="8"/>
        <v>97901070.739999995</v>
      </c>
      <c r="Q15" s="134">
        <f t="shared" si="8"/>
        <v>36448940</v>
      </c>
      <c r="R15" s="134">
        <f t="shared" si="8"/>
        <v>44142127</v>
      </c>
      <c r="S15" s="134">
        <f t="shared" si="8"/>
        <v>127341823.72000001</v>
      </c>
      <c r="T15" s="288">
        <f t="shared" si="8"/>
        <v>65523502</v>
      </c>
      <c r="U15" s="134">
        <f t="shared" ref="U15:Z15" si="9">U14-U18</f>
        <v>131996813.03999999</v>
      </c>
      <c r="V15" s="134">
        <f t="shared" si="9"/>
        <v>139578976.91</v>
      </c>
      <c r="W15" s="134">
        <f t="shared" si="9"/>
        <v>142917002.03</v>
      </c>
      <c r="X15" s="134">
        <f t="shared" si="9"/>
        <v>87051630.75</v>
      </c>
      <c r="Y15" s="134">
        <f t="shared" si="9"/>
        <v>89639870.699999988</v>
      </c>
      <c r="Z15" s="134">
        <f t="shared" si="9"/>
        <v>98730332.050000012</v>
      </c>
      <c r="AA15" s="134">
        <f t="shared" ref="AA15:AG15" si="10">AA14-AA18</f>
        <v>105797353.22</v>
      </c>
      <c r="AB15" s="134">
        <f t="shared" si="10"/>
        <v>113628071.28999999</v>
      </c>
      <c r="AC15" s="134">
        <f t="shared" si="10"/>
        <v>114274865.32000001</v>
      </c>
      <c r="AD15" s="134">
        <f t="shared" si="10"/>
        <v>122093783.14000002</v>
      </c>
      <c r="AE15" s="134">
        <f t="shared" si="10"/>
        <v>128495161.10000002</v>
      </c>
      <c r="AF15" s="134">
        <f t="shared" si="10"/>
        <v>137828686.40000001</v>
      </c>
      <c r="AG15" s="134">
        <f t="shared" si="10"/>
        <v>76833092</v>
      </c>
      <c r="AH15" s="134">
        <f t="shared" ref="AH15:AT15" si="11">AH14-AH18</f>
        <v>146471109.72</v>
      </c>
      <c r="AI15" s="134">
        <f t="shared" si="11"/>
        <v>87763105.00999999</v>
      </c>
      <c r="AJ15" s="134">
        <f t="shared" si="11"/>
        <v>92500732.079999983</v>
      </c>
      <c r="AK15" s="134">
        <f t="shared" si="11"/>
        <v>102240181.36</v>
      </c>
      <c r="AL15" s="134">
        <f t="shared" si="11"/>
        <v>107922269.36000001</v>
      </c>
      <c r="AM15" s="134">
        <f t="shared" si="11"/>
        <v>114426932.99000001</v>
      </c>
      <c r="AN15" s="134">
        <f t="shared" si="11"/>
        <v>0</v>
      </c>
      <c r="AO15" s="134">
        <f t="shared" si="11"/>
        <v>126527516.59000002</v>
      </c>
      <c r="AP15" s="134">
        <f t="shared" si="11"/>
        <v>130897669.39000003</v>
      </c>
      <c r="AQ15" s="134">
        <f t="shared" si="11"/>
        <v>138142427.81</v>
      </c>
      <c r="AR15" s="134">
        <f t="shared" si="11"/>
        <v>144290337.25</v>
      </c>
      <c r="AS15" s="134">
        <f t="shared" si="11"/>
        <v>152149245.84</v>
      </c>
      <c r="AT15" s="134">
        <f t="shared" si="11"/>
        <v>76092066</v>
      </c>
      <c r="AU15" s="134">
        <f t="shared" ref="AU15:BG15" si="12">AU14-AU18</f>
        <v>34588291.350000001</v>
      </c>
      <c r="AV15" s="134">
        <f t="shared" si="12"/>
        <v>34270668.68</v>
      </c>
      <c r="AW15" s="134">
        <f t="shared" si="12"/>
        <v>36773244.079999998</v>
      </c>
      <c r="AX15" s="134">
        <f t="shared" si="12"/>
        <v>45167100.480000004</v>
      </c>
      <c r="AY15" s="134">
        <f t="shared" si="12"/>
        <v>48190329.179999992</v>
      </c>
      <c r="AZ15" s="134">
        <f t="shared" si="12"/>
        <v>49167157.480000004</v>
      </c>
      <c r="BA15" s="134">
        <f t="shared" si="12"/>
        <v>50988192.88000001</v>
      </c>
      <c r="BB15" s="134">
        <f t="shared" si="12"/>
        <v>52438447</v>
      </c>
      <c r="BC15" s="134">
        <f t="shared" si="12"/>
        <v>54932930.680000007</v>
      </c>
      <c r="BD15" s="134">
        <f t="shared" si="12"/>
        <v>57302957.040000007</v>
      </c>
      <c r="BE15" s="134">
        <f t="shared" si="12"/>
        <v>60003805.340000004</v>
      </c>
      <c r="BF15" s="134">
        <f t="shared" si="12"/>
        <v>44106879.390000015</v>
      </c>
      <c r="BG15" s="134">
        <f t="shared" ref="BG15:BY15" si="13">BG14-BG18</f>
        <v>47183025</v>
      </c>
      <c r="BH15" s="134">
        <f t="shared" si="13"/>
        <v>46324072.540000007</v>
      </c>
      <c r="BI15" s="134">
        <f t="shared" si="13"/>
        <v>45222837.040000007</v>
      </c>
      <c r="BJ15" s="134">
        <f t="shared" si="13"/>
        <v>48345842.82</v>
      </c>
      <c r="BK15" s="134">
        <f t="shared" si="13"/>
        <v>48917181.770000003</v>
      </c>
      <c r="BL15" s="134">
        <f t="shared" si="13"/>
        <v>49007069.07</v>
      </c>
      <c r="BM15" s="134">
        <f t="shared" si="13"/>
        <v>59249831.270000003</v>
      </c>
      <c r="BN15" s="134">
        <f t="shared" si="13"/>
        <v>60708571.579999991</v>
      </c>
      <c r="BO15" s="134">
        <f t="shared" si="13"/>
        <v>63529326.870000012</v>
      </c>
      <c r="BP15" s="134">
        <f t="shared" si="13"/>
        <v>66550122.620000012</v>
      </c>
      <c r="BQ15" s="134">
        <f t="shared" si="13"/>
        <v>67899698.00999999</v>
      </c>
      <c r="BR15" s="134">
        <f t="shared" si="13"/>
        <v>71218449.50999999</v>
      </c>
      <c r="BS15" s="134">
        <f t="shared" si="13"/>
        <v>77041974.879999995</v>
      </c>
      <c r="BT15" s="134">
        <f t="shared" si="13"/>
        <v>65339982</v>
      </c>
      <c r="BU15" s="134">
        <f t="shared" si="13"/>
        <v>49016667.380000003</v>
      </c>
      <c r="BV15" s="134">
        <f t="shared" si="13"/>
        <v>50644518.510000005</v>
      </c>
      <c r="BW15" s="134">
        <f t="shared" si="13"/>
        <v>52729183.520000003</v>
      </c>
      <c r="BX15" s="134">
        <f t="shared" si="13"/>
        <v>56752278.590000004</v>
      </c>
      <c r="BY15" s="134">
        <f t="shared" ref="BY15:BZ15" si="14">BY14-BY18</f>
        <v>65858372.140000001</v>
      </c>
      <c r="BZ15" s="134">
        <f t="shared" si="14"/>
        <v>79093534.879999995</v>
      </c>
    </row>
    <row r="16" spans="1:87">
      <c r="A16" s="36"/>
      <c r="B16" s="37"/>
      <c r="C16" s="117"/>
      <c r="D16" s="117"/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285"/>
      <c r="U16" s="117"/>
      <c r="V16" s="117"/>
      <c r="W16" s="117"/>
      <c r="X16" s="117"/>
      <c r="Y16" s="117"/>
      <c r="Z16" s="117"/>
      <c r="AA16" s="117"/>
      <c r="AB16" s="117"/>
      <c r="AC16" s="117"/>
      <c r="AD16" s="117"/>
      <c r="AE16" s="117"/>
      <c r="AF16" s="117"/>
      <c r="AG16" s="117"/>
      <c r="AH16" s="117"/>
      <c r="AI16" s="117"/>
      <c r="AJ16" s="117"/>
      <c r="AK16" s="117"/>
      <c r="AL16" s="117"/>
      <c r="AM16" s="117"/>
      <c r="AN16" s="117"/>
      <c r="AO16" s="117"/>
      <c r="AP16" s="117"/>
      <c r="AQ16" s="117"/>
      <c r="AR16" s="117"/>
      <c r="AS16" s="117"/>
      <c r="AT16" s="117"/>
      <c r="AU16" s="117"/>
      <c r="AV16" s="117"/>
      <c r="AW16" s="117"/>
      <c r="AX16" s="117"/>
      <c r="AY16" s="117"/>
      <c r="AZ16" s="117"/>
      <c r="BA16" s="117"/>
      <c r="BB16" s="117"/>
      <c r="BC16" s="117"/>
      <c r="BD16" s="117"/>
      <c r="BE16" s="117"/>
      <c r="BF16" s="117"/>
      <c r="BG16" s="117"/>
    </row>
    <row r="17" spans="1:78">
      <c r="A17" s="38">
        <v>5.3</v>
      </c>
      <c r="B17" s="28" t="s">
        <v>124</v>
      </c>
      <c r="C17" s="120">
        <f>SUM(C18:C21)</f>
        <v>25989635</v>
      </c>
      <c r="D17" s="120">
        <f>SUM(D18:D21)</f>
        <v>35288687</v>
      </c>
      <c r="E17" s="120">
        <f>SUM(E18:E21)</f>
        <v>94944699.390000001</v>
      </c>
      <c r="F17" s="120">
        <f>SUM(F18:F21)</f>
        <v>75269883.280000001</v>
      </c>
      <c r="G17" s="120">
        <f t="shared" ref="G17:S17" si="15">SUM(G18:G21)</f>
        <v>78350880.049999997</v>
      </c>
      <c r="H17" s="120">
        <f t="shared" si="15"/>
        <v>85261209.280000001</v>
      </c>
      <c r="I17" s="120">
        <f t="shared" si="15"/>
        <v>89373249.039999992</v>
      </c>
      <c r="J17" s="120">
        <f t="shared" si="15"/>
        <v>93106243.50999999</v>
      </c>
      <c r="K17" s="120">
        <f t="shared" si="15"/>
        <v>97580077.430000007</v>
      </c>
      <c r="L17" s="120">
        <f t="shared" si="15"/>
        <v>100425556.30000001</v>
      </c>
      <c r="M17" s="120">
        <f t="shared" si="15"/>
        <v>103107127.66999999</v>
      </c>
      <c r="N17" s="120">
        <f t="shared" si="15"/>
        <v>106567957</v>
      </c>
      <c r="O17" s="120">
        <f t="shared" si="15"/>
        <v>109946002.19999999</v>
      </c>
      <c r="P17" s="120">
        <f t="shared" si="15"/>
        <v>114270926.78999999</v>
      </c>
      <c r="Q17" s="120">
        <f t="shared" si="15"/>
        <v>52818796</v>
      </c>
      <c r="R17" s="120">
        <f t="shared" si="15"/>
        <v>62725036.920000002</v>
      </c>
      <c r="S17" s="120">
        <f t="shared" si="15"/>
        <v>188123042.57000002</v>
      </c>
      <c r="T17" s="289">
        <f>SUM(T18:T21)</f>
        <v>92958252</v>
      </c>
      <c r="U17" s="120">
        <f t="shared" ref="U17:Z17" si="16">SUM(U18:U21)</f>
        <v>160016680.76999998</v>
      </c>
      <c r="V17" s="120">
        <f t="shared" si="16"/>
        <v>167634976.13999999</v>
      </c>
      <c r="W17" s="120">
        <f t="shared" si="16"/>
        <v>171234081.19999999</v>
      </c>
      <c r="X17" s="120">
        <f t="shared" si="16"/>
        <v>115438412.59</v>
      </c>
      <c r="Y17" s="120">
        <f t="shared" si="16"/>
        <v>118046652.53999999</v>
      </c>
      <c r="Z17" s="120">
        <f t="shared" si="16"/>
        <v>127338656.00000001</v>
      </c>
      <c r="AA17" s="120">
        <f t="shared" ref="AA17:AG17" si="17">SUM(AA18:AA21)</f>
        <v>134508927.38</v>
      </c>
      <c r="AB17" s="120">
        <f t="shared" si="17"/>
        <v>142609236.47999999</v>
      </c>
      <c r="AC17" s="120">
        <f t="shared" si="17"/>
        <v>143800586.15000001</v>
      </c>
      <c r="AD17" s="120">
        <f t="shared" si="17"/>
        <v>151905203.92000002</v>
      </c>
      <c r="AE17" s="120">
        <f t="shared" si="17"/>
        <v>158388881.86000001</v>
      </c>
      <c r="AF17" s="120">
        <f t="shared" si="17"/>
        <v>167860844.41</v>
      </c>
      <c r="AG17" s="120">
        <f t="shared" si="17"/>
        <v>102637695</v>
      </c>
      <c r="AH17" s="120">
        <f t="shared" ref="AH17:AT17" si="18">SUM(AH18:AH21)</f>
        <v>172376660.25999999</v>
      </c>
      <c r="AI17" s="120">
        <f t="shared" si="18"/>
        <v>113756324.39999999</v>
      </c>
      <c r="AJ17" s="120">
        <f t="shared" si="18"/>
        <v>118742265.50999999</v>
      </c>
      <c r="AK17" s="120">
        <f t="shared" si="18"/>
        <v>128741747.95</v>
      </c>
      <c r="AL17" s="120">
        <f t="shared" si="18"/>
        <v>134531669.30000001</v>
      </c>
      <c r="AM17" s="120">
        <f t="shared" si="18"/>
        <v>141036332.93000001</v>
      </c>
      <c r="AN17" s="120">
        <f t="shared" si="18"/>
        <v>0</v>
      </c>
      <c r="AO17" s="120">
        <f t="shared" si="18"/>
        <v>153696855.67000002</v>
      </c>
      <c r="AP17" s="120">
        <f t="shared" si="18"/>
        <v>158214091.13000003</v>
      </c>
      <c r="AQ17" s="120">
        <f t="shared" si="18"/>
        <v>165578668.83000001</v>
      </c>
      <c r="AR17" s="120">
        <f t="shared" si="18"/>
        <v>171846368.25999999</v>
      </c>
      <c r="AS17" s="120">
        <f t="shared" si="18"/>
        <v>179885971.40000001</v>
      </c>
      <c r="AT17" s="120">
        <f t="shared" si="18"/>
        <v>103828792</v>
      </c>
      <c r="AU17" s="120">
        <f t="shared" ref="AU17:BG17" si="19">SUM(AU18:AU21)</f>
        <v>62318938.520000003</v>
      </c>
      <c r="AV17" s="120">
        <f t="shared" si="19"/>
        <v>62166030.850000001</v>
      </c>
      <c r="AW17" s="120">
        <f t="shared" si="19"/>
        <v>64837344.75</v>
      </c>
      <c r="AX17" s="120">
        <f t="shared" si="19"/>
        <v>73348040.150000006</v>
      </c>
      <c r="AY17" s="120">
        <f t="shared" si="19"/>
        <v>76554845.849999994</v>
      </c>
      <c r="AZ17" s="120">
        <f t="shared" si="19"/>
        <v>77700708.150000006</v>
      </c>
      <c r="BA17" s="120">
        <f t="shared" si="19"/>
        <v>79695653.120000005</v>
      </c>
      <c r="BB17" s="120">
        <f t="shared" si="19"/>
        <v>81326497.239999995</v>
      </c>
      <c r="BC17" s="120">
        <f t="shared" si="19"/>
        <v>83998760.920000002</v>
      </c>
      <c r="BD17" s="120">
        <f t="shared" si="19"/>
        <v>86654592.280000001</v>
      </c>
      <c r="BE17" s="120">
        <f t="shared" si="19"/>
        <v>89440196.579999998</v>
      </c>
      <c r="BF17" s="120">
        <f t="shared" si="19"/>
        <v>73706994.63000001</v>
      </c>
      <c r="BG17" s="120">
        <f t="shared" si="19"/>
        <v>76784140</v>
      </c>
      <c r="BH17" s="120">
        <f t="shared" ref="BH17:BY17" si="20">SUM(BH18:BH21)</f>
        <v>76169122.780000001</v>
      </c>
      <c r="BI17" s="120">
        <f t="shared" si="20"/>
        <v>75281436.280000001</v>
      </c>
      <c r="BJ17" s="120">
        <f t="shared" si="20"/>
        <v>83722482.420000002</v>
      </c>
      <c r="BK17" s="120">
        <f t="shared" si="20"/>
        <v>84616760.370000005</v>
      </c>
      <c r="BL17" s="120">
        <f t="shared" si="20"/>
        <v>84755653.670000002</v>
      </c>
      <c r="BM17" s="120">
        <f t="shared" si="20"/>
        <v>95221177.870000005</v>
      </c>
      <c r="BN17" s="120">
        <f t="shared" si="20"/>
        <v>98004130.179999992</v>
      </c>
      <c r="BO17" s="120">
        <f t="shared" si="20"/>
        <v>100975323.47000001</v>
      </c>
      <c r="BP17" s="120">
        <f t="shared" si="20"/>
        <v>104183775.22000001</v>
      </c>
      <c r="BQ17" s="120">
        <f t="shared" si="20"/>
        <v>105740160.61</v>
      </c>
      <c r="BR17" s="120">
        <f t="shared" si="20"/>
        <v>109971135.11</v>
      </c>
      <c r="BS17" s="120">
        <f t="shared" si="20"/>
        <v>116523063.48</v>
      </c>
      <c r="BT17" s="120">
        <f t="shared" si="20"/>
        <v>104819070</v>
      </c>
      <c r="BU17" s="120">
        <f t="shared" si="20"/>
        <v>84088098.980000004</v>
      </c>
      <c r="BV17" s="120">
        <f t="shared" si="20"/>
        <v>85792232.960000008</v>
      </c>
      <c r="BW17" s="120">
        <f t="shared" si="20"/>
        <v>88434172.010000005</v>
      </c>
      <c r="BX17" s="120">
        <f t="shared" si="20"/>
        <v>92841717.040000007</v>
      </c>
      <c r="BY17" s="120">
        <f t="shared" ref="BY17:BZ17" si="21">SUM(BY18:BY21)</f>
        <v>102552759.05</v>
      </c>
      <c r="BZ17" s="120">
        <f t="shared" si="21"/>
        <v>116205788.11</v>
      </c>
    </row>
    <row r="18" spans="1:78">
      <c r="A18" s="34" t="s">
        <v>125</v>
      </c>
      <c r="B18" s="106" t="s">
        <v>126</v>
      </c>
      <c r="C18" s="115">
        <f>SFP!B42</f>
        <v>8025378</v>
      </c>
      <c r="D18" s="115">
        <f>SFP!C42</f>
        <v>9759035</v>
      </c>
      <c r="E18" s="115">
        <f>SFP!D42</f>
        <v>9938535.4499999993</v>
      </c>
      <c r="F18" s="115">
        <f>SFP!E42</f>
        <v>9938535.4499999993</v>
      </c>
      <c r="G18" s="115">
        <f>SFP!F42</f>
        <v>10646681.279999999</v>
      </c>
      <c r="H18" s="115">
        <f>SFP!G42</f>
        <v>12939490.52</v>
      </c>
      <c r="I18" s="115">
        <f>SFP!H42</f>
        <v>14487259.699999999</v>
      </c>
      <c r="J18" s="115">
        <f>SFP!I42</f>
        <v>15514989.359999999</v>
      </c>
      <c r="K18" s="115">
        <f>SFP!J42</f>
        <v>15584456.07</v>
      </c>
      <c r="L18" s="115">
        <f>SFP!K42</f>
        <v>15844551.390000001</v>
      </c>
      <c r="M18" s="115">
        <f>SFP!L42</f>
        <v>16022356.039999999</v>
      </c>
      <c r="N18" s="115">
        <f>SFP!M42</f>
        <v>16132006.050000001</v>
      </c>
      <c r="O18" s="115">
        <f>SFP!N42</f>
        <v>16243956.050000001</v>
      </c>
      <c r="P18" s="115">
        <f>SFP!O42</f>
        <v>16369856.050000001</v>
      </c>
      <c r="Q18" s="115">
        <f>SFP!P42</f>
        <v>16369856</v>
      </c>
      <c r="R18" s="115">
        <f>SFP!Q42</f>
        <v>18582909.920000002</v>
      </c>
      <c r="S18" s="115">
        <f>SFP!R42</f>
        <v>23206195.109999999</v>
      </c>
      <c r="T18" s="290">
        <f>SFP!S42</f>
        <v>23206195</v>
      </c>
      <c r="U18" s="115">
        <f>SFP!T42</f>
        <v>23791312.789999999</v>
      </c>
      <c r="V18" s="115">
        <f>SFP!U42</f>
        <v>23827444.289999999</v>
      </c>
      <c r="W18" s="115">
        <f>SFP!V42</f>
        <v>24088524.23</v>
      </c>
      <c r="X18" s="115">
        <f>SFP!W42</f>
        <v>24158226.899999999</v>
      </c>
      <c r="Y18" s="115">
        <f>SFP!X42</f>
        <v>24178226.899999999</v>
      </c>
      <c r="Z18" s="115">
        <f>SFP!Y42</f>
        <v>24379769.010000002</v>
      </c>
      <c r="AA18" s="115">
        <f>SFP!Z42</f>
        <v>24483019.219999999</v>
      </c>
      <c r="AB18" s="115">
        <f>SFP!AA42</f>
        <v>24752610.25</v>
      </c>
      <c r="AC18" s="115">
        <f>SFP!AB42</f>
        <v>25297165.890000001</v>
      </c>
      <c r="AD18" s="115">
        <f>SFP!AC42</f>
        <v>25582865.84</v>
      </c>
      <c r="AE18" s="115">
        <f>SFP!AD42</f>
        <v>25665165.82</v>
      </c>
      <c r="AF18" s="115">
        <f>SFP!AE42</f>
        <v>25803603.07</v>
      </c>
      <c r="AG18" s="115">
        <f>SFP!AF42</f>
        <v>25804603</v>
      </c>
      <c r="AH18" s="115">
        <f>SFP!AG42</f>
        <v>25905550.539999999</v>
      </c>
      <c r="AI18" s="115">
        <f>SFP!AH42</f>
        <v>25993219.390000001</v>
      </c>
      <c r="AJ18" s="115">
        <f>SFP!AI42</f>
        <v>26241533.43</v>
      </c>
      <c r="AK18" s="115">
        <f>SFP!AJ42</f>
        <v>26501566.59</v>
      </c>
      <c r="AL18" s="115">
        <f>SFP!AK42</f>
        <v>26609399.940000001</v>
      </c>
      <c r="AM18" s="115">
        <f>SFP!AL42</f>
        <v>26609399.940000001</v>
      </c>
      <c r="AN18" s="115">
        <f>SFP!AM42</f>
        <v>0</v>
      </c>
      <c r="AO18" s="115">
        <f>SFP!AN42</f>
        <v>27169339.079999998</v>
      </c>
      <c r="AP18" s="115">
        <f>SFP!AO42</f>
        <v>27316421.739999998</v>
      </c>
      <c r="AQ18" s="115">
        <f>SFP!AP42</f>
        <v>27436241.02</v>
      </c>
      <c r="AR18" s="115">
        <f>SFP!AQ42</f>
        <v>27556031.010000002</v>
      </c>
      <c r="AS18" s="115">
        <f>SFP!AR42</f>
        <v>27736725.559999999</v>
      </c>
      <c r="AT18" s="115">
        <f>SFP!AS42</f>
        <v>27736726</v>
      </c>
      <c r="AU18" s="115">
        <f>SFP!AT42</f>
        <v>27730647.170000002</v>
      </c>
      <c r="AV18" s="115">
        <f>SFP!AU42</f>
        <v>27895362.170000002</v>
      </c>
      <c r="AW18" s="115">
        <f>SFP!AV42</f>
        <v>28064100.670000002</v>
      </c>
      <c r="AX18" s="115">
        <f>SFP!AW42</f>
        <v>28180939.670000002</v>
      </c>
      <c r="AY18" s="115">
        <f>SFP!AX42</f>
        <v>28364516.670000002</v>
      </c>
      <c r="AZ18" s="115">
        <f>SFP!AY42</f>
        <v>28533550.670000002</v>
      </c>
      <c r="BA18" s="115">
        <f>SFP!AZ42</f>
        <v>28707460.239999998</v>
      </c>
      <c r="BB18" s="115">
        <f>SFP!BA42</f>
        <v>28888050.239999998</v>
      </c>
      <c r="BC18" s="115">
        <f>SFP!BB42</f>
        <v>29065830.239999998</v>
      </c>
      <c r="BD18" s="115">
        <f>SFP!BC42</f>
        <v>29351635.239999998</v>
      </c>
      <c r="BE18" s="115">
        <f>SFP!BD42</f>
        <v>29436391.239999998</v>
      </c>
      <c r="BF18" s="115">
        <f>SFP!BE42</f>
        <v>29600115.239999998</v>
      </c>
      <c r="BG18" s="115">
        <f>SFP!BF42</f>
        <v>29601115</v>
      </c>
      <c r="BH18" s="115">
        <f>SFP!BG42</f>
        <v>29845050.239999998</v>
      </c>
      <c r="BI18" s="115">
        <f>SFP!BH42</f>
        <v>30058599.239999998</v>
      </c>
      <c r="BJ18" s="115">
        <f>SFP!BI42</f>
        <v>35376639.600000001</v>
      </c>
      <c r="BK18" s="115">
        <f>SFP!BJ42</f>
        <v>35699578.600000001</v>
      </c>
      <c r="BL18" s="115">
        <f>SFP!BK42</f>
        <v>35748584.600000001</v>
      </c>
      <c r="BM18" s="115">
        <f>SFP!BL42</f>
        <v>35971346.600000001</v>
      </c>
      <c r="BN18" s="115">
        <f>SFP!BM42</f>
        <v>37295558.600000001</v>
      </c>
      <c r="BO18" s="115">
        <f>SFP!BN42</f>
        <v>37445996.600000001</v>
      </c>
      <c r="BP18" s="115">
        <f>SFP!BO42</f>
        <v>37633652.600000001</v>
      </c>
      <c r="BQ18" s="115">
        <f>SFP!BP42</f>
        <v>37840462.600000001</v>
      </c>
      <c r="BR18" s="115">
        <f>SFP!BQ42</f>
        <v>38752685.600000001</v>
      </c>
      <c r="BS18" s="115">
        <f>SFP!BR42</f>
        <v>39481088.600000001</v>
      </c>
      <c r="BT18" s="115">
        <f>SFP!BS42</f>
        <v>39479088</v>
      </c>
      <c r="BU18" s="115">
        <f>SFP!BT42</f>
        <v>35071431.600000001</v>
      </c>
      <c r="BV18" s="115">
        <f>SFP!BU42</f>
        <v>35147714.450000003</v>
      </c>
      <c r="BW18" s="115">
        <f>SFP!BV42</f>
        <v>35704988.490000002</v>
      </c>
      <c r="BX18" s="115">
        <f>SFP!BW42</f>
        <v>36089438.450000003</v>
      </c>
      <c r="BY18" s="115">
        <f>SFP!BX42</f>
        <v>36694386.909999996</v>
      </c>
      <c r="BZ18" s="115">
        <f>SFP!BY42</f>
        <v>37112253.229999997</v>
      </c>
    </row>
    <row r="19" spans="1:78">
      <c r="A19" s="34" t="s">
        <v>127</v>
      </c>
      <c r="B19" s="104" t="s">
        <v>128</v>
      </c>
      <c r="C19" s="115">
        <f>SFP!B45</f>
        <v>2911424</v>
      </c>
      <c r="D19" s="115">
        <f>SFP!C45</f>
        <v>17652005</v>
      </c>
      <c r="E19" s="115">
        <f>SFP!D45</f>
        <v>78460465.269999996</v>
      </c>
      <c r="F19" s="115">
        <f>SFP!E45</f>
        <v>21809943.959999997</v>
      </c>
      <c r="G19" s="115">
        <f>SFP!F45</f>
        <v>24152568.899999999</v>
      </c>
      <c r="H19" s="115">
        <f>SFP!G45</f>
        <v>29428468.129999999</v>
      </c>
      <c r="I19" s="115">
        <f>SFP!H45</f>
        <v>31931788.710000001</v>
      </c>
      <c r="J19" s="115">
        <f>SFP!I45</f>
        <v>34574303.519999996</v>
      </c>
      <c r="K19" s="115">
        <f>SFP!J45</f>
        <v>38915720.729999997</v>
      </c>
      <c r="L19" s="115">
        <f>SFP!K45</f>
        <v>41437154.280000001</v>
      </c>
      <c r="M19" s="115">
        <f>SFP!L45</f>
        <v>43876171</v>
      </c>
      <c r="N19" s="115">
        <f>SFP!M45</f>
        <v>47157150.319999993</v>
      </c>
      <c r="O19" s="115">
        <f>SFP!N45</f>
        <v>50355045.519999996</v>
      </c>
      <c r="P19" s="115">
        <f>SFP!O45</f>
        <v>54485470.109999999</v>
      </c>
      <c r="Q19" s="115">
        <f>SFP!P45</f>
        <v>26497005</v>
      </c>
      <c r="R19" s="115">
        <f>SFP!Q45</f>
        <v>32236241</v>
      </c>
      <c r="S19" s="115">
        <f>SFP!R45</f>
        <v>117031115.94</v>
      </c>
      <c r="T19" s="290">
        <f>SFP!S45</f>
        <v>51321512</v>
      </c>
      <c r="U19" s="115">
        <f>SFP!T45</f>
        <v>121465963.59999999</v>
      </c>
      <c r="V19" s="115">
        <f>SFP!U45</f>
        <v>128949127.47</v>
      </c>
      <c r="W19" s="115">
        <f>SFP!V45</f>
        <v>132542868.59</v>
      </c>
      <c r="X19" s="115">
        <f>SFP!W45</f>
        <v>74400048.310000002</v>
      </c>
      <c r="Y19" s="115">
        <f>SFP!X45</f>
        <v>76878688.260000005</v>
      </c>
      <c r="Z19" s="115">
        <f>SFP!Y45</f>
        <v>85864949.650000006</v>
      </c>
      <c r="AA19" s="115">
        <f>SFP!Z45</f>
        <v>93184886.819999993</v>
      </c>
      <c r="AB19" s="115">
        <f>SFP!AA45</f>
        <v>99683828.890000001</v>
      </c>
      <c r="AC19" s="115">
        <f>SFP!AB45</f>
        <v>100230622.92</v>
      </c>
      <c r="AD19" s="115">
        <f>SFP!AC45</f>
        <v>107949016.96000001</v>
      </c>
      <c r="AE19" s="115">
        <f>SFP!AD45</f>
        <v>114251194.92</v>
      </c>
      <c r="AF19" s="115">
        <f>SFP!AE45</f>
        <v>123085520.22</v>
      </c>
      <c r="AG19" s="115">
        <f>SFP!AF45</f>
        <v>55605601</v>
      </c>
      <c r="AH19" s="115">
        <f>SFP!AG45</f>
        <v>128336022.84</v>
      </c>
      <c r="AI19" s="115">
        <f>SFP!AH45</f>
        <v>66734272.129999995</v>
      </c>
      <c r="AJ19" s="115">
        <f>SFP!AI45</f>
        <v>71369899.200000003</v>
      </c>
      <c r="AK19" s="115">
        <f>SFP!AJ45</f>
        <v>81010548.480000004</v>
      </c>
      <c r="AL19" s="115">
        <f>SFP!AK45</f>
        <v>87371753.480000004</v>
      </c>
      <c r="AM19" s="115">
        <f>SFP!AL45</f>
        <v>93777017.109999999</v>
      </c>
      <c r="AN19" s="115">
        <f>SFP!AM45</f>
        <v>0</v>
      </c>
      <c r="AO19" s="115">
        <f>SFP!AN45</f>
        <v>106067859.21000001</v>
      </c>
      <c r="AP19" s="115">
        <f>SFP!AO45</f>
        <v>109274164.77000001</v>
      </c>
      <c r="AQ19" s="115">
        <f>SFP!AP45</f>
        <v>117865428.93000001</v>
      </c>
      <c r="AR19" s="115">
        <f>SFP!AQ45</f>
        <v>123919738.37</v>
      </c>
      <c r="AS19" s="115">
        <f>SFP!AR45</f>
        <v>130921754.79000001</v>
      </c>
      <c r="AT19" s="115">
        <f>SFP!AS45</f>
        <v>53276768</v>
      </c>
      <c r="AU19" s="115">
        <f>SFP!AT45</f>
        <v>23875073.350000001</v>
      </c>
      <c r="AV19" s="115">
        <f>SFP!AU45</f>
        <v>17482575.68</v>
      </c>
      <c r="AW19" s="115">
        <f>SFP!AV45</f>
        <v>19985151.080000002</v>
      </c>
      <c r="AX19" s="115">
        <f>SFP!AW45</f>
        <v>28379007.48</v>
      </c>
      <c r="AY19" s="115">
        <f>SFP!AX45</f>
        <v>31402236.18</v>
      </c>
      <c r="AZ19" s="115">
        <f>SFP!AY45</f>
        <v>32379064.48</v>
      </c>
      <c r="BA19" s="115">
        <f>SFP!AZ45</f>
        <v>34200099.880000003</v>
      </c>
      <c r="BB19" s="115">
        <f>SFP!BA45</f>
        <v>35650354</v>
      </c>
      <c r="BC19" s="115">
        <f>SFP!BB45</f>
        <v>38144837.68</v>
      </c>
      <c r="BD19" s="115">
        <f>SFP!BC45</f>
        <v>40514864.039999999</v>
      </c>
      <c r="BE19" s="115">
        <f>SFP!BD45</f>
        <v>43215712.340000004</v>
      </c>
      <c r="BF19" s="115">
        <f>SFP!BE45</f>
        <v>27353755.440000001</v>
      </c>
      <c r="BG19" s="115">
        <f>SFP!BF45</f>
        <v>29297369</v>
      </c>
      <c r="BH19" s="115">
        <f>SFP!BG45</f>
        <v>25509842.559999999</v>
      </c>
      <c r="BI19" s="115">
        <f>SFP!BH45</f>
        <v>27872151.059999999</v>
      </c>
      <c r="BJ19" s="115">
        <f>SFP!BI45</f>
        <v>28904175.559999999</v>
      </c>
      <c r="BK19" s="115">
        <f>SFP!BJ45</f>
        <v>31531526.77</v>
      </c>
      <c r="BL19" s="115">
        <f>SFP!BK45</f>
        <v>31621414.07</v>
      </c>
      <c r="BM19" s="115">
        <f>SFP!BL45</f>
        <v>41869225.289999999</v>
      </c>
      <c r="BN19" s="115">
        <f>SFP!BM45</f>
        <v>43327965.599999994</v>
      </c>
      <c r="BO19" s="115">
        <f>SFP!BN45</f>
        <v>46148720.890000001</v>
      </c>
      <c r="BP19" s="115">
        <f>SFP!BO45</f>
        <v>49169516.640000001</v>
      </c>
      <c r="BQ19" s="115">
        <f>SFP!BP45</f>
        <v>50519092.030000001</v>
      </c>
      <c r="BR19" s="115">
        <f>SFP!BQ45</f>
        <v>53837843.530000001</v>
      </c>
      <c r="BS19" s="115">
        <f>SFP!BR45</f>
        <v>58668447.519999996</v>
      </c>
      <c r="BT19" s="115">
        <f>SFP!BS45</f>
        <v>43162140</v>
      </c>
      <c r="BU19" s="115">
        <f>SFP!BT45</f>
        <v>23351854.020000003</v>
      </c>
      <c r="BV19" s="115">
        <f>SFP!BU45</f>
        <v>24979705.150000002</v>
      </c>
      <c r="BW19" s="115">
        <f>SFP!BV45</f>
        <v>27064370.16</v>
      </c>
      <c r="BX19" s="115">
        <f>SFP!BW45</f>
        <v>31087465.23</v>
      </c>
      <c r="BY19" s="115">
        <f>SFP!BX45</f>
        <v>39020972.549999997</v>
      </c>
      <c r="BZ19" s="115">
        <f>SFP!BY45</f>
        <v>52261562.710000001</v>
      </c>
    </row>
    <row r="20" spans="1:78">
      <c r="A20" s="34" t="s">
        <v>129</v>
      </c>
      <c r="B20" s="104" t="s">
        <v>130</v>
      </c>
      <c r="C20" s="115">
        <f>SFP!B50</f>
        <v>6343633</v>
      </c>
      <c r="D20" s="115">
        <f>SFP!C50</f>
        <v>7743437</v>
      </c>
      <c r="E20" s="115">
        <f>SFP!D50</f>
        <v>6343633</v>
      </c>
      <c r="F20" s="115">
        <f>SFP!E50</f>
        <v>7743437</v>
      </c>
      <c r="G20" s="115">
        <f>SFP!F50</f>
        <v>7743437</v>
      </c>
      <c r="H20" s="115">
        <f>SFP!G50</f>
        <v>7743437</v>
      </c>
      <c r="I20" s="115">
        <f>SFP!H50</f>
        <v>7743437</v>
      </c>
      <c r="J20" s="115">
        <f>SFP!I50</f>
        <v>7743437</v>
      </c>
      <c r="K20" s="115">
        <f>SFP!J50</f>
        <v>7743437</v>
      </c>
      <c r="L20" s="115">
        <f>SFP!K50</f>
        <v>7743437</v>
      </c>
      <c r="M20" s="115">
        <f>SFP!L50</f>
        <v>7743437</v>
      </c>
      <c r="N20" s="115">
        <f>SFP!M50</f>
        <v>7743437</v>
      </c>
      <c r="O20" s="115">
        <f>SFP!N50</f>
        <v>7743437</v>
      </c>
      <c r="P20" s="115">
        <f>SFP!O50</f>
        <v>7743437</v>
      </c>
      <c r="Q20" s="115">
        <f>SFP!P50</f>
        <v>10254671</v>
      </c>
      <c r="R20" s="115">
        <f>SFP!Q50</f>
        <v>12578932</v>
      </c>
      <c r="S20" s="115">
        <f>SFP!R50</f>
        <v>16119086</v>
      </c>
      <c r="T20" s="290">
        <f>SFP!S50</f>
        <v>18296335</v>
      </c>
      <c r="U20" s="115">
        <f>SFP!T50</f>
        <v>16119086</v>
      </c>
      <c r="V20" s="115">
        <f>SFP!U50</f>
        <v>16119086</v>
      </c>
      <c r="W20" s="115">
        <f>SFP!V50</f>
        <v>16119086</v>
      </c>
      <c r="X20" s="115">
        <f>SFP!W50</f>
        <v>18296335</v>
      </c>
      <c r="Y20" s="115">
        <f>SFP!X50</f>
        <v>18296335</v>
      </c>
      <c r="Z20" s="115">
        <f>SFP!Y50</f>
        <v>18296335</v>
      </c>
      <c r="AA20" s="115">
        <f>SFP!Z50</f>
        <v>18296335</v>
      </c>
      <c r="AB20" s="115">
        <f>SFP!AA50</f>
        <v>18296335</v>
      </c>
      <c r="AC20" s="115">
        <f>SFP!AB50</f>
        <v>18296335</v>
      </c>
      <c r="AD20" s="115">
        <f>SFP!AC50</f>
        <v>18296335</v>
      </c>
      <c r="AE20" s="115">
        <f>SFP!AD50</f>
        <v>18296335</v>
      </c>
      <c r="AF20" s="115">
        <f>SFP!AE50</f>
        <v>18296335</v>
      </c>
      <c r="AG20" s="115">
        <f>SFP!AF50</f>
        <v>21093281</v>
      </c>
      <c r="AH20" s="115">
        <f>SFP!AG50</f>
        <v>18296335</v>
      </c>
      <c r="AI20" s="115">
        <f>SFP!AH50</f>
        <v>21093281</v>
      </c>
      <c r="AJ20" s="115">
        <f>SFP!AI50</f>
        <v>21093281</v>
      </c>
      <c r="AK20" s="115">
        <f>SFP!AJ50</f>
        <v>21093281</v>
      </c>
      <c r="AL20" s="115">
        <f>SFP!AK50</f>
        <v>21093281</v>
      </c>
      <c r="AM20" s="115">
        <f>SFP!AL50</f>
        <v>21093281</v>
      </c>
      <c r="AN20" s="115">
        <f>SFP!AM50</f>
        <v>0</v>
      </c>
      <c r="AO20" s="115">
        <f>SFP!AN50</f>
        <v>21093281</v>
      </c>
      <c r="AP20" s="115">
        <f>SFP!AO50</f>
        <v>21093281</v>
      </c>
      <c r="AQ20" s="115">
        <f>SFP!AP50</f>
        <v>21093281</v>
      </c>
      <c r="AR20" s="115">
        <f>SFP!AQ50</f>
        <v>21093281</v>
      </c>
      <c r="AS20" s="115">
        <f>SFP!AR50</f>
        <v>21093281</v>
      </c>
      <c r="AT20" s="115">
        <f>SFP!AS50</f>
        <v>22681088</v>
      </c>
      <c r="AU20" s="115">
        <f>SFP!AT50</f>
        <v>10713218</v>
      </c>
      <c r="AV20" s="115">
        <f>SFP!AU50</f>
        <v>14685279</v>
      </c>
      <c r="AW20" s="115">
        <f>SFP!AV50</f>
        <v>14685279</v>
      </c>
      <c r="AX20" s="115">
        <f>SFP!AW50</f>
        <v>14685279</v>
      </c>
      <c r="AY20" s="115">
        <f>SFP!AX50</f>
        <v>14685279</v>
      </c>
      <c r="AZ20" s="115">
        <f>SFP!AY50</f>
        <v>14685279</v>
      </c>
      <c r="BA20" s="115">
        <f>SFP!AZ50</f>
        <v>14685279</v>
      </c>
      <c r="BB20" s="115">
        <f>SFP!BA50</f>
        <v>14685279</v>
      </c>
      <c r="BC20" s="115">
        <f>SFP!BB50</f>
        <v>14685279</v>
      </c>
      <c r="BD20" s="115">
        <f>SFP!BC50</f>
        <v>14685279</v>
      </c>
      <c r="BE20" s="115">
        <f>SFP!BD50</f>
        <v>14685279</v>
      </c>
      <c r="BF20" s="115">
        <f>SFP!BE50</f>
        <v>14685279</v>
      </c>
      <c r="BG20" s="115">
        <f>SFP!BF50</f>
        <v>17385656</v>
      </c>
      <c r="BH20" s="115">
        <f>SFP!BG50</f>
        <v>18746385</v>
      </c>
      <c r="BI20" s="115">
        <f>SFP!BH50</f>
        <v>17350685.98</v>
      </c>
      <c r="BJ20" s="115">
        <f>SFP!BI50</f>
        <v>17385655</v>
      </c>
      <c r="BK20" s="115">
        <f>SFP!BJ50</f>
        <v>17385655</v>
      </c>
      <c r="BL20" s="115">
        <f>SFP!BK50</f>
        <v>17385655</v>
      </c>
      <c r="BM20" s="115">
        <f>SFP!BL50</f>
        <v>17380605.98</v>
      </c>
      <c r="BN20" s="115">
        <f>SFP!BM50</f>
        <v>17380605.98</v>
      </c>
      <c r="BO20" s="115">
        <f>SFP!BN50</f>
        <v>17380605.98</v>
      </c>
      <c r="BP20" s="115">
        <f>SFP!BO50</f>
        <v>17380605.98</v>
      </c>
      <c r="BQ20" s="115">
        <f>SFP!BP50</f>
        <v>17380605.98</v>
      </c>
      <c r="BR20" s="115">
        <f>SFP!BQ50</f>
        <v>17380605.98</v>
      </c>
      <c r="BS20" s="115">
        <f>SFP!BR50</f>
        <v>17380605.98</v>
      </c>
      <c r="BT20" s="115">
        <f>SFP!BS50</f>
        <v>21677842</v>
      </c>
      <c r="BU20" s="115">
        <f>SFP!BT50</f>
        <v>21677841</v>
      </c>
      <c r="BV20" s="115">
        <f>SFP!BU50</f>
        <v>21677841</v>
      </c>
      <c r="BW20" s="115">
        <f>SFP!BV50</f>
        <v>21677841</v>
      </c>
      <c r="BX20" s="115">
        <f>SFP!BW50</f>
        <v>21677841</v>
      </c>
      <c r="BY20" s="115">
        <f>SFP!BX50</f>
        <v>21677841</v>
      </c>
      <c r="BZ20" s="115">
        <f>SFP!BY50</f>
        <v>21677841</v>
      </c>
    </row>
    <row r="21" spans="1:78">
      <c r="A21" s="34" t="s">
        <v>131</v>
      </c>
      <c r="B21" s="104" t="s">
        <v>132</v>
      </c>
      <c r="C21" s="115">
        <f>SFP!B51</f>
        <v>8709200</v>
      </c>
      <c r="D21" s="115">
        <f>SFP!C51</f>
        <v>134210</v>
      </c>
      <c r="E21" s="115">
        <f>SFP!D51</f>
        <v>202065.67</v>
      </c>
      <c r="F21" s="115">
        <f>SFP!E51</f>
        <v>35777966.869999997</v>
      </c>
      <c r="G21" s="115">
        <f>SFP!F51</f>
        <v>35808192.869999997</v>
      </c>
      <c r="H21" s="115">
        <f>SFP!G51</f>
        <v>35149813.630000003</v>
      </c>
      <c r="I21" s="115">
        <f>SFP!H51</f>
        <v>35210763.630000003</v>
      </c>
      <c r="J21" s="115">
        <f>SFP!I51</f>
        <v>35273513.630000003</v>
      </c>
      <c r="K21" s="115">
        <f>SFP!J51</f>
        <v>35336463.630000003</v>
      </c>
      <c r="L21" s="115">
        <f>SFP!K51</f>
        <v>35400413.630000003</v>
      </c>
      <c r="M21" s="115">
        <f>SFP!L51</f>
        <v>35465163.630000003</v>
      </c>
      <c r="N21" s="115">
        <f>SFP!M51</f>
        <v>35535363.630000003</v>
      </c>
      <c r="O21" s="115">
        <f>SFP!N51</f>
        <v>35603563.630000003</v>
      </c>
      <c r="P21" s="115">
        <f>SFP!O51</f>
        <v>35672163.630000003</v>
      </c>
      <c r="Q21" s="115">
        <f>SFP!P51</f>
        <v>-302736</v>
      </c>
      <c r="R21" s="115">
        <f>SFP!Q51</f>
        <v>-673046</v>
      </c>
      <c r="S21" s="115">
        <f>SFP!R51</f>
        <v>31766645.52</v>
      </c>
      <c r="T21" s="290">
        <f>SFP!S51</f>
        <v>134210</v>
      </c>
      <c r="U21" s="115">
        <f>SFP!T51</f>
        <v>-1359681.62</v>
      </c>
      <c r="V21" s="115">
        <f>SFP!U51</f>
        <v>-1260681.6200000001</v>
      </c>
      <c r="W21" s="115">
        <f>SFP!V51</f>
        <v>-1516397.62</v>
      </c>
      <c r="X21" s="115">
        <f>SFP!W51</f>
        <v>-1416197.62</v>
      </c>
      <c r="Y21" s="115">
        <f>SFP!X51</f>
        <v>-1306597.6200000001</v>
      </c>
      <c r="Z21" s="115">
        <f>SFP!Y51</f>
        <v>-1202397.6599999999</v>
      </c>
      <c r="AA21" s="115">
        <f>SFP!Z51</f>
        <v>-1455313.66</v>
      </c>
      <c r="AB21" s="115">
        <f>SFP!AA51</f>
        <v>-123537.66</v>
      </c>
      <c r="AC21" s="115">
        <f>SFP!AB51</f>
        <v>-23537.66</v>
      </c>
      <c r="AD21" s="115">
        <f>SFP!AC51</f>
        <v>76986.12</v>
      </c>
      <c r="AE21" s="115">
        <f>SFP!AD51</f>
        <v>176186.12</v>
      </c>
      <c r="AF21" s="115">
        <f>SFP!AE51</f>
        <v>675386.12</v>
      </c>
      <c r="AG21" s="115">
        <f>SFP!AF51</f>
        <v>134210</v>
      </c>
      <c r="AH21" s="115">
        <f>SFP!AG51</f>
        <v>-161248.12</v>
      </c>
      <c r="AI21" s="115">
        <f>SFP!AH51</f>
        <v>-64448.12</v>
      </c>
      <c r="AJ21" s="115">
        <f>SFP!AI51</f>
        <v>37551.879999999997</v>
      </c>
      <c r="AK21" s="115">
        <f>SFP!AJ51</f>
        <v>136351.88</v>
      </c>
      <c r="AL21" s="115">
        <f>SFP!AK51</f>
        <v>-542765.12</v>
      </c>
      <c r="AM21" s="115">
        <f>SFP!AL51</f>
        <v>-443365.12</v>
      </c>
      <c r="AN21" s="115">
        <f>SFP!AM51</f>
        <v>0</v>
      </c>
      <c r="AO21" s="115">
        <f>SFP!AN51</f>
        <v>-633623.62</v>
      </c>
      <c r="AP21" s="115">
        <f>SFP!AO51</f>
        <v>530223.62</v>
      </c>
      <c r="AQ21" s="115">
        <f>SFP!AP51</f>
        <v>-816282.12</v>
      </c>
      <c r="AR21" s="115">
        <f>SFP!AQ51</f>
        <v>-722682.12</v>
      </c>
      <c r="AS21" s="115">
        <f>SFP!AR51</f>
        <v>134210.04999999999</v>
      </c>
      <c r="AT21" s="115">
        <f>SFP!AS51</f>
        <v>134210</v>
      </c>
      <c r="AU21" s="115">
        <f>SFP!AT51</f>
        <v>0</v>
      </c>
      <c r="AV21" s="115">
        <f>SFP!AU51</f>
        <v>2102814</v>
      </c>
      <c r="AW21" s="115">
        <f>SFP!AV51</f>
        <v>2102814</v>
      </c>
      <c r="AX21" s="115">
        <f>SFP!AW51</f>
        <v>2102814</v>
      </c>
      <c r="AY21" s="115">
        <f>SFP!AX51</f>
        <v>2102814</v>
      </c>
      <c r="AZ21" s="115">
        <f>SFP!AY51</f>
        <v>2102814</v>
      </c>
      <c r="BA21" s="115">
        <f>SFP!AZ51</f>
        <v>2102814</v>
      </c>
      <c r="BB21" s="115">
        <f>SFP!BA51</f>
        <v>2102814</v>
      </c>
      <c r="BC21" s="115">
        <f>SFP!BB51</f>
        <v>2102814</v>
      </c>
      <c r="BD21" s="115">
        <f>SFP!BC51</f>
        <v>2102814</v>
      </c>
      <c r="BE21" s="115">
        <f>SFP!BD51</f>
        <v>2102814</v>
      </c>
      <c r="BF21" s="115">
        <f>SFP!BE51</f>
        <v>2067844.95</v>
      </c>
      <c r="BG21" s="115">
        <f>SFP!BF51</f>
        <v>500000</v>
      </c>
      <c r="BH21" s="115">
        <f>SFP!BG51</f>
        <v>2067844.98</v>
      </c>
      <c r="BI21" s="115">
        <f>SFP!BH51</f>
        <v>0</v>
      </c>
      <c r="BJ21" s="115">
        <f>SFP!BI51</f>
        <v>2056012.26</v>
      </c>
      <c r="BK21" s="115">
        <f>SFP!BJ51</f>
        <v>0</v>
      </c>
      <c r="BL21" s="115">
        <f>SFP!BK51</f>
        <v>0</v>
      </c>
      <c r="BM21" s="115">
        <f>SFP!BL51</f>
        <v>0</v>
      </c>
      <c r="BN21" s="115">
        <f>SFP!BM51</f>
        <v>0</v>
      </c>
      <c r="BO21" s="115">
        <f>SFP!BN51</f>
        <v>0</v>
      </c>
      <c r="BP21" s="115">
        <f>SFP!BO51</f>
        <v>0</v>
      </c>
      <c r="BQ21" s="115">
        <f>SFP!BP51</f>
        <v>0</v>
      </c>
      <c r="BR21" s="115">
        <f>SFP!BQ51</f>
        <v>0</v>
      </c>
      <c r="BS21" s="115">
        <f>SFP!BR51</f>
        <v>992921.38</v>
      </c>
      <c r="BT21" s="115">
        <f>SFP!BS51</f>
        <v>500000</v>
      </c>
      <c r="BU21" s="115">
        <f>SFP!BT51</f>
        <v>3986972.36</v>
      </c>
      <c r="BV21" s="115">
        <f>SFP!BU51</f>
        <v>3986972.36</v>
      </c>
      <c r="BW21" s="115">
        <f>SFP!BV51</f>
        <v>3986972.36</v>
      </c>
      <c r="BX21" s="115">
        <f>SFP!BW51</f>
        <v>3986972.36</v>
      </c>
      <c r="BY21" s="115">
        <f>SFP!BX51</f>
        <v>5159558.59</v>
      </c>
      <c r="BZ21" s="115">
        <f>SFP!BY51</f>
        <v>5154131.17</v>
      </c>
    </row>
    <row r="22" spans="1:78">
      <c r="A22" s="34" t="s">
        <v>133</v>
      </c>
      <c r="B22" s="107" t="s">
        <v>134</v>
      </c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15"/>
      <c r="T22" s="290"/>
      <c r="U22" s="115"/>
      <c r="V22" s="115"/>
      <c r="W22" s="115"/>
      <c r="X22" s="115"/>
      <c r="Y22" s="115"/>
      <c r="Z22" s="115"/>
      <c r="AA22" s="115"/>
      <c r="AB22" s="115"/>
      <c r="AC22" s="115"/>
      <c r="AD22" s="115"/>
      <c r="AE22" s="115"/>
      <c r="AF22" s="115"/>
      <c r="AG22" s="115"/>
      <c r="AH22" s="115"/>
      <c r="AI22" s="115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5"/>
      <c r="BF22" s="115"/>
      <c r="BG22" s="115"/>
      <c r="BH22" s="115"/>
      <c r="BI22" s="115"/>
      <c r="BJ22" s="115"/>
      <c r="BK22" s="115"/>
      <c r="BL22" s="115"/>
      <c r="BM22" s="115"/>
      <c r="BN22" s="115"/>
      <c r="BO22" s="115"/>
      <c r="BP22" s="115"/>
      <c r="BQ22" s="115"/>
      <c r="BR22" s="115"/>
      <c r="BS22" s="115"/>
      <c r="BT22" s="115"/>
      <c r="BU22" s="115"/>
      <c r="BV22" s="115"/>
      <c r="BW22" s="115"/>
      <c r="BX22" s="115"/>
      <c r="BY22" s="115"/>
    </row>
    <row r="23" spans="1:78">
      <c r="A23" s="39" t="s">
        <v>135</v>
      </c>
      <c r="B23" s="104" t="s">
        <v>136</v>
      </c>
      <c r="C23" s="115">
        <f>SFP!B53</f>
        <v>1302538</v>
      </c>
      <c r="D23" s="115">
        <f>SFP!C53</f>
        <v>0</v>
      </c>
      <c r="E23" s="115">
        <f>SFP!D53</f>
        <v>0</v>
      </c>
      <c r="F23" s="115">
        <f>SFP!E53</f>
        <v>0</v>
      </c>
      <c r="G23" s="115">
        <f>SFP!F53</f>
        <v>0</v>
      </c>
      <c r="H23" s="115">
        <f>SFP!G53</f>
        <v>0</v>
      </c>
      <c r="I23" s="115">
        <f>SFP!H53</f>
        <v>0</v>
      </c>
      <c r="J23" s="115">
        <f>SFP!I53</f>
        <v>0</v>
      </c>
      <c r="K23" s="115">
        <f>SFP!J53</f>
        <v>0</v>
      </c>
      <c r="L23" s="115">
        <f>SFP!K53</f>
        <v>0</v>
      </c>
      <c r="M23" s="115">
        <f>SFP!L53</f>
        <v>0</v>
      </c>
      <c r="N23" s="115">
        <f>SFP!M53</f>
        <v>0</v>
      </c>
      <c r="O23" s="115">
        <f>SFP!N53</f>
        <v>0</v>
      </c>
      <c r="P23" s="115">
        <f>SFP!O53</f>
        <v>0</v>
      </c>
      <c r="Q23" s="115">
        <f>SFP!P53</f>
        <v>0</v>
      </c>
      <c r="R23" s="115">
        <f>SFP!Q53</f>
        <v>3561607</v>
      </c>
      <c r="S23" s="115">
        <f>SFP!R53</f>
        <v>0</v>
      </c>
      <c r="T23" s="290">
        <f>SFP!S53</f>
        <v>5756280</v>
      </c>
      <c r="U23" s="115">
        <f>SFP!T53</f>
        <v>0</v>
      </c>
      <c r="V23" s="115">
        <f>SFP!U53</f>
        <v>0</v>
      </c>
      <c r="W23" s="115">
        <f>SFP!V53</f>
        <v>0</v>
      </c>
      <c r="X23" s="115">
        <f>SFP!W53</f>
        <v>0</v>
      </c>
      <c r="Y23" s="115">
        <f>SFP!X53</f>
        <v>0</v>
      </c>
      <c r="Z23" s="115">
        <f>SFP!Y53</f>
        <v>0</v>
      </c>
      <c r="AA23" s="115">
        <f>SFP!Z53</f>
        <v>0</v>
      </c>
      <c r="AB23" s="115">
        <f>SFP!AA53</f>
        <v>0</v>
      </c>
      <c r="AC23" s="115">
        <f>SFP!AB53</f>
        <v>0</v>
      </c>
      <c r="AD23" s="115">
        <f>SFP!AC53</f>
        <v>0</v>
      </c>
      <c r="AE23" s="115">
        <f>SFP!AD53</f>
        <v>0</v>
      </c>
      <c r="AF23" s="115">
        <f>SFP!AE53</f>
        <v>0</v>
      </c>
      <c r="AG23" s="115">
        <f>SFP!AF53</f>
        <v>0</v>
      </c>
      <c r="AH23" s="115">
        <f>SFP!AG53</f>
        <v>0</v>
      </c>
      <c r="AI23" s="115">
        <f>SFP!AH53</f>
        <v>0</v>
      </c>
      <c r="AJ23" s="115">
        <f>SFP!AI53</f>
        <v>0</v>
      </c>
      <c r="AK23" s="115">
        <f>SFP!AJ53</f>
        <v>0</v>
      </c>
      <c r="AL23" s="115">
        <f>SFP!AK53</f>
        <v>0</v>
      </c>
      <c r="AM23" s="115">
        <f>SFP!AL53</f>
        <v>0</v>
      </c>
      <c r="AN23" s="115">
        <f>SFP!AM53</f>
        <v>0</v>
      </c>
      <c r="AO23" s="115">
        <f>SFP!AN53</f>
        <v>0</v>
      </c>
      <c r="AP23" s="115">
        <f>SFP!AO53</f>
        <v>0</v>
      </c>
      <c r="AQ23" s="115">
        <f>SFP!AP53</f>
        <v>0</v>
      </c>
      <c r="AR23" s="115">
        <f>SFP!AQ53</f>
        <v>0</v>
      </c>
      <c r="AS23" s="115">
        <f>SFP!AR53</f>
        <v>0</v>
      </c>
      <c r="AT23" s="115">
        <f>SFP!AS53</f>
        <v>7916516</v>
      </c>
      <c r="AU23" s="115">
        <f>SFP!AT53</f>
        <v>0</v>
      </c>
      <c r="AV23" s="115">
        <f>SFP!AU53</f>
        <v>0</v>
      </c>
      <c r="AW23" s="115">
        <f>SFP!AV53</f>
        <v>0</v>
      </c>
      <c r="AX23" s="115">
        <f>SFP!AW53</f>
        <v>0</v>
      </c>
      <c r="AY23" s="115">
        <f>SFP!AX53</f>
        <v>0</v>
      </c>
      <c r="AZ23" s="115">
        <f>SFP!AY53</f>
        <v>0</v>
      </c>
      <c r="BA23" s="115">
        <f>SFP!AZ53</f>
        <v>0</v>
      </c>
      <c r="BB23" s="115">
        <f>SFP!BA53</f>
        <v>0</v>
      </c>
      <c r="BC23" s="115">
        <f>SFP!BB53</f>
        <v>0</v>
      </c>
      <c r="BD23" s="115">
        <f>SFP!BC53</f>
        <v>0</v>
      </c>
      <c r="BE23" s="115">
        <f>SFP!BD53</f>
        <v>0</v>
      </c>
      <c r="BF23" s="115">
        <f>SFP!BE53</f>
        <v>0</v>
      </c>
      <c r="BG23" s="115">
        <f>SFP!BF53</f>
        <v>13711000</v>
      </c>
      <c r="BH23" s="115">
        <f>SFP!BG53</f>
        <v>0</v>
      </c>
      <c r="BI23" s="115">
        <f>SFP!BH53</f>
        <v>0</v>
      </c>
      <c r="BJ23" s="115">
        <f>SFP!BI53</f>
        <v>0</v>
      </c>
      <c r="BK23" s="115">
        <f>SFP!BJ53</f>
        <v>0</v>
      </c>
      <c r="BL23" s="115">
        <f>SFP!BK53</f>
        <v>0</v>
      </c>
      <c r="BM23" s="115">
        <f>SFP!BL53</f>
        <v>0</v>
      </c>
      <c r="BN23" s="115">
        <f>SFP!BM53</f>
        <v>0</v>
      </c>
      <c r="BO23" s="115">
        <f>SFP!BN53</f>
        <v>0</v>
      </c>
      <c r="BP23" s="115">
        <f>SFP!BO53</f>
        <v>0</v>
      </c>
      <c r="BQ23" s="115">
        <f>SFP!BP53</f>
        <v>0</v>
      </c>
      <c r="BR23" s="115">
        <f>SFP!BQ53</f>
        <v>0</v>
      </c>
      <c r="BS23" s="115">
        <f>SFP!BR53</f>
        <v>0</v>
      </c>
      <c r="BT23" s="115">
        <f>SFP!BS53</f>
        <v>17505856</v>
      </c>
      <c r="BU23" s="115">
        <f>SFP!BT53</f>
        <v>0</v>
      </c>
      <c r="BV23" s="115">
        <f>SFP!BU53</f>
        <v>0</v>
      </c>
      <c r="BW23" s="115">
        <f>SFP!BV53</f>
        <v>0</v>
      </c>
      <c r="BX23" s="115">
        <f>SFP!BW53</f>
        <v>0</v>
      </c>
      <c r="BY23" s="115">
        <f>SFP!BX53</f>
        <v>0</v>
      </c>
      <c r="BZ23" s="115">
        <f>SFP!BY53</f>
        <v>0</v>
      </c>
    </row>
    <row r="24" spans="1:78">
      <c r="A24" s="40" t="s">
        <v>137</v>
      </c>
      <c r="B24" s="108"/>
      <c r="C24" s="119"/>
      <c r="D24" s="119"/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19"/>
      <c r="R24" s="119"/>
      <c r="S24" s="119"/>
      <c r="T24" s="291"/>
      <c r="U24" s="119"/>
      <c r="V24" s="119"/>
      <c r="W24" s="119"/>
      <c r="X24" s="119"/>
      <c r="Y24" s="119"/>
      <c r="Z24" s="119"/>
      <c r="AA24" s="119"/>
      <c r="AB24" s="119"/>
      <c r="AC24" s="119"/>
      <c r="AD24" s="119"/>
      <c r="AE24" s="119"/>
      <c r="AF24" s="119"/>
      <c r="AG24" s="119"/>
      <c r="AH24" s="119"/>
      <c r="AI24" s="119"/>
      <c r="AJ24" s="119"/>
      <c r="AK24" s="119"/>
      <c r="AL24" s="119"/>
      <c r="AM24" s="119"/>
      <c r="AN24" s="119"/>
      <c r="AO24" s="119"/>
      <c r="AP24" s="119"/>
      <c r="AQ24" s="119"/>
      <c r="AR24" s="119"/>
      <c r="AS24" s="119"/>
      <c r="AT24" s="119"/>
      <c r="AU24" s="119"/>
      <c r="AV24" s="119"/>
      <c r="AW24" s="119"/>
      <c r="AX24" s="119"/>
      <c r="AY24" s="119"/>
      <c r="AZ24" s="119"/>
      <c r="BA24" s="119"/>
      <c r="BB24" s="119"/>
      <c r="BC24" s="119"/>
      <c r="BD24" s="119"/>
      <c r="BE24" s="119"/>
      <c r="BF24" s="119"/>
      <c r="BG24" s="119"/>
    </row>
    <row r="25" spans="1:78">
      <c r="A25" s="31"/>
      <c r="B25" s="41"/>
      <c r="C25" s="117"/>
      <c r="D25" s="117"/>
      <c r="E25" s="117"/>
      <c r="F25" s="117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285"/>
      <c r="U25" s="117"/>
      <c r="V25" s="117"/>
      <c r="W25" s="117"/>
      <c r="X25" s="117"/>
      <c r="Y25" s="117"/>
      <c r="Z25" s="117"/>
      <c r="AA25" s="117"/>
      <c r="AB25" s="117"/>
      <c r="AC25" s="117"/>
      <c r="AD25" s="117"/>
      <c r="AE25" s="117"/>
      <c r="AF25" s="117"/>
      <c r="AG25" s="117"/>
      <c r="AH25" s="117"/>
      <c r="AI25" s="117"/>
      <c r="AJ25" s="117"/>
      <c r="AK25" s="117"/>
      <c r="AL25" s="117"/>
      <c r="AM25" s="117"/>
      <c r="AN25" s="117"/>
      <c r="AO25" s="117"/>
      <c r="AP25" s="117"/>
      <c r="AQ25" s="117"/>
      <c r="AR25" s="117"/>
      <c r="AS25" s="117"/>
      <c r="AT25" s="117"/>
      <c r="AU25" s="117"/>
      <c r="AV25" s="117"/>
      <c r="AW25" s="117"/>
      <c r="AX25" s="117"/>
      <c r="AY25" s="117"/>
      <c r="AZ25" s="117"/>
      <c r="BA25" s="117"/>
      <c r="BB25" s="117"/>
      <c r="BC25" s="117"/>
      <c r="BD25" s="117"/>
      <c r="BE25" s="117"/>
      <c r="BF25" s="117"/>
      <c r="BG25" s="117"/>
    </row>
    <row r="26" spans="1:78">
      <c r="A26" s="33">
        <v>6</v>
      </c>
      <c r="B26" s="109" t="s">
        <v>138</v>
      </c>
      <c r="C26" s="118">
        <f>C27+C28+C29</f>
        <v>17863697</v>
      </c>
      <c r="D26" s="118">
        <f>D27+D28+D29</f>
        <v>44310422</v>
      </c>
      <c r="E26" s="118">
        <f>E27+E28+E29</f>
        <v>44310422.190000005</v>
      </c>
      <c r="F26" s="118">
        <f>F27+F28+F29</f>
        <v>39760613.200000003</v>
      </c>
      <c r="G26" s="118">
        <f t="shared" ref="G26:S26" si="22">G27+G28+G29</f>
        <v>39760613.200000003</v>
      </c>
      <c r="H26" s="118">
        <f t="shared" si="22"/>
        <v>39760613.200000003</v>
      </c>
      <c r="I26" s="118">
        <f t="shared" si="22"/>
        <v>39760613.200000003</v>
      </c>
      <c r="J26" s="118">
        <f t="shared" si="22"/>
        <v>39760613.200000003</v>
      </c>
      <c r="K26" s="118">
        <f t="shared" si="22"/>
        <v>39760613.200000003</v>
      </c>
      <c r="L26" s="118">
        <f t="shared" si="22"/>
        <v>39760613.200000003</v>
      </c>
      <c r="M26" s="118">
        <f t="shared" si="22"/>
        <v>39760613.200000003</v>
      </c>
      <c r="N26" s="118">
        <f t="shared" si="22"/>
        <v>39760613.200000003</v>
      </c>
      <c r="O26" s="118">
        <f t="shared" si="22"/>
        <v>39760613.200000003</v>
      </c>
      <c r="P26" s="118">
        <f t="shared" si="22"/>
        <v>39760613.200000003</v>
      </c>
      <c r="Q26" s="118">
        <f t="shared" si="22"/>
        <v>33323406</v>
      </c>
      <c r="R26" s="118">
        <f t="shared" si="22"/>
        <v>31181179</v>
      </c>
      <c r="S26" s="118">
        <f t="shared" si="22"/>
        <v>37575023.740000002</v>
      </c>
      <c r="T26" s="286">
        <f>T27+T28+T29</f>
        <v>4228555</v>
      </c>
      <c r="U26" s="118">
        <f t="shared" ref="U26:Z26" si="23">U27+U28+U29</f>
        <v>4228554.9400000004</v>
      </c>
      <c r="V26" s="118">
        <f t="shared" si="23"/>
        <v>4228554.9400000004</v>
      </c>
      <c r="W26" s="118">
        <f t="shared" si="23"/>
        <v>4228554.9400000004</v>
      </c>
      <c r="X26" s="118">
        <f t="shared" si="23"/>
        <v>4228554.9400000004</v>
      </c>
      <c r="Y26" s="118">
        <f t="shared" si="23"/>
        <v>4228554.9400000004</v>
      </c>
      <c r="Z26" s="118">
        <f t="shared" si="23"/>
        <v>4228554.9400000004</v>
      </c>
      <c r="AA26" s="118">
        <f t="shared" ref="AA26:AG26" si="24">AA27+AA28+AA29</f>
        <v>4228554.9400000004</v>
      </c>
      <c r="AB26" s="118">
        <f t="shared" si="24"/>
        <v>4228554.9400000004</v>
      </c>
      <c r="AC26" s="118">
        <f t="shared" si="24"/>
        <v>4228554.9400000004</v>
      </c>
      <c r="AD26" s="118">
        <f t="shared" si="24"/>
        <v>4228554.9400000004</v>
      </c>
      <c r="AE26" s="118">
        <f t="shared" si="24"/>
        <v>4228554.9400000004</v>
      </c>
      <c r="AF26" s="118">
        <f t="shared" si="24"/>
        <v>4228554.9400000004</v>
      </c>
      <c r="AG26" s="118">
        <f t="shared" si="24"/>
        <v>58311419</v>
      </c>
      <c r="AH26" s="118">
        <f t="shared" ref="AH26:AT26" si="25">AH27+AH28+AH29</f>
        <v>4228554.9400000004</v>
      </c>
      <c r="AI26" s="118">
        <f t="shared" si="25"/>
        <v>4228554.9400000004</v>
      </c>
      <c r="AJ26" s="118">
        <f t="shared" si="25"/>
        <v>4228554.9400000004</v>
      </c>
      <c r="AK26" s="118">
        <f t="shared" si="25"/>
        <v>4228554.9400000004</v>
      </c>
      <c r="AL26" s="118">
        <f t="shared" si="25"/>
        <v>4228554.9400000004</v>
      </c>
      <c r="AM26" s="118">
        <f t="shared" si="25"/>
        <v>4228554.9400000004</v>
      </c>
      <c r="AN26" s="118">
        <f t="shared" si="25"/>
        <v>0</v>
      </c>
      <c r="AO26" s="118">
        <f t="shared" si="25"/>
        <v>4228554.9400000004</v>
      </c>
      <c r="AP26" s="118">
        <f t="shared" si="25"/>
        <v>4228554.9400000004</v>
      </c>
      <c r="AQ26" s="118">
        <f t="shared" si="25"/>
        <v>4228554.9400000004</v>
      </c>
      <c r="AR26" s="118">
        <f t="shared" si="25"/>
        <v>4228554.9400000004</v>
      </c>
      <c r="AS26" s="118">
        <f t="shared" si="25"/>
        <v>4228554.9400000004</v>
      </c>
      <c r="AT26" s="118">
        <f t="shared" si="25"/>
        <v>4228556</v>
      </c>
      <c r="AU26" s="118">
        <f t="shared" ref="AU26:BG26" si="26">AU27+AU28+AU29</f>
        <v>9538489</v>
      </c>
      <c r="AV26" s="118">
        <f t="shared" si="26"/>
        <v>9538489</v>
      </c>
      <c r="AW26" s="118">
        <f t="shared" si="26"/>
        <v>9538489</v>
      </c>
      <c r="AX26" s="118">
        <f t="shared" si="26"/>
        <v>9538489</v>
      </c>
      <c r="AY26" s="118">
        <f t="shared" si="26"/>
        <v>9538489</v>
      </c>
      <c r="AZ26" s="118">
        <f t="shared" si="26"/>
        <v>9538489</v>
      </c>
      <c r="BA26" s="118">
        <f t="shared" si="26"/>
        <v>9688489</v>
      </c>
      <c r="BB26" s="118">
        <f t="shared" si="26"/>
        <v>9688489</v>
      </c>
      <c r="BC26" s="118">
        <f t="shared" si="26"/>
        <v>9688489</v>
      </c>
      <c r="BD26" s="118">
        <f t="shared" si="26"/>
        <v>9688489</v>
      </c>
      <c r="BE26" s="118">
        <f t="shared" si="26"/>
        <v>9688489</v>
      </c>
      <c r="BF26" s="118">
        <f t="shared" si="26"/>
        <v>9688489</v>
      </c>
      <c r="BG26" s="118">
        <f t="shared" ref="BG26:BY26" si="27">BG27+BG28+BG29</f>
        <v>9688489</v>
      </c>
      <c r="BH26" s="118">
        <f t="shared" si="27"/>
        <v>9688489</v>
      </c>
      <c r="BI26" s="118">
        <f t="shared" si="27"/>
        <v>9688489</v>
      </c>
      <c r="BJ26" s="118">
        <f t="shared" si="27"/>
        <v>9688489</v>
      </c>
      <c r="BK26" s="118">
        <f t="shared" si="27"/>
        <v>9688489</v>
      </c>
      <c r="BL26" s="118">
        <f t="shared" si="27"/>
        <v>9788489</v>
      </c>
      <c r="BM26" s="118">
        <f t="shared" si="27"/>
        <v>9788489</v>
      </c>
      <c r="BN26" s="118">
        <f t="shared" si="27"/>
        <v>14788489</v>
      </c>
      <c r="BO26" s="118">
        <f t="shared" si="27"/>
        <v>14829000.85</v>
      </c>
      <c r="BP26" s="118">
        <f t="shared" si="27"/>
        <v>14865137.15</v>
      </c>
      <c r="BQ26" s="118">
        <f t="shared" si="27"/>
        <v>14902881.859999999</v>
      </c>
      <c r="BR26" s="118">
        <f t="shared" si="27"/>
        <v>14939749.91</v>
      </c>
      <c r="BS26" s="118">
        <f t="shared" si="27"/>
        <v>9965004.8200000003</v>
      </c>
      <c r="BT26" s="118">
        <f t="shared" si="27"/>
        <v>9965005</v>
      </c>
      <c r="BU26" s="118">
        <f t="shared" si="27"/>
        <v>9966329.0700000003</v>
      </c>
      <c r="BV26" s="118">
        <f t="shared" si="27"/>
        <v>9966329.0700000003</v>
      </c>
      <c r="BW26" s="118">
        <f t="shared" si="27"/>
        <v>9966329.0700000003</v>
      </c>
      <c r="BX26" s="118">
        <f t="shared" si="27"/>
        <v>9970254.5099999998</v>
      </c>
      <c r="BY26" s="118">
        <f t="shared" ref="BY26:BZ26" si="28">BY27+BY28+BY29</f>
        <v>9971666.0700000003</v>
      </c>
      <c r="BZ26" s="118">
        <f t="shared" si="28"/>
        <v>9973054.4800000004</v>
      </c>
    </row>
    <row r="27" spans="1:78">
      <c r="A27" s="34">
        <v>6.1</v>
      </c>
      <c r="B27" s="104" t="s">
        <v>139</v>
      </c>
      <c r="C27" s="115">
        <f>SFP!B13</f>
        <v>4267836</v>
      </c>
      <c r="D27" s="115">
        <f>SFP!C13</f>
        <v>39760613</v>
      </c>
      <c r="E27" s="115">
        <f>SFP!D13</f>
        <v>39760613.200000003</v>
      </c>
      <c r="F27" s="115">
        <f>SFP!E13</f>
        <v>39760613.200000003</v>
      </c>
      <c r="G27" s="115">
        <f>SFP!F13</f>
        <v>39760613.200000003</v>
      </c>
      <c r="H27" s="115">
        <f>SFP!G13</f>
        <v>39760613.200000003</v>
      </c>
      <c r="I27" s="115">
        <f>SFP!H13</f>
        <v>39760613.200000003</v>
      </c>
      <c r="J27" s="115">
        <f>SFP!I13</f>
        <v>39760613.200000003</v>
      </c>
      <c r="K27" s="115">
        <f>SFP!J13</f>
        <v>39760613.200000003</v>
      </c>
      <c r="L27" s="115">
        <f>SFP!K13</f>
        <v>39760613.200000003</v>
      </c>
      <c r="M27" s="115">
        <f>SFP!L13</f>
        <v>39760613.200000003</v>
      </c>
      <c r="N27" s="115">
        <f>SFP!M13</f>
        <v>39760613.200000003</v>
      </c>
      <c r="O27" s="115">
        <f>SFP!N13</f>
        <v>39760613.200000003</v>
      </c>
      <c r="P27" s="115">
        <f>SFP!O13</f>
        <v>39760613.200000003</v>
      </c>
      <c r="Q27" s="115">
        <f>SFP!P13</f>
        <v>33323406</v>
      </c>
      <c r="R27" s="115">
        <f>SFP!Q13</f>
        <v>0</v>
      </c>
      <c r="S27" s="115">
        <f>SFP!R13</f>
        <v>37575023.740000002</v>
      </c>
      <c r="T27" s="290">
        <f>SFP!S13</f>
        <v>4228555</v>
      </c>
      <c r="U27" s="115">
        <f>SFP!T13</f>
        <v>4228554.9400000004</v>
      </c>
      <c r="V27" s="115">
        <f>SFP!U13</f>
        <v>4228554.9400000004</v>
      </c>
      <c r="W27" s="115">
        <f>SFP!V13</f>
        <v>4228554.9400000004</v>
      </c>
      <c r="X27" s="115">
        <f>SFP!W13</f>
        <v>4228554.9400000004</v>
      </c>
      <c r="Y27" s="115">
        <f>SFP!X13</f>
        <v>4228554.9400000004</v>
      </c>
      <c r="Z27" s="115">
        <f>SFP!Y13</f>
        <v>4228554.9400000004</v>
      </c>
      <c r="AA27" s="115">
        <f>SFP!Z13</f>
        <v>4228554.9400000004</v>
      </c>
      <c r="AB27" s="115">
        <f>SFP!AA13</f>
        <v>4228554.9400000004</v>
      </c>
      <c r="AC27" s="115">
        <f>SFP!AB13</f>
        <v>4228554.9400000004</v>
      </c>
      <c r="AD27" s="115">
        <f>SFP!AC13</f>
        <v>4228554.9400000004</v>
      </c>
      <c r="AE27" s="115">
        <f>SFP!AD13</f>
        <v>4228554.9400000004</v>
      </c>
      <c r="AF27" s="115">
        <f>SFP!AE13</f>
        <v>4228554.9400000004</v>
      </c>
      <c r="AG27" s="115">
        <f>SFP!AF12</f>
        <v>4228556</v>
      </c>
      <c r="AH27" s="115">
        <f>SFP!AG12</f>
        <v>4228554.9400000004</v>
      </c>
      <c r="AI27" s="115">
        <f>SFP!AH12</f>
        <v>4228554.9400000004</v>
      </c>
      <c r="AJ27" s="115">
        <f>SFP!AI12</f>
        <v>4228554.9400000004</v>
      </c>
      <c r="AK27" s="115">
        <f>SFP!AJ12</f>
        <v>4228554.9400000004</v>
      </c>
      <c r="AL27" s="115">
        <f>SFP!AK12</f>
        <v>4228554.9400000004</v>
      </c>
      <c r="AM27" s="115">
        <f>SFP!AL12</f>
        <v>4228554.9400000004</v>
      </c>
      <c r="AN27" s="115">
        <f>SFP!AM12</f>
        <v>0</v>
      </c>
      <c r="AO27" s="115">
        <f>SFP!AN12</f>
        <v>4228554.9400000004</v>
      </c>
      <c r="AP27" s="115">
        <f>SFP!AO12</f>
        <v>4228554.9400000004</v>
      </c>
      <c r="AQ27" s="115">
        <f>SFP!AP12</f>
        <v>4228554.9400000004</v>
      </c>
      <c r="AR27" s="115">
        <f>SFP!AQ12</f>
        <v>4228554.9400000004</v>
      </c>
      <c r="AS27" s="115">
        <f>SFP!AR12</f>
        <v>4228554.9400000004</v>
      </c>
      <c r="AT27" s="115">
        <f>SFP!AS12</f>
        <v>4228556</v>
      </c>
      <c r="AU27" s="115">
        <f>SFP!AT12</f>
        <v>9538489</v>
      </c>
      <c r="AV27" s="115">
        <f>SFP!AU12</f>
        <v>9538489</v>
      </c>
      <c r="AW27" s="115">
        <f>SFP!AV12</f>
        <v>9538489</v>
      </c>
      <c r="AX27" s="115">
        <f>SFP!AW12</f>
        <v>9538489</v>
      </c>
      <c r="AY27" s="115">
        <f>SFP!AX12</f>
        <v>9538489</v>
      </c>
      <c r="AZ27" s="115">
        <f>SFP!AY12</f>
        <v>9538489</v>
      </c>
      <c r="BA27" s="115">
        <f>SFP!AZ12</f>
        <v>9688489</v>
      </c>
      <c r="BB27" s="115">
        <f>SFP!BA12</f>
        <v>9688489</v>
      </c>
      <c r="BC27" s="115">
        <f>SFP!BB12</f>
        <v>9688489</v>
      </c>
      <c r="BD27" s="115">
        <f>SFP!BC12</f>
        <v>9688489</v>
      </c>
      <c r="BE27" s="115">
        <f>SFP!BD12</f>
        <v>9688489</v>
      </c>
      <c r="BF27" s="115">
        <f>SFP!BE12</f>
        <v>9688489</v>
      </c>
      <c r="BG27" s="115">
        <f>SFP!BF12</f>
        <v>9688489</v>
      </c>
      <c r="BH27" s="115">
        <f>SFP!BG12</f>
        <v>9688489</v>
      </c>
      <c r="BI27" s="115">
        <f>SFP!BH12</f>
        <v>9688489</v>
      </c>
      <c r="BJ27" s="115">
        <f>SFP!BI12</f>
        <v>9688489</v>
      </c>
      <c r="BK27" s="115">
        <f>SFP!BJ12</f>
        <v>9688489</v>
      </c>
      <c r="BL27" s="115">
        <f>SFP!BK12</f>
        <v>9788489</v>
      </c>
      <c r="BM27" s="115">
        <f>SFP!BL12</f>
        <v>9788489</v>
      </c>
      <c r="BN27" s="115">
        <f>SFP!BM12</f>
        <v>14788489</v>
      </c>
      <c r="BO27" s="115">
        <f>SFP!BN12</f>
        <v>14829000.85</v>
      </c>
      <c r="BP27" s="115">
        <f>SFP!BO12</f>
        <v>14865137.15</v>
      </c>
      <c r="BQ27" s="115">
        <f>SFP!BP12</f>
        <v>14902881.859999999</v>
      </c>
      <c r="BR27" s="115">
        <f>SFP!BQ12</f>
        <v>14939749.91</v>
      </c>
      <c r="BS27" s="115">
        <f>SFP!BR12</f>
        <v>9965004.8200000003</v>
      </c>
      <c r="BT27" s="115">
        <f>SFP!BS12</f>
        <v>9965005</v>
      </c>
      <c r="BU27" s="115">
        <f>SFP!BT12</f>
        <v>9966329.0700000003</v>
      </c>
      <c r="BV27" s="115">
        <f>SFP!BU12</f>
        <v>9966329.0700000003</v>
      </c>
      <c r="BW27" s="115">
        <f>SFP!BV12</f>
        <v>9966329.0700000003</v>
      </c>
      <c r="BX27" s="115">
        <f>SFP!BW12</f>
        <v>9970254.5099999998</v>
      </c>
      <c r="BY27" s="115">
        <f>SFP!BX12</f>
        <v>9971666.0700000003</v>
      </c>
      <c r="BZ27" s="115">
        <f>SFP!BY12</f>
        <v>9973054.4800000004</v>
      </c>
    </row>
    <row r="28" spans="1:78">
      <c r="A28" s="34">
        <v>6.2</v>
      </c>
      <c r="B28" s="104" t="s">
        <v>140</v>
      </c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290"/>
      <c r="U28" s="115"/>
      <c r="V28" s="115"/>
      <c r="W28" s="115"/>
      <c r="X28" s="115"/>
      <c r="Y28" s="115"/>
      <c r="Z28" s="115"/>
      <c r="AA28" s="115"/>
      <c r="AB28" s="115"/>
      <c r="AC28" s="115"/>
      <c r="AD28" s="115"/>
      <c r="AE28" s="115"/>
      <c r="AF28" s="115"/>
      <c r="AG28" s="115">
        <f>SFP!AF13</f>
        <v>0</v>
      </c>
      <c r="AH28" s="115">
        <f>SFP!AG13</f>
        <v>0</v>
      </c>
      <c r="AI28" s="115">
        <f>SFP!AH13</f>
        <v>0</v>
      </c>
      <c r="AJ28" s="115">
        <f>SFP!AI13</f>
        <v>0</v>
      </c>
      <c r="AK28" s="115">
        <f>SFP!AJ13</f>
        <v>0</v>
      </c>
      <c r="AL28" s="115">
        <f>SFP!AK13</f>
        <v>0</v>
      </c>
      <c r="AM28" s="115">
        <f>SFP!AL13</f>
        <v>0</v>
      </c>
      <c r="AN28" s="115">
        <f>SFP!AM13</f>
        <v>0</v>
      </c>
      <c r="AO28" s="115">
        <f>SFP!AN13</f>
        <v>0</v>
      </c>
      <c r="AP28" s="115">
        <f>SFP!AO13</f>
        <v>0</v>
      </c>
      <c r="AQ28" s="115">
        <f>SFP!AP13</f>
        <v>0</v>
      </c>
      <c r="AR28" s="115">
        <f>SFP!AQ13</f>
        <v>0</v>
      </c>
      <c r="AS28" s="115">
        <f>SFP!AR13</f>
        <v>0</v>
      </c>
      <c r="AT28" s="115">
        <f>SFP!AS13</f>
        <v>0</v>
      </c>
      <c r="AU28" s="115">
        <f>SFP!AT13</f>
        <v>0</v>
      </c>
      <c r="AV28" s="115">
        <f>SFP!AU13</f>
        <v>0</v>
      </c>
      <c r="AW28" s="115">
        <f>SFP!AV13</f>
        <v>0</v>
      </c>
      <c r="AX28" s="115">
        <f>SFP!AW13</f>
        <v>0</v>
      </c>
      <c r="AY28" s="115">
        <f>SFP!AX13</f>
        <v>0</v>
      </c>
      <c r="AZ28" s="115">
        <f>SFP!AY13</f>
        <v>0</v>
      </c>
      <c r="BA28" s="115">
        <f>SFP!AZ13</f>
        <v>0</v>
      </c>
      <c r="BB28" s="115">
        <f>SFP!BA13</f>
        <v>0</v>
      </c>
      <c r="BC28" s="115">
        <f>SFP!BB13</f>
        <v>0</v>
      </c>
      <c r="BD28" s="115">
        <f>SFP!BC13</f>
        <v>0</v>
      </c>
      <c r="BE28" s="115">
        <f>SFP!BD13</f>
        <v>0</v>
      </c>
      <c r="BF28" s="115">
        <f>SFP!BE13</f>
        <v>0</v>
      </c>
      <c r="BG28" s="115">
        <f>SFP!BF13</f>
        <v>0</v>
      </c>
      <c r="BH28" s="115">
        <f>SFP!BG13</f>
        <v>0</v>
      </c>
      <c r="BI28" s="115">
        <f>SFP!BH13</f>
        <v>0</v>
      </c>
      <c r="BJ28" s="115">
        <f>SFP!BI13</f>
        <v>0</v>
      </c>
      <c r="BK28" s="115">
        <f>SFP!BJ13</f>
        <v>0</v>
      </c>
      <c r="BL28" s="115">
        <f>SFP!BK13</f>
        <v>0</v>
      </c>
      <c r="BM28" s="115">
        <f>SFP!BL13</f>
        <v>0</v>
      </c>
      <c r="BN28" s="115">
        <f>SFP!BM13</f>
        <v>0</v>
      </c>
      <c r="BO28" s="115">
        <f>SFP!BN13</f>
        <v>0</v>
      </c>
      <c r="BP28" s="115">
        <f>SFP!BO13</f>
        <v>0</v>
      </c>
      <c r="BQ28" s="115">
        <f>SFP!BP13</f>
        <v>0</v>
      </c>
      <c r="BR28" s="115">
        <f>SFP!BQ13</f>
        <v>0</v>
      </c>
      <c r="BS28" s="115">
        <f>SFP!BR13</f>
        <v>0</v>
      </c>
      <c r="BT28" s="115">
        <f>SFP!BS13</f>
        <v>0</v>
      </c>
      <c r="BU28" s="115">
        <f>SFP!BT13</f>
        <v>0</v>
      </c>
      <c r="BV28" s="115">
        <f>SFP!BU13</f>
        <v>0</v>
      </c>
      <c r="BW28" s="115">
        <f>SFP!BV13</f>
        <v>0</v>
      </c>
      <c r="BX28" s="115">
        <f>SFP!BW13</f>
        <v>0</v>
      </c>
      <c r="BY28" s="115">
        <f>SFP!BX13</f>
        <v>0</v>
      </c>
      <c r="BZ28" s="115">
        <f>SFP!BY13</f>
        <v>0</v>
      </c>
    </row>
    <row r="29" spans="1:78">
      <c r="A29" s="35">
        <v>6.3</v>
      </c>
      <c r="B29" s="108" t="s">
        <v>141</v>
      </c>
      <c r="C29" s="119">
        <f>SFP!B11</f>
        <v>13595861</v>
      </c>
      <c r="D29" s="119">
        <f>SFP!C11</f>
        <v>4549809</v>
      </c>
      <c r="E29" s="119">
        <f>SFP!D11</f>
        <v>4549808.99</v>
      </c>
      <c r="F29" s="119">
        <f>SFP!E11</f>
        <v>0</v>
      </c>
      <c r="G29" s="119">
        <f>SFP!F11</f>
        <v>0</v>
      </c>
      <c r="H29" s="119">
        <f>SFP!G11</f>
        <v>0</v>
      </c>
      <c r="I29" s="119">
        <f>SFP!H11</f>
        <v>0</v>
      </c>
      <c r="J29" s="119">
        <f>SFP!I11</f>
        <v>0</v>
      </c>
      <c r="K29" s="119">
        <f>SFP!J11</f>
        <v>0</v>
      </c>
      <c r="L29" s="119">
        <f>SFP!K11</f>
        <v>0</v>
      </c>
      <c r="M29" s="119">
        <f>SFP!L11</f>
        <v>0</v>
      </c>
      <c r="N29" s="119">
        <f>SFP!M11</f>
        <v>0</v>
      </c>
      <c r="O29" s="119">
        <f>SFP!N11</f>
        <v>0</v>
      </c>
      <c r="P29" s="119">
        <f>SFP!O11</f>
        <v>0</v>
      </c>
      <c r="Q29" s="119">
        <f>SFP!P11</f>
        <v>0</v>
      </c>
      <c r="R29" s="119">
        <f>SFP!Q11</f>
        <v>31181179</v>
      </c>
      <c r="S29" s="119">
        <f>SFP!R11</f>
        <v>0</v>
      </c>
      <c r="T29" s="291">
        <f>SFP!S11</f>
        <v>0</v>
      </c>
      <c r="U29" s="119">
        <f>SFP!T11</f>
        <v>0</v>
      </c>
      <c r="V29" s="119">
        <f>SFP!U11</f>
        <v>0</v>
      </c>
      <c r="W29" s="119">
        <f>SFP!V11</f>
        <v>0</v>
      </c>
      <c r="X29" s="119">
        <f>SFP!W11</f>
        <v>0</v>
      </c>
      <c r="Y29" s="119">
        <f>SFP!X11</f>
        <v>0</v>
      </c>
      <c r="Z29" s="119">
        <f>SFP!Y11</f>
        <v>0</v>
      </c>
      <c r="AA29" s="119">
        <f>SFP!Z11</f>
        <v>0</v>
      </c>
      <c r="AB29" s="119">
        <f>SFP!AA11</f>
        <v>0</v>
      </c>
      <c r="AC29" s="119">
        <f>SFP!AB11</f>
        <v>0</v>
      </c>
      <c r="AD29" s="119">
        <f>SFP!AC11</f>
        <v>0</v>
      </c>
      <c r="AE29" s="119">
        <f>SFP!AD11</f>
        <v>0</v>
      </c>
      <c r="AF29" s="119">
        <f>SFP!AE11</f>
        <v>0</v>
      </c>
      <c r="AG29" s="119">
        <f>SFP!AF11</f>
        <v>54082863</v>
      </c>
      <c r="AH29" s="119">
        <f>SFP!AG11</f>
        <v>0</v>
      </c>
      <c r="AI29" s="119">
        <f>SFP!AH11</f>
        <v>0</v>
      </c>
      <c r="AJ29" s="119">
        <f>SFP!AI11</f>
        <v>0</v>
      </c>
      <c r="AK29" s="119">
        <f>SFP!AJ11</f>
        <v>0</v>
      </c>
      <c r="AL29" s="119">
        <f>SFP!AK11</f>
        <v>0</v>
      </c>
      <c r="AM29" s="119">
        <f>SFP!AL11</f>
        <v>0</v>
      </c>
      <c r="AN29" s="119">
        <f>SFP!AM11</f>
        <v>0</v>
      </c>
      <c r="AO29" s="119">
        <f>SFP!AN11</f>
        <v>0</v>
      </c>
      <c r="AP29" s="119">
        <f>SFP!AO11</f>
        <v>0</v>
      </c>
      <c r="AQ29" s="119">
        <f>SFP!AP11</f>
        <v>0</v>
      </c>
      <c r="AR29" s="119">
        <f>SFP!AQ11</f>
        <v>0</v>
      </c>
      <c r="AS29" s="119">
        <f>SFP!AR11</f>
        <v>0</v>
      </c>
      <c r="AT29" s="119">
        <f>SFP!AS11</f>
        <v>0</v>
      </c>
      <c r="AU29" s="119">
        <f>SFP!AT11</f>
        <v>0</v>
      </c>
      <c r="AV29" s="119">
        <f>SFP!AU11</f>
        <v>0</v>
      </c>
      <c r="AW29" s="119">
        <f>SFP!AV11</f>
        <v>0</v>
      </c>
      <c r="AX29" s="119">
        <f>SFP!AW11</f>
        <v>0</v>
      </c>
      <c r="AY29" s="119">
        <f>SFP!AX11</f>
        <v>0</v>
      </c>
      <c r="AZ29" s="119">
        <f>SFP!AY11</f>
        <v>0</v>
      </c>
      <c r="BA29" s="119">
        <f>SFP!AZ11</f>
        <v>0</v>
      </c>
      <c r="BB29" s="119">
        <f>SFP!BA11</f>
        <v>0</v>
      </c>
      <c r="BC29" s="119">
        <f>SFP!BB11</f>
        <v>0</v>
      </c>
      <c r="BD29" s="119">
        <f>SFP!BC11</f>
        <v>0</v>
      </c>
      <c r="BE29" s="119">
        <f>SFP!BD11</f>
        <v>0</v>
      </c>
      <c r="BF29" s="119">
        <f>SFP!BE11</f>
        <v>0</v>
      </c>
      <c r="BG29" s="119">
        <f>SFP!BF11</f>
        <v>0</v>
      </c>
      <c r="BH29" s="119">
        <f>SFP!BG11</f>
        <v>0</v>
      </c>
      <c r="BI29" s="119">
        <f>SFP!BH11</f>
        <v>0</v>
      </c>
      <c r="BJ29" s="119">
        <f>SFP!BI11</f>
        <v>0</v>
      </c>
      <c r="BK29" s="119">
        <f>SFP!BJ11</f>
        <v>0</v>
      </c>
      <c r="BL29" s="119">
        <f>SFP!BK11</f>
        <v>0</v>
      </c>
      <c r="BM29" s="119">
        <f>SFP!BL11</f>
        <v>0</v>
      </c>
      <c r="BN29" s="119">
        <f>SFP!BM11</f>
        <v>0</v>
      </c>
      <c r="BO29" s="119">
        <f>SFP!BN11</f>
        <v>0</v>
      </c>
      <c r="BP29" s="119">
        <f>SFP!BO11</f>
        <v>0</v>
      </c>
      <c r="BQ29" s="119">
        <f>SFP!BP11</f>
        <v>0</v>
      </c>
      <c r="BR29" s="119">
        <f>SFP!BQ11</f>
        <v>0</v>
      </c>
      <c r="BS29" s="119">
        <f>SFP!BR11</f>
        <v>0</v>
      </c>
      <c r="BT29" s="119">
        <f>SFP!BS11</f>
        <v>0</v>
      </c>
      <c r="BU29" s="119">
        <f>SFP!BT11</f>
        <v>0</v>
      </c>
      <c r="BV29" s="119">
        <f>SFP!BU11</f>
        <v>0</v>
      </c>
      <c r="BW29" s="119">
        <f>SFP!BV11</f>
        <v>0</v>
      </c>
      <c r="BX29" s="119">
        <f>SFP!BW11</f>
        <v>0</v>
      </c>
      <c r="BY29" s="119">
        <f>SFP!BX11</f>
        <v>0</v>
      </c>
      <c r="BZ29" s="119">
        <f>SFP!BY11</f>
        <v>0</v>
      </c>
    </row>
    <row r="30" spans="1:78">
      <c r="A30" s="31"/>
      <c r="B30" s="42"/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285"/>
      <c r="U30" s="117"/>
      <c r="V30" s="117"/>
      <c r="W30" s="117"/>
      <c r="X30" s="117"/>
      <c r="Y30" s="117"/>
      <c r="Z30" s="117"/>
      <c r="AA30" s="117"/>
      <c r="AB30" s="117"/>
      <c r="AC30" s="117"/>
      <c r="AD30" s="117"/>
      <c r="AE30" s="117"/>
      <c r="AF30" s="117"/>
      <c r="AG30" s="117"/>
      <c r="AH30" s="117"/>
      <c r="AI30" s="117"/>
      <c r="AJ30" s="117"/>
      <c r="AK30" s="117"/>
      <c r="AL30" s="117"/>
      <c r="AM30" s="117"/>
      <c r="AN30" s="117"/>
      <c r="AO30" s="117"/>
      <c r="AP30" s="117"/>
      <c r="AQ30" s="117"/>
      <c r="AR30" s="117"/>
      <c r="AS30" s="117"/>
      <c r="AT30" s="117"/>
      <c r="AU30" s="117"/>
      <c r="AV30" s="117"/>
      <c r="AW30" s="117"/>
      <c r="AX30" s="117"/>
      <c r="AY30" s="117"/>
      <c r="AZ30" s="117"/>
      <c r="BA30" s="117"/>
      <c r="BB30" s="117"/>
      <c r="BC30" s="117"/>
      <c r="BD30" s="117"/>
      <c r="BE30" s="117"/>
      <c r="BF30" s="117"/>
      <c r="BG30" s="117"/>
    </row>
    <row r="31" spans="1:78">
      <c r="A31" s="33">
        <v>7</v>
      </c>
      <c r="B31" s="110" t="s">
        <v>71</v>
      </c>
      <c r="C31" s="118">
        <f>C32-C33</f>
        <v>312933438</v>
      </c>
      <c r="D31" s="118">
        <f>D32-D33</f>
        <v>291789680</v>
      </c>
      <c r="E31" s="118">
        <f>E32-E33</f>
        <v>299631067.07999998</v>
      </c>
      <c r="F31" s="118">
        <f>F32-F33</f>
        <v>309643144.38</v>
      </c>
      <c r="G31" s="118">
        <f t="shared" ref="G31:S31" si="29">G32-G33</f>
        <v>310639770.16000003</v>
      </c>
      <c r="H31" s="118">
        <f t="shared" si="29"/>
        <v>315136101.03000003</v>
      </c>
      <c r="I31" s="118">
        <f t="shared" si="29"/>
        <v>309251508.24000001</v>
      </c>
      <c r="J31" s="118">
        <f t="shared" si="29"/>
        <v>308488885.16000003</v>
      </c>
      <c r="K31" s="118">
        <f t="shared" si="29"/>
        <v>306304721.47000003</v>
      </c>
      <c r="L31" s="118">
        <f t="shared" si="29"/>
        <v>307616875.37</v>
      </c>
      <c r="M31" s="118">
        <f t="shared" si="29"/>
        <v>315972791.49000001</v>
      </c>
      <c r="N31" s="118">
        <f t="shared" si="29"/>
        <v>318929258.99000001</v>
      </c>
      <c r="O31" s="118">
        <f t="shared" si="29"/>
        <v>324021578.69999999</v>
      </c>
      <c r="P31" s="118">
        <f t="shared" si="29"/>
        <v>317006027.55000001</v>
      </c>
      <c r="Q31" s="118">
        <f t="shared" si="29"/>
        <v>319184009</v>
      </c>
      <c r="R31" s="118">
        <f t="shared" si="29"/>
        <v>359654432</v>
      </c>
      <c r="S31" s="118">
        <f t="shared" si="29"/>
        <v>466902547.44</v>
      </c>
      <c r="T31" s="286">
        <f>T32-T33</f>
        <v>467465209</v>
      </c>
      <c r="U31" s="118">
        <f t="shared" ref="U31:Z31" si="30">U32-U33</f>
        <v>472919770.68000001</v>
      </c>
      <c r="V31" s="118">
        <f t="shared" si="30"/>
        <v>478687357.68000001</v>
      </c>
      <c r="W31" s="118">
        <f t="shared" si="30"/>
        <v>475787713.94</v>
      </c>
      <c r="X31" s="118">
        <f t="shared" si="30"/>
        <v>479582540.77999997</v>
      </c>
      <c r="Y31" s="118">
        <f t="shared" si="30"/>
        <v>481266665.38999999</v>
      </c>
      <c r="Z31" s="118">
        <f t="shared" si="30"/>
        <v>485276972.57000005</v>
      </c>
      <c r="AA31" s="118">
        <f t="shared" ref="AA31:AG31" si="31">AA32-AA33</f>
        <v>532097736.82999998</v>
      </c>
      <c r="AB31" s="118">
        <f t="shared" si="31"/>
        <v>537152558.06000006</v>
      </c>
      <c r="AC31" s="118">
        <f t="shared" si="31"/>
        <v>529117110.59999996</v>
      </c>
      <c r="AD31" s="118">
        <f t="shared" si="31"/>
        <v>519705836.74000001</v>
      </c>
      <c r="AE31" s="118">
        <f t="shared" si="31"/>
        <v>533189426.03999996</v>
      </c>
      <c r="AF31" s="118">
        <f t="shared" si="31"/>
        <v>529209789.40000004</v>
      </c>
      <c r="AG31" s="118">
        <f t="shared" si="31"/>
        <v>529295686</v>
      </c>
      <c r="AH31" s="118">
        <f t="shared" ref="AH31:AT31" si="32">AH32-AH33</f>
        <v>536172648.70999998</v>
      </c>
      <c r="AI31" s="118">
        <f t="shared" si="32"/>
        <v>530353612.18999994</v>
      </c>
      <c r="AJ31" s="118">
        <f t="shared" si="32"/>
        <v>550089121.16000009</v>
      </c>
      <c r="AK31" s="118">
        <f t="shared" si="32"/>
        <v>553621175.25</v>
      </c>
      <c r="AL31" s="118">
        <f t="shared" si="32"/>
        <v>541556544.32999992</v>
      </c>
      <c r="AM31" s="118">
        <f t="shared" si="32"/>
        <v>544409525.81000006</v>
      </c>
      <c r="AN31" s="118">
        <f t="shared" si="32"/>
        <v>0</v>
      </c>
      <c r="AO31" s="118">
        <f t="shared" si="32"/>
        <v>588008555.83000004</v>
      </c>
      <c r="AP31" s="118">
        <f t="shared" si="32"/>
        <v>581695282.18999994</v>
      </c>
      <c r="AQ31" s="118">
        <f t="shared" si="32"/>
        <v>593979938.1099999</v>
      </c>
      <c r="AR31" s="118">
        <f t="shared" si="32"/>
        <v>588398520.57000005</v>
      </c>
      <c r="AS31" s="118">
        <f t="shared" si="32"/>
        <v>589610625.00999999</v>
      </c>
      <c r="AT31" s="118">
        <f t="shared" si="32"/>
        <v>589610625</v>
      </c>
      <c r="AU31" s="118">
        <f t="shared" ref="AU31:BG31" si="33">AU32-AU33</f>
        <v>165062375.24000001</v>
      </c>
      <c r="AV31" s="118">
        <f t="shared" si="33"/>
        <v>163113834.06999999</v>
      </c>
      <c r="AW31" s="118">
        <f t="shared" si="33"/>
        <v>163362625.83999997</v>
      </c>
      <c r="AX31" s="118">
        <f t="shared" si="33"/>
        <v>163623099.31</v>
      </c>
      <c r="AY31" s="118">
        <f t="shared" si="33"/>
        <v>163782954.29999998</v>
      </c>
      <c r="AZ31" s="118">
        <f t="shared" si="33"/>
        <v>164324192.47</v>
      </c>
      <c r="BA31" s="118">
        <f t="shared" si="33"/>
        <v>172502624.30000001</v>
      </c>
      <c r="BB31" s="118">
        <f t="shared" si="33"/>
        <v>172805636.28999999</v>
      </c>
      <c r="BC31" s="118">
        <f t="shared" si="33"/>
        <v>175006849.28999999</v>
      </c>
      <c r="BD31" s="118">
        <f t="shared" si="33"/>
        <v>175633490.067</v>
      </c>
      <c r="BE31" s="118">
        <f t="shared" si="33"/>
        <v>176471672.69</v>
      </c>
      <c r="BF31" s="118">
        <f t="shared" si="33"/>
        <v>175856950.93000001</v>
      </c>
      <c r="BG31" s="118">
        <f t="shared" ref="BG31:BY31" si="34">BG32-BG33</f>
        <v>173408823</v>
      </c>
      <c r="BH31" s="118">
        <f t="shared" si="34"/>
        <v>178474626.76000002</v>
      </c>
      <c r="BI31" s="118">
        <f t="shared" si="34"/>
        <v>178018885.75</v>
      </c>
      <c r="BJ31" s="118">
        <f t="shared" si="34"/>
        <v>188318837.60999998</v>
      </c>
      <c r="BK31" s="118">
        <f t="shared" si="34"/>
        <v>190440498.66</v>
      </c>
      <c r="BL31" s="118">
        <f t="shared" si="34"/>
        <v>194051494.46000001</v>
      </c>
      <c r="BM31" s="118">
        <f t="shared" si="34"/>
        <v>202532241.51000002</v>
      </c>
      <c r="BN31" s="118">
        <f t="shared" si="34"/>
        <v>208472602.53</v>
      </c>
      <c r="BO31" s="118">
        <f t="shared" si="34"/>
        <v>222164261.68000001</v>
      </c>
      <c r="BP31" s="118">
        <f t="shared" si="34"/>
        <v>226112619.66</v>
      </c>
      <c r="BQ31" s="118">
        <f t="shared" si="34"/>
        <v>231403046.54999998</v>
      </c>
      <c r="BR31" s="118">
        <f t="shared" si="34"/>
        <v>238714635</v>
      </c>
      <c r="BS31" s="118">
        <f t="shared" si="34"/>
        <v>260448895.80000001</v>
      </c>
      <c r="BT31" s="118">
        <f t="shared" si="34"/>
        <v>255038490</v>
      </c>
      <c r="BU31" s="118">
        <f t="shared" si="34"/>
        <v>275245597.19</v>
      </c>
      <c r="BV31" s="118">
        <f t="shared" si="34"/>
        <v>275745498.79000002</v>
      </c>
      <c r="BW31" s="118">
        <f t="shared" si="34"/>
        <v>277264637.31999999</v>
      </c>
      <c r="BX31" s="118">
        <f t="shared" si="34"/>
        <v>278070227.33999997</v>
      </c>
      <c r="BY31" s="118">
        <f t="shared" ref="BY31:BZ31" si="35">BY32-BY33</f>
        <v>273156392.43000001</v>
      </c>
      <c r="BZ31" s="118">
        <f t="shared" si="35"/>
        <v>275623476.56999999</v>
      </c>
    </row>
    <row r="32" spans="1:78">
      <c r="A32" s="34">
        <v>7.1</v>
      </c>
      <c r="B32" s="51" t="s">
        <v>142</v>
      </c>
      <c r="C32" s="115">
        <f>SFP!B15</f>
        <v>320539200</v>
      </c>
      <c r="D32" s="115">
        <f>SFP!C15</f>
        <v>301762103</v>
      </c>
      <c r="E32" s="115">
        <f>SFP!D15</f>
        <v>309603490.20999998</v>
      </c>
      <c r="F32" s="115">
        <f>SFP!E15</f>
        <v>319615567.50999999</v>
      </c>
      <c r="G32" s="115">
        <f>SFP!F15</f>
        <v>320612193.29000002</v>
      </c>
      <c r="H32" s="115">
        <f>SFP!G15</f>
        <v>325108524.16000003</v>
      </c>
      <c r="I32" s="115">
        <f>SFP!H15</f>
        <v>319223931.37</v>
      </c>
      <c r="J32" s="115">
        <f>SFP!I15</f>
        <v>318461308.29000002</v>
      </c>
      <c r="K32" s="115">
        <f>SFP!J15</f>
        <v>316277144.60000002</v>
      </c>
      <c r="L32" s="115">
        <f>SFP!K15</f>
        <v>317589298.5</v>
      </c>
      <c r="M32" s="115">
        <f>SFP!L15</f>
        <v>325945214.62</v>
      </c>
      <c r="N32" s="115">
        <f>SFP!M15</f>
        <v>328901682.12</v>
      </c>
      <c r="O32" s="115">
        <f>SFP!N15</f>
        <v>333994001.82999998</v>
      </c>
      <c r="P32" s="115">
        <f>SFP!O15</f>
        <v>326978450.68000001</v>
      </c>
      <c r="Q32" s="115">
        <f>SFP!P15</f>
        <v>326978451</v>
      </c>
      <c r="R32" s="115">
        <f>SFP!Q15</f>
        <v>369868676</v>
      </c>
      <c r="S32" s="115">
        <f>SFP!R15</f>
        <v>478115491</v>
      </c>
      <c r="T32" s="290">
        <f>SFP!S15</f>
        <v>478678153</v>
      </c>
      <c r="U32" s="115">
        <f>SFP!T15</f>
        <v>484132714.24000001</v>
      </c>
      <c r="V32" s="115">
        <f>SFP!U15</f>
        <v>489900301.24000001</v>
      </c>
      <c r="W32" s="115">
        <f>SFP!V15</f>
        <v>487605607.92000002</v>
      </c>
      <c r="X32" s="115">
        <f>SFP!W15</f>
        <v>491602084.89999998</v>
      </c>
      <c r="Y32" s="115">
        <f>SFP!X15</f>
        <v>493487859.64999998</v>
      </c>
      <c r="Z32" s="115">
        <f>SFP!Y15</f>
        <v>497699816.97000003</v>
      </c>
      <c r="AA32" s="115">
        <f>SFP!Z15</f>
        <v>544722231.37</v>
      </c>
      <c r="AB32" s="115">
        <f>SFP!AA15</f>
        <v>549978702.74000001</v>
      </c>
      <c r="AC32" s="115">
        <f>SFP!AB15</f>
        <v>547398329.80999994</v>
      </c>
      <c r="AD32" s="115">
        <f>SFP!AC15</f>
        <v>538188706.09000003</v>
      </c>
      <c r="AE32" s="115">
        <f>SFP!AD15</f>
        <v>551873945.52999997</v>
      </c>
      <c r="AF32" s="115">
        <f>SFP!AE15</f>
        <v>546061267.71000004</v>
      </c>
      <c r="AG32" s="115">
        <f>SFP!AF15</f>
        <v>546147164</v>
      </c>
      <c r="AH32" s="115">
        <f>SFP!AG15</f>
        <v>553225777.15999997</v>
      </c>
      <c r="AI32" s="115">
        <f>SFP!AH15</f>
        <v>547790395.55999994</v>
      </c>
      <c r="AJ32" s="115">
        <f>SFP!AI15</f>
        <v>567848891.19000006</v>
      </c>
      <c r="AK32" s="115">
        <f>SFP!AJ15</f>
        <v>571703931.94000006</v>
      </c>
      <c r="AL32" s="115">
        <f>SFP!AK15</f>
        <v>559962287.67999995</v>
      </c>
      <c r="AM32" s="115">
        <f>SFP!AL15</f>
        <v>563138255.82000005</v>
      </c>
      <c r="AN32" s="115">
        <f>SFP!AM15</f>
        <v>0</v>
      </c>
      <c r="AO32" s="115">
        <f>SFP!AN15</f>
        <v>607647370.08000004</v>
      </c>
      <c r="AP32" s="115">
        <f>SFP!AO15</f>
        <v>606319063.26999998</v>
      </c>
      <c r="AQ32" s="115">
        <f>SFP!AP15</f>
        <v>617806443.79999995</v>
      </c>
      <c r="AR32" s="115">
        <f>SFP!AQ15</f>
        <v>613366981.33000004</v>
      </c>
      <c r="AS32" s="115">
        <f>SFP!AR15</f>
        <v>613873372.77999997</v>
      </c>
      <c r="AT32" s="115">
        <f>SFP!AS15</f>
        <v>613873373</v>
      </c>
      <c r="AU32" s="115">
        <f>SFP!AT15</f>
        <v>167165189.24000001</v>
      </c>
      <c r="AV32" s="115">
        <f>SFP!AU15</f>
        <v>166509229.19</v>
      </c>
      <c r="AW32" s="115">
        <f>SFP!AV15</f>
        <v>166215529.44999999</v>
      </c>
      <c r="AX32" s="115">
        <f>SFP!AW15</f>
        <v>167870643.72999999</v>
      </c>
      <c r="AY32" s="115">
        <f>SFP!AX15</f>
        <v>166926725.28999999</v>
      </c>
      <c r="AZ32" s="115">
        <f>SFP!AY15</f>
        <v>168775390.16</v>
      </c>
      <c r="BA32" s="115">
        <f>SFP!AZ15</f>
        <v>176778419.24000001</v>
      </c>
      <c r="BB32" s="115">
        <f>SFP!BA15</f>
        <v>177622800.09</v>
      </c>
      <c r="BC32" s="115">
        <f>SFP!BB15</f>
        <v>179872317.72</v>
      </c>
      <c r="BD32" s="115">
        <f>SFP!BC15</f>
        <v>180887104.16</v>
      </c>
      <c r="BE32" s="115">
        <f>SFP!BD15</f>
        <v>181777384.69</v>
      </c>
      <c r="BF32" s="115">
        <f>SFP!BE15</f>
        <v>182097000.49000001</v>
      </c>
      <c r="BG32" s="115">
        <f>SFP!BF15</f>
        <v>179994187</v>
      </c>
      <c r="BH32" s="115">
        <f>SFP!BG15</f>
        <v>184875755.15000001</v>
      </c>
      <c r="BI32" s="115">
        <f>SFP!BH15</f>
        <v>184413081.96000001</v>
      </c>
      <c r="BJ32" s="115">
        <f>SFP!BI15</f>
        <v>194782762.94</v>
      </c>
      <c r="BK32" s="115">
        <f>SFP!BJ15</f>
        <v>197119189.88999999</v>
      </c>
      <c r="BL32" s="115">
        <f>SFP!BK15</f>
        <v>202237618</v>
      </c>
      <c r="BM32" s="115">
        <f>SFP!BL15</f>
        <v>210406459.33000001</v>
      </c>
      <c r="BN32" s="115">
        <f>SFP!BM15</f>
        <v>217116228.99000001</v>
      </c>
      <c r="BO32" s="115">
        <f>SFP!BN15</f>
        <v>231483591.06999999</v>
      </c>
      <c r="BP32" s="115">
        <f>SFP!BO15</f>
        <v>235707406.97999999</v>
      </c>
      <c r="BQ32" s="115">
        <f>SFP!BP15</f>
        <v>242666839.59999999</v>
      </c>
      <c r="BR32" s="115">
        <f>SFP!BQ15</f>
        <v>250267494.72999999</v>
      </c>
      <c r="BS32" s="115">
        <f>SFP!BR15</f>
        <v>269123821.56</v>
      </c>
      <c r="BT32" s="115">
        <f>SFP!BS15</f>
        <v>263713416</v>
      </c>
      <c r="BU32" s="115">
        <f>SFP!BT15</f>
        <v>289818608.89999998</v>
      </c>
      <c r="BV32" s="115">
        <f>SFP!BU15</f>
        <v>290420985.05000001</v>
      </c>
      <c r="BW32" s="115">
        <f>SFP!BV15</f>
        <v>291540640.52999997</v>
      </c>
      <c r="BX32" s="115">
        <f>SFP!BW15</f>
        <v>291088165.19</v>
      </c>
      <c r="BY32" s="115">
        <f>SFP!BX15</f>
        <v>284424310.67000002</v>
      </c>
      <c r="BZ32" s="115">
        <f>SFP!BY15</f>
        <v>288923322.27999997</v>
      </c>
    </row>
    <row r="33" spans="1:78">
      <c r="A33" s="34">
        <v>7.3</v>
      </c>
      <c r="B33" s="51" t="s">
        <v>143</v>
      </c>
      <c r="C33" s="115">
        <f>SFP!B16</f>
        <v>7605762</v>
      </c>
      <c r="D33" s="115">
        <f>SFP!C16</f>
        <v>9972423</v>
      </c>
      <c r="E33" s="115">
        <f>SFP!D16</f>
        <v>9972423.1300000008</v>
      </c>
      <c r="F33" s="115">
        <f>SFP!E16</f>
        <v>9972423.1300000008</v>
      </c>
      <c r="G33" s="115">
        <f>SFP!F16</f>
        <v>9972423.1300000008</v>
      </c>
      <c r="H33" s="115">
        <f>SFP!G16</f>
        <v>9972423.1300000008</v>
      </c>
      <c r="I33" s="115">
        <f>SFP!H16</f>
        <v>9972423.1300000008</v>
      </c>
      <c r="J33" s="115">
        <f>SFP!I16</f>
        <v>9972423.1300000008</v>
      </c>
      <c r="K33" s="115">
        <f>SFP!J16</f>
        <v>9972423.1300000008</v>
      </c>
      <c r="L33" s="115">
        <f>SFP!K16</f>
        <v>9972423.1300000008</v>
      </c>
      <c r="M33" s="115">
        <f>SFP!L16</f>
        <v>9972423.1300000008</v>
      </c>
      <c r="N33" s="115">
        <f>SFP!M16</f>
        <v>9972423.1300000008</v>
      </c>
      <c r="O33" s="115">
        <f>SFP!N16</f>
        <v>9972423.1300000008</v>
      </c>
      <c r="P33" s="115">
        <f>SFP!O16</f>
        <v>9972423.1300000008</v>
      </c>
      <c r="Q33" s="115">
        <f>SFP!P16</f>
        <v>7794442</v>
      </c>
      <c r="R33" s="115">
        <f>SFP!Q16</f>
        <v>10214244</v>
      </c>
      <c r="S33" s="115">
        <f>SFP!R16</f>
        <v>11212943.560000001</v>
      </c>
      <c r="T33" s="290">
        <f>SFP!S16</f>
        <v>11212944</v>
      </c>
      <c r="U33" s="115">
        <f>SFP!T16</f>
        <v>11212943.560000001</v>
      </c>
      <c r="V33" s="115">
        <f>SFP!U16</f>
        <v>11212943.560000001</v>
      </c>
      <c r="W33" s="115">
        <f>SFP!V16</f>
        <v>11817893.98</v>
      </c>
      <c r="X33" s="115">
        <f>SFP!W16</f>
        <v>12019544.119999999</v>
      </c>
      <c r="Y33" s="115">
        <f>SFP!X16</f>
        <v>12221194.26</v>
      </c>
      <c r="Z33" s="115">
        <f>SFP!Y16</f>
        <v>12422844.4</v>
      </c>
      <c r="AA33" s="115">
        <f>SFP!Z16</f>
        <v>12624494.539999999</v>
      </c>
      <c r="AB33" s="115">
        <f>SFP!AA16</f>
        <v>12826144.68</v>
      </c>
      <c r="AC33" s="115">
        <f>SFP!AB16</f>
        <v>18281219.210000001</v>
      </c>
      <c r="AD33" s="115">
        <f>SFP!AC16</f>
        <v>18482869.350000001</v>
      </c>
      <c r="AE33" s="115">
        <f>SFP!AD16</f>
        <v>18684519.489999998</v>
      </c>
      <c r="AF33" s="115">
        <f>SFP!AE16</f>
        <v>16851478.309999999</v>
      </c>
      <c r="AG33" s="115">
        <f>SFP!AF16</f>
        <v>16851478</v>
      </c>
      <c r="AH33" s="115">
        <f>SFP!AG16</f>
        <v>17053128.449999999</v>
      </c>
      <c r="AI33" s="115">
        <f>SFP!AH16</f>
        <v>17436783.370000001</v>
      </c>
      <c r="AJ33" s="115">
        <f>SFP!AI16</f>
        <v>17759770.030000001</v>
      </c>
      <c r="AK33" s="115">
        <f>SFP!AJ16</f>
        <v>18082756.690000001</v>
      </c>
      <c r="AL33" s="115">
        <f>SFP!AK16</f>
        <v>18405743.350000001</v>
      </c>
      <c r="AM33" s="115">
        <f>SFP!AL16</f>
        <v>18728730.010000002</v>
      </c>
      <c r="AN33" s="115">
        <f>SFP!AM16</f>
        <v>0</v>
      </c>
      <c r="AO33" s="115">
        <f>SFP!AN16</f>
        <v>19638814.25</v>
      </c>
      <c r="AP33" s="115">
        <f>SFP!AO16</f>
        <v>24623781.079999998</v>
      </c>
      <c r="AQ33" s="115">
        <f>SFP!AP16</f>
        <v>23826505.690000001</v>
      </c>
      <c r="AR33" s="115">
        <f>SFP!AQ16</f>
        <v>24968460.760000002</v>
      </c>
      <c r="AS33" s="115">
        <f>SFP!AR16</f>
        <v>24262747.77</v>
      </c>
      <c r="AT33" s="115">
        <f>SFP!AS16</f>
        <v>24262748</v>
      </c>
      <c r="AU33" s="115">
        <f>SFP!AT16</f>
        <v>2102814</v>
      </c>
      <c r="AV33" s="115">
        <f>SFP!AU16</f>
        <v>3395395.12</v>
      </c>
      <c r="AW33" s="115">
        <f>SFP!AV16</f>
        <v>2852903.61</v>
      </c>
      <c r="AX33" s="115">
        <f>SFP!AW16</f>
        <v>4247544.42</v>
      </c>
      <c r="AY33" s="115">
        <f>SFP!AX16</f>
        <v>3143770.99</v>
      </c>
      <c r="AZ33" s="115">
        <f>SFP!AY16</f>
        <v>4451197.6900000004</v>
      </c>
      <c r="BA33" s="115">
        <f>SFP!AZ16</f>
        <v>4275794.9400000004</v>
      </c>
      <c r="BB33" s="115">
        <f>SFP!BA16</f>
        <v>4817163.8</v>
      </c>
      <c r="BC33" s="115">
        <f>SFP!BB16</f>
        <v>4865468.43</v>
      </c>
      <c r="BD33" s="115">
        <f>SFP!BC16</f>
        <v>5253614.0930000003</v>
      </c>
      <c r="BE33" s="115">
        <f>SFP!BD16</f>
        <v>5305712</v>
      </c>
      <c r="BF33" s="115">
        <f>SFP!BE16</f>
        <v>6240049.5599999996</v>
      </c>
      <c r="BG33" s="115">
        <f>SFP!BF16</f>
        <v>6585364</v>
      </c>
      <c r="BH33" s="115">
        <f>SFP!BG16</f>
        <v>6401128.3899999997</v>
      </c>
      <c r="BI33" s="115">
        <f>SFP!BH16</f>
        <v>6394196.21</v>
      </c>
      <c r="BJ33" s="115">
        <f>SFP!BI16</f>
        <v>6463925.3300000001</v>
      </c>
      <c r="BK33" s="115">
        <f>SFP!BJ16</f>
        <v>6678691.2300000004</v>
      </c>
      <c r="BL33" s="115">
        <f>SFP!BK16</f>
        <v>8186123.54</v>
      </c>
      <c r="BM33" s="115">
        <f>SFP!BL16</f>
        <v>7874217.8200000003</v>
      </c>
      <c r="BN33" s="115">
        <f>SFP!BM16</f>
        <v>8643626.4600000009</v>
      </c>
      <c r="BO33" s="115">
        <f>SFP!BN16</f>
        <v>9319329.3900000006</v>
      </c>
      <c r="BP33" s="115">
        <f>SFP!BO16</f>
        <v>9594787.3200000003</v>
      </c>
      <c r="BQ33" s="115">
        <f>SFP!BP16</f>
        <v>11263793.050000001</v>
      </c>
      <c r="BR33" s="115">
        <f>SFP!BQ16</f>
        <v>11552859.73</v>
      </c>
      <c r="BS33" s="115">
        <f>SFP!BR16</f>
        <v>8674925.7599999998</v>
      </c>
      <c r="BT33" s="115">
        <f>SFP!BS16</f>
        <v>8674926</v>
      </c>
      <c r="BU33" s="115">
        <f>SFP!BT16</f>
        <v>14573011.710000001</v>
      </c>
      <c r="BV33" s="115">
        <f>SFP!BU16</f>
        <v>14675486.26</v>
      </c>
      <c r="BW33" s="115">
        <f>SFP!BV16</f>
        <v>14276003.210000001</v>
      </c>
      <c r="BX33" s="115">
        <f>SFP!BW16</f>
        <v>13017937.85</v>
      </c>
      <c r="BY33" s="115">
        <f>SFP!BX16</f>
        <v>11267918.24</v>
      </c>
      <c r="BZ33" s="115">
        <f>SFP!BY16</f>
        <v>13299845.710000001</v>
      </c>
    </row>
    <row r="34" spans="1:78">
      <c r="A34" s="43">
        <v>7.4</v>
      </c>
      <c r="B34" s="51" t="s">
        <v>144</v>
      </c>
      <c r="C34" s="121" t="e">
        <f>(#REF!+#REF!+#REF!)</f>
        <v>#REF!</v>
      </c>
      <c r="D34" s="121" t="e">
        <f>(#REF!+#REF!+#REF!)</f>
        <v>#REF!</v>
      </c>
      <c r="E34" s="121" t="e">
        <f>(#REF!+#REF!+#REF!)</f>
        <v>#REF!</v>
      </c>
      <c r="F34" s="121" t="e">
        <f>(#REF!+#REF!+#REF!)</f>
        <v>#REF!</v>
      </c>
      <c r="G34" s="121" t="e">
        <f>(#REF!+#REF!+#REF!)</f>
        <v>#REF!</v>
      </c>
      <c r="H34" s="121" t="e">
        <f>(#REF!+#REF!+#REF!)</f>
        <v>#REF!</v>
      </c>
      <c r="I34" s="121" t="e">
        <f>(#REF!+#REF!+#REF!)</f>
        <v>#REF!</v>
      </c>
      <c r="J34" s="121" t="e">
        <f>(#REF!+#REF!+#REF!)</f>
        <v>#REF!</v>
      </c>
      <c r="K34" s="121" t="e">
        <f>(#REF!+#REF!+#REF!)</f>
        <v>#REF!</v>
      </c>
      <c r="L34" s="121" t="e">
        <f>(#REF!+#REF!+#REF!)</f>
        <v>#REF!</v>
      </c>
      <c r="M34" s="121" t="e">
        <f>(#REF!+#REF!+#REF!)</f>
        <v>#REF!</v>
      </c>
      <c r="N34" s="121" t="e">
        <f>(#REF!+#REF!+#REF!)</f>
        <v>#REF!</v>
      </c>
      <c r="O34" s="121" t="e">
        <f>(#REF!+#REF!+#REF!)</f>
        <v>#REF!</v>
      </c>
      <c r="P34" s="121" t="e">
        <f>(#REF!+#REF!+#REF!)</f>
        <v>#REF!</v>
      </c>
      <c r="Q34" s="121" t="e">
        <f>(#REF!+#REF!+#REF!)</f>
        <v>#REF!</v>
      </c>
      <c r="R34" s="121" t="e">
        <f>(#REF!+#REF!+#REF!)</f>
        <v>#REF!</v>
      </c>
      <c r="S34" s="121" t="e">
        <f>(#REF!+#REF!+#REF!)</f>
        <v>#REF!</v>
      </c>
      <c r="T34" s="292" t="e">
        <f>(#REF!+#REF!+#REF!)</f>
        <v>#REF!</v>
      </c>
      <c r="U34" s="121" t="e">
        <f>(#REF!+#REF!+#REF!)</f>
        <v>#REF!</v>
      </c>
      <c r="V34" s="121" t="e">
        <f>(#REF!+#REF!+#REF!)</f>
        <v>#REF!</v>
      </c>
      <c r="W34" s="121" t="e">
        <f>(#REF!+#REF!+#REF!)</f>
        <v>#REF!</v>
      </c>
      <c r="X34" s="121" t="e">
        <f>(#REF!+#REF!+#REF!)</f>
        <v>#REF!</v>
      </c>
      <c r="Y34" s="121" t="e">
        <f>(#REF!+#REF!+#REF!)</f>
        <v>#REF!</v>
      </c>
      <c r="Z34" s="121" t="e">
        <f>(#REF!+#REF!+#REF!)</f>
        <v>#REF!</v>
      </c>
      <c r="AA34" s="121" t="e">
        <f>(#REF!+#REF!+#REF!)</f>
        <v>#REF!</v>
      </c>
      <c r="AB34" s="121" t="e">
        <f>(#REF!+#REF!+#REF!)</f>
        <v>#REF!</v>
      </c>
      <c r="AC34" s="121" t="e">
        <f>(#REF!+#REF!+#REF!)</f>
        <v>#REF!</v>
      </c>
      <c r="AD34" s="121" t="e">
        <f>(#REF!+#REF!+#REF!)</f>
        <v>#REF!</v>
      </c>
      <c r="AE34" s="121" t="e">
        <f>(#REF!+#REF!+#REF!)</f>
        <v>#REF!</v>
      </c>
      <c r="AF34" s="121" t="e">
        <f>(#REF!+#REF!+#REF!)</f>
        <v>#REF!</v>
      </c>
      <c r="AG34" s="121" t="e">
        <f>(#REF!+#REF!+#REF!)</f>
        <v>#REF!</v>
      </c>
      <c r="AH34" s="121" t="e">
        <f>(#REF!+#REF!+#REF!)</f>
        <v>#REF!</v>
      </c>
      <c r="AI34" s="121" t="e">
        <f>(#REF!+#REF!+#REF!)</f>
        <v>#REF!</v>
      </c>
      <c r="AJ34" s="121" t="e">
        <f>(#REF!+#REF!+#REF!)</f>
        <v>#REF!</v>
      </c>
      <c r="AK34" s="121" t="e">
        <f>(#REF!+#REF!+#REF!)</f>
        <v>#REF!</v>
      </c>
      <c r="AL34" s="121" t="e">
        <f>(#REF!+#REF!+#REF!)</f>
        <v>#REF!</v>
      </c>
      <c r="AM34" s="121" t="e">
        <f>(#REF!+#REF!+#REF!)</f>
        <v>#REF!</v>
      </c>
      <c r="AN34" s="121" t="e">
        <f>(#REF!+#REF!+#REF!)</f>
        <v>#REF!</v>
      </c>
      <c r="AO34" s="121" t="e">
        <f>(#REF!+#REF!+#REF!)</f>
        <v>#REF!</v>
      </c>
      <c r="AP34" s="121" t="e">
        <f>(#REF!+#REF!+#REF!)</f>
        <v>#REF!</v>
      </c>
      <c r="AQ34" s="121" t="e">
        <f>(#REF!+#REF!+#REF!)</f>
        <v>#REF!</v>
      </c>
      <c r="AR34" s="121" t="e">
        <f>(#REF!+#REF!+#REF!)</f>
        <v>#REF!</v>
      </c>
      <c r="AS34" s="121" t="e">
        <f>(#REF!+#REF!+#REF!)</f>
        <v>#REF!</v>
      </c>
      <c r="AT34" s="121" t="e">
        <f>(#REF!+#REF!+#REF!)</f>
        <v>#REF!</v>
      </c>
      <c r="AU34" s="121" t="e">
        <f>(#REF!+#REF!+#REF!)</f>
        <v>#REF!</v>
      </c>
      <c r="AV34" s="121" t="e">
        <f>(#REF!+#REF!+#REF!)</f>
        <v>#REF!</v>
      </c>
      <c r="AW34" s="121" t="e">
        <f>(#REF!+#REF!+#REF!)</f>
        <v>#REF!</v>
      </c>
      <c r="AX34" s="121" t="e">
        <f>(#REF!+#REF!+#REF!)</f>
        <v>#REF!</v>
      </c>
      <c r="AY34" s="121" t="e">
        <f>(#REF!+#REF!+#REF!)</f>
        <v>#REF!</v>
      </c>
      <c r="AZ34" s="121" t="e">
        <f>(#REF!+#REF!+#REF!)</f>
        <v>#REF!</v>
      </c>
      <c r="BA34" s="121" t="e">
        <f>(#REF!+#REF!+#REF!)</f>
        <v>#REF!</v>
      </c>
      <c r="BB34" s="121" t="e">
        <f>(#REF!+#REF!+#REF!)</f>
        <v>#REF!</v>
      </c>
      <c r="BC34" s="121" t="e">
        <f>(#REF!+#REF!+#REF!)</f>
        <v>#REF!</v>
      </c>
      <c r="BD34" s="121" t="e">
        <f>(#REF!+#REF!+#REF!)</f>
        <v>#REF!</v>
      </c>
      <c r="BE34" s="121" t="e">
        <f>(#REF!+#REF!+#REF!)</f>
        <v>#REF!</v>
      </c>
      <c r="BF34" s="121" t="e">
        <f>(#REF!+#REF!+#REF!)</f>
        <v>#REF!</v>
      </c>
      <c r="BG34" s="121" t="e">
        <f>(#REF!+#REF!+#REF!)</f>
        <v>#REF!</v>
      </c>
      <c r="BH34" s="121" t="e">
        <f>(#REF!+#REF!+#REF!)</f>
        <v>#REF!</v>
      </c>
      <c r="BI34" s="121" t="e">
        <f>(#REF!+#REF!+#REF!)</f>
        <v>#REF!</v>
      </c>
      <c r="BJ34" s="121" t="e">
        <f>(#REF!+#REF!+#REF!)</f>
        <v>#REF!</v>
      </c>
      <c r="BK34" s="121" t="e">
        <f>(#REF!+#REF!+#REF!)</f>
        <v>#REF!</v>
      </c>
      <c r="BL34" s="121" t="e">
        <f>(#REF!+#REF!+#REF!)</f>
        <v>#REF!</v>
      </c>
      <c r="BM34" s="121" t="e">
        <f>(#REF!+#REF!+#REF!)</f>
        <v>#REF!</v>
      </c>
      <c r="BN34" s="121" t="e">
        <f>(#REF!+#REF!+#REF!)</f>
        <v>#REF!</v>
      </c>
      <c r="BO34" s="121" t="e">
        <f>(#REF!+#REF!+#REF!)</f>
        <v>#REF!</v>
      </c>
      <c r="BP34" s="121" t="e">
        <f>(#REF!+#REF!+#REF!)</f>
        <v>#REF!</v>
      </c>
      <c r="BQ34" s="121" t="e">
        <f>(#REF!+#REF!+#REF!)</f>
        <v>#REF!</v>
      </c>
      <c r="BR34" s="121" t="e">
        <f>(#REF!+#REF!+#REF!)</f>
        <v>#REF!</v>
      </c>
      <c r="BS34" s="121" t="e">
        <f>(#REF!+#REF!+#REF!)</f>
        <v>#REF!</v>
      </c>
      <c r="BT34" s="121" t="e">
        <f>(#REF!+#REF!+#REF!)</f>
        <v>#REF!</v>
      </c>
      <c r="BU34" s="121" t="e">
        <f>(#REF!+#REF!+#REF!)</f>
        <v>#REF!</v>
      </c>
      <c r="BV34" s="121" t="e">
        <f>(#REF!+#REF!+#REF!)</f>
        <v>#REF!</v>
      </c>
      <c r="BW34" s="121" t="e">
        <f>(#REF!+#REF!+#REF!)</f>
        <v>#REF!</v>
      </c>
      <c r="BX34" s="121" t="e">
        <f>(#REF!+#REF!+#REF!)</f>
        <v>#REF!</v>
      </c>
      <c r="BY34" s="121" t="e">
        <f>(#REF!+#REF!+#REF!)</f>
        <v>#REF!</v>
      </c>
      <c r="BZ34" s="121" t="e">
        <f>(#REF!+#REF!+#REF!)</f>
        <v>#REF!</v>
      </c>
    </row>
    <row r="35" spans="1:78">
      <c r="A35" s="43">
        <v>7.5</v>
      </c>
      <c r="B35" s="111" t="s">
        <v>145</v>
      </c>
      <c r="C35" s="121" t="e">
        <f>#REF!</f>
        <v>#REF!</v>
      </c>
      <c r="D35" s="121" t="e">
        <f>#REF!</f>
        <v>#REF!</v>
      </c>
      <c r="E35" s="121" t="e">
        <f>#REF!</f>
        <v>#REF!</v>
      </c>
      <c r="F35" s="121" t="e">
        <f>#REF!</f>
        <v>#REF!</v>
      </c>
      <c r="G35" s="121" t="e">
        <f>#REF!</f>
        <v>#REF!</v>
      </c>
      <c r="H35" s="121" t="e">
        <f>#REF!</f>
        <v>#REF!</v>
      </c>
      <c r="I35" s="121" t="e">
        <f>#REF!</f>
        <v>#REF!</v>
      </c>
      <c r="J35" s="121" t="e">
        <f>#REF!</f>
        <v>#REF!</v>
      </c>
      <c r="K35" s="121" t="e">
        <f>#REF!</f>
        <v>#REF!</v>
      </c>
      <c r="L35" s="121" t="e">
        <f>#REF!</f>
        <v>#REF!</v>
      </c>
      <c r="M35" s="121" t="e">
        <f>#REF!</f>
        <v>#REF!</v>
      </c>
      <c r="N35" s="121" t="e">
        <f>#REF!</f>
        <v>#REF!</v>
      </c>
      <c r="O35" s="121" t="e">
        <f>#REF!</f>
        <v>#REF!</v>
      </c>
      <c r="P35" s="121" t="e">
        <f>#REF!</f>
        <v>#REF!</v>
      </c>
      <c r="Q35" s="121" t="e">
        <f>#REF!</f>
        <v>#REF!</v>
      </c>
      <c r="R35" s="121" t="e">
        <f>#REF!</f>
        <v>#REF!</v>
      </c>
      <c r="S35" s="121" t="e">
        <f>#REF!</f>
        <v>#REF!</v>
      </c>
      <c r="T35" s="292" t="e">
        <f>#REF!</f>
        <v>#REF!</v>
      </c>
      <c r="U35" s="121" t="e">
        <f>#REF!</f>
        <v>#REF!</v>
      </c>
      <c r="V35" s="121" t="e">
        <f>#REF!</f>
        <v>#REF!</v>
      </c>
      <c r="W35" s="121" t="e">
        <f>#REF!</f>
        <v>#REF!</v>
      </c>
      <c r="X35" s="121" t="e">
        <f>#REF!</f>
        <v>#REF!</v>
      </c>
      <c r="Y35" s="121" t="e">
        <f>#REF!</f>
        <v>#REF!</v>
      </c>
      <c r="Z35" s="121" t="e">
        <f>#REF!</f>
        <v>#REF!</v>
      </c>
      <c r="AA35" s="121" t="e">
        <f>#REF!</f>
        <v>#REF!</v>
      </c>
      <c r="AB35" s="121" t="e">
        <f>#REF!</f>
        <v>#REF!</v>
      </c>
      <c r="AC35" s="121" t="e">
        <f>#REF!</f>
        <v>#REF!</v>
      </c>
      <c r="AD35" s="121" t="e">
        <f>#REF!</f>
        <v>#REF!</v>
      </c>
      <c r="AE35" s="121" t="e">
        <f>#REF!</f>
        <v>#REF!</v>
      </c>
      <c r="AF35" s="121" t="e">
        <f>#REF!</f>
        <v>#REF!</v>
      </c>
      <c r="AG35" s="121" t="e">
        <f>#REF!</f>
        <v>#REF!</v>
      </c>
      <c r="AH35" s="121" t="e">
        <f>#REF!</f>
        <v>#REF!</v>
      </c>
      <c r="AI35" s="121" t="e">
        <f>#REF!</f>
        <v>#REF!</v>
      </c>
      <c r="AJ35" s="121" t="e">
        <f>#REF!</f>
        <v>#REF!</v>
      </c>
      <c r="AK35" s="121" t="e">
        <f>#REF!</f>
        <v>#REF!</v>
      </c>
      <c r="AL35" s="121" t="e">
        <f>#REF!</f>
        <v>#REF!</v>
      </c>
      <c r="AM35" s="121" t="e">
        <f>#REF!</f>
        <v>#REF!</v>
      </c>
      <c r="AN35" s="121" t="e">
        <f>#REF!</f>
        <v>#REF!</v>
      </c>
      <c r="AO35" s="121" t="e">
        <f>#REF!</f>
        <v>#REF!</v>
      </c>
      <c r="AP35" s="121" t="e">
        <f>#REF!</f>
        <v>#REF!</v>
      </c>
      <c r="AQ35" s="121" t="e">
        <f>#REF!</f>
        <v>#REF!</v>
      </c>
      <c r="AR35" s="121" t="e">
        <f>#REF!</f>
        <v>#REF!</v>
      </c>
      <c r="AS35" s="121" t="e">
        <f>#REF!</f>
        <v>#REF!</v>
      </c>
      <c r="AT35" s="121" t="e">
        <f>#REF!</f>
        <v>#REF!</v>
      </c>
      <c r="AU35" s="121" t="e">
        <f>#REF!</f>
        <v>#REF!</v>
      </c>
      <c r="AV35" s="121" t="e">
        <f>#REF!</f>
        <v>#REF!</v>
      </c>
      <c r="AW35" s="121" t="e">
        <f>#REF!</f>
        <v>#REF!</v>
      </c>
      <c r="AX35" s="121" t="e">
        <f>#REF!</f>
        <v>#REF!</v>
      </c>
      <c r="AY35" s="121" t="e">
        <f>#REF!</f>
        <v>#REF!</v>
      </c>
      <c r="AZ35" s="121" t="e">
        <f>#REF!</f>
        <v>#REF!</v>
      </c>
      <c r="BA35" s="121" t="e">
        <f>#REF!</f>
        <v>#REF!</v>
      </c>
      <c r="BB35" s="121" t="e">
        <f>#REF!</f>
        <v>#REF!</v>
      </c>
      <c r="BC35" s="121" t="e">
        <f>#REF!</f>
        <v>#REF!</v>
      </c>
      <c r="BD35" s="121" t="e">
        <f>#REF!</f>
        <v>#REF!</v>
      </c>
      <c r="BE35" s="121" t="e">
        <f>#REF!</f>
        <v>#REF!</v>
      </c>
      <c r="BF35" s="121" t="e">
        <f>#REF!</f>
        <v>#REF!</v>
      </c>
      <c r="BG35" s="121" t="e">
        <f>#REF!</f>
        <v>#REF!</v>
      </c>
      <c r="BH35" s="121" t="e">
        <f>#REF!</f>
        <v>#REF!</v>
      </c>
      <c r="BI35" s="121" t="e">
        <f>#REF!</f>
        <v>#REF!</v>
      </c>
      <c r="BJ35" s="121" t="e">
        <f>#REF!</f>
        <v>#REF!</v>
      </c>
      <c r="BK35" s="121" t="e">
        <f>#REF!</f>
        <v>#REF!</v>
      </c>
      <c r="BL35" s="121" t="e">
        <f>#REF!</f>
        <v>#REF!</v>
      </c>
      <c r="BM35" s="121" t="e">
        <f>#REF!</f>
        <v>#REF!</v>
      </c>
      <c r="BN35" s="121" t="e">
        <f>#REF!</f>
        <v>#REF!</v>
      </c>
      <c r="BO35" s="121" t="e">
        <f>#REF!</f>
        <v>#REF!</v>
      </c>
      <c r="BP35" s="121" t="e">
        <f>#REF!</f>
        <v>#REF!</v>
      </c>
      <c r="BQ35" s="121" t="e">
        <f>#REF!</f>
        <v>#REF!</v>
      </c>
      <c r="BR35" s="121" t="e">
        <f>#REF!</f>
        <v>#REF!</v>
      </c>
      <c r="BS35" s="121" t="e">
        <f>#REF!</f>
        <v>#REF!</v>
      </c>
      <c r="BT35" s="121" t="e">
        <f>#REF!</f>
        <v>#REF!</v>
      </c>
      <c r="BU35" s="121" t="e">
        <f>#REF!</f>
        <v>#REF!</v>
      </c>
      <c r="BV35" s="121" t="e">
        <f>#REF!</f>
        <v>#REF!</v>
      </c>
      <c r="BW35" s="121" t="e">
        <f>#REF!</f>
        <v>#REF!</v>
      </c>
      <c r="BX35" s="121" t="e">
        <f>#REF!</f>
        <v>#REF!</v>
      </c>
      <c r="BY35" s="121" t="e">
        <f>#REF!</f>
        <v>#REF!</v>
      </c>
      <c r="BZ35" s="121" t="e">
        <f>#REF!</f>
        <v>#REF!</v>
      </c>
    </row>
    <row r="36" spans="1:78">
      <c r="A36" s="43">
        <v>7.6</v>
      </c>
      <c r="B36" s="44" t="s">
        <v>146</v>
      </c>
      <c r="C36" s="117">
        <f>SFP!B4</f>
        <v>21760113</v>
      </c>
      <c r="D36" s="117">
        <f>SFP!C4</f>
        <v>47930722</v>
      </c>
      <c r="E36" s="117">
        <f>SFP!D4</f>
        <v>64879933.079999998</v>
      </c>
      <c r="F36" s="117">
        <f>SFP!E4</f>
        <v>49119809.189999998</v>
      </c>
      <c r="G36" s="117">
        <f>SFP!F4</f>
        <v>36488011.020000003</v>
      </c>
      <c r="H36" s="117">
        <f>SFP!G4</f>
        <v>13047834.530000001</v>
      </c>
      <c r="I36" s="117">
        <f>SFP!H4</f>
        <v>20380805</v>
      </c>
      <c r="J36" s="117">
        <f>SFP!I4</f>
        <v>8632294.0899999999</v>
      </c>
      <c r="K36" s="117">
        <f>SFP!J4</f>
        <v>21071430.719999999</v>
      </c>
      <c r="L36" s="117">
        <f>SFP!K4</f>
        <v>12009037.01</v>
      </c>
      <c r="M36" s="117">
        <f>SFP!L4</f>
        <v>27516388.93</v>
      </c>
      <c r="N36" s="117">
        <f>SFP!M4</f>
        <v>20396985.359999999</v>
      </c>
      <c r="O36" s="117">
        <f>SFP!N4</f>
        <v>13658639.379999999</v>
      </c>
      <c r="P36" s="117">
        <f>SFP!O4</f>
        <v>33983596.039999999</v>
      </c>
      <c r="Q36" s="117">
        <f>SFP!P4</f>
        <v>43882692</v>
      </c>
      <c r="R36" s="117">
        <f>SFP!Q4</f>
        <v>37787619</v>
      </c>
      <c r="S36" s="117">
        <f>SFP!R4</f>
        <v>94364971.060000002</v>
      </c>
      <c r="T36" s="285">
        <f>SFP!S4</f>
        <v>86995878</v>
      </c>
      <c r="U36" s="117">
        <f>SFP!T4</f>
        <v>99084093.540000007</v>
      </c>
      <c r="V36" s="117">
        <f>SFP!U4</f>
        <v>106402453.78</v>
      </c>
      <c r="W36" s="117">
        <f>SFP!V4</f>
        <v>93263618.600000009</v>
      </c>
      <c r="X36" s="117">
        <f>SFP!W4</f>
        <v>81785848.030000001</v>
      </c>
      <c r="Y36" s="117">
        <f>SFP!X4</f>
        <v>86648913.530000001</v>
      </c>
      <c r="Z36" s="117">
        <f>SFP!Y4</f>
        <v>81659238.829999998</v>
      </c>
      <c r="AA36" s="117">
        <f>SFP!Z4</f>
        <v>67733873.140000001</v>
      </c>
      <c r="AB36" s="117">
        <f>SFP!AA4</f>
        <v>62425717.909999996</v>
      </c>
      <c r="AC36" s="117">
        <f>SFP!AB4</f>
        <v>76792836.439999998</v>
      </c>
      <c r="AD36" s="117">
        <f>SFP!AC4</f>
        <v>93457421.709999993</v>
      </c>
      <c r="AE36" s="117">
        <f>SFP!AD4</f>
        <v>83343190.640000001</v>
      </c>
      <c r="AF36" s="117">
        <f>SFP!AE4</f>
        <v>98436927.010000005</v>
      </c>
      <c r="AG36" s="117">
        <f>SFP!AF4</f>
        <v>44641958</v>
      </c>
      <c r="AH36" s="117">
        <f>SFP!AG4</f>
        <v>120038839.45999999</v>
      </c>
      <c r="AI36" s="117">
        <f>SFP!AH4</f>
        <v>103285563.28</v>
      </c>
      <c r="AJ36" s="117">
        <f>SFP!AI4</f>
        <v>100613007.72</v>
      </c>
      <c r="AK36" s="117">
        <f>SFP!AJ4</f>
        <v>84961256.640000001</v>
      </c>
      <c r="AL36" s="117">
        <f>SFP!AK4</f>
        <v>91835184.169999987</v>
      </c>
      <c r="AM36" s="117">
        <f>SFP!AL4</f>
        <v>111763289.56</v>
      </c>
      <c r="AN36" s="117">
        <f>SFP!AM4</f>
        <v>0</v>
      </c>
      <c r="AO36" s="117">
        <f>SFP!AN4</f>
        <v>80264190.640000001</v>
      </c>
      <c r="AP36" s="117">
        <f>SFP!AO4</f>
        <v>90656513.519999996</v>
      </c>
      <c r="AQ36" s="117">
        <f>SFP!AP4</f>
        <v>86962407.25</v>
      </c>
      <c r="AR36" s="117">
        <f>SFP!AQ4</f>
        <v>101782926.29000001</v>
      </c>
      <c r="AS36" s="117">
        <f>SFP!AR4</f>
        <v>115260111.25999999</v>
      </c>
      <c r="AT36" s="117">
        <f>SFP!AS4</f>
        <v>115558634</v>
      </c>
      <c r="AU36" s="117">
        <f>SFP!AT4</f>
        <v>19732482.009999998</v>
      </c>
      <c r="AV36" s="117">
        <f>SFP!AU4</f>
        <v>22524206.52</v>
      </c>
      <c r="AW36" s="117">
        <f>SFP!AV4</f>
        <v>24054895.68</v>
      </c>
      <c r="AX36" s="117">
        <f>SFP!AW4</f>
        <v>28151471.420000002</v>
      </c>
      <c r="AY36" s="117">
        <f>SFP!AX4</f>
        <v>28446701.219999999</v>
      </c>
      <c r="AZ36" s="117">
        <f>SFP!AY4</f>
        <v>31241991.84</v>
      </c>
      <c r="BA36" s="117">
        <f>SFP!AZ4</f>
        <v>28832439.539999999</v>
      </c>
      <c r="BB36" s="117">
        <f>SFP!BA4</f>
        <v>33391196.690000001</v>
      </c>
      <c r="BC36" s="117">
        <f>SFP!BB4</f>
        <v>34260880.239999995</v>
      </c>
      <c r="BD36" s="117">
        <f>SFP!BC4</f>
        <v>36512609.130000003</v>
      </c>
      <c r="BE36" s="117">
        <f>SFP!BD4</f>
        <v>36514979.18</v>
      </c>
      <c r="BF36" s="117">
        <f>SFP!BE4</f>
        <v>42382914.32</v>
      </c>
      <c r="BG36" s="117">
        <f>SFP!BF4</f>
        <v>42382915</v>
      </c>
      <c r="BH36" s="117">
        <f>SFP!BG4</f>
        <v>35575825.469999999</v>
      </c>
      <c r="BI36" s="117">
        <f>SFP!BH4</f>
        <v>37828621.240000002</v>
      </c>
      <c r="BJ36" s="117">
        <f>SFP!BI4</f>
        <v>33610120.07</v>
      </c>
      <c r="BK36" s="117">
        <f>SFP!BJ4</f>
        <v>24070269.719999999</v>
      </c>
      <c r="BL36" s="117">
        <f>SFP!BK4</f>
        <v>21035643.82</v>
      </c>
      <c r="BM36" s="117">
        <f>SFP!BL4</f>
        <v>33646846.960000001</v>
      </c>
      <c r="BN36" s="117">
        <f>SFP!BM4</f>
        <v>22254727.079999998</v>
      </c>
      <c r="BO36" s="117">
        <f>SFP!BN4</f>
        <v>15394652.58</v>
      </c>
      <c r="BP36" s="117">
        <f>SFP!BO4</f>
        <v>15480242.73</v>
      </c>
      <c r="BQ36" s="117">
        <f>SFP!BP4</f>
        <v>15587451.15</v>
      </c>
      <c r="BR36" s="117">
        <f>SFP!BQ4</f>
        <v>13532038.699999999</v>
      </c>
      <c r="BS36" s="117">
        <f>SFP!BR4</f>
        <v>12146495.789999999</v>
      </c>
      <c r="BT36" s="117">
        <f>SFP!BS4</f>
        <v>12146496</v>
      </c>
      <c r="BU36" s="117">
        <f>SFP!BT4</f>
        <v>12657776.42</v>
      </c>
      <c r="BV36" s="117">
        <f>SFP!BU4</f>
        <v>12846908.210000001</v>
      </c>
      <c r="BW36" s="117">
        <f>SFP!BV4</f>
        <v>8353379.9900000002</v>
      </c>
      <c r="BX36" s="117">
        <f>SFP!BW4</f>
        <v>19011546.16</v>
      </c>
      <c r="BY36" s="117">
        <f>SFP!BX4</f>
        <v>18175634.210000001</v>
      </c>
      <c r="BZ36" s="117">
        <f>SFP!BY4</f>
        <v>29854522.199999999</v>
      </c>
    </row>
    <row r="37" spans="1:78">
      <c r="A37" s="31"/>
      <c r="B37" s="45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285"/>
      <c r="U37" s="117"/>
      <c r="V37" s="117"/>
      <c r="W37" s="117"/>
      <c r="X37" s="117"/>
      <c r="Y37" s="117"/>
      <c r="Z37" s="117"/>
      <c r="AA37" s="117"/>
      <c r="AB37" s="117"/>
      <c r="AC37" s="117"/>
      <c r="AD37" s="117"/>
      <c r="AE37" s="117"/>
      <c r="AF37" s="117"/>
      <c r="AG37" s="117"/>
      <c r="AH37" s="117"/>
      <c r="AI37" s="117"/>
      <c r="AJ37" s="117"/>
      <c r="AK37" s="117"/>
      <c r="AL37" s="117"/>
      <c r="AM37" s="117"/>
      <c r="AN37" s="117"/>
      <c r="AO37" s="117"/>
      <c r="AP37" s="117"/>
      <c r="AQ37" s="117"/>
      <c r="AR37" s="117"/>
      <c r="AS37" s="117"/>
      <c r="AT37" s="117"/>
      <c r="AU37" s="117"/>
      <c r="AV37" s="117"/>
      <c r="AW37" s="117"/>
      <c r="AX37" s="117"/>
      <c r="AY37" s="117"/>
      <c r="AZ37" s="117"/>
      <c r="BA37" s="117"/>
      <c r="BB37" s="117"/>
      <c r="BC37" s="117"/>
      <c r="BD37" s="117"/>
      <c r="BE37" s="117"/>
      <c r="BF37" s="117"/>
      <c r="BG37" s="117"/>
    </row>
    <row r="38" spans="1:78">
      <c r="A38" s="33">
        <v>8</v>
      </c>
      <c r="B38" s="110" t="s">
        <v>147</v>
      </c>
      <c r="C38" s="118">
        <f>SFP!B7+SFP!B17+SFP!B23+SFP!B24+SFP!B25+SFP!B26</f>
        <v>57016914</v>
      </c>
      <c r="D38" s="118">
        <f>SFP!C7+SFP!C17+SFP!C23+SFP!C24+SFP!C25+SFP!C26</f>
        <v>40308396</v>
      </c>
      <c r="E38" s="118">
        <f>SFP!D7+SFP!D17+SFP!D23+SFP!D24+SFP!D25+SFP!D26</f>
        <v>54697471.630000003</v>
      </c>
      <c r="F38" s="118">
        <f>SFP!E7+SFP!E17+SFP!E23+SFP!E24+SFP!E25+SFP!E26</f>
        <v>57847365.859999999</v>
      </c>
      <c r="G38" s="118">
        <f>SFP!F7+SFP!F17+SFP!F23+SFP!F24+SFP!F25+SFP!F26</f>
        <v>43977605.75</v>
      </c>
      <c r="H38" s="118">
        <f>SFP!G7+SFP!G17+SFP!G23+SFP!G24+SFP!G25+SFP!G26</f>
        <v>55174190.060000002</v>
      </c>
      <c r="I38" s="118">
        <f>SFP!H7+SFP!H17+SFP!H23+SFP!H24+SFP!H25+SFP!H26</f>
        <v>53471504.260000005</v>
      </c>
      <c r="J38" s="118">
        <f>SFP!I7+SFP!I17+SFP!I23+SFP!I24+SFP!I25+SFP!I26</f>
        <v>52391003.649999999</v>
      </c>
      <c r="K38" s="118">
        <f>SFP!J7+SFP!J17+SFP!J23+SFP!J24+SFP!J25+SFP!J26</f>
        <v>43029668.5</v>
      </c>
      <c r="L38" s="118">
        <f>SFP!K7+SFP!K17+SFP!K23+SFP!K24+SFP!K25+SFP!K26</f>
        <v>51087238.660000004</v>
      </c>
      <c r="M38" s="118">
        <f>SFP!L7+SFP!L17+SFP!L23+SFP!L24+SFP!L25+SFP!L26</f>
        <v>36910054.390000001</v>
      </c>
      <c r="N38" s="118">
        <f>SFP!M7+SFP!M17+SFP!M23+SFP!M24+SFP!M25+SFP!M26</f>
        <v>38675162.93</v>
      </c>
      <c r="O38" s="118">
        <f>SFP!N7+SFP!N17+SFP!N23+SFP!N24+SFP!N25+SFP!N26</f>
        <v>44791589.010000005</v>
      </c>
      <c r="P38" s="118">
        <f>SFP!O7+SFP!O17+SFP!O23+SFP!O24+SFP!O25+SFP!O26</f>
        <v>33765213.840000004</v>
      </c>
      <c r="Q38" s="118">
        <f>SFP!P7+SFP!P17+SFP!P23+SFP!P24+SFP!P25+SFP!P26</f>
        <v>34935247</v>
      </c>
      <c r="R38" s="118">
        <f>SFP!Q7+SFP!Q17+SFP!Q23+SFP!Q24+SFP!Q25+SFP!Q26</f>
        <v>47148313</v>
      </c>
      <c r="S38" s="118">
        <f>SFP!R7+SFP!R17+SFP!R23+SFP!R24+SFP!R25+SFP!R26</f>
        <v>25574114.739999998</v>
      </c>
      <c r="T38" s="286">
        <f>SFP!S7+SFP!S17+SFP!S23+SFP!S24+SFP!S25+SFP!S26</f>
        <v>31496750</v>
      </c>
      <c r="U38" s="118">
        <f>SFP!T7+SFP!T17+SFP!T23+SFP!T24+SFP!T25+SFP!T26</f>
        <v>26081517.679999996</v>
      </c>
      <c r="V38" s="118">
        <f>SFP!U7+SFP!U17+SFP!U23+SFP!U24+SFP!U25+SFP!U26</f>
        <v>36932714.030000001</v>
      </c>
      <c r="W38" s="118">
        <f>SFP!V7+SFP!V17+SFP!V23+SFP!V24+SFP!V25+SFP!V26</f>
        <v>25007086.960000001</v>
      </c>
      <c r="X38" s="118">
        <f>SFP!W7+SFP!W17+SFP!W23+SFP!W24+SFP!W25+SFP!W26</f>
        <v>23475837.73</v>
      </c>
      <c r="Y38" s="118">
        <f>SFP!X7+SFP!X17+SFP!X23+SFP!X24+SFP!X25+SFP!X26</f>
        <v>44957413.959999993</v>
      </c>
      <c r="Z38" s="118">
        <f>SFP!Y7+SFP!Y17+SFP!Y23+SFP!Y24+SFP!Y25+SFP!Y26</f>
        <v>33012464.609999996</v>
      </c>
      <c r="AA38" s="118">
        <f>SFP!Z7+SFP!Z17+SFP!Z23+SFP!Z24+SFP!Z25+SFP!Z26</f>
        <v>27754465.309999999</v>
      </c>
      <c r="AB38" s="118">
        <f>SFP!AA7+SFP!AA17+SFP!AA23+SFP!AA24+SFP!AA25+SFP!AA26</f>
        <v>25656808.609999999</v>
      </c>
      <c r="AC38" s="118">
        <f>SFP!AB7+SFP!AB17+SFP!AB23+SFP!AB24+SFP!AB25+SFP!AB26</f>
        <v>27505340.609999996</v>
      </c>
      <c r="AD38" s="118">
        <f>SFP!AC7+SFP!AC17+SFP!AC23+SFP!AC24+SFP!AC25+SFP!AC26</f>
        <v>25480727.09</v>
      </c>
      <c r="AE38" s="118">
        <f>SFP!AD7+SFP!AD17+SFP!AD23+SFP!AD24+SFP!AD25+SFP!AD26</f>
        <v>25811189.899999999</v>
      </c>
      <c r="AF38" s="118">
        <f>SFP!AE7+SFP!AE17+SFP!AE23+SFP!AE24+SFP!AE25+SFP!AE26</f>
        <v>27231422.289999999</v>
      </c>
      <c r="AG38" s="118">
        <f>SFP!AF7+SFP!AF17+SFP!AF23+SFP!AF24+SFP!AF25+SFP!AF26</f>
        <v>27347312</v>
      </c>
      <c r="AH38" s="118">
        <f>SFP!AG7+SFP!AG17+SFP!AG23+SFP!AG24+SFP!AG25+SFP!AG26</f>
        <v>25498225.189999998</v>
      </c>
      <c r="AI38" s="118">
        <f>SFP!AH7+SFP!AH17+SFP!AH23+SFP!AH24+SFP!AH25+SFP!AH26</f>
        <v>30502251.910000004</v>
      </c>
      <c r="AJ38" s="118">
        <f>SFP!AI7+SFP!AI17+SFP!AI23+SFP!AI24+SFP!AI25+SFP!AI26</f>
        <v>21909376.25</v>
      </c>
      <c r="AK38" s="118">
        <f>SFP!AJ7+SFP!AJ17+SFP!AJ23+SFP!AJ24+SFP!AJ25+SFP!AJ26</f>
        <v>24176907.699999999</v>
      </c>
      <c r="AL38" s="118">
        <f>SFP!AK7+SFP!AK17+SFP!AK23+SFP!AK24+SFP!AK25+SFP!AK26</f>
        <v>42255234.990000002</v>
      </c>
      <c r="AM38" s="118">
        <f>SFP!AL7+SFP!AL17+SFP!AL23+SFP!AL24+SFP!AL25+SFP!AL26</f>
        <v>26327827.130000003</v>
      </c>
      <c r="AN38" s="118">
        <f>SFP!AM7+SFP!AM17+SFP!AM23+SFP!AM24+SFP!AM25+SFP!AM26</f>
        <v>0</v>
      </c>
      <c r="AO38" s="118">
        <f>SFP!AN7+SFP!AN17+SFP!AN23+SFP!AN24+SFP!AN25+SFP!AN26</f>
        <v>23736382.740000002</v>
      </c>
      <c r="AP38" s="118">
        <f>SFP!AO7+SFP!AO17+SFP!AO23+SFP!AO24+SFP!AO25+SFP!AO26</f>
        <v>24179555.989999998</v>
      </c>
      <c r="AQ38" s="118">
        <f>SFP!AP7+SFP!AP17+SFP!AP23+SFP!AP24+SFP!AP25+SFP!AP26</f>
        <v>22381207.109999999</v>
      </c>
      <c r="AR38" s="118">
        <f>SFP!AQ7+SFP!AQ17+SFP!AQ23+SFP!AQ24+SFP!AQ25+SFP!AQ26</f>
        <v>22454468.16</v>
      </c>
      <c r="AS38" s="118">
        <f>SFP!AR7+SFP!AR17+SFP!AR23+SFP!AR24+SFP!AR25+SFP!AR26</f>
        <v>23042909.109999999</v>
      </c>
      <c r="AT38" s="118">
        <f>SFP!AS7+SFP!AS17+SFP!AS23+SFP!AS24+SFP!AS25+SFP!AS26</f>
        <v>19198378.740000002</v>
      </c>
      <c r="AU38" s="118">
        <f>SFP!AT7+SFP!AT17+SFP!AT23+SFP!AT24+SFP!AT25+SFP!AT26</f>
        <v>28638040.580000002</v>
      </c>
      <c r="AV38" s="118">
        <f>SFP!AU7+SFP!AU17+SFP!AU23+SFP!AU24+SFP!AU25+SFP!AU26</f>
        <v>28273065.580000002</v>
      </c>
      <c r="AW38" s="118">
        <f>SFP!AV7+SFP!AV17+SFP!AV23+SFP!AV24+SFP!AV25+SFP!AV26</f>
        <v>28619554.769999996</v>
      </c>
      <c r="AX38" s="118">
        <f>SFP!AW7+SFP!AW17+SFP!AW23+SFP!AW24+SFP!AW25+SFP!AW26</f>
        <v>26374754.300000001</v>
      </c>
      <c r="AY38" s="118">
        <f>SFP!AX7+SFP!AX17+SFP!AX23+SFP!AX24+SFP!AX25+SFP!AX26</f>
        <v>28649260.240000002</v>
      </c>
      <c r="AZ38" s="118">
        <f>SFP!AY7+SFP!AY17+SFP!AY23+SFP!AY24+SFP!AY25+SFP!AY26</f>
        <v>28148233</v>
      </c>
      <c r="BA38" s="118">
        <f>SFP!AZ7+SFP!AZ17+SFP!AZ23+SFP!AZ24+SFP!AZ25+SFP!AZ26</f>
        <v>28147292.639999997</v>
      </c>
      <c r="BB38" s="118">
        <f>SFP!BA7+SFP!BA17+SFP!BA23+SFP!BA24+SFP!BA25+SFP!BA26</f>
        <v>29474788.079999998</v>
      </c>
      <c r="BC38" s="118">
        <f>SFP!BB7+SFP!BB17+SFP!BB23+SFP!BB24+SFP!BB25+SFP!BB26</f>
        <v>29017571.600000001</v>
      </c>
      <c r="BD38" s="118">
        <f>SFP!BC7+SFP!BC17+SFP!BC23+SFP!BC24+SFP!BC25+SFP!BC26</f>
        <v>29163493.780000005</v>
      </c>
      <c r="BE38" s="118">
        <f>SFP!BD7+SFP!BD17+SFP!BD23+SFP!BD24+SFP!BD25+SFP!BD26</f>
        <v>28075692.999999996</v>
      </c>
      <c r="BF38" s="118">
        <f>SFP!BE7+SFP!BE17+SFP!BE23+SFP!BE24+SFP!BE25+SFP!BE26</f>
        <v>22152037.160000004</v>
      </c>
      <c r="BG38" s="118">
        <f>SFP!BF7+SFP!BF17+SFP!BF23+SFP!BF24+SFP!BF25+SFP!BF26</f>
        <v>22156036</v>
      </c>
      <c r="BH38" s="118">
        <f>SFP!BG7+SFP!BG17+SFP!BG23+SFP!BG24+SFP!BG25+SFP!BG26</f>
        <v>28393347.959999997</v>
      </c>
      <c r="BI38" s="118">
        <f>SFP!BH7+SFP!BH17+SFP!BH23+SFP!BH24+SFP!BH25+SFP!BH26</f>
        <v>28348741.370000001</v>
      </c>
      <c r="BJ38" s="118">
        <f>SFP!BI7+SFP!BI17+SFP!BI23+SFP!BI24+SFP!BI25+SFP!BI26</f>
        <v>27531796.860000003</v>
      </c>
      <c r="BK38" s="118">
        <f>SFP!BJ7+SFP!BJ17+SFP!BJ23+SFP!BJ24+SFP!BJ25+SFP!BJ26</f>
        <v>27541722.589999996</v>
      </c>
      <c r="BL38" s="118">
        <f>SFP!BK7+SFP!BK17+SFP!BK23+SFP!BK24+SFP!BK25+SFP!BK26</f>
        <v>28026263.419999998</v>
      </c>
      <c r="BM38" s="118">
        <f>SFP!BL7+SFP!BL17+SFP!BL23+SFP!BL24+SFP!BL25+SFP!BL26</f>
        <v>21382181.049999997</v>
      </c>
      <c r="BN38" s="118">
        <f>SFP!BM7+SFP!BM17+SFP!BM23+SFP!BM24+SFP!BM25+SFP!BM26</f>
        <v>28555726.710000001</v>
      </c>
      <c r="BO38" s="118">
        <f>SFP!BN7+SFP!BN17+SFP!BN23+SFP!BN24+SFP!BN25+SFP!BN26</f>
        <v>28518402.09</v>
      </c>
      <c r="BP38" s="118">
        <f>SFP!BO7+SFP!BO17+SFP!BO23+SFP!BO24+SFP!BO25+SFP!BO26</f>
        <v>28362526.439999998</v>
      </c>
      <c r="BQ38" s="118">
        <f>SFP!BP7+SFP!BP17+SFP!BP23+SFP!BP24+SFP!BP25+SFP!BP26</f>
        <v>29813358.469999999</v>
      </c>
      <c r="BR38" s="118">
        <f>SFP!BQ7+SFP!BQ17+SFP!BQ23+SFP!BQ24+SFP!BQ25+SFP!BQ26</f>
        <v>31896692.450000003</v>
      </c>
      <c r="BS38" s="118">
        <f>SFP!BR7+SFP!BR17+SFP!BR23+SFP!BR24+SFP!BR25+SFP!BR26</f>
        <v>32471085.579999998</v>
      </c>
      <c r="BT38" s="118">
        <f>SFP!BS7+SFP!BS17+SFP!BS23+SFP!BS24+SFP!BS25+SFP!BS26</f>
        <v>32471085</v>
      </c>
      <c r="BU38" s="118">
        <f>SFP!BT7+SFP!BT17+SFP!BT23+SFP!BT24+SFP!BT25+SFP!BT26</f>
        <v>29105690.990000002</v>
      </c>
      <c r="BV38" s="118">
        <f>SFP!BU7+SFP!BU17+SFP!BU23+SFP!BU24+SFP!BU25+SFP!BU26</f>
        <v>29213646.300000001</v>
      </c>
      <c r="BW38" s="118">
        <f>SFP!BV7+SFP!BV17+SFP!BV23+SFP!BV24+SFP!BV25+SFP!BV26</f>
        <v>30366233.889999997</v>
      </c>
      <c r="BX38" s="118">
        <f>SFP!BW7+SFP!BW17+SFP!BW23+SFP!BW24+SFP!BW25+SFP!BW26</f>
        <v>22484636.52</v>
      </c>
      <c r="BY38" s="118">
        <f>SFP!BX7+SFP!BX17+SFP!BX23+SFP!BX24+SFP!BX25+SFP!BX26</f>
        <v>29260873.370000001</v>
      </c>
      <c r="BZ38" s="118">
        <f>SFP!BY7+SFP!BY17+SFP!BY23+SFP!BY24+SFP!BY25+SFP!BY26</f>
        <v>28544469.920000002</v>
      </c>
    </row>
    <row r="39" spans="1:78">
      <c r="A39" s="35">
        <v>8.1</v>
      </c>
      <c r="B39" s="53" t="s">
        <v>148</v>
      </c>
      <c r="C39" s="119">
        <f>SFP!B23</f>
        <v>7304256</v>
      </c>
      <c r="D39" s="119">
        <f>SFP!C23</f>
        <v>6162725</v>
      </c>
      <c r="E39" s="119">
        <f>SFP!D23</f>
        <v>5970994.9500000002</v>
      </c>
      <c r="F39" s="119">
        <f>SFP!E23</f>
        <v>5779199.6399999997</v>
      </c>
      <c r="G39" s="119">
        <f>SFP!F23</f>
        <v>5967618.2599999998</v>
      </c>
      <c r="H39" s="119">
        <f>SFP!G23</f>
        <v>5795379.6799999997</v>
      </c>
      <c r="I39" s="119">
        <f>SFP!H23</f>
        <v>5623172.1699999999</v>
      </c>
      <c r="J39" s="119">
        <f>SFP!I23</f>
        <v>5450995.0499999998</v>
      </c>
      <c r="K39" s="119">
        <f>SFP!J23</f>
        <v>5292853.18</v>
      </c>
      <c r="L39" s="119">
        <f>SFP!K23</f>
        <v>5140742.3099999996</v>
      </c>
      <c r="M39" s="119">
        <f>SFP!L23</f>
        <v>4988659.17</v>
      </c>
      <c r="N39" s="119">
        <f>SFP!M23</f>
        <v>4836603</v>
      </c>
      <c r="O39" s="119">
        <f>SFP!N23</f>
        <v>4707847.95</v>
      </c>
      <c r="P39" s="119">
        <f>SFP!O23</f>
        <v>4591226.59</v>
      </c>
      <c r="Q39" s="119">
        <f>SFP!P23</f>
        <v>4412031</v>
      </c>
      <c r="R39" s="119">
        <f>SFP!Q23</f>
        <v>4263907</v>
      </c>
      <c r="S39" s="119">
        <f>SFP!R23</f>
        <v>7005758.4100000001</v>
      </c>
      <c r="T39" s="291">
        <f>SFP!S23</f>
        <v>3048281</v>
      </c>
      <c r="U39" s="119">
        <f>SFP!T23</f>
        <v>7005758.3499999996</v>
      </c>
      <c r="V39" s="119">
        <f>SFP!U23</f>
        <v>7005758.4100000001</v>
      </c>
      <c r="W39" s="119">
        <f>SFP!V23</f>
        <v>6855145.9100000001</v>
      </c>
      <c r="X39" s="119">
        <f>SFP!W23</f>
        <v>6223465.2300000004</v>
      </c>
      <c r="Y39" s="119">
        <f>SFP!X23</f>
        <v>6843368.5800000001</v>
      </c>
      <c r="Z39" s="119">
        <f>SFP!Y23</f>
        <v>6621497.3099999996</v>
      </c>
      <c r="AA39" s="119">
        <f>SFP!Z23</f>
        <v>6393407.8799999999</v>
      </c>
      <c r="AB39" s="119">
        <f>SFP!AA23</f>
        <v>6200784.2000000002</v>
      </c>
      <c r="AC39" s="119">
        <f>SFP!AB23</f>
        <v>5982262.1699999999</v>
      </c>
      <c r="AD39" s="119">
        <f>SFP!AC23</f>
        <v>5764844.8200000003</v>
      </c>
      <c r="AE39" s="119">
        <f>SFP!AD23</f>
        <v>5548403.2599999998</v>
      </c>
      <c r="AF39" s="119">
        <f>SFP!AE23</f>
        <v>5325780.8099999996</v>
      </c>
      <c r="AG39" s="119">
        <f>SFP!AF23</f>
        <v>2426053</v>
      </c>
      <c r="AH39" s="119">
        <f>SFP!AG23</f>
        <v>5309307.3600000003</v>
      </c>
      <c r="AI39" s="119">
        <f>SFP!AH23</f>
        <v>5454316.2400000002</v>
      </c>
      <c r="AJ39" s="119">
        <f>SFP!AI23</f>
        <v>5337809.3099999996</v>
      </c>
      <c r="AK39" s="119">
        <f>SFP!AJ23</f>
        <v>5438298.1100000003</v>
      </c>
      <c r="AL39" s="119">
        <f>SFP!AK23</f>
        <v>5745545.3099999996</v>
      </c>
      <c r="AM39" s="119">
        <f>SFP!AL23</f>
        <v>6083773.5499999998</v>
      </c>
      <c r="AN39" s="119">
        <f>SFP!AM23</f>
        <v>0</v>
      </c>
      <c r="AO39" s="119">
        <f>SFP!AN23</f>
        <v>5831572.96</v>
      </c>
      <c r="AP39" s="119">
        <f>SFP!AO23</f>
        <v>5703357.4500000002</v>
      </c>
      <c r="AQ39" s="119">
        <f>SFP!AP23</f>
        <v>5597291.8600000003</v>
      </c>
      <c r="AR39" s="119">
        <f>SFP!AQ23</f>
        <v>5867012.3899999997</v>
      </c>
      <c r="AS39" s="119">
        <f>SFP!AR23</f>
        <v>5726553.9800000004</v>
      </c>
      <c r="AT39" s="119">
        <f>SFP!AS23</f>
        <v>3186216</v>
      </c>
      <c r="AU39" s="119">
        <f>SFP!AT23</f>
        <v>20168526.43</v>
      </c>
      <c r="AV39" s="119">
        <f>SFP!AU23</f>
        <v>20101877.850000001</v>
      </c>
      <c r="AW39" s="119">
        <f>SFP!AV23</f>
        <v>20625198.02</v>
      </c>
      <c r="AX39" s="119">
        <f>SFP!AW23</f>
        <v>20701977.690000001</v>
      </c>
      <c r="AY39" s="119">
        <f>SFP!AX23</f>
        <v>20625583.359999999</v>
      </c>
      <c r="AZ39" s="119">
        <f>SFP!AY23</f>
        <v>20559911.109999999</v>
      </c>
      <c r="BA39" s="119">
        <f>SFP!AZ23</f>
        <v>20478357.16</v>
      </c>
      <c r="BB39" s="119">
        <f>SFP!BA23</f>
        <v>20401900.329999998</v>
      </c>
      <c r="BC39" s="119">
        <f>SFP!BB23</f>
        <v>20325443.5</v>
      </c>
      <c r="BD39" s="119">
        <f>SFP!BC23</f>
        <v>20248986.670000002</v>
      </c>
      <c r="BE39" s="119">
        <f>SFP!BD23</f>
        <v>20172529.84</v>
      </c>
      <c r="BF39" s="119">
        <f>SFP!BE23</f>
        <v>20096073.010000002</v>
      </c>
      <c r="BG39" s="119">
        <f>SFP!BF23</f>
        <v>20096073</v>
      </c>
      <c r="BH39" s="119">
        <f>SFP!BG23</f>
        <v>20036234.609999999</v>
      </c>
      <c r="BI39" s="119">
        <f>SFP!BH23</f>
        <v>20074312.879999999</v>
      </c>
      <c r="BJ39" s="119">
        <f>SFP!BI23</f>
        <v>20013432.809999999</v>
      </c>
      <c r="BK39" s="119">
        <f>SFP!BJ23</f>
        <v>19952552.739999998</v>
      </c>
      <c r="BL39" s="119">
        <f>SFP!BK23</f>
        <v>19983573.190000001</v>
      </c>
      <c r="BM39" s="119">
        <f>SFP!BL23</f>
        <v>19921683.219999999</v>
      </c>
      <c r="BN39" s="119">
        <f>SFP!BM23</f>
        <v>19937425.75</v>
      </c>
      <c r="BO39" s="119">
        <f>SFP!BN23</f>
        <v>19873183.280000001</v>
      </c>
      <c r="BP39" s="119">
        <f>SFP!BO23</f>
        <v>19808940.809999999</v>
      </c>
      <c r="BQ39" s="119">
        <f>SFP!BP23</f>
        <v>19744698.34</v>
      </c>
      <c r="BR39" s="119">
        <f>SFP!BQ23</f>
        <v>19680455.870000001</v>
      </c>
      <c r="BS39" s="119">
        <f>SFP!BR23</f>
        <v>19752713.399999999</v>
      </c>
      <c r="BT39" s="119">
        <f>SFP!BS23</f>
        <v>19752713</v>
      </c>
      <c r="BU39" s="119">
        <f>SFP!BT23</f>
        <v>19699566.41</v>
      </c>
      <c r="BV39" s="119">
        <f>SFP!BU23</f>
        <v>19646419.420000002</v>
      </c>
      <c r="BW39" s="119">
        <f>SFP!BV23</f>
        <v>19593272.43</v>
      </c>
      <c r="BX39" s="119">
        <f>SFP!BW23</f>
        <v>19540125.440000001</v>
      </c>
      <c r="BY39" s="119">
        <f>SFP!BX23</f>
        <v>19516978.449999999</v>
      </c>
      <c r="BZ39" s="119">
        <f>SFP!BY23</f>
        <v>19463831.460000001</v>
      </c>
    </row>
    <row r="40" spans="1:78">
      <c r="A40" s="31"/>
      <c r="B40" s="3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293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  <c r="AO40" s="122"/>
      <c r="AP40" s="122"/>
      <c r="AQ40" s="122"/>
      <c r="AR40" s="122"/>
      <c r="AS40" s="122"/>
      <c r="AT40" s="122"/>
      <c r="AU40" s="122"/>
      <c r="AV40" s="122"/>
      <c r="AW40" s="122"/>
      <c r="AX40" s="122"/>
      <c r="AY40" s="122"/>
      <c r="AZ40" s="122"/>
      <c r="BA40" s="122"/>
      <c r="BB40" s="122"/>
      <c r="BC40" s="122"/>
      <c r="BD40" s="122"/>
      <c r="BE40" s="122"/>
      <c r="BF40" s="122"/>
      <c r="BG40" s="122"/>
    </row>
    <row r="41" spans="1:78">
      <c r="A41" s="46">
        <v>9</v>
      </c>
      <c r="B41" s="112" t="s">
        <v>149</v>
      </c>
      <c r="C41" s="118">
        <f>C42+C43+C44</f>
        <v>16220738</v>
      </c>
      <c r="D41" s="118">
        <f>D42+D43+D44</f>
        <v>43370424</v>
      </c>
      <c r="E41" s="118">
        <f>E42+E43+E44</f>
        <v>6545698.6699999999</v>
      </c>
      <c r="F41" s="118">
        <f>F42+F43+F44</f>
        <v>43521403.869999997</v>
      </c>
      <c r="G41" s="118">
        <f t="shared" ref="G41:S41" si="36">G42+G43+G44</f>
        <v>43551629.869999997</v>
      </c>
      <c r="H41" s="118">
        <f t="shared" si="36"/>
        <v>42893250.630000003</v>
      </c>
      <c r="I41" s="118">
        <f t="shared" si="36"/>
        <v>42954200.630000003</v>
      </c>
      <c r="J41" s="118">
        <f t="shared" si="36"/>
        <v>43016950.630000003</v>
      </c>
      <c r="K41" s="118">
        <f t="shared" si="36"/>
        <v>43079900.630000003</v>
      </c>
      <c r="L41" s="118">
        <f t="shared" si="36"/>
        <v>43143850.630000003</v>
      </c>
      <c r="M41" s="118">
        <f t="shared" si="36"/>
        <v>43208600.630000003</v>
      </c>
      <c r="N41" s="118">
        <f t="shared" si="36"/>
        <v>43278800.630000003</v>
      </c>
      <c r="O41" s="118">
        <f t="shared" si="36"/>
        <v>43347000.630000003</v>
      </c>
      <c r="P41" s="118">
        <f t="shared" si="36"/>
        <v>43415600.630000003</v>
      </c>
      <c r="Q41" s="118">
        <f t="shared" si="36"/>
        <v>39007505</v>
      </c>
      <c r="R41" s="118">
        <f t="shared" si="36"/>
        <v>38819229</v>
      </c>
      <c r="S41" s="118">
        <f t="shared" si="36"/>
        <v>47885731.519999996</v>
      </c>
      <c r="T41" s="286">
        <f>T42+T43+T44</f>
        <v>18430545</v>
      </c>
      <c r="U41" s="118">
        <f t="shared" ref="U41:Z41" si="37">U42+U43+U44</f>
        <v>14759404.379999999</v>
      </c>
      <c r="V41" s="118">
        <f t="shared" si="37"/>
        <v>14858404.379999999</v>
      </c>
      <c r="W41" s="118">
        <f t="shared" si="37"/>
        <v>14602688.379999999</v>
      </c>
      <c r="X41" s="118">
        <f t="shared" si="37"/>
        <v>16880137.379999999</v>
      </c>
      <c r="Y41" s="118">
        <f t="shared" si="37"/>
        <v>16989737.379999999</v>
      </c>
      <c r="Z41" s="118">
        <f t="shared" si="37"/>
        <v>17093937.34</v>
      </c>
      <c r="AA41" s="118">
        <f t="shared" ref="AA41:AG41" si="38">AA42+AA43+AA44</f>
        <v>16841021.34</v>
      </c>
      <c r="AB41" s="118">
        <f t="shared" si="38"/>
        <v>18172797.34</v>
      </c>
      <c r="AC41" s="118">
        <f t="shared" si="38"/>
        <v>18272797.34</v>
      </c>
      <c r="AD41" s="118">
        <f t="shared" si="38"/>
        <v>18373321.120000001</v>
      </c>
      <c r="AE41" s="118">
        <f t="shared" si="38"/>
        <v>18472521.120000001</v>
      </c>
      <c r="AF41" s="118">
        <f t="shared" si="38"/>
        <v>18971721.120000001</v>
      </c>
      <c r="AG41" s="118">
        <f t="shared" si="38"/>
        <v>26783487</v>
      </c>
      <c r="AH41" s="118">
        <f t="shared" ref="AH41:AT41" si="39">AH42+AH43+AH44</f>
        <v>18135086.879999999</v>
      </c>
      <c r="AI41" s="118">
        <f t="shared" si="39"/>
        <v>21028832.879999999</v>
      </c>
      <c r="AJ41" s="118">
        <f t="shared" si="39"/>
        <v>21130832.879999999</v>
      </c>
      <c r="AK41" s="118">
        <f t="shared" si="39"/>
        <v>21229632.879999999</v>
      </c>
      <c r="AL41" s="118">
        <f t="shared" si="39"/>
        <v>20550515.879999999</v>
      </c>
      <c r="AM41" s="118">
        <f t="shared" si="39"/>
        <v>20649915.879999999</v>
      </c>
      <c r="AN41" s="118">
        <f t="shared" si="39"/>
        <v>0</v>
      </c>
      <c r="AO41" s="118">
        <f t="shared" si="39"/>
        <v>20459657.379999999</v>
      </c>
      <c r="AP41" s="118">
        <f t="shared" si="39"/>
        <v>21623504.620000001</v>
      </c>
      <c r="AQ41" s="118">
        <f t="shared" si="39"/>
        <v>20276998.879999999</v>
      </c>
      <c r="AR41" s="118">
        <f t="shared" si="39"/>
        <v>20370598.879999999</v>
      </c>
      <c r="AS41" s="118">
        <f t="shared" si="39"/>
        <v>21227491.050000001</v>
      </c>
      <c r="AT41" s="118">
        <f t="shared" si="39"/>
        <v>22815298</v>
      </c>
      <c r="AU41" s="118">
        <f t="shared" ref="AU41:BG41" si="40">AU42+AU43+AU44</f>
        <v>15955104</v>
      </c>
      <c r="AV41" s="118">
        <f t="shared" si="40"/>
        <v>22029979</v>
      </c>
      <c r="AW41" s="118">
        <f t="shared" si="40"/>
        <v>22029979</v>
      </c>
      <c r="AX41" s="118">
        <f t="shared" si="40"/>
        <v>22029979</v>
      </c>
      <c r="AY41" s="118">
        <f t="shared" si="40"/>
        <v>22029979</v>
      </c>
      <c r="AZ41" s="118">
        <f t="shared" si="40"/>
        <v>22029979</v>
      </c>
      <c r="BA41" s="118">
        <f t="shared" si="40"/>
        <v>22029979</v>
      </c>
      <c r="BB41" s="118">
        <f t="shared" si="40"/>
        <v>22029979</v>
      </c>
      <c r="BC41" s="118">
        <f t="shared" si="40"/>
        <v>22029979</v>
      </c>
      <c r="BD41" s="118">
        <f t="shared" si="40"/>
        <v>22029979</v>
      </c>
      <c r="BE41" s="118">
        <f t="shared" si="40"/>
        <v>22029979</v>
      </c>
      <c r="BF41" s="118">
        <f t="shared" si="40"/>
        <v>21995009.949999999</v>
      </c>
      <c r="BG41" s="118">
        <f t="shared" ref="BG41:BY41" si="41">BG42+BG43+BG44</f>
        <v>17885656</v>
      </c>
      <c r="BH41" s="118">
        <f t="shared" si="41"/>
        <v>26056115.98</v>
      </c>
      <c r="BI41" s="118">
        <f t="shared" si="41"/>
        <v>22592571.98</v>
      </c>
      <c r="BJ41" s="118">
        <f t="shared" si="41"/>
        <v>24683553.260000002</v>
      </c>
      <c r="BK41" s="118">
        <f t="shared" si="41"/>
        <v>22627541</v>
      </c>
      <c r="BL41" s="118">
        <f t="shared" si="41"/>
        <v>22627541</v>
      </c>
      <c r="BM41" s="118">
        <f t="shared" si="41"/>
        <v>22622491.98</v>
      </c>
      <c r="BN41" s="118">
        <f t="shared" si="41"/>
        <v>22622491.98</v>
      </c>
      <c r="BO41" s="118">
        <f t="shared" si="41"/>
        <v>22622491.98</v>
      </c>
      <c r="BP41" s="118">
        <f t="shared" si="41"/>
        <v>22622491.98</v>
      </c>
      <c r="BQ41" s="118">
        <f t="shared" si="41"/>
        <v>22622491.98</v>
      </c>
      <c r="BR41" s="118">
        <f t="shared" si="41"/>
        <v>22622491.98</v>
      </c>
      <c r="BS41" s="118">
        <f t="shared" si="41"/>
        <v>23615413.359999999</v>
      </c>
      <c r="BT41" s="118">
        <f t="shared" si="41"/>
        <v>22177842</v>
      </c>
      <c r="BU41" s="118">
        <f t="shared" si="41"/>
        <v>30906699.359999999</v>
      </c>
      <c r="BV41" s="118">
        <f t="shared" si="41"/>
        <v>30906699.359999999</v>
      </c>
      <c r="BW41" s="118">
        <f t="shared" si="41"/>
        <v>30906699.359999999</v>
      </c>
      <c r="BX41" s="118">
        <f t="shared" si="41"/>
        <v>30906699.359999999</v>
      </c>
      <c r="BY41" s="118">
        <f t="shared" ref="BY41:BZ41" si="42">BY42+BY43+BY44</f>
        <v>32079285.59</v>
      </c>
      <c r="BZ41" s="118">
        <f t="shared" si="42"/>
        <v>32073858.170000002</v>
      </c>
    </row>
    <row r="42" spans="1:78">
      <c r="A42" s="47">
        <v>9.1</v>
      </c>
      <c r="B42" s="113" t="s">
        <v>150</v>
      </c>
      <c r="C42" s="115">
        <f>SFP!B50</f>
        <v>6343633</v>
      </c>
      <c r="D42" s="115">
        <f>SFP!C50</f>
        <v>7743437</v>
      </c>
      <c r="E42" s="115">
        <f>SFP!D50</f>
        <v>6343633</v>
      </c>
      <c r="F42" s="115">
        <f>SFP!E50</f>
        <v>7743437</v>
      </c>
      <c r="G42" s="115">
        <f>SFP!F50</f>
        <v>7743437</v>
      </c>
      <c r="H42" s="115">
        <f>SFP!G50</f>
        <v>7743437</v>
      </c>
      <c r="I42" s="115">
        <f>SFP!H50</f>
        <v>7743437</v>
      </c>
      <c r="J42" s="115">
        <f>SFP!I50</f>
        <v>7743437</v>
      </c>
      <c r="K42" s="115">
        <f>SFP!J50</f>
        <v>7743437</v>
      </c>
      <c r="L42" s="115">
        <f>SFP!K50</f>
        <v>7743437</v>
      </c>
      <c r="M42" s="115">
        <f>SFP!L50</f>
        <v>7743437</v>
      </c>
      <c r="N42" s="115">
        <f>SFP!M50</f>
        <v>7743437</v>
      </c>
      <c r="O42" s="115">
        <f>SFP!N50</f>
        <v>7743437</v>
      </c>
      <c r="P42" s="115">
        <f>SFP!O50</f>
        <v>7743437</v>
      </c>
      <c r="Q42" s="115">
        <f>SFP!P50</f>
        <v>10254671</v>
      </c>
      <c r="R42" s="115">
        <f>SFP!Q50</f>
        <v>12578932</v>
      </c>
      <c r="S42" s="115">
        <f>SFP!R50</f>
        <v>16119086</v>
      </c>
      <c r="T42" s="290">
        <f>SFP!S50</f>
        <v>18296335</v>
      </c>
      <c r="U42" s="115">
        <f>SFP!T50</f>
        <v>16119086</v>
      </c>
      <c r="V42" s="115">
        <f>SFP!U50</f>
        <v>16119086</v>
      </c>
      <c r="W42" s="115">
        <f>SFP!V50</f>
        <v>16119086</v>
      </c>
      <c r="X42" s="115">
        <f>SFP!W50</f>
        <v>18296335</v>
      </c>
      <c r="Y42" s="115">
        <f>SFP!X50</f>
        <v>18296335</v>
      </c>
      <c r="Z42" s="115">
        <f>SFP!Y50</f>
        <v>18296335</v>
      </c>
      <c r="AA42" s="115">
        <f>SFP!Z50</f>
        <v>18296335</v>
      </c>
      <c r="AB42" s="115">
        <f>SFP!AA50</f>
        <v>18296335</v>
      </c>
      <c r="AC42" s="115">
        <f>SFP!AB50</f>
        <v>18296335</v>
      </c>
      <c r="AD42" s="115">
        <f>SFP!AC50</f>
        <v>18296335</v>
      </c>
      <c r="AE42" s="115">
        <f>SFP!AD50</f>
        <v>18296335</v>
      </c>
      <c r="AF42" s="115">
        <f>SFP!AE50</f>
        <v>18296335</v>
      </c>
      <c r="AG42" s="115">
        <f>SFP!AF50</f>
        <v>21093281</v>
      </c>
      <c r="AH42" s="115">
        <f>SFP!AG50</f>
        <v>18296335</v>
      </c>
      <c r="AI42" s="115">
        <f>SFP!AH50</f>
        <v>21093281</v>
      </c>
      <c r="AJ42" s="115">
        <f>SFP!AI50</f>
        <v>21093281</v>
      </c>
      <c r="AK42" s="115">
        <f>SFP!AJ50</f>
        <v>21093281</v>
      </c>
      <c r="AL42" s="115">
        <f>SFP!AK50</f>
        <v>21093281</v>
      </c>
      <c r="AM42" s="115">
        <f>SFP!AL50</f>
        <v>21093281</v>
      </c>
      <c r="AN42" s="115">
        <f>SFP!AM50</f>
        <v>0</v>
      </c>
      <c r="AO42" s="115">
        <f>SFP!AN50</f>
        <v>21093281</v>
      </c>
      <c r="AP42" s="115">
        <f>SFP!AO50</f>
        <v>21093281</v>
      </c>
      <c r="AQ42" s="115">
        <f>SFP!AP50</f>
        <v>21093281</v>
      </c>
      <c r="AR42" s="115">
        <f>SFP!AQ50</f>
        <v>21093281</v>
      </c>
      <c r="AS42" s="115">
        <f>SFP!AR50</f>
        <v>21093281</v>
      </c>
      <c r="AT42" s="115">
        <f>SFP!AS50</f>
        <v>22681088</v>
      </c>
      <c r="AU42" s="115">
        <f>SFP!AT50</f>
        <v>10713218</v>
      </c>
      <c r="AV42" s="115">
        <f>SFP!AU50</f>
        <v>14685279</v>
      </c>
      <c r="AW42" s="115">
        <f>SFP!AV50</f>
        <v>14685279</v>
      </c>
      <c r="AX42" s="115">
        <f>SFP!AW50</f>
        <v>14685279</v>
      </c>
      <c r="AY42" s="115">
        <f>SFP!AX50</f>
        <v>14685279</v>
      </c>
      <c r="AZ42" s="115">
        <f>SFP!AY50</f>
        <v>14685279</v>
      </c>
      <c r="BA42" s="115">
        <f>SFP!AZ50</f>
        <v>14685279</v>
      </c>
      <c r="BB42" s="115">
        <f>SFP!BA50</f>
        <v>14685279</v>
      </c>
      <c r="BC42" s="115">
        <f>SFP!BB50</f>
        <v>14685279</v>
      </c>
      <c r="BD42" s="115">
        <f>SFP!BC50</f>
        <v>14685279</v>
      </c>
      <c r="BE42" s="115">
        <f>SFP!BD50</f>
        <v>14685279</v>
      </c>
      <c r="BF42" s="115">
        <f>SFP!BE50</f>
        <v>14685279</v>
      </c>
      <c r="BG42" s="115">
        <f>SFP!BF50</f>
        <v>17385656</v>
      </c>
      <c r="BH42" s="115">
        <f>SFP!BG50</f>
        <v>18746385</v>
      </c>
      <c r="BI42" s="115">
        <f>SFP!BH50</f>
        <v>17350685.98</v>
      </c>
      <c r="BJ42" s="115">
        <f>SFP!BI50</f>
        <v>17385655</v>
      </c>
      <c r="BK42" s="115">
        <f>SFP!BJ50</f>
        <v>17385655</v>
      </c>
      <c r="BL42" s="115">
        <f>SFP!BK50</f>
        <v>17385655</v>
      </c>
      <c r="BM42" s="115">
        <f>SFP!BL50</f>
        <v>17380605.98</v>
      </c>
      <c r="BN42" s="115">
        <f>SFP!BM50</f>
        <v>17380605.98</v>
      </c>
      <c r="BO42" s="115">
        <f>SFP!BN50</f>
        <v>17380605.98</v>
      </c>
      <c r="BP42" s="115">
        <f>SFP!BO50</f>
        <v>17380605.98</v>
      </c>
      <c r="BQ42" s="115">
        <f>SFP!BP50</f>
        <v>17380605.98</v>
      </c>
      <c r="BR42" s="115">
        <f>SFP!BQ50</f>
        <v>17380605.98</v>
      </c>
      <c r="BS42" s="115">
        <f>SFP!BR50</f>
        <v>17380605.98</v>
      </c>
      <c r="BT42" s="115">
        <f>SFP!BS50</f>
        <v>21677842</v>
      </c>
      <c r="BU42" s="115">
        <f>SFP!BT50</f>
        <v>21677841</v>
      </c>
      <c r="BV42" s="115">
        <f>SFP!BU50</f>
        <v>21677841</v>
      </c>
      <c r="BW42" s="115">
        <f>SFP!BV50</f>
        <v>21677841</v>
      </c>
      <c r="BX42" s="115">
        <f>SFP!BW50</f>
        <v>21677841</v>
      </c>
      <c r="BY42" s="115">
        <f>SFP!BX50</f>
        <v>21677841</v>
      </c>
      <c r="BZ42" s="115">
        <f>SFP!BY50</f>
        <v>21677841</v>
      </c>
    </row>
    <row r="43" spans="1:78">
      <c r="A43" s="47"/>
      <c r="B43" s="113" t="s">
        <v>151</v>
      </c>
      <c r="C43" s="115">
        <f>SFP!B51</f>
        <v>8709200</v>
      </c>
      <c r="D43" s="115">
        <f>SFP!C51</f>
        <v>134210</v>
      </c>
      <c r="E43" s="115">
        <f>SFP!D51</f>
        <v>202065.67</v>
      </c>
      <c r="F43" s="115">
        <f>SFP!E51</f>
        <v>35777966.869999997</v>
      </c>
      <c r="G43" s="115">
        <f>SFP!F51</f>
        <v>35808192.869999997</v>
      </c>
      <c r="H43" s="115">
        <f>SFP!G51</f>
        <v>35149813.630000003</v>
      </c>
      <c r="I43" s="115">
        <f>SFP!H51</f>
        <v>35210763.630000003</v>
      </c>
      <c r="J43" s="115">
        <f>SFP!I51</f>
        <v>35273513.630000003</v>
      </c>
      <c r="K43" s="115">
        <f>SFP!J51</f>
        <v>35336463.630000003</v>
      </c>
      <c r="L43" s="115">
        <f>SFP!K51</f>
        <v>35400413.630000003</v>
      </c>
      <c r="M43" s="115">
        <f>SFP!L51</f>
        <v>35465163.630000003</v>
      </c>
      <c r="N43" s="115">
        <f>SFP!M51</f>
        <v>35535363.630000003</v>
      </c>
      <c r="O43" s="115">
        <f>SFP!N51</f>
        <v>35603563.630000003</v>
      </c>
      <c r="P43" s="115">
        <f>SFP!O51</f>
        <v>35672163.630000003</v>
      </c>
      <c r="Q43" s="115">
        <f>SFP!P51</f>
        <v>-302736</v>
      </c>
      <c r="R43" s="115">
        <f>SFP!Q51</f>
        <v>-673046</v>
      </c>
      <c r="S43" s="115">
        <f>SFP!R51</f>
        <v>31766645.52</v>
      </c>
      <c r="T43" s="290">
        <f>SFP!S51</f>
        <v>134210</v>
      </c>
      <c r="U43" s="115">
        <f>SFP!T51</f>
        <v>-1359681.62</v>
      </c>
      <c r="V43" s="115">
        <f>SFP!U51</f>
        <v>-1260681.6200000001</v>
      </c>
      <c r="W43" s="115">
        <f>SFP!V51</f>
        <v>-1516397.62</v>
      </c>
      <c r="X43" s="115">
        <f>SFP!W51</f>
        <v>-1416197.62</v>
      </c>
      <c r="Y43" s="115">
        <f>SFP!X51</f>
        <v>-1306597.6200000001</v>
      </c>
      <c r="Z43" s="115">
        <f>SFP!Y51</f>
        <v>-1202397.6599999999</v>
      </c>
      <c r="AA43" s="115">
        <f>SFP!Z51</f>
        <v>-1455313.66</v>
      </c>
      <c r="AB43" s="115">
        <f>SFP!AA51</f>
        <v>-123537.66</v>
      </c>
      <c r="AC43" s="115">
        <f>SFP!AB51</f>
        <v>-23537.66</v>
      </c>
      <c r="AD43" s="115">
        <f>SFP!AC51</f>
        <v>76986.12</v>
      </c>
      <c r="AE43" s="115">
        <f>SFP!AD51</f>
        <v>176186.12</v>
      </c>
      <c r="AF43" s="115">
        <f>SFP!AE51</f>
        <v>675386.12</v>
      </c>
      <c r="AG43" s="115">
        <f>SFP!AF51</f>
        <v>134210</v>
      </c>
      <c r="AH43" s="115">
        <f>SFP!AG51</f>
        <v>-161248.12</v>
      </c>
      <c r="AI43" s="115">
        <f>SFP!AH51</f>
        <v>-64448.12</v>
      </c>
      <c r="AJ43" s="115">
        <f>SFP!AI51</f>
        <v>37551.879999999997</v>
      </c>
      <c r="AK43" s="115">
        <f>SFP!AJ51</f>
        <v>136351.88</v>
      </c>
      <c r="AL43" s="115">
        <f>SFP!AK51</f>
        <v>-542765.12</v>
      </c>
      <c r="AM43" s="115">
        <f>SFP!AL51</f>
        <v>-443365.12</v>
      </c>
      <c r="AN43" s="115">
        <f>SFP!AM51</f>
        <v>0</v>
      </c>
      <c r="AO43" s="115">
        <f>SFP!AN51</f>
        <v>-633623.62</v>
      </c>
      <c r="AP43" s="115">
        <f>SFP!AO51</f>
        <v>530223.62</v>
      </c>
      <c r="AQ43" s="115">
        <f>SFP!AP51</f>
        <v>-816282.12</v>
      </c>
      <c r="AR43" s="115">
        <f>SFP!AQ51</f>
        <v>-722682.12</v>
      </c>
      <c r="AS43" s="115">
        <f>SFP!AR51</f>
        <v>134210.04999999999</v>
      </c>
      <c r="AT43" s="115">
        <f>SFP!AS51</f>
        <v>134210</v>
      </c>
      <c r="AU43" s="115">
        <f>SFP!AT51</f>
        <v>0</v>
      </c>
      <c r="AV43" s="115">
        <f>SFP!AU51</f>
        <v>2102814</v>
      </c>
      <c r="AW43" s="115">
        <f>SFP!AV51</f>
        <v>2102814</v>
      </c>
      <c r="AX43" s="115">
        <f>SFP!AW51</f>
        <v>2102814</v>
      </c>
      <c r="AY43" s="115">
        <f>SFP!AX51</f>
        <v>2102814</v>
      </c>
      <c r="AZ43" s="115">
        <f>SFP!AY51</f>
        <v>2102814</v>
      </c>
      <c r="BA43" s="115">
        <f>SFP!AZ51</f>
        <v>2102814</v>
      </c>
      <c r="BB43" s="115">
        <f>SFP!BA51</f>
        <v>2102814</v>
      </c>
      <c r="BC43" s="115">
        <f>SFP!BB51</f>
        <v>2102814</v>
      </c>
      <c r="BD43" s="115">
        <f>SFP!BC51</f>
        <v>2102814</v>
      </c>
      <c r="BE43" s="115">
        <f>SFP!BD51</f>
        <v>2102814</v>
      </c>
      <c r="BF43" s="115">
        <f>SFP!BE51</f>
        <v>2067844.95</v>
      </c>
      <c r="BG43" s="115">
        <f>SFP!BF51</f>
        <v>500000</v>
      </c>
      <c r="BH43" s="115">
        <f>SFP!BG51</f>
        <v>2067844.98</v>
      </c>
      <c r="BI43" s="115">
        <f>SFP!BH51</f>
        <v>0</v>
      </c>
      <c r="BJ43" s="115">
        <f>SFP!BI51</f>
        <v>2056012.26</v>
      </c>
      <c r="BK43" s="115">
        <f>SFP!BJ51</f>
        <v>0</v>
      </c>
      <c r="BL43" s="115">
        <f>SFP!BK51</f>
        <v>0</v>
      </c>
      <c r="BM43" s="115">
        <f>SFP!BL51</f>
        <v>0</v>
      </c>
      <c r="BN43" s="115">
        <f>SFP!BM51</f>
        <v>0</v>
      </c>
      <c r="BO43" s="115">
        <f>SFP!BN51</f>
        <v>0</v>
      </c>
      <c r="BP43" s="115">
        <f>SFP!BO51</f>
        <v>0</v>
      </c>
      <c r="BQ43" s="115">
        <f>SFP!BP51</f>
        <v>0</v>
      </c>
      <c r="BR43" s="115">
        <f>SFP!BQ51</f>
        <v>0</v>
      </c>
      <c r="BS43" s="115">
        <f>SFP!BR51</f>
        <v>992921.38</v>
      </c>
      <c r="BT43" s="115">
        <f>SFP!BS51</f>
        <v>500000</v>
      </c>
      <c r="BU43" s="115">
        <f>SFP!BT51</f>
        <v>3986972.36</v>
      </c>
      <c r="BV43" s="115">
        <f>SFP!BU51</f>
        <v>3986972.36</v>
      </c>
      <c r="BW43" s="115">
        <f>SFP!BV51</f>
        <v>3986972.36</v>
      </c>
      <c r="BX43" s="115">
        <f>SFP!BW51</f>
        <v>3986972.36</v>
      </c>
      <c r="BY43" s="115">
        <f>SFP!BX51</f>
        <v>5159558.59</v>
      </c>
      <c r="BZ43" s="115">
        <f>SFP!BY51</f>
        <v>5154131.17</v>
      </c>
    </row>
    <row r="44" spans="1:78">
      <c r="A44" s="47">
        <v>9.1999999999999993</v>
      </c>
      <c r="B44" s="113" t="s">
        <v>152</v>
      </c>
      <c r="C44" s="115">
        <f>SFP!B52</f>
        <v>1167905</v>
      </c>
      <c r="D44" s="115">
        <f>SFP!C52</f>
        <v>35492777</v>
      </c>
      <c r="E44" s="115">
        <f>SFP!D52</f>
        <v>0</v>
      </c>
      <c r="F44" s="115">
        <f>SFP!E52</f>
        <v>0</v>
      </c>
      <c r="G44" s="115">
        <f>SFP!F52</f>
        <v>0</v>
      </c>
      <c r="H44" s="115">
        <f>SFP!G52</f>
        <v>0</v>
      </c>
      <c r="I44" s="115">
        <f>SFP!H52</f>
        <v>0</v>
      </c>
      <c r="J44" s="115">
        <f>SFP!I52</f>
        <v>0</v>
      </c>
      <c r="K44" s="115">
        <f>SFP!J52</f>
        <v>0</v>
      </c>
      <c r="L44" s="115">
        <f>SFP!K52</f>
        <v>0</v>
      </c>
      <c r="M44" s="115">
        <f>SFP!L52</f>
        <v>0</v>
      </c>
      <c r="N44" s="115">
        <f>SFP!M52</f>
        <v>0</v>
      </c>
      <c r="O44" s="115">
        <f>SFP!N52</f>
        <v>0</v>
      </c>
      <c r="P44" s="115">
        <f>SFP!O52</f>
        <v>0</v>
      </c>
      <c r="Q44" s="115">
        <f>SFP!P52</f>
        <v>29055570</v>
      </c>
      <c r="R44" s="115">
        <f>SFP!Q52</f>
        <v>26913343</v>
      </c>
      <c r="S44" s="115">
        <f>SFP!R52</f>
        <v>0</v>
      </c>
      <c r="T44" s="290">
        <f>SFP!S52</f>
        <v>0</v>
      </c>
      <c r="U44" s="115">
        <f>SFP!T52</f>
        <v>0</v>
      </c>
      <c r="V44" s="115">
        <f>SFP!U52</f>
        <v>0</v>
      </c>
      <c r="W44" s="115">
        <f>SFP!V52</f>
        <v>0</v>
      </c>
      <c r="X44" s="115">
        <f>SFP!W52</f>
        <v>0</v>
      </c>
      <c r="Y44" s="115">
        <f>SFP!X52</f>
        <v>0</v>
      </c>
      <c r="Z44" s="115">
        <f>SFP!Y52</f>
        <v>0</v>
      </c>
      <c r="AA44" s="115">
        <f>SFP!Z52</f>
        <v>0</v>
      </c>
      <c r="AB44" s="115">
        <f>SFP!AA52</f>
        <v>0</v>
      </c>
      <c r="AC44" s="115">
        <f>SFP!AB52</f>
        <v>0</v>
      </c>
      <c r="AD44" s="115">
        <f>SFP!AC52</f>
        <v>0</v>
      </c>
      <c r="AE44" s="115">
        <f>SFP!AD52</f>
        <v>0</v>
      </c>
      <c r="AF44" s="115">
        <f>SFP!AE52</f>
        <v>0</v>
      </c>
      <c r="AG44" s="115">
        <f>SFP!AF52</f>
        <v>5555996</v>
      </c>
      <c r="AH44" s="115">
        <f>SFP!AG52</f>
        <v>0</v>
      </c>
      <c r="AI44" s="115">
        <f>SFP!AH52</f>
        <v>0</v>
      </c>
      <c r="AJ44" s="115">
        <f>SFP!AI52</f>
        <v>0</v>
      </c>
      <c r="AK44" s="115">
        <f>SFP!AJ52</f>
        <v>0</v>
      </c>
      <c r="AL44" s="115">
        <f>SFP!AK52</f>
        <v>0</v>
      </c>
      <c r="AM44" s="115">
        <f>SFP!AL52</f>
        <v>0</v>
      </c>
      <c r="AN44" s="115">
        <f>SFP!AM52</f>
        <v>0</v>
      </c>
      <c r="AO44" s="115">
        <f>SFP!AN52</f>
        <v>0</v>
      </c>
      <c r="AP44" s="115">
        <f>SFP!AO52</f>
        <v>0</v>
      </c>
      <c r="AQ44" s="115">
        <f>SFP!AP52</f>
        <v>0</v>
      </c>
      <c r="AR44" s="115">
        <f>SFP!AQ52</f>
        <v>0</v>
      </c>
      <c r="AS44" s="115">
        <f>SFP!AR52</f>
        <v>0</v>
      </c>
      <c r="AT44" s="115">
        <f>SFP!AS52</f>
        <v>0</v>
      </c>
      <c r="AU44" s="115">
        <f>SFP!AT52</f>
        <v>5241886</v>
      </c>
      <c r="AV44" s="115">
        <f>SFP!AU52</f>
        <v>5241886</v>
      </c>
      <c r="AW44" s="115">
        <f>SFP!AV52</f>
        <v>5241886</v>
      </c>
      <c r="AX44" s="115">
        <f>SFP!AW52</f>
        <v>5241886</v>
      </c>
      <c r="AY44" s="115">
        <f>SFP!AX52</f>
        <v>5241886</v>
      </c>
      <c r="AZ44" s="115">
        <f>SFP!AY52</f>
        <v>5241886</v>
      </c>
      <c r="BA44" s="115">
        <f>SFP!AZ52</f>
        <v>5241886</v>
      </c>
      <c r="BB44" s="115">
        <f>SFP!BA52</f>
        <v>5241886</v>
      </c>
      <c r="BC44" s="115">
        <f>SFP!BB52</f>
        <v>5241886</v>
      </c>
      <c r="BD44" s="115">
        <f>SFP!BC52</f>
        <v>5241886</v>
      </c>
      <c r="BE44" s="115">
        <f>SFP!BD52</f>
        <v>5241886</v>
      </c>
      <c r="BF44" s="115">
        <f>SFP!BE52</f>
        <v>5241886</v>
      </c>
      <c r="BG44" s="115">
        <f>SFP!BF52</f>
        <v>0</v>
      </c>
      <c r="BH44" s="115">
        <f>SFP!BG52</f>
        <v>5241886</v>
      </c>
      <c r="BI44" s="115">
        <f>SFP!BH52</f>
        <v>5241886</v>
      </c>
      <c r="BJ44" s="115">
        <f>SFP!BI52</f>
        <v>5241886</v>
      </c>
      <c r="BK44" s="115">
        <f>SFP!BJ52</f>
        <v>5241886</v>
      </c>
      <c r="BL44" s="115">
        <f>SFP!BK52</f>
        <v>5241886</v>
      </c>
      <c r="BM44" s="115">
        <f>SFP!BL52</f>
        <v>5241886</v>
      </c>
      <c r="BN44" s="115">
        <f>SFP!BM52</f>
        <v>5241886</v>
      </c>
      <c r="BO44" s="115">
        <f>SFP!BN52</f>
        <v>5241886</v>
      </c>
      <c r="BP44" s="115">
        <f>SFP!BO52</f>
        <v>5241886</v>
      </c>
      <c r="BQ44" s="115">
        <f>SFP!BP52</f>
        <v>5241886</v>
      </c>
      <c r="BR44" s="115">
        <f>SFP!BQ52</f>
        <v>5241886</v>
      </c>
      <c r="BS44" s="115">
        <f>SFP!BR52</f>
        <v>5241886</v>
      </c>
      <c r="BT44" s="115">
        <f>SFP!BS52</f>
        <v>0</v>
      </c>
      <c r="BU44" s="115">
        <f>SFP!BT52</f>
        <v>5241886</v>
      </c>
      <c r="BV44" s="115">
        <f>SFP!BU52</f>
        <v>5241886</v>
      </c>
      <c r="BW44" s="115">
        <f>SFP!BV52</f>
        <v>5241886</v>
      </c>
      <c r="BX44" s="115">
        <f>SFP!BW52</f>
        <v>5241886</v>
      </c>
      <c r="BY44" s="115">
        <f>SFP!BX52</f>
        <v>5241886</v>
      </c>
      <c r="BZ44" s="115">
        <f>SFP!BY52</f>
        <v>5241886</v>
      </c>
    </row>
    <row r="45" spans="1:78">
      <c r="A45" s="48"/>
      <c r="B45" s="114" t="s">
        <v>153</v>
      </c>
      <c r="C45" s="123"/>
      <c r="D45" s="123"/>
      <c r="E45" s="123"/>
      <c r="F45" s="123"/>
      <c r="G45" s="123"/>
      <c r="H45" s="123"/>
      <c r="I45" s="123"/>
      <c r="J45" s="123"/>
      <c r="K45" s="123"/>
      <c r="L45" s="123"/>
      <c r="M45" s="123"/>
      <c r="N45" s="123"/>
      <c r="O45" s="123"/>
      <c r="P45" s="123"/>
      <c r="Q45" s="123"/>
      <c r="R45" s="123"/>
      <c r="S45" s="123"/>
      <c r="T45" s="123"/>
      <c r="U45" s="123"/>
      <c r="V45" s="123"/>
      <c r="W45" s="123"/>
      <c r="X45" s="123"/>
      <c r="Y45" s="123"/>
      <c r="Z45" s="123"/>
      <c r="AA45" s="123"/>
      <c r="AB45" s="123"/>
      <c r="AC45" s="123"/>
      <c r="AD45" s="123"/>
      <c r="AE45" s="123"/>
      <c r="AF45" s="123"/>
      <c r="AG45" s="123"/>
      <c r="AH45" s="123"/>
      <c r="AI45" s="123"/>
      <c r="AJ45" s="123"/>
      <c r="AK45" s="123"/>
      <c r="AL45" s="123"/>
      <c r="AM45" s="123"/>
      <c r="AN45" s="123"/>
      <c r="AO45" s="123"/>
      <c r="AP45" s="123"/>
      <c r="AQ45" s="123"/>
      <c r="AR45" s="123"/>
      <c r="AS45" s="123"/>
      <c r="AT45" s="123"/>
      <c r="AU45" s="123"/>
      <c r="AV45" s="123"/>
      <c r="AW45" s="123"/>
      <c r="AX45" s="123"/>
      <c r="AY45" s="123"/>
      <c r="AZ45" s="123"/>
      <c r="BA45" s="123"/>
      <c r="BB45" s="123"/>
      <c r="BC45" s="123"/>
      <c r="BD45" s="123"/>
      <c r="BE45" s="123"/>
      <c r="BF45" s="123"/>
      <c r="BG45" s="123"/>
    </row>
    <row r="46" spans="1:78">
      <c r="A46" s="36"/>
      <c r="B46" s="32"/>
      <c r="C46" s="124"/>
      <c r="D46" s="124"/>
      <c r="E46" s="124"/>
      <c r="F46" s="124"/>
      <c r="G46" s="124"/>
      <c r="H46" s="124"/>
      <c r="I46" s="124"/>
      <c r="J46" s="124"/>
      <c r="K46" s="124"/>
      <c r="L46" s="124"/>
      <c r="M46" s="124"/>
      <c r="N46" s="124"/>
      <c r="O46" s="124"/>
      <c r="P46" s="124"/>
      <c r="Q46" s="124"/>
      <c r="R46" s="124"/>
      <c r="S46" s="124"/>
      <c r="T46" s="294"/>
      <c r="U46" s="124"/>
      <c r="V46" s="124"/>
      <c r="W46" s="124"/>
      <c r="X46" s="124"/>
      <c r="Y46" s="124"/>
      <c r="Z46" s="124"/>
      <c r="AA46" s="124"/>
      <c r="AB46" s="124"/>
      <c r="AC46" s="124"/>
      <c r="AD46" s="124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  <c r="BA46" s="124"/>
      <c r="BB46" s="124"/>
      <c r="BC46" s="124"/>
      <c r="BD46" s="124"/>
      <c r="BE46" s="124"/>
      <c r="BF46" s="124"/>
      <c r="BG46" s="124"/>
    </row>
    <row r="47" spans="1:78">
      <c r="A47" s="49">
        <v>10</v>
      </c>
      <c r="B47" s="50" t="s">
        <v>154</v>
      </c>
      <c r="C47" s="125">
        <f>SUM(C48:C53)</f>
        <v>47439181</v>
      </c>
      <c r="D47" s="125">
        <f>SUM(D48:D53)</f>
        <v>40764917</v>
      </c>
      <c r="E47" s="125">
        <f>SUM(E48:E53)</f>
        <v>22339454.649999999</v>
      </c>
      <c r="F47" s="125">
        <f>SUM(F48:F53)</f>
        <v>4546921.07</v>
      </c>
      <c r="G47" s="125">
        <f t="shared" ref="G47:S47" si="43">SUM(G48:G53)</f>
        <v>5916993.0600000005</v>
      </c>
      <c r="H47" s="125">
        <f t="shared" si="43"/>
        <v>4444001.5500000007</v>
      </c>
      <c r="I47" s="125">
        <f t="shared" si="43"/>
        <v>5326077.8199999994</v>
      </c>
      <c r="J47" s="125">
        <f t="shared" si="43"/>
        <v>7221113.4000000004</v>
      </c>
      <c r="K47" s="125">
        <f t="shared" si="43"/>
        <v>8273954.4399999995</v>
      </c>
      <c r="L47" s="125">
        <f t="shared" si="43"/>
        <v>9284136.3000000007</v>
      </c>
      <c r="M47" s="125">
        <f t="shared" si="43"/>
        <v>11158144.85</v>
      </c>
      <c r="N47" s="125" t="e">
        <f t="shared" si="43"/>
        <v>#REF!</v>
      </c>
      <c r="O47" s="125">
        <f t="shared" si="43"/>
        <v>13673082.630000001</v>
      </c>
      <c r="P47" s="125">
        <f t="shared" si="43"/>
        <v>15606005.74</v>
      </c>
      <c r="Q47" s="125">
        <f t="shared" si="43"/>
        <v>40430589</v>
      </c>
      <c r="R47" s="125">
        <f t="shared" si="43"/>
        <v>45679169</v>
      </c>
      <c r="S47" s="125">
        <f t="shared" si="43"/>
        <v>15686969.17</v>
      </c>
      <c r="T47" s="295">
        <f>SUM(T48:T53)</f>
        <v>68345005</v>
      </c>
      <c r="U47" s="125">
        <f t="shared" ref="U47:Z47" si="44">SUM(U48:U53)</f>
        <v>18479434.449999999</v>
      </c>
      <c r="V47" s="125">
        <f t="shared" si="44"/>
        <v>19450021.170000002</v>
      </c>
      <c r="W47" s="125">
        <f t="shared" si="44"/>
        <v>21786997.959999997</v>
      </c>
      <c r="X47" s="125">
        <f t="shared" si="44"/>
        <v>6653981.0599999996</v>
      </c>
      <c r="Y47" s="125">
        <f t="shared" si="44"/>
        <v>12263359.280000001</v>
      </c>
      <c r="Z47" s="125">
        <f t="shared" si="44"/>
        <v>13807774.51</v>
      </c>
      <c r="AA47" s="125">
        <f t="shared" ref="AA47:AG47" si="45">SUM(AA48:AA53)</f>
        <v>13211881.040000001</v>
      </c>
      <c r="AB47" s="125">
        <f t="shared" si="45"/>
        <v>14242181.869999999</v>
      </c>
      <c r="AC47" s="125">
        <f t="shared" si="45"/>
        <v>16251444.639999999</v>
      </c>
      <c r="AD47" s="125">
        <f t="shared" si="45"/>
        <v>17236513.710000001</v>
      </c>
      <c r="AE47" s="125">
        <f t="shared" si="45"/>
        <v>18703774.600000001</v>
      </c>
      <c r="AF47" s="125">
        <f t="shared" si="45"/>
        <v>19737772.169999998</v>
      </c>
      <c r="AG47" s="125">
        <f t="shared" si="45"/>
        <v>76162691</v>
      </c>
      <c r="AH47" s="125">
        <f t="shared" ref="AH47:AT47" si="46">SUM(AH48:AH53)</f>
        <v>21931179.27</v>
      </c>
      <c r="AI47" s="125">
        <f t="shared" si="46"/>
        <v>4515445.8600000003</v>
      </c>
      <c r="AJ47" s="125">
        <f t="shared" si="46"/>
        <v>5988929.9800000004</v>
      </c>
      <c r="AK47" s="125">
        <f t="shared" si="46"/>
        <v>7199432.6600000001</v>
      </c>
      <c r="AL47" s="125">
        <f t="shared" si="46"/>
        <v>8554165.7000000011</v>
      </c>
      <c r="AM47" s="125">
        <f t="shared" si="46"/>
        <v>10005479.74</v>
      </c>
      <c r="AN47" s="125">
        <f t="shared" si="46"/>
        <v>0</v>
      </c>
      <c r="AO47" s="125">
        <f t="shared" si="46"/>
        <v>14541452.98</v>
      </c>
      <c r="AP47" s="125">
        <f t="shared" si="46"/>
        <v>15795237.08</v>
      </c>
      <c r="AQ47" s="125">
        <f t="shared" si="46"/>
        <v>17347065.140000001</v>
      </c>
      <c r="AR47" s="125">
        <f t="shared" si="46"/>
        <v>18804814.02</v>
      </c>
      <c r="AS47" s="125">
        <f t="shared" si="46"/>
        <v>21477716.93</v>
      </c>
      <c r="AT47" s="125">
        <f t="shared" si="46"/>
        <v>86190635</v>
      </c>
      <c r="AU47" s="125">
        <f t="shared" ref="AU47:BY47" si="47">SUM(AU48:AU53)</f>
        <v>23557596.800000001</v>
      </c>
      <c r="AV47" s="125">
        <f t="shared" si="47"/>
        <v>1397941.29</v>
      </c>
      <c r="AW47" s="125">
        <f t="shared" si="47"/>
        <v>2202744.77</v>
      </c>
      <c r="AX47" s="125">
        <f t="shared" si="47"/>
        <v>2597398.36</v>
      </c>
      <c r="AY47" s="125">
        <f t="shared" si="47"/>
        <v>3297622.34</v>
      </c>
      <c r="AZ47" s="125">
        <f t="shared" si="47"/>
        <v>4136599.9699999997</v>
      </c>
      <c r="BA47" s="125">
        <f t="shared" si="47"/>
        <v>5363163.87</v>
      </c>
      <c r="BB47" s="125">
        <f t="shared" si="47"/>
        <v>6231273.7500000009</v>
      </c>
      <c r="BC47" s="125">
        <f t="shared" si="47"/>
        <v>6789202.7599999998</v>
      </c>
      <c r="BD47" s="125">
        <f t="shared" si="47"/>
        <v>7092152.8700000001</v>
      </c>
      <c r="BE47" s="125">
        <f t="shared" si="47"/>
        <v>8030641.0299999993</v>
      </c>
      <c r="BF47" s="125">
        <f t="shared" si="47"/>
        <v>25529732.279999997</v>
      </c>
      <c r="BG47" s="125">
        <f t="shared" si="47"/>
        <v>22187646</v>
      </c>
      <c r="BH47" s="125">
        <f t="shared" si="47"/>
        <v>731194.98</v>
      </c>
      <c r="BI47" s="125">
        <f t="shared" si="47"/>
        <v>1680456.98</v>
      </c>
      <c r="BJ47" s="125">
        <f t="shared" si="47"/>
        <v>3818932.1799999997</v>
      </c>
      <c r="BK47" s="125">
        <f t="shared" si="47"/>
        <v>4648687.18</v>
      </c>
      <c r="BL47" s="125">
        <f t="shared" si="47"/>
        <v>5755403.1799999997</v>
      </c>
      <c r="BM47" s="125">
        <f t="shared" si="47"/>
        <v>6668122.3300000001</v>
      </c>
      <c r="BN47" s="125">
        <f t="shared" si="47"/>
        <v>7690489.5300000003</v>
      </c>
      <c r="BO47" s="125">
        <f t="shared" si="47"/>
        <v>8475189.8599999994</v>
      </c>
      <c r="BP47" s="125">
        <f t="shared" si="47"/>
        <v>9163909.4900000002</v>
      </c>
      <c r="BQ47" s="125">
        <f t="shared" si="47"/>
        <v>10079367.49</v>
      </c>
      <c r="BR47" s="125">
        <f t="shared" si="47"/>
        <v>10785235.24</v>
      </c>
      <c r="BS47" s="125">
        <f t="shared" si="47"/>
        <v>9674206.3900000006</v>
      </c>
      <c r="BT47" s="125">
        <f t="shared" si="47"/>
        <v>23000394</v>
      </c>
      <c r="BU47" s="125">
        <f t="shared" si="47"/>
        <v>1281873</v>
      </c>
      <c r="BV47" s="125">
        <f t="shared" si="47"/>
        <v>3335676.48</v>
      </c>
      <c r="BW47" s="125">
        <f t="shared" si="47"/>
        <v>5236498.92</v>
      </c>
      <c r="BX47" s="125">
        <f t="shared" si="47"/>
        <v>5914219.5700000003</v>
      </c>
      <c r="BY47" s="125">
        <f t="shared" ref="BY47:BZ47" si="48">SUM(BY48:BY53)</f>
        <v>7214026.79</v>
      </c>
      <c r="BZ47" s="125">
        <f t="shared" si="48"/>
        <v>8827607.0199999996</v>
      </c>
    </row>
    <row r="48" spans="1:78">
      <c r="A48" s="34">
        <v>10.1</v>
      </c>
      <c r="B48" s="51" t="s">
        <v>155</v>
      </c>
      <c r="C48" s="115">
        <f>SCI!B13</f>
        <v>18861799</v>
      </c>
      <c r="D48" s="115">
        <f>SCI!C13</f>
        <v>23759229</v>
      </c>
      <c r="E48" s="115">
        <f>SCI!D13</f>
        <v>2461273.2000000002</v>
      </c>
      <c r="F48" s="115">
        <f>SCI!E13</f>
        <v>735959</v>
      </c>
      <c r="G48" s="115">
        <f>SCI!F13</f>
        <v>1091031</v>
      </c>
      <c r="H48" s="115">
        <f>SCI!G13</f>
        <v>1432379</v>
      </c>
      <c r="I48" s="115">
        <f>SCI!H13</f>
        <v>1750634</v>
      </c>
      <c r="J48" s="115">
        <f>SCI!I13</f>
        <v>2043036</v>
      </c>
      <c r="K48" s="115">
        <f>SCI!J13</f>
        <v>2334812</v>
      </c>
      <c r="L48" s="115">
        <f>SCI!K13</f>
        <v>2621472.6</v>
      </c>
      <c r="M48" s="115">
        <f>SCI!L13</f>
        <v>2889934.4</v>
      </c>
      <c r="N48" s="115">
        <f>SCI!M13</f>
        <v>3186207.25</v>
      </c>
      <c r="O48" s="115">
        <f>SCI!N13</f>
        <v>3439550.45</v>
      </c>
      <c r="P48" s="115">
        <f>SCI!O13</f>
        <v>3711558.75</v>
      </c>
      <c r="Q48" s="115">
        <f>SCI!P13</f>
        <v>29128575</v>
      </c>
      <c r="R48" s="115">
        <f>SCI!Q13</f>
        <v>34700314</v>
      </c>
      <c r="S48" s="115">
        <f>SCI!R13</f>
        <v>1845290.72</v>
      </c>
      <c r="T48" s="290">
        <f>SCI!S13</f>
        <v>54061562</v>
      </c>
      <c r="U48" s="115">
        <f>SCI!T13</f>
        <v>1884455.01</v>
      </c>
      <c r="V48" s="115">
        <f>SCI!U13</f>
        <v>2111268.46</v>
      </c>
      <c r="W48" s="115">
        <f>SCI!V13</f>
        <v>2145794.0499999998</v>
      </c>
      <c r="X48" s="115">
        <f>SCI!W13</f>
        <v>425008.75</v>
      </c>
      <c r="Y48" s="115">
        <f>SCI!X13</f>
        <v>476081.87</v>
      </c>
      <c r="Z48" s="115">
        <f>SCI!Y13</f>
        <v>685905.01</v>
      </c>
      <c r="AA48" s="115">
        <f>SCI!Z13</f>
        <v>838825.6</v>
      </c>
      <c r="AB48" s="115">
        <f>SCI!AA13</f>
        <v>962149.35</v>
      </c>
      <c r="AC48" s="115">
        <f>SCI!AB13</f>
        <v>1076271.68</v>
      </c>
      <c r="AD48" s="115">
        <f>SCI!AC13</f>
        <v>1213484.1200000001</v>
      </c>
      <c r="AE48" s="115">
        <f>SCI!AD13</f>
        <v>1334765.4099999999</v>
      </c>
      <c r="AF48" s="115">
        <f>SCI!AE13</f>
        <v>1459761.63</v>
      </c>
      <c r="AG48" s="115">
        <f>SCI!AF13</f>
        <v>57854041</v>
      </c>
      <c r="AH48" s="115">
        <f>SCI!AG13</f>
        <v>1481018.98</v>
      </c>
      <c r="AI48" s="115">
        <f>SCI!AH13</f>
        <v>260451.72</v>
      </c>
      <c r="AJ48" s="115">
        <f>SCI!AI13</f>
        <v>397881.53</v>
      </c>
      <c r="AK48" s="115">
        <f>SCI!AJ13</f>
        <v>552462.98</v>
      </c>
      <c r="AL48" s="115">
        <f>SCI!AK13</f>
        <v>690906.31</v>
      </c>
      <c r="AM48" s="115">
        <f>SCI!AL13</f>
        <v>824276.69</v>
      </c>
      <c r="AN48" s="115">
        <f>SCI!AM13</f>
        <v>0</v>
      </c>
      <c r="AO48" s="115">
        <f>SCI!AN13</f>
        <v>1052889.83</v>
      </c>
      <c r="AP48" s="115">
        <f>SCI!AO13</f>
        <v>1163567.2</v>
      </c>
      <c r="AQ48" s="115">
        <f>SCI!AP13</f>
        <v>1259030.5900000001</v>
      </c>
      <c r="AR48" s="115">
        <f>SCI!AQ13</f>
        <v>1346031.08</v>
      </c>
      <c r="AS48" s="115">
        <f>SCI!AR13</f>
        <v>1448475.05</v>
      </c>
      <c r="AT48" s="115">
        <f>SCI!AS13</f>
        <v>66138994</v>
      </c>
      <c r="AU48" s="115">
        <f>SCI!AT13</f>
        <v>7387683</v>
      </c>
      <c r="AV48" s="115">
        <f>SCI!AU13</f>
        <v>0</v>
      </c>
      <c r="AW48" s="115">
        <f>SCI!AV13</f>
        <v>0</v>
      </c>
      <c r="AX48" s="115">
        <f>SCI!AW13</f>
        <v>0</v>
      </c>
      <c r="AY48" s="115">
        <f>SCI!AX13</f>
        <v>0</v>
      </c>
      <c r="AZ48" s="115">
        <f>SCI!AY13</f>
        <v>0</v>
      </c>
      <c r="BA48" s="115">
        <f>SCI!AZ13</f>
        <v>0</v>
      </c>
      <c r="BB48" s="115">
        <f>SCI!BA13</f>
        <v>0</v>
      </c>
      <c r="BC48" s="115">
        <f>SCI!BB13</f>
        <v>0</v>
      </c>
      <c r="BD48" s="115">
        <f>SCI!BC13</f>
        <v>0</v>
      </c>
      <c r="BE48" s="115">
        <f>SCI!BD13</f>
        <v>0</v>
      </c>
      <c r="BF48" s="115">
        <f>SCI!BE13</f>
        <v>9560000</v>
      </c>
      <c r="BG48" s="115">
        <f>SCI!BF13</f>
        <v>9560000</v>
      </c>
      <c r="BH48" s="115">
        <f>SCI!BG13</f>
        <v>0</v>
      </c>
      <c r="BI48" s="115">
        <f>SCI!BH13</f>
        <v>0</v>
      </c>
      <c r="BJ48" s="115">
        <f>SCI!BI13</f>
        <v>0</v>
      </c>
      <c r="BK48" s="115">
        <f>SCI!BJ13</f>
        <v>0</v>
      </c>
      <c r="BL48" s="115">
        <f>SCI!BK13</f>
        <v>0</v>
      </c>
      <c r="BM48" s="115">
        <f>SCI!BL13</f>
        <v>0</v>
      </c>
      <c r="BN48" s="115">
        <f>SCI!BM13</f>
        <v>0</v>
      </c>
      <c r="BO48" s="115">
        <f>SCI!BN13</f>
        <v>0</v>
      </c>
      <c r="BP48" s="115">
        <f>SCI!BO13</f>
        <v>0</v>
      </c>
      <c r="BQ48" s="115">
        <f>SCI!BP13</f>
        <v>0</v>
      </c>
      <c r="BR48" s="115">
        <f>SCI!BQ13</f>
        <v>0</v>
      </c>
      <c r="BS48" s="115">
        <f>SCI!BR13</f>
        <v>0</v>
      </c>
      <c r="BT48" s="115">
        <f>SCI!BS13</f>
        <v>11968125</v>
      </c>
      <c r="BU48" s="115">
        <f>SCI!BT13</f>
        <v>0</v>
      </c>
      <c r="BV48" s="115">
        <f>SCI!BU13</f>
        <v>0</v>
      </c>
      <c r="BW48" s="115">
        <f>SCI!BV13</f>
        <v>0</v>
      </c>
      <c r="BX48" s="115">
        <f>SCI!BW13</f>
        <v>0</v>
      </c>
      <c r="BY48" s="115">
        <f>SCI!BX13</f>
        <v>0</v>
      </c>
      <c r="BZ48" s="115">
        <f>SCI!BY13</f>
        <v>0</v>
      </c>
    </row>
    <row r="49" spans="1:78">
      <c r="A49" s="34">
        <v>10.199999999999999</v>
      </c>
      <c r="B49" s="51" t="s">
        <v>156</v>
      </c>
      <c r="C49" s="121">
        <f>SCI!B15</f>
        <v>0</v>
      </c>
      <c r="D49" s="121">
        <f>SCI!C15</f>
        <v>0</v>
      </c>
      <c r="E49" s="121">
        <f>SCI!D15</f>
        <v>0</v>
      </c>
      <c r="F49" s="121">
        <f>SCI!E15</f>
        <v>0</v>
      </c>
      <c r="G49" s="121">
        <f>SCI!F15</f>
        <v>0</v>
      </c>
      <c r="H49" s="121">
        <f>SCI!G15</f>
        <v>0</v>
      </c>
      <c r="I49" s="121">
        <f>SCI!H15</f>
        <v>0</v>
      </c>
      <c r="J49" s="121">
        <f>SCI!I15</f>
        <v>0</v>
      </c>
      <c r="K49" s="121">
        <f>SCI!J15</f>
        <v>0</v>
      </c>
      <c r="L49" s="121">
        <f>SCI!K15</f>
        <v>0</v>
      </c>
      <c r="M49" s="121">
        <f>SCI!L15</f>
        <v>0</v>
      </c>
      <c r="N49" s="121">
        <f>SCI!M15</f>
        <v>0</v>
      </c>
      <c r="O49" s="121">
        <f>SCI!N15</f>
        <v>0</v>
      </c>
      <c r="P49" s="121">
        <f>SCI!O15</f>
        <v>0</v>
      </c>
      <c r="Q49" s="121">
        <f>SCI!P15</f>
        <v>0</v>
      </c>
      <c r="R49" s="121">
        <f>SCI!Q15</f>
        <v>0</v>
      </c>
      <c r="S49" s="121">
        <f>SCI!R15</f>
        <v>0</v>
      </c>
      <c r="T49" s="292">
        <f>SCI!S15</f>
        <v>0</v>
      </c>
      <c r="U49" s="121">
        <f>SCI!T15</f>
        <v>0</v>
      </c>
      <c r="V49" s="121">
        <f>SCI!U15</f>
        <v>0</v>
      </c>
      <c r="W49" s="121">
        <f>SCI!V15</f>
        <v>0</v>
      </c>
      <c r="X49" s="121">
        <f>SCI!W15</f>
        <v>0</v>
      </c>
      <c r="Y49" s="121">
        <f>SCI!X15</f>
        <v>0</v>
      </c>
      <c r="Z49" s="121">
        <f>SCI!Y15</f>
        <v>0</v>
      </c>
      <c r="AA49" s="121">
        <f>SCI!Z15</f>
        <v>0</v>
      </c>
      <c r="AB49" s="121">
        <f>SCI!AA15</f>
        <v>0</v>
      </c>
      <c r="AC49" s="121">
        <f>SCI!AB15</f>
        <v>0</v>
      </c>
      <c r="AD49" s="121">
        <f>SCI!AC15</f>
        <v>0</v>
      </c>
      <c r="AE49" s="121">
        <f>SCI!AD15</f>
        <v>0</v>
      </c>
      <c r="AF49" s="121">
        <f>SCI!AE15</f>
        <v>0</v>
      </c>
      <c r="AG49" s="121">
        <f>SCI!AF15</f>
        <v>0</v>
      </c>
      <c r="AH49" s="121">
        <f>SCI!AG15</f>
        <v>0</v>
      </c>
      <c r="AI49" s="121">
        <f>SCI!AH15</f>
        <v>0</v>
      </c>
      <c r="AJ49" s="121">
        <f>SCI!AI15</f>
        <v>0</v>
      </c>
      <c r="AK49" s="121">
        <f>SCI!AJ15</f>
        <v>0</v>
      </c>
      <c r="AL49" s="121">
        <f>SCI!AK15</f>
        <v>0</v>
      </c>
      <c r="AM49" s="121">
        <f>SCI!AL15</f>
        <v>0</v>
      </c>
      <c r="AN49" s="121">
        <f>SCI!AM15</f>
        <v>0</v>
      </c>
      <c r="AO49" s="121">
        <f>SCI!AN15</f>
        <v>0</v>
      </c>
      <c r="AP49" s="121">
        <f>SCI!AO15</f>
        <v>0</v>
      </c>
      <c r="AQ49" s="121">
        <f>SCI!AP15</f>
        <v>0</v>
      </c>
      <c r="AR49" s="121">
        <f>SCI!AQ15</f>
        <v>0</v>
      </c>
      <c r="AS49" s="121">
        <f>SCI!AR15</f>
        <v>0</v>
      </c>
      <c r="AT49" s="121">
        <f>SCI!AS15</f>
        <v>0</v>
      </c>
      <c r="AU49" s="121">
        <f>SCI!AT15</f>
        <v>3300080</v>
      </c>
      <c r="AV49" s="121">
        <f>SCI!AU15</f>
        <v>0</v>
      </c>
      <c r="AW49" s="121">
        <f>SCI!AV15</f>
        <v>0</v>
      </c>
      <c r="AX49" s="121">
        <f>SCI!AW15</f>
        <v>0</v>
      </c>
      <c r="AY49" s="121">
        <f>SCI!AX15</f>
        <v>0</v>
      </c>
      <c r="AZ49" s="121">
        <f>SCI!AY15</f>
        <v>0</v>
      </c>
      <c r="BA49" s="121">
        <f>SCI!AZ15</f>
        <v>0</v>
      </c>
      <c r="BB49" s="121">
        <f>SCI!BA15</f>
        <v>0</v>
      </c>
      <c r="BC49" s="121">
        <f>SCI!BB15</f>
        <v>0</v>
      </c>
      <c r="BD49" s="121">
        <f>SCI!BC15</f>
        <v>0</v>
      </c>
      <c r="BE49" s="121">
        <f>SCI!BD15</f>
        <v>0</v>
      </c>
      <c r="BF49" s="121">
        <f>SCI!BE15</f>
        <v>3551000</v>
      </c>
      <c r="BG49" s="121">
        <f>SCI!BF15</f>
        <v>0</v>
      </c>
      <c r="BH49" s="121">
        <f>SCI!BG15</f>
        <v>0</v>
      </c>
      <c r="BI49" s="121">
        <f>SCI!BH15</f>
        <v>0</v>
      </c>
      <c r="BJ49" s="121">
        <f>SCI!BI15</f>
        <v>0</v>
      </c>
      <c r="BK49" s="121">
        <f>SCI!BJ15</f>
        <v>0</v>
      </c>
      <c r="BL49" s="121">
        <f>SCI!BK15</f>
        <v>0</v>
      </c>
      <c r="BM49" s="121">
        <f>SCI!BL15</f>
        <v>0</v>
      </c>
      <c r="BN49" s="121">
        <f>SCI!BM15</f>
        <v>0</v>
      </c>
      <c r="BO49" s="121">
        <f>SCI!BN15</f>
        <v>0</v>
      </c>
      <c r="BP49" s="121">
        <f>SCI!BO15</f>
        <v>0</v>
      </c>
      <c r="BQ49" s="121">
        <f>SCI!BP15</f>
        <v>0</v>
      </c>
      <c r="BR49" s="121">
        <f>SCI!BQ15</f>
        <v>0</v>
      </c>
      <c r="BS49" s="121">
        <f>SCI!BR15</f>
        <v>0</v>
      </c>
      <c r="BT49" s="121">
        <f>SCI!BS15</f>
        <v>0</v>
      </c>
      <c r="BU49" s="121">
        <f>SCI!BT15</f>
        <v>0</v>
      </c>
      <c r="BV49" s="121">
        <f>SCI!BU15</f>
        <v>0</v>
      </c>
      <c r="BW49" s="121">
        <f>SCI!BV15</f>
        <v>0</v>
      </c>
      <c r="BX49" s="121">
        <f>SCI!BW15</f>
        <v>0</v>
      </c>
      <c r="BY49" s="121">
        <f>SCI!BX15</f>
        <v>0</v>
      </c>
      <c r="BZ49" s="121">
        <f>SCI!BY15</f>
        <v>0</v>
      </c>
    </row>
    <row r="50" spans="1:78">
      <c r="A50" s="34">
        <v>10.3</v>
      </c>
      <c r="B50" s="51" t="s">
        <v>157</v>
      </c>
      <c r="C50" s="116">
        <f>SCI!B14</f>
        <v>10401634</v>
      </c>
      <c r="D50" s="116">
        <f>SCI!C14</f>
        <v>6078781</v>
      </c>
      <c r="E50" s="116">
        <f>SCI!D14</f>
        <v>5644606.6399999997</v>
      </c>
      <c r="F50" s="116">
        <f>SCI!E14</f>
        <v>63870.55</v>
      </c>
      <c r="G50" s="116">
        <f>SCI!F14</f>
        <v>76696.34</v>
      </c>
      <c r="H50" s="116">
        <f>SCI!G14</f>
        <v>112967.62</v>
      </c>
      <c r="I50" s="116">
        <f>SCI!H14</f>
        <v>193027.92</v>
      </c>
      <c r="J50" s="116">
        <f>SCI!I14</f>
        <v>238614.18</v>
      </c>
      <c r="K50" s="116">
        <f>SCI!J14</f>
        <v>307117.57</v>
      </c>
      <c r="L50" s="116">
        <f>SCI!K14</f>
        <v>399098.89</v>
      </c>
      <c r="M50" s="116">
        <f>SCI!L14</f>
        <v>486852.72</v>
      </c>
      <c r="N50" s="116">
        <f>SCI!M14</f>
        <v>572963.24</v>
      </c>
      <c r="O50" s="116">
        <f>SCI!N14</f>
        <v>692145.56</v>
      </c>
      <c r="P50" s="116">
        <f>SCI!O14</f>
        <v>819884.79</v>
      </c>
      <c r="Q50" s="116">
        <f>SCI!P14</f>
        <v>819885</v>
      </c>
      <c r="R50" s="116">
        <f>SCI!Q14</f>
        <v>804184</v>
      </c>
      <c r="S50" s="116">
        <f>SCI!R14</f>
        <v>993.3</v>
      </c>
      <c r="T50" s="290">
        <f>SCI!S14</f>
        <v>993</v>
      </c>
      <c r="U50" s="116">
        <f>SCI!T14</f>
        <v>2438.0100000000002</v>
      </c>
      <c r="V50" s="116">
        <f>SCI!U14</f>
        <v>2438.0100000000002</v>
      </c>
      <c r="W50" s="116">
        <f>SCI!V14</f>
        <v>2438.0100000000002</v>
      </c>
      <c r="X50" s="116">
        <f>SCI!W14</f>
        <v>1444.71</v>
      </c>
      <c r="Y50" s="116">
        <f>SCI!X14</f>
        <v>1444.71</v>
      </c>
      <c r="Z50" s="116">
        <f>SCI!Y14</f>
        <v>1444.71</v>
      </c>
      <c r="AA50" s="116">
        <f>SCI!Z14</f>
        <v>1444.71</v>
      </c>
      <c r="AB50" s="116">
        <f>SCI!AA14</f>
        <v>1444.71</v>
      </c>
      <c r="AC50" s="116">
        <f>SCI!AB14</f>
        <v>1444.71</v>
      </c>
      <c r="AD50" s="116">
        <f>SCI!AC14</f>
        <v>1444.71</v>
      </c>
      <c r="AE50" s="116">
        <f>SCI!AD14</f>
        <v>1486.16</v>
      </c>
      <c r="AF50" s="116">
        <f>SCI!AE14</f>
        <v>1486.16</v>
      </c>
      <c r="AG50" s="116">
        <f>SCI!AF14</f>
        <v>1866</v>
      </c>
      <c r="AH50" s="116">
        <f>SCI!AG14</f>
        <v>1486.2</v>
      </c>
      <c r="AI50" s="116">
        <f>SCI!AH14</f>
        <v>4.96</v>
      </c>
      <c r="AJ50" s="116">
        <f>SCI!AI14</f>
        <v>0</v>
      </c>
      <c r="AK50" s="116">
        <f>SCI!AJ14</f>
        <v>25010.73</v>
      </c>
      <c r="AL50" s="116">
        <f>SCI!AK14</f>
        <v>25010.73</v>
      </c>
      <c r="AM50" s="116">
        <f>SCI!AL14</f>
        <v>25011.98</v>
      </c>
      <c r="AN50" s="116">
        <f>SCI!AM14</f>
        <v>0</v>
      </c>
      <c r="AO50" s="116">
        <f>SCI!AN14</f>
        <v>47956.98</v>
      </c>
      <c r="AP50" s="116">
        <f>SCI!AO14</f>
        <v>47956.98</v>
      </c>
      <c r="AQ50" s="116">
        <f>SCI!AP14</f>
        <v>68841.98</v>
      </c>
      <c r="AR50" s="116">
        <f>SCI!AQ14</f>
        <v>68841.98</v>
      </c>
      <c r="AS50" s="116">
        <f>SCI!AR14</f>
        <v>68841.990000000005</v>
      </c>
      <c r="AT50" s="116">
        <f>SCI!AS14</f>
        <v>68842</v>
      </c>
      <c r="AU50" s="116">
        <f>SCI!AT14</f>
        <v>340945.31</v>
      </c>
      <c r="AV50" s="116">
        <f>SCI!AU14</f>
        <v>0</v>
      </c>
      <c r="AW50" s="116">
        <f>SCI!AV14</f>
        <v>0</v>
      </c>
      <c r="AX50" s="116">
        <f>SCI!AW14</f>
        <v>0</v>
      </c>
      <c r="AY50" s="116">
        <f>SCI!AX14</f>
        <v>0</v>
      </c>
      <c r="AZ50" s="116">
        <f>SCI!AY14</f>
        <v>0</v>
      </c>
      <c r="BA50" s="116">
        <f>SCI!AZ14</f>
        <v>0</v>
      </c>
      <c r="BB50" s="116">
        <f>SCI!BA14</f>
        <v>0</v>
      </c>
      <c r="BC50" s="116">
        <f>SCI!BB14</f>
        <v>0</v>
      </c>
      <c r="BD50" s="116">
        <f>SCI!BC14</f>
        <v>0</v>
      </c>
      <c r="BE50" s="116">
        <f>SCI!BD14</f>
        <v>0</v>
      </c>
      <c r="BF50" s="116">
        <f>SCI!BE14</f>
        <v>0</v>
      </c>
      <c r="BG50" s="116">
        <f>SCI!BF14</f>
        <v>0</v>
      </c>
      <c r="BH50" s="116">
        <f>SCI!BG14</f>
        <v>0</v>
      </c>
      <c r="BI50" s="116">
        <f>SCI!BH14</f>
        <v>0</v>
      </c>
      <c r="BJ50" s="116">
        <f>SCI!BI14</f>
        <v>0</v>
      </c>
      <c r="BK50" s="116">
        <f>SCI!BJ14</f>
        <v>0</v>
      </c>
      <c r="BL50" s="116">
        <f>SCI!BK14</f>
        <v>0</v>
      </c>
      <c r="BM50" s="116">
        <f>SCI!BL14</f>
        <v>0</v>
      </c>
      <c r="BN50" s="116">
        <f>SCI!BM14</f>
        <v>0</v>
      </c>
      <c r="BO50" s="116">
        <f>SCI!BN14</f>
        <v>0</v>
      </c>
      <c r="BP50" s="116">
        <f>SCI!BO14</f>
        <v>0</v>
      </c>
      <c r="BQ50" s="116">
        <f>SCI!BP14</f>
        <v>0</v>
      </c>
      <c r="BR50" s="116">
        <f>SCI!BQ14</f>
        <v>0</v>
      </c>
      <c r="BS50" s="116">
        <f>SCI!BR14</f>
        <v>0</v>
      </c>
      <c r="BT50" s="116">
        <f>SCI!BS14</f>
        <v>0</v>
      </c>
      <c r="BU50" s="116">
        <f>SCI!BT14</f>
        <v>0</v>
      </c>
      <c r="BV50" s="116">
        <f>SCI!BU14</f>
        <v>185205.48</v>
      </c>
      <c r="BW50" s="116">
        <f>SCI!BV14</f>
        <v>394200.92</v>
      </c>
      <c r="BX50" s="116">
        <f>SCI!BW14</f>
        <v>627762.56999999995</v>
      </c>
      <c r="BY50" s="116">
        <f>SCI!BX14</f>
        <v>845918.57</v>
      </c>
      <c r="BZ50" s="116">
        <f>SCI!BY14</f>
        <v>1053800.6000000001</v>
      </c>
    </row>
    <row r="51" spans="1:78">
      <c r="A51" s="34">
        <v>10.4</v>
      </c>
      <c r="B51" s="51" t="s">
        <v>158</v>
      </c>
      <c r="C51" s="121">
        <f>SCI!B16+SCI!B17+SCI!B18</f>
        <v>1174922</v>
      </c>
      <c r="D51" s="121">
        <f>SCI!C16+SCI!C17+SCI!C18</f>
        <v>0</v>
      </c>
      <c r="E51" s="121">
        <f>SCI!D16+SCI!D17+SCI!D18</f>
        <v>6412675.9500000002</v>
      </c>
      <c r="F51" s="121">
        <f>SCI!E16+SCI!E17+SCI!E18</f>
        <v>3048870.68</v>
      </c>
      <c r="G51" s="121">
        <f>SCI!F16+SCI!F17+SCI!F18</f>
        <v>3274480.4800000004</v>
      </c>
      <c r="H51" s="121">
        <f>SCI!G16+SCI!G17+SCI!G18</f>
        <v>1092205.74</v>
      </c>
      <c r="I51" s="121">
        <f>SCI!H16+SCI!H17+SCI!H18</f>
        <v>1305305.29</v>
      </c>
      <c r="J51" s="121">
        <f>SCI!I16+SCI!I17+SCI!I18</f>
        <v>2233240.19</v>
      </c>
      <c r="K51" s="121">
        <f>SCI!J16+SCI!J17+SCI!J18</f>
        <v>2453736.94</v>
      </c>
      <c r="L51" s="121">
        <f>SCI!K16+SCI!K17+SCI!K18</f>
        <v>2710181.21</v>
      </c>
      <c r="M51" s="121">
        <f>SCI!L16+SCI!L17+SCI!L18</f>
        <v>3566537.4299999997</v>
      </c>
      <c r="N51" s="121" t="e">
        <f>SCI!M16+SCI!#REF!+SCI!M18</f>
        <v>#REF!</v>
      </c>
      <c r="O51" s="121">
        <f>SCI!N16+SCI!N17+SCI!N18</f>
        <v>4013674.45</v>
      </c>
      <c r="P51" s="121">
        <f>SCI!O16+SCI!O17+SCI!O18</f>
        <v>4933601.2</v>
      </c>
      <c r="Q51" s="121">
        <f>SCI!P16+SCI!P17+SCI!P18</f>
        <v>642233</v>
      </c>
      <c r="R51" s="121">
        <f>SCI!Q16+SCI!Q17+SCI!Q18</f>
        <v>0</v>
      </c>
      <c r="S51" s="121">
        <f>SCI!R16+SCI!R17+SCI!R18</f>
        <v>2837191.8</v>
      </c>
      <c r="T51" s="292">
        <f>SCI!S16+SCI!S17+SCI!S18</f>
        <v>327276</v>
      </c>
      <c r="U51" s="121">
        <f>SCI!T16+SCI!T17+SCI!T18</f>
        <v>4318395.5999999996</v>
      </c>
      <c r="V51" s="121">
        <f>SCI!U16+SCI!U17+SCI!U18</f>
        <v>4418783.3999999994</v>
      </c>
      <c r="W51" s="121">
        <f>SCI!V16+SCI!V17+SCI!V18</f>
        <v>4507648.1499999994</v>
      </c>
      <c r="X51" s="121">
        <f>SCI!W16+SCI!W17+SCI!W18</f>
        <v>1359797.47</v>
      </c>
      <c r="Y51" s="121">
        <f>SCI!X16+SCI!X17+SCI!X18</f>
        <v>2019237.27</v>
      </c>
      <c r="Z51" s="121">
        <f>SCI!Y16+SCI!Y17+SCI!Y18</f>
        <v>2085725.27</v>
      </c>
      <c r="AA51" s="121">
        <f>SCI!Z16+SCI!Z17+SCI!Z18</f>
        <v>2167137.65</v>
      </c>
      <c r="AB51" s="121">
        <f>SCI!AA16+SCI!AA17+SCI!AA18</f>
        <v>2265875.65</v>
      </c>
      <c r="AC51" s="121">
        <f>SCI!AB16+SCI!AB17+SCI!AB18</f>
        <v>2411864.83</v>
      </c>
      <c r="AD51" s="121">
        <f>SCI!AC16+SCI!AC17+SCI!AC18</f>
        <v>2514706.27</v>
      </c>
      <c r="AE51" s="121">
        <f>SCI!AD16+SCI!AD17+SCI!AD18</f>
        <v>2668031.37</v>
      </c>
      <c r="AF51" s="121">
        <f>SCI!AE16+SCI!AE17+SCI!AE18</f>
        <v>2729533.26</v>
      </c>
      <c r="AG51" s="121">
        <f>SCI!AF16+SCI!AF17+SCI!AF18</f>
        <v>780695</v>
      </c>
      <c r="AH51" s="121">
        <f>SCI!AG16+SCI!AG17+SCI!AG18</f>
        <v>4057918.98</v>
      </c>
      <c r="AI51" s="121">
        <f>SCI!AH16+SCI!AH17+SCI!AH18</f>
        <v>2033660.8</v>
      </c>
      <c r="AJ51" s="121">
        <f>SCI!AI16+SCI!AI17+SCI!AI18</f>
        <v>2343412.1</v>
      </c>
      <c r="AK51" s="121">
        <f>SCI!AJ16+SCI!AJ17+SCI!AJ18</f>
        <v>2471670</v>
      </c>
      <c r="AL51" s="121">
        <f>SCI!AK16+SCI!AK17+SCI!AK18</f>
        <v>2827409.2</v>
      </c>
      <c r="AM51" s="121">
        <f>SCI!AL16+SCI!AL17+SCI!AL18</f>
        <v>2882666</v>
      </c>
      <c r="AN51" s="121">
        <f>SCI!AM16+SCI!AM17+SCI!AM18</f>
        <v>0</v>
      </c>
      <c r="AO51" s="121">
        <f>SCI!AN16+SCI!AN17+SCI!AN18</f>
        <v>3034813.3</v>
      </c>
      <c r="AP51" s="121">
        <f>SCI!AO16+SCI!AO17+SCI!AO18</f>
        <v>3092504</v>
      </c>
      <c r="AQ51" s="121">
        <f>SCI!AP16+SCI!AP17+SCI!AP18</f>
        <v>3146533</v>
      </c>
      <c r="AR51" s="121">
        <f>SCI!AQ16+SCI!AQ17+SCI!AQ18</f>
        <v>3200909.6</v>
      </c>
      <c r="AS51" s="121">
        <f>SCI!AR16+SCI!AR17+SCI!AR18</f>
        <v>4366384.54</v>
      </c>
      <c r="AT51" s="121">
        <f>SCI!AS16+SCI!AS17+SCI!AS18</f>
        <v>3051039</v>
      </c>
      <c r="AU51" s="121">
        <f>SCI!AT16+SCI!AT17+SCI!AT18</f>
        <v>708689.4</v>
      </c>
      <c r="AV51" s="121">
        <f>SCI!AU16+SCI!AU17+SCI!AU18</f>
        <v>97677.84</v>
      </c>
      <c r="AW51" s="121">
        <f>SCI!AV16+SCI!AV17+SCI!AV18</f>
        <v>149001.32</v>
      </c>
      <c r="AX51" s="121">
        <f>SCI!AW16+SCI!AW17+SCI!AW18</f>
        <v>218004.91</v>
      </c>
      <c r="AY51" s="121">
        <f>SCI!AX16+SCI!AX17+SCI!AX18</f>
        <v>205827.89</v>
      </c>
      <c r="AZ51" s="121">
        <f>SCI!AY16+SCI!AY17+SCI!AY18</f>
        <v>298844.52</v>
      </c>
      <c r="BA51" s="121">
        <f>SCI!AZ16+SCI!AZ17+SCI!AZ18</f>
        <v>1136693.42</v>
      </c>
      <c r="BB51" s="121">
        <f>SCI!BA16+SCI!BA17+SCI!BA18</f>
        <v>1208474.3700000001</v>
      </c>
      <c r="BC51" s="121">
        <f>SCI!BB16+SCI!BB17+SCI!BB18</f>
        <v>1289584.7</v>
      </c>
      <c r="BD51" s="121">
        <f>SCI!BC16+SCI!BC17+SCI!BC18</f>
        <v>1303624.81</v>
      </c>
      <c r="BE51" s="121">
        <f>SCI!BD16+SCI!BD17+SCI!BD18</f>
        <v>1339298.97</v>
      </c>
      <c r="BF51" s="121">
        <f>SCI!BE16+SCI!BE17+SCI!BE18</f>
        <v>1440490.22</v>
      </c>
      <c r="BG51" s="121">
        <f>SCI!BF16+SCI!BF17+SCI!BF18</f>
        <v>0</v>
      </c>
      <c r="BH51" s="121">
        <f>SCI!BG16+SCI!BG17+SCI!BG18</f>
        <v>24857.98</v>
      </c>
      <c r="BI51" s="121">
        <f>SCI!BH16+SCI!BH17+SCI!BH18</f>
        <v>39677.980000000003</v>
      </c>
      <c r="BJ51" s="121">
        <f>SCI!BI16+SCI!BI17+SCI!BI18</f>
        <v>147107.98000000001</v>
      </c>
      <c r="BK51" s="121">
        <f>SCI!BJ16+SCI!BJ17+SCI!BJ18</f>
        <v>197641.98</v>
      </c>
      <c r="BL51" s="121">
        <f>SCI!BK16+SCI!BK17+SCI!BK18</f>
        <v>247765.98</v>
      </c>
      <c r="BM51" s="121">
        <f>SCI!BL16+SCI!BL17+SCI!BL18</f>
        <v>325673.98</v>
      </c>
      <c r="BN51" s="121">
        <f>SCI!BM16+SCI!BM17+SCI!BM18</f>
        <v>370309.18</v>
      </c>
      <c r="BO51" s="121">
        <f>SCI!BN16+SCI!BN17+SCI!BN18</f>
        <v>419063.51</v>
      </c>
      <c r="BP51" s="121">
        <f>SCI!BO16+SCI!BO17+SCI!BO18</f>
        <v>472670.14</v>
      </c>
      <c r="BQ51" s="121">
        <f>SCI!BP16+SCI!BP17+SCI!BP18</f>
        <v>521830.14</v>
      </c>
      <c r="BR51" s="121">
        <f>SCI!BQ16+SCI!BQ17+SCI!BQ18</f>
        <v>556940.89</v>
      </c>
      <c r="BS51" s="121">
        <f>SCI!BR16+SCI!BR17+SCI!BR18</f>
        <v>731647.04</v>
      </c>
      <c r="BT51" s="121">
        <f>SCI!BS16+SCI!BS17+SCI!BS18</f>
        <v>0</v>
      </c>
      <c r="BU51" s="121">
        <f>SCI!BT16+SCI!BT17+SCI!BT18</f>
        <v>791488</v>
      </c>
      <c r="BV51" s="121">
        <f>SCI!BU16+SCI!BU17+SCI!BU18</f>
        <v>816598</v>
      </c>
      <c r="BW51" s="121">
        <f>SCI!BV16+SCI!BV17+SCI!BV18</f>
        <v>854040</v>
      </c>
      <c r="BX51" s="121">
        <f>SCI!BW16+SCI!BW17+SCI!BW18</f>
        <v>968202</v>
      </c>
      <c r="BY51" s="121">
        <f>SCI!BX16+SCI!BX17+SCI!BX18</f>
        <v>1035842.22</v>
      </c>
      <c r="BZ51" s="121">
        <f>SCI!BY16+SCI!BY17+SCI!BY18</f>
        <v>1147020.25</v>
      </c>
    </row>
    <row r="52" spans="1:78">
      <c r="A52" s="34">
        <v>10.5</v>
      </c>
      <c r="B52" s="52" t="s">
        <v>159</v>
      </c>
      <c r="C52" s="115">
        <f>SCI!B28</f>
        <v>14920738</v>
      </c>
      <c r="D52" s="115">
        <f>SCI!C28</f>
        <v>8491899</v>
      </c>
      <c r="E52" s="115">
        <f>SCI!D28</f>
        <v>5624661.29</v>
      </c>
      <c r="F52" s="115">
        <f>SCI!E28</f>
        <v>620870.64</v>
      </c>
      <c r="G52" s="115">
        <f>SCI!F28</f>
        <v>1031881.26</v>
      </c>
      <c r="H52" s="115">
        <f>SCI!G28</f>
        <v>1309180.24</v>
      </c>
      <c r="I52" s="115">
        <f>SCI!H28</f>
        <v>1503231.98</v>
      </c>
      <c r="J52" s="115">
        <f>SCI!I28</f>
        <v>1982196.94</v>
      </c>
      <c r="K52" s="115">
        <f>SCI!J28</f>
        <v>2301672.17</v>
      </c>
      <c r="L52" s="115">
        <f>SCI!K28</f>
        <v>2502638.48</v>
      </c>
      <c r="M52" s="115">
        <f>SCI!L28</f>
        <v>2961680.69</v>
      </c>
      <c r="N52" s="115">
        <f>SCI!M28</f>
        <v>3451262.95</v>
      </c>
      <c r="O52" s="115">
        <f>SCI!N28</f>
        <v>3668056.48</v>
      </c>
      <c r="P52" s="115">
        <f>SCI!O28</f>
        <v>4185622.9</v>
      </c>
      <c r="Q52" s="115">
        <f>SCI!P28</f>
        <v>7512556</v>
      </c>
      <c r="R52" s="115">
        <f>SCI!Q28</f>
        <v>8009587</v>
      </c>
      <c r="S52" s="115">
        <f>SCI!R28</f>
        <v>8187405.6100000003</v>
      </c>
      <c r="T52" s="290">
        <f>SCI!S28</f>
        <v>11153366</v>
      </c>
      <c r="U52" s="115">
        <f>SCI!T28</f>
        <v>9045968.0899999999</v>
      </c>
      <c r="V52" s="115">
        <f>SCI!U28</f>
        <v>9647663.5600000005</v>
      </c>
      <c r="W52" s="115">
        <f>SCI!V28</f>
        <v>11226058.73</v>
      </c>
      <c r="X52" s="115">
        <f>SCI!W28</f>
        <v>3509325.13</v>
      </c>
      <c r="Y52" s="115">
        <f>SCI!X28</f>
        <v>8132050.6299999999</v>
      </c>
      <c r="Z52" s="115">
        <f>SCI!Y28</f>
        <v>9257271.5299999993</v>
      </c>
      <c r="AA52" s="115">
        <f>SCI!Z28</f>
        <v>8034161.0199999996</v>
      </c>
      <c r="AB52" s="115">
        <f>SCI!AA28</f>
        <v>8547123.2599999998</v>
      </c>
      <c r="AC52" s="115">
        <f>SCI!AB28</f>
        <v>10189284</v>
      </c>
      <c r="AD52" s="115">
        <f>SCI!AC28</f>
        <v>10857030.949999999</v>
      </c>
      <c r="AE52" s="115">
        <f>SCI!AD28</f>
        <v>11434248.92</v>
      </c>
      <c r="AF52" s="115">
        <f>SCI!AE28</f>
        <v>12202112.939999999</v>
      </c>
      <c r="AG52" s="115">
        <f>SCI!AF28</f>
        <v>13885011</v>
      </c>
      <c r="AH52" s="115">
        <f>SCI!AG28</f>
        <v>12843117.609999999</v>
      </c>
      <c r="AI52" s="115">
        <f>SCI!AH28</f>
        <v>1432091.06</v>
      </c>
      <c r="AJ52" s="115">
        <f>SCI!AI28</f>
        <v>2083999.03</v>
      </c>
      <c r="AK52" s="115">
        <f>SCI!AJ28</f>
        <v>2769251.63</v>
      </c>
      <c r="AL52" s="115">
        <f>SCI!AK28</f>
        <v>3445102.14</v>
      </c>
      <c r="AM52" s="115">
        <f>SCI!AL28</f>
        <v>4461787.75</v>
      </c>
      <c r="AN52" s="115">
        <f>SCI!AM28</f>
        <v>0</v>
      </c>
      <c r="AO52" s="115">
        <f>SCI!AN28</f>
        <v>8202445.5499999998</v>
      </c>
      <c r="AP52" s="115">
        <f>SCI!AO28</f>
        <v>9077861.5800000001</v>
      </c>
      <c r="AQ52" s="115">
        <f>SCI!AP28</f>
        <v>10280312.25</v>
      </c>
      <c r="AR52" s="115">
        <f>SCI!AQ28</f>
        <v>11249962.039999999</v>
      </c>
      <c r="AS52" s="115">
        <f>SCI!AR28</f>
        <v>12154796.029999999</v>
      </c>
      <c r="AT52" s="115">
        <f>SCI!AS28</f>
        <v>13492541</v>
      </c>
      <c r="AU52" s="115">
        <f>SCI!AT28</f>
        <v>8560052.9299999997</v>
      </c>
      <c r="AV52" s="115">
        <f>SCI!AU28</f>
        <v>882857</v>
      </c>
      <c r="AW52" s="115">
        <f>SCI!AV28</f>
        <v>1102117</v>
      </c>
      <c r="AX52" s="115">
        <f>SCI!AW28</f>
        <v>1223867</v>
      </c>
      <c r="AY52" s="115">
        <f>SCI!AX28</f>
        <v>1739668</v>
      </c>
      <c r="AZ52" s="115">
        <f>SCI!AY28</f>
        <v>2286689</v>
      </c>
      <c r="BA52" s="115">
        <f>SCI!AZ28</f>
        <v>2493404</v>
      </c>
      <c r="BB52" s="115">
        <f>SCI!BA28</f>
        <v>3170532.93</v>
      </c>
      <c r="BC52" s="115">
        <f>SCI!BB28</f>
        <v>3561657.93</v>
      </c>
      <c r="BD52" s="115">
        <f>SCI!BC28</f>
        <v>3683357.93</v>
      </c>
      <c r="BE52" s="115">
        <f>SCI!BD28</f>
        <v>4362141.93</v>
      </c>
      <c r="BF52" s="115">
        <f>SCI!BE28</f>
        <v>7780681.9299999997</v>
      </c>
      <c r="BG52" s="115">
        <f>SCI!BF28</f>
        <v>9371031</v>
      </c>
      <c r="BH52" s="115">
        <f>SCI!BG28</f>
        <v>461427</v>
      </c>
      <c r="BI52" s="115">
        <f>SCI!BH28</f>
        <v>875879</v>
      </c>
      <c r="BJ52" s="115">
        <f>SCI!BI28</f>
        <v>2121878</v>
      </c>
      <c r="BK52" s="115">
        <f>SCI!BJ28</f>
        <v>2714358</v>
      </c>
      <c r="BL52" s="115">
        <f>SCI!BK28</f>
        <v>3444290</v>
      </c>
      <c r="BM52" s="115">
        <f>SCI!BL28</f>
        <v>4179331.15</v>
      </c>
      <c r="BN52" s="115">
        <f>SCI!BM28</f>
        <v>4997083.1500000004</v>
      </c>
      <c r="BO52" s="115">
        <f>SCI!BN28</f>
        <v>5615719.1500000004</v>
      </c>
      <c r="BP52" s="115">
        <f>SCI!BO28</f>
        <v>6119612.1500000004</v>
      </c>
      <c r="BQ52" s="115">
        <f>SCI!BP28</f>
        <v>6788103.1500000004</v>
      </c>
      <c r="BR52" s="115">
        <f>SCI!BQ28</f>
        <v>7304797.1500000004</v>
      </c>
      <c r="BS52" s="115">
        <f>SCI!BR28</f>
        <v>5209592.1500000004</v>
      </c>
      <c r="BT52" s="115">
        <f>SCI!BS28</f>
        <v>6986772</v>
      </c>
      <c r="BU52" s="115">
        <f>SCI!BT28</f>
        <v>303475</v>
      </c>
      <c r="BV52" s="115">
        <f>SCI!BU28</f>
        <v>1917933</v>
      </c>
      <c r="BW52" s="115">
        <f>SCI!BV28</f>
        <v>2226648</v>
      </c>
      <c r="BX52" s="115">
        <f>SCI!BW28</f>
        <v>2516935</v>
      </c>
      <c r="BY52" s="115">
        <f>SCI!BX28</f>
        <v>3254481</v>
      </c>
      <c r="BZ52" s="115">
        <f>SCI!BY28</f>
        <v>4128601.17</v>
      </c>
    </row>
    <row r="53" spans="1:78">
      <c r="A53" s="34">
        <v>10.6</v>
      </c>
      <c r="B53" s="52" t="s">
        <v>160</v>
      </c>
      <c r="C53" s="115">
        <f>SCI!B25</f>
        <v>2080088</v>
      </c>
      <c r="D53" s="115">
        <f>SCI!C25</f>
        <v>2435008</v>
      </c>
      <c r="E53" s="115">
        <f>SCI!D25</f>
        <v>2196237.5699999998</v>
      </c>
      <c r="F53" s="115">
        <f>SCI!E25</f>
        <v>77350.2</v>
      </c>
      <c r="G53" s="115">
        <f>SCI!F25</f>
        <v>442903.98</v>
      </c>
      <c r="H53" s="115">
        <f>SCI!G25</f>
        <v>497268.95</v>
      </c>
      <c r="I53" s="115">
        <f>SCI!H25</f>
        <v>573878.63</v>
      </c>
      <c r="J53" s="115">
        <f>SCI!I25</f>
        <v>724026.09</v>
      </c>
      <c r="K53" s="115">
        <f>SCI!J25</f>
        <v>876615.76</v>
      </c>
      <c r="L53" s="115">
        <f>SCI!K25</f>
        <v>1050745.1200000001</v>
      </c>
      <c r="M53" s="115">
        <f>SCI!L25</f>
        <v>1253139.6100000001</v>
      </c>
      <c r="N53" s="115">
        <f>SCI!M25</f>
        <v>1277639.6100000001</v>
      </c>
      <c r="O53" s="115">
        <f>SCI!N25</f>
        <v>1859655.69</v>
      </c>
      <c r="P53" s="115">
        <f>SCI!O25</f>
        <v>1955338.1</v>
      </c>
      <c r="Q53" s="115">
        <f>SCI!P25</f>
        <v>2327340</v>
      </c>
      <c r="R53" s="115">
        <f>SCI!Q25</f>
        <v>2165084</v>
      </c>
      <c r="S53" s="115">
        <f>SCI!R25</f>
        <v>2816087.74</v>
      </c>
      <c r="T53" s="290">
        <f>SCI!S25</f>
        <v>2801808</v>
      </c>
      <c r="U53" s="115">
        <f>SCI!T25</f>
        <v>3228177.74</v>
      </c>
      <c r="V53" s="115">
        <f>SCI!U25</f>
        <v>3269867.74</v>
      </c>
      <c r="W53" s="115">
        <f>SCI!V25</f>
        <v>3905059.02</v>
      </c>
      <c r="X53" s="115">
        <f>SCI!W25</f>
        <v>1358405</v>
      </c>
      <c r="Y53" s="115">
        <f>SCI!X25</f>
        <v>1634544.8</v>
      </c>
      <c r="Z53" s="115">
        <f>SCI!Y25</f>
        <v>1777427.99</v>
      </c>
      <c r="AA53" s="115">
        <f>SCI!Z25</f>
        <v>2170312.06</v>
      </c>
      <c r="AB53" s="115">
        <f>SCI!AA25</f>
        <v>2465588.9</v>
      </c>
      <c r="AC53" s="115">
        <f>SCI!AB25</f>
        <v>2572579.42</v>
      </c>
      <c r="AD53" s="115">
        <f>SCI!AC25</f>
        <v>2649847.66</v>
      </c>
      <c r="AE53" s="115">
        <f>SCI!AD25</f>
        <v>3265242.74</v>
      </c>
      <c r="AF53" s="115">
        <f>SCI!AE25</f>
        <v>3344878.18</v>
      </c>
      <c r="AG53" s="115">
        <f>SCI!AF25</f>
        <v>3641078</v>
      </c>
      <c r="AH53" s="115">
        <f>SCI!AG25</f>
        <v>3547637.5</v>
      </c>
      <c r="AI53" s="115">
        <f>SCI!AH25</f>
        <v>789237.32</v>
      </c>
      <c r="AJ53" s="115">
        <f>SCI!AI25</f>
        <v>1163637.32</v>
      </c>
      <c r="AK53" s="115">
        <f>SCI!AJ25</f>
        <v>1381037.32</v>
      </c>
      <c r="AL53" s="115">
        <f>SCI!AK25</f>
        <v>1565737.32</v>
      </c>
      <c r="AM53" s="115">
        <f>SCI!AL25</f>
        <v>1811737.32</v>
      </c>
      <c r="AN53" s="115">
        <f>SCI!AM25</f>
        <v>0</v>
      </c>
      <c r="AO53" s="115">
        <f>SCI!AN25</f>
        <v>2203347.3199999998</v>
      </c>
      <c r="AP53" s="115">
        <f>SCI!AO25</f>
        <v>2413347.3199999998</v>
      </c>
      <c r="AQ53" s="115">
        <f>SCI!AP25</f>
        <v>2592347.3199999998</v>
      </c>
      <c r="AR53" s="115">
        <f>SCI!AQ25</f>
        <v>2939069.32</v>
      </c>
      <c r="AS53" s="115">
        <f>SCI!AR25</f>
        <v>3439219.32</v>
      </c>
      <c r="AT53" s="115">
        <f>SCI!AS25</f>
        <v>3439219</v>
      </c>
      <c r="AU53" s="115">
        <f>SCI!AT25</f>
        <v>3260146.16</v>
      </c>
      <c r="AV53" s="115">
        <f>SCI!AU25</f>
        <v>417406.45</v>
      </c>
      <c r="AW53" s="115">
        <f>SCI!AV25</f>
        <v>951626.45</v>
      </c>
      <c r="AX53" s="115">
        <f>SCI!AW25</f>
        <v>1155526.45</v>
      </c>
      <c r="AY53" s="115">
        <f>SCI!AX25</f>
        <v>1352126.45</v>
      </c>
      <c r="AZ53" s="115">
        <f>SCI!AY25</f>
        <v>1551066.45</v>
      </c>
      <c r="BA53" s="115">
        <f>SCI!AZ25</f>
        <v>1733066.45</v>
      </c>
      <c r="BB53" s="115">
        <f>SCI!BA25</f>
        <v>1852266.45</v>
      </c>
      <c r="BC53" s="115">
        <f>SCI!BB25</f>
        <v>1937960.13</v>
      </c>
      <c r="BD53" s="115">
        <f>SCI!BC25</f>
        <v>2105170.13</v>
      </c>
      <c r="BE53" s="115">
        <f>SCI!BD25</f>
        <v>2329200.13</v>
      </c>
      <c r="BF53" s="115">
        <f>SCI!BE25</f>
        <v>3197560.13</v>
      </c>
      <c r="BG53" s="115">
        <f>SCI!BF25</f>
        <v>3256615</v>
      </c>
      <c r="BH53" s="115">
        <f>SCI!BG25</f>
        <v>244910</v>
      </c>
      <c r="BI53" s="115">
        <f>SCI!BH25</f>
        <v>764900</v>
      </c>
      <c r="BJ53" s="115">
        <f>SCI!BI25</f>
        <v>1549946.2</v>
      </c>
      <c r="BK53" s="115">
        <f>SCI!BJ25</f>
        <v>1736687.2</v>
      </c>
      <c r="BL53" s="115">
        <f>SCI!BK25</f>
        <v>2063347.2</v>
      </c>
      <c r="BM53" s="115">
        <f>SCI!BL25</f>
        <v>2163117.2000000002</v>
      </c>
      <c r="BN53" s="115">
        <f>SCI!BM25</f>
        <v>2323097.2000000002</v>
      </c>
      <c r="BO53" s="115">
        <f>SCI!BN25</f>
        <v>2440407.2000000002</v>
      </c>
      <c r="BP53" s="115">
        <f>SCI!BO25</f>
        <v>2571627.2000000002</v>
      </c>
      <c r="BQ53" s="115">
        <f>SCI!BP25</f>
        <v>2769434.2</v>
      </c>
      <c r="BR53" s="115">
        <f>SCI!BQ25</f>
        <v>2923497.2</v>
      </c>
      <c r="BS53" s="115">
        <f>SCI!BR25</f>
        <v>3732967.2</v>
      </c>
      <c r="BT53" s="115">
        <f>SCI!BS25</f>
        <v>4045497</v>
      </c>
      <c r="BU53" s="115">
        <f>SCI!BT25</f>
        <v>186910</v>
      </c>
      <c r="BV53" s="115">
        <f>SCI!BU25</f>
        <v>415940</v>
      </c>
      <c r="BW53" s="115">
        <f>SCI!BV25</f>
        <v>1761610</v>
      </c>
      <c r="BX53" s="115">
        <f>SCI!BW25</f>
        <v>1801320</v>
      </c>
      <c r="BY53" s="115">
        <f>SCI!BX25</f>
        <v>2077785</v>
      </c>
      <c r="BZ53" s="115">
        <f>SCI!BY25</f>
        <v>2498185</v>
      </c>
    </row>
    <row r="54" spans="1:78">
      <c r="A54" s="34"/>
      <c r="B54" s="53" t="s">
        <v>161</v>
      </c>
      <c r="C54" s="126"/>
      <c r="D54" s="126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29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  <c r="BC54" s="126"/>
      <c r="BD54" s="126"/>
      <c r="BE54" s="126"/>
      <c r="BF54" s="126"/>
      <c r="BG54" s="126"/>
    </row>
    <row r="56" spans="1:78">
      <c r="B56" s="26" t="s">
        <v>162</v>
      </c>
      <c r="C56" s="54" t="e">
        <f>SCI!B37</f>
        <v>#REF!</v>
      </c>
      <c r="D56" s="54" t="e">
        <f>SCI!C37</f>
        <v>#REF!</v>
      </c>
      <c r="E56" s="54" t="e">
        <f>SCI!D37</f>
        <v>#REF!</v>
      </c>
      <c r="F56" s="54" t="e">
        <f>SCI!E37</f>
        <v>#REF!</v>
      </c>
      <c r="G56" s="54" t="e">
        <f>SCI!F37</f>
        <v>#REF!</v>
      </c>
      <c r="H56" s="54" t="e">
        <f>SCI!G37</f>
        <v>#REF!</v>
      </c>
      <c r="I56" s="54" t="e">
        <f>SCI!H37</f>
        <v>#REF!</v>
      </c>
      <c r="J56" s="54" t="e">
        <f>SCI!I37</f>
        <v>#REF!</v>
      </c>
      <c r="K56" s="54" t="e">
        <f>SCI!J37</f>
        <v>#REF!</v>
      </c>
      <c r="L56" s="54" t="e">
        <f>SCI!K37</f>
        <v>#REF!</v>
      </c>
      <c r="M56" s="54"/>
      <c r="N56" s="54" t="e">
        <f>SCI!M37</f>
        <v>#REF!</v>
      </c>
      <c r="O56" s="54" t="e">
        <f>SCI!N37</f>
        <v>#REF!</v>
      </c>
      <c r="P56" s="54" t="e">
        <f>SCI!O37</f>
        <v>#REF!</v>
      </c>
      <c r="Q56" s="54" t="e">
        <f>SCI!P37</f>
        <v>#REF!</v>
      </c>
      <c r="R56" s="54">
        <f>SCI!Q37</f>
        <v>11621260.120000001</v>
      </c>
      <c r="S56" s="54">
        <f>SCI!R37</f>
        <v>72272510.00999999</v>
      </c>
      <c r="T56" s="297">
        <f>SCI!S37</f>
        <v>15782698</v>
      </c>
      <c r="U56" s="54">
        <f>SCI!T37</f>
        <v>77120603.86999999</v>
      </c>
      <c r="V56" s="54">
        <f>SCI!U37</f>
        <v>84603767.73999998</v>
      </c>
      <c r="W56" s="54">
        <f>SCI!V37</f>
        <v>88197508.860000014</v>
      </c>
      <c r="X56" s="54">
        <f>SCI!W37</f>
        <v>22480726.41</v>
      </c>
      <c r="Y56" s="54">
        <f>SCI!X37</f>
        <v>24619680.760000002</v>
      </c>
      <c r="Z56" s="54">
        <f>SCI!Y37</f>
        <v>33683442.150000006</v>
      </c>
      <c r="AA56" s="54">
        <f>SCI!Z37</f>
        <v>42034353.100000001</v>
      </c>
      <c r="AB56" s="54">
        <f>SCI!AA37</f>
        <v>49765271.170000009</v>
      </c>
      <c r="AC56" s="54">
        <f>SCI!AB37</f>
        <v>50312065.200000003</v>
      </c>
      <c r="AD56" s="54">
        <f>SCI!AC37</f>
        <v>58030458.620000005</v>
      </c>
      <c r="AE56" s="54">
        <f>SCI!AD37</f>
        <v>64332637.200000003</v>
      </c>
      <c r="AF56" s="54">
        <f>SCI!AE37</f>
        <v>73166962.5</v>
      </c>
      <c r="AG56" s="54">
        <f>SCI!AF37</f>
        <v>13984730</v>
      </c>
      <c r="AH56" s="54">
        <f>SCI!AG37</f>
        <v>78559516.969999999</v>
      </c>
      <c r="AI56" s="54">
        <f>SCI!AH37</f>
        <v>11128672.049999999</v>
      </c>
      <c r="AJ56" s="54">
        <f>SCI!AI37</f>
        <v>15764299.050000001</v>
      </c>
      <c r="AK56" s="54">
        <f>SCI!AJ37</f>
        <v>26360843.779999997</v>
      </c>
      <c r="AL56" s="54">
        <f>SCI!AK37</f>
        <v>32722048.899999999</v>
      </c>
      <c r="AM56" s="54">
        <f>SCI!AL37</f>
        <v>39127312.479999989</v>
      </c>
      <c r="AN56" s="54">
        <f>SCI!AM37</f>
        <v>0</v>
      </c>
      <c r="AO56" s="54">
        <f>SCI!AN37</f>
        <v>51418154.670000002</v>
      </c>
      <c r="AP56" s="54">
        <f>SCI!AO37</f>
        <v>54624460.060000002</v>
      </c>
      <c r="AQ56" s="54">
        <f>SCI!AP37</f>
        <v>63215724.319999993</v>
      </c>
      <c r="AR56" s="54">
        <f>SCI!AQ37</f>
        <v>69270033.590000004</v>
      </c>
      <c r="AS56" s="54">
        <f>SCI!AR37</f>
        <v>76272050.120000005</v>
      </c>
      <c r="AT56" s="54">
        <f>SCI!AS37</f>
        <v>7939035</v>
      </c>
      <c r="AU56" s="54">
        <f>SCI!AT37</f>
        <v>16036331.679999996</v>
      </c>
      <c r="AV56" s="54">
        <f>SCI!AU37</f>
        <v>-240990.62000000058</v>
      </c>
      <c r="AW56" s="54">
        <f>SCI!AV37</f>
        <v>2261584.8099999987</v>
      </c>
      <c r="AX56" s="54">
        <f>SCI!AW37</f>
        <v>10655441.110000005</v>
      </c>
      <c r="AY56" s="54">
        <f>SCI!AX37</f>
        <v>13382669.859999999</v>
      </c>
      <c r="AZ56" s="54">
        <f>SCI!AY37</f>
        <v>14655498.119999997</v>
      </c>
      <c r="BA56" s="54">
        <f>SCI!AZ37</f>
        <v>16476533.629999995</v>
      </c>
      <c r="BB56" s="54">
        <f>SCI!BA37</f>
        <v>17926787.75</v>
      </c>
      <c r="BC56" s="54">
        <f>SCI!BB37</f>
        <v>20469576.030000001</v>
      </c>
      <c r="BD56" s="54">
        <f>SCI!BC37</f>
        <v>22735378.93999999</v>
      </c>
      <c r="BE56" s="54">
        <f>SCI!BD37</f>
        <v>25436227.27</v>
      </c>
      <c r="BF56" s="54">
        <f>SCI!BE37</f>
        <v>9503152.2300000042</v>
      </c>
      <c r="BG56" s="54">
        <f>SCI!BF37</f>
        <v>13501873</v>
      </c>
      <c r="BH56" s="54">
        <f>SCI!BG37</f>
        <v>2216663.13</v>
      </c>
      <c r="BI56" s="54">
        <f>SCI!BH37</f>
        <v>3243138.4699999997</v>
      </c>
      <c r="BJ56" s="54">
        <f>SCI!BI37</f>
        <v>4275162.9799999995</v>
      </c>
      <c r="BK56" s="54">
        <f>SCI!BJ37</f>
        <v>7441043.8699999992</v>
      </c>
      <c r="BL56" s="54">
        <f>SCI!BK37</f>
        <v>7530931.049999997</v>
      </c>
      <c r="BM56" s="54">
        <f>SCI!BL37</f>
        <v>17778742.329999994</v>
      </c>
      <c r="BN56" s="54">
        <f>SCI!BM37</f>
        <v>19237482.659999996</v>
      </c>
      <c r="BO56" s="54">
        <f>SCI!BN37</f>
        <v>22058237.879999995</v>
      </c>
      <c r="BP56" s="54">
        <f>SCI!BO37</f>
        <v>25079033.709999993</v>
      </c>
      <c r="BQ56" s="54">
        <f>SCI!BP37</f>
        <v>26428609.089999996</v>
      </c>
      <c r="BR56" s="54">
        <f>SCI!BQ37</f>
        <v>29747360.549999997</v>
      </c>
      <c r="BS56" s="54">
        <f>SCI!BR37</f>
        <v>34577964.579999998</v>
      </c>
      <c r="BT56" s="54">
        <f>SCI!BS37</f>
        <v>21460929</v>
      </c>
      <c r="BU56" s="54">
        <f>SCI!BT37</f>
        <v>-3967314.28</v>
      </c>
      <c r="BV56" s="54">
        <f>SCI!BU37</f>
        <v>-2339463.120000001</v>
      </c>
      <c r="BW56" s="54">
        <f>SCI!BV37</f>
        <v>-254798.18000000063</v>
      </c>
      <c r="BX56" s="54">
        <f>SCI!BW37</f>
        <v>3765038.5700000003</v>
      </c>
      <c r="BY56" s="54">
        <f>SCI!BX37</f>
        <v>11701804.270000001</v>
      </c>
      <c r="BZ56" s="54">
        <f>SCI!BY37</f>
        <v>24942394.459999986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3:P80"/>
  <sheetViews>
    <sheetView topLeftCell="F16" workbookViewId="0">
      <selection activeCell="P4" sqref="P4:P7"/>
    </sheetView>
  </sheetViews>
  <sheetFormatPr defaultRowHeight="12.75"/>
  <cols>
    <col min="1" max="2" width="9.140625" style="154"/>
    <col min="3" max="3" width="5.7109375" style="154" bestFit="1" customWidth="1"/>
    <col min="4" max="4" width="18.7109375" style="154" customWidth="1"/>
    <col min="5" max="5" width="12.140625" style="154" bestFit="1" customWidth="1"/>
    <col min="6" max="6" width="21.42578125" style="154" bestFit="1" customWidth="1"/>
    <col min="7" max="7" width="17" style="154" customWidth="1"/>
    <col min="8" max="8" width="22.42578125" style="154" bestFit="1" customWidth="1"/>
    <col min="9" max="10" width="9.140625" style="154"/>
    <col min="11" max="11" width="4.140625" style="181" bestFit="1" customWidth="1"/>
    <col min="12" max="12" width="20.7109375" style="181" customWidth="1"/>
    <col min="13" max="13" width="12" style="181" bestFit="1" customWidth="1"/>
    <col min="14" max="14" width="21.140625" style="154" customWidth="1"/>
    <col min="15" max="15" width="11.28515625" style="154" bestFit="1" customWidth="1"/>
    <col min="16" max="16" width="24.7109375" style="154" customWidth="1"/>
    <col min="17" max="16384" width="9.140625" style="154"/>
  </cols>
  <sheetData>
    <row r="3" spans="3:16" ht="14.25">
      <c r="C3" s="155"/>
      <c r="D3" s="454" t="s">
        <v>163</v>
      </c>
      <c r="E3" s="454"/>
      <c r="F3" s="454"/>
      <c r="G3" s="454"/>
      <c r="H3" s="454"/>
      <c r="K3" s="155"/>
      <c r="L3" s="454" t="s">
        <v>163</v>
      </c>
      <c r="M3" s="454"/>
      <c r="N3" s="454"/>
      <c r="O3" s="454"/>
      <c r="P3" s="454"/>
    </row>
    <row r="4" spans="3:16" ht="28.5">
      <c r="C4" s="155"/>
      <c r="D4" s="156" t="s">
        <v>164</v>
      </c>
      <c r="E4" s="155"/>
      <c r="G4" s="155"/>
      <c r="H4" s="157"/>
      <c r="K4" s="155"/>
      <c r="L4" s="156" t="s">
        <v>164</v>
      </c>
      <c r="M4" s="155"/>
      <c r="O4" s="155"/>
      <c r="P4" s="157"/>
    </row>
    <row r="5" spans="3:16" ht="14.25">
      <c r="C5" s="155"/>
      <c r="D5" s="156" t="s">
        <v>165</v>
      </c>
      <c r="E5" s="155"/>
      <c r="F5" s="155"/>
      <c r="G5" s="155"/>
      <c r="H5" s="158"/>
      <c r="K5" s="155"/>
      <c r="L5" s="156" t="s">
        <v>165</v>
      </c>
      <c r="M5" s="155"/>
      <c r="N5" s="155"/>
      <c r="O5" s="155"/>
      <c r="P5" s="158"/>
    </row>
    <row r="6" spans="3:16" ht="14.25">
      <c r="C6" s="155"/>
      <c r="D6" s="156" t="s">
        <v>166</v>
      </c>
      <c r="E6" s="155"/>
      <c r="F6" s="155"/>
      <c r="G6" s="159"/>
      <c r="H6" s="160"/>
      <c r="K6" s="155"/>
      <c r="L6" s="156" t="s">
        <v>166</v>
      </c>
      <c r="M6" s="155"/>
      <c r="N6" s="155"/>
      <c r="O6" s="159"/>
      <c r="P6" s="160"/>
    </row>
    <row r="7" spans="3:16" ht="14.25">
      <c r="C7" s="155"/>
      <c r="D7" s="156" t="s">
        <v>167</v>
      </c>
      <c r="E7" s="155"/>
      <c r="F7" s="155"/>
      <c r="G7" s="159"/>
      <c r="H7" s="160"/>
      <c r="K7" s="155"/>
      <c r="L7" s="156" t="s">
        <v>167</v>
      </c>
      <c r="M7" s="155"/>
      <c r="N7" s="155"/>
      <c r="O7" s="159"/>
      <c r="P7" s="160"/>
    </row>
    <row r="8" spans="3:16" ht="14.25">
      <c r="C8" s="155"/>
      <c r="D8" s="455" t="s">
        <v>168</v>
      </c>
      <c r="E8" s="455"/>
      <c r="F8" s="455"/>
      <c r="G8" s="455"/>
      <c r="H8" s="456"/>
      <c r="K8" s="155"/>
      <c r="L8" s="455" t="s">
        <v>168</v>
      </c>
      <c r="M8" s="455"/>
      <c r="N8" s="455"/>
      <c r="O8" s="455"/>
      <c r="P8" s="456"/>
    </row>
    <row r="9" spans="3:16" ht="14.25">
      <c r="C9" s="155"/>
      <c r="D9" s="155"/>
      <c r="E9" s="156" t="s">
        <v>169</v>
      </c>
      <c r="F9" s="156" t="s">
        <v>170</v>
      </c>
      <c r="G9" s="156" t="s">
        <v>171</v>
      </c>
      <c r="H9" s="156" t="s">
        <v>172</v>
      </c>
      <c r="K9" s="155"/>
      <c r="L9" s="155"/>
      <c r="M9" s="156" t="s">
        <v>169</v>
      </c>
      <c r="N9" s="156" t="s">
        <v>170</v>
      </c>
      <c r="O9" s="156" t="s">
        <v>171</v>
      </c>
      <c r="P9" s="156" t="s">
        <v>172</v>
      </c>
    </row>
    <row r="10" spans="3:16" ht="57">
      <c r="C10" s="155" t="s">
        <v>173</v>
      </c>
      <c r="D10" s="156" t="s">
        <v>174</v>
      </c>
      <c r="E10" s="156" t="s">
        <v>175</v>
      </c>
      <c r="F10" s="156" t="s">
        <v>176</v>
      </c>
      <c r="G10" s="156" t="s">
        <v>177</v>
      </c>
      <c r="H10" s="156" t="s">
        <v>178</v>
      </c>
      <c r="K10" s="155" t="s">
        <v>173</v>
      </c>
      <c r="L10" s="156" t="s">
        <v>174</v>
      </c>
      <c r="M10" s="156" t="s">
        <v>175</v>
      </c>
      <c r="N10" s="156" t="s">
        <v>176</v>
      </c>
      <c r="O10" s="156" t="s">
        <v>177</v>
      </c>
      <c r="P10" s="156" t="s">
        <v>178</v>
      </c>
    </row>
    <row r="11" spans="3:16" ht="14.25">
      <c r="C11" s="155">
        <v>1</v>
      </c>
      <c r="D11" s="155" t="s">
        <v>179</v>
      </c>
      <c r="E11" s="161"/>
      <c r="F11" s="182"/>
      <c r="G11" s="183"/>
      <c r="H11" s="184"/>
      <c r="K11" s="155">
        <v>1</v>
      </c>
      <c r="L11" s="155" t="s">
        <v>179</v>
      </c>
      <c r="M11" s="161"/>
      <c r="N11" s="182"/>
      <c r="O11" s="183"/>
      <c r="P11" s="184"/>
    </row>
    <row r="12" spans="3:16" ht="14.25">
      <c r="C12" s="155">
        <v>2</v>
      </c>
      <c r="D12" s="155" t="s">
        <v>180</v>
      </c>
      <c r="E12" s="161"/>
      <c r="F12" s="182"/>
      <c r="G12" s="183"/>
      <c r="H12" s="184"/>
      <c r="K12" s="155">
        <v>2</v>
      </c>
      <c r="L12" s="155" t="s">
        <v>180</v>
      </c>
      <c r="M12" s="161"/>
      <c r="N12" s="182"/>
      <c r="O12" s="183"/>
      <c r="P12" s="184"/>
    </row>
    <row r="13" spans="3:16" ht="14.25">
      <c r="C13" s="155">
        <v>3</v>
      </c>
      <c r="D13" s="155" t="s">
        <v>181</v>
      </c>
      <c r="E13" s="161"/>
      <c r="F13" s="182"/>
      <c r="G13" s="183"/>
      <c r="H13" s="184"/>
      <c r="K13" s="155">
        <v>3</v>
      </c>
      <c r="L13" s="155" t="s">
        <v>181</v>
      </c>
      <c r="M13" s="161"/>
      <c r="N13" s="182"/>
      <c r="O13" s="183"/>
      <c r="P13" s="184"/>
    </row>
    <row r="14" spans="3:16" ht="14.25">
      <c r="C14" s="155">
        <v>4</v>
      </c>
      <c r="D14" s="155" t="s">
        <v>182</v>
      </c>
      <c r="E14" s="161"/>
      <c r="F14" s="182"/>
      <c r="G14" s="183"/>
      <c r="H14" s="184"/>
      <c r="K14" s="155">
        <v>4</v>
      </c>
      <c r="L14" s="155" t="s">
        <v>182</v>
      </c>
      <c r="M14" s="161"/>
      <c r="N14" s="182"/>
      <c r="O14" s="183"/>
      <c r="P14" s="184"/>
    </row>
    <row r="15" spans="3:16" ht="14.25">
      <c r="C15" s="155">
        <v>5</v>
      </c>
      <c r="D15" s="155" t="s">
        <v>183</v>
      </c>
      <c r="E15" s="161"/>
      <c r="F15" s="182"/>
      <c r="G15" s="183"/>
      <c r="H15" s="184"/>
      <c r="K15" s="155">
        <v>5</v>
      </c>
      <c r="L15" s="155" t="s">
        <v>183</v>
      </c>
      <c r="M15" s="161"/>
      <c r="N15" s="182"/>
      <c r="O15" s="183"/>
      <c r="P15" s="184"/>
    </row>
    <row r="16" spans="3:16" ht="14.25">
      <c r="C16" s="155"/>
      <c r="D16" s="156" t="s">
        <v>184</v>
      </c>
      <c r="E16" s="156"/>
      <c r="F16" s="185"/>
      <c r="G16" s="185"/>
      <c r="H16" s="185"/>
      <c r="K16" s="155"/>
      <c r="L16" s="156" t="s">
        <v>184</v>
      </c>
      <c r="M16" s="156">
        <f>SUM(M11:M15)</f>
        <v>0</v>
      </c>
      <c r="N16" s="185">
        <f>SUM(N11:N15)</f>
        <v>0</v>
      </c>
      <c r="O16" s="185"/>
      <c r="P16" s="185">
        <f>SUM(P11:P15)</f>
        <v>0</v>
      </c>
    </row>
    <row r="17" spans="3:16" ht="28.5">
      <c r="C17" s="155"/>
      <c r="D17" s="155" t="s">
        <v>185</v>
      </c>
      <c r="E17" s="161"/>
      <c r="F17" s="182"/>
      <c r="G17" s="182"/>
      <c r="H17" s="182"/>
      <c r="K17" s="155"/>
      <c r="L17" s="155" t="s">
        <v>185</v>
      </c>
      <c r="M17" s="161"/>
      <c r="N17" s="182"/>
      <c r="O17" s="182"/>
      <c r="P17" s="182"/>
    </row>
    <row r="18" spans="3:16" ht="14.25">
      <c r="C18" s="155">
        <v>1</v>
      </c>
      <c r="D18" s="155" t="s">
        <v>179</v>
      </c>
      <c r="E18" s="161"/>
      <c r="F18" s="182"/>
      <c r="G18" s="183"/>
      <c r="H18" s="184"/>
      <c r="K18" s="155">
        <v>1</v>
      </c>
      <c r="L18" s="155" t="s">
        <v>179</v>
      </c>
      <c r="M18" s="161">
        <v>0</v>
      </c>
      <c r="N18" s="182">
        <v>0</v>
      </c>
      <c r="O18" s="183">
        <v>0.01</v>
      </c>
      <c r="P18" s="184">
        <f>N18*O18</f>
        <v>0</v>
      </c>
    </row>
    <row r="19" spans="3:16" ht="14.25">
      <c r="C19" s="155">
        <v>2</v>
      </c>
      <c r="D19" s="155" t="s">
        <v>180</v>
      </c>
      <c r="E19" s="161"/>
      <c r="F19" s="182"/>
      <c r="G19" s="183"/>
      <c r="H19" s="184"/>
      <c r="K19" s="155">
        <v>2</v>
      </c>
      <c r="L19" s="155" t="s">
        <v>180</v>
      </c>
      <c r="M19" s="161">
        <v>0</v>
      </c>
      <c r="N19" s="182">
        <v>0</v>
      </c>
      <c r="O19" s="183">
        <v>0.05</v>
      </c>
      <c r="P19" s="184">
        <f>N19*O19</f>
        <v>0</v>
      </c>
    </row>
    <row r="20" spans="3:16" ht="14.25">
      <c r="C20" s="155">
        <v>3</v>
      </c>
      <c r="D20" s="155" t="s">
        <v>181</v>
      </c>
      <c r="E20" s="161"/>
      <c r="F20" s="182"/>
      <c r="G20" s="183"/>
      <c r="H20" s="184"/>
      <c r="K20" s="155">
        <v>3</v>
      </c>
      <c r="L20" s="155" t="s">
        <v>181</v>
      </c>
      <c r="M20" s="161">
        <v>0</v>
      </c>
      <c r="N20" s="182">
        <v>0</v>
      </c>
      <c r="O20" s="183">
        <v>0.25</v>
      </c>
      <c r="P20" s="184">
        <f>N20*O20</f>
        <v>0</v>
      </c>
    </row>
    <row r="21" spans="3:16" ht="14.25">
      <c r="C21" s="155">
        <v>4</v>
      </c>
      <c r="D21" s="155" t="s">
        <v>182</v>
      </c>
      <c r="E21" s="161"/>
      <c r="F21" s="182"/>
      <c r="G21" s="183"/>
      <c r="H21" s="184"/>
      <c r="K21" s="155">
        <v>4</v>
      </c>
      <c r="L21" s="155" t="s">
        <v>182</v>
      </c>
      <c r="M21" s="161">
        <v>0</v>
      </c>
      <c r="N21" s="182">
        <v>0</v>
      </c>
      <c r="O21" s="183">
        <v>0.5</v>
      </c>
      <c r="P21" s="184">
        <f>N21*O21</f>
        <v>0</v>
      </c>
    </row>
    <row r="22" spans="3:16" ht="14.25">
      <c r="C22" s="155">
        <v>5</v>
      </c>
      <c r="D22" s="155" t="s">
        <v>183</v>
      </c>
      <c r="E22" s="161"/>
      <c r="F22" s="182"/>
      <c r="G22" s="183"/>
      <c r="H22" s="184"/>
      <c r="K22" s="155">
        <v>5</v>
      </c>
      <c r="L22" s="155" t="s">
        <v>183</v>
      </c>
      <c r="M22" s="161">
        <v>0</v>
      </c>
      <c r="N22" s="182">
        <v>0</v>
      </c>
      <c r="O22" s="183">
        <v>1</v>
      </c>
      <c r="P22" s="184">
        <f>N22*O22</f>
        <v>0</v>
      </c>
    </row>
    <row r="23" spans="3:16" ht="14.25">
      <c r="C23" s="155"/>
      <c r="D23" s="156" t="s">
        <v>184</v>
      </c>
      <c r="E23" s="156">
        <f>SUM(E17:E22)</f>
        <v>0</v>
      </c>
      <c r="F23" s="185">
        <f>SUM(F17:F22)</f>
        <v>0</v>
      </c>
      <c r="G23" s="185"/>
      <c r="H23" s="185">
        <f>SUM(H17:H22)</f>
        <v>0</v>
      </c>
      <c r="K23" s="155"/>
      <c r="L23" s="156" t="s">
        <v>184</v>
      </c>
      <c r="M23" s="156">
        <f>SUM(M17:M22)</f>
        <v>0</v>
      </c>
      <c r="N23" s="185">
        <f>SUM(N17:N22)</f>
        <v>0</v>
      </c>
      <c r="O23" s="185"/>
      <c r="P23" s="185">
        <f>SUM(P17:P22)</f>
        <v>0</v>
      </c>
    </row>
    <row r="24" spans="3:16" ht="14.25">
      <c r="C24" s="155"/>
      <c r="D24" s="156" t="s">
        <v>186</v>
      </c>
      <c r="E24" s="156">
        <f>E16+E23</f>
        <v>0</v>
      </c>
      <c r="F24" s="185">
        <f>F16+F23</f>
        <v>0</v>
      </c>
      <c r="G24" s="185"/>
      <c r="H24" s="185">
        <f>H16+H23</f>
        <v>0</v>
      </c>
      <c r="K24" s="155"/>
      <c r="L24" s="156" t="s">
        <v>186</v>
      </c>
      <c r="M24" s="156">
        <f>M16+M23</f>
        <v>0</v>
      </c>
      <c r="N24" s="185">
        <f>N16+N23</f>
        <v>0</v>
      </c>
      <c r="O24" s="185"/>
      <c r="P24" s="185">
        <f>P16+P23</f>
        <v>0</v>
      </c>
    </row>
    <row r="26" spans="3:16">
      <c r="F26" s="220">
        <f>F13+F14+F15</f>
        <v>0</v>
      </c>
      <c r="N26" s="220">
        <f>N13+N14+N15</f>
        <v>0</v>
      </c>
    </row>
    <row r="27" spans="3:16">
      <c r="F27" s="162" t="e">
        <f>F26/F24</f>
        <v>#DIV/0!</v>
      </c>
      <c r="N27" s="154" t="e">
        <f>N26/N24</f>
        <v>#DIV/0!</v>
      </c>
    </row>
    <row r="30" spans="3:16" ht="14.25">
      <c r="C30" s="155"/>
      <c r="D30" s="454" t="s">
        <v>163</v>
      </c>
      <c r="E30" s="454"/>
      <c r="F30" s="454"/>
      <c r="G30" s="454"/>
      <c r="H30" s="454"/>
    </row>
    <row r="31" spans="3:16" ht="28.5">
      <c r="C31" s="155"/>
      <c r="D31" s="156" t="s">
        <v>164</v>
      </c>
      <c r="E31" s="155"/>
      <c r="G31" s="155"/>
      <c r="H31" s="157"/>
    </row>
    <row r="32" spans="3:16" ht="14.25">
      <c r="C32" s="155"/>
      <c r="D32" s="156" t="s">
        <v>165</v>
      </c>
      <c r="E32" s="155"/>
      <c r="F32" s="155"/>
      <c r="G32" s="155"/>
      <c r="H32" s="158"/>
    </row>
    <row r="33" spans="3:8" ht="14.25">
      <c r="C33" s="155"/>
      <c r="D33" s="156" t="s">
        <v>166</v>
      </c>
      <c r="E33" s="155"/>
      <c r="F33" s="155"/>
      <c r="G33" s="159"/>
      <c r="H33" s="160"/>
    </row>
    <row r="34" spans="3:8" ht="14.25">
      <c r="C34" s="155"/>
      <c r="D34" s="156" t="s">
        <v>167</v>
      </c>
      <c r="E34" s="155"/>
      <c r="F34" s="155"/>
      <c r="G34" s="159"/>
      <c r="H34" s="160"/>
    </row>
    <row r="35" spans="3:8" ht="14.25">
      <c r="C35" s="155"/>
      <c r="D35" s="455" t="s">
        <v>168</v>
      </c>
      <c r="E35" s="455"/>
      <c r="F35" s="455"/>
      <c r="G35" s="455"/>
      <c r="H35" s="456"/>
    </row>
    <row r="36" spans="3:8" ht="14.25">
      <c r="C36" s="155"/>
      <c r="D36" s="155"/>
      <c r="E36" s="156" t="s">
        <v>169</v>
      </c>
      <c r="F36" s="156" t="s">
        <v>170</v>
      </c>
      <c r="G36" s="156" t="s">
        <v>171</v>
      </c>
      <c r="H36" s="156" t="s">
        <v>172</v>
      </c>
    </row>
    <row r="37" spans="3:8" ht="42.75">
      <c r="C37" s="155" t="s">
        <v>173</v>
      </c>
      <c r="D37" s="156" t="s">
        <v>174</v>
      </c>
      <c r="E37" s="156" t="s">
        <v>175</v>
      </c>
      <c r="F37" s="156" t="s">
        <v>176</v>
      </c>
      <c r="G37" s="156" t="s">
        <v>177</v>
      </c>
      <c r="H37" s="156" t="s">
        <v>178</v>
      </c>
    </row>
    <row r="38" spans="3:8" ht="14.25">
      <c r="C38" s="155">
        <v>1</v>
      </c>
      <c r="D38" s="155" t="s">
        <v>179</v>
      </c>
      <c r="E38" s="161"/>
      <c r="F38" s="182"/>
      <c r="G38" s="305"/>
      <c r="H38" s="306"/>
    </row>
    <row r="39" spans="3:8" ht="14.25">
      <c r="C39" s="155">
        <v>2</v>
      </c>
      <c r="D39" s="155" t="s">
        <v>180</v>
      </c>
      <c r="E39" s="161"/>
      <c r="F39" s="182"/>
      <c r="G39" s="305"/>
      <c r="H39" s="306"/>
    </row>
    <row r="40" spans="3:8" ht="14.25">
      <c r="C40" s="155">
        <v>3</v>
      </c>
      <c r="D40" s="155" t="s">
        <v>181</v>
      </c>
      <c r="E40" s="161"/>
      <c r="F40" s="182"/>
      <c r="G40" s="305"/>
      <c r="H40" s="306"/>
    </row>
    <row r="41" spans="3:8" ht="14.25">
      <c r="C41" s="155">
        <v>4</v>
      </c>
      <c r="D41" s="155" t="s">
        <v>182</v>
      </c>
      <c r="E41" s="161"/>
      <c r="F41" s="182"/>
      <c r="G41" s="305"/>
      <c r="H41" s="306"/>
    </row>
    <row r="42" spans="3:8" ht="14.25">
      <c r="C42" s="155">
        <v>5</v>
      </c>
      <c r="D42" s="155" t="s">
        <v>183</v>
      </c>
      <c r="E42" s="161"/>
      <c r="F42" s="182"/>
      <c r="G42" s="305"/>
      <c r="H42" s="306"/>
    </row>
    <row r="43" spans="3:8" ht="14.25">
      <c r="C43" s="155"/>
      <c r="D43" s="156" t="s">
        <v>184</v>
      </c>
      <c r="E43" s="156"/>
      <c r="F43" s="307"/>
      <c r="G43" s="307"/>
      <c r="H43" s="307"/>
    </row>
    <row r="44" spans="3:8" ht="28.5">
      <c r="C44" s="155"/>
      <c r="D44" s="155" t="s">
        <v>185</v>
      </c>
      <c r="E44" s="161"/>
      <c r="F44" s="182"/>
      <c r="G44" s="182"/>
      <c r="H44" s="182"/>
    </row>
    <row r="45" spans="3:8" ht="14.25">
      <c r="C45" s="155">
        <v>1</v>
      </c>
      <c r="D45" s="155" t="s">
        <v>179</v>
      </c>
      <c r="E45" s="161"/>
      <c r="F45" s="182"/>
      <c r="G45" s="305"/>
      <c r="H45" s="306">
        <f>F45*G45</f>
        <v>0</v>
      </c>
    </row>
    <row r="46" spans="3:8" ht="14.25">
      <c r="C46" s="155">
        <v>2</v>
      </c>
      <c r="D46" s="155" t="s">
        <v>180</v>
      </c>
      <c r="E46" s="161"/>
      <c r="F46" s="182"/>
      <c r="G46" s="305"/>
      <c r="H46" s="306">
        <f>F46*G46</f>
        <v>0</v>
      </c>
    </row>
    <row r="47" spans="3:8" ht="14.25">
      <c r="C47" s="155">
        <v>3</v>
      </c>
      <c r="D47" s="155" t="s">
        <v>181</v>
      </c>
      <c r="E47" s="161"/>
      <c r="F47" s="182"/>
      <c r="G47" s="305"/>
      <c r="H47" s="306">
        <f>F47*G47</f>
        <v>0</v>
      </c>
    </row>
    <row r="48" spans="3:8" ht="14.25">
      <c r="C48" s="155">
        <v>4</v>
      </c>
      <c r="D48" s="155" t="s">
        <v>182</v>
      </c>
      <c r="E48" s="161"/>
      <c r="F48" s="182"/>
      <c r="G48" s="305"/>
      <c r="H48" s="306">
        <f>F48*G48</f>
        <v>0</v>
      </c>
    </row>
    <row r="49" spans="3:8" ht="14.25">
      <c r="C49" s="155">
        <v>5</v>
      </c>
      <c r="D49" s="155" t="s">
        <v>183</v>
      </c>
      <c r="E49" s="161"/>
      <c r="F49" s="182"/>
      <c r="G49" s="305"/>
      <c r="H49" s="306">
        <f>F49*G49</f>
        <v>0</v>
      </c>
    </row>
    <row r="50" spans="3:8" ht="14.25">
      <c r="C50" s="155"/>
      <c r="D50" s="156" t="s">
        <v>184</v>
      </c>
      <c r="E50" s="156">
        <f>SUM(E44:E49)</f>
        <v>0</v>
      </c>
      <c r="F50" s="307">
        <f>SUM(F44:F49)</f>
        <v>0</v>
      </c>
      <c r="G50" s="307"/>
      <c r="H50" s="307">
        <f>SUM(H44:H49)</f>
        <v>0</v>
      </c>
    </row>
    <row r="51" spans="3:8" ht="14.25">
      <c r="C51" s="155"/>
      <c r="D51" s="156" t="s">
        <v>186</v>
      </c>
      <c r="E51" s="156">
        <f>E43+E50</f>
        <v>0</v>
      </c>
      <c r="F51" s="307">
        <f>F43+F50</f>
        <v>0</v>
      </c>
      <c r="G51" s="307"/>
      <c r="H51" s="307">
        <f>H43+H50</f>
        <v>0</v>
      </c>
    </row>
    <row r="52" spans="3:8">
      <c r="F52" s="181"/>
      <c r="G52" s="181"/>
      <c r="H52" s="181"/>
    </row>
    <row r="53" spans="3:8">
      <c r="F53" s="220">
        <f>F40+F41+F42</f>
        <v>0</v>
      </c>
    </row>
    <row r="54" spans="3:8">
      <c r="F54" s="162" t="e">
        <f>F53/F51</f>
        <v>#DIV/0!</v>
      </c>
    </row>
    <row r="56" spans="3:8" ht="14.25">
      <c r="C56" s="306"/>
      <c r="D56" s="451" t="s">
        <v>163</v>
      </c>
      <c r="E56" s="451"/>
      <c r="F56" s="451"/>
      <c r="G56" s="451"/>
      <c r="H56" s="451"/>
    </row>
    <row r="57" spans="3:8" ht="28.5">
      <c r="C57" s="306"/>
      <c r="D57" s="307" t="s">
        <v>164</v>
      </c>
      <c r="E57" s="306"/>
      <c r="F57" s="181"/>
      <c r="G57" s="306"/>
      <c r="H57" s="308"/>
    </row>
    <row r="58" spans="3:8" ht="14.25">
      <c r="C58" s="306"/>
      <c r="D58" s="307" t="s">
        <v>165</v>
      </c>
      <c r="E58" s="306"/>
      <c r="F58" s="306"/>
      <c r="G58" s="306"/>
      <c r="H58" s="309"/>
    </row>
    <row r="59" spans="3:8" ht="14.25">
      <c r="C59" s="306"/>
      <c r="D59" s="307" t="s">
        <v>166</v>
      </c>
      <c r="E59" s="306"/>
      <c r="F59" s="306"/>
      <c r="G59" s="310"/>
      <c r="H59" s="311"/>
    </row>
    <row r="60" spans="3:8" ht="14.25">
      <c r="C60" s="306"/>
      <c r="D60" s="307" t="s">
        <v>167</v>
      </c>
      <c r="E60" s="306"/>
      <c r="F60" s="306"/>
      <c r="G60" s="310"/>
      <c r="H60" s="311"/>
    </row>
    <row r="61" spans="3:8" ht="14.25">
      <c r="C61" s="306"/>
      <c r="D61" s="452" t="s">
        <v>168</v>
      </c>
      <c r="E61" s="452"/>
      <c r="F61" s="452"/>
      <c r="G61" s="452"/>
      <c r="H61" s="453"/>
    </row>
    <row r="62" spans="3:8" ht="14.25">
      <c r="C62" s="306"/>
      <c r="D62" s="306"/>
      <c r="E62" s="307" t="s">
        <v>169</v>
      </c>
      <c r="F62" s="307" t="s">
        <v>170</v>
      </c>
      <c r="G62" s="307" t="s">
        <v>171</v>
      </c>
      <c r="H62" s="307" t="s">
        <v>172</v>
      </c>
    </row>
    <row r="63" spans="3:8" ht="42.75">
      <c r="C63" s="306" t="s">
        <v>173</v>
      </c>
      <c r="D63" s="312" t="s">
        <v>174</v>
      </c>
      <c r="E63" s="307" t="s">
        <v>175</v>
      </c>
      <c r="F63" s="307" t="s">
        <v>176</v>
      </c>
      <c r="G63" s="307" t="s">
        <v>177</v>
      </c>
      <c r="H63" s="307" t="s">
        <v>178</v>
      </c>
    </row>
    <row r="64" spans="3:8" ht="14.25">
      <c r="C64" s="306">
        <v>1</v>
      </c>
      <c r="D64" s="306" t="s">
        <v>179</v>
      </c>
      <c r="E64" s="182"/>
      <c r="F64" s="182"/>
      <c r="G64" s="183"/>
      <c r="H64" s="184"/>
    </row>
    <row r="65" spans="3:8" ht="14.25">
      <c r="C65" s="306">
        <v>2</v>
      </c>
      <c r="D65" s="306" t="s">
        <v>180</v>
      </c>
      <c r="E65" s="182"/>
      <c r="F65" s="182"/>
      <c r="G65" s="183"/>
      <c r="H65" s="184"/>
    </row>
    <row r="66" spans="3:8" ht="14.25">
      <c r="C66" s="306">
        <v>3</v>
      </c>
      <c r="D66" s="306" t="s">
        <v>181</v>
      </c>
      <c r="E66" s="182"/>
      <c r="F66" s="182"/>
      <c r="G66" s="183"/>
      <c r="H66" s="184"/>
    </row>
    <row r="67" spans="3:8" ht="14.25">
      <c r="C67" s="306">
        <v>4</v>
      </c>
      <c r="D67" s="306" t="s">
        <v>182</v>
      </c>
      <c r="E67" s="182"/>
      <c r="F67" s="182"/>
      <c r="G67" s="183"/>
      <c r="H67" s="184"/>
    </row>
    <row r="68" spans="3:8" ht="14.25">
      <c r="C68" s="306">
        <v>5</v>
      </c>
      <c r="D68" s="306" t="s">
        <v>183</v>
      </c>
      <c r="E68" s="182"/>
      <c r="F68" s="182"/>
      <c r="G68" s="183"/>
      <c r="H68" s="184"/>
    </row>
    <row r="69" spans="3:8" ht="14.25">
      <c r="C69" s="306"/>
      <c r="D69" s="307" t="s">
        <v>184</v>
      </c>
      <c r="E69" s="185">
        <f>SUM(E64:E68)</f>
        <v>0</v>
      </c>
      <c r="F69" s="185">
        <f>SUM(F64:F68)</f>
        <v>0</v>
      </c>
      <c r="G69" s="185"/>
      <c r="H69" s="185">
        <f>SUM(H64:H68)</f>
        <v>0</v>
      </c>
    </row>
    <row r="70" spans="3:8" ht="42.75">
      <c r="C70" s="306"/>
      <c r="D70" s="306" t="s">
        <v>185</v>
      </c>
      <c r="E70" s="182"/>
      <c r="F70" s="182"/>
      <c r="G70" s="182"/>
      <c r="H70" s="182"/>
    </row>
    <row r="71" spans="3:8" ht="14.25">
      <c r="C71" s="306">
        <v>1</v>
      </c>
      <c r="D71" s="306" t="s">
        <v>179</v>
      </c>
      <c r="E71" s="182">
        <v>0</v>
      </c>
      <c r="F71" s="182">
        <v>0</v>
      </c>
      <c r="G71" s="183">
        <v>0.01</v>
      </c>
      <c r="H71" s="184">
        <f>F71*G71</f>
        <v>0</v>
      </c>
    </row>
    <row r="72" spans="3:8" ht="14.25">
      <c r="C72" s="306">
        <v>2</v>
      </c>
      <c r="D72" s="306" t="s">
        <v>180</v>
      </c>
      <c r="E72" s="182">
        <v>0</v>
      </c>
      <c r="F72" s="182">
        <v>0</v>
      </c>
      <c r="G72" s="183">
        <v>0.05</v>
      </c>
      <c r="H72" s="184">
        <f>F72*G72</f>
        <v>0</v>
      </c>
    </row>
    <row r="73" spans="3:8" ht="14.25">
      <c r="C73" s="306">
        <v>3</v>
      </c>
      <c r="D73" s="306" t="s">
        <v>181</v>
      </c>
      <c r="E73" s="182">
        <v>0</v>
      </c>
      <c r="F73" s="182">
        <v>0</v>
      </c>
      <c r="G73" s="183">
        <v>0.25</v>
      </c>
      <c r="H73" s="184">
        <f>F73*G73</f>
        <v>0</v>
      </c>
    </row>
    <row r="74" spans="3:8" ht="14.25">
      <c r="C74" s="306">
        <v>4</v>
      </c>
      <c r="D74" s="306" t="s">
        <v>182</v>
      </c>
      <c r="E74" s="182">
        <v>0</v>
      </c>
      <c r="F74" s="182">
        <v>0</v>
      </c>
      <c r="G74" s="183">
        <v>0.5</v>
      </c>
      <c r="H74" s="184">
        <f>F74*G74</f>
        <v>0</v>
      </c>
    </row>
    <row r="75" spans="3:8" ht="14.25">
      <c r="C75" s="306">
        <v>5</v>
      </c>
      <c r="D75" s="306" t="s">
        <v>183</v>
      </c>
      <c r="E75" s="182">
        <v>0</v>
      </c>
      <c r="F75" s="182">
        <v>0</v>
      </c>
      <c r="G75" s="183">
        <v>1</v>
      </c>
      <c r="H75" s="184">
        <f>F75*G75</f>
        <v>0</v>
      </c>
    </row>
    <row r="76" spans="3:8" ht="14.25">
      <c r="C76" s="306"/>
      <c r="D76" s="307" t="s">
        <v>184</v>
      </c>
      <c r="E76" s="185">
        <f>SUM(E70:E75)</f>
        <v>0</v>
      </c>
      <c r="F76" s="185">
        <f>SUM(F70:F75)</f>
        <v>0</v>
      </c>
      <c r="G76" s="185"/>
      <c r="H76" s="185">
        <f>SUM(H70:H75)</f>
        <v>0</v>
      </c>
    </row>
    <row r="77" spans="3:8" ht="14.25">
      <c r="C77" s="306"/>
      <c r="D77" s="307" t="s">
        <v>186</v>
      </c>
      <c r="E77" s="185">
        <f>E69+E76</f>
        <v>0</v>
      </c>
      <c r="F77" s="185">
        <f>F69+F76</f>
        <v>0</v>
      </c>
      <c r="G77" s="185"/>
      <c r="H77" s="185">
        <f>H69+H76</f>
        <v>0</v>
      </c>
    </row>
    <row r="79" spans="3:8">
      <c r="F79" s="220">
        <f>F66+F67+F68</f>
        <v>0</v>
      </c>
    </row>
    <row r="80" spans="3:8">
      <c r="F80" s="162" t="e">
        <f>F79/F77</f>
        <v>#DIV/0!</v>
      </c>
    </row>
  </sheetData>
  <mergeCells count="8">
    <mergeCell ref="D56:H56"/>
    <mergeCell ref="D61:H61"/>
    <mergeCell ref="D3:H3"/>
    <mergeCell ref="D8:H8"/>
    <mergeCell ref="L3:P3"/>
    <mergeCell ref="L8:P8"/>
    <mergeCell ref="D30:H30"/>
    <mergeCell ref="D35:H3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Z58"/>
  <sheetViews>
    <sheetView zoomScale="70" zoomScaleNormal="70" zoomScaleSheetLayoutView="78" workbookViewId="0">
      <pane xSplit="1" topLeftCell="BU45" activePane="topRight" state="frozen"/>
      <selection pane="topRight" activeCell="BW55" sqref="BW55:BY57"/>
    </sheetView>
  </sheetViews>
  <sheetFormatPr defaultColWidth="17.140625" defaultRowHeight="15.75"/>
  <cols>
    <col min="1" max="1" width="73.85546875" style="142" customWidth="1"/>
    <col min="2" max="3" width="18.7109375" style="142" hidden="1" customWidth="1"/>
    <col min="4" max="4" width="10.5703125" style="142" hidden="1" customWidth="1"/>
    <col min="5" max="5" width="18.7109375" style="142" hidden="1" customWidth="1"/>
    <col min="6" max="6" width="19.42578125" style="143" hidden="1" customWidth="1"/>
    <col min="7" max="8" width="18.7109375" style="143" hidden="1" customWidth="1"/>
    <col min="9" max="9" width="19.42578125" style="143" hidden="1" customWidth="1"/>
    <col min="10" max="12" width="18.7109375" style="143" hidden="1" customWidth="1"/>
    <col min="13" max="13" width="19.5703125" style="143" hidden="1" customWidth="1"/>
    <col min="14" max="17" width="0" style="143" hidden="1" customWidth="1"/>
    <col min="18" max="19" width="19.28515625" style="251" hidden="1" customWidth="1"/>
    <col min="20" max="21" width="19.28515625" style="143" hidden="1" customWidth="1"/>
    <col min="22" max="24" width="19.28515625" style="251" hidden="1" customWidth="1"/>
    <col min="25" max="25" width="19.28515625" style="143" hidden="1" customWidth="1"/>
    <col min="26" max="27" width="19.28515625" style="251" hidden="1" customWidth="1"/>
    <col min="28" max="28" width="19.28515625" style="143" hidden="1" customWidth="1"/>
    <col min="29" max="31" width="19.28515625" style="251" hidden="1" customWidth="1"/>
    <col min="32" max="35" width="19.28515625" style="143" hidden="1" customWidth="1"/>
    <col min="36" max="36" width="19.28515625" style="223" hidden="1" customWidth="1"/>
    <col min="37" max="38" width="19.28515625" style="143" hidden="1" customWidth="1"/>
    <col min="39" max="39" width="7.28515625" style="143" hidden="1" customWidth="1"/>
    <col min="40" max="40" width="19.28515625" style="143" hidden="1" customWidth="1"/>
    <col min="41" max="41" width="20.28515625" style="143" hidden="1" customWidth="1"/>
    <col min="42" max="45" width="19.28515625" style="143" hidden="1" customWidth="1"/>
    <col min="46" max="46" width="27.42578125" style="143" customWidth="1"/>
    <col min="47" max="56" width="19.28515625" style="143" customWidth="1"/>
    <col min="57" max="57" width="20.28515625" style="143" bestFit="1" customWidth="1"/>
    <col min="58" max="70" width="19.28515625" style="143" bestFit="1" customWidth="1"/>
    <col min="71" max="71" width="19.140625" style="432" bestFit="1" customWidth="1"/>
    <col min="72" max="72" width="19" style="143" customWidth="1"/>
    <col min="73" max="73" width="20" style="143" customWidth="1"/>
    <col min="74" max="74" width="21" style="143" customWidth="1"/>
    <col min="75" max="75" width="19.7109375" style="143" customWidth="1"/>
    <col min="76" max="76" width="19.28515625" style="143" customWidth="1"/>
    <col min="77" max="77" width="19" style="143" customWidth="1"/>
    <col min="78" max="16384" width="17.140625" style="143"/>
  </cols>
  <sheetData>
    <row r="1" spans="1:78">
      <c r="A1" s="142" t="s">
        <v>13</v>
      </c>
    </row>
    <row r="2" spans="1:78" ht="14.25" customHeight="1">
      <c r="A2" s="178" t="s">
        <v>187</v>
      </c>
      <c r="B2" s="178"/>
      <c r="C2" s="178"/>
      <c r="D2" s="178"/>
      <c r="E2" s="178"/>
    </row>
    <row r="3" spans="1:78" s="395" customFormat="1" ht="12.75">
      <c r="A3" s="391"/>
      <c r="B3" s="392" t="s">
        <v>17</v>
      </c>
      <c r="C3" s="392" t="s">
        <v>18</v>
      </c>
      <c r="D3" s="392" t="s">
        <v>19</v>
      </c>
      <c r="E3" s="392" t="s">
        <v>20</v>
      </c>
      <c r="F3" s="392" t="s">
        <v>21</v>
      </c>
      <c r="G3" s="8">
        <v>43101</v>
      </c>
      <c r="H3" s="8">
        <v>43132</v>
      </c>
      <c r="I3" s="8">
        <v>43160</v>
      </c>
      <c r="J3" s="8">
        <v>43191</v>
      </c>
      <c r="K3" s="8">
        <v>43221</v>
      </c>
      <c r="L3" s="8">
        <v>43252</v>
      </c>
      <c r="M3" s="8">
        <v>43282</v>
      </c>
      <c r="N3" s="8">
        <v>43313</v>
      </c>
      <c r="O3" s="8">
        <v>43344</v>
      </c>
      <c r="P3" s="8">
        <v>43374</v>
      </c>
      <c r="Q3" s="8">
        <v>43405</v>
      </c>
      <c r="R3" s="8">
        <v>43435</v>
      </c>
      <c r="S3" s="8" t="s">
        <v>22</v>
      </c>
      <c r="T3" s="8">
        <v>43466</v>
      </c>
      <c r="U3" s="8">
        <v>43497</v>
      </c>
      <c r="V3" s="8">
        <v>43525</v>
      </c>
      <c r="W3" s="8">
        <v>43556</v>
      </c>
      <c r="X3" s="8">
        <v>43586</v>
      </c>
      <c r="Y3" s="8">
        <v>43617</v>
      </c>
      <c r="Z3" s="8">
        <v>43647</v>
      </c>
      <c r="AA3" s="8">
        <v>43678</v>
      </c>
      <c r="AB3" s="8">
        <v>43709</v>
      </c>
      <c r="AC3" s="8">
        <v>43739</v>
      </c>
      <c r="AD3" s="8">
        <v>43770</v>
      </c>
      <c r="AE3" s="8">
        <v>43800</v>
      </c>
      <c r="AF3" s="8" t="s">
        <v>23</v>
      </c>
      <c r="AG3" s="8">
        <v>43831</v>
      </c>
      <c r="AH3" s="8">
        <v>43862</v>
      </c>
      <c r="AI3" s="8">
        <v>43891</v>
      </c>
      <c r="AJ3" s="8">
        <v>43922</v>
      </c>
      <c r="AK3" s="8">
        <v>43952</v>
      </c>
      <c r="AL3" s="8">
        <v>43983</v>
      </c>
      <c r="AM3" s="8">
        <v>44013</v>
      </c>
      <c r="AN3" s="8">
        <v>44044</v>
      </c>
      <c r="AO3" s="8">
        <v>44075</v>
      </c>
      <c r="AP3" s="8">
        <v>44105</v>
      </c>
      <c r="AQ3" s="8">
        <v>44136</v>
      </c>
      <c r="AR3" s="8">
        <v>44166</v>
      </c>
      <c r="AS3" s="8" t="s">
        <v>116</v>
      </c>
      <c r="AT3" s="393">
        <v>44197</v>
      </c>
      <c r="AU3" s="393">
        <v>44228</v>
      </c>
      <c r="AV3" s="393">
        <v>44256</v>
      </c>
      <c r="AW3" s="393">
        <v>44287</v>
      </c>
      <c r="AX3" s="393">
        <v>44317</v>
      </c>
      <c r="AY3" s="393">
        <v>44348</v>
      </c>
      <c r="AZ3" s="393">
        <v>44378</v>
      </c>
      <c r="BA3" s="393">
        <v>44409</v>
      </c>
      <c r="BB3" s="393">
        <v>44440</v>
      </c>
      <c r="BC3" s="393">
        <v>44470</v>
      </c>
      <c r="BD3" s="393">
        <v>44501</v>
      </c>
      <c r="BE3" s="393">
        <v>44531</v>
      </c>
      <c r="BF3" s="394" t="s">
        <v>188</v>
      </c>
      <c r="BG3" s="431">
        <v>44562</v>
      </c>
      <c r="BH3" s="431">
        <v>44593</v>
      </c>
      <c r="BI3" s="431">
        <v>44621</v>
      </c>
      <c r="BJ3" s="431">
        <v>44652</v>
      </c>
      <c r="BK3" s="431">
        <v>44682</v>
      </c>
      <c r="BL3" s="431">
        <v>44713</v>
      </c>
      <c r="BM3" s="431">
        <v>44743</v>
      </c>
      <c r="BN3" s="431">
        <v>44774</v>
      </c>
      <c r="BO3" s="431">
        <v>44805</v>
      </c>
      <c r="BP3" s="431">
        <v>44835</v>
      </c>
      <c r="BQ3" s="431">
        <v>44866</v>
      </c>
      <c r="BR3" s="431">
        <v>44917</v>
      </c>
      <c r="BS3" s="431" t="s">
        <v>189</v>
      </c>
      <c r="BT3" s="431">
        <v>44949</v>
      </c>
      <c r="BU3" s="431">
        <v>44980</v>
      </c>
      <c r="BV3" s="431">
        <v>45008</v>
      </c>
      <c r="BW3" s="431">
        <v>45039</v>
      </c>
      <c r="BX3" s="431">
        <v>45069</v>
      </c>
      <c r="BY3" s="431">
        <v>45100</v>
      </c>
      <c r="BZ3" s="431"/>
    </row>
    <row r="4" spans="1:78" s="145" customFormat="1">
      <c r="A4" s="169" t="s">
        <v>190</v>
      </c>
      <c r="B4" s="144">
        <f t="shared" ref="B4:P4" si="0">B5+B6</f>
        <v>21760113</v>
      </c>
      <c r="C4" s="144">
        <f t="shared" si="0"/>
        <v>47930722</v>
      </c>
      <c r="D4" s="144">
        <f t="shared" si="0"/>
        <v>64879933.079999998</v>
      </c>
      <c r="E4" s="144">
        <f t="shared" si="0"/>
        <v>49119809.189999998</v>
      </c>
      <c r="F4" s="144">
        <f t="shared" si="0"/>
        <v>36488011.020000003</v>
      </c>
      <c r="G4" s="144">
        <f t="shared" si="0"/>
        <v>13047834.530000001</v>
      </c>
      <c r="H4" s="144">
        <f t="shared" si="0"/>
        <v>20380805</v>
      </c>
      <c r="I4" s="144">
        <f t="shared" si="0"/>
        <v>8632294.0899999999</v>
      </c>
      <c r="J4" s="144">
        <f t="shared" si="0"/>
        <v>21071430.719999999</v>
      </c>
      <c r="K4" s="144">
        <f t="shared" si="0"/>
        <v>12009037.01</v>
      </c>
      <c r="L4" s="144">
        <f t="shared" si="0"/>
        <v>27516388.93</v>
      </c>
      <c r="M4" s="144">
        <f t="shared" si="0"/>
        <v>20396985.359999999</v>
      </c>
      <c r="N4" s="144">
        <f t="shared" si="0"/>
        <v>13658639.379999999</v>
      </c>
      <c r="O4" s="144">
        <f t="shared" si="0"/>
        <v>33983596.039999999</v>
      </c>
      <c r="P4" s="144">
        <f t="shared" si="0"/>
        <v>43882692</v>
      </c>
      <c r="Q4" s="222">
        <f t="shared" ref="Q4:V4" si="1">SUM(Q5:Q6)</f>
        <v>37787619</v>
      </c>
      <c r="R4" s="252">
        <f t="shared" si="1"/>
        <v>94364971.060000002</v>
      </c>
      <c r="S4" s="252">
        <f t="shared" si="1"/>
        <v>86995878</v>
      </c>
      <c r="T4" s="252">
        <f t="shared" si="1"/>
        <v>99084093.540000007</v>
      </c>
      <c r="U4" s="252">
        <f t="shared" si="1"/>
        <v>106402453.78</v>
      </c>
      <c r="V4" s="252">
        <f t="shared" si="1"/>
        <v>93263618.600000009</v>
      </c>
      <c r="W4" s="252">
        <f t="shared" ref="W4:AB4" si="2">SUM(W5:W6)</f>
        <v>81785848.030000001</v>
      </c>
      <c r="X4" s="252">
        <f t="shared" si="2"/>
        <v>86648913.530000001</v>
      </c>
      <c r="Y4" s="252">
        <f t="shared" si="2"/>
        <v>81659238.829999998</v>
      </c>
      <c r="Z4" s="300">
        <f t="shared" si="2"/>
        <v>67733873.140000001</v>
      </c>
      <c r="AA4" s="300">
        <f t="shared" si="2"/>
        <v>62425717.909999996</v>
      </c>
      <c r="AB4" s="300">
        <f t="shared" si="2"/>
        <v>76792836.439999998</v>
      </c>
      <c r="AC4" s="252">
        <f t="shared" ref="AC4:AJ4" si="3">SUM(AC5:AC6)</f>
        <v>93457421.709999993</v>
      </c>
      <c r="AD4" s="252">
        <f t="shared" si="3"/>
        <v>83343190.640000001</v>
      </c>
      <c r="AE4" s="252">
        <f t="shared" si="3"/>
        <v>98436927.010000005</v>
      </c>
      <c r="AF4" s="252">
        <f t="shared" si="3"/>
        <v>44641958</v>
      </c>
      <c r="AG4" s="252">
        <f t="shared" si="3"/>
        <v>120038839.45999999</v>
      </c>
      <c r="AH4" s="252">
        <f t="shared" si="3"/>
        <v>103285563.28</v>
      </c>
      <c r="AI4" s="252">
        <f t="shared" si="3"/>
        <v>100613007.72</v>
      </c>
      <c r="AJ4" s="374">
        <f t="shared" si="3"/>
        <v>84961256.640000001</v>
      </c>
      <c r="AK4" s="374">
        <f t="shared" ref="AK4:BY4" si="4">SUM(AK5:AK6)</f>
        <v>91835184.169999987</v>
      </c>
      <c r="AL4" s="374">
        <f t="shared" si="4"/>
        <v>111763289.56</v>
      </c>
      <c r="AM4" s="374">
        <f t="shared" si="4"/>
        <v>0</v>
      </c>
      <c r="AN4" s="374">
        <f t="shared" si="4"/>
        <v>80264190.640000001</v>
      </c>
      <c r="AO4" s="374">
        <f t="shared" si="4"/>
        <v>90656513.519999996</v>
      </c>
      <c r="AP4" s="374">
        <f t="shared" si="4"/>
        <v>86962407.25</v>
      </c>
      <c r="AQ4" s="374">
        <f t="shared" si="4"/>
        <v>101782926.29000001</v>
      </c>
      <c r="AR4" s="384">
        <f t="shared" si="4"/>
        <v>115260111.25999999</v>
      </c>
      <c r="AS4" s="384">
        <f t="shared" si="4"/>
        <v>115558634</v>
      </c>
      <c r="AT4" s="384">
        <f t="shared" si="4"/>
        <v>19732482.009999998</v>
      </c>
      <c r="AU4" s="384">
        <f t="shared" si="4"/>
        <v>22524206.52</v>
      </c>
      <c r="AV4" s="384">
        <f t="shared" si="4"/>
        <v>24054895.68</v>
      </c>
      <c r="AW4" s="384">
        <f t="shared" si="4"/>
        <v>28151471.420000002</v>
      </c>
      <c r="AX4" s="384">
        <f t="shared" si="4"/>
        <v>28446701.219999999</v>
      </c>
      <c r="AY4" s="384">
        <f t="shared" si="4"/>
        <v>31241991.84</v>
      </c>
      <c r="AZ4" s="384">
        <f t="shared" si="4"/>
        <v>28832439.539999999</v>
      </c>
      <c r="BA4" s="384">
        <f t="shared" si="4"/>
        <v>33391196.690000001</v>
      </c>
      <c r="BB4" s="384">
        <f t="shared" si="4"/>
        <v>34260880.239999995</v>
      </c>
      <c r="BC4" s="384">
        <f t="shared" si="4"/>
        <v>36512609.130000003</v>
      </c>
      <c r="BD4" s="384">
        <f t="shared" si="4"/>
        <v>36514979.18</v>
      </c>
      <c r="BE4" s="384">
        <f t="shared" si="4"/>
        <v>42382914.32</v>
      </c>
      <c r="BF4" s="384">
        <f t="shared" si="4"/>
        <v>42382915</v>
      </c>
      <c r="BG4" s="384">
        <f t="shared" si="4"/>
        <v>35575825.469999999</v>
      </c>
      <c r="BH4" s="384">
        <f t="shared" si="4"/>
        <v>37828621.240000002</v>
      </c>
      <c r="BI4" s="384">
        <f t="shared" si="4"/>
        <v>33610120.07</v>
      </c>
      <c r="BJ4" s="384">
        <f t="shared" si="4"/>
        <v>24070269.719999999</v>
      </c>
      <c r="BK4" s="384">
        <f t="shared" si="4"/>
        <v>21035643.82</v>
      </c>
      <c r="BL4" s="384">
        <f t="shared" si="4"/>
        <v>33646846.960000001</v>
      </c>
      <c r="BM4" s="384">
        <f t="shared" si="4"/>
        <v>22254727.079999998</v>
      </c>
      <c r="BN4" s="384">
        <f t="shared" si="4"/>
        <v>15394652.58</v>
      </c>
      <c r="BO4" s="384">
        <f t="shared" si="4"/>
        <v>15480242.73</v>
      </c>
      <c r="BP4" s="384">
        <f t="shared" si="4"/>
        <v>15587451.15</v>
      </c>
      <c r="BQ4" s="384">
        <f t="shared" si="4"/>
        <v>13532038.699999999</v>
      </c>
      <c r="BR4" s="384">
        <f t="shared" si="4"/>
        <v>12146495.789999999</v>
      </c>
      <c r="BS4" s="384">
        <f t="shared" si="4"/>
        <v>12146496</v>
      </c>
      <c r="BT4" s="384">
        <f t="shared" si="4"/>
        <v>12657776.42</v>
      </c>
      <c r="BU4" s="384">
        <f t="shared" si="4"/>
        <v>12846908.210000001</v>
      </c>
      <c r="BV4" s="384">
        <f t="shared" si="4"/>
        <v>8353379.9900000002</v>
      </c>
      <c r="BW4" s="384">
        <f t="shared" si="4"/>
        <v>19011546.16</v>
      </c>
      <c r="BX4" s="384">
        <f t="shared" si="4"/>
        <v>18175634.210000001</v>
      </c>
      <c r="BY4" s="384">
        <f t="shared" si="4"/>
        <v>29854522.199999999</v>
      </c>
    </row>
    <row r="5" spans="1:78" ht="15">
      <c r="A5" s="168" t="s">
        <v>191</v>
      </c>
      <c r="B5" s="223">
        <v>4700000</v>
      </c>
      <c r="C5" s="146">
        <v>9548142</v>
      </c>
      <c r="D5" s="187">
        <v>21529033.289999999</v>
      </c>
      <c r="E5" s="187">
        <v>18326302.079999998</v>
      </c>
      <c r="F5" s="187">
        <v>10536954.49</v>
      </c>
      <c r="G5" s="146">
        <v>5443531.1900000004</v>
      </c>
      <c r="H5" s="146">
        <v>10243264.01</v>
      </c>
      <c r="I5" s="146">
        <v>5380898.2400000002</v>
      </c>
      <c r="J5" s="187">
        <v>7735578.4500000002</v>
      </c>
      <c r="K5" s="187">
        <v>3414885.07</v>
      </c>
      <c r="L5" s="187">
        <v>5283673.17</v>
      </c>
      <c r="M5" s="187">
        <v>1999801.93</v>
      </c>
      <c r="N5" s="187">
        <v>5302812.16</v>
      </c>
      <c r="O5" s="187">
        <v>11671609.529999999</v>
      </c>
      <c r="P5" s="146">
        <f>4956510+6676387+49537+155</f>
        <v>11682589</v>
      </c>
      <c r="Q5" s="146">
        <v>5304855</v>
      </c>
      <c r="R5" s="256">
        <v>30705058.780000001</v>
      </c>
      <c r="S5" s="256">
        <f>155+6246243+12553336+4089377+22910</f>
        <v>22912021</v>
      </c>
      <c r="T5" s="256">
        <v>19548425.760000002</v>
      </c>
      <c r="U5" s="256">
        <v>18588928.859999999</v>
      </c>
      <c r="V5" s="256">
        <v>21938312.23</v>
      </c>
      <c r="W5" s="256">
        <v>37729502.670000002</v>
      </c>
      <c r="X5" s="256">
        <v>16226049.51</v>
      </c>
      <c r="Y5" s="256">
        <v>19818524.93</v>
      </c>
      <c r="Z5" s="301">
        <v>13617749.039999999</v>
      </c>
      <c r="AA5" s="301">
        <v>10592778.27</v>
      </c>
      <c r="AB5" s="301">
        <v>12350395.300000001</v>
      </c>
      <c r="AC5" s="256">
        <v>16065189.720000001</v>
      </c>
      <c r="AD5" s="256">
        <v>20547386.530000001</v>
      </c>
      <c r="AE5" s="256">
        <v>25430872.219999999</v>
      </c>
      <c r="AF5" s="256">
        <f>7577693+12262452+1535855+48420</f>
        <v>21424420</v>
      </c>
      <c r="AG5" s="362">
        <v>16848329.390000001</v>
      </c>
      <c r="AH5" s="362">
        <v>19850137.050000001</v>
      </c>
      <c r="AI5" s="362">
        <v>24482628.25</v>
      </c>
      <c r="AJ5" s="362">
        <v>14583674.41</v>
      </c>
      <c r="AK5" s="362">
        <v>19964488.210000001</v>
      </c>
      <c r="AL5" s="362">
        <v>24858542.579999998</v>
      </c>
      <c r="AM5" s="362"/>
      <c r="AN5" s="362">
        <v>19682334.25</v>
      </c>
      <c r="AO5" s="362">
        <v>27366217.989999998</v>
      </c>
      <c r="AP5" s="362">
        <v>20525200.34</v>
      </c>
      <c r="AQ5" s="379">
        <v>20170007.809999999</v>
      </c>
      <c r="AR5" s="381">
        <v>18190236.57</v>
      </c>
      <c r="AS5" s="382">
        <f>6055186+7459090+2313734+4493292+6781</f>
        <v>20328083</v>
      </c>
      <c r="AT5" s="362">
        <v>4402731</v>
      </c>
      <c r="AU5" s="362">
        <v>2424897</v>
      </c>
      <c r="AV5" s="362">
        <v>2149728</v>
      </c>
      <c r="AW5" s="362">
        <v>5682106</v>
      </c>
      <c r="AX5" s="362">
        <v>2316367</v>
      </c>
      <c r="AY5" s="362">
        <v>4543413</v>
      </c>
      <c r="AZ5" s="362">
        <v>4660351</v>
      </c>
      <c r="BA5" s="362">
        <v>5463819</v>
      </c>
      <c r="BB5" s="362">
        <v>7194414</v>
      </c>
      <c r="BC5" s="362">
        <v>2043626</v>
      </c>
      <c r="BD5" s="362">
        <v>7119059</v>
      </c>
      <c r="BE5" s="362">
        <v>3588193</v>
      </c>
      <c r="BF5" s="146">
        <f>1501750+2086443</f>
        <v>3588193</v>
      </c>
      <c r="BG5" s="143">
        <v>6054054</v>
      </c>
      <c r="BH5" s="143">
        <v>2049770</v>
      </c>
      <c r="BI5" s="143">
        <v>5446693</v>
      </c>
      <c r="BJ5" s="143">
        <v>5662481</v>
      </c>
      <c r="BK5" s="143">
        <v>4665434</v>
      </c>
      <c r="BL5" s="143">
        <v>3195833</v>
      </c>
      <c r="BM5" s="143">
        <v>5839316</v>
      </c>
      <c r="BN5" s="143">
        <v>6815965</v>
      </c>
      <c r="BO5" s="143">
        <v>5338497</v>
      </c>
      <c r="BP5" s="143">
        <v>3489977</v>
      </c>
      <c r="BQ5" s="143">
        <v>4250792</v>
      </c>
      <c r="BR5" s="143">
        <v>5949565</v>
      </c>
      <c r="BS5" s="432">
        <f>2421995+2233570</f>
        <v>4655565</v>
      </c>
      <c r="BT5" s="435">
        <v>4542013</v>
      </c>
      <c r="BU5" s="437">
        <v>2758720.15</v>
      </c>
      <c r="BV5" s="437">
        <v>3343324</v>
      </c>
      <c r="BW5" s="437">
        <v>2035248</v>
      </c>
      <c r="BX5" s="435">
        <v>4853225</v>
      </c>
      <c r="BY5" s="484">
        <v>6882419</v>
      </c>
    </row>
    <row r="6" spans="1:78" ht="15">
      <c r="A6" s="168" t="s">
        <v>192</v>
      </c>
      <c r="B6" s="223">
        <v>17060113</v>
      </c>
      <c r="C6" s="146">
        <v>38382580</v>
      </c>
      <c r="D6" s="187">
        <v>43350899.789999999</v>
      </c>
      <c r="E6" s="187">
        <v>30793507.109999999</v>
      </c>
      <c r="F6" s="187">
        <v>25951056.530000001</v>
      </c>
      <c r="G6" s="146">
        <v>7604303.3399999999</v>
      </c>
      <c r="H6" s="146">
        <v>10137540.99</v>
      </c>
      <c r="I6" s="146">
        <v>3251395.85</v>
      </c>
      <c r="J6" s="187">
        <v>13335852.27</v>
      </c>
      <c r="K6" s="187">
        <v>8594151.9399999995</v>
      </c>
      <c r="L6" s="187">
        <v>22232715.760000002</v>
      </c>
      <c r="M6" s="187">
        <v>18397183.43</v>
      </c>
      <c r="N6" s="187">
        <v>8355827.2199999997</v>
      </c>
      <c r="O6" s="187">
        <v>22311986.510000002</v>
      </c>
      <c r="P6" s="224">
        <f>43882692-P5</f>
        <v>32200103</v>
      </c>
      <c r="Q6" s="146">
        <f>32868552-385788</f>
        <v>32482764</v>
      </c>
      <c r="R6" s="256">
        <v>63659912.280000001</v>
      </c>
      <c r="S6" s="256">
        <f>201864+7774336+1619957+375948+54111752</f>
        <v>64083857</v>
      </c>
      <c r="T6" s="256">
        <v>79535667.780000001</v>
      </c>
      <c r="U6" s="256">
        <v>87813524.920000002</v>
      </c>
      <c r="V6" s="256">
        <v>71325306.370000005</v>
      </c>
      <c r="W6" s="256">
        <v>44056345.359999999</v>
      </c>
      <c r="X6" s="256">
        <v>70422864.019999996</v>
      </c>
      <c r="Y6" s="256">
        <v>61840713.899999999</v>
      </c>
      <c r="Z6" s="301">
        <v>54116124.100000001</v>
      </c>
      <c r="AA6" s="301">
        <v>51832939.640000001</v>
      </c>
      <c r="AB6" s="301">
        <v>64442441.140000001</v>
      </c>
      <c r="AC6" s="256">
        <v>77392231.989999995</v>
      </c>
      <c r="AD6" s="256">
        <v>62795804.109999999</v>
      </c>
      <c r="AE6" s="256">
        <v>73006054.790000007</v>
      </c>
      <c r="AF6" s="256">
        <f>212159+16504024+2207009+4294346</f>
        <v>23217538</v>
      </c>
      <c r="AG6" s="362">
        <v>103190510.06999999</v>
      </c>
      <c r="AH6" s="362">
        <v>83435426.230000004</v>
      </c>
      <c r="AI6" s="362">
        <v>76130379.469999999</v>
      </c>
      <c r="AJ6" s="362">
        <v>70377582.230000004</v>
      </c>
      <c r="AK6" s="362">
        <v>71870695.959999993</v>
      </c>
      <c r="AL6" s="362">
        <v>86904746.980000004</v>
      </c>
      <c r="AM6" s="362"/>
      <c r="AN6" s="362">
        <v>60581856.390000001</v>
      </c>
      <c r="AO6" s="362">
        <v>63290295.530000001</v>
      </c>
      <c r="AP6" s="362">
        <v>66437206.909999996</v>
      </c>
      <c r="AQ6" s="379">
        <v>81612918.480000004</v>
      </c>
      <c r="AR6" s="381">
        <v>97069874.689999998</v>
      </c>
      <c r="AS6" s="382">
        <f>67591097+10085479-1837323-2000+16867340+2313799+212159</f>
        <v>95230551</v>
      </c>
      <c r="AT6" s="362">
        <v>15329751.01</v>
      </c>
      <c r="AU6" s="362">
        <v>20099309.52</v>
      </c>
      <c r="AV6" s="362">
        <v>21905167.68</v>
      </c>
      <c r="AW6" s="362">
        <v>22469365.420000002</v>
      </c>
      <c r="AX6" s="362">
        <v>26130334.219999999</v>
      </c>
      <c r="AY6" s="362">
        <v>26698578.84</v>
      </c>
      <c r="AZ6" s="362">
        <v>24172088.539999999</v>
      </c>
      <c r="BA6" s="362">
        <v>27927377.690000001</v>
      </c>
      <c r="BB6" s="362">
        <v>27066466.239999998</v>
      </c>
      <c r="BC6" s="362">
        <v>34468983.130000003</v>
      </c>
      <c r="BD6" s="362">
        <v>29395920.18</v>
      </c>
      <c r="BE6" s="362">
        <v>38794721.32</v>
      </c>
      <c r="BF6" s="146">
        <f>(63992+327904+27405554+611769+6905673+222706+115607+2100200+1276197)-(234880)</f>
        <v>38794722</v>
      </c>
      <c r="BG6" s="143">
        <v>29521771.469999999</v>
      </c>
      <c r="BH6" s="143">
        <v>35778851.240000002</v>
      </c>
      <c r="BI6" s="143">
        <v>28163427.07</v>
      </c>
      <c r="BJ6" s="143">
        <v>18407788.719999999</v>
      </c>
      <c r="BK6" s="143">
        <v>16370209.82</v>
      </c>
      <c r="BL6" s="143">
        <v>30451013.960000001</v>
      </c>
      <c r="BM6" s="143">
        <v>16415411.08</v>
      </c>
      <c r="BN6" s="143">
        <v>8578687.5800000001</v>
      </c>
      <c r="BO6" s="143">
        <v>10141745.73</v>
      </c>
      <c r="BP6" s="143">
        <v>12097474.15</v>
      </c>
      <c r="BQ6" s="143">
        <v>9281246.6999999993</v>
      </c>
      <c r="BR6" s="143">
        <v>6196930.79</v>
      </c>
      <c r="BS6" s="432">
        <f>12146496-BS5</f>
        <v>7490931</v>
      </c>
      <c r="BT6" s="439">
        <v>8115763.4199999999</v>
      </c>
      <c r="BU6" s="441">
        <v>10088188.060000001</v>
      </c>
      <c r="BV6" s="441">
        <v>5010055.99</v>
      </c>
      <c r="BW6" s="441">
        <v>16976298.16</v>
      </c>
      <c r="BX6" s="439">
        <v>13322409.210000001</v>
      </c>
      <c r="BY6" s="486">
        <v>22972103.199999999</v>
      </c>
    </row>
    <row r="7" spans="1:78" s="145" customFormat="1" ht="15">
      <c r="A7" s="169" t="s">
        <v>193</v>
      </c>
      <c r="B7" s="225">
        <v>49712658</v>
      </c>
      <c r="C7" s="226">
        <v>33063169</v>
      </c>
      <c r="D7" s="227">
        <v>32855561.710000001</v>
      </c>
      <c r="E7" s="227">
        <v>50145037.119999997</v>
      </c>
      <c r="F7" s="227">
        <f>29017881.23+7068977.16</f>
        <v>36086858.390000001</v>
      </c>
      <c r="G7" s="227">
        <f>39837604.33+7374347.2</f>
        <v>47211951.530000001</v>
      </c>
      <c r="H7" s="227">
        <f>38845278.42+6836145.22</f>
        <v>45681423.640000001</v>
      </c>
      <c r="I7" s="144">
        <v>44529378.240000002</v>
      </c>
      <c r="J7" s="227">
        <v>35326081.57</v>
      </c>
      <c r="K7" s="227">
        <v>43535762.600000001</v>
      </c>
      <c r="L7" s="227">
        <v>29263185.010000002</v>
      </c>
      <c r="M7" s="227">
        <v>31180349.719999999</v>
      </c>
      <c r="N7" s="227">
        <f>31623101.02+5802429.83</f>
        <v>37425530.850000001</v>
      </c>
      <c r="O7" s="227">
        <v>26272047.239999998</v>
      </c>
      <c r="P7" s="144">
        <v>29745552</v>
      </c>
      <c r="Q7" s="144">
        <v>42884406</v>
      </c>
      <c r="R7" s="253">
        <v>15079165.24</v>
      </c>
      <c r="S7" s="253">
        <v>24490991</v>
      </c>
      <c r="T7" s="253">
        <v>15586568.18</v>
      </c>
      <c r="U7" s="253">
        <v>26437764.469999999</v>
      </c>
      <c r="V7" s="253">
        <v>14662749.9</v>
      </c>
      <c r="W7" s="253">
        <v>14443239.41</v>
      </c>
      <c r="X7" s="253">
        <v>32825524.289999999</v>
      </c>
      <c r="Y7" s="253">
        <v>20255285.149999999</v>
      </c>
      <c r="Z7" s="303">
        <v>18976940.039999999</v>
      </c>
      <c r="AA7" s="303">
        <v>17071906.960000001</v>
      </c>
      <c r="AB7" s="303">
        <v>18291799.989999998</v>
      </c>
      <c r="AC7" s="253">
        <v>16484603.82</v>
      </c>
      <c r="AD7" s="253">
        <v>17031508.25</v>
      </c>
      <c r="AE7" s="253">
        <v>17827202.09</v>
      </c>
      <c r="AF7" s="253">
        <f>150002+17547126+8016663+771428+1222030+20250-957821-2825817-3063619</f>
        <v>20880242</v>
      </c>
      <c r="AG7" s="145">
        <v>16110478.439999999</v>
      </c>
      <c r="AH7" s="145">
        <v>23776422.280000001</v>
      </c>
      <c r="AI7" s="145">
        <v>15300053.550000001</v>
      </c>
      <c r="AJ7" s="225">
        <v>16823842.199999999</v>
      </c>
      <c r="AK7" s="225">
        <v>34594922.289999999</v>
      </c>
      <c r="AL7" s="225">
        <v>17686032.190000001</v>
      </c>
      <c r="AM7" s="225"/>
      <c r="AN7" s="225">
        <v>15346788.390000001</v>
      </c>
      <c r="AO7" s="225">
        <v>15274923.15</v>
      </c>
      <c r="AP7" s="225">
        <v>13582639.859999999</v>
      </c>
      <c r="AQ7" s="225">
        <v>13386180.380000001</v>
      </c>
      <c r="AR7" s="144">
        <v>13471825.74</v>
      </c>
      <c r="AS7" s="144">
        <v>13471825.74</v>
      </c>
      <c r="AT7" s="362">
        <v>6251833.0999999996</v>
      </c>
      <c r="AU7" s="362">
        <v>6012433.0999999996</v>
      </c>
      <c r="AV7" s="362">
        <v>5906243.3499999996</v>
      </c>
      <c r="AW7" s="362">
        <v>3662354.55</v>
      </c>
      <c r="AX7" s="362">
        <v>5960105.2999999998</v>
      </c>
      <c r="AY7" s="362">
        <v>5719986.9500000002</v>
      </c>
      <c r="AZ7" s="362">
        <v>5929386.8499999996</v>
      </c>
      <c r="BA7" s="362">
        <v>6164882.0499999998</v>
      </c>
      <c r="BB7" s="362">
        <v>6272594</v>
      </c>
      <c r="BC7" s="362">
        <v>6770651.8499999996</v>
      </c>
      <c r="BD7" s="362">
        <v>6189103.0999999996</v>
      </c>
      <c r="BE7" s="362">
        <v>140814.35</v>
      </c>
      <c r="BF7" s="144">
        <f>144814+82957+64000</f>
        <v>291771</v>
      </c>
      <c r="BG7" s="145">
        <v>6718548.7000000002</v>
      </c>
      <c r="BH7" s="145">
        <v>6733923.5499999998</v>
      </c>
      <c r="BI7" s="145">
        <v>6095607.6500000004</v>
      </c>
      <c r="BJ7" s="145">
        <v>6367522.5499999998</v>
      </c>
      <c r="BK7" s="145">
        <v>6875675.8499999996</v>
      </c>
      <c r="BL7" s="145">
        <v>343055.45</v>
      </c>
      <c r="BM7" s="145">
        <v>7560060.0999999996</v>
      </c>
      <c r="BN7" s="145">
        <v>7632451.1500000004</v>
      </c>
      <c r="BO7" s="145">
        <v>7616791.7999999998</v>
      </c>
      <c r="BP7" s="145">
        <v>9209629.5</v>
      </c>
      <c r="BQ7" s="145">
        <v>11346107.15</v>
      </c>
      <c r="BR7" s="145">
        <v>11883843.949999999</v>
      </c>
      <c r="BS7" s="433">
        <f>11119402+70000+25000+764442</f>
        <v>11978844</v>
      </c>
      <c r="BT7" s="439">
        <v>8726217.5500000007</v>
      </c>
      <c r="BU7" s="441">
        <v>8894993.0500000007</v>
      </c>
      <c r="BV7" s="441">
        <v>10187426.25</v>
      </c>
      <c r="BW7" s="441">
        <v>2435977.65</v>
      </c>
      <c r="BX7" s="439">
        <v>9289627.25</v>
      </c>
      <c r="BY7" s="486">
        <v>8642332.25</v>
      </c>
    </row>
    <row r="8" spans="1:78" s="145" customFormat="1">
      <c r="A8" s="169" t="s">
        <v>194</v>
      </c>
      <c r="B8" s="228">
        <f t="shared" ref="B8:P8" si="5">SUM(B9:B13)</f>
        <v>17863697</v>
      </c>
      <c r="C8" s="228">
        <f t="shared" si="5"/>
        <v>44310422</v>
      </c>
      <c r="D8" s="228">
        <f t="shared" si="5"/>
        <v>44310422.190000005</v>
      </c>
      <c r="E8" s="228">
        <f t="shared" si="5"/>
        <v>39760613.200000003</v>
      </c>
      <c r="F8" s="228">
        <f t="shared" si="5"/>
        <v>39760613.200000003</v>
      </c>
      <c r="G8" s="228">
        <f t="shared" si="5"/>
        <v>39760613.200000003</v>
      </c>
      <c r="H8" s="228">
        <f t="shared" si="5"/>
        <v>39760613.200000003</v>
      </c>
      <c r="I8" s="228">
        <f t="shared" si="5"/>
        <v>39760613.200000003</v>
      </c>
      <c r="J8" s="228">
        <f t="shared" si="5"/>
        <v>39760613.200000003</v>
      </c>
      <c r="K8" s="228">
        <f t="shared" si="5"/>
        <v>39760613.200000003</v>
      </c>
      <c r="L8" s="228">
        <f t="shared" si="5"/>
        <v>39760613.200000003</v>
      </c>
      <c r="M8" s="228">
        <f t="shared" si="5"/>
        <v>39760613.200000003</v>
      </c>
      <c r="N8" s="228">
        <f t="shared" si="5"/>
        <v>39760613.200000003</v>
      </c>
      <c r="O8" s="228">
        <f t="shared" si="5"/>
        <v>39760613.200000003</v>
      </c>
      <c r="P8" s="228">
        <f t="shared" si="5"/>
        <v>33323406</v>
      </c>
      <c r="Q8" s="189">
        <f t="shared" ref="Q8:V8" si="6">SUM(Q9:Q13)</f>
        <v>31181179</v>
      </c>
      <c r="R8" s="252">
        <f t="shared" si="6"/>
        <v>37575023.740000002</v>
      </c>
      <c r="S8" s="252">
        <f t="shared" si="6"/>
        <v>4228555</v>
      </c>
      <c r="T8" s="252">
        <f t="shared" si="6"/>
        <v>4228554.9400000004</v>
      </c>
      <c r="U8" s="252">
        <f t="shared" si="6"/>
        <v>4228554.9400000004</v>
      </c>
      <c r="V8" s="252">
        <f t="shared" si="6"/>
        <v>4228554.9400000004</v>
      </c>
      <c r="W8" s="252">
        <f t="shared" ref="W8:AB8" si="7">SUM(W9:W13)</f>
        <v>4228554.9400000004</v>
      </c>
      <c r="X8" s="252">
        <f t="shared" si="7"/>
        <v>4228554.9400000004</v>
      </c>
      <c r="Y8" s="252">
        <f t="shared" si="7"/>
        <v>4228554.9400000004</v>
      </c>
      <c r="Z8" s="300">
        <f t="shared" si="7"/>
        <v>4228554.9400000004</v>
      </c>
      <c r="AA8" s="300">
        <f t="shared" si="7"/>
        <v>4228554.9400000004</v>
      </c>
      <c r="AB8" s="300">
        <f t="shared" si="7"/>
        <v>4228554.9400000004</v>
      </c>
      <c r="AC8" s="252">
        <f t="shared" ref="AC8:AJ8" si="8">SUM(AC9:AC13)</f>
        <v>4228554.9400000004</v>
      </c>
      <c r="AD8" s="252">
        <f t="shared" si="8"/>
        <v>4228554.9400000004</v>
      </c>
      <c r="AE8" s="252">
        <f t="shared" si="8"/>
        <v>4228554.9400000004</v>
      </c>
      <c r="AF8" s="252">
        <f t="shared" si="8"/>
        <v>58311419</v>
      </c>
      <c r="AG8" s="252">
        <f t="shared" si="8"/>
        <v>4228554.9400000004</v>
      </c>
      <c r="AH8" s="252">
        <f t="shared" si="8"/>
        <v>4228554.9400000004</v>
      </c>
      <c r="AI8" s="252">
        <f t="shared" si="8"/>
        <v>4228554.9400000004</v>
      </c>
      <c r="AJ8" s="374">
        <f t="shared" si="8"/>
        <v>4228554.9400000004</v>
      </c>
      <c r="AK8" s="374">
        <f t="shared" ref="AK8:BY8" si="9">SUM(AK9:AK13)</f>
        <v>4228554.9400000004</v>
      </c>
      <c r="AL8" s="374">
        <f t="shared" si="9"/>
        <v>4228554.9400000004</v>
      </c>
      <c r="AM8" s="374">
        <f t="shared" si="9"/>
        <v>0</v>
      </c>
      <c r="AN8" s="374">
        <f t="shared" si="9"/>
        <v>4228554.9400000004</v>
      </c>
      <c r="AO8" s="374">
        <f t="shared" si="9"/>
        <v>4228554.9400000004</v>
      </c>
      <c r="AP8" s="374">
        <f t="shared" si="9"/>
        <v>4228554.9400000004</v>
      </c>
      <c r="AQ8" s="383">
        <f t="shared" si="9"/>
        <v>4228554.9400000004</v>
      </c>
      <c r="AR8" s="385">
        <f t="shared" si="9"/>
        <v>4228554.9400000004</v>
      </c>
      <c r="AS8" s="385">
        <f t="shared" si="9"/>
        <v>4228556</v>
      </c>
      <c r="AT8" s="385">
        <f t="shared" si="9"/>
        <v>9538489</v>
      </c>
      <c r="AU8" s="385">
        <f t="shared" si="9"/>
        <v>9538489</v>
      </c>
      <c r="AV8" s="385">
        <f t="shared" si="9"/>
        <v>9538489</v>
      </c>
      <c r="AW8" s="385">
        <f t="shared" si="9"/>
        <v>9538489</v>
      </c>
      <c r="AX8" s="385">
        <f t="shared" si="9"/>
        <v>9538489</v>
      </c>
      <c r="AY8" s="385">
        <f t="shared" si="9"/>
        <v>9538489</v>
      </c>
      <c r="AZ8" s="385">
        <f t="shared" si="9"/>
        <v>9688489</v>
      </c>
      <c r="BA8" s="385">
        <f t="shared" si="9"/>
        <v>9688489</v>
      </c>
      <c r="BB8" s="385">
        <f t="shared" si="9"/>
        <v>9688489</v>
      </c>
      <c r="BC8" s="385">
        <f t="shared" si="9"/>
        <v>9688489</v>
      </c>
      <c r="BD8" s="385">
        <f t="shared" si="9"/>
        <v>9688489</v>
      </c>
      <c r="BE8" s="385">
        <f t="shared" si="9"/>
        <v>9688489</v>
      </c>
      <c r="BF8" s="385">
        <f t="shared" si="9"/>
        <v>9688489</v>
      </c>
      <c r="BG8" s="385">
        <f t="shared" si="9"/>
        <v>9688489</v>
      </c>
      <c r="BH8" s="385">
        <f t="shared" si="9"/>
        <v>9688489</v>
      </c>
      <c r="BI8" s="385">
        <f t="shared" si="9"/>
        <v>9688489</v>
      </c>
      <c r="BJ8" s="385">
        <f t="shared" si="9"/>
        <v>9688489</v>
      </c>
      <c r="BK8" s="385">
        <f t="shared" si="9"/>
        <v>9788489</v>
      </c>
      <c r="BL8" s="385">
        <f t="shared" si="9"/>
        <v>9788489</v>
      </c>
      <c r="BM8" s="385">
        <f t="shared" si="9"/>
        <v>14788489</v>
      </c>
      <c r="BN8" s="385">
        <f t="shared" si="9"/>
        <v>14829000.85</v>
      </c>
      <c r="BO8" s="385">
        <f t="shared" si="9"/>
        <v>14865137.15</v>
      </c>
      <c r="BP8" s="385">
        <f t="shared" si="9"/>
        <v>14902881.859999999</v>
      </c>
      <c r="BQ8" s="385">
        <f t="shared" si="9"/>
        <v>14939749.91</v>
      </c>
      <c r="BR8" s="385">
        <f t="shared" si="9"/>
        <v>9965004.8200000003</v>
      </c>
      <c r="BS8" s="385">
        <f t="shared" si="9"/>
        <v>9965005</v>
      </c>
      <c r="BT8" s="385">
        <f t="shared" si="9"/>
        <v>9966329.0700000003</v>
      </c>
      <c r="BU8" s="385">
        <f t="shared" si="9"/>
        <v>9966329.0700000003</v>
      </c>
      <c r="BV8" s="385">
        <f t="shared" si="9"/>
        <v>9966329.0700000003</v>
      </c>
      <c r="BW8" s="385">
        <f t="shared" si="9"/>
        <v>9970254.5099999998</v>
      </c>
      <c r="BX8" s="385">
        <f t="shared" si="9"/>
        <v>9971666.0700000003</v>
      </c>
      <c r="BY8" s="385">
        <f t="shared" si="9"/>
        <v>9973054.4800000004</v>
      </c>
    </row>
    <row r="9" spans="1:78" ht="15">
      <c r="A9" s="170" t="s">
        <v>195</v>
      </c>
      <c r="B9" s="223"/>
      <c r="C9" s="146"/>
      <c r="D9" s="187"/>
      <c r="E9" s="187">
        <v>0</v>
      </c>
      <c r="F9" s="187">
        <v>0</v>
      </c>
      <c r="G9" s="146"/>
      <c r="H9" s="146"/>
      <c r="I9" s="146"/>
      <c r="J9" s="187"/>
      <c r="K9" s="187"/>
      <c r="L9" s="187"/>
      <c r="M9" s="187"/>
      <c r="N9" s="187"/>
      <c r="O9" s="187"/>
      <c r="P9" s="146"/>
      <c r="Q9" s="149"/>
      <c r="R9" s="256"/>
      <c r="S9" s="256"/>
      <c r="T9" s="256"/>
      <c r="U9" s="256"/>
      <c r="V9" s="256"/>
      <c r="W9" s="256"/>
      <c r="X9" s="256"/>
      <c r="Y9" s="256"/>
      <c r="Z9" s="301"/>
      <c r="AA9" s="301"/>
      <c r="AB9" s="301"/>
      <c r="AC9" s="256"/>
      <c r="AD9" s="256"/>
      <c r="AE9" s="256"/>
      <c r="AF9" s="256"/>
      <c r="AK9" s="223"/>
      <c r="AL9" s="223"/>
      <c r="AM9" s="223"/>
      <c r="AN9" s="223"/>
      <c r="AO9" s="223"/>
      <c r="AP9" s="223"/>
      <c r="AQ9" s="223"/>
      <c r="AR9" s="146"/>
      <c r="AS9" s="146"/>
      <c r="AT9" s="362">
        <v>0</v>
      </c>
      <c r="AU9" s="362">
        <v>0</v>
      </c>
      <c r="AV9" s="362">
        <v>0</v>
      </c>
      <c r="AW9" s="362">
        <v>0</v>
      </c>
      <c r="AX9" s="362">
        <v>0</v>
      </c>
      <c r="AY9" s="362">
        <v>0</v>
      </c>
      <c r="AZ9" s="362">
        <v>0</v>
      </c>
      <c r="BA9" s="362">
        <v>0</v>
      </c>
      <c r="BB9" s="362">
        <v>0</v>
      </c>
      <c r="BC9" s="362">
        <v>0</v>
      </c>
      <c r="BD9" s="362">
        <v>0</v>
      </c>
      <c r="BE9" s="362">
        <v>0</v>
      </c>
      <c r="BF9" s="149"/>
      <c r="BG9" s="143">
        <v>0</v>
      </c>
      <c r="BH9" s="143">
        <v>0</v>
      </c>
      <c r="BI9" s="143">
        <v>0</v>
      </c>
      <c r="BJ9" s="143">
        <v>0</v>
      </c>
      <c r="BK9" s="143">
        <v>0</v>
      </c>
      <c r="BL9" s="143">
        <v>0</v>
      </c>
      <c r="BM9" s="143">
        <v>0</v>
      </c>
      <c r="BN9" s="143">
        <v>0</v>
      </c>
      <c r="BO9" s="143">
        <v>0</v>
      </c>
      <c r="BP9" s="143">
        <v>0</v>
      </c>
      <c r="BQ9" s="143">
        <v>0</v>
      </c>
      <c r="BR9" s="143">
        <v>0</v>
      </c>
      <c r="BT9" s="434">
        <v>0</v>
      </c>
      <c r="BU9" s="436">
        <v>0</v>
      </c>
      <c r="BV9" s="436">
        <v>0</v>
      </c>
      <c r="BW9" s="436">
        <v>0</v>
      </c>
      <c r="BX9" s="434">
        <v>0</v>
      </c>
      <c r="BY9" s="483">
        <v>0</v>
      </c>
    </row>
    <row r="10" spans="1:78" ht="15">
      <c r="A10" s="168" t="s">
        <v>196</v>
      </c>
      <c r="B10" s="223"/>
      <c r="C10" s="146"/>
      <c r="D10" s="187"/>
      <c r="E10" s="187">
        <v>0</v>
      </c>
      <c r="F10" s="187">
        <v>0</v>
      </c>
      <c r="G10" s="146"/>
      <c r="H10" s="146"/>
      <c r="I10" s="146"/>
      <c r="J10" s="187"/>
      <c r="K10" s="187"/>
      <c r="L10" s="187"/>
      <c r="M10" s="187"/>
      <c r="N10" s="187"/>
      <c r="O10" s="187"/>
      <c r="P10" s="146"/>
      <c r="Q10" s="149"/>
      <c r="R10" s="256"/>
      <c r="S10" s="256"/>
      <c r="T10" s="256"/>
      <c r="U10" s="256"/>
      <c r="V10" s="256"/>
      <c r="W10" s="256"/>
      <c r="X10" s="256"/>
      <c r="Y10" s="256"/>
      <c r="Z10" s="301"/>
      <c r="AA10" s="301"/>
      <c r="AB10" s="301"/>
      <c r="AC10" s="256"/>
      <c r="AD10" s="256"/>
      <c r="AE10" s="256"/>
      <c r="AF10" s="256"/>
      <c r="AK10" s="223"/>
      <c r="AL10" s="223"/>
      <c r="AM10" s="223"/>
      <c r="AN10" s="223"/>
      <c r="AO10" s="223"/>
      <c r="AP10" s="223"/>
      <c r="AQ10" s="223"/>
      <c r="AR10" s="146"/>
      <c r="AS10" s="146"/>
      <c r="AT10" s="362">
        <v>0</v>
      </c>
      <c r="AU10" s="362">
        <v>0</v>
      </c>
      <c r="AV10" s="362">
        <v>0</v>
      </c>
      <c r="AW10" s="362">
        <v>0</v>
      </c>
      <c r="AX10" s="362">
        <v>0</v>
      </c>
      <c r="AY10" s="362">
        <v>0</v>
      </c>
      <c r="AZ10" s="362">
        <v>0</v>
      </c>
      <c r="BA10" s="362">
        <v>0</v>
      </c>
      <c r="BB10" s="362">
        <v>0</v>
      </c>
      <c r="BC10" s="362">
        <v>0</v>
      </c>
      <c r="BD10" s="362">
        <v>0</v>
      </c>
      <c r="BE10" s="362">
        <v>0</v>
      </c>
      <c r="BF10" s="149"/>
      <c r="BG10" s="143">
        <v>0</v>
      </c>
      <c r="BH10" s="143">
        <v>0</v>
      </c>
      <c r="BI10" s="143">
        <v>0</v>
      </c>
      <c r="BJ10" s="143">
        <v>0</v>
      </c>
      <c r="BK10" s="143">
        <v>0</v>
      </c>
      <c r="BL10" s="143">
        <v>0</v>
      </c>
      <c r="BM10" s="143">
        <v>0</v>
      </c>
      <c r="BN10" s="143">
        <v>0</v>
      </c>
      <c r="BO10" s="143">
        <v>0</v>
      </c>
      <c r="BP10" s="143">
        <v>0</v>
      </c>
      <c r="BQ10" s="143">
        <v>0</v>
      </c>
      <c r="BR10" s="143">
        <v>0</v>
      </c>
      <c r="BT10" s="438">
        <v>0</v>
      </c>
      <c r="BU10" s="440">
        <v>0</v>
      </c>
      <c r="BV10" s="440">
        <v>0</v>
      </c>
      <c r="BW10" s="440">
        <v>0</v>
      </c>
      <c r="BX10" s="438">
        <v>0</v>
      </c>
      <c r="BY10" s="485">
        <v>0</v>
      </c>
    </row>
    <row r="11" spans="1:78" ht="15">
      <c r="A11" s="358" t="s">
        <v>197</v>
      </c>
      <c r="B11" s="223">
        <v>13595861</v>
      </c>
      <c r="C11" s="146">
        <v>4549809</v>
      </c>
      <c r="D11" s="187">
        <v>4549808.99</v>
      </c>
      <c r="E11" s="187">
        <v>0</v>
      </c>
      <c r="F11" s="187">
        <v>0</v>
      </c>
      <c r="G11" s="187">
        <v>0</v>
      </c>
      <c r="H11" s="187">
        <v>0</v>
      </c>
      <c r="I11" s="146"/>
      <c r="J11" s="187"/>
      <c r="K11" s="187"/>
      <c r="L11" s="187">
        <v>0</v>
      </c>
      <c r="M11" s="187">
        <v>0</v>
      </c>
      <c r="N11" s="187"/>
      <c r="O11" s="187">
        <v>0</v>
      </c>
      <c r="P11" s="146"/>
      <c r="Q11" s="146">
        <v>31181179</v>
      </c>
      <c r="R11" s="256">
        <v>0</v>
      </c>
      <c r="S11" s="256"/>
      <c r="T11" s="256"/>
      <c r="U11" s="256"/>
      <c r="V11" s="256">
        <v>0</v>
      </c>
      <c r="W11" s="256"/>
      <c r="X11" s="256"/>
      <c r="Y11" s="256"/>
      <c r="Z11" s="301"/>
      <c r="AA11" s="301">
        <v>0</v>
      </c>
      <c r="AB11" s="301">
        <v>0</v>
      </c>
      <c r="AC11" s="256">
        <v>0</v>
      </c>
      <c r="AD11" s="256">
        <v>0</v>
      </c>
      <c r="AE11" s="256">
        <v>0</v>
      </c>
      <c r="AF11" s="256">
        <f>34795812+9287051+10000000</f>
        <v>54082863</v>
      </c>
      <c r="AK11" s="223"/>
      <c r="AL11" s="223"/>
      <c r="AM11" s="223"/>
      <c r="AN11" s="223"/>
      <c r="AO11" s="223"/>
      <c r="AP11" s="223"/>
      <c r="AQ11" s="223"/>
      <c r="AR11" s="146"/>
      <c r="AS11" s="146"/>
      <c r="AT11" s="362">
        <v>0</v>
      </c>
      <c r="AU11" s="362">
        <v>0</v>
      </c>
      <c r="AV11" s="362">
        <v>0</v>
      </c>
      <c r="AW11" s="362">
        <v>0</v>
      </c>
      <c r="AX11" s="362">
        <v>0</v>
      </c>
      <c r="AY11" s="362">
        <v>0</v>
      </c>
      <c r="AZ11" s="362">
        <v>0</v>
      </c>
      <c r="BA11" s="362">
        <v>0</v>
      </c>
      <c r="BB11" s="362">
        <v>0</v>
      </c>
      <c r="BC11" s="362">
        <v>0</v>
      </c>
      <c r="BD11" s="362">
        <v>0</v>
      </c>
      <c r="BE11" s="362">
        <v>0</v>
      </c>
      <c r="BF11" s="149"/>
      <c r="BG11" s="143">
        <v>0</v>
      </c>
      <c r="BH11" s="143">
        <v>0</v>
      </c>
      <c r="BI11" s="143">
        <v>0</v>
      </c>
      <c r="BJ11" s="143">
        <v>0</v>
      </c>
      <c r="BK11" s="143">
        <v>0</v>
      </c>
      <c r="BL11" s="143">
        <v>0</v>
      </c>
      <c r="BM11" s="143">
        <v>0</v>
      </c>
      <c r="BN11" s="143">
        <v>0</v>
      </c>
      <c r="BO11" s="143">
        <v>0</v>
      </c>
      <c r="BP11" s="143">
        <v>0</v>
      </c>
      <c r="BQ11" s="143">
        <v>0</v>
      </c>
      <c r="BR11" s="143">
        <v>0</v>
      </c>
      <c r="BT11" s="438">
        <v>0</v>
      </c>
      <c r="BU11" s="440">
        <v>0</v>
      </c>
      <c r="BV11" s="440">
        <v>0</v>
      </c>
      <c r="BW11" s="440">
        <v>0</v>
      </c>
      <c r="BX11" s="438">
        <v>0</v>
      </c>
      <c r="BY11" s="485">
        <v>0</v>
      </c>
    </row>
    <row r="12" spans="1:78" ht="15">
      <c r="A12" s="359" t="s">
        <v>198</v>
      </c>
      <c r="B12" s="223"/>
      <c r="C12" s="146"/>
      <c r="D12" s="187"/>
      <c r="E12" s="187"/>
      <c r="F12" s="187"/>
      <c r="G12" s="313"/>
      <c r="H12" s="313"/>
      <c r="I12" s="146"/>
      <c r="J12" s="187"/>
      <c r="K12" s="187"/>
      <c r="L12" s="187"/>
      <c r="M12" s="187"/>
      <c r="N12" s="187"/>
      <c r="O12" s="187"/>
      <c r="P12" s="146"/>
      <c r="Q12" s="146"/>
      <c r="R12" s="256"/>
      <c r="S12" s="256"/>
      <c r="T12" s="256"/>
      <c r="U12" s="256"/>
      <c r="V12" s="256"/>
      <c r="W12" s="256"/>
      <c r="X12" s="256"/>
      <c r="Y12" s="256"/>
      <c r="Z12" s="301"/>
      <c r="AA12" s="301"/>
      <c r="AB12" s="301"/>
      <c r="AC12" s="256"/>
      <c r="AD12" s="256"/>
      <c r="AE12" s="256"/>
      <c r="AF12" s="256">
        <f>303024+124103+3789408+12021</f>
        <v>4228556</v>
      </c>
      <c r="AG12" s="362">
        <v>4228554.9400000004</v>
      </c>
      <c r="AH12" s="362">
        <v>4228554.9400000004</v>
      </c>
      <c r="AI12" s="362">
        <v>4228554.9400000004</v>
      </c>
      <c r="AJ12" s="362">
        <v>4228554.9400000004</v>
      </c>
      <c r="AK12" s="362">
        <v>4228554.9400000004</v>
      </c>
      <c r="AL12" s="362">
        <v>4228554.9400000004</v>
      </c>
      <c r="AM12" s="362"/>
      <c r="AN12" s="362">
        <v>4228554.9400000004</v>
      </c>
      <c r="AO12" s="362">
        <v>4228554.9400000004</v>
      </c>
      <c r="AP12" s="362">
        <v>4228554.9400000004</v>
      </c>
      <c r="AQ12" s="379">
        <v>4228554.9400000004</v>
      </c>
      <c r="AR12" s="381">
        <v>4228554.9400000004</v>
      </c>
      <c r="AS12" s="382">
        <f>303024+124103+3789408+12021</f>
        <v>4228556</v>
      </c>
      <c r="AT12" s="362">
        <v>9538489</v>
      </c>
      <c r="AU12" s="362">
        <v>9538489</v>
      </c>
      <c r="AV12" s="362">
        <v>9538489</v>
      </c>
      <c r="AW12" s="362">
        <v>9538489</v>
      </c>
      <c r="AX12" s="362">
        <v>9538489</v>
      </c>
      <c r="AY12" s="362">
        <v>9538489</v>
      </c>
      <c r="AZ12" s="362">
        <v>9688489</v>
      </c>
      <c r="BA12" s="362">
        <v>9688489</v>
      </c>
      <c r="BB12" s="362">
        <v>9688489</v>
      </c>
      <c r="BC12" s="362">
        <v>9688489</v>
      </c>
      <c r="BD12" s="362">
        <v>9688489</v>
      </c>
      <c r="BE12" s="362">
        <v>9688489</v>
      </c>
      <c r="BF12" s="382">
        <f>8399998+1288491</f>
        <v>9688489</v>
      </c>
      <c r="BG12" s="143">
        <v>9688489</v>
      </c>
      <c r="BH12" s="143">
        <v>9688489</v>
      </c>
      <c r="BI12" s="143">
        <v>9688489</v>
      </c>
      <c r="BJ12" s="143">
        <v>9688489</v>
      </c>
      <c r="BK12" s="143">
        <v>9788489</v>
      </c>
      <c r="BL12" s="143">
        <v>9788489</v>
      </c>
      <c r="BM12" s="143">
        <v>14788489</v>
      </c>
      <c r="BN12" s="143">
        <v>14829000.85</v>
      </c>
      <c r="BO12" s="143">
        <v>14865137.15</v>
      </c>
      <c r="BP12" s="143">
        <v>14902881.859999999</v>
      </c>
      <c r="BQ12" s="143">
        <v>14939749.91</v>
      </c>
      <c r="BR12" s="143">
        <v>9965004.8200000003</v>
      </c>
      <c r="BS12" s="432">
        <v>9965005</v>
      </c>
      <c r="BT12" s="439">
        <v>9966329.0700000003</v>
      </c>
      <c r="BU12" s="441">
        <v>9966329.0700000003</v>
      </c>
      <c r="BV12" s="441">
        <v>9966329.0700000003</v>
      </c>
      <c r="BW12" s="441">
        <v>9970254.5099999998</v>
      </c>
      <c r="BX12" s="439">
        <v>9971666.0700000003</v>
      </c>
      <c r="BY12" s="486">
        <v>9973054.4800000004</v>
      </c>
    </row>
    <row r="13" spans="1:78">
      <c r="A13" s="358" t="s">
        <v>199</v>
      </c>
      <c r="B13" s="223">
        <v>4267836</v>
      </c>
      <c r="C13" s="146">
        <v>39760613</v>
      </c>
      <c r="D13" s="187">
        <v>39760613.200000003</v>
      </c>
      <c r="E13" s="187">
        <v>39760613.200000003</v>
      </c>
      <c r="F13" s="187">
        <v>39760613.200000003</v>
      </c>
      <c r="G13" s="146">
        <v>39760613.200000003</v>
      </c>
      <c r="H13" s="146">
        <v>39760613.200000003</v>
      </c>
      <c r="I13" s="146">
        <v>39760613.200000003</v>
      </c>
      <c r="J13" s="187">
        <v>39760613.200000003</v>
      </c>
      <c r="K13" s="187">
        <v>39760613.200000003</v>
      </c>
      <c r="L13" s="187">
        <v>39760613.200000003</v>
      </c>
      <c r="M13" s="187">
        <v>39760613.200000003</v>
      </c>
      <c r="N13" s="187">
        <v>39760613.200000003</v>
      </c>
      <c r="O13" s="187">
        <v>39760613.200000003</v>
      </c>
      <c r="P13" s="146">
        <v>33323406</v>
      </c>
      <c r="Q13" s="149"/>
      <c r="R13" s="256">
        <v>37575023.740000002</v>
      </c>
      <c r="S13" s="256">
        <v>4228555</v>
      </c>
      <c r="T13" s="256">
        <v>4228554.9400000004</v>
      </c>
      <c r="U13" s="256">
        <v>4228554.9400000004</v>
      </c>
      <c r="V13" s="256">
        <v>4228554.9400000004</v>
      </c>
      <c r="W13" s="256">
        <v>4228554.9400000004</v>
      </c>
      <c r="X13" s="256">
        <v>4228554.9400000004</v>
      </c>
      <c r="Y13" s="256">
        <v>4228554.9400000004</v>
      </c>
      <c r="Z13" s="301">
        <v>4228554.9400000004</v>
      </c>
      <c r="AA13" s="301">
        <v>4228554.9400000004</v>
      </c>
      <c r="AB13" s="301">
        <v>4228554.9400000004</v>
      </c>
      <c r="AC13" s="256">
        <v>4228554.9400000004</v>
      </c>
      <c r="AD13" s="256">
        <v>4228554.9400000004</v>
      </c>
      <c r="AE13" s="256">
        <v>4228554.9400000004</v>
      </c>
      <c r="AF13" s="256"/>
      <c r="AK13" s="223"/>
      <c r="AL13" s="223"/>
      <c r="AM13" s="223"/>
      <c r="AN13" s="223"/>
      <c r="AO13" s="223"/>
      <c r="AP13" s="223"/>
      <c r="AQ13" s="223"/>
      <c r="AR13" s="146"/>
      <c r="AS13" s="146"/>
      <c r="AT13" s="223"/>
      <c r="AU13" s="223"/>
      <c r="AV13" s="223"/>
      <c r="AW13" s="223"/>
      <c r="AX13" s="223"/>
      <c r="AY13" s="223"/>
      <c r="AZ13" s="223"/>
      <c r="BA13" s="223"/>
      <c r="BB13" s="223"/>
      <c r="BC13" s="223"/>
      <c r="BD13" s="223"/>
      <c r="BE13" s="362"/>
      <c r="BF13" s="149"/>
    </row>
    <row r="14" spans="1:78" s="145" customFormat="1">
      <c r="A14" s="169" t="s">
        <v>200</v>
      </c>
      <c r="B14" s="189">
        <f t="shared" ref="B14:P14" si="10">B15-B16</f>
        <v>312933438</v>
      </c>
      <c r="C14" s="189">
        <f t="shared" si="10"/>
        <v>291789680</v>
      </c>
      <c r="D14" s="189">
        <f t="shared" si="10"/>
        <v>299631067.07999998</v>
      </c>
      <c r="E14" s="189">
        <f t="shared" si="10"/>
        <v>309643144.38</v>
      </c>
      <c r="F14" s="189">
        <f t="shared" si="10"/>
        <v>310639770.16000003</v>
      </c>
      <c r="G14" s="189">
        <f t="shared" si="10"/>
        <v>315136101.03000003</v>
      </c>
      <c r="H14" s="189">
        <f t="shared" si="10"/>
        <v>309251508.24000001</v>
      </c>
      <c r="I14" s="189">
        <f t="shared" si="10"/>
        <v>308488885.16000003</v>
      </c>
      <c r="J14" s="189">
        <f t="shared" si="10"/>
        <v>306304721.47000003</v>
      </c>
      <c r="K14" s="189">
        <f t="shared" si="10"/>
        <v>307616875.37</v>
      </c>
      <c r="L14" s="189">
        <f t="shared" si="10"/>
        <v>315972791.49000001</v>
      </c>
      <c r="M14" s="189">
        <f t="shared" si="10"/>
        <v>318929258.99000001</v>
      </c>
      <c r="N14" s="189">
        <f t="shared" si="10"/>
        <v>324021578.69999999</v>
      </c>
      <c r="O14" s="189">
        <f t="shared" si="10"/>
        <v>317006027.55000001</v>
      </c>
      <c r="P14" s="229">
        <f t="shared" si="10"/>
        <v>319184009</v>
      </c>
      <c r="Q14" s="189">
        <f t="shared" ref="Q14:V14" si="11">Q15-Q16</f>
        <v>359654432</v>
      </c>
      <c r="R14" s="252">
        <f t="shared" si="11"/>
        <v>466902547.44</v>
      </c>
      <c r="S14" s="252">
        <f t="shared" si="11"/>
        <v>467465209</v>
      </c>
      <c r="T14" s="252">
        <f t="shared" si="11"/>
        <v>472919770.68000001</v>
      </c>
      <c r="U14" s="252">
        <f t="shared" si="11"/>
        <v>478687357.68000001</v>
      </c>
      <c r="V14" s="252">
        <f t="shared" si="11"/>
        <v>475787713.94</v>
      </c>
      <c r="W14" s="252">
        <f t="shared" ref="W14:AB14" si="12">W15-W16</f>
        <v>479582540.77999997</v>
      </c>
      <c r="X14" s="252">
        <f t="shared" si="12"/>
        <v>481266665.38999999</v>
      </c>
      <c r="Y14" s="252">
        <f t="shared" si="12"/>
        <v>485276972.57000005</v>
      </c>
      <c r="Z14" s="300">
        <f t="shared" si="12"/>
        <v>532097736.82999998</v>
      </c>
      <c r="AA14" s="300">
        <f t="shared" si="12"/>
        <v>537152558.06000006</v>
      </c>
      <c r="AB14" s="300">
        <f t="shared" si="12"/>
        <v>529117110.59999996</v>
      </c>
      <c r="AC14" s="252">
        <f t="shared" ref="AC14:AJ14" si="13">AC15-AC16</f>
        <v>519705836.74000001</v>
      </c>
      <c r="AD14" s="252">
        <f t="shared" si="13"/>
        <v>533189426.03999996</v>
      </c>
      <c r="AE14" s="252">
        <f t="shared" si="13"/>
        <v>529209789.40000004</v>
      </c>
      <c r="AF14" s="252">
        <f t="shared" si="13"/>
        <v>529295686</v>
      </c>
      <c r="AG14" s="252">
        <f t="shared" si="13"/>
        <v>536172648.70999998</v>
      </c>
      <c r="AH14" s="252">
        <f t="shared" si="13"/>
        <v>530353612.18999994</v>
      </c>
      <c r="AI14" s="252">
        <f t="shared" si="13"/>
        <v>550089121.16000009</v>
      </c>
      <c r="AJ14" s="374">
        <f t="shared" si="13"/>
        <v>553621175.25</v>
      </c>
      <c r="AK14" s="374">
        <f t="shared" ref="AK14:BY14" si="14">AK15-AK16</f>
        <v>541556544.32999992</v>
      </c>
      <c r="AL14" s="374">
        <f t="shared" si="14"/>
        <v>544409525.81000006</v>
      </c>
      <c r="AM14" s="374">
        <f t="shared" si="14"/>
        <v>0</v>
      </c>
      <c r="AN14" s="374">
        <f t="shared" si="14"/>
        <v>588008555.83000004</v>
      </c>
      <c r="AO14" s="374">
        <f t="shared" si="14"/>
        <v>581695282.18999994</v>
      </c>
      <c r="AP14" s="374">
        <f t="shared" si="14"/>
        <v>593979938.1099999</v>
      </c>
      <c r="AQ14" s="374">
        <f t="shared" si="14"/>
        <v>588398520.57000005</v>
      </c>
      <c r="AR14" s="380">
        <f t="shared" si="14"/>
        <v>589610625.00999999</v>
      </c>
      <c r="AS14" s="386">
        <f t="shared" si="14"/>
        <v>589610625</v>
      </c>
      <c r="AT14" s="386">
        <f t="shared" si="14"/>
        <v>165062375.24000001</v>
      </c>
      <c r="AU14" s="386">
        <f t="shared" si="14"/>
        <v>163113834.06999999</v>
      </c>
      <c r="AV14" s="386">
        <f t="shared" si="14"/>
        <v>163362625.83999997</v>
      </c>
      <c r="AW14" s="386">
        <f t="shared" si="14"/>
        <v>163623099.31</v>
      </c>
      <c r="AX14" s="386">
        <f t="shared" si="14"/>
        <v>163782954.29999998</v>
      </c>
      <c r="AY14" s="386">
        <f t="shared" si="14"/>
        <v>164324192.47</v>
      </c>
      <c r="AZ14" s="386">
        <f t="shared" si="14"/>
        <v>172502624.30000001</v>
      </c>
      <c r="BA14" s="386">
        <f t="shared" si="14"/>
        <v>172805636.28999999</v>
      </c>
      <c r="BB14" s="386">
        <f t="shared" si="14"/>
        <v>175006849.28999999</v>
      </c>
      <c r="BC14" s="386">
        <f t="shared" si="14"/>
        <v>175633490.067</v>
      </c>
      <c r="BD14" s="386">
        <f t="shared" si="14"/>
        <v>176471672.69</v>
      </c>
      <c r="BE14" s="386">
        <f t="shared" si="14"/>
        <v>175856950.93000001</v>
      </c>
      <c r="BF14" s="386">
        <f t="shared" si="14"/>
        <v>173408823</v>
      </c>
      <c r="BG14" s="386">
        <f t="shared" si="14"/>
        <v>178474626.76000002</v>
      </c>
      <c r="BH14" s="386">
        <f t="shared" si="14"/>
        <v>178018885.75</v>
      </c>
      <c r="BI14" s="386">
        <f t="shared" si="14"/>
        <v>188318837.60999998</v>
      </c>
      <c r="BJ14" s="386">
        <f t="shared" si="14"/>
        <v>190440498.66</v>
      </c>
      <c r="BK14" s="386">
        <f t="shared" si="14"/>
        <v>194051494.46000001</v>
      </c>
      <c r="BL14" s="386">
        <f t="shared" si="14"/>
        <v>202532241.51000002</v>
      </c>
      <c r="BM14" s="386">
        <f t="shared" si="14"/>
        <v>208472602.53</v>
      </c>
      <c r="BN14" s="386">
        <f t="shared" si="14"/>
        <v>222164261.68000001</v>
      </c>
      <c r="BO14" s="386">
        <f t="shared" si="14"/>
        <v>226112619.66</v>
      </c>
      <c r="BP14" s="386">
        <f t="shared" si="14"/>
        <v>231403046.54999998</v>
      </c>
      <c r="BQ14" s="386">
        <f t="shared" si="14"/>
        <v>238714635</v>
      </c>
      <c r="BR14" s="386">
        <f t="shared" si="14"/>
        <v>260448895.80000001</v>
      </c>
      <c r="BS14" s="386">
        <f t="shared" si="14"/>
        <v>255038490</v>
      </c>
      <c r="BT14" s="386">
        <f t="shared" si="14"/>
        <v>275245597.19</v>
      </c>
      <c r="BU14" s="386">
        <f t="shared" si="14"/>
        <v>275745498.79000002</v>
      </c>
      <c r="BV14" s="386">
        <f t="shared" si="14"/>
        <v>277264637.31999999</v>
      </c>
      <c r="BW14" s="386">
        <f t="shared" si="14"/>
        <v>278070227.33999997</v>
      </c>
      <c r="BX14" s="386">
        <f t="shared" si="14"/>
        <v>273156392.43000001</v>
      </c>
      <c r="BY14" s="386">
        <f t="shared" si="14"/>
        <v>275623476.56999999</v>
      </c>
    </row>
    <row r="15" spans="1:78" ht="15">
      <c r="A15" s="170" t="s">
        <v>201</v>
      </c>
      <c r="B15" s="223">
        <v>320539200</v>
      </c>
      <c r="C15" s="146">
        <v>301762103</v>
      </c>
      <c r="D15" s="187">
        <v>309603490.20999998</v>
      </c>
      <c r="E15" s="187">
        <v>319615567.50999999</v>
      </c>
      <c r="F15" s="187">
        <v>320612193.29000002</v>
      </c>
      <c r="G15" s="146">
        <v>325108524.16000003</v>
      </c>
      <c r="H15" s="146">
        <v>319223931.37</v>
      </c>
      <c r="I15" s="146">
        <v>318461308.29000002</v>
      </c>
      <c r="J15" s="187">
        <v>316277144.60000002</v>
      </c>
      <c r="K15" s="187">
        <v>317589298.5</v>
      </c>
      <c r="L15" s="187">
        <v>325945214.62</v>
      </c>
      <c r="M15" s="187">
        <v>328901682.12</v>
      </c>
      <c r="N15" s="187">
        <v>333994001.82999998</v>
      </c>
      <c r="O15" s="187">
        <v>326978450.68000001</v>
      </c>
      <c r="P15" s="146">
        <f>319184009+P16</f>
        <v>326978451</v>
      </c>
      <c r="Q15" s="146">
        <f>326978451+395812430-352922205</f>
        <v>369868676</v>
      </c>
      <c r="R15" s="256">
        <v>478115491</v>
      </c>
      <c r="S15" s="256">
        <v>478678153</v>
      </c>
      <c r="T15" s="256">
        <v>484132714.24000001</v>
      </c>
      <c r="U15" s="256">
        <v>489900301.24000001</v>
      </c>
      <c r="V15" s="256">
        <v>487605607.92000002</v>
      </c>
      <c r="W15" s="256">
        <v>491602084.89999998</v>
      </c>
      <c r="X15" s="256">
        <v>493487859.64999998</v>
      </c>
      <c r="Y15" s="256">
        <v>497699816.97000003</v>
      </c>
      <c r="Z15" s="301">
        <v>544722231.37</v>
      </c>
      <c r="AA15" s="301">
        <v>549978702.74000001</v>
      </c>
      <c r="AB15" s="301">
        <v>547398329.80999994</v>
      </c>
      <c r="AC15" s="256">
        <v>538188706.09000003</v>
      </c>
      <c r="AD15" s="256">
        <v>551873945.52999997</v>
      </c>
      <c r="AE15" s="256">
        <v>546061267.71000004</v>
      </c>
      <c r="AF15" s="256">
        <f>467465209+804430482-725748527</f>
        <v>546147164</v>
      </c>
      <c r="AG15" s="362">
        <v>553225777.15999997</v>
      </c>
      <c r="AH15" s="362">
        <v>547790395.55999994</v>
      </c>
      <c r="AI15" s="362">
        <v>567848891.19000006</v>
      </c>
      <c r="AJ15" s="362">
        <v>571703931.94000006</v>
      </c>
      <c r="AK15" s="362">
        <v>559962287.67999995</v>
      </c>
      <c r="AL15" s="362">
        <v>563138255.82000005</v>
      </c>
      <c r="AM15" s="362"/>
      <c r="AN15" s="362">
        <v>607647370.08000004</v>
      </c>
      <c r="AO15" s="362">
        <v>606319063.26999998</v>
      </c>
      <c r="AP15" s="362">
        <v>617806443.79999995</v>
      </c>
      <c r="AQ15" s="362">
        <v>613366981.33000004</v>
      </c>
      <c r="AR15" s="379">
        <v>613873372.77999997</v>
      </c>
      <c r="AS15" s="382">
        <f>528337864+783185386-697649877</f>
        <v>613873373</v>
      </c>
      <c r="AT15" s="362">
        <v>167165189.24000001</v>
      </c>
      <c r="AU15" s="362">
        <v>166509229.19</v>
      </c>
      <c r="AV15" s="362">
        <v>166215529.44999999</v>
      </c>
      <c r="AW15" s="362">
        <v>167870643.72999999</v>
      </c>
      <c r="AX15" s="362">
        <v>166926725.28999999</v>
      </c>
      <c r="AY15" s="362">
        <v>168775390.16</v>
      </c>
      <c r="AZ15" s="362">
        <v>176778419.24000001</v>
      </c>
      <c r="BA15" s="362">
        <v>177622800.09</v>
      </c>
      <c r="BB15" s="362">
        <v>179872317.72</v>
      </c>
      <c r="BC15" s="362">
        <v>180887104.16</v>
      </c>
      <c r="BD15" s="362">
        <v>181777384.69</v>
      </c>
      <c r="BE15" s="362">
        <v>182097000.49000001</v>
      </c>
      <c r="BF15" s="416">
        <f>179994187</f>
        <v>179994187</v>
      </c>
      <c r="BG15" s="143">
        <v>184875755.15000001</v>
      </c>
      <c r="BH15" s="143">
        <v>184413081.96000001</v>
      </c>
      <c r="BI15" s="143">
        <v>194782762.94</v>
      </c>
      <c r="BJ15" s="143">
        <v>197119189.88999999</v>
      </c>
      <c r="BK15" s="143">
        <v>202237618</v>
      </c>
      <c r="BL15" s="143">
        <v>210406459.33000001</v>
      </c>
      <c r="BM15" s="143">
        <v>217116228.99000001</v>
      </c>
      <c r="BN15" s="143">
        <v>231483591.06999999</v>
      </c>
      <c r="BO15" s="143">
        <v>235707406.97999999</v>
      </c>
      <c r="BP15" s="143">
        <v>242666839.59999999</v>
      </c>
      <c r="BQ15" s="143">
        <v>250267494.72999999</v>
      </c>
      <c r="BR15" s="143">
        <v>269123821.56</v>
      </c>
      <c r="BS15" s="432">
        <v>263713416</v>
      </c>
      <c r="BT15" s="435">
        <v>289818608.89999998</v>
      </c>
      <c r="BU15" s="437">
        <v>290420985.05000001</v>
      </c>
      <c r="BV15" s="437">
        <v>291540640.52999997</v>
      </c>
      <c r="BW15" s="437">
        <v>291088165.19</v>
      </c>
      <c r="BX15" s="435">
        <v>284424310.67000002</v>
      </c>
      <c r="BY15" s="484">
        <v>288923322.27999997</v>
      </c>
    </row>
    <row r="16" spans="1:78" ht="15">
      <c r="A16" s="170" t="s">
        <v>202</v>
      </c>
      <c r="B16" s="223">
        <v>7605762</v>
      </c>
      <c r="C16" s="146">
        <v>9972423</v>
      </c>
      <c r="D16" s="187">
        <v>9972423.1300000008</v>
      </c>
      <c r="E16" s="187">
        <v>9972423.1300000008</v>
      </c>
      <c r="F16" s="187">
        <v>9972423.1300000008</v>
      </c>
      <c r="G16" s="146">
        <v>9972423.1300000008</v>
      </c>
      <c r="H16" s="146">
        <v>9972423.1300000008</v>
      </c>
      <c r="I16" s="146">
        <v>9972423.1300000008</v>
      </c>
      <c r="J16" s="187">
        <v>9972423.1300000008</v>
      </c>
      <c r="K16" s="187">
        <v>9972423.1300000008</v>
      </c>
      <c r="L16" s="187">
        <v>9972423.1300000008</v>
      </c>
      <c r="M16" s="187">
        <v>9972423.1300000008</v>
      </c>
      <c r="N16" s="187">
        <v>9972423.1300000008</v>
      </c>
      <c r="O16" s="187">
        <v>9972423.1300000008</v>
      </c>
      <c r="P16" s="146">
        <v>7794442</v>
      </c>
      <c r="Q16" s="146">
        <v>10214244</v>
      </c>
      <c r="R16" s="256">
        <v>11212943.560000001</v>
      </c>
      <c r="S16" s="256">
        <v>11212944</v>
      </c>
      <c r="T16" s="256">
        <v>11212943.560000001</v>
      </c>
      <c r="U16" s="256">
        <v>11212943.560000001</v>
      </c>
      <c r="V16" s="256">
        <v>11817893.98</v>
      </c>
      <c r="W16" s="256">
        <v>12019544.119999999</v>
      </c>
      <c r="X16" s="256">
        <v>12221194.26</v>
      </c>
      <c r="Y16" s="256">
        <v>12422844.4</v>
      </c>
      <c r="Z16" s="301">
        <v>12624494.539999999</v>
      </c>
      <c r="AA16" s="301">
        <v>12826144.68</v>
      </c>
      <c r="AB16" s="301">
        <v>18281219.210000001</v>
      </c>
      <c r="AC16" s="256">
        <v>18482869.350000001</v>
      </c>
      <c r="AD16" s="256">
        <v>18684519.489999998</v>
      </c>
      <c r="AE16" s="256">
        <v>16851478.309999999</v>
      </c>
      <c r="AF16" s="256">
        <v>16851478</v>
      </c>
      <c r="AG16" s="362">
        <v>17053128.449999999</v>
      </c>
      <c r="AH16" s="362">
        <v>17436783.370000001</v>
      </c>
      <c r="AI16" s="362">
        <v>17759770.030000001</v>
      </c>
      <c r="AJ16" s="362">
        <v>18082756.690000001</v>
      </c>
      <c r="AK16" s="362">
        <v>18405743.350000001</v>
      </c>
      <c r="AL16" s="362">
        <v>18728730.010000002</v>
      </c>
      <c r="AM16" s="362"/>
      <c r="AN16" s="362">
        <v>19638814.25</v>
      </c>
      <c r="AO16" s="362">
        <v>24623781.079999998</v>
      </c>
      <c r="AP16" s="362">
        <v>23826505.690000001</v>
      </c>
      <c r="AQ16" s="362">
        <v>24968460.760000002</v>
      </c>
      <c r="AR16" s="379">
        <v>24262747.77</v>
      </c>
      <c r="AS16" s="382">
        <v>24262748</v>
      </c>
      <c r="AT16" s="362">
        <v>2102814</v>
      </c>
      <c r="AU16" s="362">
        <v>3395395.12</v>
      </c>
      <c r="AV16" s="362">
        <v>2852903.61</v>
      </c>
      <c r="AW16" s="362">
        <v>4247544.42</v>
      </c>
      <c r="AX16" s="362">
        <v>3143770.99</v>
      </c>
      <c r="AY16" s="362">
        <v>4451197.6900000004</v>
      </c>
      <c r="AZ16" s="362">
        <v>4275794.9400000004</v>
      </c>
      <c r="BA16" s="362">
        <v>4817163.8</v>
      </c>
      <c r="BB16" s="362">
        <v>4865468.43</v>
      </c>
      <c r="BC16" s="362">
        <v>5253614.0930000003</v>
      </c>
      <c r="BD16" s="362">
        <v>5305712</v>
      </c>
      <c r="BE16" s="362">
        <v>6240049.5599999996</v>
      </c>
      <c r="BF16" s="417">
        <v>6585364</v>
      </c>
      <c r="BG16" s="143">
        <v>6401128.3899999997</v>
      </c>
      <c r="BH16" s="143">
        <v>6394196.21</v>
      </c>
      <c r="BI16" s="143">
        <v>6463925.3300000001</v>
      </c>
      <c r="BJ16" s="143">
        <v>6678691.2300000004</v>
      </c>
      <c r="BK16" s="143">
        <v>8186123.54</v>
      </c>
      <c r="BL16" s="143">
        <v>7874217.8200000003</v>
      </c>
      <c r="BM16" s="143">
        <v>8643626.4600000009</v>
      </c>
      <c r="BN16" s="143">
        <v>9319329.3900000006</v>
      </c>
      <c r="BO16" s="143">
        <v>9594787.3200000003</v>
      </c>
      <c r="BP16" s="143">
        <v>11263793.050000001</v>
      </c>
      <c r="BQ16" s="143">
        <v>11552859.73</v>
      </c>
      <c r="BR16" s="143">
        <v>8674925.7599999998</v>
      </c>
      <c r="BS16" s="432">
        <v>8674926</v>
      </c>
      <c r="BT16" s="439">
        <v>14573011.710000001</v>
      </c>
      <c r="BU16" s="441">
        <v>14675486.26</v>
      </c>
      <c r="BV16" s="441">
        <v>14276003.210000001</v>
      </c>
      <c r="BW16" s="441">
        <v>13017937.85</v>
      </c>
      <c r="BX16" s="439">
        <v>11267918.24</v>
      </c>
      <c r="BY16" s="486">
        <v>13299845.710000001</v>
      </c>
    </row>
    <row r="17" spans="1:77" s="145" customFormat="1">
      <c r="A17" s="169" t="s">
        <v>203</v>
      </c>
      <c r="B17" s="230">
        <f t="shared" ref="B17:P17" si="15">SUM(B18:B20)</f>
        <v>0</v>
      </c>
      <c r="C17" s="230">
        <f t="shared" si="15"/>
        <v>1082502</v>
      </c>
      <c r="D17" s="230">
        <f t="shared" si="15"/>
        <v>1923129.04</v>
      </c>
      <c r="E17" s="230">
        <f t="shared" si="15"/>
        <v>1923129.04</v>
      </c>
      <c r="F17" s="230">
        <f t="shared" si="15"/>
        <v>1923129.04</v>
      </c>
      <c r="G17" s="230">
        <f t="shared" si="15"/>
        <v>2166858.79</v>
      </c>
      <c r="H17" s="230">
        <f t="shared" si="15"/>
        <v>2166908.39</v>
      </c>
      <c r="I17" s="230">
        <f t="shared" si="15"/>
        <v>2410630.2999999998</v>
      </c>
      <c r="J17" s="230">
        <f t="shared" si="15"/>
        <v>2410733.75</v>
      </c>
      <c r="K17" s="230">
        <f t="shared" si="15"/>
        <v>2410733.75</v>
      </c>
      <c r="L17" s="230">
        <f t="shared" si="15"/>
        <v>2658210.15</v>
      </c>
      <c r="M17" s="230">
        <f t="shared" si="15"/>
        <v>2658210.15</v>
      </c>
      <c r="N17" s="230">
        <f t="shared" si="15"/>
        <v>2658210.15</v>
      </c>
      <c r="O17" s="230">
        <f t="shared" si="15"/>
        <v>2901939.95</v>
      </c>
      <c r="P17" s="230">
        <f t="shared" si="15"/>
        <v>673721</v>
      </c>
      <c r="Q17" s="189">
        <f t="shared" ref="Q17:V17" si="16">SUM(Q18:Q20)</f>
        <v>0</v>
      </c>
      <c r="R17" s="252">
        <f t="shared" si="16"/>
        <v>3489191.09</v>
      </c>
      <c r="S17" s="252">
        <f t="shared" si="16"/>
        <v>0</v>
      </c>
      <c r="T17" s="252">
        <f t="shared" si="16"/>
        <v>3489191.09</v>
      </c>
      <c r="U17" s="252">
        <f t="shared" si="16"/>
        <v>3489191.09</v>
      </c>
      <c r="V17" s="252">
        <f t="shared" si="16"/>
        <v>3489191.09</v>
      </c>
      <c r="W17" s="252">
        <f t="shared" ref="W17:AB17" si="17">SUM(W18:W20)</f>
        <v>2809133.09</v>
      </c>
      <c r="X17" s="252">
        <f t="shared" si="17"/>
        <v>5288521.09</v>
      </c>
      <c r="Y17" s="252">
        <f t="shared" si="17"/>
        <v>6135682.0899999999</v>
      </c>
      <c r="Z17" s="300">
        <f t="shared" si="17"/>
        <v>2384117.39</v>
      </c>
      <c r="AA17" s="300">
        <f t="shared" si="17"/>
        <v>2384117.39</v>
      </c>
      <c r="AB17" s="300">
        <f t="shared" si="17"/>
        <v>3231278.39</v>
      </c>
      <c r="AC17" s="252">
        <f t="shared" ref="AC17:AJ17" si="18">SUM(AC18:AC20)</f>
        <v>3231278.39</v>
      </c>
      <c r="AD17" s="252">
        <f t="shared" si="18"/>
        <v>3231278.39</v>
      </c>
      <c r="AE17" s="252">
        <f t="shared" si="18"/>
        <v>4078439.39</v>
      </c>
      <c r="AF17" s="252">
        <f t="shared" si="18"/>
        <v>788143</v>
      </c>
      <c r="AG17" s="252">
        <f t="shared" si="18"/>
        <v>4078439.39</v>
      </c>
      <c r="AH17" s="252">
        <f t="shared" si="18"/>
        <v>1271513.3899999999</v>
      </c>
      <c r="AI17" s="252">
        <f t="shared" si="18"/>
        <v>1271513.3899999999</v>
      </c>
      <c r="AJ17" s="374">
        <f t="shared" si="18"/>
        <v>1914767.39</v>
      </c>
      <c r="AK17" s="374">
        <f t="shared" ref="AK17:BY17" si="19">SUM(AK18:AK20)</f>
        <v>1914767.39</v>
      </c>
      <c r="AL17" s="374">
        <f t="shared" si="19"/>
        <v>2558021.39</v>
      </c>
      <c r="AM17" s="374">
        <f t="shared" si="19"/>
        <v>0</v>
      </c>
      <c r="AN17" s="374">
        <f t="shared" si="19"/>
        <v>2558021.39</v>
      </c>
      <c r="AO17" s="374">
        <f t="shared" si="19"/>
        <v>3201275.39</v>
      </c>
      <c r="AP17" s="374">
        <f t="shared" si="19"/>
        <v>3201275.39</v>
      </c>
      <c r="AQ17" s="374">
        <f t="shared" si="19"/>
        <v>3201275.39</v>
      </c>
      <c r="AR17" s="384">
        <f t="shared" si="19"/>
        <v>3844529.39</v>
      </c>
      <c r="AS17" s="386">
        <f t="shared" si="19"/>
        <v>0</v>
      </c>
      <c r="AT17" s="386">
        <f t="shared" si="19"/>
        <v>0</v>
      </c>
      <c r="AU17" s="386">
        <f t="shared" si="19"/>
        <v>0</v>
      </c>
      <c r="AV17" s="386">
        <f t="shared" si="19"/>
        <v>0</v>
      </c>
      <c r="AW17" s="386">
        <f t="shared" si="19"/>
        <v>0</v>
      </c>
      <c r="AX17" s="386">
        <f t="shared" si="19"/>
        <v>0</v>
      </c>
      <c r="AY17" s="386">
        <f t="shared" si="19"/>
        <v>0</v>
      </c>
      <c r="AZ17" s="386">
        <f t="shared" si="19"/>
        <v>0</v>
      </c>
      <c r="BA17" s="386">
        <f t="shared" si="19"/>
        <v>0</v>
      </c>
      <c r="BB17" s="386">
        <f t="shared" si="19"/>
        <v>0</v>
      </c>
      <c r="BC17" s="386">
        <f t="shared" si="19"/>
        <v>0</v>
      </c>
      <c r="BD17" s="386">
        <f t="shared" si="19"/>
        <v>0</v>
      </c>
      <c r="BE17" s="386">
        <f t="shared" si="19"/>
        <v>0</v>
      </c>
      <c r="BF17" s="386">
        <f t="shared" si="19"/>
        <v>0</v>
      </c>
      <c r="BG17" s="386">
        <f t="shared" si="19"/>
        <v>0</v>
      </c>
      <c r="BH17" s="386">
        <f t="shared" si="19"/>
        <v>0</v>
      </c>
      <c r="BI17" s="386">
        <f t="shared" si="19"/>
        <v>0</v>
      </c>
      <c r="BJ17" s="386">
        <f t="shared" si="19"/>
        <v>0</v>
      </c>
      <c r="BK17" s="386">
        <f t="shared" si="19"/>
        <v>0</v>
      </c>
      <c r="BL17" s="386">
        <f t="shared" si="19"/>
        <v>0</v>
      </c>
      <c r="BM17" s="386">
        <f t="shared" si="19"/>
        <v>0</v>
      </c>
      <c r="BN17" s="386">
        <f t="shared" si="19"/>
        <v>0</v>
      </c>
      <c r="BO17" s="386">
        <f t="shared" si="19"/>
        <v>0</v>
      </c>
      <c r="BP17" s="386">
        <f t="shared" si="19"/>
        <v>0</v>
      </c>
      <c r="BQ17" s="386">
        <f t="shared" si="19"/>
        <v>0</v>
      </c>
      <c r="BR17" s="386">
        <f t="shared" si="19"/>
        <v>0</v>
      </c>
      <c r="BS17" s="386">
        <f t="shared" si="19"/>
        <v>0</v>
      </c>
      <c r="BT17" s="386">
        <f t="shared" si="19"/>
        <v>0</v>
      </c>
      <c r="BU17" s="386">
        <f t="shared" si="19"/>
        <v>0</v>
      </c>
      <c r="BV17" s="386">
        <f t="shared" si="19"/>
        <v>0</v>
      </c>
      <c r="BW17" s="386">
        <f t="shared" si="19"/>
        <v>0</v>
      </c>
      <c r="BX17" s="386">
        <f t="shared" si="19"/>
        <v>0</v>
      </c>
      <c r="BY17" s="386">
        <f t="shared" si="19"/>
        <v>0</v>
      </c>
    </row>
    <row r="18" spans="1:77" ht="15">
      <c r="A18" s="170" t="s">
        <v>204</v>
      </c>
      <c r="B18" s="223"/>
      <c r="C18" s="146">
        <v>1082502</v>
      </c>
      <c r="D18" s="187">
        <v>1923129.04</v>
      </c>
      <c r="E18" s="187">
        <v>1923129.04</v>
      </c>
      <c r="F18" s="187">
        <v>1923129.04</v>
      </c>
      <c r="G18" s="146">
        <v>2166858.79</v>
      </c>
      <c r="H18" s="146">
        <v>2166908.39</v>
      </c>
      <c r="I18" s="146">
        <v>2410630.2999999998</v>
      </c>
      <c r="J18" s="187">
        <v>2410733.75</v>
      </c>
      <c r="K18" s="187">
        <v>2410733.75</v>
      </c>
      <c r="L18" s="187">
        <v>2658210.15</v>
      </c>
      <c r="M18" s="187">
        <v>2658210.15</v>
      </c>
      <c r="N18" s="187">
        <v>2658210.15</v>
      </c>
      <c r="O18" s="187">
        <v>2901939.95</v>
      </c>
      <c r="P18" s="146">
        <v>673721</v>
      </c>
      <c r="Q18" s="149"/>
      <c r="R18" s="256">
        <v>3489191.09</v>
      </c>
      <c r="S18" s="256"/>
      <c r="T18" s="256">
        <v>3489191.09</v>
      </c>
      <c r="U18" s="256">
        <v>3489191.09</v>
      </c>
      <c r="V18" s="256">
        <v>3489191.09</v>
      </c>
      <c r="W18" s="256">
        <v>2809133.09</v>
      </c>
      <c r="X18" s="256">
        <v>5288521.09</v>
      </c>
      <c r="Y18" s="256">
        <v>6135682.0899999999</v>
      </c>
      <c r="Z18" s="301">
        <v>2384117.39</v>
      </c>
      <c r="AA18" s="301">
        <v>2384117.39</v>
      </c>
      <c r="AB18" s="301">
        <v>3231278.39</v>
      </c>
      <c r="AC18" s="256">
        <v>3231278.39</v>
      </c>
      <c r="AD18" s="256">
        <v>3231278.39</v>
      </c>
      <c r="AE18" s="256">
        <v>4078439.39</v>
      </c>
      <c r="AF18" s="256">
        <v>788143</v>
      </c>
      <c r="AG18" s="362">
        <v>4078439.39</v>
      </c>
      <c r="AH18" s="362">
        <v>1271513.3899999999</v>
      </c>
      <c r="AI18" s="362">
        <v>1271513.3899999999</v>
      </c>
      <c r="AJ18" s="362">
        <v>1914767.39</v>
      </c>
      <c r="AK18" s="362">
        <v>1914767.39</v>
      </c>
      <c r="AL18" s="362">
        <v>2558021.39</v>
      </c>
      <c r="AM18" s="362"/>
      <c r="AN18" s="362">
        <v>2558021.39</v>
      </c>
      <c r="AO18" s="362">
        <v>3201275.39</v>
      </c>
      <c r="AP18" s="362">
        <v>3201275.39</v>
      </c>
      <c r="AQ18" s="379">
        <v>3201275.39</v>
      </c>
      <c r="AR18" s="381">
        <v>3844529.39</v>
      </c>
      <c r="AS18" s="382"/>
      <c r="AT18" s="362">
        <v>0</v>
      </c>
      <c r="AU18" s="362">
        <v>0</v>
      </c>
      <c r="AV18" s="362">
        <v>0</v>
      </c>
      <c r="AW18" s="362">
        <v>0</v>
      </c>
      <c r="AX18" s="362">
        <v>0</v>
      </c>
      <c r="AY18" s="362">
        <v>0</v>
      </c>
      <c r="AZ18" s="362">
        <v>0</v>
      </c>
      <c r="BA18" s="362">
        <v>0</v>
      </c>
      <c r="BB18" s="362">
        <v>0</v>
      </c>
      <c r="BC18" s="362">
        <v>0</v>
      </c>
      <c r="BD18" s="362">
        <v>0</v>
      </c>
      <c r="BE18" s="362">
        <v>0</v>
      </c>
      <c r="BF18" s="149"/>
      <c r="BT18" s="434">
        <v>0</v>
      </c>
      <c r="BU18" s="436">
        <v>0</v>
      </c>
      <c r="BV18" s="436">
        <v>0</v>
      </c>
      <c r="BW18" s="436">
        <v>0</v>
      </c>
      <c r="BX18" s="434">
        <v>0</v>
      </c>
      <c r="BY18" s="483">
        <v>0</v>
      </c>
    </row>
    <row r="19" spans="1:77" ht="15">
      <c r="A19" s="170" t="s">
        <v>205</v>
      </c>
      <c r="B19" s="223"/>
      <c r="C19" s="146"/>
      <c r="D19" s="187"/>
      <c r="E19" s="187">
        <v>0</v>
      </c>
      <c r="F19" s="187"/>
      <c r="G19" s="146"/>
      <c r="H19" s="146"/>
      <c r="I19" s="146"/>
      <c r="J19" s="187"/>
      <c r="K19" s="187"/>
      <c r="L19" s="187"/>
      <c r="M19" s="187"/>
      <c r="N19" s="187"/>
      <c r="O19" s="187"/>
      <c r="P19" s="146"/>
      <c r="Q19" s="149"/>
      <c r="R19" s="256"/>
      <c r="S19" s="256"/>
      <c r="T19" s="256"/>
      <c r="U19" s="256">
        <v>0</v>
      </c>
      <c r="V19" s="256"/>
      <c r="W19" s="256"/>
      <c r="X19" s="256"/>
      <c r="Y19" s="256"/>
      <c r="Z19" s="301"/>
      <c r="AA19" s="301"/>
      <c r="AB19" s="301">
        <v>0</v>
      </c>
      <c r="AC19" s="256"/>
      <c r="AD19" s="256"/>
      <c r="AE19" s="362">
        <v>0</v>
      </c>
      <c r="AF19" s="362">
        <v>0</v>
      </c>
      <c r="AG19" s="362">
        <v>0</v>
      </c>
      <c r="AH19" s="362">
        <v>0</v>
      </c>
      <c r="AI19" s="362">
        <v>0</v>
      </c>
      <c r="AJ19" s="362">
        <v>0</v>
      </c>
      <c r="AK19" s="362">
        <v>0</v>
      </c>
      <c r="AL19" s="362">
        <v>0</v>
      </c>
      <c r="AM19" s="362">
        <v>0</v>
      </c>
      <c r="AN19" s="362">
        <v>0</v>
      </c>
      <c r="AO19" s="362">
        <v>0</v>
      </c>
      <c r="AP19" s="362">
        <v>0</v>
      </c>
      <c r="AQ19" s="362">
        <v>0</v>
      </c>
      <c r="AR19" s="362">
        <v>0</v>
      </c>
      <c r="AS19" s="362">
        <v>0</v>
      </c>
      <c r="AT19" s="362">
        <v>0</v>
      </c>
      <c r="AU19" s="362">
        <v>0</v>
      </c>
      <c r="AV19" s="362">
        <v>0</v>
      </c>
      <c r="AW19" s="362">
        <v>0</v>
      </c>
      <c r="AX19" s="362">
        <v>0</v>
      </c>
      <c r="AY19" s="362">
        <v>0</v>
      </c>
      <c r="AZ19" s="362">
        <v>0</v>
      </c>
      <c r="BA19" s="362">
        <v>0</v>
      </c>
      <c r="BB19" s="362">
        <v>0</v>
      </c>
      <c r="BC19" s="362">
        <v>0</v>
      </c>
      <c r="BD19" s="362">
        <v>0</v>
      </c>
      <c r="BE19" s="362">
        <v>0</v>
      </c>
      <c r="BF19" s="362"/>
      <c r="BT19" s="438">
        <v>0</v>
      </c>
      <c r="BU19" s="440">
        <v>0</v>
      </c>
      <c r="BV19" s="440">
        <v>0</v>
      </c>
      <c r="BW19" s="440">
        <v>0</v>
      </c>
      <c r="BX19" s="438">
        <v>0</v>
      </c>
      <c r="BY19" s="485">
        <v>0</v>
      </c>
    </row>
    <row r="20" spans="1:77" ht="15">
      <c r="A20" s="170" t="s">
        <v>206</v>
      </c>
      <c r="B20" s="223"/>
      <c r="C20" s="146"/>
      <c r="D20" s="187"/>
      <c r="E20" s="187">
        <v>0</v>
      </c>
      <c r="F20" s="187"/>
      <c r="G20" s="146"/>
      <c r="H20" s="146"/>
      <c r="I20" s="146"/>
      <c r="J20" s="187"/>
      <c r="K20" s="187"/>
      <c r="L20" s="187"/>
      <c r="M20" s="187"/>
      <c r="N20" s="187"/>
      <c r="O20" s="187"/>
      <c r="P20" s="146"/>
      <c r="Q20" s="149"/>
      <c r="R20" s="256"/>
      <c r="S20" s="256"/>
      <c r="T20" s="256"/>
      <c r="U20" s="256">
        <v>0</v>
      </c>
      <c r="V20" s="256"/>
      <c r="W20" s="256"/>
      <c r="X20" s="256"/>
      <c r="Y20" s="256"/>
      <c r="Z20" s="301"/>
      <c r="AA20" s="301"/>
      <c r="AB20" s="301"/>
      <c r="AC20" s="256"/>
      <c r="AD20" s="256"/>
      <c r="AE20" s="362">
        <v>0</v>
      </c>
      <c r="AF20" s="362">
        <v>0</v>
      </c>
      <c r="AG20" s="362">
        <v>0</v>
      </c>
      <c r="AH20" s="362">
        <v>0</v>
      </c>
      <c r="AI20" s="362">
        <v>0</v>
      </c>
      <c r="AJ20" s="362">
        <v>0</v>
      </c>
      <c r="AK20" s="362">
        <v>0</v>
      </c>
      <c r="AL20" s="362">
        <v>0</v>
      </c>
      <c r="AM20" s="362">
        <v>0</v>
      </c>
      <c r="AN20" s="362">
        <v>0</v>
      </c>
      <c r="AO20" s="362">
        <v>0</v>
      </c>
      <c r="AP20" s="362">
        <v>0</v>
      </c>
      <c r="AQ20" s="362">
        <v>0</v>
      </c>
      <c r="AR20" s="362">
        <v>0</v>
      </c>
      <c r="AS20" s="362">
        <v>0</v>
      </c>
      <c r="AT20" s="362">
        <v>0</v>
      </c>
      <c r="AU20" s="362">
        <v>0</v>
      </c>
      <c r="AV20" s="362">
        <v>0</v>
      </c>
      <c r="AW20" s="362">
        <v>0</v>
      </c>
      <c r="AX20" s="362">
        <v>0</v>
      </c>
      <c r="AY20" s="362">
        <v>0</v>
      </c>
      <c r="AZ20" s="362">
        <v>0</v>
      </c>
      <c r="BA20" s="362">
        <v>0</v>
      </c>
      <c r="BB20" s="362">
        <v>0</v>
      </c>
      <c r="BC20" s="362">
        <v>0</v>
      </c>
      <c r="BD20" s="362">
        <v>0</v>
      </c>
      <c r="BE20" s="362">
        <v>0</v>
      </c>
      <c r="BF20" s="362"/>
      <c r="BT20" s="438">
        <v>0</v>
      </c>
      <c r="BU20" s="440">
        <v>0</v>
      </c>
      <c r="BV20" s="440">
        <v>0</v>
      </c>
      <c r="BW20" s="440">
        <v>0</v>
      </c>
      <c r="BX20" s="438">
        <v>0</v>
      </c>
      <c r="BY20" s="485">
        <v>0</v>
      </c>
    </row>
    <row r="21" spans="1:77" s="145" customFormat="1">
      <c r="A21" s="169" t="s">
        <v>207</v>
      </c>
      <c r="B21" s="231">
        <f t="shared" ref="B21:P21" si="20">SUM(B22:B26)</f>
        <v>7304256</v>
      </c>
      <c r="C21" s="231">
        <f t="shared" si="20"/>
        <v>6162725</v>
      </c>
      <c r="D21" s="231">
        <f t="shared" si="20"/>
        <v>19918780.879999999</v>
      </c>
      <c r="E21" s="231">
        <f t="shared" si="20"/>
        <v>5779199.6999999993</v>
      </c>
      <c r="F21" s="231">
        <f t="shared" si="20"/>
        <v>11935236.640000001</v>
      </c>
      <c r="G21" s="231">
        <f t="shared" si="20"/>
        <v>5795379.7399999993</v>
      </c>
      <c r="H21" s="231">
        <f t="shared" si="20"/>
        <v>5623172.2299999995</v>
      </c>
      <c r="I21" s="231">
        <f t="shared" si="20"/>
        <v>5450995.1099999994</v>
      </c>
      <c r="J21" s="231">
        <f t="shared" si="20"/>
        <v>5292853.18</v>
      </c>
      <c r="K21" s="231">
        <f t="shared" si="20"/>
        <v>5140742.3099999996</v>
      </c>
      <c r="L21" s="231">
        <f t="shared" si="20"/>
        <v>4988659.2299999995</v>
      </c>
      <c r="M21" s="231">
        <f t="shared" si="20"/>
        <v>4836603.0599999996</v>
      </c>
      <c r="N21" s="231">
        <f t="shared" si="20"/>
        <v>4707848.01</v>
      </c>
      <c r="O21" s="231">
        <f t="shared" si="20"/>
        <v>4591226.6499999994</v>
      </c>
      <c r="P21" s="231">
        <f t="shared" si="20"/>
        <v>4515974</v>
      </c>
      <c r="Q21" s="189">
        <f t="shared" ref="Q21:V21" si="21">SUM(Q22:Q26)</f>
        <v>4263907</v>
      </c>
      <c r="R21" s="252">
        <f t="shared" si="21"/>
        <v>7005758.4100000001</v>
      </c>
      <c r="S21" s="252">
        <f t="shared" si="21"/>
        <v>7005759</v>
      </c>
      <c r="T21" s="252">
        <f t="shared" si="21"/>
        <v>7005758.4099999992</v>
      </c>
      <c r="U21" s="252">
        <f t="shared" si="21"/>
        <v>7005758.4699999997</v>
      </c>
      <c r="V21" s="252">
        <f t="shared" si="21"/>
        <v>6855145.9699999997</v>
      </c>
      <c r="W21" s="252">
        <f t="shared" ref="W21:AB21" si="22">SUM(W22:W26)</f>
        <v>6223465.2300000004</v>
      </c>
      <c r="X21" s="252">
        <f t="shared" si="22"/>
        <v>6843368.5800000001</v>
      </c>
      <c r="Y21" s="252">
        <f t="shared" si="22"/>
        <v>6621497.3699999992</v>
      </c>
      <c r="Z21" s="300">
        <f t="shared" si="22"/>
        <v>6393407.8799999999</v>
      </c>
      <c r="AA21" s="300">
        <f t="shared" si="22"/>
        <v>6200784.2599999998</v>
      </c>
      <c r="AB21" s="300">
        <f t="shared" si="22"/>
        <v>5982262.2299999995</v>
      </c>
      <c r="AC21" s="252">
        <f t="shared" ref="AC21:AJ21" si="23">SUM(AC22:AC26)</f>
        <v>5764844.8799999999</v>
      </c>
      <c r="AD21" s="252">
        <f t="shared" si="23"/>
        <v>5548403.2599999998</v>
      </c>
      <c r="AE21" s="252">
        <f t="shared" si="23"/>
        <v>5325780.8099999996</v>
      </c>
      <c r="AF21" s="252">
        <f t="shared" si="23"/>
        <v>5678927</v>
      </c>
      <c r="AG21" s="252">
        <f t="shared" si="23"/>
        <v>5309307.3600000003</v>
      </c>
      <c r="AH21" s="252">
        <f t="shared" si="23"/>
        <v>5454316.2400000002</v>
      </c>
      <c r="AI21" s="252">
        <f t="shared" si="23"/>
        <v>5337809.3099999996</v>
      </c>
      <c r="AJ21" s="374">
        <f t="shared" si="23"/>
        <v>5438298.1100000003</v>
      </c>
      <c r="AK21" s="374">
        <f t="shared" ref="AK21:BY21" si="24">SUM(AK22:AK26)</f>
        <v>5745545.3099999996</v>
      </c>
      <c r="AL21" s="374">
        <f t="shared" si="24"/>
        <v>6083773.5499999998</v>
      </c>
      <c r="AM21" s="374">
        <f t="shared" si="24"/>
        <v>0</v>
      </c>
      <c r="AN21" s="374">
        <f t="shared" si="24"/>
        <v>5831572.96</v>
      </c>
      <c r="AO21" s="374">
        <f t="shared" si="24"/>
        <v>5703357.4500000002</v>
      </c>
      <c r="AP21" s="374">
        <f t="shared" si="24"/>
        <v>5597291.8600000003</v>
      </c>
      <c r="AQ21" s="374">
        <f t="shared" si="24"/>
        <v>5867012.3899999997</v>
      </c>
      <c r="AR21" s="380">
        <f t="shared" si="24"/>
        <v>5726553.9800000004</v>
      </c>
      <c r="AS21" s="386">
        <f t="shared" si="24"/>
        <v>5726553</v>
      </c>
      <c r="AT21" s="386">
        <f t="shared" si="24"/>
        <v>22386207.48</v>
      </c>
      <c r="AU21" s="386">
        <f t="shared" si="24"/>
        <v>22260632.48</v>
      </c>
      <c r="AV21" s="386">
        <f t="shared" si="24"/>
        <v>22713311.419999998</v>
      </c>
      <c r="AW21" s="386">
        <f t="shared" si="24"/>
        <v>22712399.75</v>
      </c>
      <c r="AX21" s="386">
        <f t="shared" si="24"/>
        <v>22689154.940000001</v>
      </c>
      <c r="AY21" s="386">
        <f t="shared" si="24"/>
        <v>22428246.049999997</v>
      </c>
      <c r="AZ21" s="386">
        <f t="shared" si="24"/>
        <v>22217905.789999999</v>
      </c>
      <c r="BA21" s="386">
        <f t="shared" si="24"/>
        <v>23309906.029999997</v>
      </c>
      <c r="BB21" s="386">
        <f t="shared" si="24"/>
        <v>22744977.600000001</v>
      </c>
      <c r="BC21" s="386">
        <f t="shared" si="24"/>
        <v>22392841.930000003</v>
      </c>
      <c r="BD21" s="386">
        <f t="shared" si="24"/>
        <v>21886589.900000002</v>
      </c>
      <c r="BE21" s="386">
        <f t="shared" si="24"/>
        <v>22011222.810000002</v>
      </c>
      <c r="BF21" s="386">
        <f t="shared" si="24"/>
        <v>21864265</v>
      </c>
      <c r="BG21" s="386">
        <f t="shared" si="24"/>
        <v>21674799.259999998</v>
      </c>
      <c r="BH21" s="386">
        <f t="shared" si="24"/>
        <v>21614817.82</v>
      </c>
      <c r="BI21" s="386">
        <f t="shared" si="24"/>
        <v>21436189.210000001</v>
      </c>
      <c r="BJ21" s="386">
        <f t="shared" si="24"/>
        <v>21174200.039999999</v>
      </c>
      <c r="BK21" s="386">
        <f t="shared" si="24"/>
        <v>21150587.57</v>
      </c>
      <c r="BL21" s="386">
        <f t="shared" si="24"/>
        <v>21039125.599999998</v>
      </c>
      <c r="BM21" s="386">
        <f t="shared" si="24"/>
        <v>20995666.609999999</v>
      </c>
      <c r="BN21" s="386">
        <f t="shared" si="24"/>
        <v>20885950.940000001</v>
      </c>
      <c r="BO21" s="386">
        <f t="shared" si="24"/>
        <v>20745734.639999997</v>
      </c>
      <c r="BP21" s="386">
        <f t="shared" si="24"/>
        <v>20603728.969999999</v>
      </c>
      <c r="BQ21" s="386">
        <f t="shared" si="24"/>
        <v>20550585.300000001</v>
      </c>
      <c r="BR21" s="386">
        <f t="shared" si="24"/>
        <v>20587241.629999999</v>
      </c>
      <c r="BS21" s="386">
        <f t="shared" si="24"/>
        <v>20492241</v>
      </c>
      <c r="BT21" s="386">
        <f t="shared" si="24"/>
        <v>20379473.440000001</v>
      </c>
      <c r="BU21" s="386">
        <f t="shared" si="24"/>
        <v>20318653.25</v>
      </c>
      <c r="BV21" s="386">
        <f t="shared" si="24"/>
        <v>20178807.639999997</v>
      </c>
      <c r="BW21" s="386">
        <f t="shared" si="24"/>
        <v>20048658.870000001</v>
      </c>
      <c r="BX21" s="386">
        <f t="shared" si="24"/>
        <v>19971246.120000001</v>
      </c>
      <c r="BY21" s="386">
        <f t="shared" si="24"/>
        <v>19902137.670000002</v>
      </c>
    </row>
    <row r="22" spans="1:77" ht="15">
      <c r="A22" s="170" t="s">
        <v>208</v>
      </c>
      <c r="B22" s="223"/>
      <c r="C22" s="146"/>
      <c r="D22" s="187"/>
      <c r="E22" s="187"/>
      <c r="F22" s="187">
        <v>5967618.3200000003</v>
      </c>
      <c r="G22" s="146"/>
      <c r="H22" s="146"/>
      <c r="I22" s="146"/>
      <c r="J22" s="187"/>
      <c r="K22" s="187"/>
      <c r="L22" s="187"/>
      <c r="M22" s="187"/>
      <c r="N22" s="187"/>
      <c r="O22" s="187"/>
      <c r="P22" s="146"/>
      <c r="Q22" s="149"/>
      <c r="R22" s="256"/>
      <c r="S22" s="256"/>
      <c r="T22" s="256"/>
      <c r="U22" s="256"/>
      <c r="V22" s="256"/>
      <c r="W22" s="256">
        <v>0</v>
      </c>
      <c r="X22" s="256"/>
      <c r="Y22" s="256">
        <v>0</v>
      </c>
      <c r="Z22" s="301">
        <v>0</v>
      </c>
      <c r="AA22" s="301"/>
      <c r="AB22" s="301"/>
      <c r="AC22" s="256"/>
      <c r="AD22" s="256"/>
      <c r="AE22" s="256"/>
      <c r="AF22" s="256"/>
      <c r="AG22" s="362">
        <v>0</v>
      </c>
      <c r="AH22" s="362">
        <v>0</v>
      </c>
      <c r="AI22" s="362">
        <v>0</v>
      </c>
      <c r="AJ22" s="362">
        <v>0</v>
      </c>
      <c r="AK22" s="362">
        <v>0</v>
      </c>
      <c r="AL22" s="362">
        <v>0</v>
      </c>
      <c r="AM22" s="362"/>
      <c r="AN22" s="362">
        <v>0</v>
      </c>
      <c r="AO22" s="362">
        <v>0</v>
      </c>
      <c r="AP22" s="362">
        <v>0</v>
      </c>
      <c r="AQ22" s="362">
        <v>0</v>
      </c>
      <c r="AR22" s="379">
        <v>0</v>
      </c>
      <c r="AS22" s="382"/>
      <c r="AT22" s="362">
        <v>0</v>
      </c>
      <c r="AU22" s="362">
        <v>0</v>
      </c>
      <c r="AV22" s="362">
        <v>0</v>
      </c>
      <c r="AW22" s="362">
        <v>0</v>
      </c>
      <c r="AX22" s="362">
        <v>0</v>
      </c>
      <c r="AY22" s="362">
        <v>0</v>
      </c>
      <c r="AZ22" s="362">
        <v>0</v>
      </c>
      <c r="BA22" s="362">
        <v>0</v>
      </c>
      <c r="BB22" s="362">
        <v>0</v>
      </c>
      <c r="BC22" s="362">
        <v>0</v>
      </c>
      <c r="BD22" s="362">
        <v>0</v>
      </c>
      <c r="BE22" s="362">
        <v>0</v>
      </c>
      <c r="BF22" s="149"/>
      <c r="BG22" s="143">
        <v>0</v>
      </c>
      <c r="BH22" s="143">
        <v>0</v>
      </c>
      <c r="BI22" s="143">
        <v>0</v>
      </c>
      <c r="BJ22" s="143">
        <v>0</v>
      </c>
      <c r="BK22" s="143">
        <v>0</v>
      </c>
      <c r="BL22" s="143">
        <v>0</v>
      </c>
      <c r="BM22" s="143">
        <v>0</v>
      </c>
      <c r="BN22" s="143">
        <v>0</v>
      </c>
      <c r="BO22" s="143">
        <v>0</v>
      </c>
      <c r="BP22" s="143">
        <v>0</v>
      </c>
      <c r="BQ22" s="143">
        <v>0</v>
      </c>
      <c r="BR22" s="143">
        <v>0</v>
      </c>
      <c r="BT22" s="434">
        <v>0</v>
      </c>
      <c r="BU22" s="436">
        <v>0</v>
      </c>
      <c r="BV22" s="436">
        <v>0</v>
      </c>
      <c r="BW22" s="436">
        <v>0</v>
      </c>
      <c r="BX22" s="434">
        <v>0</v>
      </c>
      <c r="BY22" s="483">
        <v>0</v>
      </c>
    </row>
    <row r="23" spans="1:77" ht="15">
      <c r="A23" s="170" t="s">
        <v>209</v>
      </c>
      <c r="B23" s="223">
        <v>7304256</v>
      </c>
      <c r="C23" s="146">
        <v>6162725</v>
      </c>
      <c r="D23" s="187">
        <v>5970994.9500000002</v>
      </c>
      <c r="E23" s="187">
        <v>5779199.6399999997</v>
      </c>
      <c r="F23" s="187">
        <v>5967618.2599999998</v>
      </c>
      <c r="G23" s="146">
        <v>5795379.6799999997</v>
      </c>
      <c r="H23" s="146">
        <v>5623172.1699999999</v>
      </c>
      <c r="I23" s="146">
        <v>5450995.0499999998</v>
      </c>
      <c r="J23" s="187">
        <v>5292853.18</v>
      </c>
      <c r="K23" s="187">
        <v>5140742.3099999996</v>
      </c>
      <c r="L23" s="187">
        <v>4988659.17</v>
      </c>
      <c r="M23" s="187">
        <v>4836603</v>
      </c>
      <c r="N23" s="187">
        <v>4707847.95</v>
      </c>
      <c r="O23" s="187">
        <v>4591226.59</v>
      </c>
      <c r="P23" s="146">
        <v>4412031</v>
      </c>
      <c r="Q23" s="146">
        <v>4263907</v>
      </c>
      <c r="R23" s="256">
        <v>7005758.4100000001</v>
      </c>
      <c r="S23" s="256">
        <v>3048281</v>
      </c>
      <c r="T23" s="256">
        <v>7005758.3499999996</v>
      </c>
      <c r="U23" s="256">
        <v>7005758.4100000001</v>
      </c>
      <c r="V23" s="256">
        <v>6855145.9100000001</v>
      </c>
      <c r="W23" s="256">
        <v>6223465.2300000004</v>
      </c>
      <c r="X23" s="256">
        <v>6843368.5800000001</v>
      </c>
      <c r="Y23" s="256">
        <v>6621497.3099999996</v>
      </c>
      <c r="Z23" s="301">
        <v>6393407.8799999999</v>
      </c>
      <c r="AA23" s="301">
        <v>6200784.2000000002</v>
      </c>
      <c r="AB23" s="301">
        <v>5982262.1699999999</v>
      </c>
      <c r="AC23" s="256">
        <v>5764844.8200000003</v>
      </c>
      <c r="AD23" s="256">
        <v>5548403.2599999998</v>
      </c>
      <c r="AE23" s="256">
        <v>5325780.8099999996</v>
      </c>
      <c r="AF23" s="256">
        <v>2426053</v>
      </c>
      <c r="AG23" s="362">
        <v>5309307.3600000003</v>
      </c>
      <c r="AH23" s="362">
        <v>5454316.2400000002</v>
      </c>
      <c r="AI23" s="362">
        <v>5337809.3099999996</v>
      </c>
      <c r="AJ23" s="362">
        <v>5438298.1100000003</v>
      </c>
      <c r="AK23" s="362">
        <v>5745545.3099999996</v>
      </c>
      <c r="AL23" s="362">
        <v>6083773.5499999998</v>
      </c>
      <c r="AM23" s="362"/>
      <c r="AN23" s="362">
        <v>5831572.96</v>
      </c>
      <c r="AO23" s="362">
        <v>5703357.4500000002</v>
      </c>
      <c r="AP23" s="362">
        <v>5597291.8600000003</v>
      </c>
      <c r="AQ23" s="362">
        <v>5867012.3899999997</v>
      </c>
      <c r="AR23" s="379">
        <v>5726553.9800000004</v>
      </c>
      <c r="AS23" s="382">
        <v>3186216</v>
      </c>
      <c r="AT23" s="362">
        <v>20168526.43</v>
      </c>
      <c r="AU23" s="362">
        <v>20101877.850000001</v>
      </c>
      <c r="AV23" s="362">
        <v>20625198.02</v>
      </c>
      <c r="AW23" s="362">
        <v>20701977.690000001</v>
      </c>
      <c r="AX23" s="362">
        <v>20625583.359999999</v>
      </c>
      <c r="AY23" s="362">
        <v>20559911.109999999</v>
      </c>
      <c r="AZ23" s="362">
        <v>20478357.16</v>
      </c>
      <c r="BA23" s="362">
        <v>20401900.329999998</v>
      </c>
      <c r="BB23" s="362">
        <v>20325443.5</v>
      </c>
      <c r="BC23" s="362">
        <v>20248986.670000002</v>
      </c>
      <c r="BD23" s="362">
        <v>20172529.84</v>
      </c>
      <c r="BE23" s="362">
        <v>20096073.010000002</v>
      </c>
      <c r="BF23" s="408">
        <v>20096073</v>
      </c>
      <c r="BG23" s="143">
        <v>20036234.609999999</v>
      </c>
      <c r="BH23" s="143">
        <v>20074312.879999999</v>
      </c>
      <c r="BI23" s="143">
        <v>20013432.809999999</v>
      </c>
      <c r="BJ23" s="143">
        <v>19952552.739999998</v>
      </c>
      <c r="BK23" s="143">
        <v>19983573.190000001</v>
      </c>
      <c r="BL23" s="143">
        <v>19921683.219999999</v>
      </c>
      <c r="BM23" s="143">
        <v>19937425.75</v>
      </c>
      <c r="BN23" s="143">
        <v>19873183.280000001</v>
      </c>
      <c r="BO23" s="143">
        <v>19808940.809999999</v>
      </c>
      <c r="BP23" s="143">
        <v>19744698.34</v>
      </c>
      <c r="BQ23" s="143">
        <v>19680455.870000001</v>
      </c>
      <c r="BR23" s="143">
        <v>19752713.399999999</v>
      </c>
      <c r="BS23" s="432">
        <v>19752713</v>
      </c>
      <c r="BT23" s="439">
        <v>19699566.41</v>
      </c>
      <c r="BU23" s="441">
        <v>19646419.420000002</v>
      </c>
      <c r="BV23" s="441">
        <v>19593272.43</v>
      </c>
      <c r="BW23" s="441">
        <v>19540125.440000001</v>
      </c>
      <c r="BX23" s="439">
        <v>19516978.449999999</v>
      </c>
      <c r="BY23" s="486">
        <v>19463831.460000001</v>
      </c>
    </row>
    <row r="24" spans="1:77" ht="15">
      <c r="A24" s="170" t="s">
        <v>210</v>
      </c>
      <c r="B24" s="223"/>
      <c r="C24" s="146"/>
      <c r="D24" s="187"/>
      <c r="E24" s="187">
        <v>0</v>
      </c>
      <c r="F24" s="187"/>
      <c r="G24" s="146"/>
      <c r="H24" s="146"/>
      <c r="I24" s="146"/>
      <c r="J24" s="187"/>
      <c r="K24" s="187"/>
      <c r="L24" s="187"/>
      <c r="M24" s="187"/>
      <c r="N24" s="187"/>
      <c r="O24" s="187"/>
      <c r="P24" s="146"/>
      <c r="Q24" s="149"/>
      <c r="R24" s="256"/>
      <c r="S24" s="256"/>
      <c r="T24" s="256"/>
      <c r="U24" s="256">
        <v>0</v>
      </c>
      <c r="V24" s="256"/>
      <c r="W24" s="256"/>
      <c r="X24" s="256"/>
      <c r="Y24" s="256"/>
      <c r="Z24" s="301"/>
      <c r="AA24" s="301"/>
      <c r="AB24" s="301"/>
      <c r="AC24" s="256"/>
      <c r="AD24" s="256"/>
      <c r="AE24" s="362">
        <v>0</v>
      </c>
      <c r="AF24" s="362">
        <v>0</v>
      </c>
      <c r="AG24" s="362">
        <v>0</v>
      </c>
      <c r="AH24" s="362">
        <v>0</v>
      </c>
      <c r="AI24" s="362">
        <v>0</v>
      </c>
      <c r="AJ24" s="362">
        <v>0</v>
      </c>
      <c r="AK24" s="362">
        <v>0</v>
      </c>
      <c r="AL24" s="362">
        <v>0</v>
      </c>
      <c r="AM24" s="362">
        <v>0</v>
      </c>
      <c r="AN24" s="362">
        <v>0</v>
      </c>
      <c r="AO24" s="362">
        <v>0</v>
      </c>
      <c r="AP24" s="362">
        <v>0</v>
      </c>
      <c r="AQ24" s="362">
        <v>0</v>
      </c>
      <c r="AR24" s="362">
        <v>0</v>
      </c>
      <c r="AS24" s="362">
        <v>0</v>
      </c>
      <c r="AT24" s="362">
        <v>0</v>
      </c>
      <c r="AU24" s="362">
        <v>0</v>
      </c>
      <c r="AV24" s="362">
        <v>0</v>
      </c>
      <c r="AW24" s="362">
        <v>0</v>
      </c>
      <c r="AX24" s="362">
        <v>0</v>
      </c>
      <c r="AY24" s="362">
        <v>0</v>
      </c>
      <c r="AZ24" s="362">
        <v>0</v>
      </c>
      <c r="BA24" s="362">
        <v>0</v>
      </c>
      <c r="BB24" s="362">
        <v>0</v>
      </c>
      <c r="BC24" s="362">
        <v>0</v>
      </c>
      <c r="BD24" s="362">
        <v>0</v>
      </c>
      <c r="BE24" s="362">
        <v>0</v>
      </c>
      <c r="BF24" s="362"/>
      <c r="BG24" s="143">
        <v>0</v>
      </c>
      <c r="BH24" s="143">
        <v>0</v>
      </c>
      <c r="BI24" s="143">
        <v>0</v>
      </c>
      <c r="BJ24" s="143">
        <v>0</v>
      </c>
      <c r="BK24" s="143">
        <v>0</v>
      </c>
      <c r="BL24" s="143">
        <v>0</v>
      </c>
      <c r="BM24" s="143">
        <v>0</v>
      </c>
      <c r="BN24" s="143">
        <v>0</v>
      </c>
      <c r="BO24" s="143">
        <v>0</v>
      </c>
      <c r="BP24" s="143">
        <v>0</v>
      </c>
      <c r="BQ24" s="143">
        <v>0</v>
      </c>
      <c r="BR24" s="143">
        <v>0</v>
      </c>
      <c r="BT24" s="438">
        <v>0</v>
      </c>
      <c r="BU24" s="440">
        <v>0</v>
      </c>
      <c r="BV24" s="440">
        <v>0</v>
      </c>
      <c r="BW24" s="440">
        <v>0</v>
      </c>
      <c r="BX24" s="438">
        <v>0</v>
      </c>
      <c r="BY24" s="485">
        <v>0</v>
      </c>
    </row>
    <row r="25" spans="1:77" ht="15">
      <c r="A25" s="170" t="s">
        <v>211</v>
      </c>
      <c r="B25" s="223"/>
      <c r="C25" s="146"/>
      <c r="D25" s="187"/>
      <c r="E25" s="187">
        <v>0</v>
      </c>
      <c r="F25" s="187"/>
      <c r="G25" s="146"/>
      <c r="H25" s="146"/>
      <c r="I25" s="146"/>
      <c r="J25" s="187"/>
      <c r="K25" s="187"/>
      <c r="L25" s="187"/>
      <c r="M25" s="187"/>
      <c r="N25" s="187"/>
      <c r="O25" s="187"/>
      <c r="P25" s="146">
        <v>103943</v>
      </c>
      <c r="Q25" s="146"/>
      <c r="R25" s="256"/>
      <c r="S25" s="256">
        <v>3957478</v>
      </c>
      <c r="T25" s="256"/>
      <c r="U25" s="256">
        <v>0</v>
      </c>
      <c r="V25" s="256"/>
      <c r="W25" s="256"/>
      <c r="X25" s="256"/>
      <c r="Y25" s="256"/>
      <c r="Z25" s="301"/>
      <c r="AA25" s="301"/>
      <c r="AB25" s="301"/>
      <c r="AC25" s="256"/>
      <c r="AD25" s="256"/>
      <c r="AE25" s="362">
        <v>0</v>
      </c>
      <c r="AF25" s="256">
        <v>3252874</v>
      </c>
      <c r="AG25" s="362">
        <v>0</v>
      </c>
      <c r="AH25" s="362">
        <v>0</v>
      </c>
      <c r="AI25" s="362">
        <v>0</v>
      </c>
      <c r="AJ25" s="362">
        <v>0</v>
      </c>
      <c r="AK25" s="362">
        <v>0</v>
      </c>
      <c r="AL25" s="362">
        <v>0</v>
      </c>
      <c r="AM25" s="362"/>
      <c r="AN25" s="362">
        <v>0</v>
      </c>
      <c r="AO25" s="362">
        <v>0</v>
      </c>
      <c r="AP25" s="362">
        <v>0</v>
      </c>
      <c r="AQ25" s="362">
        <v>0</v>
      </c>
      <c r="AR25" s="379">
        <v>0</v>
      </c>
      <c r="AS25" s="382">
        <v>2540337</v>
      </c>
      <c r="AT25" s="362">
        <v>2093873.44</v>
      </c>
      <c r="AU25" s="362">
        <v>2034054.63</v>
      </c>
      <c r="AV25" s="362">
        <v>1975153.43</v>
      </c>
      <c r="AW25" s="362">
        <v>1916252.23</v>
      </c>
      <c r="AX25" s="362">
        <v>1857351.03</v>
      </c>
      <c r="AY25" s="362">
        <v>1802376.58</v>
      </c>
      <c r="AZ25" s="362">
        <v>1739548.63</v>
      </c>
      <c r="BA25" s="362">
        <v>1680647.43</v>
      </c>
      <c r="BB25" s="362">
        <v>1621746.23</v>
      </c>
      <c r="BC25" s="362">
        <v>1562845.03</v>
      </c>
      <c r="BD25" s="362">
        <v>1503943.83</v>
      </c>
      <c r="BE25" s="362">
        <v>1445042.63</v>
      </c>
      <c r="BF25" s="408">
        <f>1445042</f>
        <v>1445042</v>
      </c>
      <c r="BG25" s="143">
        <v>1386141.43</v>
      </c>
      <c r="BH25" s="143">
        <v>1327240.23</v>
      </c>
      <c r="BI25" s="143">
        <v>1268339.03</v>
      </c>
      <c r="BJ25" s="143">
        <v>1209437.83</v>
      </c>
      <c r="BK25" s="143">
        <v>1150536.6299999999</v>
      </c>
      <c r="BL25" s="143">
        <v>1091635.43</v>
      </c>
      <c r="BM25" s="143">
        <v>1032734.23</v>
      </c>
      <c r="BN25" s="143">
        <v>973833.03</v>
      </c>
      <c r="BO25" s="143">
        <v>914931.83</v>
      </c>
      <c r="BP25" s="143">
        <v>856030.63</v>
      </c>
      <c r="BQ25" s="143">
        <v>797129.43</v>
      </c>
      <c r="BR25" s="143">
        <v>738228.23</v>
      </c>
      <c r="BS25" s="432">
        <v>738228</v>
      </c>
      <c r="BT25" s="439">
        <v>679327.03</v>
      </c>
      <c r="BU25" s="441">
        <v>620425.82999999996</v>
      </c>
      <c r="BV25" s="441">
        <v>561524.63</v>
      </c>
      <c r="BW25" s="441">
        <v>502623.43</v>
      </c>
      <c r="BX25" s="439">
        <v>443722.23</v>
      </c>
      <c r="BY25" s="486">
        <v>384821.03</v>
      </c>
    </row>
    <row r="26" spans="1:77" ht="15">
      <c r="A26" s="170" t="s">
        <v>212</v>
      </c>
      <c r="B26" s="223"/>
      <c r="C26" s="146"/>
      <c r="D26" s="187">
        <v>13947785.93</v>
      </c>
      <c r="E26" s="146">
        <v>0.06</v>
      </c>
      <c r="F26" s="146">
        <v>0.06</v>
      </c>
      <c r="G26" s="146">
        <v>0.06</v>
      </c>
      <c r="H26" s="146">
        <v>0.06</v>
      </c>
      <c r="I26" s="146">
        <v>0.06</v>
      </c>
      <c r="J26" s="187"/>
      <c r="K26" s="187"/>
      <c r="L26" s="187">
        <v>0.06</v>
      </c>
      <c r="M26" s="187">
        <v>0.06</v>
      </c>
      <c r="N26" s="187">
        <v>0.06</v>
      </c>
      <c r="O26" s="187">
        <v>0.06</v>
      </c>
      <c r="P26" s="146"/>
      <c r="Q26" s="149"/>
      <c r="R26" s="256"/>
      <c r="S26" s="256"/>
      <c r="T26" s="256">
        <v>0.06</v>
      </c>
      <c r="U26" s="256">
        <v>0.06</v>
      </c>
      <c r="V26" s="256">
        <v>0.06</v>
      </c>
      <c r="W26" s="256">
        <v>0</v>
      </c>
      <c r="X26" s="256"/>
      <c r="Y26" s="256">
        <v>0.06</v>
      </c>
      <c r="Z26" s="301"/>
      <c r="AA26" s="301">
        <v>0.06</v>
      </c>
      <c r="AB26" s="301">
        <v>0.06</v>
      </c>
      <c r="AC26" s="256">
        <v>0.06</v>
      </c>
      <c r="AD26" s="256"/>
      <c r="AE26" s="362">
        <v>0</v>
      </c>
      <c r="AF26" s="362">
        <v>0</v>
      </c>
      <c r="AG26" s="362">
        <v>0</v>
      </c>
      <c r="AH26" s="362">
        <v>0</v>
      </c>
      <c r="AI26" s="362">
        <v>0</v>
      </c>
      <c r="AJ26" s="362">
        <v>0</v>
      </c>
      <c r="AK26" s="362">
        <v>0</v>
      </c>
      <c r="AL26" s="362">
        <v>0</v>
      </c>
      <c r="AM26" s="362">
        <v>0</v>
      </c>
      <c r="AN26" s="362">
        <v>0</v>
      </c>
      <c r="AO26" s="362">
        <v>0</v>
      </c>
      <c r="AP26" s="362">
        <v>0</v>
      </c>
      <c r="AQ26" s="362">
        <v>0</v>
      </c>
      <c r="AR26" s="362">
        <v>0</v>
      </c>
      <c r="AS26" s="362">
        <v>0</v>
      </c>
      <c r="AT26" s="362">
        <v>123807.61</v>
      </c>
      <c r="AU26" s="362">
        <v>124700</v>
      </c>
      <c r="AV26" s="362">
        <v>112959.97</v>
      </c>
      <c r="AW26" s="362">
        <v>94169.83</v>
      </c>
      <c r="AX26" s="362">
        <v>206220.55</v>
      </c>
      <c r="AY26" s="362">
        <v>65958.36</v>
      </c>
      <c r="AZ26" s="362">
        <v>0</v>
      </c>
      <c r="BA26" s="362">
        <v>1227358.27</v>
      </c>
      <c r="BB26" s="362">
        <v>797787.87</v>
      </c>
      <c r="BC26" s="362">
        <v>581010.23</v>
      </c>
      <c r="BD26" s="362">
        <v>210116.23</v>
      </c>
      <c r="BE26" s="362">
        <v>470107.17</v>
      </c>
      <c r="BF26" s="362">
        <f>323150</f>
        <v>323150</v>
      </c>
      <c r="BG26" s="143">
        <v>252423.22</v>
      </c>
      <c r="BH26" s="143">
        <v>213264.71</v>
      </c>
      <c r="BI26" s="143">
        <v>154417.37</v>
      </c>
      <c r="BJ26" s="143">
        <v>12209.47</v>
      </c>
      <c r="BK26" s="143">
        <v>16477.75</v>
      </c>
      <c r="BL26" s="143">
        <v>25806.95</v>
      </c>
      <c r="BM26" s="143">
        <v>25506.63</v>
      </c>
      <c r="BN26" s="143">
        <v>38934.629999999997</v>
      </c>
      <c r="BO26" s="143">
        <v>21862</v>
      </c>
      <c r="BP26" s="143">
        <v>3000</v>
      </c>
      <c r="BQ26" s="143">
        <v>73000</v>
      </c>
      <c r="BR26" s="143">
        <v>96300</v>
      </c>
      <c r="BS26" s="432">
        <v>1300</v>
      </c>
      <c r="BT26" s="438">
        <v>580</v>
      </c>
      <c r="BU26" s="441">
        <v>51808</v>
      </c>
      <c r="BV26" s="441">
        <v>24010.58</v>
      </c>
      <c r="BW26" s="441">
        <v>5910</v>
      </c>
      <c r="BX26" s="439">
        <v>10545.44</v>
      </c>
      <c r="BY26" s="486">
        <v>53485.18</v>
      </c>
    </row>
    <row r="27" spans="1:77" s="145" customFormat="1">
      <c r="A27" s="169" t="s">
        <v>65</v>
      </c>
      <c r="B27" s="228">
        <f t="shared" ref="B27:BM27" si="25">B4+B7+B8+B14+B17+B21</f>
        <v>409574162</v>
      </c>
      <c r="C27" s="228">
        <f t="shared" si="25"/>
        <v>424339220</v>
      </c>
      <c r="D27" s="228">
        <f t="shared" si="25"/>
        <v>463518893.97999996</v>
      </c>
      <c r="E27" s="228">
        <f t="shared" si="25"/>
        <v>456370932.63</v>
      </c>
      <c r="F27" s="228">
        <f t="shared" si="25"/>
        <v>436833618.45000005</v>
      </c>
      <c r="G27" s="228">
        <f t="shared" si="25"/>
        <v>423118738.82000005</v>
      </c>
      <c r="H27" s="228">
        <f t="shared" si="25"/>
        <v>422864430.70000005</v>
      </c>
      <c r="I27" s="228">
        <f t="shared" si="25"/>
        <v>409272796.10000008</v>
      </c>
      <c r="J27" s="228">
        <f t="shared" si="25"/>
        <v>410166433.89000005</v>
      </c>
      <c r="K27" s="228">
        <f t="shared" si="25"/>
        <v>410473764.24000001</v>
      </c>
      <c r="L27" s="228">
        <f t="shared" si="25"/>
        <v>420159848.00999999</v>
      </c>
      <c r="M27" s="228">
        <f t="shared" si="25"/>
        <v>417762020.47999996</v>
      </c>
      <c r="N27" s="228">
        <f t="shared" si="25"/>
        <v>422232420.28999996</v>
      </c>
      <c r="O27" s="228">
        <f t="shared" si="25"/>
        <v>424515450.63</v>
      </c>
      <c r="P27" s="228">
        <f t="shared" si="25"/>
        <v>431325354</v>
      </c>
      <c r="Q27" s="232">
        <f t="shared" si="25"/>
        <v>475771543</v>
      </c>
      <c r="R27" s="252">
        <f t="shared" si="25"/>
        <v>624416656.98000002</v>
      </c>
      <c r="S27" s="252">
        <f t="shared" si="25"/>
        <v>590186392</v>
      </c>
      <c r="T27" s="252">
        <f t="shared" si="25"/>
        <v>602313936.84000003</v>
      </c>
      <c r="U27" s="252">
        <f t="shared" si="25"/>
        <v>626251080.43000007</v>
      </c>
      <c r="V27" s="252">
        <f t="shared" si="25"/>
        <v>598286974.44000006</v>
      </c>
      <c r="W27" s="252">
        <f t="shared" si="25"/>
        <v>589072781.48000002</v>
      </c>
      <c r="X27" s="252">
        <f t="shared" si="25"/>
        <v>617101547.82000005</v>
      </c>
      <c r="Y27" s="252">
        <f t="shared" si="25"/>
        <v>604177230.95000005</v>
      </c>
      <c r="Z27" s="300">
        <f t="shared" si="25"/>
        <v>631814630.22000003</v>
      </c>
      <c r="AA27" s="300">
        <f t="shared" si="25"/>
        <v>629463639.5200001</v>
      </c>
      <c r="AB27" s="300">
        <f t="shared" si="25"/>
        <v>637643842.58999991</v>
      </c>
      <c r="AC27" s="252">
        <f t="shared" si="25"/>
        <v>642872540.48000002</v>
      </c>
      <c r="AD27" s="252">
        <f t="shared" si="25"/>
        <v>646572361.51999998</v>
      </c>
      <c r="AE27" s="252">
        <f t="shared" si="25"/>
        <v>659106693.63999999</v>
      </c>
      <c r="AF27" s="252">
        <f t="shared" si="25"/>
        <v>659596375</v>
      </c>
      <c r="AG27" s="252">
        <f t="shared" si="25"/>
        <v>685938268.29999995</v>
      </c>
      <c r="AH27" s="252">
        <f t="shared" si="25"/>
        <v>668369982.31999993</v>
      </c>
      <c r="AI27" s="252">
        <f t="shared" si="25"/>
        <v>676840060.07000005</v>
      </c>
      <c r="AJ27" s="374">
        <f t="shared" si="25"/>
        <v>666987894.52999997</v>
      </c>
      <c r="AK27" s="374">
        <f t="shared" si="25"/>
        <v>679875518.42999983</v>
      </c>
      <c r="AL27" s="374">
        <f t="shared" si="25"/>
        <v>686729197.43999994</v>
      </c>
      <c r="AM27" s="374">
        <f t="shared" si="25"/>
        <v>0</v>
      </c>
      <c r="AN27" s="374">
        <f t="shared" si="25"/>
        <v>696237684.1500001</v>
      </c>
      <c r="AO27" s="374">
        <f t="shared" si="25"/>
        <v>700759906.63999999</v>
      </c>
      <c r="AP27" s="374">
        <f t="shared" si="25"/>
        <v>707552107.40999985</v>
      </c>
      <c r="AQ27" s="374">
        <f t="shared" si="25"/>
        <v>716864469.96000004</v>
      </c>
      <c r="AR27" s="374">
        <f t="shared" si="25"/>
        <v>732142200.31999993</v>
      </c>
      <c r="AS27" s="386">
        <f t="shared" si="25"/>
        <v>728596193.74000001</v>
      </c>
      <c r="AT27" s="386">
        <f t="shared" si="25"/>
        <v>222971386.83000001</v>
      </c>
      <c r="AU27" s="386">
        <f t="shared" si="25"/>
        <v>223449595.16999999</v>
      </c>
      <c r="AV27" s="386">
        <f t="shared" si="25"/>
        <v>225575565.28999996</v>
      </c>
      <c r="AW27" s="386">
        <f t="shared" si="25"/>
        <v>227687814.03</v>
      </c>
      <c r="AX27" s="386">
        <f t="shared" si="25"/>
        <v>230417404.75999999</v>
      </c>
      <c r="AY27" s="386">
        <f t="shared" si="25"/>
        <v>233252906.31</v>
      </c>
      <c r="AZ27" s="386">
        <f t="shared" si="25"/>
        <v>239170845.47999999</v>
      </c>
      <c r="BA27" s="386">
        <f t="shared" si="25"/>
        <v>245360110.06</v>
      </c>
      <c r="BB27" s="386">
        <f t="shared" si="25"/>
        <v>247973790.12999997</v>
      </c>
      <c r="BC27" s="386">
        <f t="shared" si="25"/>
        <v>250998081.977</v>
      </c>
      <c r="BD27" s="386">
        <f t="shared" si="25"/>
        <v>250750833.87</v>
      </c>
      <c r="BE27" s="386">
        <f t="shared" si="25"/>
        <v>250080391.41000003</v>
      </c>
      <c r="BF27" s="386">
        <f t="shared" si="25"/>
        <v>247636263</v>
      </c>
      <c r="BG27" s="386">
        <f t="shared" si="25"/>
        <v>252132289.19</v>
      </c>
      <c r="BH27" s="386">
        <f t="shared" si="25"/>
        <v>253884737.35999998</v>
      </c>
      <c r="BI27" s="386">
        <f t="shared" si="25"/>
        <v>259149243.53999999</v>
      </c>
      <c r="BJ27" s="386">
        <f t="shared" si="25"/>
        <v>251740979.97</v>
      </c>
      <c r="BK27" s="386">
        <f t="shared" si="25"/>
        <v>252901890.69999999</v>
      </c>
      <c r="BL27" s="386">
        <f t="shared" si="25"/>
        <v>267349758.52000001</v>
      </c>
      <c r="BM27" s="386">
        <f t="shared" si="25"/>
        <v>274071545.31999999</v>
      </c>
      <c r="BN27" s="386">
        <f t="shared" ref="BN27:BY27" si="26">BN4+BN7+BN8+BN14+BN17+BN21</f>
        <v>280906317.19999999</v>
      </c>
      <c r="BO27" s="386">
        <f t="shared" si="26"/>
        <v>284820525.98000002</v>
      </c>
      <c r="BP27" s="386">
        <f t="shared" si="26"/>
        <v>291706738.02999997</v>
      </c>
      <c r="BQ27" s="386">
        <f t="shared" si="26"/>
        <v>299083116.06</v>
      </c>
      <c r="BR27" s="386">
        <f t="shared" si="26"/>
        <v>315031481.99000001</v>
      </c>
      <c r="BS27" s="386">
        <f t="shared" si="26"/>
        <v>309621076</v>
      </c>
      <c r="BT27" s="386">
        <f t="shared" si="26"/>
        <v>326975393.67000002</v>
      </c>
      <c r="BU27" s="386">
        <f t="shared" si="26"/>
        <v>327772382.37</v>
      </c>
      <c r="BV27" s="386">
        <f t="shared" si="26"/>
        <v>325950580.26999998</v>
      </c>
      <c r="BW27" s="386">
        <f t="shared" si="26"/>
        <v>329536664.52999997</v>
      </c>
      <c r="BX27" s="386">
        <f t="shared" si="26"/>
        <v>330564566.08000004</v>
      </c>
      <c r="BY27" s="386">
        <f t="shared" si="26"/>
        <v>343995523.17000002</v>
      </c>
    </row>
    <row r="28" spans="1:77">
      <c r="A28" s="177" t="s">
        <v>213</v>
      </c>
      <c r="B28" s="223"/>
      <c r="C28" s="146"/>
      <c r="D28" s="187"/>
      <c r="E28" s="187"/>
      <c r="F28" s="187"/>
      <c r="G28" s="146"/>
      <c r="H28" s="146"/>
      <c r="I28" s="146"/>
      <c r="J28" s="187"/>
      <c r="K28" s="187"/>
      <c r="L28" s="187"/>
      <c r="M28" s="187"/>
      <c r="N28" s="187"/>
      <c r="O28" s="187"/>
      <c r="P28" s="146"/>
      <c r="Q28" s="149"/>
      <c r="R28" s="256"/>
      <c r="S28" s="256"/>
      <c r="T28" s="256"/>
      <c r="U28" s="256"/>
      <c r="V28" s="256"/>
      <c r="W28" s="256"/>
      <c r="X28" s="256"/>
      <c r="Y28" s="256"/>
      <c r="Z28" s="301"/>
      <c r="AA28" s="301"/>
      <c r="AB28" s="301"/>
      <c r="AC28" s="256"/>
      <c r="AD28" s="256"/>
      <c r="AE28" s="256"/>
      <c r="AF28" s="256"/>
      <c r="AK28" s="223"/>
      <c r="AL28" s="223"/>
      <c r="AM28" s="223"/>
      <c r="AN28" s="223"/>
      <c r="AO28" s="223"/>
      <c r="AP28" s="223"/>
      <c r="AQ28" s="223"/>
      <c r="AR28" s="223"/>
      <c r="AS28" s="146"/>
      <c r="AT28" s="146"/>
      <c r="AU28" s="146"/>
      <c r="AV28" s="146"/>
      <c r="AW28" s="146"/>
      <c r="AX28" s="146"/>
      <c r="AY28" s="146"/>
      <c r="AZ28" s="146"/>
      <c r="BA28" s="146"/>
      <c r="BB28" s="146"/>
      <c r="BC28" s="146"/>
      <c r="BD28" s="146"/>
      <c r="BE28" s="146"/>
      <c r="BF28" s="149"/>
    </row>
    <row r="29" spans="1:77" ht="15">
      <c r="A29" s="170" t="s">
        <v>214</v>
      </c>
      <c r="B29" s="223">
        <v>50442863</v>
      </c>
      <c r="C29" s="146">
        <v>81985036</v>
      </c>
      <c r="D29" s="187">
        <v>4074376.91</v>
      </c>
      <c r="E29" s="187">
        <v>4984401.29</v>
      </c>
      <c r="F29" s="187">
        <v>5076228.9000000004</v>
      </c>
      <c r="G29" s="146">
        <v>7141510.8200000003</v>
      </c>
      <c r="H29" s="146">
        <v>7139384.9000000004</v>
      </c>
      <c r="I29" s="146">
        <v>8498751.9000000004</v>
      </c>
      <c r="J29" s="187">
        <v>8563252.25</v>
      </c>
      <c r="K29" s="187">
        <v>8282780.7300000004</v>
      </c>
      <c r="L29" s="187">
        <v>8457228.6300000008</v>
      </c>
      <c r="M29" s="187">
        <v>8336852.0700000003</v>
      </c>
      <c r="N29" s="187">
        <v>7143096.6699999999</v>
      </c>
      <c r="O29" s="187">
        <v>7207814.0999999996</v>
      </c>
      <c r="P29" s="146">
        <v>73876145</v>
      </c>
      <c r="Q29" s="149">
        <v>71672361</v>
      </c>
      <c r="R29" s="256">
        <v>13215269.470000001</v>
      </c>
      <c r="S29" s="256">
        <f>63532753+4086192</f>
        <v>67618945</v>
      </c>
      <c r="T29" s="256">
        <v>14363007.560000001</v>
      </c>
      <c r="U29" s="256">
        <v>15611949.109999999</v>
      </c>
      <c r="V29" s="256">
        <v>13612358.779999999</v>
      </c>
      <c r="W29" s="256">
        <v>14419908.76</v>
      </c>
      <c r="X29" s="256">
        <v>14679037.42</v>
      </c>
      <c r="Y29" s="256">
        <v>13096148.84</v>
      </c>
      <c r="Z29" s="301">
        <v>14426179.720000001</v>
      </c>
      <c r="AA29" s="301">
        <v>12510173.029999999</v>
      </c>
      <c r="AB29" s="301">
        <v>11197953.73</v>
      </c>
      <c r="AC29" s="256">
        <v>12436035.640000001</v>
      </c>
      <c r="AD29" s="256">
        <v>10911398.390000001</v>
      </c>
      <c r="AE29" s="256">
        <v>13039499.539999999</v>
      </c>
      <c r="AF29" s="256">
        <f>63339626+3748058</f>
        <v>67087684</v>
      </c>
      <c r="AG29" s="362">
        <v>12876480.85</v>
      </c>
      <c r="AH29" s="362">
        <v>15546548.85</v>
      </c>
      <c r="AI29" s="362">
        <v>15400942.42</v>
      </c>
      <c r="AJ29" s="362">
        <v>11309065.33</v>
      </c>
      <c r="AK29" s="362">
        <v>11992740.73</v>
      </c>
      <c r="AL29" s="362">
        <v>11671576.98</v>
      </c>
      <c r="AM29" s="362"/>
      <c r="AN29" s="362">
        <v>10238706.810000001</v>
      </c>
      <c r="AO29" s="362">
        <v>11775954.75</v>
      </c>
      <c r="AP29" s="362">
        <v>11289462.789999999</v>
      </c>
      <c r="AQ29" s="362">
        <v>10526262.199999999</v>
      </c>
      <c r="AR29" s="396">
        <v>11378552.85</v>
      </c>
      <c r="AS29" s="397">
        <f>53045585+3765913</f>
        <v>56811498</v>
      </c>
      <c r="AT29" s="362">
        <v>12023249.630000001</v>
      </c>
      <c r="AU29" s="362">
        <v>12091854.91</v>
      </c>
      <c r="AV29" s="362">
        <v>10714575.09</v>
      </c>
      <c r="AW29" s="362">
        <v>14132599.369999999</v>
      </c>
      <c r="AX29" s="362">
        <v>13231528.689999999</v>
      </c>
      <c r="AY29" s="362">
        <v>13700783.609999999</v>
      </c>
      <c r="AZ29" s="362">
        <v>15808377.880000001</v>
      </c>
      <c r="BA29" s="362">
        <v>19127999.5</v>
      </c>
      <c r="BB29" s="362">
        <v>17936399.93</v>
      </c>
      <c r="BC29" s="362">
        <v>17015110.129999999</v>
      </c>
      <c r="BD29" s="362">
        <v>16886416.129999999</v>
      </c>
      <c r="BE29" s="362">
        <v>16286959.560000001</v>
      </c>
      <c r="BF29" s="408">
        <f>16286960</f>
        <v>16286960</v>
      </c>
      <c r="BG29" s="143">
        <v>15255156.48</v>
      </c>
      <c r="BH29" s="143">
        <v>15576856.82</v>
      </c>
      <c r="BI29" s="143">
        <v>15798800</v>
      </c>
      <c r="BJ29" s="143">
        <v>18883036.600000001</v>
      </c>
      <c r="BK29" s="143">
        <v>17415070.670000002</v>
      </c>
      <c r="BL29" s="143">
        <v>17333028.620000001</v>
      </c>
      <c r="BM29" s="143">
        <v>19306317.280000001</v>
      </c>
      <c r="BN29" s="143">
        <v>19478400.91</v>
      </c>
      <c r="BO29" s="143">
        <v>17776733.780000001</v>
      </c>
      <c r="BP29" s="143">
        <v>20090624.379999999</v>
      </c>
      <c r="BQ29" s="143">
        <v>21861360.25</v>
      </c>
      <c r="BR29" s="143">
        <v>24307369.379999999</v>
      </c>
      <c r="BS29" s="432">
        <v>24320707</v>
      </c>
      <c r="BT29" s="435">
        <v>20123358.620000001</v>
      </c>
      <c r="BU29" s="437">
        <v>19493727.620000001</v>
      </c>
      <c r="BV29" s="437">
        <v>16759664.470000001</v>
      </c>
      <c r="BW29" s="437">
        <v>15974306.92</v>
      </c>
      <c r="BX29" s="435">
        <v>22550500.739999998</v>
      </c>
      <c r="BY29" s="484">
        <v>20806652.809999999</v>
      </c>
    </row>
    <row r="30" spans="1:77" ht="15">
      <c r="A30" s="170" t="s">
        <v>215</v>
      </c>
      <c r="B30" s="223"/>
      <c r="C30" s="146">
        <v>3170827</v>
      </c>
      <c r="D30" s="187">
        <v>117554256.47</v>
      </c>
      <c r="E30" s="187">
        <v>103182793.13</v>
      </c>
      <c r="F30" s="187">
        <v>98509254.819999993</v>
      </c>
      <c r="G30" s="146">
        <v>88557190.439999998</v>
      </c>
      <c r="H30" s="146">
        <v>91504336.609999999</v>
      </c>
      <c r="I30" s="146">
        <v>76760200.590000004</v>
      </c>
      <c r="J30" s="187">
        <v>75977878.650000006</v>
      </c>
      <c r="K30" s="187">
        <v>70651472.280000001</v>
      </c>
      <c r="L30" s="187">
        <v>74935904.489999995</v>
      </c>
      <c r="M30" s="187">
        <v>66071154.630000003</v>
      </c>
      <c r="N30" s="187">
        <v>63485556.020000003</v>
      </c>
      <c r="O30" s="187">
        <v>66668330.399999999</v>
      </c>
      <c r="P30" s="146">
        <v>5943679</v>
      </c>
      <c r="Q30" s="146">
        <v>5450485</v>
      </c>
      <c r="R30" s="256">
        <v>50265080.719999999</v>
      </c>
      <c r="S30" s="256"/>
      <c r="T30" s="256">
        <v>50901456.729999997</v>
      </c>
      <c r="U30" s="256">
        <v>58024877.240000002</v>
      </c>
      <c r="V30" s="256">
        <v>67609113.760000005</v>
      </c>
      <c r="W30" s="256">
        <v>54000197.549999997</v>
      </c>
      <c r="X30" s="256">
        <v>74394433.609999999</v>
      </c>
      <c r="Y30" s="256">
        <v>49110765.32</v>
      </c>
      <c r="Z30" s="301">
        <v>70378302.180000007</v>
      </c>
      <c r="AA30" s="301">
        <v>57056811.43</v>
      </c>
      <c r="AB30" s="301">
        <v>60861313.740000002</v>
      </c>
      <c r="AC30" s="256">
        <v>56850120.850000001</v>
      </c>
      <c r="AD30" s="256">
        <v>52840882.060000002</v>
      </c>
      <c r="AE30" s="256">
        <v>50263284.700000003</v>
      </c>
      <c r="AF30" s="256"/>
      <c r="AG30" s="362">
        <v>58177132.5</v>
      </c>
      <c r="AH30" s="362">
        <v>84593460.269999996</v>
      </c>
      <c r="AI30" s="362">
        <v>87751656.989999995</v>
      </c>
      <c r="AJ30" s="362">
        <v>62482326.5</v>
      </c>
      <c r="AK30" s="362">
        <v>69496910</v>
      </c>
      <c r="AL30" s="362">
        <v>64081231.520000003</v>
      </c>
      <c r="AM30" s="362"/>
      <c r="AN30" s="362">
        <v>53608785.5</v>
      </c>
      <c r="AO30" s="362">
        <v>47292862.740000002</v>
      </c>
      <c r="AP30" s="362">
        <v>43653392.350000001</v>
      </c>
      <c r="AQ30" s="362">
        <v>43655895.950000003</v>
      </c>
      <c r="AR30" s="396">
        <v>41667032.350000001</v>
      </c>
      <c r="AS30" s="397">
        <v>0</v>
      </c>
      <c r="AT30" s="362">
        <v>0</v>
      </c>
      <c r="AU30" s="362">
        <v>0</v>
      </c>
      <c r="AV30" s="362">
        <v>0</v>
      </c>
      <c r="AW30" s="362">
        <v>0</v>
      </c>
      <c r="AX30" s="362">
        <v>0</v>
      </c>
      <c r="AY30" s="362">
        <v>0</v>
      </c>
      <c r="AZ30" s="362">
        <v>0</v>
      </c>
      <c r="BA30" s="362">
        <v>0</v>
      </c>
      <c r="BB30" s="362">
        <v>0</v>
      </c>
      <c r="BC30" s="362">
        <v>0</v>
      </c>
      <c r="BD30" s="362">
        <v>0</v>
      </c>
      <c r="BE30" s="362">
        <v>0</v>
      </c>
      <c r="BF30" s="397"/>
      <c r="BG30" s="143">
        <v>0</v>
      </c>
      <c r="BH30" s="143">
        <v>0</v>
      </c>
      <c r="BI30" s="143">
        <v>0</v>
      </c>
      <c r="BJ30" s="143">
        <v>0</v>
      </c>
      <c r="BK30" s="143">
        <v>0</v>
      </c>
      <c r="BL30" s="143">
        <v>0</v>
      </c>
      <c r="BM30" s="143">
        <v>0</v>
      </c>
      <c r="BN30" s="143">
        <v>0</v>
      </c>
      <c r="BO30" s="143">
        <v>0</v>
      </c>
      <c r="BP30" s="143">
        <v>0</v>
      </c>
      <c r="BQ30" s="143">
        <v>0</v>
      </c>
      <c r="BR30" s="143">
        <v>0</v>
      </c>
      <c r="BT30" s="438">
        <v>0</v>
      </c>
      <c r="BU30" s="440">
        <v>0</v>
      </c>
      <c r="BV30" s="440">
        <v>0</v>
      </c>
      <c r="BW30" s="440">
        <v>0</v>
      </c>
      <c r="BX30" s="438">
        <v>0</v>
      </c>
      <c r="BY30" s="485">
        <v>0</v>
      </c>
    </row>
    <row r="31" spans="1:77" ht="15">
      <c r="A31" s="170" t="s">
        <v>216</v>
      </c>
      <c r="B31" s="223">
        <v>245876845</v>
      </c>
      <c r="C31" s="146">
        <v>240972613</v>
      </c>
      <c r="D31" s="187">
        <v>242281651.97</v>
      </c>
      <c r="E31" s="187">
        <v>244644369.28</v>
      </c>
      <c r="F31" s="187">
        <v>243234342.24000001</v>
      </c>
      <c r="G31" s="146">
        <v>238031210.47</v>
      </c>
      <c r="H31" s="146">
        <v>230934337.56</v>
      </c>
      <c r="I31" s="146">
        <v>226193257.30000001</v>
      </c>
      <c r="J31" s="187">
        <v>224035758.31</v>
      </c>
      <c r="K31" s="187">
        <v>227125544.53</v>
      </c>
      <c r="L31" s="187">
        <v>229773643.66999999</v>
      </c>
      <c r="M31" s="187">
        <v>232399871.69999999</v>
      </c>
      <c r="N31" s="187">
        <v>236121076.88</v>
      </c>
      <c r="O31" s="187">
        <v>231056281.34999999</v>
      </c>
      <c r="P31" s="146">
        <v>225120102</v>
      </c>
      <c r="Q31" s="146">
        <v>263211841</v>
      </c>
      <c r="R31" s="256">
        <v>369782581.02999997</v>
      </c>
      <c r="S31" s="256">
        <v>365696388</v>
      </c>
      <c r="T31" s="256">
        <v>373130884.45999998</v>
      </c>
      <c r="U31" s="256">
        <v>380563374.49000001</v>
      </c>
      <c r="V31" s="256">
        <v>389962101.52999997</v>
      </c>
      <c r="W31" s="256">
        <v>394639975.25999999</v>
      </c>
      <c r="X31" s="256">
        <v>397105169.01999998</v>
      </c>
      <c r="Y31" s="256">
        <v>404014250.98000002</v>
      </c>
      <c r="Z31" s="301">
        <v>408489971.48000002</v>
      </c>
      <c r="AA31" s="301">
        <v>413658579.06999999</v>
      </c>
      <c r="AB31" s="301">
        <v>417935970.89999998</v>
      </c>
      <c r="AC31" s="256">
        <v>417671339.80000001</v>
      </c>
      <c r="AD31" s="256">
        <v>419861202.50999999</v>
      </c>
      <c r="AE31" s="256">
        <v>423685556.81999999</v>
      </c>
      <c r="AF31" s="256">
        <v>419736691</v>
      </c>
      <c r="AG31" s="362">
        <v>427360299.27999997</v>
      </c>
      <c r="AH31" s="362">
        <v>437420023.97000003</v>
      </c>
      <c r="AI31" s="362">
        <v>442243015.48000002</v>
      </c>
      <c r="AJ31" s="362">
        <v>451026267.43000001</v>
      </c>
      <c r="AK31" s="362">
        <v>450275511</v>
      </c>
      <c r="AL31" s="362">
        <v>455994036.70999998</v>
      </c>
      <c r="AM31" s="362"/>
      <c r="AN31" s="362">
        <v>466005747.69</v>
      </c>
      <c r="AO31" s="362">
        <v>471311270.67000002</v>
      </c>
      <c r="AP31" s="362">
        <v>476049503.83999997</v>
      </c>
      <c r="AQ31" s="362">
        <v>479472719.48000002</v>
      </c>
      <c r="AR31" s="396">
        <v>487117545.25999999</v>
      </c>
      <c r="AS31" s="397">
        <v>483159282</v>
      </c>
      <c r="AT31" s="362">
        <v>123065211.31</v>
      </c>
      <c r="AU31" s="362">
        <v>124518898.31</v>
      </c>
      <c r="AV31" s="362">
        <v>125455630.59</v>
      </c>
      <c r="AW31" s="362">
        <v>126215496.89</v>
      </c>
      <c r="AX31" s="362">
        <v>127279266.95999999</v>
      </c>
      <c r="AY31" s="362">
        <v>128122252.63</v>
      </c>
      <c r="AZ31" s="362">
        <v>129249076.86</v>
      </c>
      <c r="BA31" s="362">
        <v>130356516.15000001</v>
      </c>
      <c r="BB31" s="362">
        <v>135150566.86000001</v>
      </c>
      <c r="BC31" s="362">
        <v>136517146.71000001</v>
      </c>
      <c r="BD31" s="362">
        <v>135166655.33000001</v>
      </c>
      <c r="BE31" s="362">
        <v>136571433.59999999</v>
      </c>
      <c r="BF31" s="408">
        <f>136571433</f>
        <v>136571433</v>
      </c>
      <c r="BG31" s="143">
        <v>136112097.91</v>
      </c>
      <c r="BH31" s="143">
        <v>137471970.59</v>
      </c>
      <c r="BI31" s="143">
        <v>134029249.86</v>
      </c>
      <c r="BJ31" s="143">
        <v>135721417.90000001</v>
      </c>
      <c r="BK31" s="143">
        <v>138656806.56999999</v>
      </c>
      <c r="BL31" s="143">
        <v>142413956.75999999</v>
      </c>
      <c r="BM31" s="143">
        <v>143510456.19999999</v>
      </c>
      <c r="BN31" s="143">
        <v>146702785.52000001</v>
      </c>
      <c r="BO31" s="143">
        <v>148119631.09</v>
      </c>
      <c r="BP31" s="143">
        <v>151287152.71000001</v>
      </c>
      <c r="BQ31" s="143">
        <v>154149067.74000001</v>
      </c>
      <c r="BR31" s="143">
        <v>159575004.62</v>
      </c>
      <c r="BS31" s="432">
        <v>159575005</v>
      </c>
      <c r="BT31" s="439">
        <v>168737052.94</v>
      </c>
      <c r="BU31" s="441">
        <v>169155418.75</v>
      </c>
      <c r="BV31" s="441">
        <v>169459096.66999999</v>
      </c>
      <c r="BW31" s="441">
        <v>172764214.81999999</v>
      </c>
      <c r="BX31" s="439">
        <v>174743427.88</v>
      </c>
      <c r="BY31" s="486">
        <v>177967302.87</v>
      </c>
    </row>
    <row r="32" spans="1:77" s="145" customFormat="1">
      <c r="A32" s="169" t="s">
        <v>217</v>
      </c>
      <c r="B32" s="233">
        <f t="shared" ref="B32:P32" si="27">SUM(B29:B31)</f>
        <v>296319708</v>
      </c>
      <c r="C32" s="233">
        <f t="shared" si="27"/>
        <v>326128476</v>
      </c>
      <c r="D32" s="233">
        <f t="shared" si="27"/>
        <v>363910285.35000002</v>
      </c>
      <c r="E32" s="233">
        <f t="shared" si="27"/>
        <v>352811563.69999999</v>
      </c>
      <c r="F32" s="233">
        <f t="shared" si="27"/>
        <v>346819825.96000004</v>
      </c>
      <c r="G32" s="233">
        <f t="shared" si="27"/>
        <v>333729911.73000002</v>
      </c>
      <c r="H32" s="233">
        <f t="shared" si="27"/>
        <v>329578059.06999999</v>
      </c>
      <c r="I32" s="233">
        <f t="shared" si="27"/>
        <v>311452209.79000002</v>
      </c>
      <c r="J32" s="233">
        <f t="shared" si="27"/>
        <v>308576889.21000004</v>
      </c>
      <c r="K32" s="233">
        <f t="shared" si="27"/>
        <v>306059797.54000002</v>
      </c>
      <c r="L32" s="233">
        <f t="shared" si="27"/>
        <v>313166776.78999996</v>
      </c>
      <c r="M32" s="233">
        <f t="shared" si="27"/>
        <v>306807878.39999998</v>
      </c>
      <c r="N32" s="233">
        <f t="shared" si="27"/>
        <v>306749729.56999999</v>
      </c>
      <c r="O32" s="233">
        <f t="shared" si="27"/>
        <v>304932425.85000002</v>
      </c>
      <c r="P32" s="233">
        <f t="shared" si="27"/>
        <v>304939926</v>
      </c>
      <c r="Q32" s="234">
        <f t="shared" ref="Q32:V32" si="28">SUM(Q29:Q31)</f>
        <v>340334687</v>
      </c>
      <c r="R32" s="252">
        <f t="shared" si="28"/>
        <v>433262931.21999997</v>
      </c>
      <c r="S32" s="252">
        <f t="shared" si="28"/>
        <v>433315333</v>
      </c>
      <c r="T32" s="252">
        <f t="shared" si="28"/>
        <v>438395348.75</v>
      </c>
      <c r="U32" s="252">
        <f t="shared" si="28"/>
        <v>454200200.84000003</v>
      </c>
      <c r="V32" s="252">
        <f t="shared" si="28"/>
        <v>471183574.06999999</v>
      </c>
      <c r="W32" s="252">
        <f t="shared" ref="W32:AB32" si="29">SUM(W29:W31)</f>
        <v>463060081.56999999</v>
      </c>
      <c r="X32" s="252">
        <f t="shared" si="29"/>
        <v>486178640.04999995</v>
      </c>
      <c r="Y32" s="252">
        <f t="shared" si="29"/>
        <v>466221165.13999999</v>
      </c>
      <c r="Z32" s="300">
        <f t="shared" si="29"/>
        <v>493294453.38</v>
      </c>
      <c r="AA32" s="300">
        <f t="shared" si="29"/>
        <v>483225563.52999997</v>
      </c>
      <c r="AB32" s="300">
        <f t="shared" si="29"/>
        <v>489995238.37</v>
      </c>
      <c r="AC32" s="252">
        <f t="shared" ref="AC32:AJ32" si="30">SUM(AC29:AC31)</f>
        <v>486957496.29000002</v>
      </c>
      <c r="AD32" s="252">
        <f t="shared" si="30"/>
        <v>483613482.95999998</v>
      </c>
      <c r="AE32" s="252">
        <f t="shared" si="30"/>
        <v>486988341.06</v>
      </c>
      <c r="AF32" s="252">
        <f t="shared" si="30"/>
        <v>486824375</v>
      </c>
      <c r="AG32" s="252">
        <f t="shared" si="30"/>
        <v>498413912.63</v>
      </c>
      <c r="AH32" s="252">
        <f t="shared" si="30"/>
        <v>537560033.09000003</v>
      </c>
      <c r="AI32" s="252">
        <f t="shared" si="30"/>
        <v>545395614.88999999</v>
      </c>
      <c r="AJ32" s="374">
        <f t="shared" si="30"/>
        <v>524817659.25999999</v>
      </c>
      <c r="AK32" s="374">
        <f t="shared" ref="AK32:BX32" si="31">SUM(AK29:AK31)</f>
        <v>531765161.73000002</v>
      </c>
      <c r="AL32" s="374">
        <f t="shared" si="31"/>
        <v>531746845.20999998</v>
      </c>
      <c r="AM32" s="374">
        <f t="shared" si="31"/>
        <v>0</v>
      </c>
      <c r="AN32" s="374">
        <f t="shared" si="31"/>
        <v>529853240</v>
      </c>
      <c r="AO32" s="374">
        <f t="shared" si="31"/>
        <v>530380088.16000003</v>
      </c>
      <c r="AP32" s="374">
        <f t="shared" si="31"/>
        <v>530992358.97999996</v>
      </c>
      <c r="AQ32" s="374">
        <f t="shared" si="31"/>
        <v>533654877.63</v>
      </c>
      <c r="AR32" s="374">
        <f t="shared" si="31"/>
        <v>540163130.46000004</v>
      </c>
      <c r="AS32" s="380">
        <f t="shared" si="31"/>
        <v>539970780</v>
      </c>
      <c r="AT32" s="380">
        <f t="shared" si="31"/>
        <v>135088460.94</v>
      </c>
      <c r="AU32" s="380">
        <f t="shared" si="31"/>
        <v>136610753.22</v>
      </c>
      <c r="AV32" s="380">
        <f t="shared" si="31"/>
        <v>136170205.68000001</v>
      </c>
      <c r="AW32" s="380">
        <f t="shared" si="31"/>
        <v>140348096.25999999</v>
      </c>
      <c r="AX32" s="380">
        <f t="shared" si="31"/>
        <v>140510795.65000001</v>
      </c>
      <c r="AY32" s="380">
        <f t="shared" si="31"/>
        <v>141823036.24000001</v>
      </c>
      <c r="AZ32" s="380">
        <f t="shared" si="31"/>
        <v>145057454.74000001</v>
      </c>
      <c r="BA32" s="380">
        <f t="shared" si="31"/>
        <v>149484515.65000001</v>
      </c>
      <c r="BB32" s="380">
        <f t="shared" si="31"/>
        <v>153086966.79000002</v>
      </c>
      <c r="BC32" s="380">
        <f t="shared" si="31"/>
        <v>153532256.84</v>
      </c>
      <c r="BD32" s="380">
        <f t="shared" si="31"/>
        <v>152053071.46000001</v>
      </c>
      <c r="BE32" s="380">
        <f t="shared" si="31"/>
        <v>152858393.16</v>
      </c>
      <c r="BF32" s="380">
        <f t="shared" si="31"/>
        <v>152858393</v>
      </c>
      <c r="BG32" s="380">
        <f t="shared" si="31"/>
        <v>151367254.38999999</v>
      </c>
      <c r="BH32" s="380">
        <f t="shared" si="31"/>
        <v>153048827.41</v>
      </c>
      <c r="BI32" s="380">
        <f t="shared" si="31"/>
        <v>149828049.86000001</v>
      </c>
      <c r="BJ32" s="380">
        <f t="shared" si="31"/>
        <v>154604454.5</v>
      </c>
      <c r="BK32" s="380">
        <f t="shared" si="31"/>
        <v>156071877.24000001</v>
      </c>
      <c r="BL32" s="380">
        <f t="shared" si="31"/>
        <v>159746985.38</v>
      </c>
      <c r="BM32" s="380">
        <f t="shared" si="31"/>
        <v>162816773.47999999</v>
      </c>
      <c r="BN32" s="380">
        <f t="shared" si="31"/>
        <v>166181186.43000001</v>
      </c>
      <c r="BO32" s="380">
        <f t="shared" si="31"/>
        <v>165896364.87</v>
      </c>
      <c r="BP32" s="380">
        <f t="shared" si="31"/>
        <v>171377777.09</v>
      </c>
      <c r="BQ32" s="380">
        <f t="shared" si="31"/>
        <v>176010427.99000001</v>
      </c>
      <c r="BR32" s="380">
        <f t="shared" si="31"/>
        <v>183882374</v>
      </c>
      <c r="BS32" s="380">
        <f t="shared" si="31"/>
        <v>183895712</v>
      </c>
      <c r="BT32" s="380">
        <f t="shared" si="31"/>
        <v>188860411.56</v>
      </c>
      <c r="BU32" s="380">
        <f t="shared" si="31"/>
        <v>188649146.37</v>
      </c>
      <c r="BV32" s="380">
        <f t="shared" si="31"/>
        <v>186218761.13999999</v>
      </c>
      <c r="BW32" s="380">
        <f t="shared" si="31"/>
        <v>188738521.73999998</v>
      </c>
      <c r="BX32" s="380">
        <f t="shared" ref="BX32:BY32" si="32">SUM(BX29:BX31)</f>
        <v>197293928.62</v>
      </c>
      <c r="BY32" s="380">
        <f t="shared" si="32"/>
        <v>198773955.68000001</v>
      </c>
    </row>
    <row r="33" spans="1:77" s="145" customFormat="1" ht="15" customHeight="1">
      <c r="A33" s="169" t="s">
        <v>218</v>
      </c>
      <c r="B33" s="231">
        <f t="shared" ref="B33:P33" si="33">SUM(B34:B39)</f>
        <v>84794375</v>
      </c>
      <c r="C33" s="231">
        <f t="shared" si="33"/>
        <v>27429280</v>
      </c>
      <c r="D33" s="231">
        <f t="shared" si="33"/>
        <v>5425296.7599999998</v>
      </c>
      <c r="E33" s="231">
        <f t="shared" si="33"/>
        <v>28289385.650000002</v>
      </c>
      <c r="F33" s="231">
        <f t="shared" si="33"/>
        <v>5695194.1200000001</v>
      </c>
      <c r="G33" s="231">
        <f t="shared" si="33"/>
        <v>4127517.7499999995</v>
      </c>
      <c r="H33" s="231">
        <f t="shared" si="33"/>
        <v>4695814.4400000004</v>
      </c>
      <c r="I33" s="231">
        <f t="shared" si="33"/>
        <v>5497034.6499999994</v>
      </c>
      <c r="J33" s="231">
        <f t="shared" si="33"/>
        <v>4792159.0999999996</v>
      </c>
      <c r="K33" s="231">
        <f t="shared" si="33"/>
        <v>3988410.46</v>
      </c>
      <c r="L33" s="231">
        <f t="shared" si="33"/>
        <v>3885943.55</v>
      </c>
      <c r="M33" s="231">
        <f t="shared" si="33"/>
        <v>4386185.08</v>
      </c>
      <c r="N33" s="231">
        <f t="shared" si="33"/>
        <v>5536688.46</v>
      </c>
      <c r="O33" s="231">
        <f t="shared" si="33"/>
        <v>5312097.93</v>
      </c>
      <c r="P33" s="231">
        <f t="shared" si="33"/>
        <v>44511065</v>
      </c>
      <c r="Q33" s="235">
        <f t="shared" ref="Q33:V33" si="34">SUM(Q34:Q39)</f>
        <v>42236869</v>
      </c>
      <c r="R33" s="254">
        <f t="shared" si="34"/>
        <v>3030683.19</v>
      </c>
      <c r="S33" s="254">
        <f t="shared" si="34"/>
        <v>58156529</v>
      </c>
      <c r="T33" s="254">
        <f t="shared" si="34"/>
        <v>3901907.32</v>
      </c>
      <c r="U33" s="254">
        <f t="shared" si="34"/>
        <v>4415903.3899999997</v>
      </c>
      <c r="V33" s="254">
        <f t="shared" si="34"/>
        <v>-44130680.829999998</v>
      </c>
      <c r="W33" s="254">
        <f t="shared" ref="W33:AB33" si="35">SUM(W34:W39)</f>
        <v>10574287.379999999</v>
      </c>
      <c r="X33" s="254">
        <f t="shared" si="35"/>
        <v>12876255.23</v>
      </c>
      <c r="Y33" s="254">
        <f t="shared" si="35"/>
        <v>10617409.810000001</v>
      </c>
      <c r="Z33" s="304">
        <f t="shared" si="35"/>
        <v>4011249.4600000004</v>
      </c>
      <c r="AA33" s="304">
        <f t="shared" si="35"/>
        <v>3628839.5100000002</v>
      </c>
      <c r="AB33" s="304">
        <f t="shared" si="35"/>
        <v>3848018.0700000003</v>
      </c>
      <c r="AC33" s="254">
        <f t="shared" ref="AC33:AJ33" si="36">SUM(AC34:AC39)</f>
        <v>4009840.2700000005</v>
      </c>
      <c r="AD33" s="254">
        <f t="shared" si="36"/>
        <v>4569996.76</v>
      </c>
      <c r="AE33" s="254">
        <f t="shared" si="36"/>
        <v>4257508.2300000004</v>
      </c>
      <c r="AF33" s="254">
        <f t="shared" si="36"/>
        <v>64578308</v>
      </c>
      <c r="AG33" s="254">
        <f t="shared" si="36"/>
        <v>15147695.41</v>
      </c>
      <c r="AH33" s="254">
        <f t="shared" si="36"/>
        <v>17053624.890000001</v>
      </c>
      <c r="AI33" s="254">
        <f t="shared" si="36"/>
        <v>12702179.73</v>
      </c>
      <c r="AJ33" s="376">
        <f t="shared" si="36"/>
        <v>13428487.380000001</v>
      </c>
      <c r="AK33" s="376">
        <f t="shared" ref="AK33:BX33" si="37">SUM(AK34:AK39)</f>
        <v>13578687.460000001</v>
      </c>
      <c r="AL33" s="376">
        <f t="shared" si="37"/>
        <v>13946019.300000001</v>
      </c>
      <c r="AM33" s="376">
        <f t="shared" si="37"/>
        <v>0</v>
      </c>
      <c r="AN33" s="376">
        <f t="shared" si="37"/>
        <v>12687588.539999999</v>
      </c>
      <c r="AO33" s="376">
        <f t="shared" si="37"/>
        <v>13226174.649999999</v>
      </c>
      <c r="AP33" s="376">
        <f t="shared" si="37"/>
        <v>10981079.66</v>
      </c>
      <c r="AQ33" s="376">
        <f t="shared" si="37"/>
        <v>11363224.130000001</v>
      </c>
      <c r="AR33" s="376">
        <f t="shared" si="37"/>
        <v>12093098.52</v>
      </c>
      <c r="AS33" s="388">
        <f t="shared" si="37"/>
        <v>80459415</v>
      </c>
      <c r="AT33" s="388">
        <f t="shared" si="37"/>
        <v>19822101.369999997</v>
      </c>
      <c r="AU33" s="388">
        <f t="shared" si="37"/>
        <v>18930925.100000001</v>
      </c>
      <c r="AV33" s="388">
        <f t="shared" si="37"/>
        <v>18826128.859999999</v>
      </c>
      <c r="AW33" s="388">
        <f t="shared" si="37"/>
        <v>8249791.6200000001</v>
      </c>
      <c r="AX33" s="388">
        <f t="shared" si="37"/>
        <v>7609877.2599999998</v>
      </c>
      <c r="AY33" s="388">
        <f t="shared" si="37"/>
        <v>7987275.9199999999</v>
      </c>
      <c r="AZ33" s="388">
        <f t="shared" si="37"/>
        <v>8675851.6199999992</v>
      </c>
      <c r="BA33" s="388">
        <f t="shared" si="37"/>
        <v>8807211.1699999999</v>
      </c>
      <c r="BB33" s="388">
        <f t="shared" si="37"/>
        <v>5146176.42</v>
      </c>
      <c r="BC33" s="388">
        <f t="shared" si="37"/>
        <v>5069346.8600000003</v>
      </c>
      <c r="BD33" s="388">
        <f t="shared" si="37"/>
        <v>3515679.83</v>
      </c>
      <c r="BE33" s="388">
        <f t="shared" si="37"/>
        <v>17773117.620000001</v>
      </c>
      <c r="BF33" s="388">
        <f t="shared" si="37"/>
        <v>4282730</v>
      </c>
      <c r="BG33" s="388">
        <f t="shared" si="37"/>
        <v>18854026.02</v>
      </c>
      <c r="BH33" s="388">
        <f t="shared" si="37"/>
        <v>19812587.670000002</v>
      </c>
      <c r="BI33" s="388">
        <f t="shared" si="37"/>
        <v>19856825.259999998</v>
      </c>
      <c r="BJ33" s="388">
        <f t="shared" si="37"/>
        <v>6777879.0999999996</v>
      </c>
      <c r="BK33" s="388">
        <f t="shared" si="37"/>
        <v>6332473.79</v>
      </c>
      <c r="BL33" s="388">
        <f t="shared" si="37"/>
        <v>6639709.2699999996</v>
      </c>
      <c r="BM33" s="388">
        <f t="shared" si="37"/>
        <v>7508755.6600000001</v>
      </c>
      <c r="BN33" s="388">
        <f t="shared" si="37"/>
        <v>8007921.2999999998</v>
      </c>
      <c r="BO33" s="388">
        <f t="shared" si="37"/>
        <v>8998499.8900000006</v>
      </c>
      <c r="BP33" s="388">
        <f t="shared" si="37"/>
        <v>8846914.3300000001</v>
      </c>
      <c r="BQ33" s="388">
        <f t="shared" si="37"/>
        <v>7359666.96</v>
      </c>
      <c r="BR33" s="388">
        <f t="shared" si="37"/>
        <v>8884158.5099999998</v>
      </c>
      <c r="BS33" s="388">
        <f t="shared" si="37"/>
        <v>10018423</v>
      </c>
      <c r="BT33" s="388">
        <f t="shared" si="37"/>
        <v>48284997.129999995</v>
      </c>
      <c r="BU33" s="388">
        <f t="shared" si="37"/>
        <v>47589117.040000007</v>
      </c>
      <c r="BV33" s="388">
        <f t="shared" si="37"/>
        <v>45555761.120000005</v>
      </c>
      <c r="BW33" s="388">
        <f t="shared" si="37"/>
        <v>42214539.75</v>
      </c>
      <c r="BX33" s="388">
        <f t="shared" ref="BX33:BY33" si="38">SUM(BX34:BX39)</f>
        <v>24975992.41</v>
      </c>
      <c r="BY33" s="388">
        <f t="shared" si="38"/>
        <v>23273893.379999999</v>
      </c>
    </row>
    <row r="34" spans="1:77" ht="15">
      <c r="A34" s="170" t="s">
        <v>219</v>
      </c>
      <c r="B34" s="223">
        <v>1291123</v>
      </c>
      <c r="C34" s="146"/>
      <c r="D34" s="187">
        <v>-6588.62</v>
      </c>
      <c r="E34" s="187">
        <v>39791.01</v>
      </c>
      <c r="F34" s="187">
        <v>120108.06</v>
      </c>
      <c r="G34" s="146">
        <v>171873.91</v>
      </c>
      <c r="H34" s="146">
        <v>143208.57</v>
      </c>
      <c r="I34" s="146">
        <v>230281.64</v>
      </c>
      <c r="J34" s="187">
        <v>-3625.65</v>
      </c>
      <c r="K34" s="187">
        <v>3486.16</v>
      </c>
      <c r="L34" s="187">
        <v>47313.25</v>
      </c>
      <c r="M34" s="187">
        <v>-1603.58</v>
      </c>
      <c r="N34" s="187">
        <v>-14975.28</v>
      </c>
      <c r="O34" s="187">
        <v>-4726.9799999999996</v>
      </c>
      <c r="P34" s="146"/>
      <c r="Q34" s="146">
        <v>305759</v>
      </c>
      <c r="R34" s="256">
        <v>-803798.29</v>
      </c>
      <c r="S34" s="256">
        <v>447171</v>
      </c>
      <c r="T34" s="256">
        <v>-856109.89</v>
      </c>
      <c r="U34" s="256">
        <v>-780762.95</v>
      </c>
      <c r="V34" s="256">
        <v>1819524.76</v>
      </c>
      <c r="W34" s="256">
        <v>-809289.12</v>
      </c>
      <c r="X34" s="256">
        <v>-808977.3</v>
      </c>
      <c r="Y34" s="256">
        <v>-760902.48</v>
      </c>
      <c r="Z34" s="301">
        <v>-253392.36</v>
      </c>
      <c r="AA34" s="301">
        <v>-244889.96</v>
      </c>
      <c r="AB34" s="301">
        <v>-264112.78000000003</v>
      </c>
      <c r="AC34" s="256">
        <v>-193076.3</v>
      </c>
      <c r="AD34" s="256">
        <v>-199069.84</v>
      </c>
      <c r="AE34" s="256">
        <v>-126781.31</v>
      </c>
      <c r="AF34" s="256"/>
      <c r="AG34" s="362">
        <v>-99816.01</v>
      </c>
      <c r="AH34" s="362">
        <v>3067129.56</v>
      </c>
      <c r="AI34" s="362">
        <v>253504.87</v>
      </c>
      <c r="AJ34" s="362">
        <v>151172.45000000001</v>
      </c>
      <c r="AK34" s="362">
        <v>152875.13</v>
      </c>
      <c r="AL34" s="362">
        <v>220681</v>
      </c>
      <c r="AM34" s="362"/>
      <c r="AN34" s="362">
        <v>221857.82</v>
      </c>
      <c r="AO34" s="362">
        <v>71229.77</v>
      </c>
      <c r="AP34" s="362">
        <v>76026.78</v>
      </c>
      <c r="AQ34" s="362">
        <v>176558.7</v>
      </c>
      <c r="AR34" s="379">
        <v>200543.86</v>
      </c>
      <c r="AS34" s="382">
        <v>584125</v>
      </c>
      <c r="AT34" s="362">
        <v>0</v>
      </c>
      <c r="AU34" s="362">
        <v>235626</v>
      </c>
      <c r="AV34" s="362">
        <v>0</v>
      </c>
      <c r="AW34" s="362">
        <v>0</v>
      </c>
      <c r="AX34" s="362">
        <v>0</v>
      </c>
      <c r="AY34" s="362">
        <v>0</v>
      </c>
      <c r="AZ34" s="362">
        <v>0</v>
      </c>
      <c r="BA34" s="362">
        <v>0</v>
      </c>
      <c r="BB34" s="362">
        <v>0</v>
      </c>
      <c r="BC34" s="362">
        <v>0</v>
      </c>
      <c r="BD34" s="362">
        <v>0</v>
      </c>
      <c r="BE34" s="362">
        <v>260000</v>
      </c>
      <c r="BF34" s="414">
        <v>478112</v>
      </c>
      <c r="BG34" s="143">
        <v>260000</v>
      </c>
      <c r="BH34" s="143">
        <v>478112</v>
      </c>
      <c r="BI34" s="143">
        <v>478112</v>
      </c>
      <c r="BJ34" s="143">
        <v>0</v>
      </c>
      <c r="BK34" s="143">
        <v>0</v>
      </c>
      <c r="BL34" s="143">
        <v>0</v>
      </c>
      <c r="BM34" s="143">
        <v>0</v>
      </c>
      <c r="BN34" s="143">
        <v>0</v>
      </c>
      <c r="BO34" s="143">
        <v>0</v>
      </c>
      <c r="BP34" s="143">
        <v>0</v>
      </c>
      <c r="BQ34" s="143">
        <v>0</v>
      </c>
      <c r="BR34" s="143">
        <v>0</v>
      </c>
      <c r="BS34" s="432">
        <v>3451686</v>
      </c>
      <c r="BT34" s="435">
        <v>4183487</v>
      </c>
      <c r="BU34" s="437">
        <v>3924108</v>
      </c>
      <c r="BV34" s="437">
        <v>3664728</v>
      </c>
      <c r="BW34" s="437">
        <v>685464</v>
      </c>
      <c r="BX34" s="434">
        <v>0</v>
      </c>
      <c r="BY34" s="483">
        <v>0</v>
      </c>
    </row>
    <row r="35" spans="1:77" ht="15">
      <c r="A35" s="170" t="s">
        <v>220</v>
      </c>
      <c r="B35" s="223"/>
      <c r="C35" s="146">
        <v>849619</v>
      </c>
      <c r="D35" s="187"/>
      <c r="E35" s="187">
        <v>22468213</v>
      </c>
      <c r="F35" s="187">
        <v>162174.45000000001</v>
      </c>
      <c r="G35" s="146">
        <v>162174.45000000001</v>
      </c>
      <c r="H35" s="146">
        <v>162174.45000000001</v>
      </c>
      <c r="I35" s="146">
        <v>162174.45000000001</v>
      </c>
      <c r="J35" s="187">
        <v>162174.45000000001</v>
      </c>
      <c r="K35" s="187">
        <v>181264.57</v>
      </c>
      <c r="L35" s="187">
        <v>181264.57</v>
      </c>
      <c r="M35" s="187">
        <v>181264.57</v>
      </c>
      <c r="N35" s="187">
        <v>181264.57</v>
      </c>
      <c r="O35" s="187">
        <v>181264.57</v>
      </c>
      <c r="P35" s="146">
        <v>1964383</v>
      </c>
      <c r="Q35" s="149"/>
      <c r="R35" s="256">
        <v>0</v>
      </c>
      <c r="S35" s="256">
        <f>51769561</f>
        <v>51769561</v>
      </c>
      <c r="T35" s="256">
        <v>361017.2</v>
      </c>
      <c r="U35" s="256">
        <v>361017.2</v>
      </c>
      <c r="V35" s="256">
        <v>-50208421.469999999</v>
      </c>
      <c r="W35" s="256">
        <v>5056975.29</v>
      </c>
      <c r="X35" s="256">
        <v>5056975.29</v>
      </c>
      <c r="Y35" s="256">
        <v>5056975.29</v>
      </c>
      <c r="Z35" s="301">
        <v>0</v>
      </c>
      <c r="AA35" s="301">
        <v>0</v>
      </c>
      <c r="AB35" s="301">
        <v>0</v>
      </c>
      <c r="AC35" s="256">
        <v>0</v>
      </c>
      <c r="AD35" s="256">
        <v>0</v>
      </c>
      <c r="AE35" s="256">
        <v>0</v>
      </c>
      <c r="AF35" s="256">
        <v>56394279</v>
      </c>
      <c r="AG35" s="362">
        <v>0</v>
      </c>
      <c r="AH35" s="362">
        <v>-952259.45</v>
      </c>
      <c r="AI35" s="362">
        <v>-952259.45</v>
      </c>
      <c r="AJ35" s="362">
        <v>0</v>
      </c>
      <c r="AK35" s="362">
        <v>0</v>
      </c>
      <c r="AL35" s="362">
        <v>0</v>
      </c>
      <c r="AM35" s="362"/>
      <c r="AN35" s="362">
        <v>0</v>
      </c>
      <c r="AO35" s="362">
        <v>0</v>
      </c>
      <c r="AP35" s="362">
        <v>0</v>
      </c>
      <c r="AQ35" s="362">
        <v>0</v>
      </c>
      <c r="AR35" s="379">
        <v>0</v>
      </c>
      <c r="AS35" s="382">
        <v>64690518</v>
      </c>
      <c r="AT35" s="362">
        <v>10687763</v>
      </c>
      <c r="AU35" s="362">
        <v>10687763</v>
      </c>
      <c r="AV35" s="362">
        <v>10687763</v>
      </c>
      <c r="AW35" s="362">
        <v>0</v>
      </c>
      <c r="AX35" s="362">
        <v>0</v>
      </c>
      <c r="AY35" s="362">
        <v>0</v>
      </c>
      <c r="AZ35" s="362">
        <v>0</v>
      </c>
      <c r="BA35" s="362">
        <v>0</v>
      </c>
      <c r="BB35" s="362">
        <v>0</v>
      </c>
      <c r="BC35" s="362">
        <v>0</v>
      </c>
      <c r="BD35" s="362">
        <v>0</v>
      </c>
      <c r="BE35" s="362">
        <v>13111000</v>
      </c>
      <c r="BF35" s="408"/>
      <c r="BG35" s="143">
        <v>13111000</v>
      </c>
      <c r="BH35" s="143">
        <v>13111000</v>
      </c>
      <c r="BI35" s="143">
        <v>13111000</v>
      </c>
      <c r="BJ35" s="143">
        <v>0</v>
      </c>
      <c r="BK35" s="143">
        <v>0</v>
      </c>
      <c r="BL35" s="143">
        <v>0</v>
      </c>
      <c r="BM35" s="143">
        <v>0</v>
      </c>
      <c r="BN35" s="143">
        <v>0</v>
      </c>
      <c r="BO35" s="143">
        <v>0</v>
      </c>
      <c r="BP35" s="143">
        <v>0</v>
      </c>
      <c r="BQ35" s="143">
        <v>0</v>
      </c>
      <c r="BR35" s="143">
        <v>0</v>
      </c>
      <c r="BT35" s="439">
        <v>16705856</v>
      </c>
      <c r="BU35" s="441">
        <v>16705856</v>
      </c>
      <c r="BV35" s="441">
        <v>16705856</v>
      </c>
      <c r="BW35" s="441">
        <v>16705856</v>
      </c>
      <c r="BX35" s="438">
        <v>0</v>
      </c>
      <c r="BY35" s="485">
        <v>0</v>
      </c>
    </row>
    <row r="36" spans="1:77" ht="15">
      <c r="A36" s="170" t="s">
        <v>221</v>
      </c>
      <c r="B36" s="223"/>
      <c r="C36" s="146"/>
      <c r="D36" s="187"/>
      <c r="E36" s="187">
        <v>0</v>
      </c>
      <c r="F36" s="187">
        <v>0</v>
      </c>
      <c r="G36" s="146"/>
      <c r="H36" s="146"/>
      <c r="I36" s="146"/>
      <c r="J36" s="187"/>
      <c r="K36" s="187"/>
      <c r="L36" s="187"/>
      <c r="M36" s="187"/>
      <c r="N36" s="187"/>
      <c r="O36" s="187"/>
      <c r="P36" s="146"/>
      <c r="Q36" s="149"/>
      <c r="R36" s="256"/>
      <c r="S36" s="256"/>
      <c r="T36" s="256"/>
      <c r="U36" s="256"/>
      <c r="V36" s="256"/>
      <c r="W36" s="256"/>
      <c r="X36" s="256"/>
      <c r="Y36" s="256"/>
      <c r="Z36" s="301"/>
      <c r="AA36" s="301"/>
      <c r="AB36" s="301"/>
      <c r="AC36" s="256"/>
      <c r="AD36" s="256"/>
      <c r="AE36" s="256"/>
      <c r="AF36" s="256"/>
      <c r="AG36" s="362">
        <v>0</v>
      </c>
      <c r="AH36" s="362">
        <v>0</v>
      </c>
      <c r="AI36" s="362">
        <v>0</v>
      </c>
      <c r="AJ36" s="362">
        <v>0</v>
      </c>
      <c r="AK36" s="362">
        <v>0</v>
      </c>
      <c r="AL36" s="362">
        <v>0</v>
      </c>
      <c r="AM36" s="362"/>
      <c r="AN36" s="362">
        <v>0</v>
      </c>
      <c r="AO36" s="362">
        <v>0</v>
      </c>
      <c r="AP36" s="362">
        <v>0</v>
      </c>
      <c r="AQ36" s="362">
        <v>0</v>
      </c>
      <c r="AR36" s="379">
        <v>0</v>
      </c>
      <c r="AS36" s="379">
        <v>0</v>
      </c>
      <c r="AT36" s="362">
        <v>0</v>
      </c>
      <c r="AU36" s="362">
        <v>0</v>
      </c>
      <c r="AV36" s="362">
        <v>0</v>
      </c>
      <c r="AW36" s="362">
        <v>0</v>
      </c>
      <c r="AX36" s="362">
        <v>0</v>
      </c>
      <c r="AY36" s="362">
        <v>0</v>
      </c>
      <c r="AZ36" s="362">
        <v>0</v>
      </c>
      <c r="BA36" s="362">
        <v>0</v>
      </c>
      <c r="BB36" s="362">
        <v>0</v>
      </c>
      <c r="BC36" s="362">
        <v>0</v>
      </c>
      <c r="BD36" s="362">
        <v>0</v>
      </c>
      <c r="BE36" s="362">
        <v>0</v>
      </c>
      <c r="BF36" s="419"/>
      <c r="BG36" s="143">
        <v>0</v>
      </c>
      <c r="BH36" s="143">
        <v>0</v>
      </c>
      <c r="BI36" s="143">
        <v>0</v>
      </c>
      <c r="BJ36" s="143">
        <v>0</v>
      </c>
      <c r="BK36" s="143">
        <v>0</v>
      </c>
      <c r="BL36" s="143">
        <v>0</v>
      </c>
      <c r="BM36" s="143">
        <v>0</v>
      </c>
      <c r="BN36" s="143">
        <v>0</v>
      </c>
      <c r="BO36" s="143">
        <v>0</v>
      </c>
      <c r="BP36" s="143">
        <v>0</v>
      </c>
      <c r="BQ36" s="143">
        <v>0</v>
      </c>
      <c r="BR36" s="143">
        <v>0</v>
      </c>
      <c r="BT36" s="438">
        <v>0</v>
      </c>
      <c r="BU36" s="440">
        <v>0</v>
      </c>
      <c r="BV36" s="440">
        <v>0</v>
      </c>
      <c r="BW36" s="440">
        <v>0</v>
      </c>
      <c r="BX36" s="438">
        <v>0</v>
      </c>
      <c r="BY36" s="485">
        <v>0</v>
      </c>
    </row>
    <row r="37" spans="1:77" ht="15">
      <c r="A37" s="170" t="s">
        <v>222</v>
      </c>
      <c r="B37" s="223"/>
      <c r="C37" s="146"/>
      <c r="D37" s="187"/>
      <c r="E37" s="187">
        <v>0</v>
      </c>
      <c r="F37" s="187">
        <v>0</v>
      </c>
      <c r="G37" s="146"/>
      <c r="H37" s="146"/>
      <c r="I37" s="146"/>
      <c r="J37" s="187"/>
      <c r="K37" s="187"/>
      <c r="L37" s="187"/>
      <c r="M37" s="187"/>
      <c r="N37" s="187"/>
      <c r="O37" s="187"/>
      <c r="P37" s="146"/>
      <c r="Q37" s="149"/>
      <c r="R37" s="256"/>
      <c r="S37" s="256"/>
      <c r="T37" s="256"/>
      <c r="U37" s="256"/>
      <c r="V37" s="256"/>
      <c r="W37" s="256"/>
      <c r="X37" s="256"/>
      <c r="Y37" s="256"/>
      <c r="Z37" s="301"/>
      <c r="AA37" s="301"/>
      <c r="AB37" s="301"/>
      <c r="AC37" s="256"/>
      <c r="AD37" s="256"/>
      <c r="AE37" s="256"/>
      <c r="AF37" s="256"/>
      <c r="AG37" s="362">
        <v>0</v>
      </c>
      <c r="AH37" s="362">
        <v>0</v>
      </c>
      <c r="AI37" s="362">
        <v>0</v>
      </c>
      <c r="AJ37" s="362">
        <v>0</v>
      </c>
      <c r="AK37" s="362">
        <v>0</v>
      </c>
      <c r="AL37" s="362">
        <v>0</v>
      </c>
      <c r="AM37" s="362"/>
      <c r="AN37" s="362">
        <v>0</v>
      </c>
      <c r="AO37" s="362">
        <v>0</v>
      </c>
      <c r="AP37" s="362">
        <v>0</v>
      </c>
      <c r="AQ37" s="362">
        <v>0</v>
      </c>
      <c r="AR37" s="379">
        <v>0</v>
      </c>
      <c r="AS37" s="379">
        <v>0</v>
      </c>
      <c r="AT37" s="362">
        <v>0</v>
      </c>
      <c r="AU37" s="362">
        <v>0</v>
      </c>
      <c r="AV37" s="362">
        <v>0</v>
      </c>
      <c r="AW37" s="362">
        <v>0</v>
      </c>
      <c r="AX37" s="362">
        <v>0</v>
      </c>
      <c r="AY37" s="362">
        <v>0</v>
      </c>
      <c r="AZ37" s="362">
        <v>0</v>
      </c>
      <c r="BA37" s="362">
        <v>0</v>
      </c>
      <c r="BB37" s="362">
        <v>0</v>
      </c>
      <c r="BC37" s="362">
        <v>0</v>
      </c>
      <c r="BD37" s="362">
        <v>0</v>
      </c>
      <c r="BE37" s="362">
        <v>0</v>
      </c>
      <c r="BF37" s="379"/>
      <c r="BG37" s="143">
        <v>0</v>
      </c>
      <c r="BH37" s="143">
        <v>0</v>
      </c>
      <c r="BI37" s="143">
        <v>0</v>
      </c>
      <c r="BJ37" s="143">
        <v>0</v>
      </c>
      <c r="BK37" s="143">
        <v>0</v>
      </c>
      <c r="BL37" s="143">
        <v>0</v>
      </c>
      <c r="BM37" s="143">
        <v>0</v>
      </c>
      <c r="BN37" s="143">
        <v>0</v>
      </c>
      <c r="BO37" s="143">
        <v>0</v>
      </c>
      <c r="BP37" s="143">
        <v>0</v>
      </c>
      <c r="BQ37" s="143">
        <v>0</v>
      </c>
      <c r="BR37" s="143">
        <v>0</v>
      </c>
      <c r="BT37" s="438">
        <v>0</v>
      </c>
      <c r="BU37" s="440">
        <v>0</v>
      </c>
      <c r="BV37" s="440">
        <v>0</v>
      </c>
      <c r="BW37" s="440">
        <v>0</v>
      </c>
      <c r="BX37" s="438">
        <v>0</v>
      </c>
      <c r="BY37" s="485">
        <v>0</v>
      </c>
    </row>
    <row r="38" spans="1:77" ht="15">
      <c r="A38" s="170" t="s">
        <v>223</v>
      </c>
      <c r="B38" s="223">
        <v>25047859</v>
      </c>
      <c r="C38" s="146">
        <v>25796810</v>
      </c>
      <c r="D38" s="187">
        <v>4649033.5</v>
      </c>
      <c r="E38" s="187">
        <v>4998529.76</v>
      </c>
      <c r="F38" s="187">
        <v>4630059.7300000004</v>
      </c>
      <c r="G38" s="146">
        <v>3010617.51</v>
      </c>
      <c r="H38" s="146">
        <v>3607579.54</v>
      </c>
      <c r="I38" s="146">
        <v>4321726.68</v>
      </c>
      <c r="J38" s="187">
        <v>3850758.42</v>
      </c>
      <c r="K38" s="187">
        <v>3803659.73</v>
      </c>
      <c r="L38" s="187">
        <v>3657365.73</v>
      </c>
      <c r="M38" s="187">
        <v>4206524.09</v>
      </c>
      <c r="N38" s="187">
        <v>5370399.1699999999</v>
      </c>
      <c r="O38" s="187">
        <v>5135560.34</v>
      </c>
      <c r="P38" s="146">
        <f>32999186+9547496</f>
        <v>42546682</v>
      </c>
      <c r="Q38" s="146">
        <f>32239479+9691631</f>
        <v>41931110</v>
      </c>
      <c r="R38" s="256">
        <v>3834481.48</v>
      </c>
      <c r="S38" s="256">
        <f>5931075+8722</f>
        <v>5939797</v>
      </c>
      <c r="T38" s="256">
        <v>4397000.01</v>
      </c>
      <c r="U38" s="256">
        <v>4835649.1399999997</v>
      </c>
      <c r="V38" s="256">
        <v>4258215.88</v>
      </c>
      <c r="W38" s="256">
        <v>6326601.21</v>
      </c>
      <c r="X38" s="256">
        <v>8628257.2400000002</v>
      </c>
      <c r="Y38" s="256">
        <v>6321337</v>
      </c>
      <c r="Z38" s="301">
        <v>4264641.82</v>
      </c>
      <c r="AA38" s="301">
        <v>3873729.47</v>
      </c>
      <c r="AB38" s="301">
        <v>4112130.85</v>
      </c>
      <c r="AC38" s="256">
        <v>4202916.57</v>
      </c>
      <c r="AD38" s="256">
        <v>4769066.5999999996</v>
      </c>
      <c r="AE38" s="256">
        <v>4384289.54</v>
      </c>
      <c r="AF38" s="256">
        <f>8176370</f>
        <v>8176370</v>
      </c>
      <c r="AG38" s="362">
        <v>5247511.42</v>
      </c>
      <c r="AH38" s="362">
        <v>4938754.78</v>
      </c>
      <c r="AI38" s="362">
        <v>3400934.31</v>
      </c>
      <c r="AJ38" s="362">
        <v>3277314.93</v>
      </c>
      <c r="AK38" s="362">
        <v>4247749.33</v>
      </c>
      <c r="AL38" s="362">
        <v>4547275.3</v>
      </c>
      <c r="AM38" s="362"/>
      <c r="AN38" s="362">
        <v>4111659.72</v>
      </c>
      <c r="AO38" s="362">
        <v>4800873.88</v>
      </c>
      <c r="AP38" s="362">
        <v>3377033.88</v>
      </c>
      <c r="AQ38" s="362">
        <v>3658646.43</v>
      </c>
      <c r="AR38" s="379">
        <v>4364535.66</v>
      </c>
      <c r="AS38" s="382">
        <f>5704302+1952451</f>
        <v>7656753</v>
      </c>
      <c r="AT38" s="362">
        <v>9134338.3699999992</v>
      </c>
      <c r="AU38" s="362">
        <v>8007536.0999999996</v>
      </c>
      <c r="AV38" s="362">
        <v>8138365.8600000003</v>
      </c>
      <c r="AW38" s="362">
        <v>8249791.6200000001</v>
      </c>
      <c r="AX38" s="362">
        <v>7609877.2599999998</v>
      </c>
      <c r="AY38" s="362">
        <v>7987275.9199999999</v>
      </c>
      <c r="AZ38" s="362">
        <v>8675851.6199999992</v>
      </c>
      <c r="BA38" s="362">
        <v>8807211.1699999999</v>
      </c>
      <c r="BB38" s="362">
        <v>5146176.42</v>
      </c>
      <c r="BC38" s="362">
        <v>5069346.8600000003</v>
      </c>
      <c r="BD38" s="362">
        <v>3515679.83</v>
      </c>
      <c r="BE38" s="362">
        <v>4402117.62</v>
      </c>
      <c r="BF38" s="387">
        <f>150000+13988+1582543+101919+13000+22800+39000+60210+600+8744+77137+9519+1725158</f>
        <v>3804618</v>
      </c>
      <c r="BG38" s="143">
        <v>5483026.0199999996</v>
      </c>
      <c r="BH38" s="143">
        <v>6223475.6699999999</v>
      </c>
      <c r="BI38" s="143">
        <v>6267713.2599999998</v>
      </c>
      <c r="BJ38" s="143">
        <v>6777879.0999999996</v>
      </c>
      <c r="BK38" s="143">
        <v>6332473.79</v>
      </c>
      <c r="BL38" s="143">
        <v>6639709.2699999996</v>
      </c>
      <c r="BM38" s="143">
        <v>7508755.6600000001</v>
      </c>
      <c r="BN38" s="143">
        <v>8007921.2999999998</v>
      </c>
      <c r="BO38" s="143">
        <v>8998499.8900000006</v>
      </c>
      <c r="BP38" s="143">
        <v>8846914.3300000001</v>
      </c>
      <c r="BQ38" s="143">
        <v>7359666.96</v>
      </c>
      <c r="BR38" s="143">
        <v>8884158.5099999998</v>
      </c>
      <c r="BS38" s="432">
        <v>6566737</v>
      </c>
      <c r="BT38" s="439">
        <v>7395654.1299999999</v>
      </c>
      <c r="BU38" s="441">
        <v>7792486.3700000001</v>
      </c>
      <c r="BV38" s="441">
        <v>6851843.7800000003</v>
      </c>
      <c r="BW38" s="441">
        <v>7323219.7400000002</v>
      </c>
      <c r="BX38" s="439">
        <v>8309325.7300000004</v>
      </c>
      <c r="BY38" s="486">
        <v>7440560.0300000003</v>
      </c>
    </row>
    <row r="39" spans="1:77" ht="15">
      <c r="A39" s="170" t="s">
        <v>224</v>
      </c>
      <c r="B39" s="223">
        <v>58455393</v>
      </c>
      <c r="C39" s="146">
        <v>782851</v>
      </c>
      <c r="D39" s="187">
        <v>782851.88</v>
      </c>
      <c r="E39" s="187">
        <v>782851.88</v>
      </c>
      <c r="F39" s="187">
        <v>782851.88</v>
      </c>
      <c r="G39" s="146">
        <v>782851.88</v>
      </c>
      <c r="H39" s="146">
        <v>782851.88</v>
      </c>
      <c r="I39" s="146">
        <v>782851.88</v>
      </c>
      <c r="J39" s="146">
        <v>782851.88</v>
      </c>
      <c r="K39" s="187">
        <v>0</v>
      </c>
      <c r="L39" s="187"/>
      <c r="M39" s="187">
        <v>0</v>
      </c>
      <c r="N39" s="187"/>
      <c r="O39" s="187">
        <v>0</v>
      </c>
      <c r="P39" s="146"/>
      <c r="Q39" s="149"/>
      <c r="R39" s="256">
        <v>0</v>
      </c>
      <c r="S39" s="256"/>
      <c r="T39" s="256"/>
      <c r="U39" s="256"/>
      <c r="V39" s="256"/>
      <c r="W39" s="256">
        <v>0</v>
      </c>
      <c r="X39" s="256">
        <v>0</v>
      </c>
      <c r="Y39" s="256">
        <v>0</v>
      </c>
      <c r="Z39" s="301">
        <v>0</v>
      </c>
      <c r="AA39" s="301">
        <v>0</v>
      </c>
      <c r="AB39" s="301"/>
      <c r="AC39" s="256">
        <v>0</v>
      </c>
      <c r="AD39" s="256">
        <v>0</v>
      </c>
      <c r="AE39" s="256">
        <v>0</v>
      </c>
      <c r="AF39" s="256">
        <v>7659</v>
      </c>
      <c r="AG39" s="362">
        <v>10000000</v>
      </c>
      <c r="AH39" s="362">
        <v>10000000</v>
      </c>
      <c r="AI39" s="362">
        <v>10000000</v>
      </c>
      <c r="AJ39" s="362">
        <v>10000000</v>
      </c>
      <c r="AK39" s="362">
        <v>9178063</v>
      </c>
      <c r="AL39" s="362">
        <v>9178063</v>
      </c>
      <c r="AM39" s="362"/>
      <c r="AN39" s="362">
        <v>8354071</v>
      </c>
      <c r="AO39" s="362">
        <v>8354071</v>
      </c>
      <c r="AP39" s="362">
        <v>7528019</v>
      </c>
      <c r="AQ39" s="362">
        <v>7528019</v>
      </c>
      <c r="AR39" s="379">
        <v>7528019</v>
      </c>
      <c r="AS39" s="382">
        <v>7528019</v>
      </c>
      <c r="AT39" s="362">
        <v>0</v>
      </c>
      <c r="AU39" s="362">
        <v>0</v>
      </c>
      <c r="AV39" s="362">
        <v>0</v>
      </c>
      <c r="AW39" s="362">
        <v>0</v>
      </c>
      <c r="AX39" s="362">
        <v>0</v>
      </c>
      <c r="AY39" s="362">
        <v>0</v>
      </c>
      <c r="AZ39" s="362">
        <v>0</v>
      </c>
      <c r="BA39" s="362">
        <v>0</v>
      </c>
      <c r="BB39" s="362">
        <v>0</v>
      </c>
      <c r="BC39" s="362">
        <v>0</v>
      </c>
      <c r="BD39" s="362">
        <v>0</v>
      </c>
      <c r="BE39" s="362">
        <v>0</v>
      </c>
      <c r="BF39" s="387"/>
      <c r="BG39" s="143">
        <v>0</v>
      </c>
      <c r="BH39" s="143">
        <v>0</v>
      </c>
      <c r="BI39" s="143">
        <v>0</v>
      </c>
      <c r="BJ39" s="143">
        <v>0</v>
      </c>
      <c r="BK39" s="143">
        <v>0</v>
      </c>
      <c r="BL39" s="143">
        <v>0</v>
      </c>
      <c r="BM39" s="143">
        <v>0</v>
      </c>
      <c r="BN39" s="143">
        <v>0</v>
      </c>
      <c r="BO39" s="143">
        <v>0</v>
      </c>
      <c r="BP39" s="143">
        <v>0</v>
      </c>
      <c r="BQ39" s="143">
        <v>0</v>
      </c>
      <c r="BR39" s="143">
        <v>0</v>
      </c>
      <c r="BT39" s="439">
        <v>20000000</v>
      </c>
      <c r="BU39" s="441">
        <v>19166666.670000002</v>
      </c>
      <c r="BV39" s="441">
        <v>18333333.34</v>
      </c>
      <c r="BW39" s="441">
        <v>17500000.010000002</v>
      </c>
      <c r="BX39" s="439">
        <v>16666666.68</v>
      </c>
      <c r="BY39" s="486">
        <v>15833333.35</v>
      </c>
    </row>
    <row r="40" spans="1:77" s="145" customFormat="1">
      <c r="A40" s="169" t="s">
        <v>225</v>
      </c>
      <c r="B40" s="228">
        <f t="shared" ref="B40:BM40" si="39">B32+B33</f>
        <v>381114083</v>
      </c>
      <c r="C40" s="228">
        <f t="shared" si="39"/>
        <v>353557756</v>
      </c>
      <c r="D40" s="228">
        <f t="shared" si="39"/>
        <v>369335582.11000001</v>
      </c>
      <c r="E40" s="228">
        <f t="shared" si="39"/>
        <v>381100949.34999996</v>
      </c>
      <c r="F40" s="228">
        <f t="shared" si="39"/>
        <v>352515020.08000004</v>
      </c>
      <c r="G40" s="228">
        <f t="shared" si="39"/>
        <v>337857429.48000002</v>
      </c>
      <c r="H40" s="228">
        <f t="shared" si="39"/>
        <v>334273873.50999999</v>
      </c>
      <c r="I40" s="228">
        <f t="shared" si="39"/>
        <v>316949244.44</v>
      </c>
      <c r="J40" s="228">
        <f t="shared" si="39"/>
        <v>313369048.31000006</v>
      </c>
      <c r="K40" s="228">
        <f t="shared" si="39"/>
        <v>310048208</v>
      </c>
      <c r="L40" s="228">
        <f t="shared" si="39"/>
        <v>317052720.33999997</v>
      </c>
      <c r="M40" s="228">
        <f t="shared" si="39"/>
        <v>311194063.47999996</v>
      </c>
      <c r="N40" s="228">
        <f t="shared" si="39"/>
        <v>312286418.02999997</v>
      </c>
      <c r="O40" s="228">
        <f t="shared" si="39"/>
        <v>310244523.78000003</v>
      </c>
      <c r="P40" s="228">
        <f t="shared" si="39"/>
        <v>349450991</v>
      </c>
      <c r="Q40" s="232">
        <f t="shared" si="39"/>
        <v>382571556</v>
      </c>
      <c r="R40" s="252">
        <f t="shared" si="39"/>
        <v>436293614.40999997</v>
      </c>
      <c r="S40" s="252">
        <f t="shared" si="39"/>
        <v>491471862</v>
      </c>
      <c r="T40" s="252">
        <f t="shared" si="39"/>
        <v>442297256.06999999</v>
      </c>
      <c r="U40" s="252">
        <f t="shared" si="39"/>
        <v>458616104.23000002</v>
      </c>
      <c r="V40" s="252">
        <f t="shared" si="39"/>
        <v>427052893.24000001</v>
      </c>
      <c r="W40" s="252">
        <f t="shared" si="39"/>
        <v>473634368.94999999</v>
      </c>
      <c r="X40" s="252">
        <f t="shared" si="39"/>
        <v>499054895.27999997</v>
      </c>
      <c r="Y40" s="252">
        <f t="shared" si="39"/>
        <v>476838574.94999999</v>
      </c>
      <c r="Z40" s="300">
        <f t="shared" si="39"/>
        <v>497305702.83999997</v>
      </c>
      <c r="AA40" s="300">
        <f t="shared" si="39"/>
        <v>486854403.03999996</v>
      </c>
      <c r="AB40" s="300">
        <f t="shared" si="39"/>
        <v>493843256.44</v>
      </c>
      <c r="AC40" s="252">
        <f t="shared" si="39"/>
        <v>490967336.56</v>
      </c>
      <c r="AD40" s="252">
        <f t="shared" si="39"/>
        <v>488183479.71999997</v>
      </c>
      <c r="AE40" s="252">
        <f t="shared" si="39"/>
        <v>491245849.29000002</v>
      </c>
      <c r="AF40" s="252">
        <f t="shared" si="39"/>
        <v>551402683</v>
      </c>
      <c r="AG40" s="252">
        <f t="shared" si="39"/>
        <v>513561608.04000002</v>
      </c>
      <c r="AH40" s="252">
        <f t="shared" si="39"/>
        <v>554613657.98000002</v>
      </c>
      <c r="AI40" s="252">
        <f t="shared" si="39"/>
        <v>558097794.62</v>
      </c>
      <c r="AJ40" s="374">
        <f t="shared" si="39"/>
        <v>538246146.63999999</v>
      </c>
      <c r="AK40" s="374">
        <f t="shared" si="39"/>
        <v>545343849.19000006</v>
      </c>
      <c r="AL40" s="374">
        <f t="shared" si="39"/>
        <v>545692864.50999999</v>
      </c>
      <c r="AM40" s="374">
        <f t="shared" si="39"/>
        <v>0</v>
      </c>
      <c r="AN40" s="374">
        <f t="shared" si="39"/>
        <v>542540828.53999996</v>
      </c>
      <c r="AO40" s="374">
        <f t="shared" si="39"/>
        <v>543606262.81000006</v>
      </c>
      <c r="AP40" s="374">
        <f t="shared" si="39"/>
        <v>541973438.63999999</v>
      </c>
      <c r="AQ40" s="374">
        <f t="shared" si="39"/>
        <v>545018101.75999999</v>
      </c>
      <c r="AR40" s="374">
        <f t="shared" si="39"/>
        <v>552256228.98000002</v>
      </c>
      <c r="AS40" s="386">
        <f t="shared" si="39"/>
        <v>620430195</v>
      </c>
      <c r="AT40" s="386">
        <f t="shared" si="39"/>
        <v>154910562.31</v>
      </c>
      <c r="AU40" s="386">
        <f t="shared" si="39"/>
        <v>155541678.31999999</v>
      </c>
      <c r="AV40" s="386">
        <f t="shared" si="39"/>
        <v>154996334.54000002</v>
      </c>
      <c r="AW40" s="386">
        <f t="shared" si="39"/>
        <v>148597887.88</v>
      </c>
      <c r="AX40" s="386">
        <f t="shared" si="39"/>
        <v>148120672.91</v>
      </c>
      <c r="AY40" s="386">
        <f t="shared" si="39"/>
        <v>149810312.16</v>
      </c>
      <c r="AZ40" s="386">
        <f t="shared" si="39"/>
        <v>153733306.36000001</v>
      </c>
      <c r="BA40" s="386">
        <f t="shared" si="39"/>
        <v>158291726.81999999</v>
      </c>
      <c r="BB40" s="386">
        <f t="shared" si="39"/>
        <v>158233143.21000001</v>
      </c>
      <c r="BC40" s="386">
        <f t="shared" si="39"/>
        <v>158601603.70000002</v>
      </c>
      <c r="BD40" s="386">
        <f t="shared" si="39"/>
        <v>155568751.29000002</v>
      </c>
      <c r="BE40" s="386">
        <f t="shared" si="39"/>
        <v>170631510.78</v>
      </c>
      <c r="BF40" s="386">
        <f t="shared" si="39"/>
        <v>157141123</v>
      </c>
      <c r="BG40" s="386">
        <f t="shared" si="39"/>
        <v>170221280.41</v>
      </c>
      <c r="BH40" s="386">
        <f t="shared" si="39"/>
        <v>172861415.07999998</v>
      </c>
      <c r="BI40" s="386">
        <f t="shared" si="39"/>
        <v>169684875.12</v>
      </c>
      <c r="BJ40" s="386">
        <f t="shared" si="39"/>
        <v>161382333.59999999</v>
      </c>
      <c r="BK40" s="386">
        <f t="shared" si="39"/>
        <v>162404351.03</v>
      </c>
      <c r="BL40" s="386">
        <f t="shared" si="39"/>
        <v>166386694.65000001</v>
      </c>
      <c r="BM40" s="386">
        <f t="shared" si="39"/>
        <v>170325529.13999999</v>
      </c>
      <c r="BN40" s="386">
        <f t="shared" ref="BN40:BY40" si="40">BN32+BN33</f>
        <v>174189107.73000002</v>
      </c>
      <c r="BO40" s="386">
        <f t="shared" si="40"/>
        <v>174894864.75999999</v>
      </c>
      <c r="BP40" s="386">
        <f t="shared" si="40"/>
        <v>180224691.42000002</v>
      </c>
      <c r="BQ40" s="386">
        <f t="shared" si="40"/>
        <v>183370094.95000002</v>
      </c>
      <c r="BR40" s="386">
        <f t="shared" si="40"/>
        <v>192766532.50999999</v>
      </c>
      <c r="BS40" s="386">
        <f t="shared" si="40"/>
        <v>193914135</v>
      </c>
      <c r="BT40" s="386">
        <f t="shared" si="40"/>
        <v>237145408.69</v>
      </c>
      <c r="BU40" s="386">
        <f t="shared" si="40"/>
        <v>236238263.41000003</v>
      </c>
      <c r="BV40" s="386">
        <f t="shared" si="40"/>
        <v>231774522.25999999</v>
      </c>
      <c r="BW40" s="386">
        <f t="shared" si="40"/>
        <v>230953061.48999998</v>
      </c>
      <c r="BX40" s="386">
        <f t="shared" si="40"/>
        <v>222269921.03</v>
      </c>
      <c r="BY40" s="386">
        <f t="shared" si="40"/>
        <v>222047849.06</v>
      </c>
    </row>
    <row r="41" spans="1:77">
      <c r="A41" s="177" t="s">
        <v>226</v>
      </c>
      <c r="B41" s="223"/>
      <c r="C41" s="146"/>
      <c r="D41" s="187"/>
      <c r="E41" s="187"/>
      <c r="F41" s="187"/>
      <c r="G41" s="146"/>
      <c r="H41" s="146"/>
      <c r="I41" s="146"/>
      <c r="J41" s="187"/>
      <c r="K41" s="187"/>
      <c r="L41" s="187"/>
      <c r="M41" s="187"/>
      <c r="N41" s="187"/>
      <c r="O41" s="187"/>
      <c r="P41" s="146"/>
      <c r="Q41" s="149"/>
      <c r="R41" s="256"/>
      <c r="S41" s="256"/>
      <c r="T41" s="256"/>
      <c r="U41" s="256"/>
      <c r="V41" s="256"/>
      <c r="W41" s="256"/>
      <c r="X41" s="256"/>
      <c r="Y41" s="256"/>
      <c r="Z41" s="301"/>
      <c r="AA41" s="301"/>
      <c r="AB41" s="301"/>
      <c r="AC41" s="256"/>
      <c r="AD41" s="256"/>
      <c r="AE41" s="256"/>
      <c r="AF41" s="256"/>
      <c r="AK41" s="223"/>
      <c r="AL41" s="223"/>
      <c r="AM41" s="223"/>
      <c r="AN41" s="223"/>
      <c r="AO41" s="223"/>
      <c r="AP41" s="223"/>
      <c r="AQ41" s="223"/>
      <c r="AR41" s="223"/>
      <c r="AS41" s="146"/>
      <c r="AT41" s="146"/>
      <c r="AU41" s="146"/>
      <c r="AV41" s="146"/>
      <c r="AW41" s="146"/>
      <c r="AX41" s="146"/>
      <c r="AY41" s="146"/>
      <c r="AZ41" s="146"/>
      <c r="BA41" s="146"/>
      <c r="BB41" s="146"/>
      <c r="BC41" s="146"/>
      <c r="BD41" s="146"/>
      <c r="BE41" s="146"/>
      <c r="BF41" s="387"/>
    </row>
    <row r="42" spans="1:77" ht="15">
      <c r="A42" s="170" t="s">
        <v>227</v>
      </c>
      <c r="B42" s="223">
        <v>8025378</v>
      </c>
      <c r="C42" s="146">
        <v>9759035</v>
      </c>
      <c r="D42" s="187">
        <v>9938535.4499999993</v>
      </c>
      <c r="E42" s="187">
        <v>9938535.4499999993</v>
      </c>
      <c r="F42" s="187">
        <v>10646681.279999999</v>
      </c>
      <c r="G42" s="146">
        <v>12939490.52</v>
      </c>
      <c r="H42" s="146">
        <v>14487259.699999999</v>
      </c>
      <c r="I42" s="146">
        <v>15514989.359999999</v>
      </c>
      <c r="J42" s="187">
        <v>15584456.07</v>
      </c>
      <c r="K42" s="187">
        <v>15844551.390000001</v>
      </c>
      <c r="L42" s="187">
        <v>16022356.039999999</v>
      </c>
      <c r="M42" s="187">
        <v>16132006.050000001</v>
      </c>
      <c r="N42" s="187">
        <v>16243956.050000001</v>
      </c>
      <c r="O42" s="187">
        <v>16369856.050000001</v>
      </c>
      <c r="P42" s="146">
        <v>16369856</v>
      </c>
      <c r="Q42" s="150">
        <v>18582909.920000002</v>
      </c>
      <c r="R42" s="256">
        <v>23206195.109999999</v>
      </c>
      <c r="S42" s="256">
        <v>23206195</v>
      </c>
      <c r="T42" s="256">
        <v>23791312.789999999</v>
      </c>
      <c r="U42" s="256">
        <v>23827444.289999999</v>
      </c>
      <c r="V42" s="256">
        <v>24088524.23</v>
      </c>
      <c r="W42" s="256">
        <v>24158226.899999999</v>
      </c>
      <c r="X42" s="256">
        <v>24178226.899999999</v>
      </c>
      <c r="Y42" s="256">
        <v>24379769.010000002</v>
      </c>
      <c r="Z42" s="301">
        <v>24483019.219999999</v>
      </c>
      <c r="AA42" s="301">
        <v>24752610.25</v>
      </c>
      <c r="AB42" s="301">
        <v>25297165.890000001</v>
      </c>
      <c r="AC42" s="256">
        <v>25582865.84</v>
      </c>
      <c r="AD42" s="256">
        <v>25665165.82</v>
      </c>
      <c r="AE42" s="256">
        <v>25803603.07</v>
      </c>
      <c r="AF42" s="256">
        <v>25804603</v>
      </c>
      <c r="AG42" s="362">
        <v>25905550.539999999</v>
      </c>
      <c r="AH42" s="362">
        <v>25993219.390000001</v>
      </c>
      <c r="AI42" s="362">
        <v>26241533.43</v>
      </c>
      <c r="AJ42" s="362">
        <v>26501566.59</v>
      </c>
      <c r="AK42" s="362">
        <v>26609399.940000001</v>
      </c>
      <c r="AL42" s="362">
        <v>26609399.940000001</v>
      </c>
      <c r="AM42" s="362"/>
      <c r="AN42" s="362">
        <v>27169339.079999998</v>
      </c>
      <c r="AO42" s="362">
        <v>27316421.739999998</v>
      </c>
      <c r="AP42" s="362">
        <v>27436241.02</v>
      </c>
      <c r="AQ42" s="362">
        <v>27556031.010000002</v>
      </c>
      <c r="AR42" s="379">
        <v>27736725.559999999</v>
      </c>
      <c r="AS42" s="382">
        <v>27736726</v>
      </c>
      <c r="AT42" s="362">
        <v>27730647.170000002</v>
      </c>
      <c r="AU42" s="362">
        <v>27895362.170000002</v>
      </c>
      <c r="AV42" s="362">
        <v>28064100.670000002</v>
      </c>
      <c r="AW42" s="362">
        <v>28180939.670000002</v>
      </c>
      <c r="AX42" s="362">
        <v>28364516.670000002</v>
      </c>
      <c r="AY42" s="362">
        <v>28533550.670000002</v>
      </c>
      <c r="AZ42" s="362">
        <v>28707460.239999998</v>
      </c>
      <c r="BA42" s="362">
        <v>28888050.239999998</v>
      </c>
      <c r="BB42" s="362">
        <v>29065830.239999998</v>
      </c>
      <c r="BC42" s="362">
        <v>29351635.239999998</v>
      </c>
      <c r="BD42" s="362">
        <v>29436391.239999998</v>
      </c>
      <c r="BE42" s="362">
        <v>29600115.239999998</v>
      </c>
      <c r="BF42" s="387">
        <f>(17224694+1687701+10275970+627737)-(129808+85179)</f>
        <v>29601115</v>
      </c>
      <c r="BG42" s="143">
        <v>29845050.239999998</v>
      </c>
      <c r="BH42" s="143">
        <v>30058599.239999998</v>
      </c>
      <c r="BI42" s="143">
        <v>35376639.600000001</v>
      </c>
      <c r="BJ42" s="143">
        <v>35699578.600000001</v>
      </c>
      <c r="BK42" s="143">
        <v>35748584.600000001</v>
      </c>
      <c r="BL42" s="143">
        <v>35971346.600000001</v>
      </c>
      <c r="BM42" s="143">
        <v>37295558.600000001</v>
      </c>
      <c r="BN42" s="143">
        <v>37445996.600000001</v>
      </c>
      <c r="BO42" s="143">
        <v>37633652.600000001</v>
      </c>
      <c r="BP42" s="143">
        <v>37840462.600000001</v>
      </c>
      <c r="BQ42" s="143">
        <v>38752685.600000001</v>
      </c>
      <c r="BR42" s="143">
        <v>39481088.600000001</v>
      </c>
      <c r="BS42" s="432">
        <f>(18782587+4974409+10818528+5029744)-(123380+2800)</f>
        <v>39479088</v>
      </c>
      <c r="BT42" s="435">
        <v>35071431.600000001</v>
      </c>
      <c r="BU42" s="437">
        <v>35147714.450000003</v>
      </c>
      <c r="BV42" s="437">
        <v>35704988.490000002</v>
      </c>
      <c r="BW42" s="437">
        <v>36089438.450000003</v>
      </c>
      <c r="BX42" s="435">
        <v>36694386.909999996</v>
      </c>
      <c r="BY42" s="484">
        <v>37112253.229999997</v>
      </c>
    </row>
    <row r="43" spans="1:77" ht="15">
      <c r="A43" s="168" t="s">
        <v>228</v>
      </c>
      <c r="B43" s="223"/>
      <c r="C43" s="146"/>
      <c r="D43" s="187"/>
      <c r="E43" s="187">
        <v>0</v>
      </c>
      <c r="F43" s="187"/>
      <c r="G43" s="146"/>
      <c r="H43" s="146"/>
      <c r="I43" s="146"/>
      <c r="J43" s="187"/>
      <c r="K43" s="187"/>
      <c r="L43" s="187"/>
      <c r="M43" s="187"/>
      <c r="N43" s="187"/>
      <c r="O43" s="187"/>
      <c r="P43" s="146"/>
      <c r="Q43" s="149"/>
      <c r="R43" s="256"/>
      <c r="S43" s="256"/>
      <c r="T43" s="256"/>
      <c r="U43" s="256"/>
      <c r="V43" s="256"/>
      <c r="W43" s="256"/>
      <c r="X43" s="256"/>
      <c r="Y43" s="256"/>
      <c r="Z43" s="301"/>
      <c r="AA43" s="301"/>
      <c r="AB43" s="301"/>
      <c r="AC43" s="256"/>
      <c r="AD43" s="256"/>
      <c r="AE43" s="256"/>
      <c r="AF43" s="256"/>
      <c r="AG43" s="362">
        <v>0</v>
      </c>
      <c r="AH43" s="362">
        <v>0</v>
      </c>
      <c r="AI43" s="362">
        <v>0</v>
      </c>
      <c r="AJ43" s="362">
        <v>0</v>
      </c>
      <c r="AK43" s="362">
        <v>0</v>
      </c>
      <c r="AL43" s="362">
        <v>0</v>
      </c>
      <c r="AM43" s="362"/>
      <c r="AN43" s="362">
        <v>0</v>
      </c>
      <c r="AO43" s="362">
        <v>0</v>
      </c>
      <c r="AP43" s="362">
        <v>0</v>
      </c>
      <c r="AQ43" s="362">
        <v>0</v>
      </c>
      <c r="AR43" s="379">
        <v>0</v>
      </c>
      <c r="AS43" s="379">
        <v>0</v>
      </c>
      <c r="AT43" s="362">
        <v>500000</v>
      </c>
      <c r="AU43" s="362">
        <v>500000</v>
      </c>
      <c r="AV43" s="362">
        <v>500000</v>
      </c>
      <c r="AW43" s="362">
        <v>500000</v>
      </c>
      <c r="AX43" s="362">
        <v>500000</v>
      </c>
      <c r="AY43" s="362">
        <v>500000</v>
      </c>
      <c r="AZ43" s="362">
        <v>500000</v>
      </c>
      <c r="BA43" s="362">
        <v>500000</v>
      </c>
      <c r="BB43" s="362">
        <v>500000</v>
      </c>
      <c r="BC43" s="362">
        <v>500000</v>
      </c>
      <c r="BD43" s="362">
        <v>500000</v>
      </c>
      <c r="BE43" s="362">
        <v>500000</v>
      </c>
      <c r="BF43" s="379"/>
      <c r="BG43" s="143">
        <v>500000</v>
      </c>
      <c r="BH43" s="143">
        <v>500000</v>
      </c>
      <c r="BI43" s="143">
        <v>500000</v>
      </c>
      <c r="BJ43" s="143">
        <v>500000</v>
      </c>
      <c r="BK43" s="143">
        <v>500000</v>
      </c>
      <c r="BL43" s="143">
        <v>500000</v>
      </c>
      <c r="BM43" s="143">
        <v>500000</v>
      </c>
      <c r="BN43" s="143">
        <v>500000</v>
      </c>
      <c r="BO43" s="143">
        <v>500000</v>
      </c>
      <c r="BP43" s="143">
        <v>500000</v>
      </c>
      <c r="BQ43" s="143">
        <v>500000</v>
      </c>
      <c r="BR43" s="143">
        <v>500000</v>
      </c>
      <c r="BT43" s="439">
        <v>500000</v>
      </c>
      <c r="BU43" s="441">
        <v>500000</v>
      </c>
      <c r="BV43" s="441">
        <v>500000</v>
      </c>
      <c r="BW43" s="441">
        <v>500000</v>
      </c>
      <c r="BX43" s="439">
        <v>500000</v>
      </c>
      <c r="BY43" s="486">
        <v>500000</v>
      </c>
    </row>
    <row r="44" spans="1:77">
      <c r="A44" s="168"/>
      <c r="B44" s="223"/>
      <c r="C44" s="146"/>
      <c r="D44" s="188"/>
      <c r="E44" s="188"/>
      <c r="F44" s="188"/>
      <c r="G44" s="146"/>
      <c r="H44" s="146"/>
      <c r="I44" s="146"/>
      <c r="J44" s="188"/>
      <c r="K44" s="188"/>
      <c r="L44" s="188"/>
      <c r="M44" s="188"/>
      <c r="N44" s="188"/>
      <c r="O44" s="188"/>
      <c r="P44" s="146"/>
      <c r="Q44" s="149"/>
      <c r="R44" s="257"/>
      <c r="S44" s="257"/>
      <c r="T44" s="257"/>
      <c r="U44" s="257"/>
      <c r="V44" s="257"/>
      <c r="W44" s="257"/>
      <c r="X44" s="257"/>
      <c r="Y44" s="257"/>
      <c r="Z44" s="302"/>
      <c r="AA44" s="302"/>
      <c r="AB44" s="302"/>
      <c r="AC44" s="257"/>
      <c r="AD44" s="257"/>
      <c r="AE44" s="257"/>
      <c r="AF44" s="257"/>
      <c r="AK44" s="223"/>
      <c r="AL44" s="223"/>
      <c r="AM44" s="223"/>
      <c r="AN44" s="223"/>
      <c r="AO44" s="223"/>
      <c r="AP44" s="223"/>
      <c r="AQ44" s="223"/>
      <c r="AR44" s="223"/>
      <c r="AS44" s="146"/>
      <c r="AT44" s="146"/>
      <c r="AU44" s="146"/>
      <c r="AV44" s="146"/>
      <c r="AW44" s="146"/>
      <c r="AX44" s="146"/>
      <c r="AY44" s="146"/>
      <c r="AZ44" s="146"/>
      <c r="BA44" s="146"/>
      <c r="BB44" s="146"/>
      <c r="BC44" s="146"/>
      <c r="BD44" s="146"/>
      <c r="BE44" s="146"/>
      <c r="BF44" s="149"/>
    </row>
    <row r="45" spans="1:77" s="145" customFormat="1">
      <c r="A45" s="169" t="s">
        <v>128</v>
      </c>
      <c r="B45" s="236">
        <f>B46+B47</f>
        <v>2911424</v>
      </c>
      <c r="C45" s="236">
        <f t="shared" ref="C45:P45" si="41">C46+C47</f>
        <v>17652005</v>
      </c>
      <c r="D45" s="236">
        <f t="shared" si="41"/>
        <v>78460465.269999996</v>
      </c>
      <c r="E45" s="236">
        <f t="shared" si="41"/>
        <v>21809943.959999997</v>
      </c>
      <c r="F45" s="236">
        <f t="shared" si="41"/>
        <v>24152568.899999999</v>
      </c>
      <c r="G45" s="236">
        <f t="shared" si="41"/>
        <v>29428468.129999999</v>
      </c>
      <c r="H45" s="236">
        <f t="shared" si="41"/>
        <v>31931788.710000001</v>
      </c>
      <c r="I45" s="236">
        <f t="shared" si="41"/>
        <v>34574303.519999996</v>
      </c>
      <c r="J45" s="236">
        <f t="shared" si="41"/>
        <v>38915720.729999997</v>
      </c>
      <c r="K45" s="236">
        <f t="shared" si="41"/>
        <v>41437154.280000001</v>
      </c>
      <c r="L45" s="236">
        <f t="shared" si="41"/>
        <v>43876171</v>
      </c>
      <c r="M45" s="236">
        <f t="shared" si="41"/>
        <v>47157150.319999993</v>
      </c>
      <c r="N45" s="236">
        <f t="shared" si="41"/>
        <v>50355045.519999996</v>
      </c>
      <c r="O45" s="236">
        <f t="shared" si="41"/>
        <v>54485470.109999999</v>
      </c>
      <c r="P45" s="236">
        <f t="shared" si="41"/>
        <v>26497005</v>
      </c>
      <c r="Q45" s="190">
        <f t="shared" ref="Q45:V45" si="42">Q47+Q46</f>
        <v>32236241</v>
      </c>
      <c r="R45" s="254">
        <f t="shared" si="42"/>
        <v>117031115.94</v>
      </c>
      <c r="S45" s="254">
        <f t="shared" si="42"/>
        <v>51321512</v>
      </c>
      <c r="T45" s="254">
        <f t="shared" si="42"/>
        <v>121465963.59999999</v>
      </c>
      <c r="U45" s="254">
        <f t="shared" si="42"/>
        <v>128949127.47</v>
      </c>
      <c r="V45" s="254">
        <f t="shared" si="42"/>
        <v>132542868.59</v>
      </c>
      <c r="W45" s="254">
        <f t="shared" ref="W45:AB45" si="43">W47+W46</f>
        <v>74400048.310000002</v>
      </c>
      <c r="X45" s="254">
        <f t="shared" si="43"/>
        <v>76878688.260000005</v>
      </c>
      <c r="Y45" s="254">
        <f t="shared" si="43"/>
        <v>85864949.650000006</v>
      </c>
      <c r="Z45" s="304">
        <f t="shared" si="43"/>
        <v>93184886.819999993</v>
      </c>
      <c r="AA45" s="304">
        <f t="shared" si="43"/>
        <v>99683828.890000001</v>
      </c>
      <c r="AB45" s="304">
        <f t="shared" si="43"/>
        <v>100230622.92</v>
      </c>
      <c r="AC45" s="254">
        <f t="shared" ref="AC45:AJ45" si="44">AC47+AC46</f>
        <v>107949016.96000001</v>
      </c>
      <c r="AD45" s="254">
        <f t="shared" si="44"/>
        <v>114251194.92</v>
      </c>
      <c r="AE45" s="254">
        <f t="shared" si="44"/>
        <v>123085520.22</v>
      </c>
      <c r="AF45" s="254">
        <f t="shared" si="44"/>
        <v>55605601</v>
      </c>
      <c r="AG45" s="254">
        <f t="shared" si="44"/>
        <v>128336022.84</v>
      </c>
      <c r="AH45" s="254">
        <f t="shared" si="44"/>
        <v>66734272.129999995</v>
      </c>
      <c r="AI45" s="254">
        <f t="shared" si="44"/>
        <v>71369899.200000003</v>
      </c>
      <c r="AJ45" s="376">
        <f t="shared" si="44"/>
        <v>81010548.480000004</v>
      </c>
      <c r="AK45" s="376">
        <f t="shared" ref="AK45:BY45" si="45">AK47+AK46</f>
        <v>87371753.480000004</v>
      </c>
      <c r="AL45" s="376">
        <f t="shared" si="45"/>
        <v>93777017.109999999</v>
      </c>
      <c r="AM45" s="376">
        <f t="shared" si="45"/>
        <v>0</v>
      </c>
      <c r="AN45" s="376">
        <f t="shared" si="45"/>
        <v>106067859.21000001</v>
      </c>
      <c r="AO45" s="376">
        <f t="shared" si="45"/>
        <v>109274164.77000001</v>
      </c>
      <c r="AP45" s="376">
        <f t="shared" si="45"/>
        <v>117865428.93000001</v>
      </c>
      <c r="AQ45" s="376">
        <f t="shared" si="45"/>
        <v>123919738.37</v>
      </c>
      <c r="AR45" s="376">
        <f t="shared" si="45"/>
        <v>130921754.79000001</v>
      </c>
      <c r="AS45" s="389">
        <f t="shared" si="45"/>
        <v>53276768</v>
      </c>
      <c r="AT45" s="389">
        <f t="shared" si="45"/>
        <v>23875073.350000001</v>
      </c>
      <c r="AU45" s="389">
        <f t="shared" si="45"/>
        <v>17482575.68</v>
      </c>
      <c r="AV45" s="389">
        <f t="shared" si="45"/>
        <v>19985151.080000002</v>
      </c>
      <c r="AW45" s="389">
        <f t="shared" si="45"/>
        <v>28379007.48</v>
      </c>
      <c r="AX45" s="389">
        <f t="shared" si="45"/>
        <v>31402236.18</v>
      </c>
      <c r="AY45" s="389">
        <f t="shared" si="45"/>
        <v>32379064.48</v>
      </c>
      <c r="AZ45" s="389">
        <f t="shared" si="45"/>
        <v>34200099.880000003</v>
      </c>
      <c r="BA45" s="389">
        <f t="shared" si="45"/>
        <v>35650354</v>
      </c>
      <c r="BB45" s="389">
        <f t="shared" si="45"/>
        <v>38144837.68</v>
      </c>
      <c r="BC45" s="389">
        <f t="shared" si="45"/>
        <v>40514864.039999999</v>
      </c>
      <c r="BD45" s="389">
        <f t="shared" si="45"/>
        <v>43215712.340000004</v>
      </c>
      <c r="BE45" s="389">
        <f t="shared" si="45"/>
        <v>27353755.440000001</v>
      </c>
      <c r="BF45" s="389">
        <f t="shared" si="45"/>
        <v>29297369</v>
      </c>
      <c r="BG45" s="389">
        <f t="shared" si="45"/>
        <v>25509842.559999999</v>
      </c>
      <c r="BH45" s="389">
        <f t="shared" si="45"/>
        <v>27872151.059999999</v>
      </c>
      <c r="BI45" s="389">
        <f t="shared" si="45"/>
        <v>28904175.559999999</v>
      </c>
      <c r="BJ45" s="389">
        <f t="shared" si="45"/>
        <v>31531526.77</v>
      </c>
      <c r="BK45" s="389">
        <f t="shared" si="45"/>
        <v>31621414.07</v>
      </c>
      <c r="BL45" s="389">
        <f t="shared" si="45"/>
        <v>41869225.289999999</v>
      </c>
      <c r="BM45" s="389">
        <f t="shared" si="45"/>
        <v>43327965.599999994</v>
      </c>
      <c r="BN45" s="389">
        <f t="shared" si="45"/>
        <v>46148720.890000001</v>
      </c>
      <c r="BO45" s="389">
        <f t="shared" si="45"/>
        <v>49169516.640000001</v>
      </c>
      <c r="BP45" s="389">
        <f t="shared" si="45"/>
        <v>50519092.030000001</v>
      </c>
      <c r="BQ45" s="389">
        <f t="shared" si="45"/>
        <v>53837843.530000001</v>
      </c>
      <c r="BR45" s="389">
        <f t="shared" si="45"/>
        <v>58668447.519999996</v>
      </c>
      <c r="BS45" s="389">
        <f t="shared" si="45"/>
        <v>43162140</v>
      </c>
      <c r="BT45" s="389">
        <f t="shared" si="45"/>
        <v>23351854.020000003</v>
      </c>
      <c r="BU45" s="389">
        <f t="shared" si="45"/>
        <v>24979705.150000002</v>
      </c>
      <c r="BV45" s="389">
        <f t="shared" si="45"/>
        <v>27064370.16</v>
      </c>
      <c r="BW45" s="389">
        <f t="shared" si="45"/>
        <v>31087465.23</v>
      </c>
      <c r="BX45" s="389">
        <f t="shared" si="45"/>
        <v>39020972.549999997</v>
      </c>
      <c r="BY45" s="389">
        <f t="shared" si="45"/>
        <v>52261562.710000001</v>
      </c>
    </row>
    <row r="46" spans="1:77" ht="15">
      <c r="A46" s="170" t="s">
        <v>229</v>
      </c>
      <c r="B46" s="223">
        <v>-78369</v>
      </c>
      <c r="C46" s="146">
        <v>2911424</v>
      </c>
      <c r="D46" s="187">
        <v>12896637.17</v>
      </c>
      <c r="E46" s="187">
        <v>18532525.739999998</v>
      </c>
      <c r="F46" s="187">
        <v>18532525.739999998</v>
      </c>
      <c r="G46" s="146">
        <v>18532525.739999998</v>
      </c>
      <c r="H46" s="146">
        <v>18532525.739999998</v>
      </c>
      <c r="I46" s="146">
        <v>18532525.739999998</v>
      </c>
      <c r="J46" s="187">
        <v>18532525.739999998</v>
      </c>
      <c r="K46" s="187">
        <v>18532525.739999998</v>
      </c>
      <c r="L46" s="187">
        <v>18532525.739999998</v>
      </c>
      <c r="M46" s="187">
        <v>18532525.739999998</v>
      </c>
      <c r="N46" s="187">
        <v>18532525.739999998</v>
      </c>
      <c r="O46" s="187">
        <v>18532525.739999998</v>
      </c>
      <c r="P46" s="146">
        <v>17652005</v>
      </c>
      <c r="Q46" s="237">
        <v>26497005</v>
      </c>
      <c r="R46" s="256">
        <v>44758605.93</v>
      </c>
      <c r="S46" s="256">
        <v>44397588</v>
      </c>
      <c r="T46" s="256">
        <v>44343299.329999998</v>
      </c>
      <c r="U46" s="256">
        <v>44343299.329999998</v>
      </c>
      <c r="V46" s="256">
        <v>44343299.329999998</v>
      </c>
      <c r="W46" s="256">
        <v>52259007.5</v>
      </c>
      <c r="X46" s="256">
        <v>52259007.5</v>
      </c>
      <c r="Y46" s="256">
        <v>52259007.5</v>
      </c>
      <c r="Z46" s="301">
        <v>51150533.719999999</v>
      </c>
      <c r="AA46" s="301">
        <v>49918557.719999999</v>
      </c>
      <c r="AB46" s="301">
        <v>49918557.719999999</v>
      </c>
      <c r="AC46" s="256">
        <v>49918557.719999999</v>
      </c>
      <c r="AD46" s="256">
        <v>49918557.719999999</v>
      </c>
      <c r="AE46" s="256">
        <v>49918557.719999999</v>
      </c>
      <c r="AF46" s="256">
        <v>51321511</v>
      </c>
      <c r="AG46" s="362">
        <v>49758905.780000001</v>
      </c>
      <c r="AH46" s="362">
        <v>55605600.119999997</v>
      </c>
      <c r="AI46" s="362">
        <v>55605600.119999997</v>
      </c>
      <c r="AJ46" s="362">
        <v>54649704.670000002</v>
      </c>
      <c r="AK46" s="362">
        <v>54649704.670000002</v>
      </c>
      <c r="AL46" s="362">
        <v>54649704.670000002</v>
      </c>
      <c r="AM46" s="362"/>
      <c r="AN46" s="362">
        <v>54649704.670000002</v>
      </c>
      <c r="AO46" s="362">
        <v>54649704.670000002</v>
      </c>
      <c r="AP46" s="362">
        <v>54649704.670000002</v>
      </c>
      <c r="AQ46" s="362">
        <v>54649704.670000002</v>
      </c>
      <c r="AR46" s="379">
        <v>54649704.670000002</v>
      </c>
      <c r="AS46" s="382">
        <v>55605601</v>
      </c>
      <c r="AT46" s="362">
        <v>7838741.6500000004</v>
      </c>
      <c r="AU46" s="362">
        <v>17723566.280000001</v>
      </c>
      <c r="AV46" s="362">
        <v>17723566.280000001</v>
      </c>
      <c r="AW46" s="362">
        <v>17723566.280000001</v>
      </c>
      <c r="AX46" s="362">
        <v>17723566.280000001</v>
      </c>
      <c r="AY46" s="362">
        <v>17723566.280000001</v>
      </c>
      <c r="AZ46" s="362">
        <v>17723566.280000001</v>
      </c>
      <c r="BA46" s="362">
        <v>17723566.280000001</v>
      </c>
      <c r="BB46" s="362">
        <v>17723566.280000001</v>
      </c>
      <c r="BC46" s="362">
        <v>17779485.140000001</v>
      </c>
      <c r="BD46" s="362">
        <v>17779485.140000001</v>
      </c>
      <c r="BE46" s="362">
        <v>17850603.190000001</v>
      </c>
      <c r="BF46" s="418">
        <f>22965981</f>
        <v>22965981</v>
      </c>
      <c r="BG46" s="143">
        <v>23293179.359999999</v>
      </c>
      <c r="BH46" s="143">
        <v>24629012.559999999</v>
      </c>
      <c r="BI46" s="143">
        <v>24629012.559999999</v>
      </c>
      <c r="BJ46" s="143">
        <v>24090482.969999999</v>
      </c>
      <c r="BK46" s="143">
        <v>24090482.969999999</v>
      </c>
      <c r="BL46" s="143">
        <v>24090482.969999999</v>
      </c>
      <c r="BM46" s="143">
        <v>24090482.969999999</v>
      </c>
      <c r="BN46" s="143">
        <v>24090482.969999999</v>
      </c>
      <c r="BO46" s="143">
        <v>24090482.969999999</v>
      </c>
      <c r="BP46" s="143">
        <v>24090482.969999999</v>
      </c>
      <c r="BQ46" s="143">
        <v>24090482.969999999</v>
      </c>
      <c r="BR46" s="143">
        <v>24090482.969999999</v>
      </c>
      <c r="BS46" s="432">
        <f>33544155</f>
        <v>33544155</v>
      </c>
      <c r="BT46" s="435">
        <v>27319168.280000001</v>
      </c>
      <c r="BU46" s="437">
        <v>27319168.280000001</v>
      </c>
      <c r="BV46" s="437">
        <v>27319168.280000001</v>
      </c>
      <c r="BW46" s="437">
        <v>27319168.280000001</v>
      </c>
      <c r="BX46" s="435">
        <v>27319168.280000001</v>
      </c>
      <c r="BY46" s="484">
        <v>27319168.280000001</v>
      </c>
    </row>
    <row r="47" spans="1:77" ht="15">
      <c r="A47" s="170" t="s">
        <v>230</v>
      </c>
      <c r="B47" s="223">
        <v>2989793</v>
      </c>
      <c r="C47" s="146">
        <v>14740581</v>
      </c>
      <c r="D47" s="187">
        <v>65563828.100000001</v>
      </c>
      <c r="E47" s="187">
        <v>3277418.22</v>
      </c>
      <c r="F47" s="187">
        <v>5620043.1600000001</v>
      </c>
      <c r="G47" s="146">
        <v>10895942.390000001</v>
      </c>
      <c r="H47" s="146">
        <v>13399262.970000001</v>
      </c>
      <c r="I47" s="146">
        <v>16041777.779999999</v>
      </c>
      <c r="J47" s="187">
        <v>20383194.989999998</v>
      </c>
      <c r="K47" s="187">
        <v>22904628.539999999</v>
      </c>
      <c r="L47" s="187">
        <v>25343645.260000002</v>
      </c>
      <c r="M47" s="187">
        <v>28624624.579999998</v>
      </c>
      <c r="N47" s="187">
        <v>31822519.780000001</v>
      </c>
      <c r="O47" s="187">
        <v>35952944.369999997</v>
      </c>
      <c r="P47" s="224">
        <f>26497005-P46</f>
        <v>8845000</v>
      </c>
      <c r="Q47" s="146">
        <f>11621261+3834-2324252-360000-600000-2601607</f>
        <v>5739236</v>
      </c>
      <c r="R47" s="256">
        <v>72272510.010000005</v>
      </c>
      <c r="S47" s="256">
        <f>51321512-44397588</f>
        <v>6923924</v>
      </c>
      <c r="T47" s="256">
        <v>77122664.269999996</v>
      </c>
      <c r="U47" s="256">
        <v>84605828.140000001</v>
      </c>
      <c r="V47" s="256">
        <v>88199569.260000005</v>
      </c>
      <c r="W47" s="256">
        <v>22141040.809999999</v>
      </c>
      <c r="X47" s="256">
        <v>24619680.760000002</v>
      </c>
      <c r="Y47" s="256">
        <v>33605942.149999999</v>
      </c>
      <c r="Z47" s="301">
        <v>42034353.100000001</v>
      </c>
      <c r="AA47" s="301">
        <v>49765271.170000002</v>
      </c>
      <c r="AB47" s="301">
        <v>50312065.200000003</v>
      </c>
      <c r="AC47" s="256">
        <v>58030459.240000002</v>
      </c>
      <c r="AD47" s="256">
        <v>64332637.200000003</v>
      </c>
      <c r="AE47" s="256">
        <v>73166962.5</v>
      </c>
      <c r="AF47" s="256">
        <f>13984732-1562605-2796946-707219-1008698-3625174</f>
        <v>4284090</v>
      </c>
      <c r="AG47" s="362">
        <v>78577117.060000002</v>
      </c>
      <c r="AH47" s="362">
        <v>11128672.01</v>
      </c>
      <c r="AI47" s="362">
        <v>15764299.08</v>
      </c>
      <c r="AJ47" s="362">
        <v>26360843.809999999</v>
      </c>
      <c r="AK47" s="362">
        <v>32722048.809999999</v>
      </c>
      <c r="AL47" s="362">
        <v>39127312.439999998</v>
      </c>
      <c r="AM47" s="362"/>
      <c r="AN47" s="362">
        <v>51418154.539999999</v>
      </c>
      <c r="AO47" s="362">
        <v>54624460.100000001</v>
      </c>
      <c r="AP47" s="362">
        <v>63215724.259999998</v>
      </c>
      <c r="AQ47" s="362">
        <v>69270033.700000003</v>
      </c>
      <c r="AR47" s="379">
        <v>76272050.120000005</v>
      </c>
      <c r="AS47" s="382">
        <f>7939034-1587807-955895-1000000-1363760-5360405</f>
        <v>-2328833</v>
      </c>
      <c r="AT47" s="362">
        <v>16036331.699999999</v>
      </c>
      <c r="AU47" s="362">
        <v>-240990.6</v>
      </c>
      <c r="AV47" s="362">
        <v>2261584.7999999998</v>
      </c>
      <c r="AW47" s="362">
        <v>10655441.199999999</v>
      </c>
      <c r="AX47" s="362">
        <v>13678669.9</v>
      </c>
      <c r="AY47" s="362">
        <v>14655498.199999999</v>
      </c>
      <c r="AZ47" s="362">
        <v>16476533.6</v>
      </c>
      <c r="BA47" s="362">
        <v>17926787.719999999</v>
      </c>
      <c r="BB47" s="362">
        <v>20421271.399999999</v>
      </c>
      <c r="BC47" s="362">
        <v>22735378.899999999</v>
      </c>
      <c r="BD47" s="362">
        <v>25436227.199999999</v>
      </c>
      <c r="BE47" s="362">
        <v>9503152.25</v>
      </c>
      <c r="BF47" s="417">
        <f>13501878-(284144+2700376+3551000+300000+300000+34970)</f>
        <v>6331388</v>
      </c>
      <c r="BG47" s="143">
        <v>2216663.2000000002</v>
      </c>
      <c r="BH47" s="143">
        <v>3243138.5</v>
      </c>
      <c r="BI47" s="143">
        <v>4275163</v>
      </c>
      <c r="BJ47" s="143">
        <v>7441043.7999999998</v>
      </c>
      <c r="BK47" s="143">
        <v>7530931.0999999996</v>
      </c>
      <c r="BL47" s="143">
        <v>17778742.32</v>
      </c>
      <c r="BM47" s="143">
        <v>19237482.629999999</v>
      </c>
      <c r="BN47" s="143">
        <v>22058237.920000002</v>
      </c>
      <c r="BO47" s="143">
        <v>25079033.670000002</v>
      </c>
      <c r="BP47" s="143">
        <v>26428609.059999999</v>
      </c>
      <c r="BQ47" s="143">
        <v>29747360.559999999</v>
      </c>
      <c r="BR47" s="143">
        <v>34577964.549999997</v>
      </c>
      <c r="BS47" s="432">
        <f>(21460930+986972)-(4292186+4737731+400000+400000+3000000)</f>
        <v>9617985</v>
      </c>
      <c r="BT47" s="439">
        <v>-3967314.26</v>
      </c>
      <c r="BU47" s="441">
        <v>-2339463.13</v>
      </c>
      <c r="BV47" s="441">
        <v>-254798.12</v>
      </c>
      <c r="BW47" s="441">
        <v>3768296.95</v>
      </c>
      <c r="BX47" s="439">
        <v>11701804.27</v>
      </c>
      <c r="BY47" s="486">
        <v>24942394.43</v>
      </c>
    </row>
    <row r="48" spans="1:77">
      <c r="A48" s="168"/>
      <c r="B48" s="223"/>
      <c r="C48" s="146"/>
      <c r="D48" s="188"/>
      <c r="E48" s="188"/>
      <c r="F48" s="188"/>
      <c r="G48" s="146"/>
      <c r="H48" s="146"/>
      <c r="I48" s="146"/>
      <c r="J48" s="188"/>
      <c r="K48" s="188"/>
      <c r="L48" s="188"/>
      <c r="M48" s="188"/>
      <c r="N48" s="188"/>
      <c r="O48" s="188"/>
      <c r="P48" s="146"/>
      <c r="Q48" s="149"/>
      <c r="R48" s="257"/>
      <c r="S48" s="257"/>
      <c r="T48" s="257"/>
      <c r="U48" s="257"/>
      <c r="V48" s="257"/>
      <c r="W48" s="257"/>
      <c r="X48" s="257"/>
      <c r="Y48" s="257"/>
      <c r="Z48" s="302"/>
      <c r="AA48" s="302"/>
      <c r="AB48" s="302"/>
      <c r="AC48" s="257"/>
      <c r="AD48" s="257"/>
      <c r="AE48" s="257"/>
      <c r="AF48" s="257"/>
      <c r="AK48" s="223"/>
      <c r="AL48" s="223"/>
      <c r="AM48" s="223"/>
      <c r="AN48" s="223"/>
      <c r="AO48" s="223"/>
      <c r="AP48" s="223"/>
      <c r="AQ48" s="223"/>
      <c r="AR48" s="223"/>
      <c r="AS48" s="146"/>
      <c r="AT48" s="146"/>
      <c r="AU48" s="146"/>
      <c r="AV48" s="146"/>
      <c r="AW48" s="146"/>
      <c r="AX48" s="146"/>
      <c r="AY48" s="146"/>
      <c r="AZ48" s="146"/>
      <c r="BA48" s="146"/>
      <c r="BB48" s="146"/>
      <c r="BC48" s="146"/>
      <c r="BD48" s="146"/>
      <c r="BE48" s="146"/>
      <c r="BF48" s="149"/>
      <c r="BG48" s="427"/>
    </row>
    <row r="49" spans="1:77" s="145" customFormat="1">
      <c r="A49" s="169" t="s">
        <v>231</v>
      </c>
      <c r="B49" s="231">
        <f t="shared" ref="B49:P49" si="46">SUM(B50:B54)</f>
        <v>17523276</v>
      </c>
      <c r="C49" s="231">
        <f t="shared" si="46"/>
        <v>43370424</v>
      </c>
      <c r="D49" s="231">
        <f t="shared" si="46"/>
        <v>6545698.6699999999</v>
      </c>
      <c r="E49" s="231">
        <f t="shared" si="46"/>
        <v>43521403.869999997</v>
      </c>
      <c r="F49" s="231">
        <f t="shared" si="46"/>
        <v>43551629.869999997</v>
      </c>
      <c r="G49" s="231">
        <f t="shared" si="46"/>
        <v>42893250.630000003</v>
      </c>
      <c r="H49" s="231">
        <f t="shared" si="46"/>
        <v>42954200.630000003</v>
      </c>
      <c r="I49" s="231">
        <f t="shared" si="46"/>
        <v>43016950.630000003</v>
      </c>
      <c r="J49" s="231">
        <f t="shared" si="46"/>
        <v>43079900.630000003</v>
      </c>
      <c r="K49" s="231">
        <f t="shared" si="46"/>
        <v>43143850.630000003</v>
      </c>
      <c r="L49" s="231">
        <f t="shared" si="46"/>
        <v>43208600.630000003</v>
      </c>
      <c r="M49" s="231">
        <f t="shared" si="46"/>
        <v>43278800.630000003</v>
      </c>
      <c r="N49" s="231">
        <f t="shared" si="46"/>
        <v>43347000.630000003</v>
      </c>
      <c r="O49" s="231">
        <f t="shared" si="46"/>
        <v>43415600.630000003</v>
      </c>
      <c r="P49" s="231">
        <f t="shared" si="46"/>
        <v>39007505</v>
      </c>
      <c r="Q49" s="190">
        <f t="shared" ref="Q49:V49" si="47">SUM(Q50:Q54)</f>
        <v>42380836</v>
      </c>
      <c r="R49" s="254">
        <f t="shared" si="47"/>
        <v>47885731.519999996</v>
      </c>
      <c r="S49" s="254">
        <f t="shared" si="47"/>
        <v>24186825</v>
      </c>
      <c r="T49" s="254">
        <f t="shared" si="47"/>
        <v>14759404.379999999</v>
      </c>
      <c r="U49" s="254">
        <f t="shared" si="47"/>
        <v>14858404.379999999</v>
      </c>
      <c r="V49" s="254">
        <f t="shared" si="47"/>
        <v>14602688.379999999</v>
      </c>
      <c r="W49" s="254">
        <f t="shared" ref="W49:AB49" si="48">SUM(W50:W54)</f>
        <v>16880137.379999999</v>
      </c>
      <c r="X49" s="254">
        <f t="shared" si="48"/>
        <v>16989737.379999999</v>
      </c>
      <c r="Y49" s="254">
        <f t="shared" si="48"/>
        <v>17093937.34</v>
      </c>
      <c r="Z49" s="304">
        <f t="shared" si="48"/>
        <v>16841021.34</v>
      </c>
      <c r="AA49" s="304">
        <f t="shared" si="48"/>
        <v>18172797.34</v>
      </c>
      <c r="AB49" s="304">
        <f t="shared" si="48"/>
        <v>18272797.34</v>
      </c>
      <c r="AC49" s="254">
        <f t="shared" ref="AC49:AJ49" si="49">SUM(AC50:AC54)</f>
        <v>18373321.120000001</v>
      </c>
      <c r="AD49" s="254">
        <f t="shared" si="49"/>
        <v>18472521.120000001</v>
      </c>
      <c r="AE49" s="254">
        <f t="shared" si="49"/>
        <v>18971721.120000001</v>
      </c>
      <c r="AF49" s="254">
        <f t="shared" si="49"/>
        <v>26783487</v>
      </c>
      <c r="AG49" s="254">
        <f t="shared" si="49"/>
        <v>18135086.879999999</v>
      </c>
      <c r="AH49" s="254">
        <f t="shared" si="49"/>
        <v>21028832.879999999</v>
      </c>
      <c r="AI49" s="254">
        <f t="shared" si="49"/>
        <v>21130832.879999999</v>
      </c>
      <c r="AJ49" s="376">
        <f t="shared" si="49"/>
        <v>21229632.879999999</v>
      </c>
      <c r="AK49" s="376">
        <f t="shared" ref="AK49:BY49" si="50">SUM(AK50:AK54)</f>
        <v>20550515.879999999</v>
      </c>
      <c r="AL49" s="376">
        <f t="shared" si="50"/>
        <v>20649915.879999999</v>
      </c>
      <c r="AM49" s="376">
        <f t="shared" si="50"/>
        <v>0</v>
      </c>
      <c r="AN49" s="376">
        <f t="shared" si="50"/>
        <v>20459657.379999999</v>
      </c>
      <c r="AO49" s="376">
        <f t="shared" si="50"/>
        <v>21623504.620000001</v>
      </c>
      <c r="AP49" s="376">
        <f t="shared" si="50"/>
        <v>20276998.879999999</v>
      </c>
      <c r="AQ49" s="376">
        <f t="shared" si="50"/>
        <v>20370598.879999999</v>
      </c>
      <c r="AR49" s="376">
        <f t="shared" si="50"/>
        <v>21227491.050000001</v>
      </c>
      <c r="AS49" s="389">
        <f t="shared" si="50"/>
        <v>30731814</v>
      </c>
      <c r="AT49" s="389">
        <f t="shared" si="50"/>
        <v>15955104</v>
      </c>
      <c r="AU49" s="389">
        <f t="shared" si="50"/>
        <v>22029979</v>
      </c>
      <c r="AV49" s="389">
        <f t="shared" si="50"/>
        <v>22029979</v>
      </c>
      <c r="AW49" s="389">
        <f t="shared" si="50"/>
        <v>22029979</v>
      </c>
      <c r="AX49" s="389">
        <f t="shared" si="50"/>
        <v>22029979</v>
      </c>
      <c r="AY49" s="389">
        <f t="shared" si="50"/>
        <v>22029979</v>
      </c>
      <c r="AZ49" s="389">
        <f t="shared" si="50"/>
        <v>22029979</v>
      </c>
      <c r="BA49" s="389">
        <f t="shared" si="50"/>
        <v>22029979</v>
      </c>
      <c r="BB49" s="389">
        <f t="shared" si="50"/>
        <v>22029979</v>
      </c>
      <c r="BC49" s="389">
        <f t="shared" si="50"/>
        <v>22029979</v>
      </c>
      <c r="BD49" s="389">
        <f t="shared" si="50"/>
        <v>22029979</v>
      </c>
      <c r="BE49" s="389">
        <f t="shared" si="50"/>
        <v>21995009.949999999</v>
      </c>
      <c r="BF49" s="389">
        <f t="shared" si="50"/>
        <v>31596656</v>
      </c>
      <c r="BG49" s="389">
        <f t="shared" si="50"/>
        <v>26056115.98</v>
      </c>
      <c r="BH49" s="389">
        <f t="shared" si="50"/>
        <v>22592571.98</v>
      </c>
      <c r="BI49" s="389">
        <f t="shared" si="50"/>
        <v>24683553.260000002</v>
      </c>
      <c r="BJ49" s="389">
        <f t="shared" si="50"/>
        <v>22627541</v>
      </c>
      <c r="BK49" s="389">
        <f t="shared" si="50"/>
        <v>22627541</v>
      </c>
      <c r="BL49" s="389">
        <f t="shared" si="50"/>
        <v>22622491.98</v>
      </c>
      <c r="BM49" s="389">
        <f t="shared" si="50"/>
        <v>22622491.98</v>
      </c>
      <c r="BN49" s="389">
        <f t="shared" si="50"/>
        <v>22622491.98</v>
      </c>
      <c r="BO49" s="389">
        <f t="shared" si="50"/>
        <v>22622491.98</v>
      </c>
      <c r="BP49" s="389">
        <f t="shared" si="50"/>
        <v>22622491.98</v>
      </c>
      <c r="BQ49" s="389">
        <f t="shared" si="50"/>
        <v>22622491.98</v>
      </c>
      <c r="BR49" s="389">
        <f t="shared" si="50"/>
        <v>23615413.359999999</v>
      </c>
      <c r="BS49" s="389">
        <f t="shared" si="50"/>
        <v>39683698</v>
      </c>
      <c r="BT49" s="389">
        <f t="shared" si="50"/>
        <v>30906699.359999999</v>
      </c>
      <c r="BU49" s="389">
        <f t="shared" si="50"/>
        <v>30906699.359999999</v>
      </c>
      <c r="BV49" s="389">
        <f t="shared" si="50"/>
        <v>30906699.359999999</v>
      </c>
      <c r="BW49" s="389">
        <f t="shared" si="50"/>
        <v>30906699.359999999</v>
      </c>
      <c r="BX49" s="389">
        <f t="shared" si="50"/>
        <v>32079285.59</v>
      </c>
      <c r="BY49" s="389">
        <f t="shared" si="50"/>
        <v>32073858.170000002</v>
      </c>
    </row>
    <row r="50" spans="1:77" ht="15">
      <c r="A50" s="170" t="s">
        <v>232</v>
      </c>
      <c r="B50" s="223">
        <v>6343633</v>
      </c>
      <c r="C50" s="146">
        <v>7743437</v>
      </c>
      <c r="D50" s="187">
        <v>6343633</v>
      </c>
      <c r="E50" s="187">
        <v>7743437</v>
      </c>
      <c r="F50" s="187">
        <v>7743437</v>
      </c>
      <c r="G50" s="146">
        <v>7743437</v>
      </c>
      <c r="H50" s="146">
        <v>7743437</v>
      </c>
      <c r="I50" s="146">
        <v>7743437</v>
      </c>
      <c r="J50" s="187">
        <v>7743437</v>
      </c>
      <c r="K50" s="187">
        <v>7743437</v>
      </c>
      <c r="L50" s="187">
        <v>7743437</v>
      </c>
      <c r="M50" s="187">
        <v>7743437</v>
      </c>
      <c r="N50" s="187">
        <v>7743437</v>
      </c>
      <c r="O50" s="187">
        <v>7743437</v>
      </c>
      <c r="P50" s="146">
        <v>10254671</v>
      </c>
      <c r="Q50" s="146">
        <v>12578932</v>
      </c>
      <c r="R50" s="256">
        <v>16119086</v>
      </c>
      <c r="S50" s="256">
        <v>18296335</v>
      </c>
      <c r="T50" s="256">
        <v>16119086</v>
      </c>
      <c r="U50" s="256">
        <v>16119086</v>
      </c>
      <c r="V50" s="256">
        <v>16119086</v>
      </c>
      <c r="W50" s="256">
        <v>18296335</v>
      </c>
      <c r="X50" s="256">
        <v>18296335</v>
      </c>
      <c r="Y50" s="256">
        <v>18296335</v>
      </c>
      <c r="Z50" s="301">
        <v>18296335</v>
      </c>
      <c r="AA50" s="301">
        <v>18296335</v>
      </c>
      <c r="AB50" s="301">
        <v>18296335</v>
      </c>
      <c r="AC50" s="256">
        <v>18296335</v>
      </c>
      <c r="AD50" s="256">
        <v>18296335</v>
      </c>
      <c r="AE50" s="256">
        <v>18296335</v>
      </c>
      <c r="AF50" s="256">
        <v>21093281</v>
      </c>
      <c r="AG50" s="362">
        <v>18296335</v>
      </c>
      <c r="AH50" s="362">
        <v>21093281</v>
      </c>
      <c r="AI50" s="362">
        <v>21093281</v>
      </c>
      <c r="AJ50" s="362">
        <v>21093281</v>
      </c>
      <c r="AK50" s="362">
        <v>21093281</v>
      </c>
      <c r="AL50" s="362">
        <v>21093281</v>
      </c>
      <c r="AM50" s="362"/>
      <c r="AN50" s="362">
        <v>21093281</v>
      </c>
      <c r="AO50" s="362">
        <v>21093281</v>
      </c>
      <c r="AP50" s="362">
        <v>21093281</v>
      </c>
      <c r="AQ50" s="362">
        <v>21093281</v>
      </c>
      <c r="AR50" s="379">
        <v>21093281</v>
      </c>
      <c r="AS50" s="420">
        <v>22681088</v>
      </c>
      <c r="AT50" s="362">
        <v>10713218</v>
      </c>
      <c r="AU50" s="362">
        <v>14685279</v>
      </c>
      <c r="AV50" s="362">
        <v>14685279</v>
      </c>
      <c r="AW50" s="362">
        <v>14685279</v>
      </c>
      <c r="AX50" s="362">
        <v>14685279</v>
      </c>
      <c r="AY50" s="362">
        <v>14685279</v>
      </c>
      <c r="AZ50" s="362">
        <v>14685279</v>
      </c>
      <c r="BA50" s="362">
        <v>14685279</v>
      </c>
      <c r="BB50" s="362">
        <v>14685279</v>
      </c>
      <c r="BC50" s="362">
        <v>14685279</v>
      </c>
      <c r="BD50" s="362">
        <v>14685279</v>
      </c>
      <c r="BE50" s="362">
        <v>14685279</v>
      </c>
      <c r="BF50" s="417">
        <f>14685280+2700376</f>
        <v>17385656</v>
      </c>
      <c r="BG50" s="143">
        <v>18746385</v>
      </c>
      <c r="BH50" s="143">
        <v>17350685.98</v>
      </c>
      <c r="BI50" s="143">
        <v>17385655</v>
      </c>
      <c r="BJ50" s="143">
        <v>17385655</v>
      </c>
      <c r="BK50" s="143">
        <v>17385655</v>
      </c>
      <c r="BL50" s="143">
        <v>17380605.98</v>
      </c>
      <c r="BM50" s="143">
        <v>17380605.98</v>
      </c>
      <c r="BN50" s="143">
        <v>17380605.98</v>
      </c>
      <c r="BO50" s="143">
        <v>17380605.98</v>
      </c>
      <c r="BP50" s="143">
        <v>17380605.98</v>
      </c>
      <c r="BQ50" s="143">
        <v>17380605.98</v>
      </c>
      <c r="BR50" s="143">
        <v>17380605.98</v>
      </c>
      <c r="BS50" s="432">
        <v>21677842</v>
      </c>
      <c r="BT50" s="435">
        <v>21677841</v>
      </c>
      <c r="BU50" s="437">
        <v>21677841</v>
      </c>
      <c r="BV50" s="437">
        <v>21677841</v>
      </c>
      <c r="BW50" s="437">
        <v>21677841</v>
      </c>
      <c r="BX50" s="435">
        <v>21677841</v>
      </c>
      <c r="BY50" s="484">
        <v>21677841</v>
      </c>
    </row>
    <row r="51" spans="1:77" ht="15">
      <c r="A51" s="170" t="s">
        <v>233</v>
      </c>
      <c r="B51" s="223">
        <v>8709200</v>
      </c>
      <c r="C51" s="146">
        <v>134210</v>
      </c>
      <c r="D51" s="187">
        <v>202065.67</v>
      </c>
      <c r="E51" s="187">
        <v>35777966.869999997</v>
      </c>
      <c r="F51" s="187">
        <v>35808192.869999997</v>
      </c>
      <c r="G51" s="146">
        <v>35149813.630000003</v>
      </c>
      <c r="H51" s="146">
        <v>35210763.630000003</v>
      </c>
      <c r="I51" s="146">
        <v>35273513.630000003</v>
      </c>
      <c r="J51" s="187">
        <v>35336463.630000003</v>
      </c>
      <c r="K51" s="187">
        <v>35400413.630000003</v>
      </c>
      <c r="L51" s="187">
        <v>35465163.630000003</v>
      </c>
      <c r="M51" s="187">
        <v>35535363.630000003</v>
      </c>
      <c r="N51" s="187">
        <v>35603563.630000003</v>
      </c>
      <c r="O51" s="187">
        <v>35672163.630000003</v>
      </c>
      <c r="P51" s="146">
        <f>134210-436946</f>
        <v>-302736</v>
      </c>
      <c r="Q51" s="146">
        <f>134210-807256</f>
        <v>-673046</v>
      </c>
      <c r="R51" s="256">
        <v>31766645.52</v>
      </c>
      <c r="S51" s="256">
        <f>134210</f>
        <v>134210</v>
      </c>
      <c r="T51" s="256">
        <v>-1359681.62</v>
      </c>
      <c r="U51" s="256">
        <v>-1260681.6200000001</v>
      </c>
      <c r="V51" s="256">
        <v>-1516397.62</v>
      </c>
      <c r="W51" s="256">
        <v>-1416197.62</v>
      </c>
      <c r="X51" s="256">
        <v>-1306597.6200000001</v>
      </c>
      <c r="Y51" s="256">
        <v>-1202397.6599999999</v>
      </c>
      <c r="Z51" s="301">
        <v>-1455313.66</v>
      </c>
      <c r="AA51" s="301">
        <v>-123537.66</v>
      </c>
      <c r="AB51" s="301">
        <v>-23537.66</v>
      </c>
      <c r="AC51" s="256">
        <v>76986.12</v>
      </c>
      <c r="AD51" s="256">
        <v>176186.12</v>
      </c>
      <c r="AE51" s="256">
        <v>675386.12</v>
      </c>
      <c r="AF51" s="256">
        <v>134210</v>
      </c>
      <c r="AG51" s="362">
        <v>-161248.12</v>
      </c>
      <c r="AH51" s="362">
        <v>-64448.12</v>
      </c>
      <c r="AI51" s="362">
        <v>37551.879999999997</v>
      </c>
      <c r="AJ51" s="362">
        <v>136351.88</v>
      </c>
      <c r="AK51" s="362">
        <v>-542765.12</v>
      </c>
      <c r="AL51" s="362">
        <v>-443365.12</v>
      </c>
      <c r="AM51" s="362"/>
      <c r="AN51" s="362">
        <v>-633623.62</v>
      </c>
      <c r="AO51" s="362">
        <v>530223.62</v>
      </c>
      <c r="AP51" s="362">
        <v>-816282.12</v>
      </c>
      <c r="AQ51" s="362">
        <v>-722682.12</v>
      </c>
      <c r="AR51" s="379">
        <v>134210.04999999999</v>
      </c>
      <c r="AS51" s="420">
        <v>134210</v>
      </c>
      <c r="AT51" s="362">
        <v>0</v>
      </c>
      <c r="AU51" s="362">
        <v>2102814</v>
      </c>
      <c r="AV51" s="362">
        <v>2102814</v>
      </c>
      <c r="AW51" s="362">
        <v>2102814</v>
      </c>
      <c r="AX51" s="362">
        <v>2102814</v>
      </c>
      <c r="AY51" s="362">
        <v>2102814</v>
      </c>
      <c r="AZ51" s="362">
        <v>2102814</v>
      </c>
      <c r="BA51" s="362">
        <v>2102814</v>
      </c>
      <c r="BB51" s="362">
        <v>2102814</v>
      </c>
      <c r="BC51" s="362">
        <v>2102814</v>
      </c>
      <c r="BD51" s="362">
        <v>2102814</v>
      </c>
      <c r="BE51" s="362">
        <v>2067844.95</v>
      </c>
      <c r="BF51" s="418">
        <f>500000</f>
        <v>500000</v>
      </c>
      <c r="BG51" s="143">
        <v>2067844.98</v>
      </c>
      <c r="BH51" s="143">
        <v>0</v>
      </c>
      <c r="BI51" s="143">
        <v>2056012.26</v>
      </c>
      <c r="BJ51" s="143">
        <v>0</v>
      </c>
      <c r="BK51" s="143">
        <v>0</v>
      </c>
      <c r="BL51" s="143">
        <v>0</v>
      </c>
      <c r="BM51" s="143">
        <v>0</v>
      </c>
      <c r="BN51" s="143">
        <v>0</v>
      </c>
      <c r="BO51" s="143">
        <v>0</v>
      </c>
      <c r="BP51" s="143">
        <v>0</v>
      </c>
      <c r="BQ51" s="143">
        <v>0</v>
      </c>
      <c r="BR51" s="143">
        <v>992921.38</v>
      </c>
      <c r="BS51" s="432">
        <v>500000</v>
      </c>
      <c r="BT51" s="439">
        <v>3986972.36</v>
      </c>
      <c r="BU51" s="441">
        <v>3986972.36</v>
      </c>
      <c r="BV51" s="441">
        <v>3986972.36</v>
      </c>
      <c r="BW51" s="441">
        <v>3986972.36</v>
      </c>
      <c r="BX51" s="439">
        <v>5159558.59</v>
      </c>
      <c r="BY51" s="486">
        <v>5154131.17</v>
      </c>
    </row>
    <row r="52" spans="1:77" ht="15">
      <c r="A52" s="170" t="s">
        <v>234</v>
      </c>
      <c r="B52" s="223">
        <v>1167905</v>
      </c>
      <c r="C52" s="146">
        <v>35492777</v>
      </c>
      <c r="D52" s="187">
        <v>0</v>
      </c>
      <c r="E52" s="187"/>
      <c r="F52" s="187"/>
      <c r="G52" s="146"/>
      <c r="H52" s="146"/>
      <c r="I52" s="146"/>
      <c r="J52" s="187"/>
      <c r="K52" s="187"/>
      <c r="L52" s="187"/>
      <c r="M52" s="187"/>
      <c r="N52" s="187">
        <v>0</v>
      </c>
      <c r="O52" s="187">
        <v>0</v>
      </c>
      <c r="P52" s="146">
        <v>29055570</v>
      </c>
      <c r="Q52" s="149">
        <v>26913343</v>
      </c>
      <c r="R52" s="256">
        <v>0</v>
      </c>
      <c r="S52" s="256"/>
      <c r="T52" s="256">
        <v>0</v>
      </c>
      <c r="U52" s="256"/>
      <c r="V52" s="256"/>
      <c r="W52" s="256"/>
      <c r="X52" s="256"/>
      <c r="Y52" s="256"/>
      <c r="Z52" s="301"/>
      <c r="AA52" s="301"/>
      <c r="AB52" s="301"/>
      <c r="AC52" s="256"/>
      <c r="AD52" s="256">
        <v>0</v>
      </c>
      <c r="AE52" s="256">
        <v>0</v>
      </c>
      <c r="AF52" s="256">
        <v>5555996</v>
      </c>
      <c r="AG52" s="362">
        <v>0</v>
      </c>
      <c r="AH52" s="362">
        <v>0</v>
      </c>
      <c r="AI52" s="362">
        <v>0</v>
      </c>
      <c r="AJ52" s="375"/>
      <c r="AK52" s="375"/>
      <c r="AL52" s="375"/>
      <c r="AM52" s="375"/>
      <c r="AN52" s="375"/>
      <c r="AO52" s="375"/>
      <c r="AP52" s="375"/>
      <c r="AQ52" s="375"/>
      <c r="AR52" s="390"/>
      <c r="AS52" s="420"/>
      <c r="AT52" s="362">
        <v>5241886</v>
      </c>
      <c r="AU52" s="362">
        <v>5241886</v>
      </c>
      <c r="AV52" s="362">
        <v>5241886</v>
      </c>
      <c r="AW52" s="362">
        <v>5241886</v>
      </c>
      <c r="AX52" s="362">
        <v>5241886</v>
      </c>
      <c r="AY52" s="362">
        <v>5241886</v>
      </c>
      <c r="AZ52" s="362">
        <v>5241886</v>
      </c>
      <c r="BA52" s="362">
        <v>5241886</v>
      </c>
      <c r="BB52" s="362">
        <v>5241886</v>
      </c>
      <c r="BC52" s="362">
        <v>5241886</v>
      </c>
      <c r="BD52" s="362">
        <v>5241886</v>
      </c>
      <c r="BE52" s="362">
        <v>5241886</v>
      </c>
      <c r="BF52" s="149"/>
      <c r="BG52" s="143">
        <v>5241886</v>
      </c>
      <c r="BH52" s="143">
        <v>5241886</v>
      </c>
      <c r="BI52" s="143">
        <v>5241886</v>
      </c>
      <c r="BJ52" s="143">
        <v>5241886</v>
      </c>
      <c r="BK52" s="143">
        <v>5241886</v>
      </c>
      <c r="BL52" s="143">
        <v>5241886</v>
      </c>
      <c r="BM52" s="143">
        <v>5241886</v>
      </c>
      <c r="BN52" s="143">
        <v>5241886</v>
      </c>
      <c r="BO52" s="143">
        <v>5241886</v>
      </c>
      <c r="BP52" s="143">
        <v>5241886</v>
      </c>
      <c r="BQ52" s="143">
        <v>5241886</v>
      </c>
      <c r="BR52" s="143">
        <v>5241886</v>
      </c>
      <c r="BT52" s="439">
        <v>5241886</v>
      </c>
      <c r="BU52" s="441">
        <v>5241886</v>
      </c>
      <c r="BV52" s="441">
        <v>5241886</v>
      </c>
      <c r="BW52" s="441">
        <v>5241886</v>
      </c>
      <c r="BX52" s="439">
        <v>5241886</v>
      </c>
      <c r="BY52" s="486">
        <v>5241886</v>
      </c>
    </row>
    <row r="53" spans="1:77" ht="15">
      <c r="A53" s="170" t="s">
        <v>136</v>
      </c>
      <c r="B53" s="223">
        <v>1302538</v>
      </c>
      <c r="C53" s="146"/>
      <c r="D53" s="187"/>
      <c r="E53" s="187"/>
      <c r="F53" s="187"/>
      <c r="G53" s="146"/>
      <c r="H53" s="146"/>
      <c r="I53" s="146"/>
      <c r="J53" s="187"/>
      <c r="K53" s="187"/>
      <c r="L53" s="187"/>
      <c r="M53" s="187"/>
      <c r="N53" s="187"/>
      <c r="O53" s="187"/>
      <c r="P53" s="146"/>
      <c r="Q53" s="146">
        <v>3561607</v>
      </c>
      <c r="R53" s="256"/>
      <c r="S53" s="256">
        <v>5756280</v>
      </c>
      <c r="T53" s="256"/>
      <c r="U53" s="256"/>
      <c r="V53" s="256"/>
      <c r="W53" s="256"/>
      <c r="X53" s="256"/>
      <c r="Y53" s="256"/>
      <c r="Z53" s="301"/>
      <c r="AA53" s="301"/>
      <c r="AB53" s="301"/>
      <c r="AC53" s="256"/>
      <c r="AD53" s="256"/>
      <c r="AE53" s="256"/>
      <c r="AF53" s="256"/>
      <c r="AG53" s="363">
        <v>0</v>
      </c>
      <c r="AH53" s="363">
        <v>0</v>
      </c>
      <c r="AI53" s="363">
        <v>0</v>
      </c>
      <c r="AJ53" s="375"/>
      <c r="AK53" s="375"/>
      <c r="AL53" s="375"/>
      <c r="AM53" s="375"/>
      <c r="AN53" s="375"/>
      <c r="AO53" s="375"/>
      <c r="AP53" s="375"/>
      <c r="AQ53" s="375"/>
      <c r="AR53" s="390"/>
      <c r="AS53" s="420">
        <v>7916516</v>
      </c>
      <c r="AT53" s="363">
        <v>0</v>
      </c>
      <c r="AU53" s="363">
        <v>0</v>
      </c>
      <c r="AV53" s="363">
        <v>0</v>
      </c>
      <c r="AW53" s="363">
        <v>0</v>
      </c>
      <c r="AX53" s="363">
        <v>0</v>
      </c>
      <c r="AY53" s="363">
        <v>0</v>
      </c>
      <c r="AZ53" s="363">
        <v>0</v>
      </c>
      <c r="BA53" s="363">
        <v>0</v>
      </c>
      <c r="BB53" s="363">
        <v>0</v>
      </c>
      <c r="BC53" s="363">
        <v>0</v>
      </c>
      <c r="BD53" s="363">
        <v>0</v>
      </c>
      <c r="BE53" s="363">
        <v>0</v>
      </c>
      <c r="BF53" s="418">
        <f>9560000+3551000+300000+300000</f>
        <v>13711000</v>
      </c>
      <c r="BG53" s="143">
        <v>0</v>
      </c>
      <c r="BH53" s="143">
        <v>0</v>
      </c>
      <c r="BI53" s="143">
        <v>0</v>
      </c>
      <c r="BJ53" s="143">
        <v>0</v>
      </c>
      <c r="BK53" s="143">
        <v>0</v>
      </c>
      <c r="BL53" s="143">
        <v>0</v>
      </c>
      <c r="BM53" s="143">
        <v>0</v>
      </c>
      <c r="BN53" s="143">
        <v>0</v>
      </c>
      <c r="BO53" s="143">
        <v>0</v>
      </c>
      <c r="BP53" s="143">
        <v>0</v>
      </c>
      <c r="BQ53" s="143">
        <v>0</v>
      </c>
      <c r="BR53" s="143">
        <v>0</v>
      </c>
      <c r="BS53" s="432">
        <f>11968125+4737731+400000+400000</f>
        <v>17505856</v>
      </c>
      <c r="BT53" s="438">
        <v>0</v>
      </c>
      <c r="BU53" s="440">
        <v>0</v>
      </c>
      <c r="BV53" s="440">
        <v>0</v>
      </c>
      <c r="BW53" s="440">
        <v>0</v>
      </c>
      <c r="BX53" s="438">
        <v>0</v>
      </c>
      <c r="BY53" s="485">
        <v>0</v>
      </c>
    </row>
    <row r="54" spans="1:77" ht="15">
      <c r="A54" s="170" t="s">
        <v>235</v>
      </c>
      <c r="B54" s="223"/>
      <c r="C54" s="146"/>
      <c r="D54" s="187"/>
      <c r="E54" s="187"/>
      <c r="F54" s="187"/>
      <c r="G54" s="146"/>
      <c r="H54" s="146"/>
      <c r="I54" s="146"/>
      <c r="J54" s="187"/>
      <c r="K54" s="187"/>
      <c r="L54" s="187"/>
      <c r="M54" s="187"/>
      <c r="N54" s="187"/>
      <c r="O54" s="187"/>
      <c r="P54" s="146"/>
      <c r="Q54" s="149"/>
      <c r="R54" s="256"/>
      <c r="S54" s="256"/>
      <c r="T54" s="256"/>
      <c r="U54" s="256"/>
      <c r="V54" s="256"/>
      <c r="W54" s="256"/>
      <c r="X54" s="256"/>
      <c r="Y54" s="256"/>
      <c r="Z54" s="301"/>
      <c r="AA54" s="301"/>
      <c r="AB54" s="301"/>
      <c r="AC54" s="256"/>
      <c r="AD54" s="256"/>
      <c r="AE54" s="256"/>
      <c r="AF54" s="256"/>
      <c r="AG54" s="363">
        <v>0</v>
      </c>
      <c r="AH54" s="363">
        <v>0</v>
      </c>
      <c r="AI54" s="363">
        <v>0</v>
      </c>
      <c r="AJ54" s="375"/>
      <c r="AK54" s="375"/>
      <c r="AL54" s="375"/>
      <c r="AM54" s="375"/>
      <c r="AN54" s="375"/>
      <c r="AO54" s="375"/>
      <c r="AP54" s="375"/>
      <c r="AQ54" s="375"/>
      <c r="AR54" s="390"/>
      <c r="AS54" s="382"/>
      <c r="AT54" s="363">
        <v>0</v>
      </c>
      <c r="AU54" s="363">
        <v>0</v>
      </c>
      <c r="AV54" s="363">
        <v>0</v>
      </c>
      <c r="AW54" s="363">
        <v>0</v>
      </c>
      <c r="AX54" s="363">
        <v>0</v>
      </c>
      <c r="AY54" s="363">
        <v>0</v>
      </c>
      <c r="AZ54" s="363">
        <v>0</v>
      </c>
      <c r="BA54" s="363">
        <v>0</v>
      </c>
      <c r="BB54" s="363">
        <v>0</v>
      </c>
      <c r="BC54" s="363">
        <v>0</v>
      </c>
      <c r="BD54" s="363">
        <v>0</v>
      </c>
      <c r="BE54" s="363">
        <v>0</v>
      </c>
      <c r="BF54" s="387"/>
      <c r="BG54" s="143">
        <v>0</v>
      </c>
      <c r="BH54" s="143">
        <v>0</v>
      </c>
      <c r="BI54" s="143">
        <v>0</v>
      </c>
      <c r="BJ54" s="143">
        <v>0</v>
      </c>
      <c r="BK54" s="143">
        <v>0</v>
      </c>
      <c r="BL54" s="143">
        <v>0</v>
      </c>
      <c r="BM54" s="143">
        <v>0</v>
      </c>
      <c r="BN54" s="143">
        <v>0</v>
      </c>
      <c r="BO54" s="143">
        <v>0</v>
      </c>
      <c r="BP54" s="143">
        <v>0</v>
      </c>
      <c r="BQ54" s="143">
        <v>0</v>
      </c>
      <c r="BR54" s="143">
        <v>0</v>
      </c>
      <c r="BT54" s="438">
        <v>0</v>
      </c>
      <c r="BU54" s="440">
        <v>0</v>
      </c>
      <c r="BV54" s="440">
        <v>0</v>
      </c>
      <c r="BW54" s="440">
        <v>0</v>
      </c>
      <c r="BX54" s="438">
        <v>0</v>
      </c>
      <c r="BY54" s="485">
        <v>0</v>
      </c>
    </row>
    <row r="55" spans="1:77" s="145" customFormat="1">
      <c r="A55" s="169" t="s">
        <v>236</v>
      </c>
      <c r="B55" s="231">
        <f t="shared" ref="B55:P55" si="51">B42+B43+B45+B49</f>
        <v>28460078</v>
      </c>
      <c r="C55" s="231">
        <f t="shared" si="51"/>
        <v>70781464</v>
      </c>
      <c r="D55" s="231">
        <f t="shared" si="51"/>
        <v>94944699.390000001</v>
      </c>
      <c r="E55" s="231">
        <f t="shared" si="51"/>
        <v>75269883.280000001</v>
      </c>
      <c r="F55" s="231">
        <f t="shared" si="51"/>
        <v>78350880.049999997</v>
      </c>
      <c r="G55" s="231">
        <f t="shared" si="51"/>
        <v>85261209.280000001</v>
      </c>
      <c r="H55" s="231">
        <f t="shared" si="51"/>
        <v>89373249.039999992</v>
      </c>
      <c r="I55" s="231">
        <f t="shared" si="51"/>
        <v>93106243.50999999</v>
      </c>
      <c r="J55" s="231">
        <f t="shared" si="51"/>
        <v>97580077.430000007</v>
      </c>
      <c r="K55" s="231">
        <f t="shared" si="51"/>
        <v>100425556.30000001</v>
      </c>
      <c r="L55" s="231">
        <f t="shared" si="51"/>
        <v>103107127.67</v>
      </c>
      <c r="M55" s="231">
        <f t="shared" si="51"/>
        <v>106567957</v>
      </c>
      <c r="N55" s="231">
        <f t="shared" si="51"/>
        <v>109946002.19999999</v>
      </c>
      <c r="O55" s="231">
        <f t="shared" si="51"/>
        <v>114270926.78999999</v>
      </c>
      <c r="P55" s="231">
        <f t="shared" si="51"/>
        <v>81874366</v>
      </c>
      <c r="Q55" s="234">
        <f t="shared" ref="Q55:V55" si="52">Q42+Q43+Q45+Q49</f>
        <v>93199986.920000002</v>
      </c>
      <c r="R55" s="252">
        <f t="shared" si="52"/>
        <v>188123042.56999999</v>
      </c>
      <c r="S55" s="252">
        <f t="shared" si="52"/>
        <v>98714532</v>
      </c>
      <c r="T55" s="252">
        <f t="shared" si="52"/>
        <v>160016680.76999998</v>
      </c>
      <c r="U55" s="252">
        <f t="shared" si="52"/>
        <v>167634976.13999999</v>
      </c>
      <c r="V55" s="252">
        <f t="shared" si="52"/>
        <v>171234081.19999999</v>
      </c>
      <c r="W55" s="252">
        <f t="shared" ref="W55:AB55" si="53">W42+W43+W45+W49</f>
        <v>115438412.59</v>
      </c>
      <c r="X55" s="252">
        <f t="shared" si="53"/>
        <v>118046652.53999999</v>
      </c>
      <c r="Y55" s="252">
        <f t="shared" si="53"/>
        <v>127338656.00000001</v>
      </c>
      <c r="Z55" s="300">
        <f t="shared" si="53"/>
        <v>134508927.38</v>
      </c>
      <c r="AA55" s="300">
        <f t="shared" si="53"/>
        <v>142609236.47999999</v>
      </c>
      <c r="AB55" s="300">
        <f t="shared" si="53"/>
        <v>143800586.15000001</v>
      </c>
      <c r="AC55" s="252">
        <f t="shared" ref="AC55:AI55" si="54">AC42+AC43+AC45+AC49</f>
        <v>151905203.92000002</v>
      </c>
      <c r="AD55" s="252">
        <f t="shared" si="54"/>
        <v>158388881.86000001</v>
      </c>
      <c r="AE55" s="252">
        <f t="shared" si="54"/>
        <v>167860844.41</v>
      </c>
      <c r="AF55" s="252">
        <f t="shared" si="54"/>
        <v>108193691</v>
      </c>
      <c r="AG55" s="252">
        <f t="shared" si="54"/>
        <v>172376660.25999999</v>
      </c>
      <c r="AH55" s="252">
        <f t="shared" si="54"/>
        <v>113756324.39999999</v>
      </c>
      <c r="AI55" s="252">
        <f t="shared" si="54"/>
        <v>118742265.50999999</v>
      </c>
      <c r="AJ55" s="374">
        <f t="shared" ref="AJ55:AP55" si="55">AJ42+AJ43+AJ45+AJ49</f>
        <v>128741747.95</v>
      </c>
      <c r="AK55" s="374">
        <f t="shared" si="55"/>
        <v>134531669.30000001</v>
      </c>
      <c r="AL55" s="374">
        <f t="shared" si="55"/>
        <v>141036332.93000001</v>
      </c>
      <c r="AM55" s="374">
        <f t="shared" si="55"/>
        <v>0</v>
      </c>
      <c r="AN55" s="374">
        <f t="shared" si="55"/>
        <v>153696855.67000002</v>
      </c>
      <c r="AO55" s="374">
        <f t="shared" si="55"/>
        <v>158214091.13000003</v>
      </c>
      <c r="AP55" s="374">
        <f t="shared" si="55"/>
        <v>165578668.83000001</v>
      </c>
      <c r="AQ55" s="374">
        <f>AQ42+AQ43+AQ45+AQ49</f>
        <v>171846368.25999999</v>
      </c>
      <c r="AR55" s="374">
        <f>AR42+AR43+AR45+AR49</f>
        <v>179885971.40000001</v>
      </c>
      <c r="AS55" s="380">
        <f>AS42+AS43+AS45+AS49</f>
        <v>111745308</v>
      </c>
      <c r="AT55" s="380">
        <f t="shared" ref="AT55:BD55" si="56">AT42+AT43+AT45+AT49</f>
        <v>68060824.520000011</v>
      </c>
      <c r="AU55" s="380">
        <f t="shared" si="56"/>
        <v>67907916.849999994</v>
      </c>
      <c r="AV55" s="380">
        <f t="shared" si="56"/>
        <v>70579230.75</v>
      </c>
      <c r="AW55" s="380">
        <f t="shared" si="56"/>
        <v>79089926.150000006</v>
      </c>
      <c r="AX55" s="380">
        <f t="shared" si="56"/>
        <v>82296731.849999994</v>
      </c>
      <c r="AY55" s="380">
        <f t="shared" si="56"/>
        <v>83442594.150000006</v>
      </c>
      <c r="AZ55" s="380">
        <f t="shared" si="56"/>
        <v>85437539.120000005</v>
      </c>
      <c r="BA55" s="380">
        <f t="shared" si="56"/>
        <v>87068383.239999995</v>
      </c>
      <c r="BB55" s="380">
        <f t="shared" si="56"/>
        <v>89740646.920000002</v>
      </c>
      <c r="BC55" s="380">
        <f t="shared" si="56"/>
        <v>92396478.280000001</v>
      </c>
      <c r="BD55" s="380">
        <f t="shared" si="56"/>
        <v>95182082.579999998</v>
      </c>
      <c r="BE55" s="380">
        <f>BE42+BE43+BE45+BE49</f>
        <v>79448880.629999995</v>
      </c>
      <c r="BF55" s="380">
        <f>BF42+BF43+BF45+BF49</f>
        <v>90495140</v>
      </c>
      <c r="BG55" s="380">
        <f>BG42+BG43+BG45+BG49</f>
        <v>81911008.780000001</v>
      </c>
      <c r="BH55" s="380">
        <f t="shared" ref="BH55:BX55" si="57">BH42+BH43+BH45+BH49</f>
        <v>81023322.280000001</v>
      </c>
      <c r="BI55" s="380">
        <f t="shared" si="57"/>
        <v>89464368.420000002</v>
      </c>
      <c r="BJ55" s="380">
        <f t="shared" si="57"/>
        <v>90358646.370000005</v>
      </c>
      <c r="BK55" s="380">
        <f t="shared" si="57"/>
        <v>90497539.670000002</v>
      </c>
      <c r="BL55" s="380">
        <f t="shared" si="57"/>
        <v>100963063.87</v>
      </c>
      <c r="BM55" s="380">
        <f t="shared" si="57"/>
        <v>103746016.17999999</v>
      </c>
      <c r="BN55" s="380">
        <f t="shared" si="57"/>
        <v>106717209.47000001</v>
      </c>
      <c r="BO55" s="380">
        <f t="shared" si="57"/>
        <v>109925661.22000001</v>
      </c>
      <c r="BP55" s="380">
        <f t="shared" si="57"/>
        <v>111482046.61</v>
      </c>
      <c r="BQ55" s="380">
        <f t="shared" si="57"/>
        <v>115713021.11</v>
      </c>
      <c r="BR55" s="380">
        <f t="shared" si="57"/>
        <v>122264949.48</v>
      </c>
      <c r="BS55" s="380">
        <f t="shared" si="57"/>
        <v>122324926</v>
      </c>
      <c r="BT55" s="380">
        <f t="shared" si="57"/>
        <v>89829984.980000004</v>
      </c>
      <c r="BU55" s="380">
        <f t="shared" si="57"/>
        <v>91534118.960000008</v>
      </c>
      <c r="BV55" s="380">
        <f t="shared" si="57"/>
        <v>94176058.010000005</v>
      </c>
      <c r="BW55" s="380">
        <f t="shared" si="57"/>
        <v>98583603.040000007</v>
      </c>
      <c r="BX55" s="380">
        <f t="shared" ref="BX55:BY55" si="58">BX42+BX43+BX45+BX49</f>
        <v>108294645.05</v>
      </c>
      <c r="BY55" s="380">
        <f t="shared" si="58"/>
        <v>121947674.11</v>
      </c>
    </row>
    <row r="56" spans="1:77" s="145" customFormat="1">
      <c r="A56" s="169" t="s">
        <v>237</v>
      </c>
      <c r="B56" s="231">
        <f t="shared" ref="B56:P56" si="59">B55+B40</f>
        <v>409574161</v>
      </c>
      <c r="C56" s="231">
        <f t="shared" si="59"/>
        <v>424339220</v>
      </c>
      <c r="D56" s="231">
        <f t="shared" si="59"/>
        <v>464280281.5</v>
      </c>
      <c r="E56" s="231">
        <f t="shared" si="59"/>
        <v>456370832.63</v>
      </c>
      <c r="F56" s="231">
        <f t="shared" si="59"/>
        <v>430865900.13000005</v>
      </c>
      <c r="G56" s="231">
        <f t="shared" si="59"/>
        <v>423118638.75999999</v>
      </c>
      <c r="H56" s="231">
        <f t="shared" si="59"/>
        <v>423647122.54999995</v>
      </c>
      <c r="I56" s="231">
        <f t="shared" si="59"/>
        <v>410055487.94999999</v>
      </c>
      <c r="J56" s="231">
        <f t="shared" si="59"/>
        <v>410949125.74000007</v>
      </c>
      <c r="K56" s="231">
        <f t="shared" si="59"/>
        <v>410473764.30000001</v>
      </c>
      <c r="L56" s="231">
        <f t="shared" si="59"/>
        <v>420159848.00999999</v>
      </c>
      <c r="M56" s="231">
        <f t="shared" si="59"/>
        <v>417762020.47999996</v>
      </c>
      <c r="N56" s="231">
        <f t="shared" si="59"/>
        <v>422232420.22999996</v>
      </c>
      <c r="O56" s="231">
        <f t="shared" si="59"/>
        <v>424515450.57000005</v>
      </c>
      <c r="P56" s="231">
        <f t="shared" si="59"/>
        <v>431325357</v>
      </c>
      <c r="Q56" s="186">
        <f t="shared" ref="Q56:BX56" si="60">Q40+Q55</f>
        <v>475771542.92000002</v>
      </c>
      <c r="R56" s="252">
        <f t="shared" si="60"/>
        <v>624416656.98000002</v>
      </c>
      <c r="S56" s="252">
        <f t="shared" si="60"/>
        <v>590186394</v>
      </c>
      <c r="T56" s="252">
        <f t="shared" si="60"/>
        <v>602313936.83999991</v>
      </c>
      <c r="U56" s="252">
        <f t="shared" si="60"/>
        <v>626251080.37</v>
      </c>
      <c r="V56" s="252">
        <f t="shared" si="60"/>
        <v>598286974.44000006</v>
      </c>
      <c r="W56" s="252">
        <f t="shared" si="60"/>
        <v>589072781.53999996</v>
      </c>
      <c r="X56" s="252">
        <f t="shared" si="60"/>
        <v>617101547.81999993</v>
      </c>
      <c r="Y56" s="252">
        <f t="shared" si="60"/>
        <v>604177230.95000005</v>
      </c>
      <c r="Z56" s="300">
        <f t="shared" si="60"/>
        <v>631814630.22000003</v>
      </c>
      <c r="AA56" s="300">
        <f t="shared" si="60"/>
        <v>629463639.51999998</v>
      </c>
      <c r="AB56" s="300">
        <f t="shared" si="60"/>
        <v>637643842.59000003</v>
      </c>
      <c r="AC56" s="252">
        <f t="shared" si="60"/>
        <v>642872540.48000002</v>
      </c>
      <c r="AD56" s="252">
        <f t="shared" si="60"/>
        <v>646572361.57999992</v>
      </c>
      <c r="AE56" s="252">
        <f t="shared" si="60"/>
        <v>659106693.70000005</v>
      </c>
      <c r="AF56" s="252">
        <f t="shared" si="60"/>
        <v>659596374</v>
      </c>
      <c r="AG56" s="252">
        <f t="shared" si="60"/>
        <v>685938268.29999995</v>
      </c>
      <c r="AH56" s="252">
        <f t="shared" si="60"/>
        <v>668369982.38</v>
      </c>
      <c r="AI56" s="252">
        <f t="shared" si="60"/>
        <v>676840060.13</v>
      </c>
      <c r="AJ56" s="374">
        <f t="shared" si="60"/>
        <v>666987894.59000003</v>
      </c>
      <c r="AK56" s="374">
        <f t="shared" si="60"/>
        <v>679875518.49000001</v>
      </c>
      <c r="AL56" s="374">
        <f t="shared" si="60"/>
        <v>686729197.44000006</v>
      </c>
      <c r="AM56" s="374">
        <f t="shared" si="60"/>
        <v>0</v>
      </c>
      <c r="AN56" s="374">
        <f t="shared" si="60"/>
        <v>696237684.21000004</v>
      </c>
      <c r="AO56" s="374">
        <f t="shared" si="60"/>
        <v>701820353.94000006</v>
      </c>
      <c r="AP56" s="374">
        <f t="shared" si="60"/>
        <v>707552107.47000003</v>
      </c>
      <c r="AQ56" s="374">
        <f t="shared" si="60"/>
        <v>716864470.01999998</v>
      </c>
      <c r="AR56" s="374">
        <f t="shared" si="60"/>
        <v>732142200.38</v>
      </c>
      <c r="AS56" s="374">
        <f t="shared" si="60"/>
        <v>732175503</v>
      </c>
      <c r="AT56" s="374">
        <f t="shared" si="60"/>
        <v>222971386.83000001</v>
      </c>
      <c r="AU56" s="374">
        <f t="shared" si="60"/>
        <v>223449595.16999999</v>
      </c>
      <c r="AV56" s="374">
        <f t="shared" si="60"/>
        <v>225575565.29000002</v>
      </c>
      <c r="AW56" s="374">
        <f t="shared" si="60"/>
        <v>227687814.03</v>
      </c>
      <c r="AX56" s="374">
        <f t="shared" si="60"/>
        <v>230417404.75999999</v>
      </c>
      <c r="AY56" s="374">
        <f t="shared" si="60"/>
        <v>233252906.31</v>
      </c>
      <c r="AZ56" s="374">
        <f t="shared" si="60"/>
        <v>239170845.48000002</v>
      </c>
      <c r="BA56" s="374">
        <f t="shared" si="60"/>
        <v>245360110.06</v>
      </c>
      <c r="BB56" s="374">
        <f t="shared" si="60"/>
        <v>247973790.13</v>
      </c>
      <c r="BC56" s="374">
        <f t="shared" si="60"/>
        <v>250998081.98000002</v>
      </c>
      <c r="BD56" s="374">
        <f t="shared" si="60"/>
        <v>250750833.87</v>
      </c>
      <c r="BE56" s="374">
        <f t="shared" si="60"/>
        <v>250080391.41</v>
      </c>
      <c r="BF56" s="374">
        <f t="shared" si="60"/>
        <v>247636263</v>
      </c>
      <c r="BG56" s="374">
        <f t="shared" si="60"/>
        <v>252132289.19</v>
      </c>
      <c r="BH56" s="374">
        <f t="shared" si="60"/>
        <v>253884737.35999998</v>
      </c>
      <c r="BI56" s="374">
        <f t="shared" si="60"/>
        <v>259149243.54000002</v>
      </c>
      <c r="BJ56" s="374">
        <f t="shared" si="60"/>
        <v>251740979.97</v>
      </c>
      <c r="BK56" s="374">
        <f t="shared" si="60"/>
        <v>252901890.69999999</v>
      </c>
      <c r="BL56" s="374">
        <f t="shared" si="60"/>
        <v>267349758.52000001</v>
      </c>
      <c r="BM56" s="374">
        <f t="shared" si="60"/>
        <v>274071545.31999999</v>
      </c>
      <c r="BN56" s="374">
        <f t="shared" si="60"/>
        <v>280906317.20000005</v>
      </c>
      <c r="BO56" s="374">
        <f t="shared" si="60"/>
        <v>284820525.98000002</v>
      </c>
      <c r="BP56" s="374">
        <f t="shared" si="60"/>
        <v>291706738.03000003</v>
      </c>
      <c r="BQ56" s="374">
        <f t="shared" si="60"/>
        <v>299083116.06</v>
      </c>
      <c r="BR56" s="374">
        <f t="shared" si="60"/>
        <v>315031481.99000001</v>
      </c>
      <c r="BS56" s="374">
        <f t="shared" si="60"/>
        <v>316239061</v>
      </c>
      <c r="BT56" s="374">
        <f t="shared" si="60"/>
        <v>326975393.67000002</v>
      </c>
      <c r="BU56" s="374">
        <f t="shared" si="60"/>
        <v>327772382.37</v>
      </c>
      <c r="BV56" s="374">
        <f t="shared" si="60"/>
        <v>325950580.26999998</v>
      </c>
      <c r="BW56" s="374">
        <f t="shared" si="60"/>
        <v>329536664.52999997</v>
      </c>
      <c r="BX56" s="374">
        <f t="shared" ref="BX56:BY56" si="61">BX40+BX55</f>
        <v>330564566.07999998</v>
      </c>
      <c r="BY56" s="374">
        <f t="shared" si="61"/>
        <v>343995523.17000002</v>
      </c>
    </row>
    <row r="57" spans="1:77">
      <c r="A57" s="147"/>
      <c r="B57" s="147"/>
      <c r="C57" s="147"/>
      <c r="D57" s="147"/>
      <c r="E57" s="147"/>
      <c r="F57" s="148">
        <f t="shared" ref="F57:AS57" si="62">F27-F56</f>
        <v>5967718.3199999928</v>
      </c>
      <c r="G57" s="148">
        <f t="shared" si="62"/>
        <v>100.06000006198883</v>
      </c>
      <c r="H57" s="148">
        <f t="shared" si="62"/>
        <v>-782691.84999990463</v>
      </c>
      <c r="I57" s="148">
        <f t="shared" si="62"/>
        <v>-782691.84999990463</v>
      </c>
      <c r="J57" s="148">
        <f t="shared" si="62"/>
        <v>-782691.85000002384</v>
      </c>
      <c r="K57" s="148">
        <f t="shared" si="62"/>
        <v>-6.0000002384185791E-2</v>
      </c>
      <c r="L57" s="148">
        <f t="shared" si="62"/>
        <v>0</v>
      </c>
      <c r="M57" s="148">
        <f t="shared" si="62"/>
        <v>0</v>
      </c>
      <c r="N57" s="148">
        <f t="shared" si="62"/>
        <v>6.0000002384185791E-2</v>
      </c>
      <c r="O57" s="148">
        <f t="shared" si="62"/>
        <v>5.9999942779541016E-2</v>
      </c>
      <c r="P57" s="148">
        <f t="shared" si="62"/>
        <v>-3</v>
      </c>
      <c r="Q57" s="148">
        <f t="shared" si="62"/>
        <v>7.9999983310699463E-2</v>
      </c>
      <c r="R57" s="255">
        <f t="shared" si="62"/>
        <v>0</v>
      </c>
      <c r="S57" s="255">
        <f t="shared" si="62"/>
        <v>-2</v>
      </c>
      <c r="T57" s="255">
        <f t="shared" si="62"/>
        <v>0</v>
      </c>
      <c r="U57" s="255">
        <f t="shared" si="62"/>
        <v>6.0000061988830566E-2</v>
      </c>
      <c r="V57" s="255">
        <f t="shared" si="62"/>
        <v>0</v>
      </c>
      <c r="W57" s="255">
        <f t="shared" si="62"/>
        <v>-5.9999942779541016E-2</v>
      </c>
      <c r="X57" s="255">
        <f t="shared" si="62"/>
        <v>0</v>
      </c>
      <c r="Y57" s="255">
        <f t="shared" si="62"/>
        <v>0</v>
      </c>
      <c r="Z57" s="255">
        <f t="shared" si="62"/>
        <v>0</v>
      </c>
      <c r="AA57" s="255">
        <f t="shared" si="62"/>
        <v>0</v>
      </c>
      <c r="AB57" s="255">
        <f t="shared" si="62"/>
        <v>0</v>
      </c>
      <c r="AC57" s="255">
        <f t="shared" si="62"/>
        <v>0</v>
      </c>
      <c r="AD57" s="255">
        <f t="shared" si="62"/>
        <v>-5.9999942779541016E-2</v>
      </c>
      <c r="AE57" s="255">
        <f t="shared" si="62"/>
        <v>-6.0000061988830566E-2</v>
      </c>
      <c r="AF57" s="255">
        <f t="shared" si="62"/>
        <v>1</v>
      </c>
      <c r="AG57" s="255">
        <f t="shared" si="62"/>
        <v>0</v>
      </c>
      <c r="AH57" s="255">
        <f t="shared" si="62"/>
        <v>-6.0000061988830566E-2</v>
      </c>
      <c r="AI57" s="255">
        <f t="shared" si="62"/>
        <v>-5.9999942779541016E-2</v>
      </c>
      <c r="AJ57" s="255">
        <f t="shared" si="62"/>
        <v>-6.0000061988830566E-2</v>
      </c>
      <c r="AK57" s="255">
        <f t="shared" si="62"/>
        <v>-6.0000181198120117E-2</v>
      </c>
      <c r="AL57" s="255">
        <f t="shared" si="62"/>
        <v>0</v>
      </c>
      <c r="AM57" s="255">
        <f t="shared" si="62"/>
        <v>0</v>
      </c>
      <c r="AN57" s="255">
        <f t="shared" si="62"/>
        <v>-5.9999942779541016E-2</v>
      </c>
      <c r="AO57" s="255">
        <f t="shared" si="62"/>
        <v>-1060447.3000000715</v>
      </c>
      <c r="AP57" s="255">
        <f t="shared" si="62"/>
        <v>-6.0000181198120117E-2</v>
      </c>
      <c r="AQ57" s="255">
        <f t="shared" si="62"/>
        <v>-5.9999942779541016E-2</v>
      </c>
      <c r="AR57" s="255">
        <f t="shared" si="62"/>
        <v>-6.0000061988830566E-2</v>
      </c>
      <c r="AS57" s="255">
        <f t="shared" si="62"/>
        <v>-3579309.2599999905</v>
      </c>
      <c r="AT57" s="255"/>
      <c r="AU57" s="255"/>
      <c r="AV57" s="255"/>
      <c r="AW57" s="255"/>
      <c r="AX57" s="255"/>
      <c r="AY57" s="255"/>
      <c r="AZ57" s="255"/>
      <c r="BA57" s="255"/>
      <c r="BB57" s="255"/>
      <c r="BC57" s="255"/>
      <c r="BD57" s="255"/>
      <c r="BE57" s="255"/>
      <c r="BF57" s="255"/>
      <c r="BG57" s="427"/>
      <c r="BU57" s="427">
        <f>BU56-BU27</f>
        <v>0</v>
      </c>
      <c r="BV57" s="427">
        <f t="shared" ref="BV57:BX57" si="63">BV56-BV27</f>
        <v>0</v>
      </c>
      <c r="BW57" s="427">
        <f t="shared" si="63"/>
        <v>0</v>
      </c>
      <c r="BX57" s="427">
        <f t="shared" ref="BX57:BY57" si="64">BX56-BX27</f>
        <v>0</v>
      </c>
      <c r="BY57" s="427">
        <f t="shared" si="64"/>
        <v>0</v>
      </c>
    </row>
    <row r="58" spans="1:77">
      <c r="BF58" s="427"/>
    </row>
  </sheetData>
  <pageMargins left="0.7" right="0.7" top="0.75" bottom="0.75" header="0.3" footer="0.3"/>
  <pageSetup scale="23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B39"/>
  <sheetViews>
    <sheetView topLeftCell="A11" zoomScaleNormal="100" zoomScaleSheetLayoutView="100" workbookViewId="0">
      <pane xSplit="1" topLeftCell="BT1" activePane="topRight" state="frozen"/>
      <selection pane="topRight" activeCell="BW37" sqref="BW37:BY37"/>
    </sheetView>
  </sheetViews>
  <sheetFormatPr defaultRowHeight="14.25"/>
  <cols>
    <col min="1" max="1" width="44.42578125" style="172" bestFit="1" customWidth="1"/>
    <col min="2" max="5" width="16.42578125" style="172" hidden="1" customWidth="1"/>
    <col min="6" max="6" width="20.28515625" style="172" hidden="1" customWidth="1"/>
    <col min="7" max="7" width="17.28515625" style="172" hidden="1" customWidth="1"/>
    <col min="8" max="8" width="16" style="172" hidden="1" customWidth="1"/>
    <col min="9" max="15" width="16.42578125" style="172" hidden="1" customWidth="1"/>
    <col min="16" max="16" width="15.28515625" style="172" hidden="1" customWidth="1"/>
    <col min="17" max="17" width="16.42578125" style="172" hidden="1" customWidth="1"/>
    <col min="18" max="18" width="16.28515625" style="172" hidden="1" customWidth="1"/>
    <col min="19" max="19" width="17.28515625" style="172" hidden="1" customWidth="1"/>
    <col min="20" max="22" width="16.28515625" style="172" hidden="1" customWidth="1"/>
    <col min="23" max="29" width="15.42578125" style="172" hidden="1" customWidth="1"/>
    <col min="30" max="30" width="17.140625" style="172" hidden="1" customWidth="1"/>
    <col min="31" max="31" width="16.28515625" style="172" hidden="1" customWidth="1"/>
    <col min="32" max="32" width="16.7109375" style="172" hidden="1" customWidth="1"/>
    <col min="33" max="33" width="16.28515625" style="172" hidden="1" customWidth="1"/>
    <col min="34" max="35" width="15.7109375" style="172" hidden="1" customWidth="1"/>
    <col min="36" max="38" width="15.42578125" style="172" hidden="1" customWidth="1"/>
    <col min="39" max="39" width="6.7109375" style="172" hidden="1" customWidth="1"/>
    <col min="40" max="41" width="15.42578125" style="172" hidden="1" customWidth="1"/>
    <col min="42" max="44" width="16.28515625" style="172" hidden="1" customWidth="1"/>
    <col min="45" max="45" width="17.5703125" style="377" hidden="1" customWidth="1"/>
    <col min="46" max="56" width="17.5703125" style="377" customWidth="1"/>
    <col min="57" max="57" width="20.7109375" style="172" customWidth="1"/>
    <col min="58" max="58" width="21.42578125" style="172" customWidth="1"/>
    <col min="59" max="60" width="15.140625" style="172" customWidth="1"/>
    <col min="61" max="70" width="16.28515625" style="172" bestFit="1" customWidth="1"/>
    <col min="71" max="71" width="17.5703125" style="172" bestFit="1" customWidth="1"/>
    <col min="72" max="72" width="17.140625" style="172" customWidth="1"/>
    <col min="73" max="73" width="19.5703125" style="172" customWidth="1"/>
    <col min="74" max="74" width="19.42578125" style="172" customWidth="1"/>
    <col min="75" max="75" width="16.7109375" style="172" customWidth="1"/>
    <col min="76" max="76" width="19.85546875" style="172" customWidth="1"/>
    <col min="77" max="77" width="14.7109375" style="172" customWidth="1"/>
    <col min="78" max="16384" width="9.140625" style="172"/>
  </cols>
  <sheetData>
    <row r="1" spans="1:80">
      <c r="A1" s="171" t="s">
        <v>13</v>
      </c>
      <c r="B1" s="171"/>
      <c r="C1" s="171"/>
      <c r="D1" s="171"/>
      <c r="E1" s="171"/>
    </row>
    <row r="2" spans="1:80">
      <c r="A2" s="171" t="s">
        <v>238</v>
      </c>
      <c r="B2" s="167" t="s">
        <v>17</v>
      </c>
      <c r="C2" s="167" t="s">
        <v>18</v>
      </c>
      <c r="D2" s="167" t="s">
        <v>19</v>
      </c>
      <c r="E2" s="167" t="s">
        <v>20</v>
      </c>
      <c r="F2" s="167" t="s">
        <v>21</v>
      </c>
      <c r="G2" s="167">
        <v>43101</v>
      </c>
      <c r="H2" s="167">
        <v>43132</v>
      </c>
      <c r="I2" s="167">
        <v>43160</v>
      </c>
      <c r="J2" s="167">
        <v>43191</v>
      </c>
      <c r="K2" s="167">
        <v>43221</v>
      </c>
      <c r="L2" s="167">
        <v>43252</v>
      </c>
      <c r="M2" s="167">
        <v>43282</v>
      </c>
      <c r="N2" s="167">
        <v>43313</v>
      </c>
      <c r="O2" s="167">
        <v>43344</v>
      </c>
      <c r="P2" s="167">
        <v>43374</v>
      </c>
      <c r="Q2" s="167">
        <v>43405</v>
      </c>
      <c r="R2" s="167">
        <v>43435</v>
      </c>
      <c r="S2" s="167" t="s">
        <v>22</v>
      </c>
      <c r="T2" s="167">
        <v>43466</v>
      </c>
      <c r="U2" s="167">
        <v>43497</v>
      </c>
      <c r="V2" s="167">
        <v>43525</v>
      </c>
      <c r="W2" s="167">
        <v>43556</v>
      </c>
      <c r="X2" s="167">
        <v>43586</v>
      </c>
      <c r="Y2" s="167">
        <v>43617</v>
      </c>
      <c r="Z2" s="167">
        <v>43647</v>
      </c>
      <c r="AA2" s="167">
        <v>43678</v>
      </c>
      <c r="AB2" s="167">
        <v>43709</v>
      </c>
      <c r="AC2" s="167">
        <v>43739</v>
      </c>
      <c r="AD2" s="167">
        <v>43770</v>
      </c>
      <c r="AE2" s="167">
        <v>43800</v>
      </c>
      <c r="AF2" s="167" t="s">
        <v>23</v>
      </c>
      <c r="AG2" s="167">
        <v>43831</v>
      </c>
      <c r="AH2" s="167">
        <v>43862</v>
      </c>
      <c r="AI2" s="167">
        <v>43891</v>
      </c>
      <c r="AJ2" s="167">
        <v>43922</v>
      </c>
      <c r="AK2" s="167">
        <v>43952</v>
      </c>
      <c r="AL2" s="167">
        <v>43983</v>
      </c>
      <c r="AM2" s="167">
        <v>44013</v>
      </c>
      <c r="AN2" s="167">
        <v>44044</v>
      </c>
      <c r="AO2" s="167">
        <v>44075</v>
      </c>
      <c r="AP2" s="167">
        <v>44105</v>
      </c>
      <c r="AQ2" s="167">
        <v>44136</v>
      </c>
      <c r="AR2" s="167">
        <v>44166</v>
      </c>
      <c r="AS2" s="400" t="s">
        <v>116</v>
      </c>
      <c r="AT2" s="398">
        <v>44197</v>
      </c>
      <c r="AU2" s="398">
        <v>44228</v>
      </c>
      <c r="AV2" s="398">
        <v>44256</v>
      </c>
      <c r="AW2" s="398">
        <v>44287</v>
      </c>
      <c r="AX2" s="398">
        <v>44317</v>
      </c>
      <c r="AY2" s="398">
        <v>44348</v>
      </c>
      <c r="AZ2" s="398">
        <v>44378</v>
      </c>
      <c r="BA2" s="398">
        <v>44409</v>
      </c>
      <c r="BB2" s="398">
        <v>44440</v>
      </c>
      <c r="BC2" s="398">
        <v>44470</v>
      </c>
      <c r="BD2" s="398">
        <v>44501</v>
      </c>
      <c r="BE2" s="398">
        <v>44531</v>
      </c>
      <c r="BF2" s="399" t="s">
        <v>239</v>
      </c>
      <c r="BG2" s="429">
        <v>44562</v>
      </c>
      <c r="BH2" s="429">
        <v>44593</v>
      </c>
      <c r="BI2" s="429">
        <v>44621</v>
      </c>
      <c r="BJ2" s="429">
        <v>44652</v>
      </c>
      <c r="BK2" s="429">
        <v>44682</v>
      </c>
      <c r="BL2" s="429">
        <v>44713</v>
      </c>
      <c r="BM2" s="429">
        <v>44743</v>
      </c>
      <c r="BN2" s="429">
        <v>44774</v>
      </c>
      <c r="BO2" s="429">
        <v>44805</v>
      </c>
      <c r="BP2" s="429">
        <v>44835</v>
      </c>
      <c r="BQ2" s="429">
        <v>44866</v>
      </c>
      <c r="BR2" s="429">
        <v>44896</v>
      </c>
      <c r="BS2" s="429" t="s">
        <v>189</v>
      </c>
      <c r="BT2" s="429">
        <v>44949</v>
      </c>
      <c r="BU2" s="429">
        <v>44980</v>
      </c>
      <c r="BV2" s="429">
        <v>45008</v>
      </c>
      <c r="BW2" s="429">
        <v>45039</v>
      </c>
      <c r="BX2" s="429">
        <v>45069</v>
      </c>
      <c r="BY2" s="429">
        <v>45100</v>
      </c>
      <c r="BZ2" s="428"/>
      <c r="CA2" s="428"/>
      <c r="CB2" s="428"/>
    </row>
    <row r="3" spans="1:80" s="174" customFormat="1" ht="15">
      <c r="A3" s="173" t="s">
        <v>240</v>
      </c>
      <c r="B3" s="238">
        <f t="shared" ref="B3:BM3" si="0">B4+B7</f>
        <v>74027307</v>
      </c>
      <c r="C3" s="238">
        <f t="shared" si="0"/>
        <v>65691340</v>
      </c>
      <c r="D3" s="238">
        <f t="shared" si="0"/>
        <v>106109075.55000001</v>
      </c>
      <c r="E3" s="238">
        <f t="shared" si="0"/>
        <v>10405797.150000002</v>
      </c>
      <c r="F3" s="238">
        <f t="shared" si="0"/>
        <v>15582715.030000001</v>
      </c>
      <c r="G3" s="238">
        <f t="shared" si="0"/>
        <v>20763238.390000001</v>
      </c>
      <c r="H3" s="238">
        <f t="shared" si="0"/>
        <v>25456373.109999999</v>
      </c>
      <c r="I3" s="238">
        <f t="shared" si="0"/>
        <v>31287074.480000004</v>
      </c>
      <c r="J3" s="238">
        <f t="shared" si="0"/>
        <v>37942298.629999995</v>
      </c>
      <c r="K3" s="238">
        <f t="shared" si="0"/>
        <v>42758847.640000001</v>
      </c>
      <c r="L3" s="238">
        <f t="shared" si="0"/>
        <v>48532978.530000001</v>
      </c>
      <c r="M3" s="238">
        <f t="shared" si="0"/>
        <v>54390474.910000004</v>
      </c>
      <c r="N3" s="238">
        <f t="shared" si="0"/>
        <v>60318406.18</v>
      </c>
      <c r="O3" s="238">
        <f t="shared" si="0"/>
        <v>67655016.340000004</v>
      </c>
      <c r="P3" s="239">
        <f t="shared" si="0"/>
        <v>67659595</v>
      </c>
      <c r="Q3" s="179">
        <f t="shared" si="0"/>
        <v>76855222</v>
      </c>
      <c r="R3" s="179">
        <f t="shared" si="0"/>
        <v>110696549.31999999</v>
      </c>
      <c r="S3" s="179">
        <f t="shared" si="0"/>
        <v>110748089</v>
      </c>
      <c r="T3" s="179">
        <f t="shared" si="0"/>
        <v>119475724.36</v>
      </c>
      <c r="U3" s="179">
        <f t="shared" si="0"/>
        <v>129170693.81999999</v>
      </c>
      <c r="V3" s="179">
        <f t="shared" si="0"/>
        <v>139061486.09</v>
      </c>
      <c r="W3" s="179">
        <f t="shared" si="0"/>
        <v>37717096.270000003</v>
      </c>
      <c r="X3" s="179">
        <f t="shared" si="0"/>
        <v>47156078.540000007</v>
      </c>
      <c r="Y3" s="179">
        <f t="shared" si="0"/>
        <v>59574774.960000008</v>
      </c>
      <c r="Z3" s="298">
        <f t="shared" si="0"/>
        <v>69220024.75</v>
      </c>
      <c r="AA3" s="298">
        <f t="shared" si="0"/>
        <v>79730987.710000008</v>
      </c>
      <c r="AB3" s="298">
        <f t="shared" si="0"/>
        <v>89428467.270000011</v>
      </c>
      <c r="AC3" s="179">
        <f t="shared" si="0"/>
        <v>99809780.700000003</v>
      </c>
      <c r="AD3" s="179">
        <f t="shared" si="0"/>
        <v>109441502.98999999</v>
      </c>
      <c r="AE3" s="179">
        <f t="shared" si="0"/>
        <v>119356968.17999999</v>
      </c>
      <c r="AF3" s="179">
        <f t="shared" si="0"/>
        <v>119501967</v>
      </c>
      <c r="AG3" s="179">
        <f t="shared" si="0"/>
        <v>128877786.16</v>
      </c>
      <c r="AH3" s="179">
        <f t="shared" si="0"/>
        <v>19362653.469999999</v>
      </c>
      <c r="AI3" s="179">
        <f t="shared" si="0"/>
        <v>29245439.719999999</v>
      </c>
      <c r="AJ3" s="179">
        <f t="shared" si="0"/>
        <v>42541678.329999998</v>
      </c>
      <c r="AK3" s="179">
        <f t="shared" si="0"/>
        <v>51906846.289999999</v>
      </c>
      <c r="AL3" s="179">
        <f t="shared" si="0"/>
        <v>61513106.929999992</v>
      </c>
      <c r="AM3" s="179">
        <f t="shared" si="0"/>
        <v>0</v>
      </c>
      <c r="AN3" s="179">
        <f t="shared" si="0"/>
        <v>82314880.49000001</v>
      </c>
      <c r="AO3" s="179">
        <f t="shared" si="0"/>
        <v>93225263.090000004</v>
      </c>
      <c r="AP3" s="179">
        <f t="shared" si="0"/>
        <v>104330005.7</v>
      </c>
      <c r="AQ3" s="179">
        <f t="shared" si="0"/>
        <v>114421763.02</v>
      </c>
      <c r="AR3" s="179">
        <f t="shared" si="0"/>
        <v>125316872.87</v>
      </c>
      <c r="AS3" s="401">
        <f t="shared" si="0"/>
        <v>125316872</v>
      </c>
      <c r="AT3" s="401">
        <f t="shared" si="0"/>
        <v>52977270.509999998</v>
      </c>
      <c r="AU3" s="401">
        <f t="shared" si="0"/>
        <v>6728252.3699999992</v>
      </c>
      <c r="AV3" s="401">
        <f t="shared" si="0"/>
        <v>10424008.799999999</v>
      </c>
      <c r="AW3" s="401">
        <f t="shared" si="0"/>
        <v>21554473.630000003</v>
      </c>
      <c r="AX3" s="401">
        <f t="shared" si="0"/>
        <v>25101005.960000001</v>
      </c>
      <c r="AY3" s="401">
        <f t="shared" si="0"/>
        <v>29169243.25</v>
      </c>
      <c r="AZ3" s="401">
        <f t="shared" si="0"/>
        <v>33192242.109999999</v>
      </c>
      <c r="BA3" s="401">
        <f t="shared" si="0"/>
        <v>37058921.399999999</v>
      </c>
      <c r="BB3" s="401">
        <f t="shared" si="0"/>
        <v>41437349.719999999</v>
      </c>
      <c r="BC3" s="401">
        <f t="shared" si="0"/>
        <v>45334786.359999999</v>
      </c>
      <c r="BD3" s="401">
        <f t="shared" si="0"/>
        <v>50065249.589999996</v>
      </c>
      <c r="BE3" s="401">
        <f t="shared" si="0"/>
        <v>54151549.390000001</v>
      </c>
      <c r="BF3" s="409">
        <f t="shared" si="0"/>
        <v>54152934</v>
      </c>
      <c r="BG3" s="409">
        <f t="shared" si="0"/>
        <v>4021107.44</v>
      </c>
      <c r="BH3" s="409">
        <f t="shared" si="0"/>
        <v>7817786.9699999997</v>
      </c>
      <c r="BI3" s="409">
        <f t="shared" si="0"/>
        <v>12468964.35</v>
      </c>
      <c r="BJ3" s="409">
        <f t="shared" si="0"/>
        <v>17098466.510000002</v>
      </c>
      <c r="BK3" s="409">
        <f t="shared" si="0"/>
        <v>20897331.589999996</v>
      </c>
      <c r="BL3" s="409">
        <f t="shared" si="0"/>
        <v>33409387.369999997</v>
      </c>
      <c r="BM3" s="409">
        <f t="shared" si="0"/>
        <v>37662086.109999999</v>
      </c>
      <c r="BN3" s="409">
        <f t="shared" ref="BN3:BX3" si="1">BN4+BN7</f>
        <v>42953529.659999996</v>
      </c>
      <c r="BO3" s="409">
        <f t="shared" si="1"/>
        <v>47962642.019999996</v>
      </c>
      <c r="BP3" s="409">
        <f t="shared" si="1"/>
        <v>52870981.499999993</v>
      </c>
      <c r="BQ3" s="409">
        <f t="shared" si="1"/>
        <v>58218252.259999998</v>
      </c>
      <c r="BR3" s="409">
        <f t="shared" si="1"/>
        <v>64310001.640000001</v>
      </c>
      <c r="BS3" s="409">
        <f t="shared" si="1"/>
        <v>64293587</v>
      </c>
      <c r="BT3" s="409">
        <f t="shared" si="1"/>
        <v>6208762.8600000003</v>
      </c>
      <c r="BU3" s="409">
        <f t="shared" si="1"/>
        <v>11272908.34</v>
      </c>
      <c r="BV3" s="409">
        <f t="shared" si="1"/>
        <v>16369314.959999999</v>
      </c>
      <c r="BW3" s="409">
        <f t="shared" si="1"/>
        <v>20993998.789999999</v>
      </c>
      <c r="BX3" s="409">
        <f t="shared" ref="BX3:BY3" si="2">BX4+BX7</f>
        <v>29204851.390000001</v>
      </c>
      <c r="BY3" s="409">
        <f t="shared" si="2"/>
        <v>47910913.169999994</v>
      </c>
    </row>
    <row r="4" spans="1:80" s="175" customFormat="1" ht="15">
      <c r="A4" s="169" t="s">
        <v>241</v>
      </c>
      <c r="B4" s="240">
        <f t="shared" ref="B4:P4" si="3">B5+B6</f>
        <v>62711244</v>
      </c>
      <c r="C4" s="240">
        <f t="shared" si="3"/>
        <v>52194043</v>
      </c>
      <c r="D4" s="240">
        <f t="shared" si="3"/>
        <v>56925715.530000001</v>
      </c>
      <c r="E4" s="240">
        <f t="shared" si="3"/>
        <v>9065834.8500000015</v>
      </c>
      <c r="F4" s="240">
        <f t="shared" si="3"/>
        <v>13347691.32</v>
      </c>
      <c r="G4" s="240">
        <f t="shared" si="3"/>
        <v>17843185.900000002</v>
      </c>
      <c r="H4" s="240">
        <f t="shared" si="3"/>
        <v>21802837.919999998</v>
      </c>
      <c r="I4" s="240">
        <f t="shared" si="3"/>
        <v>26712970.650000002</v>
      </c>
      <c r="J4" s="240">
        <f t="shared" si="3"/>
        <v>31134546.079999998</v>
      </c>
      <c r="K4" s="240">
        <f t="shared" si="3"/>
        <v>35211027.050000004</v>
      </c>
      <c r="L4" s="240">
        <f t="shared" si="3"/>
        <v>40039771.910000004</v>
      </c>
      <c r="M4" s="240">
        <f t="shared" si="3"/>
        <v>44874730.880000003</v>
      </c>
      <c r="N4" s="240">
        <f t="shared" si="3"/>
        <v>49839824.689999998</v>
      </c>
      <c r="O4" s="240">
        <f t="shared" si="3"/>
        <v>55099607.5</v>
      </c>
      <c r="P4" s="241">
        <f t="shared" si="3"/>
        <v>54667658</v>
      </c>
      <c r="Q4" s="179">
        <f t="shared" ref="Q4:V4" si="4">SUM(Q5:Q6)</f>
        <v>63659533</v>
      </c>
      <c r="R4" s="179">
        <f t="shared" si="4"/>
        <v>94014243.039999992</v>
      </c>
      <c r="S4" s="179">
        <f t="shared" si="4"/>
        <v>92243098</v>
      </c>
      <c r="T4" s="179">
        <f t="shared" si="4"/>
        <v>101795289.62</v>
      </c>
      <c r="U4" s="179">
        <f t="shared" si="4"/>
        <v>110184669.58</v>
      </c>
      <c r="V4" s="179">
        <f t="shared" si="4"/>
        <v>118782807.81</v>
      </c>
      <c r="W4" s="179">
        <f t="shared" ref="W4:AB4" si="5">SUM(W5:W6)</f>
        <v>33276426.890000001</v>
      </c>
      <c r="X4" s="179">
        <f t="shared" si="5"/>
        <v>41698877.660000004</v>
      </c>
      <c r="Y4" s="179">
        <f t="shared" si="5"/>
        <v>49690009.830000006</v>
      </c>
      <c r="Z4" s="298">
        <f t="shared" si="5"/>
        <v>58079759.169999994</v>
      </c>
      <c r="AA4" s="298">
        <f t="shared" si="5"/>
        <v>67373444.420000002</v>
      </c>
      <c r="AB4" s="298">
        <f t="shared" si="5"/>
        <v>75967217.980000004</v>
      </c>
      <c r="AC4" s="179">
        <f t="shared" ref="AC4:AJ4" si="6">SUM(AC5:AC6)</f>
        <v>85109152.370000005</v>
      </c>
      <c r="AD4" s="179">
        <f t="shared" si="6"/>
        <v>93644667.75</v>
      </c>
      <c r="AE4" s="179">
        <f t="shared" si="6"/>
        <v>102318043.84999999</v>
      </c>
      <c r="AF4" s="179">
        <f t="shared" si="6"/>
        <v>100667063</v>
      </c>
      <c r="AG4" s="179">
        <f t="shared" si="6"/>
        <v>110609670.01000001</v>
      </c>
      <c r="AH4" s="179">
        <f t="shared" si="6"/>
        <v>16784691.07</v>
      </c>
      <c r="AI4" s="179">
        <f t="shared" si="6"/>
        <v>25379995.48</v>
      </c>
      <c r="AJ4" s="179">
        <f t="shared" si="6"/>
        <v>34144034.670000002</v>
      </c>
      <c r="AK4" s="179">
        <f t="shared" ref="AK4:BD4" si="7">SUM(AK5:AK6)</f>
        <v>42420230.640000001</v>
      </c>
      <c r="AL4" s="179">
        <f t="shared" si="7"/>
        <v>50865111.379999995</v>
      </c>
      <c r="AM4" s="179">
        <f t="shared" si="7"/>
        <v>0</v>
      </c>
      <c r="AN4" s="179">
        <f t="shared" si="7"/>
        <v>69275683.120000005</v>
      </c>
      <c r="AO4" s="179">
        <f t="shared" si="7"/>
        <v>78338482.280000001</v>
      </c>
      <c r="AP4" s="179">
        <f t="shared" si="7"/>
        <v>88273672.790000007</v>
      </c>
      <c r="AQ4" s="179">
        <f t="shared" si="7"/>
        <v>97261043.519999996</v>
      </c>
      <c r="AR4" s="179">
        <f t="shared" si="7"/>
        <v>106712107.11</v>
      </c>
      <c r="AS4" s="401">
        <f t="shared" si="7"/>
        <v>114396150</v>
      </c>
      <c r="AT4" s="401">
        <f t="shared" si="7"/>
        <v>42064976.439999998</v>
      </c>
      <c r="AU4" s="401">
        <f t="shared" si="7"/>
        <v>6459408.8599999994</v>
      </c>
      <c r="AV4" s="401">
        <f t="shared" si="7"/>
        <v>10007947.209999999</v>
      </c>
      <c r="AW4" s="401">
        <f t="shared" si="7"/>
        <v>13277635.060000001</v>
      </c>
      <c r="AX4" s="401">
        <f t="shared" si="7"/>
        <v>16663687.52</v>
      </c>
      <c r="AY4" s="401">
        <f t="shared" si="7"/>
        <v>20528616.990000002</v>
      </c>
      <c r="AZ4" s="401">
        <f t="shared" si="7"/>
        <v>24309284.91</v>
      </c>
      <c r="BA4" s="401">
        <f t="shared" si="7"/>
        <v>27958349.359999999</v>
      </c>
      <c r="BB4" s="401">
        <f t="shared" si="7"/>
        <v>31678982.310000002</v>
      </c>
      <c r="BC4" s="401">
        <f t="shared" si="7"/>
        <v>35400453.539999999</v>
      </c>
      <c r="BD4" s="401">
        <f t="shared" si="7"/>
        <v>39958054.949999996</v>
      </c>
      <c r="BE4" s="401">
        <f>SUM(BE5:BE6)</f>
        <v>43824929.269999996</v>
      </c>
      <c r="BF4" s="409">
        <f>SUM(BF5:BF6)</f>
        <v>43814829</v>
      </c>
      <c r="BG4" s="409">
        <f t="shared" ref="BG4:BX4" si="8">SUM(BG5:BG6)</f>
        <v>3792001.71</v>
      </c>
      <c r="BH4" s="409">
        <f t="shared" si="8"/>
        <v>7439882.46</v>
      </c>
      <c r="BI4" s="409">
        <f t="shared" si="8"/>
        <v>11863809.84</v>
      </c>
      <c r="BJ4" s="409">
        <f t="shared" si="8"/>
        <v>16240433.33</v>
      </c>
      <c r="BK4" s="409">
        <f t="shared" si="8"/>
        <v>19836495.759999998</v>
      </c>
      <c r="BL4" s="409">
        <f t="shared" si="8"/>
        <v>24319526.359999999</v>
      </c>
      <c r="BM4" s="409">
        <f t="shared" si="8"/>
        <v>28355786.369999997</v>
      </c>
      <c r="BN4" s="409">
        <f t="shared" si="8"/>
        <v>33297388.960000001</v>
      </c>
      <c r="BO4" s="409">
        <f t="shared" si="8"/>
        <v>38017023.509999998</v>
      </c>
      <c r="BP4" s="409">
        <f t="shared" si="8"/>
        <v>42645593.309999995</v>
      </c>
      <c r="BQ4" s="409">
        <f t="shared" si="8"/>
        <v>47669745</v>
      </c>
      <c r="BR4" s="409">
        <f t="shared" si="8"/>
        <v>53234222.990000002</v>
      </c>
      <c r="BS4" s="409">
        <f t="shared" si="8"/>
        <v>53188295</v>
      </c>
      <c r="BT4" s="409">
        <f t="shared" si="8"/>
        <v>5923805.1200000001</v>
      </c>
      <c r="BU4" s="409">
        <f t="shared" si="8"/>
        <v>10700161.08</v>
      </c>
      <c r="BV4" s="409">
        <f t="shared" si="8"/>
        <v>15487006.09</v>
      </c>
      <c r="BW4" s="409">
        <f t="shared" si="8"/>
        <v>19919857.18</v>
      </c>
      <c r="BX4" s="409">
        <f t="shared" ref="BX4:BY4" si="9">SUM(BX5:BX6)</f>
        <v>27650877.190000001</v>
      </c>
      <c r="BY4" s="409">
        <f t="shared" si="9"/>
        <v>34281043.369999997</v>
      </c>
    </row>
    <row r="5" spans="1:80" ht="15">
      <c r="A5" s="170" t="s">
        <v>242</v>
      </c>
      <c r="B5" s="242">
        <v>57022088</v>
      </c>
      <c r="C5" s="243">
        <v>52194043</v>
      </c>
      <c r="D5" s="244">
        <v>55000112.32</v>
      </c>
      <c r="E5" s="244">
        <v>8632811.1400000006</v>
      </c>
      <c r="F5" s="244">
        <v>12883199.48</v>
      </c>
      <c r="G5" s="244">
        <v>17282802.600000001</v>
      </c>
      <c r="H5" s="244">
        <v>21193775.149999999</v>
      </c>
      <c r="I5" s="244">
        <v>25886855.940000001</v>
      </c>
      <c r="J5" s="137">
        <v>30190451.59</v>
      </c>
      <c r="K5" s="137">
        <v>34176159.740000002</v>
      </c>
      <c r="L5" s="137">
        <v>38908479.100000001</v>
      </c>
      <c r="M5" s="137">
        <v>43550431.109999999</v>
      </c>
      <c r="N5" s="137">
        <v>48388847.460000001</v>
      </c>
      <c r="O5" s="137">
        <v>53491313.25</v>
      </c>
      <c r="P5" s="55">
        <v>54667658</v>
      </c>
      <c r="Q5" s="219">
        <v>63659533</v>
      </c>
      <c r="R5" s="137">
        <v>92180844.439999998</v>
      </c>
      <c r="S5" s="137">
        <v>92243098</v>
      </c>
      <c r="T5" s="137">
        <v>99835043.030000001</v>
      </c>
      <c r="U5" s="137">
        <v>108100157.98999999</v>
      </c>
      <c r="V5" s="137">
        <v>116563561.55</v>
      </c>
      <c r="W5" s="137">
        <v>32743705.91</v>
      </c>
      <c r="X5" s="137">
        <v>41028052.960000001</v>
      </c>
      <c r="Y5" s="137">
        <v>48910970.130000003</v>
      </c>
      <c r="Z5" s="137">
        <v>57168351.619999997</v>
      </c>
      <c r="AA5" s="137">
        <v>66327441.549999997</v>
      </c>
      <c r="AB5" s="137">
        <v>74789201.120000005</v>
      </c>
      <c r="AC5" s="137">
        <v>83778703</v>
      </c>
      <c r="AD5" s="137">
        <v>92124774.870000005</v>
      </c>
      <c r="AE5" s="137">
        <v>100646825.97</v>
      </c>
      <c r="AF5" s="137">
        <f>66338438+34328625</f>
        <v>100667063</v>
      </c>
      <c r="AG5" s="406">
        <v>108761010.51000001</v>
      </c>
      <c r="AH5" s="406">
        <v>16320621.369999999</v>
      </c>
      <c r="AI5" s="406">
        <v>24652089.18</v>
      </c>
      <c r="AJ5" s="406">
        <v>33203108.870000001</v>
      </c>
      <c r="AK5" s="406">
        <v>41377960.140000001</v>
      </c>
      <c r="AL5" s="406">
        <v>49686714.479999997</v>
      </c>
      <c r="AM5" s="406"/>
      <c r="AN5" s="406">
        <v>67396935.920000002</v>
      </c>
      <c r="AO5" s="406">
        <v>76307496.680000007</v>
      </c>
      <c r="AP5" s="406">
        <v>86072413.890000001</v>
      </c>
      <c r="AQ5" s="406">
        <v>94947165.920000002</v>
      </c>
      <c r="AR5" s="406">
        <v>104214540.01000001</v>
      </c>
      <c r="AS5" s="219">
        <f>73499431+31198988</f>
        <v>104698419</v>
      </c>
      <c r="AT5" s="360">
        <v>39621319.640000001</v>
      </c>
      <c r="AU5" s="360">
        <v>6244483.2599999998</v>
      </c>
      <c r="AV5" s="360">
        <v>9623385.6099999994</v>
      </c>
      <c r="AW5" s="360">
        <v>12743361.460000001</v>
      </c>
      <c r="AX5" s="360">
        <v>15976303.92</v>
      </c>
      <c r="AY5" s="360">
        <v>19602197.390000001</v>
      </c>
      <c r="AZ5" s="360">
        <v>23094961.609999999</v>
      </c>
      <c r="BA5" s="360">
        <v>26549529.059999999</v>
      </c>
      <c r="BB5" s="360">
        <v>30058468.010000002</v>
      </c>
      <c r="BC5" s="360">
        <v>33582271.240000002</v>
      </c>
      <c r="BD5" s="360">
        <v>37901112.649999999</v>
      </c>
      <c r="BE5" s="360">
        <v>41538844.969999999</v>
      </c>
      <c r="BF5" s="408">
        <f>20328662+1732493+6274+9024797+10463369</f>
        <v>41555595</v>
      </c>
      <c r="BG5" s="172">
        <v>3590942.71</v>
      </c>
      <c r="BH5" s="172">
        <v>7075609.3600000003</v>
      </c>
      <c r="BI5" s="172">
        <v>11174450.74</v>
      </c>
      <c r="BJ5" s="172">
        <v>15255062.93</v>
      </c>
      <c r="BK5" s="172">
        <v>18612340.359999999</v>
      </c>
      <c r="BL5" s="172">
        <v>22744834.960000001</v>
      </c>
      <c r="BM5" s="172">
        <v>26511503.969999999</v>
      </c>
      <c r="BN5" s="172">
        <v>31002729.960000001</v>
      </c>
      <c r="BO5" s="172">
        <v>35427268.409999996</v>
      </c>
      <c r="BP5" s="172">
        <v>39772389.909999996</v>
      </c>
      <c r="BQ5" s="172">
        <v>44457026.600000001</v>
      </c>
      <c r="BR5" s="172">
        <v>49559111.590000004</v>
      </c>
      <c r="BS5" s="430">
        <f>25630081+23926206</f>
        <v>49556287</v>
      </c>
      <c r="BT5" s="443">
        <v>5300955.12</v>
      </c>
      <c r="BU5" s="445">
        <v>9875388.0800000001</v>
      </c>
      <c r="BV5" s="445">
        <v>14446078.689999999</v>
      </c>
      <c r="BW5" s="445">
        <v>18708112.18</v>
      </c>
      <c r="BX5" s="443">
        <v>26142035.09</v>
      </c>
      <c r="BY5" s="488">
        <v>32458173.27</v>
      </c>
    </row>
    <row r="6" spans="1:80" ht="15">
      <c r="A6" s="170" t="s">
        <v>243</v>
      </c>
      <c r="B6" s="242">
        <v>5689156</v>
      </c>
      <c r="C6" s="26"/>
      <c r="D6" s="245">
        <v>1925603.21</v>
      </c>
      <c r="E6" s="245">
        <v>433023.71</v>
      </c>
      <c r="F6" s="245">
        <v>464491.84</v>
      </c>
      <c r="G6" s="245">
        <v>560383.30000000005</v>
      </c>
      <c r="H6" s="245">
        <v>609062.77</v>
      </c>
      <c r="I6" s="245">
        <v>826114.71</v>
      </c>
      <c r="J6" s="153">
        <v>944094.49</v>
      </c>
      <c r="K6" s="153">
        <v>1034867.31</v>
      </c>
      <c r="L6" s="153">
        <v>1131292.81</v>
      </c>
      <c r="M6" s="153">
        <v>1324299.77</v>
      </c>
      <c r="N6" s="153">
        <v>1450977.23</v>
      </c>
      <c r="O6" s="153">
        <v>1608294.25</v>
      </c>
      <c r="P6" s="55"/>
      <c r="Q6" s="127"/>
      <c r="R6" s="153">
        <v>1833398.6</v>
      </c>
      <c r="S6" s="153"/>
      <c r="T6" s="153">
        <v>1960246.59</v>
      </c>
      <c r="U6" s="153">
        <v>2084511.59</v>
      </c>
      <c r="V6" s="153">
        <v>2219246.2599999998</v>
      </c>
      <c r="W6" s="153">
        <v>532720.98</v>
      </c>
      <c r="X6" s="153">
        <v>670824.69999999995</v>
      </c>
      <c r="Y6" s="153">
        <v>779039.7</v>
      </c>
      <c r="Z6" s="153">
        <v>911407.55</v>
      </c>
      <c r="AA6" s="153">
        <v>1046002.87</v>
      </c>
      <c r="AB6" s="153">
        <v>1178016.8600000001</v>
      </c>
      <c r="AC6" s="153">
        <v>1330449.3700000001</v>
      </c>
      <c r="AD6" s="153">
        <v>1519892.88</v>
      </c>
      <c r="AE6" s="153">
        <v>1671217.88</v>
      </c>
      <c r="AF6" s="153"/>
      <c r="AG6" s="406">
        <v>1848659.5</v>
      </c>
      <c r="AH6" s="406">
        <v>464069.7</v>
      </c>
      <c r="AI6" s="406">
        <v>727906.3</v>
      </c>
      <c r="AJ6" s="406">
        <v>940925.8</v>
      </c>
      <c r="AK6" s="406">
        <v>1042270.5</v>
      </c>
      <c r="AL6" s="406">
        <v>1178396.8999999999</v>
      </c>
      <c r="AM6" s="406"/>
      <c r="AN6" s="406">
        <v>1878747.2</v>
      </c>
      <c r="AO6" s="406">
        <v>2030985.6</v>
      </c>
      <c r="AP6" s="406">
        <v>2201258.9</v>
      </c>
      <c r="AQ6" s="406">
        <v>2313877.6</v>
      </c>
      <c r="AR6" s="406">
        <v>2497567.1</v>
      </c>
      <c r="AS6" s="219">
        <f>7313439+1061800+1322492</f>
        <v>9697731</v>
      </c>
      <c r="AT6" s="360">
        <v>2443656.7999999998</v>
      </c>
      <c r="AU6" s="360">
        <v>214925.6</v>
      </c>
      <c r="AV6" s="360">
        <v>384561.6</v>
      </c>
      <c r="AW6" s="360">
        <v>534273.6</v>
      </c>
      <c r="AX6" s="360">
        <v>687383.6</v>
      </c>
      <c r="AY6" s="360">
        <v>926419.6</v>
      </c>
      <c r="AZ6" s="360">
        <v>1214323.3</v>
      </c>
      <c r="BA6" s="360">
        <v>1408820.3</v>
      </c>
      <c r="BB6" s="360">
        <v>1620514.3</v>
      </c>
      <c r="BC6" s="360">
        <v>1818182.3</v>
      </c>
      <c r="BD6" s="360">
        <v>2056942.3</v>
      </c>
      <c r="BE6" s="360">
        <v>2286084.2999999998</v>
      </c>
      <c r="BF6" s="412">
        <f>27992+30970+23880+12298+36960+84307+13380+45600+380955+22250+42861+22550+15626+52000+137660+13590+46500+385286+804729+12440+47400</f>
        <v>2259234</v>
      </c>
      <c r="BG6" s="172">
        <v>201059</v>
      </c>
      <c r="BH6" s="172">
        <v>364273.1</v>
      </c>
      <c r="BI6" s="172">
        <v>689359.1</v>
      </c>
      <c r="BJ6" s="172">
        <v>985370.4</v>
      </c>
      <c r="BK6" s="172">
        <v>1224155.3999999999</v>
      </c>
      <c r="BL6" s="172">
        <v>1574691.4</v>
      </c>
      <c r="BM6" s="172">
        <v>1844282.4</v>
      </c>
      <c r="BN6" s="172">
        <v>2294659</v>
      </c>
      <c r="BO6" s="172">
        <v>2589755.1</v>
      </c>
      <c r="BP6" s="172">
        <v>2873203.4</v>
      </c>
      <c r="BQ6" s="172">
        <v>3212718.4</v>
      </c>
      <c r="BR6" s="172">
        <v>3675111.4</v>
      </c>
      <c r="BS6" s="430">
        <f>3632008</f>
        <v>3632008</v>
      </c>
      <c r="BT6" s="447">
        <v>622850</v>
      </c>
      <c r="BU6" s="449">
        <v>824773</v>
      </c>
      <c r="BV6" s="449">
        <v>1040927.4</v>
      </c>
      <c r="BW6" s="449">
        <v>1211745</v>
      </c>
      <c r="BX6" s="447">
        <v>1508842.1</v>
      </c>
      <c r="BY6" s="490">
        <v>1822870.1</v>
      </c>
    </row>
    <row r="7" spans="1:80" s="175" customFormat="1" ht="15">
      <c r="A7" s="169" t="s">
        <v>244</v>
      </c>
      <c r="B7" s="239">
        <f t="shared" ref="B7:P7" si="10">SUM(B8:B11)</f>
        <v>11316063</v>
      </c>
      <c r="C7" s="239">
        <f t="shared" si="10"/>
        <v>13497297</v>
      </c>
      <c r="D7" s="239">
        <f t="shared" si="10"/>
        <v>49183360.020000003</v>
      </c>
      <c r="E7" s="239">
        <f t="shared" si="10"/>
        <v>1339962.3</v>
      </c>
      <c r="F7" s="239">
        <f t="shared" si="10"/>
        <v>2235023.71</v>
      </c>
      <c r="G7" s="239">
        <f t="shared" si="10"/>
        <v>2920052.49</v>
      </c>
      <c r="H7" s="239">
        <f t="shared" si="10"/>
        <v>3653535.19</v>
      </c>
      <c r="I7" s="239">
        <f t="shared" si="10"/>
        <v>4574103.83</v>
      </c>
      <c r="J7" s="239">
        <f t="shared" si="10"/>
        <v>6807752.5500000007</v>
      </c>
      <c r="K7" s="239">
        <f t="shared" si="10"/>
        <v>7547820.5899999999</v>
      </c>
      <c r="L7" s="239">
        <f t="shared" si="10"/>
        <v>8493206.620000001</v>
      </c>
      <c r="M7" s="239">
        <f t="shared" si="10"/>
        <v>9515744.0299999993</v>
      </c>
      <c r="N7" s="239">
        <f t="shared" si="10"/>
        <v>10478581.49</v>
      </c>
      <c r="O7" s="239">
        <f t="shared" si="10"/>
        <v>12555408.84</v>
      </c>
      <c r="P7" s="239">
        <f t="shared" si="10"/>
        <v>12991937</v>
      </c>
      <c r="Q7" s="179">
        <f t="shared" ref="Q7:V7" si="11">SUM(Q8:Q11)</f>
        <v>13195689</v>
      </c>
      <c r="R7" s="179">
        <f t="shared" si="11"/>
        <v>16682306.279999999</v>
      </c>
      <c r="S7" s="179">
        <f t="shared" si="11"/>
        <v>18504991</v>
      </c>
      <c r="T7" s="179">
        <f t="shared" si="11"/>
        <v>17680434.739999998</v>
      </c>
      <c r="U7" s="179">
        <f t="shared" si="11"/>
        <v>18986024.240000002</v>
      </c>
      <c r="V7" s="179">
        <f t="shared" si="11"/>
        <v>20278678.280000001</v>
      </c>
      <c r="W7" s="179">
        <f t="shared" ref="W7:AB7" si="12">SUM(W8:W11)</f>
        <v>4440669.38</v>
      </c>
      <c r="X7" s="179">
        <f t="shared" si="12"/>
        <v>5457200.8799999999</v>
      </c>
      <c r="Y7" s="179">
        <f t="shared" si="12"/>
        <v>9884765.1300000008</v>
      </c>
      <c r="Z7" s="298">
        <f t="shared" si="12"/>
        <v>11140265.58</v>
      </c>
      <c r="AA7" s="298">
        <f t="shared" si="12"/>
        <v>12357543.289999999</v>
      </c>
      <c r="AB7" s="298">
        <f t="shared" si="12"/>
        <v>13461249.289999999</v>
      </c>
      <c r="AC7" s="179">
        <f t="shared" ref="AC7:AJ7" si="13">SUM(AC8:AC11)</f>
        <v>14700628.33</v>
      </c>
      <c r="AD7" s="179">
        <f t="shared" si="13"/>
        <v>15796835.239999998</v>
      </c>
      <c r="AE7" s="179">
        <f t="shared" si="13"/>
        <v>17038924.329999998</v>
      </c>
      <c r="AF7" s="179">
        <f t="shared" si="13"/>
        <v>18834904</v>
      </c>
      <c r="AG7" s="179">
        <f t="shared" si="13"/>
        <v>18268116.149999999</v>
      </c>
      <c r="AH7" s="179">
        <f t="shared" si="13"/>
        <v>2577962.4</v>
      </c>
      <c r="AI7" s="179">
        <f t="shared" si="13"/>
        <v>3865444.24</v>
      </c>
      <c r="AJ7" s="179">
        <f t="shared" si="13"/>
        <v>8397643.6600000001</v>
      </c>
      <c r="AK7" s="179">
        <f t="shared" ref="AK7:BY7" si="14">SUM(AK8:AK11)</f>
        <v>9486615.6500000004</v>
      </c>
      <c r="AL7" s="179">
        <f t="shared" si="14"/>
        <v>10647995.550000001</v>
      </c>
      <c r="AM7" s="179">
        <f t="shared" si="14"/>
        <v>0</v>
      </c>
      <c r="AN7" s="179">
        <f t="shared" si="14"/>
        <v>13039197.370000001</v>
      </c>
      <c r="AO7" s="179">
        <f t="shared" si="14"/>
        <v>14886780.809999999</v>
      </c>
      <c r="AP7" s="179">
        <f t="shared" si="14"/>
        <v>16056332.91</v>
      </c>
      <c r="AQ7" s="179">
        <f t="shared" si="14"/>
        <v>17160719.5</v>
      </c>
      <c r="AR7" s="179">
        <f t="shared" si="14"/>
        <v>18604765.760000002</v>
      </c>
      <c r="AS7" s="401">
        <f t="shared" si="14"/>
        <v>10920722</v>
      </c>
      <c r="AT7" s="401">
        <f t="shared" si="14"/>
        <v>10912294.07</v>
      </c>
      <c r="AU7" s="401">
        <f t="shared" si="14"/>
        <v>268843.51</v>
      </c>
      <c r="AV7" s="401">
        <f t="shared" si="14"/>
        <v>416061.59</v>
      </c>
      <c r="AW7" s="401">
        <f t="shared" si="14"/>
        <v>8276838.5700000003</v>
      </c>
      <c r="AX7" s="401">
        <f t="shared" si="14"/>
        <v>8437318.4399999995</v>
      </c>
      <c r="AY7" s="401">
        <f t="shared" si="14"/>
        <v>8640626.2599999998</v>
      </c>
      <c r="AZ7" s="401">
        <f t="shared" si="14"/>
        <v>8882957.1999999993</v>
      </c>
      <c r="BA7" s="401">
        <f t="shared" si="14"/>
        <v>9100572.0399999991</v>
      </c>
      <c r="BB7" s="401">
        <f t="shared" si="14"/>
        <v>9758367.4100000001</v>
      </c>
      <c r="BC7" s="401">
        <f t="shared" si="14"/>
        <v>9934332.8200000003</v>
      </c>
      <c r="BD7" s="401">
        <f t="shared" si="14"/>
        <v>10107194.640000001</v>
      </c>
      <c r="BE7" s="401">
        <f t="shared" si="14"/>
        <v>10326620.120000001</v>
      </c>
      <c r="BF7" s="409">
        <f t="shared" si="14"/>
        <v>10338105</v>
      </c>
      <c r="BG7" s="409">
        <f t="shared" si="14"/>
        <v>229105.73</v>
      </c>
      <c r="BH7" s="409">
        <f t="shared" si="14"/>
        <v>377904.51</v>
      </c>
      <c r="BI7" s="409">
        <f t="shared" si="14"/>
        <v>605154.51</v>
      </c>
      <c r="BJ7" s="409">
        <f t="shared" si="14"/>
        <v>858033.18</v>
      </c>
      <c r="BK7" s="409">
        <f t="shared" si="14"/>
        <v>1060835.83</v>
      </c>
      <c r="BL7" s="409">
        <f t="shared" si="14"/>
        <v>9089861.0099999998</v>
      </c>
      <c r="BM7" s="409">
        <f t="shared" si="14"/>
        <v>9306299.7400000002</v>
      </c>
      <c r="BN7" s="409">
        <f t="shared" si="14"/>
        <v>9656140.6999999993</v>
      </c>
      <c r="BO7" s="409">
        <f t="shared" si="14"/>
        <v>9945618.5099999998</v>
      </c>
      <c r="BP7" s="409">
        <f t="shared" si="14"/>
        <v>10225388.189999999</v>
      </c>
      <c r="BQ7" s="409">
        <f t="shared" si="14"/>
        <v>10548507.26</v>
      </c>
      <c r="BR7" s="409">
        <f t="shared" si="14"/>
        <v>11075778.65</v>
      </c>
      <c r="BS7" s="409">
        <f t="shared" si="14"/>
        <v>11105292</v>
      </c>
      <c r="BT7" s="409">
        <f t="shared" si="14"/>
        <v>284957.74</v>
      </c>
      <c r="BU7" s="409">
        <f t="shared" si="14"/>
        <v>572747.26</v>
      </c>
      <c r="BV7" s="409">
        <f t="shared" si="14"/>
        <v>882308.87</v>
      </c>
      <c r="BW7" s="409">
        <f t="shared" si="14"/>
        <v>1074141.6100000001</v>
      </c>
      <c r="BX7" s="409">
        <f t="shared" si="14"/>
        <v>1553974.2000000002</v>
      </c>
      <c r="BY7" s="409">
        <f t="shared" si="14"/>
        <v>13629869.799999999</v>
      </c>
    </row>
    <row r="8" spans="1:80" ht="15">
      <c r="A8" s="170" t="s">
        <v>245</v>
      </c>
      <c r="B8" s="242"/>
      <c r="C8" s="127"/>
      <c r="D8" s="244"/>
      <c r="E8" s="244">
        <v>0</v>
      </c>
      <c r="F8" s="244">
        <v>0</v>
      </c>
      <c r="G8" s="244"/>
      <c r="H8" s="244"/>
      <c r="I8" s="244"/>
      <c r="J8" s="137"/>
      <c r="K8" s="137"/>
      <c r="L8" s="137"/>
      <c r="M8" s="137"/>
      <c r="N8" s="137"/>
      <c r="O8" s="137"/>
      <c r="P8" s="55"/>
      <c r="Q8" s="127"/>
      <c r="R8" s="137">
        <v>0</v>
      </c>
      <c r="S8" s="137"/>
      <c r="T8" s="137">
        <v>0</v>
      </c>
      <c r="U8" s="137"/>
      <c r="V8" s="137"/>
      <c r="W8" s="137"/>
      <c r="X8" s="137"/>
      <c r="Y8" s="137"/>
      <c r="Z8" s="137"/>
      <c r="AA8" s="137"/>
      <c r="AB8" s="137">
        <v>0</v>
      </c>
      <c r="AC8" s="137"/>
      <c r="AD8" s="137">
        <v>0</v>
      </c>
      <c r="AE8" s="137">
        <v>0</v>
      </c>
      <c r="AF8" s="137"/>
      <c r="AG8" s="137"/>
      <c r="AH8" s="137"/>
      <c r="AI8" s="137"/>
      <c r="AJ8" s="360">
        <v>0</v>
      </c>
      <c r="AK8" s="360">
        <v>0</v>
      </c>
      <c r="AL8" s="360">
        <v>0</v>
      </c>
      <c r="AM8" s="360"/>
      <c r="AN8" s="360">
        <v>0</v>
      </c>
      <c r="AO8" s="360">
        <v>0</v>
      </c>
      <c r="AP8" s="360">
        <v>0</v>
      </c>
      <c r="AQ8" s="360">
        <v>0</v>
      </c>
      <c r="AR8" s="360">
        <v>0</v>
      </c>
      <c r="AS8" s="402"/>
      <c r="AT8" s="360">
        <v>0</v>
      </c>
      <c r="AU8" s="360">
        <v>0</v>
      </c>
      <c r="AV8" s="360">
        <v>0</v>
      </c>
      <c r="AW8" s="360">
        <v>0</v>
      </c>
      <c r="AX8" s="360">
        <v>0</v>
      </c>
      <c r="AY8" s="360">
        <v>0</v>
      </c>
      <c r="AZ8" s="360">
        <v>0</v>
      </c>
      <c r="BA8" s="360">
        <v>0</v>
      </c>
      <c r="BB8" s="360">
        <v>0</v>
      </c>
      <c r="BC8" s="360">
        <v>0</v>
      </c>
      <c r="BD8" s="360">
        <v>0</v>
      </c>
      <c r="BE8" s="360">
        <v>0</v>
      </c>
      <c r="BF8" s="219">
        <v>0</v>
      </c>
      <c r="BG8" s="172">
        <v>0</v>
      </c>
      <c r="BH8" s="172">
        <v>0</v>
      </c>
      <c r="BI8" s="172">
        <v>0</v>
      </c>
      <c r="BJ8" s="172">
        <v>0</v>
      </c>
      <c r="BK8" s="172">
        <v>0</v>
      </c>
      <c r="BL8" s="172">
        <v>0</v>
      </c>
      <c r="BM8" s="172">
        <v>0</v>
      </c>
      <c r="BN8" s="172">
        <v>0</v>
      </c>
      <c r="BO8" s="172">
        <v>0</v>
      </c>
      <c r="BP8" s="172">
        <v>0</v>
      </c>
      <c r="BQ8" s="172">
        <v>0</v>
      </c>
      <c r="BR8" s="172">
        <v>0</v>
      </c>
      <c r="BT8" s="442">
        <v>0</v>
      </c>
      <c r="BU8" s="444">
        <v>0</v>
      </c>
      <c r="BV8" s="444">
        <v>0</v>
      </c>
      <c r="BW8" s="444">
        <v>0</v>
      </c>
      <c r="BX8" s="442">
        <v>0</v>
      </c>
      <c r="BY8" s="487">
        <v>0</v>
      </c>
    </row>
    <row r="9" spans="1:80" ht="15">
      <c r="A9" s="170" t="s">
        <v>246</v>
      </c>
      <c r="B9" s="242"/>
      <c r="C9" s="127"/>
      <c r="D9" s="244">
        <v>354068.62</v>
      </c>
      <c r="E9" s="244">
        <v>0</v>
      </c>
      <c r="F9" s="244">
        <v>158161.69</v>
      </c>
      <c r="G9" s="244">
        <v>158161.69</v>
      </c>
      <c r="H9" s="244">
        <v>158161.69</v>
      </c>
      <c r="I9" s="244">
        <v>287104.15999999997</v>
      </c>
      <c r="J9" s="137">
        <v>287104.15999999997</v>
      </c>
      <c r="K9" s="137">
        <v>287104.15999999997</v>
      </c>
      <c r="L9" s="137">
        <v>287104.15999999997</v>
      </c>
      <c r="M9" s="137">
        <v>391649.98</v>
      </c>
      <c r="N9" s="137">
        <v>391649.98</v>
      </c>
      <c r="O9" s="137">
        <v>426334.21</v>
      </c>
      <c r="P9" s="55">
        <v>426334</v>
      </c>
      <c r="Q9" s="219">
        <v>39645</v>
      </c>
      <c r="R9" s="137">
        <v>13896.45</v>
      </c>
      <c r="S9" s="137"/>
      <c r="T9" s="137">
        <v>13896.45</v>
      </c>
      <c r="U9" s="137">
        <v>13896.45</v>
      </c>
      <c r="V9" s="137">
        <v>13896.45</v>
      </c>
      <c r="W9" s="137"/>
      <c r="X9" s="137"/>
      <c r="Y9" s="137"/>
      <c r="Z9" s="137"/>
      <c r="AA9" s="137">
        <v>0</v>
      </c>
      <c r="AB9" s="137"/>
      <c r="AC9" s="137"/>
      <c r="AD9" s="137">
        <v>0</v>
      </c>
      <c r="AE9" s="137">
        <v>0</v>
      </c>
      <c r="AF9" s="137"/>
      <c r="AG9" s="137"/>
      <c r="AH9" s="137"/>
      <c r="AI9" s="137"/>
      <c r="AJ9" s="360">
        <v>0</v>
      </c>
      <c r="AK9" s="360">
        <v>0</v>
      </c>
      <c r="AL9" s="360">
        <v>0</v>
      </c>
      <c r="AM9" s="360"/>
      <c r="AN9" s="360">
        <v>0</v>
      </c>
      <c r="AO9" s="360">
        <v>0</v>
      </c>
      <c r="AP9" s="360">
        <v>0</v>
      </c>
      <c r="AQ9" s="360">
        <v>0</v>
      </c>
      <c r="AR9" s="360">
        <v>0</v>
      </c>
      <c r="AS9" s="402"/>
      <c r="AT9" s="360">
        <v>0</v>
      </c>
      <c r="AU9" s="360">
        <v>0</v>
      </c>
      <c r="AV9" s="360">
        <v>0</v>
      </c>
      <c r="AW9" s="360">
        <v>0</v>
      </c>
      <c r="AX9" s="360">
        <v>0</v>
      </c>
      <c r="AY9" s="360">
        <v>0</v>
      </c>
      <c r="AZ9" s="360">
        <v>0</v>
      </c>
      <c r="BA9" s="360">
        <v>0</v>
      </c>
      <c r="BB9" s="360">
        <v>0</v>
      </c>
      <c r="BC9" s="360">
        <v>0</v>
      </c>
      <c r="BD9" s="360">
        <v>0</v>
      </c>
      <c r="BE9" s="360">
        <v>0</v>
      </c>
      <c r="BF9" s="219">
        <v>0</v>
      </c>
      <c r="BG9" s="172">
        <v>0</v>
      </c>
      <c r="BH9" s="172">
        <v>0</v>
      </c>
      <c r="BI9" s="172">
        <v>0</v>
      </c>
      <c r="BJ9" s="172">
        <v>0</v>
      </c>
      <c r="BK9" s="172">
        <v>0</v>
      </c>
      <c r="BL9" s="172">
        <v>0</v>
      </c>
      <c r="BM9" s="172">
        <v>0</v>
      </c>
      <c r="BN9" s="172">
        <v>0</v>
      </c>
      <c r="BO9" s="172">
        <v>0</v>
      </c>
      <c r="BP9" s="172">
        <v>0</v>
      </c>
      <c r="BQ9" s="172">
        <v>0</v>
      </c>
      <c r="BR9" s="172">
        <v>0</v>
      </c>
      <c r="BT9" s="446">
        <v>0</v>
      </c>
      <c r="BU9" s="448">
        <v>0</v>
      </c>
      <c r="BV9" s="448">
        <v>0</v>
      </c>
      <c r="BW9" s="448">
        <v>0</v>
      </c>
      <c r="BX9" s="446">
        <v>0</v>
      </c>
      <c r="BY9" s="489">
        <v>0</v>
      </c>
    </row>
    <row r="10" spans="1:80" ht="29.25">
      <c r="A10" s="170" t="s">
        <v>247</v>
      </c>
      <c r="B10" s="242">
        <v>2127844</v>
      </c>
      <c r="C10" s="243">
        <v>2983273</v>
      </c>
      <c r="D10" s="244">
        <v>2630642.9</v>
      </c>
      <c r="E10" s="244">
        <v>15925.27</v>
      </c>
      <c r="F10" s="244">
        <v>43057.78</v>
      </c>
      <c r="G10" s="244">
        <v>95049.99</v>
      </c>
      <c r="H10" s="244">
        <v>155757.35</v>
      </c>
      <c r="I10" s="244">
        <v>260623.56</v>
      </c>
      <c r="J10" s="137">
        <v>1821772.28</v>
      </c>
      <c r="K10" s="137">
        <v>1998600.27</v>
      </c>
      <c r="L10" s="137">
        <v>2183323.5</v>
      </c>
      <c r="M10" s="137">
        <v>2415547</v>
      </c>
      <c r="N10" s="137">
        <v>2662484.86</v>
      </c>
      <c r="O10" s="137">
        <v>2913037.75</v>
      </c>
      <c r="P10" s="55">
        <v>2913038</v>
      </c>
      <c r="Q10" s="219">
        <v>3632158</v>
      </c>
      <c r="R10" s="137">
        <v>6206919.0599999996</v>
      </c>
      <c r="S10" s="137">
        <v>3407950</v>
      </c>
      <c r="T10" s="137">
        <v>3705008.78</v>
      </c>
      <c r="U10" s="137">
        <v>4130602.62</v>
      </c>
      <c r="V10" s="137">
        <v>4359650.26</v>
      </c>
      <c r="W10" s="137">
        <v>1282918.3</v>
      </c>
      <c r="X10" s="137">
        <v>1500051.16</v>
      </c>
      <c r="Y10" s="137">
        <v>5241139.4400000004</v>
      </c>
      <c r="Z10" s="137">
        <v>5506887.8499999996</v>
      </c>
      <c r="AA10" s="137">
        <v>5815685.8099999996</v>
      </c>
      <c r="AB10" s="137">
        <v>6090360.5199999996</v>
      </c>
      <c r="AC10" s="137">
        <v>6447802.04</v>
      </c>
      <c r="AD10" s="137">
        <v>6745942.2199999997</v>
      </c>
      <c r="AE10" s="137">
        <v>7085223.1799999997</v>
      </c>
      <c r="AF10" s="137">
        <f>7085223</f>
        <v>7085223</v>
      </c>
      <c r="AG10" s="360">
        <v>7437525.2400000002</v>
      </c>
      <c r="AH10" s="360">
        <v>680074.35</v>
      </c>
      <c r="AI10" s="360">
        <v>869517.81</v>
      </c>
      <c r="AJ10" s="360">
        <v>4577935.07</v>
      </c>
      <c r="AK10" s="360">
        <v>4794738.9400000004</v>
      </c>
      <c r="AL10" s="360">
        <v>5048478.8499999996</v>
      </c>
      <c r="AM10" s="360"/>
      <c r="AN10" s="360">
        <v>5696986.2400000002</v>
      </c>
      <c r="AO10" s="360">
        <v>6764202.25</v>
      </c>
      <c r="AP10" s="360">
        <v>7135969.4299999997</v>
      </c>
      <c r="AQ10" s="360">
        <v>7447287.4100000001</v>
      </c>
      <c r="AR10" s="360">
        <v>7878483.1200000001</v>
      </c>
      <c r="AS10" s="402">
        <v>7878483</v>
      </c>
      <c r="AT10" s="360">
        <v>8351862.6699999999</v>
      </c>
      <c r="AU10" s="360">
        <v>0</v>
      </c>
      <c r="AV10" s="360">
        <v>0</v>
      </c>
      <c r="AW10" s="360">
        <v>7660800</v>
      </c>
      <c r="AX10" s="360">
        <v>7660800</v>
      </c>
      <c r="AY10" s="360">
        <v>7660800</v>
      </c>
      <c r="AZ10" s="360">
        <v>7660800</v>
      </c>
      <c r="BA10" s="360">
        <v>7660800</v>
      </c>
      <c r="BB10" s="360">
        <v>8064000</v>
      </c>
      <c r="BC10" s="360">
        <v>8070274.1299999999</v>
      </c>
      <c r="BD10" s="360">
        <v>8070274.1299999999</v>
      </c>
      <c r="BE10" s="360">
        <v>8070274.1299999999</v>
      </c>
      <c r="BF10" s="413"/>
      <c r="BG10" s="172">
        <v>41100</v>
      </c>
      <c r="BH10" s="172">
        <v>41100</v>
      </c>
      <c r="BI10" s="172">
        <v>41100</v>
      </c>
      <c r="BJ10" s="172">
        <v>41100</v>
      </c>
      <c r="BK10" s="172">
        <v>41100</v>
      </c>
      <c r="BL10" s="172">
        <v>7815300</v>
      </c>
      <c r="BM10" s="172">
        <v>7815300</v>
      </c>
      <c r="BN10" s="172">
        <v>7855811.8499999996</v>
      </c>
      <c r="BO10" s="172">
        <v>7891948.1500000004</v>
      </c>
      <c r="BP10" s="172">
        <v>7942502.8300000001</v>
      </c>
      <c r="BQ10" s="172">
        <v>7979370.8799999999</v>
      </c>
      <c r="BR10" s="172">
        <v>8056811.3300000001</v>
      </c>
      <c r="BT10" s="447">
        <v>4554.83</v>
      </c>
      <c r="BU10" s="449">
        <v>4554.83</v>
      </c>
      <c r="BV10" s="449">
        <v>4554.83</v>
      </c>
      <c r="BW10" s="449">
        <v>8480.27</v>
      </c>
      <c r="BX10" s="447">
        <v>9891.83</v>
      </c>
      <c r="BY10" s="490">
        <v>11645722.35</v>
      </c>
    </row>
    <row r="11" spans="1:80" ht="29.25">
      <c r="A11" s="170" t="s">
        <v>248</v>
      </c>
      <c r="B11" s="242">
        <v>9188219</v>
      </c>
      <c r="C11" s="243">
        <v>10514024</v>
      </c>
      <c r="D11" s="244">
        <v>46198648.5</v>
      </c>
      <c r="E11" s="244">
        <v>1324037.03</v>
      </c>
      <c r="F11" s="244">
        <v>2033804.24</v>
      </c>
      <c r="G11" s="244">
        <v>2666840.81</v>
      </c>
      <c r="H11" s="244">
        <v>3339616.15</v>
      </c>
      <c r="I11" s="244">
        <v>4026376.11</v>
      </c>
      <c r="J11" s="137">
        <v>4698876.1100000003</v>
      </c>
      <c r="K11" s="137">
        <v>5262116.16</v>
      </c>
      <c r="L11" s="137">
        <v>6022778.96</v>
      </c>
      <c r="M11" s="137">
        <v>6708547.0499999998</v>
      </c>
      <c r="N11" s="137">
        <v>7424446.6500000004</v>
      </c>
      <c r="O11" s="137">
        <v>9216036.8800000008</v>
      </c>
      <c r="P11" s="55">
        <v>9652565</v>
      </c>
      <c r="Q11" s="219">
        <v>9523886</v>
      </c>
      <c r="R11" s="137">
        <v>10461490.77</v>
      </c>
      <c r="S11" s="137">
        <v>15097041</v>
      </c>
      <c r="T11" s="137">
        <v>13961529.51</v>
      </c>
      <c r="U11" s="137">
        <v>14841525.17</v>
      </c>
      <c r="V11" s="137">
        <v>15905131.57</v>
      </c>
      <c r="W11" s="137">
        <v>3157751.08</v>
      </c>
      <c r="X11" s="137">
        <v>3957149.72</v>
      </c>
      <c r="Y11" s="137">
        <v>4643625.6900000004</v>
      </c>
      <c r="Z11" s="137">
        <v>5633377.7300000004</v>
      </c>
      <c r="AA11" s="137">
        <v>6541857.4800000004</v>
      </c>
      <c r="AB11" s="137">
        <v>7370888.7699999996</v>
      </c>
      <c r="AC11" s="137">
        <v>8252826.29</v>
      </c>
      <c r="AD11" s="137">
        <v>9050893.0199999996</v>
      </c>
      <c r="AE11" s="137">
        <v>9953701.1500000004</v>
      </c>
      <c r="AF11" s="137">
        <f>7551102+1222600+103600+836446+1767433+268500</f>
        <v>11749681</v>
      </c>
      <c r="AG11" s="361">
        <v>10830590.91</v>
      </c>
      <c r="AH11" s="361">
        <v>1897888.05</v>
      </c>
      <c r="AI11" s="361">
        <v>2995926.43</v>
      </c>
      <c r="AJ11" s="361">
        <v>3819708.59</v>
      </c>
      <c r="AK11" s="361">
        <v>4691876.71</v>
      </c>
      <c r="AL11" s="361">
        <v>5599516.7000000002</v>
      </c>
      <c r="AM11" s="361"/>
      <c r="AN11" s="361">
        <v>7342211.1299999999</v>
      </c>
      <c r="AO11" s="361">
        <v>8122578.5599999996</v>
      </c>
      <c r="AP11" s="361">
        <v>8920363.4800000004</v>
      </c>
      <c r="AQ11" s="361">
        <v>9713432.0899999999</v>
      </c>
      <c r="AR11" s="361">
        <v>10726282.640000001</v>
      </c>
      <c r="AS11" s="402">
        <f>819410+1793429+429400</f>
        <v>3042239</v>
      </c>
      <c r="AT11" s="361">
        <v>2560431.4</v>
      </c>
      <c r="AU11" s="361">
        <v>268843.51</v>
      </c>
      <c r="AV11" s="361">
        <v>416061.59</v>
      </c>
      <c r="AW11" s="361">
        <v>616038.56999999995</v>
      </c>
      <c r="AX11" s="361">
        <v>776518.44</v>
      </c>
      <c r="AY11" s="361">
        <v>979826.26</v>
      </c>
      <c r="AZ11" s="361">
        <v>1222157.2</v>
      </c>
      <c r="BA11" s="361">
        <v>1439772.04</v>
      </c>
      <c r="BB11" s="361">
        <v>1694367.41</v>
      </c>
      <c r="BC11" s="361">
        <v>1864058.69</v>
      </c>
      <c r="BD11" s="361">
        <v>2036920.51</v>
      </c>
      <c r="BE11" s="361">
        <v>2256345.9900000002</v>
      </c>
      <c r="BF11" s="413">
        <f>10250+51111+381200+116304+27917+228970+7800+500+5800+32120+2800+19670+36799+456019+119980+400+181580+20073+36120+8064000+48701+288000+73967+70484+33120+14420+10000</f>
        <v>10338105</v>
      </c>
      <c r="BG11" s="172">
        <v>188005.73</v>
      </c>
      <c r="BH11" s="172">
        <v>336804.51</v>
      </c>
      <c r="BI11" s="172">
        <v>564054.51</v>
      </c>
      <c r="BJ11" s="172">
        <v>816933.18</v>
      </c>
      <c r="BK11" s="172">
        <v>1019735.83</v>
      </c>
      <c r="BL11" s="172">
        <v>1274561.01</v>
      </c>
      <c r="BM11" s="172">
        <v>1490999.74</v>
      </c>
      <c r="BN11" s="172">
        <v>1800328.85</v>
      </c>
      <c r="BO11" s="172">
        <v>2053670.36</v>
      </c>
      <c r="BP11" s="172">
        <v>2282885.36</v>
      </c>
      <c r="BQ11" s="172">
        <v>2569136.38</v>
      </c>
      <c r="BR11" s="172">
        <v>3018967.32</v>
      </c>
      <c r="BS11" s="377">
        <f>11105292</f>
        <v>11105292</v>
      </c>
      <c r="BT11" s="443">
        <v>280402.90999999997</v>
      </c>
      <c r="BU11" s="445">
        <v>568192.43000000005</v>
      </c>
      <c r="BV11" s="445">
        <v>877754.04</v>
      </c>
      <c r="BW11" s="445">
        <v>1065661.3400000001</v>
      </c>
      <c r="BX11" s="445">
        <v>1544082.37</v>
      </c>
      <c r="BY11" s="490">
        <v>1984147.45</v>
      </c>
    </row>
    <row r="12" spans="1:80" s="175" customFormat="1" ht="15">
      <c r="A12" s="169" t="s">
        <v>249</v>
      </c>
      <c r="B12" s="246" t="e">
        <f>B13+B14+B15+B16+#REF!+B17+B18</f>
        <v>#REF!</v>
      </c>
      <c r="C12" s="246" t="e">
        <f>C13+C14+C15+C16+#REF!+C17+C18</f>
        <v>#REF!</v>
      </c>
      <c r="D12" s="246" t="e">
        <f>D13+D14+D15+D16+#REF!+D17+D18</f>
        <v>#REF!</v>
      </c>
      <c r="E12" s="246" t="e">
        <f>E13+E14+E15+E16+#REF!+E17+E18</f>
        <v>#REF!</v>
      </c>
      <c r="F12" s="246" t="e">
        <f>F13+F14+F15+F16+#REF!+F17+F18</f>
        <v>#REF!</v>
      </c>
      <c r="G12" s="246" t="e">
        <f>G13+G14+G15+G16+#REF!+G17+G18</f>
        <v>#REF!</v>
      </c>
      <c r="H12" s="246" t="e">
        <f>H13+H14+H15+H16+#REF!+H17+H18</f>
        <v>#REF!</v>
      </c>
      <c r="I12" s="246" t="e">
        <f>I13+I14+I15+I16+#REF!+I17+I18</f>
        <v>#REF!</v>
      </c>
      <c r="J12" s="246" t="e">
        <f>J13+J14+J15+J16+#REF!+J17+J18</f>
        <v>#REF!</v>
      </c>
      <c r="K12" s="246" t="e">
        <f>K13+K14+K15+K16+#REF!+K17+K18</f>
        <v>#REF!</v>
      </c>
      <c r="L12" s="246" t="e">
        <f>L13+L14+L15+L16+#REF!+L17+L18</f>
        <v>#REF!</v>
      </c>
      <c r="M12" s="246" t="e">
        <f>M13+M14+M15+M16+#REF!+M17+M18</f>
        <v>#REF!</v>
      </c>
      <c r="N12" s="246" t="e">
        <f>N13+N14+N15+N16+#REF!+N17+N18</f>
        <v>#REF!</v>
      </c>
      <c r="O12" s="246" t="e">
        <f>O13+O14+O15+O16+#REF!+O17+O18</f>
        <v>#REF!</v>
      </c>
      <c r="P12" s="239" t="e">
        <f>P13+P14+P15+P16+#REF!+P17+P18</f>
        <v>#REF!</v>
      </c>
      <c r="Q12" s="179">
        <f t="shared" ref="Q12:BY12" si="15">Q13+Q14+Q15+Q16+Q17+Q18</f>
        <v>35504498</v>
      </c>
      <c r="R12" s="179">
        <f t="shared" si="15"/>
        <v>4683475.82</v>
      </c>
      <c r="S12" s="179">
        <f t="shared" si="15"/>
        <v>54389831</v>
      </c>
      <c r="T12" s="179">
        <f t="shared" si="15"/>
        <v>6205288.6199999992</v>
      </c>
      <c r="U12" s="179">
        <f t="shared" si="15"/>
        <v>6532489.8699999992</v>
      </c>
      <c r="V12" s="179">
        <f t="shared" si="15"/>
        <v>6655880.209999999</v>
      </c>
      <c r="W12" s="179">
        <f t="shared" si="15"/>
        <v>1786250.9300000002</v>
      </c>
      <c r="X12" s="179">
        <f t="shared" si="15"/>
        <v>2496763.85</v>
      </c>
      <c r="Y12" s="179">
        <f t="shared" si="15"/>
        <v>2773074.9899999998</v>
      </c>
      <c r="Z12" s="298">
        <f t="shared" si="15"/>
        <v>3007407.96</v>
      </c>
      <c r="AA12" s="298">
        <f t="shared" si="15"/>
        <v>3229469.71</v>
      </c>
      <c r="AB12" s="298">
        <f t="shared" si="15"/>
        <v>3489581.2199999997</v>
      </c>
      <c r="AC12" s="179">
        <f t="shared" si="15"/>
        <v>3729635.1</v>
      </c>
      <c r="AD12" s="179">
        <f t="shared" si="15"/>
        <v>4004282.9399999995</v>
      </c>
      <c r="AE12" s="179">
        <f t="shared" si="15"/>
        <v>4190781.05</v>
      </c>
      <c r="AF12" s="179">
        <f t="shared" si="15"/>
        <v>58636602</v>
      </c>
      <c r="AG12" s="179">
        <f t="shared" si="15"/>
        <v>5540424.1600000001</v>
      </c>
      <c r="AH12" s="179">
        <f t="shared" si="15"/>
        <v>2294117.48</v>
      </c>
      <c r="AI12" s="179">
        <f t="shared" si="15"/>
        <v>2741293.6300000004</v>
      </c>
      <c r="AJ12" s="179">
        <f t="shared" si="15"/>
        <v>3049143.71</v>
      </c>
      <c r="AK12" s="179">
        <f t="shared" si="15"/>
        <v>3543326.24</v>
      </c>
      <c r="AL12" s="179">
        <f t="shared" si="15"/>
        <v>3731954.67</v>
      </c>
      <c r="AM12" s="179">
        <f t="shared" si="15"/>
        <v>0</v>
      </c>
      <c r="AN12" s="179">
        <f t="shared" si="15"/>
        <v>4135660.11</v>
      </c>
      <c r="AO12" s="179">
        <f t="shared" si="15"/>
        <v>4304028.18</v>
      </c>
      <c r="AP12" s="179">
        <f t="shared" si="15"/>
        <v>4474405.57</v>
      </c>
      <c r="AQ12" s="179">
        <f t="shared" si="15"/>
        <v>4615782.66</v>
      </c>
      <c r="AR12" s="179">
        <f t="shared" si="15"/>
        <v>5883701.5800000001</v>
      </c>
      <c r="AS12" s="401">
        <f t="shared" si="15"/>
        <v>69258875</v>
      </c>
      <c r="AT12" s="401">
        <f t="shared" si="15"/>
        <v>11737397.709999999</v>
      </c>
      <c r="AU12" s="401">
        <f t="shared" si="15"/>
        <v>97677.84</v>
      </c>
      <c r="AV12" s="401">
        <f t="shared" si="15"/>
        <v>149001.32</v>
      </c>
      <c r="AW12" s="401">
        <f t="shared" si="15"/>
        <v>218004.91</v>
      </c>
      <c r="AX12" s="401">
        <f t="shared" si="15"/>
        <v>205827.89</v>
      </c>
      <c r="AY12" s="401">
        <f t="shared" si="15"/>
        <v>298844.52</v>
      </c>
      <c r="AZ12" s="401">
        <f t="shared" si="15"/>
        <v>1136693.42</v>
      </c>
      <c r="BA12" s="401">
        <f t="shared" si="15"/>
        <v>1208474.3700000001</v>
      </c>
      <c r="BB12" s="401">
        <f t="shared" si="15"/>
        <v>1289584.7</v>
      </c>
      <c r="BC12" s="401">
        <f t="shared" si="15"/>
        <v>1303624.81</v>
      </c>
      <c r="BD12" s="401">
        <f t="shared" si="15"/>
        <v>1339298.97</v>
      </c>
      <c r="BE12" s="401">
        <f t="shared" si="15"/>
        <v>14551490.220000001</v>
      </c>
      <c r="BF12" s="409">
        <f t="shared" si="15"/>
        <v>9560000</v>
      </c>
      <c r="BG12" s="409">
        <f t="shared" si="15"/>
        <v>24857.98</v>
      </c>
      <c r="BH12" s="409">
        <f t="shared" si="15"/>
        <v>39677.980000000003</v>
      </c>
      <c r="BI12" s="409">
        <f t="shared" si="15"/>
        <v>147107.98000000001</v>
      </c>
      <c r="BJ12" s="409">
        <f t="shared" si="15"/>
        <v>197641.98</v>
      </c>
      <c r="BK12" s="409">
        <f t="shared" si="15"/>
        <v>247765.98</v>
      </c>
      <c r="BL12" s="409">
        <f t="shared" si="15"/>
        <v>325673.98</v>
      </c>
      <c r="BM12" s="409">
        <f t="shared" si="15"/>
        <v>370309.18</v>
      </c>
      <c r="BN12" s="409">
        <f t="shared" si="15"/>
        <v>419063.51</v>
      </c>
      <c r="BO12" s="409">
        <f t="shared" si="15"/>
        <v>472670.14</v>
      </c>
      <c r="BP12" s="409">
        <f t="shared" si="15"/>
        <v>521830.14</v>
      </c>
      <c r="BQ12" s="409">
        <f t="shared" si="15"/>
        <v>556940.89</v>
      </c>
      <c r="BR12" s="409">
        <f t="shared" si="15"/>
        <v>731647.04</v>
      </c>
      <c r="BS12" s="409">
        <f t="shared" si="15"/>
        <v>11968125</v>
      </c>
      <c r="BT12" s="409">
        <f t="shared" si="15"/>
        <v>791488</v>
      </c>
      <c r="BU12" s="409">
        <f t="shared" si="15"/>
        <v>1001803.48</v>
      </c>
      <c r="BV12" s="409">
        <f t="shared" si="15"/>
        <v>1248240.92</v>
      </c>
      <c r="BW12" s="409">
        <f t="shared" si="15"/>
        <v>1595964.5699999998</v>
      </c>
      <c r="BX12" s="409">
        <f t="shared" si="15"/>
        <v>1881760.79</v>
      </c>
      <c r="BY12" s="409">
        <f t="shared" si="15"/>
        <v>2200820.85</v>
      </c>
    </row>
    <row r="13" spans="1:80" ht="15">
      <c r="A13" s="170" t="s">
        <v>250</v>
      </c>
      <c r="B13" s="242">
        <v>18861799</v>
      </c>
      <c r="C13" s="243">
        <v>23759229</v>
      </c>
      <c r="D13" s="244">
        <v>2461273.2000000002</v>
      </c>
      <c r="E13" s="244">
        <v>735959</v>
      </c>
      <c r="F13" s="244">
        <v>1091031</v>
      </c>
      <c r="G13" s="244">
        <v>1432379</v>
      </c>
      <c r="H13" s="244">
        <v>1750634</v>
      </c>
      <c r="I13" s="244">
        <v>2043036</v>
      </c>
      <c r="J13" s="137">
        <v>2334812</v>
      </c>
      <c r="K13" s="137">
        <v>2621472.6</v>
      </c>
      <c r="L13" s="137">
        <v>2889934.4</v>
      </c>
      <c r="M13" s="137">
        <v>3186207.25</v>
      </c>
      <c r="N13" s="137">
        <v>3439550.45</v>
      </c>
      <c r="O13" s="137">
        <v>3711558.75</v>
      </c>
      <c r="P13" s="55">
        <f>24763211+3711559+653805</f>
        <v>29128575</v>
      </c>
      <c r="Q13" s="219">
        <f>31585421+2460835+654058</f>
        <v>34700314</v>
      </c>
      <c r="R13" s="137">
        <v>1845290.72</v>
      </c>
      <c r="S13" s="137">
        <f>54062555-S14</f>
        <v>54061562</v>
      </c>
      <c r="T13" s="137">
        <v>1884455.01</v>
      </c>
      <c r="U13" s="137">
        <v>2111268.46</v>
      </c>
      <c r="V13" s="137">
        <v>2145794.0499999998</v>
      </c>
      <c r="W13" s="137">
        <v>425008.75</v>
      </c>
      <c r="X13" s="137">
        <v>476081.87</v>
      </c>
      <c r="Y13" s="137">
        <v>685905.01</v>
      </c>
      <c r="Z13" s="137">
        <v>838825.6</v>
      </c>
      <c r="AA13" s="137">
        <v>962149.35</v>
      </c>
      <c r="AB13" s="137">
        <v>1076271.68</v>
      </c>
      <c r="AC13" s="137">
        <v>1213484.1200000001</v>
      </c>
      <c r="AD13" s="137">
        <v>1334765.4099999999</v>
      </c>
      <c r="AE13" s="137">
        <v>1459761.63</v>
      </c>
      <c r="AF13" s="137">
        <f>55869551+1459762+524728</f>
        <v>57854041</v>
      </c>
      <c r="AG13" s="360">
        <v>1481018.98</v>
      </c>
      <c r="AH13" s="360">
        <v>260451.72</v>
      </c>
      <c r="AI13" s="360">
        <v>397881.53</v>
      </c>
      <c r="AJ13" s="360">
        <v>552462.98</v>
      </c>
      <c r="AK13" s="360">
        <v>690906.31</v>
      </c>
      <c r="AL13" s="360">
        <v>824276.69</v>
      </c>
      <c r="AM13" s="360"/>
      <c r="AN13" s="360">
        <v>1052889.83</v>
      </c>
      <c r="AO13" s="360">
        <v>1163567.2</v>
      </c>
      <c r="AP13" s="360">
        <v>1259030.5900000001</v>
      </c>
      <c r="AQ13" s="360">
        <v>1346031.08</v>
      </c>
      <c r="AR13" s="360">
        <v>1448475.05</v>
      </c>
      <c r="AS13" s="402">
        <f>64163291+1448475+527228</f>
        <v>66138994</v>
      </c>
      <c r="AT13" s="360">
        <v>7387683</v>
      </c>
      <c r="AU13" s="360">
        <v>0</v>
      </c>
      <c r="AV13" s="360">
        <v>0</v>
      </c>
      <c r="AW13" s="360">
        <v>0</v>
      </c>
      <c r="AX13" s="360">
        <v>0</v>
      </c>
      <c r="AY13" s="360">
        <v>0</v>
      </c>
      <c r="AZ13" s="360">
        <v>0</v>
      </c>
      <c r="BA13" s="360">
        <v>0</v>
      </c>
      <c r="BB13" s="360">
        <v>0</v>
      </c>
      <c r="BC13" s="360">
        <v>0</v>
      </c>
      <c r="BD13" s="360">
        <v>0</v>
      </c>
      <c r="BE13" s="360">
        <v>9560000</v>
      </c>
      <c r="BF13" s="413">
        <f>9560000</f>
        <v>9560000</v>
      </c>
      <c r="BG13" s="172">
        <v>0</v>
      </c>
      <c r="BH13" s="172">
        <v>0</v>
      </c>
      <c r="BI13" s="172">
        <v>0</v>
      </c>
      <c r="BJ13" s="172">
        <v>0</v>
      </c>
      <c r="BK13" s="172">
        <v>0</v>
      </c>
      <c r="BL13" s="172">
        <v>0</v>
      </c>
      <c r="BM13" s="172">
        <v>0</v>
      </c>
      <c r="BN13" s="172">
        <v>0</v>
      </c>
      <c r="BO13" s="172">
        <v>0</v>
      </c>
      <c r="BP13" s="172">
        <v>0</v>
      </c>
      <c r="BQ13" s="172">
        <v>0</v>
      </c>
      <c r="BR13" s="172">
        <v>0</v>
      </c>
      <c r="BS13" s="377">
        <v>11968125</v>
      </c>
      <c r="BT13" s="442">
        <v>0</v>
      </c>
      <c r="BU13" s="444">
        <v>0</v>
      </c>
      <c r="BV13" s="444">
        <v>0</v>
      </c>
      <c r="BW13" s="444">
        <v>0</v>
      </c>
      <c r="BX13" s="442">
        <v>0</v>
      </c>
      <c r="BY13" s="487">
        <v>0</v>
      </c>
    </row>
    <row r="14" spans="1:80" ht="15">
      <c r="A14" s="170" t="s">
        <v>251</v>
      </c>
      <c r="B14" s="242">
        <v>10401634</v>
      </c>
      <c r="C14" s="243">
        <v>6078781</v>
      </c>
      <c r="D14" s="244">
        <v>5644606.6399999997</v>
      </c>
      <c r="E14" s="244">
        <v>63870.55</v>
      </c>
      <c r="F14" s="244">
        <v>76696.34</v>
      </c>
      <c r="G14" s="244">
        <v>112967.62</v>
      </c>
      <c r="H14" s="244">
        <v>193027.92</v>
      </c>
      <c r="I14" s="244">
        <v>238614.18</v>
      </c>
      <c r="J14" s="137">
        <v>307117.57</v>
      </c>
      <c r="K14" s="137">
        <v>399098.89</v>
      </c>
      <c r="L14" s="137">
        <v>486852.72</v>
      </c>
      <c r="M14" s="137">
        <v>572963.24</v>
      </c>
      <c r="N14" s="137">
        <v>692145.56</v>
      </c>
      <c r="O14" s="137">
        <v>819884.79</v>
      </c>
      <c r="P14" s="55">
        <v>819885</v>
      </c>
      <c r="Q14" s="219">
        <v>804184</v>
      </c>
      <c r="R14" s="137">
        <v>993.3</v>
      </c>
      <c r="S14" s="137">
        <v>993</v>
      </c>
      <c r="T14" s="138">
        <v>2438.0100000000002</v>
      </c>
      <c r="U14" s="137">
        <v>2438.0100000000002</v>
      </c>
      <c r="V14" s="137">
        <v>2438.0100000000002</v>
      </c>
      <c r="W14" s="137">
        <v>1444.71</v>
      </c>
      <c r="X14" s="137">
        <v>1444.71</v>
      </c>
      <c r="Y14" s="137">
        <v>1444.71</v>
      </c>
      <c r="Z14" s="137">
        <v>1444.71</v>
      </c>
      <c r="AA14" s="137">
        <v>1444.71</v>
      </c>
      <c r="AB14" s="137">
        <v>1444.71</v>
      </c>
      <c r="AC14" s="137">
        <v>1444.71</v>
      </c>
      <c r="AD14" s="137">
        <v>1486.16</v>
      </c>
      <c r="AE14" s="137">
        <v>1486.16</v>
      </c>
      <c r="AF14" s="137">
        <f>1866</f>
        <v>1866</v>
      </c>
      <c r="AG14" s="360">
        <v>1486.2</v>
      </c>
      <c r="AH14" s="360">
        <v>4.96</v>
      </c>
      <c r="AI14" s="360">
        <v>0</v>
      </c>
      <c r="AJ14" s="360">
        <v>25010.73</v>
      </c>
      <c r="AK14" s="360">
        <v>25010.73</v>
      </c>
      <c r="AL14" s="360">
        <v>25011.98</v>
      </c>
      <c r="AM14" s="360"/>
      <c r="AN14" s="360">
        <v>47956.98</v>
      </c>
      <c r="AO14" s="360">
        <v>47956.98</v>
      </c>
      <c r="AP14" s="360">
        <v>68841.98</v>
      </c>
      <c r="AQ14" s="360">
        <v>68841.98</v>
      </c>
      <c r="AR14" s="360">
        <v>68841.990000000005</v>
      </c>
      <c r="AS14" s="402">
        <v>68842</v>
      </c>
      <c r="AT14" s="360">
        <v>340945.31</v>
      </c>
      <c r="AU14" s="360">
        <v>0</v>
      </c>
      <c r="AV14" s="360">
        <v>0</v>
      </c>
      <c r="AW14" s="360">
        <v>0</v>
      </c>
      <c r="AX14" s="360">
        <v>0</v>
      </c>
      <c r="AY14" s="360">
        <v>0</v>
      </c>
      <c r="AZ14" s="360">
        <v>0</v>
      </c>
      <c r="BA14" s="360">
        <v>0</v>
      </c>
      <c r="BB14" s="360">
        <v>0</v>
      </c>
      <c r="BC14" s="360">
        <v>0</v>
      </c>
      <c r="BD14" s="360">
        <v>0</v>
      </c>
      <c r="BE14" s="360">
        <v>0</v>
      </c>
      <c r="BF14" s="413"/>
      <c r="BG14" s="172">
        <v>0</v>
      </c>
      <c r="BH14" s="172">
        <v>0</v>
      </c>
      <c r="BI14" s="172">
        <v>0</v>
      </c>
      <c r="BJ14" s="172">
        <v>0</v>
      </c>
      <c r="BK14" s="172">
        <v>0</v>
      </c>
      <c r="BL14" s="172">
        <v>0</v>
      </c>
      <c r="BM14" s="172">
        <v>0</v>
      </c>
      <c r="BN14" s="172">
        <v>0</v>
      </c>
      <c r="BO14" s="172">
        <v>0</v>
      </c>
      <c r="BP14" s="172">
        <v>0</v>
      </c>
      <c r="BQ14" s="172">
        <v>0</v>
      </c>
      <c r="BR14" s="172">
        <v>0</v>
      </c>
      <c r="BT14" s="446">
        <v>0</v>
      </c>
      <c r="BU14" s="449">
        <v>185205.48</v>
      </c>
      <c r="BV14" s="449">
        <v>394200.92</v>
      </c>
      <c r="BW14" s="449">
        <v>627762.56999999995</v>
      </c>
      <c r="BX14" s="447">
        <v>845918.57</v>
      </c>
      <c r="BY14" s="490">
        <v>1053800.6000000001</v>
      </c>
    </row>
    <row r="15" spans="1:80" ht="15">
      <c r="A15" s="170" t="s">
        <v>252</v>
      </c>
      <c r="B15" s="242"/>
      <c r="C15" s="127"/>
      <c r="D15" s="247"/>
      <c r="E15" s="247">
        <v>0</v>
      </c>
      <c r="F15" s="247">
        <v>0</v>
      </c>
      <c r="G15" s="247"/>
      <c r="H15" s="247"/>
      <c r="I15" s="247"/>
      <c r="J15" s="138"/>
      <c r="K15" s="138"/>
      <c r="L15" s="138"/>
      <c r="M15" s="138"/>
      <c r="N15" s="138"/>
      <c r="O15" s="138"/>
      <c r="P15" s="55"/>
      <c r="Q15" s="127"/>
      <c r="R15" s="138"/>
      <c r="S15" s="138"/>
      <c r="T15" s="138"/>
      <c r="U15" s="138"/>
      <c r="V15" s="138"/>
      <c r="W15" s="138"/>
      <c r="X15" s="138">
        <v>0</v>
      </c>
      <c r="Y15" s="138"/>
      <c r="Z15" s="299"/>
      <c r="AA15" s="299"/>
      <c r="AB15" s="299"/>
      <c r="AC15" s="138"/>
      <c r="AD15" s="138"/>
      <c r="AE15" s="138"/>
      <c r="AF15" s="138"/>
      <c r="AG15" s="360">
        <v>0</v>
      </c>
      <c r="AH15" s="360">
        <v>0</v>
      </c>
      <c r="AI15" s="360">
        <v>0</v>
      </c>
      <c r="AJ15" s="360">
        <v>0</v>
      </c>
      <c r="AK15" s="360">
        <v>0</v>
      </c>
      <c r="AL15" s="360">
        <v>0</v>
      </c>
      <c r="AM15" s="360"/>
      <c r="AN15" s="360">
        <v>0</v>
      </c>
      <c r="AO15" s="360">
        <v>0</v>
      </c>
      <c r="AP15" s="360">
        <v>0</v>
      </c>
      <c r="AQ15" s="360">
        <v>0</v>
      </c>
      <c r="AR15" s="360">
        <v>0</v>
      </c>
      <c r="AS15" s="403">
        <v>0</v>
      </c>
      <c r="AT15" s="360">
        <v>3300080</v>
      </c>
      <c r="AU15" s="360">
        <v>0</v>
      </c>
      <c r="AV15" s="360">
        <v>0</v>
      </c>
      <c r="AW15" s="360">
        <v>0</v>
      </c>
      <c r="AX15" s="360">
        <v>0</v>
      </c>
      <c r="AY15" s="360">
        <v>0</v>
      </c>
      <c r="AZ15" s="360">
        <v>0</v>
      </c>
      <c r="BA15" s="360">
        <v>0</v>
      </c>
      <c r="BB15" s="360">
        <v>0</v>
      </c>
      <c r="BC15" s="360">
        <v>0</v>
      </c>
      <c r="BD15" s="360">
        <v>0</v>
      </c>
      <c r="BE15" s="360">
        <v>3551000</v>
      </c>
      <c r="BF15" s="410"/>
      <c r="BG15" s="172">
        <v>0</v>
      </c>
      <c r="BH15" s="407">
        <v>0</v>
      </c>
      <c r="BI15" s="172">
        <v>0</v>
      </c>
      <c r="BJ15" s="172">
        <v>0</v>
      </c>
      <c r="BK15" s="172">
        <v>0</v>
      </c>
      <c r="BL15" s="172">
        <v>0</v>
      </c>
      <c r="BM15" s="172">
        <v>0</v>
      </c>
      <c r="BN15" s="172">
        <v>0</v>
      </c>
      <c r="BO15" s="172">
        <v>0</v>
      </c>
      <c r="BP15" s="172">
        <v>0</v>
      </c>
      <c r="BQ15" s="172">
        <v>0</v>
      </c>
      <c r="BR15" s="172">
        <v>0</v>
      </c>
      <c r="BT15" s="446">
        <v>0</v>
      </c>
      <c r="BU15" s="448">
        <v>0</v>
      </c>
      <c r="BV15" s="448">
        <v>0</v>
      </c>
      <c r="BW15" s="448">
        <v>0</v>
      </c>
      <c r="BX15" s="446">
        <v>0</v>
      </c>
      <c r="BY15" s="489">
        <v>0</v>
      </c>
    </row>
    <row r="16" spans="1:80" ht="15">
      <c r="A16" s="170" t="s">
        <v>253</v>
      </c>
      <c r="B16" s="242"/>
      <c r="C16" s="127"/>
      <c r="D16" s="244">
        <v>3561680.48</v>
      </c>
      <c r="E16" s="244">
        <v>2751441.47</v>
      </c>
      <c r="F16" s="244">
        <v>2751441.47</v>
      </c>
      <c r="G16" s="244">
        <v>366720.99</v>
      </c>
      <c r="H16" s="244">
        <v>366720.99</v>
      </c>
      <c r="I16" s="244">
        <v>1117588.99</v>
      </c>
      <c r="J16" s="137">
        <v>1117588.99</v>
      </c>
      <c r="K16" s="137">
        <v>1117588.99</v>
      </c>
      <c r="L16" s="137">
        <v>1839456.99</v>
      </c>
      <c r="M16" s="137">
        <v>1839456.99</v>
      </c>
      <c r="N16" s="137">
        <v>1840456.99</v>
      </c>
      <c r="O16" s="137">
        <v>2559324.9900000002</v>
      </c>
      <c r="P16" s="55">
        <v>642233</v>
      </c>
      <c r="Q16" s="127"/>
      <c r="R16" s="137">
        <v>1478991</v>
      </c>
      <c r="S16" s="137">
        <v>327276</v>
      </c>
      <c r="T16" s="137">
        <v>2892456.26</v>
      </c>
      <c r="U16" s="137">
        <v>2892456.26</v>
      </c>
      <c r="V16" s="137">
        <v>2892456.26</v>
      </c>
      <c r="W16" s="137">
        <v>986076.38</v>
      </c>
      <c r="X16" s="137">
        <v>1552262.38</v>
      </c>
      <c r="Y16" s="137">
        <v>1552262.38</v>
      </c>
      <c r="Z16" s="137">
        <v>1552262.38</v>
      </c>
      <c r="AA16" s="137">
        <v>1552262.38</v>
      </c>
      <c r="AB16" s="137">
        <v>1605262.38</v>
      </c>
      <c r="AC16" s="137">
        <v>1605262.38</v>
      </c>
      <c r="AD16" s="137">
        <v>1605262.38</v>
      </c>
      <c r="AE16" s="137">
        <v>1605262.38</v>
      </c>
      <c r="AF16" s="137">
        <f>548262+232433</f>
        <v>780695</v>
      </c>
      <c r="AG16" s="360">
        <v>2879910.38</v>
      </c>
      <c r="AH16" s="360">
        <v>1925666</v>
      </c>
      <c r="AI16" s="360">
        <v>2178166</v>
      </c>
      <c r="AJ16" s="360">
        <v>2228166</v>
      </c>
      <c r="AK16" s="360">
        <v>2528166</v>
      </c>
      <c r="AL16" s="360">
        <v>2528166</v>
      </c>
      <c r="AM16" s="360"/>
      <c r="AN16" s="360">
        <v>2528166</v>
      </c>
      <c r="AO16" s="360">
        <v>2531166</v>
      </c>
      <c r="AP16" s="360">
        <v>2531166</v>
      </c>
      <c r="AQ16" s="360">
        <v>2531166</v>
      </c>
      <c r="AR16" s="360">
        <v>3608756.34</v>
      </c>
      <c r="AS16" s="402">
        <f>2901181+149858</f>
        <v>3051039</v>
      </c>
      <c r="AT16" s="360">
        <v>708689.4</v>
      </c>
      <c r="AU16" s="360">
        <v>97677.84</v>
      </c>
      <c r="AV16" s="360">
        <v>149001.32</v>
      </c>
      <c r="AW16" s="360">
        <v>218004.91</v>
      </c>
      <c r="AX16" s="360">
        <v>205827.89</v>
      </c>
      <c r="AY16" s="360">
        <v>298844.52</v>
      </c>
      <c r="AZ16" s="360">
        <v>1136693.42</v>
      </c>
      <c r="BA16" s="360">
        <v>1208474.3700000001</v>
      </c>
      <c r="BB16" s="360">
        <v>1289584.7</v>
      </c>
      <c r="BC16" s="360">
        <v>1303624.81</v>
      </c>
      <c r="BD16" s="360">
        <v>1339298.97</v>
      </c>
      <c r="BE16" s="360">
        <v>1440490.22</v>
      </c>
      <c r="BF16" s="412"/>
      <c r="BG16" s="172">
        <v>24857.98</v>
      </c>
      <c r="BH16" s="172">
        <v>39677.980000000003</v>
      </c>
      <c r="BI16" s="172">
        <v>147107.98000000001</v>
      </c>
      <c r="BJ16" s="172">
        <v>197641.98</v>
      </c>
      <c r="BK16" s="172">
        <v>247765.98</v>
      </c>
      <c r="BL16" s="172">
        <v>325673.98</v>
      </c>
      <c r="BM16" s="172">
        <v>370309.18</v>
      </c>
      <c r="BN16" s="172">
        <v>419063.51</v>
      </c>
      <c r="BO16" s="172">
        <v>472670.14</v>
      </c>
      <c r="BP16" s="172">
        <v>521830.14</v>
      </c>
      <c r="BQ16" s="172">
        <v>556940.89</v>
      </c>
      <c r="BR16" s="172">
        <v>731647.04</v>
      </c>
      <c r="BT16" s="447">
        <v>791488</v>
      </c>
      <c r="BU16" s="449">
        <v>816598</v>
      </c>
      <c r="BV16" s="449">
        <v>854040</v>
      </c>
      <c r="BW16" s="449">
        <v>968202</v>
      </c>
      <c r="BX16" s="447">
        <v>1035842.22</v>
      </c>
      <c r="BY16" s="490">
        <v>1147020.25</v>
      </c>
    </row>
    <row r="17" spans="1:77" ht="15">
      <c r="A17" s="170" t="s">
        <v>254</v>
      </c>
      <c r="B17" s="242"/>
      <c r="C17" s="127"/>
      <c r="D17" s="245">
        <v>2850995.47</v>
      </c>
      <c r="E17" s="245">
        <v>297429.21000000002</v>
      </c>
      <c r="F17" s="245">
        <v>523039.01</v>
      </c>
      <c r="G17" s="245">
        <v>725484.75</v>
      </c>
      <c r="H17" s="245">
        <v>938584.3</v>
      </c>
      <c r="I17" s="245">
        <v>1115651.2</v>
      </c>
      <c r="J17" s="153">
        <v>1336147.95</v>
      </c>
      <c r="K17" s="153">
        <v>1592592.22</v>
      </c>
      <c r="L17" s="153">
        <v>1727080.44</v>
      </c>
      <c r="M17" s="153">
        <v>1968167.53</v>
      </c>
      <c r="N17" s="153">
        <v>2173217.46</v>
      </c>
      <c r="O17" s="153">
        <v>2374276.21</v>
      </c>
      <c r="P17" s="55"/>
      <c r="Q17" s="127"/>
      <c r="R17" s="153">
        <v>1358200.8</v>
      </c>
      <c r="S17" s="153"/>
      <c r="T17" s="153">
        <v>1425939.34</v>
      </c>
      <c r="U17" s="153">
        <v>1526327.14</v>
      </c>
      <c r="V17" s="153">
        <v>1615191.89</v>
      </c>
      <c r="W17" s="153">
        <v>373721.09</v>
      </c>
      <c r="X17" s="153">
        <v>466974.89</v>
      </c>
      <c r="Y17" s="153">
        <v>533462.89</v>
      </c>
      <c r="Z17" s="153">
        <v>614875.27</v>
      </c>
      <c r="AA17" s="153">
        <v>713613.27</v>
      </c>
      <c r="AB17" s="153">
        <v>806602.45</v>
      </c>
      <c r="AC17" s="153">
        <v>909443.89</v>
      </c>
      <c r="AD17" s="153">
        <v>1062768.99</v>
      </c>
      <c r="AE17" s="153">
        <v>1124270.8799999999</v>
      </c>
      <c r="AF17" s="153"/>
      <c r="AG17" s="360">
        <v>1178008.6000000001</v>
      </c>
      <c r="AH17" s="360">
        <v>107994.8</v>
      </c>
      <c r="AI17" s="360">
        <v>165246.1</v>
      </c>
      <c r="AJ17" s="360">
        <v>243504</v>
      </c>
      <c r="AK17" s="360">
        <v>299243.2</v>
      </c>
      <c r="AL17" s="360">
        <v>354500</v>
      </c>
      <c r="AM17" s="360"/>
      <c r="AN17" s="360">
        <v>506647.3</v>
      </c>
      <c r="AO17" s="360">
        <v>561338</v>
      </c>
      <c r="AP17" s="360">
        <v>615367</v>
      </c>
      <c r="AQ17" s="360">
        <v>669743.6</v>
      </c>
      <c r="AR17" s="360">
        <v>757628.2</v>
      </c>
      <c r="AS17" s="404">
        <v>0</v>
      </c>
      <c r="AT17" s="360">
        <v>0</v>
      </c>
      <c r="AU17" s="360">
        <v>0</v>
      </c>
      <c r="AV17" s="360">
        <v>0</v>
      </c>
      <c r="AW17" s="360">
        <v>0</v>
      </c>
      <c r="AX17" s="360">
        <v>0</v>
      </c>
      <c r="AY17" s="360">
        <v>0</v>
      </c>
      <c r="AZ17" s="360">
        <v>0</v>
      </c>
      <c r="BA17" s="360">
        <v>0</v>
      </c>
      <c r="BB17" s="360">
        <v>0</v>
      </c>
      <c r="BC17" s="360">
        <v>0</v>
      </c>
      <c r="BD17" s="360">
        <v>0</v>
      </c>
      <c r="BE17" s="360">
        <v>0</v>
      </c>
      <c r="BF17" s="411"/>
      <c r="BG17" s="172">
        <v>0</v>
      </c>
      <c r="BH17" s="172">
        <v>0</v>
      </c>
      <c r="BI17" s="172">
        <v>0</v>
      </c>
      <c r="BJ17" s="172">
        <v>0</v>
      </c>
      <c r="BK17" s="172">
        <v>0</v>
      </c>
      <c r="BL17" s="172">
        <v>0</v>
      </c>
      <c r="BM17" s="172">
        <v>0</v>
      </c>
      <c r="BN17" s="172">
        <v>0</v>
      </c>
      <c r="BO17" s="172">
        <v>0</v>
      </c>
      <c r="BP17" s="172">
        <v>0</v>
      </c>
      <c r="BQ17" s="172">
        <v>0</v>
      </c>
      <c r="BR17" s="172">
        <v>0</v>
      </c>
      <c r="BT17" s="446">
        <v>0</v>
      </c>
      <c r="BU17" s="448">
        <v>0</v>
      </c>
      <c r="BV17" s="448">
        <v>0</v>
      </c>
      <c r="BW17" s="448">
        <v>0</v>
      </c>
      <c r="BX17" s="446">
        <v>0</v>
      </c>
      <c r="BY17" s="489">
        <v>0</v>
      </c>
    </row>
    <row r="18" spans="1:77" ht="15">
      <c r="A18" s="170" t="s">
        <v>255</v>
      </c>
      <c r="B18" s="242">
        <v>1174922</v>
      </c>
      <c r="C18" s="243"/>
      <c r="D18" s="247"/>
      <c r="E18" s="247">
        <v>0</v>
      </c>
      <c r="F18" s="247">
        <v>0</v>
      </c>
      <c r="G18" s="247">
        <v>0</v>
      </c>
      <c r="H18" s="247"/>
      <c r="I18" s="247"/>
      <c r="J18" s="138"/>
      <c r="K18" s="138"/>
      <c r="L18" s="138"/>
      <c r="M18" s="138">
        <v>0</v>
      </c>
      <c r="N18" s="138">
        <v>0</v>
      </c>
      <c r="O18" s="138"/>
      <c r="P18" s="55"/>
      <c r="Q18" s="127"/>
      <c r="R18" s="138"/>
      <c r="S18" s="138"/>
      <c r="T18" s="138"/>
      <c r="U18" s="138">
        <v>0</v>
      </c>
      <c r="V18" s="138"/>
      <c r="W18" s="138">
        <v>0</v>
      </c>
      <c r="X18" s="138"/>
      <c r="Y18" s="138">
        <v>0</v>
      </c>
      <c r="Z18" s="299">
        <v>0</v>
      </c>
      <c r="AA18" s="299"/>
      <c r="AB18" s="299"/>
      <c r="AC18" s="138"/>
      <c r="AD18" s="138"/>
      <c r="AE18" s="138"/>
      <c r="AF18" s="138"/>
      <c r="AG18" s="360">
        <v>0</v>
      </c>
      <c r="AH18" s="360">
        <v>0</v>
      </c>
      <c r="AI18" s="360">
        <v>0</v>
      </c>
      <c r="AJ18" s="360">
        <v>0</v>
      </c>
      <c r="AK18" s="360">
        <v>0</v>
      </c>
      <c r="AL18" s="360">
        <v>0</v>
      </c>
      <c r="AM18" s="360"/>
      <c r="AN18" s="360">
        <v>0</v>
      </c>
      <c r="AO18" s="360">
        <v>0</v>
      </c>
      <c r="AP18" s="360">
        <v>0</v>
      </c>
      <c r="AQ18" s="360">
        <v>0</v>
      </c>
      <c r="AR18" s="360">
        <v>0</v>
      </c>
      <c r="AS18" s="404">
        <v>0</v>
      </c>
      <c r="AT18" s="360">
        <v>0</v>
      </c>
      <c r="AU18" s="360">
        <v>0</v>
      </c>
      <c r="AV18" s="360">
        <v>0</v>
      </c>
      <c r="AW18" s="360">
        <v>0</v>
      </c>
      <c r="AX18" s="360">
        <v>0</v>
      </c>
      <c r="AY18" s="360">
        <v>0</v>
      </c>
      <c r="AZ18" s="360">
        <v>0</v>
      </c>
      <c r="BA18" s="360">
        <v>0</v>
      </c>
      <c r="BB18" s="360">
        <v>0</v>
      </c>
      <c r="BC18" s="360">
        <v>0</v>
      </c>
      <c r="BD18" s="360">
        <v>0</v>
      </c>
      <c r="BE18" s="360">
        <v>0</v>
      </c>
      <c r="BF18" s="411"/>
      <c r="BG18" s="172">
        <v>0</v>
      </c>
      <c r="BH18" s="172">
        <v>0</v>
      </c>
      <c r="BI18" s="172">
        <v>0</v>
      </c>
      <c r="BJ18" s="172">
        <v>0</v>
      </c>
      <c r="BK18" s="172">
        <v>0</v>
      </c>
      <c r="BL18" s="172">
        <v>0</v>
      </c>
      <c r="BM18" s="172">
        <v>0</v>
      </c>
      <c r="BN18" s="172">
        <v>0</v>
      </c>
      <c r="BO18" s="172">
        <v>0</v>
      </c>
      <c r="BP18" s="172">
        <v>0</v>
      </c>
      <c r="BQ18" s="172">
        <v>0</v>
      </c>
      <c r="BR18" s="172">
        <v>0</v>
      </c>
      <c r="BT18" s="446">
        <v>0</v>
      </c>
      <c r="BU18" s="448">
        <v>0</v>
      </c>
      <c r="BV18" s="448">
        <v>0</v>
      </c>
      <c r="BW18" s="448">
        <v>0</v>
      </c>
      <c r="BX18" s="446">
        <v>0</v>
      </c>
      <c r="BY18" s="489">
        <v>0</v>
      </c>
    </row>
    <row r="19" spans="1:77" s="175" customFormat="1" ht="15">
      <c r="A19" s="169" t="s">
        <v>256</v>
      </c>
      <c r="B19" s="246" t="e">
        <f t="shared" ref="B19:BM19" si="16">B3-B12</f>
        <v>#REF!</v>
      </c>
      <c r="C19" s="246" t="e">
        <f t="shared" si="16"/>
        <v>#REF!</v>
      </c>
      <c r="D19" s="246" t="e">
        <f t="shared" si="16"/>
        <v>#REF!</v>
      </c>
      <c r="E19" s="246" t="e">
        <f t="shared" si="16"/>
        <v>#REF!</v>
      </c>
      <c r="F19" s="246" t="e">
        <f t="shared" si="16"/>
        <v>#REF!</v>
      </c>
      <c r="G19" s="246" t="e">
        <f t="shared" si="16"/>
        <v>#REF!</v>
      </c>
      <c r="H19" s="246" t="e">
        <f t="shared" si="16"/>
        <v>#REF!</v>
      </c>
      <c r="I19" s="246" t="e">
        <f t="shared" si="16"/>
        <v>#REF!</v>
      </c>
      <c r="J19" s="246" t="e">
        <f t="shared" si="16"/>
        <v>#REF!</v>
      </c>
      <c r="K19" s="246" t="e">
        <f t="shared" si="16"/>
        <v>#REF!</v>
      </c>
      <c r="L19" s="246" t="e">
        <f t="shared" si="16"/>
        <v>#REF!</v>
      </c>
      <c r="M19" s="246" t="e">
        <f t="shared" si="16"/>
        <v>#REF!</v>
      </c>
      <c r="N19" s="246" t="e">
        <f t="shared" si="16"/>
        <v>#REF!</v>
      </c>
      <c r="O19" s="246" t="e">
        <f t="shared" si="16"/>
        <v>#REF!</v>
      </c>
      <c r="P19" s="239" t="e">
        <f t="shared" si="16"/>
        <v>#REF!</v>
      </c>
      <c r="Q19" s="179">
        <f t="shared" si="16"/>
        <v>41350724</v>
      </c>
      <c r="R19" s="179">
        <f t="shared" si="16"/>
        <v>106013073.5</v>
      </c>
      <c r="S19" s="179">
        <f t="shared" si="16"/>
        <v>56358258</v>
      </c>
      <c r="T19" s="179">
        <f t="shared" si="16"/>
        <v>113270435.73999999</v>
      </c>
      <c r="U19" s="179">
        <f t="shared" si="16"/>
        <v>122638203.94999999</v>
      </c>
      <c r="V19" s="179">
        <f t="shared" si="16"/>
        <v>132405605.88000001</v>
      </c>
      <c r="W19" s="179">
        <f t="shared" si="16"/>
        <v>35930845.340000004</v>
      </c>
      <c r="X19" s="179">
        <f t="shared" si="16"/>
        <v>44659314.690000005</v>
      </c>
      <c r="Y19" s="179">
        <f t="shared" si="16"/>
        <v>56801699.970000006</v>
      </c>
      <c r="Z19" s="298">
        <f t="shared" si="16"/>
        <v>66212616.789999999</v>
      </c>
      <c r="AA19" s="298">
        <f t="shared" si="16"/>
        <v>76501518.000000015</v>
      </c>
      <c r="AB19" s="298">
        <f t="shared" si="16"/>
        <v>85938886.050000012</v>
      </c>
      <c r="AC19" s="179">
        <f t="shared" si="16"/>
        <v>96080145.600000009</v>
      </c>
      <c r="AD19" s="179">
        <f t="shared" si="16"/>
        <v>105437220.05</v>
      </c>
      <c r="AE19" s="179">
        <f t="shared" si="16"/>
        <v>115166187.13</v>
      </c>
      <c r="AF19" s="179">
        <f t="shared" si="16"/>
        <v>60865365</v>
      </c>
      <c r="AG19" s="179">
        <f t="shared" si="16"/>
        <v>123337362</v>
      </c>
      <c r="AH19" s="179">
        <f t="shared" si="16"/>
        <v>17068535.989999998</v>
      </c>
      <c r="AI19" s="179">
        <f t="shared" si="16"/>
        <v>26504146.09</v>
      </c>
      <c r="AJ19" s="179">
        <f t="shared" si="16"/>
        <v>39492534.619999997</v>
      </c>
      <c r="AK19" s="179">
        <f t="shared" si="16"/>
        <v>48363520.049999997</v>
      </c>
      <c r="AL19" s="179">
        <f t="shared" si="16"/>
        <v>57781152.25999999</v>
      </c>
      <c r="AM19" s="179">
        <f t="shared" si="16"/>
        <v>0</v>
      </c>
      <c r="AN19" s="179">
        <f t="shared" si="16"/>
        <v>78179220.38000001</v>
      </c>
      <c r="AO19" s="179">
        <f t="shared" si="16"/>
        <v>88921234.909999996</v>
      </c>
      <c r="AP19" s="179">
        <f t="shared" si="16"/>
        <v>99855600.129999995</v>
      </c>
      <c r="AQ19" s="179">
        <f t="shared" si="16"/>
        <v>109805980.36</v>
      </c>
      <c r="AR19" s="179">
        <f t="shared" si="16"/>
        <v>119433171.29000001</v>
      </c>
      <c r="AS19" s="401">
        <f t="shared" si="16"/>
        <v>56057997</v>
      </c>
      <c r="AT19" s="401">
        <f t="shared" si="16"/>
        <v>41239872.799999997</v>
      </c>
      <c r="AU19" s="401">
        <f t="shared" si="16"/>
        <v>6630574.5299999993</v>
      </c>
      <c r="AV19" s="401">
        <f t="shared" si="16"/>
        <v>10275007.479999999</v>
      </c>
      <c r="AW19" s="401">
        <f t="shared" si="16"/>
        <v>21336468.720000003</v>
      </c>
      <c r="AX19" s="401">
        <f t="shared" si="16"/>
        <v>24895178.07</v>
      </c>
      <c r="AY19" s="401">
        <f t="shared" si="16"/>
        <v>28870398.73</v>
      </c>
      <c r="AZ19" s="401">
        <f t="shared" si="16"/>
        <v>32055548.689999998</v>
      </c>
      <c r="BA19" s="401">
        <f t="shared" si="16"/>
        <v>35850447.030000001</v>
      </c>
      <c r="BB19" s="401">
        <f t="shared" si="16"/>
        <v>40147765.019999996</v>
      </c>
      <c r="BC19" s="401">
        <f t="shared" si="16"/>
        <v>44031161.549999997</v>
      </c>
      <c r="BD19" s="401">
        <f t="shared" si="16"/>
        <v>48725950.619999997</v>
      </c>
      <c r="BE19" s="401">
        <f t="shared" si="16"/>
        <v>39600059.170000002</v>
      </c>
      <c r="BF19" s="409">
        <f t="shared" si="16"/>
        <v>44592934</v>
      </c>
      <c r="BG19" s="409">
        <f t="shared" si="16"/>
        <v>3996249.46</v>
      </c>
      <c r="BH19" s="409">
        <f t="shared" si="16"/>
        <v>7778108.9899999993</v>
      </c>
      <c r="BI19" s="409">
        <f t="shared" si="16"/>
        <v>12321856.369999999</v>
      </c>
      <c r="BJ19" s="409">
        <f t="shared" si="16"/>
        <v>16900824.530000001</v>
      </c>
      <c r="BK19" s="409">
        <f t="shared" si="16"/>
        <v>20649565.609999996</v>
      </c>
      <c r="BL19" s="409">
        <f t="shared" si="16"/>
        <v>33083713.389999997</v>
      </c>
      <c r="BM19" s="409">
        <f t="shared" si="16"/>
        <v>37291776.93</v>
      </c>
      <c r="BN19" s="409">
        <f t="shared" ref="BN19:BX19" si="17">BN3-BN12</f>
        <v>42534466.149999999</v>
      </c>
      <c r="BO19" s="409">
        <f t="shared" si="17"/>
        <v>47489971.879999995</v>
      </c>
      <c r="BP19" s="409">
        <f t="shared" si="17"/>
        <v>52349151.359999992</v>
      </c>
      <c r="BQ19" s="409">
        <f t="shared" si="17"/>
        <v>57661311.369999997</v>
      </c>
      <c r="BR19" s="409">
        <f t="shared" si="17"/>
        <v>63578354.600000001</v>
      </c>
      <c r="BS19" s="409">
        <f t="shared" si="17"/>
        <v>52325462</v>
      </c>
      <c r="BT19" s="409">
        <f t="shared" si="17"/>
        <v>5417274.8600000003</v>
      </c>
      <c r="BU19" s="409">
        <f t="shared" si="17"/>
        <v>10271104.859999999</v>
      </c>
      <c r="BV19" s="409">
        <f t="shared" si="17"/>
        <v>15121074.039999999</v>
      </c>
      <c r="BW19" s="409">
        <f t="shared" si="17"/>
        <v>19398034.219999999</v>
      </c>
      <c r="BX19" s="409">
        <f t="shared" ref="BX19:BY19" si="18">BX3-BX12</f>
        <v>27323090.600000001</v>
      </c>
      <c r="BY19" s="409">
        <f t="shared" si="18"/>
        <v>45710092.319999993</v>
      </c>
    </row>
    <row r="20" spans="1:77" s="175" customFormat="1" ht="15">
      <c r="A20" s="169" t="s">
        <v>202</v>
      </c>
      <c r="B20" s="248"/>
      <c r="C20" s="248"/>
      <c r="D20" s="248"/>
      <c r="E20" s="248"/>
      <c r="F20" s="248"/>
      <c r="G20" s="248"/>
      <c r="H20" s="248"/>
      <c r="I20" s="248"/>
      <c r="J20" s="248"/>
      <c r="K20" s="248"/>
      <c r="L20" s="248"/>
      <c r="M20" s="248"/>
      <c r="N20" s="248"/>
      <c r="O20" s="248"/>
      <c r="P20" s="241">
        <f>P21</f>
        <v>-2177981</v>
      </c>
      <c r="Q20" s="179">
        <f t="shared" ref="Q20:V20" si="19">Q21-Q22</f>
        <v>2419802</v>
      </c>
      <c r="R20" s="179">
        <f t="shared" si="19"/>
        <v>3230963.7</v>
      </c>
      <c r="S20" s="179">
        <f t="shared" si="19"/>
        <v>3230964</v>
      </c>
      <c r="T20" s="179">
        <f t="shared" si="19"/>
        <v>3230963.7</v>
      </c>
      <c r="U20" s="179">
        <f t="shared" si="19"/>
        <v>3230963.7</v>
      </c>
      <c r="V20" s="179">
        <f t="shared" si="19"/>
        <v>3835914.12</v>
      </c>
      <c r="W20" s="179">
        <f t="shared" ref="W20:AB20" si="20">W21-W22</f>
        <v>806600.56</v>
      </c>
      <c r="X20" s="179">
        <f t="shared" si="20"/>
        <v>1008250.7</v>
      </c>
      <c r="Y20" s="179">
        <f t="shared" si="20"/>
        <v>1209900.8400000001</v>
      </c>
      <c r="Z20" s="298">
        <f t="shared" si="20"/>
        <v>1411550.98</v>
      </c>
      <c r="AA20" s="298">
        <f t="shared" si="20"/>
        <v>1613201.12</v>
      </c>
      <c r="AB20" s="298">
        <f t="shared" si="20"/>
        <v>7068275.6500000004</v>
      </c>
      <c r="AC20" s="179">
        <f t="shared" ref="AC20:AJ20" si="21">AC21-AC22</f>
        <v>7269925.79</v>
      </c>
      <c r="AD20" s="179">
        <f t="shared" si="21"/>
        <v>7471575.9299999997</v>
      </c>
      <c r="AE20" s="179">
        <f t="shared" si="21"/>
        <v>5638534.75</v>
      </c>
      <c r="AF20" s="179">
        <f t="shared" si="21"/>
        <v>5638535</v>
      </c>
      <c r="AG20" s="179">
        <f t="shared" si="21"/>
        <v>5840184.9000000004</v>
      </c>
      <c r="AH20" s="179">
        <f t="shared" si="21"/>
        <v>585305.1</v>
      </c>
      <c r="AI20" s="179">
        <f t="shared" si="21"/>
        <v>908291.7</v>
      </c>
      <c r="AJ20" s="179">
        <f t="shared" si="21"/>
        <v>1231278.3999999999</v>
      </c>
      <c r="AK20" s="179">
        <f t="shared" ref="AK20:BX20" si="22">AK21-AK22</f>
        <v>1554265</v>
      </c>
      <c r="AL20" s="179">
        <f t="shared" si="22"/>
        <v>1877251.7</v>
      </c>
      <c r="AM20" s="179">
        <f t="shared" si="22"/>
        <v>0</v>
      </c>
      <c r="AN20" s="179">
        <f t="shared" si="22"/>
        <v>2787335.9</v>
      </c>
      <c r="AO20" s="179">
        <f t="shared" si="22"/>
        <v>7772302.7999999998</v>
      </c>
      <c r="AP20" s="179">
        <f t="shared" si="22"/>
        <v>7139544</v>
      </c>
      <c r="AQ20" s="179">
        <f t="shared" si="22"/>
        <v>8281499.0999999996</v>
      </c>
      <c r="AR20" s="179">
        <f t="shared" si="22"/>
        <v>7575786.0999999996</v>
      </c>
      <c r="AS20" s="401">
        <f t="shared" si="22"/>
        <v>7575786</v>
      </c>
      <c r="AT20" s="401">
        <f t="shared" si="22"/>
        <v>2102814</v>
      </c>
      <c r="AU20" s="401">
        <f t="shared" si="22"/>
        <v>3395395.12</v>
      </c>
      <c r="AV20" s="401">
        <f t="shared" si="22"/>
        <v>2852903.61</v>
      </c>
      <c r="AW20" s="401">
        <f t="shared" si="22"/>
        <v>4247544.42</v>
      </c>
      <c r="AX20" s="401">
        <f t="shared" si="22"/>
        <v>3439770.99</v>
      </c>
      <c r="AY20" s="401">
        <f t="shared" si="22"/>
        <v>4451197.6900000004</v>
      </c>
      <c r="AZ20" s="401">
        <f t="shared" si="22"/>
        <v>4275794.9400000004</v>
      </c>
      <c r="BA20" s="401">
        <f t="shared" si="22"/>
        <v>4817163.8</v>
      </c>
      <c r="BB20" s="401">
        <f t="shared" si="22"/>
        <v>4817163.8</v>
      </c>
      <c r="BC20" s="401">
        <f t="shared" si="22"/>
        <v>5253614.09</v>
      </c>
      <c r="BD20" s="401">
        <f t="shared" si="22"/>
        <v>5305712</v>
      </c>
      <c r="BE20" s="401">
        <f t="shared" si="22"/>
        <v>6240049.5599999996</v>
      </c>
      <c r="BF20" s="409">
        <f t="shared" si="22"/>
        <v>6585364</v>
      </c>
      <c r="BG20" s="409">
        <f t="shared" si="22"/>
        <v>161078.82999999999</v>
      </c>
      <c r="BH20" s="409">
        <f t="shared" si="22"/>
        <v>320417.59000000003</v>
      </c>
      <c r="BI20" s="409">
        <f t="shared" si="22"/>
        <v>390146.69</v>
      </c>
      <c r="BJ20" s="409">
        <f t="shared" si="22"/>
        <v>93327.19</v>
      </c>
      <c r="BK20" s="409">
        <f t="shared" si="22"/>
        <v>1600759.54</v>
      </c>
      <c r="BL20" s="409">
        <f t="shared" si="22"/>
        <v>1288853.82</v>
      </c>
      <c r="BM20" s="409">
        <f t="shared" si="22"/>
        <v>2058262.46</v>
      </c>
      <c r="BN20" s="409">
        <f t="shared" si="22"/>
        <v>2733965.39</v>
      </c>
      <c r="BO20" s="409">
        <f t="shared" si="22"/>
        <v>3009423.32</v>
      </c>
      <c r="BP20" s="409">
        <f t="shared" si="22"/>
        <v>4678429.05</v>
      </c>
      <c r="BQ20" s="409">
        <f t="shared" si="22"/>
        <v>4967495.7300000004</v>
      </c>
      <c r="BR20" s="409">
        <f t="shared" si="22"/>
        <v>2089561.76</v>
      </c>
      <c r="BS20" s="409">
        <f t="shared" si="22"/>
        <v>2089562</v>
      </c>
      <c r="BT20" s="409">
        <f t="shared" si="22"/>
        <v>5898085.9500000002</v>
      </c>
      <c r="BU20" s="409">
        <f t="shared" si="22"/>
        <v>6000560.5</v>
      </c>
      <c r="BV20" s="409">
        <f t="shared" si="22"/>
        <v>5601077.4500000002</v>
      </c>
      <c r="BW20" s="409">
        <f t="shared" si="22"/>
        <v>4343012.09</v>
      </c>
      <c r="BX20" s="409">
        <f t="shared" ref="BX20:BY20" si="23">BX21-BX22</f>
        <v>2592992.48</v>
      </c>
      <c r="BY20" s="409">
        <f t="shared" si="23"/>
        <v>4624919.95</v>
      </c>
    </row>
    <row r="21" spans="1:77" ht="15">
      <c r="A21" s="170" t="s">
        <v>257</v>
      </c>
      <c r="B21" s="242">
        <v>1509402</v>
      </c>
      <c r="C21" s="243">
        <v>2366661</v>
      </c>
      <c r="D21" s="247">
        <v>2449994.63</v>
      </c>
      <c r="E21" s="247">
        <v>166666.68</v>
      </c>
      <c r="F21" s="247">
        <v>250000.02</v>
      </c>
      <c r="G21" s="247">
        <v>333333.36</v>
      </c>
      <c r="H21" s="247">
        <v>416666.7</v>
      </c>
      <c r="I21" s="247">
        <v>500000.04</v>
      </c>
      <c r="J21" s="138">
        <v>583333.38</v>
      </c>
      <c r="K21" s="138">
        <v>666666.72</v>
      </c>
      <c r="L21" s="138">
        <v>750000.06</v>
      </c>
      <c r="M21" s="138">
        <v>833333.4</v>
      </c>
      <c r="N21" s="138">
        <v>916666.74</v>
      </c>
      <c r="O21" s="138">
        <v>1000000.08</v>
      </c>
      <c r="P21" s="56">
        <v>-2177981</v>
      </c>
      <c r="Q21" s="26">
        <v>2419802</v>
      </c>
      <c r="R21" s="138">
        <v>3230963.7</v>
      </c>
      <c r="S21" s="138">
        <v>3230964</v>
      </c>
      <c r="T21" s="138">
        <v>3230963.7</v>
      </c>
      <c r="U21" s="138">
        <v>3230963.7</v>
      </c>
      <c r="V21" s="138">
        <v>3835914.12</v>
      </c>
      <c r="W21" s="138">
        <v>806600.56</v>
      </c>
      <c r="X21" s="138">
        <v>1008250.7</v>
      </c>
      <c r="Y21" s="138">
        <v>1209900.8400000001</v>
      </c>
      <c r="Z21" s="299">
        <v>1411550.98</v>
      </c>
      <c r="AA21" s="299">
        <v>1613201.12</v>
      </c>
      <c r="AB21" s="299">
        <v>7068275.6500000004</v>
      </c>
      <c r="AC21" s="138">
        <v>7269925.79</v>
      </c>
      <c r="AD21" s="138">
        <v>7471575.9299999997</v>
      </c>
      <c r="AE21" s="138">
        <v>5638534.75</v>
      </c>
      <c r="AF21" s="138">
        <v>5638535</v>
      </c>
      <c r="AG21" s="360">
        <v>5840184.9000000004</v>
      </c>
      <c r="AH21" s="360">
        <v>585305.1</v>
      </c>
      <c r="AI21" s="360">
        <v>908291.7</v>
      </c>
      <c r="AJ21" s="360">
        <v>1231278.3999999999</v>
      </c>
      <c r="AK21" s="360">
        <v>1554265</v>
      </c>
      <c r="AL21" s="360">
        <v>1877251.7</v>
      </c>
      <c r="AM21" s="360"/>
      <c r="AN21" s="360">
        <v>2787335.9</v>
      </c>
      <c r="AO21" s="360">
        <v>7772302.7999999998</v>
      </c>
      <c r="AP21" s="360">
        <v>7139544</v>
      </c>
      <c r="AQ21" s="360">
        <v>8281499.0999999996</v>
      </c>
      <c r="AR21" s="360">
        <v>7575786.0999999996</v>
      </c>
      <c r="AS21" s="410">
        <v>7575786</v>
      </c>
      <c r="AT21" s="360">
        <v>2102814</v>
      </c>
      <c r="AU21" s="360">
        <v>3395395.12</v>
      </c>
      <c r="AV21" s="360">
        <v>2852903.61</v>
      </c>
      <c r="AW21" s="360">
        <v>4247544.42</v>
      </c>
      <c r="AX21" s="360">
        <v>3439770.99</v>
      </c>
      <c r="AY21" s="360">
        <v>4451197.6900000004</v>
      </c>
      <c r="AZ21" s="360">
        <v>4275794.9400000004</v>
      </c>
      <c r="BA21" s="360">
        <v>4817163.8</v>
      </c>
      <c r="BB21" s="360">
        <v>4817163.8</v>
      </c>
      <c r="BC21" s="360">
        <v>5253614.09</v>
      </c>
      <c r="BD21" s="360">
        <v>5305712</v>
      </c>
      <c r="BE21" s="360">
        <v>6240049.5599999996</v>
      </c>
      <c r="BF21" s="415">
        <v>6585364</v>
      </c>
      <c r="BG21" s="172">
        <v>161078.82999999999</v>
      </c>
      <c r="BH21" s="172">
        <v>320417.59000000003</v>
      </c>
      <c r="BI21" s="172">
        <v>390146.69</v>
      </c>
      <c r="BJ21" s="172">
        <v>390146.69</v>
      </c>
      <c r="BK21" s="172">
        <v>1600759.54</v>
      </c>
      <c r="BL21" s="172">
        <v>1288853.82</v>
      </c>
      <c r="BM21" s="172">
        <v>2058262.46</v>
      </c>
      <c r="BN21" s="172">
        <v>2733965.39</v>
      </c>
      <c r="BO21" s="172">
        <v>3009423.32</v>
      </c>
      <c r="BP21" s="172">
        <v>4678429.05</v>
      </c>
      <c r="BQ21" s="172">
        <v>4967495.7300000004</v>
      </c>
      <c r="BR21" s="172">
        <v>2089561.76</v>
      </c>
      <c r="BS21" s="377">
        <v>2089562</v>
      </c>
      <c r="BT21" s="443">
        <v>5898085.9500000002</v>
      </c>
      <c r="BU21" s="445">
        <v>6000560.5</v>
      </c>
      <c r="BV21" s="445">
        <v>5601077.4500000002</v>
      </c>
      <c r="BW21" s="445">
        <v>4343012.09</v>
      </c>
      <c r="BX21" s="443">
        <v>2592992.48</v>
      </c>
      <c r="BY21" s="488">
        <v>4624919.95</v>
      </c>
    </row>
    <row r="22" spans="1:77" ht="15">
      <c r="A22" s="170" t="s">
        <v>258</v>
      </c>
      <c r="B22" s="242"/>
      <c r="C22" s="127"/>
      <c r="D22" s="247"/>
      <c r="E22" s="247">
        <v>0</v>
      </c>
      <c r="F22" s="247">
        <v>0</v>
      </c>
      <c r="G22" s="247"/>
      <c r="H22" s="247"/>
      <c r="I22" s="247"/>
      <c r="J22" s="138"/>
      <c r="K22" s="138"/>
      <c r="L22" s="138"/>
      <c r="M22" s="138"/>
      <c r="N22" s="138">
        <v>0</v>
      </c>
      <c r="O22" s="138"/>
      <c r="P22" s="55"/>
      <c r="Q22" s="26"/>
      <c r="R22" s="138"/>
      <c r="S22" s="138"/>
      <c r="T22" s="138"/>
      <c r="U22" s="138">
        <v>0</v>
      </c>
      <c r="V22" s="138"/>
      <c r="W22" s="138"/>
      <c r="X22" s="138"/>
      <c r="Y22" s="138"/>
      <c r="Z22" s="299"/>
      <c r="AA22" s="299"/>
      <c r="AB22" s="299"/>
      <c r="AC22" s="138"/>
      <c r="AD22" s="138"/>
      <c r="AE22" s="138"/>
      <c r="AF22" s="138"/>
      <c r="AG22" s="138"/>
      <c r="AH22" s="138"/>
      <c r="AI22" s="138"/>
      <c r="AJ22" s="360">
        <v>0</v>
      </c>
      <c r="AK22" s="360">
        <v>0</v>
      </c>
      <c r="AL22" s="360">
        <v>0</v>
      </c>
      <c r="AM22" s="360"/>
      <c r="AN22" s="360">
        <v>0</v>
      </c>
      <c r="AO22" s="360">
        <v>0</v>
      </c>
      <c r="AP22" s="360">
        <v>0</v>
      </c>
      <c r="AQ22" s="360">
        <v>0</v>
      </c>
      <c r="AR22" s="360">
        <v>0</v>
      </c>
      <c r="AS22" s="410">
        <v>0</v>
      </c>
      <c r="AT22" s="360">
        <v>0</v>
      </c>
      <c r="AU22" s="360">
        <v>0</v>
      </c>
      <c r="AV22" s="360">
        <v>0</v>
      </c>
      <c r="AW22" s="360">
        <v>0</v>
      </c>
      <c r="AX22" s="360">
        <v>0</v>
      </c>
      <c r="AY22" s="360">
        <v>0</v>
      </c>
      <c r="AZ22" s="360">
        <v>0</v>
      </c>
      <c r="BA22" s="360">
        <v>0</v>
      </c>
      <c r="BB22" s="360">
        <v>0</v>
      </c>
      <c r="BC22" s="360">
        <v>0</v>
      </c>
      <c r="BD22" s="360">
        <v>0</v>
      </c>
      <c r="BE22" s="360">
        <v>0</v>
      </c>
      <c r="BF22" s="410">
        <v>0</v>
      </c>
      <c r="BG22" s="172">
        <v>0</v>
      </c>
      <c r="BH22" s="407">
        <v>0</v>
      </c>
      <c r="BI22" s="172">
        <v>0</v>
      </c>
      <c r="BJ22" s="172">
        <v>296819.5</v>
      </c>
      <c r="BK22" s="172">
        <v>0</v>
      </c>
      <c r="BL22" s="172">
        <v>0</v>
      </c>
      <c r="BM22" s="172">
        <v>0</v>
      </c>
      <c r="BN22" s="172">
        <v>0</v>
      </c>
      <c r="BO22" s="172">
        <v>0</v>
      </c>
      <c r="BP22" s="172">
        <v>0</v>
      </c>
      <c r="BQ22" s="172">
        <v>0</v>
      </c>
      <c r="BR22" s="172">
        <v>0</v>
      </c>
      <c r="BT22" s="446">
        <v>0</v>
      </c>
      <c r="BU22" s="448">
        <v>0</v>
      </c>
      <c r="BV22" s="448">
        <v>0</v>
      </c>
      <c r="BW22" s="448">
        <v>0</v>
      </c>
      <c r="BX22" s="446">
        <v>0</v>
      </c>
      <c r="BY22" s="489">
        <v>0</v>
      </c>
    </row>
    <row r="23" spans="1:77" s="175" customFormat="1" ht="15">
      <c r="A23" s="169" t="s">
        <v>259</v>
      </c>
      <c r="B23" s="246">
        <f t="shared" ref="B23:P23" si="24">B24+B25+B26+B27+B28</f>
        <v>34861417</v>
      </c>
      <c r="C23" s="246">
        <f t="shared" si="24"/>
        <v>25601358</v>
      </c>
      <c r="D23" s="246">
        <f t="shared" si="24"/>
        <v>23576697.030000001</v>
      </c>
      <c r="E23" s="246">
        <f t="shared" si="24"/>
        <v>3113012.02</v>
      </c>
      <c r="F23" s="246">
        <f t="shared" si="24"/>
        <v>5270464.0299999993</v>
      </c>
      <c r="G23" s="246">
        <f t="shared" si="24"/>
        <v>6896865.2800000003</v>
      </c>
      <c r="H23" s="246">
        <f t="shared" si="24"/>
        <v>8391476.2300000004</v>
      </c>
      <c r="I23" s="246">
        <f t="shared" si="24"/>
        <v>10230406.289999999</v>
      </c>
      <c r="J23" s="246">
        <f t="shared" si="24"/>
        <v>11880103.75</v>
      </c>
      <c r="K23" s="246">
        <f t="shared" si="24"/>
        <v>13559899.68</v>
      </c>
      <c r="L23" s="246">
        <f t="shared" si="24"/>
        <v>15496008.66</v>
      </c>
      <c r="M23" s="246">
        <f t="shared" si="24"/>
        <v>17365721.920000002</v>
      </c>
      <c r="N23" s="246">
        <f t="shared" si="24"/>
        <v>19433849.199999999</v>
      </c>
      <c r="O23" s="246">
        <f t="shared" si="24"/>
        <v>21237027.149999999</v>
      </c>
      <c r="P23" s="239">
        <f t="shared" si="24"/>
        <v>25156739</v>
      </c>
      <c r="Q23" s="179">
        <f t="shared" ref="Q23:V23" si="25">SUM(Q24:Q28)</f>
        <v>25643786.879999999</v>
      </c>
      <c r="R23" s="179">
        <f t="shared" si="25"/>
        <v>30509599.790000003</v>
      </c>
      <c r="S23" s="179">
        <f t="shared" si="25"/>
        <v>33446761</v>
      </c>
      <c r="T23" s="179">
        <f t="shared" si="25"/>
        <v>32918868.170000002</v>
      </c>
      <c r="U23" s="179">
        <f t="shared" si="25"/>
        <v>34803472.509999998</v>
      </c>
      <c r="V23" s="179">
        <f t="shared" si="25"/>
        <v>40372182.899999999</v>
      </c>
      <c r="W23" s="179">
        <f t="shared" ref="W23:AB23" si="26">SUM(W24:W28)</f>
        <v>12643518.370000001</v>
      </c>
      <c r="X23" s="179">
        <f t="shared" si="26"/>
        <v>19031383.23</v>
      </c>
      <c r="Y23" s="179">
        <f t="shared" si="26"/>
        <v>21908356.979999997</v>
      </c>
      <c r="Z23" s="298">
        <f t="shared" si="26"/>
        <v>22766712.710000001</v>
      </c>
      <c r="AA23" s="298">
        <f t="shared" si="26"/>
        <v>25123045.710000001</v>
      </c>
      <c r="AB23" s="298">
        <f t="shared" si="26"/>
        <v>28558545.199999999</v>
      </c>
      <c r="AC23" s="179">
        <f t="shared" ref="AC23:AJ23" si="27">SUM(AC24:AC28)</f>
        <v>30779761.190000001</v>
      </c>
      <c r="AD23" s="179">
        <f t="shared" si="27"/>
        <v>33633006.920000002</v>
      </c>
      <c r="AE23" s="179">
        <f t="shared" si="27"/>
        <v>36360689.879999995</v>
      </c>
      <c r="AF23" s="179">
        <f t="shared" si="27"/>
        <v>38435174</v>
      </c>
      <c r="AG23" s="179">
        <f t="shared" si="27"/>
        <v>38937660.129999995</v>
      </c>
      <c r="AH23" s="179">
        <f t="shared" si="27"/>
        <v>5354558.84</v>
      </c>
      <c r="AI23" s="179">
        <f t="shared" si="27"/>
        <v>9831555.3399999999</v>
      </c>
      <c r="AJ23" s="179">
        <f t="shared" si="27"/>
        <v>11900412.440000001</v>
      </c>
      <c r="AK23" s="179">
        <f t="shared" ref="AK23:BY23" si="28">SUM(AK24:AK28)</f>
        <v>14087206.15</v>
      </c>
      <c r="AL23" s="179">
        <f t="shared" si="28"/>
        <v>16776588.08</v>
      </c>
      <c r="AM23" s="179">
        <f t="shared" si="28"/>
        <v>0</v>
      </c>
      <c r="AN23" s="179">
        <f t="shared" si="28"/>
        <v>23973729.810000002</v>
      </c>
      <c r="AO23" s="179">
        <f t="shared" si="28"/>
        <v>26524472.049999997</v>
      </c>
      <c r="AP23" s="179">
        <f t="shared" si="28"/>
        <v>29500331.809999999</v>
      </c>
      <c r="AQ23" s="179">
        <f t="shared" si="28"/>
        <v>32254447.669999998</v>
      </c>
      <c r="AR23" s="179">
        <f t="shared" si="28"/>
        <v>35585335.07</v>
      </c>
      <c r="AS23" s="401">
        <f t="shared" si="28"/>
        <v>36885485</v>
      </c>
      <c r="AT23" s="401">
        <f t="shared" si="28"/>
        <v>22691059.120000001</v>
      </c>
      <c r="AU23" s="401">
        <f t="shared" si="28"/>
        <v>3476170.03</v>
      </c>
      <c r="AV23" s="401">
        <f t="shared" si="28"/>
        <v>5160519.0600000005</v>
      </c>
      <c r="AW23" s="401">
        <f t="shared" si="28"/>
        <v>6433483.1899999995</v>
      </c>
      <c r="AX23" s="401">
        <f t="shared" si="28"/>
        <v>8072737.2199999997</v>
      </c>
      <c r="AY23" s="401">
        <f t="shared" si="28"/>
        <v>9763702.9200000018</v>
      </c>
      <c r="AZ23" s="401">
        <f t="shared" si="28"/>
        <v>11303220.120000001</v>
      </c>
      <c r="BA23" s="401">
        <f t="shared" si="28"/>
        <v>13106495.48</v>
      </c>
      <c r="BB23" s="401">
        <f t="shared" si="28"/>
        <v>14457825.189999999</v>
      </c>
      <c r="BC23" s="401">
        <f t="shared" si="28"/>
        <v>15638968.520000001</v>
      </c>
      <c r="BD23" s="401">
        <f t="shared" si="28"/>
        <v>17580811.349999998</v>
      </c>
      <c r="BE23" s="401">
        <f t="shared" si="28"/>
        <v>23193657.379999999</v>
      </c>
      <c r="BF23" s="401">
        <f t="shared" si="28"/>
        <v>24027585</v>
      </c>
      <c r="BG23" s="401">
        <f t="shared" si="28"/>
        <v>1618507.5</v>
      </c>
      <c r="BH23" s="401">
        <f t="shared" si="28"/>
        <v>4214552.93</v>
      </c>
      <c r="BI23" s="401">
        <f t="shared" si="28"/>
        <v>7656546.7000000002</v>
      </c>
      <c r="BJ23" s="401">
        <f t="shared" si="28"/>
        <v>9366453.4700000007</v>
      </c>
      <c r="BK23" s="401">
        <f t="shared" si="28"/>
        <v>11517875.02</v>
      </c>
      <c r="BL23" s="401">
        <f t="shared" si="28"/>
        <v>13627407.240000002</v>
      </c>
      <c r="BM23" s="401">
        <f t="shared" si="28"/>
        <v>15607321.810000001</v>
      </c>
      <c r="BN23" s="401">
        <f t="shared" si="28"/>
        <v>17353552.880000003</v>
      </c>
      <c r="BO23" s="401">
        <f t="shared" si="28"/>
        <v>19012804.850000001</v>
      </c>
      <c r="BP23" s="401">
        <f t="shared" si="28"/>
        <v>20853403.219999999</v>
      </c>
      <c r="BQ23" s="401">
        <f t="shared" si="28"/>
        <v>22557745.090000004</v>
      </c>
      <c r="BR23" s="401">
        <f t="shared" si="28"/>
        <v>23058516.260000005</v>
      </c>
      <c r="BS23" s="401">
        <f t="shared" si="28"/>
        <v>23934575</v>
      </c>
      <c r="BT23" s="401">
        <f t="shared" si="28"/>
        <v>1754702.19</v>
      </c>
      <c r="BU23" s="401">
        <f t="shared" si="28"/>
        <v>4878206.4800000004</v>
      </c>
      <c r="BV23" s="401">
        <f t="shared" si="28"/>
        <v>8042993.7700000005</v>
      </c>
      <c r="BW23" s="401">
        <f t="shared" si="28"/>
        <v>9558182.5599999987</v>
      </c>
      <c r="BX23" s="401">
        <f t="shared" si="28"/>
        <v>11741852.85</v>
      </c>
      <c r="BY23" s="401">
        <f t="shared" si="28"/>
        <v>14274614.810000001</v>
      </c>
    </row>
    <row r="24" spans="1:77" ht="15">
      <c r="A24" s="170" t="s">
        <v>260</v>
      </c>
      <c r="B24" s="242">
        <v>15280515</v>
      </c>
      <c r="C24" s="243">
        <v>12353692</v>
      </c>
      <c r="D24" s="247">
        <v>13329761.4</v>
      </c>
      <c r="E24" s="247">
        <v>2023516.42</v>
      </c>
      <c r="F24" s="247">
        <v>3226972.65</v>
      </c>
      <c r="G24" s="247">
        <v>4331571.3099999996</v>
      </c>
      <c r="H24" s="247">
        <v>5360813.3899999997</v>
      </c>
      <c r="I24" s="247">
        <v>6389153.9100000001</v>
      </c>
      <c r="J24" s="138">
        <v>7394594.54</v>
      </c>
      <c r="K24" s="138">
        <v>8517233.9900000002</v>
      </c>
      <c r="L24" s="138">
        <v>9622373.1300000008</v>
      </c>
      <c r="M24" s="138">
        <v>10741297.960000001</v>
      </c>
      <c r="N24" s="138">
        <v>11867760.52</v>
      </c>
      <c r="O24" s="138">
        <v>12926468.279999999</v>
      </c>
      <c r="P24" s="55">
        <v>13269379</v>
      </c>
      <c r="Q24" s="138">
        <v>13586259</v>
      </c>
      <c r="R24" s="138">
        <v>16012475.75</v>
      </c>
      <c r="S24" s="138">
        <v>16012476</v>
      </c>
      <c r="T24" s="138">
        <v>17193381.649999999</v>
      </c>
      <c r="U24" s="138">
        <v>18431570.52</v>
      </c>
      <c r="V24" s="138">
        <v>21118482.02</v>
      </c>
      <c r="W24" s="138">
        <v>6394125.1200000001</v>
      </c>
      <c r="X24" s="138">
        <v>7666654.9699999997</v>
      </c>
      <c r="Y24" s="138">
        <v>9012453.4199999999</v>
      </c>
      <c r="Z24" s="299">
        <v>10249701.1</v>
      </c>
      <c r="AA24" s="299">
        <v>11476521.4</v>
      </c>
      <c r="AB24" s="299">
        <v>12903177.6</v>
      </c>
      <c r="AC24" s="138">
        <v>14133976.050000001</v>
      </c>
      <c r="AD24" s="138">
        <v>15561327.17</v>
      </c>
      <c r="AE24" s="138">
        <v>17191888.219999999</v>
      </c>
      <c r="AF24" s="138">
        <f>13792882+306810+1503186+310942+153545+133700+32900+46800+740973+68682</f>
        <v>17090420</v>
      </c>
      <c r="AG24" s="360">
        <v>18423480.899999999</v>
      </c>
      <c r="AH24" s="360">
        <v>2564580.2000000002</v>
      </c>
      <c r="AI24" s="360">
        <v>5856853.7999999998</v>
      </c>
      <c r="AJ24" s="360">
        <v>6787767.0999999996</v>
      </c>
      <c r="AK24" s="360">
        <v>7993967.5</v>
      </c>
      <c r="AL24" s="360">
        <v>9262732</v>
      </c>
      <c r="AM24" s="360"/>
      <c r="AN24" s="360">
        <v>11780946.4</v>
      </c>
      <c r="AO24" s="360">
        <v>13055867.1</v>
      </c>
      <c r="AP24" s="360">
        <v>14432205.6</v>
      </c>
      <c r="AQ24" s="360">
        <v>15714161.199999999</v>
      </c>
      <c r="AR24" s="360">
        <v>17464496.199999999</v>
      </c>
      <c r="AS24" s="403">
        <f>13706318+51050+2015183+495167+119752+129230+2375+47800+775937+82089</f>
        <v>17424901</v>
      </c>
      <c r="AT24" s="360">
        <v>8232730.9000000004</v>
      </c>
      <c r="AU24" s="360">
        <v>1475691.8</v>
      </c>
      <c r="AV24" s="360">
        <v>2222564.7999999998</v>
      </c>
      <c r="AW24" s="360">
        <v>2998247.4</v>
      </c>
      <c r="AX24" s="360">
        <v>3782804.9</v>
      </c>
      <c r="AY24" s="360">
        <v>4582442.9000000004</v>
      </c>
      <c r="AZ24" s="360">
        <v>5574903.2000000002</v>
      </c>
      <c r="BA24" s="360">
        <v>6343689.5999999996</v>
      </c>
      <c r="BB24" s="360">
        <v>7061362.5999999996</v>
      </c>
      <c r="BC24" s="360">
        <v>7779307.9000000004</v>
      </c>
      <c r="BD24" s="360">
        <v>8583538.6999999993</v>
      </c>
      <c r="BE24" s="360">
        <v>9671326.6999999993</v>
      </c>
      <c r="BF24" s="413">
        <f>2280054+2948588+3937543</f>
        <v>9166185</v>
      </c>
      <c r="BG24" s="172">
        <v>791430.9</v>
      </c>
      <c r="BH24" s="172">
        <v>1749233.4</v>
      </c>
      <c r="BI24" s="172">
        <v>2582000.7000000002</v>
      </c>
      <c r="BJ24" s="172">
        <v>3352100.2</v>
      </c>
      <c r="BK24" s="172">
        <v>4168959</v>
      </c>
      <c r="BL24" s="172">
        <v>5041893.9000000004</v>
      </c>
      <c r="BM24" s="172">
        <v>5878537.7999999998</v>
      </c>
      <c r="BN24" s="172">
        <v>6667869.2000000002</v>
      </c>
      <c r="BO24" s="172">
        <v>7568864.5</v>
      </c>
      <c r="BP24" s="172">
        <v>8385331.2000000002</v>
      </c>
      <c r="BQ24" s="172">
        <v>9244262.4000000004</v>
      </c>
      <c r="BR24" s="172">
        <v>10134324.9</v>
      </c>
      <c r="BS24" s="377">
        <f>2389700+3098272+4646354</f>
        <v>10134326</v>
      </c>
      <c r="BT24" s="443">
        <v>899139</v>
      </c>
      <c r="BU24" s="445">
        <v>1821427.1</v>
      </c>
      <c r="BV24" s="445">
        <v>2757786.2</v>
      </c>
      <c r="BW24" s="445">
        <v>3784129.8</v>
      </c>
      <c r="BX24" s="443">
        <v>4801570.9000000004</v>
      </c>
      <c r="BY24" s="488">
        <v>5905444.5</v>
      </c>
    </row>
    <row r="25" spans="1:77" ht="15">
      <c r="A25" s="170" t="s">
        <v>160</v>
      </c>
      <c r="B25" s="242">
        <v>2080088</v>
      </c>
      <c r="C25" s="243">
        <v>2435008</v>
      </c>
      <c r="D25" s="244">
        <v>2196237.5699999998</v>
      </c>
      <c r="E25" s="244">
        <v>77350.2</v>
      </c>
      <c r="F25" s="244">
        <v>442903.98</v>
      </c>
      <c r="G25" s="244">
        <v>497268.95</v>
      </c>
      <c r="H25" s="244">
        <v>573878.63</v>
      </c>
      <c r="I25" s="244">
        <v>724026.09</v>
      </c>
      <c r="J25" s="137">
        <v>876615.76</v>
      </c>
      <c r="K25" s="137">
        <v>1050745.1200000001</v>
      </c>
      <c r="L25" s="137">
        <v>1253139.6100000001</v>
      </c>
      <c r="M25" s="137">
        <v>1277639.6100000001</v>
      </c>
      <c r="N25" s="137">
        <v>1859655.69</v>
      </c>
      <c r="O25" s="137">
        <v>1955338.1</v>
      </c>
      <c r="P25" s="55">
        <v>2327340</v>
      </c>
      <c r="Q25" s="219">
        <v>2165084</v>
      </c>
      <c r="R25" s="137">
        <v>2816087.74</v>
      </c>
      <c r="S25" s="137">
        <v>2801808</v>
      </c>
      <c r="T25" s="137">
        <v>3228177.74</v>
      </c>
      <c r="U25" s="137">
        <v>3269867.74</v>
      </c>
      <c r="V25" s="137">
        <v>3905059.02</v>
      </c>
      <c r="W25" s="137">
        <v>1358405</v>
      </c>
      <c r="X25" s="137">
        <v>1634544.8</v>
      </c>
      <c r="Y25" s="137">
        <v>1777427.99</v>
      </c>
      <c r="Z25" s="137">
        <v>2170312.06</v>
      </c>
      <c r="AA25" s="137">
        <v>2465588.9</v>
      </c>
      <c r="AB25" s="137">
        <v>2572579.42</v>
      </c>
      <c r="AC25" s="137">
        <v>2649847.66</v>
      </c>
      <c r="AD25" s="137">
        <v>3265242.74</v>
      </c>
      <c r="AE25" s="137">
        <v>3344878.18</v>
      </c>
      <c r="AF25" s="137">
        <f>557475+794622+203765+1345768+439448+300000</f>
        <v>3641078</v>
      </c>
      <c r="AG25" s="360">
        <v>3547637.5</v>
      </c>
      <c r="AH25" s="360">
        <v>789237.32</v>
      </c>
      <c r="AI25" s="360">
        <v>1163637.32</v>
      </c>
      <c r="AJ25" s="360">
        <v>1381037.32</v>
      </c>
      <c r="AK25" s="360">
        <v>1565737.32</v>
      </c>
      <c r="AL25" s="360">
        <v>1811737.32</v>
      </c>
      <c r="AM25" s="360"/>
      <c r="AN25" s="360">
        <v>2203347.3199999998</v>
      </c>
      <c r="AO25" s="360">
        <v>2413347.3199999998</v>
      </c>
      <c r="AP25" s="360">
        <v>2592347.3199999998</v>
      </c>
      <c r="AQ25" s="360">
        <v>2939069.32</v>
      </c>
      <c r="AR25" s="360">
        <v>3439219.32</v>
      </c>
      <c r="AS25" s="402">
        <f>293232+95850+2355809+694328</f>
        <v>3439219</v>
      </c>
      <c r="AT25" s="360">
        <v>3260146.16</v>
      </c>
      <c r="AU25" s="360">
        <v>417406.45</v>
      </c>
      <c r="AV25" s="360">
        <v>951626.45</v>
      </c>
      <c r="AW25" s="360">
        <v>1155526.45</v>
      </c>
      <c r="AX25" s="360">
        <v>1352126.45</v>
      </c>
      <c r="AY25" s="360">
        <v>1551066.45</v>
      </c>
      <c r="AZ25" s="360">
        <v>1733066.45</v>
      </c>
      <c r="BA25" s="360">
        <v>1852266.45</v>
      </c>
      <c r="BB25" s="360">
        <v>1937960.13</v>
      </c>
      <c r="BC25" s="360">
        <v>2105170.13</v>
      </c>
      <c r="BD25" s="360">
        <v>2329200.13</v>
      </c>
      <c r="BE25" s="360">
        <v>3197560.13</v>
      </c>
      <c r="BF25" s="413">
        <f>32340+133190+1581110+1509975</f>
        <v>3256615</v>
      </c>
      <c r="BG25" s="172">
        <v>244910</v>
      </c>
      <c r="BH25" s="172">
        <v>764900</v>
      </c>
      <c r="BI25" s="172">
        <v>1549946.2</v>
      </c>
      <c r="BJ25" s="172">
        <v>1736687.2</v>
      </c>
      <c r="BK25" s="172">
        <v>2063347.2</v>
      </c>
      <c r="BL25" s="172">
        <v>2163117.2000000002</v>
      </c>
      <c r="BM25" s="172">
        <v>2323097.2000000002</v>
      </c>
      <c r="BN25" s="172">
        <v>2440407.2000000002</v>
      </c>
      <c r="BO25" s="172">
        <v>2571627.2000000002</v>
      </c>
      <c r="BP25" s="172">
        <v>2769434.2</v>
      </c>
      <c r="BQ25" s="172">
        <v>2923497.2</v>
      </c>
      <c r="BR25" s="172">
        <v>3732967.2</v>
      </c>
      <c r="BS25" s="377">
        <f>36000+181221+2061075+1767201</f>
        <v>4045497</v>
      </c>
      <c r="BT25" s="447">
        <v>186910</v>
      </c>
      <c r="BU25" s="449">
        <v>415940</v>
      </c>
      <c r="BV25" s="449">
        <v>1761610</v>
      </c>
      <c r="BW25" s="449">
        <v>1801320</v>
      </c>
      <c r="BX25" s="447">
        <v>2077785</v>
      </c>
      <c r="BY25" s="490">
        <v>2498185</v>
      </c>
    </row>
    <row r="26" spans="1:77" ht="15">
      <c r="A26" s="170" t="s">
        <v>261</v>
      </c>
      <c r="B26" s="242">
        <v>501573</v>
      </c>
      <c r="C26" s="243">
        <v>620436</v>
      </c>
      <c r="D26" s="244">
        <v>533886</v>
      </c>
      <c r="E26" s="244">
        <v>7650</v>
      </c>
      <c r="F26" s="244">
        <v>11000</v>
      </c>
      <c r="G26" s="244">
        <v>28900</v>
      </c>
      <c r="H26" s="244">
        <v>51400</v>
      </c>
      <c r="I26" s="244">
        <v>60700</v>
      </c>
      <c r="J26" s="137">
        <v>74750</v>
      </c>
      <c r="K26" s="137">
        <v>104700</v>
      </c>
      <c r="L26" s="137">
        <v>122150</v>
      </c>
      <c r="M26" s="137">
        <v>206800</v>
      </c>
      <c r="N26" s="137">
        <v>220900</v>
      </c>
      <c r="O26" s="137">
        <v>235500</v>
      </c>
      <c r="P26" s="55">
        <v>335400</v>
      </c>
      <c r="Q26" s="127">
        <v>292519</v>
      </c>
      <c r="R26" s="137">
        <v>822305</v>
      </c>
      <c r="S26" s="137">
        <v>807785</v>
      </c>
      <c r="T26" s="137">
        <v>780015</v>
      </c>
      <c r="U26" s="137">
        <v>783045</v>
      </c>
      <c r="V26" s="137">
        <v>1300645</v>
      </c>
      <c r="W26" s="137">
        <v>599370</v>
      </c>
      <c r="X26" s="137">
        <v>620940</v>
      </c>
      <c r="Y26" s="137">
        <v>662140</v>
      </c>
      <c r="Z26" s="137">
        <v>885385</v>
      </c>
      <c r="AA26" s="137">
        <v>979735</v>
      </c>
      <c r="AB26" s="137">
        <v>1020905</v>
      </c>
      <c r="AC26" s="137">
        <v>1041590</v>
      </c>
      <c r="AD26" s="137">
        <v>1058430</v>
      </c>
      <c r="AE26" s="137">
        <v>1085430</v>
      </c>
      <c r="AF26" s="137">
        <f>1535430+100000</f>
        <v>1635430</v>
      </c>
      <c r="AG26" s="360">
        <v>1570570.07</v>
      </c>
      <c r="AH26" s="360">
        <v>344040</v>
      </c>
      <c r="AI26" s="360">
        <v>385948</v>
      </c>
      <c r="AJ26" s="360">
        <v>509448</v>
      </c>
      <c r="AK26" s="360">
        <v>514938</v>
      </c>
      <c r="AL26" s="360">
        <v>528448</v>
      </c>
      <c r="AM26" s="360"/>
      <c r="AN26" s="360">
        <v>787567</v>
      </c>
      <c r="AO26" s="360">
        <v>849757</v>
      </c>
      <c r="AP26" s="360">
        <v>936282</v>
      </c>
      <c r="AQ26" s="360">
        <v>956592</v>
      </c>
      <c r="AR26" s="360">
        <v>991702</v>
      </c>
      <c r="AS26" s="402">
        <v>993702</v>
      </c>
      <c r="AT26" s="360">
        <v>411100</v>
      </c>
      <c r="AU26" s="360">
        <v>447280</v>
      </c>
      <c r="AV26" s="360">
        <v>486695</v>
      </c>
      <c r="AW26" s="360">
        <v>512825</v>
      </c>
      <c r="AX26" s="360">
        <v>519825</v>
      </c>
      <c r="AY26" s="360">
        <v>538545</v>
      </c>
      <c r="AZ26" s="360">
        <v>552505</v>
      </c>
      <c r="BA26" s="360">
        <v>655307</v>
      </c>
      <c r="BB26" s="360">
        <v>676787</v>
      </c>
      <c r="BC26" s="360">
        <v>715717</v>
      </c>
      <c r="BD26" s="360">
        <v>815157</v>
      </c>
      <c r="BE26" s="360">
        <v>917957</v>
      </c>
      <c r="BF26" s="413">
        <f>601622+5000+1000</f>
        <v>607622</v>
      </c>
      <c r="BG26" s="172">
        <v>2000</v>
      </c>
      <c r="BH26" s="172">
        <v>584978</v>
      </c>
      <c r="BI26" s="172">
        <v>1043378</v>
      </c>
      <c r="BJ26" s="172">
        <v>1084183</v>
      </c>
      <c r="BK26" s="172">
        <v>1237323</v>
      </c>
      <c r="BL26" s="172">
        <v>1518318</v>
      </c>
      <c r="BM26" s="172">
        <v>1546598</v>
      </c>
      <c r="BN26" s="172">
        <v>1644408</v>
      </c>
      <c r="BO26" s="172">
        <v>1644408</v>
      </c>
      <c r="BP26" s="172">
        <v>1679098</v>
      </c>
      <c r="BQ26" s="172">
        <v>1730608</v>
      </c>
      <c r="BR26" s="172">
        <v>2467408</v>
      </c>
      <c r="BS26" s="377">
        <f>1754178</f>
        <v>1754178</v>
      </c>
      <c r="BT26" s="447">
        <v>253130</v>
      </c>
      <c r="BU26" s="449">
        <v>498810</v>
      </c>
      <c r="BV26" s="449">
        <v>960805</v>
      </c>
      <c r="BW26" s="449">
        <v>1007605</v>
      </c>
      <c r="BX26" s="447">
        <v>1047775</v>
      </c>
      <c r="BY26" s="490">
        <v>1070095</v>
      </c>
    </row>
    <row r="27" spans="1:77" ht="15">
      <c r="A27" s="170" t="s">
        <v>262</v>
      </c>
      <c r="B27" s="242">
        <v>2078503</v>
      </c>
      <c r="C27" s="243">
        <v>1700323</v>
      </c>
      <c r="D27" s="244">
        <v>1892150.77</v>
      </c>
      <c r="E27" s="244">
        <v>383624.76</v>
      </c>
      <c r="F27" s="244">
        <v>557706.14</v>
      </c>
      <c r="G27" s="244">
        <v>729944.78</v>
      </c>
      <c r="H27" s="244">
        <v>902152.23</v>
      </c>
      <c r="I27" s="244">
        <v>1074329.3500000001</v>
      </c>
      <c r="J27" s="137">
        <v>1232471.28</v>
      </c>
      <c r="K27" s="137">
        <v>1384582.09</v>
      </c>
      <c r="L27" s="137">
        <v>1536665.23</v>
      </c>
      <c r="M27" s="137">
        <v>1688721.4</v>
      </c>
      <c r="N27" s="137">
        <v>1817476.51</v>
      </c>
      <c r="O27" s="137">
        <v>1934097.87</v>
      </c>
      <c r="P27" s="55">
        <v>1712064</v>
      </c>
      <c r="Q27" s="137">
        <v>1590337.88</v>
      </c>
      <c r="R27" s="137">
        <v>2671325.69</v>
      </c>
      <c r="S27" s="137">
        <v>2671326</v>
      </c>
      <c r="T27" s="137">
        <v>2671325.69</v>
      </c>
      <c r="U27" s="137">
        <v>2671325.69</v>
      </c>
      <c r="V27" s="137">
        <v>2821938.13</v>
      </c>
      <c r="W27" s="137">
        <v>782293.12</v>
      </c>
      <c r="X27" s="137">
        <v>977192.83</v>
      </c>
      <c r="Y27" s="137">
        <v>1199064.04</v>
      </c>
      <c r="Z27" s="137">
        <v>1427153.53</v>
      </c>
      <c r="AA27" s="137">
        <v>1654077.15</v>
      </c>
      <c r="AB27" s="137">
        <v>1872599.18</v>
      </c>
      <c r="AC27" s="137">
        <v>2097316.5299999998</v>
      </c>
      <c r="AD27" s="137">
        <v>2313758.09</v>
      </c>
      <c r="AE27" s="137">
        <v>2536380.54</v>
      </c>
      <c r="AF27" s="137">
        <f>663828+1519407</f>
        <v>2183235</v>
      </c>
      <c r="AG27" s="360">
        <v>2552854.0499999998</v>
      </c>
      <c r="AH27" s="360">
        <v>224610.26</v>
      </c>
      <c r="AI27" s="360">
        <v>341117.19</v>
      </c>
      <c r="AJ27" s="360">
        <v>452908.39</v>
      </c>
      <c r="AK27" s="360">
        <v>567461.18999999994</v>
      </c>
      <c r="AL27" s="360">
        <v>711883.01</v>
      </c>
      <c r="AM27" s="360"/>
      <c r="AN27" s="360">
        <v>999423.54</v>
      </c>
      <c r="AO27" s="360">
        <v>1127639.05</v>
      </c>
      <c r="AP27" s="360">
        <v>1259184.6399999999</v>
      </c>
      <c r="AQ27" s="360">
        <v>1394663.11</v>
      </c>
      <c r="AR27" s="360">
        <v>1535121.52</v>
      </c>
      <c r="AS27" s="402">
        <f>682585+852537</f>
        <v>1535122</v>
      </c>
      <c r="AT27" s="360">
        <v>2227029.13</v>
      </c>
      <c r="AU27" s="360">
        <v>252934.78</v>
      </c>
      <c r="AV27" s="360">
        <v>397515.81</v>
      </c>
      <c r="AW27" s="360">
        <v>543017.34</v>
      </c>
      <c r="AX27" s="360">
        <v>678312.87</v>
      </c>
      <c r="AY27" s="360">
        <v>804959.57</v>
      </c>
      <c r="AZ27" s="360">
        <v>949341.47</v>
      </c>
      <c r="BA27" s="360">
        <v>1084699.5</v>
      </c>
      <c r="BB27" s="360">
        <v>1220057.53</v>
      </c>
      <c r="BC27" s="360">
        <v>1355415.56</v>
      </c>
      <c r="BD27" s="360">
        <v>1490773.59</v>
      </c>
      <c r="BE27" s="360">
        <v>1626131.62</v>
      </c>
      <c r="BF27" s="413">
        <f>542036+542036+542060</f>
        <v>1626132</v>
      </c>
      <c r="BG27" s="172">
        <v>118739.6</v>
      </c>
      <c r="BH27" s="172">
        <v>239562.53</v>
      </c>
      <c r="BI27" s="172">
        <v>359343.8</v>
      </c>
      <c r="BJ27" s="172">
        <v>479125.07</v>
      </c>
      <c r="BK27" s="172">
        <v>603955.81999999995</v>
      </c>
      <c r="BL27" s="172">
        <v>724746.99</v>
      </c>
      <c r="BM27" s="172">
        <v>862005.66</v>
      </c>
      <c r="BN27" s="172">
        <v>985149.33</v>
      </c>
      <c r="BO27" s="172">
        <v>1108293</v>
      </c>
      <c r="BP27" s="172">
        <v>1231436.67</v>
      </c>
      <c r="BQ27" s="172">
        <v>1354580.34</v>
      </c>
      <c r="BR27" s="172">
        <v>1514224.01</v>
      </c>
      <c r="BS27" s="377">
        <f>504741+509061</f>
        <v>1013802</v>
      </c>
      <c r="BT27" s="447">
        <v>112048.19</v>
      </c>
      <c r="BU27" s="449">
        <v>224096.38</v>
      </c>
      <c r="BV27" s="449">
        <v>336144.57</v>
      </c>
      <c r="BW27" s="449">
        <v>448192.76</v>
      </c>
      <c r="BX27" s="447">
        <v>560240.94999999995</v>
      </c>
      <c r="BY27" s="490">
        <v>672289.14</v>
      </c>
    </row>
    <row r="28" spans="1:77" ht="15">
      <c r="A28" s="170" t="s">
        <v>159</v>
      </c>
      <c r="B28" s="242">
        <v>14920738</v>
      </c>
      <c r="C28" s="243">
        <v>8491899</v>
      </c>
      <c r="D28" s="244">
        <v>5624661.29</v>
      </c>
      <c r="E28" s="244">
        <v>620870.64</v>
      </c>
      <c r="F28" s="244">
        <v>1031881.26</v>
      </c>
      <c r="G28" s="244">
        <v>1309180.24</v>
      </c>
      <c r="H28" s="244">
        <v>1503231.98</v>
      </c>
      <c r="I28" s="244">
        <v>1982196.94</v>
      </c>
      <c r="J28" s="137">
        <v>2301672.17</v>
      </c>
      <c r="K28" s="137">
        <v>2502638.48</v>
      </c>
      <c r="L28" s="137">
        <v>2961680.69</v>
      </c>
      <c r="M28" s="137">
        <v>3451262.95</v>
      </c>
      <c r="N28" s="137">
        <v>3668056.48</v>
      </c>
      <c r="O28" s="137">
        <v>4185622.9</v>
      </c>
      <c r="P28" s="55">
        <f>3151354+4361202</f>
        <v>7512556</v>
      </c>
      <c r="Q28" s="219">
        <f>485900+3199971+4323716</f>
        <v>8009587</v>
      </c>
      <c r="R28" s="137">
        <v>8187405.6100000003</v>
      </c>
      <c r="S28" s="137">
        <f>3489709+7663657</f>
        <v>11153366</v>
      </c>
      <c r="T28" s="137">
        <v>9045968.0899999999</v>
      </c>
      <c r="U28" s="137">
        <v>9647663.5600000005</v>
      </c>
      <c r="V28" s="137">
        <v>11226058.73</v>
      </c>
      <c r="W28" s="137">
        <v>3509325.13</v>
      </c>
      <c r="X28" s="137">
        <v>8132050.6299999999</v>
      </c>
      <c r="Y28" s="137">
        <v>9257271.5299999993</v>
      </c>
      <c r="Z28" s="137">
        <v>8034161.0199999996</v>
      </c>
      <c r="AA28" s="137">
        <v>8547123.2599999998</v>
      </c>
      <c r="AB28" s="137">
        <v>10189284</v>
      </c>
      <c r="AC28" s="137">
        <v>10857030.949999999</v>
      </c>
      <c r="AD28" s="137">
        <v>11434248.92</v>
      </c>
      <c r="AE28" s="137">
        <v>12202112.939999999</v>
      </c>
      <c r="AF28" s="137">
        <f>402369+230487+592352+152980+307315+659186+16499+34750+318320+60575+191750+16000+806419+1587674+94830+64308+116667+1327040+30000+945697+763123+500000+347290+45050+99805+299486+649842+328700+43760+25000+1920+2825817</f>
        <v>13885011</v>
      </c>
      <c r="AG28" s="360">
        <v>12843117.609999999</v>
      </c>
      <c r="AH28" s="360">
        <v>1432091.06</v>
      </c>
      <c r="AI28" s="360">
        <v>2083999.03</v>
      </c>
      <c r="AJ28" s="360">
        <v>2769251.63</v>
      </c>
      <c r="AK28" s="360">
        <v>3445102.14</v>
      </c>
      <c r="AL28" s="360">
        <v>4461787.75</v>
      </c>
      <c r="AM28" s="360"/>
      <c r="AN28" s="360">
        <v>8202445.5499999998</v>
      </c>
      <c r="AO28" s="360">
        <v>9077861.5800000001</v>
      </c>
      <c r="AP28" s="360">
        <v>10280312.25</v>
      </c>
      <c r="AQ28" s="360">
        <v>11249962.039999999</v>
      </c>
      <c r="AR28" s="360">
        <v>12154796.029999999</v>
      </c>
      <c r="AS28" s="402">
        <f>336367+253271+533017+230000+193640+744018+22887+94224+43125+177040+89795+781764+705442+119007+183333+1318520+22485+2664738+723581+237500+6840+2928359+211770+74753+150950+338688+67427+30000+10000+200000</f>
        <v>13492541</v>
      </c>
      <c r="AT28" s="360">
        <v>8560052.9299999997</v>
      </c>
      <c r="AU28" s="360">
        <v>882857</v>
      </c>
      <c r="AV28" s="360">
        <v>1102117</v>
      </c>
      <c r="AW28" s="360">
        <v>1223867</v>
      </c>
      <c r="AX28" s="360">
        <v>1739668</v>
      </c>
      <c r="AY28" s="360">
        <v>2286689</v>
      </c>
      <c r="AZ28" s="360">
        <v>2493404</v>
      </c>
      <c r="BA28" s="360">
        <v>3170532.93</v>
      </c>
      <c r="BB28" s="360">
        <v>3561657.93</v>
      </c>
      <c r="BC28" s="360">
        <v>3683357.93</v>
      </c>
      <c r="BD28" s="360">
        <v>4362141.93</v>
      </c>
      <c r="BE28" s="360">
        <v>7780681.9299999997</v>
      </c>
      <c r="BF28" s="413">
        <f>(1760924+1851870+7390369)-(1000+542036+5000+542036+542060)</f>
        <v>9371031</v>
      </c>
      <c r="BG28" s="172">
        <v>461427</v>
      </c>
      <c r="BH28" s="407">
        <v>875879</v>
      </c>
      <c r="BI28" s="172">
        <v>2121878</v>
      </c>
      <c r="BJ28" s="172">
        <v>2714358</v>
      </c>
      <c r="BK28" s="172">
        <v>3444290</v>
      </c>
      <c r="BL28" s="172">
        <v>4179331.15</v>
      </c>
      <c r="BM28" s="172">
        <v>4997083.1500000004</v>
      </c>
      <c r="BN28" s="172">
        <v>5615719.1500000004</v>
      </c>
      <c r="BO28" s="172">
        <v>6119612.1500000004</v>
      </c>
      <c r="BP28" s="172">
        <v>6788103.1500000004</v>
      </c>
      <c r="BQ28" s="172">
        <v>7304797.1500000004</v>
      </c>
      <c r="BR28" s="172">
        <v>5209592.1500000004</v>
      </c>
      <c r="BS28" s="377">
        <f>(2135695+2176925+3687954)-BS27</f>
        <v>6986772</v>
      </c>
      <c r="BT28" s="447">
        <v>303475</v>
      </c>
      <c r="BU28" s="449">
        <v>1917933</v>
      </c>
      <c r="BV28" s="449">
        <v>2226648</v>
      </c>
      <c r="BW28" s="449">
        <v>2516935</v>
      </c>
      <c r="BX28" s="447">
        <v>3254481</v>
      </c>
      <c r="BY28" s="490">
        <v>4128601.17</v>
      </c>
    </row>
    <row r="29" spans="1:77" s="175" customFormat="1" ht="15">
      <c r="A29" s="169" t="s">
        <v>263</v>
      </c>
      <c r="B29" s="246" t="e">
        <f t="shared" ref="B29:BD29" si="29">B19-B20-B23</f>
        <v>#REF!</v>
      </c>
      <c r="C29" s="246" t="e">
        <f t="shared" si="29"/>
        <v>#REF!</v>
      </c>
      <c r="D29" s="246" t="e">
        <f t="shared" si="29"/>
        <v>#REF!</v>
      </c>
      <c r="E29" s="246" t="e">
        <f t="shared" si="29"/>
        <v>#REF!</v>
      </c>
      <c r="F29" s="246" t="e">
        <f t="shared" si="29"/>
        <v>#REF!</v>
      </c>
      <c r="G29" s="246" t="e">
        <f t="shared" si="29"/>
        <v>#REF!</v>
      </c>
      <c r="H29" s="246" t="e">
        <f t="shared" si="29"/>
        <v>#REF!</v>
      </c>
      <c r="I29" s="246" t="e">
        <f t="shared" si="29"/>
        <v>#REF!</v>
      </c>
      <c r="J29" s="246" t="e">
        <f t="shared" si="29"/>
        <v>#REF!</v>
      </c>
      <c r="K29" s="246" t="e">
        <f t="shared" si="29"/>
        <v>#REF!</v>
      </c>
      <c r="L29" s="246" t="e">
        <f t="shared" si="29"/>
        <v>#REF!</v>
      </c>
      <c r="M29" s="246" t="e">
        <f t="shared" si="29"/>
        <v>#REF!</v>
      </c>
      <c r="N29" s="246" t="e">
        <f t="shared" si="29"/>
        <v>#REF!</v>
      </c>
      <c r="O29" s="246" t="e">
        <f t="shared" si="29"/>
        <v>#REF!</v>
      </c>
      <c r="P29" s="246" t="e">
        <f t="shared" si="29"/>
        <v>#REF!</v>
      </c>
      <c r="Q29" s="179">
        <f t="shared" si="29"/>
        <v>13287135.120000001</v>
      </c>
      <c r="R29" s="179">
        <f t="shared" si="29"/>
        <v>72272510.00999999</v>
      </c>
      <c r="S29" s="179">
        <f t="shared" si="29"/>
        <v>19680533</v>
      </c>
      <c r="T29" s="179">
        <f t="shared" si="29"/>
        <v>77120603.86999999</v>
      </c>
      <c r="U29" s="179">
        <f t="shared" si="29"/>
        <v>84603767.73999998</v>
      </c>
      <c r="V29" s="179">
        <f t="shared" si="29"/>
        <v>88197508.860000014</v>
      </c>
      <c r="W29" s="179">
        <f t="shared" si="29"/>
        <v>22480726.41</v>
      </c>
      <c r="X29" s="179">
        <f t="shared" si="29"/>
        <v>24619680.760000002</v>
      </c>
      <c r="Y29" s="179">
        <f t="shared" si="29"/>
        <v>33683442.150000006</v>
      </c>
      <c r="Z29" s="298">
        <f t="shared" si="29"/>
        <v>42034353.100000001</v>
      </c>
      <c r="AA29" s="298">
        <f t="shared" si="29"/>
        <v>49765271.170000009</v>
      </c>
      <c r="AB29" s="298">
        <f t="shared" si="29"/>
        <v>50312065.200000003</v>
      </c>
      <c r="AC29" s="179">
        <f t="shared" si="29"/>
        <v>58030458.620000005</v>
      </c>
      <c r="AD29" s="179">
        <f t="shared" si="29"/>
        <v>64332637.200000003</v>
      </c>
      <c r="AE29" s="179">
        <f t="shared" si="29"/>
        <v>73166962.5</v>
      </c>
      <c r="AF29" s="179">
        <f t="shared" si="29"/>
        <v>16791656</v>
      </c>
      <c r="AG29" s="179">
        <f t="shared" si="29"/>
        <v>78559516.969999999</v>
      </c>
      <c r="AH29" s="179">
        <f t="shared" si="29"/>
        <v>11128672.049999999</v>
      </c>
      <c r="AI29" s="179">
        <f t="shared" si="29"/>
        <v>15764299.050000001</v>
      </c>
      <c r="AJ29" s="179">
        <f t="shared" si="29"/>
        <v>26360843.779999997</v>
      </c>
      <c r="AK29" s="179">
        <f t="shared" si="29"/>
        <v>32722048.899999999</v>
      </c>
      <c r="AL29" s="179">
        <f t="shared" si="29"/>
        <v>39127312.479999989</v>
      </c>
      <c r="AM29" s="179">
        <f t="shared" si="29"/>
        <v>0</v>
      </c>
      <c r="AN29" s="179">
        <f t="shared" si="29"/>
        <v>51418154.670000002</v>
      </c>
      <c r="AO29" s="179">
        <f t="shared" si="29"/>
        <v>54624460.060000002</v>
      </c>
      <c r="AP29" s="179">
        <f t="shared" si="29"/>
        <v>63215724.319999993</v>
      </c>
      <c r="AQ29" s="179">
        <f t="shared" si="29"/>
        <v>69270033.590000004</v>
      </c>
      <c r="AR29" s="179">
        <f t="shared" si="29"/>
        <v>76272050.120000005</v>
      </c>
      <c r="AS29" s="401">
        <f t="shared" si="29"/>
        <v>11596726</v>
      </c>
      <c r="AT29" s="401">
        <f t="shared" si="29"/>
        <v>16445999.679999996</v>
      </c>
      <c r="AU29" s="401">
        <f t="shared" si="29"/>
        <v>-240990.62000000058</v>
      </c>
      <c r="AV29" s="401">
        <f t="shared" si="29"/>
        <v>2261584.8099999987</v>
      </c>
      <c r="AW29" s="401">
        <f t="shared" si="29"/>
        <v>10655441.110000005</v>
      </c>
      <c r="AX29" s="401">
        <f t="shared" si="29"/>
        <v>13382669.859999999</v>
      </c>
      <c r="AY29" s="401">
        <f t="shared" si="29"/>
        <v>14655498.119999997</v>
      </c>
      <c r="AZ29" s="401">
        <f t="shared" si="29"/>
        <v>16476533.629999995</v>
      </c>
      <c r="BA29" s="401">
        <f t="shared" si="29"/>
        <v>17926787.75</v>
      </c>
      <c r="BB29" s="401">
        <f t="shared" si="29"/>
        <v>20872776.030000001</v>
      </c>
      <c r="BC29" s="401">
        <f t="shared" si="29"/>
        <v>23138578.93999999</v>
      </c>
      <c r="BD29" s="401">
        <f t="shared" si="29"/>
        <v>25839427.27</v>
      </c>
      <c r="BE29" s="401">
        <f>BE19-BE20-BE23</f>
        <v>10166352.230000004</v>
      </c>
      <c r="BF29" s="401">
        <f>BF19-BF20-BF23</f>
        <v>13979985</v>
      </c>
      <c r="BG29" s="401">
        <f t="shared" ref="BG29:BX29" si="30">BG19-BG20-BG23</f>
        <v>2216663.13</v>
      </c>
      <c r="BH29" s="401">
        <f t="shared" si="30"/>
        <v>3243138.4699999997</v>
      </c>
      <c r="BI29" s="401">
        <f t="shared" si="30"/>
        <v>4275162.9799999995</v>
      </c>
      <c r="BJ29" s="401">
        <f t="shared" si="30"/>
        <v>7441043.8699999992</v>
      </c>
      <c r="BK29" s="401">
        <f t="shared" si="30"/>
        <v>7530931.049999997</v>
      </c>
      <c r="BL29" s="401">
        <f t="shared" si="30"/>
        <v>18167452.329999994</v>
      </c>
      <c r="BM29" s="401">
        <f t="shared" si="30"/>
        <v>19626192.659999996</v>
      </c>
      <c r="BN29" s="401">
        <f t="shared" si="30"/>
        <v>22446947.879999995</v>
      </c>
      <c r="BO29" s="401">
        <f t="shared" si="30"/>
        <v>25467743.709999993</v>
      </c>
      <c r="BP29" s="401">
        <f t="shared" si="30"/>
        <v>26817319.089999996</v>
      </c>
      <c r="BQ29" s="401">
        <f t="shared" si="30"/>
        <v>30136070.549999997</v>
      </c>
      <c r="BR29" s="401">
        <f t="shared" si="30"/>
        <v>38430276.579999998</v>
      </c>
      <c r="BS29" s="401">
        <f t="shared" si="30"/>
        <v>26301325</v>
      </c>
      <c r="BT29" s="401">
        <f t="shared" si="30"/>
        <v>-2235513.2799999998</v>
      </c>
      <c r="BU29" s="401">
        <f t="shared" si="30"/>
        <v>-607662.12000000104</v>
      </c>
      <c r="BV29" s="401">
        <f t="shared" si="30"/>
        <v>1477002.8199999994</v>
      </c>
      <c r="BW29" s="401">
        <f t="shared" si="30"/>
        <v>5496839.5700000003</v>
      </c>
      <c r="BX29" s="401">
        <f t="shared" ref="BX29:BY29" si="31">BX19-BX20-BX23</f>
        <v>12988245.270000001</v>
      </c>
      <c r="BY29" s="401">
        <f t="shared" si="31"/>
        <v>26810557.559999987</v>
      </c>
    </row>
    <row r="30" spans="1:77" s="176" customFormat="1" ht="15">
      <c r="A30" s="170" t="s">
        <v>264</v>
      </c>
      <c r="B30" s="249">
        <f t="shared" ref="B30:P30" si="32">B31-B32</f>
        <v>0</v>
      </c>
      <c r="C30" s="249">
        <f t="shared" si="32"/>
        <v>0</v>
      </c>
      <c r="D30" s="249">
        <f t="shared" si="32"/>
        <v>0</v>
      </c>
      <c r="E30" s="249">
        <f t="shared" si="32"/>
        <v>0</v>
      </c>
      <c r="F30" s="249">
        <f t="shared" si="32"/>
        <v>0</v>
      </c>
      <c r="G30" s="249">
        <f t="shared" si="32"/>
        <v>0</v>
      </c>
      <c r="H30" s="249">
        <f t="shared" si="32"/>
        <v>0</v>
      </c>
      <c r="I30" s="249">
        <f t="shared" si="32"/>
        <v>0</v>
      </c>
      <c r="J30" s="249">
        <f t="shared" si="32"/>
        <v>0</v>
      </c>
      <c r="K30" s="249">
        <f t="shared" si="32"/>
        <v>0</v>
      </c>
      <c r="L30" s="249">
        <f t="shared" si="32"/>
        <v>0</v>
      </c>
      <c r="M30" s="249">
        <f t="shared" si="32"/>
        <v>0</v>
      </c>
      <c r="N30" s="249">
        <f t="shared" si="32"/>
        <v>0</v>
      </c>
      <c r="O30" s="249">
        <f t="shared" si="32"/>
        <v>0</v>
      </c>
      <c r="P30" s="249">
        <f t="shared" si="32"/>
        <v>0</v>
      </c>
      <c r="Q30" s="179">
        <f t="shared" ref="Q30:V30" si="33">Q31-Q32</f>
        <v>0</v>
      </c>
      <c r="R30" s="179">
        <f t="shared" si="33"/>
        <v>0</v>
      </c>
      <c r="S30" s="179">
        <f t="shared" si="33"/>
        <v>0</v>
      </c>
      <c r="T30" s="179">
        <f t="shared" si="33"/>
        <v>0</v>
      </c>
      <c r="U30" s="179">
        <f t="shared" si="33"/>
        <v>0</v>
      </c>
      <c r="V30" s="179">
        <f t="shared" si="33"/>
        <v>0</v>
      </c>
      <c r="W30" s="179">
        <f t="shared" ref="W30:AB30" si="34">W31-W32</f>
        <v>0</v>
      </c>
      <c r="X30" s="179">
        <f t="shared" si="34"/>
        <v>0</v>
      </c>
      <c r="Y30" s="179">
        <f t="shared" si="34"/>
        <v>0</v>
      </c>
      <c r="Z30" s="298">
        <f t="shared" si="34"/>
        <v>0</v>
      </c>
      <c r="AA30" s="298">
        <f t="shared" si="34"/>
        <v>0</v>
      </c>
      <c r="AB30" s="298">
        <f t="shared" si="34"/>
        <v>0</v>
      </c>
      <c r="AC30" s="179">
        <f t="shared" ref="AC30:AJ30" si="35">AC31-AC32</f>
        <v>0</v>
      </c>
      <c r="AD30" s="179">
        <f t="shared" si="35"/>
        <v>0</v>
      </c>
      <c r="AE30" s="179">
        <f t="shared" si="35"/>
        <v>0</v>
      </c>
      <c r="AF30" s="179">
        <f t="shared" si="35"/>
        <v>0</v>
      </c>
      <c r="AG30" s="179">
        <f t="shared" si="35"/>
        <v>0</v>
      </c>
      <c r="AH30" s="179">
        <f t="shared" si="35"/>
        <v>0</v>
      </c>
      <c r="AI30" s="179">
        <f t="shared" si="35"/>
        <v>0</v>
      </c>
      <c r="AJ30" s="179">
        <f t="shared" si="35"/>
        <v>0</v>
      </c>
      <c r="AK30" s="179">
        <f t="shared" ref="AK30:BD30" si="36">AK31-AK32</f>
        <v>0</v>
      </c>
      <c r="AL30" s="179">
        <f t="shared" si="36"/>
        <v>0</v>
      </c>
      <c r="AM30" s="179">
        <f t="shared" si="36"/>
        <v>0</v>
      </c>
      <c r="AN30" s="179">
        <f t="shared" si="36"/>
        <v>0</v>
      </c>
      <c r="AO30" s="179">
        <f t="shared" si="36"/>
        <v>0</v>
      </c>
      <c r="AP30" s="179">
        <f t="shared" si="36"/>
        <v>0</v>
      </c>
      <c r="AQ30" s="179">
        <f t="shared" si="36"/>
        <v>0</v>
      </c>
      <c r="AR30" s="179">
        <f t="shared" si="36"/>
        <v>0</v>
      </c>
      <c r="AS30" s="401">
        <f t="shared" si="36"/>
        <v>0</v>
      </c>
      <c r="AT30" s="401">
        <f t="shared" si="36"/>
        <v>0</v>
      </c>
      <c r="AU30" s="401">
        <f t="shared" si="36"/>
        <v>0</v>
      </c>
      <c r="AV30" s="401">
        <f t="shared" si="36"/>
        <v>0</v>
      </c>
      <c r="AW30" s="401">
        <f t="shared" si="36"/>
        <v>0</v>
      </c>
      <c r="AX30" s="401">
        <f t="shared" si="36"/>
        <v>0</v>
      </c>
      <c r="AY30" s="401">
        <f t="shared" si="36"/>
        <v>0</v>
      </c>
      <c r="AZ30" s="401">
        <f t="shared" si="36"/>
        <v>0</v>
      </c>
      <c r="BA30" s="401">
        <f t="shared" si="36"/>
        <v>0</v>
      </c>
      <c r="BB30" s="401">
        <f t="shared" si="36"/>
        <v>0</v>
      </c>
      <c r="BC30" s="401">
        <f t="shared" si="36"/>
        <v>0</v>
      </c>
      <c r="BD30" s="401">
        <f t="shared" si="36"/>
        <v>0</v>
      </c>
      <c r="BE30" s="401">
        <f>BE31-BE32</f>
        <v>0</v>
      </c>
      <c r="BF30" s="401">
        <f>BF31-BF32</f>
        <v>0</v>
      </c>
      <c r="BG30" s="401">
        <f t="shared" ref="BG30:BR30" si="37">BG31-BG32</f>
        <v>0</v>
      </c>
      <c r="BH30" s="401">
        <f t="shared" si="37"/>
        <v>0</v>
      </c>
      <c r="BI30" s="401">
        <f t="shared" si="37"/>
        <v>0</v>
      </c>
      <c r="BJ30" s="401">
        <f t="shared" si="37"/>
        <v>0</v>
      </c>
      <c r="BK30" s="401">
        <f t="shared" si="37"/>
        <v>0</v>
      </c>
      <c r="BL30" s="401">
        <f t="shared" si="37"/>
        <v>0</v>
      </c>
      <c r="BM30" s="401">
        <f t="shared" si="37"/>
        <v>0</v>
      </c>
      <c r="BN30" s="401">
        <f t="shared" si="37"/>
        <v>0</v>
      </c>
      <c r="BO30" s="401">
        <f t="shared" si="37"/>
        <v>0</v>
      </c>
      <c r="BP30" s="401">
        <f t="shared" si="37"/>
        <v>0</v>
      </c>
      <c r="BQ30" s="401">
        <f t="shared" si="37"/>
        <v>0</v>
      </c>
      <c r="BR30" s="401">
        <f t="shared" si="37"/>
        <v>0</v>
      </c>
      <c r="BS30" s="401">
        <f>BS31-BS32</f>
        <v>0</v>
      </c>
      <c r="BT30" s="401">
        <f t="shared" ref="BT30:BX30" si="38">BT31-BT32</f>
        <v>0</v>
      </c>
      <c r="BU30" s="401">
        <f t="shared" si="38"/>
        <v>0</v>
      </c>
      <c r="BV30" s="401">
        <f t="shared" si="38"/>
        <v>0</v>
      </c>
      <c r="BW30" s="401">
        <f t="shared" si="38"/>
        <v>0</v>
      </c>
      <c r="BX30" s="401">
        <f t="shared" ref="BX30:BY30" si="39">BX31-BX32</f>
        <v>0</v>
      </c>
      <c r="BY30" s="401">
        <f t="shared" si="39"/>
        <v>0</v>
      </c>
    </row>
    <row r="31" spans="1:77" ht="15">
      <c r="A31" s="170" t="s">
        <v>265</v>
      </c>
      <c r="B31" s="242"/>
      <c r="C31" s="127"/>
      <c r="D31" s="244"/>
      <c r="E31" s="244">
        <v>0</v>
      </c>
      <c r="F31" s="244">
        <v>0</v>
      </c>
      <c r="G31" s="244"/>
      <c r="H31" s="244"/>
      <c r="I31" s="244"/>
      <c r="J31" s="137"/>
      <c r="K31" s="137"/>
      <c r="L31" s="137"/>
      <c r="M31" s="137"/>
      <c r="N31" s="137"/>
      <c r="O31" s="137"/>
      <c r="P31" s="55"/>
      <c r="Q31" s="127"/>
      <c r="R31" s="137"/>
      <c r="S31" s="137"/>
      <c r="T31" s="137"/>
      <c r="U31" s="137"/>
      <c r="V31" s="137"/>
      <c r="W31" s="137"/>
      <c r="X31" s="137"/>
      <c r="Y31" s="137"/>
      <c r="Z31" s="137"/>
      <c r="AA31" s="137"/>
      <c r="AB31" s="137"/>
      <c r="AC31" s="137"/>
      <c r="AD31" s="137"/>
      <c r="AE31" s="137"/>
      <c r="AF31" s="137"/>
      <c r="AG31" s="137"/>
      <c r="AH31" s="137"/>
      <c r="AI31" s="137"/>
      <c r="AJ31" s="137"/>
      <c r="AK31" s="137"/>
      <c r="AL31" s="137"/>
      <c r="AM31" s="137"/>
      <c r="AN31" s="137"/>
      <c r="AO31" s="137"/>
      <c r="AP31" s="137"/>
      <c r="AQ31" s="137"/>
      <c r="AR31" s="137"/>
      <c r="AS31" s="402"/>
      <c r="AT31" s="360">
        <v>0</v>
      </c>
      <c r="AU31" s="360">
        <v>0</v>
      </c>
      <c r="AV31" s="360">
        <v>0</v>
      </c>
      <c r="AW31" s="360">
        <v>0</v>
      </c>
      <c r="AX31" s="360">
        <v>0</v>
      </c>
      <c r="AY31" s="360">
        <v>0</v>
      </c>
      <c r="AZ31" s="360">
        <v>0</v>
      </c>
      <c r="BA31" s="360">
        <v>0</v>
      </c>
      <c r="BB31" s="360">
        <v>0</v>
      </c>
      <c r="BC31" s="360">
        <v>0</v>
      </c>
      <c r="BD31" s="360">
        <v>0</v>
      </c>
      <c r="BE31" s="360">
        <v>0</v>
      </c>
      <c r="BF31" s="141"/>
      <c r="BT31" s="442">
        <v>0</v>
      </c>
      <c r="BU31" s="444">
        <v>0</v>
      </c>
      <c r="BV31" s="444">
        <v>0</v>
      </c>
      <c r="BW31" s="444">
        <v>0</v>
      </c>
      <c r="BX31" s="442">
        <v>0</v>
      </c>
      <c r="BY31" s="487">
        <v>0</v>
      </c>
    </row>
    <row r="32" spans="1:77" ht="15">
      <c r="A32" s="170" t="s">
        <v>266</v>
      </c>
      <c r="B32" s="242"/>
      <c r="C32" s="127"/>
      <c r="D32" s="244"/>
      <c r="E32" s="244">
        <v>0</v>
      </c>
      <c r="F32" s="244">
        <v>0</v>
      </c>
      <c r="G32" s="244"/>
      <c r="H32" s="244"/>
      <c r="I32" s="244"/>
      <c r="J32" s="137"/>
      <c r="K32" s="137"/>
      <c r="L32" s="137"/>
      <c r="M32" s="137"/>
      <c r="N32" s="137"/>
      <c r="O32" s="137"/>
      <c r="P32" s="55"/>
      <c r="Q32" s="127"/>
      <c r="R32" s="137"/>
      <c r="S32" s="137"/>
      <c r="T32" s="137"/>
      <c r="U32" s="137"/>
      <c r="V32" s="137"/>
      <c r="W32" s="137"/>
      <c r="X32" s="137"/>
      <c r="Y32" s="137"/>
      <c r="Z32" s="137"/>
      <c r="AA32" s="137"/>
      <c r="AB32" s="137"/>
      <c r="AC32" s="137"/>
      <c r="AD32" s="137"/>
      <c r="AE32" s="137"/>
      <c r="AF32" s="137"/>
      <c r="AG32" s="137"/>
      <c r="AH32" s="137"/>
      <c r="AI32" s="137"/>
      <c r="AJ32" s="137"/>
      <c r="AK32" s="137"/>
      <c r="AL32" s="137"/>
      <c r="AM32" s="137"/>
      <c r="AN32" s="137"/>
      <c r="AO32" s="137"/>
      <c r="AP32" s="137"/>
      <c r="AQ32" s="137"/>
      <c r="AR32" s="137"/>
      <c r="AS32" s="402"/>
      <c r="AT32" s="360">
        <v>0</v>
      </c>
      <c r="AU32" s="360">
        <v>0</v>
      </c>
      <c r="AV32" s="360">
        <v>0</v>
      </c>
      <c r="AW32" s="360">
        <v>0</v>
      </c>
      <c r="AX32" s="360">
        <v>0</v>
      </c>
      <c r="AY32" s="360">
        <v>0</v>
      </c>
      <c r="AZ32" s="360">
        <v>0</v>
      </c>
      <c r="BA32" s="360">
        <v>0</v>
      </c>
      <c r="BB32" s="360">
        <v>0</v>
      </c>
      <c r="BC32" s="360">
        <v>0</v>
      </c>
      <c r="BD32" s="360">
        <v>0</v>
      </c>
      <c r="BE32" s="360">
        <v>0</v>
      </c>
      <c r="BF32" s="141"/>
      <c r="BT32" s="446">
        <v>0</v>
      </c>
      <c r="BU32" s="448">
        <v>0</v>
      </c>
      <c r="BV32" s="448">
        <v>0</v>
      </c>
      <c r="BW32" s="448">
        <v>0</v>
      </c>
      <c r="BX32" s="446">
        <v>0</v>
      </c>
      <c r="BY32" s="489">
        <v>0</v>
      </c>
    </row>
    <row r="33" spans="1:77" s="175" customFormat="1" ht="15">
      <c r="A33" s="169" t="s">
        <v>267</v>
      </c>
      <c r="B33" s="246" t="e">
        <f t="shared" ref="B33:BE33" si="40">B29+B30</f>
        <v>#REF!</v>
      </c>
      <c r="C33" s="246" t="e">
        <f t="shared" si="40"/>
        <v>#REF!</v>
      </c>
      <c r="D33" s="246" t="e">
        <f t="shared" si="40"/>
        <v>#REF!</v>
      </c>
      <c r="E33" s="246" t="e">
        <f t="shared" si="40"/>
        <v>#REF!</v>
      </c>
      <c r="F33" s="246" t="e">
        <f t="shared" si="40"/>
        <v>#REF!</v>
      </c>
      <c r="G33" s="246" t="e">
        <f t="shared" si="40"/>
        <v>#REF!</v>
      </c>
      <c r="H33" s="246" t="e">
        <f t="shared" si="40"/>
        <v>#REF!</v>
      </c>
      <c r="I33" s="246" t="e">
        <f t="shared" si="40"/>
        <v>#REF!</v>
      </c>
      <c r="J33" s="246" t="e">
        <f t="shared" si="40"/>
        <v>#REF!</v>
      </c>
      <c r="K33" s="246" t="e">
        <f t="shared" si="40"/>
        <v>#REF!</v>
      </c>
      <c r="L33" s="246" t="e">
        <f t="shared" si="40"/>
        <v>#REF!</v>
      </c>
      <c r="M33" s="246" t="e">
        <f t="shared" si="40"/>
        <v>#REF!</v>
      </c>
      <c r="N33" s="246" t="e">
        <f t="shared" si="40"/>
        <v>#REF!</v>
      </c>
      <c r="O33" s="246" t="e">
        <f t="shared" si="40"/>
        <v>#REF!</v>
      </c>
      <c r="P33" s="239" t="e">
        <f t="shared" si="40"/>
        <v>#REF!</v>
      </c>
      <c r="Q33" s="180">
        <f t="shared" si="40"/>
        <v>13287135.120000001</v>
      </c>
      <c r="R33" s="180">
        <f t="shared" si="40"/>
        <v>72272510.00999999</v>
      </c>
      <c r="S33" s="180">
        <f t="shared" si="40"/>
        <v>19680533</v>
      </c>
      <c r="T33" s="180">
        <f t="shared" si="40"/>
        <v>77120603.86999999</v>
      </c>
      <c r="U33" s="180">
        <f t="shared" si="40"/>
        <v>84603767.73999998</v>
      </c>
      <c r="V33" s="180">
        <f t="shared" si="40"/>
        <v>88197508.860000014</v>
      </c>
      <c r="W33" s="180">
        <f t="shared" si="40"/>
        <v>22480726.41</v>
      </c>
      <c r="X33" s="180">
        <f t="shared" si="40"/>
        <v>24619680.760000002</v>
      </c>
      <c r="Y33" s="180">
        <f t="shared" si="40"/>
        <v>33683442.150000006</v>
      </c>
      <c r="Z33" s="180">
        <f t="shared" si="40"/>
        <v>42034353.100000001</v>
      </c>
      <c r="AA33" s="180">
        <f t="shared" si="40"/>
        <v>49765271.170000009</v>
      </c>
      <c r="AB33" s="180">
        <f t="shared" si="40"/>
        <v>50312065.200000003</v>
      </c>
      <c r="AC33" s="180">
        <f t="shared" si="40"/>
        <v>58030458.620000005</v>
      </c>
      <c r="AD33" s="180">
        <f t="shared" si="40"/>
        <v>64332637.200000003</v>
      </c>
      <c r="AE33" s="180">
        <f t="shared" si="40"/>
        <v>73166962.5</v>
      </c>
      <c r="AF33" s="180">
        <f t="shared" si="40"/>
        <v>16791656</v>
      </c>
      <c r="AG33" s="180">
        <f t="shared" si="40"/>
        <v>78559516.969999999</v>
      </c>
      <c r="AH33" s="180">
        <f t="shared" si="40"/>
        <v>11128672.049999999</v>
      </c>
      <c r="AI33" s="180">
        <f t="shared" si="40"/>
        <v>15764299.050000001</v>
      </c>
      <c r="AJ33" s="180">
        <f t="shared" si="40"/>
        <v>26360843.779999997</v>
      </c>
      <c r="AK33" s="180">
        <f t="shared" si="40"/>
        <v>32722048.899999999</v>
      </c>
      <c r="AL33" s="180">
        <f t="shared" si="40"/>
        <v>39127312.479999989</v>
      </c>
      <c r="AM33" s="180">
        <f t="shared" si="40"/>
        <v>0</v>
      </c>
      <c r="AN33" s="180">
        <f t="shared" si="40"/>
        <v>51418154.670000002</v>
      </c>
      <c r="AO33" s="180">
        <f t="shared" si="40"/>
        <v>54624460.060000002</v>
      </c>
      <c r="AP33" s="180">
        <f t="shared" si="40"/>
        <v>63215724.319999993</v>
      </c>
      <c r="AQ33" s="180">
        <f t="shared" si="40"/>
        <v>69270033.590000004</v>
      </c>
      <c r="AR33" s="180">
        <f t="shared" si="40"/>
        <v>76272050.120000005</v>
      </c>
      <c r="AS33" s="405">
        <f t="shared" si="40"/>
        <v>11596726</v>
      </c>
      <c r="AT33" s="405">
        <f t="shared" si="40"/>
        <v>16445999.679999996</v>
      </c>
      <c r="AU33" s="405">
        <f t="shared" si="40"/>
        <v>-240990.62000000058</v>
      </c>
      <c r="AV33" s="405">
        <f t="shared" si="40"/>
        <v>2261584.8099999987</v>
      </c>
      <c r="AW33" s="405">
        <f t="shared" si="40"/>
        <v>10655441.110000005</v>
      </c>
      <c r="AX33" s="405">
        <f t="shared" si="40"/>
        <v>13382669.859999999</v>
      </c>
      <c r="AY33" s="405">
        <f t="shared" si="40"/>
        <v>14655498.119999997</v>
      </c>
      <c r="AZ33" s="405">
        <f t="shared" si="40"/>
        <v>16476533.629999995</v>
      </c>
      <c r="BA33" s="405">
        <f t="shared" si="40"/>
        <v>17926787.75</v>
      </c>
      <c r="BB33" s="405">
        <f t="shared" si="40"/>
        <v>20872776.030000001</v>
      </c>
      <c r="BC33" s="405">
        <f t="shared" si="40"/>
        <v>23138578.93999999</v>
      </c>
      <c r="BD33" s="405">
        <f t="shared" si="40"/>
        <v>25839427.27</v>
      </c>
      <c r="BE33" s="405">
        <f t="shared" si="40"/>
        <v>10166352.230000004</v>
      </c>
      <c r="BF33" s="405">
        <f>BF29+BF30</f>
        <v>13979985</v>
      </c>
      <c r="BG33" s="405">
        <f t="shared" ref="BG33:BY33" si="41">BG29+BG30</f>
        <v>2216663.13</v>
      </c>
      <c r="BH33" s="405">
        <f t="shared" si="41"/>
        <v>3243138.4699999997</v>
      </c>
      <c r="BI33" s="405">
        <f t="shared" si="41"/>
        <v>4275162.9799999995</v>
      </c>
      <c r="BJ33" s="405">
        <f t="shared" si="41"/>
        <v>7441043.8699999992</v>
      </c>
      <c r="BK33" s="405">
        <f t="shared" si="41"/>
        <v>7530931.049999997</v>
      </c>
      <c r="BL33" s="405">
        <f t="shared" si="41"/>
        <v>18167452.329999994</v>
      </c>
      <c r="BM33" s="405">
        <f t="shared" si="41"/>
        <v>19626192.659999996</v>
      </c>
      <c r="BN33" s="405">
        <f t="shared" si="41"/>
        <v>22446947.879999995</v>
      </c>
      <c r="BO33" s="405">
        <f t="shared" si="41"/>
        <v>25467743.709999993</v>
      </c>
      <c r="BP33" s="405">
        <f t="shared" si="41"/>
        <v>26817319.089999996</v>
      </c>
      <c r="BQ33" s="405">
        <f t="shared" si="41"/>
        <v>30136070.549999997</v>
      </c>
      <c r="BR33" s="405">
        <f t="shared" si="41"/>
        <v>38430276.579999998</v>
      </c>
      <c r="BS33" s="405">
        <f t="shared" si="41"/>
        <v>26301325</v>
      </c>
      <c r="BT33" s="405">
        <f t="shared" si="41"/>
        <v>-2235513.2799999998</v>
      </c>
      <c r="BU33" s="405">
        <f t="shared" si="41"/>
        <v>-607662.12000000104</v>
      </c>
      <c r="BV33" s="405">
        <f t="shared" si="41"/>
        <v>1477002.8199999994</v>
      </c>
      <c r="BW33" s="405">
        <f t="shared" si="41"/>
        <v>5496839.5700000003</v>
      </c>
      <c r="BX33" s="405">
        <f t="shared" si="41"/>
        <v>12988245.270000001</v>
      </c>
      <c r="BY33" s="405">
        <f t="shared" si="41"/>
        <v>26810557.559999987</v>
      </c>
    </row>
    <row r="34" spans="1:77" ht="29.25">
      <c r="A34" s="170" t="s">
        <v>268</v>
      </c>
      <c r="B34" s="242">
        <v>1852719</v>
      </c>
      <c r="C34" s="243">
        <v>886290</v>
      </c>
      <c r="D34" s="247"/>
      <c r="E34" s="247"/>
      <c r="F34" s="247"/>
      <c r="G34" s="247"/>
      <c r="H34" s="247"/>
      <c r="I34" s="247"/>
      <c r="J34" s="138"/>
      <c r="K34" s="138"/>
      <c r="L34" s="138"/>
      <c r="M34" s="138"/>
      <c r="N34" s="138"/>
      <c r="O34" s="138"/>
      <c r="P34" s="55">
        <v>1533973</v>
      </c>
      <c r="Q34" s="141">
        <v>1665875</v>
      </c>
      <c r="R34" s="138"/>
      <c r="S34" s="138">
        <v>3897835</v>
      </c>
      <c r="T34" s="138"/>
      <c r="U34" s="138"/>
      <c r="V34" s="138"/>
      <c r="W34" s="138"/>
      <c r="X34" s="138"/>
      <c r="Y34" s="138"/>
      <c r="Z34" s="299"/>
      <c r="AA34" s="299"/>
      <c r="AB34" s="299"/>
      <c r="AC34" s="138"/>
      <c r="AD34" s="138"/>
      <c r="AE34" s="138"/>
      <c r="AF34" s="138">
        <v>2806926</v>
      </c>
      <c r="AG34" s="138"/>
      <c r="AH34" s="138"/>
      <c r="AI34" s="138"/>
      <c r="AJ34" s="138"/>
      <c r="AK34" s="138"/>
      <c r="AL34" s="138"/>
      <c r="AM34" s="138"/>
      <c r="AN34" s="138"/>
      <c r="AO34" s="138"/>
      <c r="AP34" s="138"/>
      <c r="AQ34" s="138"/>
      <c r="AR34" s="138"/>
      <c r="AS34" s="403">
        <v>3657691</v>
      </c>
      <c r="AT34" s="360">
        <v>409668</v>
      </c>
      <c r="AU34" s="360">
        <v>0</v>
      </c>
      <c r="AV34" s="360">
        <v>0</v>
      </c>
      <c r="AW34" s="360">
        <v>0</v>
      </c>
      <c r="AX34" s="360">
        <v>0</v>
      </c>
      <c r="AY34" s="360">
        <v>0</v>
      </c>
      <c r="AZ34" s="360">
        <v>0</v>
      </c>
      <c r="BA34" s="360">
        <v>0</v>
      </c>
      <c r="BB34" s="360">
        <v>403200</v>
      </c>
      <c r="BC34" s="360">
        <v>403200</v>
      </c>
      <c r="BD34" s="360">
        <v>403200</v>
      </c>
      <c r="BE34" s="360">
        <v>663200</v>
      </c>
      <c r="BF34" s="219">
        <v>478112</v>
      </c>
      <c r="BG34" s="172">
        <v>0</v>
      </c>
      <c r="BH34" s="172">
        <v>0</v>
      </c>
      <c r="BI34" s="172">
        <v>0</v>
      </c>
      <c r="BJ34" s="172">
        <v>0</v>
      </c>
      <c r="BK34" s="172">
        <v>0</v>
      </c>
      <c r="BL34" s="172">
        <v>388710</v>
      </c>
      <c r="BM34" s="172">
        <v>388710</v>
      </c>
      <c r="BN34" s="172">
        <v>388710</v>
      </c>
      <c r="BO34" s="172">
        <v>388710</v>
      </c>
      <c r="BP34" s="172">
        <v>388710</v>
      </c>
      <c r="BQ34" s="172">
        <v>388710</v>
      </c>
      <c r="BR34" s="172">
        <v>3852312</v>
      </c>
      <c r="BS34" s="377">
        <f>4840396</f>
        <v>4840396</v>
      </c>
      <c r="BT34" s="443">
        <v>1731801</v>
      </c>
      <c r="BU34" s="445">
        <v>1731801</v>
      </c>
      <c r="BV34" s="445">
        <v>1731801</v>
      </c>
      <c r="BW34" s="445">
        <v>1731801</v>
      </c>
      <c r="BX34" s="443">
        <v>1286441</v>
      </c>
      <c r="BY34" s="488">
        <v>1868163.1</v>
      </c>
    </row>
    <row r="35" spans="1:77" s="175" customFormat="1" ht="29.25">
      <c r="A35" s="169" t="s">
        <v>269</v>
      </c>
      <c r="B35" s="246" t="e">
        <f>B33-B34+#REF!</f>
        <v>#REF!</v>
      </c>
      <c r="C35" s="246" t="e">
        <f>C33-C34+#REF!</f>
        <v>#REF!</v>
      </c>
      <c r="D35" s="246" t="e">
        <f>D33-D34+#REF!</f>
        <v>#REF!</v>
      </c>
      <c r="E35" s="246" t="e">
        <f>E33-E34+#REF!</f>
        <v>#REF!</v>
      </c>
      <c r="F35" s="246" t="e">
        <f>F33-F34+#REF!</f>
        <v>#REF!</v>
      </c>
      <c r="G35" s="246" t="e">
        <f>G33-G34+#REF!</f>
        <v>#REF!</v>
      </c>
      <c r="H35" s="246" t="e">
        <f>H33-H34+#REF!</f>
        <v>#REF!</v>
      </c>
      <c r="I35" s="246" t="e">
        <f>I33-I34+#REF!</f>
        <v>#REF!</v>
      </c>
      <c r="J35" s="246" t="e">
        <f>J33-J34+#REF!</f>
        <v>#REF!</v>
      </c>
      <c r="K35" s="246" t="e">
        <f>K33-K34+#REF!</f>
        <v>#REF!</v>
      </c>
      <c r="L35" s="246" t="e">
        <f>L33-L34+#REF!</f>
        <v>#REF!</v>
      </c>
      <c r="M35" s="246" t="e">
        <f>M33-M34+#REF!</f>
        <v>#REF!</v>
      </c>
      <c r="N35" s="246" t="e">
        <f>N33-N34+#REF!</f>
        <v>#REF!</v>
      </c>
      <c r="O35" s="246" t="e">
        <f>O33-O34+#REF!</f>
        <v>#REF!</v>
      </c>
      <c r="P35" s="239" t="e">
        <f>P33-P34+#REF!</f>
        <v>#REF!</v>
      </c>
      <c r="Q35" s="179">
        <f t="shared" ref="Q35:BD35" si="42">Q33-Q34</f>
        <v>11621260.120000001</v>
      </c>
      <c r="R35" s="179">
        <f t="shared" si="42"/>
        <v>72272510.00999999</v>
      </c>
      <c r="S35" s="179">
        <f t="shared" si="42"/>
        <v>15782698</v>
      </c>
      <c r="T35" s="179">
        <f t="shared" si="42"/>
        <v>77120603.86999999</v>
      </c>
      <c r="U35" s="179">
        <f t="shared" si="42"/>
        <v>84603767.73999998</v>
      </c>
      <c r="V35" s="179">
        <f t="shared" si="42"/>
        <v>88197508.860000014</v>
      </c>
      <c r="W35" s="179">
        <f t="shared" si="42"/>
        <v>22480726.41</v>
      </c>
      <c r="X35" s="179">
        <f t="shared" si="42"/>
        <v>24619680.760000002</v>
      </c>
      <c r="Y35" s="179">
        <f t="shared" si="42"/>
        <v>33683442.150000006</v>
      </c>
      <c r="Z35" s="298">
        <f t="shared" si="42"/>
        <v>42034353.100000001</v>
      </c>
      <c r="AA35" s="298">
        <f t="shared" si="42"/>
        <v>49765271.170000009</v>
      </c>
      <c r="AB35" s="298">
        <f t="shared" si="42"/>
        <v>50312065.200000003</v>
      </c>
      <c r="AC35" s="179">
        <f t="shared" si="42"/>
        <v>58030458.620000005</v>
      </c>
      <c r="AD35" s="179">
        <f t="shared" si="42"/>
        <v>64332637.200000003</v>
      </c>
      <c r="AE35" s="179">
        <f t="shared" si="42"/>
        <v>73166962.5</v>
      </c>
      <c r="AF35" s="179">
        <f t="shared" si="42"/>
        <v>13984730</v>
      </c>
      <c r="AG35" s="179">
        <f t="shared" si="42"/>
        <v>78559516.969999999</v>
      </c>
      <c r="AH35" s="179">
        <f t="shared" si="42"/>
        <v>11128672.049999999</v>
      </c>
      <c r="AI35" s="179">
        <f t="shared" si="42"/>
        <v>15764299.050000001</v>
      </c>
      <c r="AJ35" s="179">
        <f t="shared" si="42"/>
        <v>26360843.779999997</v>
      </c>
      <c r="AK35" s="179">
        <f t="shared" si="42"/>
        <v>32722048.899999999</v>
      </c>
      <c r="AL35" s="179">
        <f t="shared" si="42"/>
        <v>39127312.479999989</v>
      </c>
      <c r="AM35" s="179">
        <f t="shared" si="42"/>
        <v>0</v>
      </c>
      <c r="AN35" s="179">
        <f t="shared" si="42"/>
        <v>51418154.670000002</v>
      </c>
      <c r="AO35" s="179">
        <f t="shared" si="42"/>
        <v>54624460.060000002</v>
      </c>
      <c r="AP35" s="179">
        <f t="shared" si="42"/>
        <v>63215724.319999993</v>
      </c>
      <c r="AQ35" s="179">
        <f t="shared" si="42"/>
        <v>69270033.590000004</v>
      </c>
      <c r="AR35" s="179">
        <f t="shared" si="42"/>
        <v>76272050.120000005</v>
      </c>
      <c r="AS35" s="401">
        <f t="shared" si="42"/>
        <v>7939035</v>
      </c>
      <c r="AT35" s="401">
        <f t="shared" si="42"/>
        <v>16036331.679999996</v>
      </c>
      <c r="AU35" s="401">
        <f t="shared" si="42"/>
        <v>-240990.62000000058</v>
      </c>
      <c r="AV35" s="401">
        <f t="shared" si="42"/>
        <v>2261584.8099999987</v>
      </c>
      <c r="AW35" s="401">
        <f t="shared" si="42"/>
        <v>10655441.110000005</v>
      </c>
      <c r="AX35" s="401">
        <f t="shared" si="42"/>
        <v>13382669.859999999</v>
      </c>
      <c r="AY35" s="401">
        <f t="shared" si="42"/>
        <v>14655498.119999997</v>
      </c>
      <c r="AZ35" s="401">
        <f t="shared" si="42"/>
        <v>16476533.629999995</v>
      </c>
      <c r="BA35" s="401">
        <f t="shared" si="42"/>
        <v>17926787.75</v>
      </c>
      <c r="BB35" s="401">
        <f t="shared" si="42"/>
        <v>20469576.030000001</v>
      </c>
      <c r="BC35" s="401">
        <f t="shared" si="42"/>
        <v>22735378.93999999</v>
      </c>
      <c r="BD35" s="401">
        <f t="shared" si="42"/>
        <v>25436227.27</v>
      </c>
      <c r="BE35" s="401">
        <f>BE33-BE34</f>
        <v>9503152.2300000042</v>
      </c>
      <c r="BF35" s="401">
        <f>BF33-BF34</f>
        <v>13501873</v>
      </c>
      <c r="BG35" s="401">
        <f t="shared" ref="BG35:BY35" si="43">BG33-BG34</f>
        <v>2216663.13</v>
      </c>
      <c r="BH35" s="401">
        <f t="shared" si="43"/>
        <v>3243138.4699999997</v>
      </c>
      <c r="BI35" s="401">
        <f t="shared" si="43"/>
        <v>4275162.9799999995</v>
      </c>
      <c r="BJ35" s="401">
        <f t="shared" si="43"/>
        <v>7441043.8699999992</v>
      </c>
      <c r="BK35" s="401">
        <f t="shared" si="43"/>
        <v>7530931.049999997</v>
      </c>
      <c r="BL35" s="401">
        <f t="shared" si="43"/>
        <v>17778742.329999994</v>
      </c>
      <c r="BM35" s="401">
        <f t="shared" si="43"/>
        <v>19237482.659999996</v>
      </c>
      <c r="BN35" s="401">
        <f t="shared" si="43"/>
        <v>22058237.879999995</v>
      </c>
      <c r="BO35" s="401">
        <f t="shared" si="43"/>
        <v>25079033.709999993</v>
      </c>
      <c r="BP35" s="401">
        <f t="shared" si="43"/>
        <v>26428609.089999996</v>
      </c>
      <c r="BQ35" s="401">
        <f t="shared" si="43"/>
        <v>29747360.549999997</v>
      </c>
      <c r="BR35" s="401">
        <f t="shared" si="43"/>
        <v>34577964.579999998</v>
      </c>
      <c r="BS35" s="401">
        <f t="shared" si="43"/>
        <v>21460929</v>
      </c>
      <c r="BT35" s="401">
        <f t="shared" si="43"/>
        <v>-3967314.28</v>
      </c>
      <c r="BU35" s="401">
        <f t="shared" si="43"/>
        <v>-2339463.120000001</v>
      </c>
      <c r="BV35" s="401">
        <f t="shared" si="43"/>
        <v>-254798.18000000063</v>
      </c>
      <c r="BW35" s="401">
        <f t="shared" si="43"/>
        <v>3765038.5700000003</v>
      </c>
      <c r="BX35" s="401">
        <f t="shared" si="43"/>
        <v>11701804.270000001</v>
      </c>
      <c r="BY35" s="401">
        <f t="shared" si="43"/>
        <v>24942394.459999986</v>
      </c>
    </row>
    <row r="36" spans="1:77">
      <c r="A36" s="168" t="s">
        <v>270</v>
      </c>
      <c r="B36" s="248"/>
      <c r="C36" s="248"/>
      <c r="D36" s="248"/>
      <c r="E36" s="248"/>
      <c r="F36" s="248"/>
      <c r="G36" s="248"/>
      <c r="H36" s="248"/>
      <c r="I36" s="248"/>
      <c r="J36" s="248"/>
      <c r="K36" s="248"/>
      <c r="L36" s="248"/>
      <c r="M36" s="248"/>
      <c r="N36" s="248"/>
      <c r="O36" s="248"/>
      <c r="P36" s="56"/>
      <c r="Q36" s="127"/>
      <c r="R36" s="138"/>
      <c r="S36" s="138"/>
      <c r="T36" s="138"/>
      <c r="U36" s="138"/>
      <c r="V36" s="138"/>
      <c r="W36" s="138"/>
      <c r="X36" s="138"/>
      <c r="Y36" s="138"/>
      <c r="Z36" s="299"/>
      <c r="AA36" s="299"/>
      <c r="AB36" s="299"/>
      <c r="AC36" s="138"/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403"/>
      <c r="AT36" s="360">
        <v>0</v>
      </c>
      <c r="AU36" s="360">
        <v>0</v>
      </c>
      <c r="AV36" s="360">
        <v>0</v>
      </c>
      <c r="AW36" s="360">
        <v>0</v>
      </c>
      <c r="AX36" s="360">
        <v>0</v>
      </c>
      <c r="AY36" s="360">
        <v>0</v>
      </c>
      <c r="AZ36" s="360">
        <v>0</v>
      </c>
      <c r="BA36" s="360">
        <v>0</v>
      </c>
      <c r="BB36" s="360">
        <v>0</v>
      </c>
      <c r="BC36" s="360">
        <v>0</v>
      </c>
      <c r="BD36" s="360">
        <v>0</v>
      </c>
      <c r="BE36" s="360">
        <v>0</v>
      </c>
      <c r="BF36" s="141"/>
      <c r="BT36" s="442">
        <v>0</v>
      </c>
      <c r="BU36" s="444">
        <v>0</v>
      </c>
      <c r="BV36" s="444">
        <v>0</v>
      </c>
      <c r="BW36" s="444">
        <v>0</v>
      </c>
      <c r="BX36" s="442">
        <v>0</v>
      </c>
      <c r="BY36" s="487">
        <v>0</v>
      </c>
    </row>
    <row r="37" spans="1:77" s="175" customFormat="1" ht="15">
      <c r="A37" s="169" t="s">
        <v>271</v>
      </c>
      <c r="B37" s="246" t="e">
        <f t="shared" ref="B37:P37" si="44">B35-B36</f>
        <v>#REF!</v>
      </c>
      <c r="C37" s="246" t="e">
        <f t="shared" si="44"/>
        <v>#REF!</v>
      </c>
      <c r="D37" s="246" t="e">
        <f t="shared" si="44"/>
        <v>#REF!</v>
      </c>
      <c r="E37" s="246" t="e">
        <f t="shared" si="44"/>
        <v>#REF!</v>
      </c>
      <c r="F37" s="246" t="e">
        <f t="shared" si="44"/>
        <v>#REF!</v>
      </c>
      <c r="G37" s="246" t="e">
        <f t="shared" si="44"/>
        <v>#REF!</v>
      </c>
      <c r="H37" s="246" t="e">
        <f t="shared" si="44"/>
        <v>#REF!</v>
      </c>
      <c r="I37" s="246" t="e">
        <f t="shared" si="44"/>
        <v>#REF!</v>
      </c>
      <c r="J37" s="246" t="e">
        <f t="shared" si="44"/>
        <v>#REF!</v>
      </c>
      <c r="K37" s="246" t="e">
        <f t="shared" si="44"/>
        <v>#REF!</v>
      </c>
      <c r="L37" s="246" t="e">
        <f t="shared" si="44"/>
        <v>#REF!</v>
      </c>
      <c r="M37" s="246" t="e">
        <f t="shared" si="44"/>
        <v>#REF!</v>
      </c>
      <c r="N37" s="246" t="e">
        <f t="shared" si="44"/>
        <v>#REF!</v>
      </c>
      <c r="O37" s="246" t="e">
        <f t="shared" si="44"/>
        <v>#REF!</v>
      </c>
      <c r="P37" s="239" t="e">
        <f t="shared" si="44"/>
        <v>#REF!</v>
      </c>
      <c r="Q37" s="179">
        <f t="shared" ref="Q37:V37" si="45">Q35+Q36</f>
        <v>11621260.120000001</v>
      </c>
      <c r="R37" s="179">
        <f t="shared" si="45"/>
        <v>72272510.00999999</v>
      </c>
      <c r="S37" s="179">
        <f t="shared" si="45"/>
        <v>15782698</v>
      </c>
      <c r="T37" s="179">
        <f t="shared" si="45"/>
        <v>77120603.86999999</v>
      </c>
      <c r="U37" s="179">
        <f t="shared" si="45"/>
        <v>84603767.73999998</v>
      </c>
      <c r="V37" s="179">
        <f t="shared" si="45"/>
        <v>88197508.860000014</v>
      </c>
      <c r="W37" s="179">
        <f t="shared" ref="W37:AB37" si="46">W35+W36</f>
        <v>22480726.41</v>
      </c>
      <c r="X37" s="179">
        <f t="shared" si="46"/>
        <v>24619680.760000002</v>
      </c>
      <c r="Y37" s="179">
        <f t="shared" si="46"/>
        <v>33683442.150000006</v>
      </c>
      <c r="Z37" s="298">
        <f t="shared" si="46"/>
        <v>42034353.100000001</v>
      </c>
      <c r="AA37" s="298">
        <f t="shared" si="46"/>
        <v>49765271.170000009</v>
      </c>
      <c r="AB37" s="298">
        <f t="shared" si="46"/>
        <v>50312065.200000003</v>
      </c>
      <c r="AC37" s="179">
        <f t="shared" ref="AC37:AJ37" si="47">AC35+AC36</f>
        <v>58030458.620000005</v>
      </c>
      <c r="AD37" s="179">
        <f t="shared" si="47"/>
        <v>64332637.200000003</v>
      </c>
      <c r="AE37" s="179">
        <f t="shared" si="47"/>
        <v>73166962.5</v>
      </c>
      <c r="AF37" s="179">
        <f t="shared" si="47"/>
        <v>13984730</v>
      </c>
      <c r="AG37" s="179">
        <f t="shared" si="47"/>
        <v>78559516.969999999</v>
      </c>
      <c r="AH37" s="179">
        <f t="shared" si="47"/>
        <v>11128672.049999999</v>
      </c>
      <c r="AI37" s="179">
        <f t="shared" si="47"/>
        <v>15764299.050000001</v>
      </c>
      <c r="AJ37" s="179">
        <f t="shared" si="47"/>
        <v>26360843.779999997</v>
      </c>
      <c r="AK37" s="179">
        <f t="shared" ref="AK37:AS37" si="48">AK35+AK36</f>
        <v>32722048.899999999</v>
      </c>
      <c r="AL37" s="179">
        <f t="shared" si="48"/>
        <v>39127312.479999989</v>
      </c>
      <c r="AM37" s="179">
        <f t="shared" si="48"/>
        <v>0</v>
      </c>
      <c r="AN37" s="179">
        <f t="shared" si="48"/>
        <v>51418154.670000002</v>
      </c>
      <c r="AO37" s="179">
        <f t="shared" si="48"/>
        <v>54624460.060000002</v>
      </c>
      <c r="AP37" s="179">
        <f t="shared" si="48"/>
        <v>63215724.319999993</v>
      </c>
      <c r="AQ37" s="179">
        <f t="shared" si="48"/>
        <v>69270033.590000004</v>
      </c>
      <c r="AR37" s="179">
        <f t="shared" si="48"/>
        <v>76272050.120000005</v>
      </c>
      <c r="AS37" s="401">
        <f t="shared" si="48"/>
        <v>7939035</v>
      </c>
      <c r="AT37" s="401">
        <f>AT35-AT36</f>
        <v>16036331.679999996</v>
      </c>
      <c r="AU37" s="401">
        <f t="shared" ref="AU37:BY37" si="49">AU35-AU36</f>
        <v>-240990.62000000058</v>
      </c>
      <c r="AV37" s="401">
        <f t="shared" si="49"/>
        <v>2261584.8099999987</v>
      </c>
      <c r="AW37" s="401">
        <f t="shared" si="49"/>
        <v>10655441.110000005</v>
      </c>
      <c r="AX37" s="401">
        <f t="shared" si="49"/>
        <v>13382669.859999999</v>
      </c>
      <c r="AY37" s="401">
        <f t="shared" si="49"/>
        <v>14655498.119999997</v>
      </c>
      <c r="AZ37" s="401">
        <f t="shared" si="49"/>
        <v>16476533.629999995</v>
      </c>
      <c r="BA37" s="401">
        <f t="shared" si="49"/>
        <v>17926787.75</v>
      </c>
      <c r="BB37" s="401">
        <f t="shared" si="49"/>
        <v>20469576.030000001</v>
      </c>
      <c r="BC37" s="401">
        <f t="shared" si="49"/>
        <v>22735378.93999999</v>
      </c>
      <c r="BD37" s="401">
        <f t="shared" si="49"/>
        <v>25436227.27</v>
      </c>
      <c r="BE37" s="401">
        <f t="shared" si="49"/>
        <v>9503152.2300000042</v>
      </c>
      <c r="BF37" s="401">
        <f t="shared" si="49"/>
        <v>13501873</v>
      </c>
      <c r="BG37" s="401">
        <f t="shared" si="49"/>
        <v>2216663.13</v>
      </c>
      <c r="BH37" s="401">
        <f t="shared" si="49"/>
        <v>3243138.4699999997</v>
      </c>
      <c r="BI37" s="401">
        <f t="shared" si="49"/>
        <v>4275162.9799999995</v>
      </c>
      <c r="BJ37" s="401">
        <f t="shared" si="49"/>
        <v>7441043.8699999992</v>
      </c>
      <c r="BK37" s="401">
        <f t="shared" si="49"/>
        <v>7530931.049999997</v>
      </c>
      <c r="BL37" s="401">
        <f t="shared" si="49"/>
        <v>17778742.329999994</v>
      </c>
      <c r="BM37" s="401">
        <f t="shared" si="49"/>
        <v>19237482.659999996</v>
      </c>
      <c r="BN37" s="401">
        <f t="shared" si="49"/>
        <v>22058237.879999995</v>
      </c>
      <c r="BO37" s="401">
        <f t="shared" si="49"/>
        <v>25079033.709999993</v>
      </c>
      <c r="BP37" s="401">
        <f t="shared" si="49"/>
        <v>26428609.089999996</v>
      </c>
      <c r="BQ37" s="401">
        <f t="shared" si="49"/>
        <v>29747360.549999997</v>
      </c>
      <c r="BR37" s="401">
        <f t="shared" si="49"/>
        <v>34577964.579999998</v>
      </c>
      <c r="BS37" s="401">
        <f t="shared" si="49"/>
        <v>21460929</v>
      </c>
      <c r="BT37" s="401">
        <f t="shared" si="49"/>
        <v>-3967314.28</v>
      </c>
      <c r="BU37" s="401">
        <f t="shared" si="49"/>
        <v>-2339463.120000001</v>
      </c>
      <c r="BV37" s="401">
        <f t="shared" si="49"/>
        <v>-254798.18000000063</v>
      </c>
      <c r="BW37" s="401">
        <f t="shared" si="49"/>
        <v>3765038.5700000003</v>
      </c>
      <c r="BX37" s="401">
        <f t="shared" si="49"/>
        <v>11701804.270000001</v>
      </c>
      <c r="BY37" s="401">
        <f t="shared" si="49"/>
        <v>24942394.459999986</v>
      </c>
    </row>
    <row r="39" spans="1:77">
      <c r="BF39" s="426"/>
    </row>
  </sheetData>
  <dataValidations count="2">
    <dataValidation type="decimal" showErrorMessage="1" errorTitle="Error Msg" error="Enter a NO" sqref="B4:P4 B12:P12" xr:uid="{00000000-0002-0000-0600-000000000000}">
      <formula1>0</formula1>
      <formula2>999999999999</formula2>
    </dataValidation>
    <dataValidation type="decimal" showErrorMessage="1" errorTitle="Error Msg" sqref="B30:P30" xr:uid="{00000000-0002-0000-0600-000001000000}">
      <formula1>0</formula1>
      <formula2>999999999999</formula2>
    </dataValidation>
  </dataValidations>
  <pageMargins left="0.7" right="0.7" top="0.75" bottom="0.75" header="0.3" footer="0.3"/>
  <pageSetup scale="36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40"/>
  <sheetViews>
    <sheetView topLeftCell="A7" workbookViewId="0">
      <selection activeCell="H27" sqref="H27"/>
    </sheetView>
  </sheetViews>
  <sheetFormatPr defaultRowHeight="12.75"/>
  <cols>
    <col min="1" max="1" width="5" style="26" bestFit="1" customWidth="1"/>
    <col min="2" max="2" width="28.42578125" style="26" bestFit="1" customWidth="1"/>
    <col min="3" max="4" width="14.7109375" style="26" bestFit="1" customWidth="1"/>
    <col min="5" max="12" width="14.42578125" style="26" bestFit="1" customWidth="1"/>
    <col min="13" max="16384" width="9.140625" style="26"/>
  </cols>
  <sheetData>
    <row r="1" spans="1:12">
      <c r="A1" s="258"/>
      <c r="B1" s="259"/>
      <c r="E1" s="127"/>
    </row>
    <row r="2" spans="1:12" ht="15.75">
      <c r="A2" s="260"/>
      <c r="B2" s="261" t="s">
        <v>115</v>
      </c>
      <c r="C2" s="261" t="s">
        <v>19</v>
      </c>
      <c r="D2" s="261" t="s">
        <v>20</v>
      </c>
      <c r="E2" s="262" t="s">
        <v>21</v>
      </c>
      <c r="F2" s="262" t="s">
        <v>22</v>
      </c>
      <c r="G2" s="263">
        <v>43466</v>
      </c>
      <c r="H2" s="263">
        <v>43497</v>
      </c>
      <c r="I2" s="264">
        <v>43525</v>
      </c>
      <c r="J2" s="264">
        <v>43556</v>
      </c>
      <c r="K2" s="264">
        <v>43586</v>
      </c>
      <c r="L2" s="264">
        <v>43617</v>
      </c>
    </row>
    <row r="3" spans="1:12">
      <c r="A3" s="30">
        <v>2</v>
      </c>
      <c r="B3" s="51" t="s">
        <v>65</v>
      </c>
      <c r="C3" s="265">
        <v>463518893.97999996</v>
      </c>
      <c r="D3" s="265">
        <v>456370932.63</v>
      </c>
      <c r="E3" s="265">
        <v>436833618.45000005</v>
      </c>
      <c r="F3" s="265">
        <v>590186392</v>
      </c>
      <c r="G3" s="265">
        <v>602313936.84000003</v>
      </c>
      <c r="H3" s="265">
        <v>626251080.43000007</v>
      </c>
      <c r="I3" s="265">
        <v>598286974.44000006</v>
      </c>
      <c r="J3" s="265">
        <v>589072781.48000002</v>
      </c>
      <c r="K3" s="265">
        <v>617101547.82000005</v>
      </c>
      <c r="L3" s="265">
        <v>604177230.95000005</v>
      </c>
    </row>
    <row r="4" spans="1:12">
      <c r="A4" s="30">
        <v>3</v>
      </c>
      <c r="B4" s="51" t="s">
        <v>66</v>
      </c>
      <c r="C4" s="266">
        <v>363910285.35000002</v>
      </c>
      <c r="D4" s="266">
        <v>352811563.69999999</v>
      </c>
      <c r="E4" s="266">
        <v>346819825.96000004</v>
      </c>
      <c r="F4" s="266">
        <v>433315333</v>
      </c>
      <c r="G4" s="266">
        <v>438395348.75</v>
      </c>
      <c r="H4" s="266">
        <v>454200200.84000003</v>
      </c>
      <c r="I4" s="266">
        <v>471183574.06999999</v>
      </c>
      <c r="J4" s="266">
        <v>463060081.56999999</v>
      </c>
      <c r="K4" s="266">
        <v>486178640.04999995</v>
      </c>
      <c r="L4" s="266">
        <v>466221165.13999999</v>
      </c>
    </row>
    <row r="5" spans="1:12">
      <c r="A5" s="30">
        <v>3.1</v>
      </c>
      <c r="B5" s="104" t="s">
        <v>117</v>
      </c>
      <c r="C5" s="266">
        <v>242281651.97</v>
      </c>
      <c r="D5" s="266">
        <v>244644369.28</v>
      </c>
      <c r="E5" s="266">
        <v>243234342.24000001</v>
      </c>
      <c r="F5" s="266">
        <v>365696388</v>
      </c>
      <c r="G5" s="266">
        <v>373130884.45999998</v>
      </c>
      <c r="H5" s="266">
        <v>380563374.49000001</v>
      </c>
      <c r="I5" s="266">
        <v>389962101.52999997</v>
      </c>
      <c r="J5" s="266">
        <v>394639975.25999999</v>
      </c>
      <c r="K5" s="266">
        <v>397105169.01999998</v>
      </c>
      <c r="L5" s="266">
        <v>404014250.98000002</v>
      </c>
    </row>
    <row r="6" spans="1:12">
      <c r="A6" s="30">
        <v>3.2</v>
      </c>
      <c r="B6" s="104" t="s">
        <v>118</v>
      </c>
      <c r="C6" s="266">
        <v>4074376.91</v>
      </c>
      <c r="D6" s="266">
        <v>4984401.29</v>
      </c>
      <c r="E6" s="266">
        <v>5076228.9000000004</v>
      </c>
      <c r="F6" s="266">
        <v>67618945</v>
      </c>
      <c r="G6" s="266">
        <v>14363007.560000001</v>
      </c>
      <c r="H6" s="266">
        <v>15611949.109999999</v>
      </c>
      <c r="I6" s="266">
        <v>13612358.779999999</v>
      </c>
      <c r="J6" s="266">
        <v>14419908.76</v>
      </c>
      <c r="K6" s="266">
        <v>14679037.42</v>
      </c>
      <c r="L6" s="266">
        <v>13096148.84</v>
      </c>
    </row>
    <row r="7" spans="1:12">
      <c r="A7" s="30">
        <v>4</v>
      </c>
      <c r="B7" s="51" t="s">
        <v>119</v>
      </c>
      <c r="C7" s="267">
        <v>782851.88</v>
      </c>
      <c r="D7" s="267">
        <v>782851.88</v>
      </c>
      <c r="E7" s="267">
        <v>782851.88</v>
      </c>
      <c r="F7" s="267">
        <v>0</v>
      </c>
      <c r="G7" s="267">
        <v>0</v>
      </c>
      <c r="H7" s="267">
        <v>0</v>
      </c>
      <c r="I7" s="267">
        <v>0</v>
      </c>
      <c r="J7" s="267">
        <v>0</v>
      </c>
      <c r="K7" s="267">
        <v>0</v>
      </c>
      <c r="L7" s="267">
        <v>0</v>
      </c>
    </row>
    <row r="8" spans="1:12" ht="13.5" thickBot="1">
      <c r="A8" s="43">
        <v>4.0999999999999996</v>
      </c>
      <c r="B8" s="53" t="s">
        <v>120</v>
      </c>
      <c r="C8" s="75">
        <v>4642444.88</v>
      </c>
      <c r="D8" s="75">
        <v>27506533.770000003</v>
      </c>
      <c r="E8" s="75">
        <v>4912342.24</v>
      </c>
      <c r="F8" s="75">
        <v>58156529</v>
      </c>
      <c r="G8" s="75">
        <v>3901907.32</v>
      </c>
      <c r="H8" s="75">
        <v>4415903.3899999997</v>
      </c>
      <c r="I8" s="75">
        <v>-44130680.829999998</v>
      </c>
      <c r="J8" s="75">
        <v>10574287.379999999</v>
      </c>
      <c r="K8" s="75">
        <v>12876255.23</v>
      </c>
      <c r="L8" s="75">
        <v>10617409.810000001</v>
      </c>
    </row>
    <row r="9" spans="1:12">
      <c r="A9" s="34">
        <v>5.0999999999999996</v>
      </c>
      <c r="B9" s="268" t="s">
        <v>122</v>
      </c>
      <c r="C9" s="269">
        <v>94944699.390000001</v>
      </c>
      <c r="D9" s="269">
        <v>75269883.280000001</v>
      </c>
      <c r="E9" s="269">
        <v>78350880.049999997</v>
      </c>
      <c r="F9" s="269">
        <v>88729697</v>
      </c>
      <c r="G9" s="269">
        <v>155788125.82999998</v>
      </c>
      <c r="H9" s="269">
        <v>163406421.19999999</v>
      </c>
      <c r="I9" s="269">
        <v>167005526.25999999</v>
      </c>
      <c r="J9" s="269">
        <v>111209857.65000001</v>
      </c>
      <c r="K9" s="269">
        <v>113818097.59999999</v>
      </c>
      <c r="L9" s="269">
        <v>123110101.06000002</v>
      </c>
    </row>
    <row r="10" spans="1:12" ht="13.5" thickBot="1">
      <c r="A10" s="35">
        <v>5.2</v>
      </c>
      <c r="B10" s="270" t="s">
        <v>123</v>
      </c>
      <c r="C10" s="271">
        <v>85006163.939999998</v>
      </c>
      <c r="D10" s="271">
        <v>65331347.829999998</v>
      </c>
      <c r="E10" s="271">
        <v>67704198.769999996</v>
      </c>
      <c r="F10" s="271">
        <v>65523502</v>
      </c>
      <c r="G10" s="271">
        <v>131996813.03999999</v>
      </c>
      <c r="H10" s="271">
        <v>139578976.91</v>
      </c>
      <c r="I10" s="271">
        <v>142917002.03</v>
      </c>
      <c r="J10" s="271">
        <v>87051630.75</v>
      </c>
      <c r="K10" s="271">
        <v>89639870.699999988</v>
      </c>
      <c r="L10" s="271">
        <v>98730332.050000012</v>
      </c>
    </row>
    <row r="11" spans="1:12" ht="13.5" thickBot="1">
      <c r="A11" s="38">
        <v>5.3</v>
      </c>
      <c r="B11" s="259" t="s">
        <v>124</v>
      </c>
      <c r="C11" s="272">
        <v>94944699.390000001</v>
      </c>
      <c r="D11" s="272">
        <v>75269883.280000001</v>
      </c>
      <c r="E11" s="272">
        <v>78350880.049999997</v>
      </c>
      <c r="F11" s="272">
        <v>92958252</v>
      </c>
      <c r="G11" s="272">
        <v>160016680.76999998</v>
      </c>
      <c r="H11" s="272">
        <v>167634976.13999999</v>
      </c>
      <c r="I11" s="272">
        <v>171234081.19999999</v>
      </c>
      <c r="J11" s="272">
        <v>115438412.59</v>
      </c>
      <c r="K11" s="272">
        <v>118046652.53999999</v>
      </c>
      <c r="L11" s="272">
        <v>127338656.00000001</v>
      </c>
    </row>
    <row r="12" spans="1:12">
      <c r="A12" s="33">
        <v>7</v>
      </c>
      <c r="B12" s="110" t="s">
        <v>71</v>
      </c>
      <c r="C12" s="273">
        <v>299631067.07999998</v>
      </c>
      <c r="D12" s="273">
        <v>309643144.38</v>
      </c>
      <c r="E12" s="273">
        <v>310639770.16000003</v>
      </c>
      <c r="F12" s="273">
        <v>467465209</v>
      </c>
      <c r="G12" s="273">
        <v>472919770.68000001</v>
      </c>
      <c r="H12" s="273">
        <v>478687357.68000001</v>
      </c>
      <c r="I12" s="273">
        <v>475787713.94</v>
      </c>
      <c r="J12" s="273">
        <v>479582540.77999997</v>
      </c>
      <c r="K12" s="273">
        <v>481266665.38999999</v>
      </c>
      <c r="L12" s="273">
        <v>485276972.57000005</v>
      </c>
    </row>
    <row r="13" spans="1:12">
      <c r="A13" s="34">
        <v>7.1</v>
      </c>
      <c r="B13" s="51" t="s">
        <v>142</v>
      </c>
      <c r="C13" s="269">
        <v>309603490.20999998</v>
      </c>
      <c r="D13" s="269">
        <v>319615567.50999999</v>
      </c>
      <c r="E13" s="269">
        <v>320612193.29000002</v>
      </c>
      <c r="F13" s="269">
        <v>478678153</v>
      </c>
      <c r="G13" s="269">
        <v>484132714.24000001</v>
      </c>
      <c r="H13" s="269">
        <v>489900301.24000001</v>
      </c>
      <c r="I13" s="269">
        <v>487605607.92000002</v>
      </c>
      <c r="J13" s="269">
        <v>491602084.89999998</v>
      </c>
      <c r="K13" s="269">
        <v>493487859.64999998</v>
      </c>
      <c r="L13" s="269">
        <v>497699816.97000003</v>
      </c>
    </row>
    <row r="14" spans="1:12">
      <c r="A14" s="34">
        <v>7.3</v>
      </c>
      <c r="B14" s="51" t="s">
        <v>143</v>
      </c>
      <c r="C14" s="269">
        <v>9972423.1300000008</v>
      </c>
      <c r="D14" s="269">
        <v>9972423.1300000008</v>
      </c>
      <c r="E14" s="269">
        <v>9972423.1300000008</v>
      </c>
      <c r="F14" s="269">
        <v>11212944</v>
      </c>
      <c r="G14" s="269">
        <v>11212943.560000001</v>
      </c>
      <c r="H14" s="269">
        <v>11212943.560000001</v>
      </c>
      <c r="I14" s="269">
        <v>11817893.98</v>
      </c>
      <c r="J14" s="269">
        <v>12019544.119999999</v>
      </c>
      <c r="K14" s="269">
        <v>12221194.26</v>
      </c>
      <c r="L14" s="269">
        <v>12422844.4</v>
      </c>
    </row>
    <row r="15" spans="1:12" ht="13.5" thickBot="1">
      <c r="A15" s="43">
        <v>7.6</v>
      </c>
      <c r="B15" s="44" t="s">
        <v>146</v>
      </c>
      <c r="C15" s="274">
        <v>64879933.079999998</v>
      </c>
      <c r="D15" s="274">
        <v>49119809.189999998</v>
      </c>
      <c r="E15" s="274">
        <v>36488011.020000003</v>
      </c>
      <c r="F15" s="274">
        <v>86995878</v>
      </c>
      <c r="G15" s="274">
        <v>99084093.540000007</v>
      </c>
      <c r="H15" s="274">
        <v>106402453.78</v>
      </c>
      <c r="I15" s="274">
        <v>93263618.600000009</v>
      </c>
      <c r="J15" s="274">
        <v>81785848.030000001</v>
      </c>
      <c r="K15" s="274">
        <v>86648913.530000001</v>
      </c>
      <c r="L15" s="274">
        <v>81659238.829999998</v>
      </c>
    </row>
    <row r="16" spans="1:12">
      <c r="A16" s="33">
        <v>8</v>
      </c>
      <c r="B16" s="110" t="s">
        <v>147</v>
      </c>
      <c r="C16" s="273">
        <v>54697471.630000003</v>
      </c>
      <c r="D16" s="273">
        <v>57847365.859999999</v>
      </c>
      <c r="E16" s="273">
        <v>43977605.75</v>
      </c>
      <c r="F16" s="273">
        <v>31496750</v>
      </c>
      <c r="G16" s="273">
        <v>26081517.679999996</v>
      </c>
      <c r="H16" s="273">
        <v>36932714.030000001</v>
      </c>
      <c r="I16" s="273">
        <v>25007086.960000001</v>
      </c>
      <c r="J16" s="273">
        <v>23475837.73</v>
      </c>
      <c r="K16" s="273">
        <v>44957413.959999993</v>
      </c>
      <c r="L16" s="273">
        <v>33012464.609999996</v>
      </c>
    </row>
    <row r="17" spans="1:12" ht="13.5" thickBot="1">
      <c r="A17" s="35">
        <v>8.1</v>
      </c>
      <c r="B17" s="53" t="s">
        <v>148</v>
      </c>
      <c r="C17" s="271">
        <v>5970994.9500000002</v>
      </c>
      <c r="D17" s="271">
        <v>5779199.6399999997</v>
      </c>
      <c r="E17" s="271">
        <v>5967618.2599999998</v>
      </c>
      <c r="F17" s="271">
        <v>3048281</v>
      </c>
      <c r="G17" s="271">
        <v>7005758.3499999996</v>
      </c>
      <c r="H17" s="271">
        <v>7005758.4100000001</v>
      </c>
      <c r="I17" s="271">
        <v>6855145.9100000001</v>
      </c>
      <c r="J17" s="271">
        <v>6223465.2300000004</v>
      </c>
      <c r="K17" s="271">
        <v>6843368.5800000001</v>
      </c>
      <c r="L17" s="271">
        <v>6621497.3099999996</v>
      </c>
    </row>
    <row r="18" spans="1:12" ht="13.5" thickBot="1">
      <c r="A18" s="46">
        <v>9</v>
      </c>
      <c r="B18" s="275" t="s">
        <v>149</v>
      </c>
      <c r="C18" s="273">
        <v>6545698.6699999999</v>
      </c>
      <c r="D18" s="273">
        <v>43521403.869999997</v>
      </c>
      <c r="E18" s="273">
        <v>43551629.869999997</v>
      </c>
      <c r="F18" s="273">
        <v>18430545</v>
      </c>
      <c r="G18" s="273">
        <v>14759404.379999999</v>
      </c>
      <c r="H18" s="273">
        <v>14858404.379999999</v>
      </c>
      <c r="I18" s="273">
        <v>14602688.379999999</v>
      </c>
      <c r="J18" s="273">
        <v>16880137.379999999</v>
      </c>
      <c r="K18" s="273">
        <v>16989737.379999999</v>
      </c>
      <c r="L18" s="273">
        <v>17093937.34</v>
      </c>
    </row>
    <row r="19" spans="1:12">
      <c r="A19" s="276">
        <v>10</v>
      </c>
      <c r="B19" s="277" t="s">
        <v>154</v>
      </c>
      <c r="C19" s="273">
        <v>22339454.649999999</v>
      </c>
      <c r="D19" s="273">
        <v>4546921.07</v>
      </c>
      <c r="E19" s="273">
        <v>5916993.0600000005</v>
      </c>
      <c r="F19" s="273">
        <v>68345005</v>
      </c>
      <c r="G19" s="273">
        <v>18479434.449999999</v>
      </c>
      <c r="H19" s="273">
        <v>19450021.170000002</v>
      </c>
      <c r="I19" s="273">
        <v>21786997.959999997</v>
      </c>
      <c r="J19" s="273">
        <v>6653981.0599999996</v>
      </c>
      <c r="K19" s="273">
        <v>12263359.280000001</v>
      </c>
      <c r="L19" s="273">
        <v>13807774.51</v>
      </c>
    </row>
    <row r="21" spans="1:12" ht="15">
      <c r="B21" s="90" t="s">
        <v>1</v>
      </c>
      <c r="C21" s="279">
        <v>94.944699389999997</v>
      </c>
      <c r="D21" s="279">
        <v>75.269883280000002</v>
      </c>
      <c r="E21" s="279">
        <v>78.350880050000001</v>
      </c>
      <c r="F21" s="279">
        <v>88.729697000000002</v>
      </c>
      <c r="G21" s="279">
        <v>155.78812582999998</v>
      </c>
      <c r="H21" s="279">
        <v>163.40642119999998</v>
      </c>
      <c r="I21" s="279">
        <v>167.00552625999998</v>
      </c>
      <c r="J21" s="279">
        <v>111.20985765</v>
      </c>
      <c r="K21" s="279">
        <v>113.81809759999999</v>
      </c>
      <c r="L21" s="279">
        <v>123.11010106000002</v>
      </c>
    </row>
    <row r="22" spans="1:12" ht="15">
      <c r="B22" s="90" t="s">
        <v>97</v>
      </c>
      <c r="C22" s="278">
        <v>0.20483458306253358</v>
      </c>
      <c r="D22" s="278">
        <v>0.16493137029177229</v>
      </c>
      <c r="E22" s="278">
        <v>0.17936092081925703</v>
      </c>
      <c r="F22" s="278">
        <v>0.15034182116486344</v>
      </c>
      <c r="G22" s="278">
        <v>0.25864937917148656</v>
      </c>
      <c r="H22" s="278">
        <v>0.26092796692310843</v>
      </c>
      <c r="I22" s="278">
        <v>0.27913949892744716</v>
      </c>
      <c r="J22" s="278">
        <v>0.18878797518125656</v>
      </c>
      <c r="K22" s="278">
        <v>0.18443981870095577</v>
      </c>
      <c r="L22" s="278">
        <v>0.20376488016012018</v>
      </c>
    </row>
    <row r="23" spans="1:12" ht="15">
      <c r="B23" s="90" t="s">
        <v>98</v>
      </c>
      <c r="C23" s="278">
        <v>0.18339309366678777</v>
      </c>
      <c r="D23" s="278">
        <v>0.14315405114323307</v>
      </c>
      <c r="E23" s="278">
        <v>0.15498852631862953</v>
      </c>
      <c r="F23" s="278">
        <v>0.11102170922300764</v>
      </c>
      <c r="G23" s="278">
        <v>0.21914952480182093</v>
      </c>
      <c r="H23" s="278">
        <v>0.22288021733098087</v>
      </c>
      <c r="I23" s="278">
        <v>0.23887700741566556</v>
      </c>
      <c r="J23" s="278">
        <v>0.14777737740876346</v>
      </c>
      <c r="K23" s="278">
        <v>0.14525951363542308</v>
      </c>
      <c r="L23" s="278">
        <v>0.16341286462377569</v>
      </c>
    </row>
    <row r="24" spans="1:12" ht="15">
      <c r="B24" s="90" t="s">
        <v>99</v>
      </c>
      <c r="C24" s="278">
        <v>0.26090139029372172</v>
      </c>
      <c r="D24" s="278">
        <v>0.21334301656847876</v>
      </c>
      <c r="E24" s="278">
        <v>0.22591234463924931</v>
      </c>
      <c r="F24" s="278">
        <v>0.20476934519185361</v>
      </c>
      <c r="G24" s="278">
        <v>0.35535989666450579</v>
      </c>
      <c r="H24" s="278">
        <v>0.35976739089457771</v>
      </c>
      <c r="I24" s="278">
        <v>0.35443834516011652</v>
      </c>
      <c r="J24" s="278">
        <v>0.24016291206303994</v>
      </c>
      <c r="K24" s="278">
        <v>0.23410756504706712</v>
      </c>
      <c r="L24" s="278">
        <v>0.26405944273900928</v>
      </c>
    </row>
    <row r="25" spans="1:12" ht="15">
      <c r="B25" s="99" t="s">
        <v>100</v>
      </c>
      <c r="C25" s="278"/>
      <c r="D25" s="278"/>
      <c r="E25" s="278"/>
      <c r="F25" s="278"/>
      <c r="G25" s="278"/>
      <c r="H25" s="278"/>
      <c r="I25" s="278"/>
      <c r="J25" s="278"/>
      <c r="K25" s="278"/>
      <c r="L25" s="278"/>
    </row>
    <row r="26" spans="1:12" ht="15">
      <c r="B26" s="90" t="s">
        <v>101</v>
      </c>
      <c r="C26" s="278"/>
      <c r="D26" s="278"/>
      <c r="E26" s="278"/>
      <c r="F26" s="278"/>
      <c r="G26" s="278"/>
      <c r="H26" s="278"/>
      <c r="I26" s="278"/>
      <c r="J26" s="278"/>
      <c r="K26" s="278"/>
      <c r="L26" s="278"/>
    </row>
    <row r="27" spans="1:12" ht="15">
      <c r="B27" s="99" t="s">
        <v>89</v>
      </c>
      <c r="C27" s="278"/>
      <c r="D27" s="278"/>
      <c r="E27" s="278"/>
      <c r="F27" s="278"/>
      <c r="G27" s="278"/>
      <c r="H27" s="278"/>
      <c r="I27" s="278"/>
      <c r="J27" s="278"/>
      <c r="K27" s="278"/>
      <c r="L27" s="278"/>
    </row>
    <row r="28" spans="1:12" ht="15">
      <c r="B28" s="90" t="s">
        <v>90</v>
      </c>
      <c r="C28" s="278">
        <v>0.10366401602677947</v>
      </c>
      <c r="D28" s="278">
        <v>4.9791285087911821E-3</v>
      </c>
      <c r="E28" s="278">
        <v>8.6990957539672831E-3</v>
      </c>
      <c r="F28" s="278">
        <v>2.1403286692598458E-2</v>
      </c>
      <c r="G28" s="278">
        <v>8.6521768483988973E-2</v>
      </c>
      <c r="H28" s="278">
        <v>9.2418745160710331E-2</v>
      </c>
      <c r="I28" s="278">
        <v>9.5308003681039338E-2</v>
      </c>
      <c r="J28" s="278">
        <v>2.5179366139760146E-2</v>
      </c>
      <c r="K28" s="278">
        <v>2.7427623319558749E-2</v>
      </c>
      <c r="L28" s="278">
        <v>3.6644693878419822E-2</v>
      </c>
    </row>
    <row r="29" spans="1:12" ht="15">
      <c r="B29" s="90" t="s">
        <v>102</v>
      </c>
      <c r="C29" s="278">
        <v>0.25741416351582458</v>
      </c>
      <c r="D29" s="278">
        <v>0.47475461442470174</v>
      </c>
      <c r="E29" s="278">
        <v>0.47309013231184821</v>
      </c>
      <c r="F29" s="278">
        <v>0.59346690595014484</v>
      </c>
      <c r="G29" s="278">
        <v>0.29062189047777387</v>
      </c>
      <c r="H29" s="278">
        <v>0.28378980928479264</v>
      </c>
      <c r="I29" s="278">
        <v>0.30491294255765539</v>
      </c>
      <c r="J29" s="278">
        <v>0.35188480121631338</v>
      </c>
      <c r="K29" s="278">
        <v>0.42614588607338072</v>
      </c>
      <c r="L29" s="278">
        <v>0.38569896660788255</v>
      </c>
    </row>
    <row r="30" spans="1:12" ht="15">
      <c r="B30" s="90" t="s">
        <v>103</v>
      </c>
      <c r="C30" s="278">
        <v>5.0864586829587354E-2</v>
      </c>
      <c r="D30" s="278">
        <v>6.8212320229515053E-3</v>
      </c>
      <c r="E30" s="278">
        <v>1.206515205652208E-2</v>
      </c>
      <c r="F30" s="278">
        <v>5.6671521833393947E-2</v>
      </c>
      <c r="G30" s="278">
        <v>5.4654003762069081E-2</v>
      </c>
      <c r="H30" s="278">
        <v>5.5574311322709478E-2</v>
      </c>
      <c r="I30" s="278">
        <v>6.7479628714612397E-2</v>
      </c>
      <c r="J30" s="278">
        <v>2.1463423141422584E-2</v>
      </c>
      <c r="K30" s="278">
        <v>3.0839953808625337E-2</v>
      </c>
      <c r="L30" s="278">
        <v>3.6261474047195714E-2</v>
      </c>
    </row>
    <row r="31" spans="1:12" ht="15">
      <c r="B31" s="90" t="s">
        <v>105</v>
      </c>
      <c r="C31" s="278">
        <v>0.28117847936152124</v>
      </c>
      <c r="D31" s="278">
        <v>0.18048740106872116</v>
      </c>
      <c r="E31" s="278">
        <v>0.14704210574669535</v>
      </c>
      <c r="F31" s="278">
        <v>0.20525015756822076</v>
      </c>
      <c r="G31" s="278">
        <v>0.26279967074539218</v>
      </c>
      <c r="H31" s="278">
        <v>0.27638488587213306</v>
      </c>
      <c r="I31" s="278">
        <v>0.26967942476488815</v>
      </c>
      <c r="J31" s="278">
        <v>0.20183358674780927</v>
      </c>
      <c r="K31" s="278">
        <v>0.21134838898740665</v>
      </c>
      <c r="L31" s="278">
        <v>0.19694405071338303</v>
      </c>
    </row>
    <row r="32" spans="1:12" ht="15">
      <c r="B32" s="90" t="s">
        <v>106</v>
      </c>
      <c r="C32" s="278">
        <v>0.18838482630876585</v>
      </c>
      <c r="D32" s="278">
        <v>0.12915454067729354</v>
      </c>
      <c r="E32" s="278">
        <v>0.1037380550284283</v>
      </c>
      <c r="F32" s="278">
        <v>0.17701090281339443</v>
      </c>
      <c r="G32" s="278">
        <v>0.22402149726273343</v>
      </c>
      <c r="H32" s="278">
        <v>0.232007670028609</v>
      </c>
      <c r="I32" s="278">
        <v>0.21838891639960548</v>
      </c>
      <c r="J32" s="278">
        <v>0.17267718179175012</v>
      </c>
      <c r="K32" s="278">
        <v>0.17362601659559862</v>
      </c>
      <c r="L32" s="278">
        <v>0.17125132722024969</v>
      </c>
    </row>
    <row r="33" spans="2:12" ht="15">
      <c r="B33" s="90" t="s">
        <v>107</v>
      </c>
      <c r="C33" s="278">
        <v>1.6889319727143176E-3</v>
      </c>
      <c r="D33" s="278">
        <v>1.7153850607630448E-3</v>
      </c>
      <c r="E33" s="278">
        <v>1.7921053850611665E-3</v>
      </c>
      <c r="F33" s="278">
        <v>0</v>
      </c>
      <c r="G33" s="278">
        <v>0</v>
      </c>
      <c r="H33" s="278">
        <v>0</v>
      </c>
      <c r="I33" s="278">
        <v>0</v>
      </c>
      <c r="J33" s="278">
        <v>0</v>
      </c>
      <c r="K33" s="278">
        <v>0</v>
      </c>
      <c r="L33" s="278">
        <v>0</v>
      </c>
    </row>
    <row r="34" spans="2:12" ht="15">
      <c r="B34" s="90" t="s">
        <v>108</v>
      </c>
      <c r="C34" s="278">
        <v>0.14978837534289544</v>
      </c>
      <c r="D34" s="278">
        <v>0.10763132723403221</v>
      </c>
      <c r="E34" s="278">
        <v>8.3528394974427586E-2</v>
      </c>
      <c r="F34" s="278">
        <v>0.14740407298309921</v>
      </c>
      <c r="G34" s="278">
        <v>0.16450572945370998</v>
      </c>
      <c r="H34" s="278">
        <v>0.16990382468792126</v>
      </c>
      <c r="I34" s="278">
        <v>0.15588442099595312</v>
      </c>
      <c r="J34" s="278">
        <v>0.13883827364170409</v>
      </c>
      <c r="K34" s="278">
        <v>0.14041273083190237</v>
      </c>
      <c r="L34" s="278">
        <v>0.13515775611338435</v>
      </c>
    </row>
    <row r="35" spans="2:12" ht="15">
      <c r="B35" s="90" t="s">
        <v>110</v>
      </c>
      <c r="C35" s="278">
        <v>0.11800483721459713</v>
      </c>
      <c r="D35" s="278">
        <v>0.12675514964687595</v>
      </c>
      <c r="E35" s="278">
        <v>0.10067358347108002</v>
      </c>
      <c r="F35" s="278">
        <v>5.3367462257584548E-2</v>
      </c>
      <c r="G35" s="278">
        <v>4.3302198545886121E-2</v>
      </c>
      <c r="H35" s="278">
        <v>5.8974291916017219E-2</v>
      </c>
      <c r="I35" s="278">
        <v>4.1797812802805499E-2</v>
      </c>
      <c r="J35" s="278">
        <v>3.9852185448152541E-2</v>
      </c>
      <c r="K35" s="278">
        <v>7.2852537996085931E-2</v>
      </c>
      <c r="L35" s="278">
        <v>5.4640365308192176E-2</v>
      </c>
    </row>
    <row r="36" spans="2:12" ht="15">
      <c r="B36" s="90" t="s">
        <v>111</v>
      </c>
      <c r="C36" s="278">
        <v>1.2881880388370185E-2</v>
      </c>
      <c r="D36" s="278">
        <v>1.2663382408461696E-2</v>
      </c>
      <c r="E36" s="278">
        <v>1.3661078286910861E-2</v>
      </c>
      <c r="F36" s="278">
        <v>5.1649462632815156E-3</v>
      </c>
      <c r="G36" s="278">
        <v>1.1631406682626745E-2</v>
      </c>
      <c r="H36" s="278">
        <v>1.1186820476524634E-2</v>
      </c>
      <c r="I36" s="278">
        <v>1.1457956136211147E-2</v>
      </c>
      <c r="J36" s="278">
        <v>1.056484941362258E-2</v>
      </c>
      <c r="K36" s="278">
        <v>1.108953397406826E-2</v>
      </c>
      <c r="L36" s="278">
        <v>1.0959528050384235E-2</v>
      </c>
    </row>
    <row r="37" spans="2:12" ht="15">
      <c r="B37" s="90" t="s">
        <v>112</v>
      </c>
      <c r="C37" s="278">
        <v>0.12176193961482382</v>
      </c>
      <c r="D37" s="278">
        <v>0.11269645695005888</v>
      </c>
      <c r="E37" s="278">
        <v>0.11464342642449089</v>
      </c>
      <c r="F37" s="278">
        <v>9.7586092112738592E-3</v>
      </c>
      <c r="G37" s="278">
        <v>9.6455287494653201E-3</v>
      </c>
      <c r="H37" s="278">
        <v>9.3098922725698731E-3</v>
      </c>
      <c r="I37" s="278">
        <v>8.9743258736175672E-3</v>
      </c>
      <c r="J37" s="278">
        <v>9.1317630439297047E-3</v>
      </c>
      <c r="K37" s="278">
        <v>8.6975333584485004E-3</v>
      </c>
      <c r="L37" s="278">
        <v>9.0698476520906599E-3</v>
      </c>
    </row>
    <row r="38" spans="2:12" ht="15.75" thickBot="1">
      <c r="B38" s="92" t="s">
        <v>113</v>
      </c>
      <c r="C38" s="278">
        <v>0.46669716661051408</v>
      </c>
      <c r="D38" s="278">
        <v>0.52824066502259104</v>
      </c>
      <c r="E38" s="278">
        <v>0.50746862287477268</v>
      </c>
      <c r="F38" s="278">
        <v>4.7656592358249573E-2</v>
      </c>
      <c r="G38" s="278">
        <v>2.7142986138842883E-2</v>
      </c>
      <c r="H38" s="278">
        <v>2.5877532283902688E-2</v>
      </c>
      <c r="I38" s="278">
        <v>2.5319850394751844E-2</v>
      </c>
      <c r="J38" s="278">
        <v>3.8023202523180283E-2</v>
      </c>
      <c r="K38" s="278">
        <v>3.7151868017164968E-2</v>
      </c>
      <c r="L38" s="278">
        <v>3.4347749726394386E-2</v>
      </c>
    </row>
    <row r="40" spans="2:12">
      <c r="F40" s="278"/>
      <c r="G40" s="278"/>
      <c r="H40" s="278"/>
      <c r="I40" s="278"/>
      <c r="J40" s="278"/>
      <c r="K40" s="278"/>
      <c r="L40" s="278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64"/>
  <sheetViews>
    <sheetView topLeftCell="A7" zoomScaleNormal="100" zoomScaleSheetLayoutView="100" workbookViewId="0">
      <selection activeCell="E38" sqref="E38"/>
    </sheetView>
  </sheetViews>
  <sheetFormatPr defaultColWidth="8.85546875" defaultRowHeight="15"/>
  <cols>
    <col min="1" max="1" width="48" style="364" customWidth="1"/>
    <col min="2" max="2" width="20.7109375" style="372" customWidth="1"/>
    <col min="3" max="3" width="26.140625" style="364" customWidth="1"/>
    <col min="4" max="4" width="22.140625" style="364" customWidth="1"/>
    <col min="5" max="5" width="24.42578125" style="364" customWidth="1"/>
    <col min="6" max="6" width="21.42578125" style="364" customWidth="1"/>
    <col min="7" max="7" width="23.140625" style="373" customWidth="1"/>
    <col min="8" max="8" width="13.7109375" style="364" bestFit="1" customWidth="1"/>
    <col min="9" max="16384" width="8.85546875" style="364"/>
  </cols>
  <sheetData>
    <row r="1" spans="1:8">
      <c r="A1" s="457" t="s">
        <v>272</v>
      </c>
      <c r="B1" s="458"/>
      <c r="C1" s="458"/>
      <c r="D1" s="458"/>
      <c r="E1" s="458"/>
      <c r="F1" s="459"/>
      <c r="G1" s="460"/>
    </row>
    <row r="2" spans="1:8">
      <c r="A2" s="461" t="s">
        <v>273</v>
      </c>
      <c r="B2" s="462"/>
      <c r="C2" s="462"/>
      <c r="D2" s="462"/>
      <c r="E2" s="462"/>
      <c r="F2" s="463"/>
      <c r="G2" s="464"/>
    </row>
    <row r="3" spans="1:8">
      <c r="A3" s="340"/>
      <c r="B3" s="465" t="s">
        <v>274</v>
      </c>
      <c r="C3" s="347" t="s">
        <v>275</v>
      </c>
      <c r="D3" s="467" t="s">
        <v>276</v>
      </c>
      <c r="E3" s="468"/>
      <c r="F3" s="469" t="s">
        <v>116</v>
      </c>
      <c r="G3" s="471" t="s">
        <v>277</v>
      </c>
    </row>
    <row r="4" spans="1:8" ht="21.75" customHeight="1">
      <c r="A4" s="90"/>
      <c r="B4" s="466"/>
      <c r="C4" s="314">
        <v>2019</v>
      </c>
      <c r="D4" s="315" t="s">
        <v>278</v>
      </c>
      <c r="E4" s="316" t="s">
        <v>279</v>
      </c>
      <c r="F4" s="470"/>
      <c r="G4" s="472"/>
    </row>
    <row r="5" spans="1:8">
      <c r="A5" s="479" t="s">
        <v>280</v>
      </c>
      <c r="B5" s="480"/>
      <c r="C5" s="480"/>
      <c r="D5" s="480"/>
      <c r="E5" s="480"/>
      <c r="F5" s="481"/>
      <c r="G5" s="482"/>
    </row>
    <row r="6" spans="1:8">
      <c r="A6" s="330" t="s">
        <v>281</v>
      </c>
      <c r="B6" s="331" t="s">
        <v>282</v>
      </c>
      <c r="C6" s="329">
        <f>C33</f>
        <v>98409139</v>
      </c>
      <c r="D6" s="329">
        <f>D33</f>
        <v>153985536.19000003</v>
      </c>
      <c r="E6" s="329">
        <f>E33</f>
        <v>175657416.46000001</v>
      </c>
      <c r="F6" s="329">
        <f>F33</f>
        <v>103828792</v>
      </c>
      <c r="G6" s="329">
        <f>G33</f>
        <v>92813819771.184998</v>
      </c>
      <c r="H6" s="378">
        <f>F6-C6</f>
        <v>5419653</v>
      </c>
    </row>
    <row r="7" spans="1:8">
      <c r="A7" s="330" t="s">
        <v>283</v>
      </c>
      <c r="B7" s="332" t="s">
        <v>284</v>
      </c>
      <c r="C7" s="344">
        <f>C33/C29</f>
        <v>0.14919599732487918</v>
      </c>
      <c r="D7" s="344">
        <f>D33/D29</f>
        <v>0.21974079100548016</v>
      </c>
      <c r="E7" s="344">
        <f>E33/E29</f>
        <v>0.23992254014155917</v>
      </c>
      <c r="F7" s="344">
        <f>F33/F29</f>
        <v>0.14250526271216202</v>
      </c>
      <c r="G7" s="344">
        <f>G33/G29</f>
        <v>0.15852844215836145</v>
      </c>
    </row>
    <row r="8" spans="1:8">
      <c r="A8" s="330" t="s">
        <v>35</v>
      </c>
      <c r="B8" s="332" t="s">
        <v>285</v>
      </c>
      <c r="C8" s="346">
        <f>C34/C29</f>
        <v>0.11007418893107167</v>
      </c>
      <c r="D8" s="346">
        <f>D34/D29</f>
        <v>0.18075964856116333</v>
      </c>
      <c r="E8" s="346">
        <f>E34/E29</f>
        <v>0.20203819807576381</v>
      </c>
      <c r="F8" s="344">
        <f>F34/F29</f>
        <v>0.10443654064318857</v>
      </c>
      <c r="G8" s="344">
        <f>G34/G29</f>
        <v>9.2879021526115629E-2</v>
      </c>
    </row>
    <row r="9" spans="1:8">
      <c r="A9" s="479" t="s">
        <v>286</v>
      </c>
      <c r="B9" s="480"/>
      <c r="C9" s="480"/>
      <c r="D9" s="480"/>
      <c r="E9" s="480"/>
      <c r="F9" s="481"/>
      <c r="G9" s="482"/>
    </row>
    <row r="10" spans="1:8">
      <c r="A10" s="330" t="s">
        <v>287</v>
      </c>
      <c r="B10" s="331" t="s">
        <v>288</v>
      </c>
      <c r="C10" s="346">
        <f>C35/C32</f>
        <v>0</v>
      </c>
      <c r="D10" s="346">
        <f>D35/D32</f>
        <v>6.680461637070903E-2</v>
      </c>
      <c r="E10" s="346">
        <f>E35/E32</f>
        <v>5.8669004320712224E-2</v>
      </c>
      <c r="F10" s="346">
        <f>F35/F32</f>
        <v>5.8669005016446611E-2</v>
      </c>
      <c r="G10" s="346">
        <f>G35/G32</f>
        <v>8.1923115843372349E-2</v>
      </c>
    </row>
    <row r="11" spans="1:8">
      <c r="A11" s="330" t="s">
        <v>147</v>
      </c>
      <c r="B11" s="331" t="s">
        <v>289</v>
      </c>
      <c r="C11" s="344">
        <f>C36/C29</f>
        <v>4.1460676614543251E-2</v>
      </c>
      <c r="D11" s="344">
        <f>D36/D29</f>
        <v>3.450476512838186E-2</v>
      </c>
      <c r="E11" s="344">
        <f>E36/E29</f>
        <v>3.1473270026014293E-2</v>
      </c>
      <c r="F11" s="344">
        <f>F36/F29</f>
        <v>2.6349820250160343E-2</v>
      </c>
      <c r="G11" s="344">
        <f>G36/G29</f>
        <v>0.10331964188281548</v>
      </c>
    </row>
    <row r="12" spans="1:8">
      <c r="A12" s="330" t="s">
        <v>290</v>
      </c>
      <c r="B12" s="331" t="s">
        <v>288</v>
      </c>
      <c r="C12" s="333">
        <f>C38/C31</f>
        <v>8.6859989292853296E-3</v>
      </c>
      <c r="D12" s="333">
        <f>D38/D31</f>
        <v>7.9726879541608467E-3</v>
      </c>
      <c r="E12" s="333">
        <f>E38/E31</f>
        <v>7.8282924204748777E-3</v>
      </c>
      <c r="F12" s="333">
        <f>F38/F31</f>
        <v>7.8310830078620174E-3</v>
      </c>
      <c r="G12" s="333">
        <f>G38/G31</f>
        <v>3.3894147010812434E-2</v>
      </c>
    </row>
    <row r="13" spans="1:8" s="365" customFormat="1">
      <c r="A13" s="334" t="s">
        <v>291</v>
      </c>
      <c r="B13" s="331" t="s">
        <v>292</v>
      </c>
      <c r="C13" s="345">
        <f>C38/C33</f>
        <v>4.2969139278822469E-2</v>
      </c>
      <c r="D13" s="345">
        <f>D38/D33</f>
        <v>2.7460728095802852E-2</v>
      </c>
      <c r="E13" s="345">
        <f>E38/E33</f>
        <v>2.4072737862240561E-2</v>
      </c>
      <c r="F13" s="345">
        <f>F38/F33</f>
        <v>4.0726237092308652E-2</v>
      </c>
      <c r="G13" s="345">
        <f>G38/G33</f>
        <v>0.14648773764078013</v>
      </c>
    </row>
    <row r="14" spans="1:8">
      <c r="A14" s="479" t="s">
        <v>293</v>
      </c>
      <c r="B14" s="480"/>
      <c r="C14" s="480"/>
      <c r="D14" s="480"/>
      <c r="E14" s="480"/>
      <c r="F14" s="481"/>
      <c r="G14" s="482"/>
    </row>
    <row r="15" spans="1:8">
      <c r="A15" s="330" t="s">
        <v>294</v>
      </c>
      <c r="B15" s="331"/>
      <c r="C15" s="346">
        <f>C48/C32</f>
        <v>0.18432222967654191</v>
      </c>
      <c r="D15" s="346">
        <f>D48/D32</f>
        <v>0.12920339640568926</v>
      </c>
      <c r="E15" s="346">
        <f>E48/E32</f>
        <v>0.17383407041543647</v>
      </c>
      <c r="F15" s="346">
        <f>F48/F32</f>
        <v>0.10774045089588859</v>
      </c>
      <c r="G15" s="346">
        <f>G48/G32</f>
        <v>0.17443870315662696</v>
      </c>
    </row>
    <row r="16" spans="1:8">
      <c r="A16" s="330" t="s">
        <v>295</v>
      </c>
      <c r="B16" s="331"/>
      <c r="C16" s="346">
        <f>C49/C44</f>
        <v>0.81230274644767986</v>
      </c>
      <c r="D16" s="346">
        <f>D49/D44</f>
        <v>0.33068826204585827</v>
      </c>
      <c r="E16" s="346">
        <f>E49/E44</f>
        <v>0.33091343328538642</v>
      </c>
      <c r="F16" s="346">
        <f>F49/F44</f>
        <v>0.9074607767100985</v>
      </c>
      <c r="G16" s="346">
        <f>G49/G44</f>
        <v>0.69938820574704474</v>
      </c>
    </row>
    <row r="17" spans="1:9">
      <c r="A17" s="330" t="s">
        <v>296</v>
      </c>
      <c r="B17" s="331"/>
      <c r="C17" s="345">
        <f>C50/C30</f>
        <v>2.2379769613754919E-2</v>
      </c>
      <c r="D17" s="345">
        <f>D50/D30</f>
        <v>8.1626280696577722E-2</v>
      </c>
      <c r="E17" s="345">
        <f>E50/E30</f>
        <v>0.10964544222755615</v>
      </c>
      <c r="F17" s="345">
        <f>F50/F30</f>
        <v>1.143794481943655E-2</v>
      </c>
      <c r="G17" s="345">
        <f>G50/G30</f>
        <v>3.841044164466715E-2</v>
      </c>
    </row>
    <row r="18" spans="1:9">
      <c r="A18" s="334" t="s">
        <v>297</v>
      </c>
      <c r="B18" s="335"/>
      <c r="C18" s="345">
        <f>C47/C44</f>
        <v>0.32162796115314152</v>
      </c>
      <c r="D18" s="345">
        <f>D47/D44</f>
        <v>0.28452021663262222</v>
      </c>
      <c r="E18" s="345">
        <f>E47/E44</f>
        <v>0.28396283960033991</v>
      </c>
      <c r="F18" s="345">
        <f>F47/F44</f>
        <v>0.29433774089094722</v>
      </c>
      <c r="G18" s="345">
        <f>G47/G44</f>
        <v>0.30079836895724715</v>
      </c>
    </row>
    <row r="19" spans="1:9">
      <c r="A19" s="479" t="s">
        <v>298</v>
      </c>
      <c r="B19" s="480"/>
      <c r="C19" s="480"/>
      <c r="D19" s="480"/>
      <c r="E19" s="480"/>
      <c r="F19" s="481"/>
      <c r="G19" s="482"/>
    </row>
    <row r="20" spans="1:9">
      <c r="A20" s="330" t="s">
        <v>299</v>
      </c>
      <c r="B20" s="336" t="s">
        <v>300</v>
      </c>
      <c r="C20" s="344">
        <f>C40/C41</f>
        <v>0.59313783443023149</v>
      </c>
      <c r="D20" s="344">
        <f>D40/D41</f>
        <v>1.4178168206476982</v>
      </c>
      <c r="E20" s="344">
        <f>E40/E41</f>
        <v>2.0006731708475938</v>
      </c>
      <c r="F20" s="344">
        <f>F40/F41</f>
        <v>0.8906740896345352</v>
      </c>
      <c r="G20" s="344">
        <f>G40/G41</f>
        <v>0.61510570462426006</v>
      </c>
      <c r="I20" s="318"/>
    </row>
    <row r="21" spans="1:9">
      <c r="A21" s="330" t="s">
        <v>301</v>
      </c>
      <c r="B21" s="331" t="s">
        <v>302</v>
      </c>
      <c r="C21" s="344">
        <f>C42/C29</f>
        <v>1.1611646592205726E-5</v>
      </c>
      <c r="D21" s="344">
        <f>D42/D29</f>
        <v>1.1921445449206786E-2</v>
      </c>
      <c r="E21" s="344">
        <f>E42/E29</f>
        <v>1.0282181516231097E-2</v>
      </c>
      <c r="F21" s="344">
        <f>F42/F29</f>
        <v>1.0332223891203004E-2</v>
      </c>
      <c r="G21" s="344">
        <f>G42/G29</f>
        <v>3.6576677282176132E-2</v>
      </c>
      <c r="I21" s="319"/>
    </row>
    <row r="22" spans="1:9">
      <c r="A22" s="330" t="s">
        <v>303</v>
      </c>
      <c r="B22" s="331"/>
      <c r="C22" s="344">
        <f>C40/C29</f>
        <v>6.7680720652838644E-2</v>
      </c>
      <c r="D22" s="344">
        <f>D40/D29</f>
        <v>0.12936886465819566</v>
      </c>
      <c r="E22" s="344">
        <f>E40/E29</f>
        <v>0.15742858586785072</v>
      </c>
      <c r="F22" s="344">
        <f>F40/F29</f>
        <v>0.15860449861372344</v>
      </c>
      <c r="G22" s="344">
        <f>G40/G29</f>
        <v>0.11724056070831325</v>
      </c>
    </row>
    <row r="23" spans="1:9">
      <c r="A23" s="479" t="s">
        <v>304</v>
      </c>
      <c r="B23" s="480"/>
      <c r="C23" s="480"/>
      <c r="D23" s="480"/>
      <c r="E23" s="480"/>
      <c r="F23" s="481"/>
      <c r="G23" s="482"/>
    </row>
    <row r="24" spans="1:9">
      <c r="A24" s="337" t="s">
        <v>305</v>
      </c>
      <c r="B24" s="335" t="s">
        <v>306</v>
      </c>
      <c r="C24" s="345">
        <f>C32/C29</f>
        <v>0.82800207020543437</v>
      </c>
      <c r="D24" s="345">
        <f>D32/D29</f>
        <v>0.86523081232939758</v>
      </c>
      <c r="E24" s="345">
        <f>E32/E29</f>
        <v>0.83846194422529452</v>
      </c>
      <c r="F24" s="345">
        <f>F32/F29</f>
        <v>0.84254265706342835</v>
      </c>
      <c r="G24" s="345">
        <f>G32/G29</f>
        <v>0.75523899350036761</v>
      </c>
    </row>
    <row r="25" spans="1:9">
      <c r="A25" s="337" t="s">
        <v>307</v>
      </c>
      <c r="B25" s="338" t="s">
        <v>308</v>
      </c>
      <c r="C25" s="345">
        <f>C32/C31</f>
        <v>1.1218566531308134</v>
      </c>
      <c r="D25" s="345">
        <f>D32/D31</f>
        <v>1.1431784050820011</v>
      </c>
      <c r="E25" s="345">
        <f>E32/E31</f>
        <v>1.1364592253033425</v>
      </c>
      <c r="F25" s="345">
        <f>F32/F31</f>
        <v>1.1368640595700381</v>
      </c>
      <c r="G25" s="345">
        <f>G32/G31</f>
        <v>1.1023021383861471</v>
      </c>
    </row>
    <row r="26" spans="1:9">
      <c r="A26" s="337" t="s">
        <v>309</v>
      </c>
      <c r="B26" s="338"/>
      <c r="C26" s="345">
        <f>C39/C31</f>
        <v>0.11977916882243211</v>
      </c>
      <c r="D26" s="345">
        <f>D39/D31</f>
        <v>7.9726879541608467E-3</v>
      </c>
      <c r="E26" s="345">
        <f>E39/E31</f>
        <v>7.8282924204748777E-3</v>
      </c>
      <c r="F26" s="345">
        <f>F39/F31</f>
        <v>7.8310830078620174E-3</v>
      </c>
      <c r="G26" s="345">
        <f>G39/G31</f>
        <v>6.7272666508328971E-2</v>
      </c>
    </row>
    <row r="27" spans="1:9">
      <c r="A27" s="337" t="s">
        <v>310</v>
      </c>
      <c r="B27" s="339"/>
      <c r="C27" s="345">
        <f>C46/C44</f>
        <v>0.48412626546975585</v>
      </c>
      <c r="D27" s="345">
        <f>D46/D44</f>
        <v>1.2481243403697214E-2</v>
      </c>
      <c r="E27" s="345">
        <f>E46/E44</f>
        <v>1.1558499799963928E-2</v>
      </c>
      <c r="F27" s="345">
        <f>F46/F44</f>
        <v>0.52777405743098982</v>
      </c>
      <c r="G27" s="345">
        <f>G46/G44</f>
        <v>0.33833568901269484</v>
      </c>
    </row>
    <row r="28" spans="1:9">
      <c r="A28" s="479" t="s">
        <v>311</v>
      </c>
      <c r="B28" s="480"/>
      <c r="C28" s="480">
        <v>2015</v>
      </c>
      <c r="D28" s="480">
        <v>2016</v>
      </c>
      <c r="E28" s="480">
        <v>2017</v>
      </c>
      <c r="F28" s="481"/>
      <c r="G28" s="482" t="s">
        <v>312</v>
      </c>
    </row>
    <row r="29" spans="1:9">
      <c r="A29" s="352" t="s">
        <v>65</v>
      </c>
      <c r="B29" s="341"/>
      <c r="C29" s="348">
        <v>659596375</v>
      </c>
      <c r="D29" s="348">
        <v>700759906.63999999</v>
      </c>
      <c r="E29" s="348">
        <v>732142200.38</v>
      </c>
      <c r="F29" s="348">
        <f>SFP!AS27</f>
        <v>728596193.74000001</v>
      </c>
      <c r="G29" s="349">
        <v>585471089651.33801</v>
      </c>
    </row>
    <row r="30" spans="1:9">
      <c r="A30" s="352" t="s">
        <v>313</v>
      </c>
      <c r="B30" s="341"/>
      <c r="C30" s="348">
        <v>624882661.5</v>
      </c>
      <c r="D30" s="348">
        <v>669201874.61500001</v>
      </c>
      <c r="E30" s="348">
        <v>695624447.03999996</v>
      </c>
      <c r="F30" s="348">
        <f>(C29+F29)/2</f>
        <v>694096284.37</v>
      </c>
      <c r="G30" s="349">
        <v>569661220979.42395</v>
      </c>
    </row>
    <row r="31" spans="1:9">
      <c r="A31" s="352" t="s">
        <v>66</v>
      </c>
      <c r="B31" s="341"/>
      <c r="C31" s="349">
        <v>486824375</v>
      </c>
      <c r="D31" s="349">
        <v>530380088.16000003</v>
      </c>
      <c r="E31" s="349">
        <v>540163130.46000004</v>
      </c>
      <c r="F31" s="349">
        <f>SFP!AS32</f>
        <v>539970780</v>
      </c>
      <c r="G31" s="349">
        <v>401133755504.83002</v>
      </c>
    </row>
    <row r="32" spans="1:9">
      <c r="A32" s="352" t="s">
        <v>314</v>
      </c>
      <c r="B32" s="341"/>
      <c r="C32" s="350">
        <v>546147164</v>
      </c>
      <c r="D32" s="350">
        <v>606319063.26999998</v>
      </c>
      <c r="E32" s="350">
        <v>613873372.77999997</v>
      </c>
      <c r="F32" s="350">
        <f>SFP!AS15</f>
        <v>613873373</v>
      </c>
      <c r="G32" s="349">
        <v>442170596471.84003</v>
      </c>
    </row>
    <row r="33" spans="1:7">
      <c r="A33" s="352" t="s">
        <v>122</v>
      </c>
      <c r="B33" s="341"/>
      <c r="C33" s="348">
        <v>98409139</v>
      </c>
      <c r="D33" s="348">
        <v>153985536.19000003</v>
      </c>
      <c r="E33" s="348">
        <v>175657416.46000001</v>
      </c>
      <c r="F33" s="348">
        <f>Financials!AT14</f>
        <v>103828792</v>
      </c>
      <c r="G33" s="349">
        <v>92813819771.184998</v>
      </c>
    </row>
    <row r="34" spans="1:7">
      <c r="A34" s="352" t="s">
        <v>315</v>
      </c>
      <c r="B34" s="341"/>
      <c r="C34" s="348">
        <v>72604536</v>
      </c>
      <c r="D34" s="348">
        <v>126669114.45000003</v>
      </c>
      <c r="E34" s="348">
        <v>147920690.90000001</v>
      </c>
      <c r="F34" s="348">
        <f>Financials!AT15</f>
        <v>76092066</v>
      </c>
      <c r="G34" s="349">
        <v>54377981938.644997</v>
      </c>
    </row>
    <row r="35" spans="1:7">
      <c r="A35" s="352" t="s">
        <v>316</v>
      </c>
      <c r="B35" s="341"/>
      <c r="C35" s="349">
        <v>0</v>
      </c>
      <c r="D35" s="349">
        <v>40504912.420000002</v>
      </c>
      <c r="E35" s="349">
        <v>36015339.560000002</v>
      </c>
      <c r="F35" s="349">
        <f>16172116+14580201+5263023</f>
        <v>36015340</v>
      </c>
      <c r="G35" s="349">
        <v>36223992997.295601</v>
      </c>
    </row>
    <row r="36" spans="1:7">
      <c r="A36" s="352" t="s">
        <v>147</v>
      </c>
      <c r="B36" s="341"/>
      <c r="C36" s="350">
        <v>27347312</v>
      </c>
      <c r="D36" s="350">
        <v>24179555.989999998</v>
      </c>
      <c r="E36" s="350">
        <v>23042909.170000002</v>
      </c>
      <c r="F36" s="350">
        <f>Financials!AT38</f>
        <v>19198378.740000002</v>
      </c>
      <c r="G36" s="349">
        <v>60490663315.517998</v>
      </c>
    </row>
    <row r="37" spans="1:7">
      <c r="A37" s="352" t="s">
        <v>148</v>
      </c>
      <c r="B37" s="341"/>
      <c r="C37" s="348">
        <v>5678927</v>
      </c>
      <c r="D37" s="348">
        <v>5703357.4500000002</v>
      </c>
      <c r="E37" s="348">
        <v>5726553.9800000004</v>
      </c>
      <c r="F37" s="350">
        <f>Financials!AT39</f>
        <v>3186216</v>
      </c>
      <c r="G37" s="349">
        <v>17300265302.768002</v>
      </c>
    </row>
    <row r="38" spans="1:7">
      <c r="A38" s="352" t="s">
        <v>317</v>
      </c>
      <c r="B38" s="341"/>
      <c r="C38" s="348">
        <v>4228556</v>
      </c>
      <c r="D38" s="348">
        <v>4228554.9400000004</v>
      </c>
      <c r="E38" s="348">
        <v>4228554.9400000004</v>
      </c>
      <c r="F38" s="348">
        <f>SFP!AS12+SFP!AS13</f>
        <v>4228556</v>
      </c>
      <c r="G38" s="349">
        <v>13596086480.08</v>
      </c>
    </row>
    <row r="39" spans="1:7">
      <c r="A39" s="352" t="s">
        <v>194</v>
      </c>
      <c r="B39" s="341"/>
      <c r="C39" s="348">
        <v>58311419</v>
      </c>
      <c r="D39" s="348">
        <v>4228554.9400000004</v>
      </c>
      <c r="E39" s="348">
        <v>4228554.9400000004</v>
      </c>
      <c r="F39" s="348">
        <f>SFP!AS8</f>
        <v>4228556</v>
      </c>
      <c r="G39" s="349">
        <v>26985337359.310001</v>
      </c>
    </row>
    <row r="40" spans="1:7">
      <c r="A40" s="352" t="s">
        <v>318</v>
      </c>
      <c r="B40" s="341"/>
      <c r="C40" s="348">
        <v>44641958</v>
      </c>
      <c r="D40" s="348">
        <v>90656513.519999996</v>
      </c>
      <c r="E40" s="348">
        <v>115260111.26000001</v>
      </c>
      <c r="F40" s="348">
        <f>SFP!AS4+SFP!AS11</f>
        <v>115558634</v>
      </c>
      <c r="G40" s="349">
        <v>68640958829.230003</v>
      </c>
    </row>
    <row r="41" spans="1:7">
      <c r="A41" s="352" t="s">
        <v>319</v>
      </c>
      <c r="B41" s="341"/>
      <c r="C41" s="348">
        <v>75264054</v>
      </c>
      <c r="D41" s="348">
        <v>63940921.140000001</v>
      </c>
      <c r="E41" s="348">
        <v>57610664.719999999</v>
      </c>
      <c r="F41" s="348">
        <f>SFP!AS29+SFP!AS30+SFP!AS33-SFP!AS39</f>
        <v>129742894</v>
      </c>
      <c r="G41" s="349">
        <v>111592134999.235</v>
      </c>
    </row>
    <row r="42" spans="1:7">
      <c r="A42" s="352" t="s">
        <v>320</v>
      </c>
      <c r="B42" s="341"/>
      <c r="C42" s="348">
        <v>7659</v>
      </c>
      <c r="D42" s="348">
        <v>8354071</v>
      </c>
      <c r="E42" s="348">
        <v>7528019</v>
      </c>
      <c r="F42" s="348">
        <f>SFP!AS39</f>
        <v>7528019</v>
      </c>
      <c r="G42" s="349">
        <v>21414587104.221001</v>
      </c>
    </row>
    <row r="43" spans="1:7">
      <c r="A43" s="352" t="s">
        <v>321</v>
      </c>
      <c r="B43" s="341"/>
      <c r="C43" s="348">
        <v>512412658.5</v>
      </c>
      <c r="D43" s="348">
        <v>576858696.53999996</v>
      </c>
      <c r="E43" s="348">
        <v>579967320.245</v>
      </c>
      <c r="F43" s="348">
        <f>(C32+E32)/2</f>
        <v>580010268.38999999</v>
      </c>
      <c r="G43" s="349">
        <v>431312247219.79498</v>
      </c>
    </row>
    <row r="44" spans="1:7">
      <c r="A44" s="352" t="s">
        <v>322</v>
      </c>
      <c r="B44" s="341"/>
      <c r="C44" s="348">
        <v>119501967</v>
      </c>
      <c r="D44" s="348">
        <v>93225263.090000004</v>
      </c>
      <c r="E44" s="348">
        <v>125316872.87</v>
      </c>
      <c r="F44" s="348">
        <f>SCI!AS3</f>
        <v>125316872</v>
      </c>
      <c r="G44" s="349">
        <v>89459919464.139999</v>
      </c>
    </row>
    <row r="45" spans="1:7">
      <c r="A45" s="352" t="s">
        <v>323</v>
      </c>
      <c r="B45" s="341"/>
      <c r="C45" s="348">
        <v>60865365</v>
      </c>
      <c r="D45" s="348">
        <v>88921234.909999996</v>
      </c>
      <c r="E45" s="348">
        <v>119433171.29000001</v>
      </c>
      <c r="F45" s="348">
        <f>SCI!AS19</f>
        <v>56057997</v>
      </c>
      <c r="G45" s="349">
        <v>53897611535.760002</v>
      </c>
    </row>
    <row r="46" spans="1:7">
      <c r="A46" s="352" t="s">
        <v>324</v>
      </c>
      <c r="B46" s="341"/>
      <c r="C46" s="348">
        <v>57854041</v>
      </c>
      <c r="D46" s="348">
        <v>1163567.2</v>
      </c>
      <c r="E46" s="348">
        <v>1448475.05</v>
      </c>
      <c r="F46" s="348">
        <f>SCI!AS13</f>
        <v>66138994</v>
      </c>
      <c r="G46" s="349">
        <v>30267483490.919998</v>
      </c>
    </row>
    <row r="47" spans="1:7">
      <c r="A47" s="352" t="s">
        <v>259</v>
      </c>
      <c r="B47" s="341"/>
      <c r="C47" s="348">
        <v>38435174</v>
      </c>
      <c r="D47" s="348">
        <v>26524472.050000001</v>
      </c>
      <c r="E47" s="348">
        <v>35585335.07</v>
      </c>
      <c r="F47" s="348">
        <f>SCI!AS23</f>
        <v>36885485</v>
      </c>
      <c r="G47" s="349">
        <v>26909397861.860001</v>
      </c>
    </row>
    <row r="48" spans="1:7">
      <c r="A48" s="352" t="s">
        <v>325</v>
      </c>
      <c r="B48" s="341"/>
      <c r="C48" s="348">
        <v>100667063</v>
      </c>
      <c r="D48" s="348">
        <v>78338482.280000001</v>
      </c>
      <c r="E48" s="348">
        <v>106712107.11</v>
      </c>
      <c r="F48" s="348">
        <f>SCI!AS13+SCI!AS15</f>
        <v>66138994</v>
      </c>
      <c r="G48" s="349">
        <v>77131665422.539993</v>
      </c>
    </row>
    <row r="49" spans="1:7">
      <c r="A49" s="352" t="s">
        <v>326</v>
      </c>
      <c r="B49" s="341"/>
      <c r="C49" s="348">
        <v>97071776</v>
      </c>
      <c r="D49" s="348">
        <v>30828500.23</v>
      </c>
      <c r="E49" s="348">
        <v>41469036.649999999</v>
      </c>
      <c r="F49" s="348">
        <f>SCI!AS12+SCI!AS20+SCI!AS23</f>
        <v>113720146</v>
      </c>
      <c r="G49" s="349">
        <v>62567212560.300003</v>
      </c>
    </row>
    <row r="50" spans="1:7">
      <c r="A50" s="352" t="s">
        <v>327</v>
      </c>
      <c r="B50" s="341"/>
      <c r="C50" s="348">
        <v>13984730</v>
      </c>
      <c r="D50" s="348">
        <v>54624460.060000002</v>
      </c>
      <c r="E50" s="348">
        <v>76272050.120000005</v>
      </c>
      <c r="F50" s="348">
        <f>SCI!AS37</f>
        <v>7939035</v>
      </c>
      <c r="G50" s="349">
        <v>21880939085.66</v>
      </c>
    </row>
    <row r="51" spans="1:7">
      <c r="A51" s="473" t="s">
        <v>328</v>
      </c>
      <c r="B51" s="474"/>
      <c r="C51" s="474"/>
      <c r="D51" s="474"/>
      <c r="E51" s="474"/>
      <c r="F51" s="474"/>
      <c r="G51" s="475"/>
    </row>
    <row r="52" spans="1:7">
      <c r="A52" s="321">
        <v>1</v>
      </c>
      <c r="B52" s="317"/>
      <c r="C52" s="322"/>
      <c r="D52" s="322"/>
      <c r="E52" s="322"/>
      <c r="F52" s="323"/>
      <c r="G52" s="324"/>
    </row>
    <row r="53" spans="1:7">
      <c r="A53" s="321">
        <v>2</v>
      </c>
      <c r="B53" s="317"/>
      <c r="C53" s="322"/>
      <c r="D53" s="322"/>
      <c r="E53" s="322"/>
      <c r="F53" s="323"/>
      <c r="G53" s="324"/>
    </row>
    <row r="54" spans="1:7">
      <c r="A54" s="321">
        <v>3</v>
      </c>
      <c r="B54" s="317"/>
      <c r="C54" s="322"/>
      <c r="D54" s="322"/>
      <c r="E54" s="322"/>
      <c r="F54" s="323"/>
      <c r="G54" s="324"/>
    </row>
    <row r="55" spans="1:7">
      <c r="A55" s="320">
        <v>4</v>
      </c>
      <c r="B55" s="322"/>
      <c r="C55" s="322"/>
      <c r="D55" s="322"/>
      <c r="E55" s="323"/>
      <c r="F55" s="323"/>
      <c r="G55" s="351"/>
    </row>
    <row r="56" spans="1:7">
      <c r="A56" s="342" t="s">
        <v>329</v>
      </c>
      <c r="B56" s="317"/>
      <c r="C56" s="476"/>
      <c r="D56" s="477"/>
      <c r="E56" s="477"/>
      <c r="F56" s="477"/>
      <c r="G56" s="478"/>
    </row>
    <row r="57" spans="1:7">
      <c r="A57" s="342"/>
      <c r="B57" s="317"/>
      <c r="C57" s="325"/>
      <c r="D57" s="325"/>
      <c r="E57" s="326"/>
      <c r="F57" s="326"/>
      <c r="G57" s="327"/>
    </row>
    <row r="58" spans="1:7">
      <c r="A58" s="343" t="s">
        <v>330</v>
      </c>
      <c r="B58" s="328"/>
      <c r="C58" s="476"/>
      <c r="D58" s="477"/>
      <c r="E58" s="477"/>
      <c r="F58" s="477"/>
      <c r="G58" s="478"/>
    </row>
    <row r="59" spans="1:7">
      <c r="A59" s="90"/>
      <c r="B59" s="317"/>
      <c r="C59" s="322"/>
      <c r="D59" s="322"/>
      <c r="E59" s="322"/>
      <c r="F59" s="323"/>
      <c r="G59" s="324"/>
    </row>
    <row r="60" spans="1:7">
      <c r="A60" s="342" t="s">
        <v>331</v>
      </c>
      <c r="B60" s="317"/>
      <c r="C60" s="476"/>
      <c r="D60" s="477"/>
      <c r="E60" s="477"/>
      <c r="F60" s="477"/>
      <c r="G60" s="478"/>
    </row>
    <row r="61" spans="1:7" ht="15.75" thickBot="1">
      <c r="A61" s="366"/>
      <c r="B61" s="367"/>
      <c r="C61" s="368"/>
      <c r="D61" s="368"/>
      <c r="E61" s="368"/>
      <c r="F61" s="369"/>
      <c r="G61" s="370"/>
    </row>
    <row r="62" spans="1:7">
      <c r="A62" s="371" t="s">
        <v>332</v>
      </c>
    </row>
    <row r="63" spans="1:7">
      <c r="A63" s="365"/>
    </row>
    <row r="64" spans="1:7">
      <c r="A64" s="365"/>
    </row>
  </sheetData>
  <mergeCells count="16">
    <mergeCell ref="A51:G51"/>
    <mergeCell ref="C56:G56"/>
    <mergeCell ref="C58:G58"/>
    <mergeCell ref="C60:G60"/>
    <mergeCell ref="A5:G5"/>
    <mergeCell ref="A9:G9"/>
    <mergeCell ref="A14:G14"/>
    <mergeCell ref="A19:G19"/>
    <mergeCell ref="A23:G23"/>
    <mergeCell ref="A28:G28"/>
    <mergeCell ref="A1:G1"/>
    <mergeCell ref="A2:G2"/>
    <mergeCell ref="B3:B4"/>
    <mergeCell ref="D3:E3"/>
    <mergeCell ref="F3:F4"/>
    <mergeCell ref="G3:G4"/>
  </mergeCells>
  <pageMargins left="0.70866141732283472" right="0.70866141732283472" top="0.74803149606299213" bottom="0.74803149606299213" header="0.31496062992125984" footer="0.31496062992125984"/>
  <pageSetup scale="53" orientation="landscape" r:id="rId1"/>
  <colBreaks count="1" manualBreakCount="1">
    <brk id="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64"/>
  <sheetViews>
    <sheetView topLeftCell="A43" workbookViewId="0">
      <selection sqref="A1:G1"/>
    </sheetView>
  </sheetViews>
  <sheetFormatPr defaultRowHeight="15"/>
  <cols>
    <col min="1" max="1" width="42.42578125" customWidth="1"/>
    <col min="2" max="2" width="18" bestFit="1" customWidth="1"/>
    <col min="3" max="3" width="16.7109375" bestFit="1" customWidth="1"/>
    <col min="4" max="4" width="21" bestFit="1" customWidth="1"/>
    <col min="5" max="6" width="16.28515625" bestFit="1" customWidth="1"/>
    <col min="7" max="7" width="31.85546875" bestFit="1" customWidth="1"/>
  </cols>
  <sheetData>
    <row r="1" spans="1:7">
      <c r="A1" s="457" t="s">
        <v>333</v>
      </c>
      <c r="B1" s="458"/>
      <c r="C1" s="458"/>
      <c r="D1" s="458"/>
      <c r="E1" s="458"/>
      <c r="F1" s="459"/>
      <c r="G1" s="460"/>
    </row>
    <row r="2" spans="1:7">
      <c r="A2" s="461" t="s">
        <v>334</v>
      </c>
      <c r="B2" s="462"/>
      <c r="C2" s="462"/>
      <c r="D2" s="462"/>
      <c r="E2" s="462"/>
      <c r="F2" s="463"/>
      <c r="G2" s="464"/>
    </row>
    <row r="3" spans="1:7">
      <c r="A3" s="340"/>
      <c r="B3" s="465" t="s">
        <v>274</v>
      </c>
      <c r="C3" s="347" t="s">
        <v>275</v>
      </c>
      <c r="D3" s="467" t="s">
        <v>276</v>
      </c>
      <c r="E3" s="468"/>
      <c r="F3" s="469" t="s">
        <v>335</v>
      </c>
      <c r="G3" s="471" t="s">
        <v>277</v>
      </c>
    </row>
    <row r="4" spans="1:7" ht="30">
      <c r="A4" s="90"/>
      <c r="B4" s="466"/>
      <c r="C4" s="314">
        <v>2018</v>
      </c>
      <c r="D4" s="315" t="s">
        <v>336</v>
      </c>
      <c r="E4" s="316" t="s">
        <v>337</v>
      </c>
      <c r="F4" s="470"/>
      <c r="G4" s="472"/>
    </row>
    <row r="5" spans="1:7">
      <c r="A5" s="479" t="s">
        <v>280</v>
      </c>
      <c r="B5" s="480"/>
      <c r="C5" s="480"/>
      <c r="D5" s="480"/>
      <c r="E5" s="480"/>
      <c r="F5" s="481"/>
      <c r="G5" s="482"/>
    </row>
    <row r="6" spans="1:7">
      <c r="A6" s="330" t="s">
        <v>281</v>
      </c>
      <c r="B6" s="331" t="s">
        <v>282</v>
      </c>
      <c r="C6" s="329">
        <v>92958252</v>
      </c>
      <c r="D6" s="329">
        <v>114415998.61</v>
      </c>
      <c r="E6" s="329">
        <v>127048808.22</v>
      </c>
      <c r="F6" s="329">
        <f>F33</f>
        <v>102637695</v>
      </c>
      <c r="G6" s="329">
        <v>85391581296.029007</v>
      </c>
    </row>
    <row r="7" spans="1:7">
      <c r="A7" s="330" t="s">
        <v>283</v>
      </c>
      <c r="B7" s="332" t="s">
        <v>284</v>
      </c>
      <c r="C7" s="344">
        <v>0.15751125557354806</v>
      </c>
      <c r="D7" s="344">
        <v>0.17943558922369865</v>
      </c>
      <c r="E7" s="344">
        <v>0.19275909262397464</v>
      </c>
      <c r="F7" s="344">
        <f>F6/F29</f>
        <v>0.15560682091377473</v>
      </c>
      <c r="G7" s="344">
        <v>0.15597716421648317</v>
      </c>
    </row>
    <row r="8" spans="1:7">
      <c r="A8" s="330" t="s">
        <v>35</v>
      </c>
      <c r="B8" s="332" t="s">
        <v>285</v>
      </c>
      <c r="C8" s="346">
        <v>0.1181899814220656</v>
      </c>
      <c r="D8" s="346">
        <v>0.13976271198356527</v>
      </c>
      <c r="E8" s="346">
        <v>0.15360973590124533</v>
      </c>
      <c r="F8" s="344">
        <f>F34/F29</f>
        <v>0.11648501251996723</v>
      </c>
      <c r="G8" s="344">
        <v>9.1529476530776754E-2</v>
      </c>
    </row>
    <row r="9" spans="1:7">
      <c r="A9" s="479" t="s">
        <v>286</v>
      </c>
      <c r="B9" s="480"/>
      <c r="C9" s="480"/>
      <c r="D9" s="480"/>
      <c r="E9" s="480"/>
      <c r="F9" s="481"/>
      <c r="G9" s="482"/>
    </row>
    <row r="10" spans="1:7">
      <c r="A10" s="330" t="s">
        <v>287</v>
      </c>
      <c r="B10" s="331" t="s">
        <v>288</v>
      </c>
      <c r="C10" s="346">
        <v>0</v>
      </c>
      <c r="D10" s="346">
        <v>5.7997793674342386E-2</v>
      </c>
      <c r="E10" s="346">
        <v>4.9062416773035251E-2</v>
      </c>
      <c r="F10" s="346">
        <f>F35/F32</f>
        <v>4.9054699476568188E-2</v>
      </c>
      <c r="G10" s="346">
        <v>7.3407956508729152E-2</v>
      </c>
    </row>
    <row r="11" spans="1:7">
      <c r="A11" s="330" t="s">
        <v>147</v>
      </c>
      <c r="B11" s="331" t="s">
        <v>289</v>
      </c>
      <c r="C11" s="344">
        <v>5.3369039673703739E-2</v>
      </c>
      <c r="D11" s="344">
        <v>4.313589934198693E-2</v>
      </c>
      <c r="E11" s="344">
        <v>4.1315651335798287E-2</v>
      </c>
      <c r="F11" s="344">
        <f>F36/F29</f>
        <v>4.1460676614543251E-2</v>
      </c>
      <c r="G11" s="344">
        <v>0.10567686658211675</v>
      </c>
    </row>
    <row r="12" spans="1:7">
      <c r="A12" s="330" t="s">
        <v>290</v>
      </c>
      <c r="B12" s="331" t="s">
        <v>288</v>
      </c>
      <c r="C12" s="333">
        <v>0</v>
      </c>
      <c r="D12" s="333">
        <v>8.629787820115465E-3</v>
      </c>
      <c r="E12" s="333">
        <v>8.6830722287846648E-3</v>
      </c>
      <c r="F12" s="333">
        <f>F38/F31</f>
        <v>8.6859989292853296E-3</v>
      </c>
      <c r="G12" s="333">
        <v>3.4924322826732836E-2</v>
      </c>
    </row>
    <row r="13" spans="1:7">
      <c r="A13" s="334" t="s">
        <v>291</v>
      </c>
      <c r="B13" s="331" t="s">
        <v>292</v>
      </c>
      <c r="C13" s="345">
        <v>0</v>
      </c>
      <c r="D13" s="345">
        <v>3.6957724368717991E-2</v>
      </c>
      <c r="E13" s="345">
        <v>3.3282917008381208E-2</v>
      </c>
      <c r="F13" s="345">
        <f>F38/F33</f>
        <v>4.1198859736668869E-2</v>
      </c>
      <c r="G13" s="345">
        <v>0.15379721295547349</v>
      </c>
    </row>
    <row r="14" spans="1:7">
      <c r="A14" s="479" t="s">
        <v>293</v>
      </c>
      <c r="B14" s="480"/>
      <c r="C14" s="480"/>
      <c r="D14" s="480"/>
      <c r="E14" s="480"/>
      <c r="F14" s="481"/>
      <c r="G14" s="482"/>
    </row>
    <row r="15" spans="1:7">
      <c r="A15" s="330" t="s">
        <v>294</v>
      </c>
      <c r="B15" s="331"/>
      <c r="C15" s="346">
        <v>0.1927037977853984</v>
      </c>
      <c r="D15" s="346">
        <v>0.13877868068462679</v>
      </c>
      <c r="E15" s="346">
        <v>0.1873746590727593</v>
      </c>
      <c r="F15" s="346">
        <f>F48/F32</f>
        <v>0.18432222967654191</v>
      </c>
      <c r="G15" s="346">
        <v>0.16090340655515664</v>
      </c>
    </row>
    <row r="16" spans="1:7">
      <c r="A16" s="330" t="s">
        <v>295</v>
      </c>
      <c r="B16" s="331"/>
      <c r="C16" s="346">
        <v>0.79311986141810542</v>
      </c>
      <c r="D16" s="346">
        <v>0.35836604868678473</v>
      </c>
      <c r="E16" s="346">
        <v>0.33974950555086231</v>
      </c>
      <c r="F16" s="346">
        <f>F49/F44</f>
        <v>0.81230274644767986</v>
      </c>
      <c r="G16" s="346">
        <v>0.70779969699627798</v>
      </c>
    </row>
    <row r="17" spans="1:9">
      <c r="A17" s="330" t="s">
        <v>296</v>
      </c>
      <c r="B17" s="331"/>
      <c r="C17" s="345">
        <v>2.7977037909074701E-2</v>
      </c>
      <c r="D17" s="345">
        <v>8.1818348036064151E-2</v>
      </c>
      <c r="E17" s="345">
        <v>0.11400955414054095</v>
      </c>
      <c r="F17" s="345">
        <f>F50/F30</f>
        <v>2.2379769613754919E-2</v>
      </c>
      <c r="G17" s="345">
        <v>3.697597245768388E-2</v>
      </c>
    </row>
    <row r="18" spans="1:9">
      <c r="A18" s="334" t="s">
        <v>297</v>
      </c>
      <c r="B18" s="335"/>
      <c r="C18" s="345">
        <v>0.30200756782358568</v>
      </c>
      <c r="D18" s="345">
        <v>0.31934512643499757</v>
      </c>
      <c r="E18" s="345">
        <v>0.30463818249029551</v>
      </c>
      <c r="F18" s="345">
        <f>F47/F45</f>
        <v>0.63147857570557575</v>
      </c>
      <c r="G18" s="345">
        <v>0.31992696870403498</v>
      </c>
    </row>
    <row r="19" spans="1:9">
      <c r="A19" s="479" t="s">
        <v>298</v>
      </c>
      <c r="B19" s="480"/>
      <c r="C19" s="480"/>
      <c r="D19" s="480"/>
      <c r="E19" s="480"/>
      <c r="F19" s="481"/>
      <c r="G19" s="482"/>
    </row>
    <row r="20" spans="1:9">
      <c r="A20" s="330" t="s">
        <v>299</v>
      </c>
      <c r="B20" s="336" t="s">
        <v>300</v>
      </c>
      <c r="C20" s="344">
        <v>1.1755674252429795</v>
      </c>
      <c r="D20" s="344">
        <v>1.0116662174612125</v>
      </c>
      <c r="E20" s="344">
        <v>1.4570233995613726</v>
      </c>
      <c r="F20" s="344">
        <f>F40/F41</f>
        <v>0.33907430682720252</v>
      </c>
      <c r="G20" s="344">
        <v>0.54995223824859307</v>
      </c>
      <c r="I20" s="318"/>
    </row>
    <row r="21" spans="1:9">
      <c r="A21" s="330" t="s">
        <v>301</v>
      </c>
      <c r="B21" s="331" t="s">
        <v>302</v>
      </c>
      <c r="C21" s="344">
        <v>0</v>
      </c>
      <c r="D21" s="344">
        <v>0</v>
      </c>
      <c r="E21" s="344">
        <v>0</v>
      </c>
      <c r="F21" s="344">
        <f>F42/F29</f>
        <v>1.1611646592205726E-5</v>
      </c>
      <c r="G21" s="344">
        <v>3.9238044622780577E-2</v>
      </c>
      <c r="I21" s="319"/>
    </row>
    <row r="22" spans="1:9">
      <c r="A22" s="330" t="s">
        <v>303</v>
      </c>
      <c r="B22" s="331"/>
      <c r="C22" s="344">
        <v>0.14737887226150706</v>
      </c>
      <c r="D22" s="344">
        <v>0.12043217751163511</v>
      </c>
      <c r="E22" s="344">
        <v>0.14934900214320188</v>
      </c>
      <c r="F22" s="344">
        <f>F40/F29</f>
        <v>6.7680720652838644E-2</v>
      </c>
      <c r="G22" s="344">
        <v>0.11016896486052413</v>
      </c>
    </row>
    <row r="23" spans="1:9">
      <c r="A23" s="479" t="s">
        <v>304</v>
      </c>
      <c r="B23" s="480"/>
      <c r="C23" s="480"/>
      <c r="D23" s="480"/>
      <c r="E23" s="480"/>
      <c r="F23" s="481"/>
      <c r="G23" s="482"/>
    </row>
    <row r="24" spans="1:9">
      <c r="A24" s="337" t="s">
        <v>305</v>
      </c>
      <c r="B24" s="335" t="s">
        <v>306</v>
      </c>
      <c r="C24" s="345">
        <v>0.8110866466664729</v>
      </c>
      <c r="D24" s="345">
        <v>0.85847034543070588</v>
      </c>
      <c r="E24" s="345">
        <v>0.8284869095238564</v>
      </c>
      <c r="F24" s="345">
        <f>F32/F29</f>
        <v>0.82800207020543437</v>
      </c>
      <c r="G24" s="345">
        <v>0.75892187654689014</v>
      </c>
    </row>
    <row r="25" spans="1:9">
      <c r="A25" s="337" t="s">
        <v>307</v>
      </c>
      <c r="B25" s="338" t="s">
        <v>308</v>
      </c>
      <c r="C25" s="345">
        <v>1.1046877794190588</v>
      </c>
      <c r="D25" s="345">
        <v>1.1171503046253162</v>
      </c>
      <c r="E25" s="345">
        <v>1.1213025480680283</v>
      </c>
      <c r="F25" s="345">
        <f>F32/F31</f>
        <v>1.1218566531308134</v>
      </c>
      <c r="G25" s="345">
        <v>1.1048811904759108</v>
      </c>
    </row>
    <row r="26" spans="1:9">
      <c r="A26" s="337" t="s">
        <v>309</v>
      </c>
      <c r="B26" s="338"/>
      <c r="C26" s="345">
        <v>9.7586092112738592E-3</v>
      </c>
      <c r="D26" s="345">
        <v>8.629787820115465E-3</v>
      </c>
      <c r="E26" s="345">
        <v>8.6830722287846648E-3</v>
      </c>
      <c r="F26" s="345">
        <f>F39/F29</f>
        <v>8.8404699010057472E-2</v>
      </c>
      <c r="G26" s="345">
        <v>5.9782934598017992E-2</v>
      </c>
    </row>
    <row r="27" spans="1:9">
      <c r="A27" s="337" t="s">
        <v>310</v>
      </c>
      <c r="B27" s="339"/>
      <c r="C27" s="345">
        <v>0.48814818827257594</v>
      </c>
      <c r="D27" s="345">
        <v>1.203500084899308E-2</v>
      </c>
      <c r="E27" s="345">
        <v>1.2230217070811957E-2</v>
      </c>
      <c r="F27" s="345">
        <f>F46/F44</f>
        <v>0.48412626546975585</v>
      </c>
      <c r="G27" s="345">
        <v>0.3210852746392126</v>
      </c>
    </row>
    <row r="28" spans="1:9">
      <c r="A28" s="479" t="s">
        <v>311</v>
      </c>
      <c r="B28" s="480"/>
      <c r="C28" s="480">
        <v>2015</v>
      </c>
      <c r="D28" s="480">
        <v>2016</v>
      </c>
      <c r="E28" s="480">
        <v>2017</v>
      </c>
      <c r="F28" s="481"/>
      <c r="G28" s="482" t="s">
        <v>312</v>
      </c>
    </row>
    <row r="29" spans="1:9">
      <c r="A29" s="352" t="s">
        <v>65</v>
      </c>
      <c r="B29" s="341"/>
      <c r="C29" s="348">
        <v>590168948</v>
      </c>
      <c r="D29" s="348">
        <v>637643842.59000003</v>
      </c>
      <c r="E29" s="348">
        <v>659106693.70000005</v>
      </c>
      <c r="F29" s="348">
        <f>SFP!AF27</f>
        <v>659596375</v>
      </c>
      <c r="G29" s="349">
        <v>547462070649.73102</v>
      </c>
    </row>
    <row r="30" spans="1:9">
      <c r="A30" s="352" t="s">
        <v>313</v>
      </c>
      <c r="B30" s="341"/>
      <c r="C30" s="348">
        <v>564133381.5</v>
      </c>
      <c r="D30" s="348">
        <v>614923991.35000002</v>
      </c>
      <c r="E30" s="348">
        <v>641761675.34000003</v>
      </c>
      <c r="F30" s="348">
        <f>(F29+C29)/2</f>
        <v>624882661.5</v>
      </c>
      <c r="G30" s="349">
        <v>520792906241.42297</v>
      </c>
    </row>
    <row r="31" spans="1:9">
      <c r="A31" s="352" t="s">
        <v>66</v>
      </c>
      <c r="B31" s="341"/>
      <c r="C31" s="349">
        <v>433315333</v>
      </c>
      <c r="D31" s="349">
        <v>489995238.37</v>
      </c>
      <c r="E31" s="349">
        <v>486988341.06</v>
      </c>
      <c r="F31" s="349">
        <f>SFP!AF32</f>
        <v>486824375</v>
      </c>
      <c r="G31" s="349">
        <v>376041284417.90002</v>
      </c>
    </row>
    <row r="32" spans="1:9">
      <c r="A32" s="352" t="s">
        <v>314</v>
      </c>
      <c r="B32" s="341"/>
      <c r="C32" s="350">
        <v>478678153</v>
      </c>
      <c r="D32" s="350">
        <v>547398329.80999994</v>
      </c>
      <c r="E32" s="350">
        <v>546061267.71000004</v>
      </c>
      <c r="F32" s="350">
        <f>SFP!AF15</f>
        <v>546147164</v>
      </c>
      <c r="G32" s="349">
        <v>415480941995.73999</v>
      </c>
    </row>
    <row r="33" spans="1:7">
      <c r="A33" s="352" t="s">
        <v>122</v>
      </c>
      <c r="B33" s="341"/>
      <c r="C33" s="348">
        <v>92958252</v>
      </c>
      <c r="D33" s="348">
        <v>114415998.61</v>
      </c>
      <c r="E33" s="348">
        <v>127048808.22</v>
      </c>
      <c r="F33" s="348">
        <f>Financials!AG14</f>
        <v>102637695</v>
      </c>
      <c r="G33" s="349">
        <v>85391581296.029007</v>
      </c>
    </row>
    <row r="34" spans="1:7">
      <c r="A34" s="352" t="s">
        <v>315</v>
      </c>
      <c r="B34" s="341"/>
      <c r="C34" s="348">
        <v>69752057</v>
      </c>
      <c r="D34" s="348">
        <v>89118832.719999999</v>
      </c>
      <c r="E34" s="348">
        <v>101245205.15000001</v>
      </c>
      <c r="F34" s="348">
        <f>Financials!AG15</f>
        <v>76833092</v>
      </c>
      <c r="G34" s="349">
        <v>50108916747.025002</v>
      </c>
    </row>
    <row r="35" spans="1:7">
      <c r="A35" s="352" t="s">
        <v>316</v>
      </c>
      <c r="B35" s="341"/>
      <c r="C35" s="349">
        <v>0</v>
      </c>
      <c r="D35" s="349">
        <v>31747895.390000001</v>
      </c>
      <c r="E35" s="349">
        <v>26791085.5</v>
      </c>
      <c r="F35" s="349">
        <f>22604726+734025+3452334</f>
        <v>26791085</v>
      </c>
      <c r="G35" s="349">
        <v>30499606920.229099</v>
      </c>
    </row>
    <row r="36" spans="1:7">
      <c r="A36" s="352" t="s">
        <v>147</v>
      </c>
      <c r="B36" s="341"/>
      <c r="C36" s="350">
        <v>31496750</v>
      </c>
      <c r="D36" s="350">
        <v>27505340.609999999</v>
      </c>
      <c r="E36" s="350">
        <v>27231422.350000001</v>
      </c>
      <c r="F36" s="350">
        <f>Financials!AG38</f>
        <v>27347312</v>
      </c>
      <c r="G36" s="349">
        <v>57854076198.820999</v>
      </c>
    </row>
    <row r="37" spans="1:7">
      <c r="A37" s="352" t="s">
        <v>148</v>
      </c>
      <c r="B37" s="341"/>
      <c r="C37" s="348">
        <v>7005759</v>
      </c>
      <c r="D37" s="348">
        <v>5982262.1699999999</v>
      </c>
      <c r="E37" s="348">
        <v>5325780.8099999996</v>
      </c>
      <c r="F37" s="350">
        <f>Financials!AG39</f>
        <v>2426053</v>
      </c>
      <c r="G37" s="349">
        <v>17751023583.351002</v>
      </c>
    </row>
    <row r="38" spans="1:7">
      <c r="A38" s="352" t="s">
        <v>317</v>
      </c>
      <c r="B38" s="341"/>
      <c r="C38" s="348">
        <v>0</v>
      </c>
      <c r="D38" s="348">
        <v>4228554.9400000004</v>
      </c>
      <c r="E38" s="348">
        <v>4228554.9400000004</v>
      </c>
      <c r="F38" s="348">
        <f>SFP!AF13+SFP!AF12</f>
        <v>4228556</v>
      </c>
      <c r="G38" s="349">
        <v>13132987213.190001</v>
      </c>
    </row>
    <row r="39" spans="1:7">
      <c r="A39" s="352" t="s">
        <v>194</v>
      </c>
      <c r="B39" s="341"/>
      <c r="C39" s="348">
        <v>4228555</v>
      </c>
      <c r="D39" s="348">
        <v>4228554.9400000004</v>
      </c>
      <c r="E39" s="348">
        <v>4228554.9400000004</v>
      </c>
      <c r="F39" s="348">
        <f>SFP!AF8</f>
        <v>58311419</v>
      </c>
      <c r="G39" s="349">
        <v>22480851512.509998</v>
      </c>
    </row>
    <row r="40" spans="1:7">
      <c r="A40" s="352" t="s">
        <v>318</v>
      </c>
      <c r="B40" s="341"/>
      <c r="C40" s="348">
        <v>86978434</v>
      </c>
      <c r="D40" s="348">
        <v>76792836.439999998</v>
      </c>
      <c r="E40" s="348">
        <v>98436927.010000005</v>
      </c>
      <c r="F40" s="348">
        <f>SFP!AF4</f>
        <v>44641958</v>
      </c>
      <c r="G40" s="349">
        <v>60313329623.879997</v>
      </c>
    </row>
    <row r="41" spans="1:7">
      <c r="A41" s="352" t="s">
        <v>319</v>
      </c>
      <c r="B41" s="341"/>
      <c r="C41" s="348">
        <v>73988469</v>
      </c>
      <c r="D41" s="348">
        <v>75907285.540000007</v>
      </c>
      <c r="E41" s="348">
        <v>67560292.469999999</v>
      </c>
      <c r="F41" s="348">
        <f>SFP!AF29+SFP!AF30+SFP!AF33-SFP!AF39</f>
        <v>131658333</v>
      </c>
      <c r="G41" s="349">
        <v>109670123020.05901</v>
      </c>
    </row>
    <row r="42" spans="1:7">
      <c r="A42" s="352" t="s">
        <v>320</v>
      </c>
      <c r="B42" s="341"/>
      <c r="C42" s="348">
        <v>0</v>
      </c>
      <c r="D42" s="348">
        <v>0</v>
      </c>
      <c r="E42" s="348">
        <v>0</v>
      </c>
      <c r="F42" s="348">
        <f>SFP!AF39</f>
        <v>7659</v>
      </c>
      <c r="G42" s="349">
        <v>21481341157.433998</v>
      </c>
    </row>
    <row r="43" spans="1:7">
      <c r="A43" s="352" t="s">
        <v>321</v>
      </c>
      <c r="B43" s="341"/>
      <c r="C43" s="348">
        <v>445483841</v>
      </c>
      <c r="D43" s="348">
        <v>504627081.32499999</v>
      </c>
      <c r="E43" s="348">
        <v>512088379.35500002</v>
      </c>
      <c r="F43" s="348">
        <f>(C32+F32)/2</f>
        <v>512412658.5</v>
      </c>
      <c r="G43" s="349">
        <v>393392009454.375</v>
      </c>
    </row>
    <row r="44" spans="1:7">
      <c r="A44" s="352" t="s">
        <v>322</v>
      </c>
      <c r="B44" s="341"/>
      <c r="C44" s="348">
        <v>110748089</v>
      </c>
      <c r="D44" s="348">
        <v>89428467.310000002</v>
      </c>
      <c r="E44" s="348">
        <v>119356968.2</v>
      </c>
      <c r="F44" s="348">
        <f>SCI!AF3</f>
        <v>119501967</v>
      </c>
      <c r="G44" s="349">
        <v>79322865013.129898</v>
      </c>
    </row>
    <row r="45" spans="1:7">
      <c r="A45" s="352" t="s">
        <v>323</v>
      </c>
      <c r="B45" s="341"/>
      <c r="C45" s="348">
        <v>56358341</v>
      </c>
      <c r="D45" s="348">
        <v>85938886.040000007</v>
      </c>
      <c r="E45" s="348">
        <v>115166187.13</v>
      </c>
      <c r="F45" s="348">
        <f>SCI!AF19</f>
        <v>60865365</v>
      </c>
      <c r="G45" s="349">
        <v>46800235781.199997</v>
      </c>
    </row>
    <row r="46" spans="1:7">
      <c r="A46" s="352" t="s">
        <v>324</v>
      </c>
      <c r="B46" s="341"/>
      <c r="C46" s="348">
        <v>54061479</v>
      </c>
      <c r="D46" s="348">
        <v>1076271.68</v>
      </c>
      <c r="E46" s="348">
        <v>1459761.63</v>
      </c>
      <c r="F46" s="348">
        <f>SCI!AF13</f>
        <v>57854041</v>
      </c>
      <c r="G46" s="349">
        <v>25469403897.91</v>
      </c>
    </row>
    <row r="47" spans="1:7">
      <c r="A47" s="352" t="s">
        <v>259</v>
      </c>
      <c r="B47" s="341"/>
      <c r="C47" s="348">
        <v>33446761</v>
      </c>
      <c r="D47" s="348">
        <v>28558545.199999999</v>
      </c>
      <c r="E47" s="348">
        <v>36360689.859999999</v>
      </c>
      <c r="F47" s="348">
        <f>SCI!AF23</f>
        <v>38435174</v>
      </c>
      <c r="G47" s="349">
        <v>25377523752.57</v>
      </c>
    </row>
    <row r="48" spans="1:7">
      <c r="A48" s="352" t="s">
        <v>325</v>
      </c>
      <c r="B48" s="341"/>
      <c r="C48" s="348">
        <v>92243098</v>
      </c>
      <c r="D48" s="348">
        <v>75967218.019999996</v>
      </c>
      <c r="E48" s="348">
        <v>102318043.87</v>
      </c>
      <c r="F48" s="348">
        <f>SCI!AF4</f>
        <v>100667063</v>
      </c>
      <c r="G48" s="349">
        <v>66852298925.860001</v>
      </c>
    </row>
    <row r="49" spans="1:7">
      <c r="A49" s="352" t="s">
        <v>326</v>
      </c>
      <c r="B49" s="341"/>
      <c r="C49" s="348">
        <v>87836509</v>
      </c>
      <c r="D49" s="348">
        <v>32048126.469999999</v>
      </c>
      <c r="E49" s="348">
        <v>40551470.93</v>
      </c>
      <c r="F49" s="348">
        <f>SCI!AF12+SCI!AF23</f>
        <v>97071776</v>
      </c>
      <c r="G49" s="349">
        <v>56144699821.169998</v>
      </c>
    </row>
    <row r="50" spans="1:7">
      <c r="A50" s="352" t="s">
        <v>327</v>
      </c>
      <c r="B50" s="341"/>
      <c r="C50" s="348">
        <v>15782781</v>
      </c>
      <c r="D50" s="348">
        <v>50312065.140000001</v>
      </c>
      <c r="E50" s="348">
        <v>73166962.469999999</v>
      </c>
      <c r="F50" s="348">
        <f>SCI!AF37</f>
        <v>13984730</v>
      </c>
      <c r="G50" s="349">
        <v>19256824157.34</v>
      </c>
    </row>
    <row r="51" spans="1:7">
      <c r="A51" s="473" t="s">
        <v>328</v>
      </c>
      <c r="B51" s="474"/>
      <c r="C51" s="474"/>
      <c r="D51" s="474"/>
      <c r="E51" s="474"/>
      <c r="F51" s="474"/>
      <c r="G51" s="475"/>
    </row>
    <row r="52" spans="1:7">
      <c r="A52" s="321">
        <v>1</v>
      </c>
      <c r="B52" s="317"/>
      <c r="C52" s="322"/>
      <c r="D52" s="322"/>
      <c r="E52" s="322"/>
      <c r="F52" s="323"/>
      <c r="G52" s="324"/>
    </row>
    <row r="53" spans="1:7">
      <c r="A53" s="321">
        <v>2</v>
      </c>
      <c r="B53" s="317"/>
      <c r="C53" s="322"/>
      <c r="D53" s="322"/>
      <c r="E53" s="322"/>
      <c r="F53" s="323"/>
      <c r="G53" s="324"/>
    </row>
    <row r="54" spans="1:7">
      <c r="A54" s="321">
        <v>3</v>
      </c>
      <c r="B54" s="317"/>
      <c r="C54" s="322"/>
      <c r="D54" s="322"/>
      <c r="E54" s="322"/>
      <c r="F54" s="323"/>
      <c r="G54" s="324"/>
    </row>
    <row r="55" spans="1:7">
      <c r="A55" s="320">
        <v>4</v>
      </c>
      <c r="B55" s="322"/>
      <c r="C55" s="322"/>
      <c r="D55" s="322"/>
      <c r="E55" s="323"/>
      <c r="F55" s="323"/>
      <c r="G55" s="351"/>
    </row>
    <row r="56" spans="1:7">
      <c r="A56" s="342" t="s">
        <v>329</v>
      </c>
      <c r="B56" s="317"/>
      <c r="C56" s="476"/>
      <c r="D56" s="477"/>
      <c r="E56" s="477"/>
      <c r="F56" s="477"/>
      <c r="G56" s="478"/>
    </row>
    <row r="57" spans="1:7">
      <c r="A57" s="342"/>
      <c r="B57" s="317"/>
      <c r="C57" s="325"/>
      <c r="D57" s="325"/>
      <c r="E57" s="326"/>
      <c r="F57" s="326"/>
      <c r="G57" s="327"/>
    </row>
    <row r="58" spans="1:7">
      <c r="A58" s="343" t="s">
        <v>338</v>
      </c>
      <c r="B58" s="328"/>
      <c r="C58" s="476"/>
      <c r="D58" s="477"/>
      <c r="E58" s="477"/>
      <c r="F58" s="477"/>
      <c r="G58" s="478"/>
    </row>
    <row r="59" spans="1:7">
      <c r="A59" s="90"/>
      <c r="B59" s="317"/>
      <c r="C59" s="322"/>
      <c r="D59" s="322"/>
      <c r="E59" s="322"/>
      <c r="F59" s="323"/>
      <c r="G59" s="324"/>
    </row>
    <row r="60" spans="1:7">
      <c r="A60" s="342" t="s">
        <v>339</v>
      </c>
      <c r="B60" s="317"/>
      <c r="C60" s="476"/>
      <c r="D60" s="477"/>
      <c r="E60" s="477"/>
      <c r="F60" s="477"/>
      <c r="G60" s="478"/>
    </row>
    <row r="61" spans="1:7">
      <c r="A61" s="354"/>
      <c r="B61" s="317"/>
      <c r="C61" s="322"/>
      <c r="D61" s="322"/>
      <c r="E61" s="322"/>
      <c r="F61" s="322"/>
      <c r="G61" s="355"/>
    </row>
    <row r="62" spans="1:7">
      <c r="A62" s="356" t="s">
        <v>332</v>
      </c>
      <c r="B62" s="317"/>
      <c r="C62" s="322"/>
      <c r="D62" s="322"/>
      <c r="E62" s="322"/>
      <c r="F62" s="322"/>
      <c r="G62" s="355"/>
    </row>
    <row r="63" spans="1:7">
      <c r="A63" s="357"/>
      <c r="B63" s="317"/>
      <c r="C63" s="353" t="s">
        <v>340</v>
      </c>
      <c r="D63" s="322"/>
      <c r="E63" s="322"/>
      <c r="F63" s="322"/>
      <c r="G63" s="355"/>
    </row>
    <row r="64" spans="1:7">
      <c r="A64" s="357"/>
      <c r="B64" s="317"/>
      <c r="C64" s="322"/>
      <c r="D64" s="322"/>
      <c r="E64" s="322"/>
      <c r="F64" s="322"/>
      <c r="G64" s="355"/>
    </row>
  </sheetData>
  <mergeCells count="16">
    <mergeCell ref="G3:G4"/>
    <mergeCell ref="B3:B4"/>
    <mergeCell ref="A1:G1"/>
    <mergeCell ref="A2:G2"/>
    <mergeCell ref="C56:G56"/>
    <mergeCell ref="D3:E3"/>
    <mergeCell ref="F3:F4"/>
    <mergeCell ref="C58:G58"/>
    <mergeCell ref="C60:G60"/>
    <mergeCell ref="A9:G9"/>
    <mergeCell ref="A5:G5"/>
    <mergeCell ref="A28:G28"/>
    <mergeCell ref="A19:G19"/>
    <mergeCell ref="A23:G23"/>
    <mergeCell ref="A51:G51"/>
    <mergeCell ref="A14:G1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f647032-17c5-4266-af02-4596a72daf50">
      <Terms xmlns="http://schemas.microsoft.com/office/infopath/2007/PartnerControls"/>
    </lcf76f155ced4ddcb4097134ff3c332f>
    <TaxCatchAll xmlns="6e3db4b3-2b3b-4352-9127-36718d9c05b9" xsi:nil="true"/>
    <_Flow_SignoffStatus xmlns="df647032-17c5-4266-af02-4596a72daf5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FB27488935CD4FBFBB981DE553EA38" ma:contentTypeVersion="17" ma:contentTypeDescription="Create a new document." ma:contentTypeScope="" ma:versionID="332fa557c6615f9869f6fecf8fd32bdc">
  <xsd:schema xmlns:xsd="http://www.w3.org/2001/XMLSchema" xmlns:xs="http://www.w3.org/2001/XMLSchema" xmlns:p="http://schemas.microsoft.com/office/2006/metadata/properties" xmlns:ns2="6e3db4b3-2b3b-4352-9127-36718d9c05b9" xmlns:ns3="df647032-17c5-4266-af02-4596a72daf50" targetNamespace="http://schemas.microsoft.com/office/2006/metadata/properties" ma:root="true" ma:fieldsID="0ef70def4206780f33c1bc13f4ed6917" ns2:_="" ns3:_="">
    <xsd:import namespace="6e3db4b3-2b3b-4352-9127-36718d9c05b9"/>
    <xsd:import namespace="df647032-17c5-4266-af02-4596a72daf5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Flow_SignoffStatu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3db4b3-2b3b-4352-9127-36718d9c05b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2a9480d-a1a4-4d65-9325-9590a28e6ac7}" ma:internalName="TaxCatchAll" ma:showField="CatchAllData" ma:web="6e3db4b3-2b3b-4352-9127-36718d9c05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647032-17c5-4266-af02-4596a72daf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14" nillable="true" ma:displayName="Sign-off status" ma:internalName="Sign_x002d_off_x0020_status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3e1d0d5-9008-431c-be16-ab01e5c392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FB358C0-698B-4413-B260-9D03E98F116C}"/>
</file>

<file path=customXml/itemProps2.xml><?xml version="1.0" encoding="utf-8"?>
<ds:datastoreItem xmlns:ds="http://schemas.openxmlformats.org/officeDocument/2006/customXml" ds:itemID="{B91DDC43-1995-4C3B-87F3-4337A1226F8A}"/>
</file>

<file path=customXml/itemProps3.xml><?xml version="1.0" encoding="utf-8"?>
<ds:datastoreItem xmlns:ds="http://schemas.openxmlformats.org/officeDocument/2006/customXml" ds:itemID="{1F849133-CB0F-481A-B934-161C401CE9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wilfred</dc:creator>
  <cp:keywords/>
  <dc:description/>
  <cp:lastModifiedBy>Brian Nzioka</cp:lastModifiedBy>
  <cp:revision/>
  <dcterms:created xsi:type="dcterms:W3CDTF">2012-07-31T14:31:17Z</dcterms:created>
  <dcterms:modified xsi:type="dcterms:W3CDTF">2023-07-17T07:29:01Z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ign-off status">
    <vt:lpwstr/>
  </property>
  <property fmtid="{D5CDD505-2E9C-101B-9397-08002B2CF9AE}" pid="3" name="lcf76f155ced4ddcb4097134ff3c332f">
    <vt:lpwstr/>
  </property>
  <property fmtid="{D5CDD505-2E9C-101B-9397-08002B2CF9AE}" pid="4" name="TaxCatchAll">
    <vt:lpwstr/>
  </property>
  <property fmtid="{D5CDD505-2E9C-101B-9397-08002B2CF9AE}" pid="5" name="MSIP_Label_2e417465-7ab2-4d43-aa73-f6726da16fc6_Enabled">
    <vt:lpwstr>true</vt:lpwstr>
  </property>
  <property fmtid="{D5CDD505-2E9C-101B-9397-08002B2CF9AE}" pid="6" name="MSIP_Label_2e417465-7ab2-4d43-aa73-f6726da16fc6_SetDate">
    <vt:lpwstr>2023-05-24T05:33:47Z</vt:lpwstr>
  </property>
  <property fmtid="{D5CDD505-2E9C-101B-9397-08002B2CF9AE}" pid="7" name="MSIP_Label_2e417465-7ab2-4d43-aa73-f6726da16fc6_Method">
    <vt:lpwstr>Privileged</vt:lpwstr>
  </property>
  <property fmtid="{D5CDD505-2E9C-101B-9397-08002B2CF9AE}" pid="8" name="MSIP_Label_2e417465-7ab2-4d43-aa73-f6726da16fc6_Name">
    <vt:lpwstr>Supervision</vt:lpwstr>
  </property>
  <property fmtid="{D5CDD505-2E9C-101B-9397-08002B2CF9AE}" pid="9" name="MSIP_Label_2e417465-7ab2-4d43-aa73-f6726da16fc6_SiteId">
    <vt:lpwstr>d6c8161d-ccd5-4325-b291-dd442c369fe4</vt:lpwstr>
  </property>
  <property fmtid="{D5CDD505-2E9C-101B-9397-08002B2CF9AE}" pid="10" name="MSIP_Label_2e417465-7ab2-4d43-aa73-f6726da16fc6_ActionId">
    <vt:lpwstr>423b97c4-9371-4845-b624-19cf12623997</vt:lpwstr>
  </property>
  <property fmtid="{D5CDD505-2E9C-101B-9397-08002B2CF9AE}" pid="11" name="MSIP_Label_2e417465-7ab2-4d43-aa73-f6726da16fc6_ContentBits">
    <vt:lpwstr>0</vt:lpwstr>
  </property>
  <property fmtid="{D5CDD505-2E9C-101B-9397-08002B2CF9AE}" pid="12" name="MediaServiceImageTags">
    <vt:lpwstr/>
  </property>
  <property fmtid="{D5CDD505-2E9C-101B-9397-08002B2CF9AE}" pid="13" name="ContentTypeId">
    <vt:lpwstr>0x010100F4FB27488935CD4FBFBB981DE553EA38</vt:lpwstr>
  </property>
</Properties>
</file>
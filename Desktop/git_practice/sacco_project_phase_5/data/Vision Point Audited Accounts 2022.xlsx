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1/VISION POINT- 5459/Audited Accounts/"/>
    </mc:Choice>
  </mc:AlternateContent>
  <xr:revisionPtr revIDLastSave="264" documentId="13_ncr:1_{54CBE44A-8EFA-4FCC-9478-BA949BB7E3FE}" xr6:coauthVersionLast="47" xr6:coauthVersionMax="47" xr10:uidLastSave="{A044C66A-E3D5-43EA-A206-A213695AF3DD}"/>
  <bookViews>
    <workbookView xWindow="28680" yWindow="-120" windowWidth="29040" windowHeight="15720" activeTab="3" xr2:uid="{00000000-000D-0000-FFFF-FFFF00000000}"/>
  </bookViews>
  <sheets>
    <sheet name="Evolutive SFP" sheetId="1" r:id="rId1"/>
    <sheet name="Evolutitve SCI" sheetId="2" r:id="rId2"/>
    <sheet name="FORM 4" sheetId="4" r:id="rId3"/>
    <sheet name="CAELS" sheetId="3" r:id="rId4"/>
    <sheet name="Financials" sheetId="5" r:id="rId5"/>
    <sheet name="CASH FLOW" sheetId="6" r:id="rId6"/>
    <sheet name="Prudential Ratios" sheetId="8" r:id="rId7"/>
    <sheet name="Feedback report" sheetId="10" r:id="rId8"/>
  </sheets>
  <externalReferences>
    <externalReference r:id="rId9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3" l="1"/>
  <c r="AQ4" i="3"/>
  <c r="AQ5" i="3"/>
  <c r="AQ6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O4" i="5"/>
  <c r="AO5" i="5"/>
  <c r="AO6" i="5"/>
  <c r="AO7" i="5"/>
  <c r="AO9" i="5"/>
  <c r="AO15" i="5"/>
  <c r="AO17" i="5"/>
  <c r="AO19" i="5"/>
  <c r="AO20" i="5"/>
  <c r="AO22" i="5"/>
  <c r="AO21" i="5" s="1"/>
  <c r="AO26" i="5"/>
  <c r="AO27" i="5"/>
  <c r="AO28" i="5"/>
  <c r="AO30" i="5"/>
  <c r="AO31" i="5"/>
  <c r="AO32" i="5"/>
  <c r="AO34" i="5"/>
  <c r="AO35" i="5"/>
  <c r="AO38" i="5"/>
  <c r="AO39" i="5"/>
  <c r="AO40" i="5"/>
  <c r="AO41" i="5"/>
  <c r="AO44" i="5"/>
  <c r="AO45" i="5"/>
  <c r="AO46" i="5"/>
  <c r="AO47" i="5"/>
  <c r="AN30" i="2"/>
  <c r="AN23" i="2"/>
  <c r="AN20" i="2"/>
  <c r="AN12" i="2"/>
  <c r="AN7" i="2"/>
  <c r="AN4" i="2"/>
  <c r="AN3" i="2" s="1"/>
  <c r="AN19" i="2" s="1"/>
  <c r="AN29" i="2" s="1"/>
  <c r="AN33" i="2" s="1"/>
  <c r="AN35" i="2" s="1"/>
  <c r="AN37" i="2" s="1"/>
  <c r="AO48" i="1"/>
  <c r="AO49" i="1"/>
  <c r="AO38" i="1"/>
  <c r="AO31" i="1"/>
  <c r="AO27" i="1"/>
  <c r="AO21" i="1"/>
  <c r="AO14" i="1"/>
  <c r="AO8" i="1"/>
  <c r="AO4" i="1"/>
  <c r="AB34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B33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B32" i="8"/>
  <c r="Q32" i="8"/>
  <c r="R32" i="8"/>
  <c r="S32" i="8"/>
  <c r="T32" i="8"/>
  <c r="U32" i="8"/>
  <c r="V32" i="8"/>
  <c r="W32" i="8"/>
  <c r="X32" i="8"/>
  <c r="Y32" i="8"/>
  <c r="Z32" i="8"/>
  <c r="AA32" i="8"/>
  <c r="Q33" i="8"/>
  <c r="R33" i="8"/>
  <c r="S33" i="8"/>
  <c r="T33" i="8"/>
  <c r="U33" i="8"/>
  <c r="V33" i="8"/>
  <c r="W33" i="8"/>
  <c r="X33" i="8"/>
  <c r="Y33" i="8"/>
  <c r="Z33" i="8"/>
  <c r="AA33" i="8"/>
  <c r="Q34" i="8"/>
  <c r="R34" i="8"/>
  <c r="S34" i="8"/>
  <c r="T34" i="8"/>
  <c r="U34" i="8"/>
  <c r="V34" i="8"/>
  <c r="W34" i="8"/>
  <c r="X34" i="8"/>
  <c r="Y34" i="8"/>
  <c r="Z34" i="8"/>
  <c r="AA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O18" i="8"/>
  <c r="W5" i="8"/>
  <c r="X5" i="8"/>
  <c r="Y5" i="8"/>
  <c r="Z5" i="8"/>
  <c r="AA5" i="8"/>
  <c r="AB5" i="8"/>
  <c r="W6" i="8"/>
  <c r="X6" i="8"/>
  <c r="Y6" i="8"/>
  <c r="Z6" i="8"/>
  <c r="AA6" i="8"/>
  <c r="AB6" i="8"/>
  <c r="W7" i="8"/>
  <c r="X7" i="8"/>
  <c r="Y7" i="8"/>
  <c r="Z7" i="8"/>
  <c r="AA7" i="8"/>
  <c r="AB7" i="8"/>
  <c r="W9" i="8"/>
  <c r="X9" i="8"/>
  <c r="Y9" i="8"/>
  <c r="Z9" i="8"/>
  <c r="AA9" i="8"/>
  <c r="AB9" i="8"/>
  <c r="W13" i="8"/>
  <c r="X13" i="8"/>
  <c r="Y13" i="8"/>
  <c r="Z13" i="8"/>
  <c r="AA13" i="8"/>
  <c r="AB13" i="8"/>
  <c r="W14" i="8"/>
  <c r="X14" i="8"/>
  <c r="Y14" i="8"/>
  <c r="Z14" i="8"/>
  <c r="AA14" i="8"/>
  <c r="AB14" i="8"/>
  <c r="W20" i="8"/>
  <c r="X20" i="8"/>
  <c r="Y20" i="8"/>
  <c r="Z20" i="8"/>
  <c r="AA20" i="8"/>
  <c r="AB20" i="8"/>
  <c r="W23" i="8"/>
  <c r="X23" i="8"/>
  <c r="Y23" i="8"/>
  <c r="Z23" i="8"/>
  <c r="AA23" i="8"/>
  <c r="AB23" i="8"/>
  <c r="W24" i="8"/>
  <c r="X24" i="8"/>
  <c r="Y24" i="8"/>
  <c r="Z24" i="8"/>
  <c r="AA24" i="8"/>
  <c r="AB24" i="8"/>
  <c r="W25" i="8"/>
  <c r="X25" i="8"/>
  <c r="Y25" i="8"/>
  <c r="Z25" i="8"/>
  <c r="AA25" i="8"/>
  <c r="AB25" i="8"/>
  <c r="W26" i="8"/>
  <c r="X26" i="8"/>
  <c r="Y26" i="8"/>
  <c r="Z26" i="8"/>
  <c r="AA26" i="8"/>
  <c r="AB26" i="8"/>
  <c r="W43" i="8"/>
  <c r="X43" i="8"/>
  <c r="Y43" i="8"/>
  <c r="Z43" i="8"/>
  <c r="AA43" i="8"/>
  <c r="AB43" i="8"/>
  <c r="AD3" i="3"/>
  <c r="AD4" i="3"/>
  <c r="AD5" i="3"/>
  <c r="AD6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C5" i="8"/>
  <c r="AC6" i="8"/>
  <c r="AC7" i="8"/>
  <c r="AC9" i="8"/>
  <c r="AC13" i="8"/>
  <c r="AC14" i="8"/>
  <c r="AC20" i="8"/>
  <c r="AC23" i="8"/>
  <c r="AC24" i="8"/>
  <c r="AC25" i="8"/>
  <c r="AC26" i="8"/>
  <c r="AC43" i="8"/>
  <c r="AD5" i="8"/>
  <c r="AE5" i="8"/>
  <c r="AF5" i="8"/>
  <c r="AG5" i="8"/>
  <c r="AH5" i="8"/>
  <c r="AI5" i="8"/>
  <c r="AJ5" i="8"/>
  <c r="AK5" i="8"/>
  <c r="AL5" i="8"/>
  <c r="AM5" i="8"/>
  <c r="AN5" i="8"/>
  <c r="AO5" i="8"/>
  <c r="AD6" i="8"/>
  <c r="AE6" i="8"/>
  <c r="AF6" i="8"/>
  <c r="AG6" i="8"/>
  <c r="AH6" i="8"/>
  <c r="AI6" i="8"/>
  <c r="AJ6" i="8"/>
  <c r="AK6" i="8"/>
  <c r="AL6" i="8"/>
  <c r="AM6" i="8"/>
  <c r="AN6" i="8"/>
  <c r="AO6" i="8"/>
  <c r="AD7" i="8"/>
  <c r="AE7" i="8"/>
  <c r="AF7" i="8"/>
  <c r="AG7" i="8"/>
  <c r="AH7" i="8"/>
  <c r="AI7" i="8"/>
  <c r="AJ7" i="8"/>
  <c r="AK7" i="8"/>
  <c r="AL7" i="8"/>
  <c r="AM7" i="8"/>
  <c r="AN7" i="8"/>
  <c r="AO7" i="8"/>
  <c r="AD9" i="8"/>
  <c r="AE9" i="8"/>
  <c r="AF9" i="8"/>
  <c r="AG9" i="8"/>
  <c r="AH9" i="8"/>
  <c r="AI9" i="8"/>
  <c r="AJ9" i="8"/>
  <c r="AK9" i="8"/>
  <c r="AL9" i="8"/>
  <c r="AM9" i="8"/>
  <c r="AN9" i="8"/>
  <c r="AO9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N46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N31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C3" i="3"/>
  <c r="AC4" i="3"/>
  <c r="AC5" i="3"/>
  <c r="AC6" i="3"/>
  <c r="AC9" i="3"/>
  <c r="AC10" i="3"/>
  <c r="AC11" i="3"/>
  <c r="AC12" i="3"/>
  <c r="AC13" i="3"/>
  <c r="AC14" i="3"/>
  <c r="AC15" i="3"/>
  <c r="AE3" i="3"/>
  <c r="AF3" i="3"/>
  <c r="AG3" i="3"/>
  <c r="AH3" i="3"/>
  <c r="AI3" i="3"/>
  <c r="AJ3" i="3"/>
  <c r="AK3" i="3"/>
  <c r="AL3" i="3"/>
  <c r="AM3" i="3"/>
  <c r="AN3" i="3"/>
  <c r="AO3" i="3"/>
  <c r="AP3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D47" i="4"/>
  <c r="F42" i="4"/>
  <c r="F43" i="4"/>
  <c r="F44" i="4"/>
  <c r="F45" i="4"/>
  <c r="F46" i="4"/>
  <c r="D48" i="4"/>
  <c r="AM11" i="2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B21" i="5"/>
  <c r="AC21" i="5"/>
  <c r="AD21" i="5"/>
  <c r="AE21" i="5"/>
  <c r="AF21" i="5"/>
  <c r="AF14" i="5" s="1"/>
  <c r="AG21" i="5"/>
  <c r="AH21" i="5"/>
  <c r="AI21" i="5"/>
  <c r="AJ21" i="5"/>
  <c r="AK21" i="5"/>
  <c r="AL21" i="5"/>
  <c r="AM21" i="5"/>
  <c r="AN21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N35" i="5"/>
  <c r="AN40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A7" i="2"/>
  <c r="AB7" i="2"/>
  <c r="AC7" i="2"/>
  <c r="AD7" i="2"/>
  <c r="AE7" i="2"/>
  <c r="AF37" i="5" s="1"/>
  <c r="AF7" i="2"/>
  <c r="AG37" i="5" s="1"/>
  <c r="AG7" i="2"/>
  <c r="AH7" i="2"/>
  <c r="AI7" i="2"/>
  <c r="AJ7" i="2"/>
  <c r="AK7" i="2"/>
  <c r="AL7" i="2"/>
  <c r="AM7" i="2"/>
  <c r="AA4" i="2"/>
  <c r="AA3" i="2" s="1"/>
  <c r="AA19" i="2" s="1"/>
  <c r="AA29" i="2" s="1"/>
  <c r="AA33" i="2" s="1"/>
  <c r="AB4" i="2"/>
  <c r="AB3" i="2" s="1"/>
  <c r="AB19" i="2" s="1"/>
  <c r="AB29" i="2" s="1"/>
  <c r="AB33" i="2" s="1"/>
  <c r="AC4" i="2"/>
  <c r="AC3" i="2" s="1"/>
  <c r="AC19" i="2" s="1"/>
  <c r="AC29" i="2" s="1"/>
  <c r="AC33" i="2" s="1"/>
  <c r="AD4" i="2"/>
  <c r="AD3" i="2" s="1"/>
  <c r="AD19" i="2" s="1"/>
  <c r="AD29" i="2" s="1"/>
  <c r="AD33" i="2" s="1"/>
  <c r="AE4" i="2"/>
  <c r="AE3" i="2" s="1"/>
  <c r="AE19" i="2" s="1"/>
  <c r="AE29" i="2" s="1"/>
  <c r="AE33" i="2" s="1"/>
  <c r="AF4" i="2"/>
  <c r="AF3" i="2" s="1"/>
  <c r="AF19" i="2" s="1"/>
  <c r="AF29" i="2" s="1"/>
  <c r="AF33" i="2" s="1"/>
  <c r="AG4" i="2"/>
  <c r="AH4" i="2"/>
  <c r="AI4" i="2"/>
  <c r="AI3" i="2" s="1"/>
  <c r="AI19" i="2" s="1"/>
  <c r="AI29" i="2" s="1"/>
  <c r="AI33" i="2" s="1"/>
  <c r="AJ4" i="2"/>
  <c r="AJ3" i="2" s="1"/>
  <c r="AJ19" i="2" s="1"/>
  <c r="AJ29" i="2" s="1"/>
  <c r="AJ33" i="2" s="1"/>
  <c r="AK4" i="2"/>
  <c r="AK3" i="2" s="1"/>
  <c r="AK19" i="2" s="1"/>
  <c r="AK29" i="2" s="1"/>
  <c r="AK33" i="2" s="1"/>
  <c r="AL4" i="2"/>
  <c r="AM4" i="2"/>
  <c r="AB48" i="1"/>
  <c r="AC48" i="1"/>
  <c r="AE25" i="3" s="1"/>
  <c r="AD48" i="1"/>
  <c r="AF25" i="3" s="1"/>
  <c r="AE48" i="1"/>
  <c r="AG25" i="3" s="1"/>
  <c r="AF48" i="1"/>
  <c r="AG48" i="1"/>
  <c r="AH48" i="1"/>
  <c r="AI48" i="1"/>
  <c r="AJ48" i="1"/>
  <c r="AK48" i="1"/>
  <c r="AM25" i="3" s="1"/>
  <c r="AL48" i="1"/>
  <c r="AN25" i="3" s="1"/>
  <c r="AM48" i="1"/>
  <c r="AO25" i="3" s="1"/>
  <c r="AN48" i="1"/>
  <c r="AP25" i="3" s="1"/>
  <c r="AN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B14" i="1"/>
  <c r="AB30" i="5" s="1"/>
  <c r="AC14" i="1"/>
  <c r="AC30" i="5" s="1"/>
  <c r="AD14" i="1"/>
  <c r="AD30" i="5" s="1"/>
  <c r="AE14" i="1"/>
  <c r="AE30" i="5" s="1"/>
  <c r="AF14" i="1"/>
  <c r="AF30" i="5" s="1"/>
  <c r="AG14" i="1"/>
  <c r="AG30" i="5" s="1"/>
  <c r="AH14" i="1"/>
  <c r="AH30" i="5" s="1"/>
  <c r="AI14" i="1"/>
  <c r="AI30" i="5" s="1"/>
  <c r="AJ14" i="1"/>
  <c r="AJ30" i="5" s="1"/>
  <c r="AK14" i="1"/>
  <c r="AK30" i="5" s="1"/>
  <c r="AL14" i="1"/>
  <c r="AL30" i="5" s="1"/>
  <c r="AM14" i="1"/>
  <c r="AM30" i="5" s="1"/>
  <c r="AN14" i="1"/>
  <c r="AN30" i="5" s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3" i="5" l="1"/>
  <c r="AO37" i="5"/>
  <c r="AO25" i="5"/>
  <c r="AO14" i="5"/>
  <c r="AO11" i="5" s="1"/>
  <c r="AO12" i="5" s="1"/>
  <c r="AP12" i="3"/>
  <c r="AP13" i="3"/>
  <c r="AO12" i="3"/>
  <c r="AO13" i="3"/>
  <c r="AN12" i="3"/>
  <c r="AN13" i="3"/>
  <c r="AM12" i="3"/>
  <c r="AM13" i="3"/>
  <c r="AL12" i="3"/>
  <c r="AL13" i="3"/>
  <c r="AK12" i="3"/>
  <c r="AK13" i="3"/>
  <c r="AJ12" i="3"/>
  <c r="AJ13" i="3"/>
  <c r="AI12" i="3"/>
  <c r="AI13" i="3"/>
  <c r="AH12" i="3"/>
  <c r="AH13" i="3"/>
  <c r="AG12" i="3"/>
  <c r="AG13" i="3"/>
  <c r="AF12" i="3"/>
  <c r="AF13" i="3"/>
  <c r="AE12" i="3"/>
  <c r="AE13" i="3"/>
  <c r="AM27" i="1"/>
  <c r="AL27" i="1"/>
  <c r="AK27" i="1"/>
  <c r="AJ27" i="1"/>
  <c r="AI27" i="1"/>
  <c r="AH27" i="1"/>
  <c r="AG27" i="1"/>
  <c r="AF27" i="1"/>
  <c r="AE27" i="1"/>
  <c r="AD27" i="1"/>
  <c r="AC27" i="1"/>
  <c r="AB27" i="1"/>
  <c r="AO5" i="3"/>
  <c r="AM5" i="5"/>
  <c r="AM38" i="1"/>
  <c r="AM49" i="1" s="1"/>
  <c r="AO26" i="3" s="1"/>
  <c r="AN5" i="3"/>
  <c r="AL5" i="5"/>
  <c r="AL38" i="1"/>
  <c r="AL49" i="1" s="1"/>
  <c r="AN26" i="3" s="1"/>
  <c r="AM5" i="3"/>
  <c r="AK5" i="5"/>
  <c r="AK38" i="1"/>
  <c r="AK49" i="1" s="1"/>
  <c r="AM26" i="3" s="1"/>
  <c r="AL5" i="3"/>
  <c r="AJ5" i="5"/>
  <c r="AJ38" i="1"/>
  <c r="AK5" i="3"/>
  <c r="AI5" i="5"/>
  <c r="AI38" i="1"/>
  <c r="AJ5" i="3"/>
  <c r="AH5" i="5"/>
  <c r="AH38" i="1"/>
  <c r="AI5" i="3"/>
  <c r="AG5" i="5"/>
  <c r="AG38" i="1"/>
  <c r="AH5" i="3"/>
  <c r="AF5" i="5"/>
  <c r="AF38" i="1"/>
  <c r="AG5" i="3"/>
  <c r="AE5" i="5"/>
  <c r="AE38" i="1"/>
  <c r="AE49" i="1" s="1"/>
  <c r="AG26" i="3" s="1"/>
  <c r="AF5" i="3"/>
  <c r="AD5" i="5"/>
  <c r="AD38" i="1"/>
  <c r="AD49" i="1" s="1"/>
  <c r="AF26" i="3" s="1"/>
  <c r="AC5" i="5"/>
  <c r="AC38" i="1"/>
  <c r="AC49" i="1" s="1"/>
  <c r="AE26" i="3" s="1"/>
  <c r="AB5" i="5"/>
  <c r="AB38" i="1"/>
  <c r="AN5" i="5"/>
  <c r="AP5" i="3"/>
  <c r="AJ49" i="1"/>
  <c r="AL26" i="3" s="1"/>
  <c r="AL25" i="3"/>
  <c r="AI49" i="1"/>
  <c r="AK26" i="3" s="1"/>
  <c r="AK25" i="3"/>
  <c r="AH49" i="1"/>
  <c r="AJ26" i="3" s="1"/>
  <c r="AJ25" i="3"/>
  <c r="AG49" i="1"/>
  <c r="AI26" i="3" s="1"/>
  <c r="AI25" i="3"/>
  <c r="AF49" i="1"/>
  <c r="AH26" i="3" s="1"/>
  <c r="AH25" i="3"/>
  <c r="AB49" i="1"/>
  <c r="AN9" i="3"/>
  <c r="AK35" i="2"/>
  <c r="AK37" i="2" s="1"/>
  <c r="AM9" i="3"/>
  <c r="AJ35" i="2"/>
  <c r="AJ37" i="2" s="1"/>
  <c r="AL9" i="3"/>
  <c r="AI35" i="2"/>
  <c r="AI37" i="2" s="1"/>
  <c r="AI9" i="3"/>
  <c r="AF35" i="2"/>
  <c r="AF37" i="2" s="1"/>
  <c r="AH9" i="3"/>
  <c r="AE35" i="2"/>
  <c r="AE37" i="2" s="1"/>
  <c r="AG9" i="3"/>
  <c r="AD35" i="2"/>
  <c r="AD37" i="2" s="1"/>
  <c r="AF9" i="3"/>
  <c r="AC35" i="2"/>
  <c r="AC37" i="2" s="1"/>
  <c r="AE9" i="3"/>
  <c r="AB35" i="2"/>
  <c r="AB37" i="2" s="1"/>
  <c r="AA35" i="2"/>
  <c r="AA37" i="2" s="1"/>
  <c r="AL3" i="2"/>
  <c r="AL19" i="2" s="1"/>
  <c r="AL29" i="2" s="1"/>
  <c r="AL33" i="2" s="1"/>
  <c r="AH3" i="2"/>
  <c r="AH19" i="2" s="1"/>
  <c r="AH29" i="2" s="1"/>
  <c r="AH33" i="2" s="1"/>
  <c r="AG3" i="2"/>
  <c r="AG19" i="2" s="1"/>
  <c r="AG29" i="2" s="1"/>
  <c r="AG33" i="2" s="1"/>
  <c r="AO10" i="3"/>
  <c r="AO11" i="3"/>
  <c r="AN10" i="3"/>
  <c r="AN11" i="3"/>
  <c r="AM10" i="3"/>
  <c r="AM11" i="3"/>
  <c r="AL10" i="3"/>
  <c r="AL11" i="3"/>
  <c r="AK10" i="3"/>
  <c r="AK11" i="3"/>
  <c r="AJ10" i="3"/>
  <c r="AJ11" i="3"/>
  <c r="AI10" i="3"/>
  <c r="AI11" i="3"/>
  <c r="AH10" i="3"/>
  <c r="AH11" i="3"/>
  <c r="AG10" i="3"/>
  <c r="AG11" i="3"/>
  <c r="AF10" i="3"/>
  <c r="AF11" i="3"/>
  <c r="AE10" i="3"/>
  <c r="AE11" i="3"/>
  <c r="AF43" i="5"/>
  <c r="AM43" i="5"/>
  <c r="AL43" i="5"/>
  <c r="AK43" i="5"/>
  <c r="AJ43" i="5"/>
  <c r="AI43" i="5"/>
  <c r="AH43" i="5"/>
  <c r="AG43" i="5"/>
  <c r="AE43" i="5"/>
  <c r="AD43" i="5"/>
  <c r="AC43" i="5"/>
  <c r="AB43" i="5"/>
  <c r="AM37" i="5"/>
  <c r="AI37" i="5"/>
  <c r="AH37" i="5"/>
  <c r="AE37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F11" i="5"/>
  <c r="AF12" i="5" s="1"/>
  <c r="AM14" i="5"/>
  <c r="AM11" i="5" s="1"/>
  <c r="AM12" i="5" s="1"/>
  <c r="AE14" i="5"/>
  <c r="AE11" i="5" s="1"/>
  <c r="AE12" i="5" s="1"/>
  <c r="AI14" i="5"/>
  <c r="AI11" i="5" s="1"/>
  <c r="AI12" i="5" s="1"/>
  <c r="AH14" i="5"/>
  <c r="AH11" i="5" s="1"/>
  <c r="AH12" i="5" s="1"/>
  <c r="AG14" i="5"/>
  <c r="AG11" i="5" s="1"/>
  <c r="AG12" i="5" s="1"/>
  <c r="AE5" i="3"/>
  <c r="AE4" i="3"/>
  <c r="D49" i="4"/>
  <c r="F47" i="4"/>
  <c r="AN43" i="5"/>
  <c r="AM3" i="2"/>
  <c r="AM19" i="2" s="1"/>
  <c r="AN37" i="5"/>
  <c r="AN27" i="1"/>
  <c r="AN14" i="5"/>
  <c r="AN11" i="5" s="1"/>
  <c r="AN12" i="5" s="1"/>
  <c r="AN38" i="1"/>
  <c r="AN49" i="1" s="1"/>
  <c r="AP26" i="3" s="1"/>
  <c r="AL14" i="5"/>
  <c r="AL11" i="5" s="1"/>
  <c r="AL12" i="5" s="1"/>
  <c r="AD14" i="5"/>
  <c r="AD11" i="5" s="1"/>
  <c r="AD12" i="5" s="1"/>
  <c r="AK14" i="5"/>
  <c r="AK11" i="5" s="1"/>
  <c r="AK12" i="5" s="1"/>
  <c r="AC14" i="5"/>
  <c r="AC11" i="5" s="1"/>
  <c r="AC12" i="5" s="1"/>
  <c r="AJ14" i="5"/>
  <c r="AJ11" i="5" s="1"/>
  <c r="AJ12" i="5" s="1"/>
  <c r="AB14" i="5"/>
  <c r="AB11" i="5" s="1"/>
  <c r="AB12" i="5" s="1"/>
  <c r="AL37" i="5"/>
  <c r="AJ37" i="5"/>
  <c r="AB37" i="5"/>
  <c r="AK37" i="5"/>
  <c r="AD37" i="5"/>
  <c r="AC37" i="5"/>
  <c r="AN4" i="5" l="1"/>
  <c r="AP20" i="3"/>
  <c r="AP4" i="3"/>
  <c r="AP6" i="3"/>
  <c r="AP14" i="3"/>
  <c r="AP22" i="3"/>
  <c r="AP23" i="3"/>
  <c r="AP15" i="3"/>
  <c r="AP16" i="3"/>
  <c r="AP17" i="3"/>
  <c r="AP11" i="3"/>
  <c r="AM29" i="2"/>
  <c r="AM33" i="2" s="1"/>
  <c r="AP10" i="3"/>
  <c r="AJ9" i="3"/>
  <c r="AG35" i="2"/>
  <c r="AG37" i="2" s="1"/>
  <c r="AK9" i="3"/>
  <c r="AH35" i="2"/>
  <c r="AH37" i="2" s="1"/>
  <c r="AO9" i="3"/>
  <c r="AL35" i="2"/>
  <c r="AL37" i="2" s="1"/>
  <c r="AB4" i="5"/>
  <c r="AE20" i="3"/>
  <c r="AE6" i="3"/>
  <c r="AE14" i="3"/>
  <c r="AE22" i="3"/>
  <c r="AE23" i="3"/>
  <c r="AC4" i="5"/>
  <c r="AE24" i="3" s="1"/>
  <c r="AE15" i="3"/>
  <c r="AE16" i="3"/>
  <c r="AE17" i="3"/>
  <c r="AF20" i="3"/>
  <c r="AF4" i="3"/>
  <c r="AF6" i="3"/>
  <c r="AF14" i="3"/>
  <c r="AF22" i="3"/>
  <c r="AF23" i="3"/>
  <c r="AD4" i="5"/>
  <c r="AF24" i="3" s="1"/>
  <c r="AF15" i="3"/>
  <c r="AF16" i="3"/>
  <c r="AF17" i="3"/>
  <c r="AG20" i="3"/>
  <c r="AG4" i="3"/>
  <c r="AG6" i="3"/>
  <c r="AG14" i="3"/>
  <c r="AG22" i="3"/>
  <c r="AG23" i="3"/>
  <c r="AE4" i="5"/>
  <c r="AG24" i="3" s="1"/>
  <c r="AG15" i="3"/>
  <c r="AG16" i="3"/>
  <c r="AG17" i="3"/>
  <c r="AH20" i="3"/>
  <c r="AH4" i="3"/>
  <c r="AH6" i="3"/>
  <c r="AH14" i="3"/>
  <c r="AH22" i="3"/>
  <c r="AH23" i="3"/>
  <c r="AF4" i="5"/>
  <c r="AH24" i="3" s="1"/>
  <c r="AH15" i="3"/>
  <c r="AH16" i="3"/>
  <c r="AH17" i="3"/>
  <c r="AI20" i="3"/>
  <c r="AI4" i="3"/>
  <c r="AI6" i="3"/>
  <c r="AI14" i="3"/>
  <c r="AI22" i="3"/>
  <c r="AI23" i="3"/>
  <c r="AG4" i="5"/>
  <c r="AI24" i="3" s="1"/>
  <c r="AI15" i="3"/>
  <c r="AI16" i="3"/>
  <c r="AI17" i="3"/>
  <c r="AJ20" i="3"/>
  <c r="AJ4" i="3"/>
  <c r="AJ6" i="3"/>
  <c r="AJ14" i="3"/>
  <c r="AJ22" i="3"/>
  <c r="AJ23" i="3"/>
  <c r="AH4" i="5"/>
  <c r="AJ24" i="3" s="1"/>
  <c r="AJ15" i="3"/>
  <c r="AJ16" i="3"/>
  <c r="AJ17" i="3"/>
  <c r="AK20" i="3"/>
  <c r="AK4" i="3"/>
  <c r="AK6" i="3"/>
  <c r="AK14" i="3"/>
  <c r="AK22" i="3"/>
  <c r="AK23" i="3"/>
  <c r="AI4" i="5"/>
  <c r="AK24" i="3" s="1"/>
  <c r="AK15" i="3"/>
  <c r="AK16" i="3"/>
  <c r="AK17" i="3"/>
  <c r="AL20" i="3"/>
  <c r="AL4" i="3"/>
  <c r="AL6" i="3"/>
  <c r="AL14" i="3"/>
  <c r="AL22" i="3"/>
  <c r="AL23" i="3"/>
  <c r="AJ4" i="5"/>
  <c r="AL24" i="3" s="1"/>
  <c r="AL15" i="3"/>
  <c r="AL16" i="3"/>
  <c r="AL17" i="3"/>
  <c r="AM20" i="3"/>
  <c r="AM4" i="3"/>
  <c r="AM6" i="3"/>
  <c r="AM14" i="3"/>
  <c r="AM22" i="3"/>
  <c r="AM23" i="3"/>
  <c r="AK4" i="5"/>
  <c r="AM24" i="3" s="1"/>
  <c r="AM15" i="3"/>
  <c r="AM16" i="3"/>
  <c r="AM17" i="3"/>
  <c r="AN20" i="3"/>
  <c r="AN4" i="3"/>
  <c r="AN6" i="3"/>
  <c r="AN14" i="3"/>
  <c r="AN22" i="3"/>
  <c r="AN23" i="3"/>
  <c r="AL4" i="5"/>
  <c r="AN24" i="3" s="1"/>
  <c r="AN15" i="3"/>
  <c r="AN16" i="3"/>
  <c r="AN17" i="3"/>
  <c r="AO20" i="3"/>
  <c r="AO4" i="3"/>
  <c r="AO6" i="3"/>
  <c r="AO14" i="3"/>
  <c r="AO22" i="3"/>
  <c r="AO23" i="3"/>
  <c r="AM4" i="5"/>
  <c r="AO24" i="3" s="1"/>
  <c r="AO15" i="3"/>
  <c r="AO16" i="3"/>
  <c r="AO17" i="3"/>
  <c r="W3" i="3"/>
  <c r="X3" i="3"/>
  <c r="Y3" i="3"/>
  <c r="Z3" i="3"/>
  <c r="AA3" i="3"/>
  <c r="W18" i="3"/>
  <c r="X18" i="3"/>
  <c r="Y18" i="3"/>
  <c r="Z18" i="3"/>
  <c r="AA18" i="3"/>
  <c r="W19" i="3"/>
  <c r="X19" i="3"/>
  <c r="Y19" i="3"/>
  <c r="Z19" i="3"/>
  <c r="AA19" i="3"/>
  <c r="W21" i="3"/>
  <c r="X21" i="3"/>
  <c r="Y21" i="3"/>
  <c r="Z21" i="3"/>
  <c r="AA21" i="3"/>
  <c r="AB21" i="3"/>
  <c r="AM35" i="2" l="1"/>
  <c r="AM37" i="2" s="1"/>
  <c r="AP9" i="3"/>
  <c r="AP24" i="3"/>
  <c r="V7" i="5"/>
  <c r="W7" i="5"/>
  <c r="X7" i="5"/>
  <c r="Y7" i="5"/>
  <c r="Z7" i="5"/>
  <c r="AA7" i="5"/>
  <c r="V9" i="5"/>
  <c r="W9" i="5"/>
  <c r="X9" i="5"/>
  <c r="Y9" i="5"/>
  <c r="Z9" i="5"/>
  <c r="V21" i="5"/>
  <c r="W21" i="5"/>
  <c r="X21" i="5"/>
  <c r="Y21" i="5"/>
  <c r="Z21" i="5"/>
  <c r="AA21" i="5"/>
  <c r="V28" i="5"/>
  <c r="W28" i="5"/>
  <c r="X28" i="5"/>
  <c r="X25" i="5" s="1"/>
  <c r="Y28" i="5"/>
  <c r="Z28" i="5"/>
  <c r="AA28" i="5"/>
  <c r="V45" i="5"/>
  <c r="W45" i="5"/>
  <c r="X45" i="5"/>
  <c r="Y45" i="5"/>
  <c r="Z45" i="5"/>
  <c r="AA45" i="5"/>
  <c r="V46" i="5"/>
  <c r="W46" i="5"/>
  <c r="X46" i="5"/>
  <c r="Y46" i="5"/>
  <c r="Z46" i="5"/>
  <c r="AA46" i="5"/>
  <c r="L6" i="5"/>
  <c r="M6" i="5"/>
  <c r="N54" i="8" s="1"/>
  <c r="N6" i="5"/>
  <c r="O6" i="5"/>
  <c r="P6" i="5"/>
  <c r="Q6" i="5"/>
  <c r="R6" i="5"/>
  <c r="S6" i="5"/>
  <c r="T6" i="5"/>
  <c r="U6" i="5"/>
  <c r="V54" i="8" s="1"/>
  <c r="V6" i="5"/>
  <c r="W6" i="5"/>
  <c r="X6" i="5"/>
  <c r="Y6" i="5"/>
  <c r="Z6" i="5"/>
  <c r="AA6" i="5"/>
  <c r="Z16" i="2"/>
  <c r="Z6" i="2"/>
  <c r="Z5" i="2"/>
  <c r="AA42" i="1"/>
  <c r="Z13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N12" i="2"/>
  <c r="N39" i="2"/>
  <c r="O12" i="2"/>
  <c r="O39" i="2"/>
  <c r="P12" i="2"/>
  <c r="P39" i="2"/>
  <c r="Q12" i="2"/>
  <c r="R12" i="2"/>
  <c r="S12" i="2"/>
  <c r="S39" i="2"/>
  <c r="T12" i="2"/>
  <c r="T39" i="2" s="1"/>
  <c r="U12" i="2"/>
  <c r="U39" i="2"/>
  <c r="V12" i="2"/>
  <c r="V39" i="2"/>
  <c r="W12" i="2"/>
  <c r="W39" i="2"/>
  <c r="X12" i="2"/>
  <c r="X39" i="2"/>
  <c r="Y12" i="2"/>
  <c r="Y39" i="2"/>
  <c r="Z12" i="2"/>
  <c r="Z39" i="2"/>
  <c r="N7" i="2"/>
  <c r="O7" i="2"/>
  <c r="P7" i="2"/>
  <c r="Q7" i="2"/>
  <c r="R7" i="2"/>
  <c r="S7" i="2"/>
  <c r="T7" i="2"/>
  <c r="U7" i="2"/>
  <c r="V37" i="5" s="1"/>
  <c r="V7" i="2"/>
  <c r="W7" i="2"/>
  <c r="X7" i="2"/>
  <c r="Y7" i="2"/>
  <c r="Z7" i="2"/>
  <c r="N4" i="2"/>
  <c r="N3" i="2" s="1"/>
  <c r="O4" i="2"/>
  <c r="P4" i="2"/>
  <c r="Q4" i="2"/>
  <c r="R4" i="2"/>
  <c r="S4" i="2"/>
  <c r="T4" i="2"/>
  <c r="U4" i="2"/>
  <c r="V4" i="2"/>
  <c r="V3" i="2" s="1"/>
  <c r="W4" i="2"/>
  <c r="X4" i="2"/>
  <c r="Y4" i="2"/>
  <c r="Y3" i="2" s="1"/>
  <c r="Z4" i="2"/>
  <c r="O3" i="2"/>
  <c r="P3" i="2"/>
  <c r="W3" i="2"/>
  <c r="W19" i="2"/>
  <c r="W29" i="2"/>
  <c r="W33" i="2"/>
  <c r="W35" i="2"/>
  <c r="W37" i="2"/>
  <c r="X3" i="2"/>
  <c r="X19" i="2"/>
  <c r="X29" i="2"/>
  <c r="X33" i="2"/>
  <c r="X35" i="2"/>
  <c r="X37" i="2"/>
  <c r="P19" i="2"/>
  <c r="P29" i="2"/>
  <c r="P33" i="2"/>
  <c r="O19" i="2"/>
  <c r="O29" i="2"/>
  <c r="O33" i="2"/>
  <c r="V19" i="2"/>
  <c r="V29" i="2"/>
  <c r="V33" i="2"/>
  <c r="V35" i="2"/>
  <c r="V37" i="2"/>
  <c r="Q3" i="2"/>
  <c r="Q19" i="2" s="1"/>
  <c r="T3" i="2"/>
  <c r="T19" i="2"/>
  <c r="T29" i="2"/>
  <c r="T33" i="2"/>
  <c r="S3" i="2"/>
  <c r="S19" i="2"/>
  <c r="S29" i="2"/>
  <c r="S33" i="2"/>
  <c r="U3" i="2"/>
  <c r="U19" i="2"/>
  <c r="U29" i="2"/>
  <c r="U33" i="2"/>
  <c r="R3" i="2"/>
  <c r="C48" i="1"/>
  <c r="D48" i="1"/>
  <c r="E48" i="1"/>
  <c r="F48" i="1"/>
  <c r="G48" i="1"/>
  <c r="H48" i="1"/>
  <c r="I48" i="1"/>
  <c r="J48" i="1"/>
  <c r="K25" i="3"/>
  <c r="K48" i="1"/>
  <c r="L48" i="1"/>
  <c r="M25" i="3" s="1"/>
  <c r="M48" i="1"/>
  <c r="O48" i="1"/>
  <c r="P48" i="1"/>
  <c r="Q48" i="1"/>
  <c r="R25" i="3" s="1"/>
  <c r="R48" i="1"/>
  <c r="S25" i="3" s="1"/>
  <c r="S48" i="1"/>
  <c r="T25" i="3" s="1"/>
  <c r="T48" i="1"/>
  <c r="U48" i="1"/>
  <c r="V48" i="1"/>
  <c r="W25" i="3" s="1"/>
  <c r="W48" i="1"/>
  <c r="X25" i="3" s="1"/>
  <c r="X48" i="1"/>
  <c r="Y25" i="3" s="1"/>
  <c r="Y48" i="1"/>
  <c r="Z25" i="3" s="1"/>
  <c r="Z48" i="1"/>
  <c r="AA25" i="3" s="1"/>
  <c r="AA48" i="1"/>
  <c r="AB25" i="3" s="1"/>
  <c r="AA36" i="1"/>
  <c r="C31" i="1"/>
  <c r="C38" i="1" s="1"/>
  <c r="D31" i="1"/>
  <c r="D38" i="1" s="1"/>
  <c r="E31" i="1"/>
  <c r="E38" i="1" s="1"/>
  <c r="F31" i="1"/>
  <c r="F38" i="1" s="1"/>
  <c r="G31" i="1"/>
  <c r="G38" i="1" s="1"/>
  <c r="H31" i="1"/>
  <c r="H38" i="1" s="1"/>
  <c r="I31" i="1"/>
  <c r="I38" i="1" s="1"/>
  <c r="J31" i="1"/>
  <c r="J38" i="1" s="1"/>
  <c r="K31" i="1"/>
  <c r="K38" i="1" s="1"/>
  <c r="L31" i="1"/>
  <c r="L38" i="1" s="1"/>
  <c r="M31" i="1"/>
  <c r="N31" i="1"/>
  <c r="O31" i="1"/>
  <c r="P31" i="1"/>
  <c r="Q31" i="1"/>
  <c r="R31" i="1"/>
  <c r="S31" i="1"/>
  <c r="T31" i="1"/>
  <c r="U31" i="1"/>
  <c r="V31" i="1"/>
  <c r="W5" i="3" s="1"/>
  <c r="W31" i="1"/>
  <c r="X5" i="3" s="1"/>
  <c r="X31" i="1"/>
  <c r="Y5" i="3" s="1"/>
  <c r="Y31" i="1"/>
  <c r="Z5" i="3" s="1"/>
  <c r="Z31" i="1"/>
  <c r="AA5" i="3" s="1"/>
  <c r="AA31" i="1"/>
  <c r="AA5" i="5" s="1"/>
  <c r="C21" i="1"/>
  <c r="D21" i="1"/>
  <c r="E21" i="1"/>
  <c r="E34" i="5" s="1"/>
  <c r="F21" i="1"/>
  <c r="G21" i="1"/>
  <c r="H21" i="1"/>
  <c r="I21" i="1"/>
  <c r="I34" i="5" s="1"/>
  <c r="J21" i="1"/>
  <c r="K21" i="1"/>
  <c r="L21" i="1"/>
  <c r="M30" i="3" s="1"/>
  <c r="M21" i="1"/>
  <c r="N21" i="1"/>
  <c r="O21" i="1"/>
  <c r="P21" i="1"/>
  <c r="Q21" i="1"/>
  <c r="R21" i="1"/>
  <c r="S21" i="1"/>
  <c r="T21" i="1"/>
  <c r="U21" i="1"/>
  <c r="V30" i="3" s="1"/>
  <c r="V21" i="1"/>
  <c r="W21" i="1"/>
  <c r="X21" i="1"/>
  <c r="Y21" i="1"/>
  <c r="Z21" i="1"/>
  <c r="AA21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C14" i="1"/>
  <c r="D14" i="1"/>
  <c r="E14" i="1"/>
  <c r="F14" i="1"/>
  <c r="G32" i="8" s="1"/>
  <c r="G14" i="1"/>
  <c r="H14" i="1"/>
  <c r="I14" i="1"/>
  <c r="J32" i="8" s="1"/>
  <c r="J14" i="1"/>
  <c r="J30" i="5" s="1"/>
  <c r="K14" i="1"/>
  <c r="L14" i="1"/>
  <c r="M14" i="1"/>
  <c r="N32" i="8" s="1"/>
  <c r="N14" i="1"/>
  <c r="N30" i="5" s="1"/>
  <c r="O14" i="1"/>
  <c r="P14" i="1"/>
  <c r="Q14" i="1"/>
  <c r="R14" i="1"/>
  <c r="R30" i="5"/>
  <c r="S14" i="1"/>
  <c r="T14" i="1"/>
  <c r="U14" i="1"/>
  <c r="V14" i="1"/>
  <c r="W14" i="1"/>
  <c r="X14" i="1"/>
  <c r="Y14" i="1"/>
  <c r="Z14" i="1"/>
  <c r="AA14" i="1"/>
  <c r="O8" i="1"/>
  <c r="P8" i="1"/>
  <c r="Q8" i="1"/>
  <c r="R8" i="1"/>
  <c r="S8" i="1"/>
  <c r="T8" i="1"/>
  <c r="U8" i="1"/>
  <c r="V8" i="1"/>
  <c r="W8" i="1"/>
  <c r="X8" i="1"/>
  <c r="Y8" i="1"/>
  <c r="Z8" i="1"/>
  <c r="AA8" i="1"/>
  <c r="C4" i="1"/>
  <c r="D4" i="1"/>
  <c r="E48" i="8" s="1"/>
  <c r="E4" i="1"/>
  <c r="F12" i="3" s="1"/>
  <c r="F4" i="1"/>
  <c r="G49" i="8" s="1"/>
  <c r="G4" i="1"/>
  <c r="H43" i="8" s="1"/>
  <c r="H4" i="1"/>
  <c r="I4" i="1"/>
  <c r="J4" i="1"/>
  <c r="K4" i="1"/>
  <c r="L4" i="1"/>
  <c r="M12" i="3"/>
  <c r="M4" i="1"/>
  <c r="N4" i="1"/>
  <c r="O4" i="1"/>
  <c r="P4" i="1"/>
  <c r="Q13" i="3" s="1"/>
  <c r="Q12" i="3"/>
  <c r="Q4" i="1"/>
  <c r="R4" i="1"/>
  <c r="S4" i="1"/>
  <c r="T48" i="8" s="1"/>
  <c r="T4" i="1"/>
  <c r="U12" i="3"/>
  <c r="U4" i="1"/>
  <c r="V4" i="1"/>
  <c r="W4" i="1"/>
  <c r="X4" i="1"/>
  <c r="Y4" i="1"/>
  <c r="Z4" i="1"/>
  <c r="AA4" i="1"/>
  <c r="S54" i="8"/>
  <c r="U54" i="8"/>
  <c r="I49" i="8"/>
  <c r="J49" i="8"/>
  <c r="K49" i="8"/>
  <c r="L49" i="8"/>
  <c r="P49" i="8"/>
  <c r="Q49" i="8"/>
  <c r="R49" i="8"/>
  <c r="S49" i="8"/>
  <c r="T49" i="8"/>
  <c r="G48" i="8"/>
  <c r="H48" i="8"/>
  <c r="I48" i="8"/>
  <c r="J48" i="8"/>
  <c r="K48" i="8"/>
  <c r="L48" i="8"/>
  <c r="P48" i="8"/>
  <c r="Q48" i="8"/>
  <c r="R48" i="8"/>
  <c r="S48" i="8"/>
  <c r="G43" i="8"/>
  <c r="I43" i="8"/>
  <c r="J43" i="8"/>
  <c r="K43" i="8"/>
  <c r="L43" i="8"/>
  <c r="P43" i="8"/>
  <c r="Q43" i="8"/>
  <c r="R43" i="8"/>
  <c r="S43" i="8"/>
  <c r="M32" i="8"/>
  <c r="P18" i="3"/>
  <c r="Q18" i="3"/>
  <c r="R18" i="3"/>
  <c r="S18" i="3"/>
  <c r="T18" i="3"/>
  <c r="U18" i="3"/>
  <c r="V18" i="3"/>
  <c r="C30" i="2"/>
  <c r="D30" i="2"/>
  <c r="E30" i="2"/>
  <c r="F30" i="2"/>
  <c r="G30" i="2"/>
  <c r="H30" i="2"/>
  <c r="I30" i="2"/>
  <c r="J30" i="2"/>
  <c r="K30" i="2"/>
  <c r="L30" i="2"/>
  <c r="M30" i="2"/>
  <c r="C23" i="2"/>
  <c r="D23" i="2"/>
  <c r="E23" i="2"/>
  <c r="F23" i="2"/>
  <c r="G23" i="2"/>
  <c r="H47" i="5"/>
  <c r="H23" i="2"/>
  <c r="I23" i="2"/>
  <c r="J23" i="2"/>
  <c r="K47" i="5"/>
  <c r="K23" i="2"/>
  <c r="L23" i="2"/>
  <c r="M23" i="2"/>
  <c r="C20" i="2"/>
  <c r="D20" i="2"/>
  <c r="E20" i="2"/>
  <c r="F20" i="2"/>
  <c r="G20" i="2"/>
  <c r="H20" i="2"/>
  <c r="I20" i="2"/>
  <c r="J20" i="2"/>
  <c r="K20" i="2"/>
  <c r="L20" i="2"/>
  <c r="M20" i="2"/>
  <c r="V10" i="3"/>
  <c r="C12" i="2"/>
  <c r="C39" i="2" s="1"/>
  <c r="E32" i="3" s="1"/>
  <c r="D12" i="2"/>
  <c r="D39" i="2" s="1"/>
  <c r="E12" i="2"/>
  <c r="E39" i="2" s="1"/>
  <c r="F12" i="2"/>
  <c r="F39" i="2"/>
  <c r="H32" i="3"/>
  <c r="G12" i="2"/>
  <c r="G39" i="2"/>
  <c r="I32" i="3"/>
  <c r="H12" i="2"/>
  <c r="H39" i="2"/>
  <c r="K32" i="3"/>
  <c r="I12" i="2"/>
  <c r="J12" i="2"/>
  <c r="J39" i="2" s="1"/>
  <c r="K12" i="2"/>
  <c r="K39" i="2" s="1"/>
  <c r="L12" i="2"/>
  <c r="L39" i="2" s="1"/>
  <c r="C7" i="2"/>
  <c r="D7" i="2"/>
  <c r="E7" i="2"/>
  <c r="F7" i="2"/>
  <c r="G7" i="2"/>
  <c r="H7" i="2"/>
  <c r="I7" i="2"/>
  <c r="J39" i="5"/>
  <c r="J7" i="2"/>
  <c r="K7" i="2"/>
  <c r="L7" i="2"/>
  <c r="M7" i="2"/>
  <c r="C4" i="2"/>
  <c r="D4" i="2"/>
  <c r="E4" i="2"/>
  <c r="F4" i="2"/>
  <c r="G4" i="2"/>
  <c r="H4" i="2"/>
  <c r="H3" i="2" s="1"/>
  <c r="I4" i="2"/>
  <c r="J4" i="2"/>
  <c r="K4" i="2"/>
  <c r="L4" i="2"/>
  <c r="C3" i="2"/>
  <c r="D3" i="2"/>
  <c r="D19" i="2"/>
  <c r="E3" i="2"/>
  <c r="E19" i="2"/>
  <c r="F3" i="2"/>
  <c r="F19" i="2"/>
  <c r="K3" i="2"/>
  <c r="K19" i="2"/>
  <c r="L3" i="2"/>
  <c r="N34" i="8"/>
  <c r="N25" i="3"/>
  <c r="Q25" i="3"/>
  <c r="U25" i="3"/>
  <c r="V25" i="3"/>
  <c r="N34" i="5"/>
  <c r="K30" i="5"/>
  <c r="L30" i="5"/>
  <c r="O30" i="5"/>
  <c r="S30" i="5"/>
  <c r="I8" i="1"/>
  <c r="J8" i="1"/>
  <c r="K8" i="1"/>
  <c r="L8" i="1"/>
  <c r="M8" i="1"/>
  <c r="P21" i="3"/>
  <c r="Q21" i="3"/>
  <c r="R21" i="3"/>
  <c r="S21" i="3"/>
  <c r="T21" i="3"/>
  <c r="U21" i="3"/>
  <c r="V21" i="3"/>
  <c r="P19" i="3"/>
  <c r="Q19" i="3"/>
  <c r="R19" i="3"/>
  <c r="S19" i="3"/>
  <c r="T19" i="3"/>
  <c r="U19" i="3"/>
  <c r="V19" i="3"/>
  <c r="R13" i="3"/>
  <c r="P12" i="3"/>
  <c r="R12" i="3"/>
  <c r="S12" i="3"/>
  <c r="N3" i="3"/>
  <c r="N5" i="3" s="1"/>
  <c r="P3" i="3"/>
  <c r="Q3" i="3"/>
  <c r="R3" i="3"/>
  <c r="S3" i="3"/>
  <c r="T3" i="3"/>
  <c r="T5" i="3" s="1"/>
  <c r="U3" i="3"/>
  <c r="U5" i="3" s="1"/>
  <c r="V3" i="3"/>
  <c r="V5" i="3" s="1"/>
  <c r="M47" i="5"/>
  <c r="N47" i="5"/>
  <c r="M45" i="5"/>
  <c r="N34" i="3"/>
  <c r="N45" i="5"/>
  <c r="O34" i="3"/>
  <c r="O45" i="5"/>
  <c r="P34" i="3"/>
  <c r="P45" i="5"/>
  <c r="Q45" i="5"/>
  <c r="R34" i="3"/>
  <c r="R45" i="5"/>
  <c r="S45" i="5"/>
  <c r="T34" i="3"/>
  <c r="T45" i="5"/>
  <c r="U34" i="3"/>
  <c r="U45" i="5"/>
  <c r="V34" i="3"/>
  <c r="W34" i="3"/>
  <c r="M46" i="5"/>
  <c r="N46" i="5"/>
  <c r="O46" i="5"/>
  <c r="P46" i="5"/>
  <c r="Q46" i="5"/>
  <c r="R46" i="5"/>
  <c r="S46" i="5"/>
  <c r="T46" i="5"/>
  <c r="U46" i="5"/>
  <c r="M44" i="5"/>
  <c r="N33" i="3"/>
  <c r="N44" i="5"/>
  <c r="O33" i="3"/>
  <c r="P33" i="3"/>
  <c r="P43" i="5"/>
  <c r="Q33" i="3"/>
  <c r="R33" i="3"/>
  <c r="S33" i="3"/>
  <c r="T33" i="3"/>
  <c r="U33" i="3"/>
  <c r="U43" i="5"/>
  <c r="V33" i="3"/>
  <c r="W33" i="3"/>
  <c r="M40" i="5"/>
  <c r="N40" i="5"/>
  <c r="M39" i="5"/>
  <c r="N39" i="5"/>
  <c r="M38" i="5"/>
  <c r="P38" i="3"/>
  <c r="Q38" i="3"/>
  <c r="S38" i="3"/>
  <c r="U38" i="3"/>
  <c r="M35" i="5"/>
  <c r="N35" i="5"/>
  <c r="M34" i="5"/>
  <c r="M32" i="5"/>
  <c r="N32" i="5"/>
  <c r="M31" i="5"/>
  <c r="N31" i="5"/>
  <c r="R37" i="5"/>
  <c r="S37" i="5"/>
  <c r="W35" i="3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H30" i="5"/>
  <c r="M30" i="5"/>
  <c r="P30" i="5"/>
  <c r="H27" i="5"/>
  <c r="I27" i="5"/>
  <c r="J27" i="5"/>
  <c r="K27" i="5"/>
  <c r="L27" i="5"/>
  <c r="M27" i="5"/>
  <c r="H26" i="5"/>
  <c r="I26" i="5"/>
  <c r="J26" i="5"/>
  <c r="K26" i="5"/>
  <c r="L26" i="5"/>
  <c r="L25" i="5"/>
  <c r="M26" i="5"/>
  <c r="M25" i="5"/>
  <c r="O25" i="5"/>
  <c r="S25" i="5"/>
  <c r="H22" i="5"/>
  <c r="H21" i="5" s="1"/>
  <c r="I22" i="5"/>
  <c r="J22" i="5"/>
  <c r="J21" i="5" s="1"/>
  <c r="K22" i="5"/>
  <c r="K21" i="5" s="1"/>
  <c r="L22" i="5"/>
  <c r="L21" i="5" s="1"/>
  <c r="M22" i="5"/>
  <c r="N22" i="5"/>
  <c r="N21" i="5" s="1"/>
  <c r="O21" i="5"/>
  <c r="P21" i="5"/>
  <c r="Q21" i="5"/>
  <c r="R21" i="5"/>
  <c r="U21" i="5"/>
  <c r="I21" i="5"/>
  <c r="M21" i="5"/>
  <c r="S21" i="5"/>
  <c r="T21" i="5"/>
  <c r="H20" i="5"/>
  <c r="I20" i="5"/>
  <c r="J20" i="5"/>
  <c r="K20" i="5"/>
  <c r="L20" i="5"/>
  <c r="M20" i="5"/>
  <c r="N20" i="5"/>
  <c r="H19" i="5"/>
  <c r="I19" i="5"/>
  <c r="J19" i="5"/>
  <c r="K19" i="5"/>
  <c r="L19" i="5"/>
  <c r="M19" i="5"/>
  <c r="N19" i="5"/>
  <c r="H18" i="5"/>
  <c r="I18" i="5"/>
  <c r="J18" i="5"/>
  <c r="K18" i="5"/>
  <c r="L18" i="5"/>
  <c r="M18" i="5"/>
  <c r="H17" i="5"/>
  <c r="I17" i="5"/>
  <c r="J17" i="5"/>
  <c r="K17" i="5"/>
  <c r="L17" i="5"/>
  <c r="M17" i="5"/>
  <c r="N17" i="5"/>
  <c r="H15" i="5"/>
  <c r="I15" i="5"/>
  <c r="J15" i="5"/>
  <c r="K15" i="5"/>
  <c r="L15" i="5"/>
  <c r="M15" i="5"/>
  <c r="N15" i="5"/>
  <c r="O9" i="5"/>
  <c r="P9" i="5"/>
  <c r="Q9" i="5"/>
  <c r="R9" i="5"/>
  <c r="S9" i="5"/>
  <c r="T9" i="5"/>
  <c r="U9" i="5"/>
  <c r="N38" i="3"/>
  <c r="I25" i="3"/>
  <c r="J25" i="3"/>
  <c r="L25" i="3"/>
  <c r="H21" i="3"/>
  <c r="I21" i="3"/>
  <c r="J21" i="3"/>
  <c r="K21" i="3"/>
  <c r="L21" i="3"/>
  <c r="M21" i="3"/>
  <c r="N21" i="3"/>
  <c r="H19" i="3"/>
  <c r="I19" i="3"/>
  <c r="J19" i="3"/>
  <c r="K19" i="3"/>
  <c r="L19" i="3"/>
  <c r="M19" i="3"/>
  <c r="N19" i="3"/>
  <c r="H18" i="3"/>
  <c r="I18" i="3"/>
  <c r="J18" i="3"/>
  <c r="K18" i="3"/>
  <c r="L18" i="3"/>
  <c r="M18" i="3"/>
  <c r="N18" i="3"/>
  <c r="J13" i="3"/>
  <c r="L13" i="3"/>
  <c r="M13" i="3"/>
  <c r="H12" i="3"/>
  <c r="I12" i="3"/>
  <c r="J12" i="3"/>
  <c r="K12" i="3"/>
  <c r="L12" i="3"/>
  <c r="G18" i="3"/>
  <c r="G19" i="3"/>
  <c r="G21" i="3"/>
  <c r="G22" i="3"/>
  <c r="G23" i="3"/>
  <c r="G24" i="3"/>
  <c r="G27" i="3"/>
  <c r="G29" i="3"/>
  <c r="E3" i="3"/>
  <c r="E5" i="3" s="1"/>
  <c r="F3" i="3"/>
  <c r="G3" i="3"/>
  <c r="G5" i="3" s="1"/>
  <c r="H3" i="3"/>
  <c r="I3" i="3"/>
  <c r="J3" i="3"/>
  <c r="J5" i="3" s="1"/>
  <c r="K3" i="3"/>
  <c r="L3" i="3"/>
  <c r="M3" i="3"/>
  <c r="M5" i="3"/>
  <c r="H7" i="5"/>
  <c r="I7" i="5"/>
  <c r="J55" i="8" s="1"/>
  <c r="J7" i="5"/>
  <c r="K7" i="5"/>
  <c r="L7" i="5"/>
  <c r="M7" i="5"/>
  <c r="N7" i="5"/>
  <c r="O7" i="5"/>
  <c r="P55" i="8" s="1"/>
  <c r="P7" i="5"/>
  <c r="Q7" i="5"/>
  <c r="R55" i="8" s="1"/>
  <c r="R7" i="5"/>
  <c r="S7" i="5"/>
  <c r="T7" i="5"/>
  <c r="U7" i="5"/>
  <c r="V55" i="8" s="1"/>
  <c r="H6" i="5"/>
  <c r="I6" i="5"/>
  <c r="J54" i="8" s="1"/>
  <c r="J6" i="5"/>
  <c r="K6" i="5"/>
  <c r="M54" i="8" s="1"/>
  <c r="D5" i="5"/>
  <c r="E25" i="3" s="1"/>
  <c r="E5" i="5"/>
  <c r="F5" i="5"/>
  <c r="I5" i="5"/>
  <c r="K5" i="5"/>
  <c r="L5" i="5"/>
  <c r="E47" i="5"/>
  <c r="F47" i="5"/>
  <c r="I47" i="5"/>
  <c r="J47" i="5"/>
  <c r="H30" i="3"/>
  <c r="C34" i="5"/>
  <c r="G30" i="3"/>
  <c r="J34" i="5"/>
  <c r="E8" i="1"/>
  <c r="F8" i="1"/>
  <c r="G8" i="1"/>
  <c r="H8" i="1"/>
  <c r="G19" i="5"/>
  <c r="G20" i="5"/>
  <c r="G9" i="5"/>
  <c r="H9" i="5"/>
  <c r="I9" i="5"/>
  <c r="J9" i="5"/>
  <c r="K9" i="5"/>
  <c r="L9" i="5"/>
  <c r="M9" i="5"/>
  <c r="H32" i="8"/>
  <c r="I32" i="8"/>
  <c r="G47" i="5"/>
  <c r="L47" i="5"/>
  <c r="E44" i="5"/>
  <c r="F44" i="5"/>
  <c r="G44" i="5"/>
  <c r="H44" i="5"/>
  <c r="I44" i="5"/>
  <c r="J44" i="5"/>
  <c r="K33" i="3"/>
  <c r="K44" i="5"/>
  <c r="L44" i="5"/>
  <c r="M33" i="3"/>
  <c r="E45" i="5"/>
  <c r="F45" i="5"/>
  <c r="G34" i="3"/>
  <c r="G45" i="5"/>
  <c r="H34" i="3"/>
  <c r="H45" i="5"/>
  <c r="I34" i="3"/>
  <c r="I45" i="5"/>
  <c r="J34" i="3"/>
  <c r="J45" i="5"/>
  <c r="K34" i="3"/>
  <c r="K45" i="5"/>
  <c r="L34" i="3"/>
  <c r="L45" i="5"/>
  <c r="M34" i="3"/>
  <c r="E46" i="5"/>
  <c r="F46" i="5"/>
  <c r="G46" i="5"/>
  <c r="H46" i="5"/>
  <c r="I46" i="5"/>
  <c r="I43" i="5" s="1"/>
  <c r="J46" i="5"/>
  <c r="J43" i="5"/>
  <c r="K46" i="5"/>
  <c r="L46" i="5"/>
  <c r="E40" i="5"/>
  <c r="F40" i="5"/>
  <c r="G40" i="5"/>
  <c r="H40" i="5"/>
  <c r="I40" i="5"/>
  <c r="J40" i="5"/>
  <c r="K40" i="5"/>
  <c r="L40" i="5"/>
  <c r="E39" i="5"/>
  <c r="F39" i="5"/>
  <c r="G39" i="5"/>
  <c r="H39" i="5"/>
  <c r="K39" i="5"/>
  <c r="L39" i="5"/>
  <c r="E38" i="5"/>
  <c r="F38" i="5"/>
  <c r="G38" i="3"/>
  <c r="G38" i="5"/>
  <c r="H38" i="3"/>
  <c r="H38" i="5"/>
  <c r="I38" i="3"/>
  <c r="I38" i="5"/>
  <c r="J38" i="5"/>
  <c r="K38" i="5"/>
  <c r="L38" i="5"/>
  <c r="D35" i="5"/>
  <c r="E35" i="5"/>
  <c r="F35" i="5"/>
  <c r="G35" i="5"/>
  <c r="H35" i="5"/>
  <c r="I35" i="5"/>
  <c r="J35" i="5"/>
  <c r="K35" i="5"/>
  <c r="L35" i="5"/>
  <c r="D34" i="5"/>
  <c r="F34" i="5"/>
  <c r="G34" i="5"/>
  <c r="K34" i="5"/>
  <c r="L34" i="5"/>
  <c r="D32" i="5"/>
  <c r="E32" i="5"/>
  <c r="F32" i="5"/>
  <c r="G32" i="5"/>
  <c r="H32" i="5"/>
  <c r="I32" i="5"/>
  <c r="J32" i="5"/>
  <c r="K32" i="5"/>
  <c r="L32" i="5"/>
  <c r="D31" i="5"/>
  <c r="E28" i="3" s="1"/>
  <c r="E31" i="5"/>
  <c r="E41" i="5" s="1"/>
  <c r="E37" i="5" s="1"/>
  <c r="F31" i="5"/>
  <c r="F41" i="5" s="1"/>
  <c r="F37" i="5" s="1"/>
  <c r="G31" i="5"/>
  <c r="H28" i="3" s="1"/>
  <c r="H31" i="5"/>
  <c r="I31" i="5"/>
  <c r="I41" i="5"/>
  <c r="J31" i="5"/>
  <c r="J41" i="5"/>
  <c r="J37" i="5" s="1"/>
  <c r="K31" i="5"/>
  <c r="K41" i="5" s="1"/>
  <c r="K37" i="5" s="1"/>
  <c r="L39" i="3" s="1"/>
  <c r="L31" i="5"/>
  <c r="D30" i="5"/>
  <c r="E30" i="5"/>
  <c r="F30" i="5"/>
  <c r="G30" i="5"/>
  <c r="D28" i="5"/>
  <c r="E28" i="5"/>
  <c r="F28" i="5"/>
  <c r="G28" i="5"/>
  <c r="D27" i="5"/>
  <c r="E27" i="5"/>
  <c r="F27" i="5"/>
  <c r="G27" i="5"/>
  <c r="D26" i="5"/>
  <c r="E26" i="5"/>
  <c r="E25" i="5" s="1"/>
  <c r="F18" i="8" s="1"/>
  <c r="F26" i="5"/>
  <c r="F25" i="5" s="1"/>
  <c r="G26" i="5"/>
  <c r="G25" i="5" s="1"/>
  <c r="D22" i="5"/>
  <c r="D21" i="5"/>
  <c r="E22" i="5"/>
  <c r="E21" i="5"/>
  <c r="F22" i="5"/>
  <c r="F21" i="5" s="1"/>
  <c r="G22" i="5"/>
  <c r="G21" i="5" s="1"/>
  <c r="E20" i="5"/>
  <c r="F20" i="5"/>
  <c r="E19" i="5"/>
  <c r="F19" i="5"/>
  <c r="E18" i="5"/>
  <c r="F18" i="5"/>
  <c r="G18" i="5"/>
  <c r="F17" i="5"/>
  <c r="G17" i="5"/>
  <c r="G15" i="5"/>
  <c r="F9" i="5"/>
  <c r="E8" i="5"/>
  <c r="F8" i="5"/>
  <c r="G8" i="5"/>
  <c r="H8" i="5"/>
  <c r="I8" i="5"/>
  <c r="J8" i="5"/>
  <c r="K8" i="5"/>
  <c r="L8" i="5"/>
  <c r="M8" i="5"/>
  <c r="N8" i="5"/>
  <c r="O8" i="5"/>
  <c r="P8" i="5"/>
  <c r="Q8" i="5"/>
  <c r="G7" i="5"/>
  <c r="I55" i="8" s="1"/>
  <c r="E8" i="3"/>
  <c r="F8" i="3"/>
  <c r="G8" i="3"/>
  <c r="H8" i="3"/>
  <c r="I8" i="3"/>
  <c r="J8" i="3"/>
  <c r="B42" i="1"/>
  <c r="B48" i="1" s="1"/>
  <c r="B36" i="1"/>
  <c r="B33" i="1"/>
  <c r="B16" i="1"/>
  <c r="B14" i="1" s="1"/>
  <c r="B12" i="1"/>
  <c r="B13" i="1"/>
  <c r="B18" i="2"/>
  <c r="B12" i="2"/>
  <c r="D49" i="8"/>
  <c r="C8" i="1"/>
  <c r="D32" i="8"/>
  <c r="B4" i="1"/>
  <c r="B8" i="1"/>
  <c r="B17" i="1"/>
  <c r="B21" i="1"/>
  <c r="B31" i="1"/>
  <c r="B4" i="2"/>
  <c r="B7" i="2"/>
  <c r="B20" i="2"/>
  <c r="B23" i="2"/>
  <c r="B30" i="2"/>
  <c r="N42" i="1"/>
  <c r="N36" i="1"/>
  <c r="O18" i="3" s="1"/>
  <c r="N33" i="1"/>
  <c r="N13" i="1"/>
  <c r="N12" i="1"/>
  <c r="O21" i="3" s="1"/>
  <c r="M18" i="2"/>
  <c r="M12" i="2" s="1"/>
  <c r="M39" i="2" s="1"/>
  <c r="M5" i="2"/>
  <c r="L15" i="8"/>
  <c r="D35" i="4"/>
  <c r="D34" i="4"/>
  <c r="D36" i="4" s="1"/>
  <c r="C34" i="4"/>
  <c r="F33" i="4"/>
  <c r="F32" i="4"/>
  <c r="F31" i="4"/>
  <c r="F30" i="4"/>
  <c r="F29" i="4"/>
  <c r="F34" i="4"/>
  <c r="M58" i="8"/>
  <c r="D21" i="4"/>
  <c r="C21" i="4"/>
  <c r="D9" i="4"/>
  <c r="C9" i="4"/>
  <c r="D22" i="4"/>
  <c r="D23" i="4"/>
  <c r="F20" i="4"/>
  <c r="F19" i="4"/>
  <c r="F18" i="4"/>
  <c r="F17" i="4"/>
  <c r="F16" i="4"/>
  <c r="D10" i="4"/>
  <c r="F8" i="4"/>
  <c r="F7" i="4"/>
  <c r="F6" i="4"/>
  <c r="F5" i="4"/>
  <c r="F4" i="4"/>
  <c r="F9" i="4" s="1"/>
  <c r="C27" i="5"/>
  <c r="G15" i="8"/>
  <c r="H15" i="8"/>
  <c r="J15" i="8"/>
  <c r="K15" i="8"/>
  <c r="K27" i="3"/>
  <c r="D3" i="3"/>
  <c r="D19" i="3" s="1"/>
  <c r="D8" i="3"/>
  <c r="K8" i="3"/>
  <c r="L8" i="3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D15" i="8"/>
  <c r="E15" i="8"/>
  <c r="B8" i="6"/>
  <c r="C8" i="6"/>
  <c r="B12" i="6"/>
  <c r="C12" i="6"/>
  <c r="B17" i="6"/>
  <c r="C17" i="6"/>
  <c r="B19" i="6"/>
  <c r="C19" i="6"/>
  <c r="B28" i="6"/>
  <c r="C28" i="6"/>
  <c r="E28" i="6"/>
  <c r="B36" i="6"/>
  <c r="C36" i="6"/>
  <c r="B37" i="6"/>
  <c r="C37" i="6"/>
  <c r="B39" i="6"/>
  <c r="C39" i="6"/>
  <c r="C6" i="5"/>
  <c r="D54" i="8" s="1"/>
  <c r="D6" i="5"/>
  <c r="E26" i="3" s="1"/>
  <c r="E6" i="5"/>
  <c r="F26" i="3"/>
  <c r="F6" i="5"/>
  <c r="G54" i="8"/>
  <c r="G6" i="5"/>
  <c r="I54" i="8" s="1"/>
  <c r="H54" i="8"/>
  <c r="C7" i="5"/>
  <c r="D55" i="8" s="1"/>
  <c r="D7" i="5"/>
  <c r="E27" i="3" s="1"/>
  <c r="E7" i="5"/>
  <c r="F7" i="5"/>
  <c r="H55" i="8" s="1"/>
  <c r="C8" i="5"/>
  <c r="D8" i="5"/>
  <c r="C9" i="5"/>
  <c r="D9" i="5"/>
  <c r="E9" i="5"/>
  <c r="C15" i="5"/>
  <c r="D15" i="5"/>
  <c r="E15" i="5"/>
  <c r="F15" i="5"/>
  <c r="F14" i="5" s="1"/>
  <c r="F11" i="5" s="1"/>
  <c r="C17" i="5"/>
  <c r="D17" i="5"/>
  <c r="E17" i="5"/>
  <c r="C18" i="5"/>
  <c r="D18" i="5"/>
  <c r="C19" i="5"/>
  <c r="D19" i="5"/>
  <c r="C20" i="5"/>
  <c r="D20" i="5"/>
  <c r="C22" i="5"/>
  <c r="C21" i="5" s="1"/>
  <c r="C26" i="5"/>
  <c r="C28" i="5"/>
  <c r="C31" i="5"/>
  <c r="D28" i="3" s="1"/>
  <c r="F28" i="3"/>
  <c r="C32" i="5"/>
  <c r="C35" i="5"/>
  <c r="C38" i="5"/>
  <c r="D38" i="5"/>
  <c r="F38" i="3"/>
  <c r="C40" i="5"/>
  <c r="D40" i="5"/>
  <c r="C44" i="5"/>
  <c r="D33" i="3"/>
  <c r="D44" i="5"/>
  <c r="E33" i="3"/>
  <c r="F33" i="3"/>
  <c r="C45" i="5"/>
  <c r="D34" i="3"/>
  <c r="D45" i="5"/>
  <c r="E34" i="3"/>
  <c r="F34" i="3"/>
  <c r="C46" i="5"/>
  <c r="D35" i="3"/>
  <c r="D46" i="5"/>
  <c r="C39" i="5"/>
  <c r="D39" i="5"/>
  <c r="D47" i="5"/>
  <c r="D43" i="5" s="1"/>
  <c r="E12" i="3"/>
  <c r="D8" i="1"/>
  <c r="D18" i="3"/>
  <c r="D11" i="4"/>
  <c r="F21" i="4"/>
  <c r="D12" i="3"/>
  <c r="J32" i="3"/>
  <c r="C5" i="5"/>
  <c r="D25" i="3" s="1"/>
  <c r="E49" i="8"/>
  <c r="F18" i="3"/>
  <c r="F32" i="8"/>
  <c r="D43" i="8"/>
  <c r="D13" i="3"/>
  <c r="D48" i="8"/>
  <c r="F19" i="3"/>
  <c r="E43" i="8"/>
  <c r="J27" i="3"/>
  <c r="C30" i="5"/>
  <c r="E32" i="8"/>
  <c r="D27" i="3"/>
  <c r="E18" i="3"/>
  <c r="C41" i="5"/>
  <c r="C37" i="5" s="1"/>
  <c r="G13" i="3"/>
  <c r="G12" i="3"/>
  <c r="B39" i="2"/>
  <c r="B3" i="2"/>
  <c r="B19" i="2"/>
  <c r="B29" i="2"/>
  <c r="B33" i="2"/>
  <c r="B35" i="2"/>
  <c r="B37" i="2"/>
  <c r="D38" i="3"/>
  <c r="G32" i="3"/>
  <c r="D32" i="3"/>
  <c r="F32" i="3"/>
  <c r="C47" i="5"/>
  <c r="D34" i="8"/>
  <c r="D10" i="3"/>
  <c r="G41" i="5"/>
  <c r="G37" i="5" s="1"/>
  <c r="H39" i="3" s="1"/>
  <c r="L5" i="3"/>
  <c r="F34" i="8"/>
  <c r="E34" i="8"/>
  <c r="K28" i="3"/>
  <c r="E38" i="3"/>
  <c r="I28" i="3"/>
  <c r="L27" i="3"/>
  <c r="J3" i="2"/>
  <c r="J19" i="2" s="1"/>
  <c r="J29" i="2" s="1"/>
  <c r="J33" i="2" s="1"/>
  <c r="G3" i="2"/>
  <c r="G19" i="2"/>
  <c r="I34" i="8"/>
  <c r="G34" i="8"/>
  <c r="P25" i="3"/>
  <c r="M38" i="3"/>
  <c r="T30" i="5"/>
  <c r="L32" i="8"/>
  <c r="L38" i="3"/>
  <c r="N13" i="3"/>
  <c r="O12" i="3"/>
  <c r="V12" i="3"/>
  <c r="O13" i="3"/>
  <c r="H27" i="3"/>
  <c r="D26" i="3"/>
  <c r="F54" i="8"/>
  <c r="L41" i="5"/>
  <c r="L37" i="5" s="1"/>
  <c r="M39" i="3" s="1"/>
  <c r="U30" i="3"/>
  <c r="G25" i="3"/>
  <c r="N30" i="3"/>
  <c r="H25" i="3"/>
  <c r="K30" i="3"/>
  <c r="W30" i="3"/>
  <c r="S5" i="3"/>
  <c r="K5" i="3"/>
  <c r="Q5" i="3"/>
  <c r="K13" i="3"/>
  <c r="J5" i="5"/>
  <c r="K53" i="8" s="1"/>
  <c r="H5" i="3"/>
  <c r="H13" i="3"/>
  <c r="S13" i="3"/>
  <c r="S30" i="3"/>
  <c r="H34" i="5"/>
  <c r="R30" i="3"/>
  <c r="P30" i="3"/>
  <c r="L30" i="3"/>
  <c r="J30" i="3"/>
  <c r="T38" i="3"/>
  <c r="Q30" i="5"/>
  <c r="F5" i="3"/>
  <c r="R5" i="3"/>
  <c r="D5" i="3"/>
  <c r="V49" i="8"/>
  <c r="V48" i="8"/>
  <c r="V43" i="8"/>
  <c r="V13" i="3"/>
  <c r="N49" i="8"/>
  <c r="N48" i="8"/>
  <c r="N43" i="8"/>
  <c r="N12" i="3"/>
  <c r="F43" i="8"/>
  <c r="E13" i="3"/>
  <c r="U43" i="8"/>
  <c r="M43" i="8"/>
  <c r="U48" i="8"/>
  <c r="M48" i="8"/>
  <c r="U49" i="8"/>
  <c r="M49" i="8"/>
  <c r="U13" i="3"/>
  <c r="C43" i="5"/>
  <c r="N43" i="5"/>
  <c r="G33" i="3"/>
  <c r="I39" i="2"/>
  <c r="L32" i="3"/>
  <c r="C19" i="2"/>
  <c r="H43" i="5"/>
  <c r="H41" i="5"/>
  <c r="L43" i="5"/>
  <c r="P37" i="5"/>
  <c r="I10" i="3"/>
  <c r="G29" i="2"/>
  <c r="G33" i="2"/>
  <c r="K29" i="2"/>
  <c r="K33" i="2"/>
  <c r="M10" i="3"/>
  <c r="J35" i="2"/>
  <c r="J37" i="2"/>
  <c r="H10" i="3"/>
  <c r="F29" i="2"/>
  <c r="F33" i="2"/>
  <c r="E29" i="2"/>
  <c r="E33" i="2"/>
  <c r="G10" i="3"/>
  <c r="D29" i="2"/>
  <c r="D33" i="2"/>
  <c r="F10" i="3"/>
  <c r="C29" i="2"/>
  <c r="C33" i="2"/>
  <c r="E10" i="3"/>
  <c r="J34" i="8"/>
  <c r="H19" i="2"/>
  <c r="J33" i="3"/>
  <c r="S34" i="3"/>
  <c r="M34" i="8"/>
  <c r="I3" i="2"/>
  <c r="I33" i="3"/>
  <c r="O37" i="5"/>
  <c r="P39" i="3" s="1"/>
  <c r="I39" i="5"/>
  <c r="H33" i="3"/>
  <c r="Q34" i="3"/>
  <c r="L10" i="3"/>
  <c r="T43" i="5"/>
  <c r="H34" i="8"/>
  <c r="N35" i="3"/>
  <c r="T37" i="5"/>
  <c r="L19" i="2"/>
  <c r="R10" i="3"/>
  <c r="W39" i="3"/>
  <c r="Q10" i="3"/>
  <c r="L29" i="2"/>
  <c r="L33" i="2"/>
  <c r="N10" i="3"/>
  <c r="D35" i="2"/>
  <c r="D37" i="2"/>
  <c r="J10" i="3"/>
  <c r="H29" i="2"/>
  <c r="H33" i="2"/>
  <c r="K35" i="2"/>
  <c r="K37" i="2"/>
  <c r="K34" i="8"/>
  <c r="L34" i="8"/>
  <c r="I19" i="2"/>
  <c r="E35" i="2"/>
  <c r="E37" i="2"/>
  <c r="F35" i="2"/>
  <c r="F37" i="2"/>
  <c r="C35" i="2"/>
  <c r="C37" i="2"/>
  <c r="G35" i="2"/>
  <c r="G37" i="2"/>
  <c r="L35" i="2"/>
  <c r="L37" i="2"/>
  <c r="K10" i="3"/>
  <c r="I29" i="2"/>
  <c r="I33" i="2"/>
  <c r="H35" i="2"/>
  <c r="H37" i="2"/>
  <c r="I35" i="2"/>
  <c r="I37" i="2"/>
  <c r="H37" i="3"/>
  <c r="N55" i="8"/>
  <c r="F43" i="5"/>
  <c r="E43" i="5"/>
  <c r="J28" i="3"/>
  <c r="F25" i="3"/>
  <c r="L33" i="3"/>
  <c r="U37" i="5"/>
  <c r="V39" i="3" s="1"/>
  <c r="R38" i="3"/>
  <c r="U35" i="3"/>
  <c r="O43" i="5"/>
  <c r="Q37" i="5"/>
  <c r="R37" i="3" s="1"/>
  <c r="M43" i="5"/>
  <c r="I27" i="3"/>
  <c r="S35" i="3"/>
  <c r="R43" i="5"/>
  <c r="Z3" i="2"/>
  <c r="Z19" i="2"/>
  <c r="Z29" i="2"/>
  <c r="Z33" i="2"/>
  <c r="Z35" i="2"/>
  <c r="Z37" i="2"/>
  <c r="U35" i="2"/>
  <c r="U37" i="2"/>
  <c r="O35" i="2"/>
  <c r="O37" i="2"/>
  <c r="S35" i="2"/>
  <c r="S37" i="2"/>
  <c r="P35" i="2"/>
  <c r="P37" i="2"/>
  <c r="T35" i="2"/>
  <c r="T37" i="2"/>
  <c r="Q29" i="2"/>
  <c r="Q33" i="2"/>
  <c r="S10" i="3"/>
  <c r="Q39" i="2"/>
  <c r="R19" i="2"/>
  <c r="R39" i="2"/>
  <c r="S43" i="5"/>
  <c r="Q43" i="5"/>
  <c r="N19" i="2"/>
  <c r="U10" i="3"/>
  <c r="Q35" i="2"/>
  <c r="Q37" i="2"/>
  <c r="P10" i="3"/>
  <c r="N29" i="2"/>
  <c r="N33" i="2"/>
  <c r="T10" i="3"/>
  <c r="R29" i="2"/>
  <c r="R33" i="2"/>
  <c r="R35" i="2"/>
  <c r="R37" i="2"/>
  <c r="N35" i="2"/>
  <c r="N37" i="2"/>
  <c r="B27" i="1" l="1"/>
  <c r="B38" i="1"/>
  <c r="G14" i="5"/>
  <c r="G11" i="5" s="1"/>
  <c r="M18" i="8"/>
  <c r="R35" i="3"/>
  <c r="W38" i="3"/>
  <c r="P13" i="3"/>
  <c r="AA43" i="5"/>
  <c r="AB10" i="3"/>
  <c r="Z43" i="5"/>
  <c r="Y43" i="5"/>
  <c r="Z10" i="3"/>
  <c r="Y10" i="3"/>
  <c r="W43" i="5"/>
  <c r="X10" i="3"/>
  <c r="W10" i="3"/>
  <c r="P54" i="8"/>
  <c r="Z25" i="5"/>
  <c r="B49" i="1"/>
  <c r="B51" i="1" s="1"/>
  <c r="AA13" i="3"/>
  <c r="AA12" i="3"/>
  <c r="U30" i="5"/>
  <c r="E14" i="5"/>
  <c r="E11" i="5" s="1"/>
  <c r="G33" i="8" s="1"/>
  <c r="L53" i="8"/>
  <c r="P14" i="5"/>
  <c r="P11" i="5" s="1"/>
  <c r="V38" i="3"/>
  <c r="O54" i="8"/>
  <c r="Z14" i="5"/>
  <c r="Z11" i="5" s="1"/>
  <c r="Z12" i="5" s="1"/>
  <c r="F48" i="8"/>
  <c r="I13" i="3"/>
  <c r="E55" i="8"/>
  <c r="F55" i="8"/>
  <c r="D25" i="5"/>
  <c r="O55" i="8"/>
  <c r="O14" i="5"/>
  <c r="O11" i="5" s="1"/>
  <c r="L14" i="5"/>
  <c r="L11" i="5" s="1"/>
  <c r="M7" i="8" s="1"/>
  <c r="T25" i="5"/>
  <c r="P5" i="3"/>
  <c r="T30" i="3"/>
  <c r="AB12" i="3"/>
  <c r="AB13" i="3"/>
  <c r="I30" i="5"/>
  <c r="H5" i="5"/>
  <c r="AA9" i="5"/>
  <c r="AB18" i="3"/>
  <c r="AA14" i="5"/>
  <c r="AA11" i="5" s="1"/>
  <c r="AB19" i="3"/>
  <c r="AB3" i="3"/>
  <c r="Q54" i="8"/>
  <c r="R39" i="3"/>
  <c r="F49" i="8"/>
  <c r="I5" i="3"/>
  <c r="J35" i="3"/>
  <c r="G53" i="8"/>
  <c r="M55" i="8"/>
  <c r="R25" i="5"/>
  <c r="I25" i="5"/>
  <c r="J18" i="8" s="1"/>
  <c r="T12" i="3"/>
  <c r="P32" i="8"/>
  <c r="H49" i="8"/>
  <c r="Z13" i="3"/>
  <c r="Z12" i="3"/>
  <c r="G5" i="5"/>
  <c r="H18" i="8" s="1"/>
  <c r="Y37" i="5"/>
  <c r="F13" i="3"/>
  <c r="F53" i="8"/>
  <c r="T55" i="8"/>
  <c r="H25" i="5"/>
  <c r="O32" i="8"/>
  <c r="T43" i="8"/>
  <c r="Y12" i="3"/>
  <c r="Y13" i="3"/>
  <c r="W14" i="5"/>
  <c r="W11" i="5" s="1"/>
  <c r="W12" i="5" s="1"/>
  <c r="X14" i="5"/>
  <c r="X11" i="5" s="1"/>
  <c r="X12" i="5" s="1"/>
  <c r="V14" i="5"/>
  <c r="V11" i="5" s="1"/>
  <c r="V12" i="5" s="1"/>
  <c r="T35" i="3"/>
  <c r="E19" i="3"/>
  <c r="S55" i="8"/>
  <c r="K55" i="8"/>
  <c r="M14" i="5"/>
  <c r="M11" i="5" s="1"/>
  <c r="N33" i="8" s="1"/>
  <c r="H14" i="5"/>
  <c r="H11" i="5" s="1"/>
  <c r="I19" i="8" s="1"/>
  <c r="T14" i="5"/>
  <c r="T11" i="5" s="1"/>
  <c r="P25" i="5"/>
  <c r="J25" i="5"/>
  <c r="X13" i="3"/>
  <c r="X12" i="3"/>
  <c r="AA38" i="1"/>
  <c r="AA49" i="1" s="1"/>
  <c r="AB26" i="3" s="1"/>
  <c r="W37" i="5"/>
  <c r="AA25" i="5"/>
  <c r="Y25" i="5"/>
  <c r="W25" i="5"/>
  <c r="K38" i="3"/>
  <c r="W13" i="3"/>
  <c r="W12" i="3"/>
  <c r="T54" i="8"/>
  <c r="J38" i="3"/>
  <c r="I37" i="5"/>
  <c r="J37" i="3" s="1"/>
  <c r="K32" i="8"/>
  <c r="K54" i="8"/>
  <c r="S14" i="5"/>
  <c r="S11" i="5" s="1"/>
  <c r="T5" i="8" s="1"/>
  <c r="K14" i="5"/>
  <c r="K11" i="5" s="1"/>
  <c r="L7" i="8" s="1"/>
  <c r="T13" i="3"/>
  <c r="R54" i="8"/>
  <c r="G37" i="3"/>
  <c r="G39" i="3"/>
  <c r="I18" i="8"/>
  <c r="D39" i="3"/>
  <c r="D30" i="3"/>
  <c r="D37" i="3"/>
  <c r="Q37" i="3"/>
  <c r="Q39" i="3"/>
  <c r="I29" i="3"/>
  <c r="I33" i="8"/>
  <c r="T12" i="5"/>
  <c r="U5" i="8"/>
  <c r="K18" i="8"/>
  <c r="F12" i="5"/>
  <c r="G5" i="8"/>
  <c r="G7" i="8"/>
  <c r="F39" i="3"/>
  <c r="F30" i="3"/>
  <c r="F37" i="3"/>
  <c r="G18" i="8"/>
  <c r="G19" i="8"/>
  <c r="F5" i="8"/>
  <c r="F7" i="8"/>
  <c r="K39" i="3"/>
  <c r="K37" i="3"/>
  <c r="P12" i="5"/>
  <c r="Q5" i="8"/>
  <c r="Q14" i="5"/>
  <c r="Q11" i="5" s="1"/>
  <c r="P5" i="8"/>
  <c r="O12" i="5"/>
  <c r="L12" i="5"/>
  <c r="T37" i="3"/>
  <c r="T39" i="3"/>
  <c r="U39" i="3"/>
  <c r="U37" i="3"/>
  <c r="S39" i="3"/>
  <c r="S37" i="3"/>
  <c r="H33" i="8"/>
  <c r="H19" i="8"/>
  <c r="H29" i="3"/>
  <c r="G12" i="5"/>
  <c r="H7" i="8"/>
  <c r="H5" i="8"/>
  <c r="M37" i="3"/>
  <c r="P37" i="3"/>
  <c r="L37" i="3"/>
  <c r="E53" i="8"/>
  <c r="G55" i="8"/>
  <c r="V37" i="3"/>
  <c r="D53" i="8"/>
  <c r="E18" i="8"/>
  <c r="U14" i="5"/>
  <c r="U11" i="5" s="1"/>
  <c r="I35" i="3"/>
  <c r="E35" i="3"/>
  <c r="D41" i="5"/>
  <c r="D37" i="5" s="1"/>
  <c r="C25" i="5"/>
  <c r="F27" i="3"/>
  <c r="L28" i="3"/>
  <c r="M53" i="8"/>
  <c r="Z37" i="5"/>
  <c r="S12" i="5"/>
  <c r="E54" i="8"/>
  <c r="C14" i="5"/>
  <c r="C11" i="5" s="1"/>
  <c r="L54" i="8"/>
  <c r="U55" i="8"/>
  <c r="Q55" i="8"/>
  <c r="L55" i="8"/>
  <c r="R14" i="5"/>
  <c r="R11" i="5" s="1"/>
  <c r="J14" i="5"/>
  <c r="J11" i="5" s="1"/>
  <c r="K19" i="8" s="1"/>
  <c r="Q25" i="5"/>
  <c r="X37" i="5"/>
  <c r="J39" i="3"/>
  <c r="I14" i="5"/>
  <c r="I11" i="5" s="1"/>
  <c r="J19" i="8" s="1"/>
  <c r="U25" i="5"/>
  <c r="K25" i="5"/>
  <c r="L18" i="8" s="1"/>
  <c r="H53" i="8"/>
  <c r="M35" i="3"/>
  <c r="H35" i="3"/>
  <c r="D14" i="5"/>
  <c r="D11" i="5" s="1"/>
  <c r="M4" i="2"/>
  <c r="M3" i="2" s="1"/>
  <c r="N38" i="5"/>
  <c r="N8" i="1"/>
  <c r="N27" i="5"/>
  <c r="N26" i="5"/>
  <c r="O49" i="8"/>
  <c r="O48" i="8"/>
  <c r="O43" i="8"/>
  <c r="N9" i="5"/>
  <c r="N48" i="1"/>
  <c r="O19" i="3"/>
  <c r="O3" i="3"/>
  <c r="N18" i="5"/>
  <c r="L35" i="3"/>
  <c r="K35" i="3"/>
  <c r="G35" i="3"/>
  <c r="F35" i="3"/>
  <c r="H37" i="5"/>
  <c r="K43" i="5"/>
  <c r="G43" i="5"/>
  <c r="N14" i="5"/>
  <c r="V35" i="3"/>
  <c r="Q35" i="3"/>
  <c r="P35" i="3"/>
  <c r="O35" i="3"/>
  <c r="M41" i="5"/>
  <c r="M37" i="5" s="1"/>
  <c r="AB48" i="8"/>
  <c r="AB49" i="8"/>
  <c r="AA48" i="8"/>
  <c r="AA49" i="8"/>
  <c r="Z48" i="8"/>
  <c r="Z49" i="8"/>
  <c r="Y48" i="8"/>
  <c r="Y49" i="8"/>
  <c r="X48" i="8"/>
  <c r="X49" i="8"/>
  <c r="W48" i="8"/>
  <c r="W49" i="8"/>
  <c r="AA27" i="1"/>
  <c r="AA30" i="5"/>
  <c r="Z30" i="5"/>
  <c r="Y30" i="5"/>
  <c r="X30" i="5"/>
  <c r="W30" i="5"/>
  <c r="V30" i="5"/>
  <c r="Z27" i="1"/>
  <c r="Y27" i="1"/>
  <c r="X27" i="1"/>
  <c r="W27" i="1"/>
  <c r="V27" i="1"/>
  <c r="W20" i="3" s="1"/>
  <c r="U27" i="1"/>
  <c r="V20" i="3" s="1"/>
  <c r="T27" i="1"/>
  <c r="U20" i="3" s="1"/>
  <c r="S27" i="1"/>
  <c r="T20" i="3" s="1"/>
  <c r="R27" i="1"/>
  <c r="S20" i="3" s="1"/>
  <c r="Q27" i="1"/>
  <c r="R20" i="3" s="1"/>
  <c r="Q30" i="3"/>
  <c r="P27" i="1"/>
  <c r="Q20" i="3" s="1"/>
  <c r="O27" i="1"/>
  <c r="P20" i="3" s="1"/>
  <c r="N27" i="1"/>
  <c r="O20" i="3" s="1"/>
  <c r="M27" i="1"/>
  <c r="N20" i="3" s="1"/>
  <c r="L27" i="1"/>
  <c r="M20" i="3" s="1"/>
  <c r="K27" i="1"/>
  <c r="L20" i="3" s="1"/>
  <c r="J27" i="1"/>
  <c r="K20" i="3" s="1"/>
  <c r="I27" i="1"/>
  <c r="J20" i="3" s="1"/>
  <c r="I30" i="3"/>
  <c r="H27" i="1"/>
  <c r="I20" i="3" s="1"/>
  <c r="G27" i="1"/>
  <c r="H20" i="3" s="1"/>
  <c r="F27" i="1"/>
  <c r="G20" i="3" s="1"/>
  <c r="E27" i="1"/>
  <c r="D27" i="1"/>
  <c r="C27" i="1"/>
  <c r="Z5" i="5"/>
  <c r="Z38" i="1"/>
  <c r="Y5" i="5"/>
  <c r="Y38" i="1"/>
  <c r="X5" i="5"/>
  <c r="X38" i="1"/>
  <c r="W5" i="5"/>
  <c r="W38" i="1"/>
  <c r="V5" i="5"/>
  <c r="V38" i="1"/>
  <c r="U5" i="5"/>
  <c r="U38" i="1"/>
  <c r="T5" i="5"/>
  <c r="T38" i="1"/>
  <c r="S5" i="5"/>
  <c r="S38" i="1"/>
  <c r="R5" i="5"/>
  <c r="R38" i="1"/>
  <c r="Q5" i="5"/>
  <c r="Q38" i="1"/>
  <c r="P5" i="5"/>
  <c r="P38" i="1"/>
  <c r="O5" i="5"/>
  <c r="O38" i="1"/>
  <c r="N5" i="5"/>
  <c r="N38" i="1"/>
  <c r="M5" i="5"/>
  <c r="M38" i="1"/>
  <c r="Z49" i="1"/>
  <c r="AA26" i="3" s="1"/>
  <c r="X49" i="1"/>
  <c r="X51" i="1" s="1"/>
  <c r="W49" i="1"/>
  <c r="V49" i="1"/>
  <c r="W26" i="3" s="1"/>
  <c r="T49" i="1"/>
  <c r="S49" i="1"/>
  <c r="R49" i="1"/>
  <c r="P49" i="1"/>
  <c r="O49" i="1"/>
  <c r="L49" i="1"/>
  <c r="K49" i="1"/>
  <c r="J49" i="1"/>
  <c r="I49" i="1"/>
  <c r="H49" i="1"/>
  <c r="G49" i="1"/>
  <c r="F49" i="1"/>
  <c r="E49" i="1"/>
  <c r="E51" i="1" s="1"/>
  <c r="D49" i="1"/>
  <c r="D51" i="1" s="1"/>
  <c r="C49" i="1"/>
  <c r="C51" i="1" s="1"/>
  <c r="X51" i="8"/>
  <c r="Y19" i="2"/>
  <c r="AB54" i="8"/>
  <c r="AA54" i="8"/>
  <c r="Z54" i="8"/>
  <c r="Y54" i="8"/>
  <c r="X54" i="8"/>
  <c r="W54" i="8"/>
  <c r="X43" i="5"/>
  <c r="V25" i="5"/>
  <c r="Y14" i="5"/>
  <c r="Y11" i="5" s="1"/>
  <c r="AB55" i="8"/>
  <c r="AA55" i="8"/>
  <c r="Z55" i="8"/>
  <c r="Y55" i="8"/>
  <c r="X55" i="8"/>
  <c r="W55" i="8"/>
  <c r="Y29" i="2" l="1"/>
  <c r="Y33" i="2" s="1"/>
  <c r="AA10" i="3"/>
  <c r="X16" i="3"/>
  <c r="X20" i="3"/>
  <c r="Y20" i="3"/>
  <c r="Y15" i="3"/>
  <c r="Y16" i="3"/>
  <c r="Z51" i="8"/>
  <c r="Z20" i="3"/>
  <c r="AA15" i="3"/>
  <c r="AA20" i="3"/>
  <c r="AB16" i="3"/>
  <c r="AB20" i="3"/>
  <c r="I53" i="8"/>
  <c r="V43" i="5"/>
  <c r="W37" i="3"/>
  <c r="AA12" i="5"/>
  <c r="W23" i="3"/>
  <c r="W11" i="3"/>
  <c r="W14" i="3"/>
  <c r="X9" i="3"/>
  <c r="W4" i="3"/>
  <c r="W22" i="3"/>
  <c r="W6" i="3"/>
  <c r="X15" i="3"/>
  <c r="Z17" i="3"/>
  <c r="AB50" i="8"/>
  <c r="U49" i="1"/>
  <c r="M12" i="5"/>
  <c r="M33" i="8"/>
  <c r="H12" i="5"/>
  <c r="Y26" i="3"/>
  <c r="AB5" i="3"/>
  <c r="AB6" i="3"/>
  <c r="AB4" i="3"/>
  <c r="X14" i="3"/>
  <c r="X22" i="3"/>
  <c r="Y9" i="3"/>
  <c r="X6" i="3"/>
  <c r="X11" i="3"/>
  <c r="X23" i="3"/>
  <c r="X4" i="3"/>
  <c r="X17" i="3"/>
  <c r="AA11" i="3"/>
  <c r="AA23" i="3"/>
  <c r="AA14" i="3"/>
  <c r="AA22" i="3"/>
  <c r="AB9" i="3"/>
  <c r="AA4" i="3"/>
  <c r="AA6" i="3"/>
  <c r="M49" i="1"/>
  <c r="Z15" i="3"/>
  <c r="AB15" i="3"/>
  <c r="J53" i="8"/>
  <c r="W51" i="1"/>
  <c r="Y51" i="8"/>
  <c r="Y22" i="3"/>
  <c r="Y14" i="3"/>
  <c r="Y11" i="3"/>
  <c r="Y23" i="3"/>
  <c r="Z9" i="3"/>
  <c r="Y6" i="3"/>
  <c r="Y4" i="3"/>
  <c r="L5" i="8"/>
  <c r="F19" i="8"/>
  <c r="F29" i="3"/>
  <c r="W16" i="3"/>
  <c r="Q49" i="1"/>
  <c r="Y49" i="1"/>
  <c r="M19" i="8"/>
  <c r="E12" i="5"/>
  <c r="I7" i="8"/>
  <c r="W17" i="3"/>
  <c r="AB17" i="3"/>
  <c r="W15" i="3"/>
  <c r="Y17" i="3"/>
  <c r="Z11" i="3"/>
  <c r="Z23" i="3"/>
  <c r="Z14" i="3"/>
  <c r="Z22" i="3"/>
  <c r="AA9" i="3"/>
  <c r="Z6" i="3"/>
  <c r="Z4" i="3"/>
  <c r="M5" i="8"/>
  <c r="AA16" i="3"/>
  <c r="W51" i="8"/>
  <c r="W9" i="3"/>
  <c r="AB11" i="3"/>
  <c r="AB23" i="3"/>
  <c r="AB14" i="3"/>
  <c r="AB22" i="3"/>
  <c r="I5" i="8"/>
  <c r="K12" i="5"/>
  <c r="L29" i="3"/>
  <c r="X26" i="3"/>
  <c r="N19" i="8"/>
  <c r="N5" i="8"/>
  <c r="Z16" i="3"/>
  <c r="AA17" i="3"/>
  <c r="R12" i="5"/>
  <c r="S5" i="8"/>
  <c r="L19" i="8"/>
  <c r="C12" i="5"/>
  <c r="D7" i="8"/>
  <c r="D33" i="8"/>
  <c r="D29" i="3"/>
  <c r="D5" i="8"/>
  <c r="D18" i="8"/>
  <c r="D19" i="8"/>
  <c r="N11" i="5"/>
  <c r="O7" i="8" s="1"/>
  <c r="N25" i="5"/>
  <c r="R5" i="8"/>
  <c r="Q12" i="5"/>
  <c r="V5" i="8"/>
  <c r="U12" i="5"/>
  <c r="E37" i="3"/>
  <c r="E39" i="3"/>
  <c r="E30" i="3"/>
  <c r="J33" i="8"/>
  <c r="J29" i="3"/>
  <c r="J7" i="8"/>
  <c r="J5" i="8"/>
  <c r="I12" i="5"/>
  <c r="J12" i="5"/>
  <c r="K7" i="8"/>
  <c r="K29" i="3"/>
  <c r="K5" i="8"/>
  <c r="K33" i="8"/>
  <c r="L33" i="8"/>
  <c r="Y12" i="5"/>
  <c r="AA37" i="5"/>
  <c r="AA51" i="8"/>
  <c r="Y35" i="2"/>
  <c r="Y37" i="2" s="1"/>
  <c r="F51" i="1"/>
  <c r="G28" i="3" s="1"/>
  <c r="G26" i="3"/>
  <c r="H26" i="3"/>
  <c r="G51" i="1"/>
  <c r="H51" i="1"/>
  <c r="I26" i="3"/>
  <c r="J26" i="3"/>
  <c r="I51" i="1"/>
  <c r="K26" i="3"/>
  <c r="J51" i="1"/>
  <c r="K51" i="1"/>
  <c r="L26" i="3"/>
  <c r="L51" i="1"/>
  <c r="M26" i="3"/>
  <c r="N26" i="3"/>
  <c r="M51" i="1"/>
  <c r="O51" i="1"/>
  <c r="P26" i="3"/>
  <c r="Q26" i="3"/>
  <c r="P51" i="1"/>
  <c r="R26" i="3"/>
  <c r="Q51" i="1"/>
  <c r="S26" i="3"/>
  <c r="R51" i="1"/>
  <c r="S51" i="1"/>
  <c r="T26" i="3"/>
  <c r="U26" i="3"/>
  <c r="T51" i="1"/>
  <c r="V26" i="3"/>
  <c r="U51" i="1"/>
  <c r="V51" i="1"/>
  <c r="N53" i="8"/>
  <c r="N7" i="8"/>
  <c r="N18" i="8"/>
  <c r="O53" i="8"/>
  <c r="P53" i="8"/>
  <c r="P7" i="8"/>
  <c r="Q53" i="8"/>
  <c r="Q7" i="8"/>
  <c r="R53" i="8"/>
  <c r="R7" i="8"/>
  <c r="S53" i="8"/>
  <c r="S7" i="8"/>
  <c r="T53" i="8"/>
  <c r="T7" i="8"/>
  <c r="U53" i="8"/>
  <c r="U7" i="8"/>
  <c r="V53" i="8"/>
  <c r="V7" i="8"/>
  <c r="W53" i="8"/>
  <c r="X53" i="8"/>
  <c r="Y53" i="8"/>
  <c r="Z53" i="8"/>
  <c r="AA53" i="8"/>
  <c r="AB53" i="8"/>
  <c r="D52" i="8"/>
  <c r="D17" i="3"/>
  <c r="D20" i="3"/>
  <c r="D16" i="3"/>
  <c r="D13" i="8"/>
  <c r="D11" i="3"/>
  <c r="D9" i="3"/>
  <c r="D6" i="3"/>
  <c r="D4" i="3"/>
  <c r="D14" i="3"/>
  <c r="D22" i="3"/>
  <c r="D51" i="8"/>
  <c r="D21" i="3"/>
  <c r="D50" i="8"/>
  <c r="D15" i="3"/>
  <c r="C4" i="5"/>
  <c r="D23" i="3"/>
  <c r="E9" i="3"/>
  <c r="E23" i="3"/>
  <c r="E6" i="3"/>
  <c r="E14" i="3"/>
  <c r="D4" i="5"/>
  <c r="E22" i="3"/>
  <c r="E20" i="3"/>
  <c r="E4" i="3"/>
  <c r="E13" i="8"/>
  <c r="E21" i="3"/>
  <c r="E17" i="3"/>
  <c r="E50" i="8"/>
  <c r="E16" i="3"/>
  <c r="E15" i="3"/>
  <c r="E52" i="8"/>
  <c r="E11" i="3"/>
  <c r="F9" i="3"/>
  <c r="E51" i="8"/>
  <c r="F4" i="3"/>
  <c r="E4" i="5"/>
  <c r="F21" i="3"/>
  <c r="F16" i="3"/>
  <c r="F17" i="3"/>
  <c r="F15" i="3"/>
  <c r="F14" i="3"/>
  <c r="F23" i="3"/>
  <c r="F20" i="3"/>
  <c r="F13" i="8"/>
  <c r="F22" i="3"/>
  <c r="F6" i="3"/>
  <c r="F50" i="8"/>
  <c r="F52" i="8"/>
  <c r="F11" i="3"/>
  <c r="F51" i="8"/>
  <c r="G9" i="3"/>
  <c r="G4" i="3"/>
  <c r="G15" i="3"/>
  <c r="G14" i="3"/>
  <c r="G52" i="8"/>
  <c r="G50" i="8"/>
  <c r="G17" i="3"/>
  <c r="F4" i="5"/>
  <c r="G16" i="3"/>
  <c r="G13" i="8"/>
  <c r="G6" i="3"/>
  <c r="G11" i="3"/>
  <c r="G51" i="8"/>
  <c r="H9" i="3"/>
  <c r="H4" i="3"/>
  <c r="G4" i="5"/>
  <c r="H16" i="3"/>
  <c r="H17" i="3"/>
  <c r="H6" i="3"/>
  <c r="H15" i="3"/>
  <c r="H14" i="3"/>
  <c r="H23" i="3"/>
  <c r="H13" i="8"/>
  <c r="H52" i="8"/>
  <c r="H22" i="3"/>
  <c r="H50" i="8"/>
  <c r="H11" i="3"/>
  <c r="H51" i="8"/>
  <c r="I9" i="3"/>
  <c r="I50" i="8"/>
  <c r="I17" i="3"/>
  <c r="I14" i="3"/>
  <c r="I16" i="3"/>
  <c r="I23" i="3"/>
  <c r="I13" i="8"/>
  <c r="I52" i="8"/>
  <c r="I15" i="3"/>
  <c r="H4" i="5"/>
  <c r="I22" i="3"/>
  <c r="I4" i="3"/>
  <c r="I6" i="3"/>
  <c r="I11" i="3"/>
  <c r="I51" i="8"/>
  <c r="J9" i="3"/>
  <c r="J50" i="8"/>
  <c r="J11" i="3"/>
  <c r="J6" i="3"/>
  <c r="J14" i="3"/>
  <c r="J4" i="3"/>
  <c r="J15" i="3"/>
  <c r="J16" i="3"/>
  <c r="I4" i="5"/>
  <c r="J13" i="8"/>
  <c r="J52" i="8"/>
  <c r="J23" i="3"/>
  <c r="J22" i="3"/>
  <c r="J17" i="3"/>
  <c r="J51" i="8"/>
  <c r="K9" i="3"/>
  <c r="K11" i="3"/>
  <c r="J4" i="5"/>
  <c r="K13" i="8"/>
  <c r="K16" i="3"/>
  <c r="K22" i="3"/>
  <c r="K6" i="3"/>
  <c r="K50" i="8"/>
  <c r="K17" i="3"/>
  <c r="K23" i="3"/>
  <c r="K15" i="3"/>
  <c r="K4" i="3"/>
  <c r="K14" i="3"/>
  <c r="K52" i="8"/>
  <c r="L9" i="3"/>
  <c r="K51" i="8"/>
  <c r="L50" i="8"/>
  <c r="L4" i="3"/>
  <c r="L16" i="3"/>
  <c r="L6" i="3"/>
  <c r="L17" i="3"/>
  <c r="L22" i="3"/>
  <c r="K4" i="5"/>
  <c r="L13" i="8"/>
  <c r="L23" i="3"/>
  <c r="L14" i="3"/>
  <c r="L15" i="3"/>
  <c r="L52" i="8"/>
  <c r="L11" i="3"/>
  <c r="L51" i="8"/>
  <c r="M9" i="3"/>
  <c r="L4" i="5"/>
  <c r="M14" i="3"/>
  <c r="M17" i="3"/>
  <c r="M16" i="3"/>
  <c r="M50" i="8"/>
  <c r="M52" i="8"/>
  <c r="M22" i="3"/>
  <c r="M13" i="8"/>
  <c r="M15" i="3"/>
  <c r="M6" i="3"/>
  <c r="M4" i="3"/>
  <c r="M23" i="3"/>
  <c r="M11" i="3"/>
  <c r="M51" i="8"/>
  <c r="N9" i="3"/>
  <c r="N52" i="8"/>
  <c r="N50" i="8"/>
  <c r="N6" i="3"/>
  <c r="N17" i="3"/>
  <c r="M4" i="5"/>
  <c r="N4" i="3"/>
  <c r="N11" i="3"/>
  <c r="N13" i="8"/>
  <c r="N23" i="3"/>
  <c r="N16" i="3"/>
  <c r="N14" i="3"/>
  <c r="N22" i="3"/>
  <c r="N15" i="3"/>
  <c r="N51" i="8"/>
  <c r="N4" i="5"/>
  <c r="O17" i="3"/>
  <c r="O14" i="3"/>
  <c r="O13" i="8"/>
  <c r="O11" i="3"/>
  <c r="O22" i="3"/>
  <c r="O15" i="3"/>
  <c r="O50" i="8"/>
  <c r="O23" i="3"/>
  <c r="O16" i="3"/>
  <c r="O52" i="8"/>
  <c r="P9" i="3"/>
  <c r="O4" i="5"/>
  <c r="P13" i="8"/>
  <c r="P14" i="3"/>
  <c r="P50" i="8"/>
  <c r="P15" i="3"/>
  <c r="P23" i="3"/>
  <c r="P17" i="3"/>
  <c r="P4" i="3"/>
  <c r="P6" i="3"/>
  <c r="P16" i="3"/>
  <c r="P22" i="3"/>
  <c r="P52" i="8"/>
  <c r="Q9" i="3"/>
  <c r="P11" i="3"/>
  <c r="P51" i="8"/>
  <c r="P4" i="5"/>
  <c r="Q17" i="3"/>
  <c r="Q13" i="8"/>
  <c r="Q6" i="3"/>
  <c r="Q16" i="3"/>
  <c r="Q23" i="3"/>
  <c r="Q50" i="8"/>
  <c r="Q14" i="3"/>
  <c r="Q22" i="3"/>
  <c r="Q11" i="3"/>
  <c r="Q15" i="3"/>
  <c r="Q52" i="8"/>
  <c r="Q4" i="3"/>
  <c r="Q51" i="8"/>
  <c r="R9" i="3"/>
  <c r="Q4" i="5"/>
  <c r="R16" i="3"/>
  <c r="R14" i="3"/>
  <c r="R17" i="3"/>
  <c r="R50" i="8"/>
  <c r="R6" i="3"/>
  <c r="R22" i="3"/>
  <c r="R23" i="3"/>
  <c r="R4" i="3"/>
  <c r="R11" i="3"/>
  <c r="R13" i="8"/>
  <c r="R52" i="8"/>
  <c r="R15" i="3"/>
  <c r="R51" i="8"/>
  <c r="S9" i="3"/>
  <c r="R4" i="5"/>
  <c r="S23" i="3"/>
  <c r="S4" i="3"/>
  <c r="S50" i="8"/>
  <c r="S14" i="3"/>
  <c r="S22" i="3"/>
  <c r="S17" i="3"/>
  <c r="S15" i="3"/>
  <c r="S6" i="3"/>
  <c r="S16" i="3"/>
  <c r="S13" i="8"/>
  <c r="S52" i="8"/>
  <c r="S11" i="3"/>
  <c r="S51" i="8"/>
  <c r="T9" i="3"/>
  <c r="S4" i="5"/>
  <c r="T11" i="3"/>
  <c r="T13" i="8"/>
  <c r="T23" i="3"/>
  <c r="T22" i="3"/>
  <c r="T15" i="3"/>
  <c r="T17" i="3"/>
  <c r="T6" i="3"/>
  <c r="T50" i="8"/>
  <c r="T16" i="3"/>
  <c r="T14" i="3"/>
  <c r="T4" i="3"/>
  <c r="T52" i="8"/>
  <c r="U9" i="3"/>
  <c r="T51" i="8"/>
  <c r="T4" i="5"/>
  <c r="U11" i="3"/>
  <c r="U14" i="3"/>
  <c r="U4" i="3"/>
  <c r="U6" i="3"/>
  <c r="U22" i="3"/>
  <c r="U13" i="8"/>
  <c r="U23" i="3"/>
  <c r="U52" i="8"/>
  <c r="U50" i="8"/>
  <c r="U17" i="3"/>
  <c r="U15" i="3"/>
  <c r="U16" i="3"/>
  <c r="U51" i="8"/>
  <c r="V9" i="3"/>
  <c r="U4" i="5"/>
  <c r="V52" i="8"/>
  <c r="V50" i="8"/>
  <c r="V17" i="3"/>
  <c r="V23" i="3"/>
  <c r="V14" i="3"/>
  <c r="V13" i="8"/>
  <c r="V16" i="3"/>
  <c r="V22" i="3"/>
  <c r="V11" i="3"/>
  <c r="V6" i="3"/>
  <c r="V4" i="3"/>
  <c r="V15" i="3"/>
  <c r="V51" i="8"/>
  <c r="W50" i="8"/>
  <c r="W52" i="8"/>
  <c r="V4" i="5"/>
  <c r="W24" i="3" s="1"/>
  <c r="X50" i="8"/>
  <c r="X52" i="8"/>
  <c r="W4" i="5"/>
  <c r="Y50" i="8"/>
  <c r="Y52" i="8"/>
  <c r="X4" i="5"/>
  <c r="Y24" i="3" s="1"/>
  <c r="Z50" i="8"/>
  <c r="Z52" i="8"/>
  <c r="Y4" i="5"/>
  <c r="AA50" i="8"/>
  <c r="AA52" i="8"/>
  <c r="Z4" i="5"/>
  <c r="AA24" i="3" s="1"/>
  <c r="AB52" i="8"/>
  <c r="AA4" i="5"/>
  <c r="AC50" i="1"/>
  <c r="AB51" i="8"/>
  <c r="N37" i="3"/>
  <c r="N39" i="3"/>
  <c r="I39" i="3"/>
  <c r="I37" i="3"/>
  <c r="O5" i="3"/>
  <c r="O6" i="3"/>
  <c r="O4" i="3"/>
  <c r="N49" i="1"/>
  <c r="O25" i="3"/>
  <c r="O30" i="3"/>
  <c r="O19" i="8"/>
  <c r="O18" i="8"/>
  <c r="N41" i="5"/>
  <c r="N37" i="5" s="1"/>
  <c r="O38" i="3"/>
  <c r="O34" i="8"/>
  <c r="M19" i="2"/>
  <c r="P34" i="8"/>
  <c r="E5" i="8"/>
  <c r="E7" i="8"/>
  <c r="E29" i="3"/>
  <c r="E33" i="8"/>
  <c r="D12" i="5"/>
  <c r="E9" i="8" s="1"/>
  <c r="E6" i="8"/>
  <c r="E19" i="8"/>
  <c r="F33" i="8"/>
  <c r="AB24" i="3" l="1"/>
  <c r="Y51" i="1"/>
  <c r="Z26" i="3"/>
  <c r="P33" i="8"/>
  <c r="O5" i="8"/>
  <c r="O6" i="8"/>
  <c r="N12" i="5"/>
  <c r="O9" i="8" s="1"/>
  <c r="O33" i="8"/>
  <c r="Z24" i="3"/>
  <c r="X24" i="3"/>
  <c r="O10" i="3"/>
  <c r="M29" i="2"/>
  <c r="M33" i="2" s="1"/>
  <c r="O37" i="3"/>
  <c r="O39" i="3"/>
  <c r="O26" i="3"/>
  <c r="N51" i="1"/>
  <c r="V25" i="8"/>
  <c r="V24" i="3"/>
  <c r="V26" i="8"/>
  <c r="V24" i="8"/>
  <c r="V20" i="8"/>
  <c r="V14" i="8"/>
  <c r="W36" i="3"/>
  <c r="V9" i="8"/>
  <c r="V6" i="8"/>
  <c r="V23" i="8"/>
  <c r="U20" i="8"/>
  <c r="U26" i="8"/>
  <c r="U24" i="8"/>
  <c r="U14" i="8"/>
  <c r="U24" i="3"/>
  <c r="V36" i="3"/>
  <c r="U9" i="8"/>
  <c r="U6" i="8"/>
  <c r="U25" i="8"/>
  <c r="U23" i="8"/>
  <c r="T20" i="8"/>
  <c r="T26" i="8"/>
  <c r="T25" i="8"/>
  <c r="T24" i="8"/>
  <c r="T14" i="8"/>
  <c r="U36" i="3"/>
  <c r="T24" i="3"/>
  <c r="T9" i="8"/>
  <c r="T6" i="8"/>
  <c r="T23" i="8"/>
  <c r="T36" i="3"/>
  <c r="S14" i="8"/>
  <c r="S24" i="3"/>
  <c r="S26" i="8"/>
  <c r="S25" i="8"/>
  <c r="S24" i="8"/>
  <c r="S20" i="8"/>
  <c r="S6" i="8"/>
  <c r="S9" i="8"/>
  <c r="S23" i="8"/>
  <c r="R14" i="8"/>
  <c r="R20" i="8"/>
  <c r="R25" i="8"/>
  <c r="R26" i="8"/>
  <c r="R24" i="8"/>
  <c r="R24" i="3"/>
  <c r="S36" i="3"/>
  <c r="R9" i="8"/>
  <c r="R6" i="8"/>
  <c r="R23" i="8"/>
  <c r="R36" i="3"/>
  <c r="Q20" i="8"/>
  <c r="Q25" i="8"/>
  <c r="Q14" i="8"/>
  <c r="Q24" i="8"/>
  <c r="Q24" i="3"/>
  <c r="Q26" i="8"/>
  <c r="Q6" i="8"/>
  <c r="Q9" i="8"/>
  <c r="Q23" i="8"/>
  <c r="P14" i="8"/>
  <c r="P24" i="8"/>
  <c r="P20" i="8"/>
  <c r="P25" i="8"/>
  <c r="P26" i="8"/>
  <c r="P24" i="3"/>
  <c r="Q36" i="3"/>
  <c r="P6" i="8"/>
  <c r="P9" i="8"/>
  <c r="P23" i="8"/>
  <c r="O25" i="8"/>
  <c r="O20" i="8"/>
  <c r="O14" i="8"/>
  <c r="O26" i="8"/>
  <c r="O24" i="8"/>
  <c r="O24" i="3"/>
  <c r="P36" i="3"/>
  <c r="O23" i="8"/>
  <c r="O36" i="3"/>
  <c r="N20" i="8"/>
  <c r="N25" i="8"/>
  <c r="N24" i="3"/>
  <c r="N26" i="8"/>
  <c r="N24" i="8"/>
  <c r="N14" i="8"/>
  <c r="N9" i="8"/>
  <c r="N6" i="8"/>
  <c r="N23" i="8"/>
  <c r="M25" i="8"/>
  <c r="M14" i="8"/>
  <c r="M26" i="8"/>
  <c r="M23" i="8"/>
  <c r="M20" i="8"/>
  <c r="M24" i="8"/>
  <c r="N36" i="3"/>
  <c r="M9" i="8"/>
  <c r="M6" i="8"/>
  <c r="M24" i="3"/>
  <c r="L26" i="8"/>
  <c r="L8" i="8"/>
  <c r="L25" i="8"/>
  <c r="L24" i="3"/>
  <c r="L14" i="8"/>
  <c r="L24" i="8"/>
  <c r="M36" i="3"/>
  <c r="L20" i="8"/>
  <c r="L23" i="8"/>
  <c r="L6" i="8"/>
  <c r="L9" i="8"/>
  <c r="K24" i="8"/>
  <c r="K25" i="8"/>
  <c r="K8" i="8"/>
  <c r="K26" i="8"/>
  <c r="K14" i="8"/>
  <c r="K20" i="8"/>
  <c r="K23" i="8"/>
  <c r="K9" i="8"/>
  <c r="K6" i="8"/>
  <c r="L36" i="3"/>
  <c r="K24" i="3"/>
  <c r="J20" i="8"/>
  <c r="J8" i="8"/>
  <c r="J23" i="8"/>
  <c r="J6" i="8"/>
  <c r="J9" i="8"/>
  <c r="J25" i="8"/>
  <c r="J24" i="8"/>
  <c r="J14" i="8"/>
  <c r="K36" i="3"/>
  <c r="J26" i="8"/>
  <c r="J24" i="3"/>
  <c r="I20" i="8"/>
  <c r="I24" i="3"/>
  <c r="I23" i="8"/>
  <c r="I8" i="8"/>
  <c r="I9" i="8"/>
  <c r="I6" i="8"/>
  <c r="J36" i="3"/>
  <c r="I26" i="8"/>
  <c r="I14" i="8"/>
  <c r="I24" i="8"/>
  <c r="I25" i="8"/>
  <c r="H20" i="8"/>
  <c r="H8" i="8"/>
  <c r="H26" i="8"/>
  <c r="H24" i="8"/>
  <c r="H23" i="8"/>
  <c r="H14" i="8"/>
  <c r="H25" i="8"/>
  <c r="H24" i="3"/>
  <c r="I36" i="3"/>
  <c r="H6" i="8"/>
  <c r="H9" i="8"/>
  <c r="G8" i="8"/>
  <c r="H36" i="3"/>
  <c r="G26" i="8"/>
  <c r="G23" i="8"/>
  <c r="G20" i="8"/>
  <c r="G14" i="8"/>
  <c r="G24" i="8"/>
  <c r="G25" i="8"/>
  <c r="G9" i="8"/>
  <c r="G6" i="8"/>
  <c r="F24" i="8"/>
  <c r="F25" i="8"/>
  <c r="F14" i="8"/>
  <c r="F20" i="8"/>
  <c r="F26" i="8"/>
  <c r="G36" i="3"/>
  <c r="F23" i="8"/>
  <c r="F24" i="3"/>
  <c r="F8" i="8"/>
  <c r="F9" i="8"/>
  <c r="F6" i="8"/>
  <c r="E26" i="8"/>
  <c r="E14" i="8"/>
  <c r="F36" i="3"/>
  <c r="E25" i="8"/>
  <c r="E24" i="3"/>
  <c r="E24" i="8"/>
  <c r="E23" i="8"/>
  <c r="E8" i="8"/>
  <c r="E20" i="8"/>
  <c r="D26" i="8"/>
  <c r="D25" i="8"/>
  <c r="D20" i="8"/>
  <c r="D36" i="3"/>
  <c r="D8" i="8"/>
  <c r="D23" i="8"/>
  <c r="D24" i="8"/>
  <c r="D14" i="8"/>
  <c r="D24" i="3"/>
  <c r="D9" i="8"/>
  <c r="D6" i="8"/>
  <c r="E36" i="3"/>
  <c r="M35" i="2" l="1"/>
  <c r="M37" i="2" s="1"/>
  <c r="O51" i="8"/>
  <c r="O9" i="3"/>
</calcChain>
</file>

<file path=xl/sharedStrings.xml><?xml version="1.0" encoding="utf-8"?>
<sst xmlns="http://schemas.openxmlformats.org/spreadsheetml/2006/main" count="460" uniqueCount="350">
  <si>
    <t>AUDITED 2019</t>
  </si>
  <si>
    <t>AUDITED 2020</t>
  </si>
  <si>
    <t>AUDITED 2021</t>
  </si>
  <si>
    <t>Aud-22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</si>
  <si>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</si>
  <si>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</si>
  <si>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</si>
  <si>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</si>
  <si>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</si>
  <si>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</si>
  <si>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</si>
  <si>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</si>
  <si>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</si>
  <si>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</si>
  <si>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</si>
  <si>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</si>
  <si>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</si>
  <si>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</si>
  <si>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</si>
  <si>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</si>
  <si>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</si>
  <si>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</si>
  <si>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</si>
  <si>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</si>
  <si>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</si>
  <si>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</si>
  <si>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</si>
  <si>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</si>
  <si>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</si>
  <si>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</si>
  <si>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</si>
  <si>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</si>
  <si>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</si>
  <si>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</si>
  <si>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</si>
  <si>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</si>
  <si>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</si>
  <si>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</si>
  <si>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</si>
  <si>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</si>
  <si>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</si>
  <si>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</si>
  <si>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</si>
  <si>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</si>
  <si>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</si>
  <si>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</si>
  <si>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</si>
  <si>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</si>
  <si>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</si>
  <si>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</si>
  <si>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Aud-2022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</si>
  <si>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</si>
  <si>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</si>
  <si>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</si>
  <si>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</si>
  <si>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</si>
  <si>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</si>
  <si>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</si>
  <si>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</si>
  <si>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</si>
  <si>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</si>
  <si>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</si>
  <si>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</si>
  <si>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</si>
  <si>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</si>
  <si>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</si>
  <si>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</si>
  <si>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</si>
  <si>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</si>
  <si>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</si>
  <si>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</si>
  <si>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</si>
  <si>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</si>
  <si>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</si>
  <si>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</si>
  <si>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</si>
  <si>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</si>
  <si>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</si>
  <si>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</si>
  <si>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</si>
  <si>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</si>
  <si>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</si>
  <si>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</si>
  <si>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</si>
  <si>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</si>
  <si>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</si>
  <si>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</si>
  <si>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</si>
  <si>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</si>
  <si>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</si>
  <si>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</si>
  <si>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</si>
  <si>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</si>
  <si>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</si>
  <si>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</si>
  <si>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</si>
  <si>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</si>
  <si>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Sub-total</t>
  </si>
  <si>
    <t>NPL</t>
  </si>
  <si>
    <t>PAR</t>
  </si>
  <si>
    <t>KIMISITU</t>
  </si>
  <si>
    <t>VISION POINT SACCO 2022 CAELS</t>
  </si>
  <si>
    <t>Aud-2020</t>
  </si>
  <si>
    <t>Aud- 2021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</si>
  <si>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</si>
  <si>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</si>
  <si>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</si>
  <si>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</si>
  <si>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</si>
  <si>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</si>
  <si>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</si>
  <si>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</si>
  <si>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</si>
  <si>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</si>
  <si>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</si>
  <si>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</si>
  <si>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</si>
  <si>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</si>
  <si>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</si>
  <si>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</si>
  <si>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</si>
  <si>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</si>
  <si>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</si>
  <si>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</si>
  <si>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</si>
  <si>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</si>
  <si>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</si>
  <si>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</si>
  <si>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</si>
  <si>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</si>
  <si>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</si>
  <si>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</si>
  <si>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</si>
  <si>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</si>
  <si>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</si>
  <si>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</si>
  <si>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</si>
  <si>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</si>
  <si>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</si>
  <si>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</si>
  <si>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</si>
  <si>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</si>
  <si>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</si>
  <si>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</si>
  <si>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</si>
  <si>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</si>
  <si>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</si>
  <si>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</si>
  <si>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</si>
  <si>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</si>
  <si>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</si>
  <si>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</si>
  <si>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</si>
  <si>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</si>
  <si>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</si>
  <si>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</si>
  <si>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</si>
  <si>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VISION POINT Sacco Financial Performance</t>
  </si>
  <si>
    <t>Year</t>
  </si>
  <si>
    <t>Audited 2020</t>
  </si>
  <si>
    <t>Audited 2021</t>
  </si>
  <si>
    <t>Audited 2022</t>
  </si>
  <si>
    <t>Deposits-Members(BOSA)</t>
  </si>
  <si>
    <t>Deposits-Customers(FOSA)</t>
  </si>
  <si>
    <t>External Borrowing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</si>
  <si>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</si>
  <si>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</si>
  <si>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</si>
  <si>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</si>
  <si>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</si>
  <si>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</si>
  <si>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</si>
  <si>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</si>
  <si>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</si>
  <si>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</si>
  <si>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</si>
  <si>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</si>
  <si>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</si>
  <si>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</si>
  <si>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</si>
  <si>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</si>
  <si>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</si>
  <si>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</si>
  <si>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</si>
  <si>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</si>
  <si>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</si>
  <si>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</si>
  <si>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</si>
  <si>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</si>
  <si>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</si>
  <si>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</si>
  <si>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</si>
  <si>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</si>
  <si>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</si>
  <si>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</si>
  <si>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</si>
  <si>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</si>
  <si>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</si>
  <si>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</si>
  <si>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</si>
  <si>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</si>
  <si>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</si>
  <si>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Total Income</t>
  </si>
  <si>
    <t>Net Income</t>
  </si>
  <si>
    <t>Div + Int on Deposits</t>
  </si>
  <si>
    <t>Liquid Assets</t>
  </si>
  <si>
    <t>Short term (Deposits + Liabilities)</t>
  </si>
  <si>
    <t>Operating Expenses</t>
  </si>
  <si>
    <t>Financial Investments</t>
  </si>
  <si>
    <t>Equity Investments</t>
  </si>
  <si>
    <t>STATEMENT OF CASHFLOWS FOR THE YEAR ENDED 31ST DECEMBER 2015</t>
  </si>
  <si>
    <t>Cash flows from operating activities</t>
  </si>
  <si>
    <t>Interest receipts</t>
  </si>
  <si>
    <t>Interest Payments</t>
  </si>
  <si>
    <t>Payment to employees and suppliers</t>
  </si>
  <si>
    <t>Other receipts</t>
  </si>
  <si>
    <t>(Increase)/Decrease in Operating assets</t>
  </si>
  <si>
    <t>Net loans to members</t>
  </si>
  <si>
    <t>Recievables and prepayments</t>
  </si>
  <si>
    <t>Short term investments</t>
  </si>
  <si>
    <t>Increase/(Decrease) in Operating liabilities</t>
  </si>
  <si>
    <t>Deposits from members</t>
  </si>
  <si>
    <t>Decrease/Increase Risk Fund</t>
  </si>
  <si>
    <t>Increase/decrease on Interest bearing Liabilities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</si>
  <si>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</si>
  <si>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</si>
  <si>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</si>
  <si>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</si>
  <si>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</si>
  <si>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</si>
  <si>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</si>
  <si>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Purchase of financial assets</t>
  </si>
  <si>
    <t>Movement of other reserves-</t>
  </si>
  <si>
    <t>Issue of Bonus</t>
  </si>
  <si>
    <t>Dividends Received</t>
  </si>
  <si>
    <t>Net Cash from investing activities</t>
  </si>
  <si>
    <t>Cashflow from financing activities</t>
  </si>
  <si>
    <t>Share capital contributions</t>
  </si>
  <si>
    <t>Contribution to sinking fund</t>
  </si>
  <si>
    <t>Repayments of long term borrowings</t>
  </si>
  <si>
    <t>Dividend paid</t>
  </si>
  <si>
    <t>Honorarium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</si>
  <si>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</si>
  <si>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</si>
  <si>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</si>
  <si>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</si>
  <si>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 xml:space="preserve">Vision Point Sacco Financial Performance </t>
  </si>
  <si>
    <t>FINANCIAL SOUNDNESS INDICATORS</t>
  </si>
  <si>
    <t>Prude.  Std</t>
  </si>
  <si>
    <t>Ref. #</t>
  </si>
  <si>
    <t>Aud-2021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</si>
  <si>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</si>
  <si>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</si>
  <si>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</si>
  <si>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</si>
  <si>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</si>
  <si>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</si>
  <si>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</si>
  <si>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</si>
  <si>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</si>
  <si>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</si>
  <si>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</si>
  <si>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</si>
  <si>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</si>
  <si>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Institutional Capital/Total Assets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</si>
  <si>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</si>
  <si>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</si>
  <si>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</si>
  <si>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</si>
  <si>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</si>
  <si>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</si>
  <si>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</si>
  <si>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</si>
  <si>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</si>
  <si>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</si>
  <si>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</si>
  <si>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</si>
  <si>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</si>
  <si>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</si>
  <si>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External Borrowing/Total assets</t>
  </si>
  <si>
    <t>≤ 25%</t>
  </si>
  <si>
    <t xml:space="preserve">GROWTH RATIOS </t>
  </si>
  <si>
    <t>Net Loans &amp; advances</t>
  </si>
  <si>
    <t>Total Gross Income</t>
  </si>
  <si>
    <t>FinCost-Deposits/Average Deposits</t>
  </si>
  <si>
    <t>FinCost-Shares/Average Share capital</t>
  </si>
  <si>
    <t>FinCost-Ext Loans/Average Ext Loans</t>
  </si>
  <si>
    <t>Liquidity Ratio</t>
  </si>
  <si>
    <t xml:space="preserve">Liquid Assets - ST Liabilities/ Deposits </t>
  </si>
  <si>
    <t>Loan Loss Provisions Ratios</t>
  </si>
  <si>
    <t>Actual LLP / Required LLP</t>
  </si>
  <si>
    <t>Minimum Liquidity</t>
  </si>
  <si>
    <t>Technical Liquidity</t>
  </si>
  <si>
    <t>Net Interest Margin</t>
  </si>
  <si>
    <t>Assets Growth Ratio</t>
  </si>
  <si>
    <t>Deposits Growth Ratio</t>
  </si>
  <si>
    <t>BOSA Growth Ratio</t>
  </si>
  <si>
    <t>FOSA Growth Ratio</t>
  </si>
  <si>
    <t>STIMA SACCO SOCIETY LIMITED     CS/NO: 2207</t>
  </si>
  <si>
    <t>PERFORMANCE AND COMPLIANCE REPORT AS AT :  30TH JUNE , 2018</t>
  </si>
  <si>
    <t>Prudential Standard</t>
  </si>
  <si>
    <t>Audited</t>
  </si>
  <si>
    <t>Returns</t>
  </si>
  <si>
    <t>Validated</t>
  </si>
  <si>
    <t>Average for all Licensed Saccos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</si>
  <si>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</si>
  <si>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</si>
  <si>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</si>
  <si>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</si>
  <si>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</si>
  <si>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</si>
  <si>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</si>
  <si>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</si>
  <si>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</si>
  <si>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</si>
  <si>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</si>
  <si>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</si>
  <si>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</si>
  <si>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</si>
  <si>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</si>
  <si>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</si>
  <si>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</t>
  </si>
  <si>
    <t>Operating Expenses/Net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</si>
  <si>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</si>
  <si>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</si>
  <si>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</si>
  <si>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</si>
  <si>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</si>
  <si>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</si>
  <si>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</si>
  <si>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</si>
  <si>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</si>
  <si>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</si>
  <si>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</si>
  <si>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</si>
  <si>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</si>
  <si>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</si>
  <si>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</si>
  <si>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</si>
  <si>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</si>
  <si>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</si>
  <si>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</si>
  <si>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Dividends+Interest on Deposits</t>
  </si>
  <si>
    <t>Short-term (Deposits + liabilities)</t>
  </si>
  <si>
    <t>G. AREAS OF IMPROVEMENT/REGULARTORY CONCERNS</t>
  </si>
  <si>
    <t>1. The ratio of NPL is above the prescribed limit</t>
  </si>
  <si>
    <t>Prepared by: Daniel Mwatu</t>
  </si>
  <si>
    <t>Checked by:</t>
  </si>
  <si>
    <t>Approved by: Peter Njuguna</t>
  </si>
  <si>
    <t>DISCLAIMER: This report is prepared based on information submitted by the Sacco as at the stated date and may change upon verification by the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</si>
</sst>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0.0"/>
    <numFmt numFmtId="173" formatCode="_(* #,##0_);_(* \(#,##0\);_(* &quot;-&quot;??_);_(@_)"/>
    <numFmt numFmtId="174" formatCode="&quot;£&quot;#,##0;\-&quot;£&quot;#,##0"/>
    <numFmt numFmtId="175" formatCode="#,##0.00_ ;\-#,##0.00\ "/>
  </numFmts>
  <fonts count="7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ambria"/>
      <family val="1"/>
    </font>
    <font>
      <sz val="10"/>
      <name val="Arial Narrow"/>
      <family val="2"/>
    </font>
    <font>
      <sz val="10"/>
      <name val="Lohit Hindi"/>
      <family val="2"/>
    </font>
    <font>
      <sz val="12"/>
      <name val="Times New Roman"/>
      <family val="1"/>
    </font>
    <font>
      <sz val="11"/>
      <color indexed="8"/>
      <name val="Cambria"/>
      <family val="1"/>
    </font>
    <font>
      <sz val="12"/>
      <color indexed="8"/>
      <name val="Cambria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8"/>
      <color indexed="13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Calibri"/>
      <family val="2"/>
      <scheme val="minor"/>
    </font>
    <font>
      <sz val="11"/>
      <color rgb="FF3F3F76"/>
      <name val="Arial"/>
      <family val="2"/>
    </font>
    <font>
      <sz val="10"/>
      <color theme="1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0"/>
      <color indexed="8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u/>
      <sz val="12"/>
      <name val="Cambria"/>
      <family val="1"/>
      <scheme val="major"/>
    </font>
    <font>
      <b/>
      <u/>
      <sz val="12"/>
      <color indexed="11"/>
      <name val="Cambria"/>
      <family val="1"/>
      <scheme val="major"/>
    </font>
    <font>
      <b/>
      <sz val="12"/>
      <color indexed="8"/>
      <name val="Cambria"/>
      <family val="1"/>
      <scheme val="major"/>
    </font>
    <font>
      <b/>
      <sz val="12"/>
      <color rgb="FF3F3F76"/>
      <name val="Cambria"/>
      <family val="1"/>
      <scheme val="major"/>
    </font>
    <font>
      <sz val="12"/>
      <name val="Cambria"/>
      <family val="1"/>
      <scheme val="major"/>
    </font>
    <font>
      <u/>
      <sz val="12"/>
      <color indexed="9"/>
      <name val="Cambria"/>
      <family val="1"/>
      <scheme val="major"/>
    </font>
    <font>
      <b/>
      <sz val="12"/>
      <name val="Cambria"/>
      <family val="1"/>
    </font>
    <font>
      <sz val="12"/>
      <name val="Cambria"/>
      <family val="1"/>
    </font>
    <font>
      <b/>
      <sz val="12"/>
      <color indexed="8"/>
      <name val="Cambria"/>
      <family val="1"/>
    </font>
    <font>
      <i/>
      <sz val="12"/>
      <name val="Cambria"/>
      <family val="1"/>
    </font>
    <font>
      <i/>
      <sz val="12"/>
      <color indexed="8"/>
      <name val="Cambria"/>
      <family val="1"/>
    </font>
    <font>
      <b/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9"/>
      <color rgb="FF000000"/>
      <name val="Arial"/>
      <charset val="1"/>
    </font>
    <font>
      <sz val="10"/>
      <color rgb="FF000000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AA520"/>
        <bgColor rgb="FF000000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/>
      </top>
      <bottom style="thin">
        <color theme="3"/>
      </bottom>
      <diagonal/>
    </border>
    <border>
      <left style="thin">
        <color theme="3" tint="0.39997558519241921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729">
    <xf numFmtId="0" fontId="0" fillId="0" borderId="0"/>
    <xf numFmtId="0" fontId="3" fillId="2" borderId="0" applyNumberFormat="0" applyBorder="0" applyAlignment="0" applyProtection="0"/>
    <xf numFmtId="0" fontId="28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3" borderId="0" applyNumberFormat="0" applyBorder="0" applyAlignment="0" applyProtection="0"/>
    <xf numFmtId="0" fontId="29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4" fillId="4" borderId="0" applyNumberFormat="0" applyBorder="0" applyAlignment="0" applyProtection="0"/>
    <xf numFmtId="0" fontId="29" fillId="13" borderId="0" applyNumberFormat="0" applyBorder="0" applyAlignment="0" applyProtection="0"/>
    <xf numFmtId="0" fontId="5" fillId="5" borderId="2" applyNumberFormat="0" applyAlignment="0" applyProtection="0"/>
    <xf numFmtId="0" fontId="30" fillId="14" borderId="32" applyNumberFormat="0" applyAlignment="0" applyProtection="0"/>
    <xf numFmtId="43" fontId="2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4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8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2" fillId="0" borderId="0" applyFont="0" applyFill="0" applyBorder="0" applyAlignment="0" applyProtection="0"/>
    <xf numFmtId="164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8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16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17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27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31" fillId="15" borderId="31" applyNumberFormat="0" applyAlignment="0" applyProtection="0"/>
    <xf numFmtId="0" fontId="6" fillId="6" borderId="1" applyNumberFormat="0" applyAlignment="0" applyProtection="0"/>
    <xf numFmtId="0" fontId="32" fillId="15" borderId="31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27" fillId="0" borderId="0"/>
    <xf numFmtId="0" fontId="14" fillId="0" borderId="0"/>
    <xf numFmtId="0" fontId="27" fillId="0" borderId="0"/>
    <xf numFmtId="0" fontId="15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7" fillId="0" borderId="0"/>
    <xf numFmtId="0" fontId="2" fillId="0" borderId="0"/>
    <xf numFmtId="0" fontId="33" fillId="0" borderId="0"/>
    <xf numFmtId="0" fontId="8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8" fillId="0" borderId="0"/>
    <xf numFmtId="0" fontId="34" fillId="0" borderId="0"/>
    <xf numFmtId="0" fontId="2" fillId="7" borderId="3" applyNumberFormat="0" applyAlignment="0" applyProtection="0"/>
    <xf numFmtId="0" fontId="2" fillId="16" borderId="33" applyNumberFormat="0" applyFont="0" applyAlignment="0" applyProtection="0"/>
    <xf numFmtId="9" fontId="27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36" fillId="0" borderId="34" applyNumberFormat="0" applyFill="0" applyAlignment="0" applyProtection="0"/>
    <xf numFmtId="0" fontId="36" fillId="0" borderId="34" applyNumberFormat="0" applyFill="0" applyAlignment="0" applyProtection="0"/>
  </cellStyleXfs>
  <cellXfs count="291">
    <xf numFmtId="0" fontId="0" fillId="0" borderId="0" xfId="0"/>
    <xf numFmtId="0" fontId="38" fillId="0" borderId="5" xfId="0" applyFont="1" applyBorder="1" applyAlignment="1">
      <alignment horizontal="left" vertical="top" wrapText="1"/>
    </xf>
    <xf numFmtId="0" fontId="38" fillId="0" borderId="5" xfId="0" applyFont="1" applyBorder="1" applyAlignment="1">
      <alignment horizontal="center" vertical="center" wrapText="1"/>
    </xf>
    <xf numFmtId="0" fontId="39" fillId="0" borderId="5" xfId="0" applyFont="1" applyBorder="1"/>
    <xf numFmtId="43" fontId="39" fillId="0" borderId="5" xfId="53" applyFont="1" applyBorder="1"/>
    <xf numFmtId="0" fontId="40" fillId="0" borderId="5" xfId="0" applyFont="1" applyBorder="1"/>
    <xf numFmtId="0" fontId="41" fillId="0" borderId="5" xfId="0" applyFont="1" applyBorder="1"/>
    <xf numFmtId="172" fontId="40" fillId="0" borderId="5" xfId="0" applyNumberFormat="1" applyFont="1" applyBorder="1"/>
    <xf numFmtId="9" fontId="41" fillId="0" borderId="5" xfId="714" applyFont="1" applyBorder="1"/>
    <xf numFmtId="0" fontId="42" fillId="0" borderId="5" xfId="0" applyFont="1" applyBorder="1"/>
    <xf numFmtId="0" fontId="43" fillId="0" borderId="5" xfId="0" applyFont="1" applyBorder="1"/>
    <xf numFmtId="172" fontId="40" fillId="0" borderId="5" xfId="0" applyNumberFormat="1" applyFont="1" applyBorder="1" applyAlignment="1">
      <alignment horizontal="right"/>
    </xf>
    <xf numFmtId="173" fontId="41" fillId="0" borderId="5" xfId="0" applyNumberFormat="1" applyFont="1" applyBorder="1"/>
    <xf numFmtId="0" fontId="44" fillId="0" borderId="5" xfId="0" applyFont="1" applyBorder="1"/>
    <xf numFmtId="172" fontId="44" fillId="0" borderId="5" xfId="0" applyNumberFormat="1" applyFont="1" applyBorder="1"/>
    <xf numFmtId="0" fontId="38" fillId="0" borderId="5" xfId="0" applyFont="1" applyBorder="1" applyAlignment="1">
      <alignment vertical="top" wrapText="1"/>
    </xf>
    <xf numFmtId="0" fontId="40" fillId="0" borderId="5" xfId="495" applyFont="1" applyBorder="1"/>
    <xf numFmtId="0" fontId="41" fillId="0" borderId="5" xfId="495" applyFont="1" applyBorder="1"/>
    <xf numFmtId="0" fontId="44" fillId="0" borderId="9" xfId="495" applyFont="1" applyBorder="1"/>
    <xf numFmtId="0" fontId="0" fillId="0" borderId="9" xfId="0" applyBorder="1"/>
    <xf numFmtId="0" fontId="40" fillId="0" borderId="9" xfId="495" applyFont="1" applyBorder="1"/>
    <xf numFmtId="0" fontId="44" fillId="0" borderId="10" xfId="495" applyFont="1" applyBorder="1"/>
    <xf numFmtId="0" fontId="39" fillId="0" borderId="13" xfId="0" applyFont="1" applyBorder="1"/>
    <xf numFmtId="173" fontId="0" fillId="0" borderId="5" xfId="0" applyNumberFormat="1" applyBorder="1"/>
    <xf numFmtId="43" fontId="27" fillId="0" borderId="0" xfId="53" applyFont="1"/>
    <xf numFmtId="0" fontId="45" fillId="0" borderId="0" xfId="0" applyFont="1"/>
    <xf numFmtId="0" fontId="36" fillId="0" borderId="0" xfId="0" applyFont="1"/>
    <xf numFmtId="0" fontId="36" fillId="17" borderId="35" xfId="0" applyFont="1" applyFill="1" applyBorder="1"/>
    <xf numFmtId="0" fontId="45" fillId="17" borderId="14" xfId="0" applyFont="1" applyFill="1" applyBorder="1"/>
    <xf numFmtId="0" fontId="45" fillId="17" borderId="36" xfId="0" applyFont="1" applyFill="1" applyBorder="1"/>
    <xf numFmtId="0" fontId="45" fillId="0" borderId="37" xfId="0" applyFont="1" applyBorder="1"/>
    <xf numFmtId="173" fontId="45" fillId="0" borderId="38" xfId="53" applyNumberFormat="1" applyFont="1" applyBorder="1"/>
    <xf numFmtId="173" fontId="45" fillId="0" borderId="14" xfId="53" applyNumberFormat="1" applyFont="1" applyBorder="1"/>
    <xf numFmtId="173" fontId="45" fillId="18" borderId="14" xfId="53" applyNumberFormat="1" applyFont="1" applyFill="1" applyBorder="1"/>
    <xf numFmtId="173" fontId="45" fillId="0" borderId="39" xfId="53" applyNumberFormat="1" applyFont="1" applyBorder="1"/>
    <xf numFmtId="173" fontId="46" fillId="18" borderId="14" xfId="53" applyNumberFormat="1" applyFont="1" applyFill="1" applyBorder="1"/>
    <xf numFmtId="173" fontId="46" fillId="0" borderId="39" xfId="53" applyNumberFormat="1" applyFont="1" applyBorder="1"/>
    <xf numFmtId="0" fontId="36" fillId="17" borderId="37" xfId="0" applyFont="1" applyFill="1" applyBorder="1"/>
    <xf numFmtId="173" fontId="47" fillId="17" borderId="14" xfId="53" applyNumberFormat="1" applyFont="1" applyFill="1" applyBorder="1"/>
    <xf numFmtId="173" fontId="47" fillId="17" borderId="39" xfId="53" applyNumberFormat="1" applyFont="1" applyFill="1" applyBorder="1"/>
    <xf numFmtId="0" fontId="0" fillId="0" borderId="40" xfId="0" applyBorder="1"/>
    <xf numFmtId="0" fontId="0" fillId="0" borderId="41" xfId="0" applyBorder="1"/>
    <xf numFmtId="173" fontId="46" fillId="0" borderId="14" xfId="53" applyNumberFormat="1" applyFont="1" applyBorder="1"/>
    <xf numFmtId="0" fontId="36" fillId="17" borderId="42" xfId="0" applyFont="1" applyFill="1" applyBorder="1"/>
    <xf numFmtId="173" fontId="36" fillId="17" borderId="14" xfId="53" applyNumberFormat="1" applyFont="1" applyFill="1" applyBorder="1"/>
    <xf numFmtId="173" fontId="36" fillId="17" borderId="39" xfId="53" applyNumberFormat="1" applyFont="1" applyFill="1" applyBorder="1"/>
    <xf numFmtId="0" fontId="45" fillId="0" borderId="43" xfId="0" applyFont="1" applyBorder="1"/>
    <xf numFmtId="0" fontId="36" fillId="17" borderId="43" xfId="0" applyFont="1" applyFill="1" applyBorder="1"/>
    <xf numFmtId="173" fontId="36" fillId="17" borderId="39" xfId="0" applyNumberFormat="1" applyFont="1" applyFill="1" applyBorder="1"/>
    <xf numFmtId="173" fontId="47" fillId="17" borderId="14" xfId="0" applyNumberFormat="1" applyFont="1" applyFill="1" applyBorder="1"/>
    <xf numFmtId="173" fontId="47" fillId="17" borderId="39" xfId="0" applyNumberFormat="1" applyFont="1" applyFill="1" applyBorder="1"/>
    <xf numFmtId="0" fontId="45" fillId="0" borderId="14" xfId="0" applyFont="1" applyBorder="1"/>
    <xf numFmtId="0" fontId="45" fillId="0" borderId="39" xfId="0" applyFont="1" applyBorder="1"/>
    <xf numFmtId="0" fontId="45" fillId="17" borderId="39" xfId="0" applyFont="1" applyFill="1" applyBorder="1"/>
    <xf numFmtId="173" fontId="45" fillId="17" borderId="14" xfId="0" applyNumberFormat="1" applyFont="1" applyFill="1" applyBorder="1"/>
    <xf numFmtId="173" fontId="45" fillId="17" borderId="39" xfId="0" applyNumberFormat="1" applyFont="1" applyFill="1" applyBorder="1"/>
    <xf numFmtId="173" fontId="46" fillId="0" borderId="14" xfId="0" applyNumberFormat="1" applyFont="1" applyBorder="1"/>
    <xf numFmtId="173" fontId="46" fillId="0" borderId="39" xfId="0" applyNumberFormat="1" applyFont="1" applyBorder="1"/>
    <xf numFmtId="173" fontId="47" fillId="17" borderId="44" xfId="0" applyNumberFormat="1" applyFont="1" applyFill="1" applyBorder="1"/>
    <xf numFmtId="43" fontId="27" fillId="0" borderId="5" xfId="53" applyFont="1" applyBorder="1"/>
    <xf numFmtId="0" fontId="48" fillId="0" borderId="0" xfId="0" applyFont="1"/>
    <xf numFmtId="0" fontId="44" fillId="0" borderId="18" xfId="541" applyFont="1" applyBorder="1" applyAlignment="1">
      <alignment horizontal="left" vertical="top" wrapText="1"/>
    </xf>
    <xf numFmtId="0" fontId="40" fillId="0" borderId="18" xfId="495" applyFont="1" applyBorder="1" applyAlignment="1">
      <alignment wrapText="1"/>
    </xf>
    <xf numFmtId="43" fontId="49" fillId="0" borderId="18" xfId="186" applyFont="1" applyBorder="1" applyAlignment="1">
      <alignment wrapText="1"/>
    </xf>
    <xf numFmtId="0" fontId="44" fillId="0" borderId="18" xfId="495" applyFont="1" applyBorder="1" applyAlignment="1">
      <alignment wrapText="1"/>
    </xf>
    <xf numFmtId="43" fontId="49" fillId="0" borderId="0" xfId="186" applyFont="1" applyBorder="1" applyAlignment="1">
      <alignment wrapText="1"/>
    </xf>
    <xf numFmtId="43" fontId="49" fillId="0" borderId="18" xfId="186" applyFont="1" applyBorder="1" applyAlignment="1">
      <alignment horizontal="center" wrapText="1"/>
    </xf>
    <xf numFmtId="17" fontId="50" fillId="0" borderId="0" xfId="0" applyNumberFormat="1" applyFont="1" applyAlignment="1">
      <alignment horizontal="right"/>
    </xf>
    <xf numFmtId="1" fontId="40" fillId="0" borderId="18" xfId="495" applyNumberFormat="1" applyFont="1" applyBorder="1" applyAlignment="1">
      <alignment wrapText="1"/>
    </xf>
    <xf numFmtId="0" fontId="0" fillId="0" borderId="0" xfId="0" applyProtection="1">
      <protection locked="0"/>
    </xf>
    <xf numFmtId="0" fontId="35" fillId="0" borderId="9" xfId="0" applyFont="1" applyBorder="1" applyAlignment="1">
      <alignment horizontal="center"/>
    </xf>
    <xf numFmtId="0" fontId="35" fillId="0" borderId="16" xfId="0" applyFont="1" applyBorder="1" applyAlignment="1">
      <alignment horizontal="right"/>
    </xf>
    <xf numFmtId="0" fontId="35" fillId="0" borderId="5" xfId="0" applyFont="1" applyBorder="1" applyAlignment="1" applyProtection="1">
      <alignment horizontal="right"/>
      <protection locked="0"/>
    </xf>
    <xf numFmtId="17" fontId="35" fillId="0" borderId="0" xfId="0" applyNumberFormat="1" applyFont="1" applyProtection="1">
      <protection locked="0"/>
    </xf>
    <xf numFmtId="17" fontId="35" fillId="0" borderId="8" xfId="0" applyNumberFormat="1" applyFont="1" applyBorder="1" applyAlignment="1" applyProtection="1">
      <alignment horizontal="right" wrapText="1"/>
      <protection locked="0"/>
    </xf>
    <xf numFmtId="0" fontId="51" fillId="0" borderId="9" xfId="0" applyFont="1" applyBorder="1"/>
    <xf numFmtId="0" fontId="51" fillId="0" borderId="5" xfId="0" applyFont="1" applyBorder="1" applyAlignment="1">
      <alignment horizontal="center"/>
    </xf>
    <xf numFmtId="173" fontId="51" fillId="0" borderId="5" xfId="56" applyNumberFormat="1" applyFont="1" applyBorder="1" applyAlignment="1" applyProtection="1">
      <alignment horizontal="right"/>
    </xf>
    <xf numFmtId="9" fontId="51" fillId="0" borderId="5" xfId="0" applyNumberFormat="1" applyFont="1" applyBorder="1" applyAlignment="1">
      <alignment horizontal="center"/>
    </xf>
    <xf numFmtId="171" fontId="51" fillId="0" borderId="5" xfId="714" applyNumberFormat="1" applyFont="1" applyBorder="1" applyAlignment="1" applyProtection="1">
      <alignment horizontal="right"/>
    </xf>
    <xf numFmtId="171" fontId="27" fillId="18" borderId="5" xfId="714" applyNumberFormat="1" applyFont="1" applyFill="1" applyBorder="1" applyAlignment="1" applyProtection="1">
      <alignment horizontal="right"/>
    </xf>
    <xf numFmtId="0" fontId="51" fillId="18" borderId="9" xfId="0" applyFont="1" applyFill="1" applyBorder="1"/>
    <xf numFmtId="171" fontId="51" fillId="18" borderId="5" xfId="714" applyNumberFormat="1" applyFont="1" applyFill="1" applyBorder="1" applyAlignment="1" applyProtection="1">
      <alignment horizontal="right"/>
    </xf>
    <xf numFmtId="0" fontId="0" fillId="18" borderId="0" xfId="0" applyFill="1" applyProtection="1">
      <protection locked="0"/>
    </xf>
    <xf numFmtId="171" fontId="51" fillId="0" borderId="5" xfId="714" applyNumberFormat="1" applyFont="1" applyFill="1" applyBorder="1" applyAlignment="1" applyProtection="1">
      <alignment horizontal="right"/>
    </xf>
    <xf numFmtId="0" fontId="51" fillId="18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71" fontId="2" fillId="0" borderId="0" xfId="716" applyNumberFormat="1" applyFont="1" applyProtection="1">
      <protection locked="0"/>
    </xf>
    <xf numFmtId="171" fontId="27" fillId="0" borderId="0" xfId="716" applyNumberFormat="1" applyFont="1" applyProtection="1">
      <protection locked="0"/>
    </xf>
    <xf numFmtId="0" fontId="51" fillId="18" borderId="9" xfId="0" applyFont="1" applyFill="1" applyBorder="1" applyAlignment="1">
      <alignment horizontal="left"/>
    </xf>
    <xf numFmtId="9" fontId="51" fillId="18" borderId="5" xfId="0" applyNumberFormat="1" applyFont="1" applyFill="1" applyBorder="1" applyAlignment="1">
      <alignment horizontal="center"/>
    </xf>
    <xf numFmtId="0" fontId="52" fillId="0" borderId="9" xfId="0" applyFont="1" applyBorder="1"/>
    <xf numFmtId="0" fontId="37" fillId="0" borderId="5" xfId="0" applyFont="1" applyBorder="1" applyAlignment="1">
      <alignment horizontal="center"/>
    </xf>
    <xf numFmtId="171" fontId="52" fillId="0" borderId="5" xfId="714" applyNumberFormat="1" applyFont="1" applyBorder="1" applyProtection="1"/>
    <xf numFmtId="171" fontId="52" fillId="0" borderId="5" xfId="714" applyNumberFormat="1" applyFont="1" applyBorder="1" applyAlignment="1" applyProtection="1">
      <alignment horizontal="right"/>
    </xf>
    <xf numFmtId="43" fontId="52" fillId="0" borderId="5" xfId="53" applyFont="1" applyBorder="1" applyAlignment="1" applyProtection="1">
      <alignment horizontal="center"/>
    </xf>
    <xf numFmtId="43" fontId="52" fillId="0" borderId="5" xfId="53" applyFont="1" applyBorder="1" applyProtection="1">
      <protection locked="0"/>
    </xf>
    <xf numFmtId="43" fontId="10" fillId="0" borderId="5" xfId="53" applyFont="1" applyBorder="1" applyProtection="1">
      <protection locked="0"/>
    </xf>
    <xf numFmtId="43" fontId="16" fillId="0" borderId="5" xfId="53" applyFont="1" applyBorder="1" applyProtection="1"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6" xfId="0" applyBorder="1" applyProtection="1">
      <protection locked="0"/>
    </xf>
    <xf numFmtId="0" fontId="37" fillId="0" borderId="8" xfId="0" applyFont="1" applyBorder="1" applyProtection="1">
      <protection locked="0"/>
    </xf>
    <xf numFmtId="0" fontId="51" fillId="18" borderId="9" xfId="0" applyFont="1" applyFill="1" applyBorder="1" applyAlignment="1" applyProtection="1">
      <alignment horizontal="left"/>
      <protection locked="0"/>
    </xf>
    <xf numFmtId="0" fontId="35" fillId="18" borderId="9" xfId="0" applyFont="1" applyFill="1" applyBorder="1"/>
    <xf numFmtId="0" fontId="0" fillId="0" borderId="5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37" fillId="0" borderId="8" xfId="0" applyFont="1" applyBorder="1" applyAlignment="1" applyProtection="1">
      <alignment horizontal="left"/>
      <protection locked="0"/>
    </xf>
    <xf numFmtId="0" fontId="35" fillId="18" borderId="19" xfId="0" applyFont="1" applyFill="1" applyBorder="1"/>
    <xf numFmtId="0" fontId="0" fillId="0" borderId="13" xfId="0" applyBorder="1" applyAlignment="1" applyProtection="1">
      <alignment horizontal="center"/>
      <protection locked="0"/>
    </xf>
    <xf numFmtId="0" fontId="35" fillId="18" borderId="10" xfId="0" applyFont="1" applyFill="1" applyBorder="1"/>
    <xf numFmtId="0" fontId="0" fillId="0" borderId="11" xfId="0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17" xfId="0" applyBorder="1" applyProtection="1">
      <protection locked="0"/>
    </xf>
    <xf numFmtId="0" fontId="37" fillId="0" borderId="12" xfId="0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7" fillId="0" borderId="0" xfId="0" applyFont="1" applyProtection="1">
      <protection locked="0"/>
    </xf>
    <xf numFmtId="43" fontId="10" fillId="0" borderId="5" xfId="248" applyFont="1" applyBorder="1" applyProtection="1">
      <protection locked="0"/>
    </xf>
    <xf numFmtId="0" fontId="53" fillId="18" borderId="20" xfId="0" applyFont="1" applyFill="1" applyBorder="1"/>
    <xf numFmtId="165" fontId="23" fillId="0" borderId="21" xfId="0" applyNumberFormat="1" applyFont="1" applyBorder="1" applyAlignment="1" applyProtection="1">
      <alignment vertical="top" wrapText="1" readingOrder="1"/>
      <protection locked="0"/>
    </xf>
    <xf numFmtId="10" fontId="48" fillId="0" borderId="0" xfId="714" applyNumberFormat="1" applyFont="1"/>
    <xf numFmtId="0" fontId="26" fillId="8" borderId="21" xfId="0" applyFont="1" applyFill="1" applyBorder="1" applyAlignment="1" applyProtection="1">
      <alignment vertical="top" wrapText="1" readingOrder="1"/>
      <protection locked="0"/>
    </xf>
    <xf numFmtId="17" fontId="58" fillId="21" borderId="0" xfId="0" applyNumberFormat="1" applyFont="1" applyFill="1"/>
    <xf numFmtId="0" fontId="48" fillId="0" borderId="6" xfId="0" applyFont="1" applyBorder="1"/>
    <xf numFmtId="0" fontId="48" fillId="0" borderId="7" xfId="0" applyFont="1" applyBorder="1"/>
    <xf numFmtId="17" fontId="39" fillId="0" borderId="7" xfId="0" applyNumberFormat="1" applyFont="1" applyBorder="1"/>
    <xf numFmtId="0" fontId="58" fillId="0" borderId="5" xfId="0" applyFont="1" applyBorder="1" applyAlignment="1">
      <alignment horizontal="left" vertical="top" wrapText="1"/>
    </xf>
    <xf numFmtId="0" fontId="58" fillId="0" borderId="5" xfId="0" applyFont="1" applyBorder="1" applyAlignment="1">
      <alignment horizontal="center" vertical="center" wrapText="1"/>
    </xf>
    <xf numFmtId="43" fontId="48" fillId="0" borderId="5" xfId="53" applyFont="1" applyBorder="1"/>
    <xf numFmtId="9" fontId="48" fillId="0" borderId="8" xfId="714" applyFont="1" applyBorder="1"/>
    <xf numFmtId="171" fontId="48" fillId="0" borderId="8" xfId="714" applyNumberFormat="1" applyFont="1" applyBorder="1"/>
    <xf numFmtId="10" fontId="48" fillId="0" borderId="8" xfId="714" applyNumberFormat="1" applyFont="1" applyBorder="1"/>
    <xf numFmtId="9" fontId="48" fillId="0" borderId="5" xfId="714" applyFont="1" applyBorder="1"/>
    <xf numFmtId="0" fontId="48" fillId="0" borderId="5" xfId="0" applyFont="1" applyBorder="1" applyAlignment="1">
      <alignment horizontal="center" vertical="center"/>
    </xf>
    <xf numFmtId="0" fontId="48" fillId="0" borderId="5" xfId="0" applyFont="1" applyBorder="1"/>
    <xf numFmtId="0" fontId="48" fillId="0" borderId="8" xfId="0" applyFont="1" applyBorder="1"/>
    <xf numFmtId="0" fontId="48" fillId="0" borderId="9" xfId="0" applyFont="1" applyBorder="1"/>
    <xf numFmtId="0" fontId="48" fillId="0" borderId="11" xfId="0" applyFont="1" applyBorder="1"/>
    <xf numFmtId="0" fontId="48" fillId="0" borderId="12" xfId="0" applyFont="1" applyBorder="1"/>
    <xf numFmtId="17" fontId="59" fillId="8" borderId="5" xfId="0" applyNumberFormat="1" applyFont="1" applyFill="1" applyBorder="1" applyAlignment="1" applyProtection="1">
      <alignment vertical="top" wrapText="1" readingOrder="1"/>
      <protection locked="0"/>
    </xf>
    <xf numFmtId="173" fontId="48" fillId="0" borderId="5" xfId="0" applyNumberFormat="1" applyFont="1" applyBorder="1"/>
    <xf numFmtId="173" fontId="39" fillId="0" borderId="5" xfId="0" applyNumberFormat="1" applyFont="1" applyBorder="1"/>
    <xf numFmtId="0" fontId="39" fillId="0" borderId="0" xfId="0" applyFont="1"/>
    <xf numFmtId="0" fontId="60" fillId="0" borderId="0" xfId="0" applyFont="1"/>
    <xf numFmtId="0" fontId="56" fillId="0" borderId="0" xfId="0" applyFont="1"/>
    <xf numFmtId="0" fontId="49" fillId="0" borderId="0" xfId="525" applyFont="1"/>
    <xf numFmtId="0" fontId="61" fillId="0" borderId="0" xfId="0" applyFont="1" applyAlignment="1" applyProtection="1">
      <alignment vertical="top" wrapText="1" readingOrder="1"/>
      <protection locked="0"/>
    </xf>
    <xf numFmtId="0" fontId="58" fillId="0" borderId="0" xfId="0" applyFont="1"/>
    <xf numFmtId="43" fontId="58" fillId="0" borderId="0" xfId="53" applyFont="1"/>
    <xf numFmtId="0" fontId="62" fillId="0" borderId="5" xfId="0" applyFont="1" applyBorder="1" applyAlignment="1" applyProtection="1">
      <alignment vertical="top" wrapText="1" readingOrder="1"/>
      <protection locked="0"/>
    </xf>
    <xf numFmtId="17" fontId="63" fillId="8" borderId="15" xfId="0" applyNumberFormat="1" applyFont="1" applyFill="1" applyBorder="1" applyAlignment="1" applyProtection="1">
      <alignment vertical="top" wrapText="1" readingOrder="1"/>
      <protection locked="0"/>
    </xf>
    <xf numFmtId="43" fontId="58" fillId="19" borderId="0" xfId="53" applyFont="1" applyFill="1"/>
    <xf numFmtId="0" fontId="63" fillId="0" borderId="5" xfId="0" applyFont="1" applyBorder="1" applyAlignment="1" applyProtection="1">
      <alignment vertical="top" wrapText="1" readingOrder="1"/>
      <protection locked="0"/>
    </xf>
    <xf numFmtId="43" fontId="63" fillId="17" borderId="15" xfId="53" applyFont="1" applyFill="1" applyBorder="1" applyAlignment="1" applyProtection="1">
      <alignment vertical="top" wrapText="1" readingOrder="1"/>
      <protection locked="0"/>
    </xf>
    <xf numFmtId="165" fontId="60" fillId="9" borderId="21" xfId="0" applyNumberFormat="1" applyFont="1" applyFill="1" applyBorder="1" applyAlignment="1" applyProtection="1">
      <alignment vertical="top" wrapText="1" readingOrder="1"/>
      <protection locked="0"/>
    </xf>
    <xf numFmtId="0" fontId="60" fillId="0" borderId="5" xfId="0" applyFont="1" applyBorder="1" applyAlignment="1" applyProtection="1">
      <alignment vertical="top" wrapText="1" readingOrder="1"/>
      <protection locked="0"/>
    </xf>
    <xf numFmtId="165" fontId="60" fillId="0" borderId="21" xfId="0" applyNumberFormat="1" applyFont="1" applyBorder="1" applyAlignment="1" applyProtection="1">
      <alignment vertical="top" wrapText="1" readingOrder="1"/>
      <protection locked="0"/>
    </xf>
    <xf numFmtId="0" fontId="50" fillId="0" borderId="0" xfId="0" applyFont="1"/>
    <xf numFmtId="43" fontId="50" fillId="0" borderId="0" xfId="53" applyFont="1"/>
    <xf numFmtId="43" fontId="64" fillId="15" borderId="31" xfId="491" applyNumberFormat="1" applyFont="1" applyAlignment="1" applyProtection="1">
      <alignment vertical="top" wrapText="1" readingOrder="1"/>
      <protection locked="0"/>
    </xf>
    <xf numFmtId="43" fontId="64" fillId="15" borderId="31" xfId="53" applyFont="1" applyFill="1" applyBorder="1" applyAlignment="1" applyProtection="1">
      <alignment vertical="top" wrapText="1" readingOrder="1"/>
      <protection locked="0"/>
    </xf>
    <xf numFmtId="43" fontId="60" fillId="0" borderId="21" xfId="53" applyFont="1" applyBorder="1" applyAlignment="1" applyProtection="1">
      <alignment vertical="top" wrapText="1" readingOrder="1"/>
      <protection locked="0"/>
    </xf>
    <xf numFmtId="0" fontId="65" fillId="0" borderId="18" xfId="495" applyFont="1" applyBorder="1"/>
    <xf numFmtId="0" fontId="65" fillId="19" borderId="18" xfId="495" applyFont="1" applyFill="1" applyBorder="1"/>
    <xf numFmtId="43" fontId="63" fillId="17" borderId="15" xfId="53" applyFont="1" applyFill="1" applyBorder="1" applyAlignment="1" applyProtection="1">
      <alignment wrapText="1" readingOrder="1"/>
      <protection locked="0"/>
    </xf>
    <xf numFmtId="43" fontId="63" fillId="17" borderId="5" xfId="53" applyFont="1" applyFill="1" applyBorder="1" applyAlignment="1" applyProtection="1">
      <alignment vertical="top" wrapText="1" readingOrder="1"/>
      <protection locked="0"/>
    </xf>
    <xf numFmtId="166" fontId="60" fillId="0" borderId="21" xfId="0" applyNumberFormat="1" applyFont="1" applyBorder="1" applyAlignment="1" applyProtection="1">
      <alignment vertical="top" wrapText="1" readingOrder="1"/>
      <protection locked="0"/>
    </xf>
    <xf numFmtId="0" fontId="58" fillId="0" borderId="5" xfId="0" applyFont="1" applyBorder="1"/>
    <xf numFmtId="0" fontId="58" fillId="0" borderId="15" xfId="0" applyFont="1" applyBorder="1" applyAlignment="1">
      <alignment wrapText="1" readingOrder="1"/>
    </xf>
    <xf numFmtId="43" fontId="58" fillId="0" borderId="0" xfId="0" applyNumberFormat="1" applyFont="1"/>
    <xf numFmtId="165" fontId="58" fillId="0" borderId="15" xfId="0" applyNumberFormat="1" applyFont="1" applyBorder="1" applyAlignment="1">
      <alignment wrapText="1" readingOrder="1"/>
    </xf>
    <xf numFmtId="175" fontId="58" fillId="0" borderId="0" xfId="0" applyNumberFormat="1" applyFont="1"/>
    <xf numFmtId="17" fontId="50" fillId="0" borderId="5" xfId="0" applyNumberFormat="1" applyFont="1" applyBorder="1"/>
    <xf numFmtId="0" fontId="66" fillId="0" borderId="0" xfId="0" applyFont="1" applyAlignment="1" applyProtection="1">
      <alignment vertical="top" wrapText="1" readingOrder="1"/>
      <protection locked="0"/>
    </xf>
    <xf numFmtId="17" fontId="63" fillId="8" borderId="5" xfId="0" applyNumberFormat="1" applyFont="1" applyFill="1" applyBorder="1" applyAlignment="1" applyProtection="1">
      <alignment vertical="top" wrapText="1" readingOrder="1"/>
      <protection locked="0"/>
    </xf>
    <xf numFmtId="43" fontId="63" fillId="0" borderId="5" xfId="53" applyFont="1" applyBorder="1" applyAlignment="1" applyProtection="1">
      <alignment vertical="top" wrapText="1" readingOrder="1"/>
      <protection locked="0"/>
    </xf>
    <xf numFmtId="43" fontId="60" fillId="0" borderId="5" xfId="53" applyFont="1" applyBorder="1" applyAlignment="1" applyProtection="1">
      <alignment vertical="top" wrapText="1" readingOrder="1"/>
      <protection locked="0"/>
    </xf>
    <xf numFmtId="43" fontId="63" fillId="10" borderId="5" xfId="53" applyFont="1" applyFill="1" applyBorder="1" applyAlignment="1" applyProtection="1">
      <alignment vertical="top" wrapText="1" readingOrder="1"/>
      <protection locked="0"/>
    </xf>
    <xf numFmtId="43" fontId="63" fillId="20" borderId="5" xfId="53" applyFont="1" applyFill="1" applyBorder="1" applyAlignment="1" applyProtection="1">
      <alignment vertical="top" wrapText="1" readingOrder="1"/>
      <protection locked="0"/>
    </xf>
    <xf numFmtId="43" fontId="50" fillId="0" borderId="5" xfId="53" applyFont="1" applyBorder="1"/>
    <xf numFmtId="43" fontId="72" fillId="0" borderId="18" xfId="186" applyFont="1" applyBorder="1" applyAlignment="1">
      <alignment wrapText="1"/>
    </xf>
    <xf numFmtId="43" fontId="50" fillId="0" borderId="45" xfId="53" applyFont="1" applyBorder="1"/>
    <xf numFmtId="17" fontId="50" fillId="0" borderId="16" xfId="0" applyNumberFormat="1" applyFont="1" applyBorder="1"/>
    <xf numFmtId="43" fontId="48" fillId="0" borderId="24" xfId="53" applyFont="1" applyBorder="1"/>
    <xf numFmtId="0" fontId="39" fillId="0" borderId="45" xfId="0" applyFont="1" applyBorder="1"/>
    <xf numFmtId="17" fontId="48" fillId="0" borderId="45" xfId="0" applyNumberFormat="1" applyFont="1" applyBorder="1"/>
    <xf numFmtId="17" fontId="39" fillId="0" borderId="45" xfId="0" applyNumberFormat="1" applyFont="1" applyBorder="1"/>
    <xf numFmtId="17" fontId="39" fillId="0" borderId="22" xfId="0" applyNumberFormat="1" applyFont="1" applyBorder="1"/>
    <xf numFmtId="17" fontId="50" fillId="0" borderId="15" xfId="0" applyNumberFormat="1" applyFont="1" applyBorder="1"/>
    <xf numFmtId="0" fontId="48" fillId="0" borderId="45" xfId="0" applyFont="1" applyBorder="1"/>
    <xf numFmtId="172" fontId="44" fillId="24" borderId="5" xfId="0" applyNumberFormat="1" applyFont="1" applyFill="1" applyBorder="1"/>
    <xf numFmtId="0" fontId="39" fillId="24" borderId="5" xfId="0" applyFont="1" applyFill="1" applyBorder="1"/>
    <xf numFmtId="173" fontId="39" fillId="24" borderId="5" xfId="0" applyNumberFormat="1" applyFont="1" applyFill="1" applyBorder="1"/>
    <xf numFmtId="0" fontId="39" fillId="24" borderId="0" xfId="0" applyFont="1" applyFill="1"/>
    <xf numFmtId="172" fontId="44" fillId="25" borderId="5" xfId="0" applyNumberFormat="1" applyFont="1" applyFill="1" applyBorder="1"/>
    <xf numFmtId="0" fontId="39" fillId="25" borderId="5" xfId="0" applyFont="1" applyFill="1" applyBorder="1"/>
    <xf numFmtId="173" fontId="39" fillId="25" borderId="5" xfId="0" applyNumberFormat="1" applyFont="1" applyFill="1" applyBorder="1"/>
    <xf numFmtId="0" fontId="39" fillId="25" borderId="0" xfId="0" applyFont="1" applyFill="1"/>
    <xf numFmtId="17" fontId="48" fillId="0" borderId="0" xfId="0" applyNumberFormat="1" applyFont="1"/>
    <xf numFmtId="17" fontId="73" fillId="0" borderId="5" xfId="0" applyNumberFormat="1" applyFont="1" applyBorder="1" applyAlignment="1" applyProtection="1">
      <alignment vertical="top" wrapText="1" readingOrder="1"/>
      <protection locked="0"/>
    </xf>
    <xf numFmtId="17" fontId="39" fillId="0" borderId="45" xfId="0" applyNumberFormat="1" applyFont="1" applyBorder="1" applyAlignment="1">
      <alignment horizontal="right"/>
    </xf>
    <xf numFmtId="17" fontId="39" fillId="0" borderId="5" xfId="0" applyNumberFormat="1" applyFont="1" applyBorder="1"/>
    <xf numFmtId="17" fontId="39" fillId="0" borderId="16" xfId="0" applyNumberFormat="1" applyFont="1" applyBorder="1"/>
    <xf numFmtId="43" fontId="48" fillId="0" borderId="45" xfId="0" applyNumberFormat="1" applyFont="1" applyBorder="1"/>
    <xf numFmtId="173" fontId="48" fillId="0" borderId="16" xfId="0" applyNumberFormat="1" applyFont="1" applyBorder="1"/>
    <xf numFmtId="173" fontId="48" fillId="0" borderId="13" xfId="0" applyNumberFormat="1" applyFont="1" applyBorder="1"/>
    <xf numFmtId="43" fontId="63" fillId="0" borderId="5" xfId="0" applyNumberFormat="1" applyFont="1" applyBorder="1" applyAlignment="1" applyProtection="1">
      <alignment vertical="top" wrapText="1" readingOrder="1"/>
      <protection locked="0"/>
    </xf>
    <xf numFmtId="43" fontId="63" fillId="9" borderId="21" xfId="0" applyNumberFormat="1" applyFont="1" applyFill="1" applyBorder="1" applyAlignment="1" applyProtection="1">
      <alignment vertical="top" wrapText="1" readingOrder="1"/>
      <protection locked="0"/>
    </xf>
    <xf numFmtId="43" fontId="50" fillId="0" borderId="0" xfId="0" applyNumberFormat="1" applyFont="1"/>
    <xf numFmtId="43" fontId="63" fillId="17" borderId="21" xfId="0" applyNumberFormat="1" applyFont="1" applyFill="1" applyBorder="1" applyAlignment="1" applyProtection="1">
      <alignment vertical="top" wrapText="1" readingOrder="1"/>
      <protection locked="0"/>
    </xf>
    <xf numFmtId="10" fontId="48" fillId="0" borderId="45" xfId="0" applyNumberFormat="1" applyFont="1" applyBorder="1"/>
    <xf numFmtId="9" fontId="48" fillId="0" borderId="46" xfId="714" applyFont="1" applyBorder="1"/>
    <xf numFmtId="10" fontId="48" fillId="0" borderId="47" xfId="714" applyNumberFormat="1" applyFont="1" applyBorder="1"/>
    <xf numFmtId="0" fontId="69" fillId="0" borderId="0" xfId="673" applyFont="1"/>
    <xf numFmtId="0" fontId="68" fillId="0" borderId="0" xfId="673" applyFont="1" applyAlignment="1">
      <alignment horizontal="center"/>
    </xf>
    <xf numFmtId="0" fontId="68" fillId="0" borderId="0" xfId="673" applyFont="1"/>
    <xf numFmtId="17" fontId="69" fillId="0" borderId="45" xfId="673" applyNumberFormat="1" applyFont="1" applyBorder="1"/>
    <xf numFmtId="9" fontId="21" fillId="0" borderId="45" xfId="673" applyNumberFormat="1" applyFont="1" applyBorder="1" applyAlignment="1">
      <alignment horizontal="center"/>
    </xf>
    <xf numFmtId="0" fontId="21" fillId="0" borderId="45" xfId="673" applyFont="1" applyBorder="1" applyAlignment="1">
      <alignment horizontal="center"/>
    </xf>
    <xf numFmtId="9" fontId="68" fillId="0" borderId="45" xfId="714" applyFont="1" applyFill="1" applyBorder="1"/>
    <xf numFmtId="171" fontId="68" fillId="0" borderId="0" xfId="716" applyNumberFormat="1" applyFont="1" applyFill="1" applyBorder="1"/>
    <xf numFmtId="9" fontId="68" fillId="0" borderId="0" xfId="714" applyFont="1" applyFill="1"/>
    <xf numFmtId="0" fontId="69" fillId="0" borderId="45" xfId="673" applyFont="1" applyBorder="1"/>
    <xf numFmtId="0" fontId="69" fillId="0" borderId="45" xfId="673" applyFont="1" applyBorder="1" applyAlignment="1">
      <alignment horizontal="center"/>
    </xf>
    <xf numFmtId="17" fontId="69" fillId="0" borderId="45" xfId="673" applyNumberFormat="1" applyFont="1" applyBorder="1" applyAlignment="1">
      <alignment wrapText="1"/>
    </xf>
    <xf numFmtId="0" fontId="68" fillId="0" borderId="45" xfId="673" applyFont="1" applyBorder="1" applyAlignment="1">
      <alignment horizontal="center"/>
    </xf>
    <xf numFmtId="0" fontId="68" fillId="0" borderId="45" xfId="673" applyFont="1" applyBorder="1"/>
    <xf numFmtId="173" fontId="68" fillId="0" borderId="45" xfId="136" applyNumberFormat="1" applyFont="1" applyFill="1" applyBorder="1" applyAlignment="1">
      <alignment horizontal="right"/>
    </xf>
    <xf numFmtId="171" fontId="21" fillId="0" borderId="45" xfId="716" applyNumberFormat="1" applyFont="1" applyFill="1" applyBorder="1"/>
    <xf numFmtId="9" fontId="21" fillId="0" borderId="45" xfId="716" applyFont="1" applyFill="1" applyBorder="1" applyAlignment="1">
      <alignment horizontal="center"/>
    </xf>
    <xf numFmtId="171" fontId="21" fillId="0" borderId="45" xfId="716" applyNumberFormat="1" applyFont="1" applyFill="1" applyBorder="1" applyAlignment="1">
      <alignment horizontal="center"/>
    </xf>
    <xf numFmtId="14" fontId="69" fillId="0" borderId="45" xfId="673" applyNumberFormat="1" applyFont="1" applyBorder="1" applyAlignment="1">
      <alignment horizontal="center"/>
    </xf>
    <xf numFmtId="0" fontId="70" fillId="0" borderId="45" xfId="673" applyFont="1" applyBorder="1"/>
    <xf numFmtId="171" fontId="71" fillId="0" borderId="45" xfId="716" applyNumberFormat="1" applyFont="1" applyFill="1" applyBorder="1" applyAlignment="1">
      <alignment horizontal="center"/>
    </xf>
    <xf numFmtId="171" fontId="71" fillId="0" borderId="45" xfId="716" applyNumberFormat="1" applyFont="1" applyFill="1" applyBorder="1"/>
    <xf numFmtId="0" fontId="71" fillId="0" borderId="45" xfId="673" applyFont="1" applyBorder="1"/>
    <xf numFmtId="9" fontId="68" fillId="0" borderId="45" xfId="719" applyFont="1" applyFill="1" applyBorder="1" applyAlignment="1">
      <alignment horizontal="right"/>
    </xf>
    <xf numFmtId="0" fontId="67" fillId="0" borderId="45" xfId="673" applyFont="1" applyBorder="1"/>
    <xf numFmtId="14" fontId="69" fillId="0" borderId="45" xfId="673" applyNumberFormat="1" applyFont="1" applyBorder="1" applyAlignment="1">
      <alignment horizontal="right"/>
    </xf>
    <xf numFmtId="171" fontId="21" fillId="0" borderId="45" xfId="716" applyNumberFormat="1" applyFont="1" applyFill="1" applyBorder="1" applyAlignment="1">
      <alignment horizontal="right"/>
    </xf>
    <xf numFmtId="0" fontId="68" fillId="0" borderId="45" xfId="673" applyFont="1" applyBorder="1" applyAlignment="1">
      <alignment horizontal="right"/>
    </xf>
    <xf numFmtId="17" fontId="39" fillId="0" borderId="16" xfId="0" applyNumberFormat="1" applyFont="1" applyBorder="1" applyAlignment="1">
      <alignment horizontal="right"/>
    </xf>
    <xf numFmtId="43" fontId="63" fillId="17" borderId="48" xfId="53" applyFont="1" applyFill="1" applyBorder="1" applyAlignment="1" applyProtection="1">
      <alignment vertical="top" wrapText="1" readingOrder="1"/>
      <protection locked="0"/>
    </xf>
    <xf numFmtId="0" fontId="39" fillId="0" borderId="9" xfId="495" applyFont="1" applyBorder="1" applyAlignment="1">
      <alignment horizontal="left" vertical="top"/>
    </xf>
    <xf numFmtId="0" fontId="39" fillId="0" borderId="9" xfId="495" applyFont="1" applyBorder="1" applyAlignment="1">
      <alignment horizontal="left" vertical="top" wrapText="1"/>
    </xf>
    <xf numFmtId="0" fontId="50" fillId="0" borderId="9" xfId="0" applyFont="1" applyBorder="1" applyAlignment="1">
      <alignment horizontal="center" vertical="top" wrapText="1"/>
    </xf>
    <xf numFmtId="0" fontId="57" fillId="0" borderId="0" xfId="0" applyFont="1" applyAlignment="1">
      <alignment horizontal="center"/>
    </xf>
    <xf numFmtId="0" fontId="50" fillId="0" borderId="9" xfId="0" applyFont="1" applyBorder="1" applyAlignment="1">
      <alignment horizontal="center" vertical="top"/>
    </xf>
    <xf numFmtId="0" fontId="36" fillId="0" borderId="0" xfId="0" applyFont="1" applyAlignment="1">
      <alignment horizontal="center"/>
    </xf>
    <xf numFmtId="0" fontId="54" fillId="22" borderId="9" xfId="0" applyFont="1" applyFill="1" applyBorder="1" applyAlignment="1">
      <alignment horizontal="left"/>
    </xf>
    <xf numFmtId="0" fontId="54" fillId="22" borderId="5" xfId="0" applyFont="1" applyFill="1" applyBorder="1" applyAlignment="1">
      <alignment horizontal="left"/>
    </xf>
    <xf numFmtId="0" fontId="54" fillId="22" borderId="16" xfId="0" applyFont="1" applyFill="1" applyBorder="1" applyAlignment="1">
      <alignment horizontal="left"/>
    </xf>
    <xf numFmtId="0" fontId="54" fillId="22" borderId="8" xfId="0" applyFont="1" applyFill="1" applyBorder="1" applyAlignment="1">
      <alignment horizontal="left"/>
    </xf>
    <xf numFmtId="0" fontId="35" fillId="0" borderId="6" xfId="0" applyFont="1" applyBorder="1" applyAlignment="1" applyProtection="1">
      <alignment horizontal="center"/>
      <protection locked="0"/>
    </xf>
    <xf numFmtId="0" fontId="35" fillId="0" borderId="7" xfId="0" applyFont="1" applyBorder="1" applyAlignment="1" applyProtection="1">
      <alignment horizontal="center"/>
      <protection locked="0"/>
    </xf>
    <xf numFmtId="0" fontId="35" fillId="0" borderId="22" xfId="0" applyFont="1" applyBorder="1" applyAlignment="1" applyProtection="1">
      <alignment horizontal="center"/>
      <protection locked="0"/>
    </xf>
    <xf numFmtId="0" fontId="35" fillId="0" borderId="23" xfId="0" applyFont="1" applyBorder="1" applyAlignment="1" applyProtection="1">
      <alignment horizontal="center"/>
      <protection locked="0"/>
    </xf>
    <xf numFmtId="0" fontId="35" fillId="0" borderId="9" xfId="0" applyFont="1" applyBorder="1" applyAlignment="1" applyProtection="1">
      <alignment horizontal="center"/>
      <protection locked="0"/>
    </xf>
    <xf numFmtId="0" fontId="35" fillId="0" borderId="5" xfId="0" applyFont="1" applyBorder="1" applyAlignment="1" applyProtection="1">
      <alignment horizontal="center"/>
      <protection locked="0"/>
    </xf>
    <xf numFmtId="0" fontId="35" fillId="0" borderId="16" xfId="0" applyFont="1" applyBorder="1" applyAlignment="1" applyProtection="1">
      <alignment horizontal="center"/>
      <protection locked="0"/>
    </xf>
    <xf numFmtId="0" fontId="35" fillId="0" borderId="8" xfId="0" applyFont="1" applyBorder="1" applyAlignment="1" applyProtection="1">
      <alignment horizontal="center"/>
      <protection locked="0"/>
    </xf>
    <xf numFmtId="0" fontId="35" fillId="0" borderId="13" xfId="0" applyFont="1" applyBorder="1" applyAlignment="1">
      <alignment horizontal="center" wrapText="1"/>
    </xf>
    <xf numFmtId="0" fontId="35" fillId="0" borderId="24" xfId="0" applyFont="1" applyBorder="1" applyAlignment="1">
      <alignment horizontal="center" wrapText="1"/>
    </xf>
    <xf numFmtId="0" fontId="35" fillId="0" borderId="14" xfId="0" applyFont="1" applyBorder="1" applyAlignment="1" applyProtection="1">
      <alignment horizontal="center"/>
      <protection locked="0"/>
    </xf>
    <xf numFmtId="0" fontId="35" fillId="0" borderId="25" xfId="0" applyFont="1" applyBorder="1" applyAlignment="1" applyProtection="1">
      <alignment horizontal="center"/>
      <protection locked="0"/>
    </xf>
    <xf numFmtId="17" fontId="35" fillId="0" borderId="26" xfId="0" applyNumberFormat="1" applyFont="1" applyBorder="1" applyAlignment="1" applyProtection="1">
      <alignment horizontal="center" wrapText="1"/>
      <protection locked="0"/>
    </xf>
    <xf numFmtId="17" fontId="35" fillId="0" borderId="27" xfId="0" applyNumberFormat="1" applyFont="1" applyBorder="1" applyAlignment="1" applyProtection="1">
      <alignment horizontal="center" wrapText="1"/>
      <protection locked="0"/>
    </xf>
    <xf numFmtId="0" fontId="54" fillId="0" borderId="26" xfId="0" applyFont="1" applyBorder="1" applyAlignment="1">
      <alignment horizontal="center" wrapText="1"/>
    </xf>
    <xf numFmtId="0" fontId="54" fillId="0" borderId="27" xfId="0" applyFont="1" applyBorder="1" applyAlignment="1">
      <alignment horizontal="center" wrapText="1"/>
    </xf>
    <xf numFmtId="0" fontId="55" fillId="23" borderId="28" xfId="0" applyFont="1" applyFill="1" applyBorder="1" applyAlignment="1">
      <alignment horizontal="left"/>
    </xf>
    <xf numFmtId="0" fontId="55" fillId="23" borderId="29" xfId="0" applyFont="1" applyFill="1" applyBorder="1" applyAlignment="1">
      <alignment horizontal="left"/>
    </xf>
    <xf numFmtId="0" fontId="55" fillId="23" borderId="30" xfId="0" applyFont="1" applyFill="1" applyBorder="1" applyAlignment="1">
      <alignment horizontal="left"/>
    </xf>
    <xf numFmtId="0" fontId="0" fillId="0" borderId="5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74" fillId="0" borderId="49" xfId="0" applyFont="1" applyFill="1" applyBorder="1" applyAlignment="1">
      <alignment wrapText="1" readingOrder="1"/>
    </xf>
    <xf numFmtId="4" fontId="74" fillId="0" borderId="49" xfId="0" applyNumberFormat="1" applyFont="1" applyFill="1" applyBorder="1" applyAlignment="1">
      <alignment wrapText="1" readingOrder="1"/>
    </xf>
    <xf numFmtId="0" fontId="74" fillId="0" borderId="50" xfId="0" applyFont="1" applyFill="1" applyBorder="1" applyAlignment="1">
      <alignment wrapText="1" readingOrder="1"/>
    </xf>
    <xf numFmtId="4" fontId="74" fillId="0" borderId="50" xfId="0" applyNumberFormat="1" applyFont="1" applyFill="1" applyBorder="1" applyAlignment="1">
      <alignment wrapText="1" readingOrder="1"/>
    </xf>
    <xf numFmtId="4" fontId="75" fillId="0" borderId="49" xfId="0" applyNumberFormat="1" applyFont="1" applyFill="1" applyBorder="1" applyAlignment="1">
      <alignment wrapText="1" readingOrder="1"/>
    </xf>
    <xf numFmtId="4" fontId="75" fillId="0" borderId="50" xfId="0" applyNumberFormat="1" applyFont="1" applyFill="1" applyBorder="1" applyAlignment="1">
      <alignment wrapText="1" readingOrder="1"/>
    </xf>
    <xf numFmtId="0" fontId="75" fillId="0" borderId="49" xfId="0" applyFont="1" applyFill="1" applyBorder="1" applyAlignment="1">
      <alignment wrapText="1" readingOrder="1"/>
    </xf>
    <xf numFmtId="0" fontId="75" fillId="0" borderId="50" xfId="0" applyFont="1" applyFill="1" applyBorder="1" applyAlignment="1">
      <alignment wrapText="1" readingOrder="1"/>
    </xf>
    <xf numFmtId="4" fontId="74" fillId="26" borderId="50" xfId="0" applyNumberFormat="1" applyFont="1" applyFill="1" applyBorder="1" applyAlignment="1">
      <alignment wrapText="1" readingOrder="1"/>
    </xf>
    <xf numFmtId="0" fontId="74" fillId="0" borderId="51" xfId="0" applyFont="1" applyFill="1" applyBorder="1" applyAlignment="1">
      <alignment wrapText="1" readingOrder="1"/>
    </xf>
    <xf numFmtId="0" fontId="74" fillId="0" borderId="52" xfId="0" applyFont="1" applyFill="1" applyBorder="1" applyAlignment="1">
      <alignment wrapText="1" readingOrder="1"/>
    </xf>
    <xf numFmtId="16" fontId="39" fillId="0" borderId="0" xfId="0" applyNumberFormat="1" applyFont="1"/>
  </cellXfs>
  <cellStyles count="729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7 2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20" xfId="73" xr:uid="{00000000-0005-0000-0000-000048000000}"/>
    <cellStyle name="Comma 10 21" xfId="74" xr:uid="{00000000-0005-0000-0000-000049000000}"/>
    <cellStyle name="Comma 10 22" xfId="75" xr:uid="{00000000-0005-0000-0000-00004A000000}"/>
    <cellStyle name="Comma 10 3" xfId="76" xr:uid="{00000000-0005-0000-0000-00004B000000}"/>
    <cellStyle name="Comma 10 3 2" xfId="77" xr:uid="{00000000-0005-0000-0000-00004C000000}"/>
    <cellStyle name="Comma 10 4" xfId="78" xr:uid="{00000000-0005-0000-0000-00004D000000}"/>
    <cellStyle name="Comma 10 4 2" xfId="79" xr:uid="{00000000-0005-0000-0000-00004E000000}"/>
    <cellStyle name="Comma 10 5" xfId="80" xr:uid="{00000000-0005-0000-0000-00004F000000}"/>
    <cellStyle name="Comma 10 5 2" xfId="81" xr:uid="{00000000-0005-0000-0000-000050000000}"/>
    <cellStyle name="Comma 10 6" xfId="82" xr:uid="{00000000-0005-0000-0000-000051000000}"/>
    <cellStyle name="Comma 10 6 2" xfId="83" xr:uid="{00000000-0005-0000-0000-000052000000}"/>
    <cellStyle name="Comma 10 7" xfId="84" xr:uid="{00000000-0005-0000-0000-000053000000}"/>
    <cellStyle name="Comma 10 7 2" xfId="85" xr:uid="{00000000-0005-0000-0000-000054000000}"/>
    <cellStyle name="Comma 10 8" xfId="86" xr:uid="{00000000-0005-0000-0000-000055000000}"/>
    <cellStyle name="Comma 10 8 2" xfId="87" xr:uid="{00000000-0005-0000-0000-000056000000}"/>
    <cellStyle name="Comma 10 9" xfId="88" xr:uid="{00000000-0005-0000-0000-000057000000}"/>
    <cellStyle name="Comma 10 9 2" xfId="89" xr:uid="{00000000-0005-0000-0000-000058000000}"/>
    <cellStyle name="Comma 11" xfId="90" xr:uid="{00000000-0005-0000-0000-000059000000}"/>
    <cellStyle name="Comma 11 10" xfId="91" xr:uid="{00000000-0005-0000-0000-00005A000000}"/>
    <cellStyle name="Comma 11 10 2" xfId="92" xr:uid="{00000000-0005-0000-0000-00005B000000}"/>
    <cellStyle name="Comma 11 11" xfId="93" xr:uid="{00000000-0005-0000-0000-00005C000000}"/>
    <cellStyle name="Comma 11 11 2" xfId="94" xr:uid="{00000000-0005-0000-0000-00005D000000}"/>
    <cellStyle name="Comma 11 12" xfId="95" xr:uid="{00000000-0005-0000-0000-00005E000000}"/>
    <cellStyle name="Comma 11 12 2" xfId="96" xr:uid="{00000000-0005-0000-0000-00005F000000}"/>
    <cellStyle name="Comma 11 13" xfId="97" xr:uid="{00000000-0005-0000-0000-000060000000}"/>
    <cellStyle name="Comma 11 13 2" xfId="98" xr:uid="{00000000-0005-0000-0000-000061000000}"/>
    <cellStyle name="Comma 11 14" xfId="99" xr:uid="{00000000-0005-0000-0000-000062000000}"/>
    <cellStyle name="Comma 11 14 2" xfId="100" xr:uid="{00000000-0005-0000-0000-000063000000}"/>
    <cellStyle name="Comma 11 15" xfId="101" xr:uid="{00000000-0005-0000-0000-000064000000}"/>
    <cellStyle name="Comma 11 15 2" xfId="102" xr:uid="{00000000-0005-0000-0000-000065000000}"/>
    <cellStyle name="Comma 11 16" xfId="103" xr:uid="{00000000-0005-0000-0000-000066000000}"/>
    <cellStyle name="Comma 11 16 2" xfId="104" xr:uid="{00000000-0005-0000-0000-000067000000}"/>
    <cellStyle name="Comma 11 17" xfId="105" xr:uid="{00000000-0005-0000-0000-000068000000}"/>
    <cellStyle name="Comma 11 17 2" xfId="106" xr:uid="{00000000-0005-0000-0000-000069000000}"/>
    <cellStyle name="Comma 11 18" xfId="107" xr:uid="{00000000-0005-0000-0000-00006A000000}"/>
    <cellStyle name="Comma 11 2" xfId="108" xr:uid="{00000000-0005-0000-0000-00006B000000}"/>
    <cellStyle name="Comma 11 2 2" xfId="109" xr:uid="{00000000-0005-0000-0000-00006C000000}"/>
    <cellStyle name="Comma 11 2 2 2" xfId="110" xr:uid="{00000000-0005-0000-0000-00006D000000}"/>
    <cellStyle name="Comma 11 2 3" xfId="111" xr:uid="{00000000-0005-0000-0000-00006E000000}"/>
    <cellStyle name="Comma 11 3" xfId="112" xr:uid="{00000000-0005-0000-0000-00006F000000}"/>
    <cellStyle name="Comma 11 3 2" xfId="113" xr:uid="{00000000-0005-0000-0000-000070000000}"/>
    <cellStyle name="Comma 11 4" xfId="114" xr:uid="{00000000-0005-0000-0000-000071000000}"/>
    <cellStyle name="Comma 11 4 2" xfId="115" xr:uid="{00000000-0005-0000-0000-000072000000}"/>
    <cellStyle name="Comma 11 5" xfId="116" xr:uid="{00000000-0005-0000-0000-000073000000}"/>
    <cellStyle name="Comma 11 5 2" xfId="117" xr:uid="{00000000-0005-0000-0000-000074000000}"/>
    <cellStyle name="Comma 11 6" xfId="118" xr:uid="{00000000-0005-0000-0000-000075000000}"/>
    <cellStyle name="Comma 11 6 2" xfId="119" xr:uid="{00000000-0005-0000-0000-000076000000}"/>
    <cellStyle name="Comma 11 7" xfId="120" xr:uid="{00000000-0005-0000-0000-000077000000}"/>
    <cellStyle name="Comma 11 7 2" xfId="121" xr:uid="{00000000-0005-0000-0000-000078000000}"/>
    <cellStyle name="Comma 11 8" xfId="122" xr:uid="{00000000-0005-0000-0000-000079000000}"/>
    <cellStyle name="Comma 11 8 2" xfId="123" xr:uid="{00000000-0005-0000-0000-00007A000000}"/>
    <cellStyle name="Comma 11 9" xfId="124" xr:uid="{00000000-0005-0000-0000-00007B000000}"/>
    <cellStyle name="Comma 11 9 2" xfId="125" xr:uid="{00000000-0005-0000-0000-00007C000000}"/>
    <cellStyle name="Comma 12" xfId="126" xr:uid="{00000000-0005-0000-0000-00007D000000}"/>
    <cellStyle name="Comma 12 2" xfId="127" xr:uid="{00000000-0005-0000-0000-00007E000000}"/>
    <cellStyle name="Comma 13" xfId="128" xr:uid="{00000000-0005-0000-0000-00007F000000}"/>
    <cellStyle name="Comma 13 2" xfId="129" xr:uid="{00000000-0005-0000-0000-000080000000}"/>
    <cellStyle name="Comma 14" xfId="130" xr:uid="{00000000-0005-0000-0000-000081000000}"/>
    <cellStyle name="Comma 14 2" xfId="131" xr:uid="{00000000-0005-0000-0000-000082000000}"/>
    <cellStyle name="Comma 15" xfId="132" xr:uid="{00000000-0005-0000-0000-000083000000}"/>
    <cellStyle name="Comma 15 2" xfId="133" xr:uid="{00000000-0005-0000-0000-000084000000}"/>
    <cellStyle name="Comma 16" xfId="134" xr:uid="{00000000-0005-0000-0000-000085000000}"/>
    <cellStyle name="Comma 16 10" xfId="135" xr:uid="{00000000-0005-0000-0000-000086000000}"/>
    <cellStyle name="Comma 16 10 2" xfId="136" xr:uid="{00000000-0005-0000-0000-000087000000}"/>
    <cellStyle name="Comma 16 11" xfId="137" xr:uid="{00000000-0005-0000-0000-000088000000}"/>
    <cellStyle name="Comma 16 11 2" xfId="138" xr:uid="{00000000-0005-0000-0000-000089000000}"/>
    <cellStyle name="Comma 16 12" xfId="139" xr:uid="{00000000-0005-0000-0000-00008A000000}"/>
    <cellStyle name="Comma 16 12 2" xfId="140" xr:uid="{00000000-0005-0000-0000-00008B000000}"/>
    <cellStyle name="Comma 16 13" xfId="141" xr:uid="{00000000-0005-0000-0000-00008C000000}"/>
    <cellStyle name="Comma 16 13 2" xfId="142" xr:uid="{00000000-0005-0000-0000-00008D000000}"/>
    <cellStyle name="Comma 16 14" xfId="143" xr:uid="{00000000-0005-0000-0000-00008E000000}"/>
    <cellStyle name="Comma 16 14 2" xfId="144" xr:uid="{00000000-0005-0000-0000-00008F000000}"/>
    <cellStyle name="Comma 16 15" xfId="145" xr:uid="{00000000-0005-0000-0000-000090000000}"/>
    <cellStyle name="Comma 16 15 2" xfId="146" xr:uid="{00000000-0005-0000-0000-000091000000}"/>
    <cellStyle name="Comma 16 16" xfId="147" xr:uid="{00000000-0005-0000-0000-000092000000}"/>
    <cellStyle name="Comma 16 16 2" xfId="148" xr:uid="{00000000-0005-0000-0000-000093000000}"/>
    <cellStyle name="Comma 16 17" xfId="149" xr:uid="{00000000-0005-0000-0000-000094000000}"/>
    <cellStyle name="Comma 16 2" xfId="150" xr:uid="{00000000-0005-0000-0000-000095000000}"/>
    <cellStyle name="Comma 16 2 2" xfId="151" xr:uid="{00000000-0005-0000-0000-000096000000}"/>
    <cellStyle name="Comma 16 3" xfId="152" xr:uid="{00000000-0005-0000-0000-000097000000}"/>
    <cellStyle name="Comma 16 3 2" xfId="153" xr:uid="{00000000-0005-0000-0000-000098000000}"/>
    <cellStyle name="Comma 16 4" xfId="154" xr:uid="{00000000-0005-0000-0000-000099000000}"/>
    <cellStyle name="Comma 16 4 2" xfId="155" xr:uid="{00000000-0005-0000-0000-00009A000000}"/>
    <cellStyle name="Comma 16 5" xfId="156" xr:uid="{00000000-0005-0000-0000-00009B000000}"/>
    <cellStyle name="Comma 16 5 2" xfId="157" xr:uid="{00000000-0005-0000-0000-00009C000000}"/>
    <cellStyle name="Comma 16 6" xfId="158" xr:uid="{00000000-0005-0000-0000-00009D000000}"/>
    <cellStyle name="Comma 16 6 2" xfId="159" xr:uid="{00000000-0005-0000-0000-00009E000000}"/>
    <cellStyle name="Comma 16 7" xfId="160" xr:uid="{00000000-0005-0000-0000-00009F000000}"/>
    <cellStyle name="Comma 16 7 2" xfId="161" xr:uid="{00000000-0005-0000-0000-0000A0000000}"/>
    <cellStyle name="Comma 16 8" xfId="162" xr:uid="{00000000-0005-0000-0000-0000A1000000}"/>
    <cellStyle name="Comma 16 8 2" xfId="163" xr:uid="{00000000-0005-0000-0000-0000A2000000}"/>
    <cellStyle name="Comma 16 9" xfId="164" xr:uid="{00000000-0005-0000-0000-0000A3000000}"/>
    <cellStyle name="Comma 16 9 2" xfId="165" xr:uid="{00000000-0005-0000-0000-0000A4000000}"/>
    <cellStyle name="Comma 17" xfId="166" xr:uid="{00000000-0005-0000-0000-0000A5000000}"/>
    <cellStyle name="Comma 17 10" xfId="167" xr:uid="{00000000-0005-0000-0000-0000A6000000}"/>
    <cellStyle name="Comma 17 10 2" xfId="168" xr:uid="{00000000-0005-0000-0000-0000A7000000}"/>
    <cellStyle name="Comma 17 11" xfId="169" xr:uid="{00000000-0005-0000-0000-0000A8000000}"/>
    <cellStyle name="Comma 17 2" xfId="170" xr:uid="{00000000-0005-0000-0000-0000A9000000}"/>
    <cellStyle name="Comma 17 2 2" xfId="171" xr:uid="{00000000-0005-0000-0000-0000AA000000}"/>
    <cellStyle name="Comma 17 3" xfId="172" xr:uid="{00000000-0005-0000-0000-0000AB000000}"/>
    <cellStyle name="Comma 17 3 2" xfId="173" xr:uid="{00000000-0005-0000-0000-0000AC000000}"/>
    <cellStyle name="Comma 17 4" xfId="174" xr:uid="{00000000-0005-0000-0000-0000AD000000}"/>
    <cellStyle name="Comma 17 4 2" xfId="175" xr:uid="{00000000-0005-0000-0000-0000AE000000}"/>
    <cellStyle name="Comma 17 5" xfId="176" xr:uid="{00000000-0005-0000-0000-0000AF000000}"/>
    <cellStyle name="Comma 17 5 2" xfId="177" xr:uid="{00000000-0005-0000-0000-0000B0000000}"/>
    <cellStyle name="Comma 17 6" xfId="178" xr:uid="{00000000-0005-0000-0000-0000B1000000}"/>
    <cellStyle name="Comma 17 6 2" xfId="179" xr:uid="{00000000-0005-0000-0000-0000B2000000}"/>
    <cellStyle name="Comma 17 7" xfId="180" xr:uid="{00000000-0005-0000-0000-0000B3000000}"/>
    <cellStyle name="Comma 17 7 2" xfId="181" xr:uid="{00000000-0005-0000-0000-0000B4000000}"/>
    <cellStyle name="Comma 17 8" xfId="182" xr:uid="{00000000-0005-0000-0000-0000B5000000}"/>
    <cellStyle name="Comma 17 8 2" xfId="183" xr:uid="{00000000-0005-0000-0000-0000B6000000}"/>
    <cellStyle name="Comma 17 9" xfId="184" xr:uid="{00000000-0005-0000-0000-0000B7000000}"/>
    <cellStyle name="Comma 17 9 2" xfId="185" xr:uid="{00000000-0005-0000-0000-0000B8000000}"/>
    <cellStyle name="Comma 18" xfId="186" xr:uid="{00000000-0005-0000-0000-0000B9000000}"/>
    <cellStyle name="Comma 18 2" xfId="187" xr:uid="{00000000-0005-0000-0000-0000BA000000}"/>
    <cellStyle name="Comma 18 3" xfId="188" xr:uid="{00000000-0005-0000-0000-0000BB000000}"/>
    <cellStyle name="Comma 18 3 2" xfId="189" xr:uid="{00000000-0005-0000-0000-0000BC000000}"/>
    <cellStyle name="Comma 19" xfId="190" xr:uid="{00000000-0005-0000-0000-0000BD000000}"/>
    <cellStyle name="Comma 19 2" xfId="191" xr:uid="{00000000-0005-0000-0000-0000BE000000}"/>
    <cellStyle name="Comma 2" xfId="192" xr:uid="{00000000-0005-0000-0000-0000BF000000}"/>
    <cellStyle name="Comma 2 10" xfId="193" xr:uid="{00000000-0005-0000-0000-0000C0000000}"/>
    <cellStyle name="Comma 2 10 2" xfId="194" xr:uid="{00000000-0005-0000-0000-0000C1000000}"/>
    <cellStyle name="Comma 2 11" xfId="195" xr:uid="{00000000-0005-0000-0000-0000C2000000}"/>
    <cellStyle name="Comma 2 11 2" xfId="196" xr:uid="{00000000-0005-0000-0000-0000C3000000}"/>
    <cellStyle name="Comma 2 12" xfId="197" xr:uid="{00000000-0005-0000-0000-0000C4000000}"/>
    <cellStyle name="Comma 2 12 2" xfId="198" xr:uid="{00000000-0005-0000-0000-0000C5000000}"/>
    <cellStyle name="Comma 2 13" xfId="199" xr:uid="{00000000-0005-0000-0000-0000C6000000}"/>
    <cellStyle name="Comma 2 13 2" xfId="200" xr:uid="{00000000-0005-0000-0000-0000C7000000}"/>
    <cellStyle name="Comma 2 14" xfId="201" xr:uid="{00000000-0005-0000-0000-0000C8000000}"/>
    <cellStyle name="Comma 2 14 2" xfId="202" xr:uid="{00000000-0005-0000-0000-0000C9000000}"/>
    <cellStyle name="Comma 2 15" xfId="203" xr:uid="{00000000-0005-0000-0000-0000CA000000}"/>
    <cellStyle name="Comma 2 15 2" xfId="204" xr:uid="{00000000-0005-0000-0000-0000CB000000}"/>
    <cellStyle name="Comma 2 16" xfId="205" xr:uid="{00000000-0005-0000-0000-0000CC000000}"/>
    <cellStyle name="Comma 2 16 2" xfId="206" xr:uid="{00000000-0005-0000-0000-0000CD000000}"/>
    <cellStyle name="Comma 2 17" xfId="207" xr:uid="{00000000-0005-0000-0000-0000CE000000}"/>
    <cellStyle name="Comma 2 17 2" xfId="208" xr:uid="{00000000-0005-0000-0000-0000CF000000}"/>
    <cellStyle name="Comma 2 18" xfId="209" xr:uid="{00000000-0005-0000-0000-0000D0000000}"/>
    <cellStyle name="Comma 2 18 2" xfId="210" xr:uid="{00000000-0005-0000-0000-0000D1000000}"/>
    <cellStyle name="Comma 2 19" xfId="211" xr:uid="{00000000-0005-0000-0000-0000D2000000}"/>
    <cellStyle name="Comma 2 19 2" xfId="212" xr:uid="{00000000-0005-0000-0000-0000D3000000}"/>
    <cellStyle name="Comma 2 2" xfId="213" xr:uid="{00000000-0005-0000-0000-0000D4000000}"/>
    <cellStyle name="Comma 2 2 2" xfId="214" xr:uid="{00000000-0005-0000-0000-0000D5000000}"/>
    <cellStyle name="Comma 2 20" xfId="215" xr:uid="{00000000-0005-0000-0000-0000D6000000}"/>
    <cellStyle name="Comma 2 20 2" xfId="216" xr:uid="{00000000-0005-0000-0000-0000D7000000}"/>
    <cellStyle name="Comma 2 21" xfId="217" xr:uid="{00000000-0005-0000-0000-0000D8000000}"/>
    <cellStyle name="Comma 2 21 2" xfId="218" xr:uid="{00000000-0005-0000-0000-0000D9000000}"/>
    <cellStyle name="Comma 2 22" xfId="219" xr:uid="{00000000-0005-0000-0000-0000DA000000}"/>
    <cellStyle name="Comma 2 22 2" xfId="220" xr:uid="{00000000-0005-0000-0000-0000DB000000}"/>
    <cellStyle name="Comma 2 23" xfId="221" xr:uid="{00000000-0005-0000-0000-0000DC000000}"/>
    <cellStyle name="Comma 2 23 2" xfId="222" xr:uid="{00000000-0005-0000-0000-0000DD000000}"/>
    <cellStyle name="Comma 2 24" xfId="223" xr:uid="{00000000-0005-0000-0000-0000DE000000}"/>
    <cellStyle name="Comma 2 24 2" xfId="224" xr:uid="{00000000-0005-0000-0000-0000DF000000}"/>
    <cellStyle name="Comma 2 25" xfId="225" xr:uid="{00000000-0005-0000-0000-0000E0000000}"/>
    <cellStyle name="Comma 2 25 2" xfId="226" xr:uid="{00000000-0005-0000-0000-0000E1000000}"/>
    <cellStyle name="Comma 2 26" xfId="227" xr:uid="{00000000-0005-0000-0000-0000E2000000}"/>
    <cellStyle name="Comma 2 26 2" xfId="228" xr:uid="{00000000-0005-0000-0000-0000E3000000}"/>
    <cellStyle name="Comma 2 27" xfId="229" xr:uid="{00000000-0005-0000-0000-0000E4000000}"/>
    <cellStyle name="Comma 2 28" xfId="230" xr:uid="{00000000-0005-0000-0000-0000E5000000}"/>
    <cellStyle name="Comma 2 29" xfId="231" xr:uid="{00000000-0005-0000-0000-0000E6000000}"/>
    <cellStyle name="Comma 2 3" xfId="232" xr:uid="{00000000-0005-0000-0000-0000E7000000}"/>
    <cellStyle name="Comma 2 3 2" xfId="233" xr:uid="{00000000-0005-0000-0000-0000E8000000}"/>
    <cellStyle name="Comma 2 4" xfId="234" xr:uid="{00000000-0005-0000-0000-0000E9000000}"/>
    <cellStyle name="Comma 2 4 2" xfId="235" xr:uid="{00000000-0005-0000-0000-0000EA000000}"/>
    <cellStyle name="Comma 2 5" xfId="236" xr:uid="{00000000-0005-0000-0000-0000EB000000}"/>
    <cellStyle name="Comma 2 5 2" xfId="237" xr:uid="{00000000-0005-0000-0000-0000EC000000}"/>
    <cellStyle name="Comma 2 6" xfId="238" xr:uid="{00000000-0005-0000-0000-0000ED000000}"/>
    <cellStyle name="Comma 2 6 2" xfId="239" xr:uid="{00000000-0005-0000-0000-0000EE000000}"/>
    <cellStyle name="Comma 2 7" xfId="240" xr:uid="{00000000-0005-0000-0000-0000EF000000}"/>
    <cellStyle name="Comma 2 7 2" xfId="241" xr:uid="{00000000-0005-0000-0000-0000F0000000}"/>
    <cellStyle name="Comma 2 8" xfId="242" xr:uid="{00000000-0005-0000-0000-0000F1000000}"/>
    <cellStyle name="Comma 2 8 2" xfId="243" xr:uid="{00000000-0005-0000-0000-0000F2000000}"/>
    <cellStyle name="Comma 2 9" xfId="244" xr:uid="{00000000-0005-0000-0000-0000F3000000}"/>
    <cellStyle name="Comma 2 9 2" xfId="245" xr:uid="{00000000-0005-0000-0000-0000F4000000}"/>
    <cellStyle name="Comma 20" xfId="246" xr:uid="{00000000-0005-0000-0000-0000F5000000}"/>
    <cellStyle name="Comma 21" xfId="247" xr:uid="{00000000-0005-0000-0000-0000F6000000}"/>
    <cellStyle name="Comma 21 2" xfId="248" xr:uid="{00000000-0005-0000-0000-0000F7000000}"/>
    <cellStyle name="Comma 22" xfId="249" xr:uid="{00000000-0005-0000-0000-0000F8000000}"/>
    <cellStyle name="Comma 24" xfId="250" xr:uid="{00000000-0005-0000-0000-0000F9000000}"/>
    <cellStyle name="Comma 24 2" xfId="251" xr:uid="{00000000-0005-0000-0000-0000FA000000}"/>
    <cellStyle name="Comma 3" xfId="252" xr:uid="{00000000-0005-0000-0000-0000FB000000}"/>
    <cellStyle name="Comma 3 10" xfId="253" xr:uid="{00000000-0005-0000-0000-0000FC000000}"/>
    <cellStyle name="Comma 3 10 2" xfId="254" xr:uid="{00000000-0005-0000-0000-0000FD000000}"/>
    <cellStyle name="Comma 3 11" xfId="255" xr:uid="{00000000-0005-0000-0000-0000FE000000}"/>
    <cellStyle name="Comma 3 11 2" xfId="256" xr:uid="{00000000-0005-0000-0000-0000FF000000}"/>
    <cellStyle name="Comma 3 12" xfId="257" xr:uid="{00000000-0005-0000-0000-000000010000}"/>
    <cellStyle name="Comma 3 12 2" xfId="258" xr:uid="{00000000-0005-0000-0000-000001010000}"/>
    <cellStyle name="Comma 3 13" xfId="259" xr:uid="{00000000-0005-0000-0000-000002010000}"/>
    <cellStyle name="Comma 3 13 2" xfId="260" xr:uid="{00000000-0005-0000-0000-000003010000}"/>
    <cellStyle name="Comma 3 14" xfId="261" xr:uid="{00000000-0005-0000-0000-000004010000}"/>
    <cellStyle name="Comma 3 14 2" xfId="262" xr:uid="{00000000-0005-0000-0000-000005010000}"/>
    <cellStyle name="Comma 3 15" xfId="263" xr:uid="{00000000-0005-0000-0000-000006010000}"/>
    <cellStyle name="Comma 3 15 2" xfId="264" xr:uid="{00000000-0005-0000-0000-000007010000}"/>
    <cellStyle name="Comma 3 16" xfId="265" xr:uid="{00000000-0005-0000-0000-000008010000}"/>
    <cellStyle name="Comma 3 16 2" xfId="266" xr:uid="{00000000-0005-0000-0000-000009010000}"/>
    <cellStyle name="Comma 3 17" xfId="267" xr:uid="{00000000-0005-0000-0000-00000A010000}"/>
    <cellStyle name="Comma 3 17 2" xfId="268" xr:uid="{00000000-0005-0000-0000-00000B010000}"/>
    <cellStyle name="Comma 3 18" xfId="269" xr:uid="{00000000-0005-0000-0000-00000C010000}"/>
    <cellStyle name="Comma 3 18 2" xfId="270" xr:uid="{00000000-0005-0000-0000-00000D010000}"/>
    <cellStyle name="Comma 3 19" xfId="271" xr:uid="{00000000-0005-0000-0000-00000E010000}"/>
    <cellStyle name="Comma 3 19 2" xfId="272" xr:uid="{00000000-0005-0000-0000-00000F010000}"/>
    <cellStyle name="Comma 3 2" xfId="273" xr:uid="{00000000-0005-0000-0000-000010010000}"/>
    <cellStyle name="Comma 3 2 2" xfId="274" xr:uid="{00000000-0005-0000-0000-000011010000}"/>
    <cellStyle name="Comma 3 20" xfId="275" xr:uid="{00000000-0005-0000-0000-000012010000}"/>
    <cellStyle name="Comma 3 20 2" xfId="276" xr:uid="{00000000-0005-0000-0000-000013010000}"/>
    <cellStyle name="Comma 3 21" xfId="277" xr:uid="{00000000-0005-0000-0000-000014010000}"/>
    <cellStyle name="Comma 3 22" xfId="278" xr:uid="{00000000-0005-0000-0000-000015010000}"/>
    <cellStyle name="Comma 3 3" xfId="279" xr:uid="{00000000-0005-0000-0000-000016010000}"/>
    <cellStyle name="Comma 3 3 2" xfId="280" xr:uid="{00000000-0005-0000-0000-000017010000}"/>
    <cellStyle name="Comma 3 4" xfId="281" xr:uid="{00000000-0005-0000-0000-000018010000}"/>
    <cellStyle name="Comma 3 4 2" xfId="282" xr:uid="{00000000-0005-0000-0000-000019010000}"/>
    <cellStyle name="Comma 3 5" xfId="283" xr:uid="{00000000-0005-0000-0000-00001A010000}"/>
    <cellStyle name="Comma 3 5 2" xfId="284" xr:uid="{00000000-0005-0000-0000-00001B010000}"/>
    <cellStyle name="Comma 3 6" xfId="285" xr:uid="{00000000-0005-0000-0000-00001C010000}"/>
    <cellStyle name="Comma 3 6 2" xfId="286" xr:uid="{00000000-0005-0000-0000-00001D010000}"/>
    <cellStyle name="Comma 3 7" xfId="287" xr:uid="{00000000-0005-0000-0000-00001E010000}"/>
    <cellStyle name="Comma 3 7 2" xfId="288" xr:uid="{00000000-0005-0000-0000-00001F010000}"/>
    <cellStyle name="Comma 3 8" xfId="289" xr:uid="{00000000-0005-0000-0000-000020010000}"/>
    <cellStyle name="Comma 3 8 2" xfId="290" xr:uid="{00000000-0005-0000-0000-000021010000}"/>
    <cellStyle name="Comma 3 9" xfId="291" xr:uid="{00000000-0005-0000-0000-000022010000}"/>
    <cellStyle name="Comma 3 9 2" xfId="292" xr:uid="{00000000-0005-0000-0000-000023010000}"/>
    <cellStyle name="Comma 4" xfId="293" xr:uid="{00000000-0005-0000-0000-000024010000}"/>
    <cellStyle name="Comma 4 2" xfId="294" xr:uid="{00000000-0005-0000-0000-000025010000}"/>
    <cellStyle name="Comma 4 3" xfId="295" xr:uid="{00000000-0005-0000-0000-000026010000}"/>
    <cellStyle name="Comma 5" xfId="296" xr:uid="{00000000-0005-0000-0000-000027010000}"/>
    <cellStyle name="Comma 5 10" xfId="297" xr:uid="{00000000-0005-0000-0000-000028010000}"/>
    <cellStyle name="Comma 5 10 2" xfId="298" xr:uid="{00000000-0005-0000-0000-000029010000}"/>
    <cellStyle name="Comma 5 11" xfId="299" xr:uid="{00000000-0005-0000-0000-00002A010000}"/>
    <cellStyle name="Comma 5 11 2" xfId="300" xr:uid="{00000000-0005-0000-0000-00002B010000}"/>
    <cellStyle name="Comma 5 12" xfId="301" xr:uid="{00000000-0005-0000-0000-00002C010000}"/>
    <cellStyle name="Comma 5 12 2" xfId="302" xr:uid="{00000000-0005-0000-0000-00002D010000}"/>
    <cellStyle name="Comma 5 13" xfId="303" xr:uid="{00000000-0005-0000-0000-00002E010000}"/>
    <cellStyle name="Comma 5 13 2" xfId="304" xr:uid="{00000000-0005-0000-0000-00002F010000}"/>
    <cellStyle name="Comma 5 14" xfId="305" xr:uid="{00000000-0005-0000-0000-000030010000}"/>
    <cellStyle name="Comma 5 14 2" xfId="306" xr:uid="{00000000-0005-0000-0000-000031010000}"/>
    <cellStyle name="Comma 5 15" xfId="307" xr:uid="{00000000-0005-0000-0000-000032010000}"/>
    <cellStyle name="Comma 5 15 2" xfId="308" xr:uid="{00000000-0005-0000-0000-000033010000}"/>
    <cellStyle name="Comma 5 16" xfId="309" xr:uid="{00000000-0005-0000-0000-000034010000}"/>
    <cellStyle name="Comma 5 16 2" xfId="310" xr:uid="{00000000-0005-0000-0000-000035010000}"/>
    <cellStyle name="Comma 5 17" xfId="311" xr:uid="{00000000-0005-0000-0000-000036010000}"/>
    <cellStyle name="Comma 5 17 2" xfId="312" xr:uid="{00000000-0005-0000-0000-000037010000}"/>
    <cellStyle name="Comma 5 18" xfId="313" xr:uid="{00000000-0005-0000-0000-000038010000}"/>
    <cellStyle name="Comma 5 18 2" xfId="314" xr:uid="{00000000-0005-0000-0000-000039010000}"/>
    <cellStyle name="Comma 5 19" xfId="315" xr:uid="{00000000-0005-0000-0000-00003A010000}"/>
    <cellStyle name="Comma 5 19 2" xfId="316" xr:uid="{00000000-0005-0000-0000-00003B010000}"/>
    <cellStyle name="Comma 5 2" xfId="317" xr:uid="{00000000-0005-0000-0000-00003C010000}"/>
    <cellStyle name="Comma 5 2 2" xfId="318" xr:uid="{00000000-0005-0000-0000-00003D010000}"/>
    <cellStyle name="Comma 5 20" xfId="319" xr:uid="{00000000-0005-0000-0000-00003E010000}"/>
    <cellStyle name="Comma 5 20 2" xfId="320" xr:uid="{00000000-0005-0000-0000-00003F010000}"/>
    <cellStyle name="Comma 5 21" xfId="321" xr:uid="{00000000-0005-0000-0000-000040010000}"/>
    <cellStyle name="Comma 5 22" xfId="322" xr:uid="{00000000-0005-0000-0000-000041010000}"/>
    <cellStyle name="Comma 5 3" xfId="323" xr:uid="{00000000-0005-0000-0000-000042010000}"/>
    <cellStyle name="Comma 5 3 2" xfId="324" xr:uid="{00000000-0005-0000-0000-000043010000}"/>
    <cellStyle name="Comma 5 4" xfId="325" xr:uid="{00000000-0005-0000-0000-000044010000}"/>
    <cellStyle name="Comma 5 4 2" xfId="326" xr:uid="{00000000-0005-0000-0000-000045010000}"/>
    <cellStyle name="Comma 5 5" xfId="327" xr:uid="{00000000-0005-0000-0000-000046010000}"/>
    <cellStyle name="Comma 5 5 2" xfId="328" xr:uid="{00000000-0005-0000-0000-000047010000}"/>
    <cellStyle name="Comma 5 6" xfId="329" xr:uid="{00000000-0005-0000-0000-000048010000}"/>
    <cellStyle name="Comma 5 6 2" xfId="330" xr:uid="{00000000-0005-0000-0000-000049010000}"/>
    <cellStyle name="Comma 5 7" xfId="331" xr:uid="{00000000-0005-0000-0000-00004A010000}"/>
    <cellStyle name="Comma 5 7 2" xfId="332" xr:uid="{00000000-0005-0000-0000-00004B010000}"/>
    <cellStyle name="Comma 5 8" xfId="333" xr:uid="{00000000-0005-0000-0000-00004C010000}"/>
    <cellStyle name="Comma 5 8 2" xfId="334" xr:uid="{00000000-0005-0000-0000-00004D010000}"/>
    <cellStyle name="Comma 5 9" xfId="335" xr:uid="{00000000-0005-0000-0000-00004E010000}"/>
    <cellStyle name="Comma 5 9 2" xfId="336" xr:uid="{00000000-0005-0000-0000-00004F010000}"/>
    <cellStyle name="Comma 6" xfId="337" xr:uid="{00000000-0005-0000-0000-000050010000}"/>
    <cellStyle name="Comma 6 10" xfId="338" xr:uid="{00000000-0005-0000-0000-000051010000}"/>
    <cellStyle name="Comma 6 10 2" xfId="339" xr:uid="{00000000-0005-0000-0000-000052010000}"/>
    <cellStyle name="Comma 6 11" xfId="340" xr:uid="{00000000-0005-0000-0000-000053010000}"/>
    <cellStyle name="Comma 6 11 2" xfId="341" xr:uid="{00000000-0005-0000-0000-000054010000}"/>
    <cellStyle name="Comma 6 12" xfId="342" xr:uid="{00000000-0005-0000-0000-000055010000}"/>
    <cellStyle name="Comma 6 12 2" xfId="343" xr:uid="{00000000-0005-0000-0000-000056010000}"/>
    <cellStyle name="Comma 6 13" xfId="344" xr:uid="{00000000-0005-0000-0000-000057010000}"/>
    <cellStyle name="Comma 6 13 2" xfId="345" xr:uid="{00000000-0005-0000-0000-000058010000}"/>
    <cellStyle name="Comma 6 14" xfId="346" xr:uid="{00000000-0005-0000-0000-000059010000}"/>
    <cellStyle name="Comma 6 14 2" xfId="347" xr:uid="{00000000-0005-0000-0000-00005A010000}"/>
    <cellStyle name="Comma 6 15" xfId="348" xr:uid="{00000000-0005-0000-0000-00005B010000}"/>
    <cellStyle name="Comma 6 15 2" xfId="349" xr:uid="{00000000-0005-0000-0000-00005C010000}"/>
    <cellStyle name="Comma 6 16" xfId="350" xr:uid="{00000000-0005-0000-0000-00005D010000}"/>
    <cellStyle name="Comma 6 16 2" xfId="351" xr:uid="{00000000-0005-0000-0000-00005E010000}"/>
    <cellStyle name="Comma 6 17" xfId="352" xr:uid="{00000000-0005-0000-0000-00005F010000}"/>
    <cellStyle name="Comma 6 17 2" xfId="353" xr:uid="{00000000-0005-0000-0000-000060010000}"/>
    <cellStyle name="Comma 6 18" xfId="354" xr:uid="{00000000-0005-0000-0000-000061010000}"/>
    <cellStyle name="Comma 6 18 2" xfId="355" xr:uid="{00000000-0005-0000-0000-000062010000}"/>
    <cellStyle name="Comma 6 19" xfId="356" xr:uid="{00000000-0005-0000-0000-000063010000}"/>
    <cellStyle name="Comma 6 19 2" xfId="357" xr:uid="{00000000-0005-0000-0000-000064010000}"/>
    <cellStyle name="Comma 6 2" xfId="358" xr:uid="{00000000-0005-0000-0000-000065010000}"/>
    <cellStyle name="Comma 6 2 2" xfId="359" xr:uid="{00000000-0005-0000-0000-000066010000}"/>
    <cellStyle name="Comma 6 20" xfId="360" xr:uid="{00000000-0005-0000-0000-000067010000}"/>
    <cellStyle name="Comma 6 21" xfId="361" xr:uid="{00000000-0005-0000-0000-000068010000}"/>
    <cellStyle name="Comma 6 22" xfId="362" xr:uid="{00000000-0005-0000-0000-000069010000}"/>
    <cellStyle name="Comma 6 3" xfId="363" xr:uid="{00000000-0005-0000-0000-00006A010000}"/>
    <cellStyle name="Comma 6 3 2" xfId="364" xr:uid="{00000000-0005-0000-0000-00006B010000}"/>
    <cellStyle name="Comma 6 4" xfId="365" xr:uid="{00000000-0005-0000-0000-00006C010000}"/>
    <cellStyle name="Comma 6 4 2" xfId="366" xr:uid="{00000000-0005-0000-0000-00006D010000}"/>
    <cellStyle name="Comma 6 5" xfId="367" xr:uid="{00000000-0005-0000-0000-00006E010000}"/>
    <cellStyle name="Comma 6 5 2" xfId="368" xr:uid="{00000000-0005-0000-0000-00006F010000}"/>
    <cellStyle name="Comma 6 6" xfId="369" xr:uid="{00000000-0005-0000-0000-000070010000}"/>
    <cellStyle name="Comma 6 6 2" xfId="370" xr:uid="{00000000-0005-0000-0000-000071010000}"/>
    <cellStyle name="Comma 6 7" xfId="371" xr:uid="{00000000-0005-0000-0000-000072010000}"/>
    <cellStyle name="Comma 6 7 2" xfId="372" xr:uid="{00000000-0005-0000-0000-000073010000}"/>
    <cellStyle name="Comma 6 8" xfId="373" xr:uid="{00000000-0005-0000-0000-000074010000}"/>
    <cellStyle name="Comma 6 8 2" xfId="374" xr:uid="{00000000-0005-0000-0000-000075010000}"/>
    <cellStyle name="Comma 6 9" xfId="375" xr:uid="{00000000-0005-0000-0000-000076010000}"/>
    <cellStyle name="Comma 6 9 2" xfId="376" xr:uid="{00000000-0005-0000-0000-000077010000}"/>
    <cellStyle name="Comma 7" xfId="377" xr:uid="{00000000-0005-0000-0000-000078010000}"/>
    <cellStyle name="Comma 7 10" xfId="378" xr:uid="{00000000-0005-0000-0000-000079010000}"/>
    <cellStyle name="Comma 7 10 2" xfId="379" xr:uid="{00000000-0005-0000-0000-00007A010000}"/>
    <cellStyle name="Comma 7 11" xfId="380" xr:uid="{00000000-0005-0000-0000-00007B010000}"/>
    <cellStyle name="Comma 7 11 2" xfId="381" xr:uid="{00000000-0005-0000-0000-00007C010000}"/>
    <cellStyle name="Comma 7 12" xfId="382" xr:uid="{00000000-0005-0000-0000-00007D010000}"/>
    <cellStyle name="Comma 7 12 2" xfId="383" xr:uid="{00000000-0005-0000-0000-00007E010000}"/>
    <cellStyle name="Comma 7 13" xfId="384" xr:uid="{00000000-0005-0000-0000-00007F010000}"/>
    <cellStyle name="Comma 7 13 2" xfId="385" xr:uid="{00000000-0005-0000-0000-000080010000}"/>
    <cellStyle name="Comma 7 14" xfId="386" xr:uid="{00000000-0005-0000-0000-000081010000}"/>
    <cellStyle name="Comma 7 14 2" xfId="387" xr:uid="{00000000-0005-0000-0000-000082010000}"/>
    <cellStyle name="Comma 7 15" xfId="388" xr:uid="{00000000-0005-0000-0000-000083010000}"/>
    <cellStyle name="Comma 7 15 2" xfId="389" xr:uid="{00000000-0005-0000-0000-000084010000}"/>
    <cellStyle name="Comma 7 16" xfId="390" xr:uid="{00000000-0005-0000-0000-000085010000}"/>
    <cellStyle name="Comma 7 16 2" xfId="391" xr:uid="{00000000-0005-0000-0000-000086010000}"/>
    <cellStyle name="Comma 7 17" xfId="392" xr:uid="{00000000-0005-0000-0000-000087010000}"/>
    <cellStyle name="Comma 7 17 2" xfId="393" xr:uid="{00000000-0005-0000-0000-000088010000}"/>
    <cellStyle name="Comma 7 18" xfId="394" xr:uid="{00000000-0005-0000-0000-000089010000}"/>
    <cellStyle name="Comma 7 18 2" xfId="395" xr:uid="{00000000-0005-0000-0000-00008A010000}"/>
    <cellStyle name="Comma 7 19" xfId="396" xr:uid="{00000000-0005-0000-0000-00008B010000}"/>
    <cellStyle name="Comma 7 19 2" xfId="397" xr:uid="{00000000-0005-0000-0000-00008C010000}"/>
    <cellStyle name="Comma 7 2" xfId="398" xr:uid="{00000000-0005-0000-0000-00008D010000}"/>
    <cellStyle name="Comma 7 2 2" xfId="399" xr:uid="{00000000-0005-0000-0000-00008E010000}"/>
    <cellStyle name="Comma 7 20" xfId="400" xr:uid="{00000000-0005-0000-0000-00008F010000}"/>
    <cellStyle name="Comma 7 3" xfId="401" xr:uid="{00000000-0005-0000-0000-000090010000}"/>
    <cellStyle name="Comma 7 3 2" xfId="402" xr:uid="{00000000-0005-0000-0000-000091010000}"/>
    <cellStyle name="Comma 7 4" xfId="403" xr:uid="{00000000-0005-0000-0000-000092010000}"/>
    <cellStyle name="Comma 7 4 2" xfId="404" xr:uid="{00000000-0005-0000-0000-000093010000}"/>
    <cellStyle name="Comma 7 5" xfId="405" xr:uid="{00000000-0005-0000-0000-000094010000}"/>
    <cellStyle name="Comma 7 5 2" xfId="406" xr:uid="{00000000-0005-0000-0000-000095010000}"/>
    <cellStyle name="Comma 7 6" xfId="407" xr:uid="{00000000-0005-0000-0000-000096010000}"/>
    <cellStyle name="Comma 7 6 2" xfId="408" xr:uid="{00000000-0005-0000-0000-000097010000}"/>
    <cellStyle name="Comma 7 7" xfId="409" xr:uid="{00000000-0005-0000-0000-000098010000}"/>
    <cellStyle name="Comma 7 7 2" xfId="410" xr:uid="{00000000-0005-0000-0000-000099010000}"/>
    <cellStyle name="Comma 7 8" xfId="411" xr:uid="{00000000-0005-0000-0000-00009A010000}"/>
    <cellStyle name="Comma 7 8 2" xfId="412" xr:uid="{00000000-0005-0000-0000-00009B010000}"/>
    <cellStyle name="Comma 7 9" xfId="413" xr:uid="{00000000-0005-0000-0000-00009C010000}"/>
    <cellStyle name="Comma 7 9 2" xfId="414" xr:uid="{00000000-0005-0000-0000-00009D010000}"/>
    <cellStyle name="Comma 8" xfId="415" xr:uid="{00000000-0005-0000-0000-00009E010000}"/>
    <cellStyle name="Comma 8 10" xfId="416" xr:uid="{00000000-0005-0000-0000-00009F010000}"/>
    <cellStyle name="Comma 8 10 2" xfId="417" xr:uid="{00000000-0005-0000-0000-0000A0010000}"/>
    <cellStyle name="Comma 8 11" xfId="418" xr:uid="{00000000-0005-0000-0000-0000A1010000}"/>
    <cellStyle name="Comma 8 11 2" xfId="419" xr:uid="{00000000-0005-0000-0000-0000A2010000}"/>
    <cellStyle name="Comma 8 12" xfId="420" xr:uid="{00000000-0005-0000-0000-0000A3010000}"/>
    <cellStyle name="Comma 8 12 2" xfId="421" xr:uid="{00000000-0005-0000-0000-0000A4010000}"/>
    <cellStyle name="Comma 8 13" xfId="422" xr:uid="{00000000-0005-0000-0000-0000A5010000}"/>
    <cellStyle name="Comma 8 13 2" xfId="423" xr:uid="{00000000-0005-0000-0000-0000A6010000}"/>
    <cellStyle name="Comma 8 14" xfId="424" xr:uid="{00000000-0005-0000-0000-0000A7010000}"/>
    <cellStyle name="Comma 8 14 2" xfId="425" xr:uid="{00000000-0005-0000-0000-0000A8010000}"/>
    <cellStyle name="Comma 8 15" xfId="426" xr:uid="{00000000-0005-0000-0000-0000A9010000}"/>
    <cellStyle name="Comma 8 15 2" xfId="427" xr:uid="{00000000-0005-0000-0000-0000AA010000}"/>
    <cellStyle name="Comma 8 16" xfId="428" xr:uid="{00000000-0005-0000-0000-0000AB010000}"/>
    <cellStyle name="Comma 8 16 2" xfId="429" xr:uid="{00000000-0005-0000-0000-0000AC010000}"/>
    <cellStyle name="Comma 8 17" xfId="430" xr:uid="{00000000-0005-0000-0000-0000AD010000}"/>
    <cellStyle name="Comma 8 17 2" xfId="431" xr:uid="{00000000-0005-0000-0000-0000AE010000}"/>
    <cellStyle name="Comma 8 18" xfId="432" xr:uid="{00000000-0005-0000-0000-0000AF010000}"/>
    <cellStyle name="Comma 8 18 2" xfId="433" xr:uid="{00000000-0005-0000-0000-0000B0010000}"/>
    <cellStyle name="Comma 8 19" xfId="434" xr:uid="{00000000-0005-0000-0000-0000B1010000}"/>
    <cellStyle name="Comma 8 19 2" xfId="435" xr:uid="{00000000-0005-0000-0000-0000B2010000}"/>
    <cellStyle name="Comma 8 2" xfId="436" xr:uid="{00000000-0005-0000-0000-0000B3010000}"/>
    <cellStyle name="Comma 8 2 2" xfId="437" xr:uid="{00000000-0005-0000-0000-0000B4010000}"/>
    <cellStyle name="Comma 8 20" xfId="438" xr:uid="{00000000-0005-0000-0000-0000B5010000}"/>
    <cellStyle name="Comma 8 3" xfId="439" xr:uid="{00000000-0005-0000-0000-0000B6010000}"/>
    <cellStyle name="Comma 8 3 2" xfId="440" xr:uid="{00000000-0005-0000-0000-0000B7010000}"/>
    <cellStyle name="Comma 8 4" xfId="441" xr:uid="{00000000-0005-0000-0000-0000B8010000}"/>
    <cellStyle name="Comma 8 4 2" xfId="442" xr:uid="{00000000-0005-0000-0000-0000B9010000}"/>
    <cellStyle name="Comma 8 5" xfId="443" xr:uid="{00000000-0005-0000-0000-0000BA010000}"/>
    <cellStyle name="Comma 8 5 2" xfId="444" xr:uid="{00000000-0005-0000-0000-0000BB010000}"/>
    <cellStyle name="Comma 8 6" xfId="445" xr:uid="{00000000-0005-0000-0000-0000BC010000}"/>
    <cellStyle name="Comma 8 6 2" xfId="446" xr:uid="{00000000-0005-0000-0000-0000BD010000}"/>
    <cellStyle name="Comma 8 7" xfId="447" xr:uid="{00000000-0005-0000-0000-0000BE010000}"/>
    <cellStyle name="Comma 8 7 2" xfId="448" xr:uid="{00000000-0005-0000-0000-0000BF010000}"/>
    <cellStyle name="Comma 8 8" xfId="449" xr:uid="{00000000-0005-0000-0000-0000C0010000}"/>
    <cellStyle name="Comma 8 8 2" xfId="450" xr:uid="{00000000-0005-0000-0000-0000C1010000}"/>
    <cellStyle name="Comma 8 9" xfId="451" xr:uid="{00000000-0005-0000-0000-0000C2010000}"/>
    <cellStyle name="Comma 8 9 2" xfId="452" xr:uid="{00000000-0005-0000-0000-0000C3010000}"/>
    <cellStyle name="Comma 9" xfId="453" xr:uid="{00000000-0005-0000-0000-0000C4010000}"/>
    <cellStyle name="Comma 9 10" xfId="454" xr:uid="{00000000-0005-0000-0000-0000C5010000}"/>
    <cellStyle name="Comma 9 10 2" xfId="455" xr:uid="{00000000-0005-0000-0000-0000C6010000}"/>
    <cellStyle name="Comma 9 11" xfId="456" xr:uid="{00000000-0005-0000-0000-0000C7010000}"/>
    <cellStyle name="Comma 9 11 2" xfId="457" xr:uid="{00000000-0005-0000-0000-0000C8010000}"/>
    <cellStyle name="Comma 9 12" xfId="458" xr:uid="{00000000-0005-0000-0000-0000C9010000}"/>
    <cellStyle name="Comma 9 12 2" xfId="459" xr:uid="{00000000-0005-0000-0000-0000CA010000}"/>
    <cellStyle name="Comma 9 13" xfId="460" xr:uid="{00000000-0005-0000-0000-0000CB010000}"/>
    <cellStyle name="Comma 9 13 2" xfId="461" xr:uid="{00000000-0005-0000-0000-0000CC010000}"/>
    <cellStyle name="Comma 9 14" xfId="462" xr:uid="{00000000-0005-0000-0000-0000CD010000}"/>
    <cellStyle name="Comma 9 14 2" xfId="463" xr:uid="{00000000-0005-0000-0000-0000CE010000}"/>
    <cellStyle name="Comma 9 15" xfId="464" xr:uid="{00000000-0005-0000-0000-0000CF010000}"/>
    <cellStyle name="Comma 9 15 2" xfId="465" xr:uid="{00000000-0005-0000-0000-0000D0010000}"/>
    <cellStyle name="Comma 9 16" xfId="466" xr:uid="{00000000-0005-0000-0000-0000D1010000}"/>
    <cellStyle name="Comma 9 16 2" xfId="467" xr:uid="{00000000-0005-0000-0000-0000D2010000}"/>
    <cellStyle name="Comma 9 17" xfId="468" xr:uid="{00000000-0005-0000-0000-0000D3010000}"/>
    <cellStyle name="Comma 9 17 2" xfId="469" xr:uid="{00000000-0005-0000-0000-0000D4010000}"/>
    <cellStyle name="Comma 9 18" xfId="470" xr:uid="{00000000-0005-0000-0000-0000D5010000}"/>
    <cellStyle name="Comma 9 18 2" xfId="471" xr:uid="{00000000-0005-0000-0000-0000D6010000}"/>
    <cellStyle name="Comma 9 19" xfId="472" xr:uid="{00000000-0005-0000-0000-0000D7010000}"/>
    <cellStyle name="Comma 9 19 2" xfId="473" xr:uid="{00000000-0005-0000-0000-0000D8010000}"/>
    <cellStyle name="Comma 9 2" xfId="474" xr:uid="{00000000-0005-0000-0000-0000D9010000}"/>
    <cellStyle name="Comma 9 2 2" xfId="475" xr:uid="{00000000-0005-0000-0000-0000DA010000}"/>
    <cellStyle name="Comma 9 20" xfId="476" xr:uid="{00000000-0005-0000-0000-0000DB010000}"/>
    <cellStyle name="Comma 9 3" xfId="477" xr:uid="{00000000-0005-0000-0000-0000DC010000}"/>
    <cellStyle name="Comma 9 3 2" xfId="478" xr:uid="{00000000-0005-0000-0000-0000DD010000}"/>
    <cellStyle name="Comma 9 4" xfId="479" xr:uid="{00000000-0005-0000-0000-0000DE010000}"/>
    <cellStyle name="Comma 9 4 2" xfId="480" xr:uid="{00000000-0005-0000-0000-0000DF010000}"/>
    <cellStyle name="Comma 9 5" xfId="481" xr:uid="{00000000-0005-0000-0000-0000E0010000}"/>
    <cellStyle name="Comma 9 5 2" xfId="482" xr:uid="{00000000-0005-0000-0000-0000E1010000}"/>
    <cellStyle name="Comma 9 6" xfId="483" xr:uid="{00000000-0005-0000-0000-0000E2010000}"/>
    <cellStyle name="Comma 9 6 2" xfId="484" xr:uid="{00000000-0005-0000-0000-0000E3010000}"/>
    <cellStyle name="Comma 9 7" xfId="485" xr:uid="{00000000-0005-0000-0000-0000E4010000}"/>
    <cellStyle name="Comma 9 7 2" xfId="486" xr:uid="{00000000-0005-0000-0000-0000E5010000}"/>
    <cellStyle name="Comma 9 8" xfId="487" xr:uid="{00000000-0005-0000-0000-0000E6010000}"/>
    <cellStyle name="Comma 9 8 2" xfId="488" xr:uid="{00000000-0005-0000-0000-0000E7010000}"/>
    <cellStyle name="Comma 9 9" xfId="489" xr:uid="{00000000-0005-0000-0000-0000E8010000}"/>
    <cellStyle name="Comma 9 9 2" xfId="490" xr:uid="{00000000-0005-0000-0000-0000E9010000}"/>
    <cellStyle name="Input" xfId="491" builtinId="20"/>
    <cellStyle name="Input 2" xfId="492" xr:uid="{00000000-0005-0000-0000-0000EB010000}"/>
    <cellStyle name="Input 2 2" xfId="493" xr:uid="{00000000-0005-0000-0000-0000EC010000}"/>
    <cellStyle name="Jun" xfId="494" xr:uid="{00000000-0005-0000-0000-0000ED010000}"/>
    <cellStyle name="Normal" xfId="0" builtinId="0"/>
    <cellStyle name="Normal 10" xfId="495" xr:uid="{00000000-0005-0000-0000-0000EF010000}"/>
    <cellStyle name="Normal 10 2" xfId="496" xr:uid="{00000000-0005-0000-0000-0000F0010000}"/>
    <cellStyle name="Normal 10 2 2" xfId="497" xr:uid="{00000000-0005-0000-0000-0000F1010000}"/>
    <cellStyle name="Normal 10 3" xfId="498" xr:uid="{00000000-0005-0000-0000-0000F2010000}"/>
    <cellStyle name="Normal 10 4" xfId="499" xr:uid="{00000000-0005-0000-0000-0000F3010000}"/>
    <cellStyle name="Normal 10 5" xfId="500" xr:uid="{00000000-0005-0000-0000-0000F4010000}"/>
    <cellStyle name="Normal 11" xfId="501" xr:uid="{00000000-0005-0000-0000-0000F5010000}"/>
    <cellStyle name="Normal 12" xfId="502" xr:uid="{00000000-0005-0000-0000-0000F6010000}"/>
    <cellStyle name="Normal 12 2" xfId="503" xr:uid="{00000000-0005-0000-0000-0000F7010000}"/>
    <cellStyle name="Normal 12 3" xfId="504" xr:uid="{00000000-0005-0000-0000-0000F8010000}"/>
    <cellStyle name="Normal 12 4" xfId="505" xr:uid="{00000000-0005-0000-0000-0000F9010000}"/>
    <cellStyle name="Normal 12 5" xfId="506" xr:uid="{00000000-0005-0000-0000-0000FA010000}"/>
    <cellStyle name="Normal 13" xfId="507" xr:uid="{00000000-0005-0000-0000-0000FB010000}"/>
    <cellStyle name="Normal 13 2" xfId="508" xr:uid="{00000000-0005-0000-0000-0000FC010000}"/>
    <cellStyle name="Normal 13 3" xfId="509" xr:uid="{00000000-0005-0000-0000-0000FD010000}"/>
    <cellStyle name="Normal 13 4" xfId="510" xr:uid="{00000000-0005-0000-0000-0000FE010000}"/>
    <cellStyle name="Normal 13 5" xfId="511" xr:uid="{00000000-0005-0000-0000-0000FF010000}"/>
    <cellStyle name="Normal 14" xfId="512" xr:uid="{00000000-0005-0000-0000-000000020000}"/>
    <cellStyle name="Normal 14 10" xfId="513" xr:uid="{00000000-0005-0000-0000-000001020000}"/>
    <cellStyle name="Normal 14 11" xfId="514" xr:uid="{00000000-0005-0000-0000-000002020000}"/>
    <cellStyle name="Normal 14 12" xfId="515" xr:uid="{00000000-0005-0000-0000-000003020000}"/>
    <cellStyle name="Normal 14 2" xfId="516" xr:uid="{00000000-0005-0000-0000-000004020000}"/>
    <cellStyle name="Normal 14 3" xfId="517" xr:uid="{00000000-0005-0000-0000-000005020000}"/>
    <cellStyle name="Normal 14 4" xfId="518" xr:uid="{00000000-0005-0000-0000-000006020000}"/>
    <cellStyle name="Normal 14 5" xfId="519" xr:uid="{00000000-0005-0000-0000-000007020000}"/>
    <cellStyle name="Normal 14 6" xfId="520" xr:uid="{00000000-0005-0000-0000-000008020000}"/>
    <cellStyle name="Normal 14 7" xfId="521" xr:uid="{00000000-0005-0000-0000-000009020000}"/>
    <cellStyle name="Normal 14 8" xfId="522" xr:uid="{00000000-0005-0000-0000-00000A020000}"/>
    <cellStyle name="Normal 14 9" xfId="523" xr:uid="{00000000-0005-0000-0000-00000B020000}"/>
    <cellStyle name="Normal 15" xfId="524" xr:uid="{00000000-0005-0000-0000-00000C020000}"/>
    <cellStyle name="Normal 15 2" xfId="525" xr:uid="{00000000-0005-0000-0000-00000D020000}"/>
    <cellStyle name="Normal 16" xfId="526" xr:uid="{00000000-0005-0000-0000-00000E020000}"/>
    <cellStyle name="Normal 17" xfId="527" xr:uid="{00000000-0005-0000-0000-00000F020000}"/>
    <cellStyle name="Normal 17 2" xfId="528" xr:uid="{00000000-0005-0000-0000-000010020000}"/>
    <cellStyle name="Normal 17 2 2" xfId="529" xr:uid="{00000000-0005-0000-0000-000011020000}"/>
    <cellStyle name="Normal 17 3" xfId="530" xr:uid="{00000000-0005-0000-0000-000012020000}"/>
    <cellStyle name="Normal 17 3 2" xfId="531" xr:uid="{00000000-0005-0000-0000-000013020000}"/>
    <cellStyle name="Normal 17 4" xfId="532" xr:uid="{00000000-0005-0000-0000-000014020000}"/>
    <cellStyle name="Normal 17 4 2" xfId="533" xr:uid="{00000000-0005-0000-0000-000015020000}"/>
    <cellStyle name="Normal 17 5" xfId="534" xr:uid="{00000000-0005-0000-0000-000016020000}"/>
    <cellStyle name="Normal 17 5 2" xfId="535" xr:uid="{00000000-0005-0000-0000-000017020000}"/>
    <cellStyle name="Normal 17 6" xfId="536" xr:uid="{00000000-0005-0000-0000-000018020000}"/>
    <cellStyle name="Normal 18" xfId="537" xr:uid="{00000000-0005-0000-0000-000019020000}"/>
    <cellStyle name="Normal 18 2" xfId="538" xr:uid="{00000000-0005-0000-0000-00001A020000}"/>
    <cellStyle name="Normal 19" xfId="539" xr:uid="{00000000-0005-0000-0000-00001B020000}"/>
    <cellStyle name="Normal 19 2" xfId="540" xr:uid="{00000000-0005-0000-0000-00001C020000}"/>
    <cellStyle name="Normal 2" xfId="541" xr:uid="{00000000-0005-0000-0000-00001D020000}"/>
    <cellStyle name="Normal 2 10" xfId="542" xr:uid="{00000000-0005-0000-0000-00001E020000}"/>
    <cellStyle name="Normal 2 11" xfId="543" xr:uid="{00000000-0005-0000-0000-00001F020000}"/>
    <cellStyle name="Normal 2 12" xfId="544" xr:uid="{00000000-0005-0000-0000-000020020000}"/>
    <cellStyle name="Normal 2 13" xfId="545" xr:uid="{00000000-0005-0000-0000-000021020000}"/>
    <cellStyle name="Normal 2 14" xfId="546" xr:uid="{00000000-0005-0000-0000-000022020000}"/>
    <cellStyle name="Normal 2 15" xfId="547" xr:uid="{00000000-0005-0000-0000-000023020000}"/>
    <cellStyle name="Normal 2 16" xfId="548" xr:uid="{00000000-0005-0000-0000-000024020000}"/>
    <cellStyle name="Normal 2 17" xfId="549" xr:uid="{00000000-0005-0000-0000-000025020000}"/>
    <cellStyle name="Normal 2 18" xfId="550" xr:uid="{00000000-0005-0000-0000-000026020000}"/>
    <cellStyle name="Normal 2 19" xfId="551" xr:uid="{00000000-0005-0000-0000-000027020000}"/>
    <cellStyle name="Normal 2 2" xfId="552" xr:uid="{00000000-0005-0000-0000-000028020000}"/>
    <cellStyle name="Normal 2 2 2" xfId="553" xr:uid="{00000000-0005-0000-0000-000029020000}"/>
    <cellStyle name="Normal 2 20" xfId="554" xr:uid="{00000000-0005-0000-0000-00002A020000}"/>
    <cellStyle name="Normal 2 21" xfId="555" xr:uid="{00000000-0005-0000-0000-00002B020000}"/>
    <cellStyle name="Normal 2 3" xfId="556" xr:uid="{00000000-0005-0000-0000-00002C020000}"/>
    <cellStyle name="Normal 2 4" xfId="557" xr:uid="{00000000-0005-0000-0000-00002D020000}"/>
    <cellStyle name="Normal 2 5" xfId="558" xr:uid="{00000000-0005-0000-0000-00002E020000}"/>
    <cellStyle name="Normal 2 6" xfId="559" xr:uid="{00000000-0005-0000-0000-00002F020000}"/>
    <cellStyle name="Normal 2 7" xfId="560" xr:uid="{00000000-0005-0000-0000-000030020000}"/>
    <cellStyle name="Normal 2 8" xfId="561" xr:uid="{00000000-0005-0000-0000-000031020000}"/>
    <cellStyle name="Normal 2 9" xfId="562" xr:uid="{00000000-0005-0000-0000-000032020000}"/>
    <cellStyle name="Normal 2_deposits mobilized" xfId="563" xr:uid="{00000000-0005-0000-0000-000033020000}"/>
    <cellStyle name="Normal 20" xfId="564" xr:uid="{00000000-0005-0000-0000-000034020000}"/>
    <cellStyle name="Normal 21" xfId="565" xr:uid="{00000000-0005-0000-0000-000035020000}"/>
    <cellStyle name="Normal 21 10" xfId="566" xr:uid="{00000000-0005-0000-0000-000036020000}"/>
    <cellStyle name="Normal 21 11" xfId="567" xr:uid="{00000000-0005-0000-0000-000037020000}"/>
    <cellStyle name="Normal 21 12" xfId="568" xr:uid="{00000000-0005-0000-0000-000038020000}"/>
    <cellStyle name="Normal 21 13" xfId="569" xr:uid="{00000000-0005-0000-0000-000039020000}"/>
    <cellStyle name="Normal 21 14" xfId="570" xr:uid="{00000000-0005-0000-0000-00003A020000}"/>
    <cellStyle name="Normal 21 15" xfId="571" xr:uid="{00000000-0005-0000-0000-00003B020000}"/>
    <cellStyle name="Normal 21 16" xfId="572" xr:uid="{00000000-0005-0000-0000-00003C020000}"/>
    <cellStyle name="Normal 21 2" xfId="573" xr:uid="{00000000-0005-0000-0000-00003D020000}"/>
    <cellStyle name="Normal 21 3" xfId="574" xr:uid="{00000000-0005-0000-0000-00003E020000}"/>
    <cellStyle name="Normal 21 4" xfId="575" xr:uid="{00000000-0005-0000-0000-00003F020000}"/>
    <cellStyle name="Normal 21 5" xfId="576" xr:uid="{00000000-0005-0000-0000-000040020000}"/>
    <cellStyle name="Normal 21 6" xfId="577" xr:uid="{00000000-0005-0000-0000-000041020000}"/>
    <cellStyle name="Normal 21 7" xfId="578" xr:uid="{00000000-0005-0000-0000-000042020000}"/>
    <cellStyle name="Normal 21 8" xfId="579" xr:uid="{00000000-0005-0000-0000-000043020000}"/>
    <cellStyle name="Normal 21 9" xfId="580" xr:uid="{00000000-0005-0000-0000-000044020000}"/>
    <cellStyle name="Normal 22" xfId="581" xr:uid="{00000000-0005-0000-0000-000045020000}"/>
    <cellStyle name="Normal 23" xfId="582" xr:uid="{00000000-0005-0000-0000-000046020000}"/>
    <cellStyle name="Normal 24" xfId="583" xr:uid="{00000000-0005-0000-0000-000047020000}"/>
    <cellStyle name="Normal 25" xfId="584" xr:uid="{00000000-0005-0000-0000-000048020000}"/>
    <cellStyle name="Normal 26" xfId="585" xr:uid="{00000000-0005-0000-0000-000049020000}"/>
    <cellStyle name="Normal 27" xfId="586" xr:uid="{00000000-0005-0000-0000-00004A020000}"/>
    <cellStyle name="Normal 28" xfId="587" xr:uid="{00000000-0005-0000-0000-00004B020000}"/>
    <cellStyle name="Normal 29" xfId="588" xr:uid="{00000000-0005-0000-0000-00004C020000}"/>
    <cellStyle name="Normal 3" xfId="589" xr:uid="{00000000-0005-0000-0000-00004D020000}"/>
    <cellStyle name="Normal 3 10" xfId="590" xr:uid="{00000000-0005-0000-0000-00004E020000}"/>
    <cellStyle name="Normal 3 11" xfId="591" xr:uid="{00000000-0005-0000-0000-00004F020000}"/>
    <cellStyle name="Normal 3 12" xfId="592" xr:uid="{00000000-0005-0000-0000-000050020000}"/>
    <cellStyle name="Normal 3 13" xfId="593" xr:uid="{00000000-0005-0000-0000-000051020000}"/>
    <cellStyle name="Normal 3 14" xfId="594" xr:uid="{00000000-0005-0000-0000-000052020000}"/>
    <cellStyle name="Normal 3 15" xfId="595" xr:uid="{00000000-0005-0000-0000-000053020000}"/>
    <cellStyle name="Normal 3 16" xfId="596" xr:uid="{00000000-0005-0000-0000-000054020000}"/>
    <cellStyle name="Normal 3 17" xfId="597" xr:uid="{00000000-0005-0000-0000-000055020000}"/>
    <cellStyle name="Normal 3 18" xfId="598" xr:uid="{00000000-0005-0000-0000-000056020000}"/>
    <cellStyle name="Normal 3 19" xfId="599" xr:uid="{00000000-0005-0000-0000-000057020000}"/>
    <cellStyle name="Normal 3 2" xfId="600" xr:uid="{00000000-0005-0000-0000-000058020000}"/>
    <cellStyle name="Normal 3 20" xfId="601" xr:uid="{00000000-0005-0000-0000-000059020000}"/>
    <cellStyle name="Normal 3 21" xfId="602" xr:uid="{00000000-0005-0000-0000-00005A020000}"/>
    <cellStyle name="Normal 3 22" xfId="603" xr:uid="{00000000-0005-0000-0000-00005B020000}"/>
    <cellStyle name="Normal 3 23" xfId="604" xr:uid="{00000000-0005-0000-0000-00005C020000}"/>
    <cellStyle name="Normal 3 24" xfId="605" xr:uid="{00000000-0005-0000-0000-00005D020000}"/>
    <cellStyle name="Normal 3 25" xfId="606" xr:uid="{00000000-0005-0000-0000-00005E020000}"/>
    <cellStyle name="Normal 3 26" xfId="607" xr:uid="{00000000-0005-0000-0000-00005F020000}"/>
    <cellStyle name="Normal 3 27" xfId="608" xr:uid="{00000000-0005-0000-0000-000060020000}"/>
    <cellStyle name="Normal 3 28" xfId="609" xr:uid="{00000000-0005-0000-0000-000061020000}"/>
    <cellStyle name="Normal 3 29" xfId="610" xr:uid="{00000000-0005-0000-0000-000062020000}"/>
    <cellStyle name="Normal 3 3" xfId="611" xr:uid="{00000000-0005-0000-0000-000063020000}"/>
    <cellStyle name="Normal 3 30" xfId="612" xr:uid="{00000000-0005-0000-0000-000064020000}"/>
    <cellStyle name="Normal 3 4" xfId="613" xr:uid="{00000000-0005-0000-0000-000065020000}"/>
    <cellStyle name="Normal 3 5" xfId="614" xr:uid="{00000000-0005-0000-0000-000066020000}"/>
    <cellStyle name="Normal 3 6" xfId="615" xr:uid="{00000000-0005-0000-0000-000067020000}"/>
    <cellStyle name="Normal 3 7" xfId="616" xr:uid="{00000000-0005-0000-0000-000068020000}"/>
    <cellStyle name="Normal 3 8" xfId="617" xr:uid="{00000000-0005-0000-0000-000069020000}"/>
    <cellStyle name="Normal 3 9" xfId="618" xr:uid="{00000000-0005-0000-0000-00006A020000}"/>
    <cellStyle name="Normal 3_deposits mobilized" xfId="619" xr:uid="{00000000-0005-0000-0000-00006B020000}"/>
    <cellStyle name="Normal 30" xfId="620" xr:uid="{00000000-0005-0000-0000-00006C020000}"/>
    <cellStyle name="Normal 31" xfId="621" xr:uid="{00000000-0005-0000-0000-00006D020000}"/>
    <cellStyle name="Normal 34" xfId="622" xr:uid="{00000000-0005-0000-0000-00006E020000}"/>
    <cellStyle name="Normal 4" xfId="623" xr:uid="{00000000-0005-0000-0000-00006F020000}"/>
    <cellStyle name="Normal 4 10" xfId="624" xr:uid="{00000000-0005-0000-0000-000070020000}"/>
    <cellStyle name="Normal 4 11" xfId="625" xr:uid="{00000000-0005-0000-0000-000071020000}"/>
    <cellStyle name="Normal 4 12" xfId="626" xr:uid="{00000000-0005-0000-0000-000072020000}"/>
    <cellStyle name="Normal 4 13" xfId="627" xr:uid="{00000000-0005-0000-0000-000073020000}"/>
    <cellStyle name="Normal 4 14" xfId="628" xr:uid="{00000000-0005-0000-0000-000074020000}"/>
    <cellStyle name="Normal 4 15" xfId="629" xr:uid="{00000000-0005-0000-0000-000075020000}"/>
    <cellStyle name="Normal 4 16" xfId="630" xr:uid="{00000000-0005-0000-0000-000076020000}"/>
    <cellStyle name="Normal 4 17" xfId="631" xr:uid="{00000000-0005-0000-0000-000077020000}"/>
    <cellStyle name="Normal 4 18" xfId="632" xr:uid="{00000000-0005-0000-0000-000078020000}"/>
    <cellStyle name="Normal 4 19" xfId="633" xr:uid="{00000000-0005-0000-0000-000079020000}"/>
    <cellStyle name="Normal 4 2" xfId="634" xr:uid="{00000000-0005-0000-0000-00007A020000}"/>
    <cellStyle name="Normal 4 20" xfId="635" xr:uid="{00000000-0005-0000-0000-00007B020000}"/>
    <cellStyle name="Normal 4 21" xfId="636" xr:uid="{00000000-0005-0000-0000-00007C020000}"/>
    <cellStyle name="Normal 4 22" xfId="637" xr:uid="{00000000-0005-0000-0000-00007D020000}"/>
    <cellStyle name="Normal 4 23" xfId="638" xr:uid="{00000000-0005-0000-0000-00007E020000}"/>
    <cellStyle name="Normal 4 24" xfId="639" xr:uid="{00000000-0005-0000-0000-00007F020000}"/>
    <cellStyle name="Normal 4 25" xfId="640" xr:uid="{00000000-0005-0000-0000-000080020000}"/>
    <cellStyle name="Normal 4 26" xfId="641" xr:uid="{00000000-0005-0000-0000-000081020000}"/>
    <cellStyle name="Normal 4 27" xfId="642" xr:uid="{00000000-0005-0000-0000-000082020000}"/>
    <cellStyle name="Normal 4 28" xfId="643" xr:uid="{00000000-0005-0000-0000-000083020000}"/>
    <cellStyle name="Normal 4 29" xfId="644" xr:uid="{00000000-0005-0000-0000-000084020000}"/>
    <cellStyle name="Normal 4 3" xfId="645" xr:uid="{00000000-0005-0000-0000-000085020000}"/>
    <cellStyle name="Normal 4 30" xfId="646" xr:uid="{00000000-0005-0000-0000-000086020000}"/>
    <cellStyle name="Normal 4 4" xfId="647" xr:uid="{00000000-0005-0000-0000-000087020000}"/>
    <cellStyle name="Normal 4 5" xfId="648" xr:uid="{00000000-0005-0000-0000-000088020000}"/>
    <cellStyle name="Normal 4 6" xfId="649" xr:uid="{00000000-0005-0000-0000-000089020000}"/>
    <cellStyle name="Normal 4 7" xfId="650" xr:uid="{00000000-0005-0000-0000-00008A020000}"/>
    <cellStyle name="Normal 4 8" xfId="651" xr:uid="{00000000-0005-0000-0000-00008B020000}"/>
    <cellStyle name="Normal 4 9" xfId="652" xr:uid="{00000000-0005-0000-0000-00008C020000}"/>
    <cellStyle name="Normal 5" xfId="653" xr:uid="{00000000-0005-0000-0000-00008D020000}"/>
    <cellStyle name="Normal 5 10" xfId="654" xr:uid="{00000000-0005-0000-0000-00008E020000}"/>
    <cellStyle name="Normal 5 11" xfId="655" xr:uid="{00000000-0005-0000-0000-00008F020000}"/>
    <cellStyle name="Normal 5 12" xfId="656" xr:uid="{00000000-0005-0000-0000-000090020000}"/>
    <cellStyle name="Normal 5 13" xfId="657" xr:uid="{00000000-0005-0000-0000-000091020000}"/>
    <cellStyle name="Normal 5 14" xfId="658" xr:uid="{00000000-0005-0000-0000-000092020000}"/>
    <cellStyle name="Normal 5 15" xfId="659" xr:uid="{00000000-0005-0000-0000-000093020000}"/>
    <cellStyle name="Normal 5 2" xfId="660" xr:uid="{00000000-0005-0000-0000-000094020000}"/>
    <cellStyle name="Normal 5 3" xfId="661" xr:uid="{00000000-0005-0000-0000-000095020000}"/>
    <cellStyle name="Normal 5 4" xfId="662" xr:uid="{00000000-0005-0000-0000-000096020000}"/>
    <cellStyle name="Normal 5 5" xfId="663" xr:uid="{00000000-0005-0000-0000-000097020000}"/>
    <cellStyle name="Normal 5 6" xfId="664" xr:uid="{00000000-0005-0000-0000-000098020000}"/>
    <cellStyle name="Normal 5 7" xfId="665" xr:uid="{00000000-0005-0000-0000-000099020000}"/>
    <cellStyle name="Normal 5 8" xfId="666" xr:uid="{00000000-0005-0000-0000-00009A020000}"/>
    <cellStyle name="Normal 5 9" xfId="667" xr:uid="{00000000-0005-0000-0000-00009B020000}"/>
    <cellStyle name="Normal 6" xfId="668" xr:uid="{00000000-0005-0000-0000-00009C020000}"/>
    <cellStyle name="Normal 6 2" xfId="669" xr:uid="{00000000-0005-0000-0000-00009D020000}"/>
    <cellStyle name="Normal 6 3" xfId="670" xr:uid="{00000000-0005-0000-0000-00009E020000}"/>
    <cellStyle name="Normal 6 4" xfId="671" xr:uid="{00000000-0005-0000-0000-00009F020000}"/>
    <cellStyle name="Normal 6 5" xfId="672" xr:uid="{00000000-0005-0000-0000-0000A0020000}"/>
    <cellStyle name="Normal 7" xfId="673" xr:uid="{00000000-0005-0000-0000-0000A1020000}"/>
    <cellStyle name="Normal 7 2" xfId="674" xr:uid="{00000000-0005-0000-0000-0000A2020000}"/>
    <cellStyle name="Normal 7 3" xfId="675" xr:uid="{00000000-0005-0000-0000-0000A3020000}"/>
    <cellStyle name="Normal 7 4" xfId="676" xr:uid="{00000000-0005-0000-0000-0000A4020000}"/>
    <cellStyle name="Normal 7 5" xfId="677" xr:uid="{00000000-0005-0000-0000-0000A5020000}"/>
    <cellStyle name="Normal 7 6" xfId="678" xr:uid="{00000000-0005-0000-0000-0000A6020000}"/>
    <cellStyle name="Normal 8" xfId="679" xr:uid="{00000000-0005-0000-0000-0000A7020000}"/>
    <cellStyle name="Normal 85" xfId="680" xr:uid="{00000000-0005-0000-0000-0000A8020000}"/>
    <cellStyle name="Normal 9" xfId="681" xr:uid="{00000000-0005-0000-0000-0000A9020000}"/>
    <cellStyle name="Normal 9 10" xfId="682" xr:uid="{00000000-0005-0000-0000-0000AA020000}"/>
    <cellStyle name="Normal 9 10 2" xfId="683" xr:uid="{00000000-0005-0000-0000-0000AB020000}"/>
    <cellStyle name="Normal 9 11" xfId="684" xr:uid="{00000000-0005-0000-0000-0000AC020000}"/>
    <cellStyle name="Normal 9 11 2" xfId="685" xr:uid="{00000000-0005-0000-0000-0000AD020000}"/>
    <cellStyle name="Normal 9 12" xfId="686" xr:uid="{00000000-0005-0000-0000-0000AE020000}"/>
    <cellStyle name="Normal 9 12 2" xfId="687" xr:uid="{00000000-0005-0000-0000-0000AF020000}"/>
    <cellStyle name="Normal 9 13" xfId="688" xr:uid="{00000000-0005-0000-0000-0000B0020000}"/>
    <cellStyle name="Normal 9 14" xfId="689" xr:uid="{00000000-0005-0000-0000-0000B1020000}"/>
    <cellStyle name="Normal 9 15" xfId="690" xr:uid="{00000000-0005-0000-0000-0000B2020000}"/>
    <cellStyle name="Normal 9 2" xfId="691" xr:uid="{00000000-0005-0000-0000-0000B3020000}"/>
    <cellStyle name="Normal 9 2 2" xfId="692" xr:uid="{00000000-0005-0000-0000-0000B4020000}"/>
    <cellStyle name="Normal 9 2 2 2" xfId="693" xr:uid="{00000000-0005-0000-0000-0000B5020000}"/>
    <cellStyle name="Normal 9 2 3" xfId="694" xr:uid="{00000000-0005-0000-0000-0000B6020000}"/>
    <cellStyle name="Normal 9 2 3 2" xfId="695" xr:uid="{00000000-0005-0000-0000-0000B7020000}"/>
    <cellStyle name="Normal 9 2 4" xfId="696" xr:uid="{00000000-0005-0000-0000-0000B8020000}"/>
    <cellStyle name="Normal 9 2 4 2" xfId="697" xr:uid="{00000000-0005-0000-0000-0000B9020000}"/>
    <cellStyle name="Normal 9 3" xfId="698" xr:uid="{00000000-0005-0000-0000-0000BA020000}"/>
    <cellStyle name="Normal 9 3 2" xfId="699" xr:uid="{00000000-0005-0000-0000-0000BB020000}"/>
    <cellStyle name="Normal 9 4" xfId="700" xr:uid="{00000000-0005-0000-0000-0000BC020000}"/>
    <cellStyle name="Normal 9 4 2" xfId="701" xr:uid="{00000000-0005-0000-0000-0000BD020000}"/>
    <cellStyle name="Normal 9 5" xfId="702" xr:uid="{00000000-0005-0000-0000-0000BE020000}"/>
    <cellStyle name="Normal 9 5 2" xfId="703" xr:uid="{00000000-0005-0000-0000-0000BF020000}"/>
    <cellStyle name="Normal 9 6" xfId="704" xr:uid="{00000000-0005-0000-0000-0000C0020000}"/>
    <cellStyle name="Normal 9 6 2" xfId="705" xr:uid="{00000000-0005-0000-0000-0000C1020000}"/>
    <cellStyle name="Normal 9 7" xfId="706" xr:uid="{00000000-0005-0000-0000-0000C2020000}"/>
    <cellStyle name="Normal 9 7 2" xfId="707" xr:uid="{00000000-0005-0000-0000-0000C3020000}"/>
    <cellStyle name="Normal 9 8" xfId="708" xr:uid="{00000000-0005-0000-0000-0000C4020000}"/>
    <cellStyle name="Normal 9 8 2" xfId="709" xr:uid="{00000000-0005-0000-0000-0000C5020000}"/>
    <cellStyle name="Normal 9 9" xfId="710" xr:uid="{00000000-0005-0000-0000-0000C6020000}"/>
    <cellStyle name="Normal 9 9 2" xfId="711" xr:uid="{00000000-0005-0000-0000-0000C7020000}"/>
    <cellStyle name="Note 2" xfId="712" xr:uid="{00000000-0005-0000-0000-0000C8020000}"/>
    <cellStyle name="Note 2 2" xfId="713" xr:uid="{00000000-0005-0000-0000-0000C9020000}"/>
    <cellStyle name="Per cent" xfId="714" builtinId="5"/>
    <cellStyle name="Percent 2" xfId="715" xr:uid="{00000000-0005-0000-0000-0000CB020000}"/>
    <cellStyle name="Percent 2 2" xfId="716" xr:uid="{00000000-0005-0000-0000-0000CC020000}"/>
    <cellStyle name="Percent 3" xfId="717" xr:uid="{00000000-0005-0000-0000-0000CD020000}"/>
    <cellStyle name="Percent 3 2" xfId="718" xr:uid="{00000000-0005-0000-0000-0000CE020000}"/>
    <cellStyle name="Percent 3 3" xfId="719" xr:uid="{00000000-0005-0000-0000-0000CF020000}"/>
    <cellStyle name="Percent 3 4" xfId="720" xr:uid="{00000000-0005-0000-0000-0000D0020000}"/>
    <cellStyle name="Percent 4" xfId="721" xr:uid="{00000000-0005-0000-0000-0000D1020000}"/>
    <cellStyle name="Percent 5" xfId="722" xr:uid="{00000000-0005-0000-0000-0000D2020000}"/>
    <cellStyle name="Percent 5 2" xfId="723" xr:uid="{00000000-0005-0000-0000-0000D3020000}"/>
    <cellStyle name="Percent 6" xfId="724" xr:uid="{00000000-0005-0000-0000-0000D4020000}"/>
    <cellStyle name="Total 2" xfId="725" xr:uid="{00000000-0005-0000-0000-0000D5020000}"/>
    <cellStyle name="Total 2 2" xfId="726" xr:uid="{00000000-0005-0000-0000-0000D6020000}"/>
    <cellStyle name="Total 2 2 2" xfId="727" xr:uid="{00000000-0005-0000-0000-0000D7020000}"/>
    <cellStyle name="Total 2 3" xfId="728" xr:uid="{00000000-0005-0000-0000-0000D8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zoomScale="65" zoomScaleNormal="65" workbookViewId="0">
      <pane xSplit="1" ySplit="3" topLeftCell="AL32" activePane="bottomRight" state="frozen"/>
      <selection pane="bottomRight" activeCell="AN48" sqref="AN48:AO49"/>
      <selection pane="bottomLeft" activeCell="A4" sqref="A4"/>
      <selection pane="topRight" activeCell="B1" sqref="B1"/>
    </sheetView>
  </sheetViews>
  <sheetFormatPr defaultColWidth="9.140625" defaultRowHeight="15"/>
  <cols>
    <col min="1" max="1" width="40.85546875" style="148" customWidth="1"/>
    <col min="2" max="2" width="21.5703125" style="148" customWidth="1"/>
    <col min="3" max="8" width="24.28515625" style="148" hidden="1" customWidth="1"/>
    <col min="9" max="9" width="21.28515625" style="148" hidden="1" customWidth="1"/>
    <col min="10" max="10" width="0.7109375" style="148" hidden="1" customWidth="1"/>
    <col min="11" max="11" width="25.28515625" style="148" hidden="1" customWidth="1"/>
    <col min="12" max="12" width="21.28515625" style="148" hidden="1" customWidth="1"/>
    <col min="13" max="13" width="22" style="148" hidden="1" customWidth="1"/>
    <col min="14" max="14" width="19" style="148" bestFit="1" customWidth="1"/>
    <col min="15" max="15" width="7.85546875" style="148" hidden="1" customWidth="1"/>
    <col min="16" max="16" width="8.28515625" style="148" hidden="1" customWidth="1"/>
    <col min="17" max="17" width="8.7109375" style="148" hidden="1" customWidth="1"/>
    <col min="18" max="18" width="8.42578125" style="148" hidden="1" customWidth="1"/>
    <col min="19" max="19" width="8.85546875" style="148" hidden="1" customWidth="1"/>
    <col min="20" max="20" width="8" style="148" hidden="1" customWidth="1"/>
    <col min="21" max="21" width="7.28515625" style="148" hidden="1" customWidth="1"/>
    <col min="22" max="22" width="8.5703125" style="148" hidden="1" customWidth="1"/>
    <col min="23" max="23" width="8.28515625" style="148" hidden="1" customWidth="1"/>
    <col min="24" max="24" width="8" style="148" hidden="1" customWidth="1"/>
    <col min="25" max="25" width="8.5703125" style="148" hidden="1" customWidth="1"/>
    <col min="26" max="26" width="8.28515625" style="148" hidden="1" customWidth="1"/>
    <col min="27" max="27" width="19" style="149" bestFit="1" customWidth="1"/>
    <col min="28" max="28" width="19" style="148" bestFit="1" customWidth="1"/>
    <col min="29" max="39" width="19.140625" style="148" bestFit="1" customWidth="1"/>
    <col min="40" max="40" width="21.85546875" style="149" bestFit="1" customWidth="1"/>
    <col min="41" max="41" width="17.85546875" style="148" customWidth="1"/>
    <col min="42" max="16384" width="9.140625" style="148"/>
  </cols>
  <sheetData>
    <row r="1" spans="1:41" ht="15" customHeight="1">
      <c r="A1" s="147"/>
    </row>
    <row r="3" spans="1:41" ht="22.5" customHeight="1">
      <c r="A3" s="150"/>
      <c r="B3" s="151" t="s">
        <v>0</v>
      </c>
      <c r="C3" s="151">
        <v>43831</v>
      </c>
      <c r="D3" s="151">
        <v>43862</v>
      </c>
      <c r="E3" s="151">
        <v>43891</v>
      </c>
      <c r="F3" s="151">
        <v>43922</v>
      </c>
      <c r="G3" s="151">
        <v>43952</v>
      </c>
      <c r="H3" s="151">
        <v>43983</v>
      </c>
      <c r="I3" s="151">
        <v>44044</v>
      </c>
      <c r="J3" s="151">
        <v>44075</v>
      </c>
      <c r="K3" s="151">
        <v>44105</v>
      </c>
      <c r="L3" s="151">
        <v>44136</v>
      </c>
      <c r="M3" s="151">
        <v>44166</v>
      </c>
      <c r="N3" s="151" t="s">
        <v>1</v>
      </c>
      <c r="O3" s="123">
        <v>44197</v>
      </c>
      <c r="P3" s="123">
        <v>44228</v>
      </c>
      <c r="Q3" s="123">
        <v>44256</v>
      </c>
      <c r="R3" s="123">
        <v>44287</v>
      </c>
      <c r="S3" s="123">
        <v>44317</v>
      </c>
      <c r="T3" s="123">
        <v>44348</v>
      </c>
      <c r="U3" s="123">
        <v>44378</v>
      </c>
      <c r="V3" s="123">
        <v>44409</v>
      </c>
      <c r="W3" s="123">
        <v>44440</v>
      </c>
      <c r="X3" s="123">
        <v>44470</v>
      </c>
      <c r="Y3" s="123">
        <v>44501</v>
      </c>
      <c r="Z3" s="123">
        <v>44531</v>
      </c>
      <c r="AA3" s="152" t="s">
        <v>2</v>
      </c>
      <c r="AB3" s="173">
        <v>44562</v>
      </c>
      <c r="AC3" s="173">
        <v>44593</v>
      </c>
      <c r="AD3" s="173">
        <v>44621</v>
      </c>
      <c r="AE3" s="173">
        <v>44652</v>
      </c>
      <c r="AF3" s="173">
        <v>44682</v>
      </c>
      <c r="AG3" s="173">
        <v>44713</v>
      </c>
      <c r="AH3" s="173">
        <v>44743</v>
      </c>
      <c r="AI3" s="173">
        <v>44774</v>
      </c>
      <c r="AJ3" s="173">
        <v>44805</v>
      </c>
      <c r="AK3" s="173">
        <v>44835</v>
      </c>
      <c r="AL3" s="173">
        <v>44866</v>
      </c>
      <c r="AM3" s="183">
        <v>44896</v>
      </c>
      <c r="AN3" s="182" t="s">
        <v>3</v>
      </c>
    </row>
    <row r="4" spans="1:41" ht="15.75">
      <c r="A4" s="153" t="s">
        <v>4</v>
      </c>
      <c r="B4" s="154">
        <f>(B5+B6)</f>
        <v>148765355</v>
      </c>
      <c r="C4" s="154">
        <f t="shared" ref="C4:AO4" si="0">(C5+C6)</f>
        <v>169425043.18000001</v>
      </c>
      <c r="D4" s="154">
        <f t="shared" si="0"/>
        <v>154657991.81999999</v>
      </c>
      <c r="E4" s="154">
        <f t="shared" si="0"/>
        <v>159916755.03</v>
      </c>
      <c r="F4" s="154">
        <f t="shared" si="0"/>
        <v>169128650.50999999</v>
      </c>
      <c r="G4" s="154">
        <f t="shared" si="0"/>
        <v>163115997.61000001</v>
      </c>
      <c r="H4" s="154">
        <f t="shared" si="0"/>
        <v>195891411.64999998</v>
      </c>
      <c r="I4" s="154">
        <f t="shared" si="0"/>
        <v>144744766.87</v>
      </c>
      <c r="J4" s="154">
        <f t="shared" si="0"/>
        <v>145685792.07999998</v>
      </c>
      <c r="K4" s="154">
        <f t="shared" si="0"/>
        <v>377393059.42999995</v>
      </c>
      <c r="L4" s="154">
        <f t="shared" si="0"/>
        <v>252569851.43000001</v>
      </c>
      <c r="M4" s="154">
        <f t="shared" si="0"/>
        <v>202868480.24000001</v>
      </c>
      <c r="N4" s="154">
        <f t="shared" si="0"/>
        <v>202868480</v>
      </c>
      <c r="O4" s="154">
        <f t="shared" si="0"/>
        <v>205996377.56999999</v>
      </c>
      <c r="P4" s="154">
        <f t="shared" si="0"/>
        <v>238242886.50999999</v>
      </c>
      <c r="Q4" s="154">
        <f t="shared" si="0"/>
        <v>182570675.44999999</v>
      </c>
      <c r="R4" s="154">
        <f t="shared" si="0"/>
        <v>216650092.28</v>
      </c>
      <c r="S4" s="154">
        <f t="shared" si="0"/>
        <v>161861429.80000001</v>
      </c>
      <c r="T4" s="154">
        <f t="shared" si="0"/>
        <v>150050666.84</v>
      </c>
      <c r="U4" s="154">
        <f t="shared" si="0"/>
        <v>145285060.18000001</v>
      </c>
      <c r="V4" s="154">
        <f t="shared" si="0"/>
        <v>0</v>
      </c>
      <c r="W4" s="154">
        <f t="shared" si="0"/>
        <v>0</v>
      </c>
      <c r="X4" s="154">
        <f t="shared" si="0"/>
        <v>0</v>
      </c>
      <c r="Y4" s="154">
        <f t="shared" si="0"/>
        <v>0</v>
      </c>
      <c r="Z4" s="154">
        <f t="shared" si="0"/>
        <v>0</v>
      </c>
      <c r="AA4" s="154">
        <f t="shared" si="0"/>
        <v>119455475</v>
      </c>
      <c r="AB4" s="154">
        <f t="shared" si="0"/>
        <v>115310060.06999999</v>
      </c>
      <c r="AC4" s="154">
        <f t="shared" si="0"/>
        <v>124938464</v>
      </c>
      <c r="AD4" s="154">
        <f t="shared" si="0"/>
        <v>111927966.15000001</v>
      </c>
      <c r="AE4" s="154">
        <f t="shared" si="0"/>
        <v>120053199</v>
      </c>
      <c r="AF4" s="154">
        <f t="shared" si="0"/>
        <v>117455455.84</v>
      </c>
      <c r="AG4" s="154">
        <f t="shared" si="0"/>
        <v>125076864.56999999</v>
      </c>
      <c r="AH4" s="154">
        <f t="shared" si="0"/>
        <v>277937329.93000001</v>
      </c>
      <c r="AI4" s="154">
        <f t="shared" si="0"/>
        <v>216556572.09999999</v>
      </c>
      <c r="AJ4" s="154">
        <f t="shared" si="0"/>
        <v>188266043.53</v>
      </c>
      <c r="AK4" s="154">
        <f t="shared" si="0"/>
        <v>194194164.70000002</v>
      </c>
      <c r="AL4" s="154">
        <f t="shared" si="0"/>
        <v>182733281.70999998</v>
      </c>
      <c r="AM4" s="154">
        <f t="shared" si="0"/>
        <v>158402085.69</v>
      </c>
      <c r="AN4" s="243">
        <f t="shared" si="0"/>
        <v>158402086</v>
      </c>
      <c r="AO4" s="243">
        <f t="shared" si="0"/>
        <v>161558839.53</v>
      </c>
    </row>
    <row r="5" spans="1:41" ht="15.75">
      <c r="A5" s="156" t="s">
        <v>5</v>
      </c>
      <c r="B5" s="157">
        <v>56668327</v>
      </c>
      <c r="C5" s="157">
        <v>54686355.5</v>
      </c>
      <c r="D5" s="157">
        <v>65092907.479999997</v>
      </c>
      <c r="E5" s="157">
        <v>66278010.189999998</v>
      </c>
      <c r="F5" s="157">
        <v>72608112.920000002</v>
      </c>
      <c r="G5" s="157">
        <v>74455909.409999996</v>
      </c>
      <c r="H5" s="157">
        <v>63416961.409999996</v>
      </c>
      <c r="I5" s="157">
        <v>50261999.409999996</v>
      </c>
      <c r="J5" s="157">
        <v>46137000.409999996</v>
      </c>
      <c r="K5" s="157">
        <v>85166758.409999996</v>
      </c>
      <c r="L5" s="157">
        <v>60912461.409999996</v>
      </c>
      <c r="M5" s="157">
        <v>52690089.409999996</v>
      </c>
      <c r="N5" s="157">
        <v>52690089</v>
      </c>
      <c r="O5" s="157">
        <v>57959846.409999996</v>
      </c>
      <c r="P5" s="157">
        <v>69955932.409999996</v>
      </c>
      <c r="Q5" s="157">
        <v>53392309.409999996</v>
      </c>
      <c r="R5" s="157">
        <v>66213614.409999996</v>
      </c>
      <c r="S5" s="157">
        <v>54511748.409999996</v>
      </c>
      <c r="T5" s="157">
        <v>43780040.409999996</v>
      </c>
      <c r="U5" s="157">
        <v>61592007.409999996</v>
      </c>
      <c r="AA5" s="149">
        <v>29937101</v>
      </c>
      <c r="AB5" s="157">
        <v>36707691.609999999</v>
      </c>
      <c r="AC5" s="157">
        <v>38696412.710000001</v>
      </c>
      <c r="AD5" s="157">
        <v>37431677.710000001</v>
      </c>
      <c r="AE5" s="157">
        <v>44995262.710000001</v>
      </c>
      <c r="AF5" s="157">
        <v>40174313.710000001</v>
      </c>
      <c r="AG5" s="157">
        <v>41708090.710000001</v>
      </c>
      <c r="AH5" s="157">
        <v>84538192.709999993</v>
      </c>
      <c r="AI5" s="157">
        <v>47385458.710000001</v>
      </c>
      <c r="AJ5" s="157">
        <v>50881492.710000001</v>
      </c>
      <c r="AK5" s="157">
        <v>53494806.710000001</v>
      </c>
      <c r="AL5" s="157">
        <v>56184107.909999996</v>
      </c>
      <c r="AM5" s="157">
        <v>55472271.759999998</v>
      </c>
      <c r="AN5" s="149">
        <v>55472272</v>
      </c>
      <c r="AO5" s="283">
        <v>93147931.760000005</v>
      </c>
    </row>
    <row r="6" spans="1:41" ht="15.75">
      <c r="A6" s="156" t="s">
        <v>6</v>
      </c>
      <c r="B6" s="157">
        <v>92097028</v>
      </c>
      <c r="C6" s="157">
        <v>114738687.68000001</v>
      </c>
      <c r="D6" s="157">
        <v>89565084.340000004</v>
      </c>
      <c r="E6" s="157">
        <v>93638744.840000004</v>
      </c>
      <c r="F6" s="157">
        <v>96520537.590000004</v>
      </c>
      <c r="G6" s="157">
        <v>88660088.200000003</v>
      </c>
      <c r="H6" s="157">
        <v>132474450.23999999</v>
      </c>
      <c r="I6" s="157">
        <v>94482767.459999993</v>
      </c>
      <c r="J6" s="157">
        <v>99548791.670000002</v>
      </c>
      <c r="K6" s="157">
        <v>292226301.01999998</v>
      </c>
      <c r="L6" s="157">
        <v>191657390.02000001</v>
      </c>
      <c r="M6" s="157">
        <v>150178390.83000001</v>
      </c>
      <c r="N6" s="157">
        <v>150178391</v>
      </c>
      <c r="O6" s="157">
        <v>148036531.16</v>
      </c>
      <c r="P6" s="157">
        <v>168286954.09999999</v>
      </c>
      <c r="Q6" s="157">
        <v>129178366.04000001</v>
      </c>
      <c r="R6" s="157">
        <v>150436477.87</v>
      </c>
      <c r="S6" s="157">
        <v>107349681.39</v>
      </c>
      <c r="T6" s="157">
        <v>106270626.43000001</v>
      </c>
      <c r="U6" s="157">
        <v>83693052.769999996</v>
      </c>
      <c r="AA6" s="149">
        <v>89518374</v>
      </c>
      <c r="AB6" s="157">
        <v>78602368.459999993</v>
      </c>
      <c r="AC6" s="157">
        <v>86242051.290000007</v>
      </c>
      <c r="AD6" s="157">
        <v>74496288.439999998</v>
      </c>
      <c r="AE6" s="157">
        <v>75057936.290000007</v>
      </c>
      <c r="AF6" s="157">
        <v>77281142.129999995</v>
      </c>
      <c r="AG6" s="157">
        <v>83368773.859999999</v>
      </c>
      <c r="AH6" s="157">
        <v>193399137.22</v>
      </c>
      <c r="AI6" s="157">
        <v>169171113.38999999</v>
      </c>
      <c r="AJ6" s="157">
        <v>137384550.81999999</v>
      </c>
      <c r="AK6" s="157">
        <v>140699357.99000001</v>
      </c>
      <c r="AL6" s="157">
        <v>126549173.8</v>
      </c>
      <c r="AM6" s="157">
        <v>102929813.93000001</v>
      </c>
      <c r="AN6" s="149">
        <v>102929814</v>
      </c>
      <c r="AO6" s="284">
        <v>68410907.769999996</v>
      </c>
    </row>
    <row r="7" spans="1:41" s="158" customFormat="1" ht="15.75">
      <c r="A7" s="153" t="s">
        <v>7</v>
      </c>
      <c r="B7" s="157">
        <v>49478228</v>
      </c>
      <c r="C7" s="157">
        <v>2780591</v>
      </c>
      <c r="D7" s="157">
        <v>2968292</v>
      </c>
      <c r="E7" s="157">
        <v>2735993</v>
      </c>
      <c r="F7" s="157">
        <v>2485694</v>
      </c>
      <c r="G7" s="157">
        <v>2235395</v>
      </c>
      <c r="H7" s="157">
        <v>2690807.86</v>
      </c>
      <c r="I7" s="157">
        <v>2752374.62</v>
      </c>
      <c r="J7" s="157">
        <v>2552158</v>
      </c>
      <c r="K7" s="157">
        <v>2360591.38</v>
      </c>
      <c r="L7" s="157">
        <v>2774666.76</v>
      </c>
      <c r="M7" s="157">
        <v>2873200.17</v>
      </c>
      <c r="N7" s="157">
        <v>43203284</v>
      </c>
      <c r="O7" s="157">
        <v>2645886.98</v>
      </c>
      <c r="P7" s="157">
        <v>2886573.79</v>
      </c>
      <c r="Q7" s="157">
        <v>3447411.08</v>
      </c>
      <c r="R7" s="157">
        <v>3219097.89</v>
      </c>
      <c r="S7" s="157">
        <v>2978784.7</v>
      </c>
      <c r="T7" s="157">
        <v>2744471.51</v>
      </c>
      <c r="U7" s="157">
        <v>2510158.3199999998</v>
      </c>
      <c r="AA7" s="159">
        <v>33262886</v>
      </c>
      <c r="AB7" s="157">
        <v>2086137.18</v>
      </c>
      <c r="AC7" s="157">
        <v>2506492.4700000002</v>
      </c>
      <c r="AD7" s="157">
        <v>2245305.7599999998</v>
      </c>
      <c r="AE7" s="157">
        <v>2428992.5699999998</v>
      </c>
      <c r="AF7" s="157">
        <v>2483279.38</v>
      </c>
      <c r="AG7" s="157">
        <v>2307488.19</v>
      </c>
      <c r="AH7" s="157">
        <v>2267575</v>
      </c>
      <c r="AI7" s="157">
        <v>2241661.81</v>
      </c>
      <c r="AJ7" s="157">
        <v>2592773.56</v>
      </c>
      <c r="AK7" s="157">
        <v>3331289.22</v>
      </c>
      <c r="AL7" s="157">
        <v>3428144.98</v>
      </c>
      <c r="AM7" s="157">
        <v>3136091.7</v>
      </c>
      <c r="AN7" s="159">
        <v>38977465</v>
      </c>
      <c r="AO7" s="284">
        <v>2180436.38</v>
      </c>
    </row>
    <row r="8" spans="1:41" ht="15.75">
      <c r="A8" s="153" t="s">
        <v>8</v>
      </c>
      <c r="B8" s="154">
        <f>(B9+B10+B11+B12+B13)</f>
        <v>26606944</v>
      </c>
      <c r="C8" s="154">
        <f t="shared" ref="C8:AO8" si="1">(C9+C10+C11+C13+C12)</f>
        <v>26606943.800000001</v>
      </c>
      <c r="D8" s="160">
        <f t="shared" si="1"/>
        <v>26606943.800000001</v>
      </c>
      <c r="E8" s="160">
        <f t="shared" si="1"/>
        <v>26606943.800000001</v>
      </c>
      <c r="F8" s="160">
        <f t="shared" si="1"/>
        <v>26606943.800000001</v>
      </c>
      <c r="G8" s="160">
        <f t="shared" si="1"/>
        <v>26606943.800000001</v>
      </c>
      <c r="H8" s="160">
        <f t="shared" si="1"/>
        <v>26606943.800000001</v>
      </c>
      <c r="I8" s="160">
        <f t="shared" si="1"/>
        <v>26606943.800000001</v>
      </c>
      <c r="J8" s="160">
        <f t="shared" si="1"/>
        <v>26606943.800000001</v>
      </c>
      <c r="K8" s="160">
        <f t="shared" si="1"/>
        <v>26606943.800000001</v>
      </c>
      <c r="L8" s="160">
        <f t="shared" si="1"/>
        <v>26606943.800000001</v>
      </c>
      <c r="M8" s="160">
        <f t="shared" si="1"/>
        <v>26606943.800000001</v>
      </c>
      <c r="N8" s="160">
        <f t="shared" si="1"/>
        <v>26606944</v>
      </c>
      <c r="O8" s="160">
        <f t="shared" si="1"/>
        <v>26606943.800000001</v>
      </c>
      <c r="P8" s="160">
        <f t="shared" si="1"/>
        <v>26606943.800000001</v>
      </c>
      <c r="Q8" s="160">
        <f t="shared" si="1"/>
        <v>26606943.800000001</v>
      </c>
      <c r="R8" s="160">
        <f t="shared" si="1"/>
        <v>26606943.800000001</v>
      </c>
      <c r="S8" s="160">
        <f t="shared" si="1"/>
        <v>26606943.800000001</v>
      </c>
      <c r="T8" s="160">
        <f t="shared" si="1"/>
        <v>26606943.800000001</v>
      </c>
      <c r="U8" s="160">
        <f t="shared" si="1"/>
        <v>26606943.800000001</v>
      </c>
      <c r="V8" s="160">
        <f t="shared" si="1"/>
        <v>0</v>
      </c>
      <c r="W8" s="160">
        <f t="shared" si="1"/>
        <v>0</v>
      </c>
      <c r="X8" s="160">
        <f t="shared" si="1"/>
        <v>0</v>
      </c>
      <c r="Y8" s="160">
        <f t="shared" si="1"/>
        <v>0</v>
      </c>
      <c r="Z8" s="160">
        <f t="shared" si="1"/>
        <v>0</v>
      </c>
      <c r="AA8" s="161">
        <f t="shared" si="1"/>
        <v>26606944</v>
      </c>
      <c r="AB8" s="161">
        <f t="shared" si="1"/>
        <v>26606943.800000001</v>
      </c>
      <c r="AC8" s="161">
        <f t="shared" si="1"/>
        <v>26606943.800000001</v>
      </c>
      <c r="AD8" s="161">
        <f t="shared" si="1"/>
        <v>26606943.800000001</v>
      </c>
      <c r="AE8" s="161">
        <f t="shared" si="1"/>
        <v>26606943.800000001</v>
      </c>
      <c r="AF8" s="161">
        <f t="shared" si="1"/>
        <v>26606943.800000001</v>
      </c>
      <c r="AG8" s="161">
        <f t="shared" si="1"/>
        <v>26606943.800000001</v>
      </c>
      <c r="AH8" s="161">
        <f t="shared" si="1"/>
        <v>26606943.800000001</v>
      </c>
      <c r="AI8" s="161">
        <f t="shared" si="1"/>
        <v>26606943.800000001</v>
      </c>
      <c r="AJ8" s="161">
        <f t="shared" si="1"/>
        <v>26606943.800000001</v>
      </c>
      <c r="AK8" s="161">
        <f t="shared" si="1"/>
        <v>26606943.800000001</v>
      </c>
      <c r="AL8" s="161">
        <f t="shared" si="1"/>
        <v>26606943.800000001</v>
      </c>
      <c r="AM8" s="161">
        <f t="shared" si="1"/>
        <v>26606943.800000001</v>
      </c>
      <c r="AN8" s="161">
        <f t="shared" si="1"/>
        <v>26606943.800000001</v>
      </c>
      <c r="AO8" s="161">
        <f t="shared" si="1"/>
        <v>26606943.800000001</v>
      </c>
    </row>
    <row r="9" spans="1:41" ht="15.75">
      <c r="A9" s="156" t="s">
        <v>9</v>
      </c>
      <c r="B9" s="157">
        <v>0</v>
      </c>
      <c r="C9" s="157">
        <v>0</v>
      </c>
      <c r="D9" s="157">
        <v>0</v>
      </c>
      <c r="E9" s="157">
        <v>0</v>
      </c>
      <c r="F9" s="157">
        <v>0</v>
      </c>
      <c r="G9" s="157">
        <v>0</v>
      </c>
      <c r="H9" s="157">
        <v>0</v>
      </c>
      <c r="I9" s="157">
        <v>0</v>
      </c>
      <c r="J9" s="157">
        <v>0</v>
      </c>
      <c r="K9" s="157">
        <v>0</v>
      </c>
      <c r="L9" s="157">
        <v>0</v>
      </c>
      <c r="M9" s="157">
        <v>0</v>
      </c>
      <c r="N9" s="157">
        <v>0</v>
      </c>
      <c r="O9" s="157">
        <v>0</v>
      </c>
      <c r="P9" s="157">
        <v>0</v>
      </c>
      <c r="Q9" s="157">
        <v>0</v>
      </c>
      <c r="R9" s="157">
        <v>0</v>
      </c>
      <c r="S9" s="157">
        <v>0</v>
      </c>
      <c r="T9" s="157">
        <v>0</v>
      </c>
      <c r="U9" s="157">
        <v>0</v>
      </c>
      <c r="V9" s="157">
        <v>0</v>
      </c>
      <c r="W9" s="157">
        <v>0</v>
      </c>
      <c r="X9" s="157">
        <v>0</v>
      </c>
      <c r="Y9" s="157">
        <v>0</v>
      </c>
      <c r="Z9" s="157">
        <v>0</v>
      </c>
      <c r="AA9" s="162">
        <v>0</v>
      </c>
      <c r="AB9" s="157">
        <v>0</v>
      </c>
      <c r="AC9" s="157">
        <v>0</v>
      </c>
      <c r="AD9" s="157">
        <v>0</v>
      </c>
      <c r="AE9" s="157">
        <v>0</v>
      </c>
      <c r="AF9" s="157">
        <v>0</v>
      </c>
      <c r="AG9" s="157">
        <v>0</v>
      </c>
      <c r="AH9" s="157">
        <v>0</v>
      </c>
      <c r="AI9" s="157">
        <v>0</v>
      </c>
      <c r="AJ9" s="157">
        <v>0</v>
      </c>
      <c r="AK9" s="157">
        <v>0</v>
      </c>
      <c r="AL9" s="157">
        <v>0</v>
      </c>
      <c r="AM9" s="157">
        <v>0</v>
      </c>
      <c r="AN9" s="157">
        <v>0</v>
      </c>
      <c r="AO9" s="285">
        <v>0</v>
      </c>
    </row>
    <row r="10" spans="1:41" ht="15.75">
      <c r="A10" s="156" t="s">
        <v>10</v>
      </c>
      <c r="B10" s="157">
        <v>0</v>
      </c>
      <c r="C10" s="157">
        <v>0</v>
      </c>
      <c r="D10" s="157">
        <v>0</v>
      </c>
      <c r="E10" s="157">
        <v>0</v>
      </c>
      <c r="F10" s="157">
        <v>0</v>
      </c>
      <c r="G10" s="157">
        <v>0</v>
      </c>
      <c r="H10" s="157">
        <v>0</v>
      </c>
      <c r="I10" s="157">
        <v>0</v>
      </c>
      <c r="J10" s="157">
        <v>0</v>
      </c>
      <c r="K10" s="157">
        <v>0</v>
      </c>
      <c r="L10" s="157">
        <v>0</v>
      </c>
      <c r="M10" s="157">
        <v>0</v>
      </c>
      <c r="N10" s="157">
        <v>0</v>
      </c>
      <c r="O10" s="157">
        <v>0</v>
      </c>
      <c r="P10" s="157">
        <v>0</v>
      </c>
      <c r="Q10" s="157">
        <v>0</v>
      </c>
      <c r="R10" s="157">
        <v>0</v>
      </c>
      <c r="S10" s="157">
        <v>0</v>
      </c>
      <c r="T10" s="157">
        <v>0</v>
      </c>
      <c r="U10" s="157">
        <v>0</v>
      </c>
      <c r="V10" s="157">
        <v>0</v>
      </c>
      <c r="W10" s="157">
        <v>0</v>
      </c>
      <c r="X10" s="157">
        <v>0</v>
      </c>
      <c r="Y10" s="157">
        <v>0</v>
      </c>
      <c r="Z10" s="157">
        <v>0</v>
      </c>
      <c r="AA10" s="162">
        <v>0</v>
      </c>
      <c r="AB10" s="157">
        <v>0</v>
      </c>
      <c r="AC10" s="157">
        <v>0</v>
      </c>
      <c r="AD10" s="157">
        <v>0</v>
      </c>
      <c r="AE10" s="157">
        <v>0</v>
      </c>
      <c r="AF10" s="157">
        <v>0</v>
      </c>
      <c r="AG10" s="157">
        <v>0</v>
      </c>
      <c r="AH10" s="157">
        <v>0</v>
      </c>
      <c r="AI10" s="157">
        <v>0</v>
      </c>
      <c r="AJ10" s="157">
        <v>0</v>
      </c>
      <c r="AK10" s="157">
        <v>0</v>
      </c>
      <c r="AL10" s="157">
        <v>0</v>
      </c>
      <c r="AM10" s="157">
        <v>0</v>
      </c>
      <c r="AN10" s="157">
        <v>0</v>
      </c>
      <c r="AO10" s="286">
        <v>0</v>
      </c>
    </row>
    <row r="11" spans="1:41" ht="15.75">
      <c r="A11" s="163" t="s">
        <v>11</v>
      </c>
      <c r="B11" s="157">
        <v>0</v>
      </c>
      <c r="C11" s="157">
        <v>0</v>
      </c>
      <c r="D11" s="157">
        <v>0</v>
      </c>
      <c r="E11" s="157">
        <v>0</v>
      </c>
      <c r="F11" s="157">
        <v>0</v>
      </c>
      <c r="G11" s="157">
        <v>0</v>
      </c>
      <c r="H11" s="157">
        <v>0</v>
      </c>
      <c r="I11" s="157">
        <v>0</v>
      </c>
      <c r="J11" s="157">
        <v>0</v>
      </c>
      <c r="K11" s="157">
        <v>0</v>
      </c>
      <c r="L11" s="157">
        <v>0</v>
      </c>
      <c r="M11" s="157">
        <v>0</v>
      </c>
      <c r="N11" s="157">
        <v>0</v>
      </c>
      <c r="O11" s="157">
        <v>0</v>
      </c>
      <c r="P11" s="157">
        <v>0</v>
      </c>
      <c r="Q11" s="157">
        <v>0</v>
      </c>
      <c r="R11" s="157">
        <v>0</v>
      </c>
      <c r="S11" s="157">
        <v>0</v>
      </c>
      <c r="T11" s="157">
        <v>0</v>
      </c>
      <c r="U11" s="157">
        <v>0</v>
      </c>
      <c r="V11" s="157">
        <v>0</v>
      </c>
      <c r="W11" s="157">
        <v>0</v>
      </c>
      <c r="X11" s="157">
        <v>0</v>
      </c>
      <c r="Y11" s="157">
        <v>0</v>
      </c>
      <c r="Z11" s="157">
        <v>0</v>
      </c>
      <c r="AA11" s="162">
        <v>0</v>
      </c>
      <c r="AB11" s="157">
        <v>0</v>
      </c>
      <c r="AC11" s="157">
        <v>0</v>
      </c>
      <c r="AD11" s="157">
        <v>0</v>
      </c>
      <c r="AE11" s="157">
        <v>0</v>
      </c>
      <c r="AF11" s="157">
        <v>0</v>
      </c>
      <c r="AG11" s="157">
        <v>0</v>
      </c>
      <c r="AH11" s="157">
        <v>0</v>
      </c>
      <c r="AI11" s="157">
        <v>0</v>
      </c>
      <c r="AJ11" s="157">
        <v>0</v>
      </c>
      <c r="AK11" s="157">
        <v>0</v>
      </c>
      <c r="AL11" s="157">
        <v>0</v>
      </c>
      <c r="AM11" s="157">
        <v>0</v>
      </c>
      <c r="AN11" s="157">
        <v>0</v>
      </c>
      <c r="AO11" s="286">
        <v>0</v>
      </c>
    </row>
    <row r="12" spans="1:41" ht="15.75">
      <c r="A12" s="164" t="s">
        <v>12</v>
      </c>
      <c r="B12" s="157">
        <f>1453400+950000+100010+3790368</f>
        <v>6293778</v>
      </c>
      <c r="C12" s="157">
        <v>0</v>
      </c>
      <c r="D12" s="157">
        <v>0</v>
      </c>
      <c r="E12" s="157">
        <v>0</v>
      </c>
      <c r="F12" s="157">
        <v>0</v>
      </c>
      <c r="G12" s="157">
        <v>0</v>
      </c>
      <c r="H12" s="157">
        <v>0</v>
      </c>
      <c r="I12" s="157">
        <v>0</v>
      </c>
      <c r="J12" s="157">
        <v>0</v>
      </c>
      <c r="K12" s="157">
        <v>0</v>
      </c>
      <c r="L12" s="157">
        <v>0</v>
      </c>
      <c r="M12" s="157">
        <v>0</v>
      </c>
      <c r="N12" s="157">
        <f>1453400+950000+100010+3790368</f>
        <v>6293778</v>
      </c>
      <c r="AA12" s="149">
        <v>6293778</v>
      </c>
      <c r="AB12" s="157">
        <v>26606943.800000001</v>
      </c>
      <c r="AC12" s="157">
        <v>26606943.800000001</v>
      </c>
      <c r="AD12" s="157">
        <v>26606943.800000001</v>
      </c>
      <c r="AE12" s="157">
        <v>26606943.800000001</v>
      </c>
      <c r="AF12" s="157">
        <v>26606943.800000001</v>
      </c>
      <c r="AG12" s="157">
        <v>26606943.800000001</v>
      </c>
      <c r="AH12" s="157">
        <v>26606943.800000001</v>
      </c>
      <c r="AI12" s="157">
        <v>26606943.800000001</v>
      </c>
      <c r="AJ12" s="157">
        <v>26606943.800000001</v>
      </c>
      <c r="AK12" s="157">
        <v>26606943.800000001</v>
      </c>
      <c r="AL12" s="157">
        <v>26606943.800000001</v>
      </c>
      <c r="AM12" s="157">
        <v>26606943.800000001</v>
      </c>
      <c r="AN12" s="157">
        <v>26606943.800000001</v>
      </c>
      <c r="AO12" s="284">
        <v>26606943.800000001</v>
      </c>
    </row>
    <row r="13" spans="1:41">
      <c r="A13" s="163" t="s">
        <v>13</v>
      </c>
      <c r="B13" s="157">
        <f>61666+20145000+106500</f>
        <v>20313166</v>
      </c>
      <c r="C13" s="157">
        <v>26606943.800000001</v>
      </c>
      <c r="D13" s="157">
        <v>26606943.800000001</v>
      </c>
      <c r="E13" s="157">
        <v>26606943.800000001</v>
      </c>
      <c r="F13" s="157">
        <v>26606943.800000001</v>
      </c>
      <c r="G13" s="157">
        <v>26606943.800000001</v>
      </c>
      <c r="H13" s="157">
        <v>26606943.800000001</v>
      </c>
      <c r="I13" s="157">
        <v>26606943.800000001</v>
      </c>
      <c r="J13" s="157">
        <v>26606943.800000001</v>
      </c>
      <c r="K13" s="157">
        <v>26606943.800000001</v>
      </c>
      <c r="L13" s="157">
        <v>26606943.800000001</v>
      </c>
      <c r="M13" s="157">
        <v>26606943.800000001</v>
      </c>
      <c r="N13" s="157">
        <f>61666+20145000+106500</f>
        <v>20313166</v>
      </c>
      <c r="O13" s="157">
        <v>26606943.800000001</v>
      </c>
      <c r="P13" s="157">
        <v>26606943.800000001</v>
      </c>
      <c r="Q13" s="157">
        <v>26606943.800000001</v>
      </c>
      <c r="R13" s="157">
        <v>26606943.800000001</v>
      </c>
      <c r="S13" s="157">
        <v>26606943.800000001</v>
      </c>
      <c r="T13" s="157">
        <v>26606943.800000001</v>
      </c>
      <c r="U13" s="157">
        <v>26606943.800000001</v>
      </c>
      <c r="AA13" s="149">
        <v>20313166</v>
      </c>
    </row>
    <row r="14" spans="1:41" ht="15.75">
      <c r="A14" s="153" t="s">
        <v>14</v>
      </c>
      <c r="B14" s="154">
        <f>(B15-B16)</f>
        <v>255665887</v>
      </c>
      <c r="C14" s="154">
        <f t="shared" ref="C14:AO14" si="2">(C15-C16)</f>
        <v>257898024.76999998</v>
      </c>
      <c r="D14" s="154">
        <f t="shared" si="2"/>
        <v>246132662.77999997</v>
      </c>
      <c r="E14" s="154">
        <f t="shared" si="2"/>
        <v>242109562.48000002</v>
      </c>
      <c r="F14" s="154">
        <f t="shared" si="2"/>
        <v>244432351.58999997</v>
      </c>
      <c r="G14" s="154">
        <f t="shared" si="2"/>
        <v>245409057.25999999</v>
      </c>
      <c r="H14" s="154">
        <f t="shared" si="2"/>
        <v>241322191.61000001</v>
      </c>
      <c r="I14" s="154">
        <f t="shared" si="2"/>
        <v>236313475.71000001</v>
      </c>
      <c r="J14" s="154">
        <f t="shared" si="2"/>
        <v>247751727.69999999</v>
      </c>
      <c r="K14" s="154">
        <f t="shared" si="2"/>
        <v>224323851.41999999</v>
      </c>
      <c r="L14" s="154">
        <f t="shared" si="2"/>
        <v>225330796.97</v>
      </c>
      <c r="M14" s="154">
        <f t="shared" si="2"/>
        <v>228341197.03999999</v>
      </c>
      <c r="N14" s="154">
        <f t="shared" si="2"/>
        <v>228341197</v>
      </c>
      <c r="O14" s="154">
        <f t="shared" si="2"/>
        <v>227759283.27000001</v>
      </c>
      <c r="P14" s="154">
        <f t="shared" si="2"/>
        <v>234575824.81</v>
      </c>
      <c r="Q14" s="154">
        <f t="shared" si="2"/>
        <v>231315011.28999999</v>
      </c>
      <c r="R14" s="154">
        <f t="shared" si="2"/>
        <v>238930475.38</v>
      </c>
      <c r="S14" s="154">
        <f t="shared" si="2"/>
        <v>261766351.64999998</v>
      </c>
      <c r="T14" s="154">
        <f t="shared" si="2"/>
        <v>271535829.52999997</v>
      </c>
      <c r="U14" s="154">
        <f t="shared" si="2"/>
        <v>283504096.13999999</v>
      </c>
      <c r="V14" s="154">
        <f t="shared" si="2"/>
        <v>0</v>
      </c>
      <c r="W14" s="154">
        <f t="shared" si="2"/>
        <v>0</v>
      </c>
      <c r="X14" s="154">
        <f t="shared" si="2"/>
        <v>0</v>
      </c>
      <c r="Y14" s="154">
        <f t="shared" si="2"/>
        <v>0</v>
      </c>
      <c r="Z14" s="154">
        <f t="shared" si="2"/>
        <v>0</v>
      </c>
      <c r="AA14" s="154">
        <f t="shared" si="2"/>
        <v>308794869</v>
      </c>
      <c r="AB14" s="154">
        <f t="shared" si="2"/>
        <v>327332518.74000001</v>
      </c>
      <c r="AC14" s="154">
        <f t="shared" si="2"/>
        <v>314634408.48000002</v>
      </c>
      <c r="AD14" s="154">
        <f t="shared" si="2"/>
        <v>301740059.22000003</v>
      </c>
      <c r="AE14" s="154">
        <f t="shared" si="2"/>
        <v>303067610.25</v>
      </c>
      <c r="AF14" s="154">
        <f t="shared" si="2"/>
        <v>313758812.76999998</v>
      </c>
      <c r="AG14" s="154">
        <f t="shared" si="2"/>
        <v>297186638.14999998</v>
      </c>
      <c r="AH14" s="154">
        <f t="shared" si="2"/>
        <v>283723583.44999999</v>
      </c>
      <c r="AI14" s="154">
        <f t="shared" si="2"/>
        <v>285700155.43000001</v>
      </c>
      <c r="AJ14" s="154">
        <f t="shared" si="2"/>
        <v>295497464.72000003</v>
      </c>
      <c r="AK14" s="154">
        <f t="shared" si="2"/>
        <v>299452609.93000001</v>
      </c>
      <c r="AL14" s="154">
        <f t="shared" si="2"/>
        <v>311924727.92000002</v>
      </c>
      <c r="AM14" s="154">
        <f t="shared" si="2"/>
        <v>310887428.66000003</v>
      </c>
      <c r="AN14" s="154">
        <f t="shared" si="2"/>
        <v>310887429.11000001</v>
      </c>
      <c r="AO14" s="154">
        <f t="shared" si="2"/>
        <v>296242091.80000001</v>
      </c>
    </row>
    <row r="15" spans="1:41" ht="15.75">
      <c r="A15" s="156" t="s">
        <v>15</v>
      </c>
      <c r="B15" s="157">
        <v>284130439</v>
      </c>
      <c r="C15" s="157">
        <v>285298024.76999998</v>
      </c>
      <c r="D15" s="157">
        <v>273582662.77999997</v>
      </c>
      <c r="E15" s="157">
        <v>269609562.48000002</v>
      </c>
      <c r="F15" s="157">
        <v>271982351.58999997</v>
      </c>
      <c r="G15" s="157">
        <v>273009057.25999999</v>
      </c>
      <c r="H15" s="157">
        <v>270086743.61000001</v>
      </c>
      <c r="I15" s="157">
        <v>265178027.71000001</v>
      </c>
      <c r="J15" s="157">
        <v>276666279.69999999</v>
      </c>
      <c r="K15" s="157">
        <v>253288403.41999999</v>
      </c>
      <c r="L15" s="157">
        <v>254345348.97</v>
      </c>
      <c r="M15" s="157">
        <v>257405749.03999999</v>
      </c>
      <c r="N15" s="157">
        <v>257405749</v>
      </c>
      <c r="O15" s="157">
        <v>256873835.27000001</v>
      </c>
      <c r="P15" s="157">
        <v>263740376.81</v>
      </c>
      <c r="Q15" s="157">
        <v>260529563.28999999</v>
      </c>
      <c r="R15" s="157">
        <v>268195027.38</v>
      </c>
      <c r="S15" s="157">
        <v>291080903.64999998</v>
      </c>
      <c r="T15" s="157">
        <v>300900381.52999997</v>
      </c>
      <c r="U15" s="157">
        <v>312918648.13999999</v>
      </c>
      <c r="AA15" s="149">
        <v>338459421</v>
      </c>
      <c r="AB15" s="157">
        <v>357047070.74000001</v>
      </c>
      <c r="AC15" s="157">
        <v>344398960.48000002</v>
      </c>
      <c r="AD15" s="157">
        <v>331554611.22000003</v>
      </c>
      <c r="AE15" s="157">
        <v>332932162.25</v>
      </c>
      <c r="AF15" s="157">
        <v>343673364.76999998</v>
      </c>
      <c r="AG15" s="157">
        <v>327151190.14999998</v>
      </c>
      <c r="AH15" s="157">
        <v>313738135.44999999</v>
      </c>
      <c r="AI15" s="157">
        <v>315764707.43000001</v>
      </c>
      <c r="AJ15" s="157">
        <v>325612016.72000003</v>
      </c>
      <c r="AK15" s="157">
        <v>329617161.93000001</v>
      </c>
      <c r="AL15" s="157">
        <v>342139279.92000002</v>
      </c>
      <c r="AM15" s="157">
        <v>341151980.66000003</v>
      </c>
      <c r="AN15" s="149">
        <v>341151981.11000001</v>
      </c>
      <c r="AO15" s="283">
        <v>326906643.80000001</v>
      </c>
    </row>
    <row r="16" spans="1:41" ht="15.75">
      <c r="A16" s="156" t="s">
        <v>16</v>
      </c>
      <c r="B16" s="157">
        <f>27350000+1114552</f>
        <v>28464552</v>
      </c>
      <c r="C16" s="157">
        <v>27400000</v>
      </c>
      <c r="D16" s="157">
        <v>27450000</v>
      </c>
      <c r="E16" s="157">
        <v>27500000</v>
      </c>
      <c r="F16" s="157">
        <v>27550000</v>
      </c>
      <c r="G16" s="157">
        <v>27600000</v>
      </c>
      <c r="H16" s="157">
        <v>28764552</v>
      </c>
      <c r="I16" s="157">
        <v>28864552</v>
      </c>
      <c r="J16" s="157">
        <v>28914552</v>
      </c>
      <c r="K16" s="157">
        <v>28964552</v>
      </c>
      <c r="L16" s="157">
        <v>29014552</v>
      </c>
      <c r="M16" s="157">
        <v>29064552</v>
      </c>
      <c r="N16" s="157">
        <v>29064552</v>
      </c>
      <c r="O16" s="157">
        <v>29114552</v>
      </c>
      <c r="P16" s="157">
        <v>29164552</v>
      </c>
      <c r="Q16" s="157">
        <v>29214552</v>
      </c>
      <c r="R16" s="157">
        <v>29264552</v>
      </c>
      <c r="S16" s="157">
        <v>29314552</v>
      </c>
      <c r="T16" s="157">
        <v>29364552</v>
      </c>
      <c r="U16" s="157">
        <v>29414552</v>
      </c>
      <c r="AA16" s="149">
        <v>29664552</v>
      </c>
      <c r="AB16" s="157">
        <v>29714552</v>
      </c>
      <c r="AC16" s="157">
        <v>29764552</v>
      </c>
      <c r="AD16" s="157">
        <v>29814552</v>
      </c>
      <c r="AE16" s="157">
        <v>29864552</v>
      </c>
      <c r="AF16" s="157">
        <v>29914552</v>
      </c>
      <c r="AG16" s="157">
        <v>29964552</v>
      </c>
      <c r="AH16" s="157">
        <v>30014552</v>
      </c>
      <c r="AI16" s="157">
        <v>30064552</v>
      </c>
      <c r="AJ16" s="157">
        <v>30114552</v>
      </c>
      <c r="AK16" s="157">
        <v>30164552</v>
      </c>
      <c r="AL16" s="157">
        <v>30214552</v>
      </c>
      <c r="AM16" s="157">
        <v>30264552</v>
      </c>
      <c r="AN16" s="157">
        <v>30264552</v>
      </c>
      <c r="AO16" s="284">
        <v>30664552</v>
      </c>
    </row>
    <row r="17" spans="1:41" s="209" customFormat="1" ht="15.75">
      <c r="A17" s="207" t="s">
        <v>17</v>
      </c>
      <c r="B17" s="154">
        <f>(B18+B19+B20)</f>
        <v>0</v>
      </c>
      <c r="C17" s="154">
        <f t="shared" ref="C17:AA17" si="3">(C18+C19+C20)</f>
        <v>0</v>
      </c>
      <c r="D17" s="154">
        <f t="shared" si="3"/>
        <v>0</v>
      </c>
      <c r="E17" s="154">
        <f t="shared" si="3"/>
        <v>0</v>
      </c>
      <c r="F17" s="154">
        <f t="shared" si="3"/>
        <v>0</v>
      </c>
      <c r="G17" s="154">
        <f t="shared" si="3"/>
        <v>0</v>
      </c>
      <c r="H17" s="154">
        <f t="shared" si="3"/>
        <v>0</v>
      </c>
      <c r="I17" s="154">
        <f t="shared" si="3"/>
        <v>0</v>
      </c>
      <c r="J17" s="154">
        <f t="shared" si="3"/>
        <v>0</v>
      </c>
      <c r="K17" s="154">
        <f t="shared" si="3"/>
        <v>0</v>
      </c>
      <c r="L17" s="154">
        <f t="shared" si="3"/>
        <v>0</v>
      </c>
      <c r="M17" s="154">
        <f t="shared" si="3"/>
        <v>0</v>
      </c>
      <c r="N17" s="154">
        <f t="shared" si="3"/>
        <v>0</v>
      </c>
      <c r="O17" s="154">
        <f t="shared" si="3"/>
        <v>0</v>
      </c>
      <c r="P17" s="154">
        <f t="shared" si="3"/>
        <v>0</v>
      </c>
      <c r="Q17" s="154">
        <f t="shared" si="3"/>
        <v>0</v>
      </c>
      <c r="R17" s="154">
        <f t="shared" si="3"/>
        <v>0</v>
      </c>
      <c r="S17" s="154">
        <f t="shared" si="3"/>
        <v>0</v>
      </c>
      <c r="T17" s="154">
        <f t="shared" si="3"/>
        <v>0</v>
      </c>
      <c r="U17" s="154">
        <f t="shared" si="3"/>
        <v>0</v>
      </c>
      <c r="V17" s="154">
        <f t="shared" si="3"/>
        <v>0</v>
      </c>
      <c r="W17" s="154">
        <f t="shared" si="3"/>
        <v>0</v>
      </c>
      <c r="X17" s="154">
        <f t="shared" si="3"/>
        <v>0</v>
      </c>
      <c r="Y17" s="154">
        <f t="shared" si="3"/>
        <v>0</v>
      </c>
      <c r="Z17" s="154">
        <f t="shared" si="3"/>
        <v>0</v>
      </c>
      <c r="AA17" s="154">
        <f t="shared" si="3"/>
        <v>0</v>
      </c>
      <c r="AB17" s="208">
        <v>0</v>
      </c>
      <c r="AC17" s="210">
        <v>0</v>
      </c>
      <c r="AD17" s="210">
        <v>0</v>
      </c>
      <c r="AE17" s="210">
        <v>0</v>
      </c>
      <c r="AF17" s="210">
        <v>0</v>
      </c>
      <c r="AG17" s="210">
        <v>0</v>
      </c>
      <c r="AH17" s="210">
        <v>0</v>
      </c>
      <c r="AI17" s="210">
        <v>0</v>
      </c>
      <c r="AJ17" s="210">
        <v>0</v>
      </c>
      <c r="AK17" s="210">
        <v>0</v>
      </c>
      <c r="AL17" s="210">
        <v>0</v>
      </c>
      <c r="AM17" s="210">
        <v>0</v>
      </c>
      <c r="AN17" s="210">
        <v>0</v>
      </c>
      <c r="AO17" s="210">
        <v>0</v>
      </c>
    </row>
    <row r="18" spans="1:41" ht="15.75">
      <c r="A18" s="156" t="s">
        <v>18</v>
      </c>
      <c r="B18" s="157">
        <v>0</v>
      </c>
      <c r="C18" s="157">
        <v>0</v>
      </c>
      <c r="D18" s="157">
        <v>0</v>
      </c>
      <c r="E18" s="157">
        <v>0</v>
      </c>
      <c r="F18" s="157">
        <v>0</v>
      </c>
      <c r="G18" s="157">
        <v>0</v>
      </c>
      <c r="H18" s="157">
        <v>0</v>
      </c>
      <c r="I18" s="157">
        <v>0</v>
      </c>
      <c r="J18" s="157">
        <v>0</v>
      </c>
      <c r="K18" s="157">
        <v>0</v>
      </c>
      <c r="L18" s="157">
        <v>0</v>
      </c>
      <c r="M18" s="157">
        <v>0</v>
      </c>
      <c r="N18" s="157">
        <v>0</v>
      </c>
      <c r="O18" s="157">
        <v>0</v>
      </c>
      <c r="P18" s="157">
        <v>0</v>
      </c>
      <c r="Q18" s="157">
        <v>0</v>
      </c>
      <c r="R18" s="157">
        <v>0</v>
      </c>
      <c r="S18" s="157">
        <v>0</v>
      </c>
      <c r="T18" s="157">
        <v>0</v>
      </c>
      <c r="U18" s="157">
        <v>0</v>
      </c>
      <c r="V18" s="157">
        <v>0</v>
      </c>
      <c r="W18" s="157">
        <v>0</v>
      </c>
      <c r="X18" s="157">
        <v>0</v>
      </c>
      <c r="Y18" s="157">
        <v>0</v>
      </c>
      <c r="Z18" s="157">
        <v>0</v>
      </c>
      <c r="AA18" s="162">
        <v>0</v>
      </c>
      <c r="AB18" s="157">
        <v>0</v>
      </c>
      <c r="AC18" s="157">
        <v>0</v>
      </c>
      <c r="AD18" s="157">
        <v>0</v>
      </c>
      <c r="AE18" s="157">
        <v>0</v>
      </c>
      <c r="AF18" s="157">
        <v>0</v>
      </c>
      <c r="AG18" s="157">
        <v>0</v>
      </c>
      <c r="AH18" s="157">
        <v>0</v>
      </c>
      <c r="AI18" s="157">
        <v>0</v>
      </c>
      <c r="AJ18" s="157">
        <v>0</v>
      </c>
      <c r="AK18" s="157">
        <v>0</v>
      </c>
      <c r="AL18" s="157">
        <v>0</v>
      </c>
      <c r="AM18" s="157">
        <v>0</v>
      </c>
      <c r="AN18" s="157">
        <v>0</v>
      </c>
      <c r="AO18" s="157">
        <v>0</v>
      </c>
    </row>
    <row r="19" spans="1:41" ht="15.75">
      <c r="A19" s="156" t="s">
        <v>19</v>
      </c>
      <c r="B19" s="157">
        <v>0</v>
      </c>
      <c r="C19" s="157">
        <v>0</v>
      </c>
      <c r="D19" s="157">
        <v>0</v>
      </c>
      <c r="E19" s="157">
        <v>0</v>
      </c>
      <c r="F19" s="157">
        <v>0</v>
      </c>
      <c r="G19" s="157">
        <v>0</v>
      </c>
      <c r="H19" s="157">
        <v>0</v>
      </c>
      <c r="I19" s="157">
        <v>0</v>
      </c>
      <c r="J19" s="157">
        <v>0</v>
      </c>
      <c r="K19" s="157">
        <v>0</v>
      </c>
      <c r="L19" s="157">
        <v>0</v>
      </c>
      <c r="M19" s="157">
        <v>0</v>
      </c>
      <c r="N19" s="157">
        <v>0</v>
      </c>
      <c r="O19" s="157">
        <v>0</v>
      </c>
      <c r="P19" s="157">
        <v>0</v>
      </c>
      <c r="Q19" s="157">
        <v>0</v>
      </c>
      <c r="R19" s="157">
        <v>0</v>
      </c>
      <c r="S19" s="157">
        <v>0</v>
      </c>
      <c r="T19" s="157">
        <v>0</v>
      </c>
      <c r="U19" s="157">
        <v>0</v>
      </c>
      <c r="V19" s="157">
        <v>0</v>
      </c>
      <c r="W19" s="157">
        <v>0</v>
      </c>
      <c r="X19" s="157">
        <v>0</v>
      </c>
      <c r="Y19" s="157">
        <v>0</v>
      </c>
      <c r="Z19" s="157">
        <v>0</v>
      </c>
      <c r="AA19" s="162">
        <v>0</v>
      </c>
      <c r="AB19" s="157">
        <v>0</v>
      </c>
      <c r="AC19" s="157">
        <v>0</v>
      </c>
      <c r="AD19" s="157">
        <v>0</v>
      </c>
      <c r="AE19" s="157">
        <v>0</v>
      </c>
      <c r="AF19" s="157">
        <v>0</v>
      </c>
      <c r="AG19" s="157">
        <v>0</v>
      </c>
      <c r="AH19" s="157">
        <v>0</v>
      </c>
      <c r="AI19" s="157">
        <v>0</v>
      </c>
      <c r="AJ19" s="157">
        <v>0</v>
      </c>
      <c r="AK19" s="157">
        <v>0</v>
      </c>
      <c r="AL19" s="157">
        <v>0</v>
      </c>
      <c r="AM19" s="157">
        <v>0</v>
      </c>
      <c r="AN19" s="157">
        <v>0</v>
      </c>
      <c r="AO19" s="157">
        <v>0</v>
      </c>
    </row>
    <row r="20" spans="1:41" ht="15.75">
      <c r="A20" s="156" t="s">
        <v>20</v>
      </c>
      <c r="B20" s="157">
        <v>0</v>
      </c>
      <c r="C20" s="157">
        <v>0</v>
      </c>
      <c r="D20" s="157">
        <v>0</v>
      </c>
      <c r="E20" s="157">
        <v>0</v>
      </c>
      <c r="F20" s="157">
        <v>0</v>
      </c>
      <c r="G20" s="157">
        <v>0</v>
      </c>
      <c r="H20" s="157">
        <v>0</v>
      </c>
      <c r="I20" s="157">
        <v>0</v>
      </c>
      <c r="J20" s="157">
        <v>0</v>
      </c>
      <c r="K20" s="157">
        <v>0</v>
      </c>
      <c r="L20" s="157">
        <v>0</v>
      </c>
      <c r="M20" s="157">
        <v>0</v>
      </c>
      <c r="N20" s="157">
        <v>0</v>
      </c>
      <c r="O20" s="157">
        <v>0</v>
      </c>
      <c r="P20" s="157">
        <v>0</v>
      </c>
      <c r="Q20" s="157">
        <v>0</v>
      </c>
      <c r="R20" s="157">
        <v>0</v>
      </c>
      <c r="S20" s="157">
        <v>0</v>
      </c>
      <c r="T20" s="157">
        <v>0</v>
      </c>
      <c r="U20" s="157">
        <v>0</v>
      </c>
      <c r="V20" s="157">
        <v>0</v>
      </c>
      <c r="W20" s="157">
        <v>0</v>
      </c>
      <c r="X20" s="157">
        <v>0</v>
      </c>
      <c r="Y20" s="157">
        <v>0</v>
      </c>
      <c r="Z20" s="157">
        <v>0</v>
      </c>
      <c r="AA20" s="162">
        <v>0</v>
      </c>
      <c r="AB20" s="157">
        <v>0</v>
      </c>
      <c r="AC20" s="157">
        <v>0</v>
      </c>
      <c r="AD20" s="157">
        <v>0</v>
      </c>
      <c r="AE20" s="157">
        <v>0</v>
      </c>
      <c r="AF20" s="157">
        <v>0</v>
      </c>
      <c r="AG20" s="157">
        <v>0</v>
      </c>
      <c r="AH20" s="157">
        <v>0</v>
      </c>
      <c r="AI20" s="157">
        <v>0</v>
      </c>
      <c r="AJ20" s="157">
        <v>0</v>
      </c>
      <c r="AK20" s="157">
        <v>0</v>
      </c>
      <c r="AL20" s="157">
        <v>0</v>
      </c>
      <c r="AM20" s="157">
        <v>0</v>
      </c>
      <c r="AN20" s="157">
        <v>0</v>
      </c>
      <c r="AO20" s="157">
        <v>0</v>
      </c>
    </row>
    <row r="21" spans="1:41" ht="15.75">
      <c r="A21" s="153" t="s">
        <v>21</v>
      </c>
      <c r="B21" s="165">
        <f>(B22+B23+B24+B25+B26)</f>
        <v>60146266</v>
      </c>
      <c r="C21" s="165">
        <f t="shared" ref="C21:AO21" si="4">(C22+C23+C24+C25+C26)</f>
        <v>51857558.810000002</v>
      </c>
      <c r="D21" s="165">
        <f t="shared" si="4"/>
        <v>51131692.270000003</v>
      </c>
      <c r="E21" s="165">
        <f t="shared" si="4"/>
        <v>50946360.729999997</v>
      </c>
      <c r="F21" s="165">
        <f t="shared" si="4"/>
        <v>51244609.890000001</v>
      </c>
      <c r="G21" s="165">
        <f t="shared" si="4"/>
        <v>50754507.979999997</v>
      </c>
      <c r="H21" s="165">
        <f t="shared" si="4"/>
        <v>60090479.390000001</v>
      </c>
      <c r="I21" s="165">
        <f t="shared" si="4"/>
        <v>61794874.450000003</v>
      </c>
      <c r="J21" s="165">
        <f t="shared" si="4"/>
        <v>62042419.850000001</v>
      </c>
      <c r="K21" s="165">
        <f t="shared" si="4"/>
        <v>63663012.399999999</v>
      </c>
      <c r="L21" s="165">
        <f t="shared" si="4"/>
        <v>63180961.840000004</v>
      </c>
      <c r="M21" s="165">
        <f t="shared" si="4"/>
        <v>62729248.090000004</v>
      </c>
      <c r="N21" s="165">
        <f t="shared" si="4"/>
        <v>73169435</v>
      </c>
      <c r="O21" s="165">
        <f t="shared" si="4"/>
        <v>62116368.850000001</v>
      </c>
      <c r="P21" s="165">
        <f t="shared" si="4"/>
        <v>61536870.5</v>
      </c>
      <c r="Q21" s="165">
        <f t="shared" si="4"/>
        <v>60903583.740000002</v>
      </c>
      <c r="R21" s="165">
        <f t="shared" si="4"/>
        <v>61543741.479999997</v>
      </c>
      <c r="S21" s="165">
        <f t="shared" si="4"/>
        <v>61325766.079999998</v>
      </c>
      <c r="T21" s="165">
        <f t="shared" si="4"/>
        <v>60773777.57</v>
      </c>
      <c r="U21" s="165">
        <f t="shared" si="4"/>
        <v>60428315.509999998</v>
      </c>
      <c r="V21" s="165">
        <f t="shared" si="4"/>
        <v>0</v>
      </c>
      <c r="W21" s="165">
        <f t="shared" si="4"/>
        <v>0</v>
      </c>
      <c r="X21" s="165">
        <f t="shared" si="4"/>
        <v>0</v>
      </c>
      <c r="Y21" s="165">
        <f t="shared" si="4"/>
        <v>0</v>
      </c>
      <c r="Z21" s="165">
        <f t="shared" si="4"/>
        <v>0</v>
      </c>
      <c r="AA21" s="165">
        <f t="shared" si="4"/>
        <v>68942623</v>
      </c>
      <c r="AB21" s="165">
        <f t="shared" si="4"/>
        <v>97043153.129999995</v>
      </c>
      <c r="AC21" s="165">
        <f t="shared" si="4"/>
        <v>98842026.49000001</v>
      </c>
      <c r="AD21" s="165">
        <f t="shared" si="4"/>
        <v>104443275.14</v>
      </c>
      <c r="AE21" s="165">
        <f t="shared" si="4"/>
        <v>108096517.34999999</v>
      </c>
      <c r="AF21" s="165">
        <f t="shared" si="4"/>
        <v>111346354.09999999</v>
      </c>
      <c r="AG21" s="165">
        <f t="shared" si="4"/>
        <v>111493217.44999999</v>
      </c>
      <c r="AH21" s="165">
        <f t="shared" si="4"/>
        <v>109497483.22</v>
      </c>
      <c r="AI21" s="165">
        <f t="shared" si="4"/>
        <v>109323356.84999999</v>
      </c>
      <c r="AJ21" s="165">
        <f t="shared" si="4"/>
        <v>107987633.71000001</v>
      </c>
      <c r="AK21" s="165">
        <f t="shared" si="4"/>
        <v>105350434.72999999</v>
      </c>
      <c r="AL21" s="165">
        <f t="shared" si="4"/>
        <v>93270842.910000011</v>
      </c>
      <c r="AM21" s="165">
        <f t="shared" si="4"/>
        <v>99721970.120000005</v>
      </c>
      <c r="AN21" s="165">
        <f t="shared" si="4"/>
        <v>63880596</v>
      </c>
      <c r="AO21" s="165">
        <f t="shared" si="4"/>
        <v>100647859.73999999</v>
      </c>
    </row>
    <row r="22" spans="1:41" ht="15.75">
      <c r="A22" s="156" t="s">
        <v>22</v>
      </c>
      <c r="B22" s="157">
        <v>0</v>
      </c>
      <c r="C22" s="157">
        <v>0</v>
      </c>
      <c r="D22" s="157">
        <v>0</v>
      </c>
      <c r="E22" s="157">
        <v>0</v>
      </c>
      <c r="F22" s="157">
        <v>0</v>
      </c>
      <c r="G22" s="157">
        <v>0</v>
      </c>
      <c r="H22" s="157">
        <v>0</v>
      </c>
      <c r="I22" s="157">
        <v>0</v>
      </c>
      <c r="J22" s="157">
        <v>0</v>
      </c>
      <c r="K22" s="157">
        <v>0</v>
      </c>
      <c r="L22" s="157">
        <v>0</v>
      </c>
      <c r="M22" s="157">
        <v>0</v>
      </c>
      <c r="N22" s="157">
        <v>0</v>
      </c>
      <c r="O22" s="157">
        <v>0</v>
      </c>
      <c r="P22" s="157">
        <v>0</v>
      </c>
      <c r="Q22" s="157">
        <v>0</v>
      </c>
      <c r="R22" s="157">
        <v>0</v>
      </c>
      <c r="S22" s="157">
        <v>0</v>
      </c>
      <c r="T22" s="157">
        <v>0</v>
      </c>
      <c r="U22" s="157">
        <v>0</v>
      </c>
      <c r="V22" s="157">
        <v>0</v>
      </c>
      <c r="W22" s="157">
        <v>0</v>
      </c>
      <c r="X22" s="157">
        <v>0</v>
      </c>
      <c r="Y22" s="157">
        <v>0</v>
      </c>
      <c r="Z22" s="157">
        <v>0</v>
      </c>
      <c r="AA22" s="162">
        <v>22416108</v>
      </c>
      <c r="AB22" s="157">
        <v>0</v>
      </c>
      <c r="AC22" s="157">
        <v>0</v>
      </c>
      <c r="AD22" s="157">
        <v>0</v>
      </c>
      <c r="AE22" s="157">
        <v>0</v>
      </c>
      <c r="AF22" s="157">
        <v>0</v>
      </c>
      <c r="AG22" s="157">
        <v>0</v>
      </c>
      <c r="AH22" s="157">
        <v>0</v>
      </c>
      <c r="AI22" s="157">
        <v>0</v>
      </c>
      <c r="AJ22" s="157">
        <v>0</v>
      </c>
      <c r="AK22" s="157">
        <v>0</v>
      </c>
      <c r="AL22" s="157">
        <v>0</v>
      </c>
      <c r="AM22" s="157">
        <v>0</v>
      </c>
      <c r="AN22" s="157">
        <v>0</v>
      </c>
      <c r="AO22" s="285">
        <v>0</v>
      </c>
    </row>
    <row r="23" spans="1:41" ht="15.75">
      <c r="A23" s="156" t="s">
        <v>23</v>
      </c>
      <c r="B23" s="157">
        <v>60146266</v>
      </c>
      <c r="C23" s="157">
        <v>51857558.810000002</v>
      </c>
      <c r="D23" s="157">
        <v>51131692.270000003</v>
      </c>
      <c r="E23" s="157">
        <v>50946360.729999997</v>
      </c>
      <c r="F23" s="157">
        <v>51244609.890000001</v>
      </c>
      <c r="G23" s="157">
        <v>50754507.979999997</v>
      </c>
      <c r="H23" s="157">
        <v>60090479.390000001</v>
      </c>
      <c r="I23" s="157">
        <v>61794874.450000003</v>
      </c>
      <c r="J23" s="157">
        <v>62042419.850000001</v>
      </c>
      <c r="K23" s="157">
        <v>63663012.399999999</v>
      </c>
      <c r="L23" s="157">
        <v>63180961.840000004</v>
      </c>
      <c r="M23" s="157">
        <v>62729248.090000004</v>
      </c>
      <c r="N23" s="157">
        <v>73169435</v>
      </c>
      <c r="O23" s="157">
        <v>62116368.850000001</v>
      </c>
      <c r="P23" s="157">
        <v>61536870.5</v>
      </c>
      <c r="Q23" s="157">
        <v>60903583.740000002</v>
      </c>
      <c r="R23" s="157">
        <v>61543741.479999997</v>
      </c>
      <c r="S23" s="157">
        <v>61325766.079999998</v>
      </c>
      <c r="T23" s="157">
        <v>60773777.57</v>
      </c>
      <c r="U23" s="157">
        <v>60428315.509999998</v>
      </c>
      <c r="AA23" s="149">
        <v>46273620</v>
      </c>
      <c r="AB23" s="157">
        <v>59127422.149999999</v>
      </c>
      <c r="AC23" s="157">
        <v>58619420.890000001</v>
      </c>
      <c r="AD23" s="157">
        <v>57648201.18</v>
      </c>
      <c r="AE23" s="157">
        <v>57899590.75</v>
      </c>
      <c r="AF23" s="157">
        <v>57412034.049999997</v>
      </c>
      <c r="AG23" s="157">
        <v>57080099.149999999</v>
      </c>
      <c r="AH23" s="157">
        <v>58150528.270000003</v>
      </c>
      <c r="AI23" s="157">
        <v>57974744.170000002</v>
      </c>
      <c r="AJ23" s="157">
        <v>58150586.189999998</v>
      </c>
      <c r="AK23" s="157">
        <v>57652433.009999998</v>
      </c>
      <c r="AL23" s="157">
        <v>57162977.090000004</v>
      </c>
      <c r="AM23" s="157">
        <v>56682625.240000002</v>
      </c>
      <c r="AN23" s="149">
        <v>63880596</v>
      </c>
      <c r="AO23" s="284">
        <v>65480831.049999997</v>
      </c>
    </row>
    <row r="24" spans="1:41" ht="15.75">
      <c r="A24" s="156" t="s">
        <v>24</v>
      </c>
      <c r="B24" s="157">
        <v>0</v>
      </c>
      <c r="C24" s="157">
        <v>0</v>
      </c>
      <c r="D24" s="157">
        <v>0</v>
      </c>
      <c r="E24" s="157">
        <v>0</v>
      </c>
      <c r="F24" s="157">
        <v>0</v>
      </c>
      <c r="G24" s="157">
        <v>0</v>
      </c>
      <c r="H24" s="157">
        <v>0</v>
      </c>
      <c r="I24" s="157">
        <v>0</v>
      </c>
      <c r="J24" s="157">
        <v>0</v>
      </c>
      <c r="K24" s="157">
        <v>0</v>
      </c>
      <c r="L24" s="157">
        <v>0</v>
      </c>
      <c r="M24" s="157">
        <v>0</v>
      </c>
      <c r="N24" s="157">
        <v>0</v>
      </c>
      <c r="O24" s="157">
        <v>0</v>
      </c>
      <c r="P24" s="157">
        <v>0</v>
      </c>
      <c r="Q24" s="157">
        <v>0</v>
      </c>
      <c r="R24" s="157">
        <v>0</v>
      </c>
      <c r="S24" s="157">
        <v>0</v>
      </c>
      <c r="T24" s="157">
        <v>0</v>
      </c>
      <c r="U24" s="157">
        <v>0</v>
      </c>
      <c r="V24" s="157">
        <v>0</v>
      </c>
      <c r="W24" s="157">
        <v>0</v>
      </c>
      <c r="X24" s="157">
        <v>0</v>
      </c>
      <c r="Y24" s="157">
        <v>0</v>
      </c>
      <c r="Z24" s="157">
        <v>0</v>
      </c>
      <c r="AA24" s="162">
        <v>0</v>
      </c>
      <c r="AB24" s="157">
        <v>0</v>
      </c>
      <c r="AC24" s="157">
        <v>0</v>
      </c>
      <c r="AD24" s="157">
        <v>0</v>
      </c>
      <c r="AE24" s="157">
        <v>0</v>
      </c>
      <c r="AF24" s="157">
        <v>0</v>
      </c>
      <c r="AG24" s="157">
        <v>0</v>
      </c>
      <c r="AH24" s="157">
        <v>0</v>
      </c>
      <c r="AI24" s="157">
        <v>0</v>
      </c>
      <c r="AJ24" s="157">
        <v>0</v>
      </c>
      <c r="AK24" s="157">
        <v>0</v>
      </c>
      <c r="AL24" s="157">
        <v>0</v>
      </c>
      <c r="AM24" s="157">
        <v>0</v>
      </c>
      <c r="AN24" s="157">
        <v>0</v>
      </c>
      <c r="AO24" s="286">
        <v>0</v>
      </c>
    </row>
    <row r="25" spans="1:41" ht="15.75">
      <c r="A25" s="156" t="s">
        <v>25</v>
      </c>
      <c r="B25" s="157">
        <v>0</v>
      </c>
      <c r="C25" s="157">
        <v>0</v>
      </c>
      <c r="D25" s="157">
        <v>0</v>
      </c>
      <c r="E25" s="157">
        <v>0</v>
      </c>
      <c r="F25" s="157">
        <v>0</v>
      </c>
      <c r="G25" s="157">
        <v>0</v>
      </c>
      <c r="H25" s="157">
        <v>0</v>
      </c>
      <c r="I25" s="157">
        <v>0</v>
      </c>
      <c r="J25" s="157">
        <v>0</v>
      </c>
      <c r="K25" s="157">
        <v>0</v>
      </c>
      <c r="L25" s="157">
        <v>0</v>
      </c>
      <c r="M25" s="157">
        <v>0</v>
      </c>
      <c r="N25" s="157">
        <v>0</v>
      </c>
      <c r="O25" s="157">
        <v>0</v>
      </c>
      <c r="P25" s="157">
        <v>0</v>
      </c>
      <c r="Q25" s="157">
        <v>0</v>
      </c>
      <c r="R25" s="157">
        <v>0</v>
      </c>
      <c r="S25" s="157">
        <v>0</v>
      </c>
      <c r="T25" s="157">
        <v>0</v>
      </c>
      <c r="U25" s="157">
        <v>0</v>
      </c>
      <c r="V25" s="157">
        <v>0</v>
      </c>
      <c r="W25" s="157">
        <v>0</v>
      </c>
      <c r="X25" s="157">
        <v>0</v>
      </c>
      <c r="Y25" s="157">
        <v>0</v>
      </c>
      <c r="Z25" s="157">
        <v>0</v>
      </c>
      <c r="AA25" s="162">
        <v>0</v>
      </c>
      <c r="AB25" s="157">
        <v>7396114.5</v>
      </c>
      <c r="AC25" s="157">
        <v>7300778.7800000003</v>
      </c>
      <c r="AD25" s="157">
        <v>7108655.2000000002</v>
      </c>
      <c r="AE25" s="157">
        <v>6960558.2199999997</v>
      </c>
      <c r="AF25" s="157">
        <v>6954118.2599999998</v>
      </c>
      <c r="AG25" s="157">
        <v>6809240.7999999998</v>
      </c>
      <c r="AH25" s="157">
        <v>7059048.2800000003</v>
      </c>
      <c r="AI25" s="157">
        <v>7107818.1100000003</v>
      </c>
      <c r="AJ25" s="157">
        <v>7087030.2300000004</v>
      </c>
      <c r="AK25" s="157">
        <v>7037300.4299999997</v>
      </c>
      <c r="AL25" s="157">
        <v>7086523.3399999999</v>
      </c>
      <c r="AM25" s="157">
        <v>7197970.7699999996</v>
      </c>
      <c r="AN25" s="157">
        <v>0</v>
      </c>
      <c r="AO25" s="284">
        <v>6938587.46</v>
      </c>
    </row>
    <row r="26" spans="1:41" ht="15.75">
      <c r="A26" s="156" t="s">
        <v>26</v>
      </c>
      <c r="B26" s="157">
        <v>0</v>
      </c>
      <c r="C26" s="157">
        <v>0</v>
      </c>
      <c r="D26" s="157">
        <v>0</v>
      </c>
      <c r="E26" s="157">
        <v>0</v>
      </c>
      <c r="F26" s="157">
        <v>0</v>
      </c>
      <c r="G26" s="157">
        <v>0</v>
      </c>
      <c r="H26" s="157">
        <v>0</v>
      </c>
      <c r="I26" s="157">
        <v>0</v>
      </c>
      <c r="J26" s="157">
        <v>0</v>
      </c>
      <c r="K26" s="157">
        <v>0</v>
      </c>
      <c r="L26" s="157">
        <v>0</v>
      </c>
      <c r="M26" s="157">
        <v>0</v>
      </c>
      <c r="N26" s="157">
        <v>0</v>
      </c>
      <c r="O26" s="157">
        <v>0</v>
      </c>
      <c r="P26" s="157">
        <v>0</v>
      </c>
      <c r="Q26" s="157">
        <v>0</v>
      </c>
      <c r="R26" s="157">
        <v>0</v>
      </c>
      <c r="S26" s="157">
        <v>0</v>
      </c>
      <c r="T26" s="157">
        <v>0</v>
      </c>
      <c r="U26" s="157">
        <v>0</v>
      </c>
      <c r="V26" s="157">
        <v>0</v>
      </c>
      <c r="W26" s="157">
        <v>0</v>
      </c>
      <c r="X26" s="157">
        <v>0</v>
      </c>
      <c r="Y26" s="157">
        <v>0</v>
      </c>
      <c r="Z26" s="157">
        <v>0</v>
      </c>
      <c r="AA26" s="162">
        <v>252895</v>
      </c>
      <c r="AB26" s="157">
        <v>30519616.48</v>
      </c>
      <c r="AC26" s="157">
        <v>32921826.82</v>
      </c>
      <c r="AD26" s="157">
        <v>39686418.759999998</v>
      </c>
      <c r="AE26" s="157">
        <v>43236368.380000003</v>
      </c>
      <c r="AF26" s="157">
        <v>46980201.789999999</v>
      </c>
      <c r="AG26" s="157">
        <v>47603877.5</v>
      </c>
      <c r="AH26" s="157">
        <v>44287906.670000002</v>
      </c>
      <c r="AI26" s="157">
        <v>44240794.57</v>
      </c>
      <c r="AJ26" s="157">
        <v>42750017.289999999</v>
      </c>
      <c r="AK26" s="157">
        <v>40660701.289999999</v>
      </c>
      <c r="AL26" s="157">
        <v>29021342.48</v>
      </c>
      <c r="AM26" s="157">
        <v>35841374.109999999</v>
      </c>
      <c r="AN26" s="157">
        <v>0</v>
      </c>
      <c r="AO26" s="284">
        <v>28228441.23</v>
      </c>
    </row>
    <row r="27" spans="1:41" ht="15.75">
      <c r="A27" s="153" t="s">
        <v>27</v>
      </c>
      <c r="B27" s="166">
        <f>(B21+B17+B14+B8+B7+B4)</f>
        <v>540662680</v>
      </c>
      <c r="C27" s="166">
        <f t="shared" ref="C27:AO27" si="5">(C21+C17+C14+C8+C7+C4)</f>
        <v>508568161.56</v>
      </c>
      <c r="D27" s="166">
        <f t="shared" si="5"/>
        <v>481497582.66999996</v>
      </c>
      <c r="E27" s="166">
        <f t="shared" si="5"/>
        <v>482315615.04000008</v>
      </c>
      <c r="F27" s="166">
        <f t="shared" si="5"/>
        <v>493898249.78999996</v>
      </c>
      <c r="G27" s="166">
        <f t="shared" si="5"/>
        <v>488121901.65000004</v>
      </c>
      <c r="H27" s="166">
        <f t="shared" si="5"/>
        <v>526601834.31</v>
      </c>
      <c r="I27" s="166">
        <f t="shared" si="5"/>
        <v>472212435.45000005</v>
      </c>
      <c r="J27" s="166">
        <f t="shared" si="5"/>
        <v>484639041.43000001</v>
      </c>
      <c r="K27" s="166">
        <f t="shared" si="5"/>
        <v>694347458.42999995</v>
      </c>
      <c r="L27" s="166">
        <f t="shared" si="5"/>
        <v>570463220.79999995</v>
      </c>
      <c r="M27" s="166">
        <f t="shared" si="5"/>
        <v>523419069.34000003</v>
      </c>
      <c r="N27" s="166">
        <f t="shared" si="5"/>
        <v>574189340</v>
      </c>
      <c r="O27" s="166">
        <f t="shared" si="5"/>
        <v>525124860.47000003</v>
      </c>
      <c r="P27" s="166">
        <f t="shared" si="5"/>
        <v>563849099.41000009</v>
      </c>
      <c r="Q27" s="166">
        <f t="shared" si="5"/>
        <v>504843625.35999995</v>
      </c>
      <c r="R27" s="166">
        <f t="shared" si="5"/>
        <v>546950350.83000004</v>
      </c>
      <c r="S27" s="166">
        <f t="shared" si="5"/>
        <v>514539276.02999997</v>
      </c>
      <c r="T27" s="166">
        <f t="shared" si="5"/>
        <v>511711689.25</v>
      </c>
      <c r="U27" s="166">
        <f t="shared" si="5"/>
        <v>518334573.94999999</v>
      </c>
      <c r="V27" s="166">
        <f t="shared" si="5"/>
        <v>0</v>
      </c>
      <c r="W27" s="166">
        <f t="shared" si="5"/>
        <v>0</v>
      </c>
      <c r="X27" s="166">
        <f t="shared" si="5"/>
        <v>0</v>
      </c>
      <c r="Y27" s="166">
        <f t="shared" si="5"/>
        <v>0</v>
      </c>
      <c r="Z27" s="166">
        <f t="shared" si="5"/>
        <v>0</v>
      </c>
      <c r="AA27" s="166">
        <f t="shared" si="5"/>
        <v>557062797</v>
      </c>
      <c r="AB27" s="166">
        <f t="shared" si="5"/>
        <v>568378812.92000008</v>
      </c>
      <c r="AC27" s="166">
        <f t="shared" si="5"/>
        <v>567528335.24000001</v>
      </c>
      <c r="AD27" s="166">
        <f t="shared" si="5"/>
        <v>546963550.07000005</v>
      </c>
      <c r="AE27" s="166">
        <f t="shared" si="5"/>
        <v>560253262.97000003</v>
      </c>
      <c r="AF27" s="166">
        <f t="shared" si="5"/>
        <v>571650845.88999999</v>
      </c>
      <c r="AG27" s="166">
        <f t="shared" si="5"/>
        <v>562671152.15999997</v>
      </c>
      <c r="AH27" s="166">
        <f t="shared" si="5"/>
        <v>700032915.39999998</v>
      </c>
      <c r="AI27" s="166">
        <f t="shared" si="5"/>
        <v>640428689.99000001</v>
      </c>
      <c r="AJ27" s="166">
        <f t="shared" si="5"/>
        <v>620950859.32000005</v>
      </c>
      <c r="AK27" s="166">
        <f t="shared" si="5"/>
        <v>628935442.38</v>
      </c>
      <c r="AL27" s="166">
        <f t="shared" si="5"/>
        <v>617963941.32000005</v>
      </c>
      <c r="AM27" s="166">
        <f t="shared" si="5"/>
        <v>598754519.97000003</v>
      </c>
      <c r="AN27" s="166">
        <f t="shared" si="5"/>
        <v>598754519.91000009</v>
      </c>
      <c r="AO27" s="166">
        <f t="shared" si="5"/>
        <v>587236171.25</v>
      </c>
    </row>
    <row r="28" spans="1:41" ht="15.75">
      <c r="A28" s="156" t="s">
        <v>28</v>
      </c>
      <c r="B28" s="157">
        <v>208553605</v>
      </c>
      <c r="C28" s="157">
        <v>193941461.43000001</v>
      </c>
      <c r="D28" s="157">
        <v>184329062.53</v>
      </c>
      <c r="E28" s="157">
        <v>184585710.61000001</v>
      </c>
      <c r="F28" s="157">
        <v>186847589.47999999</v>
      </c>
      <c r="G28" s="157">
        <v>181637959.84</v>
      </c>
      <c r="H28" s="157">
        <v>196650439.22999999</v>
      </c>
      <c r="I28" s="157">
        <v>182006471.38999999</v>
      </c>
      <c r="J28" s="157">
        <v>194364765.88999999</v>
      </c>
      <c r="K28" s="157">
        <v>391682927.51999998</v>
      </c>
      <c r="L28" s="157">
        <v>270799437.31999999</v>
      </c>
      <c r="M28" s="157">
        <v>232260589.87</v>
      </c>
      <c r="N28" s="157">
        <v>251772590</v>
      </c>
      <c r="O28" s="157">
        <v>234867972.41</v>
      </c>
      <c r="P28" s="157">
        <v>260849835.50999999</v>
      </c>
      <c r="Q28" s="157">
        <v>224361228.65000001</v>
      </c>
      <c r="R28" s="157">
        <v>249919359.77000001</v>
      </c>
      <c r="S28" s="157">
        <v>222037413.37</v>
      </c>
      <c r="T28" s="157">
        <v>216483778.93000001</v>
      </c>
      <c r="U28" s="157">
        <v>222613071.97</v>
      </c>
      <c r="AA28" s="149">
        <v>228670040</v>
      </c>
      <c r="AB28" s="157">
        <v>214711670.43000001</v>
      </c>
      <c r="AC28" s="157">
        <v>211459632.24000001</v>
      </c>
      <c r="AD28" s="157">
        <v>201750129.61000001</v>
      </c>
      <c r="AE28" s="157">
        <v>221245691.06999999</v>
      </c>
      <c r="AF28" s="157">
        <v>217980481.38999999</v>
      </c>
      <c r="AG28" s="157">
        <v>203278005.69</v>
      </c>
      <c r="AH28" s="157">
        <v>319046349.54000002</v>
      </c>
      <c r="AI28" s="157">
        <v>264076721.78999999</v>
      </c>
      <c r="AJ28" s="157">
        <v>244534245.19999999</v>
      </c>
      <c r="AK28" s="157">
        <v>245441781.19999999</v>
      </c>
      <c r="AL28" s="157">
        <v>245456307.66</v>
      </c>
      <c r="AM28" s="157">
        <v>211920316.28999999</v>
      </c>
      <c r="AN28" s="149">
        <v>211920316</v>
      </c>
      <c r="AO28" s="283">
        <v>206068939.97</v>
      </c>
    </row>
    <row r="29" spans="1:41" ht="15.75">
      <c r="A29" s="156" t="s">
        <v>29</v>
      </c>
      <c r="B29" s="157"/>
      <c r="C29" s="157">
        <v>20270500</v>
      </c>
      <c r="D29" s="157">
        <v>20044000</v>
      </c>
      <c r="E29" s="157">
        <v>11910000</v>
      </c>
      <c r="F29" s="157">
        <v>18605000</v>
      </c>
      <c r="G29" s="157">
        <v>18505000</v>
      </c>
      <c r="H29" s="157">
        <v>18882000</v>
      </c>
      <c r="I29" s="157">
        <v>20257000</v>
      </c>
      <c r="J29" s="157">
        <v>22562000</v>
      </c>
      <c r="K29" s="157">
        <v>22612000</v>
      </c>
      <c r="L29" s="157">
        <v>22167000</v>
      </c>
      <c r="M29" s="157">
        <v>19512000</v>
      </c>
      <c r="N29" s="157"/>
      <c r="O29" s="157">
        <v>21212000</v>
      </c>
      <c r="P29" s="157">
        <v>21631000</v>
      </c>
      <c r="Q29" s="157">
        <v>20713000</v>
      </c>
      <c r="R29" s="157">
        <v>21713000</v>
      </c>
      <c r="S29" s="157">
        <v>22093770</v>
      </c>
      <c r="T29" s="157">
        <v>23428770</v>
      </c>
      <c r="U29" s="157">
        <v>24250270</v>
      </c>
      <c r="AB29" s="157">
        <v>24746336</v>
      </c>
      <c r="AC29" s="157">
        <v>28734000</v>
      </c>
      <c r="AD29" s="157">
        <v>27885000</v>
      </c>
      <c r="AE29" s="157">
        <v>20395000</v>
      </c>
      <c r="AF29" s="157">
        <v>29468000</v>
      </c>
      <c r="AG29" s="157">
        <v>28708000</v>
      </c>
      <c r="AH29" s="157">
        <v>27808000</v>
      </c>
      <c r="AI29" s="157">
        <v>29603800</v>
      </c>
      <c r="AJ29" s="157">
        <v>29653800</v>
      </c>
      <c r="AK29" s="157">
        <v>32973800</v>
      </c>
      <c r="AL29" s="157">
        <v>23173800</v>
      </c>
      <c r="AM29" s="157">
        <v>33873800</v>
      </c>
      <c r="AN29" s="157">
        <v>33873800</v>
      </c>
      <c r="AO29" s="284">
        <v>36128600</v>
      </c>
    </row>
    <row r="30" spans="1:41" ht="15.75">
      <c r="A30" s="156" t="s">
        <v>30</v>
      </c>
      <c r="B30" s="157">
        <v>157808397</v>
      </c>
      <c r="C30" s="157">
        <v>157568059.94</v>
      </c>
      <c r="D30" s="157">
        <v>157987179.94</v>
      </c>
      <c r="E30" s="157">
        <v>158767014.94</v>
      </c>
      <c r="F30" s="157">
        <v>158242087.34</v>
      </c>
      <c r="G30" s="157">
        <v>158592422.34</v>
      </c>
      <c r="H30" s="157">
        <v>160082448.19999999</v>
      </c>
      <c r="I30" s="157">
        <v>160316342.59999999</v>
      </c>
      <c r="J30" s="157">
        <v>159724179.63</v>
      </c>
      <c r="K30" s="157">
        <v>159966509.63</v>
      </c>
      <c r="L30" s="157">
        <v>160500129.63</v>
      </c>
      <c r="M30" s="157">
        <v>160891829.63</v>
      </c>
      <c r="N30" s="157">
        <v>160891830</v>
      </c>
      <c r="O30" s="157">
        <v>160548691.63</v>
      </c>
      <c r="P30" s="157">
        <v>160987626.15000001</v>
      </c>
      <c r="Q30" s="157">
        <v>160514912.44999999</v>
      </c>
      <c r="R30" s="157">
        <v>161673367.34999999</v>
      </c>
      <c r="S30" s="157">
        <v>163739517.34999999</v>
      </c>
      <c r="T30" s="157">
        <v>164508551.34999999</v>
      </c>
      <c r="U30" s="157">
        <v>165158802.34999999</v>
      </c>
      <c r="AA30" s="149">
        <v>168763483</v>
      </c>
      <c r="AB30" s="157">
        <v>169381357.36000001</v>
      </c>
      <c r="AC30" s="157">
        <v>169361365.36000001</v>
      </c>
      <c r="AD30" s="157">
        <v>169606320.56</v>
      </c>
      <c r="AE30" s="157">
        <v>169669368.56999999</v>
      </c>
      <c r="AF30" s="157">
        <v>172141170.66999999</v>
      </c>
      <c r="AG30" s="157">
        <v>171926891.66999999</v>
      </c>
      <c r="AH30" s="157">
        <v>172738928.50999999</v>
      </c>
      <c r="AI30" s="157">
        <v>172483031.43000001</v>
      </c>
      <c r="AJ30" s="157">
        <v>173232668.22999999</v>
      </c>
      <c r="AK30" s="157">
        <v>173750710.53999999</v>
      </c>
      <c r="AL30" s="157">
        <v>172967535.94</v>
      </c>
      <c r="AM30" s="157">
        <v>174065187.88</v>
      </c>
      <c r="AN30" s="157">
        <v>174065187.88</v>
      </c>
      <c r="AO30" s="284">
        <v>177470935.16999999</v>
      </c>
    </row>
    <row r="31" spans="1:41" ht="15.75">
      <c r="A31" s="153" t="s">
        <v>31</v>
      </c>
      <c r="B31" s="154">
        <f>SUM(B28:B30)</f>
        <v>366362002</v>
      </c>
      <c r="C31" s="154">
        <f t="shared" ref="C31:AO31" si="6">SUM(C28:C30)</f>
        <v>371780021.37</v>
      </c>
      <c r="D31" s="154">
        <f t="shared" si="6"/>
        <v>362360242.47000003</v>
      </c>
      <c r="E31" s="154">
        <f t="shared" si="6"/>
        <v>355262725.55000001</v>
      </c>
      <c r="F31" s="154">
        <f t="shared" si="6"/>
        <v>363694676.81999999</v>
      </c>
      <c r="G31" s="154">
        <f t="shared" si="6"/>
        <v>358735382.18000001</v>
      </c>
      <c r="H31" s="154">
        <f t="shared" si="6"/>
        <v>375614887.42999995</v>
      </c>
      <c r="I31" s="154">
        <f t="shared" si="6"/>
        <v>362579813.99000001</v>
      </c>
      <c r="J31" s="154">
        <f t="shared" si="6"/>
        <v>376650945.51999998</v>
      </c>
      <c r="K31" s="154">
        <f t="shared" si="6"/>
        <v>574261437.14999998</v>
      </c>
      <c r="L31" s="154">
        <f t="shared" si="6"/>
        <v>453466566.94999999</v>
      </c>
      <c r="M31" s="154">
        <f t="shared" si="6"/>
        <v>412664419.5</v>
      </c>
      <c r="N31" s="154">
        <f t="shared" si="6"/>
        <v>412664420</v>
      </c>
      <c r="O31" s="154">
        <f t="shared" si="6"/>
        <v>416628664.03999996</v>
      </c>
      <c r="P31" s="154">
        <f t="shared" si="6"/>
        <v>443468461.65999997</v>
      </c>
      <c r="Q31" s="154">
        <f t="shared" si="6"/>
        <v>405589141.10000002</v>
      </c>
      <c r="R31" s="154">
        <f t="shared" si="6"/>
        <v>433305727.12</v>
      </c>
      <c r="S31" s="154">
        <f t="shared" si="6"/>
        <v>407870700.72000003</v>
      </c>
      <c r="T31" s="154">
        <f t="shared" si="6"/>
        <v>404421100.27999997</v>
      </c>
      <c r="U31" s="154">
        <f t="shared" si="6"/>
        <v>412022144.31999999</v>
      </c>
      <c r="V31" s="154">
        <f t="shared" si="6"/>
        <v>0</v>
      </c>
      <c r="W31" s="154">
        <f t="shared" si="6"/>
        <v>0</v>
      </c>
      <c r="X31" s="154">
        <f t="shared" si="6"/>
        <v>0</v>
      </c>
      <c r="Y31" s="154">
        <f t="shared" si="6"/>
        <v>0</v>
      </c>
      <c r="Z31" s="154">
        <f t="shared" si="6"/>
        <v>0</v>
      </c>
      <c r="AA31" s="154">
        <f t="shared" si="6"/>
        <v>397433523</v>
      </c>
      <c r="AB31" s="154">
        <f t="shared" si="6"/>
        <v>408839363.79000002</v>
      </c>
      <c r="AC31" s="154">
        <f t="shared" si="6"/>
        <v>409554997.60000002</v>
      </c>
      <c r="AD31" s="154">
        <f t="shared" si="6"/>
        <v>399241450.17000002</v>
      </c>
      <c r="AE31" s="154">
        <f t="shared" si="6"/>
        <v>411310059.63999999</v>
      </c>
      <c r="AF31" s="154">
        <f t="shared" si="6"/>
        <v>419589652.05999994</v>
      </c>
      <c r="AG31" s="154">
        <f t="shared" si="6"/>
        <v>403912897.36000001</v>
      </c>
      <c r="AH31" s="154">
        <f t="shared" si="6"/>
        <v>519593278.05000001</v>
      </c>
      <c r="AI31" s="154">
        <f t="shared" si="6"/>
        <v>466163553.21999997</v>
      </c>
      <c r="AJ31" s="154">
        <f t="shared" si="6"/>
        <v>447420713.42999995</v>
      </c>
      <c r="AK31" s="154">
        <f t="shared" si="6"/>
        <v>452166291.74000001</v>
      </c>
      <c r="AL31" s="154">
        <f t="shared" si="6"/>
        <v>441597643.59999996</v>
      </c>
      <c r="AM31" s="154">
        <f t="shared" si="6"/>
        <v>419859304.16999996</v>
      </c>
      <c r="AN31" s="154">
        <f t="shared" si="6"/>
        <v>419859303.88</v>
      </c>
      <c r="AO31" s="154">
        <f t="shared" si="6"/>
        <v>419668475.13999999</v>
      </c>
    </row>
    <row r="32" spans="1:41" ht="15.75">
      <c r="A32" s="156" t="s">
        <v>32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>
        <v>0</v>
      </c>
      <c r="M32" s="157">
        <v>0</v>
      </c>
      <c r="N32" s="157">
        <v>0</v>
      </c>
      <c r="O32" s="157">
        <v>0</v>
      </c>
      <c r="P32" s="157">
        <v>0</v>
      </c>
      <c r="Q32" s="157">
        <v>0</v>
      </c>
      <c r="R32" s="157">
        <v>0</v>
      </c>
      <c r="S32" s="157">
        <v>0</v>
      </c>
      <c r="T32" s="157">
        <v>0</v>
      </c>
      <c r="U32" s="157">
        <v>0</v>
      </c>
      <c r="V32" s="157">
        <v>0</v>
      </c>
      <c r="W32" s="157">
        <v>0</v>
      </c>
      <c r="X32" s="157">
        <v>0</v>
      </c>
      <c r="Y32" s="157">
        <v>0</v>
      </c>
      <c r="Z32" s="157">
        <v>0</v>
      </c>
      <c r="AA32" s="157">
        <v>150000</v>
      </c>
      <c r="AB32" s="157">
        <v>0</v>
      </c>
      <c r="AC32" s="157">
        <v>0</v>
      </c>
      <c r="AD32" s="157">
        <v>0</v>
      </c>
      <c r="AE32" s="157">
        <v>0</v>
      </c>
      <c r="AF32" s="157">
        <v>0</v>
      </c>
      <c r="AG32" s="157">
        <v>0</v>
      </c>
      <c r="AH32" s="157">
        <v>0</v>
      </c>
      <c r="AI32" s="157">
        <v>0</v>
      </c>
      <c r="AJ32" s="157">
        <v>0</v>
      </c>
      <c r="AK32" s="157">
        <v>0</v>
      </c>
      <c r="AL32" s="157">
        <v>0</v>
      </c>
      <c r="AM32" s="157">
        <v>0</v>
      </c>
      <c r="AN32" s="149">
        <v>3723476.75</v>
      </c>
      <c r="AO32" s="285">
        <v>0</v>
      </c>
    </row>
    <row r="33" spans="1:41" ht="15.75">
      <c r="A33" s="156" t="s">
        <v>33</v>
      </c>
      <c r="B33" s="157">
        <f>1706274+6047587</f>
        <v>7753861</v>
      </c>
      <c r="C33" s="157">
        <v>7737289.3099999996</v>
      </c>
      <c r="D33" s="157">
        <v>7712209.3099999996</v>
      </c>
      <c r="E33" s="157">
        <v>25759163.460000001</v>
      </c>
      <c r="F33" s="157">
        <v>13948556.460000001</v>
      </c>
      <c r="G33" s="157">
        <v>12410890.460000001</v>
      </c>
      <c r="H33" s="157">
        <v>11508125.460000001</v>
      </c>
      <c r="I33" s="157">
        <v>10981976.460000001</v>
      </c>
      <c r="J33" s="157">
        <v>10806135.460000001</v>
      </c>
      <c r="K33" s="157">
        <v>10758040.460000001</v>
      </c>
      <c r="L33" s="157">
        <v>10668160.460000001</v>
      </c>
      <c r="M33" s="157">
        <v>10506256.460000001</v>
      </c>
      <c r="N33" s="157">
        <f>3052686+7453370</f>
        <v>10506056</v>
      </c>
      <c r="O33" s="157">
        <v>10232720.460000001</v>
      </c>
      <c r="P33" s="157">
        <v>28305701.460000001</v>
      </c>
      <c r="Q33" s="157">
        <v>9836865.4600000009</v>
      </c>
      <c r="R33" s="157">
        <v>5878966.46</v>
      </c>
      <c r="S33" s="157">
        <v>5210385.46</v>
      </c>
      <c r="T33" s="157">
        <v>4205323.46</v>
      </c>
      <c r="U33" s="157">
        <v>4047378.46</v>
      </c>
      <c r="AA33" s="149">
        <v>2959673</v>
      </c>
      <c r="AB33" s="157">
        <v>2915438.46</v>
      </c>
      <c r="AC33" s="157">
        <v>16463144.16</v>
      </c>
      <c r="AD33" s="157">
        <v>8400823.1600000001</v>
      </c>
      <c r="AE33" s="157">
        <v>6658189.1600000001</v>
      </c>
      <c r="AF33" s="157">
        <v>5934559.1600000001</v>
      </c>
      <c r="AG33" s="157">
        <v>5714482.1600000001</v>
      </c>
      <c r="AH33" s="157">
        <v>5457819.1600000001</v>
      </c>
      <c r="AI33" s="157">
        <v>5241428.16</v>
      </c>
      <c r="AJ33" s="157">
        <v>5104696.16</v>
      </c>
      <c r="AK33" s="157">
        <v>5023561.16</v>
      </c>
      <c r="AL33" s="157">
        <v>4855706.16</v>
      </c>
      <c r="AM33" s="157">
        <v>2323162.7000000002</v>
      </c>
      <c r="AN33" s="149">
        <v>17192689</v>
      </c>
      <c r="AO33" s="284">
        <v>4791505.16</v>
      </c>
    </row>
    <row r="34" spans="1:41" ht="15.75">
      <c r="A34" s="156" t="s">
        <v>34</v>
      </c>
      <c r="B34" s="157">
        <v>0</v>
      </c>
      <c r="C34" s="157">
        <v>0</v>
      </c>
      <c r="D34" s="157">
        <v>0</v>
      </c>
      <c r="E34" s="157">
        <v>0</v>
      </c>
      <c r="F34" s="157">
        <v>0</v>
      </c>
      <c r="G34" s="157">
        <v>0</v>
      </c>
      <c r="H34" s="157">
        <v>0</v>
      </c>
      <c r="I34" s="157">
        <v>0</v>
      </c>
      <c r="J34" s="157">
        <v>0</v>
      </c>
      <c r="K34" s="157">
        <v>0</v>
      </c>
      <c r="L34" s="157">
        <v>0</v>
      </c>
      <c r="M34" s="157">
        <v>0</v>
      </c>
      <c r="N34" s="157">
        <v>0</v>
      </c>
      <c r="O34" s="157">
        <v>0</v>
      </c>
      <c r="P34" s="157">
        <v>0</v>
      </c>
      <c r="Q34" s="157">
        <v>0</v>
      </c>
      <c r="R34" s="157">
        <v>0</v>
      </c>
      <c r="S34" s="157">
        <v>0</v>
      </c>
      <c r="T34" s="157">
        <v>0</v>
      </c>
      <c r="U34" s="157">
        <v>0</v>
      </c>
      <c r="V34" s="157">
        <v>0</v>
      </c>
      <c r="W34" s="157">
        <v>0</v>
      </c>
      <c r="X34" s="157">
        <v>0</v>
      </c>
      <c r="Y34" s="157">
        <v>0</v>
      </c>
      <c r="Z34" s="157">
        <v>0</v>
      </c>
      <c r="AA34" s="157">
        <v>0</v>
      </c>
      <c r="AB34" s="157">
        <v>0</v>
      </c>
      <c r="AC34" s="157">
        <v>0</v>
      </c>
      <c r="AD34" s="157">
        <v>0</v>
      </c>
      <c r="AE34" s="157">
        <v>0</v>
      </c>
      <c r="AF34" s="157">
        <v>0</v>
      </c>
      <c r="AG34" s="157">
        <v>0</v>
      </c>
      <c r="AH34" s="157">
        <v>0</v>
      </c>
      <c r="AI34" s="157">
        <v>0</v>
      </c>
      <c r="AJ34" s="157">
        <v>0</v>
      </c>
      <c r="AK34" s="157">
        <v>0</v>
      </c>
      <c r="AL34" s="157">
        <v>0</v>
      </c>
      <c r="AM34" s="157">
        <v>0</v>
      </c>
      <c r="AO34" s="286">
        <v>0</v>
      </c>
    </row>
    <row r="35" spans="1:41" ht="15.75">
      <c r="A35" s="156" t="s">
        <v>35</v>
      </c>
      <c r="B35" s="157">
        <v>0</v>
      </c>
      <c r="C35" s="157">
        <v>0</v>
      </c>
      <c r="D35" s="157">
        <v>0</v>
      </c>
      <c r="E35" s="157">
        <v>0</v>
      </c>
      <c r="F35" s="157">
        <v>0</v>
      </c>
      <c r="G35" s="157">
        <v>0</v>
      </c>
      <c r="H35" s="157">
        <v>0</v>
      </c>
      <c r="I35" s="157">
        <v>0</v>
      </c>
      <c r="J35" s="157">
        <v>0</v>
      </c>
      <c r="K35" s="157">
        <v>0</v>
      </c>
      <c r="L35" s="157">
        <v>0</v>
      </c>
      <c r="M35" s="157">
        <v>0</v>
      </c>
      <c r="N35" s="157">
        <v>0</v>
      </c>
      <c r="O35" s="157">
        <v>0</v>
      </c>
      <c r="P35" s="157">
        <v>0</v>
      </c>
      <c r="Q35" s="157">
        <v>0</v>
      </c>
      <c r="R35" s="157">
        <v>0</v>
      </c>
      <c r="S35" s="157">
        <v>0</v>
      </c>
      <c r="T35" s="157">
        <v>0</v>
      </c>
      <c r="U35" s="157">
        <v>0</v>
      </c>
      <c r="V35" s="157">
        <v>0</v>
      </c>
      <c r="W35" s="157">
        <v>0</v>
      </c>
      <c r="X35" s="157">
        <v>0</v>
      </c>
      <c r="Y35" s="157">
        <v>0</v>
      </c>
      <c r="Z35" s="157">
        <v>0</v>
      </c>
      <c r="AA35" s="157">
        <v>0</v>
      </c>
      <c r="AB35" s="157">
        <v>0</v>
      </c>
      <c r="AC35" s="157">
        <v>0</v>
      </c>
      <c r="AD35" s="157">
        <v>0</v>
      </c>
      <c r="AE35" s="157">
        <v>0</v>
      </c>
      <c r="AF35" s="157">
        <v>0</v>
      </c>
      <c r="AG35" s="157">
        <v>0</v>
      </c>
      <c r="AH35" s="157">
        <v>0</v>
      </c>
      <c r="AI35" s="157">
        <v>0</v>
      </c>
      <c r="AJ35" s="157">
        <v>0</v>
      </c>
      <c r="AK35" s="157">
        <v>0</v>
      </c>
      <c r="AL35" s="157">
        <v>0</v>
      </c>
      <c r="AM35" s="157">
        <v>0</v>
      </c>
      <c r="AO35" s="286">
        <v>0</v>
      </c>
    </row>
    <row r="36" spans="1:41" ht="15.75">
      <c r="A36" s="156" t="s">
        <v>36</v>
      </c>
      <c r="B36" s="157">
        <f>37823892+15780840+376422+4902255</f>
        <v>58883409</v>
      </c>
      <c r="C36" s="157">
        <v>32018948.739999998</v>
      </c>
      <c r="D36" s="157">
        <v>23503524.370000001</v>
      </c>
      <c r="E36" s="157">
        <v>33843646.310000002</v>
      </c>
      <c r="F36" s="157">
        <v>39597375.020000003</v>
      </c>
      <c r="G36" s="157">
        <v>36903863.469999999</v>
      </c>
      <c r="H36" s="157">
        <v>67488075.400000006</v>
      </c>
      <c r="I36" s="157">
        <v>25043411.920000002</v>
      </c>
      <c r="J36" s="157">
        <v>11497579.35</v>
      </c>
      <c r="K36" s="157">
        <v>17637978.030000001</v>
      </c>
      <c r="L36" s="157">
        <v>16909987.149999999</v>
      </c>
      <c r="M36" s="157">
        <v>16672721.289999999</v>
      </c>
      <c r="N36" s="157">
        <f>10255348+16089183+716987+26214+8120476</f>
        <v>35208208</v>
      </c>
      <c r="O36" s="157">
        <v>19668522.149999999</v>
      </c>
      <c r="P36" s="157">
        <v>21828371.920000002</v>
      </c>
      <c r="Q36" s="157">
        <v>23463231.050000001</v>
      </c>
      <c r="R36" s="157">
        <v>21775266.510000002</v>
      </c>
      <c r="S36" s="157">
        <v>21299813.550000001</v>
      </c>
      <c r="T36" s="157">
        <v>18667261.670000002</v>
      </c>
      <c r="U36" s="157">
        <v>17426763.91</v>
      </c>
      <c r="AA36" s="149">
        <f>10768819+13501079+25087+12536249+3695140</f>
        <v>40526374</v>
      </c>
      <c r="AB36" s="157">
        <v>16170353.039999999</v>
      </c>
      <c r="AC36" s="157">
        <v>23197464.109999999</v>
      </c>
      <c r="AD36" s="157">
        <v>17164809.350000001</v>
      </c>
      <c r="AE36" s="157">
        <v>15554081.390000001</v>
      </c>
      <c r="AF36" s="157">
        <v>13983433.09</v>
      </c>
      <c r="AG36" s="157">
        <v>15938249.699999999</v>
      </c>
      <c r="AH36" s="157">
        <v>27590109.640000001</v>
      </c>
      <c r="AI36" s="157">
        <v>20894200.02</v>
      </c>
      <c r="AJ36" s="157">
        <v>18668554.120000001</v>
      </c>
      <c r="AK36" s="157">
        <v>21194238.09</v>
      </c>
      <c r="AL36" s="157">
        <v>20175956.940000001</v>
      </c>
      <c r="AM36" s="157">
        <v>21237647.300000001</v>
      </c>
      <c r="AN36" s="149">
        <v>20418289.949999999</v>
      </c>
      <c r="AO36" s="284">
        <v>13325828.77</v>
      </c>
    </row>
    <row r="37" spans="1:41" ht="15.75">
      <c r="A37" s="156" t="s">
        <v>37</v>
      </c>
      <c r="B37" s="157"/>
      <c r="C37" s="157">
        <v>0</v>
      </c>
      <c r="D37" s="157">
        <v>0</v>
      </c>
      <c r="E37" s="157">
        <v>0</v>
      </c>
      <c r="F37" s="157">
        <v>0</v>
      </c>
      <c r="G37" s="157">
        <v>0</v>
      </c>
      <c r="H37" s="157">
        <v>0</v>
      </c>
      <c r="I37" s="157">
        <v>0</v>
      </c>
      <c r="J37" s="157">
        <v>0</v>
      </c>
      <c r="K37" s="157">
        <v>0</v>
      </c>
      <c r="L37" s="157">
        <v>0</v>
      </c>
      <c r="M37" s="157">
        <v>0</v>
      </c>
      <c r="N37" s="157"/>
      <c r="O37" s="157">
        <v>0</v>
      </c>
      <c r="P37" s="157">
        <v>0</v>
      </c>
      <c r="Q37" s="157">
        <v>0</v>
      </c>
      <c r="R37" s="157">
        <v>0</v>
      </c>
      <c r="S37" s="157">
        <v>0</v>
      </c>
      <c r="T37" s="157">
        <v>0</v>
      </c>
      <c r="U37" s="157">
        <v>0</v>
      </c>
      <c r="AB37" s="157">
        <v>0</v>
      </c>
      <c r="AC37" s="157">
        <v>0</v>
      </c>
      <c r="AD37" s="157">
        <v>0</v>
      </c>
      <c r="AE37" s="157">
        <v>0</v>
      </c>
      <c r="AF37" s="157">
        <v>0</v>
      </c>
      <c r="AG37" s="157">
        <v>0</v>
      </c>
      <c r="AH37" s="157">
        <v>0</v>
      </c>
      <c r="AI37" s="157">
        <v>0</v>
      </c>
      <c r="AJ37" s="157">
        <v>0</v>
      </c>
      <c r="AK37" s="157">
        <v>0</v>
      </c>
      <c r="AL37" s="157">
        <v>0</v>
      </c>
      <c r="AM37" s="157">
        <v>0</v>
      </c>
      <c r="AO37" s="286">
        <v>0</v>
      </c>
    </row>
    <row r="38" spans="1:41" ht="15.75">
      <c r="A38" s="153" t="s">
        <v>38</v>
      </c>
      <c r="B38" s="154">
        <f>SUM(B31:B37)</f>
        <v>432999272</v>
      </c>
      <c r="C38" s="154">
        <f t="shared" ref="C38:AO38" si="7">SUM(C31:C37)</f>
        <v>411536259.42000002</v>
      </c>
      <c r="D38" s="154">
        <f t="shared" si="7"/>
        <v>393575976.15000004</v>
      </c>
      <c r="E38" s="154">
        <f t="shared" si="7"/>
        <v>414865535.31999999</v>
      </c>
      <c r="F38" s="154">
        <f t="shared" si="7"/>
        <v>417240608.29999995</v>
      </c>
      <c r="G38" s="154">
        <f t="shared" si="7"/>
        <v>408050136.11000001</v>
      </c>
      <c r="H38" s="154">
        <f t="shared" si="7"/>
        <v>454611088.28999996</v>
      </c>
      <c r="I38" s="154">
        <f t="shared" si="7"/>
        <v>398605202.37</v>
      </c>
      <c r="J38" s="154">
        <f t="shared" si="7"/>
        <v>398954660.32999998</v>
      </c>
      <c r="K38" s="154">
        <f t="shared" si="7"/>
        <v>602657455.63999999</v>
      </c>
      <c r="L38" s="154">
        <f t="shared" si="7"/>
        <v>481044714.55999994</v>
      </c>
      <c r="M38" s="154">
        <f t="shared" si="7"/>
        <v>439843397.25</v>
      </c>
      <c r="N38" s="154">
        <f t="shared" si="7"/>
        <v>458378684</v>
      </c>
      <c r="O38" s="154">
        <f t="shared" si="7"/>
        <v>446529906.64999992</v>
      </c>
      <c r="P38" s="154">
        <f t="shared" si="7"/>
        <v>493602535.03999996</v>
      </c>
      <c r="Q38" s="154">
        <f t="shared" si="7"/>
        <v>438889237.61000001</v>
      </c>
      <c r="R38" s="154">
        <f t="shared" si="7"/>
        <v>460959960.08999997</v>
      </c>
      <c r="S38" s="154">
        <f t="shared" si="7"/>
        <v>434380899.73000002</v>
      </c>
      <c r="T38" s="154">
        <f t="shared" si="7"/>
        <v>427293685.40999997</v>
      </c>
      <c r="U38" s="154">
        <f t="shared" si="7"/>
        <v>433496286.69</v>
      </c>
      <c r="V38" s="154">
        <f t="shared" si="7"/>
        <v>0</v>
      </c>
      <c r="W38" s="154">
        <f t="shared" si="7"/>
        <v>0</v>
      </c>
      <c r="X38" s="154">
        <f t="shared" si="7"/>
        <v>0</v>
      </c>
      <c r="Y38" s="154">
        <f t="shared" si="7"/>
        <v>0</v>
      </c>
      <c r="Z38" s="154">
        <f t="shared" si="7"/>
        <v>0</v>
      </c>
      <c r="AA38" s="154">
        <f t="shared" si="7"/>
        <v>441069570</v>
      </c>
      <c r="AB38" s="154">
        <f t="shared" si="7"/>
        <v>427925155.29000002</v>
      </c>
      <c r="AC38" s="154">
        <f t="shared" si="7"/>
        <v>449215605.87000006</v>
      </c>
      <c r="AD38" s="154">
        <f t="shared" si="7"/>
        <v>424807082.68000007</v>
      </c>
      <c r="AE38" s="154">
        <f t="shared" si="7"/>
        <v>433522330.19</v>
      </c>
      <c r="AF38" s="154">
        <f t="shared" si="7"/>
        <v>439507644.30999994</v>
      </c>
      <c r="AG38" s="154">
        <f t="shared" si="7"/>
        <v>425565629.22000003</v>
      </c>
      <c r="AH38" s="154">
        <f t="shared" si="7"/>
        <v>552641206.85000002</v>
      </c>
      <c r="AI38" s="154">
        <f t="shared" si="7"/>
        <v>492299181.39999998</v>
      </c>
      <c r="AJ38" s="154">
        <f t="shared" si="7"/>
        <v>471193963.70999998</v>
      </c>
      <c r="AK38" s="154">
        <f t="shared" si="7"/>
        <v>478384090.99000001</v>
      </c>
      <c r="AL38" s="154">
        <f t="shared" si="7"/>
        <v>466629306.69999999</v>
      </c>
      <c r="AM38" s="154">
        <f t="shared" si="7"/>
        <v>443420114.16999996</v>
      </c>
      <c r="AN38" s="154">
        <f t="shared" si="7"/>
        <v>461193759.57999998</v>
      </c>
      <c r="AO38" s="154">
        <f t="shared" si="7"/>
        <v>437785809.06999999</v>
      </c>
    </row>
    <row r="39" spans="1:41" ht="15.75">
      <c r="A39" s="156" t="s">
        <v>39</v>
      </c>
      <c r="B39" s="157">
        <v>33761298</v>
      </c>
      <c r="C39" s="157">
        <v>33938427.829999998</v>
      </c>
      <c r="D39" s="157">
        <v>34105717.829999998</v>
      </c>
      <c r="E39" s="157">
        <v>34254182.829999998</v>
      </c>
      <c r="F39" s="157">
        <v>34465202.829999998</v>
      </c>
      <c r="G39" s="157">
        <v>34623119.829999998</v>
      </c>
      <c r="H39" s="157">
        <v>34960119.829999998</v>
      </c>
      <c r="I39" s="157">
        <v>35225381.43</v>
      </c>
      <c r="J39" s="157">
        <v>35382986.43</v>
      </c>
      <c r="K39" s="157">
        <v>35561469.43</v>
      </c>
      <c r="L39" s="157">
        <v>35752819.43</v>
      </c>
      <c r="M39" s="157">
        <v>35934679.43</v>
      </c>
      <c r="N39" s="157">
        <v>35934679</v>
      </c>
      <c r="O39" s="157">
        <v>36092644.43</v>
      </c>
      <c r="P39" s="157">
        <v>36308273.159999996</v>
      </c>
      <c r="Q39" s="157">
        <v>36634494.859999999</v>
      </c>
      <c r="R39" s="157">
        <v>37048254.960000001</v>
      </c>
      <c r="S39" s="157">
        <v>37506559.960000001</v>
      </c>
      <c r="T39" s="157">
        <v>37871931.960000001</v>
      </c>
      <c r="U39" s="157">
        <v>38219321.960000001</v>
      </c>
      <c r="AA39" s="149">
        <v>39985399</v>
      </c>
      <c r="AB39" s="157">
        <v>40315278.659999996</v>
      </c>
      <c r="AC39" s="157">
        <v>40683825.659999996</v>
      </c>
      <c r="AD39" s="157">
        <v>41075758.460000001</v>
      </c>
      <c r="AE39" s="157">
        <v>41474586.460000001</v>
      </c>
      <c r="AF39" s="157">
        <v>42086673.149999999</v>
      </c>
      <c r="AG39" s="157">
        <v>42675268.149999999</v>
      </c>
      <c r="AH39" s="157">
        <v>43131100.649999999</v>
      </c>
      <c r="AI39" s="157">
        <v>43531180.649999999</v>
      </c>
      <c r="AJ39" s="157">
        <v>43965055.850000001</v>
      </c>
      <c r="AK39" s="157">
        <v>44276198.850000001</v>
      </c>
      <c r="AL39" s="157">
        <v>44713928.850000001</v>
      </c>
      <c r="AM39" s="157">
        <v>45226240.850000001</v>
      </c>
      <c r="AN39" s="149">
        <v>45226241</v>
      </c>
      <c r="AO39" s="283">
        <v>49319355.159999996</v>
      </c>
    </row>
    <row r="40" spans="1:41" ht="15.75">
      <c r="A40" s="156" t="s">
        <v>40</v>
      </c>
      <c r="B40" s="157">
        <v>0</v>
      </c>
      <c r="C40" s="157">
        <v>0</v>
      </c>
      <c r="D40" s="157">
        <v>0</v>
      </c>
      <c r="E40" s="157">
        <v>0</v>
      </c>
      <c r="F40" s="157">
        <v>0</v>
      </c>
      <c r="G40" s="157">
        <v>0</v>
      </c>
      <c r="H40" s="157">
        <v>0</v>
      </c>
      <c r="I40" s="157">
        <v>0</v>
      </c>
      <c r="J40" s="157">
        <v>0</v>
      </c>
      <c r="K40" s="157">
        <v>0</v>
      </c>
      <c r="L40" s="157">
        <v>0</v>
      </c>
      <c r="M40" s="157">
        <v>0</v>
      </c>
      <c r="N40" s="157">
        <v>0</v>
      </c>
      <c r="O40" s="157">
        <v>0</v>
      </c>
      <c r="P40" s="157">
        <v>0</v>
      </c>
      <c r="Q40" s="157">
        <v>0</v>
      </c>
      <c r="R40" s="157">
        <v>0</v>
      </c>
      <c r="S40" s="157">
        <v>0</v>
      </c>
      <c r="T40" s="157">
        <v>0</v>
      </c>
      <c r="U40" s="157">
        <v>0</v>
      </c>
      <c r="V40" s="157">
        <v>0</v>
      </c>
      <c r="W40" s="157">
        <v>0</v>
      </c>
      <c r="X40" s="157">
        <v>0</v>
      </c>
      <c r="Y40" s="157">
        <v>0</v>
      </c>
      <c r="Z40" s="157">
        <v>0</v>
      </c>
      <c r="AA40" s="157">
        <v>0</v>
      </c>
      <c r="AB40" s="157">
        <v>0</v>
      </c>
      <c r="AC40" s="157">
        <v>0</v>
      </c>
      <c r="AD40" s="157">
        <v>0</v>
      </c>
      <c r="AE40" s="157">
        <v>0</v>
      </c>
      <c r="AF40" s="157">
        <v>0</v>
      </c>
      <c r="AG40" s="157">
        <v>0</v>
      </c>
      <c r="AH40" s="157">
        <v>0</v>
      </c>
      <c r="AI40" s="157">
        <v>0</v>
      </c>
      <c r="AJ40" s="157">
        <v>0</v>
      </c>
      <c r="AK40" s="157">
        <v>0</v>
      </c>
      <c r="AL40" s="157">
        <v>0</v>
      </c>
      <c r="AM40" s="157">
        <v>0</v>
      </c>
      <c r="AO40" s="286">
        <v>0</v>
      </c>
    </row>
    <row r="41" spans="1:41" ht="15.75">
      <c r="A41" s="156" t="s">
        <v>41</v>
      </c>
      <c r="B41" s="157">
        <v>22108664</v>
      </c>
      <c r="C41" s="157">
        <v>46919814.469999999</v>
      </c>
      <c r="D41" s="157">
        <v>46919814.469999999</v>
      </c>
      <c r="E41" s="157">
        <v>24114145.469999999</v>
      </c>
      <c r="F41" s="157">
        <v>24114145.469999999</v>
      </c>
      <c r="G41" s="157">
        <v>24114145.469999999</v>
      </c>
      <c r="H41" s="157">
        <v>24114145.469999999</v>
      </c>
      <c r="I41" s="157">
        <v>24114145.469999999</v>
      </c>
      <c r="J41" s="157">
        <v>24114145.469999999</v>
      </c>
      <c r="K41" s="157">
        <v>24114145.469999999</v>
      </c>
      <c r="L41" s="157">
        <v>24114145.469999999</v>
      </c>
      <c r="M41" s="157">
        <v>24114145.469999999</v>
      </c>
      <c r="N41" s="157">
        <v>23064003</v>
      </c>
      <c r="O41" s="157">
        <v>53208039.130000003</v>
      </c>
      <c r="P41" s="157">
        <v>31928092.829999998</v>
      </c>
      <c r="Q41" s="157">
        <v>31928092.829999998</v>
      </c>
      <c r="R41" s="157">
        <v>31928092.829999998</v>
      </c>
      <c r="S41" s="157">
        <v>31928092.829999998</v>
      </c>
      <c r="T41" s="157">
        <v>31928092.829999998</v>
      </c>
      <c r="U41" s="157">
        <v>31928092.829999998</v>
      </c>
      <c r="AA41" s="149">
        <v>26822653</v>
      </c>
      <c r="AB41" s="157">
        <v>56158709.960000001</v>
      </c>
      <c r="AC41" s="157">
        <v>26003107</v>
      </c>
      <c r="AD41" s="157">
        <v>26003107</v>
      </c>
      <c r="AE41" s="157">
        <v>26003107</v>
      </c>
      <c r="AF41" s="157">
        <v>26003107</v>
      </c>
      <c r="AG41" s="157">
        <v>26003107</v>
      </c>
      <c r="AH41" s="157">
        <v>26003107</v>
      </c>
      <c r="AI41" s="157">
        <v>26003107</v>
      </c>
      <c r="AJ41" s="157">
        <v>26003107</v>
      </c>
      <c r="AK41" s="157">
        <v>26003107</v>
      </c>
      <c r="AL41" s="157">
        <v>26003107</v>
      </c>
      <c r="AM41" s="157">
        <v>26003107</v>
      </c>
      <c r="AN41" s="149">
        <v>26003107</v>
      </c>
      <c r="AO41" s="284">
        <v>34949045.560000002</v>
      </c>
    </row>
    <row r="42" spans="1:41" ht="15.75">
      <c r="A42" s="156" t="s">
        <v>42</v>
      </c>
      <c r="B42" s="157">
        <f>5414336-1082867-3376130</f>
        <v>955339</v>
      </c>
      <c r="C42" s="157">
        <v>3735002.19</v>
      </c>
      <c r="D42" s="157">
        <v>8390013.4700000007</v>
      </c>
      <c r="E42" s="157">
        <v>8387848.5199999996</v>
      </c>
      <c r="F42" s="157">
        <v>11070287.74</v>
      </c>
      <c r="G42" s="157">
        <v>13615720.1</v>
      </c>
      <c r="H42" s="157">
        <v>14614562.16</v>
      </c>
      <c r="I42" s="157">
        <v>16619333.960000001</v>
      </c>
      <c r="J42" s="157">
        <v>17388495.760000002</v>
      </c>
      <c r="K42" s="157">
        <v>27390329.579999998</v>
      </c>
      <c r="L42" s="157">
        <v>28214330.039999999</v>
      </c>
      <c r="M42" s="157">
        <v>29093893.66</v>
      </c>
      <c r="N42" s="157">
        <f>9113112-1822622-3593468</f>
        <v>3697022</v>
      </c>
      <c r="O42" s="157">
        <v>2070138.27</v>
      </c>
      <c r="P42" s="157">
        <v>2662456.09</v>
      </c>
      <c r="Q42" s="157">
        <v>4628497.33</v>
      </c>
      <c r="R42" s="157">
        <v>7780319.9199999999</v>
      </c>
      <c r="S42" s="157">
        <v>9059006.2699999996</v>
      </c>
      <c r="T42" s="157">
        <v>10266738.369999999</v>
      </c>
      <c r="U42" s="157">
        <v>12044780.42</v>
      </c>
      <c r="AA42" s="149">
        <f>2972569-594514+1231-3198832</f>
        <v>-819546</v>
      </c>
      <c r="AB42" s="157">
        <v>4910659.57</v>
      </c>
      <c r="AC42" s="157">
        <v>8541349.9700000007</v>
      </c>
      <c r="AD42" s="157">
        <v>11984242.49</v>
      </c>
      <c r="AE42" s="157">
        <v>16150659.380000001</v>
      </c>
      <c r="AF42" s="157">
        <v>20940281.789999999</v>
      </c>
      <c r="AG42" s="157">
        <v>25310554.850000001</v>
      </c>
      <c r="AH42" s="157">
        <v>35135869.759999998</v>
      </c>
      <c r="AI42" s="157">
        <v>35465581.600000001</v>
      </c>
      <c r="AJ42" s="157">
        <v>36645648.32</v>
      </c>
      <c r="AK42" s="157">
        <v>37116369.649999999</v>
      </c>
      <c r="AL42" s="157">
        <v>37456031.030000001</v>
      </c>
      <c r="AM42" s="157">
        <v>40935409.560000002</v>
      </c>
      <c r="AN42" s="149">
        <v>8607115</v>
      </c>
      <c r="AO42" s="284">
        <v>11664715.119999999</v>
      </c>
    </row>
    <row r="43" spans="1:41" ht="15.75">
      <c r="A43" s="156" t="s">
        <v>43</v>
      </c>
      <c r="B43" s="157">
        <v>17773272</v>
      </c>
      <c r="C43" s="157">
        <v>16690405</v>
      </c>
      <c r="D43" s="157">
        <v>16690405</v>
      </c>
      <c r="E43" s="157">
        <v>17773272</v>
      </c>
      <c r="F43" s="157">
        <v>17773272</v>
      </c>
      <c r="G43" s="157">
        <v>17773272</v>
      </c>
      <c r="H43" s="157">
        <v>17773272</v>
      </c>
      <c r="I43" s="157">
        <v>17773272</v>
      </c>
      <c r="J43" s="157">
        <v>17773272</v>
      </c>
      <c r="K43" s="157">
        <v>17773272</v>
      </c>
      <c r="L43" s="157">
        <v>17773272</v>
      </c>
      <c r="M43" s="157">
        <v>17773272</v>
      </c>
      <c r="N43" s="157">
        <v>19595894</v>
      </c>
      <c r="O43" s="157">
        <v>17773272</v>
      </c>
      <c r="P43" s="157">
        <v>19563155</v>
      </c>
      <c r="Q43" s="157">
        <v>19563155</v>
      </c>
      <c r="R43" s="157">
        <v>19563155</v>
      </c>
      <c r="S43" s="157">
        <v>19563155</v>
      </c>
      <c r="T43" s="157">
        <v>19563155</v>
      </c>
      <c r="U43" s="157">
        <v>19563155</v>
      </c>
      <c r="AA43" s="149">
        <v>20157669</v>
      </c>
      <c r="AB43" s="157">
        <v>19563155</v>
      </c>
      <c r="AC43" s="157">
        <v>20157669</v>
      </c>
      <c r="AD43" s="157">
        <v>20157669</v>
      </c>
      <c r="AE43" s="157">
        <v>20157669</v>
      </c>
      <c r="AF43" s="157">
        <v>20157669</v>
      </c>
      <c r="AG43" s="157">
        <v>20157669</v>
      </c>
      <c r="AH43" s="157">
        <v>20157669</v>
      </c>
      <c r="AI43" s="157">
        <v>20157669</v>
      </c>
      <c r="AJ43" s="157">
        <v>20157669</v>
      </c>
      <c r="AK43" s="157">
        <v>20157669</v>
      </c>
      <c r="AL43" s="157">
        <v>20157669</v>
      </c>
      <c r="AM43" s="157">
        <v>20157669</v>
      </c>
      <c r="AN43" s="149">
        <v>23292669</v>
      </c>
      <c r="AO43" s="284">
        <v>23292669</v>
      </c>
    </row>
    <row r="44" spans="1:41" ht="15.75">
      <c r="A44" s="156" t="s">
        <v>44</v>
      </c>
      <c r="B44" s="157">
        <v>29688705</v>
      </c>
      <c r="C44" s="157">
        <v>22663857.920000002</v>
      </c>
      <c r="D44" s="157">
        <v>22729239.920000002</v>
      </c>
      <c r="E44" s="157">
        <v>22732419.620000001</v>
      </c>
      <c r="F44" s="157">
        <v>22733871.739999998</v>
      </c>
      <c r="G44" s="157">
        <v>22739031.440000001</v>
      </c>
      <c r="H44" s="157">
        <v>22742729.539999999</v>
      </c>
      <c r="I44" s="157">
        <v>22755042.440000001</v>
      </c>
      <c r="J44" s="157">
        <v>22759097.84</v>
      </c>
      <c r="K44" s="157">
        <v>22763028.140000001</v>
      </c>
      <c r="L44" s="157">
        <v>22766794.640000001</v>
      </c>
      <c r="M44" s="157">
        <v>22773468.140000001</v>
      </c>
      <c r="N44" s="157">
        <v>29925590</v>
      </c>
      <c r="O44" s="157">
        <v>22781009.239999998</v>
      </c>
      <c r="P44" s="157">
        <v>19374074.190000001</v>
      </c>
      <c r="Q44" s="157">
        <v>19378348.289999999</v>
      </c>
      <c r="R44" s="157">
        <v>19383027.84</v>
      </c>
      <c r="S44" s="157">
        <v>19416020.039999999</v>
      </c>
      <c r="T44" s="157">
        <v>19426861.440000001</v>
      </c>
      <c r="U44" s="157">
        <v>19437158.34</v>
      </c>
      <c r="AA44" s="149">
        <v>29857253</v>
      </c>
      <c r="AB44" s="157">
        <v>19505854.440000001</v>
      </c>
      <c r="AC44" s="157">
        <v>22926777.739999998</v>
      </c>
      <c r="AD44" s="157">
        <v>22935690.440000001</v>
      </c>
      <c r="AE44" s="157">
        <v>22944910.940000001</v>
      </c>
      <c r="AF44" s="157">
        <v>22955470.640000001</v>
      </c>
      <c r="AG44" s="157">
        <v>22958923.940000001</v>
      </c>
      <c r="AH44" s="157">
        <v>22963962.140000001</v>
      </c>
      <c r="AI44" s="157">
        <v>22971970.34</v>
      </c>
      <c r="AJ44" s="157">
        <v>22985415.440000001</v>
      </c>
      <c r="AK44" s="157">
        <v>22998006.890000001</v>
      </c>
      <c r="AL44" s="157">
        <v>23003898.739999998</v>
      </c>
      <c r="AM44" s="157">
        <v>23011979.390000001</v>
      </c>
      <c r="AN44" s="149">
        <v>30164101</v>
      </c>
      <c r="AO44" s="284">
        <v>30224577.34</v>
      </c>
    </row>
    <row r="45" spans="1:41" ht="15.75">
      <c r="A45" s="156" t="s">
        <v>45</v>
      </c>
      <c r="B45" s="157">
        <v>0</v>
      </c>
      <c r="C45" s="157">
        <v>0</v>
      </c>
      <c r="D45" s="157">
        <v>0</v>
      </c>
      <c r="E45" s="157">
        <v>0</v>
      </c>
      <c r="F45" s="157">
        <v>0</v>
      </c>
      <c r="G45" s="157">
        <v>0</v>
      </c>
      <c r="H45" s="157">
        <v>0</v>
      </c>
      <c r="I45" s="157">
        <v>0</v>
      </c>
      <c r="J45" s="157">
        <v>0</v>
      </c>
      <c r="K45" s="157">
        <v>0</v>
      </c>
      <c r="L45" s="157">
        <v>0</v>
      </c>
      <c r="M45" s="157">
        <v>0</v>
      </c>
      <c r="N45" s="157">
        <v>0</v>
      </c>
      <c r="O45" s="157">
        <v>0</v>
      </c>
      <c r="P45" s="157">
        <v>0</v>
      </c>
      <c r="Q45" s="157">
        <v>0</v>
      </c>
      <c r="R45" s="157">
        <v>0</v>
      </c>
      <c r="S45" s="157">
        <v>0</v>
      </c>
      <c r="T45" s="157">
        <v>0</v>
      </c>
      <c r="U45" s="157">
        <v>0</v>
      </c>
      <c r="V45" s="157">
        <v>0</v>
      </c>
      <c r="W45" s="157">
        <v>0</v>
      </c>
      <c r="X45" s="157">
        <v>0</v>
      </c>
      <c r="Y45" s="157">
        <v>0</v>
      </c>
      <c r="Z45" s="157">
        <v>0</v>
      </c>
      <c r="AA45" s="157">
        <v>0</v>
      </c>
      <c r="AB45" s="157">
        <v>0</v>
      </c>
      <c r="AC45" s="157">
        <v>0</v>
      </c>
      <c r="AD45" s="157">
        <v>0</v>
      </c>
      <c r="AE45" s="157">
        <v>0</v>
      </c>
      <c r="AF45" s="157">
        <v>0</v>
      </c>
      <c r="AG45" s="157">
        <v>0</v>
      </c>
      <c r="AH45" s="157">
        <v>0</v>
      </c>
      <c r="AI45" s="157">
        <v>0</v>
      </c>
      <c r="AJ45" s="157">
        <v>0</v>
      </c>
      <c r="AK45" s="157">
        <v>0</v>
      </c>
      <c r="AL45" s="157">
        <v>0</v>
      </c>
      <c r="AM45" s="157">
        <v>0</v>
      </c>
      <c r="AO45" s="286">
        <v>0</v>
      </c>
    </row>
    <row r="46" spans="1:41" ht="15.75">
      <c r="A46" s="156" t="s">
        <v>46</v>
      </c>
      <c r="B46" s="157">
        <v>3376130</v>
      </c>
      <c r="C46" s="167">
        <v>0</v>
      </c>
      <c r="D46" s="167">
        <v>0</v>
      </c>
      <c r="E46" s="167">
        <v>0</v>
      </c>
      <c r="F46" s="167">
        <v>0</v>
      </c>
      <c r="G46" s="167">
        <v>0</v>
      </c>
      <c r="H46" s="167">
        <v>0</v>
      </c>
      <c r="I46" s="167">
        <v>0</v>
      </c>
      <c r="J46" s="167">
        <v>0</v>
      </c>
      <c r="K46" s="167">
        <v>0</v>
      </c>
      <c r="L46" s="167">
        <v>0</v>
      </c>
      <c r="M46" s="167">
        <v>0</v>
      </c>
      <c r="N46" s="162">
        <v>3593468</v>
      </c>
      <c r="O46" s="167">
        <v>0</v>
      </c>
      <c r="P46" s="167">
        <v>0</v>
      </c>
      <c r="Q46" s="167">
        <v>0</v>
      </c>
      <c r="R46" s="167">
        <v>0</v>
      </c>
      <c r="S46" s="167">
        <v>0</v>
      </c>
      <c r="T46" s="167">
        <v>0</v>
      </c>
      <c r="U46" s="167">
        <v>0</v>
      </c>
      <c r="AA46" s="149">
        <v>3198832</v>
      </c>
      <c r="AB46" s="167">
        <v>0</v>
      </c>
      <c r="AC46" s="167">
        <v>0</v>
      </c>
      <c r="AD46" s="167">
        <v>0</v>
      </c>
      <c r="AE46" s="167">
        <v>0</v>
      </c>
      <c r="AF46" s="167">
        <v>0</v>
      </c>
      <c r="AG46" s="167">
        <v>0</v>
      </c>
      <c r="AH46" s="167">
        <v>0</v>
      </c>
      <c r="AI46" s="167">
        <v>0</v>
      </c>
      <c r="AJ46" s="167">
        <v>0</v>
      </c>
      <c r="AK46" s="167">
        <v>0</v>
      </c>
      <c r="AL46" s="167">
        <v>0</v>
      </c>
      <c r="AM46" s="167">
        <v>0</v>
      </c>
      <c r="AN46" s="149">
        <v>4267527</v>
      </c>
      <c r="AO46" s="286">
        <v>0</v>
      </c>
    </row>
    <row r="47" spans="1:41" ht="15.75">
      <c r="A47" s="156" t="s">
        <v>47</v>
      </c>
      <c r="B47" s="157">
        <v>0</v>
      </c>
      <c r="C47" s="157">
        <v>0</v>
      </c>
      <c r="D47" s="157">
        <v>0</v>
      </c>
      <c r="E47" s="157">
        <v>0</v>
      </c>
      <c r="F47" s="157">
        <v>0</v>
      </c>
      <c r="G47" s="157">
        <v>0</v>
      </c>
      <c r="H47" s="157">
        <v>0</v>
      </c>
      <c r="I47" s="157">
        <v>0</v>
      </c>
      <c r="J47" s="157">
        <v>0</v>
      </c>
      <c r="K47" s="157">
        <v>0</v>
      </c>
      <c r="L47" s="157">
        <v>0</v>
      </c>
      <c r="M47" s="157">
        <v>0</v>
      </c>
      <c r="N47" s="157">
        <v>0</v>
      </c>
      <c r="O47" s="157">
        <v>0</v>
      </c>
      <c r="P47" s="157">
        <v>0</v>
      </c>
      <c r="Q47" s="157">
        <v>0</v>
      </c>
      <c r="R47" s="157">
        <v>0</v>
      </c>
      <c r="S47" s="157">
        <v>0</v>
      </c>
      <c r="T47" s="157">
        <v>0</v>
      </c>
      <c r="U47" s="157">
        <v>0</v>
      </c>
      <c r="V47" s="157">
        <v>0</v>
      </c>
      <c r="W47" s="157">
        <v>0</v>
      </c>
      <c r="X47" s="157">
        <v>0</v>
      </c>
      <c r="Y47" s="157">
        <v>0</v>
      </c>
      <c r="Z47" s="157">
        <v>0</v>
      </c>
      <c r="AA47" s="157">
        <v>0</v>
      </c>
      <c r="AB47" s="167">
        <v>0</v>
      </c>
      <c r="AC47" s="167">
        <v>0</v>
      </c>
      <c r="AD47" s="167">
        <v>0</v>
      </c>
      <c r="AE47" s="167">
        <v>0</v>
      </c>
      <c r="AF47" s="167">
        <v>0</v>
      </c>
      <c r="AG47" s="167">
        <v>0</v>
      </c>
      <c r="AH47" s="167">
        <v>0</v>
      </c>
      <c r="AI47" s="167">
        <v>0</v>
      </c>
      <c r="AJ47" s="167">
        <v>0</v>
      </c>
      <c r="AK47" s="167">
        <v>0</v>
      </c>
      <c r="AL47" s="167">
        <v>0</v>
      </c>
      <c r="AM47" s="167">
        <v>0</v>
      </c>
      <c r="AO47" s="286">
        <v>0</v>
      </c>
    </row>
    <row r="48" spans="1:41" ht="15.75">
      <c r="A48" s="153" t="s">
        <v>48</v>
      </c>
      <c r="B48" s="154">
        <f>SUM(B39:B47)</f>
        <v>107663408</v>
      </c>
      <c r="C48" s="154">
        <f t="shared" ref="C48:AA48" si="8">SUM(C39:C47)</f>
        <v>123947507.41</v>
      </c>
      <c r="D48" s="154">
        <f t="shared" si="8"/>
        <v>128835190.69</v>
      </c>
      <c r="E48" s="154">
        <f t="shared" si="8"/>
        <v>107261868.44</v>
      </c>
      <c r="F48" s="154">
        <f t="shared" si="8"/>
        <v>110156779.77999999</v>
      </c>
      <c r="G48" s="154">
        <f t="shared" si="8"/>
        <v>112865288.83999999</v>
      </c>
      <c r="H48" s="154">
        <f t="shared" si="8"/>
        <v>114204829</v>
      </c>
      <c r="I48" s="154">
        <f t="shared" si="8"/>
        <v>116487175.3</v>
      </c>
      <c r="J48" s="154">
        <f t="shared" si="8"/>
        <v>117417997.5</v>
      </c>
      <c r="K48" s="154">
        <f t="shared" si="8"/>
        <v>127602244.61999999</v>
      </c>
      <c r="L48" s="154">
        <f t="shared" si="8"/>
        <v>128621361.58</v>
      </c>
      <c r="M48" s="154">
        <f t="shared" si="8"/>
        <v>129689458.7</v>
      </c>
      <c r="N48" s="154">
        <f t="shared" si="8"/>
        <v>115810656</v>
      </c>
      <c r="O48" s="154">
        <f t="shared" si="8"/>
        <v>131925103.06999999</v>
      </c>
      <c r="P48" s="154">
        <f t="shared" si="8"/>
        <v>109836051.27</v>
      </c>
      <c r="Q48" s="154">
        <f t="shared" si="8"/>
        <v>112132588.31</v>
      </c>
      <c r="R48" s="154">
        <f t="shared" si="8"/>
        <v>115702850.55</v>
      </c>
      <c r="S48" s="154">
        <f t="shared" si="8"/>
        <v>117472834.09999999</v>
      </c>
      <c r="T48" s="154">
        <f t="shared" si="8"/>
        <v>119056779.59999999</v>
      </c>
      <c r="U48" s="154">
        <f t="shared" si="8"/>
        <v>121192508.55</v>
      </c>
      <c r="V48" s="154">
        <f t="shared" si="8"/>
        <v>0</v>
      </c>
      <c r="W48" s="154">
        <f t="shared" si="8"/>
        <v>0</v>
      </c>
      <c r="X48" s="154">
        <f t="shared" si="8"/>
        <v>0</v>
      </c>
      <c r="Y48" s="154">
        <f t="shared" si="8"/>
        <v>0</v>
      </c>
      <c r="Z48" s="154">
        <f t="shared" si="8"/>
        <v>0</v>
      </c>
      <c r="AA48" s="154">
        <f t="shared" si="8"/>
        <v>119202260</v>
      </c>
      <c r="AB48" s="154">
        <f t="shared" ref="AB48:AN48" si="9">SUM(AB39:AB47)</f>
        <v>140453657.63</v>
      </c>
      <c r="AC48" s="154">
        <f t="shared" si="9"/>
        <v>118312729.36999999</v>
      </c>
      <c r="AD48" s="154">
        <f t="shared" si="9"/>
        <v>122156467.39</v>
      </c>
      <c r="AE48" s="154">
        <f t="shared" si="9"/>
        <v>126730932.78</v>
      </c>
      <c r="AF48" s="154">
        <f t="shared" si="9"/>
        <v>132143201.58</v>
      </c>
      <c r="AG48" s="154">
        <f t="shared" si="9"/>
        <v>137105522.94</v>
      </c>
      <c r="AH48" s="154">
        <f t="shared" si="9"/>
        <v>147391708.55000001</v>
      </c>
      <c r="AI48" s="154">
        <f t="shared" si="9"/>
        <v>148129508.59</v>
      </c>
      <c r="AJ48" s="154">
        <f t="shared" si="9"/>
        <v>149756895.60999998</v>
      </c>
      <c r="AK48" s="154">
        <f t="shared" si="9"/>
        <v>150551351.38999999</v>
      </c>
      <c r="AL48" s="154">
        <f t="shared" si="9"/>
        <v>151334634.62</v>
      </c>
      <c r="AM48" s="154">
        <f t="shared" si="9"/>
        <v>155334405.80000001</v>
      </c>
      <c r="AN48" s="154">
        <f t="shared" si="9"/>
        <v>137560760</v>
      </c>
      <c r="AO48" s="154">
        <f t="shared" ref="AO48" si="10">SUM(AO39:AO47)</f>
        <v>149450362.18000001</v>
      </c>
    </row>
    <row r="49" spans="1:41" ht="15.75">
      <c r="A49" s="153" t="s">
        <v>49</v>
      </c>
      <c r="B49" s="154">
        <f>SUM(B48+B38)</f>
        <v>540662680</v>
      </c>
      <c r="C49" s="154">
        <f t="shared" ref="C49:AA49" si="11">SUM(C48+C38)</f>
        <v>535483766.83000004</v>
      </c>
      <c r="D49" s="154">
        <f t="shared" si="11"/>
        <v>522411166.84000003</v>
      </c>
      <c r="E49" s="154">
        <f t="shared" si="11"/>
        <v>522127403.75999999</v>
      </c>
      <c r="F49" s="154">
        <f t="shared" si="11"/>
        <v>527397388.07999992</v>
      </c>
      <c r="G49" s="154">
        <f t="shared" si="11"/>
        <v>520915424.94999999</v>
      </c>
      <c r="H49" s="154">
        <f t="shared" si="11"/>
        <v>568815917.28999996</v>
      </c>
      <c r="I49" s="154">
        <f t="shared" si="11"/>
        <v>515092377.67000002</v>
      </c>
      <c r="J49" s="154">
        <f t="shared" si="11"/>
        <v>516372657.82999998</v>
      </c>
      <c r="K49" s="154">
        <f t="shared" si="11"/>
        <v>730259700.25999999</v>
      </c>
      <c r="L49" s="154">
        <f t="shared" si="11"/>
        <v>609666076.13999999</v>
      </c>
      <c r="M49" s="154">
        <f t="shared" si="11"/>
        <v>569532855.95000005</v>
      </c>
      <c r="N49" s="154">
        <f t="shared" si="11"/>
        <v>574189340</v>
      </c>
      <c r="O49" s="154">
        <f t="shared" si="11"/>
        <v>578455009.71999991</v>
      </c>
      <c r="P49" s="154">
        <f t="shared" si="11"/>
        <v>603438586.30999994</v>
      </c>
      <c r="Q49" s="154">
        <f t="shared" si="11"/>
        <v>551021825.92000008</v>
      </c>
      <c r="R49" s="154">
        <f t="shared" si="11"/>
        <v>576662810.63999999</v>
      </c>
      <c r="S49" s="154">
        <f t="shared" si="11"/>
        <v>551853733.83000004</v>
      </c>
      <c r="T49" s="154">
        <f t="shared" si="11"/>
        <v>546350465.00999999</v>
      </c>
      <c r="U49" s="154">
        <f t="shared" si="11"/>
        <v>554688795.24000001</v>
      </c>
      <c r="V49" s="154">
        <f t="shared" si="11"/>
        <v>0</v>
      </c>
      <c r="W49" s="154">
        <f t="shared" si="11"/>
        <v>0</v>
      </c>
      <c r="X49" s="154">
        <f t="shared" si="11"/>
        <v>0</v>
      </c>
      <c r="Y49" s="154">
        <f t="shared" si="11"/>
        <v>0</v>
      </c>
      <c r="Z49" s="154">
        <f t="shared" si="11"/>
        <v>0</v>
      </c>
      <c r="AA49" s="154">
        <f t="shared" si="11"/>
        <v>560271830</v>
      </c>
      <c r="AB49" s="154">
        <f t="shared" ref="AB49:AN49" si="12">SUM(AB48+AB38)</f>
        <v>568378812.92000008</v>
      </c>
      <c r="AC49" s="154">
        <f t="shared" si="12"/>
        <v>567528335.24000001</v>
      </c>
      <c r="AD49" s="154">
        <f t="shared" si="12"/>
        <v>546963550.07000005</v>
      </c>
      <c r="AE49" s="154">
        <f t="shared" si="12"/>
        <v>560253262.97000003</v>
      </c>
      <c r="AF49" s="154">
        <f t="shared" si="12"/>
        <v>571650845.88999999</v>
      </c>
      <c r="AG49" s="154">
        <f t="shared" si="12"/>
        <v>562671152.16000009</v>
      </c>
      <c r="AH49" s="154">
        <f t="shared" si="12"/>
        <v>700032915.4000001</v>
      </c>
      <c r="AI49" s="154">
        <f t="shared" si="12"/>
        <v>640428689.99000001</v>
      </c>
      <c r="AJ49" s="154">
        <f t="shared" si="12"/>
        <v>620950859.31999993</v>
      </c>
      <c r="AK49" s="154">
        <f t="shared" si="12"/>
        <v>628935442.38</v>
      </c>
      <c r="AL49" s="154">
        <f t="shared" si="12"/>
        <v>617963941.31999993</v>
      </c>
      <c r="AM49" s="154">
        <f t="shared" si="12"/>
        <v>598754519.97000003</v>
      </c>
      <c r="AN49" s="154">
        <f t="shared" si="12"/>
        <v>598754519.57999992</v>
      </c>
      <c r="AO49" s="154">
        <f t="shared" ref="AO49" si="13">SUM(AO48+AO38)</f>
        <v>587236171.25</v>
      </c>
    </row>
    <row r="50" spans="1:41">
      <c r="A50" s="168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AC50" s="170">
        <f>AA27-AA49</f>
        <v>-3209033</v>
      </c>
    </row>
    <row r="51" spans="1:41">
      <c r="A51" s="168"/>
      <c r="B51" s="171">
        <f>B49-B27</f>
        <v>0</v>
      </c>
      <c r="C51" s="171">
        <f t="shared" ref="C51:K51" si="14">C49-C27</f>
        <v>26915605.270000041</v>
      </c>
      <c r="D51" s="171">
        <f t="shared" si="14"/>
        <v>40913584.170000076</v>
      </c>
      <c r="E51" s="171">
        <f t="shared" si="14"/>
        <v>39811788.719999909</v>
      </c>
      <c r="F51" s="171">
        <f t="shared" si="14"/>
        <v>33499138.289999962</v>
      </c>
      <c r="G51" s="171">
        <f t="shared" si="14"/>
        <v>32793523.299999952</v>
      </c>
      <c r="H51" s="171">
        <f t="shared" si="14"/>
        <v>42214082.979999959</v>
      </c>
      <c r="I51" s="171">
        <f t="shared" si="14"/>
        <v>42879942.219999969</v>
      </c>
      <c r="J51" s="171">
        <f t="shared" si="14"/>
        <v>31733616.399999976</v>
      </c>
      <c r="K51" s="171">
        <f t="shared" si="14"/>
        <v>35912241.830000043</v>
      </c>
      <c r="L51" s="171">
        <f>L49-L27</f>
        <v>39202855.340000033</v>
      </c>
      <c r="M51" s="171">
        <f>M49-M27</f>
        <v>46113786.610000014</v>
      </c>
      <c r="N51" s="171">
        <f t="shared" ref="N51:Y51" si="15">N49-N27</f>
        <v>0</v>
      </c>
      <c r="O51" s="171">
        <f t="shared" si="15"/>
        <v>53330149.249999881</v>
      </c>
      <c r="P51" s="171">
        <f t="shared" si="15"/>
        <v>39589486.899999857</v>
      </c>
      <c r="Q51" s="171">
        <f t="shared" si="15"/>
        <v>46178200.560000122</v>
      </c>
      <c r="R51" s="171">
        <f t="shared" si="15"/>
        <v>29712459.809999943</v>
      </c>
      <c r="S51" s="171">
        <f t="shared" si="15"/>
        <v>37314457.800000072</v>
      </c>
      <c r="T51" s="171">
        <f t="shared" si="15"/>
        <v>34638775.75999999</v>
      </c>
      <c r="U51" s="171">
        <f t="shared" si="15"/>
        <v>36354221.290000021</v>
      </c>
      <c r="V51" s="171">
        <f t="shared" si="15"/>
        <v>0</v>
      </c>
      <c r="W51" s="171">
        <f t="shared" si="15"/>
        <v>0</v>
      </c>
      <c r="X51" s="171">
        <f t="shared" si="15"/>
        <v>0</v>
      </c>
      <c r="Y51" s="171">
        <f t="shared" si="15"/>
        <v>0</v>
      </c>
    </row>
    <row r="52" spans="1:41">
      <c r="C52" s="172"/>
      <c r="D52" s="172"/>
      <c r="E52" s="172"/>
      <c r="F52" s="172"/>
      <c r="G52" s="172"/>
      <c r="H52" s="172"/>
      <c r="I52" s="172"/>
      <c r="J52" s="172"/>
    </row>
  </sheetData>
  <phoneticPr fontId="2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9"/>
  <sheetViews>
    <sheetView zoomScale="70" zoomScaleNormal="70" workbookViewId="0">
      <pane xSplit="1" ySplit="2" topLeftCell="AI26" activePane="bottomRight" state="frozen"/>
      <selection pane="bottomRight" activeCell="AM36" sqref="AM36"/>
      <selection pane="bottomLeft" activeCell="A3" sqref="A3"/>
      <selection pane="topRight" activeCell="B1" sqref="B1"/>
    </sheetView>
  </sheetViews>
  <sheetFormatPr defaultColWidth="9.140625" defaultRowHeight="15"/>
  <cols>
    <col min="1" max="1" width="55" style="148" bestFit="1" customWidth="1"/>
    <col min="2" max="2" width="23.140625" style="148" bestFit="1" customWidth="1"/>
    <col min="3" max="3" width="22.85546875" style="148" customWidth="1"/>
    <col min="4" max="10" width="23.5703125" style="148" customWidth="1"/>
    <col min="11" max="11" width="0.28515625" style="148" customWidth="1"/>
    <col min="12" max="12" width="23.5703125" style="148" hidden="1" customWidth="1"/>
    <col min="13" max="25" width="19" style="148" customWidth="1"/>
    <col min="26" max="26" width="19" style="149" customWidth="1"/>
    <col min="27" max="27" width="17" style="148" bestFit="1" customWidth="1"/>
    <col min="28" max="34" width="18.42578125" style="148" bestFit="1" customWidth="1"/>
    <col min="35" max="37" width="17" style="148" bestFit="1" customWidth="1"/>
    <col min="38" max="38" width="18.42578125" style="148" bestFit="1" customWidth="1"/>
    <col min="39" max="39" width="18.42578125" style="149" bestFit="1" customWidth="1"/>
    <col min="40" max="40" width="21.85546875" style="148" customWidth="1"/>
    <col min="41" max="16384" width="9.140625" style="148"/>
  </cols>
  <sheetData>
    <row r="1" spans="1:40" ht="15" customHeight="1">
      <c r="A1" s="174"/>
    </row>
    <row r="2" spans="1:40" ht="24.6" customHeight="1">
      <c r="A2" s="150"/>
      <c r="B2" s="175" t="s">
        <v>0</v>
      </c>
      <c r="C2" s="175">
        <v>43862</v>
      </c>
      <c r="D2" s="175">
        <v>43891</v>
      </c>
      <c r="E2" s="175">
        <v>43922</v>
      </c>
      <c r="F2" s="175">
        <v>43952</v>
      </c>
      <c r="G2" s="175">
        <v>43983</v>
      </c>
      <c r="H2" s="175">
        <v>44044</v>
      </c>
      <c r="I2" s="175">
        <v>44075</v>
      </c>
      <c r="J2" s="175">
        <v>44105</v>
      </c>
      <c r="K2" s="175">
        <v>44136</v>
      </c>
      <c r="L2" s="175">
        <v>44166</v>
      </c>
      <c r="M2" s="175" t="s">
        <v>1</v>
      </c>
      <c r="N2" s="123">
        <v>44197</v>
      </c>
      <c r="O2" s="123">
        <v>44228</v>
      </c>
      <c r="P2" s="123">
        <v>44256</v>
      </c>
      <c r="Q2" s="123">
        <v>44287</v>
      </c>
      <c r="R2" s="123">
        <v>44317</v>
      </c>
      <c r="S2" s="123">
        <v>44348</v>
      </c>
      <c r="T2" s="123">
        <v>44378</v>
      </c>
      <c r="U2" s="123">
        <v>44409</v>
      </c>
      <c r="V2" s="123">
        <v>44440</v>
      </c>
      <c r="W2" s="123">
        <v>44470</v>
      </c>
      <c r="X2" s="123">
        <v>44501</v>
      </c>
      <c r="Y2" s="123">
        <v>44531</v>
      </c>
      <c r="Z2" s="152" t="s">
        <v>2</v>
      </c>
      <c r="AA2" s="173">
        <v>44562</v>
      </c>
      <c r="AB2" s="173">
        <v>44593</v>
      </c>
      <c r="AC2" s="173">
        <v>44621</v>
      </c>
      <c r="AD2" s="173">
        <v>44652</v>
      </c>
      <c r="AE2" s="173">
        <v>44682</v>
      </c>
      <c r="AF2" s="173">
        <v>44713</v>
      </c>
      <c r="AG2" s="173">
        <v>44743</v>
      </c>
      <c r="AH2" s="173">
        <v>44774</v>
      </c>
      <c r="AI2" s="173">
        <v>44805</v>
      </c>
      <c r="AJ2" s="173">
        <v>44835</v>
      </c>
      <c r="AK2" s="173">
        <v>44866</v>
      </c>
      <c r="AL2" s="173">
        <v>44896</v>
      </c>
      <c r="AM2" s="159" t="s">
        <v>50</v>
      </c>
    </row>
    <row r="3" spans="1:40" ht="20.45" customHeight="1">
      <c r="A3" s="176" t="s">
        <v>51</v>
      </c>
      <c r="B3" s="166">
        <f>B4+B7</f>
        <v>118115242</v>
      </c>
      <c r="C3" s="166">
        <f t="shared" ref="C3:Z3" si="0">C4+C7</f>
        <v>24737091.620000001</v>
      </c>
      <c r="D3" s="166">
        <f t="shared" si="0"/>
        <v>34809075.420000002</v>
      </c>
      <c r="E3" s="166">
        <f t="shared" si="0"/>
        <v>46481721.25</v>
      </c>
      <c r="F3" s="166">
        <f t="shared" si="0"/>
        <v>57155395.280000001</v>
      </c>
      <c r="G3" s="166">
        <f t="shared" si="0"/>
        <v>67416164.49000001</v>
      </c>
      <c r="H3" s="166">
        <f t="shared" si="0"/>
        <v>86865864.299999997</v>
      </c>
      <c r="I3" s="166">
        <f t="shared" si="0"/>
        <v>95604288.910000011</v>
      </c>
      <c r="J3" s="166">
        <f t="shared" si="0"/>
        <v>114030119.3</v>
      </c>
      <c r="K3" s="166">
        <f t="shared" si="0"/>
        <v>122603587.49000001</v>
      </c>
      <c r="L3" s="166">
        <f t="shared" si="0"/>
        <v>132281336.64</v>
      </c>
      <c r="M3" s="166">
        <f t="shared" si="0"/>
        <v>132281337</v>
      </c>
      <c r="N3" s="166">
        <f t="shared" si="0"/>
        <v>10831907.949999999</v>
      </c>
      <c r="O3" s="166">
        <f t="shared" si="0"/>
        <v>20850133.439999998</v>
      </c>
      <c r="P3" s="166">
        <f t="shared" si="0"/>
        <v>32175725.68</v>
      </c>
      <c r="Q3" s="166">
        <f t="shared" si="0"/>
        <v>45273234.969999999</v>
      </c>
      <c r="R3" s="166">
        <f t="shared" si="0"/>
        <v>55075985.939999998</v>
      </c>
      <c r="S3" s="166">
        <f t="shared" si="0"/>
        <v>65000584.799999997</v>
      </c>
      <c r="T3" s="166">
        <f t="shared" si="0"/>
        <v>75509144.319999993</v>
      </c>
      <c r="U3" s="166">
        <f t="shared" si="0"/>
        <v>0</v>
      </c>
      <c r="V3" s="166">
        <f t="shared" si="0"/>
        <v>0</v>
      </c>
      <c r="W3" s="166">
        <f t="shared" si="0"/>
        <v>0</v>
      </c>
      <c r="X3" s="166">
        <f t="shared" si="0"/>
        <v>0</v>
      </c>
      <c r="Y3" s="166">
        <f t="shared" si="0"/>
        <v>0</v>
      </c>
      <c r="Z3" s="166">
        <f t="shared" si="0"/>
        <v>132209197</v>
      </c>
      <c r="AA3" s="166">
        <f t="shared" ref="AA3:AM3" si="1">AA4+AA7</f>
        <v>12758604.709999999</v>
      </c>
      <c r="AB3" s="166">
        <f t="shared" si="1"/>
        <v>25300564.390000001</v>
      </c>
      <c r="AC3" s="166">
        <f t="shared" si="1"/>
        <v>38996536.609999999</v>
      </c>
      <c r="AD3" s="166">
        <f t="shared" si="1"/>
        <v>51645648.590000004</v>
      </c>
      <c r="AE3" s="166">
        <f t="shared" si="1"/>
        <v>65816501.25</v>
      </c>
      <c r="AF3" s="166">
        <f t="shared" si="1"/>
        <v>79018249.820000008</v>
      </c>
      <c r="AG3" s="166">
        <f t="shared" si="1"/>
        <v>99168735.459999993</v>
      </c>
      <c r="AH3" s="166">
        <f t="shared" si="1"/>
        <v>109278566.05</v>
      </c>
      <c r="AI3" s="166">
        <f t="shared" si="1"/>
        <v>119652034.84</v>
      </c>
      <c r="AJ3" s="166">
        <f t="shared" si="1"/>
        <v>129106542.11000001</v>
      </c>
      <c r="AK3" s="166">
        <f t="shared" si="1"/>
        <v>139201362.99000001</v>
      </c>
      <c r="AL3" s="166">
        <f t="shared" si="1"/>
        <v>152053039.41000003</v>
      </c>
      <c r="AM3" s="166">
        <f t="shared" si="1"/>
        <v>151718394.80000001</v>
      </c>
      <c r="AN3" s="166">
        <f t="shared" ref="AN3" si="2">AN4+AN7</f>
        <v>91342635.810000002</v>
      </c>
    </row>
    <row r="4" spans="1:40" ht="15.75">
      <c r="A4" s="176" t="s">
        <v>52</v>
      </c>
      <c r="B4" s="166">
        <f>SUM(B5:B6)</f>
        <v>110721274</v>
      </c>
      <c r="C4" s="166">
        <f t="shared" ref="C4:Z4" si="3">SUM(C5:C6)</f>
        <v>18910047.210000001</v>
      </c>
      <c r="D4" s="166">
        <f t="shared" si="3"/>
        <v>25956455.809999999</v>
      </c>
      <c r="E4" s="166">
        <f t="shared" si="3"/>
        <v>33369543.009999998</v>
      </c>
      <c r="F4" s="166">
        <f t="shared" si="3"/>
        <v>41645760.960000001</v>
      </c>
      <c r="G4" s="166">
        <f t="shared" si="3"/>
        <v>49283771.240000002</v>
      </c>
      <c r="H4" s="166">
        <f t="shared" si="3"/>
        <v>63345430.149999999</v>
      </c>
      <c r="I4" s="166">
        <f t="shared" si="3"/>
        <v>69206276.020000011</v>
      </c>
      <c r="J4" s="166">
        <f t="shared" si="3"/>
        <v>78073716</v>
      </c>
      <c r="K4" s="166">
        <f t="shared" si="3"/>
        <v>83156207.570000008</v>
      </c>
      <c r="L4" s="166">
        <f t="shared" si="3"/>
        <v>88904480.420000002</v>
      </c>
      <c r="M4" s="166">
        <f t="shared" si="3"/>
        <v>122526750</v>
      </c>
      <c r="N4" s="166">
        <f t="shared" si="3"/>
        <v>7063027.0499999998</v>
      </c>
      <c r="O4" s="166">
        <f t="shared" si="3"/>
        <v>13441008.92</v>
      </c>
      <c r="P4" s="166">
        <f t="shared" si="3"/>
        <v>20067585.789999999</v>
      </c>
      <c r="Q4" s="166">
        <f t="shared" si="3"/>
        <v>26487552.059999999</v>
      </c>
      <c r="R4" s="166">
        <f t="shared" si="3"/>
        <v>32251334.879999999</v>
      </c>
      <c r="S4" s="166">
        <f t="shared" si="3"/>
        <v>38627007</v>
      </c>
      <c r="T4" s="166">
        <f t="shared" si="3"/>
        <v>45361785.880000003</v>
      </c>
      <c r="U4" s="166">
        <f t="shared" si="3"/>
        <v>0</v>
      </c>
      <c r="V4" s="166">
        <f t="shared" si="3"/>
        <v>0</v>
      </c>
      <c r="W4" s="166">
        <f t="shared" si="3"/>
        <v>0</v>
      </c>
      <c r="X4" s="166">
        <f t="shared" si="3"/>
        <v>0</v>
      </c>
      <c r="Y4" s="166">
        <f t="shared" si="3"/>
        <v>0</v>
      </c>
      <c r="Z4" s="166">
        <f t="shared" si="3"/>
        <v>121026712</v>
      </c>
      <c r="AA4" s="166">
        <f t="shared" ref="AA4:AM4" si="4">SUM(AA5:AA6)</f>
        <v>8876961.0199999996</v>
      </c>
      <c r="AB4" s="166">
        <f t="shared" si="4"/>
        <v>18445866.350000001</v>
      </c>
      <c r="AC4" s="166">
        <f t="shared" si="4"/>
        <v>27889718.219999999</v>
      </c>
      <c r="AD4" s="166">
        <f t="shared" si="4"/>
        <v>38181774.880000003</v>
      </c>
      <c r="AE4" s="166">
        <f t="shared" si="4"/>
        <v>48833293.359999999</v>
      </c>
      <c r="AF4" s="166">
        <f t="shared" si="4"/>
        <v>56518627.130000003</v>
      </c>
      <c r="AG4" s="166">
        <f t="shared" si="4"/>
        <v>67264991.629999995</v>
      </c>
      <c r="AH4" s="166">
        <f t="shared" si="4"/>
        <v>73543607</v>
      </c>
      <c r="AI4" s="166">
        <f t="shared" si="4"/>
        <v>79638786.890000001</v>
      </c>
      <c r="AJ4" s="166">
        <f t="shared" si="4"/>
        <v>85032971.510000005</v>
      </c>
      <c r="AK4" s="166">
        <f t="shared" si="4"/>
        <v>90621351.650000006</v>
      </c>
      <c r="AL4" s="166">
        <f t="shared" si="4"/>
        <v>100164550.37</v>
      </c>
      <c r="AM4" s="166">
        <f t="shared" si="4"/>
        <v>139221333</v>
      </c>
      <c r="AN4" s="166">
        <f t="shared" ref="AN4" si="5">SUM(AN5:AN6)</f>
        <v>55790907.829999998</v>
      </c>
    </row>
    <row r="5" spans="1:40" ht="15.75">
      <c r="A5" s="177" t="s">
        <v>53</v>
      </c>
      <c r="B5" s="157">
        <v>98893476</v>
      </c>
      <c r="C5" s="157">
        <v>18580842.210000001</v>
      </c>
      <c r="D5" s="157">
        <v>25555835.809999999</v>
      </c>
      <c r="E5" s="157">
        <v>32939595.969999999</v>
      </c>
      <c r="F5" s="157">
        <v>41120483.920000002</v>
      </c>
      <c r="G5" s="157">
        <v>48690329.200000003</v>
      </c>
      <c r="H5" s="157">
        <v>62496293.109999999</v>
      </c>
      <c r="I5" s="157">
        <v>68281453.980000004</v>
      </c>
      <c r="J5" s="157">
        <v>77074368.959999993</v>
      </c>
      <c r="K5" s="157">
        <v>82047205.530000001</v>
      </c>
      <c r="L5" s="157">
        <v>87624938.379999995</v>
      </c>
      <c r="M5" s="157">
        <f>15116030+88911220</f>
        <v>104027250</v>
      </c>
      <c r="N5" s="157">
        <v>6896212.0499999998</v>
      </c>
      <c r="O5" s="157">
        <v>13069918.92</v>
      </c>
      <c r="P5" s="157">
        <v>19598045.789999999</v>
      </c>
      <c r="Q5" s="157">
        <v>25928689.559999999</v>
      </c>
      <c r="R5" s="157">
        <v>31203282.379999999</v>
      </c>
      <c r="S5" s="157">
        <v>37389014.5</v>
      </c>
      <c r="T5" s="157">
        <v>43935383.380000003</v>
      </c>
      <c r="Z5" s="149">
        <f>80844263+15956673</f>
        <v>96800936</v>
      </c>
      <c r="AA5" s="157">
        <v>8712481.0199999996</v>
      </c>
      <c r="AB5" s="157">
        <v>18178151.350000001</v>
      </c>
      <c r="AC5" s="157">
        <v>27450968.219999999</v>
      </c>
      <c r="AD5" s="157">
        <v>37534874.880000003</v>
      </c>
      <c r="AE5" s="157">
        <v>48008643.359999999</v>
      </c>
      <c r="AF5" s="157">
        <v>55621822.130000003</v>
      </c>
      <c r="AG5" s="157">
        <v>66252221.630000003</v>
      </c>
      <c r="AH5" s="157">
        <v>72353237</v>
      </c>
      <c r="AI5" s="157">
        <v>78203161.890000001</v>
      </c>
      <c r="AJ5" s="157">
        <v>83398786.510000005</v>
      </c>
      <c r="AK5" s="157">
        <v>88856446.650000006</v>
      </c>
      <c r="AL5" s="157">
        <v>98264175.370000005</v>
      </c>
      <c r="AM5" s="149">
        <v>114466828</v>
      </c>
      <c r="AN5" s="280">
        <v>54432857.829999998</v>
      </c>
    </row>
    <row r="6" spans="1:40" ht="15.75">
      <c r="A6" s="177" t="s">
        <v>54</v>
      </c>
      <c r="B6" s="157">
        <v>11827798</v>
      </c>
      <c r="C6" s="157">
        <v>329205</v>
      </c>
      <c r="D6" s="157">
        <v>400620</v>
      </c>
      <c r="E6" s="157">
        <v>429947.04</v>
      </c>
      <c r="F6" s="157">
        <v>525277.04</v>
      </c>
      <c r="G6" s="157">
        <v>593442.04</v>
      </c>
      <c r="H6" s="157">
        <v>849137.04</v>
      </c>
      <c r="I6" s="157">
        <v>924822.04</v>
      </c>
      <c r="J6" s="157">
        <v>999347.04</v>
      </c>
      <c r="K6" s="157">
        <v>1109002.04</v>
      </c>
      <c r="L6" s="157">
        <v>1279542.04</v>
      </c>
      <c r="M6" s="149">
        <v>18499500</v>
      </c>
      <c r="N6" s="157">
        <v>166815</v>
      </c>
      <c r="O6" s="157">
        <v>371090</v>
      </c>
      <c r="P6" s="157">
        <v>469540</v>
      </c>
      <c r="Q6" s="157">
        <v>558862.5</v>
      </c>
      <c r="R6" s="157">
        <v>1048052.5</v>
      </c>
      <c r="S6" s="157">
        <v>1237992.5</v>
      </c>
      <c r="T6" s="157">
        <v>1426402.5</v>
      </c>
      <c r="Z6" s="149">
        <f>23273176+952600</f>
        <v>24225776</v>
      </c>
      <c r="AA6" s="157">
        <v>164480</v>
      </c>
      <c r="AB6" s="157">
        <v>267715</v>
      </c>
      <c r="AC6" s="157">
        <v>438750</v>
      </c>
      <c r="AD6" s="157">
        <v>646900</v>
      </c>
      <c r="AE6" s="157">
        <v>824650</v>
      </c>
      <c r="AF6" s="157">
        <v>896805</v>
      </c>
      <c r="AG6" s="157">
        <v>1012770</v>
      </c>
      <c r="AH6" s="157">
        <v>1190370</v>
      </c>
      <c r="AI6" s="157">
        <v>1435625</v>
      </c>
      <c r="AJ6" s="157">
        <v>1634185</v>
      </c>
      <c r="AK6" s="157">
        <v>1764905</v>
      </c>
      <c r="AL6" s="157">
        <v>1900375</v>
      </c>
      <c r="AM6" s="149">
        <v>24754505</v>
      </c>
      <c r="AN6" s="282">
        <v>1358050</v>
      </c>
    </row>
    <row r="7" spans="1:40" ht="15.75">
      <c r="A7" s="176" t="s">
        <v>55</v>
      </c>
      <c r="B7" s="166">
        <f>SUM(B8:B11)</f>
        <v>7393968</v>
      </c>
      <c r="C7" s="166">
        <f t="shared" ref="C7:Y7" si="6">SUM(C8:C11)</f>
        <v>5827044.4100000001</v>
      </c>
      <c r="D7" s="166">
        <f t="shared" si="6"/>
        <v>8852619.6099999994</v>
      </c>
      <c r="E7" s="166">
        <f t="shared" si="6"/>
        <v>13112178.239999998</v>
      </c>
      <c r="F7" s="166">
        <f t="shared" si="6"/>
        <v>15509634.32</v>
      </c>
      <c r="G7" s="166">
        <f t="shared" si="6"/>
        <v>18132393.25</v>
      </c>
      <c r="H7" s="166">
        <f t="shared" si="6"/>
        <v>23520434.149999999</v>
      </c>
      <c r="I7" s="166">
        <f t="shared" si="6"/>
        <v>26398012.890000001</v>
      </c>
      <c r="J7" s="166">
        <f t="shared" si="6"/>
        <v>35956403.299999997</v>
      </c>
      <c r="K7" s="166">
        <f t="shared" si="6"/>
        <v>39447379.920000002</v>
      </c>
      <c r="L7" s="166">
        <f t="shared" si="6"/>
        <v>43376856.219999999</v>
      </c>
      <c r="M7" s="166">
        <f t="shared" si="6"/>
        <v>9754587</v>
      </c>
      <c r="N7" s="166">
        <f t="shared" si="6"/>
        <v>3768880.9</v>
      </c>
      <c r="O7" s="166">
        <f t="shared" si="6"/>
        <v>7409124.5199999996</v>
      </c>
      <c r="P7" s="166">
        <f t="shared" si="6"/>
        <v>12108139.890000001</v>
      </c>
      <c r="Q7" s="166">
        <f t="shared" si="6"/>
        <v>18785682.91</v>
      </c>
      <c r="R7" s="166">
        <f t="shared" si="6"/>
        <v>22824651.059999999</v>
      </c>
      <c r="S7" s="166">
        <f t="shared" si="6"/>
        <v>26373577.799999997</v>
      </c>
      <c r="T7" s="166">
        <f t="shared" si="6"/>
        <v>30147358.439999998</v>
      </c>
      <c r="U7" s="166">
        <f t="shared" si="6"/>
        <v>0</v>
      </c>
      <c r="V7" s="166">
        <f t="shared" si="6"/>
        <v>0</v>
      </c>
      <c r="W7" s="166">
        <f t="shared" si="6"/>
        <v>0</v>
      </c>
      <c r="X7" s="166">
        <f t="shared" si="6"/>
        <v>0</v>
      </c>
      <c r="Y7" s="166">
        <f t="shared" si="6"/>
        <v>0</v>
      </c>
      <c r="Z7" s="166">
        <f>SUM(Z8:Z11)</f>
        <v>11182485</v>
      </c>
      <c r="AA7" s="166">
        <f t="shared" ref="AA7:AN7" si="7">SUM(AA8:AA11)</f>
        <v>3881643.69</v>
      </c>
      <c r="AB7" s="166">
        <f t="shared" si="7"/>
        <v>6854698.0399999991</v>
      </c>
      <c r="AC7" s="166">
        <f t="shared" si="7"/>
        <v>11106818.390000001</v>
      </c>
      <c r="AD7" s="166">
        <f t="shared" si="7"/>
        <v>13463873.710000001</v>
      </c>
      <c r="AE7" s="166">
        <f t="shared" si="7"/>
        <v>16983207.890000001</v>
      </c>
      <c r="AF7" s="166">
        <f t="shared" si="7"/>
        <v>22499622.690000001</v>
      </c>
      <c r="AG7" s="166">
        <f t="shared" si="7"/>
        <v>31903743.830000002</v>
      </c>
      <c r="AH7" s="166">
        <f t="shared" si="7"/>
        <v>35734959.049999997</v>
      </c>
      <c r="AI7" s="166">
        <f t="shared" si="7"/>
        <v>40013247.950000003</v>
      </c>
      <c r="AJ7" s="166">
        <f t="shared" si="7"/>
        <v>44073570.600000001</v>
      </c>
      <c r="AK7" s="166">
        <f t="shared" si="7"/>
        <v>48580011.340000004</v>
      </c>
      <c r="AL7" s="166">
        <f t="shared" si="7"/>
        <v>51888489.040000007</v>
      </c>
      <c r="AM7" s="166">
        <f t="shared" si="7"/>
        <v>12497061.800000001</v>
      </c>
      <c r="AN7" s="166">
        <f t="shared" si="7"/>
        <v>35551727.980000004</v>
      </c>
    </row>
    <row r="8" spans="1:40" ht="15.75">
      <c r="A8" s="177" t="s">
        <v>56</v>
      </c>
      <c r="B8" s="157">
        <v>0</v>
      </c>
      <c r="C8" s="157">
        <v>0</v>
      </c>
      <c r="D8" s="157">
        <v>0</v>
      </c>
      <c r="E8" s="157">
        <v>0</v>
      </c>
      <c r="F8" s="157">
        <v>0</v>
      </c>
      <c r="G8" s="157">
        <v>0</v>
      </c>
      <c r="H8" s="157">
        <v>0</v>
      </c>
      <c r="I8" s="157">
        <v>0</v>
      </c>
      <c r="J8" s="157">
        <v>0</v>
      </c>
      <c r="K8" s="157">
        <v>0</v>
      </c>
      <c r="L8" s="157">
        <v>0</v>
      </c>
      <c r="M8" s="157"/>
      <c r="N8" s="157">
        <v>0</v>
      </c>
      <c r="O8" s="157">
        <v>0</v>
      </c>
      <c r="P8" s="157">
        <v>0</v>
      </c>
      <c r="Q8" s="157">
        <v>0</v>
      </c>
      <c r="R8" s="157">
        <v>0</v>
      </c>
      <c r="S8" s="157">
        <v>0</v>
      </c>
      <c r="T8" s="157">
        <v>0</v>
      </c>
      <c r="AA8" s="157">
        <v>0</v>
      </c>
      <c r="AB8" s="157">
        <v>0</v>
      </c>
      <c r="AC8" s="157">
        <v>0</v>
      </c>
      <c r="AD8" s="157">
        <v>0</v>
      </c>
      <c r="AE8" s="157">
        <v>0</v>
      </c>
      <c r="AF8" s="157">
        <v>0</v>
      </c>
      <c r="AG8" s="157">
        <v>0</v>
      </c>
      <c r="AH8" s="157">
        <v>0</v>
      </c>
      <c r="AI8" s="157">
        <v>0</v>
      </c>
      <c r="AJ8" s="157">
        <v>0</v>
      </c>
      <c r="AK8" s="157">
        <v>0</v>
      </c>
      <c r="AL8" s="157">
        <v>0</v>
      </c>
      <c r="AN8" s="279">
        <v>0</v>
      </c>
    </row>
    <row r="9" spans="1:40" ht="15.75">
      <c r="A9" s="177" t="s">
        <v>57</v>
      </c>
      <c r="B9" s="157">
        <v>5131404</v>
      </c>
      <c r="C9" s="157">
        <v>1542740.03</v>
      </c>
      <c r="D9" s="157">
        <v>1542740.03</v>
      </c>
      <c r="E9" s="157">
        <v>2190045</v>
      </c>
      <c r="F9" s="157">
        <v>2745661.88</v>
      </c>
      <c r="G9" s="157">
        <v>3314153.6</v>
      </c>
      <c r="H9" s="157">
        <v>4431917.2</v>
      </c>
      <c r="I9" s="157">
        <v>4997601.1100000003</v>
      </c>
      <c r="J9" s="157">
        <v>5548129.5</v>
      </c>
      <c r="K9" s="157">
        <v>6154207.6200000001</v>
      </c>
      <c r="L9" s="157">
        <v>7065770.9199999999</v>
      </c>
      <c r="M9" s="157">
        <v>7065771</v>
      </c>
      <c r="N9" s="157">
        <v>943148.6</v>
      </c>
      <c r="O9" s="157">
        <v>1859037.68</v>
      </c>
      <c r="P9" s="157">
        <v>3035792.05</v>
      </c>
      <c r="Q9" s="157">
        <v>3894833.77</v>
      </c>
      <c r="R9" s="157">
        <v>4657451.47</v>
      </c>
      <c r="S9" s="157">
        <v>5373798.8099999996</v>
      </c>
      <c r="T9" s="157">
        <v>6017478.1799999997</v>
      </c>
      <c r="Z9" s="149">
        <v>8926445</v>
      </c>
      <c r="AA9" s="157">
        <v>674409.09</v>
      </c>
      <c r="AB9" s="157">
        <v>674409.09</v>
      </c>
      <c r="AC9" s="157">
        <v>1749555.54</v>
      </c>
      <c r="AD9" s="157">
        <v>1749555.54</v>
      </c>
      <c r="AE9" s="157">
        <v>2781363.02</v>
      </c>
      <c r="AF9" s="157">
        <v>3287227.52</v>
      </c>
      <c r="AG9" s="157">
        <v>3775612.93</v>
      </c>
      <c r="AH9" s="157">
        <v>4685841.3499999996</v>
      </c>
      <c r="AI9" s="157">
        <v>5905720.6299999999</v>
      </c>
      <c r="AJ9" s="157">
        <v>6944811.6299999999</v>
      </c>
      <c r="AK9" s="157">
        <v>8241058.5700000003</v>
      </c>
      <c r="AL9" s="157">
        <v>9178026.7699999996</v>
      </c>
      <c r="AN9" s="282">
        <v>4667168.29</v>
      </c>
    </row>
    <row r="10" spans="1:40" ht="15.75">
      <c r="A10" s="177" t="s">
        <v>58</v>
      </c>
      <c r="B10" s="157">
        <v>2262564</v>
      </c>
      <c r="C10" s="157">
        <v>180042</v>
      </c>
      <c r="D10" s="157">
        <v>217881.45</v>
      </c>
      <c r="E10" s="157">
        <v>2480445.0499999998</v>
      </c>
      <c r="F10" s="157">
        <v>2480445.0499999998</v>
      </c>
      <c r="G10" s="157">
        <v>2480445.0499999998</v>
      </c>
      <c r="H10" s="157">
        <v>2480445.0499999998</v>
      </c>
      <c r="I10" s="157">
        <v>2480445.0499999998</v>
      </c>
      <c r="J10" s="157">
        <v>2480445.0499999998</v>
      </c>
      <c r="K10" s="157">
        <v>2660487.0499999998</v>
      </c>
      <c r="L10" s="157">
        <v>2688816.05</v>
      </c>
      <c r="M10" s="155">
        <v>2688816</v>
      </c>
      <c r="N10" s="157">
        <v>0</v>
      </c>
      <c r="O10" s="157">
        <v>0</v>
      </c>
      <c r="P10" s="157">
        <v>0</v>
      </c>
      <c r="Q10" s="157">
        <v>2226841.2999999998</v>
      </c>
      <c r="R10" s="157">
        <v>2237177.75</v>
      </c>
      <c r="S10" s="157">
        <v>2237177.75</v>
      </c>
      <c r="T10" s="157">
        <v>2238654.6</v>
      </c>
      <c r="Z10" s="149">
        <v>2256040</v>
      </c>
      <c r="AA10" s="157">
        <v>136832</v>
      </c>
      <c r="AB10" s="157">
        <v>138308.85</v>
      </c>
      <c r="AC10" s="157">
        <v>138308.85</v>
      </c>
      <c r="AD10" s="157">
        <v>138308.85</v>
      </c>
      <c r="AE10" s="157">
        <v>151259.25</v>
      </c>
      <c r="AF10" s="157">
        <v>2298073.5499999998</v>
      </c>
      <c r="AG10" s="157">
        <v>2298073.5499999998</v>
      </c>
      <c r="AH10" s="157">
        <v>2298073.5499999998</v>
      </c>
      <c r="AI10" s="157">
        <v>2298073.5499999998</v>
      </c>
      <c r="AJ10" s="157">
        <v>2313249.7999999998</v>
      </c>
      <c r="AK10" s="157">
        <v>2313249.7999999998</v>
      </c>
      <c r="AL10" s="157">
        <v>2814878.5</v>
      </c>
      <c r="AM10" s="149">
        <v>2480234.7999999998</v>
      </c>
      <c r="AN10" s="282">
        <v>3239784.05</v>
      </c>
    </row>
    <row r="11" spans="1:40" s="158" customFormat="1" ht="15.75">
      <c r="A11" s="176" t="s">
        <v>59</v>
      </c>
      <c r="B11" s="155"/>
      <c r="C11" s="155">
        <v>4104262.38</v>
      </c>
      <c r="D11" s="155">
        <v>7091998.1299999999</v>
      </c>
      <c r="E11" s="155">
        <v>8441688.1899999995</v>
      </c>
      <c r="F11" s="155">
        <v>10283527.390000001</v>
      </c>
      <c r="G11" s="155">
        <v>12337794.6</v>
      </c>
      <c r="H11" s="155">
        <v>16608071.9</v>
      </c>
      <c r="I11" s="155">
        <v>18919966.73</v>
      </c>
      <c r="J11" s="155">
        <v>27927828.75</v>
      </c>
      <c r="K11" s="155">
        <v>30632685.25</v>
      </c>
      <c r="L11" s="155">
        <v>33622269.25</v>
      </c>
      <c r="N11" s="155">
        <v>2825732.3</v>
      </c>
      <c r="O11" s="155">
        <v>5550086.8399999999</v>
      </c>
      <c r="P11" s="155">
        <v>9072347.8399999999</v>
      </c>
      <c r="Q11" s="155">
        <v>12664007.84</v>
      </c>
      <c r="R11" s="155">
        <v>15930021.84</v>
      </c>
      <c r="S11" s="155">
        <v>18762601.239999998</v>
      </c>
      <c r="T11" s="155">
        <v>21891225.66</v>
      </c>
      <c r="Z11" s="149"/>
      <c r="AA11" s="155">
        <v>3070402.6</v>
      </c>
      <c r="AB11" s="155">
        <v>6041980.0999999996</v>
      </c>
      <c r="AC11" s="155">
        <v>9218954</v>
      </c>
      <c r="AD11" s="155">
        <v>11576009.32</v>
      </c>
      <c r="AE11" s="155">
        <v>14050585.619999999</v>
      </c>
      <c r="AF11" s="155">
        <v>16914321.620000001</v>
      </c>
      <c r="AG11" s="155">
        <v>25830057.350000001</v>
      </c>
      <c r="AH11" s="155">
        <v>28751044.149999999</v>
      </c>
      <c r="AI11" s="155">
        <v>31809453.77</v>
      </c>
      <c r="AJ11" s="155">
        <v>34815509.170000002</v>
      </c>
      <c r="AK11" s="155">
        <v>38025702.969999999</v>
      </c>
      <c r="AL11" s="155">
        <v>39895583.770000003</v>
      </c>
      <c r="AM11" s="159">
        <f>838800+9178027</f>
        <v>10016827</v>
      </c>
      <c r="AN11" s="287">
        <v>27644775.640000001</v>
      </c>
    </row>
    <row r="12" spans="1:40" ht="15.75">
      <c r="A12" s="176" t="s">
        <v>60</v>
      </c>
      <c r="B12" s="166">
        <f>SUM(B13:B18)</f>
        <v>21842490</v>
      </c>
      <c r="C12" s="166">
        <f t="shared" ref="C12:Y12" si="8">SUM(C13:C18)</f>
        <v>0</v>
      </c>
      <c r="D12" s="166">
        <f t="shared" si="8"/>
        <v>0</v>
      </c>
      <c r="E12" s="166">
        <f t="shared" si="8"/>
        <v>0</v>
      </c>
      <c r="F12" s="166">
        <f t="shared" si="8"/>
        <v>0</v>
      </c>
      <c r="G12" s="166">
        <f t="shared" si="8"/>
        <v>0</v>
      </c>
      <c r="H12" s="166">
        <f t="shared" si="8"/>
        <v>0</v>
      </c>
      <c r="I12" s="166">
        <f t="shared" si="8"/>
        <v>0</v>
      </c>
      <c r="J12" s="166">
        <f t="shared" si="8"/>
        <v>0</v>
      </c>
      <c r="K12" s="166">
        <f t="shared" si="8"/>
        <v>0</v>
      </c>
      <c r="L12" s="166">
        <f t="shared" si="8"/>
        <v>0</v>
      </c>
      <c r="M12" s="166">
        <f t="shared" si="8"/>
        <v>22459297</v>
      </c>
      <c r="N12" s="166">
        <f t="shared" si="8"/>
        <v>0</v>
      </c>
      <c r="O12" s="166">
        <f t="shared" si="8"/>
        <v>0</v>
      </c>
      <c r="P12" s="166">
        <f t="shared" si="8"/>
        <v>0</v>
      </c>
      <c r="Q12" s="166">
        <f t="shared" si="8"/>
        <v>0</v>
      </c>
      <c r="R12" s="166">
        <f t="shared" si="8"/>
        <v>0</v>
      </c>
      <c r="S12" s="166">
        <f t="shared" si="8"/>
        <v>0</v>
      </c>
      <c r="T12" s="166">
        <f t="shared" si="8"/>
        <v>0</v>
      </c>
      <c r="U12" s="166">
        <f t="shared" si="8"/>
        <v>0</v>
      </c>
      <c r="V12" s="166">
        <f t="shared" si="8"/>
        <v>0</v>
      </c>
      <c r="W12" s="166">
        <f t="shared" si="8"/>
        <v>0</v>
      </c>
      <c r="X12" s="166">
        <f t="shared" si="8"/>
        <v>0</v>
      </c>
      <c r="Y12" s="166">
        <f t="shared" si="8"/>
        <v>0</v>
      </c>
      <c r="Z12" s="166">
        <f>SUM(Z13:Z18)</f>
        <v>16709214</v>
      </c>
      <c r="AA12" s="166">
        <f t="shared" ref="AA12:AN12" si="9">SUM(AA13:AA18)</f>
        <v>0</v>
      </c>
      <c r="AB12" s="166">
        <f t="shared" si="9"/>
        <v>0</v>
      </c>
      <c r="AC12" s="166">
        <f t="shared" si="9"/>
        <v>0</v>
      </c>
      <c r="AD12" s="166">
        <f t="shared" si="9"/>
        <v>0</v>
      </c>
      <c r="AE12" s="166">
        <f t="shared" si="9"/>
        <v>0</v>
      </c>
      <c r="AF12" s="166">
        <f t="shared" si="9"/>
        <v>0</v>
      </c>
      <c r="AG12" s="166">
        <f t="shared" si="9"/>
        <v>0</v>
      </c>
      <c r="AH12" s="166">
        <f t="shared" si="9"/>
        <v>0</v>
      </c>
      <c r="AI12" s="166">
        <f t="shared" si="9"/>
        <v>4149041.53</v>
      </c>
      <c r="AJ12" s="166">
        <f t="shared" si="9"/>
        <v>4458621.4400000004</v>
      </c>
      <c r="AK12" s="166">
        <f t="shared" si="9"/>
        <v>5382389.3499999996</v>
      </c>
      <c r="AL12" s="166">
        <f t="shared" si="9"/>
        <v>5669792.7300000004</v>
      </c>
      <c r="AM12" s="166">
        <f t="shared" si="9"/>
        <v>21007224</v>
      </c>
      <c r="AN12" s="166">
        <f t="shared" si="9"/>
        <v>3270818.72</v>
      </c>
    </row>
    <row r="13" spans="1:40" ht="15.75">
      <c r="A13" s="177" t="s">
        <v>61</v>
      </c>
      <c r="B13" s="157">
        <v>15780840</v>
      </c>
      <c r="C13" s="157">
        <v>0</v>
      </c>
      <c r="D13" s="157">
        <v>0</v>
      </c>
      <c r="E13" s="157">
        <v>0</v>
      </c>
      <c r="F13" s="157">
        <v>0</v>
      </c>
      <c r="G13" s="157">
        <v>0</v>
      </c>
      <c r="H13" s="157">
        <v>0</v>
      </c>
      <c r="I13" s="157">
        <v>0</v>
      </c>
      <c r="J13" s="157">
        <v>0</v>
      </c>
      <c r="K13" s="157">
        <v>0</v>
      </c>
      <c r="L13" s="157">
        <v>0</v>
      </c>
      <c r="M13" s="157">
        <v>16089183</v>
      </c>
      <c r="N13" s="157">
        <v>0</v>
      </c>
      <c r="O13" s="157">
        <v>0</v>
      </c>
      <c r="P13" s="157">
        <v>0</v>
      </c>
      <c r="Q13" s="157">
        <v>0</v>
      </c>
      <c r="R13" s="157">
        <v>0</v>
      </c>
      <c r="S13" s="157">
        <v>0</v>
      </c>
      <c r="T13" s="157">
        <v>0</v>
      </c>
      <c r="Z13" s="149">
        <f>13501079+1636747</f>
        <v>15137826</v>
      </c>
      <c r="AA13" s="157">
        <v>0</v>
      </c>
      <c r="AB13" s="157">
        <v>0</v>
      </c>
      <c r="AC13" s="157">
        <v>0</v>
      </c>
      <c r="AD13" s="157">
        <v>0</v>
      </c>
      <c r="AE13" s="157">
        <v>0</v>
      </c>
      <c r="AF13" s="157">
        <v>0</v>
      </c>
      <c r="AG13" s="157">
        <v>0</v>
      </c>
      <c r="AH13" s="157">
        <v>0</v>
      </c>
      <c r="AI13" s="157">
        <v>0</v>
      </c>
      <c r="AJ13" s="157">
        <v>0</v>
      </c>
      <c r="AK13" s="157">
        <v>0</v>
      </c>
      <c r="AL13" s="157">
        <v>0</v>
      </c>
      <c r="AM13" s="149">
        <v>17192689</v>
      </c>
      <c r="AN13" s="279">
        <v>0</v>
      </c>
    </row>
    <row r="14" spans="1:40" ht="15.75">
      <c r="A14" s="177" t="s">
        <v>62</v>
      </c>
      <c r="B14" s="157">
        <v>0</v>
      </c>
      <c r="C14" s="157">
        <v>0</v>
      </c>
      <c r="D14" s="157">
        <v>0</v>
      </c>
      <c r="E14" s="157">
        <v>0</v>
      </c>
      <c r="F14" s="157">
        <v>0</v>
      </c>
      <c r="G14" s="157">
        <v>0</v>
      </c>
      <c r="H14" s="157">
        <v>0</v>
      </c>
      <c r="I14" s="157">
        <v>0</v>
      </c>
      <c r="J14" s="157">
        <v>0</v>
      </c>
      <c r="K14" s="157">
        <v>0</v>
      </c>
      <c r="L14" s="157">
        <v>0</v>
      </c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>
        <v>0</v>
      </c>
      <c r="AB14" s="157">
        <v>0</v>
      </c>
      <c r="AC14" s="157">
        <v>0</v>
      </c>
      <c r="AD14" s="157">
        <v>0</v>
      </c>
      <c r="AE14" s="157">
        <v>0</v>
      </c>
      <c r="AF14" s="157">
        <v>0</v>
      </c>
      <c r="AG14" s="157">
        <v>0</v>
      </c>
      <c r="AH14" s="157">
        <v>0</v>
      </c>
      <c r="AI14" s="157">
        <v>0</v>
      </c>
      <c r="AJ14" s="157">
        <v>0</v>
      </c>
      <c r="AK14" s="157">
        <v>0</v>
      </c>
      <c r="AL14" s="157">
        <v>0</v>
      </c>
      <c r="AN14" s="281">
        <v>0</v>
      </c>
    </row>
    <row r="15" spans="1:40" ht="15.75">
      <c r="A15" s="177" t="s">
        <v>63</v>
      </c>
      <c r="B15" s="157">
        <v>0</v>
      </c>
      <c r="C15" s="157">
        <v>0</v>
      </c>
      <c r="D15" s="157">
        <v>0</v>
      </c>
      <c r="E15" s="157">
        <v>0</v>
      </c>
      <c r="F15" s="157">
        <v>0</v>
      </c>
      <c r="G15" s="157">
        <v>0</v>
      </c>
      <c r="H15" s="157">
        <v>0</v>
      </c>
      <c r="I15" s="157">
        <v>0</v>
      </c>
      <c r="J15" s="157">
        <v>0</v>
      </c>
      <c r="K15" s="157">
        <v>0</v>
      </c>
      <c r="L15" s="157">
        <v>0</v>
      </c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>
        <v>0</v>
      </c>
      <c r="AB15" s="157">
        <v>0</v>
      </c>
      <c r="AC15" s="157">
        <v>0</v>
      </c>
      <c r="AD15" s="157">
        <v>0</v>
      </c>
      <c r="AE15" s="157">
        <v>0</v>
      </c>
      <c r="AF15" s="157">
        <v>0</v>
      </c>
      <c r="AG15" s="157">
        <v>0</v>
      </c>
      <c r="AH15" s="157">
        <v>0</v>
      </c>
      <c r="AI15" s="157">
        <v>0</v>
      </c>
      <c r="AJ15" s="157">
        <v>0</v>
      </c>
      <c r="AK15" s="157">
        <v>0</v>
      </c>
      <c r="AL15" s="157">
        <v>0</v>
      </c>
      <c r="AN15" s="281">
        <v>0</v>
      </c>
    </row>
    <row r="16" spans="1:40" ht="15.75">
      <c r="A16" s="177" t="s">
        <v>64</v>
      </c>
      <c r="B16" s="157">
        <v>0</v>
      </c>
      <c r="C16" s="157">
        <v>0</v>
      </c>
      <c r="D16" s="157">
        <v>0</v>
      </c>
      <c r="E16" s="157">
        <v>0</v>
      </c>
      <c r="F16" s="157">
        <v>0</v>
      </c>
      <c r="G16" s="157">
        <v>0</v>
      </c>
      <c r="H16" s="157">
        <v>0</v>
      </c>
      <c r="I16" s="157">
        <v>0</v>
      </c>
      <c r="J16" s="157">
        <v>0</v>
      </c>
      <c r="K16" s="157">
        <v>0</v>
      </c>
      <c r="L16" s="157">
        <v>0</v>
      </c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>
        <f>1571388</f>
        <v>1571388</v>
      </c>
      <c r="AA16" s="157">
        <v>0</v>
      </c>
      <c r="AB16" s="157">
        <v>0</v>
      </c>
      <c r="AC16" s="157">
        <v>0</v>
      </c>
      <c r="AD16" s="157">
        <v>0</v>
      </c>
      <c r="AE16" s="157">
        <v>0</v>
      </c>
      <c r="AF16" s="157">
        <v>0</v>
      </c>
      <c r="AG16" s="157">
        <v>0</v>
      </c>
      <c r="AH16" s="157">
        <v>0</v>
      </c>
      <c r="AI16" s="157">
        <v>4149041.53</v>
      </c>
      <c r="AJ16" s="157">
        <v>4458621.4400000004</v>
      </c>
      <c r="AK16" s="157">
        <v>5382389.3499999996</v>
      </c>
      <c r="AL16" s="157">
        <v>5669792.7300000004</v>
      </c>
      <c r="AM16" s="149">
        <v>1656418</v>
      </c>
      <c r="AN16" s="282">
        <v>3270818.72</v>
      </c>
    </row>
    <row r="17" spans="1:40" ht="15.75">
      <c r="A17" s="177" t="s">
        <v>65</v>
      </c>
      <c r="B17" s="157">
        <v>0</v>
      </c>
      <c r="C17" s="157">
        <v>0</v>
      </c>
      <c r="D17" s="157">
        <v>0</v>
      </c>
      <c r="E17" s="157">
        <v>0</v>
      </c>
      <c r="F17" s="157">
        <v>0</v>
      </c>
      <c r="G17" s="157">
        <v>0</v>
      </c>
      <c r="H17" s="157">
        <v>0</v>
      </c>
      <c r="I17" s="157">
        <v>0</v>
      </c>
      <c r="J17" s="157">
        <v>0</v>
      </c>
      <c r="K17" s="157">
        <v>0</v>
      </c>
      <c r="L17" s="157">
        <v>0</v>
      </c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>
        <v>0</v>
      </c>
      <c r="AB17" s="157">
        <v>0</v>
      </c>
      <c r="AC17" s="157">
        <v>0</v>
      </c>
      <c r="AD17" s="157">
        <v>0</v>
      </c>
      <c r="AE17" s="157">
        <v>0</v>
      </c>
      <c r="AF17" s="157">
        <v>0</v>
      </c>
      <c r="AG17" s="157">
        <v>0</v>
      </c>
      <c r="AH17" s="157">
        <v>0</v>
      </c>
      <c r="AI17" s="157">
        <v>0</v>
      </c>
      <c r="AJ17" s="157">
        <v>0</v>
      </c>
      <c r="AK17" s="157">
        <v>0</v>
      </c>
      <c r="AL17" s="157">
        <v>0</v>
      </c>
      <c r="AN17" s="281">
        <v>0</v>
      </c>
    </row>
    <row r="18" spans="1:40" ht="15.75">
      <c r="A18" s="177" t="s">
        <v>66</v>
      </c>
      <c r="B18" s="157">
        <f>4947098+1114552</f>
        <v>6061650</v>
      </c>
      <c r="C18" s="157">
        <v>0</v>
      </c>
      <c r="D18" s="157">
        <v>0</v>
      </c>
      <c r="E18" s="157">
        <v>0</v>
      </c>
      <c r="F18" s="157">
        <v>0</v>
      </c>
      <c r="G18" s="157">
        <v>0</v>
      </c>
      <c r="H18" s="157">
        <v>0</v>
      </c>
      <c r="I18" s="157">
        <v>0</v>
      </c>
      <c r="J18" s="157">
        <v>0</v>
      </c>
      <c r="K18" s="157">
        <v>0</v>
      </c>
      <c r="L18" s="157">
        <v>0</v>
      </c>
      <c r="M18" s="157">
        <f>5640788+729326</f>
        <v>6370114</v>
      </c>
      <c r="N18" s="157">
        <v>0</v>
      </c>
      <c r="O18" s="157">
        <v>0</v>
      </c>
      <c r="P18" s="157">
        <v>0</v>
      </c>
      <c r="Q18" s="157">
        <v>0</v>
      </c>
      <c r="R18" s="157">
        <v>0</v>
      </c>
      <c r="S18" s="157">
        <v>0</v>
      </c>
      <c r="T18" s="157">
        <v>0</v>
      </c>
      <c r="AA18" s="157">
        <v>0</v>
      </c>
      <c r="AB18" s="157">
        <v>0</v>
      </c>
      <c r="AC18" s="157">
        <v>0</v>
      </c>
      <c r="AD18" s="157">
        <v>0</v>
      </c>
      <c r="AE18" s="157">
        <v>0</v>
      </c>
      <c r="AF18" s="157">
        <v>0</v>
      </c>
      <c r="AG18" s="157">
        <v>0</v>
      </c>
      <c r="AH18" s="157">
        <v>0</v>
      </c>
      <c r="AI18" s="157">
        <v>0</v>
      </c>
      <c r="AJ18" s="157">
        <v>0</v>
      </c>
      <c r="AK18" s="157">
        <v>0</v>
      </c>
      <c r="AL18" s="157">
        <v>0</v>
      </c>
      <c r="AM18" s="149">
        <v>2158117</v>
      </c>
      <c r="AN18" s="281">
        <v>0</v>
      </c>
    </row>
    <row r="19" spans="1:40" ht="15.75">
      <c r="A19" s="176" t="s">
        <v>67</v>
      </c>
      <c r="B19" s="166">
        <f>B3-B12</f>
        <v>96272752</v>
      </c>
      <c r="C19" s="166">
        <f t="shared" ref="C19:Z19" si="10">C3-C12</f>
        <v>24737091.620000001</v>
      </c>
      <c r="D19" s="166">
        <f t="shared" si="10"/>
        <v>34809075.420000002</v>
      </c>
      <c r="E19" s="166">
        <f t="shared" si="10"/>
        <v>46481721.25</v>
      </c>
      <c r="F19" s="166">
        <f t="shared" si="10"/>
        <v>57155395.280000001</v>
      </c>
      <c r="G19" s="166">
        <f t="shared" si="10"/>
        <v>67416164.49000001</v>
      </c>
      <c r="H19" s="166">
        <f t="shared" si="10"/>
        <v>86865864.299999997</v>
      </c>
      <c r="I19" s="166">
        <f t="shared" si="10"/>
        <v>95604288.910000011</v>
      </c>
      <c r="J19" s="166">
        <f t="shared" si="10"/>
        <v>114030119.3</v>
      </c>
      <c r="K19" s="166">
        <f t="shared" si="10"/>
        <v>122603587.49000001</v>
      </c>
      <c r="L19" s="166">
        <f t="shared" si="10"/>
        <v>132281336.64</v>
      </c>
      <c r="M19" s="166">
        <f t="shared" si="10"/>
        <v>109822040</v>
      </c>
      <c r="N19" s="166">
        <f t="shared" si="10"/>
        <v>10831907.949999999</v>
      </c>
      <c r="O19" s="166">
        <f t="shared" si="10"/>
        <v>20850133.439999998</v>
      </c>
      <c r="P19" s="166">
        <f t="shared" si="10"/>
        <v>32175725.68</v>
      </c>
      <c r="Q19" s="166">
        <f t="shared" si="10"/>
        <v>45273234.969999999</v>
      </c>
      <c r="R19" s="166">
        <f t="shared" si="10"/>
        <v>55075985.939999998</v>
      </c>
      <c r="S19" s="166">
        <f t="shared" si="10"/>
        <v>65000584.799999997</v>
      </c>
      <c r="T19" s="166">
        <f t="shared" si="10"/>
        <v>75509144.319999993</v>
      </c>
      <c r="U19" s="166">
        <f t="shared" si="10"/>
        <v>0</v>
      </c>
      <c r="V19" s="166">
        <f t="shared" si="10"/>
        <v>0</v>
      </c>
      <c r="W19" s="166">
        <f t="shared" si="10"/>
        <v>0</v>
      </c>
      <c r="X19" s="166">
        <f t="shared" si="10"/>
        <v>0</v>
      </c>
      <c r="Y19" s="166">
        <f t="shared" si="10"/>
        <v>0</v>
      </c>
      <c r="Z19" s="166">
        <f t="shared" si="10"/>
        <v>115499983</v>
      </c>
      <c r="AA19" s="166">
        <f t="shared" ref="AA19:AM19" si="11">AA3-AA12</f>
        <v>12758604.709999999</v>
      </c>
      <c r="AB19" s="166">
        <f t="shared" si="11"/>
        <v>25300564.390000001</v>
      </c>
      <c r="AC19" s="166">
        <f t="shared" si="11"/>
        <v>38996536.609999999</v>
      </c>
      <c r="AD19" s="166">
        <f t="shared" si="11"/>
        <v>51645648.590000004</v>
      </c>
      <c r="AE19" s="166">
        <f t="shared" si="11"/>
        <v>65816501.25</v>
      </c>
      <c r="AF19" s="166">
        <f t="shared" si="11"/>
        <v>79018249.820000008</v>
      </c>
      <c r="AG19" s="166">
        <f t="shared" si="11"/>
        <v>99168735.459999993</v>
      </c>
      <c r="AH19" s="166">
        <f t="shared" si="11"/>
        <v>109278566.05</v>
      </c>
      <c r="AI19" s="166">
        <f t="shared" si="11"/>
        <v>115502993.31</v>
      </c>
      <c r="AJ19" s="166">
        <f t="shared" si="11"/>
        <v>124647920.67000002</v>
      </c>
      <c r="AK19" s="166">
        <f t="shared" si="11"/>
        <v>133818973.64000002</v>
      </c>
      <c r="AL19" s="166">
        <f t="shared" si="11"/>
        <v>146383246.68000004</v>
      </c>
      <c r="AM19" s="166">
        <f t="shared" si="11"/>
        <v>130711170.80000001</v>
      </c>
      <c r="AN19" s="166">
        <f t="shared" ref="AN19" si="12">AN3-AN12</f>
        <v>88071817.090000004</v>
      </c>
    </row>
    <row r="20" spans="1:40" ht="15.75">
      <c r="A20" s="176" t="s">
        <v>68</v>
      </c>
      <c r="B20" s="166">
        <f>B21-B22</f>
        <v>600000</v>
      </c>
      <c r="C20" s="166">
        <f t="shared" ref="C20:Z20" si="13">C21-C22</f>
        <v>0</v>
      </c>
      <c r="D20" s="166">
        <f t="shared" si="13"/>
        <v>0</v>
      </c>
      <c r="E20" s="166">
        <f t="shared" si="13"/>
        <v>0</v>
      </c>
      <c r="F20" s="166">
        <f t="shared" si="13"/>
        <v>0</v>
      </c>
      <c r="G20" s="166">
        <f t="shared" si="13"/>
        <v>0</v>
      </c>
      <c r="H20" s="166">
        <f t="shared" si="13"/>
        <v>0</v>
      </c>
      <c r="I20" s="166">
        <f t="shared" si="13"/>
        <v>0</v>
      </c>
      <c r="J20" s="166">
        <f t="shared" si="13"/>
        <v>0</v>
      </c>
      <c r="K20" s="166">
        <f t="shared" si="13"/>
        <v>0</v>
      </c>
      <c r="L20" s="166">
        <f t="shared" si="13"/>
        <v>0</v>
      </c>
      <c r="M20" s="166">
        <f t="shared" si="13"/>
        <v>1714552</v>
      </c>
      <c r="N20" s="166">
        <f t="shared" si="13"/>
        <v>0</v>
      </c>
      <c r="O20" s="166">
        <f t="shared" si="13"/>
        <v>0</v>
      </c>
      <c r="P20" s="166">
        <f t="shared" si="13"/>
        <v>0</v>
      </c>
      <c r="Q20" s="166">
        <f t="shared" si="13"/>
        <v>0</v>
      </c>
      <c r="R20" s="166">
        <f t="shared" si="13"/>
        <v>0</v>
      </c>
      <c r="S20" s="166">
        <f t="shared" si="13"/>
        <v>0</v>
      </c>
      <c r="T20" s="166">
        <f t="shared" si="13"/>
        <v>0</v>
      </c>
      <c r="U20" s="166">
        <f t="shared" si="13"/>
        <v>0</v>
      </c>
      <c r="V20" s="166">
        <f t="shared" si="13"/>
        <v>0</v>
      </c>
      <c r="W20" s="166">
        <f t="shared" si="13"/>
        <v>0</v>
      </c>
      <c r="X20" s="166">
        <f t="shared" si="13"/>
        <v>0</v>
      </c>
      <c r="Y20" s="166">
        <f t="shared" si="13"/>
        <v>0</v>
      </c>
      <c r="Z20" s="166">
        <f t="shared" si="13"/>
        <v>600000</v>
      </c>
      <c r="AA20" s="166">
        <f t="shared" ref="AA20:AM20" si="14">AA21-AA22</f>
        <v>0</v>
      </c>
      <c r="AB20" s="166">
        <f t="shared" si="14"/>
        <v>0</v>
      </c>
      <c r="AC20" s="166">
        <f t="shared" si="14"/>
        <v>0</v>
      </c>
      <c r="AD20" s="166">
        <f t="shared" si="14"/>
        <v>0</v>
      </c>
      <c r="AE20" s="166">
        <f t="shared" si="14"/>
        <v>0</v>
      </c>
      <c r="AF20" s="166">
        <f t="shared" si="14"/>
        <v>0</v>
      </c>
      <c r="AG20" s="166">
        <f t="shared" si="14"/>
        <v>0</v>
      </c>
      <c r="AH20" s="166">
        <f t="shared" si="14"/>
        <v>0</v>
      </c>
      <c r="AI20" s="166">
        <f t="shared" si="14"/>
        <v>450000</v>
      </c>
      <c r="AJ20" s="166">
        <f t="shared" si="14"/>
        <v>500000</v>
      </c>
      <c r="AK20" s="166">
        <f t="shared" si="14"/>
        <v>550000</v>
      </c>
      <c r="AL20" s="166">
        <f t="shared" si="14"/>
        <v>600000</v>
      </c>
      <c r="AM20" s="166">
        <f t="shared" si="14"/>
        <v>600000</v>
      </c>
      <c r="AN20" s="166">
        <f t="shared" ref="AN20" si="15">AN21-AN22</f>
        <v>400000</v>
      </c>
    </row>
    <row r="21" spans="1:40" ht="15.75">
      <c r="A21" s="177" t="s">
        <v>69</v>
      </c>
      <c r="B21" s="157">
        <v>600000</v>
      </c>
      <c r="C21" s="157">
        <v>100000</v>
      </c>
      <c r="D21" s="157">
        <v>150000</v>
      </c>
      <c r="E21" s="157">
        <v>200000</v>
      </c>
      <c r="F21" s="157">
        <v>250000</v>
      </c>
      <c r="G21" s="157">
        <v>1414552</v>
      </c>
      <c r="H21" s="157">
        <v>1514552</v>
      </c>
      <c r="I21" s="157">
        <v>1564552</v>
      </c>
      <c r="J21" s="157">
        <v>1614552</v>
      </c>
      <c r="K21" s="157">
        <v>1664552</v>
      </c>
      <c r="L21" s="157">
        <v>1714552</v>
      </c>
      <c r="M21" s="157">
        <v>1714552</v>
      </c>
      <c r="N21" s="157">
        <v>50000</v>
      </c>
      <c r="O21" s="157">
        <v>100000</v>
      </c>
      <c r="P21" s="157">
        <v>150000</v>
      </c>
      <c r="Q21" s="157">
        <v>200000</v>
      </c>
      <c r="R21" s="157">
        <v>250000</v>
      </c>
      <c r="S21" s="157">
        <v>300000</v>
      </c>
      <c r="T21" s="157">
        <v>350000</v>
      </c>
      <c r="Z21" s="149">
        <v>600000</v>
      </c>
      <c r="AA21" s="157">
        <v>50000</v>
      </c>
      <c r="AB21" s="157">
        <v>100000</v>
      </c>
      <c r="AC21" s="157">
        <v>150000</v>
      </c>
      <c r="AD21" s="157">
        <v>200000</v>
      </c>
      <c r="AE21" s="157">
        <v>250000</v>
      </c>
      <c r="AF21" s="157">
        <v>300000</v>
      </c>
      <c r="AG21" s="157">
        <v>350000</v>
      </c>
      <c r="AH21" s="157">
        <v>400000</v>
      </c>
      <c r="AI21" s="157">
        <v>450000</v>
      </c>
      <c r="AJ21" s="157">
        <v>500000</v>
      </c>
      <c r="AK21" s="157">
        <v>550000</v>
      </c>
      <c r="AL21" s="157">
        <v>600000</v>
      </c>
      <c r="AM21" s="157">
        <v>600000</v>
      </c>
      <c r="AN21" s="280">
        <v>400000</v>
      </c>
    </row>
    <row r="22" spans="1:40" ht="15.75">
      <c r="A22" s="177" t="s">
        <v>70</v>
      </c>
      <c r="B22" s="157">
        <v>0</v>
      </c>
      <c r="C22" s="157">
        <v>100000</v>
      </c>
      <c r="D22" s="157">
        <v>150000</v>
      </c>
      <c r="E22" s="157">
        <v>200000</v>
      </c>
      <c r="F22" s="157">
        <v>250000</v>
      </c>
      <c r="G22" s="157">
        <v>1414552</v>
      </c>
      <c r="H22" s="157">
        <v>1514552</v>
      </c>
      <c r="I22" s="157">
        <v>1564552</v>
      </c>
      <c r="J22" s="157">
        <v>1614552</v>
      </c>
      <c r="K22" s="157">
        <v>1664552</v>
      </c>
      <c r="L22" s="157">
        <v>1714552</v>
      </c>
      <c r="M22" s="157"/>
      <c r="N22" s="157">
        <v>50000</v>
      </c>
      <c r="O22" s="157">
        <v>100000</v>
      </c>
      <c r="P22" s="157">
        <v>150000</v>
      </c>
      <c r="Q22" s="157">
        <v>200000</v>
      </c>
      <c r="R22" s="157">
        <v>250000</v>
      </c>
      <c r="S22" s="157">
        <v>300000</v>
      </c>
      <c r="T22" s="157">
        <v>350000</v>
      </c>
      <c r="AA22" s="157">
        <v>50000</v>
      </c>
      <c r="AB22" s="157">
        <v>100000</v>
      </c>
      <c r="AC22" s="157">
        <v>150000</v>
      </c>
      <c r="AD22" s="157">
        <v>200000</v>
      </c>
      <c r="AE22" s="157">
        <v>250000</v>
      </c>
      <c r="AF22" s="157">
        <v>300000</v>
      </c>
      <c r="AG22" s="157">
        <v>350000</v>
      </c>
      <c r="AH22" s="157">
        <v>400000</v>
      </c>
      <c r="AI22" s="157">
        <v>0</v>
      </c>
      <c r="AJ22" s="157">
        <v>0</v>
      </c>
      <c r="AK22" s="157">
        <v>0</v>
      </c>
      <c r="AL22" s="157">
        <v>0</v>
      </c>
      <c r="AN22" s="281">
        <v>0</v>
      </c>
    </row>
    <row r="23" spans="1:40" ht="15.75">
      <c r="A23" s="176" t="s">
        <v>71</v>
      </c>
      <c r="B23" s="166">
        <f>SUM(B24:B28)</f>
        <v>88069006</v>
      </c>
      <c r="C23" s="166">
        <f t="shared" ref="C23:AN23" si="16">SUM(C24:C28)</f>
        <v>27078036.390000001</v>
      </c>
      <c r="D23" s="166">
        <f t="shared" si="16"/>
        <v>42542742.270000003</v>
      </c>
      <c r="E23" s="166">
        <f t="shared" si="16"/>
        <v>56991416.660000004</v>
      </c>
      <c r="F23" s="166">
        <f t="shared" si="16"/>
        <v>70406674.74000001</v>
      </c>
      <c r="G23" s="166">
        <f t="shared" si="16"/>
        <v>84310189.24000001</v>
      </c>
      <c r="H23" s="166">
        <f t="shared" si="16"/>
        <v>112544336.23</v>
      </c>
      <c r="I23" s="166">
        <f t="shared" si="16"/>
        <v>125620572.58</v>
      </c>
      <c r="J23" s="166">
        <f t="shared" si="16"/>
        <v>139378710.06999999</v>
      </c>
      <c r="K23" s="166">
        <f t="shared" si="16"/>
        <v>151940566.93000001</v>
      </c>
      <c r="L23" s="166">
        <f t="shared" si="16"/>
        <v>166375514.04000002</v>
      </c>
      <c r="M23" s="166">
        <f t="shared" si="16"/>
        <v>92488858</v>
      </c>
      <c r="N23" s="166">
        <f t="shared" si="16"/>
        <v>15240660.970000001</v>
      </c>
      <c r="O23" s="166">
        <f t="shared" si="16"/>
        <v>31209507.510000002</v>
      </c>
      <c r="P23" s="166">
        <f t="shared" si="16"/>
        <v>46770851.399999999</v>
      </c>
      <c r="Q23" s="166">
        <f t="shared" si="16"/>
        <v>62865660.799999997</v>
      </c>
      <c r="R23" s="166">
        <f t="shared" si="16"/>
        <v>77627911.579999998</v>
      </c>
      <c r="S23" s="166">
        <f t="shared" si="16"/>
        <v>92849006.219999999</v>
      </c>
      <c r="T23" s="166">
        <f t="shared" si="16"/>
        <v>108047312.45</v>
      </c>
      <c r="U23" s="166">
        <f t="shared" si="16"/>
        <v>0</v>
      </c>
      <c r="V23" s="166">
        <f t="shared" si="16"/>
        <v>0</v>
      </c>
      <c r="W23" s="166">
        <f t="shared" si="16"/>
        <v>0</v>
      </c>
      <c r="X23" s="166">
        <f t="shared" si="16"/>
        <v>0</v>
      </c>
      <c r="Y23" s="166">
        <f t="shared" si="16"/>
        <v>0</v>
      </c>
      <c r="Z23" s="166">
        <f t="shared" si="16"/>
        <v>104222675</v>
      </c>
      <c r="AA23" s="166">
        <f t="shared" si="16"/>
        <v>13391858.629999999</v>
      </c>
      <c r="AB23" s="166">
        <f t="shared" si="16"/>
        <v>28351817.629999999</v>
      </c>
      <c r="AC23" s="166">
        <f t="shared" si="16"/>
        <v>45634564.220000006</v>
      </c>
      <c r="AD23" s="166">
        <f t="shared" si="16"/>
        <v>60508708.649999999</v>
      </c>
      <c r="AE23" s="166">
        <f t="shared" si="16"/>
        <v>76215207.75</v>
      </c>
      <c r="AF23" s="166">
        <f t="shared" si="16"/>
        <v>91763213.480000004</v>
      </c>
      <c r="AG23" s="166">
        <f t="shared" si="16"/>
        <v>108016403.84</v>
      </c>
      <c r="AH23" s="166">
        <f t="shared" si="16"/>
        <v>123985835.02000001</v>
      </c>
      <c r="AI23" s="166">
        <f t="shared" si="16"/>
        <v>78407344.960000008</v>
      </c>
      <c r="AJ23" s="166">
        <f t="shared" si="16"/>
        <v>87031551.069999993</v>
      </c>
      <c r="AK23" s="166">
        <f t="shared" si="16"/>
        <v>95812942.640000001</v>
      </c>
      <c r="AL23" s="166">
        <f t="shared" si="16"/>
        <v>104847837.13000001</v>
      </c>
      <c r="AM23" s="166">
        <f t="shared" si="16"/>
        <v>106703096</v>
      </c>
      <c r="AN23" s="166">
        <f t="shared" si="16"/>
        <v>76007101.930000007</v>
      </c>
    </row>
    <row r="24" spans="1:40" ht="15.75">
      <c r="A24" s="177" t="s">
        <v>72</v>
      </c>
      <c r="B24" s="157">
        <v>54737957</v>
      </c>
      <c r="C24" s="157">
        <v>15557411.779999999</v>
      </c>
      <c r="D24" s="157">
        <v>24657241.75</v>
      </c>
      <c r="E24" s="157">
        <v>33178463.100000001</v>
      </c>
      <c r="F24" s="157">
        <v>40911852.07</v>
      </c>
      <c r="G24" s="157">
        <v>48700216.32</v>
      </c>
      <c r="H24" s="157">
        <v>65039484.390000001</v>
      </c>
      <c r="I24" s="157">
        <v>72717595.859999999</v>
      </c>
      <c r="J24" s="157">
        <v>80564396.280000001</v>
      </c>
      <c r="K24" s="157">
        <v>87639365.730000004</v>
      </c>
      <c r="L24" s="157">
        <v>95832103.040000007</v>
      </c>
      <c r="M24" s="157">
        <v>56759311</v>
      </c>
      <c r="N24" s="157">
        <v>8423424.3800000008</v>
      </c>
      <c r="O24" s="157">
        <v>17400476.93</v>
      </c>
      <c r="P24" s="157">
        <v>26382035.579999998</v>
      </c>
      <c r="Q24" s="157">
        <v>35557500.710000001</v>
      </c>
      <c r="R24" s="157">
        <v>43605640.420000002</v>
      </c>
      <c r="S24" s="157">
        <v>52015568.829999998</v>
      </c>
      <c r="T24" s="157">
        <v>60427242.520000003</v>
      </c>
      <c r="Z24" s="149">
        <v>66747293</v>
      </c>
      <c r="AA24" s="157">
        <v>7420774.1399999997</v>
      </c>
      <c r="AB24" s="157">
        <v>15877315.390000001</v>
      </c>
      <c r="AC24" s="157">
        <v>25765610.920000002</v>
      </c>
      <c r="AD24" s="157">
        <v>33758357.990000002</v>
      </c>
      <c r="AE24" s="157">
        <v>42627877.539999999</v>
      </c>
      <c r="AF24" s="157">
        <v>51094122.07</v>
      </c>
      <c r="AG24" s="157">
        <v>60522107.590000004</v>
      </c>
      <c r="AH24" s="157">
        <v>69568582.260000005</v>
      </c>
      <c r="AI24" s="157">
        <v>51720179.799999997</v>
      </c>
      <c r="AJ24" s="157">
        <v>57736174.399999999</v>
      </c>
      <c r="AK24" s="157">
        <v>63821285.899999999</v>
      </c>
      <c r="AL24" s="157">
        <v>69914688.400000006</v>
      </c>
      <c r="AM24" s="149">
        <v>69914688</v>
      </c>
      <c r="AN24" s="280">
        <v>50016814.700000003</v>
      </c>
    </row>
    <row r="25" spans="1:40" ht="15.75">
      <c r="A25" s="177" t="s">
        <v>73</v>
      </c>
      <c r="B25" s="157">
        <v>338700</v>
      </c>
      <c r="C25" s="157">
        <v>9162732</v>
      </c>
      <c r="D25" s="157">
        <v>14127756.09</v>
      </c>
      <c r="E25" s="157">
        <v>18999835.18</v>
      </c>
      <c r="F25" s="157">
        <v>23587826.739999998</v>
      </c>
      <c r="G25" s="157">
        <v>28508544.190000001</v>
      </c>
      <c r="H25" s="157">
        <v>38113399.109999999</v>
      </c>
      <c r="I25" s="157">
        <v>42461029.670000002</v>
      </c>
      <c r="J25" s="157">
        <v>47214030.229999997</v>
      </c>
      <c r="K25" s="157">
        <v>51689353.789999999</v>
      </c>
      <c r="L25" s="157">
        <v>56759311.350000001</v>
      </c>
      <c r="M25" s="157">
        <v>278700</v>
      </c>
      <c r="N25" s="157">
        <v>5543644.7400000002</v>
      </c>
      <c r="O25" s="157">
        <v>11095152.99</v>
      </c>
      <c r="P25" s="157">
        <v>16444486.039999999</v>
      </c>
      <c r="Q25" s="157">
        <v>22268169.809999999</v>
      </c>
      <c r="R25" s="157">
        <v>27967596.579999998</v>
      </c>
      <c r="S25" s="157">
        <v>33740539.549999997</v>
      </c>
      <c r="T25" s="157">
        <v>39233719.119999997</v>
      </c>
      <c r="Z25" s="149">
        <v>255700</v>
      </c>
      <c r="AA25" s="157">
        <v>5470554.4900000002</v>
      </c>
      <c r="AB25" s="157">
        <v>10951365.26</v>
      </c>
      <c r="AC25" s="157">
        <v>16483643.029999999</v>
      </c>
      <c r="AD25" s="157">
        <v>22479172.98</v>
      </c>
      <c r="AE25" s="157">
        <v>28344692.870000001</v>
      </c>
      <c r="AF25" s="157">
        <v>34406922.710000001</v>
      </c>
      <c r="AG25" s="157">
        <v>40295589.149999999</v>
      </c>
      <c r="AH25" s="157">
        <v>46143701.390000001</v>
      </c>
      <c r="AI25" s="157">
        <v>158500</v>
      </c>
      <c r="AJ25" s="157">
        <v>158500</v>
      </c>
      <c r="AK25" s="157">
        <v>158500</v>
      </c>
      <c r="AL25" s="157">
        <v>258700</v>
      </c>
      <c r="AM25" s="149">
        <v>258700</v>
      </c>
      <c r="AN25" s="282">
        <v>206200</v>
      </c>
    </row>
    <row r="26" spans="1:40" ht="15.75">
      <c r="A26" s="177" t="s">
        <v>74</v>
      </c>
      <c r="B26" s="157">
        <v>3842531</v>
      </c>
      <c r="C26" s="157">
        <v>41400</v>
      </c>
      <c r="D26" s="157">
        <v>41400</v>
      </c>
      <c r="E26" s="157">
        <v>41400</v>
      </c>
      <c r="F26" s="157">
        <v>58000</v>
      </c>
      <c r="G26" s="157">
        <v>74600</v>
      </c>
      <c r="H26" s="157">
        <v>124400</v>
      </c>
      <c r="I26" s="157">
        <v>124400</v>
      </c>
      <c r="J26" s="157">
        <v>191900</v>
      </c>
      <c r="K26" s="157">
        <v>208500</v>
      </c>
      <c r="L26" s="157">
        <v>278700</v>
      </c>
      <c r="M26" s="157">
        <v>3770715</v>
      </c>
      <c r="N26" s="157">
        <v>19300</v>
      </c>
      <c r="O26" s="157">
        <v>38600</v>
      </c>
      <c r="P26" s="157">
        <v>100700</v>
      </c>
      <c r="Q26" s="157">
        <v>130800</v>
      </c>
      <c r="R26" s="157">
        <v>130800</v>
      </c>
      <c r="S26" s="157">
        <v>158200</v>
      </c>
      <c r="T26" s="157">
        <v>158200</v>
      </c>
      <c r="Z26" s="149">
        <v>4609186</v>
      </c>
      <c r="AA26" s="157">
        <v>0</v>
      </c>
      <c r="AB26" s="157">
        <v>0</v>
      </c>
      <c r="AC26" s="157">
        <v>75600</v>
      </c>
      <c r="AD26" s="157">
        <v>75600</v>
      </c>
      <c r="AE26" s="157">
        <v>75600</v>
      </c>
      <c r="AF26" s="157">
        <v>109300</v>
      </c>
      <c r="AG26" s="157">
        <v>133900</v>
      </c>
      <c r="AH26" s="157">
        <v>158500</v>
      </c>
      <c r="AI26" s="157">
        <v>3199231</v>
      </c>
      <c r="AJ26" s="157">
        <v>3435861</v>
      </c>
      <c r="AK26" s="157">
        <v>3719085</v>
      </c>
      <c r="AL26" s="157">
        <v>4137910</v>
      </c>
      <c r="AM26" s="149">
        <v>4137910</v>
      </c>
      <c r="AN26" s="282">
        <v>3666205</v>
      </c>
    </row>
    <row r="27" spans="1:40" ht="15.75">
      <c r="A27" s="177" t="s">
        <v>75</v>
      </c>
      <c r="B27" s="157">
        <v>6437685</v>
      </c>
      <c r="C27" s="157">
        <v>965310</v>
      </c>
      <c r="D27" s="157">
        <v>1504660</v>
      </c>
      <c r="E27" s="157">
        <v>1706625</v>
      </c>
      <c r="F27" s="157">
        <v>1944515</v>
      </c>
      <c r="G27" s="157">
        <v>2270835</v>
      </c>
      <c r="H27" s="157">
        <v>2833895</v>
      </c>
      <c r="I27" s="157">
        <v>3046745</v>
      </c>
      <c r="J27" s="157">
        <v>3305555</v>
      </c>
      <c r="K27" s="157">
        <v>3480165</v>
      </c>
      <c r="L27" s="157">
        <v>3770715</v>
      </c>
      <c r="M27" s="157">
        <v>6391440</v>
      </c>
      <c r="N27" s="157">
        <v>459001</v>
      </c>
      <c r="O27" s="157">
        <v>1097691</v>
      </c>
      <c r="P27" s="157">
        <v>1499346</v>
      </c>
      <c r="Q27" s="157">
        <v>1844866</v>
      </c>
      <c r="R27" s="157">
        <v>2146166</v>
      </c>
      <c r="S27" s="157">
        <v>2444496</v>
      </c>
      <c r="T27" s="157">
        <v>3034956</v>
      </c>
      <c r="Z27" s="149">
        <v>8656068</v>
      </c>
      <c r="AA27" s="157">
        <v>500530</v>
      </c>
      <c r="AB27" s="157">
        <v>857340</v>
      </c>
      <c r="AC27" s="157">
        <v>1348070</v>
      </c>
      <c r="AD27" s="157">
        <v>1587230</v>
      </c>
      <c r="AE27" s="157">
        <v>1921460</v>
      </c>
      <c r="AF27" s="157">
        <v>2279180</v>
      </c>
      <c r="AG27" s="157">
        <v>2541270</v>
      </c>
      <c r="AH27" s="157">
        <v>2936520</v>
      </c>
      <c r="AI27" s="157">
        <v>5837841.2300000004</v>
      </c>
      <c r="AJ27" s="157">
        <v>6486524.21</v>
      </c>
      <c r="AK27" s="157">
        <v>7126857.2199999997</v>
      </c>
      <c r="AL27" s="157">
        <v>7759761.6399999997</v>
      </c>
      <c r="AM27" s="149">
        <v>7759762</v>
      </c>
      <c r="AN27" s="282">
        <v>4905829.5</v>
      </c>
    </row>
    <row r="28" spans="1:40" ht="15.75">
      <c r="A28" s="177" t="s">
        <v>76</v>
      </c>
      <c r="B28" s="157">
        <v>22712133</v>
      </c>
      <c r="C28" s="157">
        <v>1351182.61</v>
      </c>
      <c r="D28" s="157">
        <v>2211684.4300000002</v>
      </c>
      <c r="E28" s="157">
        <v>3065093.38</v>
      </c>
      <c r="F28" s="157">
        <v>3904480.93</v>
      </c>
      <c r="G28" s="157">
        <v>4755993.7300000004</v>
      </c>
      <c r="H28" s="157">
        <v>6433157.7300000004</v>
      </c>
      <c r="I28" s="157">
        <v>7270802.0499999998</v>
      </c>
      <c r="J28" s="157">
        <v>8102828.5599999996</v>
      </c>
      <c r="K28" s="157">
        <v>8923182.4100000001</v>
      </c>
      <c r="L28" s="157">
        <v>9734684.6500000004</v>
      </c>
      <c r="M28" s="157">
        <v>25288692</v>
      </c>
      <c r="N28" s="157">
        <v>795290.85</v>
      </c>
      <c r="O28" s="157">
        <v>1577586.59</v>
      </c>
      <c r="P28" s="157">
        <v>2344283.7799999998</v>
      </c>
      <c r="Q28" s="157">
        <v>3064324.28</v>
      </c>
      <c r="R28" s="157">
        <v>3777708.58</v>
      </c>
      <c r="S28" s="157">
        <v>4490201.84</v>
      </c>
      <c r="T28" s="157">
        <v>5193194.8099999996</v>
      </c>
      <c r="Z28" s="149">
        <v>23954428</v>
      </c>
      <c r="AA28" s="157">
        <v>0</v>
      </c>
      <c r="AB28" s="157">
        <v>665796.98</v>
      </c>
      <c r="AC28" s="157">
        <v>1961640.27</v>
      </c>
      <c r="AD28" s="157">
        <v>2608347.6800000002</v>
      </c>
      <c r="AE28" s="157">
        <v>3245577.34</v>
      </c>
      <c r="AF28" s="157">
        <v>3873688.7</v>
      </c>
      <c r="AG28" s="157">
        <v>4523537.0999999996</v>
      </c>
      <c r="AH28" s="157">
        <v>5178531.37</v>
      </c>
      <c r="AI28" s="157">
        <v>17491592.93</v>
      </c>
      <c r="AJ28" s="157">
        <v>19214491.460000001</v>
      </c>
      <c r="AK28" s="157">
        <v>20987214.52</v>
      </c>
      <c r="AL28" s="157">
        <v>22776777.09</v>
      </c>
      <c r="AM28" s="149">
        <v>24632036</v>
      </c>
      <c r="AN28" s="282">
        <v>17212052.73</v>
      </c>
    </row>
    <row r="29" spans="1:40" ht="15.75">
      <c r="A29" s="176" t="s">
        <v>77</v>
      </c>
      <c r="B29" s="166">
        <f>B19-B20-B23</f>
        <v>7603746</v>
      </c>
      <c r="C29" s="166">
        <f t="shared" ref="C29:Z29" si="17">C19-C20-C23</f>
        <v>-2340944.7699999996</v>
      </c>
      <c r="D29" s="166">
        <f t="shared" si="17"/>
        <v>-7733666.8500000015</v>
      </c>
      <c r="E29" s="166">
        <f t="shared" si="17"/>
        <v>-10509695.410000004</v>
      </c>
      <c r="F29" s="166">
        <f t="shared" si="17"/>
        <v>-13251279.460000008</v>
      </c>
      <c r="G29" s="166">
        <f t="shared" si="17"/>
        <v>-16894024.75</v>
      </c>
      <c r="H29" s="166">
        <f t="shared" si="17"/>
        <v>-25678471.930000007</v>
      </c>
      <c r="I29" s="166">
        <f t="shared" si="17"/>
        <v>-30016283.669999987</v>
      </c>
      <c r="J29" s="166">
        <f t="shared" si="17"/>
        <v>-25348590.769999996</v>
      </c>
      <c r="K29" s="166">
        <f t="shared" si="17"/>
        <v>-29336979.439999998</v>
      </c>
      <c r="L29" s="166">
        <f t="shared" si="17"/>
        <v>-34094177.400000021</v>
      </c>
      <c r="M29" s="166">
        <f t="shared" si="17"/>
        <v>15618630</v>
      </c>
      <c r="N29" s="166">
        <f t="shared" si="17"/>
        <v>-4408753.0200000014</v>
      </c>
      <c r="O29" s="166">
        <f t="shared" si="17"/>
        <v>-10359374.070000004</v>
      </c>
      <c r="P29" s="166">
        <f t="shared" si="17"/>
        <v>-14595125.719999999</v>
      </c>
      <c r="Q29" s="166">
        <f t="shared" si="17"/>
        <v>-17592425.829999998</v>
      </c>
      <c r="R29" s="166">
        <f t="shared" si="17"/>
        <v>-22551925.640000001</v>
      </c>
      <c r="S29" s="166">
        <f t="shared" si="17"/>
        <v>-27848421.420000002</v>
      </c>
      <c r="T29" s="166">
        <f t="shared" si="17"/>
        <v>-32538168.13000001</v>
      </c>
      <c r="U29" s="166">
        <f t="shared" si="17"/>
        <v>0</v>
      </c>
      <c r="V29" s="166">
        <f t="shared" si="17"/>
        <v>0</v>
      </c>
      <c r="W29" s="166">
        <f t="shared" si="17"/>
        <v>0</v>
      </c>
      <c r="X29" s="166">
        <f t="shared" si="17"/>
        <v>0</v>
      </c>
      <c r="Y29" s="166">
        <f t="shared" si="17"/>
        <v>0</v>
      </c>
      <c r="Z29" s="166">
        <f t="shared" si="17"/>
        <v>10677308</v>
      </c>
      <c r="AA29" s="166">
        <f t="shared" ref="AA29:AM29" si="18">AA19-AA20-AA23</f>
        <v>-633253.91999999993</v>
      </c>
      <c r="AB29" s="166">
        <f t="shared" si="18"/>
        <v>-3051253.2399999984</v>
      </c>
      <c r="AC29" s="166">
        <f t="shared" si="18"/>
        <v>-6638027.6100000069</v>
      </c>
      <c r="AD29" s="166">
        <f t="shared" si="18"/>
        <v>-8863060.0599999949</v>
      </c>
      <c r="AE29" s="166">
        <f t="shared" si="18"/>
        <v>-10398706.5</v>
      </c>
      <c r="AF29" s="166">
        <f t="shared" si="18"/>
        <v>-12744963.659999996</v>
      </c>
      <c r="AG29" s="166">
        <f t="shared" si="18"/>
        <v>-8847668.3800000101</v>
      </c>
      <c r="AH29" s="166">
        <f t="shared" si="18"/>
        <v>-14707268.970000014</v>
      </c>
      <c r="AI29" s="166">
        <f t="shared" si="18"/>
        <v>36645648.349999994</v>
      </c>
      <c r="AJ29" s="166">
        <f t="shared" si="18"/>
        <v>37116369.600000024</v>
      </c>
      <c r="AK29" s="166">
        <f t="shared" si="18"/>
        <v>37456031.000000015</v>
      </c>
      <c r="AL29" s="166">
        <f t="shared" si="18"/>
        <v>40935409.550000027</v>
      </c>
      <c r="AM29" s="166">
        <f t="shared" si="18"/>
        <v>23408074.800000012</v>
      </c>
      <c r="AN29" s="166">
        <f t="shared" ref="AN29" si="19">AN19-AN20-AN23</f>
        <v>11664715.159999996</v>
      </c>
    </row>
    <row r="30" spans="1:40" ht="15.75">
      <c r="A30" s="176" t="s">
        <v>78</v>
      </c>
      <c r="B30" s="166">
        <f>B31-B32</f>
        <v>0</v>
      </c>
      <c r="C30" s="166">
        <f t="shared" ref="C30:Z30" si="20">C31-C32</f>
        <v>0</v>
      </c>
      <c r="D30" s="166">
        <f t="shared" si="20"/>
        <v>0</v>
      </c>
      <c r="E30" s="166">
        <f t="shared" si="20"/>
        <v>0</v>
      </c>
      <c r="F30" s="166">
        <f t="shared" si="20"/>
        <v>0</v>
      </c>
      <c r="G30" s="166">
        <f t="shared" si="20"/>
        <v>0</v>
      </c>
      <c r="H30" s="166">
        <f t="shared" si="20"/>
        <v>0</v>
      </c>
      <c r="I30" s="166">
        <f t="shared" si="20"/>
        <v>0</v>
      </c>
      <c r="J30" s="166">
        <f t="shared" si="20"/>
        <v>0</v>
      </c>
      <c r="K30" s="166">
        <f t="shared" si="20"/>
        <v>0</v>
      </c>
      <c r="L30" s="166">
        <f t="shared" si="20"/>
        <v>0</v>
      </c>
      <c r="M30" s="166">
        <f t="shared" si="20"/>
        <v>0</v>
      </c>
      <c r="N30" s="166">
        <f t="shared" si="20"/>
        <v>0</v>
      </c>
      <c r="O30" s="166">
        <f t="shared" si="20"/>
        <v>0</v>
      </c>
      <c r="P30" s="166">
        <f t="shared" si="20"/>
        <v>0</v>
      </c>
      <c r="Q30" s="166">
        <f t="shared" si="20"/>
        <v>0</v>
      </c>
      <c r="R30" s="166">
        <f t="shared" si="20"/>
        <v>0</v>
      </c>
      <c r="S30" s="166">
        <f t="shared" si="20"/>
        <v>0</v>
      </c>
      <c r="T30" s="166">
        <f t="shared" si="20"/>
        <v>0</v>
      </c>
      <c r="U30" s="166">
        <f t="shared" si="20"/>
        <v>0</v>
      </c>
      <c r="V30" s="166">
        <f t="shared" si="20"/>
        <v>0</v>
      </c>
      <c r="W30" s="166">
        <f t="shared" si="20"/>
        <v>0</v>
      </c>
      <c r="X30" s="166">
        <f t="shared" si="20"/>
        <v>0</v>
      </c>
      <c r="Y30" s="166">
        <f t="shared" si="20"/>
        <v>0</v>
      </c>
      <c r="Z30" s="166">
        <f t="shared" si="20"/>
        <v>0</v>
      </c>
      <c r="AA30" s="166">
        <f t="shared" ref="AA30:AM30" si="21">AA31-AA32</f>
        <v>0</v>
      </c>
      <c r="AB30" s="166">
        <f t="shared" si="21"/>
        <v>0</v>
      </c>
      <c r="AC30" s="166">
        <f t="shared" si="21"/>
        <v>0</v>
      </c>
      <c r="AD30" s="166">
        <f t="shared" si="21"/>
        <v>0</v>
      </c>
      <c r="AE30" s="166">
        <f t="shared" si="21"/>
        <v>0</v>
      </c>
      <c r="AF30" s="166">
        <f t="shared" si="21"/>
        <v>0</v>
      </c>
      <c r="AG30" s="166">
        <f t="shared" si="21"/>
        <v>0</v>
      </c>
      <c r="AH30" s="166">
        <f t="shared" si="21"/>
        <v>0</v>
      </c>
      <c r="AI30" s="166">
        <f t="shared" si="21"/>
        <v>0</v>
      </c>
      <c r="AJ30" s="166">
        <f t="shared" si="21"/>
        <v>0</v>
      </c>
      <c r="AK30" s="166">
        <f t="shared" si="21"/>
        <v>0</v>
      </c>
      <c r="AL30" s="166">
        <f t="shared" si="21"/>
        <v>0</v>
      </c>
      <c r="AM30" s="166">
        <f t="shared" si="21"/>
        <v>0</v>
      </c>
      <c r="AN30" s="166">
        <f t="shared" ref="AN30" si="22">AN31-AN32</f>
        <v>0</v>
      </c>
    </row>
    <row r="31" spans="1:40" ht="15.75">
      <c r="A31" s="177" t="s">
        <v>79</v>
      </c>
      <c r="B31" s="157">
        <v>0</v>
      </c>
      <c r="C31" s="157">
        <v>0</v>
      </c>
      <c r="D31" s="157">
        <v>0</v>
      </c>
      <c r="E31" s="157">
        <v>0</v>
      </c>
      <c r="F31" s="157">
        <v>0</v>
      </c>
      <c r="G31" s="157">
        <v>0</v>
      </c>
      <c r="H31" s="157">
        <v>0</v>
      </c>
      <c r="I31" s="157">
        <v>0</v>
      </c>
      <c r="J31" s="157">
        <v>0</v>
      </c>
      <c r="K31" s="157">
        <v>0</v>
      </c>
      <c r="L31" s="157">
        <v>0</v>
      </c>
      <c r="M31" s="157"/>
      <c r="N31" s="157">
        <v>0</v>
      </c>
      <c r="O31" s="157">
        <v>0</v>
      </c>
      <c r="P31" s="157">
        <v>0</v>
      </c>
      <c r="Q31" s="157">
        <v>0</v>
      </c>
      <c r="R31" s="157">
        <v>0</v>
      </c>
      <c r="S31" s="157">
        <v>0</v>
      </c>
      <c r="T31" s="157">
        <v>0</v>
      </c>
      <c r="AA31" s="157">
        <v>0</v>
      </c>
      <c r="AB31" s="157">
        <v>0</v>
      </c>
      <c r="AC31" s="157">
        <v>0</v>
      </c>
      <c r="AD31" s="157">
        <v>0</v>
      </c>
      <c r="AE31" s="157">
        <v>0</v>
      </c>
      <c r="AF31" s="157">
        <v>0</v>
      </c>
      <c r="AG31" s="157">
        <v>0</v>
      </c>
      <c r="AH31" s="157">
        <v>0</v>
      </c>
      <c r="AI31" s="157">
        <v>0</v>
      </c>
      <c r="AJ31" s="157">
        <v>0</v>
      </c>
      <c r="AK31" s="157">
        <v>0</v>
      </c>
      <c r="AL31" s="157">
        <v>0</v>
      </c>
      <c r="AM31" s="279">
        <v>0</v>
      </c>
      <c r="AN31" s="288">
        <v>0</v>
      </c>
    </row>
    <row r="32" spans="1:40" ht="15.75">
      <c r="A32" s="177" t="s">
        <v>80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>
        <v>0</v>
      </c>
      <c r="M32" s="157"/>
      <c r="N32" s="157">
        <v>0</v>
      </c>
      <c r="O32" s="157">
        <v>0</v>
      </c>
      <c r="P32" s="157">
        <v>0</v>
      </c>
      <c r="Q32" s="157">
        <v>0</v>
      </c>
      <c r="R32" s="157">
        <v>0</v>
      </c>
      <c r="S32" s="157">
        <v>0</v>
      </c>
      <c r="T32" s="157">
        <v>0</v>
      </c>
      <c r="AA32" s="157">
        <v>0</v>
      </c>
      <c r="AB32" s="157">
        <v>0</v>
      </c>
      <c r="AC32" s="157">
        <v>0</v>
      </c>
      <c r="AD32" s="157">
        <v>0</v>
      </c>
      <c r="AE32" s="157">
        <v>0</v>
      </c>
      <c r="AF32" s="157">
        <v>0</v>
      </c>
      <c r="AG32" s="157">
        <v>0</v>
      </c>
      <c r="AH32" s="157">
        <v>0</v>
      </c>
      <c r="AI32" s="157">
        <v>0</v>
      </c>
      <c r="AJ32" s="157">
        <v>0</v>
      </c>
      <c r="AK32" s="157">
        <v>0</v>
      </c>
      <c r="AL32" s="157">
        <v>0</v>
      </c>
      <c r="AM32" s="281">
        <v>0</v>
      </c>
      <c r="AN32" s="289">
        <v>0</v>
      </c>
    </row>
    <row r="33" spans="1:40" ht="15.75">
      <c r="A33" s="178" t="s">
        <v>81</v>
      </c>
      <c r="B33" s="179">
        <f>B29+B30</f>
        <v>7603746</v>
      </c>
      <c r="C33" s="179">
        <f t="shared" ref="C33:AN33" si="23">C29+C30</f>
        <v>-2340944.7699999996</v>
      </c>
      <c r="D33" s="179">
        <f t="shared" si="23"/>
        <v>-7733666.8500000015</v>
      </c>
      <c r="E33" s="179">
        <f t="shared" si="23"/>
        <v>-10509695.410000004</v>
      </c>
      <c r="F33" s="179">
        <f t="shared" si="23"/>
        <v>-13251279.460000008</v>
      </c>
      <c r="G33" s="179">
        <f t="shared" si="23"/>
        <v>-16894024.75</v>
      </c>
      <c r="H33" s="179">
        <f t="shared" si="23"/>
        <v>-25678471.930000007</v>
      </c>
      <c r="I33" s="179">
        <f t="shared" si="23"/>
        <v>-30016283.669999987</v>
      </c>
      <c r="J33" s="179">
        <f t="shared" si="23"/>
        <v>-25348590.769999996</v>
      </c>
      <c r="K33" s="179">
        <f t="shared" si="23"/>
        <v>-29336979.439999998</v>
      </c>
      <c r="L33" s="179">
        <f t="shared" si="23"/>
        <v>-34094177.400000021</v>
      </c>
      <c r="M33" s="179">
        <f t="shared" si="23"/>
        <v>15618630</v>
      </c>
      <c r="N33" s="179">
        <f t="shared" si="23"/>
        <v>-4408753.0200000014</v>
      </c>
      <c r="O33" s="179">
        <f t="shared" si="23"/>
        <v>-10359374.070000004</v>
      </c>
      <c r="P33" s="179">
        <f t="shared" si="23"/>
        <v>-14595125.719999999</v>
      </c>
      <c r="Q33" s="179">
        <f t="shared" si="23"/>
        <v>-17592425.829999998</v>
      </c>
      <c r="R33" s="179">
        <f t="shared" si="23"/>
        <v>-22551925.640000001</v>
      </c>
      <c r="S33" s="179">
        <f t="shared" si="23"/>
        <v>-27848421.420000002</v>
      </c>
      <c r="T33" s="179">
        <f t="shared" si="23"/>
        <v>-32538168.13000001</v>
      </c>
      <c r="U33" s="179">
        <f t="shared" si="23"/>
        <v>0</v>
      </c>
      <c r="V33" s="179">
        <f t="shared" si="23"/>
        <v>0</v>
      </c>
      <c r="W33" s="179">
        <f t="shared" si="23"/>
        <v>0</v>
      </c>
      <c r="X33" s="179">
        <f t="shared" si="23"/>
        <v>0</v>
      </c>
      <c r="Y33" s="179">
        <f t="shared" si="23"/>
        <v>0</v>
      </c>
      <c r="Z33" s="179">
        <f t="shared" si="23"/>
        <v>10677308</v>
      </c>
      <c r="AA33" s="179">
        <f t="shared" si="23"/>
        <v>-633253.91999999993</v>
      </c>
      <c r="AB33" s="179">
        <f t="shared" si="23"/>
        <v>-3051253.2399999984</v>
      </c>
      <c r="AC33" s="179">
        <f t="shared" si="23"/>
        <v>-6638027.6100000069</v>
      </c>
      <c r="AD33" s="179">
        <f t="shared" si="23"/>
        <v>-8863060.0599999949</v>
      </c>
      <c r="AE33" s="179">
        <f t="shared" si="23"/>
        <v>-10398706.5</v>
      </c>
      <c r="AF33" s="179">
        <f t="shared" si="23"/>
        <v>-12744963.659999996</v>
      </c>
      <c r="AG33" s="179">
        <f t="shared" si="23"/>
        <v>-8847668.3800000101</v>
      </c>
      <c r="AH33" s="179">
        <f t="shared" si="23"/>
        <v>-14707268.970000014</v>
      </c>
      <c r="AI33" s="179">
        <f t="shared" si="23"/>
        <v>36645648.349999994</v>
      </c>
      <c r="AJ33" s="179">
        <f t="shared" si="23"/>
        <v>37116369.600000024</v>
      </c>
      <c r="AK33" s="179">
        <f t="shared" si="23"/>
        <v>37456031.000000015</v>
      </c>
      <c r="AL33" s="179">
        <f t="shared" si="23"/>
        <v>40935409.550000027</v>
      </c>
      <c r="AM33" s="179">
        <f t="shared" si="23"/>
        <v>23408074.800000012</v>
      </c>
      <c r="AN33" s="179">
        <f t="shared" si="23"/>
        <v>11664715.159999996</v>
      </c>
    </row>
    <row r="34" spans="1:40" ht="15.75">
      <c r="A34" s="177" t="s">
        <v>82</v>
      </c>
      <c r="B34" s="157">
        <v>2189409.59</v>
      </c>
      <c r="C34" s="157">
        <v>0</v>
      </c>
      <c r="D34" s="157">
        <v>0</v>
      </c>
      <c r="E34" s="157">
        <v>0</v>
      </c>
      <c r="F34" s="157">
        <v>0</v>
      </c>
      <c r="G34" s="157">
        <v>0</v>
      </c>
      <c r="H34" s="157">
        <v>0</v>
      </c>
      <c r="I34" s="157">
        <v>0</v>
      </c>
      <c r="J34" s="157">
        <v>0</v>
      </c>
      <c r="K34" s="157">
        <v>0</v>
      </c>
      <c r="L34" s="157">
        <v>0</v>
      </c>
      <c r="M34" s="157">
        <v>6505518</v>
      </c>
      <c r="N34" s="157">
        <v>0</v>
      </c>
      <c r="O34" s="157">
        <v>0</v>
      </c>
      <c r="P34" s="157">
        <v>0</v>
      </c>
      <c r="Q34" s="157">
        <v>0</v>
      </c>
      <c r="R34" s="157">
        <v>0</v>
      </c>
      <c r="S34" s="157">
        <v>0</v>
      </c>
      <c r="T34" s="157">
        <v>0</v>
      </c>
      <c r="Z34" s="149">
        <v>7704740</v>
      </c>
      <c r="AA34" s="157">
        <v>0</v>
      </c>
      <c r="AB34" s="157">
        <v>0</v>
      </c>
      <c r="AC34" s="157">
        <v>0</v>
      </c>
      <c r="AD34" s="157">
        <v>0</v>
      </c>
      <c r="AE34" s="157">
        <v>0</v>
      </c>
      <c r="AF34" s="157">
        <v>0</v>
      </c>
      <c r="AG34" s="157">
        <v>0</v>
      </c>
      <c r="AH34" s="157">
        <v>0</v>
      </c>
      <c r="AI34" s="157">
        <v>0</v>
      </c>
      <c r="AJ34" s="157">
        <v>0</v>
      </c>
      <c r="AK34" s="157">
        <v>0</v>
      </c>
      <c r="AL34" s="157">
        <v>0</v>
      </c>
      <c r="AM34" s="149">
        <v>7733076.75</v>
      </c>
      <c r="AN34" s="157">
        <v>0</v>
      </c>
    </row>
    <row r="35" spans="1:40" ht="15.75">
      <c r="A35" s="176" t="s">
        <v>83</v>
      </c>
      <c r="B35" s="166">
        <f>B33-B34</f>
        <v>5414336.4100000001</v>
      </c>
      <c r="C35" s="166">
        <f t="shared" ref="C35:AN35" si="24">C33-C34</f>
        <v>-2340944.7699999996</v>
      </c>
      <c r="D35" s="166">
        <f t="shared" si="24"/>
        <v>-7733666.8500000015</v>
      </c>
      <c r="E35" s="166">
        <f t="shared" si="24"/>
        <v>-10509695.410000004</v>
      </c>
      <c r="F35" s="166">
        <f t="shared" si="24"/>
        <v>-13251279.460000008</v>
      </c>
      <c r="G35" s="166">
        <f t="shared" si="24"/>
        <v>-16894024.75</v>
      </c>
      <c r="H35" s="166">
        <f t="shared" si="24"/>
        <v>-25678471.930000007</v>
      </c>
      <c r="I35" s="166">
        <f t="shared" si="24"/>
        <v>-30016283.669999987</v>
      </c>
      <c r="J35" s="166">
        <f t="shared" si="24"/>
        <v>-25348590.769999996</v>
      </c>
      <c r="K35" s="166">
        <f t="shared" si="24"/>
        <v>-29336979.439999998</v>
      </c>
      <c r="L35" s="166">
        <f t="shared" si="24"/>
        <v>-34094177.400000021</v>
      </c>
      <c r="M35" s="166">
        <f t="shared" si="24"/>
        <v>9113112</v>
      </c>
      <c r="N35" s="166">
        <f t="shared" si="24"/>
        <v>-4408753.0200000014</v>
      </c>
      <c r="O35" s="166">
        <f t="shared" si="24"/>
        <v>-10359374.070000004</v>
      </c>
      <c r="P35" s="166">
        <f t="shared" si="24"/>
        <v>-14595125.719999999</v>
      </c>
      <c r="Q35" s="166">
        <f t="shared" si="24"/>
        <v>-17592425.829999998</v>
      </c>
      <c r="R35" s="166">
        <f t="shared" si="24"/>
        <v>-22551925.640000001</v>
      </c>
      <c r="S35" s="166">
        <f t="shared" si="24"/>
        <v>-27848421.420000002</v>
      </c>
      <c r="T35" s="166">
        <f t="shared" si="24"/>
        <v>-32538168.13000001</v>
      </c>
      <c r="U35" s="166">
        <f t="shared" si="24"/>
        <v>0</v>
      </c>
      <c r="V35" s="166">
        <f t="shared" si="24"/>
        <v>0</v>
      </c>
      <c r="W35" s="166">
        <f t="shared" si="24"/>
        <v>0</v>
      </c>
      <c r="X35" s="166">
        <f t="shared" si="24"/>
        <v>0</v>
      </c>
      <c r="Y35" s="166">
        <f t="shared" si="24"/>
        <v>0</v>
      </c>
      <c r="Z35" s="166">
        <f t="shared" si="24"/>
        <v>2972568</v>
      </c>
      <c r="AA35" s="166">
        <f t="shared" si="24"/>
        <v>-633253.91999999993</v>
      </c>
      <c r="AB35" s="166">
        <f t="shared" si="24"/>
        <v>-3051253.2399999984</v>
      </c>
      <c r="AC35" s="166">
        <f t="shared" si="24"/>
        <v>-6638027.6100000069</v>
      </c>
      <c r="AD35" s="166">
        <f t="shared" si="24"/>
        <v>-8863060.0599999949</v>
      </c>
      <c r="AE35" s="166">
        <f t="shared" si="24"/>
        <v>-10398706.5</v>
      </c>
      <c r="AF35" s="166">
        <f t="shared" si="24"/>
        <v>-12744963.659999996</v>
      </c>
      <c r="AG35" s="166">
        <f t="shared" si="24"/>
        <v>-8847668.3800000101</v>
      </c>
      <c r="AH35" s="166">
        <f t="shared" si="24"/>
        <v>-14707268.970000014</v>
      </c>
      <c r="AI35" s="166">
        <f t="shared" si="24"/>
        <v>36645648.349999994</v>
      </c>
      <c r="AJ35" s="166">
        <f t="shared" si="24"/>
        <v>37116369.600000024</v>
      </c>
      <c r="AK35" s="166">
        <f t="shared" si="24"/>
        <v>37456031.000000015</v>
      </c>
      <c r="AL35" s="166">
        <f t="shared" si="24"/>
        <v>40935409.550000027</v>
      </c>
      <c r="AM35" s="166">
        <f t="shared" si="24"/>
        <v>15674998.050000012</v>
      </c>
      <c r="AN35" s="166">
        <f t="shared" si="24"/>
        <v>11664715.159999996</v>
      </c>
    </row>
    <row r="36" spans="1:40" ht="15.75">
      <c r="A36" s="177" t="s">
        <v>84</v>
      </c>
      <c r="B36" s="157">
        <v>0</v>
      </c>
      <c r="C36" s="157">
        <v>8390013.4700000007</v>
      </c>
      <c r="D36" s="157">
        <v>8387848.5199999996</v>
      </c>
      <c r="E36" s="157">
        <v>11070287.74</v>
      </c>
      <c r="F36" s="157">
        <v>13615720.1</v>
      </c>
      <c r="G36" s="157">
        <v>14614562.16</v>
      </c>
      <c r="H36" s="157">
        <v>16619333.960000001</v>
      </c>
      <c r="I36" s="157">
        <v>17388495.760000002</v>
      </c>
      <c r="J36" s="157">
        <v>27390329.579999998</v>
      </c>
      <c r="K36" s="157">
        <v>28214330.039999999</v>
      </c>
      <c r="L36" s="157">
        <v>29093893.66</v>
      </c>
      <c r="M36" s="157"/>
      <c r="N36" s="157">
        <v>2070138.27</v>
      </c>
      <c r="O36" s="157">
        <v>2662456.09</v>
      </c>
      <c r="P36" s="157">
        <v>4628497.33</v>
      </c>
      <c r="Q36" s="157">
        <v>7780319.9199999999</v>
      </c>
      <c r="R36" s="157">
        <v>9059006.2699999996</v>
      </c>
      <c r="S36" s="157">
        <v>10266738.369999999</v>
      </c>
      <c r="T36" s="157">
        <v>12044780.42</v>
      </c>
      <c r="AA36" s="157">
        <v>4910659.57</v>
      </c>
      <c r="AB36" s="157">
        <v>8541349.9700000007</v>
      </c>
      <c r="AC36" s="157">
        <v>11984242.49</v>
      </c>
      <c r="AD36" s="157">
        <v>16150659.380000001</v>
      </c>
      <c r="AE36" s="157">
        <v>20940281.789999999</v>
      </c>
      <c r="AF36" s="157">
        <v>25310554.850000001</v>
      </c>
      <c r="AG36" s="157">
        <v>35135869.759999998</v>
      </c>
      <c r="AH36" s="157">
        <v>35465581.600000001</v>
      </c>
      <c r="AI36" s="157">
        <v>0</v>
      </c>
      <c r="AJ36" s="157">
        <v>0</v>
      </c>
      <c r="AK36" s="157">
        <v>0</v>
      </c>
      <c r="AL36" s="157">
        <v>0</v>
      </c>
      <c r="AM36" s="157">
        <v>0</v>
      </c>
      <c r="AN36" s="157">
        <v>0</v>
      </c>
    </row>
    <row r="37" spans="1:40" ht="15.75">
      <c r="A37" s="176" t="s">
        <v>85</v>
      </c>
      <c r="B37" s="166">
        <f>B35-B36</f>
        <v>5414336.4100000001</v>
      </c>
      <c r="C37" s="166">
        <f t="shared" ref="C37:AN37" si="25">C35-C36</f>
        <v>-10730958.24</v>
      </c>
      <c r="D37" s="166">
        <f t="shared" si="25"/>
        <v>-16121515.370000001</v>
      </c>
      <c r="E37" s="166">
        <f t="shared" si="25"/>
        <v>-21579983.150000006</v>
      </c>
      <c r="F37" s="166">
        <f t="shared" si="25"/>
        <v>-26866999.56000001</v>
      </c>
      <c r="G37" s="166">
        <f t="shared" si="25"/>
        <v>-31508586.91</v>
      </c>
      <c r="H37" s="166">
        <f t="shared" si="25"/>
        <v>-42297805.890000008</v>
      </c>
      <c r="I37" s="166">
        <f t="shared" si="25"/>
        <v>-47404779.429999992</v>
      </c>
      <c r="J37" s="166">
        <f t="shared" si="25"/>
        <v>-52738920.349999994</v>
      </c>
      <c r="K37" s="166">
        <f t="shared" si="25"/>
        <v>-57551309.479999997</v>
      </c>
      <c r="L37" s="166">
        <f t="shared" si="25"/>
        <v>-63188071.060000017</v>
      </c>
      <c r="M37" s="166">
        <f t="shared" si="25"/>
        <v>9113112</v>
      </c>
      <c r="N37" s="166">
        <f t="shared" si="25"/>
        <v>-6478891.290000001</v>
      </c>
      <c r="O37" s="166">
        <f t="shared" si="25"/>
        <v>-13021830.160000004</v>
      </c>
      <c r="P37" s="166">
        <f t="shared" si="25"/>
        <v>-19223623.049999997</v>
      </c>
      <c r="Q37" s="166">
        <f t="shared" si="25"/>
        <v>-25372745.75</v>
      </c>
      <c r="R37" s="166">
        <f t="shared" si="25"/>
        <v>-31610931.91</v>
      </c>
      <c r="S37" s="166">
        <f t="shared" si="25"/>
        <v>-38115159.789999999</v>
      </c>
      <c r="T37" s="166">
        <f t="shared" si="25"/>
        <v>-44582948.550000012</v>
      </c>
      <c r="U37" s="166">
        <f t="shared" si="25"/>
        <v>0</v>
      </c>
      <c r="V37" s="166">
        <f t="shared" si="25"/>
        <v>0</v>
      </c>
      <c r="W37" s="166">
        <f t="shared" si="25"/>
        <v>0</v>
      </c>
      <c r="X37" s="166">
        <f t="shared" si="25"/>
        <v>0</v>
      </c>
      <c r="Y37" s="166">
        <f t="shared" si="25"/>
        <v>0</v>
      </c>
      <c r="Z37" s="166">
        <f t="shared" si="25"/>
        <v>2972568</v>
      </c>
      <c r="AA37" s="166">
        <f t="shared" si="25"/>
        <v>-5543913.4900000002</v>
      </c>
      <c r="AB37" s="166">
        <f t="shared" si="25"/>
        <v>-11592603.209999999</v>
      </c>
      <c r="AC37" s="166">
        <f t="shared" si="25"/>
        <v>-18622270.100000009</v>
      </c>
      <c r="AD37" s="166">
        <f t="shared" si="25"/>
        <v>-25013719.439999998</v>
      </c>
      <c r="AE37" s="166">
        <f t="shared" si="25"/>
        <v>-31338988.289999999</v>
      </c>
      <c r="AF37" s="166">
        <f t="shared" si="25"/>
        <v>-38055518.509999998</v>
      </c>
      <c r="AG37" s="166">
        <f t="shared" si="25"/>
        <v>-43983538.140000008</v>
      </c>
      <c r="AH37" s="166">
        <f t="shared" si="25"/>
        <v>-50172850.570000015</v>
      </c>
      <c r="AI37" s="166">
        <f t="shared" si="25"/>
        <v>36645648.349999994</v>
      </c>
      <c r="AJ37" s="166">
        <f t="shared" si="25"/>
        <v>37116369.600000024</v>
      </c>
      <c r="AK37" s="166">
        <f t="shared" si="25"/>
        <v>37456031.000000015</v>
      </c>
      <c r="AL37" s="166">
        <f t="shared" si="25"/>
        <v>40935409.550000027</v>
      </c>
      <c r="AM37" s="166">
        <f t="shared" si="25"/>
        <v>15674998.050000012</v>
      </c>
      <c r="AN37" s="166">
        <f t="shared" si="25"/>
        <v>11664715.159999996</v>
      </c>
    </row>
    <row r="38" spans="1:40"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</row>
    <row r="39" spans="1:40">
      <c r="A39" s="148" t="s">
        <v>86</v>
      </c>
      <c r="B39" s="180">
        <f>B12+B23</f>
        <v>109911496</v>
      </c>
      <c r="C39" s="180">
        <f t="shared" ref="C39:Z39" si="26">C12+C23</f>
        <v>27078036.390000001</v>
      </c>
      <c r="D39" s="180">
        <f t="shared" si="26"/>
        <v>42542742.270000003</v>
      </c>
      <c r="E39" s="180">
        <f t="shared" si="26"/>
        <v>56991416.660000004</v>
      </c>
      <c r="F39" s="180">
        <f t="shared" si="26"/>
        <v>70406674.74000001</v>
      </c>
      <c r="G39" s="180">
        <f t="shared" si="26"/>
        <v>84310189.24000001</v>
      </c>
      <c r="H39" s="180">
        <f t="shared" si="26"/>
        <v>112544336.23</v>
      </c>
      <c r="I39" s="180">
        <f t="shared" si="26"/>
        <v>125620572.58</v>
      </c>
      <c r="J39" s="180">
        <f t="shared" si="26"/>
        <v>139378710.06999999</v>
      </c>
      <c r="K39" s="180">
        <f t="shared" si="26"/>
        <v>151940566.93000001</v>
      </c>
      <c r="L39" s="180">
        <f t="shared" si="26"/>
        <v>166375514.04000002</v>
      </c>
      <c r="M39" s="180">
        <f t="shared" si="26"/>
        <v>114948155</v>
      </c>
      <c r="N39" s="180">
        <f t="shared" si="26"/>
        <v>15240660.970000001</v>
      </c>
      <c r="O39" s="180">
        <f t="shared" si="26"/>
        <v>31209507.510000002</v>
      </c>
      <c r="P39" s="180">
        <f t="shared" si="26"/>
        <v>46770851.399999999</v>
      </c>
      <c r="Q39" s="180">
        <f t="shared" si="26"/>
        <v>62865660.799999997</v>
      </c>
      <c r="R39" s="180">
        <f t="shared" si="26"/>
        <v>77627911.579999998</v>
      </c>
      <c r="S39" s="180">
        <f t="shared" si="26"/>
        <v>92849006.219999999</v>
      </c>
      <c r="T39" s="180">
        <f t="shared" si="26"/>
        <v>108047312.45</v>
      </c>
      <c r="U39" s="180">
        <f t="shared" si="26"/>
        <v>0</v>
      </c>
      <c r="V39" s="180">
        <f t="shared" si="26"/>
        <v>0</v>
      </c>
      <c r="W39" s="180">
        <f t="shared" si="26"/>
        <v>0</v>
      </c>
      <c r="X39" s="180">
        <f t="shared" si="26"/>
        <v>0</v>
      </c>
      <c r="Y39" s="180">
        <f t="shared" si="26"/>
        <v>0</v>
      </c>
      <c r="Z39" s="180">
        <f t="shared" si="26"/>
        <v>120931889</v>
      </c>
    </row>
  </sheetData>
  <phoneticPr fontId="2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9"/>
  <sheetViews>
    <sheetView topLeftCell="A34" workbookViewId="0">
      <selection activeCell="E50" sqref="E50"/>
    </sheetView>
  </sheetViews>
  <sheetFormatPr defaultRowHeight="14.45"/>
  <cols>
    <col min="2" max="2" width="19.42578125" customWidth="1"/>
    <col min="3" max="3" width="10.28515625" bestFit="1" customWidth="1"/>
    <col min="4" max="4" width="19.28515625" customWidth="1"/>
    <col min="5" max="5" width="15.28515625" bestFit="1" customWidth="1"/>
    <col min="6" max="6" width="16.7109375" customWidth="1"/>
    <col min="7" max="7" width="16.28515625" bestFit="1" customWidth="1"/>
    <col min="8" max="8" width="15.28515625" bestFit="1" customWidth="1"/>
    <col min="9" max="9" width="18" bestFit="1" customWidth="1"/>
  </cols>
  <sheetData>
    <row r="2" spans="2:6" ht="15.6">
      <c r="B2" s="60"/>
      <c r="C2" s="60"/>
      <c r="D2" s="67">
        <v>43891</v>
      </c>
      <c r="E2" s="60"/>
      <c r="F2" s="60"/>
    </row>
    <row r="3" spans="2:6" ht="41.45">
      <c r="B3" s="61" t="s">
        <v>87</v>
      </c>
      <c r="C3" s="61" t="s">
        <v>88</v>
      </c>
      <c r="D3" s="61" t="s">
        <v>89</v>
      </c>
      <c r="E3" s="61" t="s">
        <v>90</v>
      </c>
      <c r="F3" s="61" t="s">
        <v>91</v>
      </c>
    </row>
    <row r="4" spans="2:6">
      <c r="B4" s="62" t="s">
        <v>92</v>
      </c>
      <c r="C4" s="120">
        <v>11812</v>
      </c>
      <c r="D4" s="120">
        <v>7652629874.6000004</v>
      </c>
      <c r="E4" s="66">
        <v>0.01</v>
      </c>
      <c r="F4" s="63">
        <f>D4*E4</f>
        <v>76526298.746000007</v>
      </c>
    </row>
    <row r="5" spans="2:6">
      <c r="B5" s="62" t="s">
        <v>93</v>
      </c>
      <c r="C5" s="120">
        <v>3404</v>
      </c>
      <c r="D5" s="120">
        <v>2188065979.1999998</v>
      </c>
      <c r="E5" s="66">
        <v>0.05</v>
      </c>
      <c r="F5" s="63">
        <f>D5*E5</f>
        <v>109403298.95999999</v>
      </c>
    </row>
    <row r="6" spans="2:6">
      <c r="B6" s="62" t="s">
        <v>94</v>
      </c>
      <c r="C6" s="120">
        <v>1506</v>
      </c>
      <c r="D6" s="120">
        <v>682590438.96000004</v>
      </c>
      <c r="E6" s="66">
        <v>0.25</v>
      </c>
      <c r="F6" s="63">
        <f>D6*E6</f>
        <v>170647609.74000001</v>
      </c>
    </row>
    <row r="7" spans="2:6">
      <c r="B7" s="62" t="s">
        <v>95</v>
      </c>
      <c r="C7" s="120">
        <v>508</v>
      </c>
      <c r="D7" s="120">
        <v>140398150.94</v>
      </c>
      <c r="E7" s="66">
        <v>0.5</v>
      </c>
      <c r="F7" s="63">
        <f>D7*E7</f>
        <v>70199075.469999999</v>
      </c>
    </row>
    <row r="8" spans="2:6">
      <c r="B8" s="62" t="s">
        <v>96</v>
      </c>
      <c r="C8" s="120">
        <v>1206</v>
      </c>
      <c r="D8" s="120">
        <v>132616745.26000001</v>
      </c>
      <c r="E8" s="66">
        <v>1</v>
      </c>
      <c r="F8" s="63">
        <f>D8*E8</f>
        <v>132616745.26000001</v>
      </c>
    </row>
    <row r="9" spans="2:6">
      <c r="B9" s="64" t="s">
        <v>97</v>
      </c>
      <c r="C9" s="63">
        <f>SUM(C4:C8)</f>
        <v>18436</v>
      </c>
      <c r="D9" s="63">
        <f>SUM(D4:D8)</f>
        <v>10796301188.959999</v>
      </c>
      <c r="E9" s="63">
        <v>1.81</v>
      </c>
      <c r="F9" s="63">
        <f>SUM(F4:F8)</f>
        <v>559393028.176</v>
      </c>
    </row>
    <row r="10" spans="2:6">
      <c r="C10" s="65" t="s">
        <v>98</v>
      </c>
      <c r="D10" s="65">
        <f>SUM(D6:D8)</f>
        <v>955605335.16000009</v>
      </c>
    </row>
    <row r="11" spans="2:6">
      <c r="C11" s="60" t="s">
        <v>99</v>
      </c>
      <c r="D11" s="121">
        <f>D10/D9</f>
        <v>8.8512289388256032E-2</v>
      </c>
    </row>
    <row r="14" spans="2:6" ht="15.6">
      <c r="B14" s="60"/>
      <c r="C14" s="60"/>
      <c r="D14" s="67">
        <v>43983</v>
      </c>
      <c r="E14" s="60"/>
      <c r="F14" s="60"/>
    </row>
    <row r="15" spans="2:6" ht="41.45">
      <c r="B15" s="61" t="s">
        <v>87</v>
      </c>
      <c r="C15" s="61" t="s">
        <v>88</v>
      </c>
      <c r="D15" s="61" t="s">
        <v>89</v>
      </c>
      <c r="E15" s="61" t="s">
        <v>90</v>
      </c>
      <c r="F15" s="61" t="s">
        <v>91</v>
      </c>
    </row>
    <row r="16" spans="2:6">
      <c r="B16" s="62" t="s">
        <v>92</v>
      </c>
      <c r="C16" s="68">
        <v>5661</v>
      </c>
      <c r="D16" s="120">
        <v>3509113103.4000001</v>
      </c>
      <c r="E16" s="66">
        <v>0.01</v>
      </c>
      <c r="F16" s="63">
        <f>D16*E16</f>
        <v>35091131.034000002</v>
      </c>
    </row>
    <row r="17" spans="2:8">
      <c r="B17" s="62" t="s">
        <v>93</v>
      </c>
      <c r="C17" s="68">
        <v>1712</v>
      </c>
      <c r="D17" s="120">
        <v>1151488207.3</v>
      </c>
      <c r="E17" s="66">
        <v>0.05</v>
      </c>
      <c r="F17" s="63">
        <f>D17*E17</f>
        <v>57574410.365000002</v>
      </c>
      <c r="H17" s="120">
        <v>11812</v>
      </c>
    </row>
    <row r="18" spans="2:8">
      <c r="B18" s="62" t="s">
        <v>94</v>
      </c>
      <c r="C18" s="68">
        <v>1187</v>
      </c>
      <c r="D18" s="120">
        <v>554357408.16999996</v>
      </c>
      <c r="E18" s="66">
        <v>0.25</v>
      </c>
      <c r="F18" s="63">
        <f>D18*E18</f>
        <v>138589352.04249999</v>
      </c>
      <c r="H18" s="120">
        <v>3404</v>
      </c>
    </row>
    <row r="19" spans="2:8">
      <c r="B19" s="62" t="s">
        <v>95</v>
      </c>
      <c r="C19" s="68">
        <v>246</v>
      </c>
      <c r="D19" s="120">
        <v>62601626.68</v>
      </c>
      <c r="E19" s="66">
        <v>0.5</v>
      </c>
      <c r="F19" s="63">
        <f>D19*E19</f>
        <v>31300813.34</v>
      </c>
      <c r="H19" s="120">
        <v>1506</v>
      </c>
    </row>
    <row r="20" spans="2:8">
      <c r="B20" s="62" t="s">
        <v>96</v>
      </c>
      <c r="C20" s="68">
        <v>670</v>
      </c>
      <c r="D20" s="120">
        <v>72780269.390000001</v>
      </c>
      <c r="E20" s="66">
        <v>1</v>
      </c>
      <c r="F20" s="63">
        <f>D20*E20</f>
        <v>72780269.390000001</v>
      </c>
      <c r="H20" s="120">
        <v>508</v>
      </c>
    </row>
    <row r="21" spans="2:8">
      <c r="B21" s="64" t="s">
        <v>97</v>
      </c>
      <c r="C21" s="63">
        <f>SUM(C16:C20)</f>
        <v>9476</v>
      </c>
      <c r="D21" s="63">
        <f>SUM(D16:D20)</f>
        <v>5350340614.9400005</v>
      </c>
      <c r="E21" s="63">
        <v>1.81</v>
      </c>
      <c r="F21" s="63">
        <f>SUM(F16:F20)</f>
        <v>335335976.17150003</v>
      </c>
      <c r="H21" s="120">
        <v>1206</v>
      </c>
    </row>
    <row r="22" spans="2:8">
      <c r="C22" s="65" t="s">
        <v>98</v>
      </c>
      <c r="D22" s="65">
        <f>SUM(D18:D20)</f>
        <v>689739304.23999989</v>
      </c>
      <c r="H22" s="122" t="s">
        <v>100</v>
      </c>
    </row>
    <row r="23" spans="2:8">
      <c r="C23" s="60" t="s">
        <v>99</v>
      </c>
      <c r="D23" s="121">
        <f>D22/D21</f>
        <v>0.1289150268889441</v>
      </c>
      <c r="H23" s="120">
        <v>7652629874.6000004</v>
      </c>
    </row>
    <row r="24" spans="2:8">
      <c r="H24" s="120">
        <v>2188065979.1999998</v>
      </c>
    </row>
    <row r="25" spans="2:8">
      <c r="H25" s="120">
        <v>682590438.96000004</v>
      </c>
    </row>
    <row r="26" spans="2:8">
      <c r="H26" s="120">
        <v>140398150.94</v>
      </c>
    </row>
    <row r="27" spans="2:8" ht="15.6">
      <c r="B27" s="60"/>
      <c r="C27" s="60"/>
      <c r="D27" s="67">
        <v>44075</v>
      </c>
      <c r="E27" s="60"/>
      <c r="F27" s="60"/>
      <c r="H27" s="120">
        <v>132616745.26000001</v>
      </c>
    </row>
    <row r="28" spans="2:8" ht="41.45">
      <c r="B28" s="61" t="s">
        <v>87</v>
      </c>
      <c r="C28" s="61" t="s">
        <v>88</v>
      </c>
      <c r="D28" s="61" t="s">
        <v>89</v>
      </c>
      <c r="E28" s="61" t="s">
        <v>90</v>
      </c>
      <c r="F28" s="61" t="s">
        <v>91</v>
      </c>
      <c r="H28" s="120"/>
    </row>
    <row r="29" spans="2:8">
      <c r="B29" s="62" t="s">
        <v>92</v>
      </c>
      <c r="C29" s="120">
        <v>5914</v>
      </c>
      <c r="D29" s="120">
        <v>3508278804.9000001</v>
      </c>
      <c r="E29" s="66">
        <v>0.01</v>
      </c>
      <c r="F29" s="63">
        <f>D29*E29</f>
        <v>35082788.049000002</v>
      </c>
    </row>
    <row r="30" spans="2:8">
      <c r="B30" s="62" t="s">
        <v>93</v>
      </c>
      <c r="C30" s="120">
        <v>2272</v>
      </c>
      <c r="D30" s="120">
        <v>1303599294.5999999</v>
      </c>
      <c r="E30" s="66">
        <v>0.05</v>
      </c>
      <c r="F30" s="63">
        <f>D30*E30</f>
        <v>65179964.729999997</v>
      </c>
    </row>
    <row r="31" spans="2:8">
      <c r="B31" s="62" t="s">
        <v>94</v>
      </c>
      <c r="C31" s="120">
        <v>1287</v>
      </c>
      <c r="D31" s="120">
        <v>647210953.49000001</v>
      </c>
      <c r="E31" s="66">
        <v>0.25</v>
      </c>
      <c r="F31" s="63">
        <f>D31*E31</f>
        <v>161802738.3725</v>
      </c>
    </row>
    <row r="32" spans="2:8">
      <c r="B32" s="62" t="s">
        <v>95</v>
      </c>
      <c r="C32" s="120">
        <v>210</v>
      </c>
      <c r="D32" s="120">
        <v>56010066.439999998</v>
      </c>
      <c r="E32" s="66">
        <v>0.5</v>
      </c>
      <c r="F32" s="63">
        <f>D32*E32</f>
        <v>28005033.219999999</v>
      </c>
    </row>
    <row r="33" spans="2:6">
      <c r="B33" s="62" t="s">
        <v>96</v>
      </c>
      <c r="C33" s="120">
        <v>754</v>
      </c>
      <c r="D33" s="120">
        <v>80879265.010000005</v>
      </c>
      <c r="E33" s="66">
        <v>1</v>
      </c>
      <c r="F33" s="63">
        <f>D33*E33</f>
        <v>80879265.010000005</v>
      </c>
    </row>
    <row r="34" spans="2:6">
      <c r="B34" s="64" t="s">
        <v>97</v>
      </c>
      <c r="C34" s="63">
        <f>SUM(C29:C33)</f>
        <v>10437</v>
      </c>
      <c r="D34" s="63">
        <f>SUM(D29:D33)</f>
        <v>5595978384.4399996</v>
      </c>
      <c r="E34" s="63">
        <v>1.81</v>
      </c>
      <c r="F34" s="63">
        <f>SUM(F29:F33)</f>
        <v>370949789.38150001</v>
      </c>
    </row>
    <row r="35" spans="2:6">
      <c r="C35" s="65" t="s">
        <v>98</v>
      </c>
      <c r="D35" s="65">
        <f>SUM(D31:D33)</f>
        <v>784100284.94000006</v>
      </c>
    </row>
    <row r="36" spans="2:6">
      <c r="C36" s="60" t="s">
        <v>99</v>
      </c>
      <c r="D36" s="121">
        <f>D35/D34</f>
        <v>0.14011853353834328</v>
      </c>
    </row>
    <row r="40" spans="2:6" ht="15.6">
      <c r="B40" s="60"/>
      <c r="C40" s="60"/>
      <c r="D40" s="67" t="s">
        <v>3</v>
      </c>
      <c r="E40" s="60"/>
      <c r="F40" s="60"/>
    </row>
    <row r="41" spans="2:6" ht="41.45">
      <c r="B41" s="61" t="s">
        <v>87</v>
      </c>
      <c r="C41" s="61" t="s">
        <v>88</v>
      </c>
      <c r="D41" s="61" t="s">
        <v>89</v>
      </c>
      <c r="E41" s="61" t="s">
        <v>90</v>
      </c>
      <c r="F41" s="61" t="s">
        <v>91</v>
      </c>
    </row>
    <row r="42" spans="2:6">
      <c r="B42" s="62" t="s">
        <v>92</v>
      </c>
      <c r="C42" s="120">
        <v>6819</v>
      </c>
      <c r="D42" s="120">
        <v>315571054</v>
      </c>
      <c r="E42" s="66">
        <v>0.01</v>
      </c>
      <c r="F42" s="63">
        <f>D42*E42</f>
        <v>3155710.54</v>
      </c>
    </row>
    <row r="43" spans="2:6">
      <c r="B43" s="62" t="s">
        <v>93</v>
      </c>
      <c r="C43" s="120">
        <v>17</v>
      </c>
      <c r="D43" s="120">
        <v>8989799</v>
      </c>
      <c r="E43" s="66">
        <v>0.05</v>
      </c>
      <c r="F43" s="63">
        <f>D43*E43</f>
        <v>449489.95</v>
      </c>
    </row>
    <row r="44" spans="2:6">
      <c r="B44" s="62" t="s">
        <v>94</v>
      </c>
      <c r="C44" s="120">
        <v>12</v>
      </c>
      <c r="D44" s="120">
        <v>3165931</v>
      </c>
      <c r="E44" s="66">
        <v>0.25</v>
      </c>
      <c r="F44" s="63">
        <f>D44*E44</f>
        <v>791482.75</v>
      </c>
    </row>
    <row r="45" spans="2:6">
      <c r="B45" s="62" t="s">
        <v>95</v>
      </c>
      <c r="C45" s="120">
        <v>7</v>
      </c>
      <c r="D45" s="120">
        <v>1084464</v>
      </c>
      <c r="E45" s="66">
        <v>0.5</v>
      </c>
      <c r="F45" s="63">
        <f>D45*E45</f>
        <v>542232</v>
      </c>
    </row>
    <row r="46" spans="2:6">
      <c r="B46" s="62" t="s">
        <v>96</v>
      </c>
      <c r="C46" s="120">
        <v>27</v>
      </c>
      <c r="D46" s="120">
        <v>12340733</v>
      </c>
      <c r="E46" s="66">
        <v>1</v>
      </c>
      <c r="F46" s="63">
        <f>D46*E46</f>
        <v>12340733</v>
      </c>
    </row>
    <row r="47" spans="2:6">
      <c r="B47" s="64" t="s">
        <v>97</v>
      </c>
      <c r="C47" s="63"/>
      <c r="D47" s="181">
        <f>SUM(D42:D46)</f>
        <v>341151981</v>
      </c>
      <c r="E47" s="63">
        <v>1.81</v>
      </c>
      <c r="F47" s="181">
        <f>SUM(F42:F46)</f>
        <v>17279648.240000002</v>
      </c>
    </row>
    <row r="48" spans="2:6">
      <c r="C48" s="65" t="s">
        <v>98</v>
      </c>
      <c r="D48" s="65">
        <f>SUM(D44:D46)</f>
        <v>16591128</v>
      </c>
    </row>
    <row r="49" spans="3:4">
      <c r="C49" s="60" t="s">
        <v>99</v>
      </c>
      <c r="D49" s="121">
        <f>D48/D47</f>
        <v>4.863265911974874E-2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1"/>
  <sheetViews>
    <sheetView tabSelected="1" workbookViewId="0">
      <pane xSplit="3" ySplit="2" topLeftCell="AC3" activePane="bottomRight" state="frozen"/>
      <selection pane="bottomRight" activeCell="AQ6" sqref="AQ6"/>
      <selection pane="bottomLeft" activeCell="A3" sqref="A3"/>
      <selection pane="topRight" activeCell="D1" sqref="D1"/>
    </sheetView>
  </sheetViews>
  <sheetFormatPr defaultColWidth="8.85546875" defaultRowHeight="14.25" customHeight="1"/>
  <cols>
    <col min="1" max="1" width="25.42578125" style="60" bestFit="1" customWidth="1"/>
    <col min="2" max="2" width="31.42578125" style="60" bestFit="1" customWidth="1"/>
    <col min="3" max="3" width="9.85546875" style="60" bestFit="1" customWidth="1"/>
    <col min="4" max="15" width="0" style="60" hidden="1" customWidth="1"/>
    <col min="16" max="16" width="12.85546875" style="60" customWidth="1"/>
    <col min="17" max="28" width="0" style="60" hidden="1" customWidth="1"/>
    <col min="29" max="29" width="11.7109375" style="60" bestFit="1" customWidth="1"/>
    <col min="30" max="30" width="8.42578125" style="60" bestFit="1" customWidth="1"/>
    <col min="31" max="31" width="8.7109375" style="60" bestFit="1" customWidth="1"/>
    <col min="32" max="32" width="9.140625" style="60" bestFit="1" customWidth="1"/>
    <col min="33" max="34" width="0" style="60" hidden="1" customWidth="1"/>
    <col min="35" max="35" width="8.85546875" style="60"/>
    <col min="36" max="37" width="0" style="60" hidden="1" customWidth="1"/>
    <col min="38" max="38" width="8.85546875" style="60"/>
    <col min="39" max="40" width="0" style="60" hidden="1" customWidth="1"/>
    <col min="41" max="41" width="8.85546875" style="60"/>
    <col min="42" max="42" width="12" style="60" customWidth="1"/>
    <col min="43" max="43" width="13.85546875" style="60" customWidth="1"/>
    <col min="44" max="16384" width="8.85546875" style="60"/>
  </cols>
  <sheetData>
    <row r="1" spans="1:43" ht="18" thickBot="1">
      <c r="A1" s="247" t="s">
        <v>101</v>
      </c>
      <c r="B1" s="247"/>
    </row>
    <row r="2" spans="1:43" ht="15.75">
      <c r="A2" s="124"/>
      <c r="B2" s="125"/>
      <c r="C2" s="125"/>
      <c r="D2" s="126">
        <v>43831</v>
      </c>
      <c r="E2" s="126">
        <v>43862</v>
      </c>
      <c r="F2" s="126">
        <v>43891</v>
      </c>
      <c r="G2" s="126">
        <v>43922</v>
      </c>
      <c r="H2" s="126">
        <v>43952</v>
      </c>
      <c r="I2" s="126">
        <v>43983</v>
      </c>
      <c r="J2" s="126">
        <v>44013</v>
      </c>
      <c r="K2" s="126">
        <v>44044</v>
      </c>
      <c r="L2" s="126">
        <v>44075</v>
      </c>
      <c r="M2" s="126">
        <v>44105</v>
      </c>
      <c r="N2" s="126">
        <v>44136</v>
      </c>
      <c r="O2" s="188">
        <v>44166</v>
      </c>
      <c r="P2" s="185" t="s">
        <v>102</v>
      </c>
      <c r="Q2" s="186">
        <v>44197</v>
      </c>
      <c r="R2" s="186">
        <v>44228</v>
      </c>
      <c r="S2" s="186">
        <v>44256</v>
      </c>
      <c r="T2" s="186">
        <v>44287</v>
      </c>
      <c r="U2" s="186">
        <v>44317</v>
      </c>
      <c r="V2" s="186">
        <v>44348</v>
      </c>
      <c r="W2" s="186">
        <v>44378</v>
      </c>
      <c r="X2" s="186">
        <v>44409</v>
      </c>
      <c r="Y2" s="186">
        <v>44440</v>
      </c>
      <c r="Z2" s="186">
        <v>44470</v>
      </c>
      <c r="AA2" s="186">
        <v>44501</v>
      </c>
      <c r="AB2" s="186">
        <v>44531</v>
      </c>
      <c r="AC2" s="187" t="s">
        <v>103</v>
      </c>
      <c r="AD2" s="189">
        <v>44562</v>
      </c>
      <c r="AE2" s="173">
        <v>44593</v>
      </c>
      <c r="AF2" s="173">
        <v>44621</v>
      </c>
      <c r="AG2" s="173">
        <v>44652</v>
      </c>
      <c r="AH2" s="173">
        <v>44682</v>
      </c>
      <c r="AI2" s="173">
        <v>44713</v>
      </c>
      <c r="AJ2" s="173">
        <v>44743</v>
      </c>
      <c r="AK2" s="173">
        <v>44774</v>
      </c>
      <c r="AL2" s="173">
        <v>44805</v>
      </c>
      <c r="AM2" s="173">
        <v>44835</v>
      </c>
      <c r="AN2" s="173">
        <v>44866</v>
      </c>
      <c r="AO2" s="183">
        <v>44896</v>
      </c>
      <c r="AP2" s="182" t="s">
        <v>50</v>
      </c>
      <c r="AQ2" s="290">
        <v>45161</v>
      </c>
    </row>
    <row r="3" spans="1:43" ht="15">
      <c r="A3" s="248" t="s">
        <v>104</v>
      </c>
      <c r="B3" s="127" t="s">
        <v>105</v>
      </c>
      <c r="C3" s="128" t="s">
        <v>106</v>
      </c>
      <c r="D3" s="129">
        <f>(('Evolutive SFP'!C39+'Evolutive SFP'!C40+'Evolutive SFP'!C41+'Evolutive SFP'!C42+'Evolutive SFP'!C43+'Evolutive SFP'!C44)-'Evolutive SFP'!C10)/1000000</f>
        <v>123.94750741</v>
      </c>
      <c r="E3" s="129">
        <f>(('Evolutive SFP'!D39+'Evolutive SFP'!D40+'Evolutive SFP'!D41+'Evolutive SFP'!D42+'Evolutive SFP'!D43+'Evolutive SFP'!D44)-'Evolutive SFP'!D10)/1000000</f>
        <v>128.83519068999999</v>
      </c>
      <c r="F3" s="129">
        <f>(('Evolutive SFP'!E39+'Evolutive SFP'!E40+'Evolutive SFP'!E41+'Evolutive SFP'!E42+'Evolutive SFP'!E43+'Evolutive SFP'!E44)-'Evolutive SFP'!E10)/1000000</f>
        <v>107.26186844</v>
      </c>
      <c r="G3" s="129">
        <f>(('Evolutive SFP'!F39+'Evolutive SFP'!F40+'Evolutive SFP'!F41+'Evolutive SFP'!F42+'Evolutive SFP'!F43+'Evolutive SFP'!F44)-'Evolutive SFP'!F10)/1000000</f>
        <v>110.15677977999998</v>
      </c>
      <c r="H3" s="129">
        <f>(('Evolutive SFP'!G39+'Evolutive SFP'!G40+'Evolutive SFP'!G41+'Evolutive SFP'!G42+'Evolutive SFP'!G43+'Evolutive SFP'!G44)-'Evolutive SFP'!G10)/1000000</f>
        <v>112.86528883999999</v>
      </c>
      <c r="I3" s="129">
        <f>(('Evolutive SFP'!H39+'Evolutive SFP'!H40+'Evolutive SFP'!H41+'Evolutive SFP'!H42+'Evolutive SFP'!H43+'Evolutive SFP'!H44)-'Evolutive SFP'!H10)/1000000</f>
        <v>114.204829</v>
      </c>
      <c r="J3" s="129">
        <f>(('Evolutive SFP'!I39+'Evolutive SFP'!I40+'Evolutive SFP'!I41+'Evolutive SFP'!I42+'Evolutive SFP'!I43+'Evolutive SFP'!I44)-'Evolutive SFP'!I10)/1000000</f>
        <v>116.4871753</v>
      </c>
      <c r="K3" s="129">
        <f>(('Evolutive SFP'!J39+'Evolutive SFP'!J40+'Evolutive SFP'!J41+'Evolutive SFP'!J42+'Evolutive SFP'!J43+'Evolutive SFP'!J44)-'Evolutive SFP'!J10)/1000000</f>
        <v>117.4179975</v>
      </c>
      <c r="L3" s="129">
        <f>(('Evolutive SFP'!K39+'Evolutive SFP'!K40+'Evolutive SFP'!K41+'Evolutive SFP'!K42+'Evolutive SFP'!K43+'Evolutive SFP'!K44)-'Evolutive SFP'!K10)/1000000</f>
        <v>127.60224461999999</v>
      </c>
      <c r="M3" s="129">
        <f>(('Evolutive SFP'!L39+'Evolutive SFP'!L40+'Evolutive SFP'!L41+'Evolutive SFP'!L42+'Evolutive SFP'!L43+'Evolutive SFP'!L44)-'Evolutive SFP'!L10)/1000000</f>
        <v>128.62136157999998</v>
      </c>
      <c r="N3" s="129">
        <f>(('Evolutive SFP'!M39+'Evolutive SFP'!M40+'Evolutive SFP'!M41+'Evolutive SFP'!M42+'Evolutive SFP'!M43+'Evolutive SFP'!M44)-'Evolutive SFP'!M10)/1000000</f>
        <v>129.68945869999999</v>
      </c>
      <c r="O3" s="129">
        <f>(('Evolutive SFP'!N39+'Evolutive SFP'!N40+'Evolutive SFP'!N41+'Evolutive SFP'!N42+'Evolutive SFP'!N43+'Evolutive SFP'!N44)-'Evolutive SFP'!N10)/1000000</f>
        <v>112.21718799999999</v>
      </c>
      <c r="P3" s="184">
        <f>(('Evolutive SFP'!O39+'Evolutive SFP'!O40+'Evolutive SFP'!O41+'Evolutive SFP'!O42+'Evolutive SFP'!O43+'Evolutive SFP'!O44)-'Evolutive SFP'!O10)/1000000</f>
        <v>131.92510307000001</v>
      </c>
      <c r="Q3" s="184">
        <f>(('Evolutive SFP'!P39+'Evolutive SFP'!P40+'Evolutive SFP'!P41+'Evolutive SFP'!P42+'Evolutive SFP'!P43+'Evolutive SFP'!P44)-'Evolutive SFP'!P10)/1000000</f>
        <v>109.83605127</v>
      </c>
      <c r="R3" s="184">
        <f>(('Evolutive SFP'!Q39+'Evolutive SFP'!Q40+'Evolutive SFP'!Q41+'Evolutive SFP'!Q42+'Evolutive SFP'!Q43+'Evolutive SFP'!Q44)-'Evolutive SFP'!Q10)/1000000</f>
        <v>112.13258831</v>
      </c>
      <c r="S3" s="184">
        <f>(('Evolutive SFP'!R39+'Evolutive SFP'!R40+'Evolutive SFP'!R41+'Evolutive SFP'!R42+'Evolutive SFP'!R43+'Evolutive SFP'!R44)-'Evolutive SFP'!R10)/1000000</f>
        <v>115.70285054999999</v>
      </c>
      <c r="T3" s="184">
        <f>(('Evolutive SFP'!S39+'Evolutive SFP'!S40+'Evolutive SFP'!S41+'Evolutive SFP'!S42+'Evolutive SFP'!S43+'Evolutive SFP'!S44)-'Evolutive SFP'!S10)/1000000</f>
        <v>117.4728341</v>
      </c>
      <c r="U3" s="184">
        <f>(('Evolutive SFP'!T39+'Evolutive SFP'!T40+'Evolutive SFP'!T41+'Evolutive SFP'!T42+'Evolutive SFP'!T43+'Evolutive SFP'!T44)-'Evolutive SFP'!T10)/1000000</f>
        <v>119.0567796</v>
      </c>
      <c r="V3" s="184">
        <f>(('Evolutive SFP'!U39+'Evolutive SFP'!U40+'Evolutive SFP'!U41+'Evolutive SFP'!U42+'Evolutive SFP'!U43+'Evolutive SFP'!U44)-'Evolutive SFP'!U10)/1000000</f>
        <v>121.19250855</v>
      </c>
      <c r="W3" s="184">
        <f>(('Evolutive SFP'!V39+'Evolutive SFP'!V40+'Evolutive SFP'!V41+'Evolutive SFP'!V42+'Evolutive SFP'!V43+'Evolutive SFP'!V44)-'Evolutive SFP'!V10)/1000000</f>
        <v>0</v>
      </c>
      <c r="X3" s="184">
        <f>(('Evolutive SFP'!W39+'Evolutive SFP'!W40+'Evolutive SFP'!W41+'Evolutive SFP'!W42+'Evolutive SFP'!W43+'Evolutive SFP'!W44)-'Evolutive SFP'!W10)/1000000</f>
        <v>0</v>
      </c>
      <c r="Y3" s="184">
        <f>(('Evolutive SFP'!X39+'Evolutive SFP'!X40+'Evolutive SFP'!X41+'Evolutive SFP'!X42+'Evolutive SFP'!X43+'Evolutive SFP'!X44)-'Evolutive SFP'!X10)/1000000</f>
        <v>0</v>
      </c>
      <c r="Z3" s="184">
        <f>(('Evolutive SFP'!Y39+'Evolutive SFP'!Y40+'Evolutive SFP'!Y41+'Evolutive SFP'!Y42+'Evolutive SFP'!Y43+'Evolutive SFP'!Y44)-'Evolutive SFP'!Y10)/1000000</f>
        <v>0</v>
      </c>
      <c r="AA3" s="184">
        <f>(('Evolutive SFP'!Z39+'Evolutive SFP'!Z40+'Evolutive SFP'!Z41+'Evolutive SFP'!Z42+'Evolutive SFP'!Z43+'Evolutive SFP'!Z44)-'Evolutive SFP'!Z10)/1000000</f>
        <v>0</v>
      </c>
      <c r="AB3" s="184">
        <f>(('Evolutive SFP'!AA39+'Evolutive SFP'!AA40+'Evolutive SFP'!AA41+'Evolutive SFP'!AA42+'Evolutive SFP'!AA43+'Evolutive SFP'!AA44)-'Evolutive SFP'!AA10)/1000000</f>
        <v>116.003428</v>
      </c>
      <c r="AC3" s="184">
        <f>(('Evolutive SFP'!AB39+'Evolutive SFP'!AB40+'Evolutive SFP'!AB41+'Evolutive SFP'!AB42+'Evolutive SFP'!AB43+'Evolutive SFP'!AB44)-'Evolutive SFP'!AB10)/1000000</f>
        <v>140.45365763000001</v>
      </c>
      <c r="AD3" s="129">
        <f>(('Evolutive SFP'!AB39+'Evolutive SFP'!AB40+'Evolutive SFP'!AB41+'Evolutive SFP'!AB42+'Evolutive SFP'!AB43+'Evolutive SFP'!AB44)-'Evolutive SFP'!AB10)/1000000</f>
        <v>140.45365763000001</v>
      </c>
      <c r="AE3" s="129">
        <f>(('Evolutive SFP'!AC39+'Evolutive SFP'!AC40+'Evolutive SFP'!AC41+'Evolutive SFP'!AC42+'Evolutive SFP'!AC43+'Evolutive SFP'!AC44)-'Evolutive SFP'!AC10)/1000000</f>
        <v>118.31272936999999</v>
      </c>
      <c r="AF3" s="129">
        <f>(('Evolutive SFP'!AD39+'Evolutive SFP'!AD40+'Evolutive SFP'!AD41+'Evolutive SFP'!AD42+'Evolutive SFP'!AD43+'Evolutive SFP'!AD44)-'Evolutive SFP'!AD10)/1000000</f>
        <v>122.15646739</v>
      </c>
      <c r="AG3" s="129">
        <f>(('Evolutive SFP'!AE39+'Evolutive SFP'!AE40+'Evolutive SFP'!AE41+'Evolutive SFP'!AE42+'Evolutive SFP'!AE43+'Evolutive SFP'!AE44)-'Evolutive SFP'!AE10)/1000000</f>
        <v>126.73093278</v>
      </c>
      <c r="AH3" s="129">
        <f>(('Evolutive SFP'!AF39+'Evolutive SFP'!AF40+'Evolutive SFP'!AF41+'Evolutive SFP'!AF42+'Evolutive SFP'!AF43+'Evolutive SFP'!AF44)-'Evolutive SFP'!AF10)/1000000</f>
        <v>132.14320158000001</v>
      </c>
      <c r="AI3" s="129">
        <f>(('Evolutive SFP'!AG39+'Evolutive SFP'!AG40+'Evolutive SFP'!AG41+'Evolutive SFP'!AG42+'Evolutive SFP'!AG43+'Evolutive SFP'!AG44)-'Evolutive SFP'!AG10)/1000000</f>
        <v>137.10552293999999</v>
      </c>
      <c r="AJ3" s="129">
        <f>(('Evolutive SFP'!AH39+'Evolutive SFP'!AH40+'Evolutive SFP'!AH41+'Evolutive SFP'!AH42+'Evolutive SFP'!AH43+'Evolutive SFP'!AH44)-'Evolutive SFP'!AH10)/1000000</f>
        <v>147.39170855</v>
      </c>
      <c r="AK3" s="129">
        <f>(('Evolutive SFP'!AI39+'Evolutive SFP'!AI40+'Evolutive SFP'!AI41+'Evolutive SFP'!AI42+'Evolutive SFP'!AI43+'Evolutive SFP'!AI44)-'Evolutive SFP'!AI10)/1000000</f>
        <v>148.12950859</v>
      </c>
      <c r="AL3" s="129">
        <f>(('Evolutive SFP'!AJ39+'Evolutive SFP'!AJ40+'Evolutive SFP'!AJ41+'Evolutive SFP'!AJ42+'Evolutive SFP'!AJ43+'Evolutive SFP'!AJ44)-'Evolutive SFP'!AJ10)/1000000</f>
        <v>149.75689560999999</v>
      </c>
      <c r="AM3" s="129">
        <f>(('Evolutive SFP'!AK39+'Evolutive SFP'!AK40+'Evolutive SFP'!AK41+'Evolutive SFP'!AK42+'Evolutive SFP'!AK43+'Evolutive SFP'!AK44)-'Evolutive SFP'!AK10)/1000000</f>
        <v>150.55135138999998</v>
      </c>
      <c r="AN3" s="129">
        <f>(('Evolutive SFP'!AL39+'Evolutive SFP'!AL40+'Evolutive SFP'!AL41+'Evolutive SFP'!AL42+'Evolutive SFP'!AL43+'Evolutive SFP'!AL44)-'Evolutive SFP'!AL10)/1000000</f>
        <v>151.33463462</v>
      </c>
      <c r="AO3" s="129">
        <f>(('Evolutive SFP'!AM39+'Evolutive SFP'!AM40+'Evolutive SFP'!AM41+'Evolutive SFP'!AM42+'Evolutive SFP'!AM43+'Evolutive SFP'!AM44)-'Evolutive SFP'!AM10)/1000000</f>
        <v>155.33440580000001</v>
      </c>
      <c r="AP3" s="184">
        <f>(('Evolutive SFP'!AN39+'Evolutive SFP'!AN40+'Evolutive SFP'!AN41+'Evolutive SFP'!AN42+'Evolutive SFP'!AN43+'Evolutive SFP'!AN44)-'Evolutive SFP'!AN10)/1000000</f>
        <v>133.29323299999999</v>
      </c>
      <c r="AQ3" s="184">
        <f>(('Evolutive SFP'!AO39+'Evolutive SFP'!AO40+'Evolutive SFP'!AO41+'Evolutive SFP'!AO42+'Evolutive SFP'!AO43+'Evolutive SFP'!AO44)-'Evolutive SFP'!AO10)/1000000</f>
        <v>149.45036218000001</v>
      </c>
    </row>
    <row r="4" spans="1:43" ht="15">
      <c r="A4" s="248"/>
      <c r="B4" s="127" t="s">
        <v>107</v>
      </c>
      <c r="C4" s="128" t="s">
        <v>108</v>
      </c>
      <c r="D4" s="130">
        <f>D3/(('Evolutive SFP'!C27)/1000000)</f>
        <v>0.24371857457572454</v>
      </c>
      <c r="E4" s="130">
        <f>E3/(('Evolutive SFP'!D27)/1000000)</f>
        <v>0.26757183281291508</v>
      </c>
      <c r="F4" s="130">
        <f>F3/(('Evolutive SFP'!E27)/1000000)</f>
        <v>0.2223893755359847</v>
      </c>
      <c r="G4" s="130">
        <f>G3/(('Evolutive SFP'!F27)/1000000)</f>
        <v>0.22303537181360211</v>
      </c>
      <c r="H4" s="130">
        <f>H3/(('Evolutive SFP'!G27)/1000000)</f>
        <v>0.23122357029766763</v>
      </c>
      <c r="I4" s="130">
        <f>I3/(('Evolutive SFP'!H27)/1000000)</f>
        <v>0.21687130875577221</v>
      </c>
      <c r="J4" s="130">
        <f>J3/(('Evolutive SFP'!I27)/1000000)</f>
        <v>0.24668383666980787</v>
      </c>
      <c r="K4" s="130">
        <f>K3/(('Evolutive SFP'!J27)/1000000)</f>
        <v>0.24227927893209061</v>
      </c>
      <c r="L4" s="130">
        <f>L3/(('Evolutive SFP'!K27)/1000000)</f>
        <v>0.18377289795014654</v>
      </c>
      <c r="M4" s="130">
        <f>M3/(('Evolutive SFP'!L27)/1000000)</f>
        <v>0.22546828067132071</v>
      </c>
      <c r="N4" s="130">
        <f>N3/(('Evolutive SFP'!M27)/1000000)</f>
        <v>0.24777366033593423</v>
      </c>
      <c r="O4" s="130">
        <f>O3/(('Evolutive SFP'!N27)/1000000)</f>
        <v>0.19543586093047285</v>
      </c>
      <c r="P4" s="130">
        <f>P3/(('Evolutive SFP'!O27)/1000000)</f>
        <v>0.25122616162549172</v>
      </c>
      <c r="Q4" s="130">
        <f>Q3/(('Evolutive SFP'!P27)/1000000)</f>
        <v>0.1947968904888385</v>
      </c>
      <c r="R4" s="130">
        <f>R3/(('Evolutive SFP'!Q27)/1000000)</f>
        <v>0.22211350738565658</v>
      </c>
      <c r="S4" s="130">
        <f>S3/(('Evolutive SFP'!R27)/1000000)</f>
        <v>0.21154177956814602</v>
      </c>
      <c r="T4" s="130">
        <f>T3/(('Evolutive SFP'!S27)/1000000)</f>
        <v>0.22830683598418014</v>
      </c>
      <c r="U4" s="130">
        <f>U3/(('Evolutive SFP'!T27)/1000000)</f>
        <v>0.23266378724804554</v>
      </c>
      <c r="V4" s="130">
        <f>V3/(('Evolutive SFP'!U27)/1000000)</f>
        <v>0.23381135398020078</v>
      </c>
      <c r="W4" s="130" t="e">
        <f>W3/(('Evolutive SFP'!V27)/1000000)</f>
        <v>#DIV/0!</v>
      </c>
      <c r="X4" s="130" t="e">
        <f>X3/(('Evolutive SFP'!W27)/1000000)</f>
        <v>#DIV/0!</v>
      </c>
      <c r="Y4" s="130" t="e">
        <f>Y3/(('Evolutive SFP'!X27)/1000000)</f>
        <v>#DIV/0!</v>
      </c>
      <c r="Z4" s="130" t="e">
        <f>Z3/(('Evolutive SFP'!Y27)/1000000)</f>
        <v>#DIV/0!</v>
      </c>
      <c r="AA4" s="130" t="e">
        <f>AA3/(('Evolutive SFP'!Z27)/1000000)</f>
        <v>#DIV/0!</v>
      </c>
      <c r="AB4" s="130">
        <f>AB3/(('Evolutive SFP'!AA27)/1000000)</f>
        <v>0.20824120480621502</v>
      </c>
      <c r="AC4" s="130">
        <f>AC3/(('Evolutive SFP'!AB27)/1000000)</f>
        <v>0.2471127607808439</v>
      </c>
      <c r="AD4" s="130">
        <f>AD3/(('Evolutive SFP'!AB27)/1000000)</f>
        <v>0.2471127607808439</v>
      </c>
      <c r="AE4" s="130">
        <f>AE3/(('Evolutive SFP'!AC27)/1000000)</f>
        <v>0.20847017148486011</v>
      </c>
      <c r="AF4" s="130">
        <f>AF3/(('Evolutive SFP'!AD27)/1000000)</f>
        <v>0.2233356635453432</v>
      </c>
      <c r="AG4" s="130">
        <f>AG3/(('Evolutive SFP'!AE27)/1000000)</f>
        <v>0.22620293562982083</v>
      </c>
      <c r="AH4" s="130">
        <f>AH3/(('Evolutive SFP'!AF27)/1000000)</f>
        <v>0.2311606858103516</v>
      </c>
      <c r="AI4" s="130">
        <f>AI3/(('Evolutive SFP'!AG27)/1000000)</f>
        <v>0.24366901060001905</v>
      </c>
      <c r="AJ4" s="130">
        <f>AJ3/(('Evolutive SFP'!AH27)/1000000)</f>
        <v>0.21054968317565487</v>
      </c>
      <c r="AK4" s="130">
        <f>AK3/(('Evolutive SFP'!AI27)/1000000)</f>
        <v>0.23129742765320674</v>
      </c>
      <c r="AL4" s="130">
        <f>AL3/(('Evolutive SFP'!AJ27)/1000000)</f>
        <v>0.24117350570059273</v>
      </c>
      <c r="AM4" s="130">
        <f>AM3/(('Evolutive SFP'!AK27)/1000000)</f>
        <v>0.23937488849457703</v>
      </c>
      <c r="AN4" s="130">
        <f>AN3/(('Evolutive SFP'!AL27)/1000000)</f>
        <v>0.24489233837291885</v>
      </c>
      <c r="AO4" s="130">
        <f>AO3/(('Evolutive SFP'!AM27)/1000000)</f>
        <v>0.25942919947858245</v>
      </c>
      <c r="AP4" s="130">
        <f>AP3/(('Evolutive SFP'!AN27)/1000000)</f>
        <v>0.22261749776859394</v>
      </c>
      <c r="AQ4" s="130">
        <f>AQ3/(('Evolutive SFP'!AO27)/1000000)</f>
        <v>0.25449788261829592</v>
      </c>
    </row>
    <row r="5" spans="1:43" ht="15">
      <c r="A5" s="248"/>
      <c r="B5" s="127" t="s">
        <v>109</v>
      </c>
      <c r="C5" s="128" t="s">
        <v>110</v>
      </c>
      <c r="D5" s="130">
        <f>D3/('Evolutive SFP'!C31/1000000)</f>
        <v>0.33338937082540521</v>
      </c>
      <c r="E5" s="130">
        <f>E3/('Evolutive SFP'!D31/1000000)</f>
        <v>0.35554449851287512</v>
      </c>
      <c r="F5" s="130">
        <f>F3/('Evolutive SFP'!E31/1000000)</f>
        <v>0.30192266378056559</v>
      </c>
      <c r="G5" s="130">
        <f>G3/('Evolutive SFP'!F31/1000000)</f>
        <v>0.30288257376535332</v>
      </c>
      <c r="H5" s="130">
        <f>H3/('Evolutive SFP'!G31/1000000)</f>
        <v>0.3146198965770497</v>
      </c>
      <c r="I5" s="130">
        <f>I3/('Evolutive SFP'!H31/1000000)</f>
        <v>0.30404766376914</v>
      </c>
      <c r="J5" s="130">
        <f>J3/('Evolutive SFP'!I31/1000000)</f>
        <v>0.32127319504668495</v>
      </c>
      <c r="K5" s="130">
        <f>K3/('Evolutive SFP'!J31/1000000)</f>
        <v>0.31174220826100424</v>
      </c>
      <c r="L5" s="130">
        <f>L3/('Evolutive SFP'!K31/1000000)</f>
        <v>0.22220235656650864</v>
      </c>
      <c r="M5" s="130">
        <f>M3/('Evolutive SFP'!L31/1000000)</f>
        <v>0.28364023051380099</v>
      </c>
      <c r="N5" s="130">
        <f>N3/('Evolutive SFP'!M31/1000000)</f>
        <v>0.31427342065772645</v>
      </c>
      <c r="O5" s="130">
        <f>O3/('Evolutive SFP'!N31/1000000)</f>
        <v>0.27193327692268693</v>
      </c>
      <c r="P5" s="130">
        <f>P3/('Evolutive SFP'!O31/1000000)</f>
        <v>0.31664912776460824</v>
      </c>
      <c r="Q5" s="130">
        <f>Q3/('Evolutive SFP'!P31/1000000)</f>
        <v>0.24767500006394932</v>
      </c>
      <c r="R5" s="130">
        <f>R3/('Evolutive SFP'!Q31/1000000)</f>
        <v>0.27646841827639845</v>
      </c>
      <c r="S5" s="130">
        <f>S3/('Evolutive SFP'!R31/1000000)</f>
        <v>0.26702358936963039</v>
      </c>
      <c r="T5" s="130">
        <f>T3/('Evolutive SFP'!S31/1000000)</f>
        <v>0.28801488778828505</v>
      </c>
      <c r="U5" s="130">
        <f>U3/('Evolutive SFP'!T31/1000000)</f>
        <v>0.29438815016716813</v>
      </c>
      <c r="V5" s="130">
        <f>V3/('Evolutive SFP'!U31/1000000)</f>
        <v>0.29414076456986488</v>
      </c>
      <c r="W5" s="130" t="e">
        <f>W3/('Evolutive SFP'!V31/1000000)</f>
        <v>#DIV/0!</v>
      </c>
      <c r="X5" s="130" t="e">
        <f>X3/('Evolutive SFP'!W31/1000000)</f>
        <v>#DIV/0!</v>
      </c>
      <c r="Y5" s="130" t="e">
        <f>Y3/('Evolutive SFP'!X31/1000000)</f>
        <v>#DIV/0!</v>
      </c>
      <c r="Z5" s="130" t="e">
        <f>Z3/('Evolutive SFP'!Y31/1000000)</f>
        <v>#DIV/0!</v>
      </c>
      <c r="AA5" s="130" t="e">
        <f>AA3/('Evolutive SFP'!Z31/1000000)</f>
        <v>#DIV/0!</v>
      </c>
      <c r="AB5" s="130">
        <f>AB3/('Evolutive SFP'!AA31/1000000)</f>
        <v>0.29188133684435069</v>
      </c>
      <c r="AC5" s="130">
        <f>AC3/('Evolutive SFP'!AB31/1000000)</f>
        <v>0.34354240337323272</v>
      </c>
      <c r="AD5" s="130">
        <f>AD3/('Evolutive SFP'!AB31/1000000)</f>
        <v>0.34354240337323272</v>
      </c>
      <c r="AE5" s="130">
        <f>AE3/('Evolutive SFP'!AC31/1000000)</f>
        <v>0.2888811760650335</v>
      </c>
      <c r="AF5" s="130">
        <f>AF3/('Evolutive SFP'!AD31/1000000)</f>
        <v>0.30597140486786845</v>
      </c>
      <c r="AG5" s="130">
        <f>AG3/('Evolutive SFP'!AE31/1000000)</f>
        <v>0.3081153251902507</v>
      </c>
      <c r="AH5" s="130">
        <f>AH3/('Evolutive SFP'!AF31/1000000)</f>
        <v>0.31493436725914292</v>
      </c>
      <c r="AI5" s="130">
        <f>AI3/('Evolutive SFP'!AG31/1000000)</f>
        <v>0.33944329046220184</v>
      </c>
      <c r="AJ5" s="130">
        <f>AJ3/('Evolutive SFP'!AH31/1000000)</f>
        <v>0.28366746602872073</v>
      </c>
      <c r="AK5" s="130">
        <f>AK3/('Evolutive SFP'!AI31/1000000)</f>
        <v>0.31776295586989434</v>
      </c>
      <c r="AL5" s="130">
        <f>AL3/('Evolutive SFP'!AJ31/1000000)</f>
        <v>0.33471158378417326</v>
      </c>
      <c r="AM5" s="130">
        <f>AM3/('Evolutive SFP'!AK31/1000000)</f>
        <v>0.3329557159394988</v>
      </c>
      <c r="AN5" s="130">
        <f>AN3/('Evolutive SFP'!AL31/1000000)</f>
        <v>0.34269801212317885</v>
      </c>
      <c r="AO5" s="130">
        <f>AO3/('Evolutive SFP'!AM31/1000000)</f>
        <v>0.36996775885929994</v>
      </c>
      <c r="AP5" s="130">
        <f>AP3/('Evolutive SFP'!AN31/1000000)</f>
        <v>0.31747119039214272</v>
      </c>
      <c r="AQ5" s="130">
        <f>AQ3/('Evolutive SFP'!AO31/1000000)</f>
        <v>0.3561152934590664</v>
      </c>
    </row>
    <row r="6" spans="1:43" ht="15">
      <c r="A6" s="248"/>
      <c r="B6" s="127" t="s">
        <v>111</v>
      </c>
      <c r="C6" s="128" t="s">
        <v>110</v>
      </c>
      <c r="D6" s="130">
        <f>((D3*1000000)-'Evolutive SFP'!C39)/'Evolutive SFP'!C27</f>
        <v>0.17698528217712833</v>
      </c>
      <c r="E6" s="130">
        <f>((E3*1000000)-'Evolutive SFP'!D39)/'Evolutive SFP'!D27</f>
        <v>0.19673924910423476</v>
      </c>
      <c r="F6" s="130">
        <f>((F3*1000000)-'Evolutive SFP'!E39)/'Evolutive SFP'!E27</f>
        <v>0.15136911046088611</v>
      </c>
      <c r="G6" s="130">
        <f>((G3*1000000)-'Evolutive SFP'!F39)/'Evolutive SFP'!F27</f>
        <v>0.15325338160680504</v>
      </c>
      <c r="H6" s="130">
        <f>((H3*1000000)-'Evolutive SFP'!G39)/'Evolutive SFP'!G27</f>
        <v>0.16029227278169189</v>
      </c>
      <c r="I6" s="130">
        <f>((I3*1000000)-'Evolutive SFP'!H39)/'Evolutive SFP'!H27</f>
        <v>0.15048316205323017</v>
      </c>
      <c r="J6" s="130">
        <f>((J3*1000000)-'Evolutive SFP'!I39)/'Evolutive SFP'!I27</f>
        <v>0.17208736528202753</v>
      </c>
      <c r="K6" s="130">
        <f>((K3*1000000)-'Evolutive SFP'!J39)/'Evolutive SFP'!J27</f>
        <v>0.16927033123031818</v>
      </c>
      <c r="L6" s="130">
        <f>((L3*1000000)-'Evolutive SFP'!K39)/'Evolutive SFP'!K27</f>
        <v>0.13255722919777779</v>
      </c>
      <c r="M6" s="130">
        <f>((M3*1000000)-'Evolutive SFP'!L39)/'Evolutive SFP'!L27</f>
        <v>0.16279496865681192</v>
      </c>
      <c r="N6" s="130">
        <f>((N3*1000000)-'Evolutive SFP'!M39)/'Evolutive SFP'!M27</f>
        <v>0.17911991511547165</v>
      </c>
      <c r="O6" s="130">
        <f>((O3*1000000)-'Evolutive SFP'!N39)/'Evolutive SFP'!N27</f>
        <v>0.13285253432256336</v>
      </c>
      <c r="P6" s="212">
        <f>((P3*1000000)-'Evolutive SFP'!O39)/'Evolutive SFP'!O27</f>
        <v>0.1824946138604589</v>
      </c>
      <c r="Q6" s="212">
        <f>((Q3*1000000)-'Evolutive SFP'!P39)/'Evolutive SFP'!P27</f>
        <v>0.13040329085731969</v>
      </c>
      <c r="R6" s="212">
        <f>((R3*1000000)-'Evolutive SFP'!Q39)/'Evolutive SFP'!Q27</f>
        <v>0.14954748293823245</v>
      </c>
      <c r="S6" s="212">
        <f>((S3*1000000)-'Evolutive SFP'!R39)/'Evolutive SFP'!R27</f>
        <v>0.14380573203882444</v>
      </c>
      <c r="T6" s="212">
        <f>((T3*1000000)-'Evolutive SFP'!S39)/'Evolutive SFP'!S27</f>
        <v>0.15541335300385814</v>
      </c>
      <c r="U6" s="212">
        <f>((U3*1000000)-'Evolutive SFP'!T39)/'Evolutive SFP'!T27</f>
        <v>0.15865349442962717</v>
      </c>
      <c r="V6" s="212">
        <f>((V3*1000000)-'Evolutive SFP'!U39)/'Evolutive SFP'!U27</f>
        <v>0.16007650417315947</v>
      </c>
      <c r="W6" s="212" t="e">
        <f>((W3*1000000)-'Evolutive SFP'!V39)/'Evolutive SFP'!V27</f>
        <v>#DIV/0!</v>
      </c>
      <c r="X6" s="212" t="e">
        <f>((X3*1000000)-'Evolutive SFP'!W39)/'Evolutive SFP'!W27</f>
        <v>#DIV/0!</v>
      </c>
      <c r="Y6" s="212" t="e">
        <f>((Y3*1000000)-'Evolutive SFP'!X39)/'Evolutive SFP'!X27</f>
        <v>#DIV/0!</v>
      </c>
      <c r="Z6" s="212" t="e">
        <f>((Z3*1000000)-'Evolutive SFP'!Y39)/'Evolutive SFP'!Y27</f>
        <v>#DIV/0!</v>
      </c>
      <c r="AA6" s="212" t="e">
        <f>((AA3*1000000)-'Evolutive SFP'!Z39)/'Evolutive SFP'!Z27</f>
        <v>#DIV/0!</v>
      </c>
      <c r="AB6" s="212">
        <f>((AB3*1000000)-'Evolutive SFP'!AA39)/'Evolutive SFP'!AA27</f>
        <v>0.13646222546073203</v>
      </c>
      <c r="AC6" s="212">
        <f>((AC3*1000000)-'Evolutive SFP'!AB39)/'Evolutive SFP'!AB27</f>
        <v>0.17618246263534559</v>
      </c>
      <c r="AD6" s="212">
        <f>((AD3*1000000)-'Evolutive SFP'!AB39)/'Evolutive SFP'!AB27</f>
        <v>0.17618246263534559</v>
      </c>
      <c r="AE6" s="212">
        <f>((AE3*1000000)-'Evolutive SFP'!AC39)/'Evolutive SFP'!AC27</f>
        <v>0.13678419012712692</v>
      </c>
      <c r="AF6" s="212">
        <f>((AF3*1000000)-'Evolutive SFP'!AD39)/'Evolutive SFP'!AD27</f>
        <v>0.14823786506362874</v>
      </c>
      <c r="AG6" s="212">
        <f>((AG3*1000000)-'Evolutive SFP'!AE39)/'Evolutive SFP'!AE27</f>
        <v>0.15217465377718867</v>
      </c>
      <c r="AH6" s="212">
        <f>((AH3*1000000)-'Evolutive SFP'!AF39)/'Evolutive SFP'!AF27</f>
        <v>0.15753764571062867</v>
      </c>
      <c r="AI6" s="212">
        <f>((AI3*1000000)-'Evolutive SFP'!AG39)/'Evolutive SFP'!AG27</f>
        <v>0.16782494433471151</v>
      </c>
      <c r="AJ6" s="212">
        <f>((AJ3*1000000)-'Evolutive SFP'!AH39)/'Evolutive SFP'!AH27</f>
        <v>0.14893672226887406</v>
      </c>
      <c r="AK6" s="212">
        <f>((AK3*1000000)-'Evolutive SFP'!AI39)/'Evolutive SFP'!AI27</f>
        <v>0.16332548740380956</v>
      </c>
      <c r="AL6" s="212">
        <f>((AL3*1000000)-'Evolutive SFP'!AJ39)/'Evolutive SFP'!AJ27</f>
        <v>0.17037071158231759</v>
      </c>
      <c r="AM6" s="212">
        <f>((AM3*1000000)-'Evolutive SFP'!AK39)/'Evolutive SFP'!AK27</f>
        <v>0.16897624999131314</v>
      </c>
      <c r="AN6" s="212">
        <f>((AN3*1000000)-'Evolutive SFP'!AL39)/'Evolutive SFP'!AL27</f>
        <v>0.17253548086034465</v>
      </c>
      <c r="AO6" s="212">
        <f>((AO3*1000000)-'Evolutive SFP'!AM39)/'Evolutive SFP'!AM27</f>
        <v>0.183895338202235</v>
      </c>
      <c r="AP6" s="212">
        <f>((AP3*1000000)-'Evolutive SFP'!AN39)/'Evolutive SFP'!AN27</f>
        <v>0.14708363623415735</v>
      </c>
      <c r="AQ6" s="212">
        <f>((AQ3*1000000)-'Evolutive SFP'!AO39)/'Evolutive SFP'!AO27</f>
        <v>0.17051232863748772</v>
      </c>
    </row>
    <row r="7" spans="1:43" ht="15">
      <c r="A7" s="248" t="s">
        <v>112</v>
      </c>
      <c r="B7" s="127" t="s">
        <v>113</v>
      </c>
      <c r="C7" s="128"/>
      <c r="D7" s="130"/>
      <c r="E7" s="130"/>
      <c r="F7" s="130"/>
      <c r="G7" s="130"/>
      <c r="H7" s="130"/>
      <c r="I7" s="130"/>
      <c r="J7" s="130"/>
      <c r="K7" s="130"/>
      <c r="L7" s="13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</row>
    <row r="8" spans="1:43" ht="15">
      <c r="A8" s="248"/>
      <c r="B8" s="127" t="s">
        <v>114</v>
      </c>
      <c r="C8" s="128"/>
      <c r="D8" s="131" t="e">
        <f>('FORM 4'!#REF!+'FORM 4'!#REF!+'FORM 4'!#REF!)/'Evolutive SFP'!C15</f>
        <v>#REF!</v>
      </c>
      <c r="E8" s="131" t="e">
        <f>('FORM 4'!#REF!+'FORM 4'!#REF!+'FORM 4'!#REF!)/'Evolutive SFP'!D15</f>
        <v>#REF!</v>
      </c>
      <c r="F8" s="131" t="e">
        <f>('FORM 4'!#REF!+'FORM 4'!#REF!+'FORM 4'!#REF!)/'Evolutive SFP'!E15</f>
        <v>#REF!</v>
      </c>
      <c r="G8" s="131" t="e">
        <f>('FORM 4'!#REF!+'FORM 4'!#REF!+'FORM 4'!#REF!)/'Evolutive SFP'!F15</f>
        <v>#REF!</v>
      </c>
      <c r="H8" s="131" t="e">
        <f>('FORM 4'!#REF!+'FORM 4'!#REF!+'FORM 4'!#REF!)/'Evolutive SFP'!G15</f>
        <v>#REF!</v>
      </c>
      <c r="I8" s="131" t="e">
        <f>('FORM 4'!#REF!+'FORM 4'!#REF!+'FORM 4'!#REF!)/'Evolutive SFP'!H15</f>
        <v>#REF!</v>
      </c>
      <c r="J8" s="131" t="e">
        <f>('FORM 4'!#REF!+'FORM 4'!#REF!+'FORM 4'!#REF!)/'Evolutive SFP'!#REF!</f>
        <v>#REF!</v>
      </c>
      <c r="K8" s="131" t="e">
        <f>('FORM 4'!#REF!+'FORM 4'!#REF!+'FORM 4'!#REF!)/'Evolutive SFP'!I15</f>
        <v>#REF!</v>
      </c>
      <c r="L8" s="131" t="e">
        <f>('FORM 4'!#REF!+'FORM 4'!#REF!+'FORM 4'!#REF!)/'Evolutive SFP'!J15</f>
        <v>#REF!</v>
      </c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211">
        <v>4.8000000000000001E-2</v>
      </c>
      <c r="AQ8" s="211">
        <v>1.048</v>
      </c>
    </row>
    <row r="9" spans="1:43" ht="15">
      <c r="A9" s="246" t="s">
        <v>115</v>
      </c>
      <c r="B9" s="127" t="s">
        <v>116</v>
      </c>
      <c r="C9" s="128"/>
      <c r="D9" s="132" t="e">
        <f>'Evolutitve SCI'!#REF!/(('Evolutive SFP'!#REF!+'Evolutive SFP'!C27)/2)</f>
        <v>#REF!</v>
      </c>
      <c r="E9" s="132">
        <f>'Evolutitve SCI'!C33/(('Evolutive SFP'!C27+'Evolutive SFP'!D27)/2)</f>
        <v>-4.7288673174337801E-3</v>
      </c>
      <c r="F9" s="132">
        <f>'Evolutitve SCI'!D33/(('Evolutive SFP'!D27+'Evolutive SFP'!E27)/2)</f>
        <v>-1.6048061737222591E-2</v>
      </c>
      <c r="G9" s="132">
        <f>'Evolutitve SCI'!E33/(('Evolutive SFP'!E27+'Evolutive SFP'!F27)/2)</f>
        <v>-2.153154301251434E-2</v>
      </c>
      <c r="H9" s="132">
        <f>'Evolutitve SCI'!F33/(('Evolutive SFP'!F27+'Evolutive SFP'!G27)/2)</f>
        <v>-2.698779539415519E-2</v>
      </c>
      <c r="I9" s="132">
        <f>'Evolutitve SCI'!G33/(('Evolutive SFP'!G27+'Evolutive SFP'!H27)/2)</f>
        <v>-3.3297781753409098E-2</v>
      </c>
      <c r="J9" s="132">
        <f>'Evolutitve SCI'!H33/(('Evolutive SFP'!H27+'Evolutive SFP'!I27)/2)</f>
        <v>-5.1417911632700555E-2</v>
      </c>
      <c r="K9" s="132">
        <f>'Evolutitve SCI'!I33/(('Evolutive SFP'!I27+'Evolutive SFP'!J27)/2)</f>
        <v>-6.2739692408426653E-2</v>
      </c>
      <c r="L9" s="132">
        <f>'Evolutitve SCI'!J33/(('Evolutive SFP'!J27+'Evolutive SFP'!K27)/2)</f>
        <v>-4.3000646356866755E-2</v>
      </c>
      <c r="M9" s="132">
        <f>'Evolutitve SCI'!K33/(('Evolutive SFP'!K27+'Evolutive SFP'!L27)/2)</f>
        <v>-4.6389518877022702E-2</v>
      </c>
      <c r="N9" s="132">
        <f>'Evolutitve SCI'!L33/(('Evolutive SFP'!L27+'Evolutive SFP'!M27)/2)</f>
        <v>-6.2336099061694288E-2</v>
      </c>
      <c r="O9" s="132">
        <f>'Evolutitve SCI'!M33/(('Evolutive SFP'!M27+'Evolutive SFP'!N27)/2)</f>
        <v>2.8459384726091146E-2</v>
      </c>
      <c r="P9" s="213">
        <f>'Evolutitve SCI'!N33/(('Evolutive SFP'!N27+'Evolutive SFP'!O27)/2)</f>
        <v>-8.0209152544651677E-3</v>
      </c>
      <c r="Q9" s="213">
        <f>'Evolutitve SCI'!O33/(('Evolutive SFP'!O27+'Evolutive SFP'!P27)/2)</f>
        <v>-1.9025935333002012E-2</v>
      </c>
      <c r="R9" s="213">
        <f>'Evolutitve SCI'!P33/(('Evolutive SFP'!P27+'Evolutive SFP'!Q27)/2)</f>
        <v>-2.7313979746874589E-2</v>
      </c>
      <c r="S9" s="213">
        <f>'Evolutitve SCI'!Q33/(('Evolutive SFP'!Q27+'Evolutive SFP'!R27)/2)</f>
        <v>-3.3452227771310294E-2</v>
      </c>
      <c r="T9" s="213">
        <f>'Evolutitve SCI'!R33/(('Evolutive SFP'!R27+'Evolutive SFP'!S27)/2)</f>
        <v>-4.2491090010386652E-2</v>
      </c>
      <c r="U9" s="213">
        <f>'Evolutitve SCI'!S33/(('Evolutive SFP'!S27+'Evolutive SFP'!T27)/2)</f>
        <v>-5.4272146603831749E-2</v>
      </c>
      <c r="V9" s="213">
        <f>'Evolutitve SCI'!T33/(('Evolutive SFP'!T27+'Evolutive SFP'!U27)/2)</f>
        <v>-6.3178071301215333E-2</v>
      </c>
      <c r="W9" s="213">
        <f>'Evolutitve SCI'!U33/(('Evolutive SFP'!U27+'Evolutive SFP'!V27)/2)</f>
        <v>0</v>
      </c>
      <c r="X9" s="213" t="e">
        <f>'Evolutitve SCI'!V33/(('Evolutive SFP'!V27+'Evolutive SFP'!W27)/2)</f>
        <v>#DIV/0!</v>
      </c>
      <c r="Y9" s="213" t="e">
        <f>'Evolutitve SCI'!W33/(('Evolutive SFP'!W27+'Evolutive SFP'!X27)/2)</f>
        <v>#DIV/0!</v>
      </c>
      <c r="Z9" s="213" t="e">
        <f>'Evolutitve SCI'!X33/(('Evolutive SFP'!X27+'Evolutive SFP'!Y27)/2)</f>
        <v>#DIV/0!</v>
      </c>
      <c r="AA9" s="213" t="e">
        <f>'Evolutitve SCI'!Y33/(('Evolutive SFP'!Y27+'Evolutive SFP'!Z27)/2)</f>
        <v>#DIV/0!</v>
      </c>
      <c r="AB9" s="213">
        <f>'Evolutitve SCI'!Z33/(('Evolutive SFP'!Z27+'Evolutive SFP'!AA27)/2)</f>
        <v>3.8334306500098225E-2</v>
      </c>
      <c r="AC9" s="213">
        <f>'Evolutitve SCI'!AA33/(('Evolutive SFP'!AA27+'Evolutive SFP'!AB27)/2)</f>
        <v>-1.1253430021038828E-3</v>
      </c>
      <c r="AD9" s="213">
        <f>'Evolutitve SCI'!AA33/(('Evolutive SFP'!AA27+'Evolutive SFP'!AB27)/2)</f>
        <v>-1.1253430021038828E-3</v>
      </c>
      <c r="AE9" s="213">
        <f>'Evolutitve SCI'!AB33/(('Evolutive SFP'!AB27+'Evolutive SFP'!AC27)/2)</f>
        <v>-5.3723638326294062E-3</v>
      </c>
      <c r="AF9" s="213">
        <f>'Evolutitve SCI'!AC33/(('Evolutive SFP'!AC27+'Evolutive SFP'!AD27)/2)</f>
        <v>-1.1912204471822809E-2</v>
      </c>
      <c r="AG9" s="213">
        <f>'Evolutitve SCI'!AD33/(('Evolutive SFP'!AD27+'Evolutive SFP'!AE27)/2)</f>
        <v>-1.6009619716061525E-2</v>
      </c>
      <c r="AH9" s="213">
        <f>'Evolutitve SCI'!AE33/(('Evolutive SFP'!AE27+'Evolutive SFP'!AF27)/2)</f>
        <v>-1.8373829405872698E-2</v>
      </c>
      <c r="AI9" s="213">
        <f>'Evolutitve SCI'!AF33/(('Evolutive SFP'!AF27+'Evolutive SFP'!AG27)/2)</f>
        <v>-2.2471509292616591E-2</v>
      </c>
      <c r="AJ9" s="213">
        <f>'Evolutitve SCI'!AG33/(('Evolutive SFP'!AG27+'Evolutive SFP'!AH27)/2)</f>
        <v>-1.4013843159778362E-2</v>
      </c>
      <c r="AK9" s="213">
        <f>'Evolutitve SCI'!AH33/(('Evolutive SFP'!AH27+'Evolutive SFP'!AI27)/2)</f>
        <v>-2.1943588553170107E-2</v>
      </c>
      <c r="AL9" s="213">
        <f>'Evolutitve SCI'!AI33/(('Evolutive SFP'!AI27+'Evolutive SFP'!AJ27)/2)</f>
        <v>5.8104078776361805E-2</v>
      </c>
      <c r="AM9" s="213">
        <f>'Evolutitve SCI'!AJ33/(('Evolutive SFP'!AJ27+'Evolutive SFP'!AK27)/2)</f>
        <v>5.9391593538575739E-2</v>
      </c>
      <c r="AN9" s="213">
        <f>'Evolutitve SCI'!AK33/(('Evolutive SFP'!AK27+'Evolutive SFP'!AL27)/2)</f>
        <v>6.0078674333536787E-2</v>
      </c>
      <c r="AO9" s="213">
        <f>'Evolutitve SCI'!AL33/(('Evolutive SFP'!AL27+'Evolutive SFP'!AM27)/2)</f>
        <v>6.7288219670143132E-2</v>
      </c>
      <c r="AP9" s="213">
        <f>'Evolutitve SCI'!AM33/(('Evolutive SFP'!AM27+'Evolutive SFP'!AN27)/2)</f>
        <v>3.9094610596585873E-2</v>
      </c>
      <c r="AQ9" s="213">
        <f>'Evolutitve SCI'!AN33/(('Evolutive SFP'!AN27+'Evolutive SFP'!AO27)/2)</f>
        <v>1.967083763295125E-2</v>
      </c>
    </row>
    <row r="10" spans="1:43" ht="15">
      <c r="A10" s="246"/>
      <c r="B10" s="127" t="s">
        <v>117</v>
      </c>
      <c r="C10" s="128"/>
      <c r="D10" s="130" t="e">
        <f>'Evolutitve SCI'!#REF!/'Evolutitve SCI'!#REF!</f>
        <v>#REF!</v>
      </c>
      <c r="E10" s="130">
        <f>'Evolutitve SCI'!C23/'Evolutitve SCI'!C19</f>
        <v>1.0946329829698873</v>
      </c>
      <c r="F10" s="130">
        <f>'Evolutitve SCI'!D23/'Evolutitve SCI'!D19</f>
        <v>1.2221738657716983</v>
      </c>
      <c r="G10" s="130">
        <f>'Evolutitve SCI'!E23/'Evolutitve SCI'!E19</f>
        <v>1.2261038345261366</v>
      </c>
      <c r="H10" s="130">
        <f>'Evolutitve SCI'!F23/'Evolutitve SCI'!F19</f>
        <v>1.2318465193895167</v>
      </c>
      <c r="I10" s="130">
        <f>'Evolutitve SCI'!G23/'Evolutitve SCI'!G19</f>
        <v>1.2505930866551438</v>
      </c>
      <c r="J10" s="130">
        <f>'Evolutitve SCI'!H23/'Evolutitve SCI'!H19</f>
        <v>1.2956106191647023</v>
      </c>
      <c r="K10" s="130">
        <f>'Evolutitve SCI'!I23/'Evolutitve SCI'!I19</f>
        <v>1.3139637772763177</v>
      </c>
      <c r="L10" s="130">
        <f>'Evolutitve SCI'!J23/'Evolutitve SCI'!J19</f>
        <v>1.2222973274570625</v>
      </c>
      <c r="M10" s="130">
        <f>'Evolutitve SCI'!K23/'Evolutitve SCI'!K19</f>
        <v>1.2392832056598084</v>
      </c>
      <c r="N10" s="130">
        <f>'Evolutitve SCI'!L23/'Evolutitve SCI'!L19</f>
        <v>1.2577398918547851</v>
      </c>
      <c r="O10" s="130">
        <f>'Evolutitve SCI'!M23/'Evolutitve SCI'!M19</f>
        <v>0.84217027838856395</v>
      </c>
      <c r="P10" s="130">
        <f>'Evolutitve SCI'!N23/'Evolutitve SCI'!N19</f>
        <v>1.4070153698084189</v>
      </c>
      <c r="Q10" s="130">
        <f>'Evolutitve SCI'!O23/'Evolutitve SCI'!O19</f>
        <v>1.4968492935458164</v>
      </c>
      <c r="R10" s="130">
        <f>'Evolutitve SCI'!P23/'Evolutitve SCI'!P19</f>
        <v>1.4536067302771709</v>
      </c>
      <c r="S10" s="130">
        <f>'Evolutitve SCI'!Q23/'Evolutitve SCI'!Q19</f>
        <v>1.3885833614862622</v>
      </c>
      <c r="T10" s="130">
        <f>'Evolutitve SCI'!R23/'Evolutitve SCI'!R19</f>
        <v>1.4094693041821922</v>
      </c>
      <c r="U10" s="130">
        <f>'Evolutitve SCI'!S23/'Evolutitve SCI'!S19</f>
        <v>1.428433398033059</v>
      </c>
      <c r="V10" s="130">
        <f>'Evolutitve SCI'!T23/'Evolutitve SCI'!T19</f>
        <v>1.4309169230167222</v>
      </c>
      <c r="W10" s="130" t="e">
        <f>'Evolutitve SCI'!U23/'Evolutitve SCI'!U19</f>
        <v>#DIV/0!</v>
      </c>
      <c r="X10" s="130" t="e">
        <f>'Evolutitve SCI'!V23/'Evolutitve SCI'!V19</f>
        <v>#DIV/0!</v>
      </c>
      <c r="Y10" s="130" t="e">
        <f>'Evolutitve SCI'!W23/'Evolutitve SCI'!W19</f>
        <v>#DIV/0!</v>
      </c>
      <c r="Z10" s="130" t="e">
        <f>'Evolutitve SCI'!X23/'Evolutitve SCI'!X19</f>
        <v>#DIV/0!</v>
      </c>
      <c r="AA10" s="130" t="e">
        <f>'Evolutitve SCI'!Y23/'Evolutitve SCI'!Y19</f>
        <v>#DIV/0!</v>
      </c>
      <c r="AB10" s="130">
        <f>'Evolutitve SCI'!Z23/'Evolutitve SCI'!Z19</f>
        <v>0.90236095532585492</v>
      </c>
      <c r="AC10" s="130">
        <f>'Evolutitve SCI'!AA23/'Evolutitve SCI'!AA19</f>
        <v>1.0496334775152698</v>
      </c>
      <c r="AD10" s="130">
        <f>'Evolutitve SCI'!AA23/'Evolutitve SCI'!AA19</f>
        <v>1.0496334775152698</v>
      </c>
      <c r="AE10" s="130">
        <f>'Evolutitve SCI'!AB23/'Evolutitve SCI'!AB19</f>
        <v>1.1206002045237378</v>
      </c>
      <c r="AF10" s="130">
        <f>'Evolutitve SCI'!AC23/'Evolutitve SCI'!AC19</f>
        <v>1.1702209526037191</v>
      </c>
      <c r="AG10" s="130">
        <f>'Evolutitve SCI'!AD23/'Evolutitve SCI'!AD19</f>
        <v>1.1716129103220543</v>
      </c>
      <c r="AH10" s="130">
        <f>'Evolutitve SCI'!AE23/'Evolutitve SCI'!AE19</f>
        <v>1.157995431274919</v>
      </c>
      <c r="AI10" s="130">
        <f>'Evolutitve SCI'!AF23/'Evolutitve SCI'!AF19</f>
        <v>1.1612913939378871</v>
      </c>
      <c r="AJ10" s="130">
        <f>'Evolutitve SCI'!AG23/'Evolutitve SCI'!AG19</f>
        <v>1.0892183240913538</v>
      </c>
      <c r="AK10" s="130">
        <f>'Evolutitve SCI'!AH23/'Evolutitve SCI'!AH19</f>
        <v>1.1345851204093469</v>
      </c>
      <c r="AL10" s="130">
        <f>'Evolutitve SCI'!AI23/'Evolutitve SCI'!AI19</f>
        <v>0.6788338787858208</v>
      </c>
      <c r="AM10" s="130">
        <f>'Evolutitve SCI'!AJ23/'Evolutitve SCI'!AJ19</f>
        <v>0.69821903648446948</v>
      </c>
      <c r="AN10" s="130">
        <f>'Evolutitve SCI'!AK23/'Evolutitve SCI'!AK19</f>
        <v>0.71598922061497883</v>
      </c>
      <c r="AO10" s="130">
        <f>'Evolutitve SCI'!AL23/'Evolutitve SCI'!AL19</f>
        <v>0.71625571578694258</v>
      </c>
      <c r="AP10" s="130">
        <f>'Evolutitve SCI'!AM23/'Evolutitve SCI'!AM19</f>
        <v>0.81632729128610937</v>
      </c>
      <c r="AQ10" s="130">
        <f>'Evolutitve SCI'!AN23/'Evolutitve SCI'!AN19</f>
        <v>0.8630127598290479</v>
      </c>
    </row>
    <row r="11" spans="1:43" ht="18.75" customHeight="1">
      <c r="A11" s="246"/>
      <c r="B11" s="127" t="s">
        <v>118</v>
      </c>
      <c r="C11" s="128"/>
      <c r="D11" s="133" t="e">
        <f>('Evolutitve SCI'!#REF!+'Evolutitve SCI'!#REF!)/(('Evolutive SFP'!C27+'Evolutive SFP'!E27)/2)</f>
        <v>#REF!</v>
      </c>
      <c r="E11" s="133">
        <f>('Evolutitve SCI'!C23+'Evolutitve SCI'!C12)/(('Evolutive SFP'!D27+'Evolutive SFP'!F27)/2)</f>
        <v>5.5522149037089401E-2</v>
      </c>
      <c r="F11" s="133">
        <f>('Evolutitve SCI'!D23+'Evolutitve SCI'!D12)/(('Evolutive SFP'!E27+'Evolutive SFP'!G27)/2)</f>
        <v>8.7677447621988439E-2</v>
      </c>
      <c r="G11" s="133">
        <f>('Evolutitve SCI'!E23+'Evolutitve SCI'!E12)/(('Evolutive SFP'!F27+'Evolutive SFP'!H27)/2)</f>
        <v>0.11169311506772077</v>
      </c>
      <c r="H11" s="133">
        <f>('Evolutitve SCI'!F23+'Evolutitve SCI'!F12)/(('Evolutive SFP'!G27+'Evolutive SFP'!I27)/2)</f>
        <v>0.14662950603768429</v>
      </c>
      <c r="I11" s="133">
        <f>('Evolutitve SCI'!G23+'Evolutitve SCI'!G12)/(('Evolutive SFP'!H27+'Evolutive SFP'!J27)/2)</f>
        <v>0.16674600733144609</v>
      </c>
      <c r="J11" s="133">
        <f>('Evolutitve SCI'!H23+'Evolutitve SCI'!H12)/(('Evolutive SFP'!I27+'Evolutive SFP'!K27)/2)</f>
        <v>0.19295080659026503</v>
      </c>
      <c r="K11" s="133">
        <f>('Evolutitve SCI'!I23+'Evolutitve SCI'!I12)/(('Evolutive SFP'!J27+'Evolutive SFP'!L27)/2)</f>
        <v>0.23812018432127327</v>
      </c>
      <c r="L11" s="133">
        <f>('Evolutitve SCI'!J23+'Evolutitve SCI'!J12)/(('Evolutive SFP'!K27+'Evolutive SFP'!M27)/2)</f>
        <v>0.22890875531820251</v>
      </c>
      <c r="M11" s="133">
        <f>('Evolutitve SCI'!K23+'Evolutitve SCI'!K12)/(('Evolutive SFP'!L27+'Evolutive SFP'!N27)/2)</f>
        <v>0.26547892720181998</v>
      </c>
      <c r="N11" s="133">
        <f>('Evolutitve SCI'!L23+'Evolutitve SCI'!L12)/(('Evolutive SFP'!M27+'Evolutive SFP'!O27)/2)</f>
        <v>0.31734581510599724</v>
      </c>
      <c r="O11" s="133">
        <f>('Evolutitve SCI'!M23+'Evolutitve SCI'!M12)/(('Evolutive SFP'!N27+'Evolutive SFP'!P27)/2)</f>
        <v>0.20201102356365616</v>
      </c>
      <c r="P11" s="133">
        <f>('Evolutitve SCI'!N23+'Evolutitve SCI'!N12)/(('Evolutive SFP'!O27+'Evolutive SFP'!Q27)/2)</f>
        <v>2.9594421925867601E-2</v>
      </c>
      <c r="Q11" s="133">
        <f>('Evolutitve SCI'!O23+'Evolutitve SCI'!O12)/(('Evolutive SFP'!P27+'Evolutive SFP'!R27)/2)</f>
        <v>5.6192875326427014E-2</v>
      </c>
      <c r="R11" s="133">
        <f>('Evolutitve SCI'!P23+'Evolutitve SCI'!P12)/(('Evolutive SFP'!Q27+'Evolutive SFP'!S27)/2)</f>
        <v>9.1763068295975289E-2</v>
      </c>
      <c r="S11" s="133">
        <f>('Evolutitve SCI'!Q23+'Evolutitve SCI'!Q12)/(('Evolutive SFP'!R27+'Evolutive SFP'!T27)/2)</f>
        <v>0.11876436184535231</v>
      </c>
      <c r="T11" s="133">
        <f>('Evolutitve SCI'!R23+'Evolutitve SCI'!R12)/(('Evolutive SFP'!S27+'Evolutive SFP'!U27)/2)</f>
        <v>0.15031440980232608</v>
      </c>
      <c r="U11" s="133">
        <f>('Evolutitve SCI'!S23+'Evolutitve SCI'!S12)/(('Evolutive SFP'!T27+'Evolutive SFP'!V27)/2)</f>
        <v>0.36289577967658276</v>
      </c>
      <c r="V11" s="133">
        <f>('Evolutitve SCI'!T23+'Evolutitve SCI'!T12)/(('Evolutive SFP'!U27+'Evolutive SFP'!W27)/2)</f>
        <v>0.41690181546879623</v>
      </c>
      <c r="W11" s="133" t="e">
        <f>('Evolutitve SCI'!U23+'Evolutitve SCI'!U12)/(('Evolutive SFP'!V27+'Evolutive SFP'!X27)/2)</f>
        <v>#DIV/0!</v>
      </c>
      <c r="X11" s="133" t="e">
        <f>('Evolutitve SCI'!V23+'Evolutitve SCI'!V12)/(('Evolutive SFP'!W27+'Evolutive SFP'!Y27)/2)</f>
        <v>#DIV/0!</v>
      </c>
      <c r="Y11" s="133" t="e">
        <f>('Evolutitve SCI'!W23+'Evolutitve SCI'!W12)/(('Evolutive SFP'!X27+'Evolutive SFP'!Z27)/2)</f>
        <v>#DIV/0!</v>
      </c>
      <c r="Z11" s="133">
        <f>('Evolutitve SCI'!X23+'Evolutitve SCI'!X12)/(('Evolutive SFP'!Y27+'Evolutive SFP'!AA27)/2)</f>
        <v>0</v>
      </c>
      <c r="AA11" s="133">
        <f>('Evolutitve SCI'!Y23+'Evolutitve SCI'!Y12)/(('Evolutive SFP'!Z27+'Evolutive SFP'!AB28)/2)</f>
        <v>0</v>
      </c>
      <c r="AB11" s="133">
        <f>('Evolutitve SCI'!Z23+'Evolutitve SCI'!Z12)/(('Evolutive SFP'!AA27+'Evolutive SFP'!AC28)/2)</f>
        <v>0.31471271207944013</v>
      </c>
      <c r="AC11" s="133">
        <f>('Evolutitve SCI'!AA23+'Evolutitve SCI'!AA12)/(('Evolutive SFP'!AB27+'Evolutive SFP'!AD28)/2)</f>
        <v>3.4778224503563111E-2</v>
      </c>
      <c r="AD11" s="133">
        <f>('Evolutitve SCI'!AA23+'Evolutitve SCI'!AA12)/(('Evolutive SFP'!AB27+'Evolutive SFP'!AD28)/2)</f>
        <v>3.4778224503563111E-2</v>
      </c>
      <c r="AE11" s="133">
        <f>('Evolutitve SCI'!AB23+'Evolutitve SCI'!AB12)/(('Evolutive SFP'!AC27+'Evolutive SFP'!AE28)/2)</f>
        <v>7.1888314483766508E-2</v>
      </c>
      <c r="AF11" s="133">
        <f>('Evolutitve SCI'!AC23+'Evolutitve SCI'!AC12)/(('Evolutive SFP'!AD27+'Evolutive SFP'!AF28)/2)</f>
        <v>0.11931477949543633</v>
      </c>
      <c r="AG11" s="133">
        <f>('Evolutitve SCI'!AD23+'Evolutitve SCI'!AD12)/(('Evolutive SFP'!AE27+'Evolutive SFP'!AG28)/2)</f>
        <v>0.15849700237213071</v>
      </c>
      <c r="AH11" s="133">
        <f>('Evolutitve SCI'!AE23+'Evolutitve SCI'!AE12)/(('Evolutive SFP'!AF27+'Evolutive SFP'!AH28)/2)</f>
        <v>0.17113606765811301</v>
      </c>
      <c r="AI11" s="133">
        <f>('Evolutitve SCI'!AF23+'Evolutitve SCI'!AF12)/(('Evolutive SFP'!AG27+'Evolutive SFP'!AI28)/2)</f>
        <v>0.22198596784187113</v>
      </c>
      <c r="AJ11" s="133">
        <f>('Evolutitve SCI'!AG23+'Evolutitve SCI'!AG12)/(('Evolutive SFP'!AH27+'Evolutive SFP'!AJ28)/2)</f>
        <v>0.22871090240187208</v>
      </c>
      <c r="AK11" s="133">
        <f>('Evolutitve SCI'!AH23+'Evolutitve SCI'!AH12)/(('Evolutive SFP'!AI27+'Evolutive SFP'!AK28)/2)</f>
        <v>0.27991865414240164</v>
      </c>
      <c r="AL11" s="133">
        <f>('Evolutitve SCI'!AI23+'Evolutitve SCI'!AI12)/(('Evolutive SFP'!AJ27+'Evolutive SFP'!AL28)/2)</f>
        <v>0.190571799579552</v>
      </c>
      <c r="AM11" s="133">
        <f>('Evolutitve SCI'!AJ23+'Evolutitve SCI'!AJ12)/(('Evolutive SFP'!AK27+'Evolutive SFP'!AM28)/2)</f>
        <v>0.21761204954988239</v>
      </c>
      <c r="AN11" s="133">
        <f>('Evolutitve SCI'!AK23+'Evolutitve SCI'!AK12)/(('Evolutive SFP'!AL27+'Evolutive SFP'!AN28)/2)</f>
        <v>0.24387818204142528</v>
      </c>
      <c r="AO11" s="133">
        <f>('Evolutitve SCI'!AL23+'Evolutitve SCI'!AL12)/(('Evolutive SFP'!AM27+'Evolutive SFP'!AO28)/2)</f>
        <v>0.27463819175509407</v>
      </c>
      <c r="AP11" s="133">
        <f>('Evolutitve SCI'!AM23+'Evolutitve SCI'!AM12)/(('Evolutive SFP'!AN27+'Evolutive SFP'!AP28)/2)</f>
        <v>0.42658657514333714</v>
      </c>
      <c r="AQ11" s="133">
        <f>('Evolutitve SCI'!AN23+'Evolutitve SCI'!AN12)/(('Evolutive SFP'!AO27+'Evolutive SFP'!AQ28)/2)</f>
        <v>0.27000353360811474</v>
      </c>
    </row>
    <row r="12" spans="1:43" ht="15">
      <c r="A12" s="246" t="s">
        <v>119</v>
      </c>
      <c r="B12" s="127" t="s">
        <v>120</v>
      </c>
      <c r="C12" s="128" t="s">
        <v>121</v>
      </c>
      <c r="D12" s="130">
        <f>('Evolutive SFP'!C4)/('Evolutive SFP'!C28+'Evolutive SFP'!C29+'Evolutive SFP'!C32+'Evolutive SFP'!C33+'Evolutive SFP'!C34+'Evolutive SFP'!C35+'Evolutive SFP'!C36)</f>
        <v>0.66711125064830101</v>
      </c>
      <c r="E12" s="130">
        <f>('Evolutive SFP'!D4)/('Evolutive SFP'!D28+'Evolutive SFP'!D29+'Evolutive SFP'!D32+'Evolutive SFP'!D33+'Evolutive SFP'!D34+'Evolutive SFP'!D35+'Evolutive SFP'!D36)</f>
        <v>0.65647430738658885</v>
      </c>
      <c r="F12" s="130">
        <f>('Evolutive SFP'!E4)/('Evolutive SFP'!E28+'Evolutive SFP'!E29+'Evolutive SFP'!E32+'Evolutive SFP'!E33+'Evolutive SFP'!E34+'Evolutive SFP'!E35+'Evolutive SFP'!E36)</f>
        <v>0.62443451368916492</v>
      </c>
      <c r="G12" s="130">
        <f>('Evolutive SFP'!F4)/('Evolutive SFP'!F28+'Evolutive SFP'!F29+'Evolutive SFP'!F32+'Evolutive SFP'!F33+'Evolutive SFP'!F34+'Evolutive SFP'!F35+'Evolutive SFP'!F36)</f>
        <v>0.65301010169135443</v>
      </c>
      <c r="H12" s="130">
        <f>('Evolutive SFP'!G4)/('Evolutive SFP'!G28+'Evolutive SFP'!G29+'Evolutive SFP'!G32+'Evolutive SFP'!G33+'Evolutive SFP'!G34+'Evolutive SFP'!G35+'Evolutive SFP'!G36)</f>
        <v>0.65388235603086198</v>
      </c>
      <c r="I12" s="130">
        <f>('Evolutive SFP'!H4)/('Evolutive SFP'!H28+'Evolutive SFP'!H29+'Evolutive SFP'!H32+'Evolutive SFP'!H33+'Evolutive SFP'!H34+'Evolutive SFP'!H35+'Evolutive SFP'!H36)</f>
        <v>0.66510140266882312</v>
      </c>
      <c r="J12" s="130">
        <f>('Evolutive SFP'!I4)/('Evolutive SFP'!I28+'Evolutive SFP'!I29+'Evolutive SFP'!I32+'Evolutive SFP'!I33+'Evolutive SFP'!I34+'Evolutive SFP'!I35+'Evolutive SFP'!I36)</f>
        <v>0.60743404878310236</v>
      </c>
      <c r="K12" s="130">
        <f>('Evolutive SFP'!J4)/('Evolutive SFP'!J28+'Evolutive SFP'!J29+'Evolutive SFP'!J32+'Evolutive SFP'!J33+'Evolutive SFP'!J34+'Evolutive SFP'!J35+'Evolutive SFP'!J36)</f>
        <v>0.60897671422853927</v>
      </c>
      <c r="L12" s="130">
        <f>('Evolutive SFP'!K4)/('Evolutive SFP'!K28+'Evolutive SFP'!K29+'Evolutive SFP'!K32+'Evolutive SFP'!K33+'Evolutive SFP'!K34+'Evolutive SFP'!K35+'Evolutive SFP'!K36)</f>
        <v>0.8524978042389757</v>
      </c>
      <c r="M12" s="130">
        <f>('Evolutive SFP'!L4)/('Evolutive SFP'!L28+'Evolutive SFP'!L29+'Evolutive SFP'!L32+'Evolutive SFP'!L33+'Evolutive SFP'!L34+'Evolutive SFP'!L35+'Evolutive SFP'!L36)</f>
        <v>0.78793984769749215</v>
      </c>
      <c r="N12" s="130">
        <f>('Evolutive SFP'!M4)/('Evolutive SFP'!M28+'Evolutive SFP'!M29+'Evolutive SFP'!M32+'Evolutive SFP'!M33+'Evolutive SFP'!M34+'Evolutive SFP'!M35+'Evolutive SFP'!M36)</f>
        <v>0.72725341524646425</v>
      </c>
      <c r="O12" s="130">
        <f>('Evolutive SFP'!N4)/('Evolutive SFP'!N28+'Evolutive SFP'!N29+'Evolutive SFP'!N32+'Evolutive SFP'!N33+'Evolutive SFP'!N34+'Evolutive SFP'!N35+'Evolutive SFP'!N36)</f>
        <v>0.68194099091182026</v>
      </c>
      <c r="P12" s="130">
        <f>('Evolutive SFP'!O4)/('Evolutive SFP'!O28+'Evolutive SFP'!O29+'Evolutive SFP'!O32+'Evolutive SFP'!O33+'Evolutive SFP'!O34+'Evolutive SFP'!O35+'Evolutive SFP'!O36)</f>
        <v>0.72031436594740572</v>
      </c>
      <c r="Q12" s="130">
        <f>('Evolutive SFP'!P4)/('Evolutive SFP'!P28+'Evolutive SFP'!P29+'Evolutive SFP'!P32+'Evolutive SFP'!P33+'Evolutive SFP'!P34+'Evolutive SFP'!P35+'Evolutive SFP'!P36)</f>
        <v>0.71627242237896793</v>
      </c>
      <c r="R12" s="130">
        <f>('Evolutive SFP'!Q4)/('Evolutive SFP'!Q28+'Evolutive SFP'!Q29+'Evolutive SFP'!Q32+'Evolutive SFP'!Q33+'Evolutive SFP'!Q34+'Evolutive SFP'!Q35+'Evolutive SFP'!Q36)</f>
        <v>0.65584595614220031</v>
      </c>
      <c r="S12" s="130">
        <f>('Evolutive SFP'!R4)/('Evolutive SFP'!R28+'Evolutive SFP'!R29+'Evolutive SFP'!R32+'Evolutive SFP'!R33+'Evolutive SFP'!R34+'Evolutive SFP'!R35+'Evolutive SFP'!R36)</f>
        <v>0.72388839839615204</v>
      </c>
      <c r="T12" s="130">
        <f>('Evolutive SFP'!S4)/('Evolutive SFP'!S28+'Evolutive SFP'!S29+'Evolutive SFP'!S32+'Evolutive SFP'!S33+'Evolutive SFP'!S34+'Evolutive SFP'!S35+'Evolutive SFP'!S36)</f>
        <v>0.59806607687487678</v>
      </c>
      <c r="U12" s="130">
        <f>('Evolutive SFP'!T4)/('Evolutive SFP'!T28+'Evolutive SFP'!T29+'Evolutive SFP'!T32+'Evolutive SFP'!T33+'Evolutive SFP'!T34+'Evolutive SFP'!T35+'Evolutive SFP'!T36)</f>
        <v>0.57100135202374092</v>
      </c>
      <c r="V12" s="130">
        <f>('Evolutive SFP'!U4)/('Evolutive SFP'!U28+'Evolutive SFP'!U29+'Evolutive SFP'!U32+'Evolutive SFP'!U33+'Evolutive SFP'!U34+'Evolutive SFP'!U35+'Evolutive SFP'!U36)</f>
        <v>0.54142663123395374</v>
      </c>
      <c r="W12" s="130" t="e">
        <f>('Evolutive SFP'!V4)/('Evolutive SFP'!V28+'Evolutive SFP'!V29+'Evolutive SFP'!V32+'Evolutive SFP'!V33+'Evolutive SFP'!V34+'Evolutive SFP'!V35+'Evolutive SFP'!V36)</f>
        <v>#DIV/0!</v>
      </c>
      <c r="X12" s="130" t="e">
        <f>('Evolutive SFP'!W4)/('Evolutive SFP'!W28+'Evolutive SFP'!W29+'Evolutive SFP'!W32+'Evolutive SFP'!W33+'Evolutive SFP'!W34+'Evolutive SFP'!W35+'Evolutive SFP'!W36)</f>
        <v>#DIV/0!</v>
      </c>
      <c r="Y12" s="130" t="e">
        <f>('Evolutive SFP'!X4)/('Evolutive SFP'!X28+'Evolutive SFP'!X29+'Evolutive SFP'!X32+'Evolutive SFP'!X33+'Evolutive SFP'!X34+'Evolutive SFP'!X35+'Evolutive SFP'!X36)</f>
        <v>#DIV/0!</v>
      </c>
      <c r="Z12" s="130" t="e">
        <f>('Evolutive SFP'!Y4)/('Evolutive SFP'!Y28+'Evolutive SFP'!Y29+'Evolutive SFP'!Y32+'Evolutive SFP'!Y33+'Evolutive SFP'!Y34+'Evolutive SFP'!Y35+'Evolutive SFP'!Y36)</f>
        <v>#DIV/0!</v>
      </c>
      <c r="AA12" s="130" t="e">
        <f>('Evolutive SFP'!Z4)/('Evolutive SFP'!Z28+'Evolutive SFP'!Z29+'Evolutive SFP'!Z32+'Evolutive SFP'!Z33+'Evolutive SFP'!Z34+'Evolutive SFP'!Z35+'Evolutive SFP'!Z36)</f>
        <v>#DIV/0!</v>
      </c>
      <c r="AB12" s="130">
        <f>('Evolutive SFP'!AA4)/('Evolutive SFP'!AA28+'Evolutive SFP'!AA29+'Evolutive SFP'!AA32+'Evolutive SFP'!AA33+'Evolutive SFP'!AA34+'Evolutive SFP'!AA35+'Evolutive SFP'!AA36)</f>
        <v>0.43868088413315565</v>
      </c>
      <c r="AC12" s="130">
        <f>('Evolutive SFP'!AB4)/('Evolutive SFP'!AB28+'Evolutive SFP'!AB29+'Evolutive SFP'!AB32+'Evolutive SFP'!AB33+'Evolutive SFP'!AB34+'Evolutive SFP'!AB35+'Evolutive SFP'!AB36)</f>
        <v>0.44599816740225912</v>
      </c>
      <c r="AD12" s="130">
        <f>('Evolutive SFP'!AB4)/('Evolutive SFP'!AB28+'Evolutive SFP'!AB29+'Evolutive SFP'!AB32+'Evolutive SFP'!AB33+'Evolutive SFP'!AB34+'Evolutive SFP'!AB35+'Evolutive SFP'!AB36)</f>
        <v>0.44599816740225912</v>
      </c>
      <c r="AE12" s="130">
        <f>('Evolutive SFP'!AC4)/('Evolutive SFP'!AC28+'Evolutive SFP'!AC29+'Evolutive SFP'!AC32+'Evolutive SFP'!AC33+'Evolutive SFP'!AC34+'Evolutive SFP'!AC35+'Evolutive SFP'!AC36)</f>
        <v>0.446441203722034</v>
      </c>
      <c r="AF12" s="130">
        <f>('Evolutive SFP'!AD4)/('Evolutive SFP'!AD28+'Evolutive SFP'!AD29+'Evolutive SFP'!AD32+'Evolutive SFP'!AD33+'Evolutive SFP'!AD34+'Evolutive SFP'!AD35+'Evolutive SFP'!AD36)</f>
        <v>0.43858789926877045</v>
      </c>
      <c r="AG12" s="130">
        <f>('Evolutive SFP'!AE4)/('Evolutive SFP'!AE28+'Evolutive SFP'!AE29+'Evolutive SFP'!AE32+'Evolutive SFP'!AE33+'Evolutive SFP'!AE34+'Evolutive SFP'!AE35+'Evolutive SFP'!AE36)</f>
        <v>0.45500038454334329</v>
      </c>
      <c r="AH12" s="130">
        <f>('Evolutive SFP'!AF4)/('Evolutive SFP'!AF28+'Evolutive SFP'!AF29+'Evolutive SFP'!AF32+'Evolutive SFP'!AF33+'Evolutive SFP'!AF34+'Evolutive SFP'!AF35+'Evolutive SFP'!AF36)</f>
        <v>0.43930510149956142</v>
      </c>
      <c r="AI12" s="130">
        <f>('Evolutive SFP'!AG4)/('Evolutive SFP'!AG28+'Evolutive SFP'!AG29+'Evolutive SFP'!AG32+'Evolutive SFP'!AG33+'Evolutive SFP'!AG34+'Evolutive SFP'!AG35+'Evolutive SFP'!AG36)</f>
        <v>0.49312997603665926</v>
      </c>
      <c r="AJ12" s="130">
        <f>('Evolutive SFP'!AH4)/('Evolutive SFP'!AH28+'Evolutive SFP'!AH29+'Evolutive SFP'!AH32+'Evolutive SFP'!AH33+'Evolutive SFP'!AH34+'Evolutive SFP'!AH35+'Evolutive SFP'!AH36)</f>
        <v>0.73160216660047306</v>
      </c>
      <c r="AK12" s="130">
        <f>('Evolutive SFP'!AI4)/('Evolutive SFP'!AI28+'Evolutive SFP'!AI29+'Evolutive SFP'!AI32+'Evolutive SFP'!AI33+'Evolutive SFP'!AI34+'Evolutive SFP'!AI35+'Evolutive SFP'!AI36)</f>
        <v>0.6771283192556532</v>
      </c>
      <c r="AL12" s="130">
        <f>('Evolutive SFP'!AJ4)/('Evolutive SFP'!AJ28+'Evolutive SFP'!AJ29+'Evolutive SFP'!AJ32+'Evolutive SFP'!AJ33+'Evolutive SFP'!AJ34+'Evolutive SFP'!AJ35+'Evolutive SFP'!AJ36)</f>
        <v>0.63184731166748787</v>
      </c>
      <c r="AM12" s="130">
        <f>('Evolutive SFP'!AK4)/('Evolutive SFP'!AK28+'Evolutive SFP'!AK29+'Evolutive SFP'!AK32+'Evolutive SFP'!AK33+'Evolutive SFP'!AK34+'Evolutive SFP'!AK35+'Evolutive SFP'!AK36)</f>
        <v>0.63746843636485018</v>
      </c>
      <c r="AN12" s="130">
        <f>('Evolutive SFP'!AL4)/('Evolutive SFP'!AL28+'Evolutive SFP'!AL29+'Evolutive SFP'!AL32+'Evolutive SFP'!AL33+'Evolutive SFP'!AL34+'Evolutive SFP'!AL35+'Evolutive SFP'!AL36)</f>
        <v>0.62225764435419761</v>
      </c>
      <c r="AO12" s="130">
        <f>('Evolutive SFP'!AM4)/('Evolutive SFP'!AM28+'Evolutive SFP'!AM29+'Evolutive SFP'!AM32+'Evolutive SFP'!AM33+'Evolutive SFP'!AM34+'Evolutive SFP'!AM35+'Evolutive SFP'!AM36)</f>
        <v>0.58807940835452543</v>
      </c>
      <c r="AP12" s="130">
        <f>('Evolutive SFP'!AN4)/('Evolutive SFP'!AN28+'Evolutive SFP'!AN29+'Evolutive SFP'!AN32+'Evolutive SFP'!AN33+'Evolutive SFP'!AN34+'Evolutive SFP'!AN35+'Evolutive SFP'!AN36)</f>
        <v>0.55167650179203676</v>
      </c>
      <c r="AQ12" s="130">
        <f>('Evolutive SFP'!AO4)/('Evolutive SFP'!AO28+'Evolutive SFP'!AO29+'Evolutive SFP'!AO32+'Evolutive SFP'!AO33+'Evolutive SFP'!AO34+'Evolutive SFP'!AO35+'Evolutive SFP'!AO36)</f>
        <v>0.62062853769955095</v>
      </c>
    </row>
    <row r="13" spans="1:43" ht="15">
      <c r="A13" s="246"/>
      <c r="B13" s="127" t="s">
        <v>122</v>
      </c>
      <c r="C13" s="134"/>
      <c r="D13" s="130">
        <f>'Evolutive SFP'!C4/('Evolutive SFP'!C31+'Evolutive SFP'!C36)</f>
        <v>0.4195777000962792</v>
      </c>
      <c r="E13" s="130">
        <f>'Evolutive SFP'!D4/('Evolutive SFP'!D31+'Evolutive SFP'!D36)</f>
        <v>0.40080983266855824</v>
      </c>
      <c r="F13" s="130">
        <f>'Evolutive SFP'!E4/('Evolutive SFP'!E31+'Evolutive SFP'!E36)</f>
        <v>0.41098467307427661</v>
      </c>
      <c r="G13" s="130">
        <f>'Evolutive SFP'!F4/('Evolutive SFP'!F31+'Evolutive SFP'!F36)</f>
        <v>0.41937015554449664</v>
      </c>
      <c r="H13" s="130">
        <f>'Evolutive SFP'!G4/('Evolutive SFP'!G31+'Evolutive SFP'!G36)</f>
        <v>0.41228467449434897</v>
      </c>
      <c r="I13" s="130">
        <f>'Evolutive SFP'!H4/('Evolutive SFP'!H31+'Evolutive SFP'!H36)</f>
        <v>0.44209005148348629</v>
      </c>
      <c r="J13" s="130">
        <f>'Evolutive SFP'!I4/('Evolutive SFP'!I31+'Evolutive SFP'!I36)</f>
        <v>0.37341613503729376</v>
      </c>
      <c r="K13" s="130">
        <f>'Evolutive SFP'!J4/('Evolutive SFP'!J31+'Evolutive SFP'!J36)</f>
        <v>0.37533516874447365</v>
      </c>
      <c r="L13" s="130">
        <f>'Evolutive SFP'!K4/('Evolutive SFP'!K31+'Evolutive SFP'!K36)</f>
        <v>0.63759660805752372</v>
      </c>
      <c r="M13" s="130">
        <f>'Evolutive SFP'!L4/('Evolutive SFP'!L31+'Evolutive SFP'!L36)</f>
        <v>0.5369524676102474</v>
      </c>
      <c r="N13" s="130">
        <f>'Evolutive SFP'!M4/('Evolutive SFP'!M31+'Evolutive SFP'!M36)</f>
        <v>0.47251556170219217</v>
      </c>
      <c r="O13" s="130">
        <f>'Evolutive SFP'!N4/('Evolutive SFP'!N31+'Evolutive SFP'!N36)</f>
        <v>0.45296021082136773</v>
      </c>
      <c r="P13" s="130">
        <f>'Evolutive SFP'!O4/('Evolutive SFP'!O31+'Evolutive SFP'!O36)</f>
        <v>0.4721469312439987</v>
      </c>
      <c r="Q13" s="130">
        <f>'Evolutive SFP'!P4/('Evolutive SFP'!P31+'Evolutive SFP'!P36)</f>
        <v>0.51202344249144371</v>
      </c>
      <c r="R13" s="130">
        <f>'Evolutive SFP'!Q4/('Evolutive SFP'!Q31+'Evolutive SFP'!Q36)</f>
        <v>0.42552072264542068</v>
      </c>
      <c r="S13" s="130">
        <f>'Evolutive SFP'!R4/('Evolutive SFP'!R31+'Evolutive SFP'!R36)</f>
        <v>0.47606930483268139</v>
      </c>
      <c r="T13" s="130">
        <f>'Evolutive SFP'!S4/('Evolutive SFP'!S31+'Evolutive SFP'!S36)</f>
        <v>0.37714946488185264</v>
      </c>
      <c r="U13" s="130">
        <f>'Evolutive SFP'!T4/('Evolutive SFP'!T31+'Evolutive SFP'!T36)</f>
        <v>0.3546556235875209</v>
      </c>
      <c r="V13" s="130">
        <f>'Evolutive SFP'!U4/('Evolutive SFP'!U31+'Evolutive SFP'!U36)</f>
        <v>0.33830580866720861</v>
      </c>
      <c r="W13" s="130" t="e">
        <f>'Evolutive SFP'!V4/('Evolutive SFP'!V31+'Evolutive SFP'!V36)</f>
        <v>#DIV/0!</v>
      </c>
      <c r="X13" s="130" t="e">
        <f>'Evolutive SFP'!W4/('Evolutive SFP'!W31+'Evolutive SFP'!W36)</f>
        <v>#DIV/0!</v>
      </c>
      <c r="Y13" s="130" t="e">
        <f>'Evolutive SFP'!X4/('Evolutive SFP'!X31+'Evolutive SFP'!X36)</f>
        <v>#DIV/0!</v>
      </c>
      <c r="Z13" s="130" t="e">
        <f>'Evolutive SFP'!Y4/('Evolutive SFP'!Y31+'Evolutive SFP'!Y36)</f>
        <v>#DIV/0!</v>
      </c>
      <c r="AA13" s="130" t="e">
        <f>'Evolutive SFP'!Z4/('Evolutive SFP'!Z31+'Evolutive SFP'!Z36)</f>
        <v>#DIV/0!</v>
      </c>
      <c r="AB13" s="130">
        <f>'Evolutive SFP'!AA4/('Evolutive SFP'!AA31+'Evolutive SFP'!AA36)</f>
        <v>0.27275436819275717</v>
      </c>
      <c r="AC13" s="130">
        <f>'Evolutive SFP'!AB4/('Evolutive SFP'!AB31+'Evolutive SFP'!AB36)</f>
        <v>0.27131158536811278</v>
      </c>
      <c r="AD13" s="130">
        <f>'Evolutive SFP'!AB4/('Evolutive SFP'!AB31+'Evolutive SFP'!AB36)</f>
        <v>0.27131158536811278</v>
      </c>
      <c r="AE13" s="130">
        <f>'Evolutive SFP'!AC4/('Evolutive SFP'!AC31+'Evolutive SFP'!AC36)</f>
        <v>0.28870653561694787</v>
      </c>
      <c r="AF13" s="130">
        <f>'Evolutive SFP'!AD4/('Evolutive SFP'!AD31+'Evolutive SFP'!AD36)</f>
        <v>0.26879510956204561</v>
      </c>
      <c r="AG13" s="130">
        <f>'Evolutive SFP'!AE4/('Evolutive SFP'!AE31+'Evolutive SFP'!AE36)</f>
        <v>0.28124451660502137</v>
      </c>
      <c r="AH13" s="130">
        <f>'Evolutive SFP'!AF4/('Evolutive SFP'!AF31+'Evolutive SFP'!AF36)</f>
        <v>0.27090116952108512</v>
      </c>
      <c r="AI13" s="130">
        <f>'Evolutive SFP'!AG4/('Evolutive SFP'!AG31+'Evolutive SFP'!AG36)</f>
        <v>0.29790764047174445</v>
      </c>
      <c r="AJ13" s="130">
        <f>'Evolutive SFP'!AH4/('Evolutive SFP'!AH31+'Evolutive SFP'!AH36)</f>
        <v>0.50794182751663131</v>
      </c>
      <c r="AK13" s="130">
        <f>'Evolutive SFP'!AI4/('Evolutive SFP'!AI31+'Evolutive SFP'!AI36)</f>
        <v>0.44462195840108254</v>
      </c>
      <c r="AL13" s="130">
        <f>'Evolutive SFP'!AJ4/('Evolutive SFP'!AJ31+'Evolutive SFP'!AJ36)</f>
        <v>0.403927008488355</v>
      </c>
      <c r="AM13" s="130">
        <f>'Evolutive SFP'!AK4/('Evolutive SFP'!AK31+'Evolutive SFP'!AK36)</f>
        <v>0.41024579039097708</v>
      </c>
      <c r="AN13" s="130">
        <f>'Evolutive SFP'!AL4/('Evolutive SFP'!AL31+'Evolutive SFP'!AL36)</f>
        <v>0.39572050350282245</v>
      </c>
      <c r="AO13" s="130">
        <f>'Evolutive SFP'!AM4/('Evolutive SFP'!AM31+'Evolutive SFP'!AM36)</f>
        <v>0.35910945464961641</v>
      </c>
      <c r="AP13" s="130">
        <f>'Evolutive SFP'!AN4/('Evolutive SFP'!AN31+'Evolutive SFP'!AN36)</f>
        <v>0.35977775889536234</v>
      </c>
      <c r="AQ13" s="130">
        <f>'Evolutive SFP'!AO4/('Evolutive SFP'!AO31+'Evolutive SFP'!AO36)</f>
        <v>0.37312001121285149</v>
      </c>
    </row>
    <row r="14" spans="1:43" ht="15">
      <c r="A14" s="246"/>
      <c r="B14" s="127" t="s">
        <v>123</v>
      </c>
      <c r="C14" s="128" t="s">
        <v>124</v>
      </c>
      <c r="D14" s="130">
        <f>'Evolutive SFP'!C37/'Evolutive SFP'!C27</f>
        <v>0</v>
      </c>
      <c r="E14" s="130">
        <f>'Evolutive SFP'!D37/'Evolutive SFP'!D27</f>
        <v>0</v>
      </c>
      <c r="F14" s="130">
        <f>'Evolutive SFP'!E37/'Evolutive SFP'!E27</f>
        <v>0</v>
      </c>
      <c r="G14" s="130">
        <f>'Evolutive SFP'!F37/'Evolutive SFP'!F27</f>
        <v>0</v>
      </c>
      <c r="H14" s="130">
        <f>'Evolutive SFP'!G37/'Evolutive SFP'!G27</f>
        <v>0</v>
      </c>
      <c r="I14" s="130">
        <f>'Evolutive SFP'!H37/'Evolutive SFP'!H27</f>
        <v>0</v>
      </c>
      <c r="J14" s="130">
        <f>'Evolutive SFP'!I37/'Evolutive SFP'!I27</f>
        <v>0</v>
      </c>
      <c r="K14" s="130">
        <f>'Evolutive SFP'!J37/'Evolutive SFP'!J27</f>
        <v>0</v>
      </c>
      <c r="L14" s="130">
        <f>'Evolutive SFP'!K37/'Evolutive SFP'!K27</f>
        <v>0</v>
      </c>
      <c r="M14" s="130">
        <f>'Evolutive SFP'!L37/'Evolutive SFP'!L27</f>
        <v>0</v>
      </c>
      <c r="N14" s="130">
        <f>'Evolutive SFP'!M37/'Evolutive SFP'!M27</f>
        <v>0</v>
      </c>
      <c r="O14" s="130">
        <f>'Evolutive SFP'!N37/'Evolutive SFP'!N27</f>
        <v>0</v>
      </c>
      <c r="P14" s="130">
        <f>'Evolutive SFP'!O37/'Evolutive SFP'!O27</f>
        <v>0</v>
      </c>
      <c r="Q14" s="130">
        <f>'Evolutive SFP'!P37/'Evolutive SFP'!P27</f>
        <v>0</v>
      </c>
      <c r="R14" s="130">
        <f>'Evolutive SFP'!Q37/'Evolutive SFP'!Q27</f>
        <v>0</v>
      </c>
      <c r="S14" s="130">
        <f>'Evolutive SFP'!R37/'Evolutive SFP'!R27</f>
        <v>0</v>
      </c>
      <c r="T14" s="130">
        <f>'Evolutive SFP'!S37/'Evolutive SFP'!S27</f>
        <v>0</v>
      </c>
      <c r="U14" s="130">
        <f>'Evolutive SFP'!T37/'Evolutive SFP'!T27</f>
        <v>0</v>
      </c>
      <c r="V14" s="130">
        <f>'Evolutive SFP'!U37/'Evolutive SFP'!U27</f>
        <v>0</v>
      </c>
      <c r="W14" s="130" t="e">
        <f>'Evolutive SFP'!V37/'Evolutive SFP'!V27</f>
        <v>#DIV/0!</v>
      </c>
      <c r="X14" s="130" t="e">
        <f>'Evolutive SFP'!W37/'Evolutive SFP'!W27</f>
        <v>#DIV/0!</v>
      </c>
      <c r="Y14" s="130" t="e">
        <f>'Evolutive SFP'!X37/'Evolutive SFP'!X27</f>
        <v>#DIV/0!</v>
      </c>
      <c r="Z14" s="130" t="e">
        <f>'Evolutive SFP'!Y37/'Evolutive SFP'!Y27</f>
        <v>#DIV/0!</v>
      </c>
      <c r="AA14" s="130" t="e">
        <f>'Evolutive SFP'!Z37/'Evolutive SFP'!Z27</f>
        <v>#DIV/0!</v>
      </c>
      <c r="AB14" s="130">
        <f>'Evolutive SFP'!AA37/'Evolutive SFP'!AA27</f>
        <v>0</v>
      </c>
      <c r="AC14" s="130">
        <f>'Evolutive SFP'!AB37/'Evolutive SFP'!AB27</f>
        <v>0</v>
      </c>
      <c r="AD14" s="130">
        <f>'Evolutive SFP'!AB37/'Evolutive SFP'!AB27</f>
        <v>0</v>
      </c>
      <c r="AE14" s="130">
        <f>'Evolutive SFP'!AC37/'Evolutive SFP'!AC27</f>
        <v>0</v>
      </c>
      <c r="AF14" s="130">
        <f>'Evolutive SFP'!AD37/'Evolutive SFP'!AD27</f>
        <v>0</v>
      </c>
      <c r="AG14" s="130">
        <f>'Evolutive SFP'!AE37/'Evolutive SFP'!AE27</f>
        <v>0</v>
      </c>
      <c r="AH14" s="130">
        <f>'Evolutive SFP'!AF37/'Evolutive SFP'!AF27</f>
        <v>0</v>
      </c>
      <c r="AI14" s="130">
        <f>'Evolutive SFP'!AG37/'Evolutive SFP'!AG27</f>
        <v>0</v>
      </c>
      <c r="AJ14" s="130">
        <f>'Evolutive SFP'!AH37/'Evolutive SFP'!AH27</f>
        <v>0</v>
      </c>
      <c r="AK14" s="130">
        <f>'Evolutive SFP'!AI37/'Evolutive SFP'!AI27</f>
        <v>0</v>
      </c>
      <c r="AL14" s="130">
        <f>'Evolutive SFP'!AJ37/'Evolutive SFP'!AJ27</f>
        <v>0</v>
      </c>
      <c r="AM14" s="130">
        <f>'Evolutive SFP'!AK37/'Evolutive SFP'!AK27</f>
        <v>0</v>
      </c>
      <c r="AN14" s="130">
        <f>'Evolutive SFP'!AL37/'Evolutive SFP'!AL27</f>
        <v>0</v>
      </c>
      <c r="AO14" s="130">
        <f>'Evolutive SFP'!AM37/'Evolutive SFP'!AM27</f>
        <v>0</v>
      </c>
      <c r="AP14" s="130">
        <f>'Evolutive SFP'!AN37/'Evolutive SFP'!AN27</f>
        <v>0</v>
      </c>
      <c r="AQ14" s="130">
        <f>'Evolutive SFP'!AO37/'Evolutive SFP'!AO27</f>
        <v>0</v>
      </c>
    </row>
    <row r="15" spans="1:43" ht="15">
      <c r="A15" s="246"/>
      <c r="B15" s="127" t="s">
        <v>125</v>
      </c>
      <c r="C15" s="128"/>
      <c r="D15" s="130">
        <f>'Evolutive SFP'!C4/'Evolutive SFP'!C27</f>
        <v>0.33314126991414411</v>
      </c>
      <c r="E15" s="130">
        <f>'Evolutive SFP'!D4/'Evolutive SFP'!D27</f>
        <v>0.3212020109475745</v>
      </c>
      <c r="F15" s="130">
        <f>'Evolutive SFP'!E4/'Evolutive SFP'!E27</f>
        <v>0.33156039332613679</v>
      </c>
      <c r="G15" s="130">
        <f>'Evolutive SFP'!F4/'Evolutive SFP'!F27</f>
        <v>0.34243622159404619</v>
      </c>
      <c r="H15" s="130">
        <f>'Evolutive SFP'!G4/'Evolutive SFP'!G27</f>
        <v>0.33417061815628119</v>
      </c>
      <c r="I15" s="130">
        <f>'Evolutive SFP'!H4/'Evolutive SFP'!H27</f>
        <v>0.37199151025874061</v>
      </c>
      <c r="J15" s="130">
        <f>'Evolutive SFP'!I4/'Evolutive SFP'!I27</f>
        <v>0.30652468254476162</v>
      </c>
      <c r="K15" s="130">
        <f>'Evolutive SFP'!J4/'Evolutive SFP'!J27</f>
        <v>0.30060680140446849</v>
      </c>
      <c r="L15" s="130">
        <f>'Evolutive SFP'!K4/'Evolutive SFP'!K27</f>
        <v>0.54352191377401937</v>
      </c>
      <c r="M15" s="130">
        <f>'Evolutive SFP'!L4/'Evolutive SFP'!L27</f>
        <v>0.44274519762343989</v>
      </c>
      <c r="N15" s="130">
        <f>'Evolutive SFP'!M4/'Evolutive SFP'!M27</f>
        <v>0.38758328101382505</v>
      </c>
      <c r="O15" s="130">
        <f>'Evolutive SFP'!N4/'Evolutive SFP'!N27</f>
        <v>0.35331286366270748</v>
      </c>
      <c r="P15" s="130">
        <f>'Evolutive SFP'!O4/'Evolutive SFP'!O27</f>
        <v>0.39228075659116202</v>
      </c>
      <c r="Q15" s="130">
        <f>'Evolutive SFP'!P4/'Evolutive SFP'!P27</f>
        <v>0.42252951500550834</v>
      </c>
      <c r="R15" s="130">
        <f>'Evolutive SFP'!Q4/'Evolutive SFP'!Q27</f>
        <v>0.36163807222446415</v>
      </c>
      <c r="S15" s="130">
        <f>'Evolutive SFP'!R4/'Evolutive SFP'!R27</f>
        <v>0.39610559157925823</v>
      </c>
      <c r="T15" s="130">
        <f>'Evolutive SFP'!S4/'Evolutive SFP'!S27</f>
        <v>0.31457546068954073</v>
      </c>
      <c r="U15" s="130">
        <f>'Evolutive SFP'!T4/'Evolutive SFP'!T27</f>
        <v>0.29323283011166823</v>
      </c>
      <c r="V15" s="130">
        <f>'Evolutive SFP'!U4/'Evolutive SFP'!U27</f>
        <v>0.28029204973314131</v>
      </c>
      <c r="W15" s="130" t="e">
        <f>'Evolutive SFP'!V4/'Evolutive SFP'!V27</f>
        <v>#DIV/0!</v>
      </c>
      <c r="X15" s="130" t="e">
        <f>'Evolutive SFP'!W4/'Evolutive SFP'!W27</f>
        <v>#DIV/0!</v>
      </c>
      <c r="Y15" s="130" t="e">
        <f>'Evolutive SFP'!X4/'Evolutive SFP'!X27</f>
        <v>#DIV/0!</v>
      </c>
      <c r="Z15" s="130" t="e">
        <f>'Evolutive SFP'!Y4/'Evolutive SFP'!Y27</f>
        <v>#DIV/0!</v>
      </c>
      <c r="AA15" s="130" t="e">
        <f>'Evolutive SFP'!Z4/'Evolutive SFP'!Z27</f>
        <v>#DIV/0!</v>
      </c>
      <c r="AB15" s="130">
        <f>'Evolutive SFP'!AA4/'Evolutive SFP'!AA27</f>
        <v>0.21443807707733173</v>
      </c>
      <c r="AC15" s="130">
        <f>'Evolutive SFP'!AB4/'Evolutive SFP'!AB27</f>
        <v>0.20287536665486158</v>
      </c>
      <c r="AD15" s="130">
        <f>'Evolutive SFP'!AB4/'Evolutive SFP'!AB27</f>
        <v>0.20287536665486158</v>
      </c>
      <c r="AE15" s="130">
        <f>'Evolutive SFP'!AC4/'Evolutive SFP'!AC27</f>
        <v>0.22014489187956621</v>
      </c>
      <c r="AF15" s="130">
        <f>'Evolutive SFP'!AD4/'Evolutive SFP'!AD27</f>
        <v>0.20463514641089983</v>
      </c>
      <c r="AG15" s="130">
        <f>'Evolutive SFP'!AE4/'Evolutive SFP'!AE27</f>
        <v>0.21428380151429571</v>
      </c>
      <c r="AH15" s="130">
        <f>'Evolutive SFP'!AF4/'Evolutive SFP'!AF27</f>
        <v>0.20546712505451517</v>
      </c>
      <c r="AI15" s="130">
        <f>'Evolutive SFP'!AG4/'Evolutive SFP'!AG27</f>
        <v>0.22229123368036718</v>
      </c>
      <c r="AJ15" s="130">
        <f>'Evolutive SFP'!AH4/'Evolutive SFP'!AH27</f>
        <v>0.39703465910768804</v>
      </c>
      <c r="AK15" s="130">
        <f>'Evolutive SFP'!AI4/'Evolutive SFP'!AI27</f>
        <v>0.33814314612198498</v>
      </c>
      <c r="AL15" s="130">
        <f>'Evolutive SFP'!AJ4/'Evolutive SFP'!AJ27</f>
        <v>0.30318992349276902</v>
      </c>
      <c r="AM15" s="130">
        <f>'Evolutive SFP'!AK4/'Evolutive SFP'!AK27</f>
        <v>0.30876645139465486</v>
      </c>
      <c r="AN15" s="130">
        <f>'Evolutive SFP'!AL4/'Evolutive SFP'!AL27</f>
        <v>0.29570217530762893</v>
      </c>
      <c r="AO15" s="130">
        <f>'Evolutive SFP'!AM4/'Evolutive SFP'!AM27</f>
        <v>0.26455263452196831</v>
      </c>
      <c r="AP15" s="130">
        <f>'Evolutive SFP'!AN4/'Evolutive SFP'!AN27</f>
        <v>0.26455263506622001</v>
      </c>
      <c r="AQ15" s="130">
        <f>'Evolutive SFP'!AO4/'Evolutive SFP'!AO27</f>
        <v>0.27511731640457937</v>
      </c>
    </row>
    <row r="16" spans="1:43" ht="15">
      <c r="A16" s="246" t="s">
        <v>126</v>
      </c>
      <c r="B16" s="127" t="s">
        <v>127</v>
      </c>
      <c r="C16" s="128" t="s">
        <v>128</v>
      </c>
      <c r="D16" s="130">
        <f>('Evolutive SFP'!C7+'Evolutive SFP'!C21)/'Evolutive SFP'!C27</f>
        <v>0.10743525438635601</v>
      </c>
      <c r="E16" s="130">
        <f>('Evolutive SFP'!D7+'Evolutive SFP'!D21)/'Evolutive SFP'!D27</f>
        <v>0.11235774844393781</v>
      </c>
      <c r="F16" s="130">
        <f>('Evolutive SFP'!E7+'Evolutive SFP'!E21)/'Evolutive SFP'!E27</f>
        <v>0.11130129744098775</v>
      </c>
      <c r="G16" s="130">
        <f>('Evolutive SFP'!F7+'Evolutive SFP'!F21)/'Evolutive SFP'!F27</f>
        <v>0.108788204681522</v>
      </c>
      <c r="H16" s="130">
        <f>('Evolutive SFP'!G7+'Evolutive SFP'!G21)/'Evolutive SFP'!G27</f>
        <v>0.10855874895364878</v>
      </c>
      <c r="I16" s="130">
        <f>('Evolutive SFP'!H7+'Evolutive SFP'!H21)/'Evolutive SFP'!H27</f>
        <v>0.11921965166008501</v>
      </c>
      <c r="J16" s="130">
        <f>('Evolutive SFP'!I7+'Evolutive SFP'!I21)/'Evolutive SFP'!I27</f>
        <v>0.13669112506215342</v>
      </c>
      <c r="K16" s="130">
        <f>('Evolutive SFP'!J7+'Evolutive SFP'!J21)/'Evolutive SFP'!J27</f>
        <v>0.13328389239835906</v>
      </c>
      <c r="L16" s="130">
        <f>('Evolutive SFP'!K7+'Evolutive SFP'!K21)/'Evolutive SFP'!K27</f>
        <v>9.5087269317996811E-2</v>
      </c>
      <c r="M16" s="130">
        <f>('Evolutive SFP'!L7+'Evolutive SFP'!L21)/'Evolutive SFP'!L27</f>
        <v>0.11561767033377869</v>
      </c>
      <c r="N16" s="130">
        <f>('Evolutive SFP'!M7+'Evolutive SFP'!M21)/'Evolutive SFP'!M27</f>
        <v>0.12533446353553901</v>
      </c>
      <c r="O16" s="130">
        <f>('Evolutive SFP'!N7+'Evolutive SFP'!N21)/'Evolutive SFP'!N27</f>
        <v>0.2026730747038947</v>
      </c>
      <c r="P16" s="130">
        <f>('Evolutive SFP'!O7+'Evolutive SFP'!O21)/'Evolutive SFP'!O27</f>
        <v>0.12332734689429127</v>
      </c>
      <c r="Q16" s="130">
        <f>('Evolutive SFP'!P7+'Evolutive SFP'!P21)/'Evolutive SFP'!P27</f>
        <v>0.11425653487326901</v>
      </c>
      <c r="R16" s="130">
        <f>('Evolutive SFP'!Q7+'Evolutive SFP'!Q21)/'Evolutive SFP'!Q27</f>
        <v>0.12746718307894217</v>
      </c>
      <c r="S16" s="130">
        <f>('Evolutive SFP'!R7+'Evolutive SFP'!R21)/'Evolutive SFP'!R27</f>
        <v>0.11840716304820365</v>
      </c>
      <c r="T16" s="130">
        <f>('Evolutive SFP'!S7+'Evolutive SFP'!S21)/'Evolutive SFP'!S27</f>
        <v>0.12497500924740049</v>
      </c>
      <c r="U16" s="130">
        <f>('Evolutive SFP'!T7+'Evolutive SFP'!T21)/'Evolutive SFP'!T27</f>
        <v>0.12412897812261575</v>
      </c>
      <c r="V16" s="130">
        <f>('Evolutive SFP'!U7+'Evolutive SFP'!U21)/'Evolutive SFP'!U27</f>
        <v>0.1214244177276726</v>
      </c>
      <c r="W16" s="130" t="e">
        <f>('Evolutive SFP'!V7+'Evolutive SFP'!V21)/'Evolutive SFP'!V27</f>
        <v>#DIV/0!</v>
      </c>
      <c r="X16" s="130" t="e">
        <f>('Evolutive SFP'!W7+'Evolutive SFP'!W21)/'Evolutive SFP'!W27</f>
        <v>#DIV/0!</v>
      </c>
      <c r="Y16" s="130" t="e">
        <f>('Evolutive SFP'!X7+'Evolutive SFP'!X21)/'Evolutive SFP'!X27</f>
        <v>#DIV/0!</v>
      </c>
      <c r="Z16" s="130" t="e">
        <f>('Evolutive SFP'!Y7+'Evolutive SFP'!Y21)/'Evolutive SFP'!Y27</f>
        <v>#DIV/0!</v>
      </c>
      <c r="AA16" s="130" t="e">
        <f>('Evolutive SFP'!Z7+'Evolutive SFP'!Z21)/'Evolutive SFP'!Z27</f>
        <v>#DIV/0!</v>
      </c>
      <c r="AB16" s="130">
        <f>('Evolutive SFP'!AA7+'Evolutive SFP'!AA21)/'Evolutive SFP'!AA27</f>
        <v>0.18347214990916005</v>
      </c>
      <c r="AC16" s="130"/>
      <c r="AD16" s="130">
        <f>('Evolutive SFP'!AB7+'Evolutive SFP'!AB21)/'Evolutive SFP'!AB27</f>
        <v>0.17440708213723047</v>
      </c>
      <c r="AE16" s="130">
        <f>('Evolutive SFP'!AC7+'Evolutive SFP'!AC21)/'Evolutive SFP'!AC27</f>
        <v>0.17857878218034892</v>
      </c>
      <c r="AF16" s="130">
        <f>('Evolutive SFP'!AD7+'Evolutive SFP'!AD21)/'Evolutive SFP'!AD27</f>
        <v>0.19505610727871367</v>
      </c>
      <c r="AG16" s="130">
        <f>('Evolutive SFP'!AE7+'Evolutive SFP'!AE21)/'Evolutive SFP'!AE27</f>
        <v>0.19727776208581996</v>
      </c>
      <c r="AH16" s="130">
        <f>('Evolutive SFP'!AF7+'Evolutive SFP'!AF21)/'Evolutive SFP'!AF27</f>
        <v>0.19912440311844423</v>
      </c>
      <c r="AI16" s="130">
        <f>('Evolutive SFP'!AG7+'Evolutive SFP'!AG21)/'Evolutive SFP'!AG27</f>
        <v>0.20225082662073257</v>
      </c>
      <c r="AJ16" s="130">
        <f>('Evolutive SFP'!AH7+'Evolutive SFP'!AH21)/'Evolutive SFP'!AH27</f>
        <v>0.1596568615007728</v>
      </c>
      <c r="AK16" s="130">
        <f>('Evolutive SFP'!AI7+'Evolutive SFP'!AI21)/'Evolutive SFP'!AI27</f>
        <v>0.17420365515127381</v>
      </c>
      <c r="AL16" s="130">
        <f>('Evolutive SFP'!AJ7+'Evolutive SFP'!AJ21)/'Evolutive SFP'!AJ27</f>
        <v>0.1780823806107556</v>
      </c>
      <c r="AM16" s="130">
        <f>('Evolutive SFP'!AK7+'Evolutive SFP'!AK21)/'Evolutive SFP'!AK27</f>
        <v>0.17280267039607378</v>
      </c>
      <c r="AN16" s="130">
        <f>('Evolutive SFP'!AL7+'Evolutive SFP'!AL21)/'Evolutive SFP'!AL27</f>
        <v>0.15647998438783731</v>
      </c>
      <c r="AO16" s="130">
        <f>('Evolutive SFP'!AM7+'Evolutive SFP'!AM21)/'Evolutive SFP'!AM27</f>
        <v>0.17178669786935988</v>
      </c>
      <c r="AP16" s="130">
        <f>('Evolutive SFP'!AN7+'Evolutive SFP'!AN21)/'Evolutive SFP'!AN27</f>
        <v>0.17178669651706477</v>
      </c>
      <c r="AQ16" s="130">
        <f>('Evolutive SFP'!AO7+'Evolutive SFP'!AO21)/'Evolutive SFP'!AO27</f>
        <v>0.17510552168664625</v>
      </c>
    </row>
    <row r="17" spans="1:43" ht="15">
      <c r="A17" s="246"/>
      <c r="B17" s="127" t="s">
        <v>129</v>
      </c>
      <c r="C17" s="128" t="s">
        <v>130</v>
      </c>
      <c r="D17" s="130">
        <f>'Evolutive SFP'!C21/'Evolutive SFP'!C27</f>
        <v>0.10196776505027426</v>
      </c>
      <c r="E17" s="130">
        <f>'Evolutive SFP'!D21/'Evolutive SFP'!D27</f>
        <v>0.10619304044366036</v>
      </c>
      <c r="F17" s="130">
        <f>'Evolutive SFP'!E21/'Evolutive SFP'!E27</f>
        <v>0.10562867786433752</v>
      </c>
      <c r="G17" s="130">
        <f>'Evolutive SFP'!F21/'Evolutive SFP'!F27</f>
        <v>0.1037553988332387</v>
      </c>
      <c r="H17" s="130">
        <f>'Evolutive SFP'!G21/'Evolutive SFP'!G27</f>
        <v>0.10397916546754893</v>
      </c>
      <c r="I17" s="130">
        <f>'Evolutive SFP'!H21/'Evolutive SFP'!H27</f>
        <v>0.11410989380379927</v>
      </c>
      <c r="J17" s="130">
        <f>'Evolutive SFP'!I21/'Evolutive SFP'!I27</f>
        <v>0.13086244624437282</v>
      </c>
      <c r="K17" s="130">
        <f>'Evolutive SFP'!J21/'Evolutive SFP'!J27</f>
        <v>0.12801779168870622</v>
      </c>
      <c r="L17" s="130">
        <f>'Evolutive SFP'!K21/'Evolutive SFP'!K27</f>
        <v>9.1687542925482077E-2</v>
      </c>
      <c r="M17" s="130">
        <f>'Evolutive SFP'!L21/'Evolutive SFP'!L27</f>
        <v>0.11075378663570454</v>
      </c>
      <c r="N17" s="130">
        <f>'Evolutive SFP'!M21/'Evolutive SFP'!M27</f>
        <v>0.11984517142086132</v>
      </c>
      <c r="O17" s="130">
        <f>'Evolutive SFP'!N21/'Evolutive SFP'!N27</f>
        <v>0.12743084885553604</v>
      </c>
      <c r="P17" s="130">
        <f>'Evolutive SFP'!O21/'Evolutive SFP'!O27</f>
        <v>0.1182887604947979</v>
      </c>
      <c r="Q17" s="130">
        <f>'Evolutive SFP'!P21/'Evolutive SFP'!P27</f>
        <v>0.10913712651911814</v>
      </c>
      <c r="R17" s="130">
        <f>'Evolutive SFP'!Q21/'Evolutive SFP'!Q27</f>
        <v>0.12063851196807752</v>
      </c>
      <c r="S17" s="130">
        <f>'Evolutive SFP'!R21/'Evolutive SFP'!R27</f>
        <v>0.11252162355615468</v>
      </c>
      <c r="T17" s="130">
        <f>'Evolutive SFP'!S21/'Evolutive SFP'!S27</f>
        <v>0.11918578218783911</v>
      </c>
      <c r="U17" s="130">
        <f>'Evolutive SFP'!T21/'Evolutive SFP'!T27</f>
        <v>0.11876566208419871</v>
      </c>
      <c r="V17" s="130">
        <f>'Evolutive SFP'!U21/'Evolutive SFP'!U27</f>
        <v>0.11658168014821463</v>
      </c>
      <c r="W17" s="130" t="e">
        <f>'Evolutive SFP'!V21/'Evolutive SFP'!V27</f>
        <v>#DIV/0!</v>
      </c>
      <c r="X17" s="130" t="e">
        <f>'Evolutive SFP'!W21/'Evolutive SFP'!W27</f>
        <v>#DIV/0!</v>
      </c>
      <c r="Y17" s="130" t="e">
        <f>'Evolutive SFP'!X21/'Evolutive SFP'!X27</f>
        <v>#DIV/0!</v>
      </c>
      <c r="Z17" s="130" t="e">
        <f>'Evolutive SFP'!Y21/'Evolutive SFP'!Y27</f>
        <v>#DIV/0!</v>
      </c>
      <c r="AA17" s="130" t="e">
        <f>'Evolutive SFP'!Z21/'Evolutive SFP'!Z27</f>
        <v>#DIV/0!</v>
      </c>
      <c r="AB17" s="130">
        <f>'Evolutive SFP'!AA21/'Evolutive SFP'!AA27</f>
        <v>0.12376095365061689</v>
      </c>
      <c r="AC17" s="130"/>
      <c r="AD17" s="130">
        <f>'Evolutive SFP'!AB21/'Evolutive SFP'!AB27</f>
        <v>0.17073675324287452</v>
      </c>
      <c r="AE17" s="130">
        <f>'Evolutive SFP'!AC21/'Evolutive SFP'!AC27</f>
        <v>0.17416227587685301</v>
      </c>
      <c r="AF17" s="130">
        <f>'Evolutive SFP'!AD21/'Evolutive SFP'!AD27</f>
        <v>0.1909510700057315</v>
      </c>
      <c r="AG17" s="130">
        <f>'Evolutive SFP'!AE21/'Evolutive SFP'!AE27</f>
        <v>0.1929422361182897</v>
      </c>
      <c r="AH17" s="130">
        <f>'Evolutive SFP'!AF21/'Evolutive SFP'!AF27</f>
        <v>0.1947803539530244</v>
      </c>
      <c r="AI17" s="130">
        <f>'Evolutive SFP'!AG21/'Evolutive SFP'!AG27</f>
        <v>0.19814987319324309</v>
      </c>
      <c r="AJ17" s="130">
        <f>'Evolutive SFP'!AH21/'Evolutive SFP'!AH27</f>
        <v>0.1564176209591987</v>
      </c>
      <c r="AK17" s="130">
        <f>'Evolutive SFP'!AI21/'Evolutive SFP'!AI27</f>
        <v>0.17070340314033561</v>
      </c>
      <c r="AL17" s="130">
        <f>'Evolutive SFP'!AJ21/'Evolutive SFP'!AJ27</f>
        <v>0.17390689148615832</v>
      </c>
      <c r="AM17" s="130">
        <f>'Evolutive SFP'!AK21/'Evolutive SFP'!AK27</f>
        <v>0.16750595948502411</v>
      </c>
      <c r="AN17" s="130">
        <f>'Evolutive SFP'!AL21/'Evolutive SFP'!AL27</f>
        <v>0.15093250054488472</v>
      </c>
      <c r="AO17" s="130">
        <f>'Evolutive SFP'!AM21/'Evolutive SFP'!AM27</f>
        <v>0.16654900596824967</v>
      </c>
      <c r="AP17" s="130">
        <f>'Evolutive SFP'!AN21/'Evolutive SFP'!AN27</f>
        <v>0.10668912530230588</v>
      </c>
      <c r="AQ17" s="130">
        <f>'Evolutive SFP'!AO21/'Evolutive SFP'!AO27</f>
        <v>0.17139247319482961</v>
      </c>
    </row>
    <row r="18" spans="1:43" ht="15">
      <c r="A18" s="246"/>
      <c r="B18" s="127" t="s">
        <v>131</v>
      </c>
      <c r="C18" s="128" t="s">
        <v>130</v>
      </c>
      <c r="D18" s="130">
        <f>'Evolutive SFP'!C13/'Evolutive SFP'!C31</f>
        <v>7.1566362554808846E-2</v>
      </c>
      <c r="E18" s="130">
        <f>'Evolutive SFP'!D13/'Evolutive SFP'!D31</f>
        <v>7.3426774467960018E-2</v>
      </c>
      <c r="F18" s="130">
        <f>'Evolutive SFP'!E13/'Evolutive SFP'!E31</f>
        <v>7.4893710728612062E-2</v>
      </c>
      <c r="G18" s="130">
        <f>'Evolutive SFP'!F9/('Evolutive SFP'!F36+'Evolutive SFP'!F41)</f>
        <v>0</v>
      </c>
      <c r="H18" s="130">
        <f>'Evolutive SFP'!G9/('Evolutive SFP'!G36+'Evolutive SFP'!G41)</f>
        <v>0</v>
      </c>
      <c r="I18" s="130">
        <f>'Evolutive SFP'!H9/('Evolutive SFP'!H36+'Evolutive SFP'!H41)</f>
        <v>0</v>
      </c>
      <c r="J18" s="130">
        <f>'Evolutive SFP'!I9/('Evolutive SFP'!I36+'Evolutive SFP'!I41)</f>
        <v>0</v>
      </c>
      <c r="K18" s="130">
        <f>'Evolutive SFP'!J9/('Evolutive SFP'!J36+'Evolutive SFP'!J41)</f>
        <v>0</v>
      </c>
      <c r="L18" s="130">
        <f>'Evolutive SFP'!K9/('Evolutive SFP'!K36+'Evolutive SFP'!K41)</f>
        <v>0</v>
      </c>
      <c r="M18" s="130">
        <f>'Evolutive SFP'!L9/('Evolutive SFP'!L36+'Evolutive SFP'!L41)</f>
        <v>0</v>
      </c>
      <c r="N18" s="130">
        <f>'Evolutive SFP'!M9/('Evolutive SFP'!M36+'Evolutive SFP'!M41)</f>
        <v>0</v>
      </c>
      <c r="O18" s="130">
        <f>'Evolutive SFP'!N9/('Evolutive SFP'!N36+'Evolutive SFP'!N41)</f>
        <v>0</v>
      </c>
      <c r="P18" s="130">
        <f>'Evolutive SFP'!O9/('Evolutive SFP'!O36+'Evolutive SFP'!O41)</f>
        <v>0</v>
      </c>
      <c r="Q18" s="130">
        <f>'Evolutive SFP'!P9/('Evolutive SFP'!P36+'Evolutive SFP'!P41)</f>
        <v>0</v>
      </c>
      <c r="R18" s="130">
        <f>'Evolutive SFP'!Q9/('Evolutive SFP'!Q36+'Evolutive SFP'!Q41)</f>
        <v>0</v>
      </c>
      <c r="S18" s="130">
        <f>'Evolutive SFP'!R9/('Evolutive SFP'!R36+'Evolutive SFP'!R41)</f>
        <v>0</v>
      </c>
      <c r="T18" s="130">
        <f>'Evolutive SFP'!S9/('Evolutive SFP'!S36+'Evolutive SFP'!S41)</f>
        <v>0</v>
      </c>
      <c r="U18" s="130">
        <f>'Evolutive SFP'!T9/('Evolutive SFP'!T36+'Evolutive SFP'!T41)</f>
        <v>0</v>
      </c>
      <c r="V18" s="130">
        <f>'Evolutive SFP'!U9/('Evolutive SFP'!U36+'Evolutive SFP'!U41)</f>
        <v>0</v>
      </c>
      <c r="W18" s="130" t="e">
        <f>'Evolutive SFP'!V9/('Evolutive SFP'!V36+'Evolutive SFP'!V41)</f>
        <v>#DIV/0!</v>
      </c>
      <c r="X18" s="130" t="e">
        <f>'Evolutive SFP'!W9/('Evolutive SFP'!W36+'Evolutive SFP'!W41)</f>
        <v>#DIV/0!</v>
      </c>
      <c r="Y18" s="130" t="e">
        <f>'Evolutive SFP'!X9/('Evolutive SFP'!X36+'Evolutive SFP'!X41)</f>
        <v>#DIV/0!</v>
      </c>
      <c r="Z18" s="130" t="e">
        <f>'Evolutive SFP'!Y9/('Evolutive SFP'!Y36+'Evolutive SFP'!Y41)</f>
        <v>#DIV/0!</v>
      </c>
      <c r="AA18" s="130" t="e">
        <f>'Evolutive SFP'!Z9/('Evolutive SFP'!Z36+'Evolutive SFP'!Z41)</f>
        <v>#DIV/0!</v>
      </c>
      <c r="AB18" s="130">
        <f>'Evolutive SFP'!AA9/('Evolutive SFP'!AA36+'Evolutive SFP'!AA41)</f>
        <v>0</v>
      </c>
      <c r="AC18" s="130"/>
      <c r="AD18" s="130">
        <f>'Evolutive SFP'!AB9/('Evolutive SFP'!AB36+'Evolutive SFP'!AB41)</f>
        <v>0</v>
      </c>
      <c r="AE18" s="130">
        <f>'Evolutive SFP'!AC9/('Evolutive SFP'!AC36+'Evolutive SFP'!AC41)</f>
        <v>0</v>
      </c>
      <c r="AF18" s="130">
        <f>'Evolutive SFP'!AD9/('Evolutive SFP'!AD36+'Evolutive SFP'!AD41)</f>
        <v>0</v>
      </c>
      <c r="AG18" s="130">
        <f>'Evolutive SFP'!AE9/('Evolutive SFP'!AE36+'Evolutive SFP'!AE41)</f>
        <v>0</v>
      </c>
      <c r="AH18" s="130">
        <f>'Evolutive SFP'!AF9/('Evolutive SFP'!AF36+'Evolutive SFP'!AF41)</f>
        <v>0</v>
      </c>
      <c r="AI18" s="130">
        <f>'Evolutive SFP'!AG9/('Evolutive SFP'!AG36+'Evolutive SFP'!AG41)</f>
        <v>0</v>
      </c>
      <c r="AJ18" s="130">
        <f>'Evolutive SFP'!AH9/('Evolutive SFP'!AH36+'Evolutive SFP'!AH41)</f>
        <v>0</v>
      </c>
      <c r="AK18" s="130">
        <f>'Evolutive SFP'!AI9/('Evolutive SFP'!AI36+'Evolutive SFP'!AI41)</f>
        <v>0</v>
      </c>
      <c r="AL18" s="130">
        <f>'Evolutive SFP'!AJ9/('Evolutive SFP'!AJ36+'Evolutive SFP'!AJ41)</f>
        <v>0</v>
      </c>
      <c r="AM18" s="130">
        <f>'Evolutive SFP'!AK9/('Evolutive SFP'!AK36+'Evolutive SFP'!AK41)</f>
        <v>0</v>
      </c>
      <c r="AN18" s="130">
        <f>'Evolutive SFP'!AL9/('Evolutive SFP'!AL36+'Evolutive SFP'!AL41)</f>
        <v>0</v>
      </c>
      <c r="AO18" s="130">
        <f>'Evolutive SFP'!AM9/('Evolutive SFP'!AM36+'Evolutive SFP'!AM41)</f>
        <v>0</v>
      </c>
      <c r="AP18" s="130">
        <f>'Evolutive SFP'!AN9/('Evolutive SFP'!AN36+'Evolutive SFP'!AN41)</f>
        <v>0</v>
      </c>
      <c r="AQ18" s="130">
        <f>'Evolutive SFP'!AO9/('Evolutive SFP'!AO36+'Evolutive SFP'!AO41)</f>
        <v>0</v>
      </c>
    </row>
    <row r="19" spans="1:43" ht="14.45">
      <c r="A19" s="246"/>
      <c r="B19" s="15" t="s">
        <v>132</v>
      </c>
      <c r="C19" s="2" t="s">
        <v>133</v>
      </c>
      <c r="D19" s="130">
        <f>'Evolutive SFP'!C13/(CAELS!D3*1000000)</f>
        <v>0.21466300013592182</v>
      </c>
      <c r="E19" s="130">
        <f>'Evolutive SFP'!D13/(CAELS!E3*1000000)</f>
        <v>0.20651922551208049</v>
      </c>
      <c r="F19" s="130">
        <f>'Evolutive SFP'!E13/(CAELS!F3*1000000)</f>
        <v>0.2480559418455717</v>
      </c>
      <c r="G19" s="130">
        <f>'Evolutive SFP'!F10/('Evolutive SFP'!F37+'Evolutive SFP'!F42)</f>
        <v>0</v>
      </c>
      <c r="H19" s="130">
        <f>'Evolutive SFP'!G10/('Evolutive SFP'!G37+'Evolutive SFP'!G42)</f>
        <v>0</v>
      </c>
      <c r="I19" s="130">
        <f>'Evolutive SFP'!H10/('Evolutive SFP'!H37+'Evolutive SFP'!H42)</f>
        <v>0</v>
      </c>
      <c r="J19" s="130">
        <f>'Evolutive SFP'!I10/('Evolutive SFP'!I37+'Evolutive SFP'!I42)</f>
        <v>0</v>
      </c>
      <c r="K19" s="130">
        <f>'Evolutive SFP'!J10/('Evolutive SFP'!J37+'Evolutive SFP'!J42)</f>
        <v>0</v>
      </c>
      <c r="L19" s="130">
        <f>'Evolutive SFP'!K10/('Evolutive SFP'!K37+'Evolutive SFP'!K42)</f>
        <v>0</v>
      </c>
      <c r="M19" s="130">
        <f>'Evolutive SFP'!L10/('Evolutive SFP'!L37+'Evolutive SFP'!L42)</f>
        <v>0</v>
      </c>
      <c r="N19" s="130">
        <f>'Evolutive SFP'!M10/('Evolutive SFP'!M37+'Evolutive SFP'!M42)</f>
        <v>0</v>
      </c>
      <c r="O19" s="130">
        <f>'Evolutive SFP'!N10/('Evolutive SFP'!N37+'Evolutive SFP'!N42)</f>
        <v>0</v>
      </c>
      <c r="P19" s="130">
        <f>'Evolutive SFP'!O10/('Evolutive SFP'!O37+'Evolutive SFP'!O42)</f>
        <v>0</v>
      </c>
      <c r="Q19" s="130">
        <f>'Evolutive SFP'!P10/('Evolutive SFP'!P37+'Evolutive SFP'!P42)</f>
        <v>0</v>
      </c>
      <c r="R19" s="130">
        <f>'Evolutive SFP'!Q10/('Evolutive SFP'!Q37+'Evolutive SFP'!Q42)</f>
        <v>0</v>
      </c>
      <c r="S19" s="130">
        <f>'Evolutive SFP'!R10/('Evolutive SFP'!R37+'Evolutive SFP'!R42)</f>
        <v>0</v>
      </c>
      <c r="T19" s="130">
        <f>'Evolutive SFP'!S10/('Evolutive SFP'!S37+'Evolutive SFP'!S42)</f>
        <v>0</v>
      </c>
      <c r="U19" s="130">
        <f>'Evolutive SFP'!T10/('Evolutive SFP'!T37+'Evolutive SFP'!T42)</f>
        <v>0</v>
      </c>
      <c r="V19" s="130">
        <f>'Evolutive SFP'!U10/('Evolutive SFP'!U37+'Evolutive SFP'!U42)</f>
        <v>0</v>
      </c>
      <c r="W19" s="130" t="e">
        <f>'Evolutive SFP'!V10/('Evolutive SFP'!V37+'Evolutive SFP'!V42)</f>
        <v>#DIV/0!</v>
      </c>
      <c r="X19" s="130" t="e">
        <f>'Evolutive SFP'!W10/('Evolutive SFP'!W37+'Evolutive SFP'!W42)</f>
        <v>#DIV/0!</v>
      </c>
      <c r="Y19" s="130" t="e">
        <f>'Evolutive SFP'!X10/('Evolutive SFP'!X37+'Evolutive SFP'!X42)</f>
        <v>#DIV/0!</v>
      </c>
      <c r="Z19" s="130" t="e">
        <f>'Evolutive SFP'!Y10/('Evolutive SFP'!Y37+'Evolutive SFP'!Y42)</f>
        <v>#DIV/0!</v>
      </c>
      <c r="AA19" s="130" t="e">
        <f>'Evolutive SFP'!Z10/('Evolutive SFP'!Z37+'Evolutive SFP'!Z42)</f>
        <v>#DIV/0!</v>
      </c>
      <c r="AB19" s="130">
        <f>'Evolutive SFP'!AA10/('Evolutive SFP'!AA37+'Evolutive SFP'!AA42)</f>
        <v>0</v>
      </c>
      <c r="AC19" s="130"/>
      <c r="AD19" s="130">
        <f>'Evolutive SFP'!AB10/('Evolutive SFP'!AB37+'Evolutive SFP'!AB42)</f>
        <v>0</v>
      </c>
      <c r="AE19" s="130">
        <f>'Evolutive SFP'!AC10/('Evolutive SFP'!AC37+'Evolutive SFP'!AC42)</f>
        <v>0</v>
      </c>
      <c r="AF19" s="130">
        <f>'Evolutive SFP'!AD10/('Evolutive SFP'!AD37+'Evolutive SFP'!AD42)</f>
        <v>0</v>
      </c>
      <c r="AG19" s="130">
        <f>'Evolutive SFP'!AE10/('Evolutive SFP'!AE37+'Evolutive SFP'!AE42)</f>
        <v>0</v>
      </c>
      <c r="AH19" s="130">
        <f>'Evolutive SFP'!AF10/('Evolutive SFP'!AF37+'Evolutive SFP'!AF42)</f>
        <v>0</v>
      </c>
      <c r="AI19" s="130">
        <f>'Evolutive SFP'!AG10/('Evolutive SFP'!AG37+'Evolutive SFP'!AG42)</f>
        <v>0</v>
      </c>
      <c r="AJ19" s="130">
        <f>'Evolutive SFP'!AH10/('Evolutive SFP'!AH37+'Evolutive SFP'!AH42)</f>
        <v>0</v>
      </c>
      <c r="AK19" s="130">
        <f>'Evolutive SFP'!AI10/('Evolutive SFP'!AI37+'Evolutive SFP'!AI42)</f>
        <v>0</v>
      </c>
      <c r="AL19" s="130">
        <f>'Evolutive SFP'!AJ10/('Evolutive SFP'!AJ37+'Evolutive SFP'!AJ42)</f>
        <v>0</v>
      </c>
      <c r="AM19" s="130">
        <f>'Evolutive SFP'!AK10/('Evolutive SFP'!AK37+'Evolutive SFP'!AK42)</f>
        <v>0</v>
      </c>
      <c r="AN19" s="130">
        <f>'Evolutive SFP'!AL10/('Evolutive SFP'!AL37+'Evolutive SFP'!AL42)</f>
        <v>0</v>
      </c>
      <c r="AO19" s="130">
        <f>'Evolutive SFP'!AM10/('Evolutive SFP'!AM37+'Evolutive SFP'!AM42)</f>
        <v>0</v>
      </c>
      <c r="AP19" s="130">
        <f>'Evolutive SFP'!AN10/('Evolutive SFP'!AN37+'Evolutive SFP'!AN42)</f>
        <v>0</v>
      </c>
      <c r="AQ19" s="130">
        <f>'Evolutive SFP'!AO10/('Evolutive SFP'!AO37+'Evolutive SFP'!AO42)</f>
        <v>0</v>
      </c>
    </row>
    <row r="20" spans="1:43" ht="14.45">
      <c r="A20" s="246"/>
      <c r="B20" s="1" t="s">
        <v>134</v>
      </c>
      <c r="C20" s="2"/>
      <c r="D20" s="130">
        <f>'Evolutive SFP'!C15/'Evolutive SFP'!C27</f>
        <v>0.56098286588540403</v>
      </c>
      <c r="E20" s="130">
        <f>'Evolutive SFP'!D15/'Evolutive SFP'!D27</f>
        <v>0.56819114493354184</v>
      </c>
      <c r="F20" s="130">
        <f>'Evolutive SFP'!E15/'Evolutive SFP'!E27</f>
        <v>0.55898991049178526</v>
      </c>
      <c r="G20" s="130">
        <f>'Evolutive SFP'!F15/'Evolutive SFP'!F27</f>
        <v>0.5506849876581742</v>
      </c>
      <c r="H20" s="130">
        <f>'Evolutive SFP'!G15/'Evolutive SFP'!G27</f>
        <v>0.55930507591883627</v>
      </c>
      <c r="I20" s="130">
        <f>'Evolutive SFP'!H15/'Evolutive SFP'!H27</f>
        <v>0.51288606687800742</v>
      </c>
      <c r="J20" s="130">
        <f>'Evolutive SFP'!I15/'Evolutive SFP'!I27</f>
        <v>0.56156510884194666</v>
      </c>
      <c r="K20" s="130">
        <f>'Evolutive SFP'!J15/'Evolutive SFP'!J27</f>
        <v>0.57087080496786791</v>
      </c>
      <c r="L20" s="130">
        <f>'Evolutive SFP'!K15/'Evolutive SFP'!K27</f>
        <v>0.36478624692126677</v>
      </c>
      <c r="M20" s="130">
        <f>'Evolutive SFP'!L15/'Evolutive SFP'!L27</f>
        <v>0.44585757625761385</v>
      </c>
      <c r="N20" s="130">
        <f>'Evolutive SFP'!M15/'Evolutive SFP'!M27</f>
        <v>0.49177755285945762</v>
      </c>
      <c r="O20" s="130">
        <f>'Evolutive SFP'!N15/'Evolutive SFP'!N27</f>
        <v>0.44829419682364707</v>
      </c>
      <c r="P20" s="130">
        <f>'Evolutive SFP'!O15/'Evolutive SFP'!O27</f>
        <v>0.48916715738822847</v>
      </c>
      <c r="Q20" s="130">
        <f>'Evolutive SFP'!P15/'Evolutive SFP'!P27</f>
        <v>0.46774993005393184</v>
      </c>
      <c r="R20" s="130">
        <f>'Evolutive SFP'!Q15/'Evolutive SFP'!Q27</f>
        <v>0.51605992470285911</v>
      </c>
      <c r="S20" s="130">
        <f>'Evolutive SFP'!R15/'Evolutive SFP'!R27</f>
        <v>0.4903462023070515</v>
      </c>
      <c r="T20" s="130">
        <f>'Evolutive SFP'!S15/'Evolutive SFP'!S27</f>
        <v>0.56571172932778924</v>
      </c>
      <c r="U20" s="130">
        <f>'Evolutive SFP'!T15/'Evolutive SFP'!T27</f>
        <v>0.58802717985790076</v>
      </c>
      <c r="V20" s="130">
        <f>'Evolutive SFP'!U15/'Evolutive SFP'!U27</f>
        <v>0.60370012703452225</v>
      </c>
      <c r="W20" s="130" t="e">
        <f>'Evolutive SFP'!V15/'Evolutive SFP'!V27</f>
        <v>#DIV/0!</v>
      </c>
      <c r="X20" s="130" t="e">
        <f>'Evolutive SFP'!W15/'Evolutive SFP'!W27</f>
        <v>#DIV/0!</v>
      </c>
      <c r="Y20" s="130" t="e">
        <f>'Evolutive SFP'!X15/'Evolutive SFP'!X27</f>
        <v>#DIV/0!</v>
      </c>
      <c r="Z20" s="130" t="e">
        <f>'Evolutive SFP'!Y15/'Evolutive SFP'!Y27</f>
        <v>#DIV/0!</v>
      </c>
      <c r="AA20" s="130" t="e">
        <f>'Evolutive SFP'!Z15/'Evolutive SFP'!Z27</f>
        <v>#DIV/0!</v>
      </c>
      <c r="AB20" s="130">
        <f>'Evolutive SFP'!AA15/'Evolutive SFP'!AA27</f>
        <v>0.60757857610081978</v>
      </c>
      <c r="AC20" s="130"/>
      <c r="AD20" s="130">
        <f>'Evolutive SFP'!AB15/'Evolutive SFP'!AB27</f>
        <v>0.62818504600074665</v>
      </c>
      <c r="AE20" s="130">
        <f>'Evolutive SFP'!AC15/'Evolutive SFP'!AC27</f>
        <v>0.60684011545319294</v>
      </c>
      <c r="AF20" s="130">
        <f>'Evolutive SFP'!AD15/'Evolutive SFP'!AD27</f>
        <v>0.60617313745599299</v>
      </c>
      <c r="AG20" s="130">
        <f>'Evolutive SFP'!AE15/'Evolutive SFP'!AE27</f>
        <v>0.59425296424882679</v>
      </c>
      <c r="AH20" s="130">
        <f>'Evolutive SFP'!AF15/'Evolutive SFP'!AF27</f>
        <v>0.60119453551220914</v>
      </c>
      <c r="AI20" s="130">
        <f>'Evolutive SFP'!AG15/'Evolutive SFP'!AG27</f>
        <v>0.58142520528042274</v>
      </c>
      <c r="AJ20" s="130">
        <f>'Evolutive SFP'!AH15/'Evolutive SFP'!AH27</f>
        <v>0.4481762622129411</v>
      </c>
      <c r="AK20" s="130">
        <f>'Evolutive SFP'!AI15/'Evolutive SFP'!AI27</f>
        <v>0.49305209520661936</v>
      </c>
      <c r="AL20" s="130">
        <f>'Evolutive SFP'!AJ15/'Evolutive SFP'!AJ27</f>
        <v>0.52437646527549053</v>
      </c>
      <c r="AM20" s="130">
        <f>'Evolutive SFP'!AK15/'Evolutive SFP'!AK27</f>
        <v>0.52408743365244592</v>
      </c>
      <c r="AN20" s="130">
        <f>'Evolutive SFP'!AL15/'Evolutive SFP'!AL27</f>
        <v>0.55365573465204854</v>
      </c>
      <c r="AO20" s="130">
        <f>'Evolutive SFP'!AM15/'Evolutive SFP'!AM27</f>
        <v>0.56976936170284453</v>
      </c>
      <c r="AP20" s="130">
        <f>'Evolutive SFP'!AN15/'Evolutive SFP'!AN27</f>
        <v>0.56976936251150001</v>
      </c>
      <c r="AQ20" s="130">
        <f>'Evolutive SFP'!AO15/'Evolutive SFP'!AO27</f>
        <v>0.55668683198472169</v>
      </c>
    </row>
    <row r="21" spans="1:43" ht="13.9">
      <c r="A21" s="245" t="s">
        <v>135</v>
      </c>
      <c r="B21" s="16" t="s">
        <v>136</v>
      </c>
      <c r="C21" s="135"/>
      <c r="D21" s="130">
        <f>'Evolutive SFP'!C31/'Evolutive SFP'!C27</f>
        <v>0.73103282798826574</v>
      </c>
      <c r="E21" s="130">
        <f>'Evolutive SFP'!D31/'Evolutive SFP'!D27</f>
        <v>0.75256918313201149</v>
      </c>
      <c r="F21" s="130">
        <f>'Evolutive SFP'!E31/'Evolutive SFP'!E27</f>
        <v>0.73657728357091834</v>
      </c>
      <c r="G21" s="130">
        <f>'Evolutive SFP'!F12/('Evolutive SFP'!F39+'Evolutive SFP'!F44)</f>
        <v>0</v>
      </c>
      <c r="H21" s="130">
        <f>'Evolutive SFP'!G12/('Evolutive SFP'!G39+'Evolutive SFP'!G44)</f>
        <v>0</v>
      </c>
      <c r="I21" s="130">
        <f>'Evolutive SFP'!H12/('Evolutive SFP'!H39+'Evolutive SFP'!H44)</f>
        <v>0</v>
      </c>
      <c r="J21" s="130">
        <f>'Evolutive SFP'!I12/('Evolutive SFP'!I39+'Evolutive SFP'!I44)</f>
        <v>0</v>
      </c>
      <c r="K21" s="130">
        <f>'Evolutive SFP'!J12/('Evolutive SFP'!J39+'Evolutive SFP'!J44)</f>
        <v>0</v>
      </c>
      <c r="L21" s="130">
        <f>'Evolutive SFP'!K12/('Evolutive SFP'!K39+'Evolutive SFP'!K44)</f>
        <v>0</v>
      </c>
      <c r="M21" s="130">
        <f>'Evolutive SFP'!L12/('Evolutive SFP'!L39+'Evolutive SFP'!L44)</f>
        <v>0</v>
      </c>
      <c r="N21" s="130">
        <f>'Evolutive SFP'!M12/('Evolutive SFP'!M39+'Evolutive SFP'!M44)</f>
        <v>0</v>
      </c>
      <c r="O21" s="130">
        <f>'Evolutive SFP'!N12/('Evolutive SFP'!N39+'Evolutive SFP'!N44)</f>
        <v>9.5562591765302379E-2</v>
      </c>
      <c r="P21" s="130">
        <f>'Evolutive SFP'!O12/('Evolutive SFP'!O39+'Evolutive SFP'!O44)</f>
        <v>0</v>
      </c>
      <c r="Q21" s="130">
        <f>'Evolutive SFP'!P12/('Evolutive SFP'!P39+'Evolutive SFP'!P44)</f>
        <v>0</v>
      </c>
      <c r="R21" s="130">
        <f>'Evolutive SFP'!Q12/('Evolutive SFP'!Q39+'Evolutive SFP'!Q44)</f>
        <v>0</v>
      </c>
      <c r="S21" s="130">
        <f>'Evolutive SFP'!R12/('Evolutive SFP'!R39+'Evolutive SFP'!R44)</f>
        <v>0</v>
      </c>
      <c r="T21" s="130">
        <f>'Evolutive SFP'!S12/('Evolutive SFP'!S39+'Evolutive SFP'!S44)</f>
        <v>0</v>
      </c>
      <c r="U21" s="130">
        <f>'Evolutive SFP'!T12/('Evolutive SFP'!T39+'Evolutive SFP'!T44)</f>
        <v>0</v>
      </c>
      <c r="V21" s="130">
        <f>'Evolutive SFP'!U12/('Evolutive SFP'!U39+'Evolutive SFP'!U44)</f>
        <v>0</v>
      </c>
      <c r="W21" s="130" t="e">
        <f>'Evolutive SFP'!V12/('Evolutive SFP'!V39+'Evolutive SFP'!V44)</f>
        <v>#DIV/0!</v>
      </c>
      <c r="X21" s="130" t="e">
        <f>'Evolutive SFP'!W12/('Evolutive SFP'!W39+'Evolutive SFP'!W44)</f>
        <v>#DIV/0!</v>
      </c>
      <c r="Y21" s="130" t="e">
        <f>'Evolutive SFP'!X12/('Evolutive SFP'!X39+'Evolutive SFP'!X44)</f>
        <v>#DIV/0!</v>
      </c>
      <c r="Z21" s="130" t="e">
        <f>'Evolutive SFP'!Y12/('Evolutive SFP'!Y39+'Evolutive SFP'!Y44)</f>
        <v>#DIV/0!</v>
      </c>
      <c r="AA21" s="130" t="e">
        <f>'Evolutive SFP'!Z12/('Evolutive SFP'!Z39+'Evolutive SFP'!Z44)</f>
        <v>#DIV/0!</v>
      </c>
      <c r="AB21" s="130">
        <f>'Evolutive SFP'!AA12/('Evolutive SFP'!AA39+'Evolutive SFP'!AA44)</f>
        <v>9.0113674377656799E-2</v>
      </c>
      <c r="AC21" s="130"/>
      <c r="AD21" s="130">
        <f>'Evolutive SFP'!AB12/('Evolutive SFP'!AB39+'Evolutive SFP'!AB44)</f>
        <v>0.44477498872384286</v>
      </c>
      <c r="AE21" s="130">
        <f>'Evolutive SFP'!AC12/('Evolutive SFP'!AC39+'Evolutive SFP'!AC44)</f>
        <v>0.41827843752225757</v>
      </c>
      <c r="AF21" s="130">
        <f>'Evolutive SFP'!AD12/('Evolutive SFP'!AD39+'Evolutive SFP'!AD44)</f>
        <v>0.41565914000112564</v>
      </c>
      <c r="AG21" s="130">
        <f>'Evolutive SFP'!AE12/('Evolutive SFP'!AE39+'Evolutive SFP'!AE44)</f>
        <v>0.41302625561931189</v>
      </c>
      <c r="AH21" s="130">
        <f>'Evolutive SFP'!AF12/('Evolutive SFP'!AF39+'Evolutive SFP'!AF44)</f>
        <v>0.40907236830792659</v>
      </c>
      <c r="AI21" s="130">
        <f>'Evolutive SFP'!AG12/('Evolutive SFP'!AG39+'Evolutive SFP'!AG44)</f>
        <v>0.40538236173480413</v>
      </c>
      <c r="AJ21" s="130">
        <f>'Evolutive SFP'!AH12/('Evolutive SFP'!AH39+'Evolutive SFP'!AH44)</f>
        <v>0.40255569291970711</v>
      </c>
      <c r="AK21" s="130">
        <f>'Evolutive SFP'!AI12/('Evolutive SFP'!AI39+'Evolutive SFP'!AI44)</f>
        <v>0.40008546067239514</v>
      </c>
      <c r="AL21" s="130">
        <f>'Evolutive SFP'!AJ12/('Evolutive SFP'!AJ39+'Evolutive SFP'!AJ44)</f>
        <v>0.39741234508642093</v>
      </c>
      <c r="AM21" s="130">
        <f>'Evolutive SFP'!AK12/('Evolutive SFP'!AK39+'Evolutive SFP'!AK44)</f>
        <v>0.3954999320665335</v>
      </c>
      <c r="AN21" s="130">
        <f>'Evolutive SFP'!AL12/('Evolutive SFP'!AL39+'Evolutive SFP'!AL44)</f>
        <v>0.39290899821968134</v>
      </c>
      <c r="AO21" s="130">
        <f>'Evolutive SFP'!AM12/('Evolutive SFP'!AM39+'Evolutive SFP'!AM44)</f>
        <v>0.38991262823709305</v>
      </c>
      <c r="AP21" s="130">
        <f>'Evolutive SFP'!AN12/('Evolutive SFP'!AN39+'Evolutive SFP'!AN44)</f>
        <v>0.35292244462825229</v>
      </c>
      <c r="AQ21" s="130">
        <f>'Evolutive SFP'!AO12/('Evolutive SFP'!AO39+'Evolutive SFP'!AO44)</f>
        <v>0.33449369378362076</v>
      </c>
    </row>
    <row r="22" spans="1:43" ht="13.9">
      <c r="A22" s="245"/>
      <c r="B22" s="16" t="s">
        <v>137</v>
      </c>
      <c r="C22" s="135"/>
      <c r="D22" s="130">
        <f>'Evolutive SFP'!C30/'Evolutive SFP'!C27</f>
        <v>0.30982682725688165</v>
      </c>
      <c r="E22" s="130">
        <f>'Evolutive SFP'!D30/'Evolutive SFP'!D27</f>
        <v>0.32811624736292472</v>
      </c>
      <c r="F22" s="130">
        <f>'Evolutive SFP'!E30/'Evolutive SFP'!E27</f>
        <v>0.32917660135642279</v>
      </c>
      <c r="G22" s="130" t="e">
        <f>'Evolutive SFP'!F13/('Evolutive SFP'!F40+'Evolutive SFP'!F45)</f>
        <v>#DIV/0!</v>
      </c>
      <c r="H22" s="130">
        <f>'Evolutive SFP'!G30/'Evolutive SFP'!G27</f>
        <v>0.32490331166028308</v>
      </c>
      <c r="I22" s="130">
        <f>'Evolutive SFP'!H30/'Evolutive SFP'!H27</f>
        <v>0.30399143673655082</v>
      </c>
      <c r="J22" s="130">
        <f>'Evolutive SFP'!I30/'Evolutive SFP'!I27</f>
        <v>0.33950046751145968</v>
      </c>
      <c r="K22" s="130">
        <f>'Evolutive SFP'!J30/'Evolutive SFP'!J27</f>
        <v>0.32957348867047503</v>
      </c>
      <c r="L22" s="130">
        <f>'Evolutive SFP'!K30/'Evolutive SFP'!K27</f>
        <v>0.23038394925748387</v>
      </c>
      <c r="M22" s="130">
        <f>'Evolutive SFP'!L30/'Evolutive SFP'!L27</f>
        <v>0.28135053019705564</v>
      </c>
      <c r="N22" s="130">
        <f>'Evolutive SFP'!M30/'Evolutive SFP'!M27</f>
        <v>0.30738625903117156</v>
      </c>
      <c r="O22" s="130">
        <f>'Evolutive SFP'!N30/'Evolutive SFP'!N27</f>
        <v>0.28020692616829146</v>
      </c>
      <c r="P22" s="130">
        <f>'Evolutive SFP'!O30/'Evolutive SFP'!O27</f>
        <v>0.30573431904615</v>
      </c>
      <c r="Q22" s="130">
        <f>'Evolutive SFP'!P30/'Evolutive SFP'!P27</f>
        <v>0.28551544432447279</v>
      </c>
      <c r="R22" s="130">
        <f>'Evolutive SFP'!Q30/'Evolutive SFP'!Q27</f>
        <v>0.31794976580230777</v>
      </c>
      <c r="S22" s="130">
        <f>'Evolutive SFP'!R30/'Evolutive SFP'!R27</f>
        <v>0.29559057253489246</v>
      </c>
      <c r="T22" s="130">
        <f>'Evolutive SFP'!S30/'Evolutive SFP'!S27</f>
        <v>0.31822549798988181</v>
      </c>
      <c r="U22" s="130">
        <f>'Evolutive SFP'!T30/'Evolutive SFP'!T27</f>
        <v>0.32148679579924211</v>
      </c>
      <c r="V22" s="130">
        <f>'Evolutive SFP'!U30/'Evolutive SFP'!U27</f>
        <v>0.31863358272900327</v>
      </c>
      <c r="W22" s="130" t="e">
        <f>'Evolutive SFP'!V30/'Evolutive SFP'!V27</f>
        <v>#DIV/0!</v>
      </c>
      <c r="X22" s="130" t="e">
        <f>'Evolutive SFP'!W30/'Evolutive SFP'!W27</f>
        <v>#DIV/0!</v>
      </c>
      <c r="Y22" s="130" t="e">
        <f>'Evolutive SFP'!X30/'Evolutive SFP'!X27</f>
        <v>#DIV/0!</v>
      </c>
      <c r="Z22" s="130" t="e">
        <f>'Evolutive SFP'!Y30/'Evolutive SFP'!Y27</f>
        <v>#DIV/0!</v>
      </c>
      <c r="AA22" s="130" t="e">
        <f>'Evolutive SFP'!Z30/'Evolutive SFP'!Z27</f>
        <v>#DIV/0!</v>
      </c>
      <c r="AB22" s="130">
        <f>'Evolutive SFP'!AA30/'Evolutive SFP'!AA27</f>
        <v>0.30295234919448411</v>
      </c>
      <c r="AC22" s="130"/>
      <c r="AD22" s="130">
        <f>'Evolutive SFP'!AB30/'Evolutive SFP'!AB27</f>
        <v>0.29800786642594401</v>
      </c>
      <c r="AE22" s="130">
        <f>'Evolutive SFP'!AC30/'Evolutive SFP'!AC27</f>
        <v>0.29841922392893283</v>
      </c>
      <c r="AF22" s="130">
        <f>'Evolutive SFP'!AD30/'Evolutive SFP'!AD27</f>
        <v>0.31008706254428453</v>
      </c>
      <c r="AG22" s="130">
        <f>'Evolutive SFP'!AE30/'Evolutive SFP'!AE27</f>
        <v>0.30284405247468466</v>
      </c>
      <c r="AH22" s="130">
        <f>'Evolutive SFP'!AF30/'Evolutive SFP'!AF27</f>
        <v>0.30112991506554032</v>
      </c>
      <c r="AI22" s="130">
        <f>'Evolutive SFP'!AG30/'Evolutive SFP'!AG27</f>
        <v>0.30555483608854223</v>
      </c>
      <c r="AJ22" s="130">
        <f>'Evolutive SFP'!AH30/'Evolutive SFP'!AH27</f>
        <v>0.24675829480289035</v>
      </c>
      <c r="AK22" s="130">
        <f>'Evolutive SFP'!AI30/'Evolutive SFP'!AI27</f>
        <v>0.26932433559885216</v>
      </c>
      <c r="AL22" s="130">
        <f>'Evolutive SFP'!AJ30/'Evolutive SFP'!AJ27</f>
        <v>0.27897967388225559</v>
      </c>
      <c r="AM22" s="130">
        <f>'Evolutive SFP'!AK30/'Evolutive SFP'!AK27</f>
        <v>0.276261598300928</v>
      </c>
      <c r="AN22" s="130">
        <f>'Evolutive SFP'!AL30/'Evolutive SFP'!AL27</f>
        <v>0.27989907561682842</v>
      </c>
      <c r="AO22" s="130">
        <f>'Evolutive SFP'!AM30/'Evolutive SFP'!AM27</f>
        <v>0.29071210667223246</v>
      </c>
      <c r="AP22" s="130">
        <f>'Evolutive SFP'!AN30/'Evolutive SFP'!AN27</f>
        <v>0.2907121067013641</v>
      </c>
      <c r="AQ22" s="130">
        <f>'Evolutive SFP'!AO30/'Evolutive SFP'!AO27</f>
        <v>0.30221390278502874</v>
      </c>
    </row>
    <row r="23" spans="1:43" ht="13.9">
      <c r="A23" s="245"/>
      <c r="B23" s="16" t="s">
        <v>138</v>
      </c>
      <c r="C23" s="135"/>
      <c r="D23" s="130">
        <f>('Evolutive SFP'!C28+'Evolutive SFP'!C29)/'Evolutive SFP'!C27</f>
        <v>0.42120600073138403</v>
      </c>
      <c r="E23" s="130">
        <f>('Evolutive SFP'!D28+'Evolutive SFP'!D29)/'Evolutive SFP'!D27</f>
        <v>0.42445293576908671</v>
      </c>
      <c r="F23" s="130">
        <f>('Evolutive SFP'!E28+'Evolutive SFP'!E29)/'Evolutive SFP'!E27</f>
        <v>0.40740068221449549</v>
      </c>
      <c r="G23" s="130">
        <f>'Evolutive SFP'!F14/('Evolutive SFP'!F41+'Evolutive SFP'!F46)</f>
        <v>10.136471636288922</v>
      </c>
      <c r="H23" s="130">
        <f>('Evolutive SFP'!G28+'Evolutive SFP'!G29)/'Evolutive SFP'!G27</f>
        <v>0.4100265920530427</v>
      </c>
      <c r="I23" s="130">
        <f>('Evolutive SFP'!H28+'Evolutive SFP'!H29)/'Evolutive SFP'!H27</f>
        <v>0.40928919192317198</v>
      </c>
      <c r="J23" s="130">
        <f>('Evolutive SFP'!I28+'Evolutive SFP'!I29)/'Evolutive SFP'!I27</f>
        <v>0.42833152243703787</v>
      </c>
      <c r="K23" s="130">
        <f>('Evolutive SFP'!J28+'Evolutive SFP'!J29)/'Evolutive SFP'!J27</f>
        <v>0.44760480965364469</v>
      </c>
      <c r="L23" s="130">
        <f>('Evolutive SFP'!K28+'Evolutive SFP'!K29)/'Evolutive SFP'!K27</f>
        <v>0.59666802620228321</v>
      </c>
      <c r="M23" s="130">
        <f>('Evolutive SFP'!L28+'Evolutive SFP'!L29)/'Evolutive SFP'!L27</f>
        <v>0.51355885294261905</v>
      </c>
      <c r="N23" s="130">
        <f>('Evolutive SFP'!M28+'Evolutive SFP'!M29)/'Evolutive SFP'!M27</f>
        <v>0.4810153175876265</v>
      </c>
      <c r="O23" s="130">
        <f>('Evolutive SFP'!N28+'Evolutive SFP'!N29)/'Evolutive SFP'!N27</f>
        <v>0.43848356711045872</v>
      </c>
      <c r="P23" s="130">
        <f>('Evolutive SFP'!O28+'Evolutive SFP'!O29)/'Evolutive SFP'!O27</f>
        <v>0.48765539719601536</v>
      </c>
      <c r="Q23" s="130">
        <f>('Evolutive SFP'!P28+'Evolutive SFP'!P29)/'Evolutive SFP'!P27</f>
        <v>0.50098658631463988</v>
      </c>
      <c r="R23" s="130">
        <f>('Evolutive SFP'!Q28+'Evolutive SFP'!Q29)/'Evolutive SFP'!Q27</f>
        <v>0.48544582191216051</v>
      </c>
      <c r="S23" s="130">
        <f>('Evolutive SFP'!R28+'Evolutive SFP'!R29)/'Evolutive SFP'!R27</f>
        <v>0.49663074419423342</v>
      </c>
      <c r="T23" s="130">
        <f>('Evolutive SFP'!S28+'Evolutive SFP'!S29)/'Evolutive SFP'!S27</f>
        <v>0.47446559425672696</v>
      </c>
      <c r="U23" s="130">
        <f>('Evolutive SFP'!T28+'Evolutive SFP'!T29)/'Evolutive SFP'!T27</f>
        <v>0.46884320598896695</v>
      </c>
      <c r="V23" s="130">
        <f>('Evolutive SFP'!U28+'Evolutive SFP'!U29)/'Evolutive SFP'!U27</f>
        <v>0.47626254233585646</v>
      </c>
      <c r="W23" s="130" t="e">
        <f>('Evolutive SFP'!V28+'Evolutive SFP'!V29)/'Evolutive SFP'!V27</f>
        <v>#DIV/0!</v>
      </c>
      <c r="X23" s="130" t="e">
        <f>('Evolutive SFP'!W28+'Evolutive SFP'!W29)/'Evolutive SFP'!W27</f>
        <v>#DIV/0!</v>
      </c>
      <c r="Y23" s="130" t="e">
        <f>('Evolutive SFP'!X28+'Evolutive SFP'!X29)/'Evolutive SFP'!X27</f>
        <v>#DIV/0!</v>
      </c>
      <c r="Z23" s="130" t="e">
        <f>('Evolutive SFP'!Y28+'Evolutive SFP'!Y29)/'Evolutive SFP'!Y27</f>
        <v>#DIV/0!</v>
      </c>
      <c r="AA23" s="130" t="e">
        <f>('Evolutive SFP'!Z28+'Evolutive SFP'!Z29)/'Evolutive SFP'!Z27</f>
        <v>#DIV/0!</v>
      </c>
      <c r="AB23" s="130">
        <f>('Evolutive SFP'!AA28+'Evolutive SFP'!AA29)/'Evolutive SFP'!AA27</f>
        <v>0.41049239193763642</v>
      </c>
      <c r="AC23" s="130"/>
      <c r="AD23" s="130">
        <f>('Evolutive SFP'!AB28+'Evolutive SFP'!AB29)/'Evolutive SFP'!AB27</f>
        <v>0.42130002207472145</v>
      </c>
      <c r="AE23" s="130">
        <f>('Evolutive SFP'!AC28+'Evolutive SFP'!AC29)/'Evolutive SFP'!AC27</f>
        <v>0.42322755944586521</v>
      </c>
      <c r="AF23" s="130">
        <f>('Evolutive SFP'!AD28+'Evolutive SFP'!AD29)/'Evolutive SFP'!AD27</f>
        <v>0.41983625706066052</v>
      </c>
      <c r="AG23" s="130">
        <f>('Evolutive SFP'!AE28+'Evolutive SFP'!AE29)/'Evolutive SFP'!AE27</f>
        <v>0.43130617354912071</v>
      </c>
      <c r="AH23" s="130">
        <f>('Evolutive SFP'!AF28+'Evolutive SFP'!AF29)/'Evolutive SFP'!AF27</f>
        <v>0.4328664659014872</v>
      </c>
      <c r="AI23" s="130">
        <f>('Evolutive SFP'!AG28+'Evolutive SFP'!AG29)/'Evolutive SFP'!AG27</f>
        <v>0.41229411673131761</v>
      </c>
      <c r="AJ23" s="130">
        <f>('Evolutive SFP'!AH28+'Evolutive SFP'!AH29)/'Evolutive SFP'!AH27</f>
        <v>0.49548291503094088</v>
      </c>
      <c r="AK23" s="130">
        <f>('Evolutive SFP'!AI28+'Evolutive SFP'!AI29)/'Evolutive SFP'!AI27</f>
        <v>0.45856865312293493</v>
      </c>
      <c r="AL23" s="130">
        <f>('Evolutive SFP'!AJ28+'Evolutive SFP'!AJ29)/'Evolutive SFP'!AJ27</f>
        <v>0.44156158427779912</v>
      </c>
      <c r="AM23" s="130">
        <f>('Evolutive SFP'!AK28+'Evolutive SFP'!AK29)/'Evolutive SFP'!AK27</f>
        <v>0.44267751893012658</v>
      </c>
      <c r="AN23" s="130">
        <f>('Evolutive SFP'!AL28+'Evolutive SFP'!AL29)/'Evolutive SFP'!AL27</f>
        <v>0.43470191332878327</v>
      </c>
      <c r="AO23" s="130">
        <f>('Evolutive SFP'!AM28+'Evolutive SFP'!AM29)/'Evolutive SFP'!AM27</f>
        <v>0.41050899507583716</v>
      </c>
      <c r="AP23" s="130">
        <f>('Evolutive SFP'!AN28+'Evolutive SFP'!AN29)/'Evolutive SFP'!AN27</f>
        <v>0.41050899463263474</v>
      </c>
      <c r="AQ23" s="130">
        <f>('Evolutive SFP'!AO28+'Evolutive SFP'!AO29)/'Evolutive SFP'!AO27</f>
        <v>0.41243634474091501</v>
      </c>
    </row>
    <row r="24" spans="1:43" ht="13.9">
      <c r="A24" s="244" t="s">
        <v>139</v>
      </c>
      <c r="B24" s="16" t="s">
        <v>27</v>
      </c>
      <c r="C24" s="135"/>
      <c r="D24" s="130" t="e">
        <f>(Financials!C4-Financials!#REF!)/Financials!#REF!</f>
        <v>#REF!</v>
      </c>
      <c r="E24" s="130">
        <f>(Financials!D4-Financials!C4)/Financials!C4</f>
        <v>-5.3229008294508239E-2</v>
      </c>
      <c r="F24" s="130">
        <f>(Financials!E4-Financials!D4)/Financials!D4</f>
        <v>1.6989334930073202E-3</v>
      </c>
      <c r="G24" s="130">
        <f>'Evolutive SFP'!F15/('Evolutive SFP'!F42+'Evolutive SFP'!F47)</f>
        <v>24.568679512028652</v>
      </c>
      <c r="H24" s="130">
        <f>(Financials!G4-Financials!F4)/Financials!F4</f>
        <v>-1.169542135947225E-2</v>
      </c>
      <c r="I24" s="130">
        <f>(Financials!H4-Financials!G4)/Financials!G4</f>
        <v>7.8832628755083775E-2</v>
      </c>
      <c r="J24" s="130">
        <f>(Financials!I4-Financials!H4)/Financials!H4</f>
        <v>-0.10328372465938279</v>
      </c>
      <c r="K24" s="130">
        <f>(Financials!J4-Financials!I4)/Financials!I4</f>
        <v>2.6315710995958606E-2</v>
      </c>
      <c r="L24" s="130">
        <f>(Financials!K4-Financials!J4)/Financials!J4</f>
        <v>0.43271053108149082</v>
      </c>
      <c r="M24" s="130">
        <f>(Financials!L4-Financials!K4)/Financials!K4</f>
        <v>-0.17841822005097652</v>
      </c>
      <c r="N24" s="130">
        <f>(Financials!M4-Financials!L4)/Financials!L4</f>
        <v>-8.246658109531875E-2</v>
      </c>
      <c r="O24" s="130">
        <f>(Financials!N4-Financials!M4)/Financials!M4</f>
        <v>9.6997365273715039E-2</v>
      </c>
      <c r="P24" s="130">
        <f>(Financials!O4-Financials!N4)/Financials!N4</f>
        <v>-8.5450000743657092E-2</v>
      </c>
      <c r="Q24" s="130">
        <f>(Financials!P4-Financials!O4)/Financials!O4</f>
        <v>7.3742916885216378E-2</v>
      </c>
      <c r="R24" s="130">
        <f>(Financials!Q4-Financials!P4)/Financials!P4</f>
        <v>-0.10464763375829141</v>
      </c>
      <c r="S24" s="130">
        <f>(Financials!R4-Financials!Q4)/Financials!Q4</f>
        <v>8.34054811328441E-2</v>
      </c>
      <c r="T24" s="130">
        <f>(Financials!S4-Financials!R4)/Financials!R4</f>
        <v>-5.9257800549567426E-2</v>
      </c>
      <c r="U24" s="130">
        <f>(Financials!T4-Financials!S4)/Financials!S4</f>
        <v>-5.4953759833780121E-3</v>
      </c>
      <c r="V24" s="130">
        <f>(Financials!U4-Financials!T4)/Financials!T4</f>
        <v>1.2942609752978177E-2</v>
      </c>
      <c r="W24" s="130">
        <f>(Financials!V4-Financials!U4)/Financials!U4</f>
        <v>-1</v>
      </c>
      <c r="X24" s="130" t="e">
        <f>(Financials!W4-Financials!V4)/Financials!V4</f>
        <v>#DIV/0!</v>
      </c>
      <c r="Y24" s="130" t="e">
        <f>(Financials!X4-Financials!W4)/Financials!W4</f>
        <v>#DIV/0!</v>
      </c>
      <c r="Z24" s="130" t="e">
        <f>(Financials!Y4-Financials!X4)/Financials!X4</f>
        <v>#DIV/0!</v>
      </c>
      <c r="AA24" s="130" t="e">
        <f>(Financials!Z4-Financials!Y4)/Financials!Y4</f>
        <v>#DIV/0!</v>
      </c>
      <c r="AB24" s="130" t="e">
        <f>(Financials!AA4-Financials!Z4)/Financials!Z4</f>
        <v>#DIV/0!</v>
      </c>
      <c r="AC24" s="130"/>
      <c r="AD24" s="130">
        <f>(Financials!AB4-Financials!AA4)/Financials!AA4</f>
        <v>2.0313716839360351E-2</v>
      </c>
      <c r="AE24" s="130">
        <f>(Financials!AC4-Financials!AB4)/Financials!AB4</f>
        <v>-1.4963219259191006E-3</v>
      </c>
      <c r="AF24" s="130">
        <f>(Financials!AD4-Financials!AC4)/Financials!AC4</f>
        <v>-3.623569766133948E-2</v>
      </c>
      <c r="AG24" s="130">
        <f>(Financials!AE4-Financials!AD4)/Financials!AD4</f>
        <v>2.4297255088203167E-2</v>
      </c>
      <c r="AH24" s="130">
        <f>(Financials!AF4-Financials!AE4)/Financials!AE4</f>
        <v>2.0343626130045877E-2</v>
      </c>
      <c r="AI24" s="130">
        <f>(Financials!AG4-Financials!AF4)/Financials!AF4</f>
        <v>-1.5708353787213563E-2</v>
      </c>
      <c r="AJ24" s="130">
        <f>(Financials!AH4-Financials!AG4)/Financials!AG4</f>
        <v>0.24412441034641866</v>
      </c>
      <c r="AK24" s="130">
        <f>(Financials!AI4-Financials!AH4)/Financials!AH4</f>
        <v>-8.5144889759850809E-2</v>
      </c>
      <c r="AL24" s="130">
        <f>(Financials!AJ4-Financials!AI4)/Financials!AI4</f>
        <v>-3.0413738444953323E-2</v>
      </c>
      <c r="AM24" s="130">
        <f>(Financials!AK4-Financials!AJ4)/Financials!AJ4</f>
        <v>1.2858639198508907E-2</v>
      </c>
      <c r="AN24" s="130">
        <f>(Financials!AL4-Financials!AK4)/Financials!AK4</f>
        <v>-1.744455840885973E-2</v>
      </c>
      <c r="AO24" s="130">
        <f>(Financials!AM4-Financials!AL4)/Financials!AL4</f>
        <v>-3.1085019797381375E-2</v>
      </c>
      <c r="AP24" s="130">
        <f>(Financials!AN4-Financials!AM4)/Financials!AM4</f>
        <v>-1.0020791623008917E-10</v>
      </c>
      <c r="AQ24" s="130">
        <f>(Financials!AO4-Financials!AN4)/Financials!AN4</f>
        <v>-1.9237180308436637E-2</v>
      </c>
    </row>
    <row r="25" spans="1:43" ht="13.9">
      <c r="A25" s="244"/>
      <c r="B25" s="16" t="s">
        <v>140</v>
      </c>
      <c r="C25" s="135"/>
      <c r="D25" s="130" t="e">
        <f>Financials!#REF!/Financials!C5-1</f>
        <v>#REF!</v>
      </c>
      <c r="E25" s="130" t="e">
        <f>Financials!#REF!/Financials!D5-1</f>
        <v>#REF!</v>
      </c>
      <c r="F25" s="130" t="e">
        <f>Financials!#REF!/Financials!E5-1</f>
        <v>#REF!</v>
      </c>
      <c r="G25" s="130">
        <f>'Evolutive SFP'!F16/('Evolutive SFP'!F43+'Evolutive SFP'!F48)</f>
        <v>0.21535205854037687</v>
      </c>
      <c r="H25" s="130">
        <f>'Evolutive SFP'!G16/('Evolutive SFP'!G43+'Evolutive SFP'!G48)</f>
        <v>0.21126993303151273</v>
      </c>
      <c r="I25" s="130">
        <f>'Evolutive SFP'!H16/('Evolutive SFP'!H43+'Evolutive SFP'!H48)</f>
        <v>0.21794943086808016</v>
      </c>
      <c r="J25" s="130">
        <f>'Evolutive SFP'!I16/('Evolutive SFP'!I43+'Evolutive SFP'!I48)</f>
        <v>0.21498924352235491</v>
      </c>
      <c r="K25" s="130">
        <f>'Evolutive SFP'!J16/('Evolutive SFP'!J43+'Evolutive SFP'!J48)</f>
        <v>0.2138788407486624</v>
      </c>
      <c r="L25" s="130">
        <f>'Evolutive SFP'!K16/('Evolutive SFP'!K43+'Evolutive SFP'!K48)</f>
        <v>0.19923954647542905</v>
      </c>
      <c r="M25" s="130">
        <f>'Evolutive SFP'!L16/('Evolutive SFP'!L43+'Evolutive SFP'!L48)</f>
        <v>0.19819409557895082</v>
      </c>
      <c r="N25" s="130">
        <f>'Evolutive SFP'!M16/('Evolutive SFP'!M43+'Evolutive SFP'!M48)</f>
        <v>0.19709761145769969</v>
      </c>
      <c r="O25" s="130">
        <f>'Evolutive SFP'!N16/('Evolutive SFP'!N43+'Evolutive SFP'!N48)</f>
        <v>0.21464657359632899</v>
      </c>
      <c r="P25" s="130">
        <f>'Evolutive SFP'!O16/('Evolutive SFP'!O43+'Evolutive SFP'!O48)</f>
        <v>0.19448809638972925</v>
      </c>
      <c r="Q25" s="130">
        <f>'Evolutive SFP'!P16/('Evolutive SFP'!P43+'Evolutive SFP'!P48)</f>
        <v>0.22538431912129533</v>
      </c>
      <c r="R25" s="130">
        <f>'Evolutive SFP'!Q16/('Evolutive SFP'!Q43+'Evolutive SFP'!Q48)</f>
        <v>0.22183368471698858</v>
      </c>
      <c r="S25" s="130">
        <f>'Evolutive SFP'!R16/('Evolutive SFP'!R43+'Evolutive SFP'!R48)</f>
        <v>0.21634816435222218</v>
      </c>
      <c r="T25" s="130">
        <f>'Evolutive SFP'!S16/('Evolutive SFP'!S43+'Evolutive SFP'!S48)</f>
        <v>0.21391863694002411</v>
      </c>
      <c r="U25" s="130">
        <f>'Evolutive SFP'!T16/('Evolutive SFP'!T43+'Evolutive SFP'!T48)</f>
        <v>0.21183498668307699</v>
      </c>
      <c r="V25" s="130">
        <f>'Evolutive SFP'!U16/('Evolutive SFP'!U43+'Evolutive SFP'!U48)</f>
        <v>0.20897597480723182</v>
      </c>
      <c r="W25" s="130" t="e">
        <f>'Evolutive SFP'!V16/('Evolutive SFP'!V43+'Evolutive SFP'!V48)</f>
        <v>#DIV/0!</v>
      </c>
      <c r="X25" s="130" t="e">
        <f>'Evolutive SFP'!W16/('Evolutive SFP'!W43+'Evolutive SFP'!W48)</f>
        <v>#DIV/0!</v>
      </c>
      <c r="Y25" s="130" t="e">
        <f>'Evolutive SFP'!X16/('Evolutive SFP'!X43+'Evolutive SFP'!X48)</f>
        <v>#DIV/0!</v>
      </c>
      <c r="Z25" s="130" t="e">
        <f>'Evolutive SFP'!Y16/('Evolutive SFP'!Y43+'Evolutive SFP'!Y48)</f>
        <v>#DIV/0!</v>
      </c>
      <c r="AA25" s="130" t="e">
        <f>'Evolutive SFP'!Z16/('Evolutive SFP'!Z43+'Evolutive SFP'!Z48)</f>
        <v>#DIV/0!</v>
      </c>
      <c r="AB25" s="130">
        <f>'Evolutive SFP'!AA16/('Evolutive SFP'!AA43+'Evolutive SFP'!AA48)</f>
        <v>0.21286285242008124</v>
      </c>
      <c r="AC25" s="130"/>
      <c r="AD25" s="130">
        <f>'Evolutive SFP'!AB16/('Evolutive SFP'!AB43+'Evolutive SFP'!AB48)</f>
        <v>0.18569643721567985</v>
      </c>
      <c r="AE25" s="130">
        <f>'Evolutive SFP'!AC16/('Evolutive SFP'!AC43+'Evolutive SFP'!AC48)</f>
        <v>0.21495245446227135</v>
      </c>
      <c r="AF25" s="130">
        <f>'Evolutive SFP'!AD16/('Evolutive SFP'!AD43+'Evolutive SFP'!AD48)</f>
        <v>0.2094981760511529</v>
      </c>
      <c r="AG25" s="130">
        <f>'Evolutive SFP'!AE16/('Evolutive SFP'!AE43+'Evolutive SFP'!AE48)</f>
        <v>0.20331429149777833</v>
      </c>
      <c r="AH25" s="130">
        <f>'Evolutive SFP'!AF16/('Evolutive SFP'!AF43+'Evolutive SFP'!AF48)</f>
        <v>0.19641747211344143</v>
      </c>
      <c r="AI25" s="130">
        <f>'Evolutive SFP'!AG16/('Evolutive SFP'!AG43+'Evolutive SFP'!AG48)</f>
        <v>0.19053760533763206</v>
      </c>
      <c r="AJ25" s="130">
        <f>'Evolutive SFP'!AH16/('Evolutive SFP'!AH43+'Evolutive SFP'!AH48)</f>
        <v>0.17913854673105586</v>
      </c>
      <c r="AK25" s="130">
        <f>'Evolutive SFP'!AI16/('Evolutive SFP'!AI43+'Evolutive SFP'!AI48)</f>
        <v>0.17865028358397345</v>
      </c>
      <c r="AL25" s="130">
        <f>'Evolutive SFP'!AJ16/('Evolutive SFP'!AJ43+'Evolutive SFP'!AJ48)</f>
        <v>0.17723349419233758</v>
      </c>
      <c r="AM25" s="130">
        <f>'Evolutive SFP'!AK16/('Evolutive SFP'!AK43+'Evolutive SFP'!AK48)</f>
        <v>0.17670157049162599</v>
      </c>
      <c r="AN25" s="130">
        <f>'Evolutive SFP'!AL16/('Evolutive SFP'!AL43+'Evolutive SFP'!AL48)</f>
        <v>0.17618605244787369</v>
      </c>
      <c r="AO25" s="130">
        <f>'Evolutive SFP'!AM16/('Evolutive SFP'!AM43+'Evolutive SFP'!AM48)</f>
        <v>0.17245537745502795</v>
      </c>
      <c r="AP25" s="130">
        <f>'Evolutive SFP'!AN16/('Evolutive SFP'!AN43+'Evolutive SFP'!AN48)</f>
        <v>0.18814987152061272</v>
      </c>
      <c r="AQ25" s="130">
        <f>'Evolutive SFP'!AO16/('Evolutive SFP'!AO43+'Evolutive SFP'!AO48)</f>
        <v>0.17751542155149069</v>
      </c>
    </row>
    <row r="26" spans="1:43" ht="13.9">
      <c r="A26" s="244"/>
      <c r="B26" s="17" t="s">
        <v>141</v>
      </c>
      <c r="C26" s="135"/>
      <c r="D26" s="130" t="e">
        <f>Financials!#REF!/Financials!C6-1</f>
        <v>#REF!</v>
      </c>
      <c r="E26" s="130" t="e">
        <f>Financials!#REF!/Financials!D6-1</f>
        <v>#REF!</v>
      </c>
      <c r="F26" s="130" t="e">
        <f>Financials!#REF!/Financials!E6-1</f>
        <v>#REF!</v>
      </c>
      <c r="G26" s="130">
        <f>'Evolutive SFP'!F17/('Evolutive SFP'!F44+'Evolutive SFP'!F49)</f>
        <v>0</v>
      </c>
      <c r="H26" s="130">
        <f>'Evolutive SFP'!G17/('Evolutive SFP'!G44+'Evolutive SFP'!G49)</f>
        <v>0</v>
      </c>
      <c r="I26" s="130">
        <f>'Evolutive SFP'!H17/('Evolutive SFP'!H44+'Evolutive SFP'!H49)</f>
        <v>0</v>
      </c>
      <c r="J26" s="130">
        <f>'Evolutive SFP'!I17/('Evolutive SFP'!I44+'Evolutive SFP'!I49)</f>
        <v>0</v>
      </c>
      <c r="K26" s="130">
        <f>'Evolutive SFP'!J17/('Evolutive SFP'!J44+'Evolutive SFP'!J49)</f>
        <v>0</v>
      </c>
      <c r="L26" s="130">
        <f>'Evolutive SFP'!K17/('Evolutive SFP'!K44+'Evolutive SFP'!K49)</f>
        <v>0</v>
      </c>
      <c r="M26" s="130">
        <f>'Evolutive SFP'!L17/('Evolutive SFP'!L44+'Evolutive SFP'!L49)</f>
        <v>0</v>
      </c>
      <c r="N26" s="130">
        <f>'Evolutive SFP'!M17/('Evolutive SFP'!M44+'Evolutive SFP'!M49)</f>
        <v>0</v>
      </c>
      <c r="O26" s="130">
        <f>'Evolutive SFP'!N17/('Evolutive SFP'!N44+'Evolutive SFP'!N49)</f>
        <v>0</v>
      </c>
      <c r="P26" s="130">
        <f>'Evolutive SFP'!O17/('Evolutive SFP'!O44+'Evolutive SFP'!O49)</f>
        <v>0</v>
      </c>
      <c r="Q26" s="130">
        <f>'Evolutive SFP'!P17/('Evolutive SFP'!P44+'Evolutive SFP'!P49)</f>
        <v>0</v>
      </c>
      <c r="R26" s="130">
        <f>'Evolutive SFP'!Q17/('Evolutive SFP'!Q44+'Evolutive SFP'!Q49)</f>
        <v>0</v>
      </c>
      <c r="S26" s="130">
        <f>'Evolutive SFP'!R17/('Evolutive SFP'!R44+'Evolutive SFP'!R49)</f>
        <v>0</v>
      </c>
      <c r="T26" s="130">
        <f>'Evolutive SFP'!S17/('Evolutive SFP'!S44+'Evolutive SFP'!S49)</f>
        <v>0</v>
      </c>
      <c r="U26" s="130">
        <f>'Evolutive SFP'!T17/('Evolutive SFP'!T44+'Evolutive SFP'!T49)</f>
        <v>0</v>
      </c>
      <c r="V26" s="130">
        <f>'Evolutive SFP'!U17/('Evolutive SFP'!U44+'Evolutive SFP'!U49)</f>
        <v>0</v>
      </c>
      <c r="W26" s="130" t="e">
        <f>'Evolutive SFP'!V17/('Evolutive SFP'!V44+'Evolutive SFP'!V49)</f>
        <v>#DIV/0!</v>
      </c>
      <c r="X26" s="130" t="e">
        <f>'Evolutive SFP'!W17/('Evolutive SFP'!W44+'Evolutive SFP'!W49)</f>
        <v>#DIV/0!</v>
      </c>
      <c r="Y26" s="130" t="e">
        <f>'Evolutive SFP'!X17/('Evolutive SFP'!X44+'Evolutive SFP'!X49)</f>
        <v>#DIV/0!</v>
      </c>
      <c r="Z26" s="130" t="e">
        <f>'Evolutive SFP'!Y17/('Evolutive SFP'!Y44+'Evolutive SFP'!Y49)</f>
        <v>#DIV/0!</v>
      </c>
      <c r="AA26" s="130" t="e">
        <f>'Evolutive SFP'!Z17/('Evolutive SFP'!Z44+'Evolutive SFP'!Z49)</f>
        <v>#DIV/0!</v>
      </c>
      <c r="AB26" s="130">
        <f>'Evolutive SFP'!AA17/('Evolutive SFP'!AA44+'Evolutive SFP'!AA49)</f>
        <v>0</v>
      </c>
      <c r="AC26" s="130"/>
      <c r="AD26" s="130">
        <f>'Evolutive SFP'!AB17/('Evolutive SFP'!AB44+'Evolutive SFP'!AB49)</f>
        <v>0</v>
      </c>
      <c r="AE26" s="130">
        <f>'Evolutive SFP'!AC17/('Evolutive SFP'!AC44+'Evolutive SFP'!AC49)</f>
        <v>0</v>
      </c>
      <c r="AF26" s="130">
        <f>'Evolutive SFP'!AD17/('Evolutive SFP'!AD44+'Evolutive SFP'!AD49)</f>
        <v>0</v>
      </c>
      <c r="AG26" s="130">
        <f>'Evolutive SFP'!AE17/('Evolutive SFP'!AE44+'Evolutive SFP'!AE49)</f>
        <v>0</v>
      </c>
      <c r="AH26" s="130">
        <f>'Evolutive SFP'!AF17/('Evolutive SFP'!AF44+'Evolutive SFP'!AF49)</f>
        <v>0</v>
      </c>
      <c r="AI26" s="130">
        <f>'Evolutive SFP'!AG17/('Evolutive SFP'!AG44+'Evolutive SFP'!AG49)</f>
        <v>0</v>
      </c>
      <c r="AJ26" s="130">
        <f>'Evolutive SFP'!AH17/('Evolutive SFP'!AH44+'Evolutive SFP'!AH49)</f>
        <v>0</v>
      </c>
      <c r="AK26" s="130">
        <f>'Evolutive SFP'!AI17/('Evolutive SFP'!AI44+'Evolutive SFP'!AI49)</f>
        <v>0</v>
      </c>
      <c r="AL26" s="130">
        <f>'Evolutive SFP'!AJ17/('Evolutive SFP'!AJ44+'Evolutive SFP'!AJ49)</f>
        <v>0</v>
      </c>
      <c r="AM26" s="130">
        <f>'Evolutive SFP'!AK17/('Evolutive SFP'!AK44+'Evolutive SFP'!AK49)</f>
        <v>0</v>
      </c>
      <c r="AN26" s="130">
        <f>'Evolutive SFP'!AL17/('Evolutive SFP'!AL44+'Evolutive SFP'!AL49)</f>
        <v>0</v>
      </c>
      <c r="AO26" s="130">
        <f>'Evolutive SFP'!AM17/('Evolutive SFP'!AM44+'Evolutive SFP'!AM49)</f>
        <v>0</v>
      </c>
      <c r="AP26" s="130">
        <f>'Evolutive SFP'!AN17/('Evolutive SFP'!AN44+'Evolutive SFP'!AN49)</f>
        <v>0</v>
      </c>
      <c r="AQ26" s="130">
        <f>'Evolutive SFP'!AO17/('Evolutive SFP'!AO44+'Evolutive SFP'!AO49)</f>
        <v>0</v>
      </c>
    </row>
    <row r="27" spans="1:43" ht="13.9">
      <c r="A27" s="244"/>
      <c r="B27" s="17" t="s">
        <v>142</v>
      </c>
      <c r="C27" s="135"/>
      <c r="D27" s="130" t="e">
        <f>Financials!#REF!/Financials!C7-1</f>
        <v>#REF!</v>
      </c>
      <c r="E27" s="130" t="e">
        <f>Financials!#REF!/Financials!D7-1</f>
        <v>#REF!</v>
      </c>
      <c r="F27" s="130" t="e">
        <f>Financials!#REF!/Financials!E7-1</f>
        <v>#REF!</v>
      </c>
      <c r="G27" s="130" t="e">
        <f>'Evolutive SFP'!F18/('Evolutive SFP'!F45+'Evolutive SFP'!F50)</f>
        <v>#DIV/0!</v>
      </c>
      <c r="H27" s="130" t="e">
        <f>Financials!#REF!/Financials!G7-1</f>
        <v>#REF!</v>
      </c>
      <c r="I27" s="130" t="e">
        <f>Financials!#REF!/Financials!H7-1</f>
        <v>#REF!</v>
      </c>
      <c r="J27" s="130" t="e">
        <f>Financials!#REF!/Financials!I7-1</f>
        <v>#REF!</v>
      </c>
      <c r="K27" s="130" t="e">
        <f>Financials!#REF!/Financials!J7-1</f>
        <v>#REF!</v>
      </c>
      <c r="L27" s="130" t="e">
        <f>Financials!#REF!/Financials!K7-1</f>
        <v>#REF!</v>
      </c>
    </row>
    <row r="28" spans="1:43" ht="13.9">
      <c r="A28" s="244"/>
      <c r="B28" s="16" t="s">
        <v>143</v>
      </c>
      <c r="C28" s="135"/>
      <c r="D28" s="130" t="e">
        <f>Financials!#REF!/Financials!C31-1</f>
        <v>#REF!</v>
      </c>
      <c r="E28" s="130" t="e">
        <f>Financials!#REF!/Financials!D31-1</f>
        <v>#REF!</v>
      </c>
      <c r="F28" s="130" t="e">
        <f>Financials!#REF!/Financials!E31-1</f>
        <v>#REF!</v>
      </c>
      <c r="G28" s="130">
        <f>'Evolutive SFP'!F19/('Evolutive SFP'!F46+'Evolutive SFP'!F51)</f>
        <v>0</v>
      </c>
      <c r="H28" s="130" t="e">
        <f>Financials!#REF!/Financials!G31-1</f>
        <v>#REF!</v>
      </c>
      <c r="I28" s="130" t="e">
        <f>Financials!#REF!/Financials!H31-1</f>
        <v>#REF!</v>
      </c>
      <c r="J28" s="130" t="e">
        <f>Financials!#REF!/Financials!I31-1</f>
        <v>#REF!</v>
      </c>
      <c r="K28" s="130" t="e">
        <f>Financials!#REF!/Financials!J31-1</f>
        <v>#REF!</v>
      </c>
      <c r="L28" s="130" t="e">
        <f>Financials!#REF!/Financials!K31-1</f>
        <v>#REF!</v>
      </c>
    </row>
    <row r="29" spans="1:43" ht="13.9">
      <c r="A29" s="244"/>
      <c r="B29" s="16" t="s">
        <v>144</v>
      </c>
      <c r="C29" s="135"/>
      <c r="D29" s="130" t="e">
        <f>Financials!#REF!/Financials!C11-1</f>
        <v>#REF!</v>
      </c>
      <c r="E29" s="130" t="e">
        <f>Financials!#REF!/Financials!D11-1</f>
        <v>#REF!</v>
      </c>
      <c r="F29" s="130" t="e">
        <f>Financials!#REF!/Financials!E11-1</f>
        <v>#REF!</v>
      </c>
      <c r="G29" s="130" t="e">
        <f>'Evolutive SFP'!F20/('Evolutive SFP'!F47+'Evolutive SFP'!F52)</f>
        <v>#DIV/0!</v>
      </c>
      <c r="H29" s="130" t="e">
        <f>Financials!#REF!/Financials!G11-1</f>
        <v>#REF!</v>
      </c>
      <c r="I29" s="130" t="e">
        <f>Financials!#REF!/Financials!H11-1</f>
        <v>#REF!</v>
      </c>
      <c r="J29" s="130" t="e">
        <f>Financials!#REF!/Financials!I11-1</f>
        <v>#REF!</v>
      </c>
      <c r="K29" s="130" t="e">
        <f>Financials!#REF!/Financials!J11-1</f>
        <v>#REF!</v>
      </c>
      <c r="L29" s="130" t="e">
        <f>Financials!#REF!/Financials!K11-1</f>
        <v>#REF!</v>
      </c>
    </row>
    <row r="30" spans="1:43" ht="13.9">
      <c r="A30" s="244"/>
      <c r="B30" s="16" t="s">
        <v>145</v>
      </c>
      <c r="C30" s="135"/>
      <c r="D30" s="130" t="e">
        <f>Financials!#REF!/Financials!C37-1</f>
        <v>#REF!</v>
      </c>
      <c r="E30" s="130" t="e">
        <f>Financials!#REF!/Financials!D37-1</f>
        <v>#REF!</v>
      </c>
      <c r="F30" s="130" t="e">
        <f>Financials!#REF!/Financials!E37-1</f>
        <v>#REF!</v>
      </c>
      <c r="G30" s="130">
        <f>'Evolutive SFP'!F21/('Evolutive SFP'!F48+'Evolutive SFP'!F53)</f>
        <v>0.4651970581596826</v>
      </c>
      <c r="H30" s="130">
        <f>'Evolutive SFP'!G21/('Evolutive SFP'!G48+'Evolutive SFP'!G53)</f>
        <v>0.4496910299139939</v>
      </c>
      <c r="I30" s="130">
        <f>'Evolutive SFP'!H21/('Evolutive SFP'!H48+'Evolutive SFP'!H53)</f>
        <v>0.52616408532077041</v>
      </c>
      <c r="J30" s="130">
        <f>'Evolutive SFP'!I21/('Evolutive SFP'!I48+'Evolutive SFP'!I53)</f>
        <v>0.53048650455171609</v>
      </c>
      <c r="K30" s="130">
        <f>'Evolutive SFP'!J21/('Evolutive SFP'!J48+'Evolutive SFP'!J53)</f>
        <v>0.52838935402556153</v>
      </c>
      <c r="L30" s="130">
        <f>'Evolutive SFP'!K21/('Evolutive SFP'!K48+'Evolutive SFP'!K53)</f>
        <v>0.49891765297380708</v>
      </c>
      <c r="M30" s="130">
        <f>'Evolutive SFP'!L21/('Evolutive SFP'!L48+'Evolutive SFP'!L53)</f>
        <v>0.49121670820365765</v>
      </c>
      <c r="N30" s="130">
        <f>'Evolutive SFP'!M21/('Evolutive SFP'!M48+'Evolutive SFP'!M53)</f>
        <v>0.48368810170691229</v>
      </c>
      <c r="O30" s="130">
        <f>'Evolutive SFP'!N21/('Evolutive SFP'!N48+'Evolutive SFP'!N53)</f>
        <v>0.63180226696928476</v>
      </c>
      <c r="P30" s="130">
        <f>'Evolutive SFP'!O21/('Evolutive SFP'!O48+'Evolutive SFP'!O53)</f>
        <v>0.47084571021362631</v>
      </c>
      <c r="Q30" s="130">
        <f>'Evolutive SFP'!P21/('Evolutive SFP'!P48+'Evolutive SFP'!P53)</f>
        <v>0.56026113273800693</v>
      </c>
      <c r="R30" s="130">
        <f>'Evolutive SFP'!Q21/('Evolutive SFP'!Q48+'Evolutive SFP'!Q53)</f>
        <v>0.54313901656873298</v>
      </c>
      <c r="S30" s="130">
        <f>'Evolutive SFP'!R21/('Evolutive SFP'!R48+'Evolutive SFP'!R53)</f>
        <v>0.53191205910181438</v>
      </c>
      <c r="T30" s="130">
        <f>'Evolutive SFP'!S21/('Evolutive SFP'!S48+'Evolutive SFP'!S53)</f>
        <v>0.52204210913815008</v>
      </c>
      <c r="U30" s="130">
        <f>'Evolutive SFP'!T21/('Evolutive SFP'!T48+'Evolutive SFP'!T53)</f>
        <v>0.51046045235041793</v>
      </c>
      <c r="V30" s="130">
        <f>'Evolutive SFP'!U21/('Evolutive SFP'!U48+'Evolutive SFP'!U53)</f>
        <v>0.49861428097322769</v>
      </c>
      <c r="W30" s="130" t="e">
        <f>'Evolutive SFP'!V21/('Evolutive SFP'!V48+'Evolutive SFP'!V53)</f>
        <v>#DIV/0!</v>
      </c>
    </row>
    <row r="31" spans="1:43" ht="13.9">
      <c r="A31" s="244"/>
      <c r="B31" s="16" t="s">
        <v>146</v>
      </c>
      <c r="C31" s="135"/>
      <c r="D31" s="136"/>
      <c r="E31" s="136"/>
      <c r="F31" s="136"/>
      <c r="G31" s="136"/>
      <c r="H31" s="136"/>
      <c r="I31" s="136"/>
      <c r="J31" s="136"/>
      <c r="K31" s="136"/>
      <c r="L31" s="136"/>
    </row>
    <row r="32" spans="1:43" ht="13.9">
      <c r="A32" s="244"/>
      <c r="B32" s="16" t="s">
        <v>147</v>
      </c>
      <c r="C32" s="135"/>
      <c r="D32" s="130" t="e">
        <f>'Evolutitve SCI'!#REF!/'Evolutitve SCI'!#REF!-1</f>
        <v>#REF!</v>
      </c>
      <c r="E32" s="130" t="e">
        <f>'Evolutitve SCI'!#REF!/'Evolutitve SCI'!C39-1</f>
        <v>#REF!</v>
      </c>
      <c r="F32" s="130" t="e">
        <f>'Evolutitve SCI'!#REF!/'Evolutitve SCI'!D39-1</f>
        <v>#REF!</v>
      </c>
      <c r="G32" s="130" t="e">
        <f>'Evolutitve SCI'!#REF!/'Evolutitve SCI'!E39-1</f>
        <v>#REF!</v>
      </c>
      <c r="H32" s="130" t="e">
        <f>'Evolutitve SCI'!#REF!/'Evolutitve SCI'!F39-1</f>
        <v>#REF!</v>
      </c>
      <c r="I32" s="130" t="e">
        <f>'Evolutitve SCI'!#REF!/'Evolutitve SCI'!G39-1</f>
        <v>#REF!</v>
      </c>
      <c r="J32" s="130" t="e">
        <f>'Evolutitve SCI'!#REF!/'Evolutitve SCI'!#REF!-1</f>
        <v>#REF!</v>
      </c>
      <c r="K32" s="130" t="e">
        <f>'Evolutitve SCI'!#REF!/'Evolutitve SCI'!H39-1</f>
        <v>#REF!</v>
      </c>
      <c r="L32" s="130" t="e">
        <f>'Evolutitve SCI'!#REF!/'Evolutitve SCI'!I39-1</f>
        <v>#REF!</v>
      </c>
    </row>
    <row r="33" spans="1:24" ht="13.9">
      <c r="A33" s="18" t="s">
        <v>148</v>
      </c>
      <c r="B33" s="16" t="s">
        <v>149</v>
      </c>
      <c r="C33" s="135"/>
      <c r="D33" s="130" t="e">
        <f>Financials!C44/('Evolutive SFP'!#REF!+'Evolutive SFP'!C30)/2</f>
        <v>#REF!</v>
      </c>
      <c r="E33" s="130">
        <f>Financials!D44/('Evolutive SFP'!C30+'Evolutive SFP'!D30)/2</f>
        <v>0</v>
      </c>
      <c r="F33" s="130">
        <f>Financials!E44/('Evolutive SFP'!D30+'Evolutive SFP'!E30)/2</f>
        <v>0</v>
      </c>
      <c r="G33" s="130">
        <f>Financials!F44/('Evolutive SFP'!E30+'Evolutive SFP'!F30)/2</f>
        <v>0</v>
      </c>
      <c r="H33" s="130">
        <f>Financials!G44/('Evolutive SFP'!F30+'Evolutive SFP'!G30)/2</f>
        <v>0</v>
      </c>
      <c r="I33" s="130">
        <f>Financials!H44/('Evolutive SFP'!G30+'Evolutive SFP'!H30)/2</f>
        <v>0</v>
      </c>
      <c r="J33" s="130">
        <f>Financials!I44/('Evolutive SFP'!H30+'Evolutive SFP'!I30)/2</f>
        <v>0</v>
      </c>
      <c r="K33" s="130">
        <f>Financials!J44/('Evolutive SFP'!I30+'Evolutive SFP'!J30)/2</f>
        <v>0</v>
      </c>
      <c r="L33" s="130">
        <f>Financials!K44/('Evolutive SFP'!J30+'Evolutive SFP'!K30)/2</f>
        <v>0</v>
      </c>
      <c r="M33" s="130">
        <f>Financials!L44/('Evolutive SFP'!K30+'Evolutive SFP'!L30)/2</f>
        <v>0</v>
      </c>
      <c r="N33" s="130">
        <f>Financials!M44/('Evolutive SFP'!L30+'Evolutive SFP'!M30)/2</f>
        <v>0</v>
      </c>
      <c r="O33" s="130">
        <f>Financials!N44/('Evolutive SFP'!M30+'Evolutive SFP'!N30)/2</f>
        <v>2.5000000028746021E-2</v>
      </c>
      <c r="P33" s="130">
        <f>Financials!O44/('Evolutive SFP'!N30+'Evolutive SFP'!O30)/2</f>
        <v>0</v>
      </c>
      <c r="Q33" s="130">
        <f>Financials!P44/('Evolutive SFP'!O30+'Evolutive SFP'!P30)/2</f>
        <v>0</v>
      </c>
      <c r="R33" s="130">
        <f>Financials!Q44/('Evolutive SFP'!P30+'Evolutive SFP'!Q30)/2</f>
        <v>0</v>
      </c>
      <c r="S33" s="130">
        <f>Financials!R44/('Evolutive SFP'!Q30+'Evolutive SFP'!R30)/2</f>
        <v>0</v>
      </c>
      <c r="T33" s="130">
        <f>Financials!S44/('Evolutive SFP'!R30+'Evolutive SFP'!S30)/2</f>
        <v>0</v>
      </c>
      <c r="U33" s="130">
        <f>Financials!T44/('Evolutive SFP'!S30+'Evolutive SFP'!T30)/2</f>
        <v>0</v>
      </c>
      <c r="V33" s="130">
        <f>Financials!U44/('Evolutive SFP'!T30+'Evolutive SFP'!U30)/2</f>
        <v>0</v>
      </c>
      <c r="W33" s="130">
        <f>Financials!V44/('Evolutive SFP'!U30+'Evolutive SFP'!V30)/2</f>
        <v>0</v>
      </c>
    </row>
    <row r="34" spans="1:24" ht="13.9">
      <c r="A34" s="137"/>
      <c r="B34" s="16" t="s">
        <v>150</v>
      </c>
      <c r="C34" s="135"/>
      <c r="D34" s="130" t="e">
        <f>Financials!C45/('Evolutive SFP'!#REF!+'Evolutive SFP'!C39)/2</f>
        <v>#REF!</v>
      </c>
      <c r="E34" s="130">
        <f>Financials!D45/('Evolutive SFP'!C39+'Evolutive SFP'!D39)/2</f>
        <v>0</v>
      </c>
      <c r="F34" s="130">
        <f>Financials!E45/('Evolutive SFP'!D39+'Evolutive SFP'!E39)/2</f>
        <v>0</v>
      </c>
      <c r="G34" s="130">
        <f>Financials!F45/('Evolutive SFP'!E39+'Evolutive SFP'!F39)/2</f>
        <v>0</v>
      </c>
      <c r="H34" s="130">
        <f>Financials!G45/('Evolutive SFP'!F39+'Evolutive SFP'!G39)/2</f>
        <v>0</v>
      </c>
      <c r="I34" s="130">
        <f>Financials!H45/('Evolutive SFP'!G39+'Evolutive SFP'!H39)/2</f>
        <v>0</v>
      </c>
      <c r="J34" s="130">
        <f>Financials!I45/('Evolutive SFP'!H39+'Evolutive SFP'!I39)/2</f>
        <v>0</v>
      </c>
      <c r="K34" s="130">
        <f>Financials!J45/('Evolutive SFP'!I39+'Evolutive SFP'!J39)/2</f>
        <v>0</v>
      </c>
      <c r="L34" s="130">
        <f>Financials!K45/('Evolutive SFP'!J39+'Evolutive SFP'!K39)/2</f>
        <v>0</v>
      </c>
      <c r="M34" s="130">
        <f>Financials!L45/('Evolutive SFP'!K39+'Evolutive SFP'!L39)/2</f>
        <v>0</v>
      </c>
      <c r="N34" s="130">
        <f>Financials!M45/('Evolutive SFP'!L39+'Evolutive SFP'!M39)/2</f>
        <v>0</v>
      </c>
      <c r="O34" s="130">
        <f>Financials!N45/('Evolutive SFP'!M39+'Evolutive SFP'!N39)/2</f>
        <v>0</v>
      </c>
      <c r="P34" s="130">
        <f>Financials!O45/('Evolutive SFP'!N39+'Evolutive SFP'!O39)/2</f>
        <v>0</v>
      </c>
      <c r="Q34" s="130">
        <f>Financials!P45/('Evolutive SFP'!O39+'Evolutive SFP'!P39)/2</f>
        <v>0</v>
      </c>
      <c r="R34" s="130">
        <f>Financials!Q45/('Evolutive SFP'!P39+'Evolutive SFP'!Q39)/2</f>
        <v>0</v>
      </c>
      <c r="S34" s="130">
        <f>Financials!R45/('Evolutive SFP'!Q39+'Evolutive SFP'!R39)/2</f>
        <v>0</v>
      </c>
      <c r="T34" s="130">
        <f>Financials!S45/('Evolutive SFP'!R39+'Evolutive SFP'!S39)/2</f>
        <v>0</v>
      </c>
      <c r="U34" s="130">
        <f>Financials!T45/('Evolutive SFP'!S39+'Evolutive SFP'!T39)/2</f>
        <v>0</v>
      </c>
      <c r="V34" s="130">
        <f>Financials!U45/('Evolutive SFP'!T39+'Evolutive SFP'!U39)/2</f>
        <v>0</v>
      </c>
      <c r="W34" s="130">
        <f>Financials!V45/('Evolutive SFP'!U39+'Evolutive SFP'!V39)/2</f>
        <v>0</v>
      </c>
      <c r="X34" s="130"/>
    </row>
    <row r="35" spans="1:24" ht="13.9">
      <c r="A35" s="137"/>
      <c r="B35" s="16" t="s">
        <v>151</v>
      </c>
      <c r="C35" s="135"/>
      <c r="D35" s="130" t="e">
        <f>Financials!C46/(Financials!#REF!+Financials!C31)/2</f>
        <v>#REF!</v>
      </c>
      <c r="E35" s="130">
        <f>Financials!D46/(Financials!C31+Financials!D31)/2</f>
        <v>0</v>
      </c>
      <c r="F35" s="130">
        <f>Financials!E46/(Financials!D31+Financials!E31)/2</f>
        <v>0</v>
      </c>
      <c r="G35" s="130">
        <f>Financials!F46/(Financials!E31+Financials!F31)/2</f>
        <v>0</v>
      </c>
      <c r="H35" s="130">
        <f>Financials!G46/(Financials!F31+Financials!G31)/2</f>
        <v>0</v>
      </c>
      <c r="I35" s="130">
        <f>Financials!H46/(Financials!G31+Financials!H31)/2</f>
        <v>0</v>
      </c>
      <c r="J35" s="130">
        <f>Financials!I46/(Financials!H31+Financials!I31)/2</f>
        <v>0</v>
      </c>
      <c r="K35" s="130">
        <f>Financials!J46/(Financials!I31+Financials!J31)/2</f>
        <v>0</v>
      </c>
      <c r="L35" s="130">
        <f>Financials!K46/(Financials!J31+Financials!K31)/2</f>
        <v>0</v>
      </c>
      <c r="M35" s="130">
        <f>Financials!L46/(Financials!K31+Financials!L31)/2</f>
        <v>0</v>
      </c>
      <c r="N35" s="130">
        <f>Financials!M46/(Financials!L31+Financials!M31)/2</f>
        <v>0</v>
      </c>
      <c r="O35" s="130">
        <f>Financials!N46/(Financials!M31+Financials!N31)/2</f>
        <v>0</v>
      </c>
      <c r="P35" s="130">
        <f>Financials!O46/(Financials!N31+Financials!O31)/2</f>
        <v>0</v>
      </c>
      <c r="Q35" s="130">
        <f>Financials!P46/(Financials!O31+Financials!P31)/2</f>
        <v>0</v>
      </c>
      <c r="R35" s="130">
        <f>Financials!Q46/(Financials!P31+Financials!Q31)/2</f>
        <v>0</v>
      </c>
      <c r="S35" s="130">
        <f>Financials!R46/(Financials!Q31+Financials!R31)/2</f>
        <v>0</v>
      </c>
      <c r="T35" s="130">
        <f>Financials!S46/(Financials!R31+Financials!S31)/2</f>
        <v>0</v>
      </c>
      <c r="U35" s="130">
        <f>Financials!T46/(Financials!S31+Financials!T31)/2</f>
        <v>0</v>
      </c>
      <c r="V35" s="130">
        <f>Financials!U46/(Financials!T31+Financials!U31)/2</f>
        <v>0</v>
      </c>
      <c r="W35" s="130">
        <f>Financials!V46/(Financials!U31+Financials!V31)/2</f>
        <v>0</v>
      </c>
    </row>
    <row r="36" spans="1:24" ht="13.9">
      <c r="A36" s="137"/>
      <c r="B36" s="16" t="s">
        <v>152</v>
      </c>
      <c r="C36" s="135"/>
      <c r="D36" s="130" t="e">
        <f>Financials!C47/(Financials!#REF!+Financials!C4)/2</f>
        <v>#REF!</v>
      </c>
      <c r="E36" s="130">
        <f>Financials!D47/(Financials!C4+Financials!D4)/2</f>
        <v>1.3674867829640594E-2</v>
      </c>
      <c r="F36" s="130">
        <f>Financials!E47/(Financials!D4+Financials!E4)/2</f>
        <v>2.2070014381978097E-2</v>
      </c>
      <c r="G36" s="130">
        <f>Financials!F47/(Financials!E4+Financials!F4)/2</f>
        <v>2.9190026239754651E-2</v>
      </c>
      <c r="H36" s="130">
        <f>Financials!G47/(Financials!F4+Financials!G4)/2</f>
        <v>3.5847876765440156E-2</v>
      </c>
      <c r="I36" s="130">
        <f>Financials!H47/(Financials!G4+Financials!H4)/2</f>
        <v>4.1543420269082719E-2</v>
      </c>
      <c r="J36" s="130">
        <f>Financials!I47/(Financials!H4+Financials!I4)/2</f>
        <v>5.6338970936529925E-2</v>
      </c>
      <c r="K36" s="130">
        <f>Financials!J47/(Financials!I4+Financials!J4)/2</f>
        <v>6.5642670579142678E-2</v>
      </c>
      <c r="L36" s="130">
        <f>Financials!K47/(Financials!J4+Financials!K4)/2</f>
        <v>5.9109544548029462E-2</v>
      </c>
      <c r="M36" s="130">
        <f>Financials!L47/(Financials!K4+Financials!L4)/2</f>
        <v>6.0064549353148811E-2</v>
      </c>
      <c r="N36" s="130">
        <f>Financials!M47/(Financials!L4+Financials!M4)/2</f>
        <v>7.6048179744598737E-2</v>
      </c>
      <c r="O36" s="130">
        <f>Financials!N47/(Financials!M4+Financials!N4)/2</f>
        <v>4.2131992253783029E-2</v>
      </c>
      <c r="P36" s="130">
        <f>Financials!O47/(Financials!N4+Financials!O4)/2</f>
        <v>6.9318948865956702E-3</v>
      </c>
      <c r="Q36" s="130">
        <f>Financials!P47/(Financials!O4+Financials!P4)/2</f>
        <v>1.4329776771447842E-2</v>
      </c>
      <c r="R36" s="130">
        <f>Financials!Q47/(Financials!P4+Financials!Q4)/2</f>
        <v>2.1882272759958129E-2</v>
      </c>
      <c r="S36" s="130">
        <f>Financials!R47/(Financials!Q4+Financials!R4)/2</f>
        <v>2.9884969025836913E-2</v>
      </c>
      <c r="T36" s="130">
        <f>Financials!S47/(Financials!R4+Financials!S4)/2</f>
        <v>3.6565553546496578E-2</v>
      </c>
      <c r="U36" s="130">
        <f>Financials!T47/(Financials!S4+Financials!T4)/2</f>
        <v>4.5236988495629474E-2</v>
      </c>
      <c r="V36" s="130">
        <f>Financials!U47/(Financials!T4+Financials!U4)/2</f>
        <v>5.2447795943812318E-2</v>
      </c>
      <c r="W36" s="130">
        <f>Financials!V47/(Financials!U4+Financials!V4)/2</f>
        <v>0</v>
      </c>
    </row>
    <row r="37" spans="1:24" ht="13.9">
      <c r="A37" s="137"/>
      <c r="B37" s="16" t="s">
        <v>153</v>
      </c>
      <c r="C37" s="135"/>
      <c r="D37" s="130" t="e">
        <f>Financials!C47/Financials!C37</f>
        <v>#REF!</v>
      </c>
      <c r="E37" s="130">
        <f>Financials!D47/Financials!D37</f>
        <v>1.0946329799645256</v>
      </c>
      <c r="F37" s="130">
        <f>Financials!E47/Financials!E37</f>
        <v>1.2221738624436065</v>
      </c>
      <c r="G37" s="130">
        <f>Financials!F47/Financials!F37</f>
        <v>1.2261038313314918</v>
      </c>
      <c r="H37" s="130">
        <f>Financials!G47/Financials!G37</f>
        <v>1.2318465161432774</v>
      </c>
      <c r="I37" s="130">
        <f>Financials!H47/Financials!H37</f>
        <v>1.2505930833109502</v>
      </c>
      <c r="J37" s="130">
        <f>Financials!I47/Financials!I37</f>
        <v>1.2956106156495668</v>
      </c>
      <c r="K37" s="130">
        <f>Financials!J47/Financials!J37</f>
        <v>1.3139637738843437</v>
      </c>
      <c r="L37" s="130">
        <f>Financials!K47/Financials!K37</f>
        <v>1.2222973241953028</v>
      </c>
      <c r="M37" s="130">
        <f>Financials!L47/Financials!L37</f>
        <v>1.2392832023991345</v>
      </c>
      <c r="N37" s="130">
        <f>Financials!M47/Financials!M37</f>
        <v>1.2577398886180904</v>
      </c>
      <c r="O37" s="130">
        <f>Financials!N47/Financials!N37</f>
        <v>0.69918296726494478</v>
      </c>
      <c r="P37" s="130">
        <f>Financials!O47/Financials!O37</f>
        <v>1.9036131088248474</v>
      </c>
      <c r="Q37" s="130">
        <f>Financials!P47/Financials!P37</f>
        <v>2.0398308727317298</v>
      </c>
      <c r="R37" s="130">
        <f>Financials!Q47/Financials!Q37</f>
        <v>2.0244161512494898</v>
      </c>
      <c r="S37" s="130">
        <f>Financials!R47/Financials!R37</f>
        <v>2.0691482542455053</v>
      </c>
      <c r="T37" s="130">
        <f>Financials!S47/Financials!S37</f>
        <v>2.1032366282219219</v>
      </c>
      <c r="U37" s="130">
        <f>Financials!T47/Financials!T37</f>
        <v>2.1101660355659937</v>
      </c>
      <c r="V37" s="130">
        <f>Financials!U47/Financials!U37</f>
        <v>2.1029361578352077</v>
      </c>
      <c r="W37" s="130" t="e">
        <f>Financials!V47/Financials!V37</f>
        <v>#DIV/0!</v>
      </c>
    </row>
    <row r="38" spans="1:24" ht="13.9">
      <c r="A38" s="137"/>
      <c r="B38" s="16" t="s">
        <v>154</v>
      </c>
      <c r="C38" s="135"/>
      <c r="D38" s="130" t="e">
        <f>Financials!C38/('Evolutive SFP'!C14+'Evolutive SFP'!#REF!)/2</f>
        <v>#REF!</v>
      </c>
      <c r="E38" s="130">
        <f>Financials!D38/('Evolutive SFP'!D14+'Evolutive SFP'!C14)/2</f>
        <v>1.8432252905391577E-2</v>
      </c>
      <c r="F38" s="130">
        <f>Financials!E38/('Evolutive SFP'!E14+'Evolutive SFP'!D14)/2</f>
        <v>2.6171267546954733E-2</v>
      </c>
      <c r="G38" s="130">
        <f>Financials!F38/('Evolutive SFP'!F14+'Evolutive SFP'!E14)/2</f>
        <v>3.3850727981948228E-2</v>
      </c>
      <c r="H38" s="130">
        <f>Financials!G38/('Evolutive SFP'!G14+'Evolutive SFP'!F14)/2</f>
        <v>4.1973262342743248E-2</v>
      </c>
      <c r="I38" s="130">
        <f>Financials!H38/('Evolutive SFP'!H14+'Evolutive SFP'!G14)/2</f>
        <v>5.0017673318735897E-2</v>
      </c>
      <c r="J38" s="130">
        <f>Financials!I38/('Evolutive SFP'!I14+'Evolutive SFP'!H14)/2</f>
        <v>6.5422556758234676E-2</v>
      </c>
      <c r="K38" s="130">
        <f>Financials!J38/('Evolutive SFP'!J14+'Evolutive SFP'!I14)/2</f>
        <v>7.0529190591464674E-2</v>
      </c>
      <c r="L38" s="130">
        <f>Financials!K38/('Evolutive SFP'!K14+'Evolutive SFP'!J14)/2</f>
        <v>8.1633505702280729E-2</v>
      </c>
      <c r="M38" s="130">
        <f>Financials!L38/('Evolutive SFP'!L14+'Evolutive SFP'!K14)/2</f>
        <v>9.1233578729556258E-2</v>
      </c>
      <c r="N38" s="130">
        <f>Financials!M38/('Evolutive SFP'!M14+'Evolutive SFP'!L14)/2</f>
        <v>9.6573008183163861E-2</v>
      </c>
      <c r="O38" s="130">
        <f>Financials!N38/('Evolutive SFP'!N14+'Evolutive SFP'!M14)/2</f>
        <v>0.1138945264341507</v>
      </c>
      <c r="P38" s="130">
        <f>Financials!O38/('Evolutive SFP'!O14+'Evolutive SFP'!N14)/2</f>
        <v>7.5599701692022079E-3</v>
      </c>
      <c r="Q38" s="130">
        <f>Financials!P38/('Evolutive SFP'!P14+'Evolutive SFP'!O14)/2</f>
        <v>1.4134681415691288E-2</v>
      </c>
      <c r="R38" s="130">
        <f>Financials!Q38/('Evolutive SFP'!Q14+'Evolutive SFP'!P14)/2</f>
        <v>2.1032873230622445E-2</v>
      </c>
      <c r="S38" s="130">
        <f>Financials!R38/('Evolutive SFP'!R14+'Evolutive SFP'!Q14)/2</f>
        <v>2.7569312513355121E-2</v>
      </c>
      <c r="T38" s="130">
        <f>Financials!S38/('Evolutive SFP'!S14+'Evolutive SFP'!R14)/2</f>
        <v>3.1159856319730991E-2</v>
      </c>
      <c r="U38" s="130">
        <f>Financials!T38/('Evolutive SFP'!T14+'Evolutive SFP'!S14)/2</f>
        <v>3.5054248622490139E-2</v>
      </c>
      <c r="V38" s="130">
        <f>Financials!U38/('Evolutive SFP'!U14+'Evolutive SFP'!T14)/2</f>
        <v>3.9578579258928721E-2</v>
      </c>
      <c r="W38" s="130">
        <f>Financials!V38/('Evolutive SFP'!V14+'Evolutive SFP'!U14)/2</f>
        <v>0</v>
      </c>
    </row>
    <row r="39" spans="1:24" ht="13.9">
      <c r="A39" s="137"/>
      <c r="B39" s="16" t="s">
        <v>155</v>
      </c>
      <c r="C39" s="135"/>
      <c r="D39" s="130" t="e">
        <f>Financials!C37/('Evolutive SFP'!C15+'Evolutive SFP'!#REF!)/2</f>
        <v>#REF!</v>
      </c>
      <c r="E39" s="130">
        <f>Financials!D37/('Evolutive SFP'!D15+'Evolutive SFP'!C15)/2</f>
        <v>2.2130923682797368E-2</v>
      </c>
      <c r="F39" s="130">
        <f>Financials!E37/('Evolutive SFP'!E15+'Evolutive SFP'!D15)/2</f>
        <v>3.2041212940894806E-2</v>
      </c>
      <c r="G39" s="130">
        <f>Financials!F37/('Evolutive SFP'!F15+'Evolutive SFP'!E15)/2</f>
        <v>4.291212642172277E-2</v>
      </c>
      <c r="H39" s="130">
        <f>Financials!G37/('Evolutive SFP'!G15+'Evolutive SFP'!F15)/2</f>
        <v>5.2436969191151588E-2</v>
      </c>
      <c r="I39" s="130">
        <f>Financials!H37/('Evolutive SFP'!H15+'Evolutive SFP'!G15)/2</f>
        <v>6.2066549365950581E-2</v>
      </c>
      <c r="J39" s="130">
        <f>Financials!I37/('Evolutive SFP'!I15+'Evolutive SFP'!H15)/2</f>
        <v>8.1142893377290165E-2</v>
      </c>
      <c r="K39" s="130">
        <f>Financials!J37/('Evolutive SFP'!J15+'Evolutive SFP'!I15)/2</f>
        <v>8.8221180742662511E-2</v>
      </c>
      <c r="L39" s="130">
        <f>Financials!K37/('Evolutive SFP'!K15+'Evolutive SFP'!J15)/2</f>
        <v>0.10758478341295698</v>
      </c>
      <c r="M39" s="130">
        <f>Financials!L37/('Evolutive SFP'!L15+'Evolutive SFP'!K15)/2</f>
        <v>0.12075988568071928</v>
      </c>
      <c r="N39" s="130">
        <f>Financials!M37/('Evolutive SFP'!M15+'Evolutive SFP'!L15)/2</f>
        <v>0.12924382331059575</v>
      </c>
      <c r="O39" s="130">
        <f>Financials!N37/('Evolutive SFP'!N15+'Evolutive SFP'!M15)/2</f>
        <v>0.12847550793616813</v>
      </c>
      <c r="P39" s="130">
        <f>Financials!O37/('Evolutive SFP'!O15+'Evolutive SFP'!N15)/2</f>
        <v>7.7838746877451357E-3</v>
      </c>
      <c r="Q39" s="130">
        <f>Financials!P37/('Evolutive SFP'!P15+'Evolutive SFP'!O15)/2</f>
        <v>1.4694226832982545E-2</v>
      </c>
      <c r="R39" s="130">
        <f>Financials!Q37/('Evolutive SFP'!Q15+'Evolutive SFP'!P15)/2</f>
        <v>2.2033857129799501E-2</v>
      </c>
      <c r="S39" s="130">
        <f>Financials!R37/('Evolutive SFP'!R15+'Evolutive SFP'!Q15)/2</f>
        <v>2.8731769301838146E-2</v>
      </c>
      <c r="T39" s="130">
        <f>Financials!S37/('Evolutive SFP'!S15+'Evolutive SFP'!R15)/2</f>
        <v>3.2996938013427721E-2</v>
      </c>
      <c r="U39" s="130">
        <f>Financials!T37/('Evolutive SFP'!T15+'Evolutive SFP'!S15)/2</f>
        <v>3.7164017711200176E-2</v>
      </c>
      <c r="V39" s="130">
        <f>Financials!U37/('Evolutive SFP'!U15+'Evolutive SFP'!T15)/2</f>
        <v>4.1852127188063512E-2</v>
      </c>
      <c r="W39" s="130" t="e">
        <f>Financials!V37/('Evolutive SFP'!V15+'Evolutive SFP'!U15)/2</f>
        <v>#DIV/0!</v>
      </c>
      <c r="X39" s="130"/>
    </row>
    <row r="40" spans="1:24" ht="13.9">
      <c r="A40" s="20"/>
      <c r="B40" s="135"/>
      <c r="C40" s="135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</row>
    <row r="41" spans="1:24" ht="13.9">
      <c r="A41" s="21" t="s">
        <v>156</v>
      </c>
      <c r="B41" s="138"/>
      <c r="C41" s="138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60"/>
  <sheetViews>
    <sheetView zoomScale="79" zoomScaleNormal="79" workbookViewId="0">
      <pane xSplit="2" ySplit="2" topLeftCell="O3" activePane="bottomRight" state="frozen"/>
      <selection pane="bottomRight" activeCell="AO2" sqref="AO2"/>
      <selection pane="bottomLeft" activeCell="A3" sqref="A3"/>
      <selection pane="topRight" activeCell="C1" sqref="C1"/>
    </sheetView>
  </sheetViews>
  <sheetFormatPr defaultColWidth="8.85546875" defaultRowHeight="14.25" customHeight="1"/>
  <cols>
    <col min="1" max="1" width="5.7109375" style="60" bestFit="1" customWidth="1"/>
    <col min="2" max="2" width="39.85546875" style="60" customWidth="1"/>
    <col min="3" max="14" width="15.28515625" style="60" hidden="1" customWidth="1"/>
    <col min="15" max="15" width="15.28515625" style="60" bestFit="1" customWidth="1"/>
    <col min="16" max="21" width="15.28515625" style="60" hidden="1" customWidth="1"/>
    <col min="22" max="26" width="9" style="60" hidden="1" customWidth="1"/>
    <col min="27" max="27" width="15.28515625" style="60" customWidth="1"/>
    <col min="28" max="29" width="15.28515625" style="60" hidden="1" customWidth="1"/>
    <col min="30" max="30" width="15.28515625" style="60" customWidth="1"/>
    <col min="31" max="32" width="15.28515625" style="60" hidden="1" customWidth="1"/>
    <col min="33" max="33" width="15.28515625" style="60" bestFit="1" customWidth="1"/>
    <col min="34" max="35" width="15.28515625" style="60" hidden="1" customWidth="1"/>
    <col min="36" max="36" width="15.28515625" style="60" bestFit="1" customWidth="1"/>
    <col min="37" max="38" width="15.28515625" style="60" hidden="1" customWidth="1"/>
    <col min="39" max="39" width="15.28515625" style="60" bestFit="1" customWidth="1"/>
    <col min="40" max="40" width="16.42578125" style="60" customWidth="1"/>
    <col min="41" max="41" width="16.28515625" style="60" customWidth="1"/>
    <col min="42" max="16384" width="8.85546875" style="60"/>
  </cols>
  <sheetData>
    <row r="1" spans="1:41" ht="13.9">
      <c r="A1" s="3"/>
      <c r="B1" s="22" t="s">
        <v>157</v>
      </c>
    </row>
    <row r="2" spans="1:41" ht="15.75">
      <c r="A2" s="3"/>
      <c r="B2" s="4" t="s">
        <v>158</v>
      </c>
      <c r="C2" s="140">
        <v>43831</v>
      </c>
      <c r="D2" s="140">
        <v>43862</v>
      </c>
      <c r="E2" s="140">
        <v>43891</v>
      </c>
      <c r="F2" s="140">
        <v>43922</v>
      </c>
      <c r="G2" s="140">
        <v>43952</v>
      </c>
      <c r="H2" s="140">
        <v>43983</v>
      </c>
      <c r="I2" s="140">
        <v>44013</v>
      </c>
      <c r="J2" s="140">
        <v>44044</v>
      </c>
      <c r="K2" s="140">
        <v>44075</v>
      </c>
      <c r="L2" s="140">
        <v>44105</v>
      </c>
      <c r="M2" s="140">
        <v>44136</v>
      </c>
      <c r="N2" s="140">
        <v>44166</v>
      </c>
      <c r="O2" s="200" t="s">
        <v>159</v>
      </c>
      <c r="P2" s="199">
        <v>44197</v>
      </c>
      <c r="Q2" s="199">
        <v>44228</v>
      </c>
      <c r="R2" s="199">
        <v>44256</v>
      </c>
      <c r="S2" s="199">
        <v>44287</v>
      </c>
      <c r="T2" s="199">
        <v>44317</v>
      </c>
      <c r="U2" s="199">
        <v>44348</v>
      </c>
      <c r="V2" s="199">
        <v>44378</v>
      </c>
      <c r="W2" s="199">
        <v>44409</v>
      </c>
      <c r="X2" s="199">
        <v>44440</v>
      </c>
      <c r="Y2" s="199">
        <v>44470</v>
      </c>
      <c r="Z2" s="199">
        <v>44501</v>
      </c>
      <c r="AA2" s="201" t="s">
        <v>160</v>
      </c>
      <c r="AB2" s="189">
        <v>44562</v>
      </c>
      <c r="AC2" s="173">
        <v>44593</v>
      </c>
      <c r="AD2" s="202">
        <v>44621</v>
      </c>
      <c r="AE2" s="202">
        <v>44652</v>
      </c>
      <c r="AF2" s="202">
        <v>44682</v>
      </c>
      <c r="AG2" s="202">
        <v>44713</v>
      </c>
      <c r="AH2" s="202">
        <v>44743</v>
      </c>
      <c r="AI2" s="202">
        <v>44774</v>
      </c>
      <c r="AJ2" s="202">
        <v>44805</v>
      </c>
      <c r="AK2" s="202">
        <v>44835</v>
      </c>
      <c r="AL2" s="202">
        <v>44866</v>
      </c>
      <c r="AM2" s="203">
        <v>44896</v>
      </c>
      <c r="AN2" s="242" t="s">
        <v>161</v>
      </c>
      <c r="AO2" s="290">
        <v>45161</v>
      </c>
    </row>
    <row r="3" spans="1:41" ht="13.9">
      <c r="A3" s="5">
        <v>1</v>
      </c>
      <c r="B3" s="5" t="s">
        <v>146</v>
      </c>
    </row>
    <row r="4" spans="1:41" ht="13.9">
      <c r="A4" s="5">
        <v>2</v>
      </c>
      <c r="B4" s="5" t="s">
        <v>27</v>
      </c>
      <c r="C4" s="141">
        <f>'Evolutive SFP'!C27</f>
        <v>508568161.56</v>
      </c>
      <c r="D4" s="141">
        <f>'Evolutive SFP'!D27</f>
        <v>481497582.66999996</v>
      </c>
      <c r="E4" s="141">
        <f>'Evolutive SFP'!E27</f>
        <v>482315615.04000008</v>
      </c>
      <c r="F4" s="141">
        <f>'Evolutive SFP'!F27</f>
        <v>493898249.78999996</v>
      </c>
      <c r="G4" s="141">
        <f>'Evolutive SFP'!G27</f>
        <v>488121901.65000004</v>
      </c>
      <c r="H4" s="141">
        <f>'Evolutive SFP'!H27</f>
        <v>526601834.31</v>
      </c>
      <c r="I4" s="141">
        <f>'Evolutive SFP'!I27</f>
        <v>472212435.45000005</v>
      </c>
      <c r="J4" s="141">
        <f>'Evolutive SFP'!J27</f>
        <v>484639041.43000001</v>
      </c>
      <c r="K4" s="141">
        <f>'Evolutive SFP'!K27</f>
        <v>694347458.42999995</v>
      </c>
      <c r="L4" s="141">
        <f>'Evolutive SFP'!L27</f>
        <v>570463220.79999995</v>
      </c>
      <c r="M4" s="141">
        <f>'Evolutive SFP'!M27</f>
        <v>523419069.34000003</v>
      </c>
      <c r="N4" s="141">
        <f>'Evolutive SFP'!N27</f>
        <v>574189340</v>
      </c>
      <c r="O4" s="141">
        <f>'Evolutive SFP'!O27</f>
        <v>525124860.47000003</v>
      </c>
      <c r="P4" s="141">
        <f>'Evolutive SFP'!P27</f>
        <v>563849099.41000009</v>
      </c>
      <c r="Q4" s="141">
        <f>'Evolutive SFP'!Q27</f>
        <v>504843625.35999995</v>
      </c>
      <c r="R4" s="141">
        <f>'Evolutive SFP'!R27</f>
        <v>546950350.83000004</v>
      </c>
      <c r="S4" s="141">
        <f>'Evolutive SFP'!S27</f>
        <v>514539276.02999997</v>
      </c>
      <c r="T4" s="141">
        <f>'Evolutive SFP'!T27</f>
        <v>511711689.25</v>
      </c>
      <c r="U4" s="141">
        <f>'Evolutive SFP'!U27</f>
        <v>518334573.94999999</v>
      </c>
      <c r="V4" s="141">
        <f>'Evolutive SFP'!V27</f>
        <v>0</v>
      </c>
      <c r="W4" s="141">
        <f>'Evolutive SFP'!W27</f>
        <v>0</v>
      </c>
      <c r="X4" s="141">
        <f>'Evolutive SFP'!X27</f>
        <v>0</v>
      </c>
      <c r="Y4" s="141">
        <f>'Evolutive SFP'!Y27</f>
        <v>0</v>
      </c>
      <c r="Z4" s="141">
        <f>'Evolutive SFP'!Z27</f>
        <v>0</v>
      </c>
      <c r="AA4" s="141">
        <f>'Evolutive SFP'!AA27</f>
        <v>557062797</v>
      </c>
      <c r="AB4" s="141">
        <f>'Evolutive SFP'!AB27</f>
        <v>568378812.92000008</v>
      </c>
      <c r="AC4" s="141">
        <f>'Evolutive SFP'!AC27</f>
        <v>567528335.24000001</v>
      </c>
      <c r="AD4" s="141">
        <f>'Evolutive SFP'!AD27</f>
        <v>546963550.07000005</v>
      </c>
      <c r="AE4" s="141">
        <f>'Evolutive SFP'!AE27</f>
        <v>560253262.97000003</v>
      </c>
      <c r="AF4" s="141">
        <f>'Evolutive SFP'!AF27</f>
        <v>571650845.88999999</v>
      </c>
      <c r="AG4" s="141">
        <f>'Evolutive SFP'!AG27</f>
        <v>562671152.15999997</v>
      </c>
      <c r="AH4" s="141">
        <f>'Evolutive SFP'!AH27</f>
        <v>700032915.39999998</v>
      </c>
      <c r="AI4" s="141">
        <f>'Evolutive SFP'!AI27</f>
        <v>640428689.99000001</v>
      </c>
      <c r="AJ4" s="141">
        <f>'Evolutive SFP'!AJ27</f>
        <v>620950859.32000005</v>
      </c>
      <c r="AK4" s="141">
        <f>'Evolutive SFP'!AK27</f>
        <v>628935442.38</v>
      </c>
      <c r="AL4" s="141">
        <f>'Evolutive SFP'!AL27</f>
        <v>617963941.32000005</v>
      </c>
      <c r="AM4" s="141">
        <f>'Evolutive SFP'!AM27</f>
        <v>598754519.97000003</v>
      </c>
      <c r="AN4" s="141">
        <f>'Evolutive SFP'!AN27</f>
        <v>598754519.91000009</v>
      </c>
      <c r="AO4" s="141">
        <f>'Evolutive SFP'!AO27</f>
        <v>587236171.25</v>
      </c>
    </row>
    <row r="5" spans="1:41" ht="13.9">
      <c r="A5" s="5">
        <v>3</v>
      </c>
      <c r="B5" s="5" t="s">
        <v>140</v>
      </c>
      <c r="C5" s="141">
        <f>'Evolutive SFP'!C31</f>
        <v>371780021.37</v>
      </c>
      <c r="D5" s="141">
        <f>'Evolutive SFP'!D31</f>
        <v>362360242.47000003</v>
      </c>
      <c r="E5" s="141">
        <f>'Evolutive SFP'!E31</f>
        <v>355262725.55000001</v>
      </c>
      <c r="F5" s="141">
        <f>'Evolutive SFP'!F31</f>
        <v>363694676.81999999</v>
      </c>
      <c r="G5" s="141">
        <f>'Evolutive SFP'!G31</f>
        <v>358735382.18000001</v>
      </c>
      <c r="H5" s="141">
        <f>'Evolutive SFP'!H31</f>
        <v>375614887.42999995</v>
      </c>
      <c r="I5" s="141">
        <f>'Evolutive SFP'!I31</f>
        <v>362579813.99000001</v>
      </c>
      <c r="J5" s="141">
        <f>'Evolutive SFP'!J31</f>
        <v>376650945.51999998</v>
      </c>
      <c r="K5" s="141">
        <f>'Evolutive SFP'!K31</f>
        <v>574261437.14999998</v>
      </c>
      <c r="L5" s="141">
        <f>'Evolutive SFP'!L31</f>
        <v>453466566.94999999</v>
      </c>
      <c r="M5" s="141">
        <f>'Evolutive SFP'!M31</f>
        <v>412664419.5</v>
      </c>
      <c r="N5" s="141">
        <f>'Evolutive SFP'!N31</f>
        <v>412664420</v>
      </c>
      <c r="O5" s="141">
        <f>'Evolutive SFP'!O31</f>
        <v>416628664.03999996</v>
      </c>
      <c r="P5" s="141">
        <f>'Evolutive SFP'!P31</f>
        <v>443468461.65999997</v>
      </c>
      <c r="Q5" s="141">
        <f>'Evolutive SFP'!Q31</f>
        <v>405589141.10000002</v>
      </c>
      <c r="R5" s="141">
        <f>'Evolutive SFP'!R31</f>
        <v>433305727.12</v>
      </c>
      <c r="S5" s="141">
        <f>'Evolutive SFP'!S31</f>
        <v>407870700.72000003</v>
      </c>
      <c r="T5" s="141">
        <f>'Evolutive SFP'!T31</f>
        <v>404421100.27999997</v>
      </c>
      <c r="U5" s="141">
        <f>'Evolutive SFP'!U31</f>
        <v>412022144.31999999</v>
      </c>
      <c r="V5" s="141">
        <f>'Evolutive SFP'!V31</f>
        <v>0</v>
      </c>
      <c r="W5" s="141">
        <f>'Evolutive SFP'!W31</f>
        <v>0</v>
      </c>
      <c r="X5" s="141">
        <f>'Evolutive SFP'!X31</f>
        <v>0</v>
      </c>
      <c r="Y5" s="141">
        <f>'Evolutive SFP'!Y31</f>
        <v>0</v>
      </c>
      <c r="Z5" s="141">
        <f>'Evolutive SFP'!Z31</f>
        <v>0</v>
      </c>
      <c r="AA5" s="141">
        <f>'Evolutive SFP'!AA31</f>
        <v>397433523</v>
      </c>
      <c r="AB5" s="141">
        <f>'Evolutive SFP'!AB31</f>
        <v>408839363.79000002</v>
      </c>
      <c r="AC5" s="141">
        <f>'Evolutive SFP'!AC31</f>
        <v>409554997.60000002</v>
      </c>
      <c r="AD5" s="141">
        <f>'Evolutive SFP'!AD31</f>
        <v>399241450.17000002</v>
      </c>
      <c r="AE5" s="141">
        <f>'Evolutive SFP'!AE31</f>
        <v>411310059.63999999</v>
      </c>
      <c r="AF5" s="141">
        <f>'Evolutive SFP'!AF31</f>
        <v>419589652.05999994</v>
      </c>
      <c r="AG5" s="141">
        <f>'Evolutive SFP'!AG31</f>
        <v>403912897.36000001</v>
      </c>
      <c r="AH5" s="141">
        <f>'Evolutive SFP'!AH31</f>
        <v>519593278.05000001</v>
      </c>
      <c r="AI5" s="141">
        <f>'Evolutive SFP'!AI31</f>
        <v>466163553.21999997</v>
      </c>
      <c r="AJ5" s="141">
        <f>'Evolutive SFP'!AJ31</f>
        <v>447420713.42999995</v>
      </c>
      <c r="AK5" s="141">
        <f>'Evolutive SFP'!AK31</f>
        <v>452166291.74000001</v>
      </c>
      <c r="AL5" s="141">
        <f>'Evolutive SFP'!AL31</f>
        <v>441597643.59999996</v>
      </c>
      <c r="AM5" s="141">
        <f>'Evolutive SFP'!AM31</f>
        <v>419859304.16999996</v>
      </c>
      <c r="AN5" s="141">
        <f>'Evolutive SFP'!AN31</f>
        <v>419859303.88</v>
      </c>
      <c r="AO5" s="141">
        <f>'Evolutive SFP'!AO31</f>
        <v>419668475.13999999</v>
      </c>
    </row>
    <row r="6" spans="1:41" ht="13.9">
      <c r="A6" s="5">
        <v>3.1</v>
      </c>
      <c r="B6" s="6" t="s">
        <v>162</v>
      </c>
      <c r="C6" s="141">
        <f>'Evolutive SFP'!C30</f>
        <v>157568059.94</v>
      </c>
      <c r="D6" s="141">
        <f>'Evolutive SFP'!D30</f>
        <v>157987179.94</v>
      </c>
      <c r="E6" s="141">
        <f>'Evolutive SFP'!E30</f>
        <v>158767014.94</v>
      </c>
      <c r="F6" s="141">
        <f>'Evolutive SFP'!F30</f>
        <v>158242087.34</v>
      </c>
      <c r="G6" s="141">
        <f>'Evolutive SFP'!G30</f>
        <v>158592422.34</v>
      </c>
      <c r="H6" s="141">
        <f>'Evolutive SFP'!H30</f>
        <v>160082448.19999999</v>
      </c>
      <c r="I6" s="141">
        <f>'Evolutive SFP'!I30</f>
        <v>160316342.59999999</v>
      </c>
      <c r="J6" s="141">
        <f>'Evolutive SFP'!J30</f>
        <v>159724179.63</v>
      </c>
      <c r="K6" s="141">
        <f>'Evolutive SFP'!K30</f>
        <v>159966509.63</v>
      </c>
      <c r="L6" s="141">
        <f>'Evolutive SFP'!L30</f>
        <v>160500129.63</v>
      </c>
      <c r="M6" s="141">
        <f>'Evolutive SFP'!M30</f>
        <v>160891829.63</v>
      </c>
      <c r="N6" s="141">
        <f>'Evolutive SFP'!N30</f>
        <v>160891830</v>
      </c>
      <c r="O6" s="141">
        <f>'Evolutive SFP'!O30</f>
        <v>160548691.63</v>
      </c>
      <c r="P6" s="141">
        <f>'Evolutive SFP'!P30</f>
        <v>160987626.15000001</v>
      </c>
      <c r="Q6" s="141">
        <f>'Evolutive SFP'!Q30</f>
        <v>160514912.44999999</v>
      </c>
      <c r="R6" s="141">
        <f>'Evolutive SFP'!R30</f>
        <v>161673367.34999999</v>
      </c>
      <c r="S6" s="141">
        <f>'Evolutive SFP'!S30</f>
        <v>163739517.34999999</v>
      </c>
      <c r="T6" s="141">
        <f>'Evolutive SFP'!T30</f>
        <v>164508551.34999999</v>
      </c>
      <c r="U6" s="141">
        <f>'Evolutive SFP'!U30</f>
        <v>165158802.34999999</v>
      </c>
      <c r="V6" s="141">
        <f>'Evolutive SFP'!V30</f>
        <v>0</v>
      </c>
      <c r="W6" s="141">
        <f>'Evolutive SFP'!W30</f>
        <v>0</v>
      </c>
      <c r="X6" s="141">
        <f>'Evolutive SFP'!X30</f>
        <v>0</v>
      </c>
      <c r="Y6" s="141">
        <f>'Evolutive SFP'!Y30</f>
        <v>0</v>
      </c>
      <c r="Z6" s="141">
        <f>'Evolutive SFP'!Z30</f>
        <v>0</v>
      </c>
      <c r="AA6" s="141">
        <f>'Evolutive SFP'!AA30</f>
        <v>168763483</v>
      </c>
      <c r="AB6" s="141">
        <f>'Evolutive SFP'!AB30</f>
        <v>169381357.36000001</v>
      </c>
      <c r="AC6" s="141">
        <f>'Evolutive SFP'!AC30</f>
        <v>169361365.36000001</v>
      </c>
      <c r="AD6" s="141">
        <f>'Evolutive SFP'!AD30</f>
        <v>169606320.56</v>
      </c>
      <c r="AE6" s="141">
        <f>'Evolutive SFP'!AE30</f>
        <v>169669368.56999999</v>
      </c>
      <c r="AF6" s="141">
        <f>'Evolutive SFP'!AF30</f>
        <v>172141170.66999999</v>
      </c>
      <c r="AG6" s="141">
        <f>'Evolutive SFP'!AG30</f>
        <v>171926891.66999999</v>
      </c>
      <c r="AH6" s="141">
        <f>'Evolutive SFP'!AH30</f>
        <v>172738928.50999999</v>
      </c>
      <c r="AI6" s="141">
        <f>'Evolutive SFP'!AI30</f>
        <v>172483031.43000001</v>
      </c>
      <c r="AJ6" s="141">
        <f>'Evolutive SFP'!AJ30</f>
        <v>173232668.22999999</v>
      </c>
      <c r="AK6" s="141">
        <f>'Evolutive SFP'!AK30</f>
        <v>173750710.53999999</v>
      </c>
      <c r="AL6" s="141">
        <f>'Evolutive SFP'!AL30</f>
        <v>172967535.94</v>
      </c>
      <c r="AM6" s="141">
        <f>'Evolutive SFP'!AM30</f>
        <v>174065187.88</v>
      </c>
      <c r="AN6" s="141">
        <f>'Evolutive SFP'!AN30</f>
        <v>174065187.88</v>
      </c>
      <c r="AO6" s="141">
        <f>'Evolutive SFP'!AO30</f>
        <v>177470935.16999999</v>
      </c>
    </row>
    <row r="7" spans="1:41" ht="13.9">
      <c r="A7" s="5">
        <v>3.2</v>
      </c>
      <c r="B7" s="6" t="s">
        <v>163</v>
      </c>
      <c r="C7" s="141">
        <f>('Evolutive SFP'!C28+'Evolutive SFP'!C29)</f>
        <v>214211961.43000001</v>
      </c>
      <c r="D7" s="141">
        <f>('Evolutive SFP'!D28+'Evolutive SFP'!D29)</f>
        <v>204373062.53</v>
      </c>
      <c r="E7" s="141">
        <f>('Evolutive SFP'!E28+'Evolutive SFP'!E29)</f>
        <v>196495710.61000001</v>
      </c>
      <c r="F7" s="141">
        <f>('Evolutive SFP'!F28+'Evolutive SFP'!F29)</f>
        <v>205452589.47999999</v>
      </c>
      <c r="G7" s="141">
        <f>('Evolutive SFP'!G28+'Evolutive SFP'!G29)</f>
        <v>200142959.84</v>
      </c>
      <c r="H7" s="141">
        <f>('Evolutive SFP'!H28+'Evolutive SFP'!H29)</f>
        <v>215532439.22999999</v>
      </c>
      <c r="I7" s="141">
        <f>('Evolutive SFP'!I28+'Evolutive SFP'!I29)</f>
        <v>202263471.38999999</v>
      </c>
      <c r="J7" s="141">
        <f>('Evolutive SFP'!J28+'Evolutive SFP'!J29)</f>
        <v>216926765.88999999</v>
      </c>
      <c r="K7" s="141">
        <f>('Evolutive SFP'!K28+'Evolutive SFP'!K29)</f>
        <v>414294927.51999998</v>
      </c>
      <c r="L7" s="141">
        <f>('Evolutive SFP'!L28+'Evolutive SFP'!L29)</f>
        <v>292966437.31999999</v>
      </c>
      <c r="M7" s="141">
        <f>('Evolutive SFP'!M28+'Evolutive SFP'!M29)</f>
        <v>251772589.87</v>
      </c>
      <c r="N7" s="141">
        <f>('Evolutive SFP'!N28+'Evolutive SFP'!N29)</f>
        <v>251772590</v>
      </c>
      <c r="O7" s="141">
        <f>('Evolutive SFP'!O28+'Evolutive SFP'!O29)</f>
        <v>256079972.41</v>
      </c>
      <c r="P7" s="141">
        <f>('Evolutive SFP'!P28+'Evolutive SFP'!P29)</f>
        <v>282480835.50999999</v>
      </c>
      <c r="Q7" s="141">
        <f>('Evolutive SFP'!Q28+'Evolutive SFP'!Q29)</f>
        <v>245074228.65000001</v>
      </c>
      <c r="R7" s="141">
        <f>('Evolutive SFP'!R28+'Evolutive SFP'!R29)</f>
        <v>271632359.76999998</v>
      </c>
      <c r="S7" s="141">
        <f>('Evolutive SFP'!S28+'Evolutive SFP'!S29)</f>
        <v>244131183.37</v>
      </c>
      <c r="T7" s="141">
        <f>('Evolutive SFP'!T28+'Evolutive SFP'!T29)</f>
        <v>239912548.93000001</v>
      </c>
      <c r="U7" s="141">
        <f>('Evolutive SFP'!U28+'Evolutive SFP'!U29)</f>
        <v>246863341.97</v>
      </c>
      <c r="V7" s="141">
        <f>('Evolutive SFP'!V28+'Evolutive SFP'!V29)</f>
        <v>0</v>
      </c>
      <c r="W7" s="141">
        <f>('Evolutive SFP'!W28+'Evolutive SFP'!W29)</f>
        <v>0</v>
      </c>
      <c r="X7" s="141">
        <f>('Evolutive SFP'!X28+'Evolutive SFP'!X29)</f>
        <v>0</v>
      </c>
      <c r="Y7" s="141">
        <f>('Evolutive SFP'!Y28+'Evolutive SFP'!Y29)</f>
        <v>0</v>
      </c>
      <c r="Z7" s="141">
        <f>('Evolutive SFP'!Z28+'Evolutive SFP'!Z29)</f>
        <v>0</v>
      </c>
      <c r="AA7" s="141">
        <f>('Evolutive SFP'!AA28+'Evolutive SFP'!AA29)</f>
        <v>228670040</v>
      </c>
      <c r="AB7" s="141">
        <f>('Evolutive SFP'!AB28+'Evolutive SFP'!AB29)</f>
        <v>239458006.43000001</v>
      </c>
      <c r="AC7" s="141">
        <f>('Evolutive SFP'!AC28+'Evolutive SFP'!AC29)</f>
        <v>240193632.24000001</v>
      </c>
      <c r="AD7" s="141">
        <f>('Evolutive SFP'!AD28+'Evolutive SFP'!AD29)</f>
        <v>229635129.61000001</v>
      </c>
      <c r="AE7" s="141">
        <f>('Evolutive SFP'!AE28+'Evolutive SFP'!AE29)</f>
        <v>241640691.06999999</v>
      </c>
      <c r="AF7" s="141">
        <f>('Evolutive SFP'!AF28+'Evolutive SFP'!AF29)</f>
        <v>247448481.38999999</v>
      </c>
      <c r="AG7" s="141">
        <f>('Evolutive SFP'!AG28+'Evolutive SFP'!AG29)</f>
        <v>231986005.69</v>
      </c>
      <c r="AH7" s="141">
        <f>('Evolutive SFP'!AH28+'Evolutive SFP'!AH29)</f>
        <v>346854349.54000002</v>
      </c>
      <c r="AI7" s="141">
        <f>('Evolutive SFP'!AI28+'Evolutive SFP'!AI29)</f>
        <v>293680521.78999996</v>
      </c>
      <c r="AJ7" s="141">
        <f>('Evolutive SFP'!AJ28+'Evolutive SFP'!AJ29)</f>
        <v>274188045.19999999</v>
      </c>
      <c r="AK7" s="141">
        <f>('Evolutive SFP'!AK28+'Evolutive SFP'!AK29)</f>
        <v>278415581.19999999</v>
      </c>
      <c r="AL7" s="141">
        <f>('Evolutive SFP'!AL28+'Evolutive SFP'!AL29)</f>
        <v>268630107.65999997</v>
      </c>
      <c r="AM7" s="141">
        <f>('Evolutive SFP'!AM28+'Evolutive SFP'!AM29)</f>
        <v>245794116.28999999</v>
      </c>
      <c r="AN7" s="141">
        <f>('Evolutive SFP'!AN28+'Evolutive SFP'!AN29)</f>
        <v>245794116</v>
      </c>
      <c r="AO7" s="141">
        <f>('Evolutive SFP'!AO28+'Evolutive SFP'!AO29)</f>
        <v>242197539.97</v>
      </c>
    </row>
    <row r="8" spans="1:41" ht="13.9">
      <c r="A8" s="5">
        <v>4</v>
      </c>
      <c r="B8" s="5" t="s">
        <v>164</v>
      </c>
      <c r="C8" s="141">
        <f>'Evolutive SFP'!C37</f>
        <v>0</v>
      </c>
      <c r="D8" s="141">
        <f>'Evolutive SFP'!D37</f>
        <v>0</v>
      </c>
      <c r="E8" s="141">
        <f>'Evolutive SFP'!E37</f>
        <v>0</v>
      </c>
      <c r="F8" s="141">
        <f>'Evolutive SFP'!F37</f>
        <v>0</v>
      </c>
      <c r="G8" s="141">
        <f>'Evolutive SFP'!G37</f>
        <v>0</v>
      </c>
      <c r="H8" s="141">
        <f>'Evolutive SFP'!H37</f>
        <v>0</v>
      </c>
      <c r="I8" s="141">
        <f>'Evolutive SFP'!I37</f>
        <v>0</v>
      </c>
      <c r="J8" s="141">
        <f>'Evolutive SFP'!J37</f>
        <v>0</v>
      </c>
      <c r="K8" s="141">
        <f>'Evolutive SFP'!K37</f>
        <v>0</v>
      </c>
      <c r="L8" s="141">
        <f>'Evolutive SFP'!L37</f>
        <v>0</v>
      </c>
      <c r="M8" s="141">
        <f>'Evolutive SFP'!M37</f>
        <v>0</v>
      </c>
      <c r="N8" s="141">
        <f>'Evolutive SFP'!N37</f>
        <v>0</v>
      </c>
      <c r="O8" s="141">
        <f>'Evolutive SFP'!O37</f>
        <v>0</v>
      </c>
      <c r="P8" s="141">
        <f>'Evolutive SFP'!P37</f>
        <v>0</v>
      </c>
      <c r="Q8" s="141">
        <f>'Evolutive SFP'!Q37</f>
        <v>0</v>
      </c>
    </row>
    <row r="9" spans="1:41" ht="13.9">
      <c r="A9" s="5"/>
      <c r="B9" s="5" t="s">
        <v>165</v>
      </c>
      <c r="C9" s="141">
        <f>SUM('Evolutive SFP'!C32:C36)</f>
        <v>39756238.049999997</v>
      </c>
      <c r="D9" s="141">
        <f>SUM('Evolutive SFP'!D32:D36)</f>
        <v>31215733.68</v>
      </c>
      <c r="E9" s="141">
        <f>SUM('Evolutive SFP'!E32:E36)</f>
        <v>59602809.770000003</v>
      </c>
      <c r="F9" s="141">
        <f>SUM('Evolutive SFP'!F32:F36)</f>
        <v>53545931.480000004</v>
      </c>
      <c r="G9" s="141">
        <f>SUM('Evolutive SFP'!G32:G36)</f>
        <v>49314753.93</v>
      </c>
      <c r="H9" s="141">
        <f>SUM('Evolutive SFP'!H32:H36)</f>
        <v>78996200.860000014</v>
      </c>
      <c r="I9" s="141">
        <f>SUM('Evolutive SFP'!I32:I36)</f>
        <v>36025388.380000003</v>
      </c>
      <c r="J9" s="141">
        <f>SUM('Evolutive SFP'!J32:J36)</f>
        <v>22303714.810000002</v>
      </c>
      <c r="K9" s="141">
        <f>SUM('Evolutive SFP'!K32:K36)</f>
        <v>28396018.490000002</v>
      </c>
      <c r="L9" s="141">
        <f>SUM('Evolutive SFP'!L32:L36)</f>
        <v>27578147.609999999</v>
      </c>
      <c r="M9" s="141">
        <f>SUM('Evolutive SFP'!M32:M36)</f>
        <v>27178977.75</v>
      </c>
      <c r="N9" s="141">
        <f>SUM('Evolutive SFP'!N32:N36)</f>
        <v>45714264</v>
      </c>
      <c r="O9" s="141">
        <f>SUM('Evolutive SFP'!O32:O36)</f>
        <v>29901242.609999999</v>
      </c>
      <c r="P9" s="141">
        <f>SUM('Evolutive SFP'!P32:P36)</f>
        <v>50134073.380000003</v>
      </c>
      <c r="Q9" s="141">
        <f>SUM('Evolutive SFP'!Q32:Q36)</f>
        <v>33300096.510000002</v>
      </c>
      <c r="R9" s="141">
        <f>SUM('Evolutive SFP'!R32:R36)</f>
        <v>27654232.970000003</v>
      </c>
      <c r="S9" s="141">
        <f>SUM('Evolutive SFP'!S32:S36)</f>
        <v>26510199.010000002</v>
      </c>
      <c r="T9" s="141">
        <f>SUM('Evolutive SFP'!T32:T36)</f>
        <v>22872585.130000003</v>
      </c>
      <c r="U9" s="141">
        <f>SUM('Evolutive SFP'!U32:U36)</f>
        <v>21474142.370000001</v>
      </c>
      <c r="V9" s="141">
        <f>SUM('Evolutive SFP'!V32:V36)</f>
        <v>0</v>
      </c>
      <c r="W9" s="141">
        <f>SUM('Evolutive SFP'!W32:W36)</f>
        <v>0</v>
      </c>
      <c r="X9" s="141">
        <f>SUM('Evolutive SFP'!X32:X36)</f>
        <v>0</v>
      </c>
      <c r="Y9" s="141">
        <f>SUM('Evolutive SFP'!Y32:Y36)</f>
        <v>0</v>
      </c>
      <c r="Z9" s="141">
        <f>SUM('Evolutive SFP'!Z32:Z36)</f>
        <v>0</v>
      </c>
      <c r="AA9" s="141">
        <f>SUM('Evolutive SFP'!AA32:AA36)</f>
        <v>43636047</v>
      </c>
      <c r="AB9" s="141">
        <f>SUM('Evolutive SFP'!AB32:AB36)</f>
        <v>19085791.5</v>
      </c>
      <c r="AC9" s="141">
        <f>SUM('Evolutive SFP'!AC32:AC36)</f>
        <v>39660608.269999996</v>
      </c>
      <c r="AD9" s="141">
        <f>SUM('Evolutive SFP'!AD32:AD36)</f>
        <v>25565632.510000002</v>
      </c>
      <c r="AE9" s="141">
        <f>SUM('Evolutive SFP'!AE32:AE36)</f>
        <v>22212270.550000001</v>
      </c>
      <c r="AF9" s="141">
        <f>SUM('Evolutive SFP'!AF32:AF36)</f>
        <v>19917992.25</v>
      </c>
      <c r="AG9" s="141">
        <f>SUM('Evolutive SFP'!AG32:AG36)</f>
        <v>21652731.859999999</v>
      </c>
      <c r="AH9" s="141">
        <f>SUM('Evolutive SFP'!AH32:AH36)</f>
        <v>33047928.800000001</v>
      </c>
      <c r="AI9" s="141">
        <f>SUM('Evolutive SFP'!AI32:AI36)</f>
        <v>26135628.18</v>
      </c>
      <c r="AJ9" s="141">
        <f>SUM('Evolutive SFP'!AJ32:AJ36)</f>
        <v>23773250.280000001</v>
      </c>
      <c r="AK9" s="141">
        <f>SUM('Evolutive SFP'!AK32:AK36)</f>
        <v>26217799.25</v>
      </c>
      <c r="AL9" s="141">
        <f>SUM('Evolutive SFP'!AL32:AL36)</f>
        <v>25031663.100000001</v>
      </c>
      <c r="AM9" s="141">
        <f>SUM('Evolutive SFP'!AM32:AM36)</f>
        <v>23560810</v>
      </c>
      <c r="AN9" s="141">
        <f>SUM('Evolutive SFP'!AN32:AN36)</f>
        <v>41334455.700000003</v>
      </c>
      <c r="AO9" s="141">
        <f>SUM('Evolutive SFP'!AO32:AO36)</f>
        <v>18117333.93</v>
      </c>
    </row>
    <row r="10" spans="1:41" ht="13.9">
      <c r="A10" s="7">
        <v>5</v>
      </c>
      <c r="B10" s="3" t="s">
        <v>166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41" s="194" customFormat="1" ht="13.9">
      <c r="A11" s="191">
        <v>5.0999999999999996</v>
      </c>
      <c r="B11" s="192" t="s">
        <v>105</v>
      </c>
      <c r="C11" s="193">
        <f t="shared" ref="C11:U11" si="0">C14-C22-C27</f>
        <v>97340563.609999999</v>
      </c>
      <c r="D11" s="193">
        <f t="shared" si="0"/>
        <v>102228246.89</v>
      </c>
      <c r="E11" s="193">
        <f t="shared" si="0"/>
        <v>80654924.640000001</v>
      </c>
      <c r="F11" s="193">
        <f t="shared" si="0"/>
        <v>83549835.979999989</v>
      </c>
      <c r="G11" s="193">
        <f t="shared" si="0"/>
        <v>86258345.039999992</v>
      </c>
      <c r="H11" s="193">
        <f t="shared" si="0"/>
        <v>87597885.200000003</v>
      </c>
      <c r="I11" s="193">
        <f t="shared" si="0"/>
        <v>89880231.5</v>
      </c>
      <c r="J11" s="193">
        <f t="shared" si="0"/>
        <v>90811053.700000003</v>
      </c>
      <c r="K11" s="193">
        <f t="shared" si="0"/>
        <v>100995300.81999999</v>
      </c>
      <c r="L11" s="193">
        <f t="shared" si="0"/>
        <v>102014417.78</v>
      </c>
      <c r="M11" s="193">
        <f t="shared" si="0"/>
        <v>103082514.90000001</v>
      </c>
      <c r="N11" s="193">
        <f t="shared" si="0"/>
        <v>91904022</v>
      </c>
      <c r="O11" s="193">
        <f t="shared" si="0"/>
        <v>131925103.07000001</v>
      </c>
      <c r="P11" s="193">
        <f t="shared" si="0"/>
        <v>109836051.27</v>
      </c>
      <c r="Q11" s="193">
        <f t="shared" si="0"/>
        <v>112132588.31</v>
      </c>
      <c r="R11" s="193">
        <f t="shared" si="0"/>
        <v>115702850.55000001</v>
      </c>
      <c r="S11" s="193">
        <f t="shared" si="0"/>
        <v>117472834.09999999</v>
      </c>
      <c r="T11" s="193">
        <f t="shared" si="0"/>
        <v>119056779.59999999</v>
      </c>
      <c r="U11" s="193">
        <f t="shared" si="0"/>
        <v>121192508.55000001</v>
      </c>
      <c r="V11" s="193">
        <f t="shared" ref="V11:AA11" si="1">V14-V22-V27</f>
        <v>0</v>
      </c>
      <c r="W11" s="193">
        <f t="shared" si="1"/>
        <v>0</v>
      </c>
      <c r="X11" s="193">
        <f t="shared" si="1"/>
        <v>0</v>
      </c>
      <c r="Y11" s="193">
        <f t="shared" si="1"/>
        <v>0</v>
      </c>
      <c r="Z11" s="193">
        <f t="shared" si="1"/>
        <v>0</v>
      </c>
      <c r="AA11" s="193">
        <f t="shared" si="1"/>
        <v>116003428</v>
      </c>
      <c r="AB11" s="193">
        <f t="shared" ref="AB11:AN11" si="2">AB14-AB22-AB27</f>
        <v>140453657.63</v>
      </c>
      <c r="AC11" s="193">
        <f t="shared" si="2"/>
        <v>118312729.36999999</v>
      </c>
      <c r="AD11" s="193">
        <f t="shared" si="2"/>
        <v>122156467.39</v>
      </c>
      <c r="AE11" s="193">
        <f t="shared" si="2"/>
        <v>126730932.78</v>
      </c>
      <c r="AF11" s="193">
        <f t="shared" si="2"/>
        <v>132143201.58</v>
      </c>
      <c r="AG11" s="193">
        <f t="shared" si="2"/>
        <v>137105522.94</v>
      </c>
      <c r="AH11" s="193">
        <f t="shared" si="2"/>
        <v>147391708.55000001</v>
      </c>
      <c r="AI11" s="193">
        <f t="shared" si="2"/>
        <v>148129508.59</v>
      </c>
      <c r="AJ11" s="193">
        <f t="shared" si="2"/>
        <v>149756895.61000001</v>
      </c>
      <c r="AK11" s="193">
        <f t="shared" si="2"/>
        <v>150551351.38999999</v>
      </c>
      <c r="AL11" s="193">
        <f t="shared" si="2"/>
        <v>151334634.62</v>
      </c>
      <c r="AM11" s="193">
        <f t="shared" si="2"/>
        <v>155334405.80000001</v>
      </c>
      <c r="AN11" s="193">
        <f t="shared" si="2"/>
        <v>133293233</v>
      </c>
      <c r="AO11" s="193">
        <f t="shared" ref="AO11" si="3">AO14-AO22-AO27</f>
        <v>149450364.18000001</v>
      </c>
    </row>
    <row r="12" spans="1:41" s="198" customFormat="1" ht="13.9">
      <c r="A12" s="195">
        <v>5.2</v>
      </c>
      <c r="B12" s="196" t="s">
        <v>167</v>
      </c>
      <c r="C12" s="197">
        <f>C11-C15</f>
        <v>63402135.780000001</v>
      </c>
      <c r="D12" s="197">
        <f>D11-D15</f>
        <v>68122529.060000002</v>
      </c>
      <c r="E12" s="197">
        <f>E11-E15</f>
        <v>46400741.810000002</v>
      </c>
      <c r="F12" s="197">
        <f t="shared" ref="F12:U12" si="4">F11-F15</f>
        <v>49084633.149999991</v>
      </c>
      <c r="G12" s="197">
        <f t="shared" si="4"/>
        <v>51635225.209999993</v>
      </c>
      <c r="H12" s="197">
        <f t="shared" si="4"/>
        <v>52637765.370000005</v>
      </c>
      <c r="I12" s="197">
        <f t="shared" si="4"/>
        <v>54654850.07</v>
      </c>
      <c r="J12" s="197">
        <f t="shared" si="4"/>
        <v>55428067.270000003</v>
      </c>
      <c r="K12" s="197">
        <f t="shared" si="4"/>
        <v>65433831.389999993</v>
      </c>
      <c r="L12" s="197">
        <f t="shared" si="4"/>
        <v>66261598.350000001</v>
      </c>
      <c r="M12" s="197">
        <f t="shared" si="4"/>
        <v>67147835.469999999</v>
      </c>
      <c r="N12" s="197">
        <f t="shared" si="4"/>
        <v>55969343</v>
      </c>
      <c r="O12" s="197">
        <f t="shared" si="4"/>
        <v>95832458.640000015</v>
      </c>
      <c r="P12" s="197">
        <f t="shared" si="4"/>
        <v>73527778.109999999</v>
      </c>
      <c r="Q12" s="197">
        <f t="shared" si="4"/>
        <v>75498093.450000003</v>
      </c>
      <c r="R12" s="197">
        <f t="shared" si="4"/>
        <v>78654595.590000004</v>
      </c>
      <c r="S12" s="197">
        <f t="shared" si="4"/>
        <v>79966274.139999986</v>
      </c>
      <c r="T12" s="197">
        <f t="shared" si="4"/>
        <v>81184847.639999986</v>
      </c>
      <c r="U12" s="197">
        <f t="shared" si="4"/>
        <v>82973186.590000004</v>
      </c>
      <c r="V12" s="197">
        <f t="shared" ref="V12:AA12" si="5">V11-V15</f>
        <v>0</v>
      </c>
      <c r="W12" s="197">
        <f t="shared" si="5"/>
        <v>0</v>
      </c>
      <c r="X12" s="197">
        <f t="shared" si="5"/>
        <v>0</v>
      </c>
      <c r="Y12" s="197">
        <f t="shared" si="5"/>
        <v>0</v>
      </c>
      <c r="Z12" s="197">
        <f t="shared" si="5"/>
        <v>0</v>
      </c>
      <c r="AA12" s="197">
        <f t="shared" si="5"/>
        <v>76018029</v>
      </c>
      <c r="AB12" s="197">
        <f t="shared" ref="AB12:AN12" si="6">AB11-AB15</f>
        <v>100138378.97</v>
      </c>
      <c r="AC12" s="197">
        <f t="shared" si="6"/>
        <v>77628903.709999993</v>
      </c>
      <c r="AD12" s="197">
        <f t="shared" si="6"/>
        <v>81080708.930000007</v>
      </c>
      <c r="AE12" s="197">
        <f t="shared" si="6"/>
        <v>85256346.319999993</v>
      </c>
      <c r="AF12" s="197">
        <f t="shared" si="6"/>
        <v>90056528.430000007</v>
      </c>
      <c r="AG12" s="197">
        <f t="shared" si="6"/>
        <v>94430254.789999992</v>
      </c>
      <c r="AH12" s="197">
        <f t="shared" si="6"/>
        <v>104260607.90000001</v>
      </c>
      <c r="AI12" s="197">
        <f t="shared" si="6"/>
        <v>104598327.94</v>
      </c>
      <c r="AJ12" s="197">
        <f t="shared" si="6"/>
        <v>105791839.76000002</v>
      </c>
      <c r="AK12" s="197">
        <f t="shared" si="6"/>
        <v>106275152.53999999</v>
      </c>
      <c r="AL12" s="197">
        <f t="shared" si="6"/>
        <v>106620705.77000001</v>
      </c>
      <c r="AM12" s="197">
        <f t="shared" si="6"/>
        <v>110108164.95000002</v>
      </c>
      <c r="AN12" s="197">
        <f t="shared" si="6"/>
        <v>88066992</v>
      </c>
      <c r="AO12" s="197">
        <f t="shared" ref="AO12" si="7">AO11-AO15</f>
        <v>100131009.02000001</v>
      </c>
    </row>
    <row r="13" spans="1:41" ht="13.9">
      <c r="A13" s="7"/>
      <c r="B13" s="3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</row>
    <row r="14" spans="1:41" s="143" customFormat="1" ht="13.9">
      <c r="A14" s="14">
        <v>5.3</v>
      </c>
      <c r="B14" s="3" t="s">
        <v>168</v>
      </c>
      <c r="C14" s="142">
        <f t="shared" ref="C14:U14" si="8">C15+C16+C17+C18+C19+C20+C21</f>
        <v>123947507.41</v>
      </c>
      <c r="D14" s="142">
        <f t="shared" si="8"/>
        <v>128835190.69</v>
      </c>
      <c r="E14" s="142">
        <f t="shared" si="8"/>
        <v>107261868.44</v>
      </c>
      <c r="F14" s="142">
        <f t="shared" si="8"/>
        <v>110156779.77999999</v>
      </c>
      <c r="G14" s="142">
        <f t="shared" si="8"/>
        <v>112865288.83999999</v>
      </c>
      <c r="H14" s="142">
        <f t="shared" si="8"/>
        <v>114204829</v>
      </c>
      <c r="I14" s="142">
        <f t="shared" si="8"/>
        <v>116487175.3</v>
      </c>
      <c r="J14" s="142">
        <f t="shared" si="8"/>
        <v>117417997.5</v>
      </c>
      <c r="K14" s="142">
        <f t="shared" si="8"/>
        <v>127602244.61999999</v>
      </c>
      <c r="L14" s="142">
        <f t="shared" si="8"/>
        <v>128621361.58</v>
      </c>
      <c r="M14" s="142">
        <f t="shared" si="8"/>
        <v>129689458.7</v>
      </c>
      <c r="N14" s="142">
        <f t="shared" si="8"/>
        <v>115810656</v>
      </c>
      <c r="O14" s="142">
        <f t="shared" si="8"/>
        <v>131925103.07000001</v>
      </c>
      <c r="P14" s="142">
        <f t="shared" si="8"/>
        <v>109836051.27</v>
      </c>
      <c r="Q14" s="142">
        <f t="shared" si="8"/>
        <v>112132588.31</v>
      </c>
      <c r="R14" s="142">
        <f t="shared" si="8"/>
        <v>115702850.55000001</v>
      </c>
      <c r="S14" s="142">
        <f t="shared" si="8"/>
        <v>117472834.09999999</v>
      </c>
      <c r="T14" s="142">
        <f t="shared" si="8"/>
        <v>119056779.59999999</v>
      </c>
      <c r="U14" s="142">
        <f t="shared" si="8"/>
        <v>121192508.55000001</v>
      </c>
      <c r="V14" s="142">
        <f t="shared" ref="V14:AA14" si="9">V15+V16+V17+V18+V19+V20+V21</f>
        <v>0</v>
      </c>
      <c r="W14" s="142">
        <f t="shared" si="9"/>
        <v>0</v>
      </c>
      <c r="X14" s="142">
        <f t="shared" si="9"/>
        <v>0</v>
      </c>
      <c r="Y14" s="142">
        <f t="shared" si="9"/>
        <v>0</v>
      </c>
      <c r="Z14" s="142">
        <f t="shared" si="9"/>
        <v>0</v>
      </c>
      <c r="AA14" s="142">
        <f t="shared" si="9"/>
        <v>119202260</v>
      </c>
      <c r="AB14" s="142">
        <f t="shared" ref="AB14:AN14" si="10">AB15+AB16+AB17+AB18+AB19+AB20+AB21</f>
        <v>140453657.63</v>
      </c>
      <c r="AC14" s="142">
        <f t="shared" si="10"/>
        <v>118312729.36999999</v>
      </c>
      <c r="AD14" s="142">
        <f t="shared" si="10"/>
        <v>122156467.39</v>
      </c>
      <c r="AE14" s="142">
        <f t="shared" si="10"/>
        <v>126730932.78</v>
      </c>
      <c r="AF14" s="142">
        <f t="shared" si="10"/>
        <v>132143201.58</v>
      </c>
      <c r="AG14" s="142">
        <f t="shared" si="10"/>
        <v>137105522.94</v>
      </c>
      <c r="AH14" s="142">
        <f t="shared" si="10"/>
        <v>147391708.55000001</v>
      </c>
      <c r="AI14" s="142">
        <f t="shared" si="10"/>
        <v>148129508.59</v>
      </c>
      <c r="AJ14" s="142">
        <f t="shared" si="10"/>
        <v>149756895.61000001</v>
      </c>
      <c r="AK14" s="142">
        <f t="shared" si="10"/>
        <v>150551351.38999999</v>
      </c>
      <c r="AL14" s="142">
        <f t="shared" si="10"/>
        <v>151334634.62</v>
      </c>
      <c r="AM14" s="142">
        <f t="shared" si="10"/>
        <v>155334405.80000001</v>
      </c>
      <c r="AN14" s="142">
        <f t="shared" si="10"/>
        <v>137560760</v>
      </c>
      <c r="AO14" s="142">
        <f t="shared" ref="AO14" si="11">AO15+AO16+AO17+AO18+AO19+AO20+AO21</f>
        <v>149450364.18000001</v>
      </c>
    </row>
    <row r="15" spans="1:41" ht="13.9">
      <c r="A15" s="7" t="s">
        <v>169</v>
      </c>
      <c r="B15" s="8" t="s">
        <v>170</v>
      </c>
      <c r="C15" s="141">
        <f>'Evolutive SFP'!C39</f>
        <v>33938427.829999998</v>
      </c>
      <c r="D15" s="141">
        <f>'Evolutive SFP'!D39</f>
        <v>34105717.829999998</v>
      </c>
      <c r="E15" s="141">
        <f>'Evolutive SFP'!E39</f>
        <v>34254182.829999998</v>
      </c>
      <c r="F15" s="141">
        <f>'Evolutive SFP'!F39</f>
        <v>34465202.829999998</v>
      </c>
      <c r="G15" s="141">
        <f>'Evolutive SFP'!G39</f>
        <v>34623119.829999998</v>
      </c>
      <c r="H15" s="141">
        <f>'Evolutive SFP'!H39</f>
        <v>34960119.829999998</v>
      </c>
      <c r="I15" s="141">
        <f>'Evolutive SFP'!I39</f>
        <v>35225381.43</v>
      </c>
      <c r="J15" s="141">
        <f>'Evolutive SFP'!J39</f>
        <v>35382986.43</v>
      </c>
      <c r="K15" s="141">
        <f>'Evolutive SFP'!K39</f>
        <v>35561469.43</v>
      </c>
      <c r="L15" s="141">
        <f>'Evolutive SFP'!L39</f>
        <v>35752819.43</v>
      </c>
      <c r="M15" s="141">
        <f>'Evolutive SFP'!M39</f>
        <v>35934679.43</v>
      </c>
      <c r="N15" s="141">
        <f>'Evolutive SFP'!N39</f>
        <v>35934679</v>
      </c>
      <c r="O15" s="206">
        <f>'Evolutive SFP'!O39</f>
        <v>36092644.43</v>
      </c>
      <c r="P15" s="206">
        <f>'Evolutive SFP'!P39</f>
        <v>36308273.159999996</v>
      </c>
      <c r="Q15" s="206">
        <f>'Evolutive SFP'!Q39</f>
        <v>36634494.859999999</v>
      </c>
      <c r="R15" s="206">
        <f>'Evolutive SFP'!R39</f>
        <v>37048254.960000001</v>
      </c>
      <c r="S15" s="206">
        <f>'Evolutive SFP'!S39</f>
        <v>37506559.960000001</v>
      </c>
      <c r="T15" s="206">
        <f>'Evolutive SFP'!T39</f>
        <v>37871931.960000001</v>
      </c>
      <c r="U15" s="206">
        <f>'Evolutive SFP'!U39</f>
        <v>38219321.960000001</v>
      </c>
      <c r="V15" s="206">
        <f>'Evolutive SFP'!V39</f>
        <v>0</v>
      </c>
      <c r="W15" s="206">
        <f>'Evolutive SFP'!W39</f>
        <v>0</v>
      </c>
      <c r="X15" s="206">
        <f>'Evolutive SFP'!X39</f>
        <v>0</v>
      </c>
      <c r="Y15" s="206">
        <f>'Evolutive SFP'!Y39</f>
        <v>0</v>
      </c>
      <c r="Z15" s="206">
        <f>'Evolutive SFP'!Z39</f>
        <v>0</v>
      </c>
      <c r="AA15" s="206">
        <f>'Evolutive SFP'!AA39</f>
        <v>39985399</v>
      </c>
      <c r="AB15" s="206">
        <f>'Evolutive SFP'!AB39</f>
        <v>40315278.659999996</v>
      </c>
      <c r="AC15" s="206">
        <f>'Evolutive SFP'!AC39</f>
        <v>40683825.659999996</v>
      </c>
      <c r="AD15" s="206">
        <f>'Evolutive SFP'!AD39</f>
        <v>41075758.460000001</v>
      </c>
      <c r="AE15" s="206">
        <f>'Evolutive SFP'!AE39</f>
        <v>41474586.460000001</v>
      </c>
      <c r="AF15" s="206">
        <f>'Evolutive SFP'!AF39</f>
        <v>42086673.149999999</v>
      </c>
      <c r="AG15" s="206">
        <f>'Evolutive SFP'!AG39</f>
        <v>42675268.149999999</v>
      </c>
      <c r="AH15" s="206">
        <f>'Evolutive SFP'!AH39</f>
        <v>43131100.649999999</v>
      </c>
      <c r="AI15" s="206">
        <f>'Evolutive SFP'!AI39</f>
        <v>43531180.649999999</v>
      </c>
      <c r="AJ15" s="206">
        <f>'Evolutive SFP'!AJ39</f>
        <v>43965055.850000001</v>
      </c>
      <c r="AK15" s="206">
        <f>'Evolutive SFP'!AK39</f>
        <v>44276198.850000001</v>
      </c>
      <c r="AL15" s="206">
        <f>'Evolutive SFP'!AL39</f>
        <v>44713928.850000001</v>
      </c>
      <c r="AM15" s="206">
        <f>'Evolutive SFP'!AM39</f>
        <v>45226240.850000001</v>
      </c>
      <c r="AN15" s="206">
        <f>'Evolutive SFP'!AN39</f>
        <v>45226241</v>
      </c>
      <c r="AO15" s="206">
        <f>'Evolutive SFP'!AO39</f>
        <v>49319355.159999996</v>
      </c>
    </row>
    <row r="16" spans="1:41" ht="13.9">
      <c r="A16" s="7" t="s">
        <v>171</v>
      </c>
      <c r="B16" s="9" t="s">
        <v>172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205"/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Z16" s="204">
        <v>0</v>
      </c>
      <c r="AA16" s="204">
        <v>0</v>
      </c>
      <c r="AB16" s="204">
        <v>0</v>
      </c>
      <c r="AC16" s="204">
        <v>0</v>
      </c>
      <c r="AD16" s="204">
        <v>0</v>
      </c>
      <c r="AE16" s="204">
        <v>0</v>
      </c>
      <c r="AF16" s="204">
        <v>0</v>
      </c>
      <c r="AG16" s="204">
        <v>0</v>
      </c>
      <c r="AH16" s="204">
        <v>0</v>
      </c>
      <c r="AI16" s="204">
        <v>0</v>
      </c>
      <c r="AJ16" s="204">
        <v>0</v>
      </c>
      <c r="AK16" s="204">
        <v>0</v>
      </c>
      <c r="AL16" s="204">
        <v>0</v>
      </c>
      <c r="AM16" s="204">
        <v>0</v>
      </c>
      <c r="AN16" s="204">
        <v>0</v>
      </c>
      <c r="AO16" s="204">
        <v>1</v>
      </c>
    </row>
    <row r="17" spans="1:41" ht="13.9">
      <c r="A17" s="7" t="s">
        <v>173</v>
      </c>
      <c r="B17" s="6" t="s">
        <v>174</v>
      </c>
      <c r="C17" s="141">
        <f>'Evolutive SFP'!C41</f>
        <v>46919814.469999999</v>
      </c>
      <c r="D17" s="141">
        <f>'Evolutive SFP'!D41</f>
        <v>46919814.469999999</v>
      </c>
      <c r="E17" s="141">
        <f>'Evolutive SFP'!E41</f>
        <v>24114145.469999999</v>
      </c>
      <c r="F17" s="141">
        <f>'Evolutive SFP'!F41</f>
        <v>24114145.469999999</v>
      </c>
      <c r="G17" s="141">
        <f>'Evolutive SFP'!G41</f>
        <v>24114145.469999999</v>
      </c>
      <c r="H17" s="141">
        <f>'Evolutive SFP'!H41</f>
        <v>24114145.469999999</v>
      </c>
      <c r="I17" s="141">
        <f>'Evolutive SFP'!I41</f>
        <v>24114145.469999999</v>
      </c>
      <c r="J17" s="141">
        <f>'Evolutive SFP'!J41</f>
        <v>24114145.469999999</v>
      </c>
      <c r="K17" s="141">
        <f>'Evolutive SFP'!K41</f>
        <v>24114145.469999999</v>
      </c>
      <c r="L17" s="141">
        <f>'Evolutive SFP'!L41</f>
        <v>24114145.469999999</v>
      </c>
      <c r="M17" s="141">
        <f>'Evolutive SFP'!M41</f>
        <v>24114145.469999999</v>
      </c>
      <c r="N17" s="205">
        <f>'Evolutive SFP'!N41</f>
        <v>23064003</v>
      </c>
      <c r="O17" s="204">
        <f>'Evolutive SFP'!O41+'Evolutive SFP'!O42</f>
        <v>55278177.400000006</v>
      </c>
      <c r="P17" s="204">
        <f>'Evolutive SFP'!P41+'Evolutive SFP'!P42</f>
        <v>34590548.920000002</v>
      </c>
      <c r="Q17" s="204">
        <f>'Evolutive SFP'!Q41+'Evolutive SFP'!Q42</f>
        <v>36556590.159999996</v>
      </c>
      <c r="R17" s="204">
        <f>'Evolutive SFP'!R41+'Evolutive SFP'!R42</f>
        <v>39708412.75</v>
      </c>
      <c r="S17" s="204">
        <f>'Evolutive SFP'!S41+'Evolutive SFP'!S42</f>
        <v>40987099.099999994</v>
      </c>
      <c r="T17" s="204">
        <f>'Evolutive SFP'!T41+'Evolutive SFP'!T42</f>
        <v>42194831.199999996</v>
      </c>
      <c r="U17" s="204">
        <f>'Evolutive SFP'!U41+'Evolutive SFP'!U42</f>
        <v>43972873.25</v>
      </c>
      <c r="V17" s="204">
        <f>'Evolutive SFP'!V41+'Evolutive SFP'!V42</f>
        <v>0</v>
      </c>
      <c r="W17" s="204">
        <f>'Evolutive SFP'!W41+'Evolutive SFP'!W42</f>
        <v>0</v>
      </c>
      <c r="X17" s="204">
        <f>'Evolutive SFP'!X41+'Evolutive SFP'!X42</f>
        <v>0</v>
      </c>
      <c r="Y17" s="204">
        <f>'Evolutive SFP'!Y41+'Evolutive SFP'!Y42</f>
        <v>0</v>
      </c>
      <c r="Z17" s="204">
        <f>'Evolutive SFP'!Z41+'Evolutive SFP'!Z42</f>
        <v>0</v>
      </c>
      <c r="AA17" s="204">
        <f>'Evolutive SFP'!AA41+'Evolutive SFP'!AA42</f>
        <v>26003107</v>
      </c>
      <c r="AB17" s="204">
        <f>'Evolutive SFP'!AB41+'Evolutive SFP'!AB42</f>
        <v>61069369.530000001</v>
      </c>
      <c r="AC17" s="204">
        <f>'Evolutive SFP'!AC41+'Evolutive SFP'!AC42</f>
        <v>34544456.969999999</v>
      </c>
      <c r="AD17" s="204">
        <f>'Evolutive SFP'!AD41+'Evolutive SFP'!AD42</f>
        <v>37987349.490000002</v>
      </c>
      <c r="AE17" s="204">
        <f>'Evolutive SFP'!AE41+'Evolutive SFP'!AE42</f>
        <v>42153766.380000003</v>
      </c>
      <c r="AF17" s="204">
        <f>'Evolutive SFP'!AF41+'Evolutive SFP'!AF42</f>
        <v>46943388.789999999</v>
      </c>
      <c r="AG17" s="204">
        <f>'Evolutive SFP'!AG41+'Evolutive SFP'!AG42</f>
        <v>51313661.850000001</v>
      </c>
      <c r="AH17" s="204">
        <f>'Evolutive SFP'!AH41+'Evolutive SFP'!AH42</f>
        <v>61138976.759999998</v>
      </c>
      <c r="AI17" s="204">
        <f>'Evolutive SFP'!AI41+'Evolutive SFP'!AI42</f>
        <v>61468688.600000001</v>
      </c>
      <c r="AJ17" s="204">
        <f>'Evolutive SFP'!AJ41+'Evolutive SFP'!AJ42</f>
        <v>62648755.32</v>
      </c>
      <c r="AK17" s="204">
        <f>'Evolutive SFP'!AK41+'Evolutive SFP'!AK42</f>
        <v>63119476.649999999</v>
      </c>
      <c r="AL17" s="204">
        <f>'Evolutive SFP'!AL41+'Evolutive SFP'!AL42</f>
        <v>63459138.030000001</v>
      </c>
      <c r="AM17" s="204">
        <f>'Evolutive SFP'!AM41+'Evolutive SFP'!AM42</f>
        <v>66938516.560000002</v>
      </c>
      <c r="AN17" s="204">
        <f>'Evolutive SFP'!AN41+'Evolutive SFP'!AN42</f>
        <v>34610222</v>
      </c>
      <c r="AO17" s="204">
        <f>'Evolutive SFP'!AO41+'Evolutive SFP'!AO42</f>
        <v>46613760.68</v>
      </c>
    </row>
    <row r="18" spans="1:41" ht="13.9">
      <c r="A18" s="7" t="s">
        <v>175</v>
      </c>
      <c r="B18" s="6" t="s">
        <v>176</v>
      </c>
      <c r="C18" s="141">
        <f>'Evolutive SFP'!C42</f>
        <v>3735002.19</v>
      </c>
      <c r="D18" s="141">
        <f>'Evolutive SFP'!D42</f>
        <v>8390013.4700000007</v>
      </c>
      <c r="E18" s="141">
        <f>'Evolutive SFP'!E42</f>
        <v>8387848.5199999996</v>
      </c>
      <c r="F18" s="141">
        <f>'Evolutive SFP'!F42</f>
        <v>11070287.74</v>
      </c>
      <c r="G18" s="141">
        <f>'Evolutive SFP'!G42</f>
        <v>13615720.1</v>
      </c>
      <c r="H18" s="141">
        <f>'Evolutive SFP'!H42</f>
        <v>14614562.16</v>
      </c>
      <c r="I18" s="141">
        <f>'Evolutive SFP'!I42</f>
        <v>16619333.960000001</v>
      </c>
      <c r="J18" s="141">
        <f>'Evolutive SFP'!J42</f>
        <v>17388495.760000002</v>
      </c>
      <c r="K18" s="141">
        <f>'Evolutive SFP'!K42</f>
        <v>27390329.579999998</v>
      </c>
      <c r="L18" s="141">
        <f>'Evolutive SFP'!L42</f>
        <v>28214330.039999999</v>
      </c>
      <c r="M18" s="141">
        <f>'Evolutive SFP'!M42</f>
        <v>29093893.66</v>
      </c>
      <c r="N18" s="141">
        <f>'Evolutive SFP'!N42</f>
        <v>3697022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Z18" s="204">
        <v>0</v>
      </c>
      <c r="AA18" s="204">
        <v>0</v>
      </c>
      <c r="AB18" s="204">
        <v>0</v>
      </c>
      <c r="AC18" s="204">
        <v>0</v>
      </c>
      <c r="AD18" s="204">
        <v>0</v>
      </c>
      <c r="AE18" s="204">
        <v>0</v>
      </c>
      <c r="AF18" s="204">
        <v>0</v>
      </c>
      <c r="AG18" s="204">
        <v>0</v>
      </c>
      <c r="AH18" s="204">
        <v>0</v>
      </c>
      <c r="AI18" s="204">
        <v>0</v>
      </c>
      <c r="AJ18" s="204">
        <v>0</v>
      </c>
      <c r="AK18" s="204">
        <v>0</v>
      </c>
      <c r="AL18" s="204">
        <v>0</v>
      </c>
      <c r="AM18" s="204">
        <v>0</v>
      </c>
      <c r="AN18" s="204">
        <v>0</v>
      </c>
      <c r="AO18" s="204">
        <v>1</v>
      </c>
    </row>
    <row r="19" spans="1:41" ht="13.9">
      <c r="A19" s="7" t="s">
        <v>177</v>
      </c>
      <c r="B19" s="6" t="s">
        <v>43</v>
      </c>
      <c r="C19" s="141">
        <f>'Evolutive SFP'!C43</f>
        <v>16690405</v>
      </c>
      <c r="D19" s="141">
        <f>'Evolutive SFP'!D43</f>
        <v>16690405</v>
      </c>
      <c r="E19" s="141">
        <f>'Evolutive SFP'!E43</f>
        <v>17773272</v>
      </c>
      <c r="F19" s="141">
        <f>'Evolutive SFP'!F43</f>
        <v>17773272</v>
      </c>
      <c r="G19" s="141">
        <f>'Evolutive SFP'!G43</f>
        <v>17773272</v>
      </c>
      <c r="H19" s="141">
        <f>'Evolutive SFP'!H43</f>
        <v>17773272</v>
      </c>
      <c r="I19" s="141">
        <f>'Evolutive SFP'!I43</f>
        <v>17773272</v>
      </c>
      <c r="J19" s="141">
        <f>'Evolutive SFP'!J43</f>
        <v>17773272</v>
      </c>
      <c r="K19" s="141">
        <f>'Evolutive SFP'!K43</f>
        <v>17773272</v>
      </c>
      <c r="L19" s="141">
        <f>'Evolutive SFP'!L43</f>
        <v>17773272</v>
      </c>
      <c r="M19" s="141">
        <f>'Evolutive SFP'!M43</f>
        <v>17773272</v>
      </c>
      <c r="N19" s="141">
        <f>'Evolutive SFP'!N43</f>
        <v>19595894</v>
      </c>
      <c r="O19" s="141">
        <f>'Evolutive SFP'!O43</f>
        <v>17773272</v>
      </c>
      <c r="P19" s="141">
        <f>'Evolutive SFP'!P43</f>
        <v>19563155</v>
      </c>
      <c r="Q19" s="141">
        <f>'Evolutive SFP'!Q43</f>
        <v>19563155</v>
      </c>
      <c r="R19" s="141">
        <f>'Evolutive SFP'!R43</f>
        <v>19563155</v>
      </c>
      <c r="S19" s="141">
        <f>'Evolutive SFP'!S43</f>
        <v>19563155</v>
      </c>
      <c r="T19" s="141">
        <f>'Evolutive SFP'!T43</f>
        <v>19563155</v>
      </c>
      <c r="U19" s="141">
        <f>'Evolutive SFP'!U43</f>
        <v>19563155</v>
      </c>
      <c r="V19" s="141">
        <f>'Evolutive SFP'!V43</f>
        <v>0</v>
      </c>
      <c r="W19" s="141">
        <f>'Evolutive SFP'!W43</f>
        <v>0</v>
      </c>
      <c r="X19" s="141">
        <f>'Evolutive SFP'!X43</f>
        <v>0</v>
      </c>
      <c r="Y19" s="141">
        <f>'Evolutive SFP'!Y43</f>
        <v>0</v>
      </c>
      <c r="Z19" s="141">
        <f>'Evolutive SFP'!Z43</f>
        <v>0</v>
      </c>
      <c r="AA19" s="141">
        <f>'Evolutive SFP'!AA43</f>
        <v>20157669</v>
      </c>
      <c r="AB19" s="141">
        <f>'Evolutive SFP'!AB43</f>
        <v>19563155</v>
      </c>
      <c r="AC19" s="141">
        <f>'Evolutive SFP'!AC43</f>
        <v>20157669</v>
      </c>
      <c r="AD19" s="141">
        <f>'Evolutive SFP'!AD43</f>
        <v>20157669</v>
      </c>
      <c r="AE19" s="141">
        <f>'Evolutive SFP'!AE43</f>
        <v>20157669</v>
      </c>
      <c r="AF19" s="141">
        <f>'Evolutive SFP'!AF43</f>
        <v>20157669</v>
      </c>
      <c r="AG19" s="141">
        <f>'Evolutive SFP'!AG43</f>
        <v>20157669</v>
      </c>
      <c r="AH19" s="141">
        <f>'Evolutive SFP'!AH43</f>
        <v>20157669</v>
      </c>
      <c r="AI19" s="141">
        <f>'Evolutive SFP'!AI43</f>
        <v>20157669</v>
      </c>
      <c r="AJ19" s="141">
        <f>'Evolutive SFP'!AJ43</f>
        <v>20157669</v>
      </c>
      <c r="AK19" s="141">
        <f>'Evolutive SFP'!AK43</f>
        <v>20157669</v>
      </c>
      <c r="AL19" s="141">
        <f>'Evolutive SFP'!AL43</f>
        <v>20157669</v>
      </c>
      <c r="AM19" s="141">
        <f>'Evolutive SFP'!AM43</f>
        <v>20157669</v>
      </c>
      <c r="AN19" s="141">
        <f>'Evolutive SFP'!AN43</f>
        <v>23292669</v>
      </c>
      <c r="AO19" s="141">
        <f>'Evolutive SFP'!AO43</f>
        <v>23292669</v>
      </c>
    </row>
    <row r="20" spans="1:41" ht="13.9">
      <c r="A20" s="7" t="s">
        <v>178</v>
      </c>
      <c r="B20" s="6" t="s">
        <v>179</v>
      </c>
      <c r="C20" s="141">
        <f>('Evolutive SFP'!C44)</f>
        <v>22663857.920000002</v>
      </c>
      <c r="D20" s="141">
        <f>('Evolutive SFP'!D44)</f>
        <v>22729239.920000002</v>
      </c>
      <c r="E20" s="141">
        <f>('Evolutive SFP'!E44)</f>
        <v>22732419.620000001</v>
      </c>
      <c r="F20" s="141">
        <f>('Evolutive SFP'!F44)</f>
        <v>22733871.739999998</v>
      </c>
      <c r="G20" s="141">
        <f>('Evolutive SFP'!G44)</f>
        <v>22739031.440000001</v>
      </c>
      <c r="H20" s="141">
        <f>('Evolutive SFP'!H44)</f>
        <v>22742729.539999999</v>
      </c>
      <c r="I20" s="141">
        <f>('Evolutive SFP'!I44)</f>
        <v>22755042.440000001</v>
      </c>
      <c r="J20" s="141">
        <f>('Evolutive SFP'!J44)</f>
        <v>22759097.84</v>
      </c>
      <c r="K20" s="141">
        <f>('Evolutive SFP'!K44)</f>
        <v>22763028.140000001</v>
      </c>
      <c r="L20" s="141">
        <f>('Evolutive SFP'!L44)</f>
        <v>22766794.640000001</v>
      </c>
      <c r="M20" s="141">
        <f>('Evolutive SFP'!M44)</f>
        <v>22773468.140000001</v>
      </c>
      <c r="N20" s="141">
        <f>('Evolutive SFP'!N44)</f>
        <v>29925590</v>
      </c>
      <c r="O20" s="141">
        <f>'Evolutive SFP'!O44</f>
        <v>22781009.239999998</v>
      </c>
      <c r="P20" s="141">
        <f>'Evolutive SFP'!P44</f>
        <v>19374074.190000001</v>
      </c>
      <c r="Q20" s="141">
        <f>'Evolutive SFP'!Q44</f>
        <v>19378348.289999999</v>
      </c>
      <c r="R20" s="141">
        <f>'Evolutive SFP'!R44</f>
        <v>19383027.84</v>
      </c>
      <c r="S20" s="141">
        <f>'Evolutive SFP'!S44</f>
        <v>19416020.039999999</v>
      </c>
      <c r="T20" s="141">
        <f>'Evolutive SFP'!T44</f>
        <v>19426861.440000001</v>
      </c>
      <c r="U20" s="141">
        <f>'Evolutive SFP'!U44</f>
        <v>19437158.34</v>
      </c>
      <c r="V20" s="141">
        <f>'Evolutive SFP'!V44</f>
        <v>0</v>
      </c>
      <c r="W20" s="141">
        <f>'Evolutive SFP'!W44</f>
        <v>0</v>
      </c>
      <c r="X20" s="141">
        <f>'Evolutive SFP'!X44</f>
        <v>0</v>
      </c>
      <c r="Y20" s="141">
        <f>'Evolutive SFP'!Y44</f>
        <v>0</v>
      </c>
      <c r="Z20" s="141">
        <f>'Evolutive SFP'!Z44</f>
        <v>0</v>
      </c>
      <c r="AA20" s="141">
        <f>'Evolutive SFP'!AA44</f>
        <v>29857253</v>
      </c>
      <c r="AB20" s="141">
        <f>'Evolutive SFP'!AB44</f>
        <v>19505854.440000001</v>
      </c>
      <c r="AC20" s="141">
        <f>'Evolutive SFP'!AC44</f>
        <v>22926777.739999998</v>
      </c>
      <c r="AD20" s="141">
        <f>'Evolutive SFP'!AD44</f>
        <v>22935690.440000001</v>
      </c>
      <c r="AE20" s="141">
        <f>'Evolutive SFP'!AE44</f>
        <v>22944910.940000001</v>
      </c>
      <c r="AF20" s="141">
        <f>'Evolutive SFP'!AF44</f>
        <v>22955470.640000001</v>
      </c>
      <c r="AG20" s="141">
        <f>'Evolutive SFP'!AG44</f>
        <v>22958923.940000001</v>
      </c>
      <c r="AH20" s="141">
        <f>'Evolutive SFP'!AH44</f>
        <v>22963962.140000001</v>
      </c>
      <c r="AI20" s="141">
        <f>'Evolutive SFP'!AI44</f>
        <v>22971970.34</v>
      </c>
      <c r="AJ20" s="141">
        <f>'Evolutive SFP'!AJ44</f>
        <v>22985415.440000001</v>
      </c>
      <c r="AK20" s="141">
        <f>'Evolutive SFP'!AK44</f>
        <v>22998006.890000001</v>
      </c>
      <c r="AL20" s="141">
        <f>'Evolutive SFP'!AL44</f>
        <v>23003898.739999998</v>
      </c>
      <c r="AM20" s="141">
        <f>'Evolutive SFP'!AM44</f>
        <v>23011979.390000001</v>
      </c>
      <c r="AN20" s="141">
        <f>'Evolutive SFP'!AN44</f>
        <v>30164101</v>
      </c>
      <c r="AO20" s="141">
        <f>'Evolutive SFP'!AO44</f>
        <v>30224577.34</v>
      </c>
    </row>
    <row r="21" spans="1:41" s="143" customFormat="1" ht="13.9">
      <c r="A21" s="14" t="s">
        <v>180</v>
      </c>
      <c r="B21" s="10" t="s">
        <v>181</v>
      </c>
      <c r="C21" s="142">
        <f>C22+C23</f>
        <v>0</v>
      </c>
      <c r="D21" s="142">
        <f t="shared" ref="D21:U21" si="12">D22+D23</f>
        <v>0</v>
      </c>
      <c r="E21" s="142">
        <f t="shared" si="12"/>
        <v>0</v>
      </c>
      <c r="F21" s="142">
        <f t="shared" si="12"/>
        <v>0</v>
      </c>
      <c r="G21" s="142">
        <f t="shared" si="12"/>
        <v>0</v>
      </c>
      <c r="H21" s="142">
        <f t="shared" si="12"/>
        <v>0</v>
      </c>
      <c r="I21" s="142">
        <f t="shared" si="12"/>
        <v>0</v>
      </c>
      <c r="J21" s="142">
        <f t="shared" si="12"/>
        <v>0</v>
      </c>
      <c r="K21" s="142">
        <f t="shared" si="12"/>
        <v>0</v>
      </c>
      <c r="L21" s="142">
        <f t="shared" si="12"/>
        <v>0</v>
      </c>
      <c r="M21" s="142">
        <f t="shared" si="12"/>
        <v>0</v>
      </c>
      <c r="N21" s="142">
        <f t="shared" si="12"/>
        <v>3593468</v>
      </c>
      <c r="O21" s="142">
        <f t="shared" si="12"/>
        <v>0</v>
      </c>
      <c r="P21" s="142">
        <f t="shared" si="12"/>
        <v>0</v>
      </c>
      <c r="Q21" s="142">
        <f t="shared" si="12"/>
        <v>0</v>
      </c>
      <c r="R21" s="142">
        <f t="shared" si="12"/>
        <v>0</v>
      </c>
      <c r="S21" s="142">
        <f t="shared" si="12"/>
        <v>0</v>
      </c>
      <c r="T21" s="142">
        <f t="shared" si="12"/>
        <v>0</v>
      </c>
      <c r="U21" s="142">
        <f t="shared" si="12"/>
        <v>0</v>
      </c>
      <c r="V21" s="142">
        <f t="shared" ref="V21:AA21" si="13">V22+V23</f>
        <v>0</v>
      </c>
      <c r="W21" s="142">
        <f t="shared" si="13"/>
        <v>0</v>
      </c>
      <c r="X21" s="142">
        <f t="shared" si="13"/>
        <v>0</v>
      </c>
      <c r="Y21" s="142">
        <f t="shared" si="13"/>
        <v>0</v>
      </c>
      <c r="Z21" s="142">
        <f t="shared" si="13"/>
        <v>0</v>
      </c>
      <c r="AA21" s="142">
        <f t="shared" si="13"/>
        <v>3198832</v>
      </c>
      <c r="AB21" s="142">
        <f t="shared" ref="AB21:AN21" si="14">AB22+AB23</f>
        <v>0</v>
      </c>
      <c r="AC21" s="142">
        <f t="shared" si="14"/>
        <v>0</v>
      </c>
      <c r="AD21" s="142">
        <f t="shared" si="14"/>
        <v>0</v>
      </c>
      <c r="AE21" s="142">
        <f t="shared" si="14"/>
        <v>0</v>
      </c>
      <c r="AF21" s="142">
        <f t="shared" si="14"/>
        <v>0</v>
      </c>
      <c r="AG21" s="142">
        <f t="shared" si="14"/>
        <v>0</v>
      </c>
      <c r="AH21" s="142">
        <f t="shared" si="14"/>
        <v>0</v>
      </c>
      <c r="AI21" s="142">
        <f t="shared" si="14"/>
        <v>0</v>
      </c>
      <c r="AJ21" s="142">
        <f t="shared" si="14"/>
        <v>0</v>
      </c>
      <c r="AK21" s="142">
        <f t="shared" si="14"/>
        <v>0</v>
      </c>
      <c r="AL21" s="142">
        <f t="shared" si="14"/>
        <v>0</v>
      </c>
      <c r="AM21" s="142">
        <f t="shared" si="14"/>
        <v>0</v>
      </c>
      <c r="AN21" s="142">
        <f t="shared" si="14"/>
        <v>4267527</v>
      </c>
      <c r="AO21" s="142">
        <f t="shared" ref="AO21" si="15">AO22+AO23</f>
        <v>0</v>
      </c>
    </row>
    <row r="22" spans="1:41" ht="13.9">
      <c r="A22" s="11" t="s">
        <v>182</v>
      </c>
      <c r="B22" s="6" t="s">
        <v>46</v>
      </c>
      <c r="C22" s="141">
        <f>'Evolutive SFP'!C46</f>
        <v>0</v>
      </c>
      <c r="D22" s="141">
        <f>'Evolutive SFP'!D46</f>
        <v>0</v>
      </c>
      <c r="E22" s="141">
        <f>'Evolutive SFP'!E46</f>
        <v>0</v>
      </c>
      <c r="F22" s="141">
        <f>'Evolutive SFP'!F46</f>
        <v>0</v>
      </c>
      <c r="G22" s="141">
        <f>'Evolutive SFP'!G46</f>
        <v>0</v>
      </c>
      <c r="H22" s="141">
        <f>'Evolutive SFP'!H46</f>
        <v>0</v>
      </c>
      <c r="I22" s="141">
        <f>'Evolutive SFP'!I46</f>
        <v>0</v>
      </c>
      <c r="J22" s="141">
        <f>'Evolutive SFP'!J46</f>
        <v>0</v>
      </c>
      <c r="K22" s="141">
        <f>'Evolutive SFP'!K46</f>
        <v>0</v>
      </c>
      <c r="L22" s="141">
        <f>'Evolutive SFP'!L46</f>
        <v>0</v>
      </c>
      <c r="M22" s="141">
        <f>'Evolutive SFP'!M46</f>
        <v>0</v>
      </c>
      <c r="N22" s="141">
        <f>'Evolutive SFP'!N46</f>
        <v>3593468</v>
      </c>
      <c r="O22" s="141">
        <f>'Evolutive SFP'!O46</f>
        <v>0</v>
      </c>
      <c r="P22" s="141">
        <f>'Evolutive SFP'!P46</f>
        <v>0</v>
      </c>
      <c r="Q22" s="141">
        <f>'Evolutive SFP'!Q46</f>
        <v>0</v>
      </c>
      <c r="R22" s="141">
        <f>'Evolutive SFP'!R46</f>
        <v>0</v>
      </c>
      <c r="S22" s="141">
        <f>'Evolutive SFP'!S46</f>
        <v>0</v>
      </c>
      <c r="T22" s="141">
        <f>'Evolutive SFP'!T46</f>
        <v>0</v>
      </c>
      <c r="U22" s="141">
        <f>'Evolutive SFP'!U46</f>
        <v>0</v>
      </c>
      <c r="V22" s="141">
        <f>'Evolutive SFP'!V46</f>
        <v>0</v>
      </c>
      <c r="W22" s="141">
        <f>'Evolutive SFP'!W46</f>
        <v>0</v>
      </c>
      <c r="X22" s="141">
        <f>'Evolutive SFP'!X46</f>
        <v>0</v>
      </c>
      <c r="Y22" s="141">
        <f>'Evolutive SFP'!Y46</f>
        <v>0</v>
      </c>
      <c r="Z22" s="141">
        <f>'Evolutive SFP'!Z46</f>
        <v>0</v>
      </c>
      <c r="AA22" s="141">
        <f>'Evolutive SFP'!AA46</f>
        <v>3198832</v>
      </c>
      <c r="AB22" s="141">
        <f>'Evolutive SFP'!AB46</f>
        <v>0</v>
      </c>
      <c r="AC22" s="141">
        <f>'Evolutive SFP'!AC46</f>
        <v>0</v>
      </c>
      <c r="AD22" s="141">
        <f>'Evolutive SFP'!AD46</f>
        <v>0</v>
      </c>
      <c r="AE22" s="141">
        <f>'Evolutive SFP'!AE46</f>
        <v>0</v>
      </c>
      <c r="AF22" s="141">
        <f>'Evolutive SFP'!AF46</f>
        <v>0</v>
      </c>
      <c r="AG22" s="141">
        <f>'Evolutive SFP'!AG46</f>
        <v>0</v>
      </c>
      <c r="AH22" s="141">
        <f>'Evolutive SFP'!AH46</f>
        <v>0</v>
      </c>
      <c r="AI22" s="141">
        <f>'Evolutive SFP'!AI46</f>
        <v>0</v>
      </c>
      <c r="AJ22" s="141">
        <f>'Evolutive SFP'!AJ46</f>
        <v>0</v>
      </c>
      <c r="AK22" s="141">
        <f>'Evolutive SFP'!AK46</f>
        <v>0</v>
      </c>
      <c r="AL22" s="141">
        <f>'Evolutive SFP'!AL46</f>
        <v>0</v>
      </c>
      <c r="AM22" s="141">
        <f>'Evolutive SFP'!AM46</f>
        <v>0</v>
      </c>
      <c r="AN22" s="141">
        <f>'Evolutive SFP'!AN46</f>
        <v>4267527</v>
      </c>
      <c r="AO22" s="141">
        <f>'Evolutive SFP'!AO46</f>
        <v>0</v>
      </c>
    </row>
    <row r="23" spans="1:41" ht="13.9">
      <c r="A23" s="11" t="s">
        <v>183</v>
      </c>
      <c r="B23" s="6" t="s">
        <v>184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</row>
    <row r="24" spans="1:41" ht="13.9">
      <c r="A24" s="5"/>
      <c r="B24" s="12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</row>
    <row r="25" spans="1:41" s="143" customFormat="1" ht="13.9">
      <c r="A25" s="14">
        <v>6</v>
      </c>
      <c r="B25" s="10" t="s">
        <v>185</v>
      </c>
      <c r="C25" s="142">
        <f>C26+C27+C28</f>
        <v>53213887.600000001</v>
      </c>
      <c r="D25" s="142">
        <f>D26+D27+D28</f>
        <v>53213887.600000001</v>
      </c>
      <c r="E25" s="142">
        <f>E26+E27+E28</f>
        <v>53213887.600000001</v>
      </c>
      <c r="F25" s="142">
        <f>F26+F27+F28</f>
        <v>53213887.600000001</v>
      </c>
      <c r="G25" s="142">
        <f>G26+G27+G28</f>
        <v>53213887.600000001</v>
      </c>
      <c r="H25" s="142">
        <f t="shared" ref="H25:U25" si="16">H26+H27+H28</f>
        <v>53213887.600000001</v>
      </c>
      <c r="I25" s="142">
        <f t="shared" si="16"/>
        <v>53213887.600000001</v>
      </c>
      <c r="J25" s="142">
        <f t="shared" si="16"/>
        <v>53213887.600000001</v>
      </c>
      <c r="K25" s="142">
        <f t="shared" si="16"/>
        <v>53213887.600000001</v>
      </c>
      <c r="L25" s="142">
        <f t="shared" si="16"/>
        <v>53213887.600000001</v>
      </c>
      <c r="M25" s="142">
        <f t="shared" si="16"/>
        <v>53213887.600000001</v>
      </c>
      <c r="N25" s="142">
        <f t="shared" si="16"/>
        <v>40626332</v>
      </c>
      <c r="O25" s="142">
        <f t="shared" si="16"/>
        <v>0</v>
      </c>
      <c r="P25" s="142">
        <f t="shared" si="16"/>
        <v>0</v>
      </c>
      <c r="Q25" s="142">
        <f t="shared" si="16"/>
        <v>0</v>
      </c>
      <c r="R25" s="142">
        <f t="shared" si="16"/>
        <v>0</v>
      </c>
      <c r="S25" s="142">
        <f t="shared" si="16"/>
        <v>0</v>
      </c>
      <c r="T25" s="142">
        <f t="shared" si="16"/>
        <v>0</v>
      </c>
      <c r="U25" s="142">
        <f t="shared" si="16"/>
        <v>0</v>
      </c>
      <c r="V25" s="142">
        <f t="shared" ref="V25:AA25" si="17">V26+V27+V28</f>
        <v>0</v>
      </c>
      <c r="W25" s="142">
        <f t="shared" si="17"/>
        <v>0</v>
      </c>
      <c r="X25" s="142">
        <f t="shared" si="17"/>
        <v>0</v>
      </c>
      <c r="Y25" s="142">
        <f t="shared" si="17"/>
        <v>0</v>
      </c>
      <c r="Z25" s="142">
        <f t="shared" si="17"/>
        <v>0</v>
      </c>
      <c r="AA25" s="142">
        <f t="shared" si="17"/>
        <v>6293778</v>
      </c>
      <c r="AB25" s="142">
        <f t="shared" ref="AB25:AN25" si="18">AB26+AB27+AB28</f>
        <v>26606943.800000001</v>
      </c>
      <c r="AC25" s="142">
        <f t="shared" si="18"/>
        <v>26606943.800000001</v>
      </c>
      <c r="AD25" s="142">
        <f t="shared" si="18"/>
        <v>26606943.800000001</v>
      </c>
      <c r="AE25" s="142">
        <f t="shared" si="18"/>
        <v>26606943.800000001</v>
      </c>
      <c r="AF25" s="142">
        <f t="shared" si="18"/>
        <v>26606943.800000001</v>
      </c>
      <c r="AG25" s="142">
        <f t="shared" si="18"/>
        <v>26606943.800000001</v>
      </c>
      <c r="AH25" s="142">
        <f t="shared" si="18"/>
        <v>26606943.800000001</v>
      </c>
      <c r="AI25" s="142">
        <f t="shared" si="18"/>
        <v>26606943.800000001</v>
      </c>
      <c r="AJ25" s="142">
        <f t="shared" si="18"/>
        <v>26606943.800000001</v>
      </c>
      <c r="AK25" s="142">
        <f t="shared" si="18"/>
        <v>26606943.800000001</v>
      </c>
      <c r="AL25" s="142">
        <f t="shared" si="18"/>
        <v>26606943.800000001</v>
      </c>
      <c r="AM25" s="142">
        <f t="shared" si="18"/>
        <v>26606943.800000001</v>
      </c>
      <c r="AN25" s="142">
        <f t="shared" si="18"/>
        <v>26606943.800000001</v>
      </c>
      <c r="AO25" s="142">
        <f t="shared" ref="AO25" si="19">AO26+AO27+AO28</f>
        <v>26606943.800000001</v>
      </c>
    </row>
    <row r="26" spans="1:41" ht="13.9">
      <c r="A26" s="7">
        <v>6.1</v>
      </c>
      <c r="B26" s="6" t="s">
        <v>186</v>
      </c>
      <c r="C26" s="141">
        <f>'Evolutive SFP'!C13</f>
        <v>26606943.800000001</v>
      </c>
      <c r="D26" s="141">
        <f>'Evolutive SFP'!D13</f>
        <v>26606943.800000001</v>
      </c>
      <c r="E26" s="141">
        <f>'Evolutive SFP'!E13</f>
        <v>26606943.800000001</v>
      </c>
      <c r="F26" s="141">
        <f>'Evolutive SFP'!F13</f>
        <v>26606943.800000001</v>
      </c>
      <c r="G26" s="141">
        <f>'Evolutive SFP'!G13</f>
        <v>26606943.800000001</v>
      </c>
      <c r="H26" s="141">
        <f>'Evolutive SFP'!H13</f>
        <v>26606943.800000001</v>
      </c>
      <c r="I26" s="141">
        <f>'Evolutive SFP'!I13</f>
        <v>26606943.800000001</v>
      </c>
      <c r="J26" s="141">
        <f>'Evolutive SFP'!J13</f>
        <v>26606943.800000001</v>
      </c>
      <c r="K26" s="141">
        <f>'Evolutive SFP'!K13</f>
        <v>26606943.800000001</v>
      </c>
      <c r="L26" s="141">
        <f>'Evolutive SFP'!L13</f>
        <v>26606943.800000001</v>
      </c>
      <c r="M26" s="141">
        <f>'Evolutive SFP'!M13</f>
        <v>26606943.800000001</v>
      </c>
      <c r="N26" s="141">
        <f>'Evolutive SFP'!N13</f>
        <v>20313166</v>
      </c>
      <c r="O26" s="141">
        <f>'Evolutive SFP'!O12</f>
        <v>0</v>
      </c>
      <c r="P26" s="141">
        <f>'Evolutive SFP'!P12</f>
        <v>0</v>
      </c>
      <c r="Q26" s="141">
        <f>'Evolutive SFP'!Q12</f>
        <v>0</v>
      </c>
      <c r="R26" s="141">
        <f>'Evolutive SFP'!R12</f>
        <v>0</v>
      </c>
      <c r="S26" s="141">
        <f>'Evolutive SFP'!S12</f>
        <v>0</v>
      </c>
      <c r="T26" s="141">
        <f>'Evolutive SFP'!T12</f>
        <v>0</v>
      </c>
      <c r="U26" s="141">
        <f>'Evolutive SFP'!U12</f>
        <v>0</v>
      </c>
      <c r="V26" s="141">
        <f>'Evolutive SFP'!V12</f>
        <v>0</v>
      </c>
      <c r="W26" s="141">
        <f>'Evolutive SFP'!W12</f>
        <v>0</v>
      </c>
      <c r="X26" s="141">
        <f>'Evolutive SFP'!X12</f>
        <v>0</v>
      </c>
      <c r="Y26" s="141">
        <f>'Evolutive SFP'!Y12</f>
        <v>0</v>
      </c>
      <c r="Z26" s="141">
        <f>'Evolutive SFP'!Z12</f>
        <v>0</v>
      </c>
      <c r="AA26" s="141">
        <f>'Evolutive SFP'!AA12</f>
        <v>6293778</v>
      </c>
      <c r="AB26" s="141">
        <f>'Evolutive SFP'!AB12</f>
        <v>26606943.800000001</v>
      </c>
      <c r="AC26" s="141">
        <f>'Evolutive SFP'!AC12</f>
        <v>26606943.800000001</v>
      </c>
      <c r="AD26" s="141">
        <f>'Evolutive SFP'!AD12</f>
        <v>26606943.800000001</v>
      </c>
      <c r="AE26" s="141">
        <f>'Evolutive SFP'!AE12</f>
        <v>26606943.800000001</v>
      </c>
      <c r="AF26" s="141">
        <f>'Evolutive SFP'!AF12</f>
        <v>26606943.800000001</v>
      </c>
      <c r="AG26" s="141">
        <f>'Evolutive SFP'!AG12</f>
        <v>26606943.800000001</v>
      </c>
      <c r="AH26" s="141">
        <f>'Evolutive SFP'!AH12</f>
        <v>26606943.800000001</v>
      </c>
      <c r="AI26" s="141">
        <f>'Evolutive SFP'!AI12</f>
        <v>26606943.800000001</v>
      </c>
      <c r="AJ26" s="141">
        <f>'Evolutive SFP'!AJ12</f>
        <v>26606943.800000001</v>
      </c>
      <c r="AK26" s="141">
        <f>'Evolutive SFP'!AK12</f>
        <v>26606943.800000001</v>
      </c>
      <c r="AL26" s="141">
        <f>'Evolutive SFP'!AL12</f>
        <v>26606943.800000001</v>
      </c>
      <c r="AM26" s="141">
        <f>'Evolutive SFP'!AM12</f>
        <v>26606943.800000001</v>
      </c>
      <c r="AN26" s="141">
        <f>'Evolutive SFP'!AN12</f>
        <v>26606943.800000001</v>
      </c>
      <c r="AO26" s="141">
        <f>'Evolutive SFP'!AO12</f>
        <v>26606943.800000001</v>
      </c>
    </row>
    <row r="27" spans="1:41" ht="13.9">
      <c r="A27" s="7">
        <v>6.2</v>
      </c>
      <c r="B27" s="6" t="s">
        <v>187</v>
      </c>
      <c r="C27" s="141">
        <f>'Evolutive SFP'!C10+'Evolutive SFP'!C13</f>
        <v>26606943.800000001</v>
      </c>
      <c r="D27" s="141">
        <f>'Evolutive SFP'!D10+'Evolutive SFP'!D13</f>
        <v>26606943.800000001</v>
      </c>
      <c r="E27" s="141">
        <f>'Evolutive SFP'!E10+'Evolutive SFP'!E13</f>
        <v>26606943.800000001</v>
      </c>
      <c r="F27" s="141">
        <f>'Evolutive SFP'!F10+'Evolutive SFP'!F13</f>
        <v>26606943.800000001</v>
      </c>
      <c r="G27" s="141">
        <f>'Evolutive SFP'!G10+'Evolutive SFP'!G13</f>
        <v>26606943.800000001</v>
      </c>
      <c r="H27" s="141">
        <f>'Evolutive SFP'!H10+'Evolutive SFP'!H13</f>
        <v>26606943.800000001</v>
      </c>
      <c r="I27" s="141">
        <f>'Evolutive SFP'!I10+'Evolutive SFP'!I13</f>
        <v>26606943.800000001</v>
      </c>
      <c r="J27" s="141">
        <f>'Evolutive SFP'!J10+'Evolutive SFP'!J13</f>
        <v>26606943.800000001</v>
      </c>
      <c r="K27" s="141">
        <f>'Evolutive SFP'!K10+'Evolutive SFP'!K13</f>
        <v>26606943.800000001</v>
      </c>
      <c r="L27" s="141">
        <f>'Evolutive SFP'!L10+'Evolutive SFP'!L13</f>
        <v>26606943.800000001</v>
      </c>
      <c r="M27" s="141">
        <f>'Evolutive SFP'!M10+'Evolutive SFP'!M13</f>
        <v>26606943.800000001</v>
      </c>
      <c r="N27" s="141">
        <f>'Evolutive SFP'!N10+'Evolutive SFP'!N13</f>
        <v>20313166</v>
      </c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>
        <f>'Evolutive SFP'!AB10+'Evolutive SFP'!AB13</f>
        <v>0</v>
      </c>
      <c r="AC27" s="141">
        <f>'Evolutive SFP'!AC10+'Evolutive SFP'!AC13</f>
        <v>0</v>
      </c>
      <c r="AD27" s="141">
        <f>'Evolutive SFP'!AD10+'Evolutive SFP'!AD13</f>
        <v>0</v>
      </c>
      <c r="AE27" s="141">
        <f>'Evolutive SFP'!AE10+'Evolutive SFP'!AE13</f>
        <v>0</v>
      </c>
      <c r="AF27" s="141">
        <f>'Evolutive SFP'!AF10+'Evolutive SFP'!AF13</f>
        <v>0</v>
      </c>
      <c r="AG27" s="141">
        <f>'Evolutive SFP'!AG10+'Evolutive SFP'!AG13</f>
        <v>0</v>
      </c>
      <c r="AH27" s="141">
        <f>'Evolutive SFP'!AH10+'Evolutive SFP'!AH13</f>
        <v>0</v>
      </c>
      <c r="AI27" s="141">
        <f>'Evolutive SFP'!AI10+'Evolutive SFP'!AI13</f>
        <v>0</v>
      </c>
      <c r="AJ27" s="141">
        <f>'Evolutive SFP'!AJ10+'Evolutive SFP'!AJ13</f>
        <v>0</v>
      </c>
      <c r="AK27" s="141">
        <f>'Evolutive SFP'!AK10+'Evolutive SFP'!AK13</f>
        <v>0</v>
      </c>
      <c r="AL27" s="141">
        <f>'Evolutive SFP'!AL10+'Evolutive SFP'!AL13</f>
        <v>0</v>
      </c>
      <c r="AM27" s="141">
        <f>'Evolutive SFP'!AM10+'Evolutive SFP'!AM13</f>
        <v>0</v>
      </c>
      <c r="AN27" s="141">
        <f>'Evolutive SFP'!AN10+'Evolutive SFP'!AN13</f>
        <v>0</v>
      </c>
      <c r="AO27" s="141">
        <f>'Evolutive SFP'!AO10+'Evolutive SFP'!AO13</f>
        <v>0</v>
      </c>
    </row>
    <row r="28" spans="1:41" ht="13.9">
      <c r="A28" s="7">
        <v>6.3</v>
      </c>
      <c r="B28" s="6" t="s">
        <v>188</v>
      </c>
      <c r="C28" s="141">
        <f>'Evolutive SFP'!C11</f>
        <v>0</v>
      </c>
      <c r="D28" s="141">
        <f>'Evolutive SFP'!D11</f>
        <v>0</v>
      </c>
      <c r="E28" s="141">
        <f>'Evolutive SFP'!E11</f>
        <v>0</v>
      </c>
      <c r="F28" s="141">
        <f>'Evolutive SFP'!F11</f>
        <v>0</v>
      </c>
      <c r="G28" s="141">
        <f>'Evolutive SFP'!G11</f>
        <v>0</v>
      </c>
      <c r="H28" s="141">
        <f>'Evolutive SFP'!H11</f>
        <v>0</v>
      </c>
      <c r="I28" s="141">
        <f>'Evolutive SFP'!I11</f>
        <v>0</v>
      </c>
      <c r="J28" s="141">
        <f>'Evolutive SFP'!J11</f>
        <v>0</v>
      </c>
      <c r="K28" s="141">
        <f>'Evolutive SFP'!K11</f>
        <v>0</v>
      </c>
      <c r="L28" s="141">
        <f>'Evolutive SFP'!L11</f>
        <v>0</v>
      </c>
      <c r="M28" s="141">
        <f>'Evolutive SFP'!M11</f>
        <v>0</v>
      </c>
      <c r="N28" s="141">
        <f>'Evolutive SFP'!N11</f>
        <v>0</v>
      </c>
      <c r="O28" s="141">
        <f>'Evolutive SFP'!O11</f>
        <v>0</v>
      </c>
      <c r="P28" s="141">
        <f>'Evolutive SFP'!P11</f>
        <v>0</v>
      </c>
      <c r="Q28" s="141">
        <f>'Evolutive SFP'!Q11</f>
        <v>0</v>
      </c>
      <c r="R28" s="141">
        <f>'Evolutive SFP'!R11</f>
        <v>0</v>
      </c>
      <c r="S28" s="141">
        <f>'Evolutive SFP'!S11</f>
        <v>0</v>
      </c>
      <c r="T28" s="141">
        <f>'Evolutive SFP'!T11</f>
        <v>0</v>
      </c>
      <c r="U28" s="141">
        <f>'Evolutive SFP'!U11</f>
        <v>0</v>
      </c>
      <c r="V28" s="141">
        <f>'Evolutive SFP'!V11</f>
        <v>0</v>
      </c>
      <c r="W28" s="141">
        <f>'Evolutive SFP'!W11</f>
        <v>0</v>
      </c>
      <c r="X28" s="141">
        <f>'Evolutive SFP'!X11</f>
        <v>0</v>
      </c>
      <c r="Y28" s="141">
        <f>'Evolutive SFP'!Y11</f>
        <v>0</v>
      </c>
      <c r="Z28" s="141">
        <f>'Evolutive SFP'!Z11</f>
        <v>0</v>
      </c>
      <c r="AA28" s="141">
        <f>'Evolutive SFP'!AA11</f>
        <v>0</v>
      </c>
      <c r="AB28" s="141">
        <f>'Evolutive SFP'!AB11</f>
        <v>0</v>
      </c>
      <c r="AC28" s="141">
        <f>'Evolutive SFP'!AC11</f>
        <v>0</v>
      </c>
      <c r="AD28" s="141">
        <f>'Evolutive SFP'!AD11</f>
        <v>0</v>
      </c>
      <c r="AE28" s="141">
        <f>'Evolutive SFP'!AE11</f>
        <v>0</v>
      </c>
      <c r="AF28" s="141">
        <f>'Evolutive SFP'!AF11</f>
        <v>0</v>
      </c>
      <c r="AG28" s="141">
        <f>'Evolutive SFP'!AG11</f>
        <v>0</v>
      </c>
      <c r="AH28" s="141">
        <f>'Evolutive SFP'!AH11</f>
        <v>0</v>
      </c>
      <c r="AI28" s="141">
        <f>'Evolutive SFP'!AI11</f>
        <v>0</v>
      </c>
      <c r="AJ28" s="141">
        <f>'Evolutive SFP'!AJ11</f>
        <v>0</v>
      </c>
      <c r="AK28" s="141">
        <f>'Evolutive SFP'!AK11</f>
        <v>0</v>
      </c>
      <c r="AL28" s="141">
        <f>'Evolutive SFP'!AL11</f>
        <v>0</v>
      </c>
      <c r="AM28" s="141">
        <f>'Evolutive SFP'!AM11</f>
        <v>0</v>
      </c>
      <c r="AN28" s="141">
        <f>'Evolutive SFP'!AN11</f>
        <v>0</v>
      </c>
      <c r="AO28" s="141">
        <f>'Evolutive SFP'!AO11</f>
        <v>0</v>
      </c>
    </row>
    <row r="29" spans="1:41" ht="13.9">
      <c r="A29" s="5"/>
      <c r="B29" s="6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</row>
    <row r="30" spans="1:41" s="143" customFormat="1" ht="13.9">
      <c r="A30" s="14">
        <v>7</v>
      </c>
      <c r="B30" s="13" t="s">
        <v>189</v>
      </c>
      <c r="C30" s="142">
        <f>'Evolutive SFP'!C14</f>
        <v>257898024.76999998</v>
      </c>
      <c r="D30" s="142">
        <f>'Evolutive SFP'!D14</f>
        <v>246132662.77999997</v>
      </c>
      <c r="E30" s="142">
        <f>'Evolutive SFP'!E14</f>
        <v>242109562.48000002</v>
      </c>
      <c r="F30" s="142">
        <f>'Evolutive SFP'!F14</f>
        <v>244432351.58999997</v>
      </c>
      <c r="G30" s="142">
        <f>'Evolutive SFP'!G14</f>
        <v>245409057.25999999</v>
      </c>
      <c r="H30" s="142">
        <f>'Evolutive SFP'!H14</f>
        <v>241322191.61000001</v>
      </c>
      <c r="I30" s="142">
        <f>'Evolutive SFP'!I14</f>
        <v>236313475.71000001</v>
      </c>
      <c r="J30" s="142">
        <f>'Evolutive SFP'!J14</f>
        <v>247751727.69999999</v>
      </c>
      <c r="K30" s="142">
        <f>'Evolutive SFP'!K14</f>
        <v>224323851.41999999</v>
      </c>
      <c r="L30" s="142">
        <f>'Evolutive SFP'!L14</f>
        <v>225330796.97</v>
      </c>
      <c r="M30" s="142">
        <f>'Evolutive SFP'!M14</f>
        <v>228341197.03999999</v>
      </c>
      <c r="N30" s="142">
        <f>'Evolutive SFP'!N14</f>
        <v>228341197</v>
      </c>
      <c r="O30" s="142">
        <f>'Evolutive SFP'!O14</f>
        <v>227759283.27000001</v>
      </c>
      <c r="P30" s="142">
        <f>'Evolutive SFP'!P14</f>
        <v>234575824.81</v>
      </c>
      <c r="Q30" s="142">
        <f>'Evolutive SFP'!Q14</f>
        <v>231315011.28999999</v>
      </c>
      <c r="R30" s="142">
        <f>'Evolutive SFP'!R14</f>
        <v>238930475.38</v>
      </c>
      <c r="S30" s="142">
        <f>'Evolutive SFP'!S14</f>
        <v>261766351.64999998</v>
      </c>
      <c r="T30" s="142">
        <f>'Evolutive SFP'!T14</f>
        <v>271535829.52999997</v>
      </c>
      <c r="U30" s="142">
        <f>'Evolutive SFP'!U14</f>
        <v>283504096.13999999</v>
      </c>
      <c r="V30" s="142">
        <f>'Evolutive SFP'!V14</f>
        <v>0</v>
      </c>
      <c r="W30" s="142">
        <f>'Evolutive SFP'!W14</f>
        <v>0</v>
      </c>
      <c r="X30" s="142">
        <f>'Evolutive SFP'!X14</f>
        <v>0</v>
      </c>
      <c r="Y30" s="142">
        <f>'Evolutive SFP'!Y14</f>
        <v>0</v>
      </c>
      <c r="Z30" s="142">
        <f>'Evolutive SFP'!Z14</f>
        <v>0</v>
      </c>
      <c r="AA30" s="142">
        <f>'Evolutive SFP'!AA14</f>
        <v>308794869</v>
      </c>
      <c r="AB30" s="142">
        <f>'Evolutive SFP'!AB14</f>
        <v>327332518.74000001</v>
      </c>
      <c r="AC30" s="142">
        <f>'Evolutive SFP'!AC14</f>
        <v>314634408.48000002</v>
      </c>
      <c r="AD30" s="142">
        <f>'Evolutive SFP'!AD14</f>
        <v>301740059.22000003</v>
      </c>
      <c r="AE30" s="142">
        <f>'Evolutive SFP'!AE14</f>
        <v>303067610.25</v>
      </c>
      <c r="AF30" s="142">
        <f>'Evolutive SFP'!AF14</f>
        <v>313758812.76999998</v>
      </c>
      <c r="AG30" s="142">
        <f>'Evolutive SFP'!AG14</f>
        <v>297186638.14999998</v>
      </c>
      <c r="AH30" s="142">
        <f>'Evolutive SFP'!AH14</f>
        <v>283723583.44999999</v>
      </c>
      <c r="AI30" s="142">
        <f>'Evolutive SFP'!AI14</f>
        <v>285700155.43000001</v>
      </c>
      <c r="AJ30" s="142">
        <f>'Evolutive SFP'!AJ14</f>
        <v>295497464.72000003</v>
      </c>
      <c r="AK30" s="142">
        <f>'Evolutive SFP'!AK14</f>
        <v>299452609.93000001</v>
      </c>
      <c r="AL30" s="142">
        <f>'Evolutive SFP'!AL14</f>
        <v>311924727.92000002</v>
      </c>
      <c r="AM30" s="142">
        <f>'Evolutive SFP'!AM14</f>
        <v>310887428.66000003</v>
      </c>
      <c r="AN30" s="142">
        <f>'Evolutive SFP'!AN14</f>
        <v>310887429.11000001</v>
      </c>
      <c r="AO30" s="142">
        <f>'Evolutive SFP'!AO14</f>
        <v>296242091.80000001</v>
      </c>
    </row>
    <row r="31" spans="1:41" ht="13.9">
      <c r="A31" s="7">
        <v>7.1</v>
      </c>
      <c r="B31" s="5" t="s">
        <v>190</v>
      </c>
      <c r="C31" s="141">
        <f>'Evolutive SFP'!C15</f>
        <v>285298024.76999998</v>
      </c>
      <c r="D31" s="141">
        <f>'Evolutive SFP'!D15</f>
        <v>273582662.77999997</v>
      </c>
      <c r="E31" s="141">
        <f>'Evolutive SFP'!E15</f>
        <v>269609562.48000002</v>
      </c>
      <c r="F31" s="141">
        <f>'Evolutive SFP'!F15</f>
        <v>271982351.58999997</v>
      </c>
      <c r="G31" s="141">
        <f>'Evolutive SFP'!G15</f>
        <v>273009057.25999999</v>
      </c>
      <c r="H31" s="141">
        <f>'Evolutive SFP'!H15</f>
        <v>270086743.61000001</v>
      </c>
      <c r="I31" s="141">
        <f>'Evolutive SFP'!I15</f>
        <v>265178027.71000001</v>
      </c>
      <c r="J31" s="141">
        <f>'Evolutive SFP'!J15</f>
        <v>276666279.69999999</v>
      </c>
      <c r="K31" s="141">
        <f>'Evolutive SFP'!K15</f>
        <v>253288403.41999999</v>
      </c>
      <c r="L31" s="141">
        <f>'Evolutive SFP'!L15</f>
        <v>254345348.97</v>
      </c>
      <c r="M31" s="141">
        <f>'Evolutive SFP'!M15</f>
        <v>257405749.03999999</v>
      </c>
      <c r="N31" s="141">
        <f>'Evolutive SFP'!N15</f>
        <v>257405749</v>
      </c>
      <c r="O31" s="141">
        <f>'Evolutive SFP'!O15</f>
        <v>256873835.27000001</v>
      </c>
      <c r="P31" s="141">
        <f>'Evolutive SFP'!P15</f>
        <v>263740376.81</v>
      </c>
      <c r="Q31" s="141">
        <f>'Evolutive SFP'!Q15</f>
        <v>260529563.28999999</v>
      </c>
      <c r="R31" s="141">
        <f>'Evolutive SFP'!R15</f>
        <v>268195027.38</v>
      </c>
      <c r="S31" s="141">
        <f>'Evolutive SFP'!S15</f>
        <v>291080903.64999998</v>
      </c>
      <c r="T31" s="141">
        <f>'Evolutive SFP'!T15</f>
        <v>300900381.52999997</v>
      </c>
      <c r="U31" s="141">
        <f>'Evolutive SFP'!U15</f>
        <v>312918648.13999999</v>
      </c>
      <c r="V31" s="141">
        <f>'Evolutive SFP'!V15</f>
        <v>0</v>
      </c>
      <c r="W31" s="141">
        <f>'Evolutive SFP'!W15</f>
        <v>0</v>
      </c>
      <c r="X31" s="141">
        <f>'Evolutive SFP'!X15</f>
        <v>0</v>
      </c>
      <c r="Y31" s="141">
        <f>'Evolutive SFP'!Y15</f>
        <v>0</v>
      </c>
      <c r="Z31" s="141">
        <f>'Evolutive SFP'!Z15</f>
        <v>0</v>
      </c>
      <c r="AA31" s="141">
        <f>'Evolutive SFP'!AA15</f>
        <v>338459421</v>
      </c>
      <c r="AB31" s="141">
        <f>'Evolutive SFP'!AB15</f>
        <v>357047070.74000001</v>
      </c>
      <c r="AC31" s="141">
        <f>'Evolutive SFP'!AC15</f>
        <v>344398960.48000002</v>
      </c>
      <c r="AD31" s="141">
        <f>'Evolutive SFP'!AD15</f>
        <v>331554611.22000003</v>
      </c>
      <c r="AE31" s="141">
        <f>'Evolutive SFP'!AE15</f>
        <v>332932162.25</v>
      </c>
      <c r="AF31" s="141">
        <f>'Evolutive SFP'!AF15</f>
        <v>343673364.76999998</v>
      </c>
      <c r="AG31" s="141">
        <f>'Evolutive SFP'!AG15</f>
        <v>327151190.14999998</v>
      </c>
      <c r="AH31" s="141">
        <f>'Evolutive SFP'!AH15</f>
        <v>313738135.44999999</v>
      </c>
      <c r="AI31" s="141">
        <f>'Evolutive SFP'!AI15</f>
        <v>315764707.43000001</v>
      </c>
      <c r="AJ31" s="141">
        <f>'Evolutive SFP'!AJ15</f>
        <v>325612016.72000003</v>
      </c>
      <c r="AK31" s="141">
        <f>'Evolutive SFP'!AK15</f>
        <v>329617161.93000001</v>
      </c>
      <c r="AL31" s="141">
        <f>'Evolutive SFP'!AL15</f>
        <v>342139279.92000002</v>
      </c>
      <c r="AM31" s="141">
        <f>'Evolutive SFP'!AM15</f>
        <v>341151980.66000003</v>
      </c>
      <c r="AN31" s="141">
        <f>'Evolutive SFP'!AN15</f>
        <v>341151981.11000001</v>
      </c>
      <c r="AO31" s="141">
        <f>'Evolutive SFP'!AO15</f>
        <v>326906643.80000001</v>
      </c>
    </row>
    <row r="32" spans="1:41" ht="13.9">
      <c r="A32" s="7">
        <v>7.2</v>
      </c>
      <c r="B32" s="5" t="s">
        <v>191</v>
      </c>
      <c r="C32" s="141">
        <f>'Evolutive SFP'!C16</f>
        <v>27400000</v>
      </c>
      <c r="D32" s="141">
        <f>'Evolutive SFP'!D16</f>
        <v>27450000</v>
      </c>
      <c r="E32" s="141">
        <f>'Evolutive SFP'!E16</f>
        <v>27500000</v>
      </c>
      <c r="F32" s="141">
        <f>'Evolutive SFP'!F16</f>
        <v>27550000</v>
      </c>
      <c r="G32" s="141">
        <f>'Evolutive SFP'!G16</f>
        <v>27600000</v>
      </c>
      <c r="H32" s="141">
        <f>'Evolutive SFP'!H16</f>
        <v>28764552</v>
      </c>
      <c r="I32" s="141">
        <f>'Evolutive SFP'!I16</f>
        <v>28864552</v>
      </c>
      <c r="J32" s="141">
        <f>'Evolutive SFP'!J16</f>
        <v>28914552</v>
      </c>
      <c r="K32" s="141">
        <f>'Evolutive SFP'!K16</f>
        <v>28964552</v>
      </c>
      <c r="L32" s="141">
        <f>'Evolutive SFP'!L16</f>
        <v>29014552</v>
      </c>
      <c r="M32" s="141">
        <f>'Evolutive SFP'!M16</f>
        <v>29064552</v>
      </c>
      <c r="N32" s="141">
        <f>'Evolutive SFP'!N16</f>
        <v>29064552</v>
      </c>
      <c r="O32" s="141">
        <f>'Evolutive SFP'!O16</f>
        <v>29114552</v>
      </c>
      <c r="P32" s="141">
        <f>'Evolutive SFP'!P16</f>
        <v>29164552</v>
      </c>
      <c r="Q32" s="141">
        <f>'Evolutive SFP'!Q16</f>
        <v>29214552</v>
      </c>
      <c r="R32" s="141">
        <f>'Evolutive SFP'!R16</f>
        <v>29264552</v>
      </c>
      <c r="S32" s="141">
        <f>'Evolutive SFP'!S16</f>
        <v>29314552</v>
      </c>
      <c r="T32" s="141">
        <f>'Evolutive SFP'!T16</f>
        <v>29364552</v>
      </c>
      <c r="U32" s="141">
        <f>'Evolutive SFP'!U16</f>
        <v>29414552</v>
      </c>
      <c r="V32" s="141">
        <f>'Evolutive SFP'!V16</f>
        <v>0</v>
      </c>
      <c r="W32" s="141">
        <f>'Evolutive SFP'!W16</f>
        <v>0</v>
      </c>
      <c r="X32" s="141">
        <f>'Evolutive SFP'!X16</f>
        <v>0</v>
      </c>
      <c r="Y32" s="141">
        <f>'Evolutive SFP'!Y16</f>
        <v>0</v>
      </c>
      <c r="Z32" s="141">
        <f>'Evolutive SFP'!Z16</f>
        <v>0</v>
      </c>
      <c r="AA32" s="141">
        <f>'Evolutive SFP'!AA16</f>
        <v>29664552</v>
      </c>
      <c r="AB32" s="141">
        <f>'Evolutive SFP'!AB16</f>
        <v>29714552</v>
      </c>
      <c r="AC32" s="141">
        <f>'Evolutive SFP'!AC16</f>
        <v>29764552</v>
      </c>
      <c r="AD32" s="141">
        <f>'Evolutive SFP'!AD16</f>
        <v>29814552</v>
      </c>
      <c r="AE32" s="141">
        <f>'Evolutive SFP'!AE16</f>
        <v>29864552</v>
      </c>
      <c r="AF32" s="141">
        <f>'Evolutive SFP'!AF16</f>
        <v>29914552</v>
      </c>
      <c r="AG32" s="141">
        <f>'Evolutive SFP'!AG16</f>
        <v>29964552</v>
      </c>
      <c r="AH32" s="141">
        <f>'Evolutive SFP'!AH16</f>
        <v>30014552</v>
      </c>
      <c r="AI32" s="141">
        <f>'Evolutive SFP'!AI16</f>
        <v>30064552</v>
      </c>
      <c r="AJ32" s="141">
        <f>'Evolutive SFP'!AJ16</f>
        <v>30114552</v>
      </c>
      <c r="AK32" s="141">
        <f>'Evolutive SFP'!AK16</f>
        <v>30164552</v>
      </c>
      <c r="AL32" s="141">
        <f>'Evolutive SFP'!AL16</f>
        <v>30214552</v>
      </c>
      <c r="AM32" s="141">
        <f>'Evolutive SFP'!AM16</f>
        <v>30264552</v>
      </c>
      <c r="AN32" s="141">
        <f>'Evolutive SFP'!AN16</f>
        <v>30264552</v>
      </c>
      <c r="AO32" s="141">
        <f>'Evolutive SFP'!AO16</f>
        <v>30664552</v>
      </c>
    </row>
    <row r="33" spans="1:41" ht="13.9">
      <c r="A33" s="5"/>
      <c r="B33" s="5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</row>
    <row r="34" spans="1:41" ht="13.9">
      <c r="A34" s="7">
        <v>8</v>
      </c>
      <c r="B34" s="5" t="s">
        <v>192</v>
      </c>
      <c r="C34" s="141">
        <f>'Evolutive SFP'!C21+'Evolutive SFP'!C7</f>
        <v>54638149.810000002</v>
      </c>
      <c r="D34" s="141">
        <f>'Evolutive SFP'!D21+'Evolutive SFP'!D7</f>
        <v>54099984.270000003</v>
      </c>
      <c r="E34" s="141">
        <f>'Evolutive SFP'!E21+'Evolutive SFP'!E7</f>
        <v>53682353.729999997</v>
      </c>
      <c r="F34" s="141">
        <f>'Evolutive SFP'!F21+'Evolutive SFP'!F7</f>
        <v>53730303.890000001</v>
      </c>
      <c r="G34" s="141">
        <f>'Evolutive SFP'!G21+'Evolutive SFP'!G7</f>
        <v>52989902.979999997</v>
      </c>
      <c r="H34" s="141">
        <f>'Evolutive SFP'!H21+'Evolutive SFP'!H7</f>
        <v>62781287.25</v>
      </c>
      <c r="I34" s="141">
        <f>'Evolutive SFP'!I21+'Evolutive SFP'!I7</f>
        <v>64547249.07</v>
      </c>
      <c r="J34" s="141">
        <f>'Evolutive SFP'!J21+'Evolutive SFP'!J7</f>
        <v>64594577.850000001</v>
      </c>
      <c r="K34" s="141">
        <f>'Evolutive SFP'!K21+'Evolutive SFP'!K7</f>
        <v>66023603.780000001</v>
      </c>
      <c r="L34" s="141">
        <f>'Evolutive SFP'!L21+'Evolutive SFP'!L7</f>
        <v>65955628.600000001</v>
      </c>
      <c r="M34" s="141">
        <f>'Evolutive SFP'!M21+'Evolutive SFP'!M7</f>
        <v>65602448.260000005</v>
      </c>
      <c r="N34" s="141">
        <f>'Evolutive SFP'!N21+'Evolutive SFP'!N7</f>
        <v>116372719</v>
      </c>
      <c r="O34" s="141">
        <f>'Evolutive SFP'!O4+'Evolutive SFP'!O7+'Evolutive SFP'!O17+'Evolutive SFP'!O21</f>
        <v>270758633.39999998</v>
      </c>
      <c r="P34" s="141">
        <f>'Evolutive SFP'!P4+'Evolutive SFP'!P7+'Evolutive SFP'!P17+'Evolutive SFP'!P21</f>
        <v>302666330.79999995</v>
      </c>
      <c r="Q34" s="141">
        <f>'Evolutive SFP'!Q4+'Evolutive SFP'!Q7+'Evolutive SFP'!Q17+'Evolutive SFP'!Q21</f>
        <v>246921670.27000001</v>
      </c>
      <c r="R34" s="141">
        <f>'Evolutive SFP'!R4+'Evolutive SFP'!R7+'Evolutive SFP'!R17+'Evolutive SFP'!R21</f>
        <v>281412931.64999998</v>
      </c>
      <c r="S34" s="141">
        <f>'Evolutive SFP'!S4+'Evolutive SFP'!S7+'Evolutive SFP'!S17+'Evolutive SFP'!S21</f>
        <v>226165980.57999998</v>
      </c>
      <c r="T34" s="141">
        <f>'Evolutive SFP'!T4+'Evolutive SFP'!T7+'Evolutive SFP'!T17+'Evolutive SFP'!T21</f>
        <v>213568915.91999999</v>
      </c>
      <c r="U34" s="141">
        <f>'Evolutive SFP'!U4+'Evolutive SFP'!U7+'Evolutive SFP'!U17+'Evolutive SFP'!U21</f>
        <v>208223534.00999999</v>
      </c>
      <c r="V34" s="141">
        <f>'Evolutive SFP'!V4+'Evolutive SFP'!V7+'Evolutive SFP'!V17+'Evolutive SFP'!V21</f>
        <v>0</v>
      </c>
      <c r="W34" s="141">
        <f>'Evolutive SFP'!W4+'Evolutive SFP'!W7+'Evolutive SFP'!W17+'Evolutive SFP'!W21</f>
        <v>0</v>
      </c>
      <c r="X34" s="141">
        <f>'Evolutive SFP'!X4+'Evolutive SFP'!X7+'Evolutive SFP'!X17+'Evolutive SFP'!X21</f>
        <v>0</v>
      </c>
      <c r="Y34" s="141">
        <f>'Evolutive SFP'!Y4+'Evolutive SFP'!Y7+'Evolutive SFP'!Y17+'Evolutive SFP'!Y21</f>
        <v>0</v>
      </c>
      <c r="Z34" s="141">
        <f>'Evolutive SFP'!Z4+'Evolutive SFP'!Z7+'Evolutive SFP'!Z17+'Evolutive SFP'!Z21</f>
        <v>0</v>
      </c>
      <c r="AA34" s="141">
        <f>'Evolutive SFP'!AA4+'Evolutive SFP'!AA7+'Evolutive SFP'!AA17+'Evolutive SFP'!AA21</f>
        <v>221660984</v>
      </c>
      <c r="AB34" s="141">
        <f>'Evolutive SFP'!AB4+'Evolutive SFP'!AB7+'Evolutive SFP'!AB17+'Evolutive SFP'!AB21</f>
        <v>214439350.38</v>
      </c>
      <c r="AC34" s="141">
        <f>'Evolutive SFP'!AC4+'Evolutive SFP'!AC7+'Evolutive SFP'!AC17+'Evolutive SFP'!AC21</f>
        <v>226286982.96000001</v>
      </c>
      <c r="AD34" s="141">
        <f>'Evolutive SFP'!AD4+'Evolutive SFP'!AD7+'Evolutive SFP'!AD17+'Evolutive SFP'!AD21</f>
        <v>218616547.05000001</v>
      </c>
      <c r="AE34" s="141">
        <f>'Evolutive SFP'!AE4+'Evolutive SFP'!AE7+'Evolutive SFP'!AE17+'Evolutive SFP'!AE21</f>
        <v>230578708.91999999</v>
      </c>
      <c r="AF34" s="141">
        <f>'Evolutive SFP'!AF4+'Evolutive SFP'!AF7+'Evolutive SFP'!AF17+'Evolutive SFP'!AF21</f>
        <v>231285089.31999999</v>
      </c>
      <c r="AG34" s="141">
        <f>'Evolutive SFP'!AG4+'Evolutive SFP'!AG7+'Evolutive SFP'!AG17+'Evolutive SFP'!AG21</f>
        <v>238877570.20999998</v>
      </c>
      <c r="AH34" s="141">
        <f>'Evolutive SFP'!AH4+'Evolutive SFP'!AH7+'Evolutive SFP'!AH17+'Evolutive SFP'!AH21</f>
        <v>389702388.14999998</v>
      </c>
      <c r="AI34" s="141">
        <f>'Evolutive SFP'!AI4+'Evolutive SFP'!AI7+'Evolutive SFP'!AI17+'Evolutive SFP'!AI21</f>
        <v>328121590.75999999</v>
      </c>
      <c r="AJ34" s="141">
        <f>'Evolutive SFP'!AJ4+'Evolutive SFP'!AJ7+'Evolutive SFP'!AJ17+'Evolutive SFP'!AJ21</f>
        <v>298846450.80000001</v>
      </c>
      <c r="AK34" s="141">
        <f>'Evolutive SFP'!AK4+'Evolutive SFP'!AK7+'Evolutive SFP'!AK17+'Evolutive SFP'!AK21</f>
        <v>302875888.64999998</v>
      </c>
      <c r="AL34" s="141">
        <f>'Evolutive SFP'!AL4+'Evolutive SFP'!AL7+'Evolutive SFP'!AL17+'Evolutive SFP'!AL21</f>
        <v>279432269.59999996</v>
      </c>
      <c r="AM34" s="141">
        <f>'Evolutive SFP'!AM4+'Evolutive SFP'!AM7+'Evolutive SFP'!AM17+'Evolutive SFP'!AM21</f>
        <v>261260147.50999999</v>
      </c>
      <c r="AN34" s="141">
        <f>'Evolutive SFP'!AN4+'Evolutive SFP'!AN7+'Evolutive SFP'!AN17+'Evolutive SFP'!AN21</f>
        <v>261260147</v>
      </c>
      <c r="AO34" s="141">
        <f>'Evolutive SFP'!AO4+'Evolutive SFP'!AO7+'Evolutive SFP'!AO17+'Evolutive SFP'!AO21</f>
        <v>264387135.64999998</v>
      </c>
    </row>
    <row r="35" spans="1:41" ht="13.9">
      <c r="A35" s="7">
        <v>8.1</v>
      </c>
      <c r="B35" s="5" t="s">
        <v>23</v>
      </c>
      <c r="C35" s="141">
        <f>'Evolutive SFP'!C23</f>
        <v>51857558.810000002</v>
      </c>
      <c r="D35" s="141">
        <f>'Evolutive SFP'!D23</f>
        <v>51131692.270000003</v>
      </c>
      <c r="E35" s="141">
        <f>'Evolutive SFP'!E23</f>
        <v>50946360.729999997</v>
      </c>
      <c r="F35" s="141">
        <f>'Evolutive SFP'!F23</f>
        <v>51244609.890000001</v>
      </c>
      <c r="G35" s="141">
        <f>'Evolutive SFP'!G23</f>
        <v>50754507.979999997</v>
      </c>
      <c r="H35" s="141">
        <f>'Evolutive SFP'!H23</f>
        <v>60090479.390000001</v>
      </c>
      <c r="I35" s="141">
        <f>'Evolutive SFP'!I23</f>
        <v>61794874.450000003</v>
      </c>
      <c r="J35" s="141">
        <f>'Evolutive SFP'!J23</f>
        <v>62042419.850000001</v>
      </c>
      <c r="K35" s="141">
        <f>'Evolutive SFP'!K23</f>
        <v>63663012.399999999</v>
      </c>
      <c r="L35" s="141">
        <f>'Evolutive SFP'!L23</f>
        <v>63180961.840000004</v>
      </c>
      <c r="M35" s="141">
        <f>'Evolutive SFP'!M23</f>
        <v>62729248.090000004</v>
      </c>
      <c r="N35" s="141">
        <f>'Evolutive SFP'!N23</f>
        <v>73169435</v>
      </c>
      <c r="O35" s="141">
        <f>'Evolutive SFP'!O23</f>
        <v>62116368.850000001</v>
      </c>
      <c r="P35" s="141">
        <f>'Evolutive SFP'!P23</f>
        <v>61536870.5</v>
      </c>
      <c r="Q35" s="141">
        <f>'Evolutive SFP'!Q23</f>
        <v>60903583.740000002</v>
      </c>
      <c r="R35" s="141">
        <f>'Evolutive SFP'!R23</f>
        <v>61543741.479999997</v>
      </c>
      <c r="S35" s="141">
        <f>'Evolutive SFP'!S23</f>
        <v>61325766.079999998</v>
      </c>
      <c r="T35" s="141">
        <f>'Evolutive SFP'!T23</f>
        <v>60773777.57</v>
      </c>
      <c r="U35" s="141">
        <f>'Evolutive SFP'!U23</f>
        <v>60428315.509999998</v>
      </c>
      <c r="V35" s="141">
        <f>'Evolutive SFP'!V23</f>
        <v>0</v>
      </c>
      <c r="W35" s="141">
        <f>'Evolutive SFP'!W23</f>
        <v>0</v>
      </c>
      <c r="X35" s="141">
        <f>'Evolutive SFP'!X23</f>
        <v>0</v>
      </c>
      <c r="Y35" s="141">
        <f>'Evolutive SFP'!Y23</f>
        <v>0</v>
      </c>
      <c r="Z35" s="141">
        <f>'Evolutive SFP'!Z23</f>
        <v>0</v>
      </c>
      <c r="AA35" s="141">
        <f>'Evolutive SFP'!AA23</f>
        <v>46273620</v>
      </c>
      <c r="AB35" s="141">
        <f>'Evolutive SFP'!AB23</f>
        <v>59127422.149999999</v>
      </c>
      <c r="AC35" s="141">
        <f>'Evolutive SFP'!AC23</f>
        <v>58619420.890000001</v>
      </c>
      <c r="AD35" s="141">
        <f>'Evolutive SFP'!AD23</f>
        <v>57648201.18</v>
      </c>
      <c r="AE35" s="141">
        <f>'Evolutive SFP'!AE23</f>
        <v>57899590.75</v>
      </c>
      <c r="AF35" s="141">
        <f>'Evolutive SFP'!AF23</f>
        <v>57412034.049999997</v>
      </c>
      <c r="AG35" s="141">
        <f>'Evolutive SFP'!AG23</f>
        <v>57080099.149999999</v>
      </c>
      <c r="AH35" s="141">
        <f>'Evolutive SFP'!AH23</f>
        <v>58150528.270000003</v>
      </c>
      <c r="AI35" s="141">
        <f>'Evolutive SFP'!AI23</f>
        <v>57974744.170000002</v>
      </c>
      <c r="AJ35" s="141">
        <f>'Evolutive SFP'!AJ23</f>
        <v>58150586.189999998</v>
      </c>
      <c r="AK35" s="141">
        <f>'Evolutive SFP'!AK23</f>
        <v>57652433.009999998</v>
      </c>
      <c r="AL35" s="141">
        <f>'Evolutive SFP'!AL23</f>
        <v>57162977.090000004</v>
      </c>
      <c r="AM35" s="141">
        <f>'Evolutive SFP'!AM23</f>
        <v>56682625.240000002</v>
      </c>
      <c r="AN35" s="141">
        <f>'Evolutive SFP'!AN23</f>
        <v>63880596</v>
      </c>
      <c r="AO35" s="141">
        <f>'Evolutive SFP'!AO23</f>
        <v>65480831.049999997</v>
      </c>
    </row>
    <row r="36" spans="1:41" ht="13.9">
      <c r="A36" s="3"/>
      <c r="B36" s="5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</row>
    <row r="37" spans="1:41" s="143" customFormat="1" ht="13.9">
      <c r="A37" s="14">
        <v>9</v>
      </c>
      <c r="B37" s="13" t="s">
        <v>145</v>
      </c>
      <c r="C37" s="142" t="e">
        <f t="shared" ref="C37:L37" si="20">C38+C39+C40+C41</f>
        <v>#REF!</v>
      </c>
      <c r="D37" s="142">
        <f t="shared" si="20"/>
        <v>24737091.687916741</v>
      </c>
      <c r="E37" s="142">
        <f t="shared" si="20"/>
        <v>34809075.514788315</v>
      </c>
      <c r="F37" s="142">
        <f t="shared" si="20"/>
        <v>46481721.371109307</v>
      </c>
      <c r="G37" s="142">
        <f t="shared" si="20"/>
        <v>57155395.430619486</v>
      </c>
      <c r="H37" s="142">
        <f t="shared" si="20"/>
        <v>67416164.670276642</v>
      </c>
      <c r="I37" s="142">
        <f t="shared" si="20"/>
        <v>86865864.535676733</v>
      </c>
      <c r="J37" s="142">
        <f t="shared" si="20"/>
        <v>95604289.156800792</v>
      </c>
      <c r="K37" s="142">
        <f t="shared" si="20"/>
        <v>114030119.6042949</v>
      </c>
      <c r="L37" s="142">
        <f t="shared" si="20"/>
        <v>122603587.81258191</v>
      </c>
      <c r="M37" s="142">
        <f t="shared" ref="M37:U37" si="21">M38+M39+M40+M41</f>
        <v>132281336.98041563</v>
      </c>
      <c r="N37" s="142">
        <f t="shared" si="21"/>
        <v>132281337.40413724</v>
      </c>
      <c r="O37" s="142">
        <f t="shared" si="21"/>
        <v>8006175.6768466886</v>
      </c>
      <c r="P37" s="142">
        <f t="shared" si="21"/>
        <v>15300046.649556004</v>
      </c>
      <c r="Q37" s="142">
        <f t="shared" si="21"/>
        <v>23103377.915223885</v>
      </c>
      <c r="R37" s="142">
        <f t="shared" si="21"/>
        <v>30382385.926678486</v>
      </c>
      <c r="S37" s="142">
        <f t="shared" si="21"/>
        <v>36908786.457197972</v>
      </c>
      <c r="T37" s="142">
        <f t="shared" si="21"/>
        <v>44000805.93425712</v>
      </c>
      <c r="U37" s="142">
        <f t="shared" si="21"/>
        <v>51379264.200405136</v>
      </c>
      <c r="V37" s="142" t="e">
        <f t="shared" ref="V37:AA37" si="22">V38+V39+V40+V41</f>
        <v>#DIV/0!</v>
      </c>
      <c r="W37" s="142" t="e">
        <f t="shared" si="22"/>
        <v>#DIV/0!</v>
      </c>
      <c r="X37" s="142" t="e">
        <f t="shared" si="22"/>
        <v>#DIV/0!</v>
      </c>
      <c r="Y37" s="142" t="e">
        <f t="shared" si="22"/>
        <v>#DIV/0!</v>
      </c>
      <c r="Z37" s="142" t="e">
        <f t="shared" si="22"/>
        <v>#DIV/0!</v>
      </c>
      <c r="AA37" s="142">
        <f t="shared" si="22"/>
        <v>129953157.28600456</v>
      </c>
      <c r="AB37" s="142">
        <f t="shared" ref="AB37:AN37" si="23">AB38+AB39+AB40+AB41</f>
        <v>9551370.1344014909</v>
      </c>
      <c r="AC37" s="142">
        <f t="shared" si="23"/>
        <v>19120275.49278225</v>
      </c>
      <c r="AD37" s="142">
        <f t="shared" si="23"/>
        <v>29639273.842794709</v>
      </c>
      <c r="AE37" s="142">
        <f t="shared" si="23"/>
        <v>39931330.53274031</v>
      </c>
      <c r="AF37" s="142">
        <f t="shared" si="23"/>
        <v>51614656.519692652</v>
      </c>
      <c r="AG37" s="142">
        <f t="shared" si="23"/>
        <v>59805854.820018709</v>
      </c>
      <c r="AH37" s="142">
        <f t="shared" si="23"/>
        <v>71040604.771170452</v>
      </c>
      <c r="AI37" s="142">
        <f t="shared" si="23"/>
        <v>78229448.57913655</v>
      </c>
      <c r="AJ37" s="142">
        <f t="shared" si="23"/>
        <v>85544507.760172829</v>
      </c>
      <c r="AK37" s="142">
        <f t="shared" si="23"/>
        <v>91977783.393017128</v>
      </c>
      <c r="AL37" s="142">
        <f t="shared" si="23"/>
        <v>98862410.479708403</v>
      </c>
      <c r="AM37" s="142">
        <f t="shared" si="23"/>
        <v>109342577.42803636</v>
      </c>
      <c r="AN37" s="142">
        <f t="shared" si="23"/>
        <v>139221333.33553031</v>
      </c>
      <c r="AO37" s="142">
        <f t="shared" ref="AO37" si="24">AO38+AO39+AO40+AO41</f>
        <v>60458076.286508873</v>
      </c>
    </row>
    <row r="38" spans="1:41" ht="13.9">
      <c r="A38" s="5">
        <v>9.1</v>
      </c>
      <c r="B38" s="5" t="s">
        <v>193</v>
      </c>
      <c r="C38" s="141" t="e">
        <f>'Evolutitve SCI'!#REF!</f>
        <v>#REF!</v>
      </c>
      <c r="D38" s="141">
        <f>'Evolutitve SCI'!C5</f>
        <v>18580842.210000001</v>
      </c>
      <c r="E38" s="141">
        <f>'Evolutitve SCI'!D5</f>
        <v>25555835.809999999</v>
      </c>
      <c r="F38" s="141">
        <f>'Evolutitve SCI'!E5</f>
        <v>32939595.969999999</v>
      </c>
      <c r="G38" s="141">
        <f>'Evolutitve SCI'!F5</f>
        <v>41120483.920000002</v>
      </c>
      <c r="H38" s="141">
        <f>'Evolutitve SCI'!G5</f>
        <v>48690329.200000003</v>
      </c>
      <c r="I38" s="141">
        <f>'Evolutitve SCI'!H5</f>
        <v>62496293.109999999</v>
      </c>
      <c r="J38" s="141">
        <f>'Evolutitve SCI'!I5</f>
        <v>68281453.980000004</v>
      </c>
      <c r="K38" s="141">
        <f>'Evolutitve SCI'!J5</f>
        <v>77074368.959999993</v>
      </c>
      <c r="L38" s="141">
        <f>'Evolutitve SCI'!K5</f>
        <v>82047205.530000001</v>
      </c>
      <c r="M38" s="141">
        <f>'Evolutitve SCI'!L5</f>
        <v>87624938.379999995</v>
      </c>
      <c r="N38" s="141">
        <f>'Evolutitve SCI'!M5</f>
        <v>104027250</v>
      </c>
      <c r="O38" s="141">
        <f>'Evolutitve SCI'!N5</f>
        <v>6896212.0499999998</v>
      </c>
      <c r="P38" s="141">
        <f>'Evolutitve SCI'!O5</f>
        <v>13069918.92</v>
      </c>
      <c r="Q38" s="141">
        <f>'Evolutitve SCI'!P5</f>
        <v>19598045.789999999</v>
      </c>
      <c r="R38" s="141">
        <f>'Evolutitve SCI'!Q5</f>
        <v>25928689.559999999</v>
      </c>
      <c r="S38" s="141">
        <f>'Evolutitve SCI'!R5</f>
        <v>31203282.379999999</v>
      </c>
      <c r="T38" s="141">
        <f>'Evolutitve SCI'!S5</f>
        <v>37389014.5</v>
      </c>
      <c r="U38" s="141">
        <f>'Evolutitve SCI'!T5</f>
        <v>43935383.380000003</v>
      </c>
      <c r="V38" s="141">
        <f>'Evolutitve SCI'!U5</f>
        <v>0</v>
      </c>
      <c r="W38" s="141">
        <f>'Evolutitve SCI'!V5</f>
        <v>0</v>
      </c>
      <c r="X38" s="141">
        <f>'Evolutitve SCI'!W5</f>
        <v>0</v>
      </c>
      <c r="Y38" s="141">
        <f>'Evolutitve SCI'!X5</f>
        <v>0</v>
      </c>
      <c r="Z38" s="141">
        <f>'Evolutitve SCI'!Y5</f>
        <v>0</v>
      </c>
      <c r="AA38" s="141">
        <f>'Evolutitve SCI'!Z5</f>
        <v>96800936</v>
      </c>
      <c r="AB38" s="141">
        <f>'Evolutitve SCI'!AA5</f>
        <v>8712481.0199999996</v>
      </c>
      <c r="AC38" s="141">
        <f>'Evolutitve SCI'!AB5</f>
        <v>18178151.350000001</v>
      </c>
      <c r="AD38" s="141">
        <f>'Evolutitve SCI'!AC5</f>
        <v>27450968.219999999</v>
      </c>
      <c r="AE38" s="141">
        <f>'Evolutitve SCI'!AD5</f>
        <v>37534874.880000003</v>
      </c>
      <c r="AF38" s="141">
        <f>'Evolutitve SCI'!AE5</f>
        <v>48008643.359999999</v>
      </c>
      <c r="AG38" s="141">
        <f>'Evolutitve SCI'!AF5</f>
        <v>55621822.130000003</v>
      </c>
      <c r="AH38" s="141">
        <f>'Evolutitve SCI'!AG5</f>
        <v>66252221.630000003</v>
      </c>
      <c r="AI38" s="141">
        <f>'Evolutitve SCI'!AH5</f>
        <v>72353237</v>
      </c>
      <c r="AJ38" s="141">
        <f>'Evolutitve SCI'!AI5</f>
        <v>78203161.890000001</v>
      </c>
      <c r="AK38" s="141">
        <f>'Evolutitve SCI'!AJ5</f>
        <v>83398786.510000005</v>
      </c>
      <c r="AL38" s="141">
        <f>'Evolutitve SCI'!AK5</f>
        <v>88856446.650000006</v>
      </c>
      <c r="AM38" s="141">
        <f>'Evolutitve SCI'!AL5</f>
        <v>98264175.370000005</v>
      </c>
      <c r="AN38" s="141">
        <f>'Evolutitve SCI'!AM5</f>
        <v>114466828</v>
      </c>
      <c r="AO38" s="141">
        <f>'Evolutitve SCI'!AN5</f>
        <v>54432857.829999998</v>
      </c>
    </row>
    <row r="39" spans="1:41" ht="13.9">
      <c r="A39" s="5">
        <v>9.1999999999999993</v>
      </c>
      <c r="B39" s="5" t="s">
        <v>194</v>
      </c>
      <c r="C39" s="141" t="e">
        <f>'Evolutitve SCI'!#REF!</f>
        <v>#REF!</v>
      </c>
      <c r="D39" s="141">
        <f>'Evolutitve SCI'!C7</f>
        <v>5827044.4100000001</v>
      </c>
      <c r="E39" s="141">
        <f>'Evolutitve SCI'!D7</f>
        <v>8852619.6099999994</v>
      </c>
      <c r="F39" s="141">
        <f>'Evolutitve SCI'!E7</f>
        <v>13112178.239999998</v>
      </c>
      <c r="G39" s="141">
        <f>'Evolutitve SCI'!F7</f>
        <v>15509634.32</v>
      </c>
      <c r="H39" s="141">
        <f>'Evolutitve SCI'!G7</f>
        <v>18132393.25</v>
      </c>
      <c r="I39" s="141">
        <f>'Evolutitve SCI'!H7</f>
        <v>23520434.149999999</v>
      </c>
      <c r="J39" s="141">
        <f>'Evolutitve SCI'!I7</f>
        <v>26398012.890000001</v>
      </c>
      <c r="K39" s="141">
        <f>'Evolutitve SCI'!J7</f>
        <v>35956403.299999997</v>
      </c>
      <c r="L39" s="141">
        <f>'Evolutitve SCI'!K7</f>
        <v>39447379.920000002</v>
      </c>
      <c r="M39" s="141">
        <f>'Evolutitve SCI'!L7</f>
        <v>43376856.219999999</v>
      </c>
      <c r="N39" s="141">
        <f>'Evolutitve SCI'!M7</f>
        <v>9754587</v>
      </c>
      <c r="O39" s="141">
        <f>'Evolutitve SCI'!N9</f>
        <v>943148.6</v>
      </c>
      <c r="P39" s="141">
        <f>'Evolutitve SCI'!O9</f>
        <v>1859037.68</v>
      </c>
      <c r="Q39" s="141">
        <f>'Evolutitve SCI'!P9</f>
        <v>3035792.05</v>
      </c>
      <c r="R39" s="141">
        <f>'Evolutitve SCI'!Q9</f>
        <v>3894833.77</v>
      </c>
      <c r="S39" s="141">
        <f>'Evolutitve SCI'!R9</f>
        <v>4657451.47</v>
      </c>
      <c r="T39" s="141">
        <f>'Evolutitve SCI'!S9</f>
        <v>5373798.8099999996</v>
      </c>
      <c r="U39" s="141">
        <f>'Evolutitve SCI'!T9</f>
        <v>6017478.1799999997</v>
      </c>
      <c r="V39" s="141">
        <f>'Evolutitve SCI'!U9</f>
        <v>0</v>
      </c>
      <c r="W39" s="141">
        <f>'Evolutitve SCI'!V9</f>
        <v>0</v>
      </c>
      <c r="X39" s="141">
        <f>'Evolutitve SCI'!W9</f>
        <v>0</v>
      </c>
      <c r="Y39" s="141">
        <f>'Evolutitve SCI'!X9</f>
        <v>0</v>
      </c>
      <c r="Z39" s="141">
        <f>'Evolutitve SCI'!Y9</f>
        <v>0</v>
      </c>
      <c r="AA39" s="141">
        <f>'Evolutitve SCI'!Z9</f>
        <v>8926445</v>
      </c>
      <c r="AB39" s="141">
        <f>'Evolutitve SCI'!AA9</f>
        <v>674409.09</v>
      </c>
      <c r="AC39" s="141">
        <f>'Evolutitve SCI'!AB9</f>
        <v>674409.09</v>
      </c>
      <c r="AD39" s="141">
        <f>'Evolutitve SCI'!AC9</f>
        <v>1749555.54</v>
      </c>
      <c r="AE39" s="141">
        <f>'Evolutitve SCI'!AD9</f>
        <v>1749555.54</v>
      </c>
      <c r="AF39" s="141">
        <f>'Evolutitve SCI'!AE9</f>
        <v>2781363.02</v>
      </c>
      <c r="AG39" s="141">
        <f>'Evolutitve SCI'!AF9</f>
        <v>3287227.52</v>
      </c>
      <c r="AH39" s="141">
        <f>'Evolutitve SCI'!AG9</f>
        <v>3775612.93</v>
      </c>
      <c r="AI39" s="141">
        <f>'Evolutitve SCI'!AH9</f>
        <v>4685841.3499999996</v>
      </c>
      <c r="AJ39" s="141">
        <f>'Evolutitve SCI'!AI9</f>
        <v>5905720.6299999999</v>
      </c>
      <c r="AK39" s="141">
        <f>'Evolutitve SCI'!AJ9</f>
        <v>6944811.6299999999</v>
      </c>
      <c r="AL39" s="141">
        <f>'Evolutitve SCI'!AK9</f>
        <v>8241058.5700000003</v>
      </c>
      <c r="AM39" s="141">
        <f>'Evolutitve SCI'!AL9</f>
        <v>9178026.7699999996</v>
      </c>
      <c r="AN39" s="141">
        <f>'Evolutitve SCI'!AM9</f>
        <v>0</v>
      </c>
      <c r="AO39" s="141">
        <f>'Evolutitve SCI'!AN9</f>
        <v>4667168.29</v>
      </c>
    </row>
    <row r="40" spans="1:41" ht="13.9">
      <c r="A40" s="5">
        <v>9.3000000000000007</v>
      </c>
      <c r="B40" s="5" t="s">
        <v>195</v>
      </c>
      <c r="C40" s="141" t="e">
        <f>'Evolutitve SCI'!#REF!</f>
        <v>#REF!</v>
      </c>
      <c r="D40" s="141">
        <f>'Evolutitve SCI'!C6</f>
        <v>329205</v>
      </c>
      <c r="E40" s="141">
        <f>'Evolutitve SCI'!D6</f>
        <v>400620</v>
      </c>
      <c r="F40" s="141">
        <f>'Evolutitve SCI'!E6</f>
        <v>429947.04</v>
      </c>
      <c r="G40" s="141">
        <f>'Evolutitve SCI'!F6</f>
        <v>525277.04</v>
      </c>
      <c r="H40" s="141">
        <f>'Evolutitve SCI'!G6</f>
        <v>593442.04</v>
      </c>
      <c r="I40" s="141">
        <f>'Evolutitve SCI'!H6</f>
        <v>849137.04</v>
      </c>
      <c r="J40" s="141">
        <f>'Evolutitve SCI'!I6</f>
        <v>924822.04</v>
      </c>
      <c r="K40" s="141">
        <f>'Evolutitve SCI'!J6</f>
        <v>999347.04</v>
      </c>
      <c r="L40" s="141">
        <f>'Evolutitve SCI'!K6</f>
        <v>1109002.04</v>
      </c>
      <c r="M40" s="141">
        <f>'Evolutitve SCI'!L6</f>
        <v>1279542.04</v>
      </c>
      <c r="N40" s="141">
        <f>'Evolutitve SCI'!M6</f>
        <v>18499500</v>
      </c>
      <c r="O40" s="141">
        <f>'Evolutitve SCI'!N6</f>
        <v>166815</v>
      </c>
      <c r="P40" s="141">
        <f>'Evolutitve SCI'!O6</f>
        <v>371090</v>
      </c>
      <c r="Q40" s="141">
        <f>'Evolutitve SCI'!P6</f>
        <v>469540</v>
      </c>
      <c r="R40" s="141">
        <f>'Evolutitve SCI'!Q6</f>
        <v>558862.5</v>
      </c>
      <c r="S40" s="141">
        <f>'Evolutitve SCI'!R6</f>
        <v>1048052.5</v>
      </c>
      <c r="T40" s="141">
        <f>'Evolutitve SCI'!S6</f>
        <v>1237992.5</v>
      </c>
      <c r="U40" s="141">
        <f>'Evolutitve SCI'!T6</f>
        <v>1426402.5</v>
      </c>
      <c r="V40" s="141">
        <f>'Evolutitve SCI'!U6</f>
        <v>0</v>
      </c>
      <c r="W40" s="141">
        <f>'Evolutitve SCI'!V6</f>
        <v>0</v>
      </c>
      <c r="X40" s="141">
        <f>'Evolutitve SCI'!W6</f>
        <v>0</v>
      </c>
      <c r="Y40" s="141">
        <f>'Evolutitve SCI'!X6</f>
        <v>0</v>
      </c>
      <c r="Z40" s="141">
        <f>'Evolutitve SCI'!Y6</f>
        <v>0</v>
      </c>
      <c r="AA40" s="141">
        <f>'Evolutitve SCI'!Z6</f>
        <v>24225776</v>
      </c>
      <c r="AB40" s="141">
        <f>'Evolutitve SCI'!AA6</f>
        <v>164480</v>
      </c>
      <c r="AC40" s="141">
        <f>'Evolutitve SCI'!AB6</f>
        <v>267715</v>
      </c>
      <c r="AD40" s="141">
        <f>'Evolutitve SCI'!AC6</f>
        <v>438750</v>
      </c>
      <c r="AE40" s="141">
        <f>'Evolutitve SCI'!AD6</f>
        <v>646900</v>
      </c>
      <c r="AF40" s="141">
        <f>'Evolutitve SCI'!AE6</f>
        <v>824650</v>
      </c>
      <c r="AG40" s="141">
        <f>'Evolutitve SCI'!AF6</f>
        <v>896805</v>
      </c>
      <c r="AH40" s="141">
        <f>'Evolutitve SCI'!AG6</f>
        <v>1012770</v>
      </c>
      <c r="AI40" s="141">
        <f>'Evolutitve SCI'!AH6</f>
        <v>1190370</v>
      </c>
      <c r="AJ40" s="141">
        <f>'Evolutitve SCI'!AI6</f>
        <v>1435625</v>
      </c>
      <c r="AK40" s="141">
        <f>'Evolutitve SCI'!AJ6</f>
        <v>1634185</v>
      </c>
      <c r="AL40" s="141">
        <f>'Evolutitve SCI'!AK6</f>
        <v>1764905</v>
      </c>
      <c r="AM40" s="141">
        <f>'Evolutitve SCI'!AL6</f>
        <v>1900375</v>
      </c>
      <c r="AN40" s="141">
        <f>'Evolutitve SCI'!AM6</f>
        <v>24754505</v>
      </c>
      <c r="AO40" s="141">
        <f>'Evolutitve SCI'!AN6</f>
        <v>1358050</v>
      </c>
    </row>
    <row r="41" spans="1:41" ht="13.9">
      <c r="A41" s="5">
        <v>9.4</v>
      </c>
      <c r="B41" s="5" t="s">
        <v>196</v>
      </c>
      <c r="C41" s="133" t="e">
        <f t="shared" ref="C41:N41" si="25">C38/C31</f>
        <v>#REF!</v>
      </c>
      <c r="D41" s="133">
        <f t="shared" si="25"/>
        <v>6.7916738660233331E-2</v>
      </c>
      <c r="E41" s="133">
        <f t="shared" si="25"/>
        <v>9.4788313793194051E-2</v>
      </c>
      <c r="F41" s="133">
        <f t="shared" si="25"/>
        <v>0.12110931381185652</v>
      </c>
      <c r="G41" s="133">
        <f t="shared" si="25"/>
        <v>0.15061948615440598</v>
      </c>
      <c r="H41" s="133">
        <f t="shared" si="25"/>
        <v>0.18027663464411969</v>
      </c>
      <c r="I41" s="133">
        <f t="shared" si="25"/>
        <v>0.235676740074205</v>
      </c>
      <c r="J41" s="133">
        <f t="shared" si="25"/>
        <v>0.24680078126629759</v>
      </c>
      <c r="K41" s="133">
        <f t="shared" si="25"/>
        <v>0.30429489830292838</v>
      </c>
      <c r="L41" s="133">
        <f t="shared" si="25"/>
        <v>0.32258189843950108</v>
      </c>
      <c r="M41" s="133">
        <f t="shared" si="25"/>
        <v>0.34041562283204241</v>
      </c>
      <c r="N41" s="133">
        <f t="shared" si="25"/>
        <v>0.40413724403645701</v>
      </c>
      <c r="O41" s="133">
        <f>'Evolutitve SCI'!N5/'Evolutive SFP'!O15</f>
        <v>2.6846689320270369E-2</v>
      </c>
      <c r="P41" s="133">
        <f>'Evolutitve SCI'!O5/'Evolutive SFP'!P15</f>
        <v>4.9556003059082761E-2</v>
      </c>
      <c r="Q41" s="133">
        <f>'Evolutitve SCI'!P5/'Evolutive SFP'!Q15</f>
        <v>7.5223884546972014E-2</v>
      </c>
      <c r="R41" s="133">
        <f>'Evolutitve SCI'!Q5/'Evolutive SFP'!R15</f>
        <v>9.6678487342952021E-2</v>
      </c>
      <c r="S41" s="133">
        <f>'Evolutitve SCI'!R5/'Evolutive SFP'!S15</f>
        <v>0.10719797138433819</v>
      </c>
      <c r="T41" s="133">
        <f>'Evolutitve SCI'!S5/'Evolutive SFP'!T15</f>
        <v>0.1242571189504201</v>
      </c>
      <c r="U41" s="133">
        <f>'Evolutitve SCI'!T5/'Evolutive SFP'!U15</f>
        <v>0.14040512970752478</v>
      </c>
      <c r="V41" s="133" t="e">
        <f>'Evolutitve SCI'!U5/'Evolutive SFP'!V15</f>
        <v>#DIV/0!</v>
      </c>
      <c r="W41" s="133" t="e">
        <f>'Evolutitve SCI'!V5/'Evolutive SFP'!W15</f>
        <v>#DIV/0!</v>
      </c>
      <c r="X41" s="133" t="e">
        <f>'Evolutitve SCI'!W5/'Evolutive SFP'!X15</f>
        <v>#DIV/0!</v>
      </c>
      <c r="Y41" s="133" t="e">
        <f>'Evolutitve SCI'!X5/'Evolutive SFP'!Y15</f>
        <v>#DIV/0!</v>
      </c>
      <c r="Z41" s="133" t="e">
        <f>'Evolutitve SCI'!Y5/'Evolutive SFP'!Z15</f>
        <v>#DIV/0!</v>
      </c>
      <c r="AA41" s="133">
        <f>'Evolutitve SCI'!Z5/'Evolutive SFP'!AA15</f>
        <v>0.28600455473804054</v>
      </c>
      <c r="AB41" s="133">
        <f>'Evolutitve SCI'!AA5/'Evolutive SFP'!AB15</f>
        <v>2.4401491383035004E-2</v>
      </c>
      <c r="AC41" s="133">
        <f>'Evolutitve SCI'!AB5/'Evolutive SFP'!AC15</f>
        <v>5.2782248020332351E-2</v>
      </c>
      <c r="AD41" s="133">
        <f>'Evolutitve SCI'!AC5/'Evolutive SFP'!AD15</f>
        <v>8.2794711010021699E-2</v>
      </c>
      <c r="AE41" s="133">
        <f>'Evolutitve SCI'!AD5/'Evolutive SFP'!AE15</f>
        <v>0.1127403090958059</v>
      </c>
      <c r="AF41" s="133">
        <f>'Evolutitve SCI'!AE5/'Evolutive SFP'!AF15</f>
        <v>0.13969265087543026</v>
      </c>
      <c r="AG41" s="133">
        <f>'Evolutitve SCI'!AF5/'Evolutive SFP'!AG15</f>
        <v>0.17001870634949304</v>
      </c>
      <c r="AH41" s="133">
        <f>'Evolutitve SCI'!AG5/'Evolutive SFP'!AH15</f>
        <v>0.21117044485195688</v>
      </c>
      <c r="AI41" s="133">
        <f>'Evolutitve SCI'!AH5/'Evolutive SFP'!AI15</f>
        <v>0.22913655420480947</v>
      </c>
      <c r="AJ41" s="133">
        <f>'Evolutitve SCI'!AI5/'Evolutive SFP'!AJ15</f>
        <v>0.24017283722439639</v>
      </c>
      <c r="AK41" s="133">
        <f>'Evolutitve SCI'!AJ5/'Evolutive SFP'!AK15</f>
        <v>0.25301712453828845</v>
      </c>
      <c r="AL41" s="133">
        <f>'Evolutitve SCI'!AK5/'Evolutive SFP'!AL15</f>
        <v>0.25970840492438246</v>
      </c>
      <c r="AM41" s="133">
        <f>'Evolutitve SCI'!AL5/'Evolutive SFP'!AM15</f>
        <v>0.28803636191675042</v>
      </c>
      <c r="AN41" s="133">
        <f>'Evolutitve SCI'!AM5/'Evolutive SFP'!AN15</f>
        <v>0.33553030419920576</v>
      </c>
      <c r="AO41" s="133">
        <f>'Evolutitve SCI'!AN5/'Evolutive SFP'!AO15</f>
        <v>0.16650887604261042</v>
      </c>
    </row>
    <row r="42" spans="1:41" ht="13.9">
      <c r="A42" s="5"/>
      <c r="B42" s="5"/>
      <c r="C42" s="141"/>
      <c r="D42" s="141"/>
      <c r="E42" s="141"/>
      <c r="F42" s="141"/>
      <c r="G42" s="141"/>
      <c r="H42" s="141"/>
      <c r="I42" s="141"/>
      <c r="J42" s="141"/>
      <c r="K42" s="141"/>
    </row>
    <row r="43" spans="1:41">
      <c r="A43" s="7">
        <v>10</v>
      </c>
      <c r="B43" s="13" t="s">
        <v>197</v>
      </c>
      <c r="C43" s="142" t="e">
        <f t="shared" ref="C43:L43" si="26">SUM(C44:C47)</f>
        <v>#REF!</v>
      </c>
      <c r="D43" s="142">
        <f t="shared" si="26"/>
        <v>27078036.390000001</v>
      </c>
      <c r="E43" s="142">
        <f t="shared" si="26"/>
        <v>42542742.270000003</v>
      </c>
      <c r="F43" s="142">
        <f t="shared" si="26"/>
        <v>56991416.660000004</v>
      </c>
      <c r="G43" s="142">
        <f t="shared" si="26"/>
        <v>70406674.74000001</v>
      </c>
      <c r="H43" s="142">
        <f t="shared" si="26"/>
        <v>84310189.24000001</v>
      </c>
      <c r="I43" s="142">
        <f t="shared" si="26"/>
        <v>112544336.23</v>
      </c>
      <c r="J43" s="142">
        <f t="shared" si="26"/>
        <v>125620572.58</v>
      </c>
      <c r="K43" s="142">
        <f t="shared" si="26"/>
        <v>139378710.06999999</v>
      </c>
      <c r="L43" s="142">
        <f t="shared" si="26"/>
        <v>151940566.93000001</v>
      </c>
      <c r="M43" s="142">
        <f t="shared" ref="M43:U43" si="27">SUM(M44:M47)</f>
        <v>166375514.04000002</v>
      </c>
      <c r="N43" s="142">
        <f t="shared" si="27"/>
        <v>108578041</v>
      </c>
      <c r="O43" s="142">
        <f t="shared" si="27"/>
        <v>15240660.970000001</v>
      </c>
      <c r="P43" s="142">
        <f t="shared" si="27"/>
        <v>31209507.510000002</v>
      </c>
      <c r="Q43" s="142">
        <f t="shared" si="27"/>
        <v>46770851.399999999</v>
      </c>
      <c r="R43" s="142">
        <f t="shared" si="27"/>
        <v>62865660.799999997</v>
      </c>
      <c r="S43" s="142">
        <f t="shared" si="27"/>
        <v>77627911.579999998</v>
      </c>
      <c r="T43" s="142">
        <f t="shared" si="27"/>
        <v>92849006.219999999</v>
      </c>
      <c r="U43" s="142">
        <f t="shared" si="27"/>
        <v>108047312.45</v>
      </c>
      <c r="V43" s="142">
        <f t="shared" ref="V43:AA43" si="28">SUM(V44:V47)</f>
        <v>0</v>
      </c>
      <c r="W43" s="142">
        <f t="shared" si="28"/>
        <v>0</v>
      </c>
      <c r="X43" s="142">
        <f t="shared" si="28"/>
        <v>0</v>
      </c>
      <c r="Y43" s="142">
        <f t="shared" si="28"/>
        <v>0</v>
      </c>
      <c r="Z43" s="142">
        <f t="shared" si="28"/>
        <v>0</v>
      </c>
      <c r="AA43" s="142">
        <f t="shared" si="28"/>
        <v>119360501</v>
      </c>
      <c r="AB43" s="142">
        <f t="shared" ref="AB43:AN43" si="29">SUM(AB44:AB47)</f>
        <v>13391858.629999999</v>
      </c>
      <c r="AC43" s="142">
        <f t="shared" si="29"/>
        <v>28351817.629999999</v>
      </c>
      <c r="AD43" s="142">
        <f t="shared" si="29"/>
        <v>45634564.220000006</v>
      </c>
      <c r="AE43" s="142">
        <f t="shared" si="29"/>
        <v>60508708.649999999</v>
      </c>
      <c r="AF43" s="142">
        <f t="shared" si="29"/>
        <v>76215207.75</v>
      </c>
      <c r="AG43" s="142">
        <f t="shared" si="29"/>
        <v>91763213.480000004</v>
      </c>
      <c r="AH43" s="142">
        <f t="shared" si="29"/>
        <v>108016403.84</v>
      </c>
      <c r="AI43" s="142">
        <f t="shared" si="29"/>
        <v>123985835.02000001</v>
      </c>
      <c r="AJ43" s="142">
        <f t="shared" si="29"/>
        <v>78407344.960000008</v>
      </c>
      <c r="AK43" s="142">
        <f t="shared" si="29"/>
        <v>87031551.069999993</v>
      </c>
      <c r="AL43" s="142">
        <f t="shared" si="29"/>
        <v>95812942.640000001</v>
      </c>
      <c r="AM43" s="142">
        <f t="shared" si="29"/>
        <v>104847837.13000001</v>
      </c>
      <c r="AN43" s="142">
        <f t="shared" si="29"/>
        <v>123895785</v>
      </c>
      <c r="AO43" s="142">
        <f t="shared" ref="AO43" si="30">SUM(AO44:AO47)</f>
        <v>76007101.930000007</v>
      </c>
    </row>
    <row r="44" spans="1:41" ht="13.9">
      <c r="A44" s="5">
        <v>10.1</v>
      </c>
      <c r="B44" s="5" t="s">
        <v>198</v>
      </c>
      <c r="C44" s="141" t="e">
        <f>'Evolutitve SCI'!#REF!+'Evolutitve SCI'!#REF!</f>
        <v>#REF!</v>
      </c>
      <c r="D44" s="141">
        <f>'Evolutitve SCI'!C13+'Evolutitve SCI'!C16</f>
        <v>0</v>
      </c>
      <c r="E44" s="141">
        <f>'Evolutitve SCI'!D13+'Evolutitve SCI'!D16</f>
        <v>0</v>
      </c>
      <c r="F44" s="141">
        <f>'Evolutitve SCI'!E13+'Evolutitve SCI'!E16</f>
        <v>0</v>
      </c>
      <c r="G44" s="141">
        <f>'Evolutitve SCI'!F13+'Evolutitve SCI'!F16</f>
        <v>0</v>
      </c>
      <c r="H44" s="141">
        <f>'Evolutitve SCI'!G13+'Evolutitve SCI'!G16</f>
        <v>0</v>
      </c>
      <c r="I44" s="141">
        <f>'Evolutitve SCI'!H13+'Evolutitve SCI'!H16</f>
        <v>0</v>
      </c>
      <c r="J44" s="141">
        <f>'Evolutitve SCI'!I13+'Evolutitve SCI'!I16</f>
        <v>0</v>
      </c>
      <c r="K44" s="141">
        <f>'Evolutitve SCI'!J13+'Evolutitve SCI'!J16</f>
        <v>0</v>
      </c>
      <c r="L44" s="141">
        <f>'Evolutitve SCI'!K13+'Evolutitve SCI'!K16</f>
        <v>0</v>
      </c>
      <c r="M44" s="141">
        <f>'Evolutitve SCI'!L13+'Evolutitve SCI'!L16</f>
        <v>0</v>
      </c>
      <c r="N44" s="141">
        <f>'Evolutitve SCI'!M13+'Evolutitve SCI'!M16</f>
        <v>16089183</v>
      </c>
      <c r="O44" s="141">
        <f>'Evolutitve SCI'!N13</f>
        <v>0</v>
      </c>
      <c r="P44" s="141">
        <f>'Evolutitve SCI'!O13</f>
        <v>0</v>
      </c>
      <c r="Q44" s="141">
        <f>'Evolutitve SCI'!P13</f>
        <v>0</v>
      </c>
      <c r="R44" s="141">
        <f>'Evolutitve SCI'!Q13</f>
        <v>0</v>
      </c>
      <c r="S44" s="141">
        <f>'Evolutitve SCI'!R13</f>
        <v>0</v>
      </c>
      <c r="T44" s="141">
        <f>'Evolutitve SCI'!S13</f>
        <v>0</v>
      </c>
      <c r="U44" s="141">
        <f>'Evolutitve SCI'!T13</f>
        <v>0</v>
      </c>
      <c r="V44" s="141">
        <f>'Evolutitve SCI'!U13</f>
        <v>0</v>
      </c>
      <c r="W44" s="141">
        <f>'Evolutitve SCI'!V13</f>
        <v>0</v>
      </c>
      <c r="X44" s="141">
        <f>'Evolutitve SCI'!W13</f>
        <v>0</v>
      </c>
      <c r="Y44" s="141">
        <f>'Evolutitve SCI'!X13</f>
        <v>0</v>
      </c>
      <c r="Z44" s="141">
        <f>'Evolutitve SCI'!Y13</f>
        <v>0</v>
      </c>
      <c r="AA44" s="141">
        <f>'Evolutitve SCI'!Z13</f>
        <v>15137826</v>
      </c>
      <c r="AB44" s="141">
        <f>'Evolutitve SCI'!AA13</f>
        <v>0</v>
      </c>
      <c r="AC44" s="141">
        <f>'Evolutitve SCI'!AB13</f>
        <v>0</v>
      </c>
      <c r="AD44" s="141">
        <f>'Evolutitve SCI'!AC13</f>
        <v>0</v>
      </c>
      <c r="AE44" s="141">
        <f>'Evolutitve SCI'!AD13</f>
        <v>0</v>
      </c>
      <c r="AF44" s="141">
        <f>'Evolutitve SCI'!AE13</f>
        <v>0</v>
      </c>
      <c r="AG44" s="141">
        <f>'Evolutitve SCI'!AF13</f>
        <v>0</v>
      </c>
      <c r="AH44" s="141">
        <f>'Evolutitve SCI'!AG13</f>
        <v>0</v>
      </c>
      <c r="AI44" s="141">
        <f>'Evolutitve SCI'!AH13</f>
        <v>0</v>
      </c>
      <c r="AJ44" s="141">
        <f>'Evolutitve SCI'!AI13</f>
        <v>0</v>
      </c>
      <c r="AK44" s="141">
        <f>'Evolutitve SCI'!AJ13</f>
        <v>0</v>
      </c>
      <c r="AL44" s="141">
        <f>'Evolutitve SCI'!AK13</f>
        <v>0</v>
      </c>
      <c r="AM44" s="141">
        <f>'Evolutitve SCI'!AL13</f>
        <v>0</v>
      </c>
      <c r="AN44" s="141">
        <f>'Evolutitve SCI'!AM13</f>
        <v>17192689</v>
      </c>
      <c r="AO44" s="141">
        <f>'Evolutitve SCI'!AN13</f>
        <v>0</v>
      </c>
    </row>
    <row r="45" spans="1:41" ht="13.9">
      <c r="A45" s="5">
        <v>10.199999999999999</v>
      </c>
      <c r="B45" s="5" t="s">
        <v>199</v>
      </c>
      <c r="C45" s="141" t="e">
        <f>'Evolutitve SCI'!#REF!</f>
        <v>#REF!</v>
      </c>
      <c r="D45" s="141">
        <f>'Evolutitve SCI'!C15</f>
        <v>0</v>
      </c>
      <c r="E45" s="141">
        <f>'Evolutitve SCI'!D15</f>
        <v>0</v>
      </c>
      <c r="F45" s="141">
        <f>'Evolutitve SCI'!E15</f>
        <v>0</v>
      </c>
      <c r="G45" s="141">
        <f>'Evolutitve SCI'!F15</f>
        <v>0</v>
      </c>
      <c r="H45" s="141">
        <f>'Evolutitve SCI'!G15</f>
        <v>0</v>
      </c>
      <c r="I45" s="141">
        <f>'Evolutitve SCI'!H15</f>
        <v>0</v>
      </c>
      <c r="J45" s="141">
        <f>'Evolutitve SCI'!I15</f>
        <v>0</v>
      </c>
      <c r="K45" s="141">
        <f>'Evolutitve SCI'!J15</f>
        <v>0</v>
      </c>
      <c r="L45" s="141">
        <f>'Evolutitve SCI'!K15</f>
        <v>0</v>
      </c>
      <c r="M45" s="141">
        <f>'Evolutitve SCI'!L15</f>
        <v>0</v>
      </c>
      <c r="N45" s="141">
        <f>'Evolutitve SCI'!M15</f>
        <v>0</v>
      </c>
      <c r="O45" s="141">
        <f>'Evolutitve SCI'!N15</f>
        <v>0</v>
      </c>
      <c r="P45" s="141">
        <f>'Evolutitve SCI'!O15</f>
        <v>0</v>
      </c>
      <c r="Q45" s="141">
        <f>'Evolutitve SCI'!P15</f>
        <v>0</v>
      </c>
      <c r="R45" s="141">
        <f>'Evolutitve SCI'!Q15</f>
        <v>0</v>
      </c>
      <c r="S45" s="141">
        <f>'Evolutitve SCI'!R15</f>
        <v>0</v>
      </c>
      <c r="T45" s="141">
        <f>'Evolutitve SCI'!S15</f>
        <v>0</v>
      </c>
      <c r="U45" s="141">
        <f>'Evolutitve SCI'!T15</f>
        <v>0</v>
      </c>
      <c r="V45" s="141">
        <f>'Evolutitve SCI'!U15</f>
        <v>0</v>
      </c>
      <c r="W45" s="141">
        <f>'Evolutitve SCI'!V15</f>
        <v>0</v>
      </c>
      <c r="X45" s="141">
        <f>'Evolutitve SCI'!W15</f>
        <v>0</v>
      </c>
      <c r="Y45" s="141">
        <f>'Evolutitve SCI'!X15</f>
        <v>0</v>
      </c>
      <c r="Z45" s="141">
        <f>'Evolutitve SCI'!Y15</f>
        <v>0</v>
      </c>
      <c r="AA45" s="141">
        <f>'Evolutitve SCI'!Z15</f>
        <v>0</v>
      </c>
      <c r="AB45" s="141">
        <f>'Evolutitve SCI'!AA15</f>
        <v>0</v>
      </c>
      <c r="AC45" s="141">
        <f>'Evolutitve SCI'!AB15</f>
        <v>0</v>
      </c>
      <c r="AD45" s="141">
        <f>'Evolutitve SCI'!AC15</f>
        <v>0</v>
      </c>
      <c r="AE45" s="141">
        <f>'Evolutitve SCI'!AD15</f>
        <v>0</v>
      </c>
      <c r="AF45" s="141">
        <f>'Evolutitve SCI'!AE15</f>
        <v>0</v>
      </c>
      <c r="AG45" s="141">
        <f>'Evolutitve SCI'!AF15</f>
        <v>0</v>
      </c>
      <c r="AH45" s="141">
        <f>'Evolutitve SCI'!AG15</f>
        <v>0</v>
      </c>
      <c r="AI45" s="141">
        <f>'Evolutitve SCI'!AH15</f>
        <v>0</v>
      </c>
      <c r="AJ45" s="141">
        <f>'Evolutitve SCI'!AI15</f>
        <v>0</v>
      </c>
      <c r="AK45" s="141">
        <f>'Evolutitve SCI'!AJ15</f>
        <v>0</v>
      </c>
      <c r="AL45" s="141">
        <f>'Evolutitve SCI'!AK15</f>
        <v>0</v>
      </c>
      <c r="AM45" s="141">
        <f>'Evolutitve SCI'!AL15</f>
        <v>0</v>
      </c>
      <c r="AN45" s="141">
        <f>'Evolutitve SCI'!AM15</f>
        <v>0</v>
      </c>
      <c r="AO45" s="141">
        <f>'Evolutitve SCI'!AN15</f>
        <v>0</v>
      </c>
    </row>
    <row r="46" spans="1:41" ht="13.9">
      <c r="A46" s="5">
        <v>10.3</v>
      </c>
      <c r="B46" s="5" t="s">
        <v>200</v>
      </c>
      <c r="C46" s="141" t="e">
        <f>'Evolutitve SCI'!#REF!</f>
        <v>#REF!</v>
      </c>
      <c r="D46" s="141">
        <f>'Evolutitve SCI'!C14</f>
        <v>0</v>
      </c>
      <c r="E46" s="141">
        <f>'Evolutitve SCI'!D14</f>
        <v>0</v>
      </c>
      <c r="F46" s="141">
        <f>'Evolutitve SCI'!E14</f>
        <v>0</v>
      </c>
      <c r="G46" s="141">
        <f>'Evolutitve SCI'!F14</f>
        <v>0</v>
      </c>
      <c r="H46" s="141">
        <f>'Evolutitve SCI'!G14</f>
        <v>0</v>
      </c>
      <c r="I46" s="141">
        <f>'Evolutitve SCI'!H14</f>
        <v>0</v>
      </c>
      <c r="J46" s="141">
        <f>'Evolutitve SCI'!I14</f>
        <v>0</v>
      </c>
      <c r="K46" s="141">
        <f>'Evolutitve SCI'!J14</f>
        <v>0</v>
      </c>
      <c r="L46" s="141">
        <f>'Evolutitve SCI'!K14</f>
        <v>0</v>
      </c>
      <c r="M46" s="141">
        <f>'Evolutitve SCI'!L14</f>
        <v>0</v>
      </c>
      <c r="N46" s="141">
        <f>'Evolutitve SCI'!M14</f>
        <v>0</v>
      </c>
      <c r="O46" s="141">
        <f>'Evolutitve SCI'!N14</f>
        <v>0</v>
      </c>
      <c r="P46" s="141">
        <f>'Evolutitve SCI'!O14</f>
        <v>0</v>
      </c>
      <c r="Q46" s="141">
        <f>'Evolutitve SCI'!P14</f>
        <v>0</v>
      </c>
      <c r="R46" s="141">
        <f>'Evolutitve SCI'!Q14</f>
        <v>0</v>
      </c>
      <c r="S46" s="141">
        <f>'Evolutitve SCI'!R14</f>
        <v>0</v>
      </c>
      <c r="T46" s="141">
        <f>'Evolutitve SCI'!S14</f>
        <v>0</v>
      </c>
      <c r="U46" s="141">
        <f>'Evolutitve SCI'!T14</f>
        <v>0</v>
      </c>
      <c r="V46" s="141">
        <f>'Evolutitve SCI'!U14</f>
        <v>0</v>
      </c>
      <c r="W46" s="141">
        <f>'Evolutitve SCI'!V14</f>
        <v>0</v>
      </c>
      <c r="X46" s="141">
        <f>'Evolutitve SCI'!W14</f>
        <v>0</v>
      </c>
      <c r="Y46" s="141">
        <f>'Evolutitve SCI'!X14</f>
        <v>0</v>
      </c>
      <c r="Z46" s="141">
        <f>'Evolutitve SCI'!Y14</f>
        <v>0</v>
      </c>
      <c r="AA46" s="141">
        <f>'Evolutitve SCI'!Z14</f>
        <v>0</v>
      </c>
      <c r="AB46" s="141">
        <f>'Evolutitve SCI'!AA14</f>
        <v>0</v>
      </c>
      <c r="AC46" s="141">
        <f>'Evolutitve SCI'!AB14</f>
        <v>0</v>
      </c>
      <c r="AD46" s="141">
        <f>'Evolutitve SCI'!AC14</f>
        <v>0</v>
      </c>
      <c r="AE46" s="141">
        <f>'Evolutitve SCI'!AD14</f>
        <v>0</v>
      </c>
      <c r="AF46" s="141">
        <f>'Evolutitve SCI'!AE14</f>
        <v>0</v>
      </c>
      <c r="AG46" s="141">
        <f>'Evolutitve SCI'!AF14</f>
        <v>0</v>
      </c>
      <c r="AH46" s="141">
        <f>'Evolutitve SCI'!AG14</f>
        <v>0</v>
      </c>
      <c r="AI46" s="141">
        <f>'Evolutitve SCI'!AH14</f>
        <v>0</v>
      </c>
      <c r="AJ46" s="141">
        <f>'Evolutitve SCI'!AI14</f>
        <v>0</v>
      </c>
      <c r="AK46" s="141">
        <f>'Evolutitve SCI'!AJ14</f>
        <v>0</v>
      </c>
      <c r="AL46" s="141">
        <f>'Evolutitve SCI'!AK14</f>
        <v>0</v>
      </c>
      <c r="AM46" s="141">
        <f>'Evolutitve SCI'!AL14</f>
        <v>0</v>
      </c>
      <c r="AN46" s="141">
        <f>'Evolutitve SCI'!AM14</f>
        <v>0</v>
      </c>
      <c r="AO46" s="141">
        <f>'Evolutitve SCI'!AN14</f>
        <v>0</v>
      </c>
    </row>
    <row r="47" spans="1:41" ht="13.9">
      <c r="A47" s="5">
        <v>10.4</v>
      </c>
      <c r="B47" s="5" t="s">
        <v>201</v>
      </c>
      <c r="C47" s="141" t="e">
        <f>'Evolutitve SCI'!#REF!</f>
        <v>#REF!</v>
      </c>
      <c r="D47" s="141">
        <f>'Evolutitve SCI'!C23</f>
        <v>27078036.390000001</v>
      </c>
      <c r="E47" s="141">
        <f>'Evolutitve SCI'!D23</f>
        <v>42542742.270000003</v>
      </c>
      <c r="F47" s="141">
        <f>'Evolutitve SCI'!E23</f>
        <v>56991416.660000004</v>
      </c>
      <c r="G47" s="141">
        <f>'Evolutitve SCI'!F23</f>
        <v>70406674.74000001</v>
      </c>
      <c r="H47" s="141">
        <f>'Evolutitve SCI'!G23</f>
        <v>84310189.24000001</v>
      </c>
      <c r="I47" s="141">
        <f>'Evolutitve SCI'!H23</f>
        <v>112544336.23</v>
      </c>
      <c r="J47" s="141">
        <f>'Evolutitve SCI'!I23</f>
        <v>125620572.58</v>
      </c>
      <c r="K47" s="141">
        <f>'Evolutitve SCI'!J23</f>
        <v>139378710.06999999</v>
      </c>
      <c r="L47" s="141">
        <f>'Evolutitve SCI'!K23</f>
        <v>151940566.93000001</v>
      </c>
      <c r="M47" s="141">
        <f>'Evolutitve SCI'!L23</f>
        <v>166375514.04000002</v>
      </c>
      <c r="N47" s="141">
        <f>'Evolutitve SCI'!M23</f>
        <v>92488858</v>
      </c>
      <c r="O47" s="141">
        <f>'Evolutitve SCI'!N23</f>
        <v>15240660.970000001</v>
      </c>
      <c r="P47" s="141">
        <f>'Evolutitve SCI'!O23</f>
        <v>31209507.510000002</v>
      </c>
      <c r="Q47" s="141">
        <f>'Evolutitve SCI'!P23</f>
        <v>46770851.399999999</v>
      </c>
      <c r="R47" s="141">
        <f>'Evolutitve SCI'!Q23</f>
        <v>62865660.799999997</v>
      </c>
      <c r="S47" s="141">
        <f>'Evolutitve SCI'!R23</f>
        <v>77627911.579999998</v>
      </c>
      <c r="T47" s="141">
        <f>'Evolutitve SCI'!S23</f>
        <v>92849006.219999999</v>
      </c>
      <c r="U47" s="141">
        <f>'Evolutitve SCI'!T23</f>
        <v>108047312.45</v>
      </c>
      <c r="V47" s="141">
        <f>'Evolutitve SCI'!U23</f>
        <v>0</v>
      </c>
      <c r="W47" s="141">
        <f>'Evolutitve SCI'!V23</f>
        <v>0</v>
      </c>
      <c r="X47" s="141">
        <f>'Evolutitve SCI'!W23</f>
        <v>0</v>
      </c>
      <c r="Y47" s="141">
        <f>'Evolutitve SCI'!X23</f>
        <v>0</v>
      </c>
      <c r="Z47" s="141">
        <f>'Evolutitve SCI'!Y23</f>
        <v>0</v>
      </c>
      <c r="AA47" s="141">
        <f>'Evolutitve SCI'!Z23</f>
        <v>104222675</v>
      </c>
      <c r="AB47" s="141">
        <f>'Evolutitve SCI'!AA23</f>
        <v>13391858.629999999</v>
      </c>
      <c r="AC47" s="141">
        <f>'Evolutitve SCI'!AB23</f>
        <v>28351817.629999999</v>
      </c>
      <c r="AD47" s="141">
        <f>'Evolutitve SCI'!AC23</f>
        <v>45634564.220000006</v>
      </c>
      <c r="AE47" s="141">
        <f>'Evolutitve SCI'!AD23</f>
        <v>60508708.649999999</v>
      </c>
      <c r="AF47" s="141">
        <f>'Evolutitve SCI'!AE23</f>
        <v>76215207.75</v>
      </c>
      <c r="AG47" s="141">
        <f>'Evolutitve SCI'!AF23</f>
        <v>91763213.480000004</v>
      </c>
      <c r="AH47" s="141">
        <f>'Evolutitve SCI'!AG23</f>
        <v>108016403.84</v>
      </c>
      <c r="AI47" s="141">
        <f>'Evolutitve SCI'!AH23</f>
        <v>123985835.02000001</v>
      </c>
      <c r="AJ47" s="141">
        <f>'Evolutitve SCI'!AI23</f>
        <v>78407344.960000008</v>
      </c>
      <c r="AK47" s="141">
        <f>'Evolutitve SCI'!AJ23</f>
        <v>87031551.069999993</v>
      </c>
      <c r="AL47" s="141">
        <f>'Evolutitve SCI'!AK23</f>
        <v>95812942.640000001</v>
      </c>
      <c r="AM47" s="141">
        <f>'Evolutitve SCI'!AL23</f>
        <v>104847837.13000001</v>
      </c>
      <c r="AN47" s="141">
        <f>'Evolutitve SCI'!AM23</f>
        <v>106703096</v>
      </c>
      <c r="AO47" s="141">
        <f>'Evolutitve SCI'!AN23</f>
        <v>76007101.930000007</v>
      </c>
    </row>
    <row r="50" spans="2:2" ht="15">
      <c r="B50" s="144" t="s">
        <v>202</v>
      </c>
    </row>
    <row r="51" spans="2:2" ht="13.9">
      <c r="B51" s="145" t="s">
        <v>67</v>
      </c>
    </row>
    <row r="52" spans="2:2" ht="13.9">
      <c r="B52" s="145" t="s">
        <v>203</v>
      </c>
    </row>
    <row r="53" spans="2:2" ht="13.9">
      <c r="B53" s="145" t="s">
        <v>204</v>
      </c>
    </row>
    <row r="54" spans="2:2" ht="13.9">
      <c r="B54" s="145" t="s">
        <v>86</v>
      </c>
    </row>
    <row r="55" spans="2:2" ht="13.9">
      <c r="B55" s="145" t="s">
        <v>205</v>
      </c>
    </row>
    <row r="56" spans="2:2" ht="13.9">
      <c r="B56" s="145" t="s">
        <v>206</v>
      </c>
    </row>
    <row r="57" spans="2:2" ht="13.9">
      <c r="B57" s="145" t="s">
        <v>207</v>
      </c>
    </row>
    <row r="58" spans="2:2" ht="13.9">
      <c r="B58" s="145" t="s">
        <v>208</v>
      </c>
    </row>
    <row r="59" spans="2:2" ht="13.9">
      <c r="B59" s="145" t="s">
        <v>209</v>
      </c>
    </row>
    <row r="60" spans="2:2" ht="13.9">
      <c r="B60" s="146" t="s">
        <v>192</v>
      </c>
    </row>
  </sheetData>
  <pageMargins left="0.7" right="0.7" top="0.75" bottom="0.75" header="0.3" footer="0.3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>
      <selection activeCell="C37" sqref="C37"/>
    </sheetView>
  </sheetViews>
  <sheetFormatPr defaultRowHeight="14.45"/>
  <cols>
    <col min="1" max="1" width="54.85546875" style="25" bestFit="1" customWidth="1"/>
    <col min="2" max="2" width="15" style="25" bestFit="1" customWidth="1"/>
    <col min="3" max="3" width="14.7109375" style="25" bestFit="1" customWidth="1"/>
    <col min="4" max="4" width="14" bestFit="1" customWidth="1"/>
    <col min="5" max="5" width="15.28515625" bestFit="1" customWidth="1"/>
    <col min="6" max="6" width="10.5703125" bestFit="1" customWidth="1"/>
  </cols>
  <sheetData>
    <row r="1" spans="1:8">
      <c r="A1" s="249" t="s">
        <v>210</v>
      </c>
      <c r="B1" s="249"/>
      <c r="C1" s="249"/>
    </row>
    <row r="2" spans="1:8">
      <c r="B2" s="26">
        <v>2015</v>
      </c>
      <c r="C2" s="26">
        <v>2014</v>
      </c>
    </row>
    <row r="3" spans="1:8">
      <c r="A3" s="27" t="s">
        <v>211</v>
      </c>
      <c r="B3" s="28"/>
      <c r="C3" s="29"/>
    </row>
    <row r="4" spans="1:8">
      <c r="A4" s="30" t="s">
        <v>212</v>
      </c>
      <c r="B4" s="31"/>
      <c r="C4" s="32"/>
      <c r="D4" s="31"/>
      <c r="F4" s="24"/>
    </row>
    <row r="5" spans="1:8">
      <c r="A5" s="30" t="s">
        <v>213</v>
      </c>
      <c r="B5" s="33"/>
      <c r="C5" s="34"/>
    </row>
    <row r="6" spans="1:8" ht="15.6">
      <c r="A6" s="30" t="s">
        <v>214</v>
      </c>
      <c r="B6" s="35"/>
      <c r="C6" s="36"/>
    </row>
    <row r="7" spans="1:8" ht="15.6">
      <c r="A7" s="30" t="s">
        <v>215</v>
      </c>
      <c r="B7" s="32"/>
      <c r="C7" s="34"/>
      <c r="E7" s="35"/>
      <c r="F7" s="36"/>
    </row>
    <row r="8" spans="1:8" ht="17.45">
      <c r="A8" s="37" t="s">
        <v>216</v>
      </c>
      <c r="B8" s="38">
        <f>B4+B5+B6+B7</f>
        <v>0</v>
      </c>
      <c r="C8" s="39">
        <f>SUM(C4:C7)</f>
        <v>0</v>
      </c>
      <c r="H8" s="40"/>
    </row>
    <row r="9" spans="1:8">
      <c r="A9" s="30" t="s">
        <v>217</v>
      </c>
      <c r="B9" s="33">
        <v>-21420750</v>
      </c>
      <c r="C9" s="34">
        <v>-19341453</v>
      </c>
      <c r="E9" s="41"/>
    </row>
    <row r="10" spans="1:8">
      <c r="A10" s="30" t="s">
        <v>218</v>
      </c>
      <c r="B10" s="33">
        <v>3405679</v>
      </c>
      <c r="C10" s="34">
        <v>644537</v>
      </c>
    </row>
    <row r="11" spans="1:8" ht="15.6">
      <c r="A11" s="30" t="s">
        <v>219</v>
      </c>
      <c r="B11" s="42"/>
      <c r="C11" s="36"/>
    </row>
    <row r="12" spans="1:8">
      <c r="A12" s="43" t="s">
        <v>220</v>
      </c>
      <c r="B12" s="44">
        <f>SUM(B9:B11)</f>
        <v>-18015071</v>
      </c>
      <c r="C12" s="45">
        <f>SUM(C9:C11)</f>
        <v>-18696916</v>
      </c>
    </row>
    <row r="13" spans="1:8">
      <c r="A13" s="46" t="s">
        <v>221</v>
      </c>
      <c r="B13" s="33">
        <v>37542318</v>
      </c>
      <c r="C13" s="34">
        <v>70912356</v>
      </c>
    </row>
    <row r="14" spans="1:8">
      <c r="A14" s="46" t="s">
        <v>222</v>
      </c>
      <c r="B14" s="32">
        <v>-2636186</v>
      </c>
      <c r="C14" s="34">
        <v>17927</v>
      </c>
    </row>
    <row r="15" spans="1:8">
      <c r="A15" s="46" t="s">
        <v>223</v>
      </c>
      <c r="B15" s="32">
        <v>-7154210</v>
      </c>
      <c r="C15" s="34">
        <v>-4536404</v>
      </c>
    </row>
    <row r="16" spans="1:8">
      <c r="A16" s="46" t="s">
        <v>224</v>
      </c>
      <c r="B16" s="32">
        <v>-312508</v>
      </c>
      <c r="C16" s="34">
        <v>-2877539</v>
      </c>
    </row>
    <row r="17" spans="1:5">
      <c r="A17" s="47" t="s">
        <v>225</v>
      </c>
      <c r="B17" s="48">
        <f>B8+B12+B13+B14+B15+B16</f>
        <v>9424343</v>
      </c>
      <c r="C17" s="48">
        <f>C8+C12+C13+C14+C15+C16</f>
        <v>44819424</v>
      </c>
    </row>
    <row r="18" spans="1:5" ht="15.6">
      <c r="A18" s="46" t="s">
        <v>226</v>
      </c>
      <c r="B18" s="42"/>
      <c r="C18" s="36"/>
    </row>
    <row r="19" spans="1:5" ht="17.45">
      <c r="A19" s="47" t="s">
        <v>227</v>
      </c>
      <c r="B19" s="49">
        <f>B17+B18</f>
        <v>9424343</v>
      </c>
      <c r="C19" s="50">
        <f>C17+C18</f>
        <v>44819424</v>
      </c>
    </row>
    <row r="20" spans="1:5">
      <c r="A20" s="46"/>
      <c r="B20" s="51"/>
      <c r="C20" s="52"/>
    </row>
    <row r="21" spans="1:5">
      <c r="A21" s="47" t="s">
        <v>228</v>
      </c>
      <c r="B21" s="28"/>
      <c r="C21" s="53"/>
    </row>
    <row r="22" spans="1:5">
      <c r="A22" s="46" t="s">
        <v>229</v>
      </c>
      <c r="B22" s="32">
        <v>-987736</v>
      </c>
      <c r="C22" s="34">
        <v>-4053993</v>
      </c>
    </row>
    <row r="23" spans="1:5">
      <c r="A23" s="46" t="s">
        <v>230</v>
      </c>
      <c r="B23" s="32"/>
      <c r="C23" s="34"/>
    </row>
    <row r="24" spans="1:5">
      <c r="A24" s="46" t="s">
        <v>231</v>
      </c>
      <c r="B24" s="32"/>
      <c r="C24" s="32"/>
    </row>
    <row r="25" spans="1:5">
      <c r="A25" s="46" t="s">
        <v>232</v>
      </c>
      <c r="B25" s="32"/>
      <c r="C25" s="34"/>
    </row>
    <row r="26" spans="1:5">
      <c r="A26" s="46" t="s">
        <v>233</v>
      </c>
      <c r="B26" s="32">
        <v>-286875</v>
      </c>
      <c r="C26" s="34">
        <v>-534318</v>
      </c>
    </row>
    <row r="27" spans="1:5" ht="15.6">
      <c r="A27" s="46" t="s">
        <v>234</v>
      </c>
      <c r="B27" s="42"/>
      <c r="C27" s="36"/>
    </row>
    <row r="28" spans="1:5" ht="17.45">
      <c r="A28" s="47" t="s">
        <v>235</v>
      </c>
      <c r="B28" s="38">
        <f>SUM(B22:B27)</f>
        <v>-1274611</v>
      </c>
      <c r="C28" s="39">
        <f>SUM(C22:C27)</f>
        <v>-4588311</v>
      </c>
      <c r="E28" s="24">
        <f>810794136-637456683</f>
        <v>173337453</v>
      </c>
    </row>
    <row r="29" spans="1:5">
      <c r="A29" s="46"/>
      <c r="B29" s="51"/>
      <c r="C29" s="52"/>
    </row>
    <row r="30" spans="1:5">
      <c r="A30" s="47" t="s">
        <v>236</v>
      </c>
      <c r="B30" s="28"/>
      <c r="C30" s="53"/>
    </row>
    <row r="31" spans="1:5">
      <c r="A31" s="46" t="s">
        <v>237</v>
      </c>
      <c r="B31" s="32">
        <v>34941877</v>
      </c>
      <c r="C31" s="34">
        <v>17467705</v>
      </c>
    </row>
    <row r="32" spans="1:5">
      <c r="A32" s="46" t="s">
        <v>238</v>
      </c>
      <c r="B32" s="32"/>
      <c r="C32" s="34"/>
    </row>
    <row r="33" spans="1:3">
      <c r="A33" s="46" t="s">
        <v>239</v>
      </c>
      <c r="B33" s="32"/>
      <c r="C33" s="34"/>
    </row>
    <row r="34" spans="1:3">
      <c r="A34" s="46" t="s">
        <v>240</v>
      </c>
      <c r="B34" s="32">
        <v>-6887998</v>
      </c>
      <c r="C34" s="34">
        <v>-6887998</v>
      </c>
    </row>
    <row r="35" spans="1:3" ht="15.6">
      <c r="A35" s="46" t="s">
        <v>241</v>
      </c>
      <c r="B35" s="42">
        <v>0</v>
      </c>
      <c r="C35" s="36">
        <v>0</v>
      </c>
    </row>
    <row r="36" spans="1:3" ht="17.45">
      <c r="A36" s="47" t="s">
        <v>242</v>
      </c>
      <c r="B36" s="38">
        <f>SUM(B31:B35)</f>
        <v>28053879</v>
      </c>
      <c r="C36" s="39">
        <f>SUM(C31:C35)</f>
        <v>10579707</v>
      </c>
    </row>
    <row r="37" spans="1:3">
      <c r="A37" s="47" t="s">
        <v>243</v>
      </c>
      <c r="B37" s="54">
        <f>B19+B28+B36</f>
        <v>36203611</v>
      </c>
      <c r="C37" s="55">
        <f>C19+C28+C36</f>
        <v>50810820</v>
      </c>
    </row>
    <row r="38" spans="1:3" ht="15.6">
      <c r="A38" s="46" t="s">
        <v>244</v>
      </c>
      <c r="B38" s="56">
        <v>207318182</v>
      </c>
      <c r="C38" s="57">
        <v>134933687</v>
      </c>
    </row>
    <row r="39" spans="1:3" ht="17.45">
      <c r="A39" s="47" t="s">
        <v>245</v>
      </c>
      <c r="B39" s="49">
        <f>SUM(B37:B38)</f>
        <v>243521793</v>
      </c>
      <c r="C39" s="58">
        <f>SUM(C37:C38)</f>
        <v>185744507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58"/>
  <sheetViews>
    <sheetView topLeftCell="A2" zoomScale="98" zoomScaleNormal="98" zoomScaleSheetLayoutView="100" workbookViewId="0">
      <pane xSplit="3" topLeftCell="P1" activePane="topRight" state="frozen"/>
      <selection pane="topRight" sqref="A1:AO45"/>
    </sheetView>
  </sheetViews>
  <sheetFormatPr defaultColWidth="9.140625" defaultRowHeight="15"/>
  <cols>
    <col min="1" max="1" width="39.140625" style="216" customWidth="1"/>
    <col min="2" max="2" width="11.85546875" style="215" customWidth="1"/>
    <col min="3" max="3" width="7.140625" style="216" customWidth="1"/>
    <col min="4" max="5" width="0" style="216" hidden="1" customWidth="1"/>
    <col min="6" max="6" width="11.28515625" style="216" hidden="1" customWidth="1"/>
    <col min="7" max="8" width="0" style="216" hidden="1" customWidth="1"/>
    <col min="9" max="9" width="10.28515625" style="216" hidden="1" customWidth="1"/>
    <col min="10" max="11" width="0" style="216" hidden="1" customWidth="1"/>
    <col min="12" max="12" width="10.7109375" style="216" hidden="1" customWidth="1"/>
    <col min="13" max="13" width="10.42578125" style="216" hidden="1" customWidth="1"/>
    <col min="14" max="14" width="11" style="216" hidden="1" customWidth="1"/>
    <col min="15" max="15" width="10.85546875" style="216" hidden="1" customWidth="1"/>
    <col min="16" max="16" width="11.42578125" style="216" customWidth="1"/>
    <col min="17" max="17" width="10.28515625" style="216" hidden="1" customWidth="1"/>
    <col min="18" max="18" width="10.7109375" style="216" hidden="1" customWidth="1"/>
    <col min="19" max="19" width="11.28515625" style="216" hidden="1" customWidth="1"/>
    <col min="20" max="20" width="10.85546875" style="216" hidden="1" customWidth="1"/>
    <col min="21" max="21" width="11.42578125" style="216" hidden="1" customWidth="1"/>
    <col min="22" max="22" width="10.28515625" style="216" hidden="1" customWidth="1"/>
    <col min="23" max="27" width="0" style="216" hidden="1" customWidth="1"/>
    <col min="28" max="28" width="11.85546875" style="216" customWidth="1"/>
    <col min="29" max="29" width="9.5703125" style="216" hidden="1" customWidth="1"/>
    <col min="30" max="30" width="0" style="216" hidden="1" customWidth="1"/>
    <col min="31" max="31" width="9.5703125" style="216" bestFit="1" customWidth="1"/>
    <col min="32" max="33" width="0" style="216" hidden="1" customWidth="1"/>
    <col min="34" max="34" width="9.5703125" style="216" bestFit="1" customWidth="1"/>
    <col min="35" max="36" width="0" style="216" hidden="1" customWidth="1"/>
    <col min="37" max="37" width="9.140625" style="216"/>
    <col min="38" max="39" width="0" style="216" hidden="1" customWidth="1"/>
    <col min="40" max="40" width="9.5703125" style="216" bestFit="1" customWidth="1"/>
    <col min="41" max="41" width="11" style="216" customWidth="1"/>
    <col min="42" max="16384" width="9.140625" style="216"/>
  </cols>
  <sheetData>
    <row r="1" spans="1:41">
      <c r="A1" s="223" t="s">
        <v>246</v>
      </c>
      <c r="B1" s="226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</row>
    <row r="2" spans="1:41" s="214" customFormat="1" ht="15" customHeight="1">
      <c r="A2" s="223"/>
      <c r="B2" s="224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</row>
    <row r="3" spans="1:41" s="214" customFormat="1">
      <c r="A3" s="223" t="s">
        <v>247</v>
      </c>
      <c r="B3" s="224" t="s">
        <v>248</v>
      </c>
      <c r="C3" s="224" t="s">
        <v>249</v>
      </c>
      <c r="D3" s="225">
        <v>43831</v>
      </c>
      <c r="E3" s="225">
        <v>43862</v>
      </c>
      <c r="F3" s="225">
        <v>43891</v>
      </c>
      <c r="G3" s="225">
        <v>43922</v>
      </c>
      <c r="H3" s="225">
        <v>43952</v>
      </c>
      <c r="I3" s="225">
        <v>43983</v>
      </c>
      <c r="J3" s="225">
        <v>44013</v>
      </c>
      <c r="K3" s="225">
        <v>44044</v>
      </c>
      <c r="L3" s="225">
        <v>44075</v>
      </c>
      <c r="M3" s="225">
        <v>44105</v>
      </c>
      <c r="N3" s="225">
        <v>44136</v>
      </c>
      <c r="O3" s="225">
        <v>44166</v>
      </c>
      <c r="P3" s="223" t="s">
        <v>102</v>
      </c>
      <c r="Q3" s="217">
        <v>44197</v>
      </c>
      <c r="R3" s="217">
        <v>44228</v>
      </c>
      <c r="S3" s="217">
        <v>44256</v>
      </c>
      <c r="T3" s="217">
        <v>44287</v>
      </c>
      <c r="U3" s="217">
        <v>44317</v>
      </c>
      <c r="V3" s="217">
        <v>44348</v>
      </c>
      <c r="W3" s="217">
        <v>44378</v>
      </c>
      <c r="X3" s="217">
        <v>44409</v>
      </c>
      <c r="Y3" s="217">
        <v>44440</v>
      </c>
      <c r="Z3" s="217">
        <v>44470</v>
      </c>
      <c r="AA3" s="217">
        <v>44501</v>
      </c>
      <c r="AB3" s="217" t="s">
        <v>250</v>
      </c>
      <c r="AC3" s="217">
        <v>44562</v>
      </c>
      <c r="AD3" s="217">
        <v>44593</v>
      </c>
      <c r="AE3" s="217">
        <v>44621</v>
      </c>
      <c r="AF3" s="217">
        <v>44652</v>
      </c>
      <c r="AG3" s="217">
        <v>44682</v>
      </c>
      <c r="AH3" s="217">
        <v>44713</v>
      </c>
      <c r="AI3" s="217">
        <v>44743</v>
      </c>
      <c r="AJ3" s="217">
        <v>44774</v>
      </c>
      <c r="AK3" s="217">
        <v>44805</v>
      </c>
      <c r="AL3" s="217">
        <v>44835</v>
      </c>
      <c r="AM3" s="217">
        <v>44866</v>
      </c>
      <c r="AN3" s="217">
        <v>44896</v>
      </c>
      <c r="AO3" s="217" t="s">
        <v>50</v>
      </c>
    </row>
    <row r="4" spans="1:41" s="214" customFormat="1">
      <c r="A4" s="223" t="s">
        <v>251</v>
      </c>
      <c r="B4" s="22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</row>
    <row r="5" spans="1:41" s="214" customFormat="1">
      <c r="A5" s="227" t="s">
        <v>252</v>
      </c>
      <c r="B5" s="219" t="s">
        <v>253</v>
      </c>
      <c r="C5" s="219" t="s">
        <v>254</v>
      </c>
      <c r="D5" s="228">
        <f>Financials!C11/1000000</f>
        <v>97.340563610000004</v>
      </c>
      <c r="E5" s="228">
        <f>Financials!D11/1000000</f>
        <v>102.22824688999999</v>
      </c>
      <c r="F5" s="228">
        <f>Financials!E11/1000000</f>
        <v>80.654924640000004</v>
      </c>
      <c r="G5" s="228">
        <f>Financials!F11/1000000</f>
        <v>83.549835979999983</v>
      </c>
      <c r="H5" s="228">
        <f>Financials!G11/1000000</f>
        <v>86.258345039999995</v>
      </c>
      <c r="I5" s="228">
        <f>Financials!H11/1000000</f>
        <v>87.597885200000007</v>
      </c>
      <c r="J5" s="228">
        <f>Financials!I11/1000000</f>
        <v>89.880231499999994</v>
      </c>
      <c r="K5" s="228">
        <f>Financials!J11/1000000</f>
        <v>90.811053700000002</v>
      </c>
      <c r="L5" s="228">
        <f>Financials!K11/1000000</f>
        <v>100.99530082</v>
      </c>
      <c r="M5" s="228">
        <f>Financials!L11/1000000</f>
        <v>102.01441778</v>
      </c>
      <c r="N5" s="228">
        <f>Financials!M11/1000000</f>
        <v>103.08251490000001</v>
      </c>
      <c r="O5" s="228">
        <f>Financials!N11/1000000</f>
        <v>91.904021999999998</v>
      </c>
      <c r="P5" s="228">
        <f>Financials!O11/1000000</f>
        <v>131.92510307000001</v>
      </c>
      <c r="Q5" s="228">
        <f>Financials!P11/1000000</f>
        <v>109.83605127</v>
      </c>
      <c r="R5" s="228">
        <f>Financials!Q11/1000000</f>
        <v>112.13258831</v>
      </c>
      <c r="S5" s="228">
        <f>Financials!R11/1000000</f>
        <v>115.70285055000001</v>
      </c>
      <c r="T5" s="228">
        <f>Financials!S11/1000000</f>
        <v>117.4728341</v>
      </c>
      <c r="U5" s="228">
        <f>Financials!T11/1000000</f>
        <v>119.0567796</v>
      </c>
      <c r="V5" s="228">
        <f>Financials!U11/1000000</f>
        <v>121.19250855000001</v>
      </c>
      <c r="W5" s="228">
        <f>Financials!V11/1000000</f>
        <v>0</v>
      </c>
      <c r="X5" s="228">
        <f>Financials!W11/1000000</f>
        <v>0</v>
      </c>
      <c r="Y5" s="228">
        <f>Financials!X11/1000000</f>
        <v>0</v>
      </c>
      <c r="Z5" s="228">
        <f>Financials!Y11/1000000</f>
        <v>0</v>
      </c>
      <c r="AA5" s="228">
        <f>Financials!Z11/1000000</f>
        <v>0</v>
      </c>
      <c r="AB5" s="228">
        <f>Financials!AA11/1000000</f>
        <v>116.003428</v>
      </c>
      <c r="AC5" s="228">
        <f>Financials!AB11/1000000</f>
        <v>140.45365763000001</v>
      </c>
      <c r="AD5" s="228">
        <f>Financials!AC11/1000000</f>
        <v>118.31272936999999</v>
      </c>
      <c r="AE5" s="228">
        <f>Financials!AD11/1000000</f>
        <v>122.15646739</v>
      </c>
      <c r="AF5" s="228">
        <f>Financials!AE11/1000000</f>
        <v>126.73093278</v>
      </c>
      <c r="AG5" s="228">
        <f>Financials!AF11/1000000</f>
        <v>132.14320158000001</v>
      </c>
      <c r="AH5" s="228">
        <f>Financials!AG11/1000000</f>
        <v>137.10552293999999</v>
      </c>
      <c r="AI5" s="228">
        <f>Financials!AH11/1000000</f>
        <v>147.39170855</v>
      </c>
      <c r="AJ5" s="228">
        <f>Financials!AI11/1000000</f>
        <v>148.12950859</v>
      </c>
      <c r="AK5" s="228">
        <f>Financials!AJ11/1000000</f>
        <v>149.75689561000002</v>
      </c>
      <c r="AL5" s="228">
        <f>Financials!AK11/1000000</f>
        <v>150.55135138999998</v>
      </c>
      <c r="AM5" s="228">
        <f>Financials!AL11/1000000</f>
        <v>151.33463462</v>
      </c>
      <c r="AN5" s="228">
        <f>Financials!AM11/1000000</f>
        <v>155.33440580000001</v>
      </c>
      <c r="AO5" s="228">
        <f>Financials!AN11/1000000</f>
        <v>133.29323299999999</v>
      </c>
    </row>
    <row r="6" spans="1:41" s="214" customFormat="1">
      <c r="A6" s="227" t="s">
        <v>255</v>
      </c>
      <c r="B6" s="219" t="s">
        <v>256</v>
      </c>
      <c r="C6" s="219" t="s">
        <v>257</v>
      </c>
      <c r="D6" s="229">
        <f>Financials!C11/Financials!C4</f>
        <v>0.19140121416844913</v>
      </c>
      <c r="E6" s="229">
        <f>Financials!D11/Financials!D4</f>
        <v>0.212313105131544</v>
      </c>
      <c r="F6" s="229">
        <f>Financials!E11/Financials!E4</f>
        <v>0.16722436953095746</v>
      </c>
      <c r="G6" s="229">
        <f>Financials!F11/Financials!F4</f>
        <v>0.16916406570690309</v>
      </c>
      <c r="H6" s="229">
        <f>Financials!G11/Financials!G4</f>
        <v>0.1767147606948605</v>
      </c>
      <c r="I6" s="229">
        <f>Financials!H11/Financials!H4</f>
        <v>0.16634557552344734</v>
      </c>
      <c r="J6" s="229">
        <f>Financials!I11/Financials!I4</f>
        <v>0.19033855263542063</v>
      </c>
      <c r="K6" s="229">
        <f>Financials!J11/Financials!J4</f>
        <v>0.18737874157238427</v>
      </c>
      <c r="L6" s="229">
        <f>Financials!K11/Financials!K4</f>
        <v>0.14545354720295522</v>
      </c>
      <c r="M6" s="229">
        <f>Financials!L11/Financials!L4</f>
        <v>0.17882733550628932</v>
      </c>
      <c r="N6" s="229">
        <f>Financials!M11/Financials!M4</f>
        <v>0.19694069425093905</v>
      </c>
      <c r="O6" s="229">
        <f>Financials!N11/Financials!N4</f>
        <v>0.16005873950916608</v>
      </c>
      <c r="P6" s="229">
        <f>Financials!O11/Financials!O4</f>
        <v>0.25122616162549172</v>
      </c>
      <c r="Q6" s="229">
        <f>Financials!P11/Financials!P4</f>
        <v>0.1947968904888385</v>
      </c>
      <c r="R6" s="229">
        <f>Financials!Q11/Financials!Q4</f>
        <v>0.22211350738565661</v>
      </c>
      <c r="S6" s="229">
        <f>Financials!R11/Financials!R4</f>
        <v>0.21154177956814604</v>
      </c>
      <c r="T6" s="229">
        <f>Financials!S11/Financials!S4</f>
        <v>0.22830683598418014</v>
      </c>
      <c r="U6" s="229">
        <f>Financials!T11/Financials!T4</f>
        <v>0.23266378724804554</v>
      </c>
      <c r="V6" s="229">
        <f>Financials!U11/Financials!U4</f>
        <v>0.23381135398020078</v>
      </c>
      <c r="W6" s="229" t="e">
        <f>Financials!V11/Financials!V4</f>
        <v>#DIV/0!</v>
      </c>
      <c r="X6" s="229" t="e">
        <f>Financials!W11/Financials!W4</f>
        <v>#DIV/0!</v>
      </c>
      <c r="Y6" s="229" t="e">
        <f>Financials!X11/Financials!X4</f>
        <v>#DIV/0!</v>
      </c>
      <c r="Z6" s="229" t="e">
        <f>Financials!Y11/Financials!Y4</f>
        <v>#DIV/0!</v>
      </c>
      <c r="AA6" s="229" t="e">
        <f>Financials!Z11/Financials!Z4</f>
        <v>#DIV/0!</v>
      </c>
      <c r="AB6" s="229">
        <f>Financials!AA11/Financials!AA4</f>
        <v>0.20824120480621505</v>
      </c>
      <c r="AC6" s="229">
        <f>Financials!AB11/Financials!AB4</f>
        <v>0.24711276078084388</v>
      </c>
      <c r="AD6" s="229">
        <f>Financials!AC11/Financials!AC4</f>
        <v>0.20847017148486013</v>
      </c>
      <c r="AE6" s="229">
        <f>Financials!AD11/Financials!AD4</f>
        <v>0.22333566354534318</v>
      </c>
      <c r="AF6" s="229">
        <f>Financials!AE11/Financials!AE4</f>
        <v>0.22620293562982083</v>
      </c>
      <c r="AG6" s="229">
        <f>Financials!AF11/Financials!AF4</f>
        <v>0.23116068581035157</v>
      </c>
      <c r="AH6" s="229">
        <f>Financials!AG11/Financials!AG4</f>
        <v>0.24366901060001911</v>
      </c>
      <c r="AI6" s="229">
        <f>Financials!AH11/Financials!AH4</f>
        <v>0.21054968317565489</v>
      </c>
      <c r="AJ6" s="229">
        <f>Financials!AI11/Financials!AI4</f>
        <v>0.23129742765320677</v>
      </c>
      <c r="AK6" s="229">
        <f>Financials!AJ11/Financials!AJ4</f>
        <v>0.24117350570059276</v>
      </c>
      <c r="AL6" s="229">
        <f>Financials!AK11/Financials!AK4</f>
        <v>0.23937488849457705</v>
      </c>
      <c r="AM6" s="229">
        <f>Financials!AL11/Financials!AL4</f>
        <v>0.24489233837291882</v>
      </c>
      <c r="AN6" s="229">
        <f>Financials!AM11/Financials!AM4</f>
        <v>0.25942919947858245</v>
      </c>
      <c r="AO6" s="229">
        <f>Financials!AN11/Financials!AN4</f>
        <v>0.22261749776859396</v>
      </c>
    </row>
    <row r="7" spans="1:41" s="214" customFormat="1">
      <c r="A7" s="227" t="s">
        <v>258</v>
      </c>
      <c r="B7" s="219" t="s">
        <v>259</v>
      </c>
      <c r="C7" s="219" t="s">
        <v>260</v>
      </c>
      <c r="D7" s="229">
        <f>Financials!C11/Financials!C5</f>
        <v>0.26182300827059635</v>
      </c>
      <c r="E7" s="229">
        <f>Financials!D11/Financials!D5</f>
        <v>0.28211772404491514</v>
      </c>
      <c r="F7" s="229">
        <f>Financials!E11/Financials!E5</f>
        <v>0.22702895305195353</v>
      </c>
      <c r="G7" s="229">
        <f>Financials!F11/Financials!F5</f>
        <v>0.22972520992203174</v>
      </c>
      <c r="H7" s="229">
        <f>Financials!G11/Financials!G5</f>
        <v>0.24045117745513817</v>
      </c>
      <c r="I7" s="229">
        <f>Financials!H11/Financials!H5</f>
        <v>0.23321196292126428</v>
      </c>
      <c r="J7" s="229">
        <f>Financials!I11/Financials!I5</f>
        <v>0.24789088645315183</v>
      </c>
      <c r="K7" s="229">
        <f>Financials!J11/Financials!J5</f>
        <v>0.2411013559905639</v>
      </c>
      <c r="L7" s="229">
        <f>Financials!K11/Financials!K5</f>
        <v>0.17586989877159298</v>
      </c>
      <c r="M7" s="229">
        <f>Financials!L11/Financials!L5</f>
        <v>0.22496568703211209</v>
      </c>
      <c r="N7" s="229">
        <f>Financials!M11/Financials!M5</f>
        <v>0.24979743837595381</v>
      </c>
      <c r="O7" s="229">
        <f>Financials!N11/Financials!N5</f>
        <v>0.22270885868958609</v>
      </c>
      <c r="P7" s="229">
        <f>Financials!O11/Financials!O5</f>
        <v>0.3166491277646083</v>
      </c>
      <c r="Q7" s="229">
        <f>Financials!P11/Financials!P5</f>
        <v>0.24767500006394932</v>
      </c>
      <c r="R7" s="229">
        <f>Financials!Q11/Financials!Q5</f>
        <v>0.27646841827639845</v>
      </c>
      <c r="S7" s="229">
        <f>Financials!R11/Financials!R5</f>
        <v>0.26702358936963044</v>
      </c>
      <c r="T7" s="229">
        <f>Financials!S11/Financials!S5</f>
        <v>0.28801488778828505</v>
      </c>
      <c r="U7" s="229">
        <f>Financials!T11/Financials!T5</f>
        <v>0.29438815016716813</v>
      </c>
      <c r="V7" s="229">
        <f>Financials!U11/Financials!U5</f>
        <v>0.29414076456986488</v>
      </c>
      <c r="W7" s="229" t="e">
        <f>Financials!V11/Financials!V5</f>
        <v>#DIV/0!</v>
      </c>
      <c r="X7" s="229" t="e">
        <f>Financials!W11/Financials!W5</f>
        <v>#DIV/0!</v>
      </c>
      <c r="Y7" s="229" t="e">
        <f>Financials!X11/Financials!X5</f>
        <v>#DIV/0!</v>
      </c>
      <c r="Z7" s="229" t="e">
        <f>Financials!Y11/Financials!Y5</f>
        <v>#DIV/0!</v>
      </c>
      <c r="AA7" s="229" t="e">
        <f>Financials!Z11/Financials!Z5</f>
        <v>#DIV/0!</v>
      </c>
      <c r="AB7" s="229">
        <f>Financials!AA11/Financials!AA5</f>
        <v>0.29188133684435069</v>
      </c>
      <c r="AC7" s="229">
        <f>Financials!AB11/Financials!AB5</f>
        <v>0.34354240337323266</v>
      </c>
      <c r="AD7" s="229">
        <f>Financials!AC11/Financials!AC5</f>
        <v>0.28888117606503355</v>
      </c>
      <c r="AE7" s="229">
        <f>Financials!AD11/Financials!AD5</f>
        <v>0.30597140486786845</v>
      </c>
      <c r="AF7" s="229">
        <f>Financials!AE11/Financials!AE5</f>
        <v>0.3081153251902507</v>
      </c>
      <c r="AG7" s="229">
        <f>Financials!AF11/Financials!AF5</f>
        <v>0.31493436725914287</v>
      </c>
      <c r="AH7" s="229">
        <f>Financials!AG11/Financials!AG5</f>
        <v>0.33944329046220184</v>
      </c>
      <c r="AI7" s="229">
        <f>Financials!AH11/Financials!AH5</f>
        <v>0.28366746602872073</v>
      </c>
      <c r="AJ7" s="229">
        <f>Financials!AI11/Financials!AI5</f>
        <v>0.31776295586989439</v>
      </c>
      <c r="AK7" s="229">
        <f>Financials!AJ11/Financials!AJ5</f>
        <v>0.33471158378417326</v>
      </c>
      <c r="AL7" s="229">
        <f>Financials!AK11/Financials!AK5</f>
        <v>0.3329557159394988</v>
      </c>
      <c r="AM7" s="229">
        <f>Financials!AL11/Financials!AL5</f>
        <v>0.34269801212317885</v>
      </c>
      <c r="AN7" s="229">
        <f>Financials!AM11/Financials!AM5</f>
        <v>0.36996775885929994</v>
      </c>
      <c r="AO7" s="229">
        <f>Financials!AN11/Financials!AN5</f>
        <v>0.31747119039214278</v>
      </c>
    </row>
    <row r="8" spans="1:41" s="214" customFormat="1" hidden="1">
      <c r="A8" s="227" t="s">
        <v>261</v>
      </c>
      <c r="B8" s="219" t="s">
        <v>262</v>
      </c>
      <c r="C8" s="219" t="s">
        <v>263</v>
      </c>
      <c r="D8" s="229">
        <f>Financials!C15/Financials!C4</f>
        <v>6.6733292398596211E-2</v>
      </c>
      <c r="E8" s="229">
        <f>Financials!D15/Financials!D4</f>
        <v>7.0832583708680327E-2</v>
      </c>
      <c r="F8" s="229">
        <f>Financials!E15/Financials!E4</f>
        <v>7.1020265075098551E-2</v>
      </c>
      <c r="G8" s="229">
        <f>Financials!F15/Financials!F4</f>
        <v>6.9781990206797082E-2</v>
      </c>
      <c r="H8" s="229">
        <f>Financials!G15/Financials!G4</f>
        <v>7.0931297515975739E-2</v>
      </c>
      <c r="I8" s="229">
        <f>Financials!H15/Financials!H4</f>
        <v>6.6388146702542006E-2</v>
      </c>
      <c r="J8" s="229">
        <f>Financials!I15/Financials!I4</f>
        <v>7.4596471387780347E-2</v>
      </c>
      <c r="K8" s="229">
        <f>Financials!J15/Financials!J4</f>
        <v>7.300894770177245E-2</v>
      </c>
      <c r="L8" s="229">
        <f>Financials!K15/Financials!K4</f>
        <v>5.1215668752368736E-2</v>
      </c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</row>
    <row r="9" spans="1:41" s="214" customFormat="1">
      <c r="A9" s="227" t="s">
        <v>264</v>
      </c>
      <c r="B9" s="219" t="s">
        <v>259</v>
      </c>
      <c r="C9" s="219" t="s">
        <v>263</v>
      </c>
      <c r="D9" s="229">
        <f>Financials!C12/Financials!C4</f>
        <v>0.12466792176985292</v>
      </c>
      <c r="E9" s="229">
        <f>Financials!D12/Financials!D4</f>
        <v>0.14148052142286369</v>
      </c>
      <c r="F9" s="229">
        <f>Financials!E12/Financials!E4</f>
        <v>9.6204104455858905E-2</v>
      </c>
      <c r="G9" s="229">
        <f>Financials!F12/Financials!F4</f>
        <v>9.9382075500105999E-2</v>
      </c>
      <c r="H9" s="229">
        <f>Financials!G12/Financials!G4</f>
        <v>0.10578346317888478</v>
      </c>
      <c r="I9" s="229">
        <f>Financials!H12/Financials!H4</f>
        <v>9.9957428820905331E-2</v>
      </c>
      <c r="J9" s="229">
        <f>Financials!I12/Financials!I4</f>
        <v>0.11574208124764029</v>
      </c>
      <c r="K9" s="229">
        <f>Financials!J12/Financials!J4</f>
        <v>0.11436979387061182</v>
      </c>
      <c r="L9" s="229">
        <f>Financials!K12/Financials!K4</f>
        <v>9.4237878450586496E-2</v>
      </c>
      <c r="M9" s="229">
        <f>Financials!L12/Financials!L4</f>
        <v>0.11615402349178057</v>
      </c>
      <c r="N9" s="229">
        <f>Financials!M12/Financials!M4</f>
        <v>0.12828694903047644</v>
      </c>
      <c r="O9" s="229">
        <f>Financials!N12/Financials!N4</f>
        <v>9.7475412901256581E-2</v>
      </c>
      <c r="P9" s="229">
        <f>Financials!O12/Financials!O4</f>
        <v>0.1824946138604589</v>
      </c>
      <c r="Q9" s="229">
        <f>Financials!P12/Financials!P4</f>
        <v>0.13040329085731969</v>
      </c>
      <c r="R9" s="229">
        <f>Financials!Q12/Financials!Q4</f>
        <v>0.14954748293823245</v>
      </c>
      <c r="S9" s="229">
        <f>Financials!R12/Financials!R4</f>
        <v>0.14380573203882444</v>
      </c>
      <c r="T9" s="229">
        <f>Financials!S12/Financials!S4</f>
        <v>0.15541335300385814</v>
      </c>
      <c r="U9" s="229">
        <f>Financials!T12/Financials!T4</f>
        <v>0.15865349442962717</v>
      </c>
      <c r="V9" s="229">
        <f>Financials!U12/Financials!U4</f>
        <v>0.16007650417315947</v>
      </c>
      <c r="W9" s="229" t="e">
        <f>Financials!V12/Financials!V4</f>
        <v>#DIV/0!</v>
      </c>
      <c r="X9" s="229" t="e">
        <f>Financials!W12/Financials!W4</f>
        <v>#DIV/0!</v>
      </c>
      <c r="Y9" s="229" t="e">
        <f>Financials!X12/Financials!X4</f>
        <v>#DIV/0!</v>
      </c>
      <c r="Z9" s="229" t="e">
        <f>Financials!Y12/Financials!Y4</f>
        <v>#DIV/0!</v>
      </c>
      <c r="AA9" s="229" t="e">
        <f>Financials!Z12/Financials!Z4</f>
        <v>#DIV/0!</v>
      </c>
      <c r="AB9" s="229">
        <f>Financials!AA12/Financials!AA4</f>
        <v>0.13646222546073203</v>
      </c>
      <c r="AC9" s="229">
        <f>Financials!AB12/Financials!AB4</f>
        <v>0.17618246263534559</v>
      </c>
      <c r="AD9" s="229">
        <f>Financials!AC12/Financials!AC4</f>
        <v>0.13678419012712692</v>
      </c>
      <c r="AE9" s="229">
        <f>Financials!AD12/Financials!AD4</f>
        <v>0.14823786506362874</v>
      </c>
      <c r="AF9" s="229">
        <f>Financials!AE12/Financials!AE4</f>
        <v>0.15217465377718867</v>
      </c>
      <c r="AG9" s="229">
        <f>Financials!AF12/Financials!AF4</f>
        <v>0.15753764571062867</v>
      </c>
      <c r="AH9" s="229">
        <f>Financials!AG12/Financials!AG4</f>
        <v>0.16782494433471151</v>
      </c>
      <c r="AI9" s="229">
        <f>Financials!AH12/Financials!AH4</f>
        <v>0.14893672226887406</v>
      </c>
      <c r="AJ9" s="229">
        <f>Financials!AI12/Financials!AI4</f>
        <v>0.16332548740380956</v>
      </c>
      <c r="AK9" s="229">
        <f>Financials!AJ12/Financials!AJ4</f>
        <v>0.17037071158231765</v>
      </c>
      <c r="AL9" s="229">
        <f>Financials!AK12/Financials!AK4</f>
        <v>0.16897624999131314</v>
      </c>
      <c r="AM9" s="229">
        <f>Financials!AL12/Financials!AL4</f>
        <v>0.17253548086034465</v>
      </c>
      <c r="AN9" s="229">
        <f>Financials!AM12/Financials!AM4</f>
        <v>0.183895338202235</v>
      </c>
      <c r="AO9" s="229">
        <f>Financials!AN12/Financials!AN4</f>
        <v>0.14708363623415738</v>
      </c>
    </row>
    <row r="10" spans="1:41" s="214" customFormat="1" hidden="1">
      <c r="A10" s="227"/>
      <c r="B10" s="230"/>
      <c r="C10" s="230"/>
      <c r="D10" s="229"/>
      <c r="E10" s="229"/>
      <c r="F10" s="229"/>
      <c r="G10" s="229"/>
      <c r="H10" s="229"/>
      <c r="I10" s="229"/>
      <c r="J10" s="229"/>
      <c r="K10" s="229"/>
      <c r="L10" s="229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</row>
    <row r="11" spans="1:41" s="214" customFormat="1" hidden="1">
      <c r="A11" s="223" t="s">
        <v>265</v>
      </c>
      <c r="B11" s="224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</row>
    <row r="12" spans="1:41" s="214" customFormat="1">
      <c r="A12" s="223" t="s">
        <v>266</v>
      </c>
      <c r="B12" s="224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</row>
    <row r="13" spans="1:41" s="214" customFormat="1">
      <c r="A13" s="227" t="s">
        <v>267</v>
      </c>
      <c r="B13" s="219" t="s">
        <v>268</v>
      </c>
      <c r="C13" s="219">
        <v>48.1</v>
      </c>
      <c r="D13" s="229">
        <f>('Evolutive SFP'!C7+'Evolutive SFP'!C17+'Evolutive SFP'!C21)/'Evolutive SFP'!C27</f>
        <v>0.10743525438635601</v>
      </c>
      <c r="E13" s="229">
        <f>('Evolutive SFP'!D7+'Evolutive SFP'!D17+'Evolutive SFP'!D21)/'Evolutive SFP'!D27</f>
        <v>0.11235774844393781</v>
      </c>
      <c r="F13" s="229">
        <f>('Evolutive SFP'!E7+'Evolutive SFP'!E17+'Evolutive SFP'!E21)/'Evolutive SFP'!E27</f>
        <v>0.11130129744098775</v>
      </c>
      <c r="G13" s="229">
        <f>('Evolutive SFP'!F7+'Evolutive SFP'!F17+'Evolutive SFP'!F21)/'Evolutive SFP'!F27</f>
        <v>0.108788204681522</v>
      </c>
      <c r="H13" s="229">
        <f>('Evolutive SFP'!G7+'Evolutive SFP'!G17+'Evolutive SFP'!G21)/'Evolutive SFP'!G27</f>
        <v>0.10855874895364878</v>
      </c>
      <c r="I13" s="229">
        <f>('Evolutive SFP'!H7+'Evolutive SFP'!H17+'Evolutive SFP'!H21)/'Evolutive SFP'!H27</f>
        <v>0.11921965166008501</v>
      </c>
      <c r="J13" s="229">
        <f>('Evolutive SFP'!I7+'Evolutive SFP'!I17+'Evolutive SFP'!I21)/'Evolutive SFP'!I27</f>
        <v>0.13669112506215342</v>
      </c>
      <c r="K13" s="229">
        <f>('Evolutive SFP'!J7+'Evolutive SFP'!J17+'Evolutive SFP'!J21)/'Evolutive SFP'!J27</f>
        <v>0.13328389239835906</v>
      </c>
      <c r="L13" s="229">
        <f>('Evolutive SFP'!K7+'Evolutive SFP'!K17+'Evolutive SFP'!K21)/'Evolutive SFP'!K27</f>
        <v>9.5087269317996811E-2</v>
      </c>
      <c r="M13" s="229">
        <f>('Evolutive SFP'!L7+'Evolutive SFP'!L17+'Evolutive SFP'!L21)/'Evolutive SFP'!L27</f>
        <v>0.11561767033377869</v>
      </c>
      <c r="N13" s="229">
        <f>('Evolutive SFP'!M7+'Evolutive SFP'!M17+'Evolutive SFP'!M21)/'Evolutive SFP'!M27</f>
        <v>0.12533446353553901</v>
      </c>
      <c r="O13" s="229">
        <f>('Evolutive SFP'!N7+'Evolutive SFP'!N17+'Evolutive SFP'!N21)/'Evolutive SFP'!N27</f>
        <v>0.2026730747038947</v>
      </c>
      <c r="P13" s="229">
        <f>('Evolutive SFP'!O7+'Evolutive SFP'!O17+'Evolutive SFP'!O21)/'Evolutive SFP'!O27</f>
        <v>0.12332734689429127</v>
      </c>
      <c r="Q13" s="229">
        <f>('Evolutive SFP'!P7+'Evolutive SFP'!P17+'Evolutive SFP'!P21)/'Evolutive SFP'!P27</f>
        <v>0.11425653487326901</v>
      </c>
      <c r="R13" s="229">
        <f>('Evolutive SFP'!Q7+'Evolutive SFP'!Q17+'Evolutive SFP'!Q21)/'Evolutive SFP'!Q27</f>
        <v>0.12746718307894217</v>
      </c>
      <c r="S13" s="229">
        <f>('Evolutive SFP'!R7+'Evolutive SFP'!R17+'Evolutive SFP'!R21)/'Evolutive SFP'!R27</f>
        <v>0.11840716304820365</v>
      </c>
      <c r="T13" s="229">
        <f>('Evolutive SFP'!S7+'Evolutive SFP'!S17+'Evolutive SFP'!S21)/'Evolutive SFP'!S27</f>
        <v>0.12497500924740049</v>
      </c>
      <c r="U13" s="229">
        <f>('Evolutive SFP'!T7+'Evolutive SFP'!T17+'Evolutive SFP'!T21)/'Evolutive SFP'!T27</f>
        <v>0.12412897812261575</v>
      </c>
      <c r="V13" s="229">
        <f>('Evolutive SFP'!U7+'Evolutive SFP'!U17+'Evolutive SFP'!U21)/'Evolutive SFP'!U27</f>
        <v>0.1214244177276726</v>
      </c>
      <c r="W13" s="229" t="e">
        <f>('Evolutive SFP'!V7+'Evolutive SFP'!V17+'Evolutive SFP'!V21)/'Evolutive SFP'!V27</f>
        <v>#DIV/0!</v>
      </c>
      <c r="X13" s="229" t="e">
        <f>('Evolutive SFP'!W7+'Evolutive SFP'!W17+'Evolutive SFP'!W21)/'Evolutive SFP'!W27</f>
        <v>#DIV/0!</v>
      </c>
      <c r="Y13" s="229" t="e">
        <f>('Evolutive SFP'!X7+'Evolutive SFP'!X17+'Evolutive SFP'!X21)/'Evolutive SFP'!X27</f>
        <v>#DIV/0!</v>
      </c>
      <c r="Z13" s="229" t="e">
        <f>('Evolutive SFP'!Y7+'Evolutive SFP'!Y17+'Evolutive SFP'!Y21)/'Evolutive SFP'!Y27</f>
        <v>#DIV/0!</v>
      </c>
      <c r="AA13" s="229" t="e">
        <f>('Evolutive SFP'!Z7+'Evolutive SFP'!Z17+'Evolutive SFP'!Z21)/'Evolutive SFP'!Z27</f>
        <v>#DIV/0!</v>
      </c>
      <c r="AB13" s="229">
        <f>('Evolutive SFP'!AA7+'Evolutive SFP'!AA17+'Evolutive SFP'!AA21)/'Evolutive SFP'!AA27</f>
        <v>0.18347214990916005</v>
      </c>
      <c r="AC13" s="229">
        <f>('Evolutive SFP'!AB7+'Evolutive SFP'!AB17+'Evolutive SFP'!AB21)/'Evolutive SFP'!AB27</f>
        <v>0.17440708213723047</v>
      </c>
      <c r="AD13" s="229">
        <f>('Evolutive SFP'!AC7+'Evolutive SFP'!AC17+'Evolutive SFP'!AC21)/'Evolutive SFP'!AC27</f>
        <v>0.17857878218034892</v>
      </c>
      <c r="AE13" s="229">
        <f>('Evolutive SFP'!AD7+'Evolutive SFP'!AD17+'Evolutive SFP'!AD21)/'Evolutive SFP'!AD27</f>
        <v>0.19505610727871367</v>
      </c>
      <c r="AF13" s="229">
        <f>('Evolutive SFP'!AE7+'Evolutive SFP'!AE17+'Evolutive SFP'!AE21)/'Evolutive SFP'!AE27</f>
        <v>0.19727776208581996</v>
      </c>
      <c r="AG13" s="229">
        <f>('Evolutive SFP'!AF7+'Evolutive SFP'!AF17+'Evolutive SFP'!AF21)/'Evolutive SFP'!AF27</f>
        <v>0.19912440311844423</v>
      </c>
      <c r="AH13" s="229">
        <f>('Evolutive SFP'!AG7+'Evolutive SFP'!AG17+'Evolutive SFP'!AG21)/'Evolutive SFP'!AG27</f>
        <v>0.20225082662073257</v>
      </c>
      <c r="AI13" s="229">
        <f>('Evolutive SFP'!AH7+'Evolutive SFP'!AH17+'Evolutive SFP'!AH21)/'Evolutive SFP'!AH27</f>
        <v>0.1596568615007728</v>
      </c>
      <c r="AJ13" s="229">
        <f>('Evolutive SFP'!AI7+'Evolutive SFP'!AI17+'Evolutive SFP'!AI21)/'Evolutive SFP'!AI27</f>
        <v>0.17420365515127381</v>
      </c>
      <c r="AK13" s="229">
        <f>('Evolutive SFP'!AJ7+'Evolutive SFP'!AJ17+'Evolutive SFP'!AJ21)/'Evolutive SFP'!AJ27</f>
        <v>0.1780823806107556</v>
      </c>
      <c r="AL13" s="229">
        <f>('Evolutive SFP'!AK7+'Evolutive SFP'!AK17+'Evolutive SFP'!AK21)/'Evolutive SFP'!AK27</f>
        <v>0.17280267039607378</v>
      </c>
      <c r="AM13" s="229">
        <f>('Evolutive SFP'!AL7+'Evolutive SFP'!AL17+'Evolutive SFP'!AL21)/'Evolutive SFP'!AL27</f>
        <v>0.15647998438783731</v>
      </c>
      <c r="AN13" s="229">
        <f>('Evolutive SFP'!AM7+'Evolutive SFP'!AM17+'Evolutive SFP'!AM21)/'Evolutive SFP'!AM27</f>
        <v>0.17178669786935988</v>
      </c>
      <c r="AO13" s="229">
        <f>('Evolutive SFP'!AN7+'Evolutive SFP'!AN17+'Evolutive SFP'!AN21)/'Evolutive SFP'!AN27</f>
        <v>0.17178669651706477</v>
      </c>
    </row>
    <row r="14" spans="1:41" s="214" customFormat="1">
      <c r="A14" s="227" t="s">
        <v>269</v>
      </c>
      <c r="B14" s="219" t="s">
        <v>270</v>
      </c>
      <c r="C14" s="219">
        <v>48.1</v>
      </c>
      <c r="D14" s="229">
        <f>Financials!C35/Financials!C4</f>
        <v>0.10196776505027426</v>
      </c>
      <c r="E14" s="229">
        <f>Financials!D35/Financials!D4</f>
        <v>0.10619304044366036</v>
      </c>
      <c r="F14" s="229">
        <f>Financials!E35/Financials!E4</f>
        <v>0.10562867786433752</v>
      </c>
      <c r="G14" s="229">
        <f>Financials!F35/Financials!F4</f>
        <v>0.1037553988332387</v>
      </c>
      <c r="H14" s="229">
        <f>Financials!G35/Financials!G4</f>
        <v>0.10397916546754893</v>
      </c>
      <c r="I14" s="229">
        <f>Financials!H35/Financials!H4</f>
        <v>0.11410989380379927</v>
      </c>
      <c r="J14" s="229">
        <f>Financials!I35/Financials!I4</f>
        <v>0.13086244624437282</v>
      </c>
      <c r="K14" s="229">
        <f>Financials!J35/Financials!J4</f>
        <v>0.12801779168870622</v>
      </c>
      <c r="L14" s="229">
        <f>Financials!K35/Financials!K4</f>
        <v>9.1687542925482077E-2</v>
      </c>
      <c r="M14" s="229">
        <f>Financials!L35/Financials!L4</f>
        <v>0.11075378663570454</v>
      </c>
      <c r="N14" s="229">
        <f>Financials!M35/Financials!M4</f>
        <v>0.11984517142086132</v>
      </c>
      <c r="O14" s="229">
        <f>Financials!N35/Financials!N4</f>
        <v>0.12743084885553604</v>
      </c>
      <c r="P14" s="229">
        <f>Financials!O35/Financials!O4</f>
        <v>0.1182887604947979</v>
      </c>
      <c r="Q14" s="229">
        <f>Financials!P35/Financials!P4</f>
        <v>0.10913712651911814</v>
      </c>
      <c r="R14" s="229">
        <f>Financials!Q35/Financials!Q4</f>
        <v>0.12063851196807752</v>
      </c>
      <c r="S14" s="229">
        <f>Financials!R35/Financials!R4</f>
        <v>0.11252162355615468</v>
      </c>
      <c r="T14" s="229">
        <f>Financials!S35/Financials!S4</f>
        <v>0.11918578218783911</v>
      </c>
      <c r="U14" s="229">
        <f>Financials!T35/Financials!T4</f>
        <v>0.11876566208419871</v>
      </c>
      <c r="V14" s="229">
        <f>Financials!U35/Financials!U4</f>
        <v>0.11658168014821463</v>
      </c>
      <c r="W14" s="229" t="e">
        <f>Financials!V35/Financials!V4</f>
        <v>#DIV/0!</v>
      </c>
      <c r="X14" s="229" t="e">
        <f>Financials!W35/Financials!W4</f>
        <v>#DIV/0!</v>
      </c>
      <c r="Y14" s="229" t="e">
        <f>Financials!X35/Financials!X4</f>
        <v>#DIV/0!</v>
      </c>
      <c r="Z14" s="229" t="e">
        <f>Financials!Y35/Financials!Y4</f>
        <v>#DIV/0!</v>
      </c>
      <c r="AA14" s="229" t="e">
        <f>Financials!Z35/Financials!Z4</f>
        <v>#DIV/0!</v>
      </c>
      <c r="AB14" s="229">
        <f>Financials!AA35/Financials!AA4</f>
        <v>8.3067151942656112E-2</v>
      </c>
      <c r="AC14" s="229">
        <f>Financials!AB35/Financials!AB4</f>
        <v>0.10402819529151282</v>
      </c>
      <c r="AD14" s="229">
        <f>Financials!AC35/Financials!AC4</f>
        <v>0.10328897651464511</v>
      </c>
      <c r="AE14" s="229">
        <f>Financials!AD35/Financials!AD4</f>
        <v>0.1053967877249265</v>
      </c>
      <c r="AF14" s="229">
        <f>Financials!AE35/Financials!AE4</f>
        <v>0.10334538783953563</v>
      </c>
      <c r="AG14" s="229">
        <f>Financials!AF35/Financials!AF4</f>
        <v>0.10043199351977784</v>
      </c>
      <c r="AH14" s="229">
        <f>Financials!AG35/Financials!AG4</f>
        <v>0.10144486514170682</v>
      </c>
      <c r="AI14" s="229">
        <f>Financials!AH35/Financials!AH4</f>
        <v>8.3068277206326355E-2</v>
      </c>
      <c r="AJ14" s="229">
        <f>Financials!AI35/Financials!AI4</f>
        <v>9.0524901641906852E-2</v>
      </c>
      <c r="AK14" s="229">
        <f>Financials!AJ35/Financials!AJ4</f>
        <v>9.364764589210875E-2</v>
      </c>
      <c r="AL14" s="229">
        <f>Financials!AK35/Financials!AK4</f>
        <v>9.1666694425477549E-2</v>
      </c>
      <c r="AM14" s="229">
        <f>Financials!AL35/Financials!AL4</f>
        <v>9.250212393929845E-2</v>
      </c>
      <c r="AN14" s="229">
        <f>Financials!AM35/Financials!AM4</f>
        <v>9.4667552977871508E-2</v>
      </c>
      <c r="AO14" s="229">
        <f>Financials!AN35/Financials!AN4</f>
        <v>0.10668912530230588</v>
      </c>
    </row>
    <row r="15" spans="1:41" s="214" customFormat="1" hidden="1">
      <c r="A15" s="227" t="s">
        <v>271</v>
      </c>
      <c r="B15" s="219" t="s">
        <v>272</v>
      </c>
      <c r="C15" s="219">
        <v>41</v>
      </c>
      <c r="D15" s="229" t="e">
        <f>'FORM 4'!#REF!</f>
        <v>#REF!</v>
      </c>
      <c r="E15" s="229" t="e">
        <f>'FORM 4'!#REF!</f>
        <v>#REF!</v>
      </c>
      <c r="F15" s="229">
        <v>0.04</v>
      </c>
      <c r="G15" s="229" t="e">
        <f>'FORM 4'!#REF!</f>
        <v>#REF!</v>
      </c>
      <c r="H15" s="229" t="e">
        <f>'FORM 4'!#REF!</f>
        <v>#REF!</v>
      </c>
      <c r="I15" s="229">
        <v>5.0099999999999999E-2</v>
      </c>
      <c r="J15" s="229" t="e">
        <f>'FORM 4'!#REF!</f>
        <v>#REF!</v>
      </c>
      <c r="K15" s="229" t="e">
        <f>'FORM 4'!#REF!</f>
        <v>#REF!</v>
      </c>
      <c r="L15" s="229" t="e">
        <f>'FORM 4'!#REF!</f>
        <v>#REF!</v>
      </c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</row>
    <row r="16" spans="1:41" s="214" customFormat="1" hidden="1">
      <c r="A16" s="227"/>
      <c r="B16" s="219"/>
      <c r="C16" s="219"/>
      <c r="D16" s="229"/>
      <c r="E16" s="229"/>
      <c r="F16" s="229"/>
      <c r="G16" s="229"/>
      <c r="H16" s="229"/>
      <c r="I16" s="229"/>
      <c r="J16" s="229"/>
      <c r="K16" s="229"/>
      <c r="L16" s="229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</row>
    <row r="17" spans="1:41" s="214" customFormat="1">
      <c r="A17" s="223" t="s">
        <v>273</v>
      </c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</row>
    <row r="18" spans="1:41" s="214" customFormat="1">
      <c r="A18" s="227" t="s">
        <v>274</v>
      </c>
      <c r="B18" s="219" t="s">
        <v>270</v>
      </c>
      <c r="C18" s="219">
        <v>48.4</v>
      </c>
      <c r="D18" s="229">
        <f>Financials!C25/Financials!C5</f>
        <v>0.14313272510961769</v>
      </c>
      <c r="E18" s="229">
        <f>Financials!D25/Financials!D5</f>
        <v>0.14685354893592004</v>
      </c>
      <c r="F18" s="229">
        <f>Financials!E25/Financials!E5</f>
        <v>0.14978742145722412</v>
      </c>
      <c r="G18" s="229">
        <f>Financials!F25/Financials!F5</f>
        <v>0.14631472768664319</v>
      </c>
      <c r="H18" s="229">
        <f>Financials!G25/Financials!G5</f>
        <v>0.14833743824382303</v>
      </c>
      <c r="I18" s="229">
        <f>Financials!H25/Financials!H5</f>
        <v>0.14167140169575149</v>
      </c>
      <c r="J18" s="229">
        <f>Financials!I25/Financials!I5</f>
        <v>0.14676461718706615</v>
      </c>
      <c r="K18" s="229">
        <f>Financials!J25/Financials!J5</f>
        <v>0.14128170454088074</v>
      </c>
      <c r="L18" s="229">
        <f>Financials!K25/Financials!K5</f>
        <v>9.2664915589831379E-2</v>
      </c>
      <c r="M18" s="229">
        <f>Financials!L25/Financials!L5</f>
        <v>0.11734908696337795</v>
      </c>
      <c r="N18" s="229">
        <f>Financials!M25/Financials!M5</f>
        <v>0.12895196456354532</v>
      </c>
      <c r="O18" s="229">
        <f>Financials!N25/Financials!N5</f>
        <v>9.844883646620177E-2</v>
      </c>
      <c r="P18" s="229">
        <f>Financials!O25/Financials!O5</f>
        <v>0</v>
      </c>
      <c r="Q18" s="229">
        <f>Financials!P25/Financials!P5</f>
        <v>0</v>
      </c>
      <c r="R18" s="229">
        <f>Financials!Q25/Financials!Q5</f>
        <v>0</v>
      </c>
      <c r="S18" s="229">
        <f>Financials!R25/Financials!R5</f>
        <v>0</v>
      </c>
      <c r="T18" s="229">
        <f>Financials!S25/Financials!S5</f>
        <v>0</v>
      </c>
      <c r="U18" s="229">
        <f>Financials!T25/Financials!T5</f>
        <v>0</v>
      </c>
      <c r="V18" s="229">
        <f>Financials!U25/Financials!U5</f>
        <v>0</v>
      </c>
      <c r="W18" s="229" t="e">
        <f>Financials!V25/Financials!V5</f>
        <v>#DIV/0!</v>
      </c>
      <c r="X18" s="229" t="e">
        <f>Financials!W25/Financials!W5</f>
        <v>#DIV/0!</v>
      </c>
      <c r="Y18" s="229" t="e">
        <f>Financials!X25/Financials!X5</f>
        <v>#DIV/0!</v>
      </c>
      <c r="Z18" s="229" t="e">
        <f>Financials!Y25/Financials!Y5</f>
        <v>#DIV/0!</v>
      </c>
      <c r="AA18" s="229" t="e">
        <f>Financials!Z25/Financials!Z5</f>
        <v>#DIV/0!</v>
      </c>
      <c r="AB18" s="229">
        <f>Financials!AA25/Financials!AA5</f>
        <v>1.583605215909278E-2</v>
      </c>
      <c r="AC18" s="229">
        <f>Financials!AB25/Financials!AB5</f>
        <v>6.507921241572677E-2</v>
      </c>
      <c r="AD18" s="229">
        <f>Financials!AC25/Financials!AC5</f>
        <v>6.4965496589999366E-2</v>
      </c>
      <c r="AE18" s="229">
        <f>Financials!AD25/Financials!AD5</f>
        <v>6.6643740996007714E-2</v>
      </c>
      <c r="AF18" s="229">
        <f>Financials!AE25/Financials!AE5</f>
        <v>6.4688288497703625E-2</v>
      </c>
      <c r="AG18" s="229">
        <f>Financials!AF25/Financials!AF5</f>
        <v>6.3411820738122723E-2</v>
      </c>
      <c r="AH18" s="229">
        <f>Financials!AG25/Financials!AG5</f>
        <v>6.5872974034512519E-2</v>
      </c>
      <c r="AI18" s="229">
        <f>Financials!AH25/Financials!AH5</f>
        <v>5.1207251756323985E-2</v>
      </c>
      <c r="AJ18" s="229">
        <f>Financials!AI25/Financials!AI5</f>
        <v>5.7076413666864237E-2</v>
      </c>
      <c r="AK18" s="229">
        <f>Financials!AJ25/Financials!AJ5</f>
        <v>5.9467393889806403E-2</v>
      </c>
      <c r="AL18" s="229">
        <f>Financials!AK25/Financials!AK5</f>
        <v>5.8843271349601732E-2</v>
      </c>
      <c r="AM18" s="229">
        <f>Financials!AL25/Financials!AL5</f>
        <v>6.0251552936502133E-2</v>
      </c>
      <c r="AN18" s="229">
        <f>Financials!AM25/Financials!AM5</f>
        <v>6.3371094878075906E-2</v>
      </c>
      <c r="AO18" s="229">
        <f>Financials!AN25/Financials!AN5</f>
        <v>6.3371094921846796E-2</v>
      </c>
    </row>
    <row r="19" spans="1:41" s="214" customFormat="1">
      <c r="A19" s="227" t="s">
        <v>275</v>
      </c>
      <c r="B19" s="219" t="s">
        <v>276</v>
      </c>
      <c r="C19" s="219">
        <v>48.4</v>
      </c>
      <c r="D19" s="229">
        <f>Financials!C25/Financials!C11</f>
        <v>0.54667741408611725</v>
      </c>
      <c r="E19" s="229">
        <f>Financials!D25/Financials!D11</f>
        <v>0.52053996051853846</v>
      </c>
      <c r="F19" s="229">
        <f>Financials!E25/Financials!E11</f>
        <v>0.65977233054916407</v>
      </c>
      <c r="G19" s="229">
        <f>Financials!F25/Financials!F11</f>
        <v>0.63691193376774846</v>
      </c>
      <c r="H19" s="229">
        <f>Financials!G25/Financials!G11</f>
        <v>0.61691292100866868</v>
      </c>
      <c r="I19" s="229">
        <f>Financials!H25/Financials!H11</f>
        <v>0.60747913580909141</v>
      </c>
      <c r="J19" s="229">
        <f>Financials!I25/Financials!I11</f>
        <v>0.59205329928417016</v>
      </c>
      <c r="K19" s="229">
        <f>Financials!J25/Financials!J11</f>
        <v>0.58598469494468597</v>
      </c>
      <c r="L19" s="229">
        <f>Financials!K25/Financials!K11</f>
        <v>0.52689468884142487</v>
      </c>
      <c r="M19" s="229">
        <f>Financials!L25/Financials!L11</f>
        <v>0.52163104743447963</v>
      </c>
      <c r="N19" s="229">
        <f>Financials!M25/Financials!M11</f>
        <v>0.51622612866617201</v>
      </c>
      <c r="O19" s="229">
        <f>Financials!N25/Financials!N11</f>
        <v>0.44205173088072253</v>
      </c>
      <c r="P19" s="229">
        <f>Financials!O25/Financials!O11</f>
        <v>0</v>
      </c>
      <c r="Q19" s="229">
        <f>Financials!P25/Financials!P11</f>
        <v>0</v>
      </c>
      <c r="R19" s="229">
        <f>Financials!Q25/Financials!Q11</f>
        <v>0</v>
      </c>
      <c r="S19" s="229">
        <f>Financials!R25/Financials!R11</f>
        <v>0</v>
      </c>
      <c r="T19" s="229">
        <f>Financials!S25/Financials!S11</f>
        <v>0</v>
      </c>
      <c r="U19" s="229">
        <f>Financials!T25/Financials!T11</f>
        <v>0</v>
      </c>
      <c r="V19" s="229">
        <f>Financials!U25/Financials!U11</f>
        <v>0</v>
      </c>
      <c r="W19" s="229" t="e">
        <f>Financials!V25/Financials!V11</f>
        <v>#DIV/0!</v>
      </c>
      <c r="X19" s="229" t="e">
        <f>Financials!W25/Financials!W11</f>
        <v>#DIV/0!</v>
      </c>
      <c r="Y19" s="229" t="e">
        <f>Financials!X25/Financials!X11</f>
        <v>#DIV/0!</v>
      </c>
      <c r="Z19" s="229" t="e">
        <f>Financials!Y25/Financials!Y11</f>
        <v>#DIV/0!</v>
      </c>
      <c r="AA19" s="229" t="e">
        <f>Financials!Z25/Financials!Z11</f>
        <v>#DIV/0!</v>
      </c>
      <c r="AB19" s="229">
        <f>Financials!AA25/Financials!AA11</f>
        <v>5.4255103564698107E-2</v>
      </c>
      <c r="AC19" s="229">
        <f>Financials!AB25/Financials!AB11</f>
        <v>0.18943574876555533</v>
      </c>
      <c r="AD19" s="229">
        <f>Financials!AC25/Financials!AC11</f>
        <v>0.22488656919402114</v>
      </c>
      <c r="AE19" s="229">
        <f>Financials!AD25/Financials!AD11</f>
        <v>0.21781035722860223</v>
      </c>
      <c r="AF19" s="229">
        <f>Financials!AE25/Financials!AE11</f>
        <v>0.20994829925373173</v>
      </c>
      <c r="AG19" s="229">
        <f>Financials!AF25/Financials!AF11</f>
        <v>0.20134932014563045</v>
      </c>
      <c r="AH19" s="229">
        <f>Financials!AG25/Financials!AG11</f>
        <v>0.1940617943716513</v>
      </c>
      <c r="AI19" s="229">
        <f>Financials!AH25/Financials!AH11</f>
        <v>0.18051859267900452</v>
      </c>
      <c r="AJ19" s="229">
        <f>Financials!AI25/Financials!AI11</f>
        <v>0.17961946983597971</v>
      </c>
      <c r="AK19" s="229">
        <f>Financials!AJ25/Financials!AJ11</f>
        <v>0.17766757044223427</v>
      </c>
      <c r="AL19" s="229">
        <f>Financials!AK25/Financials!AK11</f>
        <v>0.17673002304094432</v>
      </c>
      <c r="AM19" s="229">
        <f>Financials!AL25/Financials!AL11</f>
        <v>0.17581529744866278</v>
      </c>
      <c r="AN19" s="229">
        <f>Financials!AM25/Financials!AM11</f>
        <v>0.17128815514482754</v>
      </c>
      <c r="AO19" s="229">
        <f>Financials!AN25/Financials!AN11</f>
        <v>0.19961211234181708</v>
      </c>
    </row>
    <row r="20" spans="1:41" s="214" customFormat="1">
      <c r="A20" s="227" t="s">
        <v>277</v>
      </c>
      <c r="B20" s="231" t="s">
        <v>278</v>
      </c>
      <c r="C20" s="227"/>
      <c r="D20" s="229">
        <f>Financials!C30/Financials!C4</f>
        <v>0.50710611529222438</v>
      </c>
      <c r="E20" s="229">
        <f>Financials!D30/Financials!D4</f>
        <v>0.51118151292711655</v>
      </c>
      <c r="F20" s="229">
        <f>Financials!E30/Financials!E4</f>
        <v>0.50197330322784806</v>
      </c>
      <c r="G20" s="229">
        <f>Financials!F30/Financials!F4</f>
        <v>0.49490426761773276</v>
      </c>
      <c r="H20" s="229">
        <f>Financials!G30/Financials!G4</f>
        <v>0.50276182328726282</v>
      </c>
      <c r="I20" s="229">
        <f>Financials!H30/Financials!H4</f>
        <v>0.45826310484884952</v>
      </c>
      <c r="J20" s="229">
        <f>Financials!I30/Financials!I4</f>
        <v>0.50043890835869764</v>
      </c>
      <c r="K20" s="229">
        <f>Financials!J30/Financials!J4</f>
        <v>0.51120876883746602</v>
      </c>
      <c r="L20" s="229">
        <f>Financials!K30/Financials!K4</f>
        <v>0.32307146616079246</v>
      </c>
      <c r="M20" s="229">
        <f>Financials!L30/Financials!L4</f>
        <v>0.39499618687775012</v>
      </c>
      <c r="N20" s="229">
        <f>Financials!M30/Financials!M4</f>
        <v>0.43624928936564061</v>
      </c>
      <c r="O20" s="229">
        <f>Financials!N30/Financials!N4</f>
        <v>0.39767578583050672</v>
      </c>
      <c r="P20" s="229">
        <f>Financials!O30/Financials!O4</f>
        <v>0.43372405386815943</v>
      </c>
      <c r="Q20" s="229">
        <f>Financials!P30/Financials!P4</f>
        <v>0.41602589248693533</v>
      </c>
      <c r="R20" s="229">
        <f>Financials!Q30/Financials!Q4</f>
        <v>0.4581914075374352</v>
      </c>
      <c r="S20" s="229">
        <f>Financials!R30/Financials!R4</f>
        <v>0.43684125079620434</v>
      </c>
      <c r="T20" s="229">
        <f>Financials!S30/Financials!S4</f>
        <v>0.50873930104946508</v>
      </c>
      <c r="U20" s="229">
        <f>Financials!T30/Financials!T4</f>
        <v>0.53064222536714301</v>
      </c>
      <c r="V20" s="229">
        <f>Financials!U30/Financials!U4</f>
        <v>0.54695193102698103</v>
      </c>
      <c r="W20" s="229" t="e">
        <f>Financials!V30/Financials!V4</f>
        <v>#DIV/0!</v>
      </c>
      <c r="X20" s="229" t="e">
        <f>Financials!W30/Financials!W4</f>
        <v>#DIV/0!</v>
      </c>
      <c r="Y20" s="229" t="e">
        <f>Financials!X30/Financials!X4</f>
        <v>#DIV/0!</v>
      </c>
      <c r="Z20" s="229" t="e">
        <f>Financials!Y30/Financials!Y4</f>
        <v>#DIV/0!</v>
      </c>
      <c r="AA20" s="229" t="e">
        <f>Financials!Z30/Financials!Z4</f>
        <v>#DIV/0!</v>
      </c>
      <c r="AB20" s="229">
        <f>Financials!AA30/Financials!AA4</f>
        <v>0.55432685625925937</v>
      </c>
      <c r="AC20" s="229">
        <f>Financials!AB30/Financials!AB4</f>
        <v>0.57590556033986506</v>
      </c>
      <c r="AD20" s="229">
        <f>Financials!AC30/Financials!AC4</f>
        <v>0.55439418429556542</v>
      </c>
      <c r="AE20" s="229">
        <f>Financials!AD30/Financials!AD4</f>
        <v>0.55166392565168831</v>
      </c>
      <c r="AF20" s="229">
        <f>Financials!AE30/Financials!AE4</f>
        <v>0.54094751477820202</v>
      </c>
      <c r="AG20" s="229">
        <f>Financials!AF30/Financials!AF4</f>
        <v>0.54886442489472864</v>
      </c>
      <c r="AH20" s="229">
        <f>Financials!AG30/Financials!AG4</f>
        <v>0.52817109426909559</v>
      </c>
      <c r="AI20" s="229">
        <f>Financials!AH30/Financials!AH4</f>
        <v>0.40530034689565969</v>
      </c>
      <c r="AJ20" s="229">
        <f>Financials!AI30/Financials!AI4</f>
        <v>0.44610767739724633</v>
      </c>
      <c r="AK20" s="229">
        <f>Financials!AJ30/Financials!AJ4</f>
        <v>0.4758789850836147</v>
      </c>
      <c r="AL20" s="229">
        <f>Financials!AK30/Financials!AK4</f>
        <v>0.47612614865020131</v>
      </c>
      <c r="AM20" s="229">
        <f>Financials!AL30/Financials!AL4</f>
        <v>0.50476202099060041</v>
      </c>
      <c r="AN20" s="229">
        <f>Financials!AM30/Financials!AM4</f>
        <v>0.51922351863928595</v>
      </c>
      <c r="AO20" s="229">
        <f>Financials!AN30/Financials!AN4</f>
        <v>0.51922351944287637</v>
      </c>
    </row>
    <row r="21" spans="1:41" s="214" customFormat="1" hidden="1">
      <c r="A21" s="223"/>
      <c r="B21" s="224"/>
      <c r="C21" s="223"/>
      <c r="D21" s="223"/>
      <c r="E21" s="223"/>
      <c r="F21" s="223"/>
      <c r="G21" s="223"/>
      <c r="H21" s="223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  <c r="AA21" s="223"/>
      <c r="AB21" s="223"/>
      <c r="AC21" s="223"/>
      <c r="AD21" s="223"/>
      <c r="AE21" s="223"/>
      <c r="AF21" s="223"/>
      <c r="AG21" s="223"/>
      <c r="AH21" s="223"/>
      <c r="AI21" s="223"/>
      <c r="AJ21" s="223"/>
      <c r="AK21" s="223"/>
      <c r="AL21" s="223"/>
      <c r="AM21" s="223"/>
      <c r="AN21" s="223"/>
      <c r="AO21" s="223"/>
    </row>
    <row r="22" spans="1:41" s="214" customFormat="1">
      <c r="A22" s="223" t="s">
        <v>135</v>
      </c>
      <c r="B22" s="224"/>
      <c r="C22" s="223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</row>
    <row r="23" spans="1:41" s="214" customFormat="1">
      <c r="A23" s="227" t="s">
        <v>136</v>
      </c>
      <c r="B23" s="231" t="s">
        <v>278</v>
      </c>
      <c r="C23" s="231"/>
      <c r="D23" s="229">
        <f>Financials!C5/Financials!C4</f>
        <v>0.73103282798826574</v>
      </c>
      <c r="E23" s="229">
        <f>Financials!D5/Financials!D4</f>
        <v>0.75256918313201149</v>
      </c>
      <c r="F23" s="229">
        <f>Financials!E5/Financials!E4</f>
        <v>0.73657728357091834</v>
      </c>
      <c r="G23" s="229">
        <f>Financials!F5/Financials!F4</f>
        <v>0.73637571498712318</v>
      </c>
      <c r="H23" s="229">
        <f>Financials!G5/Financials!G4</f>
        <v>0.73492990371332578</v>
      </c>
      <c r="I23" s="229">
        <f>Financials!H5/Financials!H4</f>
        <v>0.71328062865972275</v>
      </c>
      <c r="J23" s="229">
        <f>Financials!I5/Financials!I4</f>
        <v>0.76783198994849755</v>
      </c>
      <c r="K23" s="229">
        <f>Financials!J5/Financials!J4</f>
        <v>0.77717829832411978</v>
      </c>
      <c r="L23" s="229">
        <f>Financials!K5/Financials!K4</f>
        <v>0.82705197545976705</v>
      </c>
      <c r="M23" s="229">
        <f>Financials!L5/Financials!L4</f>
        <v>0.79490938313967463</v>
      </c>
      <c r="N23" s="229">
        <f>Financials!M5/Financials!M4</f>
        <v>0.78840157661879806</v>
      </c>
      <c r="O23" s="229">
        <f>Financials!N5/Financials!N4</f>
        <v>0.71869049327875023</v>
      </c>
      <c r="P23" s="229">
        <f>Financials!O5/Financials!O4</f>
        <v>0.79338971624216525</v>
      </c>
      <c r="Q23" s="229">
        <f>Financials!P5/Financials!P4</f>
        <v>0.78650203063911261</v>
      </c>
      <c r="R23" s="229">
        <f>Financials!Q5/Financials!Q4</f>
        <v>0.80339558771446828</v>
      </c>
      <c r="S23" s="229">
        <f>Financials!R5/Financials!R4</f>
        <v>0.79222131672912588</v>
      </c>
      <c r="T23" s="229">
        <f>Financials!S5/Financials!S4</f>
        <v>0.79269109224660883</v>
      </c>
      <c r="U23" s="229">
        <f>Financials!T5/Financials!T4</f>
        <v>0.790330001788209</v>
      </c>
      <c r="V23" s="229">
        <f>Financials!U5/Financials!U4</f>
        <v>0.79489612506485974</v>
      </c>
      <c r="W23" s="229" t="e">
        <f>Financials!V5/Financials!V4</f>
        <v>#DIV/0!</v>
      </c>
      <c r="X23" s="229" t="e">
        <f>Financials!W5/Financials!W4</f>
        <v>#DIV/0!</v>
      </c>
      <c r="Y23" s="229" t="e">
        <f>Financials!X5/Financials!X4</f>
        <v>#DIV/0!</v>
      </c>
      <c r="Z23" s="229" t="e">
        <f>Financials!Y5/Financials!Y4</f>
        <v>#DIV/0!</v>
      </c>
      <c r="AA23" s="229" t="e">
        <f>Financials!Z5/Financials!Z4</f>
        <v>#DIV/0!</v>
      </c>
      <c r="AB23" s="229">
        <f>Financials!AA5/Financials!AA4</f>
        <v>0.71344474113212053</v>
      </c>
      <c r="AC23" s="229">
        <f>Financials!AB5/Financials!AB4</f>
        <v>0.71930788850066552</v>
      </c>
      <c r="AD23" s="229">
        <f>Financials!AC5/Financials!AC4</f>
        <v>0.72164678337479804</v>
      </c>
      <c r="AE23" s="229">
        <f>Financials!AD5/Financials!AD4</f>
        <v>0.72992331960494505</v>
      </c>
      <c r="AF23" s="229">
        <f>Financials!AE5/Financials!AE4</f>
        <v>0.73415022602380542</v>
      </c>
      <c r="AG23" s="229">
        <f>Financials!AF5/Financials!AF4</f>
        <v>0.73399638096702746</v>
      </c>
      <c r="AH23" s="229">
        <f>Financials!AG5/Financials!AG4</f>
        <v>0.71784895281985983</v>
      </c>
      <c r="AI23" s="229">
        <f>Financials!AH5/Financials!AH4</f>
        <v>0.74224120983383124</v>
      </c>
      <c r="AJ23" s="229">
        <f>Financials!AI5/Financials!AI4</f>
        <v>0.72789298872178709</v>
      </c>
      <c r="AK23" s="229">
        <f>Financials!AJ5/Financials!AJ4</f>
        <v>0.72054125816005465</v>
      </c>
      <c r="AL23" s="229">
        <f>Financials!AK5/Financials!AK4</f>
        <v>0.71893911723105464</v>
      </c>
      <c r="AM23" s="229">
        <f>Financials!AL5/Financials!AL4</f>
        <v>0.71460098894561164</v>
      </c>
      <c r="AN23" s="229">
        <f>Financials!AM5/Financials!AM4</f>
        <v>0.70122110174806962</v>
      </c>
      <c r="AO23" s="229">
        <f>Financials!AN5/Financials!AN4</f>
        <v>0.70122110133399884</v>
      </c>
    </row>
    <row r="24" spans="1:41" s="214" customFormat="1">
      <c r="A24" s="233" t="s">
        <v>137</v>
      </c>
      <c r="B24" s="234" t="s">
        <v>278</v>
      </c>
      <c r="C24" s="234"/>
      <c r="D24" s="235">
        <f>Financials!C6/Financials!C4</f>
        <v>0.30982682725688165</v>
      </c>
      <c r="E24" s="235">
        <f>Financials!D6/Financials!D4</f>
        <v>0.32811624736292472</v>
      </c>
      <c r="F24" s="235">
        <f>Financials!E6/Financials!E4</f>
        <v>0.32917660135642279</v>
      </c>
      <c r="G24" s="235">
        <f>Financials!F6/Financials!F4</f>
        <v>0.32039410426597537</v>
      </c>
      <c r="H24" s="235">
        <f>Financials!G6/Financials!G4</f>
        <v>0.32490331166028308</v>
      </c>
      <c r="I24" s="235">
        <f>Financials!H6/Financials!H4</f>
        <v>0.30399143673655082</v>
      </c>
      <c r="J24" s="235">
        <f>Financials!I6/Financials!I4</f>
        <v>0.33950046751145968</v>
      </c>
      <c r="K24" s="235">
        <f>Financials!J6/Financials!J4</f>
        <v>0.32957348867047503</v>
      </c>
      <c r="L24" s="235">
        <f>Financials!K6/Financials!K4</f>
        <v>0.23038394925748387</v>
      </c>
      <c r="M24" s="235">
        <f>Financials!L6/Financials!L4</f>
        <v>0.28135053019705564</v>
      </c>
      <c r="N24" s="235">
        <f>Financials!M6/Financials!M4</f>
        <v>0.30738625903117156</v>
      </c>
      <c r="O24" s="235">
        <f>Financials!N6/Financials!N4</f>
        <v>0.28020692616829146</v>
      </c>
      <c r="P24" s="235">
        <f>Financials!O6/Financials!O4</f>
        <v>0.30573431904615</v>
      </c>
      <c r="Q24" s="235">
        <f>Financials!P6/Financials!P4</f>
        <v>0.28551544432447279</v>
      </c>
      <c r="R24" s="235">
        <f>Financials!Q6/Financials!Q4</f>
        <v>0.31794976580230777</v>
      </c>
      <c r="S24" s="235">
        <f>Financials!R6/Financials!R4</f>
        <v>0.29559057253489246</v>
      </c>
      <c r="T24" s="235">
        <f>Financials!S6/Financials!S4</f>
        <v>0.31822549798988181</v>
      </c>
      <c r="U24" s="235">
        <f>Financials!T6/Financials!T4</f>
        <v>0.32148679579924211</v>
      </c>
      <c r="V24" s="235">
        <f>Financials!U6/Financials!U4</f>
        <v>0.31863358272900327</v>
      </c>
      <c r="W24" s="235" t="e">
        <f>Financials!V6/Financials!V4</f>
        <v>#DIV/0!</v>
      </c>
      <c r="X24" s="235" t="e">
        <f>Financials!W6/Financials!W4</f>
        <v>#DIV/0!</v>
      </c>
      <c r="Y24" s="235" t="e">
        <f>Financials!X6/Financials!X4</f>
        <v>#DIV/0!</v>
      </c>
      <c r="Z24" s="235" t="e">
        <f>Financials!Y6/Financials!Y4</f>
        <v>#DIV/0!</v>
      </c>
      <c r="AA24" s="235" t="e">
        <f>Financials!Z6/Financials!Z4</f>
        <v>#DIV/0!</v>
      </c>
      <c r="AB24" s="235">
        <f>Financials!AA6/Financials!AA4</f>
        <v>0.30295234919448411</v>
      </c>
      <c r="AC24" s="235">
        <f>Financials!AB6/Financials!AB4</f>
        <v>0.29800786642594401</v>
      </c>
      <c r="AD24" s="235">
        <f>Financials!AC6/Financials!AC4</f>
        <v>0.29841922392893283</v>
      </c>
      <c r="AE24" s="235">
        <f>Financials!AD6/Financials!AD4</f>
        <v>0.31008706254428453</v>
      </c>
      <c r="AF24" s="235">
        <f>Financials!AE6/Financials!AE4</f>
        <v>0.30284405247468466</v>
      </c>
      <c r="AG24" s="235">
        <f>Financials!AF6/Financials!AF4</f>
        <v>0.30112991506554032</v>
      </c>
      <c r="AH24" s="235">
        <f>Financials!AG6/Financials!AG4</f>
        <v>0.30555483608854223</v>
      </c>
      <c r="AI24" s="235">
        <f>Financials!AH6/Financials!AH4</f>
        <v>0.24675829480289035</v>
      </c>
      <c r="AJ24" s="235">
        <f>Financials!AI6/Financials!AI4</f>
        <v>0.26932433559885216</v>
      </c>
      <c r="AK24" s="235">
        <f>Financials!AJ6/Financials!AJ4</f>
        <v>0.27897967388225559</v>
      </c>
      <c r="AL24" s="235">
        <f>Financials!AK6/Financials!AK4</f>
        <v>0.276261598300928</v>
      </c>
      <c r="AM24" s="235">
        <f>Financials!AL6/Financials!AL4</f>
        <v>0.27989907561682842</v>
      </c>
      <c r="AN24" s="235">
        <f>Financials!AM6/Financials!AM4</f>
        <v>0.29071210667223246</v>
      </c>
      <c r="AO24" s="235">
        <f>Financials!AN6/Financials!AN4</f>
        <v>0.2907121067013641</v>
      </c>
    </row>
    <row r="25" spans="1:41" s="214" customFormat="1">
      <c r="A25" s="233" t="s">
        <v>138</v>
      </c>
      <c r="B25" s="234" t="s">
        <v>278</v>
      </c>
      <c r="C25" s="234"/>
      <c r="D25" s="235">
        <f>Financials!C7/Financials!C4</f>
        <v>0.42120600073138403</v>
      </c>
      <c r="E25" s="235">
        <f>Financials!D7/Financials!D4</f>
        <v>0.42445293576908671</v>
      </c>
      <c r="F25" s="235">
        <f>Financials!E7/Financials!E4</f>
        <v>0.40740068221449549</v>
      </c>
      <c r="G25" s="235">
        <f>Financials!F7/Financials!F4</f>
        <v>0.41598161072114781</v>
      </c>
      <c r="H25" s="235">
        <f>Financials!G7/Financials!G4</f>
        <v>0.4100265920530427</v>
      </c>
      <c r="I25" s="235">
        <f>Financials!H7/Financials!H4</f>
        <v>0.40928919192317198</v>
      </c>
      <c r="J25" s="235">
        <f>Financials!I7/Financials!I4</f>
        <v>0.42833152243703787</v>
      </c>
      <c r="K25" s="235">
        <f>Financials!J7/Financials!J4</f>
        <v>0.44760480965364469</v>
      </c>
      <c r="L25" s="235">
        <f>Financials!K7/Financials!K4</f>
        <v>0.59666802620228321</v>
      </c>
      <c r="M25" s="235">
        <f>Financials!L7/Financials!L4</f>
        <v>0.51355885294261905</v>
      </c>
      <c r="N25" s="235">
        <f>Financials!M7/Financials!M4</f>
        <v>0.4810153175876265</v>
      </c>
      <c r="O25" s="235">
        <f>Financials!N7/Financials!N4</f>
        <v>0.43848356711045872</v>
      </c>
      <c r="P25" s="235">
        <f>Financials!O7/Financials!O4</f>
        <v>0.48765539719601536</v>
      </c>
      <c r="Q25" s="235">
        <f>Financials!P7/Financials!P4</f>
        <v>0.50098658631463988</v>
      </c>
      <c r="R25" s="235">
        <f>Financials!Q7/Financials!Q4</f>
        <v>0.48544582191216051</v>
      </c>
      <c r="S25" s="235">
        <f>Financials!R7/Financials!R4</f>
        <v>0.49663074419423342</v>
      </c>
      <c r="T25" s="235">
        <f>Financials!S7/Financials!S4</f>
        <v>0.47446559425672696</v>
      </c>
      <c r="U25" s="235">
        <f>Financials!T7/Financials!T4</f>
        <v>0.46884320598896695</v>
      </c>
      <c r="V25" s="235">
        <f>Financials!U7/Financials!U4</f>
        <v>0.47626254233585646</v>
      </c>
      <c r="W25" s="235" t="e">
        <f>Financials!V7/Financials!V4</f>
        <v>#DIV/0!</v>
      </c>
      <c r="X25" s="235" t="e">
        <f>Financials!W7/Financials!W4</f>
        <v>#DIV/0!</v>
      </c>
      <c r="Y25" s="235" t="e">
        <f>Financials!X7/Financials!X4</f>
        <v>#DIV/0!</v>
      </c>
      <c r="Z25" s="235" t="e">
        <f>Financials!Y7/Financials!Y4</f>
        <v>#DIV/0!</v>
      </c>
      <c r="AA25" s="235" t="e">
        <f>Financials!Z7/Financials!Z4</f>
        <v>#DIV/0!</v>
      </c>
      <c r="AB25" s="235">
        <f>Financials!AA7/Financials!AA4</f>
        <v>0.41049239193763642</v>
      </c>
      <c r="AC25" s="235">
        <f>Financials!AB7/Financials!AB4</f>
        <v>0.42130002207472145</v>
      </c>
      <c r="AD25" s="235">
        <f>Financials!AC7/Financials!AC4</f>
        <v>0.42322755944586521</v>
      </c>
      <c r="AE25" s="235">
        <f>Financials!AD7/Financials!AD4</f>
        <v>0.41983625706066052</v>
      </c>
      <c r="AF25" s="235">
        <f>Financials!AE7/Financials!AE4</f>
        <v>0.43130617354912071</v>
      </c>
      <c r="AG25" s="235">
        <f>Financials!AF7/Financials!AF4</f>
        <v>0.4328664659014872</v>
      </c>
      <c r="AH25" s="235">
        <f>Financials!AG7/Financials!AG4</f>
        <v>0.41229411673131761</v>
      </c>
      <c r="AI25" s="235">
        <f>Financials!AH7/Financials!AH4</f>
        <v>0.49548291503094088</v>
      </c>
      <c r="AJ25" s="235">
        <f>Financials!AI7/Financials!AI4</f>
        <v>0.45856865312293493</v>
      </c>
      <c r="AK25" s="235">
        <f>Financials!AJ7/Financials!AJ4</f>
        <v>0.44156158427779912</v>
      </c>
      <c r="AL25" s="235">
        <f>Financials!AK7/Financials!AK4</f>
        <v>0.44267751893012658</v>
      </c>
      <c r="AM25" s="235">
        <f>Financials!AL7/Financials!AL4</f>
        <v>0.43470191332878327</v>
      </c>
      <c r="AN25" s="235">
        <f>Financials!AM7/Financials!AM4</f>
        <v>0.41050899507583716</v>
      </c>
      <c r="AO25" s="235">
        <f>Financials!AN7/Financials!AN4</f>
        <v>0.41050899463263474</v>
      </c>
    </row>
    <row r="26" spans="1:41" s="214" customFormat="1">
      <c r="A26" s="227" t="s">
        <v>279</v>
      </c>
      <c r="B26" s="219" t="s">
        <v>280</v>
      </c>
      <c r="C26" s="219">
        <v>35.1</v>
      </c>
      <c r="D26" s="229">
        <f>Financials!C8/Financials!C4</f>
        <v>0</v>
      </c>
      <c r="E26" s="229">
        <f>Financials!D8/Financials!D4</f>
        <v>0</v>
      </c>
      <c r="F26" s="229">
        <f>Financials!E8/Financials!E4</f>
        <v>0</v>
      </c>
      <c r="G26" s="229">
        <f>Financials!F8/Financials!F4</f>
        <v>0</v>
      </c>
      <c r="H26" s="229">
        <f>Financials!G8/Financials!G4</f>
        <v>0</v>
      </c>
      <c r="I26" s="229">
        <f>Financials!H8/Financials!H4</f>
        <v>0</v>
      </c>
      <c r="J26" s="229">
        <f>Financials!I8/Financials!I4</f>
        <v>0</v>
      </c>
      <c r="K26" s="229">
        <f>Financials!J8/Financials!J4</f>
        <v>0</v>
      </c>
      <c r="L26" s="229">
        <f>Financials!K8/Financials!K4</f>
        <v>0</v>
      </c>
      <c r="M26" s="229">
        <f>Financials!L8/Financials!L4</f>
        <v>0</v>
      </c>
      <c r="N26" s="229">
        <f>Financials!M8/Financials!M4</f>
        <v>0</v>
      </c>
      <c r="O26" s="229">
        <f>Financials!N8/Financials!N4</f>
        <v>0</v>
      </c>
      <c r="P26" s="229">
        <f>Financials!O8/Financials!O4</f>
        <v>0</v>
      </c>
      <c r="Q26" s="229">
        <f>Financials!P8/Financials!P4</f>
        <v>0</v>
      </c>
      <c r="R26" s="229">
        <f>Financials!Q8/Financials!Q4</f>
        <v>0</v>
      </c>
      <c r="S26" s="229">
        <f>Financials!R8/Financials!R4</f>
        <v>0</v>
      </c>
      <c r="T26" s="229">
        <f>Financials!S8/Financials!S4</f>
        <v>0</v>
      </c>
      <c r="U26" s="229">
        <f>Financials!T8/Financials!T4</f>
        <v>0</v>
      </c>
      <c r="V26" s="229">
        <f>Financials!U8/Financials!U4</f>
        <v>0</v>
      </c>
      <c r="W26" s="229" t="e">
        <f>Financials!V8/Financials!V4</f>
        <v>#DIV/0!</v>
      </c>
      <c r="X26" s="229" t="e">
        <f>Financials!W8/Financials!W4</f>
        <v>#DIV/0!</v>
      </c>
      <c r="Y26" s="229" t="e">
        <f>Financials!X8/Financials!X4</f>
        <v>#DIV/0!</v>
      </c>
      <c r="Z26" s="229" t="e">
        <f>Financials!Y8/Financials!Y4</f>
        <v>#DIV/0!</v>
      </c>
      <c r="AA26" s="229" t="e">
        <f>Financials!Z8/Financials!Z4</f>
        <v>#DIV/0!</v>
      </c>
      <c r="AB26" s="229">
        <f>Financials!AA8/Financials!AA4</f>
        <v>0</v>
      </c>
      <c r="AC26" s="229">
        <f>Financials!AB8/Financials!AB4</f>
        <v>0</v>
      </c>
      <c r="AD26" s="229">
        <f>Financials!AC8/Financials!AC4</f>
        <v>0</v>
      </c>
      <c r="AE26" s="229">
        <f>Financials!AD8/Financials!AD4</f>
        <v>0</v>
      </c>
      <c r="AF26" s="229">
        <f>Financials!AE8/Financials!AE4</f>
        <v>0</v>
      </c>
      <c r="AG26" s="229">
        <f>Financials!AF8/Financials!AF4</f>
        <v>0</v>
      </c>
      <c r="AH26" s="229">
        <f>Financials!AG8/Financials!AG4</f>
        <v>0</v>
      </c>
      <c r="AI26" s="229">
        <f>Financials!AH8/Financials!AH4</f>
        <v>0</v>
      </c>
      <c r="AJ26" s="229">
        <f>Financials!AI8/Financials!AI4</f>
        <v>0</v>
      </c>
      <c r="AK26" s="229">
        <f>Financials!AJ8/Financials!AJ4</f>
        <v>0</v>
      </c>
      <c r="AL26" s="229">
        <f>Financials!AK8/Financials!AK4</f>
        <v>0</v>
      </c>
      <c r="AM26" s="229">
        <f>Financials!AL8/Financials!AL4</f>
        <v>0</v>
      </c>
      <c r="AN26" s="229">
        <f>Financials!AM8/Financials!AM4</f>
        <v>0</v>
      </c>
      <c r="AO26" s="229">
        <f>Financials!AN8/Financials!AN4</f>
        <v>0</v>
      </c>
    </row>
    <row r="27" spans="1:41" s="214" customFormat="1">
      <c r="A27" s="223" t="s">
        <v>281</v>
      </c>
      <c r="B27" s="224"/>
      <c r="C27" s="223"/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</row>
    <row r="28" spans="1:41">
      <c r="A28" s="227" t="s">
        <v>27</v>
      </c>
      <c r="B28" s="231" t="s">
        <v>278</v>
      </c>
      <c r="C28" s="231"/>
      <c r="D28" s="220">
        <v>3.1257704607964405E-2</v>
      </c>
      <c r="E28" s="220">
        <v>6.7457958613314738E-3</v>
      </c>
      <c r="F28" s="220">
        <v>1.9779457056970956E-2</v>
      </c>
      <c r="G28" s="220">
        <v>1.9779457056970956E-2</v>
      </c>
      <c r="H28" s="220">
        <v>1.9779457056970956E-2</v>
      </c>
      <c r="I28" s="220">
        <v>1.9779457056970956E-2</v>
      </c>
      <c r="J28" s="220">
        <v>1.9779457056970956E-2</v>
      </c>
      <c r="K28" s="220">
        <v>1.9779457056970956E-2</v>
      </c>
      <c r="L28" s="220">
        <v>1.9779457056970956E-2</v>
      </c>
      <c r="M28" s="220">
        <v>1.9779457056970956E-2</v>
      </c>
      <c r="N28" s="220">
        <v>1.9779457056970956E-2</v>
      </c>
      <c r="O28" s="220">
        <v>1.9779457056970956E-2</v>
      </c>
      <c r="P28" s="220">
        <v>1.9779457056970956E-2</v>
      </c>
      <c r="Q28" s="220">
        <v>1.9779457056970956E-2</v>
      </c>
      <c r="R28" s="220">
        <v>1.9779457056970956E-2</v>
      </c>
      <c r="S28" s="220">
        <v>1.9779457056970956E-2</v>
      </c>
      <c r="T28" s="220">
        <v>1.9779457056970956E-2</v>
      </c>
      <c r="U28" s="220">
        <v>1.9779457056970956E-2</v>
      </c>
      <c r="V28" s="220">
        <v>1.9779457056970956E-2</v>
      </c>
      <c r="W28" s="220">
        <v>1.9779457056970956E-2</v>
      </c>
      <c r="X28" s="220">
        <v>1.9779457056970956E-2</v>
      </c>
      <c r="Y28" s="220">
        <v>1.9779457056970956E-2</v>
      </c>
      <c r="Z28" s="220">
        <v>1.9779457056970956E-2</v>
      </c>
      <c r="AA28" s="220">
        <v>1.9779457056970956E-2</v>
      </c>
      <c r="AB28" s="220">
        <v>1.9779457056970956E-2</v>
      </c>
      <c r="AC28" s="220">
        <v>1.9779457056970956E-2</v>
      </c>
      <c r="AD28" s="220">
        <v>1.9779457056970956E-2</v>
      </c>
      <c r="AE28" s="220">
        <v>1.9779457056970956E-2</v>
      </c>
      <c r="AF28" s="220">
        <v>1.9779457056970956E-2</v>
      </c>
      <c r="AG28" s="220">
        <v>1.9779457056970956E-2</v>
      </c>
      <c r="AH28" s="220">
        <v>1.9779457056970956E-2</v>
      </c>
      <c r="AI28" s="220">
        <v>1.9779457056970956E-2</v>
      </c>
      <c r="AJ28" s="220">
        <v>1.9779457056970956E-2</v>
      </c>
      <c r="AK28" s="220">
        <v>1.9779457056970956E-2</v>
      </c>
      <c r="AL28" s="220">
        <v>1.9779457056970956E-2</v>
      </c>
      <c r="AM28" s="220">
        <v>1.9779457056970956E-2</v>
      </c>
      <c r="AN28" s="220">
        <v>1.9779457056970956E-2</v>
      </c>
      <c r="AO28" s="220">
        <v>1.9779457056970956E-2</v>
      </c>
    </row>
    <row r="29" spans="1:41">
      <c r="A29" s="227" t="s">
        <v>140</v>
      </c>
      <c r="B29" s="231" t="s">
        <v>278</v>
      </c>
      <c r="C29" s="231"/>
      <c r="D29" s="220">
        <v>-3.5093982605545811E-2</v>
      </c>
      <c r="E29" s="220">
        <v>5.2817350400579652E-2</v>
      </c>
      <c r="F29" s="220">
        <v>-8.7600183872994803E-3</v>
      </c>
      <c r="G29" s="220">
        <v>-8.7600183872994803E-3</v>
      </c>
      <c r="H29" s="220">
        <v>-8.7600183872994803E-3</v>
      </c>
      <c r="I29" s="220">
        <v>-8.7600183872994803E-3</v>
      </c>
      <c r="J29" s="220">
        <v>-8.7600183872994803E-3</v>
      </c>
      <c r="K29" s="220">
        <v>-8.7600183872994803E-3</v>
      </c>
      <c r="L29" s="220">
        <v>-8.7600183872994803E-3</v>
      </c>
      <c r="M29" s="220">
        <v>-8.7600183872994803E-3</v>
      </c>
      <c r="N29" s="220">
        <v>-8.7600183872994803E-3</v>
      </c>
      <c r="O29" s="220">
        <v>-8.7600183872994803E-3</v>
      </c>
      <c r="P29" s="220">
        <v>-8.7600183872994803E-3</v>
      </c>
      <c r="Q29" s="220">
        <v>-8.7600183872994803E-3</v>
      </c>
      <c r="R29" s="220">
        <v>-8.7600183872994803E-3</v>
      </c>
      <c r="S29" s="220">
        <v>-8.7600183872994803E-3</v>
      </c>
      <c r="T29" s="220">
        <v>-8.7600183872994803E-3</v>
      </c>
      <c r="U29" s="220">
        <v>-8.7600183872994803E-3</v>
      </c>
      <c r="V29" s="220">
        <v>-8.7600183872994803E-3</v>
      </c>
      <c r="W29" s="220">
        <v>-8.7600183872994803E-3</v>
      </c>
      <c r="X29" s="220">
        <v>-8.7600183872994803E-3</v>
      </c>
      <c r="Y29" s="220">
        <v>-8.7600183872994803E-3</v>
      </c>
      <c r="Z29" s="220">
        <v>-8.7600183872994803E-3</v>
      </c>
      <c r="AA29" s="220">
        <v>-8.7600183872994803E-3</v>
      </c>
      <c r="AB29" s="220">
        <v>-8.7600183872994803E-3</v>
      </c>
      <c r="AC29" s="220">
        <v>-8.7600183872994803E-3</v>
      </c>
      <c r="AD29" s="220">
        <v>-8.7600183872994803E-3</v>
      </c>
      <c r="AE29" s="220">
        <v>-8.7600183872994803E-3</v>
      </c>
      <c r="AF29" s="220">
        <v>-8.7600183872994803E-3</v>
      </c>
      <c r="AG29" s="220">
        <v>-8.7600183872994803E-3</v>
      </c>
      <c r="AH29" s="220">
        <v>-8.7600183872994803E-3</v>
      </c>
      <c r="AI29" s="220">
        <v>-8.7600183872994803E-3</v>
      </c>
      <c r="AJ29" s="220">
        <v>-8.7600183872994803E-3</v>
      </c>
      <c r="AK29" s="220">
        <v>-8.7600183872994803E-3</v>
      </c>
      <c r="AL29" s="220">
        <v>-8.7600183872994803E-3</v>
      </c>
      <c r="AM29" s="220">
        <v>-8.7600183872994803E-3</v>
      </c>
      <c r="AN29" s="220">
        <v>-8.7600183872994803E-3</v>
      </c>
      <c r="AO29" s="220">
        <v>-8.7600183872994803E-3</v>
      </c>
    </row>
    <row r="30" spans="1:41">
      <c r="A30" s="236" t="s">
        <v>142</v>
      </c>
      <c r="B30" s="231" t="s">
        <v>278</v>
      </c>
      <c r="C30" s="231"/>
      <c r="D30" s="220">
        <v>-5.2971373391956435E-2</v>
      </c>
      <c r="E30" s="220">
        <v>6.7219695606924493E-2</v>
      </c>
      <c r="F30" s="220">
        <v>-1.6154937347014026E-2</v>
      </c>
      <c r="G30" s="220">
        <v>-1.6154937347014026E-2</v>
      </c>
      <c r="H30" s="220">
        <v>-1.6154937347014026E-2</v>
      </c>
      <c r="I30" s="220">
        <v>-1.6154937347014026E-2</v>
      </c>
      <c r="J30" s="220">
        <v>-1.6154937347014026E-2</v>
      </c>
      <c r="K30" s="220">
        <v>-1.6154937347014026E-2</v>
      </c>
      <c r="L30" s="220">
        <v>-1.6154937347014026E-2</v>
      </c>
      <c r="M30" s="220">
        <v>-1.6154937347014026E-2</v>
      </c>
      <c r="N30" s="220">
        <v>-1.6154937347014026E-2</v>
      </c>
      <c r="O30" s="220">
        <v>-1.6154937347014026E-2</v>
      </c>
      <c r="P30" s="220">
        <v>-1.6154937347014026E-2</v>
      </c>
      <c r="Q30" s="220">
        <v>-1.6154937347014026E-2</v>
      </c>
      <c r="R30" s="220">
        <v>-1.6154937347014026E-2</v>
      </c>
      <c r="S30" s="220">
        <v>-1.6154937347014026E-2</v>
      </c>
      <c r="T30" s="220">
        <v>-1.6154937347014026E-2</v>
      </c>
      <c r="U30" s="220">
        <v>-1.6154937347014026E-2</v>
      </c>
      <c r="V30" s="220">
        <v>-1.6154937347014026E-2</v>
      </c>
      <c r="W30" s="220">
        <v>-1.6154937347014026E-2</v>
      </c>
      <c r="X30" s="220">
        <v>-1.6154937347014026E-2</v>
      </c>
      <c r="Y30" s="220">
        <v>-1.6154937347014026E-2</v>
      </c>
      <c r="Z30" s="220">
        <v>-1.6154937347014026E-2</v>
      </c>
      <c r="AA30" s="220">
        <v>-1.6154937347014026E-2</v>
      </c>
      <c r="AB30" s="220">
        <v>-1.6154937347014026E-2</v>
      </c>
      <c r="AC30" s="220">
        <v>-1.6154937347014026E-2</v>
      </c>
      <c r="AD30" s="220">
        <v>-1.6154937347014026E-2</v>
      </c>
      <c r="AE30" s="220">
        <v>-1.6154937347014026E-2</v>
      </c>
      <c r="AF30" s="220">
        <v>-1.6154937347014026E-2</v>
      </c>
      <c r="AG30" s="220">
        <v>-1.6154937347014026E-2</v>
      </c>
      <c r="AH30" s="220">
        <v>-1.6154937347014026E-2</v>
      </c>
      <c r="AI30" s="220">
        <v>-1.6154937347014026E-2</v>
      </c>
      <c r="AJ30" s="220">
        <v>-1.6154937347014026E-2</v>
      </c>
      <c r="AK30" s="220">
        <v>-1.6154937347014026E-2</v>
      </c>
      <c r="AL30" s="220">
        <v>-1.6154937347014026E-2</v>
      </c>
      <c r="AM30" s="220">
        <v>-1.6154937347014026E-2</v>
      </c>
      <c r="AN30" s="220">
        <v>-1.6154937347014026E-2</v>
      </c>
      <c r="AO30" s="220">
        <v>-1.6154937347014026E-2</v>
      </c>
    </row>
    <row r="31" spans="1:41">
      <c r="A31" s="236" t="s">
        <v>141</v>
      </c>
      <c r="B31" s="231" t="s">
        <v>278</v>
      </c>
      <c r="C31" s="231"/>
      <c r="D31" s="220">
        <v>9.8330654239332047E-3</v>
      </c>
      <c r="E31" s="220">
        <v>1.8874329892564875E-2</v>
      </c>
      <c r="F31" s="220">
        <v>9.4950683309012723E-3</v>
      </c>
      <c r="G31" s="220">
        <v>9.4950683309012723E-3</v>
      </c>
      <c r="H31" s="220">
        <v>9.4950683309012723E-3</v>
      </c>
      <c r="I31" s="220">
        <v>9.4950683309012723E-3</v>
      </c>
      <c r="J31" s="220">
        <v>9.4950683309012723E-3</v>
      </c>
      <c r="K31" s="220">
        <v>9.4950683309012723E-3</v>
      </c>
      <c r="L31" s="220">
        <v>9.4950683309012723E-3</v>
      </c>
      <c r="M31" s="220">
        <v>9.4950683309012723E-3</v>
      </c>
      <c r="N31" s="220">
        <v>9.4950683309012723E-3</v>
      </c>
      <c r="O31" s="220">
        <v>9.4950683309012723E-3</v>
      </c>
      <c r="P31" s="220">
        <v>9.4950683309012723E-3</v>
      </c>
      <c r="Q31" s="220">
        <v>9.4950683309012723E-3</v>
      </c>
      <c r="R31" s="220">
        <v>9.4950683309012723E-3</v>
      </c>
      <c r="S31" s="220">
        <v>9.4950683309012723E-3</v>
      </c>
      <c r="T31" s="220">
        <v>9.4950683309012723E-3</v>
      </c>
      <c r="U31" s="220">
        <v>9.4950683309012723E-3</v>
      </c>
      <c r="V31" s="220">
        <v>9.4950683309012723E-3</v>
      </c>
      <c r="W31" s="220">
        <v>9.4950683309012723E-3</v>
      </c>
      <c r="X31" s="220">
        <v>9.4950683309012723E-3</v>
      </c>
      <c r="Y31" s="220">
        <v>9.4950683309012723E-3</v>
      </c>
      <c r="Z31" s="220">
        <v>9.4950683309012723E-3</v>
      </c>
      <c r="AA31" s="220">
        <v>9.4950683309012723E-3</v>
      </c>
      <c r="AB31" s="220">
        <v>9.4950683309012723E-3</v>
      </c>
      <c r="AC31" s="220">
        <v>9.4950683309012723E-3</v>
      </c>
      <c r="AD31" s="220">
        <v>9.4950683309012723E-3</v>
      </c>
      <c r="AE31" s="220">
        <v>9.4950683309012723E-3</v>
      </c>
      <c r="AF31" s="220">
        <v>9.4950683309012723E-3</v>
      </c>
      <c r="AG31" s="220">
        <v>9.4950683309012723E-3</v>
      </c>
      <c r="AH31" s="220">
        <v>9.4950683309012723E-3</v>
      </c>
      <c r="AI31" s="220">
        <v>9.4950683309012723E-3</v>
      </c>
      <c r="AJ31" s="220">
        <v>9.4950683309012723E-3</v>
      </c>
      <c r="AK31" s="220">
        <v>9.4950683309012723E-3</v>
      </c>
      <c r="AL31" s="220">
        <v>9.4950683309012723E-3</v>
      </c>
      <c r="AM31" s="220">
        <v>9.4950683309012723E-3</v>
      </c>
      <c r="AN31" s="220">
        <v>9.4950683309012723E-3</v>
      </c>
      <c r="AO31" s="220">
        <v>9.4950683309012723E-3</v>
      </c>
    </row>
    <row r="32" spans="1:41">
      <c r="A32" s="227" t="s">
        <v>282</v>
      </c>
      <c r="B32" s="231" t="s">
        <v>278</v>
      </c>
      <c r="C32" s="231"/>
      <c r="D32" s="220" t="e">
        <f>('Evolutive SFP'!C14-'Evolutive SFP'!#REF!)/'Evolutive SFP'!#REF!</f>
        <v>#REF!</v>
      </c>
      <c r="E32" s="220">
        <f>('Evolutive SFP'!D14-'Evolutive SFP'!C14)/'Evolutive SFP'!C14</f>
        <v>-4.5620209772807133E-2</v>
      </c>
      <c r="F32" s="220">
        <f>('Evolutive SFP'!E14-'Evolutive SFP'!D14)/'Evolutive SFP'!D14</f>
        <v>-1.634525159952423E-2</v>
      </c>
      <c r="G32" s="220">
        <f>('Evolutive SFP'!F14-'Evolutive SFP'!E14)/'Evolutive SFP'!E14</f>
        <v>9.59395856242495E-3</v>
      </c>
      <c r="H32" s="220">
        <f>('Evolutive SFP'!G14-'Evolutive SFP'!F14)/'Evolutive SFP'!F14</f>
        <v>3.9958117804238108E-3</v>
      </c>
      <c r="I32" s="220">
        <f>('Evolutive SFP'!H14-'Evolutive SFP'!G14)/'Evolutive SFP'!G14</f>
        <v>-1.6653279612537378E-2</v>
      </c>
      <c r="J32" s="220">
        <f>('Evolutive SFP'!I14-'Evolutive SFP'!H14)/'Evolutive SFP'!H14</f>
        <v>-2.0755305869650707E-2</v>
      </c>
      <c r="K32" s="220">
        <f>('Evolutive SFP'!J14-'Evolutive SFP'!I14)/'Evolutive SFP'!I14</f>
        <v>4.8402876541991255E-2</v>
      </c>
      <c r="L32" s="220">
        <f>('Evolutive SFP'!K14-'Evolutive SFP'!J14)/'Evolutive SFP'!J14</f>
        <v>-9.4561908800767577E-2</v>
      </c>
      <c r="M32" s="220">
        <f>('Evolutive SFP'!L14-'Evolutive SFP'!K14)/'Evolutive SFP'!K14</f>
        <v>4.4888028786324412E-3</v>
      </c>
      <c r="N32" s="220">
        <f>('Evolutive SFP'!M14-'Evolutive SFP'!L14)/'Evolutive SFP'!L14</f>
        <v>1.3359914004124302E-2</v>
      </c>
      <c r="O32" s="220">
        <f>('Evolutive SFP'!N14-'Evolutive SFP'!M14)/'Evolutive SFP'!M14</f>
        <v>-1.7517641220187997E-10</v>
      </c>
      <c r="P32" s="220">
        <f>('Evolutive SFP'!O14-'Evolutive SFP'!N14)/'Evolutive SFP'!N14</f>
        <v>-2.5484395179026292E-3</v>
      </c>
      <c r="Q32" s="220">
        <f>('Evolutive SFP'!P14-'Evolutive SFP'!O14)/'Evolutive SFP'!O14</f>
        <v>2.9928710005287643E-2</v>
      </c>
      <c r="R32" s="220">
        <f>('Evolutive SFP'!Q14-'Evolutive SFP'!P14)/'Evolutive SFP'!P14</f>
        <v>-1.3900893336477364E-2</v>
      </c>
      <c r="S32" s="220">
        <f>('Evolutive SFP'!R14-'Evolutive SFP'!Q14)/'Evolutive SFP'!Q14</f>
        <v>3.2922481111493818E-2</v>
      </c>
      <c r="T32" s="220">
        <f>('Evolutive SFP'!S14-'Evolutive SFP'!R14)/'Evolutive SFP'!R14</f>
        <v>9.5575402148601302E-2</v>
      </c>
      <c r="U32" s="220">
        <f>('Evolutive SFP'!T14-'Evolutive SFP'!S14)/'Evolutive SFP'!S14</f>
        <v>3.7321366242909916E-2</v>
      </c>
      <c r="V32" s="220">
        <f>('Evolutive SFP'!U14-'Evolutive SFP'!T14)/'Evolutive SFP'!T14</f>
        <v>4.4076196613595443E-2</v>
      </c>
      <c r="W32" s="220">
        <f>('Evolutive SFP'!V14-'Evolutive SFP'!U14)/'Evolutive SFP'!U14</f>
        <v>-1</v>
      </c>
      <c r="X32" s="220" t="e">
        <f>('Evolutive SFP'!W14-'Evolutive SFP'!V14)/'Evolutive SFP'!V14</f>
        <v>#DIV/0!</v>
      </c>
      <c r="Y32" s="220" t="e">
        <f>('Evolutive SFP'!X14-'Evolutive SFP'!W14)/'Evolutive SFP'!W14</f>
        <v>#DIV/0!</v>
      </c>
      <c r="Z32" s="220" t="e">
        <f>('Evolutive SFP'!Y14-'Evolutive SFP'!X14)/'Evolutive SFP'!X14</f>
        <v>#DIV/0!</v>
      </c>
      <c r="AA32" s="220" t="e">
        <f>('Evolutive SFP'!Z14-'Evolutive SFP'!Y14)/'Evolutive SFP'!Y14</f>
        <v>#DIV/0!</v>
      </c>
      <c r="AB32" s="220">
        <f>(Financials!AA30-Financials!O30)/Financials!AA30</f>
        <v>0.26242529868590525</v>
      </c>
      <c r="AC32" s="220">
        <f>(Financials!AB30-Financials!P30)/Financials!AB30</f>
        <v>0.28337146057791035</v>
      </c>
      <c r="AD32" s="220">
        <f>(Financials!AC30-Financials!Q30)/Financials!AC30</f>
        <v>0.26481336733803634</v>
      </c>
      <c r="AE32" s="220">
        <f>(Financials!AD30-Financials!R30)/Financials!AD30</f>
        <v>0.2081579224262208</v>
      </c>
      <c r="AF32" s="220">
        <f>(Financials!AE30-Financials!S30)/Financials!AE30</f>
        <v>0.1362773757510104</v>
      </c>
      <c r="AG32" s="220">
        <f>(Financials!AF30-Financials!T30)/Financials!AF30</f>
        <v>0.13457146547450588</v>
      </c>
      <c r="AH32" s="220">
        <f>(Financials!AG30-Financials!U30)/Financials!AG30</f>
        <v>4.6040232815224881E-2</v>
      </c>
      <c r="AI32" s="220">
        <f>(Financials!AH30-Financials!V30)/Financials!AH30</f>
        <v>1</v>
      </c>
      <c r="AJ32" s="220">
        <f>(Financials!AI30-Financials!W30)/Financials!AI30</f>
        <v>1</v>
      </c>
      <c r="AK32" s="220">
        <f>(Financials!AJ30-Financials!X30)/Financials!AJ30</f>
        <v>1</v>
      </c>
      <c r="AL32" s="220">
        <f>(Financials!AK30-Financials!Y30)/Financials!AK30</f>
        <v>1</v>
      </c>
      <c r="AM32" s="220">
        <f>(Financials!AL30-Financials!Z30)/Financials!AL30</f>
        <v>1</v>
      </c>
      <c r="AN32" s="220">
        <f>(Financials!AM30-Financials!AA30)/Financials!AM30</f>
        <v>6.73092401651448E-3</v>
      </c>
      <c r="AO32" s="220">
        <f>(Financials!AN30-Financials!AB30)/Financials!AN30</f>
        <v>-5.2897248618506532E-2</v>
      </c>
    </row>
    <row r="33" spans="1:41">
      <c r="A33" s="227" t="s">
        <v>144</v>
      </c>
      <c r="B33" s="231" t="s">
        <v>278</v>
      </c>
      <c r="C33" s="231"/>
      <c r="D33" s="220" t="e">
        <f>(Financials!C11-Financials!#REF!)/Financials!#REF!</f>
        <v>#REF!</v>
      </c>
      <c r="E33" s="220">
        <f>(Financials!D11-Financials!C11)/Financials!C11</f>
        <v>5.0212194163809828E-2</v>
      </c>
      <c r="F33" s="220">
        <f>(Financials!E11-Financials!D11)/Financials!D11</f>
        <v>-0.21103093231378017</v>
      </c>
      <c r="G33" s="220">
        <f>(Financials!F11-Financials!E11)/Financials!E11</f>
        <v>3.5892555264558347E-2</v>
      </c>
      <c r="H33" s="220">
        <f>(Financials!G11-Financials!F11)/Financials!F11</f>
        <v>3.2417886022521464E-2</v>
      </c>
      <c r="I33" s="220">
        <f>(Financials!H11-Financials!G11)/Financials!G11</f>
        <v>1.5529397873085039E-2</v>
      </c>
      <c r="J33" s="220">
        <f>(Financials!I11-Financials!H11)/Financials!H11</f>
        <v>2.6054810510425394E-2</v>
      </c>
      <c r="K33" s="220">
        <f>(Financials!J11-Financials!I11)/Financials!I11</f>
        <v>1.0356250584423595E-2</v>
      </c>
      <c r="L33" s="220">
        <f>(Financials!K11-Financials!J11)/Financials!J11</f>
        <v>0.11214765939886885</v>
      </c>
      <c r="M33" s="220">
        <f>(Financials!L11-Financials!K11)/Financials!K11</f>
        <v>1.0090736417690769E-2</v>
      </c>
      <c r="N33" s="220">
        <f>(Financials!M11-Financials!L11)/Financials!L11</f>
        <v>1.0470060440901775E-2</v>
      </c>
      <c r="O33" s="220">
        <f>(Financials!N11-Financials!M11)/Financials!M11</f>
        <v>-0.10844218256456221</v>
      </c>
      <c r="P33" s="220">
        <f>(Financials!O11-Financials!N11)/Financials!N11</f>
        <v>0.43546604598001171</v>
      </c>
      <c r="Q33" s="220">
        <f>(Financials!P11-Financials!O11)/Financials!O11</f>
        <v>-0.16743630503953041</v>
      </c>
      <c r="R33" s="220">
        <f>(Financials!Q11-Financials!P11)/Financials!P11</f>
        <v>2.0908772788586855E-2</v>
      </c>
      <c r="S33" s="220">
        <f>(Financials!R11-Financials!Q11)/Financials!Q11</f>
        <v>3.1839648881819428E-2</v>
      </c>
      <c r="T33" s="220">
        <f>(Financials!S11-Financials!R11)/Financials!R11</f>
        <v>1.5297665887973077E-2</v>
      </c>
      <c r="U33" s="220">
        <f>(Financials!T11-Financials!S11)/Financials!S11</f>
        <v>1.3483504608832794E-2</v>
      </c>
      <c r="V33" s="220">
        <f>(Financials!U11-Financials!T11)/Financials!T11</f>
        <v>1.7938742818136986E-2</v>
      </c>
      <c r="W33" s="220">
        <f>(Financials!V11-Financials!U11)/Financials!U11</f>
        <v>-1</v>
      </c>
      <c r="X33" s="220" t="e">
        <f>(Financials!W11-Financials!V11)/Financials!V11</f>
        <v>#DIV/0!</v>
      </c>
      <c r="Y33" s="220" t="e">
        <f>(Financials!X11-Financials!W11)/Financials!W11</f>
        <v>#DIV/0!</v>
      </c>
      <c r="Z33" s="220" t="e">
        <f>(Financials!Y11-Financials!X11)/Financials!X11</f>
        <v>#DIV/0!</v>
      </c>
      <c r="AA33" s="220" t="e">
        <f>(Financials!Z11-Financials!Y11)/Financials!Y11</f>
        <v>#DIV/0!</v>
      </c>
      <c r="AB33" s="220">
        <f>(Financials!AA11-Financials!O11)/Financials!AA11</f>
        <v>-0.13725176354271193</v>
      </c>
      <c r="AC33" s="220">
        <f>(Financials!AB11-Financials!P11)/Financials!AB11</f>
        <v>0.21799080833235829</v>
      </c>
      <c r="AD33" s="220">
        <f>(Financials!AC11-Financials!Q11)/Financials!AC11</f>
        <v>5.2235639334063555E-2</v>
      </c>
      <c r="AE33" s="220">
        <f>(Financials!AD11-Financials!R11)/Financials!AD11</f>
        <v>5.2830742226655909E-2</v>
      </c>
      <c r="AF33" s="220">
        <f>(Financials!AE11-Financials!S11)/Financials!AE11</f>
        <v>7.3053188175231917E-2</v>
      </c>
      <c r="AG33" s="220">
        <f>(Financials!AF11-Financials!T11)/Financials!AF11</f>
        <v>9.9032124419033654E-2</v>
      </c>
      <c r="AH33" s="220">
        <f>(Financials!AG11-Financials!U11)/Financials!AG11</f>
        <v>0.1160639925275937</v>
      </c>
      <c r="AI33" s="220">
        <f>(Financials!AH11-Financials!V11)/Financials!AH11</f>
        <v>1</v>
      </c>
      <c r="AJ33" s="220">
        <f>(Financials!AI11-Financials!W11)/Financials!AI11</f>
        <v>1</v>
      </c>
      <c r="AK33" s="220">
        <f>(Financials!AJ11-Financials!X11)/Financials!AJ11</f>
        <v>1</v>
      </c>
      <c r="AL33" s="220">
        <f>(Financials!AK11-Financials!Y11)/Financials!AK11</f>
        <v>1</v>
      </c>
      <c r="AM33" s="220">
        <f>(Financials!AL11-Financials!Z11)/Financials!AL11</f>
        <v>1</v>
      </c>
      <c r="AN33" s="220">
        <f>(Financials!AM11-Financials!AA11)/Financials!AM11</f>
        <v>0.25320197156218183</v>
      </c>
      <c r="AO33" s="220">
        <f>(Financials!AN11-Financials!AB11)/Financials!AN11</f>
        <v>-5.3719340951089357E-2</v>
      </c>
    </row>
    <row r="34" spans="1:41">
      <c r="A34" s="227" t="s">
        <v>283</v>
      </c>
      <c r="B34" s="231" t="s">
        <v>278</v>
      </c>
      <c r="C34" s="231"/>
      <c r="D34" s="220" t="e">
        <f>('Evolutitve SCI'!#REF!-'Evolutitve SCI'!#REF!)/'Evolutitve SCI'!#REF!</f>
        <v>#REF!</v>
      </c>
      <c r="E34" s="220" t="e">
        <f>('Evolutitve SCI'!C3-'Evolutitve SCI'!#REF!)/'Evolutitve SCI'!#REF!</f>
        <v>#REF!</v>
      </c>
      <c r="F34" s="220">
        <f>('Evolutitve SCI'!D3-'Evolutitve SCI'!C3)/'Evolutitve SCI'!C3</f>
        <v>0.40716119561350439</v>
      </c>
      <c r="G34" s="220">
        <f>('Evolutitve SCI'!E3-'Evolutitve SCI'!D3)/'Evolutitve SCI'!D3</f>
        <v>0.3353334062786778</v>
      </c>
      <c r="H34" s="220">
        <f>('Evolutitve SCI'!F3-'Evolutitve SCI'!E3)/'Evolutitve SCI'!E3</f>
        <v>0.22963164321286836</v>
      </c>
      <c r="I34" s="220">
        <f>('Evolutitve SCI'!G3-'Evolutitve SCI'!F3)/'Evolutitve SCI'!F3</f>
        <v>0.17952407047022015</v>
      </c>
      <c r="J34" s="220">
        <f>('Evolutitve SCI'!H3-'Evolutitve SCI'!G3)/'Evolutitve SCI'!G3</f>
        <v>0.28850202258072699</v>
      </c>
      <c r="K34" s="220">
        <f>('Evolutitve SCI'!I3-'Evolutitve SCI'!H3)/'Evolutitve SCI'!H3</f>
        <v>0.10059676122971604</v>
      </c>
      <c r="L34" s="220">
        <f>('Evolutitve SCI'!J3-'Evolutitve SCI'!I3)/'Evolutitve SCI'!I3</f>
        <v>0.19273016514296443</v>
      </c>
      <c r="M34" s="220">
        <f>('Evolutitve SCI'!K3-'Evolutitve SCI'!J3)/'Evolutitve SCI'!J3</f>
        <v>7.5185996845659825E-2</v>
      </c>
      <c r="N34" s="220">
        <f>('Evolutitve SCI'!L3-'Evolutitve SCI'!K3)/'Evolutitve SCI'!K3</f>
        <v>7.8935285240240974E-2</v>
      </c>
      <c r="O34" s="220">
        <f>('Evolutitve SCI'!M3-'Evolutitve SCI'!L3)/'Evolutitve SCI'!L3</f>
        <v>2.7214723448379087E-9</v>
      </c>
      <c r="P34" s="220">
        <f>('Evolutitve SCI'!N3-'Evolutitve SCI'!M3)/'Evolutitve SCI'!M3</f>
        <v>-0.91811461695461993</v>
      </c>
      <c r="Q34" s="220">
        <f>('Evolutitve SCI'!O3-'Evolutitve SCI'!N3)/'Evolutitve SCI'!N3</f>
        <v>0.92488096614595017</v>
      </c>
      <c r="R34" s="220">
        <f>('Evolutitve SCI'!P3-'Evolutitve SCI'!O3)/'Evolutitve SCI'!O3</f>
        <v>0.54319039600352814</v>
      </c>
      <c r="S34" s="220">
        <f>('Evolutitve SCI'!Q3-'Evolutitve SCI'!P3)/'Evolutitve SCI'!P3</f>
        <v>0.4070618148681332</v>
      </c>
      <c r="T34" s="220">
        <f>('Evolutitve SCI'!R3-'Evolutitve SCI'!Q3)/'Evolutitve SCI'!Q3</f>
        <v>0.21652419970642092</v>
      </c>
      <c r="U34" s="220">
        <f>('Evolutitve SCI'!S3-'Evolutitve SCI'!R3)/'Evolutitve SCI'!R3</f>
        <v>0.18019829678241073</v>
      </c>
      <c r="V34" s="220">
        <f>('Evolutitve SCI'!T3-'Evolutitve SCI'!S3)/'Evolutitve SCI'!S3</f>
        <v>0.16166869194075306</v>
      </c>
      <c r="W34" s="220">
        <f>('Evolutitve SCI'!U3-'Evolutitve SCI'!T3)/'Evolutitve SCI'!T3</f>
        <v>-1</v>
      </c>
      <c r="X34" s="220" t="e">
        <f>('Evolutitve SCI'!V3-'Evolutitve SCI'!U3)/'Evolutitve SCI'!U3</f>
        <v>#DIV/0!</v>
      </c>
      <c r="Y34" s="220" t="e">
        <f>('Evolutitve SCI'!W3-'Evolutitve SCI'!V3)/'Evolutitve SCI'!V3</f>
        <v>#DIV/0!</v>
      </c>
      <c r="Z34" s="220" t="e">
        <f>('Evolutitve SCI'!X3-'Evolutitve SCI'!W3)/'Evolutitve SCI'!W3</f>
        <v>#DIV/0!</v>
      </c>
      <c r="AA34" s="220" t="e">
        <f>('Evolutitve SCI'!Y3-'Evolutitve SCI'!X3)/'Evolutitve SCI'!X3</f>
        <v>#DIV/0!</v>
      </c>
      <c r="AB34" s="220">
        <f>(Financials!AA37-Financials!O37)/Financials!AA37</f>
        <v>0.93839183407274618</v>
      </c>
      <c r="AC34" s="220">
        <f>('Evolutitve SCI'!AA3-'Evolutitve SCI'!Z3)/'Evolutitve SCI'!Z3</f>
        <v>-0.9034968443988054</v>
      </c>
      <c r="AD34" s="220">
        <f>('Evolutitve SCI'!AB3-'Evolutitve SCI'!AA3)/'Evolutitve SCI'!AA3</f>
        <v>0.98301969259771849</v>
      </c>
      <c r="AE34" s="220">
        <f>('Evolutitve SCI'!AC3-'Evolutitve SCI'!AB3)/'Evolutitve SCI'!AB3</f>
        <v>0.54133069954017732</v>
      </c>
      <c r="AF34" s="220">
        <f>('Evolutitve SCI'!AD3-'Evolutitve SCI'!AC3)/'Evolutitve SCI'!AC3</f>
        <v>0.32436500980849553</v>
      </c>
      <c r="AG34" s="220">
        <f>('Evolutitve SCI'!AE3-'Evolutitve SCI'!AD3)/'Evolutitve SCI'!AD3</f>
        <v>0.274386188321466</v>
      </c>
      <c r="AH34" s="220">
        <f>('Evolutitve SCI'!AF3-'Evolutitve SCI'!AE3)/'Evolutitve SCI'!AE3</f>
        <v>0.20058417447402688</v>
      </c>
      <c r="AI34" s="220">
        <f>('Evolutitve SCI'!AG3-'Evolutitve SCI'!AF3)/'Evolutitve SCI'!AF3</f>
        <v>0.25501052840200689</v>
      </c>
      <c r="AJ34" s="220">
        <f>('Evolutitve SCI'!AH3-'Evolutitve SCI'!AG3)/'Evolutitve SCI'!AG3</f>
        <v>0.10194574472594575</v>
      </c>
      <c r="AK34" s="220">
        <f>('Evolutitve SCI'!AI3-'Evolutitve SCI'!AH3)/'Evolutitve SCI'!AH3</f>
        <v>9.492683849139881E-2</v>
      </c>
      <c r="AL34" s="220">
        <f>('Evolutitve SCI'!AJ3-'Evolutitve SCI'!AI3)/'Evolutitve SCI'!AI3</f>
        <v>7.9016686031647354E-2</v>
      </c>
      <c r="AM34" s="220">
        <f>('Evolutitve SCI'!AK3-'Evolutitve SCI'!AJ3)/'Evolutitve SCI'!AJ3</f>
        <v>7.8189847818858862E-2</v>
      </c>
      <c r="AN34" s="220">
        <f>('Evolutitve SCI'!AL3-'Evolutitve SCI'!AK3)/'Evolutitve SCI'!AK3</f>
        <v>9.2324357635228463E-2</v>
      </c>
      <c r="AO34" s="220">
        <f>('Evolutitve SCI'!AM3-'Evolutitve SCI'!AL3)/'Evolutitve SCI'!AL3</f>
        <v>-2.2008413070762059E-3</v>
      </c>
    </row>
    <row r="35" spans="1:41">
      <c r="A35" s="227" t="s">
        <v>146</v>
      </c>
      <c r="B35" s="231" t="s">
        <v>278</v>
      </c>
      <c r="C35" s="231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</row>
    <row r="36" spans="1:41" hidden="1">
      <c r="A36" s="238" t="s">
        <v>148</v>
      </c>
      <c r="B36" s="226"/>
      <c r="C36" s="227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/>
    </row>
    <row r="37" spans="1:41" hidden="1">
      <c r="A37" s="227" t="s">
        <v>284</v>
      </c>
      <c r="B37" s="231" t="s">
        <v>278</v>
      </c>
      <c r="C37" s="227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0"/>
      <c r="AO37" s="240"/>
    </row>
    <row r="38" spans="1:41" hidden="1">
      <c r="A38" s="227" t="s">
        <v>285</v>
      </c>
      <c r="B38" s="231" t="s">
        <v>278</v>
      </c>
      <c r="C38" s="227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</row>
    <row r="39" spans="1:41" hidden="1">
      <c r="A39" s="227" t="s">
        <v>286</v>
      </c>
      <c r="B39" s="231" t="s">
        <v>278</v>
      </c>
      <c r="C39" s="227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</row>
    <row r="40" spans="1:41" hidden="1">
      <c r="A40" s="227" t="s">
        <v>152</v>
      </c>
      <c r="B40" s="231" t="s">
        <v>278</v>
      </c>
      <c r="C40" s="227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240"/>
      <c r="AI40" s="240"/>
      <c r="AJ40" s="240"/>
      <c r="AK40" s="240"/>
      <c r="AL40" s="240"/>
      <c r="AM40" s="240"/>
      <c r="AN40" s="240"/>
      <c r="AO40" s="240"/>
    </row>
    <row r="41" spans="1:41" hidden="1">
      <c r="A41" s="227" t="s">
        <v>154</v>
      </c>
      <c r="B41" s="231" t="s">
        <v>278</v>
      </c>
      <c r="C41" s="227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</row>
    <row r="42" spans="1:41">
      <c r="A42" s="238" t="s">
        <v>287</v>
      </c>
      <c r="B42" s="226"/>
      <c r="C42" s="227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</row>
    <row r="43" spans="1:41">
      <c r="A43" s="227" t="s">
        <v>288</v>
      </c>
      <c r="B43" s="218">
        <v>0.15</v>
      </c>
      <c r="C43" s="219">
        <v>13.2</v>
      </c>
      <c r="D43" s="220">
        <f>('Evolutive SFP'!C4+'Evolutive SFP'!C11)/('Evolutive SFP'!C28+'Evolutive SFP'!C29+'Evolutive SFP'!C32+'Evolutive SFP'!C33+'Evolutive SFP'!C34+'Evolutive SFP'!C35+'Evolutive SFP'!C36)</f>
        <v>0.66711125064830101</v>
      </c>
      <c r="E43" s="220">
        <f>('Evolutive SFP'!D4+'Evolutive SFP'!D11)/('Evolutive SFP'!D28+'Evolutive SFP'!D29+'Evolutive SFP'!D32+'Evolutive SFP'!D33+'Evolutive SFP'!D34+'Evolutive SFP'!D35+'Evolutive SFP'!D36)</f>
        <v>0.65647430738658885</v>
      </c>
      <c r="F43" s="220">
        <f>('Evolutive SFP'!E4+'Evolutive SFP'!E11)/('Evolutive SFP'!E28+'Evolutive SFP'!E29+'Evolutive SFP'!E32+'Evolutive SFP'!E33+'Evolutive SFP'!E34+'Evolutive SFP'!E35+'Evolutive SFP'!E36)</f>
        <v>0.62443451368916492</v>
      </c>
      <c r="G43" s="220">
        <f>('Evolutive SFP'!F4+'Evolutive SFP'!F11)/('Evolutive SFP'!F28+'Evolutive SFP'!F29+'Evolutive SFP'!F32+'Evolutive SFP'!F33+'Evolutive SFP'!F34+'Evolutive SFP'!F35+'Evolutive SFP'!F36)</f>
        <v>0.65301010169135443</v>
      </c>
      <c r="H43" s="220">
        <f>('Evolutive SFP'!G4+'Evolutive SFP'!G11)/('Evolutive SFP'!G28+'Evolutive SFP'!G29+'Evolutive SFP'!G32+'Evolutive SFP'!G33+'Evolutive SFP'!G34+'Evolutive SFP'!G35+'Evolutive SFP'!G36)</f>
        <v>0.65388235603086198</v>
      </c>
      <c r="I43" s="220">
        <f>('Evolutive SFP'!H4+'Evolutive SFP'!H11)/('Evolutive SFP'!H28+'Evolutive SFP'!H29+'Evolutive SFP'!H32+'Evolutive SFP'!H33+'Evolutive SFP'!H34+'Evolutive SFP'!H35+'Evolutive SFP'!H36)</f>
        <v>0.66510140266882312</v>
      </c>
      <c r="J43" s="220">
        <f>('Evolutive SFP'!I4+'Evolutive SFP'!I11)/('Evolutive SFP'!I28+'Evolutive SFP'!I29+'Evolutive SFP'!I32+'Evolutive SFP'!I33+'Evolutive SFP'!I34+'Evolutive SFP'!I35+'Evolutive SFP'!I36)</f>
        <v>0.60743404878310236</v>
      </c>
      <c r="K43" s="220">
        <f>('Evolutive SFP'!J4+'Evolutive SFP'!J11)/('Evolutive SFP'!J28+'Evolutive SFP'!J29+'Evolutive SFP'!J32+'Evolutive SFP'!J33+'Evolutive SFP'!J34+'Evolutive SFP'!J35+'Evolutive SFP'!J36)</f>
        <v>0.60897671422853927</v>
      </c>
      <c r="L43" s="220">
        <f>('Evolutive SFP'!K4+'Evolutive SFP'!K11)/('Evolutive SFP'!K28+'Evolutive SFP'!K29+'Evolutive SFP'!K32+'Evolutive SFP'!K33+'Evolutive SFP'!K34+'Evolutive SFP'!K35+'Evolutive SFP'!K36)</f>
        <v>0.8524978042389757</v>
      </c>
      <c r="M43" s="220">
        <f>('Evolutive SFP'!L4+'Evolutive SFP'!L11)/('Evolutive SFP'!L28+'Evolutive SFP'!L29+'Evolutive SFP'!L32+'Evolutive SFP'!L33+'Evolutive SFP'!L34+'Evolutive SFP'!L35+'Evolutive SFP'!L36)</f>
        <v>0.78793984769749215</v>
      </c>
      <c r="N43" s="220">
        <f>('Evolutive SFP'!M4+'Evolutive SFP'!M11)/('Evolutive SFP'!M28+'Evolutive SFP'!M29+'Evolutive SFP'!M32+'Evolutive SFP'!M33+'Evolutive SFP'!M34+'Evolutive SFP'!M35+'Evolutive SFP'!M36)</f>
        <v>0.72725341524646425</v>
      </c>
      <c r="O43" s="220">
        <f>('Evolutive SFP'!N4+'Evolutive SFP'!N11)/('Evolutive SFP'!N28+'Evolutive SFP'!N29+'Evolutive SFP'!N32+'Evolutive SFP'!N33+'Evolutive SFP'!N34+'Evolutive SFP'!N35+'Evolutive SFP'!N36)</f>
        <v>0.68194099091182026</v>
      </c>
      <c r="P43" s="220">
        <f>('Evolutive SFP'!O4+'Evolutive SFP'!O11)/('Evolutive SFP'!O28+'Evolutive SFP'!O29+'Evolutive SFP'!O32+'Evolutive SFP'!O33+'Evolutive SFP'!O34+'Evolutive SFP'!O35+'Evolutive SFP'!O36)</f>
        <v>0.72031436594740572</v>
      </c>
      <c r="Q43" s="220">
        <f>('Evolutive SFP'!P4+'Evolutive SFP'!P11)/('Evolutive SFP'!P28+'Evolutive SFP'!P29+'Evolutive SFP'!P32+'Evolutive SFP'!P33+'Evolutive SFP'!P34+'Evolutive SFP'!P35+'Evolutive SFP'!P36)</f>
        <v>0.71627242237896793</v>
      </c>
      <c r="R43" s="220">
        <f>('Evolutive SFP'!Q4+'Evolutive SFP'!Q11)/('Evolutive SFP'!Q28+'Evolutive SFP'!Q29+'Evolutive SFP'!Q32+'Evolutive SFP'!Q33+'Evolutive SFP'!Q34+'Evolutive SFP'!Q35+'Evolutive SFP'!Q36)</f>
        <v>0.65584595614220031</v>
      </c>
      <c r="S43" s="220">
        <f>('Evolutive SFP'!R4+'Evolutive SFP'!R11)/('Evolutive SFP'!R28+'Evolutive SFP'!R29+'Evolutive SFP'!R32+'Evolutive SFP'!R33+'Evolutive SFP'!R34+'Evolutive SFP'!R35+'Evolutive SFP'!R36)</f>
        <v>0.72388839839615204</v>
      </c>
      <c r="T43" s="220">
        <f>('Evolutive SFP'!S4+'Evolutive SFP'!S11)/('Evolutive SFP'!S28+'Evolutive SFP'!S29+'Evolutive SFP'!S32+'Evolutive SFP'!S33+'Evolutive SFP'!S34+'Evolutive SFP'!S35+'Evolutive SFP'!S36)</f>
        <v>0.59806607687487678</v>
      </c>
      <c r="U43" s="220">
        <f>('Evolutive SFP'!T4+'Evolutive SFP'!T11)/('Evolutive SFP'!T28+'Evolutive SFP'!T29+'Evolutive SFP'!T32+'Evolutive SFP'!T33+'Evolutive SFP'!T34+'Evolutive SFP'!T35+'Evolutive SFP'!T36)</f>
        <v>0.57100135202374092</v>
      </c>
      <c r="V43" s="220">
        <f>('Evolutive SFP'!U4+'Evolutive SFP'!U11)/('Evolutive SFP'!U28+'Evolutive SFP'!U29+'Evolutive SFP'!U32+'Evolutive SFP'!U33+'Evolutive SFP'!U34+'Evolutive SFP'!U35+'Evolutive SFP'!U36)</f>
        <v>0.54142663123395374</v>
      </c>
      <c r="W43" s="220" t="e">
        <f>('Evolutive SFP'!V4+'Evolutive SFP'!V11)/('Evolutive SFP'!V28+'Evolutive SFP'!V29+'Evolutive SFP'!V32+'Evolutive SFP'!V33+'Evolutive SFP'!V34+'Evolutive SFP'!V35+'Evolutive SFP'!V36)</f>
        <v>#DIV/0!</v>
      </c>
      <c r="X43" s="220" t="e">
        <f>('Evolutive SFP'!W4+'Evolutive SFP'!W11)/('Evolutive SFP'!W28+'Evolutive SFP'!W29+'Evolutive SFP'!W32+'Evolutive SFP'!W33+'Evolutive SFP'!W34+'Evolutive SFP'!W35+'Evolutive SFP'!W36)</f>
        <v>#DIV/0!</v>
      </c>
      <c r="Y43" s="220" t="e">
        <f>('Evolutive SFP'!X4+'Evolutive SFP'!X11)/('Evolutive SFP'!X28+'Evolutive SFP'!X29+'Evolutive SFP'!X32+'Evolutive SFP'!X33+'Evolutive SFP'!X34+'Evolutive SFP'!X35+'Evolutive SFP'!X36)</f>
        <v>#DIV/0!</v>
      </c>
      <c r="Z43" s="220" t="e">
        <f>('Evolutive SFP'!Y4+'Evolutive SFP'!Y11)/('Evolutive SFP'!Y28+'Evolutive SFP'!Y29+'Evolutive SFP'!Y32+'Evolutive SFP'!Y33+'Evolutive SFP'!Y34+'Evolutive SFP'!Y35+'Evolutive SFP'!Y36)</f>
        <v>#DIV/0!</v>
      </c>
      <c r="AA43" s="220" t="e">
        <f>('Evolutive SFP'!Z4+'Evolutive SFP'!Z11)/('Evolutive SFP'!Z28+'Evolutive SFP'!Z29+'Evolutive SFP'!Z32+'Evolutive SFP'!Z33+'Evolutive SFP'!Z34+'Evolutive SFP'!Z35+'Evolutive SFP'!Z36)</f>
        <v>#DIV/0!</v>
      </c>
      <c r="AB43" s="220">
        <f>('Evolutive SFP'!AA4+'Evolutive SFP'!AA11)/('Evolutive SFP'!AA28+'Evolutive SFP'!AA29+'Evolutive SFP'!AA32+'Evolutive SFP'!AA33+'Evolutive SFP'!AA34+'Evolutive SFP'!AA35+'Evolutive SFP'!AA36)</f>
        <v>0.43868088413315565</v>
      </c>
      <c r="AC43" s="220">
        <f>('Evolutive SFP'!AB4+'Evolutive SFP'!AB11)/('Evolutive SFP'!AB28+'Evolutive SFP'!AB29+'Evolutive SFP'!AB32+'Evolutive SFP'!AB33+'Evolutive SFP'!AB34+'Evolutive SFP'!AB35+'Evolutive SFP'!AB36)</f>
        <v>0.44599816740225912</v>
      </c>
      <c r="AD43" s="220">
        <f>('Evolutive SFP'!AC4+'Evolutive SFP'!AC11)/('Evolutive SFP'!AC28+'Evolutive SFP'!AC29+'Evolutive SFP'!AC32+'Evolutive SFP'!AC33+'Evolutive SFP'!AC34+'Evolutive SFP'!AC35+'Evolutive SFP'!AC36)</f>
        <v>0.446441203722034</v>
      </c>
      <c r="AE43" s="220">
        <f>('Evolutive SFP'!AD4+'Evolutive SFP'!AD11)/('Evolutive SFP'!AD28+'Evolutive SFP'!AD29+'Evolutive SFP'!AD32+'Evolutive SFP'!AD33+'Evolutive SFP'!AD34+'Evolutive SFP'!AD35+'Evolutive SFP'!AD36)</f>
        <v>0.43858789926877045</v>
      </c>
      <c r="AF43" s="220">
        <f>('Evolutive SFP'!AE4+'Evolutive SFP'!AE11)/('Evolutive SFP'!AE28+'Evolutive SFP'!AE29+'Evolutive SFP'!AE32+'Evolutive SFP'!AE33+'Evolutive SFP'!AE34+'Evolutive SFP'!AE35+'Evolutive SFP'!AE36)</f>
        <v>0.45500038454334329</v>
      </c>
      <c r="AG43" s="220">
        <f>('Evolutive SFP'!AF4+'Evolutive SFP'!AF11)/('Evolutive SFP'!AF28+'Evolutive SFP'!AF29+'Evolutive SFP'!AF32+'Evolutive SFP'!AF33+'Evolutive SFP'!AF34+'Evolutive SFP'!AF35+'Evolutive SFP'!AF36)</f>
        <v>0.43930510149956142</v>
      </c>
      <c r="AH43" s="220">
        <f>('Evolutive SFP'!AG4+'Evolutive SFP'!AG11)/('Evolutive SFP'!AG28+'Evolutive SFP'!AG29+'Evolutive SFP'!AG32+'Evolutive SFP'!AG33+'Evolutive SFP'!AG34+'Evolutive SFP'!AG35+'Evolutive SFP'!AG36)</f>
        <v>0.49312997603665926</v>
      </c>
      <c r="AI43" s="220">
        <f>('Evolutive SFP'!AH4+'Evolutive SFP'!AH11)/('Evolutive SFP'!AH28+'Evolutive SFP'!AH29+'Evolutive SFP'!AH32+'Evolutive SFP'!AH33+'Evolutive SFP'!AH34+'Evolutive SFP'!AH35+'Evolutive SFP'!AH36)</f>
        <v>0.73160216660047306</v>
      </c>
      <c r="AJ43" s="220">
        <f>('Evolutive SFP'!AI4+'Evolutive SFP'!AI11)/('Evolutive SFP'!AI28+'Evolutive SFP'!AI29+'Evolutive SFP'!AI32+'Evolutive SFP'!AI33+'Evolutive SFP'!AI34+'Evolutive SFP'!AI35+'Evolutive SFP'!AI36)</f>
        <v>0.6771283192556532</v>
      </c>
      <c r="AK43" s="220">
        <f>('Evolutive SFP'!AJ4+'Evolutive SFP'!AJ11)/('Evolutive SFP'!AJ28+'Evolutive SFP'!AJ29+'Evolutive SFP'!AJ32+'Evolutive SFP'!AJ33+'Evolutive SFP'!AJ34+'Evolutive SFP'!AJ35+'Evolutive SFP'!AJ36)</f>
        <v>0.63184731166748787</v>
      </c>
      <c r="AL43" s="220">
        <f>('Evolutive SFP'!AK4+'Evolutive SFP'!AK11)/('Evolutive SFP'!AK28+'Evolutive SFP'!AK29+'Evolutive SFP'!AK32+'Evolutive SFP'!AK33+'Evolutive SFP'!AK34+'Evolutive SFP'!AK35+'Evolutive SFP'!AK36)</f>
        <v>0.63746843636485018</v>
      </c>
      <c r="AM43" s="220">
        <f>('Evolutive SFP'!AL4+'Evolutive SFP'!AL11)/('Evolutive SFP'!AL28+'Evolutive SFP'!AL29+'Evolutive SFP'!AL32+'Evolutive SFP'!AL33+'Evolutive SFP'!AL34+'Evolutive SFP'!AL35+'Evolutive SFP'!AL36)</f>
        <v>0.62225764435419761</v>
      </c>
      <c r="AN43" s="220">
        <f>('Evolutive SFP'!AM4+'Evolutive SFP'!AM11)/('Evolutive SFP'!AM28+'Evolutive SFP'!AM29+'Evolutive SFP'!AM32+'Evolutive SFP'!AM33+'Evolutive SFP'!AM34+'Evolutive SFP'!AM35+'Evolutive SFP'!AM36)</f>
        <v>0.58807940835452543</v>
      </c>
      <c r="AO43" s="220">
        <f>('Evolutive SFP'!AN4+'Evolutive SFP'!AN11)/('Evolutive SFP'!AN28+'Evolutive SFP'!AN29+'Evolutive SFP'!AN32+'Evolutive SFP'!AN33+'Evolutive SFP'!AN34+'Evolutive SFP'!AN35+'Evolutive SFP'!AN36)</f>
        <v>0.55167650179203676</v>
      </c>
    </row>
    <row r="44" spans="1:41">
      <c r="A44" s="238" t="s">
        <v>289</v>
      </c>
      <c r="B44" s="226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</row>
    <row r="45" spans="1:41">
      <c r="A45" s="227" t="s">
        <v>290</v>
      </c>
      <c r="B45" s="218">
        <v>1</v>
      </c>
      <c r="C45" s="219">
        <v>44.1</v>
      </c>
      <c r="D45" s="219">
        <v>45.1</v>
      </c>
      <c r="E45" s="219">
        <v>46.1</v>
      </c>
      <c r="F45" s="219">
        <v>47.1</v>
      </c>
      <c r="G45" s="219">
        <v>48.1</v>
      </c>
      <c r="H45" s="219">
        <v>49.1</v>
      </c>
      <c r="I45" s="219">
        <v>50.1</v>
      </c>
      <c r="J45" s="219">
        <v>51.1</v>
      </c>
      <c r="K45" s="219">
        <v>52.1</v>
      </c>
      <c r="L45" s="219">
        <v>53.1</v>
      </c>
      <c r="M45" s="219">
        <v>54.1</v>
      </c>
      <c r="N45" s="219">
        <v>55.1</v>
      </c>
      <c r="O45" s="219">
        <v>56.1</v>
      </c>
      <c r="P45" s="219">
        <v>57.1</v>
      </c>
      <c r="Q45" s="219">
        <v>58.1</v>
      </c>
      <c r="R45" s="219">
        <v>59.1</v>
      </c>
      <c r="S45" s="219">
        <v>60.1</v>
      </c>
      <c r="T45" s="219">
        <v>61.1</v>
      </c>
      <c r="U45" s="219">
        <v>62.1</v>
      </c>
      <c r="V45" s="219">
        <v>63.1</v>
      </c>
      <c r="W45" s="219">
        <v>64.099999999999994</v>
      </c>
      <c r="X45" s="219">
        <v>65.099999999999994</v>
      </c>
      <c r="Y45" s="219">
        <v>66.099999999999994</v>
      </c>
      <c r="Z45" s="219">
        <v>67.099999999999994</v>
      </c>
      <c r="AA45" s="219">
        <v>68.099999999999994</v>
      </c>
      <c r="AB45" s="219">
        <v>69.099999999999994</v>
      </c>
      <c r="AC45" s="219">
        <v>70.099999999999994</v>
      </c>
      <c r="AD45" s="219">
        <v>71.099999999999994</v>
      </c>
      <c r="AE45" s="219">
        <v>72.099999999999994</v>
      </c>
      <c r="AF45" s="219">
        <v>73.099999999999994</v>
      </c>
      <c r="AG45" s="219">
        <v>74.099999999999994</v>
      </c>
      <c r="AH45" s="219">
        <v>75.099999999999994</v>
      </c>
      <c r="AI45" s="219">
        <v>76.099999999999994</v>
      </c>
      <c r="AJ45" s="219">
        <v>77.099999999999994</v>
      </c>
      <c r="AK45" s="219">
        <v>78.099999999999994</v>
      </c>
      <c r="AL45" s="219">
        <v>79.099999999999994</v>
      </c>
      <c r="AM45" s="219">
        <v>80.099999999999994</v>
      </c>
      <c r="AN45" s="219">
        <v>81.099999999999994</v>
      </c>
      <c r="AO45" s="219">
        <v>82.1</v>
      </c>
    </row>
    <row r="46" spans="1:41">
      <c r="A46" s="221"/>
    </row>
    <row r="48" spans="1:41">
      <c r="A48" s="216" t="s">
        <v>291</v>
      </c>
      <c r="D48" s="222">
        <f>('Evolutive SFP'!C4+'Evolutive SFP'!D11)/('Evolutive SFP'!C28+'Evolutive SFP'!C29+'Evolutive SFP'!C32+'Evolutive SFP'!C33+'Evolutive SFP'!C34+'Evolutive SFP'!C35+'Evolutive SFP'!C36)</f>
        <v>0.66711125064830101</v>
      </c>
      <c r="E48" s="222">
        <f>('Evolutive SFP'!D4+'Evolutive SFP'!E11)/('Evolutive SFP'!D28+'Evolutive SFP'!D29+'Evolutive SFP'!D32+'Evolutive SFP'!D33+'Evolutive SFP'!D34+'Evolutive SFP'!D35+'Evolutive SFP'!D36)</f>
        <v>0.65647430738658885</v>
      </c>
      <c r="F48" s="222">
        <f>('Evolutive SFP'!E4+'Evolutive SFP'!F11)/('Evolutive SFP'!E28+'Evolutive SFP'!E29+'Evolutive SFP'!E32+'Evolutive SFP'!E33+'Evolutive SFP'!E34+'Evolutive SFP'!E35+'Evolutive SFP'!E36)</f>
        <v>0.62443451368916492</v>
      </c>
      <c r="G48" s="222">
        <f>('Evolutive SFP'!F4+'Evolutive SFP'!G11)/('Evolutive SFP'!F28+'Evolutive SFP'!F29+'Evolutive SFP'!F32+'Evolutive SFP'!F33+'Evolutive SFP'!F34+'Evolutive SFP'!F35+'Evolutive SFP'!F36)</f>
        <v>0.65301010169135443</v>
      </c>
      <c r="H48" s="222">
        <f>('Evolutive SFP'!G4+'Evolutive SFP'!H11)/('Evolutive SFP'!G28+'Evolutive SFP'!G29+'Evolutive SFP'!G32+'Evolutive SFP'!G33+'Evolutive SFP'!G34+'Evolutive SFP'!G35+'Evolutive SFP'!G36)</f>
        <v>0.65388235603086198</v>
      </c>
      <c r="I48" s="222">
        <f>('Evolutive SFP'!H4+'Evolutive SFP'!I11)/('Evolutive SFP'!H28+'Evolutive SFP'!H29+'Evolutive SFP'!H32+'Evolutive SFP'!H33+'Evolutive SFP'!H34+'Evolutive SFP'!H35+'Evolutive SFP'!H36)</f>
        <v>0.66510140266882312</v>
      </c>
      <c r="J48" s="222">
        <f>('Evolutive SFP'!I4+'Evolutive SFP'!J11)/('Evolutive SFP'!I28+'Evolutive SFP'!I29+'Evolutive SFP'!I32+'Evolutive SFP'!I33+'Evolutive SFP'!I34+'Evolutive SFP'!I35+'Evolutive SFP'!I36)</f>
        <v>0.60743404878310236</v>
      </c>
      <c r="K48" s="222">
        <f>('Evolutive SFP'!J4+'Evolutive SFP'!K11)/('Evolutive SFP'!J28+'Evolutive SFP'!J29+'Evolutive SFP'!J32+'Evolutive SFP'!J33+'Evolutive SFP'!J34+'Evolutive SFP'!J35+'Evolutive SFP'!J36)</f>
        <v>0.60897671422853927</v>
      </c>
      <c r="L48" s="222">
        <f>('Evolutive SFP'!K4+'Evolutive SFP'!L11)/('Evolutive SFP'!K28+'Evolutive SFP'!K29+'Evolutive SFP'!K32+'Evolutive SFP'!K33+'Evolutive SFP'!K34+'Evolutive SFP'!K35+'Evolutive SFP'!K36)</f>
        <v>0.8524978042389757</v>
      </c>
      <c r="M48" s="222">
        <f>('Evolutive SFP'!L4+'Evolutive SFP'!M11)/('Evolutive SFP'!L28+'Evolutive SFP'!L29+'Evolutive SFP'!L32+'Evolutive SFP'!L33+'Evolutive SFP'!L34+'Evolutive SFP'!L35+'Evolutive SFP'!L36)</f>
        <v>0.78793984769749215</v>
      </c>
      <c r="N48" s="222">
        <f>('Evolutive SFP'!M4+'Evolutive SFP'!N11)/('Evolutive SFP'!M28+'Evolutive SFP'!M29+'Evolutive SFP'!M32+'Evolutive SFP'!M33+'Evolutive SFP'!M34+'Evolutive SFP'!M35+'Evolutive SFP'!M36)</f>
        <v>0.72725341524646425</v>
      </c>
      <c r="O48" s="222">
        <f>('Evolutive SFP'!N4+'Evolutive SFP'!O11)/('Evolutive SFP'!N28+'Evolutive SFP'!N29+'Evolutive SFP'!N32+'Evolutive SFP'!N33+'Evolutive SFP'!N34+'Evolutive SFP'!N35+'Evolutive SFP'!N36)</f>
        <v>0.68194099091182026</v>
      </c>
      <c r="P48" s="222">
        <f>('Evolutive SFP'!O4+'Evolutive SFP'!P11)/('Evolutive SFP'!O28+'Evolutive SFP'!O29+'Evolutive SFP'!O32+'Evolutive SFP'!O33+'Evolutive SFP'!O34+'Evolutive SFP'!O35+'Evolutive SFP'!O36)</f>
        <v>0.72031436594740572</v>
      </c>
      <c r="Q48" s="222">
        <f>('Evolutive SFP'!P4+'Evolutive SFP'!Q11)/('Evolutive SFP'!P28+'Evolutive SFP'!P29+'Evolutive SFP'!P32+'Evolutive SFP'!P33+'Evolutive SFP'!P34+'Evolutive SFP'!P35+'Evolutive SFP'!P36)</f>
        <v>0.71627242237896793</v>
      </c>
      <c r="R48" s="222">
        <f>('Evolutive SFP'!Q4+'Evolutive SFP'!R11)/('Evolutive SFP'!Q28+'Evolutive SFP'!Q29+'Evolutive SFP'!Q32+'Evolutive SFP'!Q33+'Evolutive SFP'!Q34+'Evolutive SFP'!Q35+'Evolutive SFP'!Q36)</f>
        <v>0.65584595614220031</v>
      </c>
      <c r="S48" s="222">
        <f>('Evolutive SFP'!R4+'Evolutive SFP'!S11)/('Evolutive SFP'!R28+'Evolutive SFP'!R29+'Evolutive SFP'!R32+'Evolutive SFP'!R33+'Evolutive SFP'!R34+'Evolutive SFP'!R35+'Evolutive SFP'!R36)</f>
        <v>0.72388839839615204</v>
      </c>
      <c r="T48" s="222">
        <f>('Evolutive SFP'!S4+'Evolutive SFP'!T11)/('Evolutive SFP'!S28+'Evolutive SFP'!S29+'Evolutive SFP'!S32+'Evolutive SFP'!S33+'Evolutive SFP'!S34+'Evolutive SFP'!S35+'Evolutive SFP'!S36)</f>
        <v>0.59806607687487678</v>
      </c>
      <c r="U48" s="222">
        <f>('Evolutive SFP'!T4+'Evolutive SFP'!U11)/('Evolutive SFP'!T28+'Evolutive SFP'!T29+'Evolutive SFP'!T32+'Evolutive SFP'!T33+'Evolutive SFP'!T34+'Evolutive SFP'!T35+'Evolutive SFP'!T36)</f>
        <v>0.57100135202374092</v>
      </c>
      <c r="V48" s="222">
        <f>('Evolutive SFP'!U4+'Evolutive SFP'!V11)/('Evolutive SFP'!U28+'Evolutive SFP'!U29+'Evolutive SFP'!U32+'Evolutive SFP'!U33+'Evolutive SFP'!U34+'Evolutive SFP'!U35+'Evolutive SFP'!U36)</f>
        <v>0.54142663123395374</v>
      </c>
      <c r="W48" s="222" t="e">
        <f>('Evolutive SFP'!V4+'Evolutive SFP'!W11)/('Evolutive SFP'!V28+'Evolutive SFP'!V29+'Evolutive SFP'!V32+'Evolutive SFP'!V33+'Evolutive SFP'!V34+'Evolutive SFP'!V35+'Evolutive SFP'!V36)</f>
        <v>#DIV/0!</v>
      </c>
      <c r="X48" s="222" t="e">
        <f>('Evolutive SFP'!W4+'Evolutive SFP'!X11)/('Evolutive SFP'!W28+'Evolutive SFP'!W29+'Evolutive SFP'!W32+'Evolutive SFP'!W33+'Evolutive SFP'!W34+'Evolutive SFP'!W35+'Evolutive SFP'!W36)</f>
        <v>#DIV/0!</v>
      </c>
      <c r="Y48" s="222" t="e">
        <f>('Evolutive SFP'!X4+'Evolutive SFP'!Y11)/('Evolutive SFP'!X28+'Evolutive SFP'!X29+'Evolutive SFP'!X32+'Evolutive SFP'!X33+'Evolutive SFP'!X34+'Evolutive SFP'!X35+'Evolutive SFP'!X36)</f>
        <v>#DIV/0!</v>
      </c>
      <c r="Z48" s="222" t="e">
        <f>('Evolutive SFP'!Y4+'Evolutive SFP'!Z11)/('Evolutive SFP'!Y28+'Evolutive SFP'!Y29+'Evolutive SFP'!Y32+'Evolutive SFP'!Y33+'Evolutive SFP'!Y34+'Evolutive SFP'!Y35+'Evolutive SFP'!Y36)</f>
        <v>#DIV/0!</v>
      </c>
      <c r="AA48" s="222" t="e">
        <f>('Evolutive SFP'!Z4+'Evolutive SFP'!AA11)/('Evolutive SFP'!Z28+'Evolutive SFP'!Z29+'Evolutive SFP'!Z32+'Evolutive SFP'!Z33+'Evolutive SFP'!Z34+'Evolutive SFP'!Z35+'Evolutive SFP'!Z36)</f>
        <v>#DIV/0!</v>
      </c>
      <c r="AB48" s="222">
        <f>('Evolutive SFP'!AA4+'Evolutive SFP'!AB11)/('Evolutive SFP'!AA28+'Evolutive SFP'!AA29+'Evolutive SFP'!AA32+'Evolutive SFP'!AA33+'Evolutive SFP'!AA34+'Evolutive SFP'!AA35+'Evolutive SFP'!AA36)</f>
        <v>0.43868088413315565</v>
      </c>
    </row>
    <row r="49" spans="1:28">
      <c r="A49" s="216" t="s">
        <v>292</v>
      </c>
      <c r="D49" s="222">
        <f>('Evolutive SFP'!C4+'Evolutive SFP'!C11)/('Evolutive SFP'!C28+'Evolutive SFP'!C29+'Evolutive SFP'!C30+'Evolutive SFP'!C32+'Evolutive SFP'!C33+'Evolutive SFP'!C34+'Evolutive SFP'!C35+'Evolutive SFP'!C36)</f>
        <v>0.41168922373639627</v>
      </c>
      <c r="E49" s="222">
        <f>('Evolutive SFP'!D4+'Evolutive SFP'!D11)/('Evolutive SFP'!D28+'Evolutive SFP'!D29+'Evolutive SFP'!D30+'Evolutive SFP'!D32+'Evolutive SFP'!D33+'Evolutive SFP'!D34+'Evolutive SFP'!D35+'Evolutive SFP'!D36)</f>
        <v>0.39295587432159884</v>
      </c>
      <c r="F49" s="222">
        <f>('Evolutive SFP'!E4+'Evolutive SFP'!E11)/('Evolutive SFP'!E28+'Evolutive SFP'!E29+'Evolutive SFP'!E30+'Evolutive SFP'!E32+'Evolutive SFP'!E33+'Evolutive SFP'!E34+'Evolutive SFP'!E35+'Evolutive SFP'!E36)</f>
        <v>0.38546647387002331</v>
      </c>
      <c r="G49" s="222">
        <f>('Evolutive SFP'!F4+'Evolutive SFP'!F11)/('Evolutive SFP'!F28+'Evolutive SFP'!F29+'Evolutive SFP'!F30+'Evolutive SFP'!F32+'Evolutive SFP'!F33+'Evolutive SFP'!F34+'Evolutive SFP'!F35+'Evolutive SFP'!F36)</f>
        <v>0.40535040728441007</v>
      </c>
      <c r="H49" s="222">
        <f>('Evolutive SFP'!G4+'Evolutive SFP'!G11)/('Evolutive SFP'!G28+'Evolutive SFP'!G29+'Evolutive SFP'!G30+'Evolutive SFP'!G32+'Evolutive SFP'!G33+'Evolutive SFP'!G34+'Evolutive SFP'!G35+'Evolutive SFP'!G36)</f>
        <v>0.39974499007648429</v>
      </c>
      <c r="I49" s="222">
        <f>('Evolutive SFP'!H4+'Evolutive SFP'!H11)/('Evolutive SFP'!H28+'Evolutive SFP'!H29+'Evolutive SFP'!H30+'Evolutive SFP'!H32+'Evolutive SFP'!H33+'Evolutive SFP'!H34+'Evolutive SFP'!H35+'Evolutive SFP'!H36)</f>
        <v>0.43089888631365569</v>
      </c>
      <c r="J49" s="222">
        <f>('Evolutive SFP'!I4+'Evolutive SFP'!I11)/('Evolutive SFP'!I28+'Evolutive SFP'!I29+'Evolutive SFP'!I30+'Evolutive SFP'!I32+'Evolutive SFP'!I33+'Evolutive SFP'!I34+'Evolutive SFP'!I35+'Evolutive SFP'!I36)</f>
        <v>0.36312814285761025</v>
      </c>
      <c r="K49" s="222">
        <f>('Evolutive SFP'!J4+'Evolutive SFP'!J11)/('Evolutive SFP'!J28+'Evolutive SFP'!J29+'Evolutive SFP'!J30+'Evolutive SFP'!J32+'Evolutive SFP'!J33+'Evolutive SFP'!J34+'Evolutive SFP'!J35+'Evolutive SFP'!J36)</f>
        <v>0.36516879376592387</v>
      </c>
      <c r="L49" s="222">
        <f>('Evolutive SFP'!K4+'Evolutive SFP'!K11)/('Evolutive SFP'!K28+'Evolutive SFP'!K29+'Evolutive SFP'!K30+'Evolutive SFP'!K32+'Evolutive SFP'!K33+'Evolutive SFP'!K34+'Evolutive SFP'!K35+'Evolutive SFP'!K36)</f>
        <v>0.62621486865905018</v>
      </c>
      <c r="M49" s="222">
        <f>('Evolutive SFP'!L4+'Evolutive SFP'!L11)/('Evolutive SFP'!L28+'Evolutive SFP'!L29+'Evolutive SFP'!L30+'Evolutive SFP'!L32+'Evolutive SFP'!L33+'Evolutive SFP'!L34+'Evolutive SFP'!L35+'Evolutive SFP'!L36)</f>
        <v>0.52504443721207827</v>
      </c>
      <c r="N49" s="222">
        <f>('Evolutive SFP'!M4+'Evolutive SFP'!M11)/('Evolutive SFP'!M28+'Evolutive SFP'!M29+'Evolutive SFP'!M30+'Evolutive SFP'!M32+'Evolutive SFP'!M33+'Evolutive SFP'!M34+'Evolutive SFP'!M35+'Evolutive SFP'!M36)</f>
        <v>0.46122888625447023</v>
      </c>
      <c r="O49" s="222">
        <f>('Evolutive SFP'!N4+'Evolutive SFP'!N11)/('Evolutive SFP'!N28+'Evolutive SFP'!N29+'Evolutive SFP'!N30+'Evolutive SFP'!N32+'Evolutive SFP'!N33+'Evolutive SFP'!N34+'Evolutive SFP'!N35+'Evolutive SFP'!N36)</f>
        <v>0.44257834642240912</v>
      </c>
      <c r="P49" s="222">
        <f>('Evolutive SFP'!O4+'Evolutive SFP'!O11)/('Evolutive SFP'!O28+'Evolutive SFP'!O29+'Evolutive SFP'!O30+'Evolutive SFP'!O32+'Evolutive SFP'!O33+'Evolutive SFP'!O34+'Evolutive SFP'!O35+'Evolutive SFP'!O36)</f>
        <v>0.46132716868943013</v>
      </c>
      <c r="Q49" s="222">
        <f>('Evolutive SFP'!P4+'Evolutive SFP'!P11)/('Evolutive SFP'!P28+'Evolutive SFP'!P29+'Evolutive SFP'!P30+'Evolutive SFP'!P32+'Evolutive SFP'!P33+'Evolutive SFP'!P34+'Evolutive SFP'!P35+'Evolutive SFP'!P36)</f>
        <v>0.48266139170191569</v>
      </c>
      <c r="R49" s="222">
        <f>('Evolutive SFP'!Q4+'Evolutive SFP'!Q11)/('Evolutive SFP'!Q28+'Evolutive SFP'!Q29+'Evolutive SFP'!Q30+'Evolutive SFP'!Q32+'Evolutive SFP'!Q33+'Evolutive SFP'!Q34+'Evolutive SFP'!Q35+'Evolutive SFP'!Q36)</f>
        <v>0.41598348695949011</v>
      </c>
      <c r="S49" s="222">
        <f>('Evolutive SFP'!R4+'Evolutive SFP'!R11)/('Evolutive SFP'!R28+'Evolutive SFP'!R29+'Evolutive SFP'!R30+'Evolutive SFP'!R32+'Evolutive SFP'!R33+'Evolutive SFP'!R34+'Evolutive SFP'!R35+'Evolutive SFP'!R36)</f>
        <v>0.46999763762063029</v>
      </c>
      <c r="T49" s="222">
        <f>('Evolutive SFP'!S4+'Evolutive SFP'!S11)/('Evolutive SFP'!S28+'Evolutive SFP'!S29+'Evolutive SFP'!S30+'Evolutive SFP'!S32+'Evolutive SFP'!S33+'Evolutive SFP'!S34+'Evolutive SFP'!S35+'Evolutive SFP'!S36)</f>
        <v>0.3726255687131016</v>
      </c>
      <c r="U49" s="222">
        <f>('Evolutive SFP'!T4+'Evolutive SFP'!T11)/('Evolutive SFP'!T28+'Evolutive SFP'!T29+'Evolutive SFP'!T30+'Evolutive SFP'!T32+'Evolutive SFP'!T33+'Evolutive SFP'!T34+'Evolutive SFP'!T35+'Evolutive SFP'!T36)</f>
        <v>0.35116518676381159</v>
      </c>
      <c r="V49" s="222">
        <f>('Evolutive SFP'!U4+'Evolutive SFP'!U11)/('Evolutive SFP'!U28+'Evolutive SFP'!U29+'Evolutive SFP'!U30+'Evolutive SFP'!U32+'Evolutive SFP'!U33+'Evolutive SFP'!U34+'Evolutive SFP'!U35+'Evolutive SFP'!U36)</f>
        <v>0.33514718497207252</v>
      </c>
      <c r="W49" s="222" t="e">
        <f>('Evolutive SFP'!V4+'Evolutive SFP'!V11)/('Evolutive SFP'!V28+'Evolutive SFP'!V29+'Evolutive SFP'!V30+'Evolutive SFP'!V32+'Evolutive SFP'!V33+'Evolutive SFP'!V34+'Evolutive SFP'!V35+'Evolutive SFP'!V36)</f>
        <v>#DIV/0!</v>
      </c>
      <c r="X49" s="222" t="e">
        <f>('Evolutive SFP'!W4+'Evolutive SFP'!W11)/('Evolutive SFP'!W28+'Evolutive SFP'!W29+'Evolutive SFP'!W30+'Evolutive SFP'!W32+'Evolutive SFP'!W33+'Evolutive SFP'!W34+'Evolutive SFP'!W35+'Evolutive SFP'!W36)</f>
        <v>#DIV/0!</v>
      </c>
      <c r="Y49" s="222" t="e">
        <f>('Evolutive SFP'!X4+'Evolutive SFP'!X11)/('Evolutive SFP'!X28+'Evolutive SFP'!X29+'Evolutive SFP'!X30+'Evolutive SFP'!X32+'Evolutive SFP'!X33+'Evolutive SFP'!X34+'Evolutive SFP'!X35+'Evolutive SFP'!X36)</f>
        <v>#DIV/0!</v>
      </c>
      <c r="Z49" s="222" t="e">
        <f>('Evolutive SFP'!Y4+'Evolutive SFP'!Y11)/('Evolutive SFP'!Y28+'Evolutive SFP'!Y29+'Evolutive SFP'!Y30+'Evolutive SFP'!Y32+'Evolutive SFP'!Y33+'Evolutive SFP'!Y34+'Evolutive SFP'!Y35+'Evolutive SFP'!Y36)</f>
        <v>#DIV/0!</v>
      </c>
      <c r="AA49" s="222" t="e">
        <f>('Evolutive SFP'!Z4+'Evolutive SFP'!Z11)/('Evolutive SFP'!Z28+'Evolutive SFP'!Z29+'Evolutive SFP'!Z30+'Evolutive SFP'!Z32+'Evolutive SFP'!Z33+'Evolutive SFP'!Z34+'Evolutive SFP'!Z35+'Evolutive SFP'!Z36)</f>
        <v>#DIV/0!</v>
      </c>
      <c r="AB49" s="222">
        <f>('Evolutive SFP'!AA4+'Evolutive SFP'!AA11)/('Evolutive SFP'!AA28+'Evolutive SFP'!AA29+'Evolutive SFP'!AA30+'Evolutive SFP'!AA32+'Evolutive SFP'!AA33+'Evolutive SFP'!AA34+'Evolutive SFP'!AA35+'Evolutive SFP'!AA36)</f>
        <v>0.27083136794043622</v>
      </c>
    </row>
    <row r="50" spans="1:28">
      <c r="A50" s="216" t="s">
        <v>293</v>
      </c>
      <c r="D50" s="222" t="e">
        <f>('Evolutitve SCI'!#REF!-'Evolutitve SCI'!#REF!)/'Evolutive SFP'!C27</f>
        <v>#REF!</v>
      </c>
      <c r="E50" s="222">
        <f>('Evolutitve SCI'!C5-'Evolutitve SCI'!C13)/'Evolutive SFP'!D27</f>
        <v>3.8589689499510117E-2</v>
      </c>
      <c r="F50" s="222">
        <f>('Evolutitve SCI'!D5-'Evolutitve SCI'!D13)/'Evolutive SFP'!E27</f>
        <v>5.29857110429248E-2</v>
      </c>
      <c r="G50" s="222">
        <f>('Evolutitve SCI'!E5-'Evolutitve SCI'!E13)/'Evolutive SFP'!F27</f>
        <v>6.6693080981772151E-2</v>
      </c>
      <c r="H50" s="222">
        <f>('Evolutitve SCI'!F5-'Evolutitve SCI'!F13)/'Evolutive SFP'!G27</f>
        <v>8.4242243138446152E-2</v>
      </c>
      <c r="I50" s="222">
        <f>('Evolutitve SCI'!G5-'Evolutitve SCI'!G13)/'Evolutive SFP'!H27</f>
        <v>9.2461374092626072E-2</v>
      </c>
      <c r="J50" s="222">
        <f>('Evolutitve SCI'!H5-'Evolutitve SCI'!H13)/'Evolutive SFP'!I27</f>
        <v>0.1323478341912861</v>
      </c>
      <c r="K50" s="222">
        <f>('Evolutitve SCI'!I5-'Evolutitve SCI'!I13)/'Evolutive SFP'!J27</f>
        <v>0.14089136066819</v>
      </c>
      <c r="L50" s="222">
        <f>('Evolutitve SCI'!J5-'Evolutitve SCI'!J13)/'Evolutive SFP'!K27</f>
        <v>0.1110025939092138</v>
      </c>
      <c r="M50" s="222">
        <f>('Evolutitve SCI'!K5-'Evolutitve SCI'!K13)/'Evolutive SFP'!L27</f>
        <v>0.1438255833828157</v>
      </c>
      <c r="N50" s="222">
        <f>('Evolutitve SCI'!L5-'Evolutitve SCI'!L13)/'Evolutive SFP'!M27</f>
        <v>0.16740876195146992</v>
      </c>
      <c r="O50" s="222">
        <f>('Evolutitve SCI'!M5-'Evolutitve SCI'!M13)/'Evolutive SFP'!N27</f>
        <v>0.1531516886050166</v>
      </c>
      <c r="P50" s="222">
        <f>('Evolutitve SCI'!N5-'Evolutitve SCI'!N13)/'Evolutive SFP'!O27</f>
        <v>1.3132518700081568E-2</v>
      </c>
      <c r="Q50" s="222">
        <f>('Evolutitve SCI'!O5-'Evolutitve SCI'!O13)/'Evolutive SFP'!P27</f>
        <v>2.3179816964638392E-2</v>
      </c>
      <c r="R50" s="222">
        <f>('Evolutitve SCI'!P5-'Evolutitve SCI'!P13)/'Evolutive SFP'!Q27</f>
        <v>3.8820032195166949E-2</v>
      </c>
      <c r="S50" s="222">
        <f>('Evolutitve SCI'!Q5-'Evolutitve SCI'!Q13)/'Evolutive SFP'!R27</f>
        <v>4.7405929113406867E-2</v>
      </c>
      <c r="T50" s="222">
        <f>('Evolutitve SCI'!R5-'Evolutitve SCI'!R13)/'Evolutive SFP'!S27</f>
        <v>6.0643149772264822E-2</v>
      </c>
      <c r="U50" s="222">
        <f>('Evolutitve SCI'!S5-'Evolutitve SCI'!S13)/'Evolutive SFP'!T27</f>
        <v>7.3066563233683254E-2</v>
      </c>
      <c r="V50" s="222">
        <f>('Evolutitve SCI'!T5-'Evolutitve SCI'!T13)/'Evolutive SFP'!U27</f>
        <v>8.4762594640731284E-2</v>
      </c>
      <c r="W50" s="222" t="e">
        <f>('Evolutitve SCI'!U5-'Evolutitve SCI'!U13)/'Evolutive SFP'!V27</f>
        <v>#DIV/0!</v>
      </c>
      <c r="X50" s="222" t="e">
        <f>('Evolutitve SCI'!V5-'Evolutitve SCI'!V13)/'Evolutive SFP'!W27</f>
        <v>#DIV/0!</v>
      </c>
      <c r="Y50" s="222" t="e">
        <f>('Evolutitve SCI'!W5-'Evolutitve SCI'!W13)/'Evolutive SFP'!X27</f>
        <v>#DIV/0!</v>
      </c>
      <c r="Z50" s="222" t="e">
        <f>('Evolutitve SCI'!X5-'Evolutitve SCI'!X13)/'Evolutive SFP'!Y27</f>
        <v>#DIV/0!</v>
      </c>
      <c r="AA50" s="222" t="e">
        <f>('Evolutitve SCI'!Y5-'Evolutitve SCI'!Y13)/'Evolutive SFP'!Z27</f>
        <v>#DIV/0!</v>
      </c>
      <c r="AB50" s="222">
        <f>('Evolutitve SCI'!Z5-'Evolutitve SCI'!Z13)/'Evolutive SFP'!AA27</f>
        <v>0.14659587830992776</v>
      </c>
    </row>
    <row r="51" spans="1:28">
      <c r="A51" s="216" t="s">
        <v>116</v>
      </c>
      <c r="D51" s="222" t="e">
        <f>('Evolutitve SCI'!#REF!)/(('Evolutive SFP'!C27+'Evolutive SFP'!#REF!)/2)</f>
        <v>#REF!</v>
      </c>
      <c r="E51" s="222">
        <f>('Evolutitve SCI'!C33)/(('Evolutive SFP'!D27+'Evolutive SFP'!C27)/2)</f>
        <v>-4.7288673174337801E-3</v>
      </c>
      <c r="F51" s="222">
        <f>('Evolutitve SCI'!D33)/(('Evolutive SFP'!E27+'Evolutive SFP'!D27)/2)</f>
        <v>-1.6048061737222591E-2</v>
      </c>
      <c r="G51" s="222">
        <f>('Evolutitve SCI'!E33)/(('Evolutive SFP'!F27+'Evolutive SFP'!E27)/2)</f>
        <v>-2.153154301251434E-2</v>
      </c>
      <c r="H51" s="222">
        <f>('Evolutitve SCI'!F33)/(('Evolutive SFP'!G27+'Evolutive SFP'!F27)/2)</f>
        <v>-2.698779539415519E-2</v>
      </c>
      <c r="I51" s="222">
        <f>('Evolutitve SCI'!G33)/(('Evolutive SFP'!H27+'Evolutive SFP'!G27)/2)</f>
        <v>-3.3297781753409098E-2</v>
      </c>
      <c r="J51" s="222">
        <f>('Evolutitve SCI'!H33)/(('Evolutive SFP'!I27+'Evolutive SFP'!H27)/2)</f>
        <v>-5.1417911632700555E-2</v>
      </c>
      <c r="K51" s="222">
        <f>('Evolutitve SCI'!I33)/(('Evolutive SFP'!J27+'Evolutive SFP'!I27)/2)</f>
        <v>-6.2739692408426653E-2</v>
      </c>
      <c r="L51" s="222">
        <f>('Evolutitve SCI'!J33)/(('Evolutive SFP'!K27+'Evolutive SFP'!J27)/2)</f>
        <v>-4.3000646356866755E-2</v>
      </c>
      <c r="M51" s="222">
        <f>('Evolutitve SCI'!K33)/(('Evolutive SFP'!L27+'Evolutive SFP'!K27)/2)</f>
        <v>-4.6389518877022702E-2</v>
      </c>
      <c r="N51" s="222">
        <f>('Evolutitve SCI'!L33)/(('Evolutive SFP'!M27+'Evolutive SFP'!L27)/2)</f>
        <v>-6.2336099061694288E-2</v>
      </c>
      <c r="O51" s="222">
        <f>('Evolutitve SCI'!M33)/(('Evolutive SFP'!N27+'Evolutive SFP'!M27)/2)</f>
        <v>2.8459384726091146E-2</v>
      </c>
      <c r="P51" s="222">
        <f>('Evolutitve SCI'!N33)/(('Evolutive SFP'!O27+'Evolutive SFP'!N27)/2)</f>
        <v>-8.0209152544651677E-3</v>
      </c>
      <c r="Q51" s="222">
        <f>('Evolutitve SCI'!O33)/(('Evolutive SFP'!P27+'Evolutive SFP'!O27)/2)</f>
        <v>-1.9025935333002012E-2</v>
      </c>
      <c r="R51" s="222">
        <f>('Evolutitve SCI'!P33)/(('Evolutive SFP'!Q27+'Evolutive SFP'!P27)/2)</f>
        <v>-2.7313979746874589E-2</v>
      </c>
      <c r="S51" s="222">
        <f>('Evolutitve SCI'!Q33)/(('Evolutive SFP'!R27+'Evolutive SFP'!Q27)/2)</f>
        <v>-3.3452227771310294E-2</v>
      </c>
      <c r="T51" s="222">
        <f>('Evolutitve SCI'!R33)/(('Evolutive SFP'!S27+'Evolutive SFP'!R27)/2)</f>
        <v>-4.2491090010386652E-2</v>
      </c>
      <c r="U51" s="222">
        <f>('Evolutitve SCI'!S33)/(('Evolutive SFP'!T27+'Evolutive SFP'!S27)/2)</f>
        <v>-5.4272146603831749E-2</v>
      </c>
      <c r="V51" s="222">
        <f>('Evolutitve SCI'!T33)/(('Evolutive SFP'!U27+'Evolutive SFP'!T27)/2)</f>
        <v>-6.3178071301215333E-2</v>
      </c>
      <c r="W51" s="222">
        <f>('Evolutitve SCI'!U33)/(('Evolutive SFP'!V27+'Evolutive SFP'!U27)/2)</f>
        <v>0</v>
      </c>
      <c r="X51" s="222" t="e">
        <f>('Evolutitve SCI'!V33)/(('Evolutive SFP'!W27+'Evolutive SFP'!V27)/2)</f>
        <v>#DIV/0!</v>
      </c>
      <c r="Y51" s="222" t="e">
        <f>('Evolutitve SCI'!W33)/(('Evolutive SFP'!X27+'Evolutive SFP'!W27)/2)</f>
        <v>#DIV/0!</v>
      </c>
      <c r="Z51" s="222" t="e">
        <f>('Evolutitve SCI'!X33)/(('Evolutive SFP'!Y27+'Evolutive SFP'!X27)/2)</f>
        <v>#DIV/0!</v>
      </c>
      <c r="AA51" s="222" t="e">
        <f>('Evolutitve SCI'!Y33)/(('Evolutive SFP'!Z27+'Evolutive SFP'!Y27)/2)</f>
        <v>#DIV/0!</v>
      </c>
      <c r="AB51" s="222">
        <f>('Evolutitve SCI'!Z33)/(('Evolutive SFP'!AA27+'Evolutive SFP'!Z27)/2)</f>
        <v>3.8334306500098225E-2</v>
      </c>
    </row>
    <row r="52" spans="1:28">
      <c r="A52" s="216" t="s">
        <v>294</v>
      </c>
      <c r="D52" s="222" t="e">
        <f>('Evolutive SFP'!C27-'Evolutive SFP'!#REF!)/'Evolutive SFP'!#REF!</f>
        <v>#REF!</v>
      </c>
      <c r="E52" s="222">
        <f>('Evolutive SFP'!D27-'Evolutive SFP'!C27)/'Evolutive SFP'!C27</f>
        <v>-5.3229008294508239E-2</v>
      </c>
      <c r="F52" s="222">
        <f>('Evolutive SFP'!E27-'Evolutive SFP'!D27)/'Evolutive SFP'!D27</f>
        <v>1.6989334930073202E-3</v>
      </c>
      <c r="G52" s="222">
        <f>('Evolutive SFP'!F27-'Evolutive SFP'!E27)/'Evolutive SFP'!E27</f>
        <v>2.4014637695359071E-2</v>
      </c>
      <c r="H52" s="222">
        <f>('Evolutive SFP'!G27-'Evolutive SFP'!F27)/'Evolutive SFP'!F27</f>
        <v>-1.169542135947225E-2</v>
      </c>
      <c r="I52" s="222">
        <f>('Evolutive SFP'!H27-'Evolutive SFP'!G27)/'Evolutive SFP'!G27</f>
        <v>7.8832628755083775E-2</v>
      </c>
      <c r="J52" s="222">
        <f>('Evolutive SFP'!I27-'Evolutive SFP'!H27)/'Evolutive SFP'!H27</f>
        <v>-0.10328372465938279</v>
      </c>
      <c r="K52" s="222">
        <f>('Evolutive SFP'!J27-'Evolutive SFP'!I27)/'Evolutive SFP'!I27</f>
        <v>2.6315710995958606E-2</v>
      </c>
      <c r="L52" s="222">
        <f>('Evolutive SFP'!K27-'Evolutive SFP'!J27)/'Evolutive SFP'!J27</f>
        <v>0.43271053108149082</v>
      </c>
      <c r="M52" s="222">
        <f>('Evolutive SFP'!L27-'Evolutive SFP'!K27)/'Evolutive SFP'!K27</f>
        <v>-0.17841822005097652</v>
      </c>
      <c r="N52" s="222">
        <f>('Evolutive SFP'!M27-'Evolutive SFP'!L27)/'Evolutive SFP'!L27</f>
        <v>-8.246658109531875E-2</v>
      </c>
      <c r="O52" s="222">
        <f>('Evolutive SFP'!N27-'Evolutive SFP'!M27)/'Evolutive SFP'!M27</f>
        <v>9.6997365273715039E-2</v>
      </c>
      <c r="P52" s="222">
        <f>('Evolutive SFP'!O27-'Evolutive SFP'!N27)/'Evolutive SFP'!N27</f>
        <v>-8.5450000743657092E-2</v>
      </c>
      <c r="Q52" s="222">
        <f>('Evolutive SFP'!P27-'Evolutive SFP'!O27)/'Evolutive SFP'!O27</f>
        <v>7.3742916885216378E-2</v>
      </c>
      <c r="R52" s="222">
        <f>('Evolutive SFP'!Q27-'Evolutive SFP'!P27)/'Evolutive SFP'!P27</f>
        <v>-0.10464763375829141</v>
      </c>
      <c r="S52" s="222">
        <f>('Evolutive SFP'!R27-'Evolutive SFP'!Q27)/'Evolutive SFP'!Q27</f>
        <v>8.34054811328441E-2</v>
      </c>
      <c r="T52" s="222">
        <f>('Evolutive SFP'!S27-'Evolutive SFP'!R27)/'Evolutive SFP'!R27</f>
        <v>-5.9257800549567426E-2</v>
      </c>
      <c r="U52" s="222">
        <f>('Evolutive SFP'!T27-'Evolutive SFP'!S27)/'Evolutive SFP'!S27</f>
        <v>-5.4953759833780121E-3</v>
      </c>
      <c r="V52" s="222">
        <f>('Evolutive SFP'!U27-'Evolutive SFP'!T27)/'Evolutive SFP'!T27</f>
        <v>1.2942609752978177E-2</v>
      </c>
      <c r="W52" s="222">
        <f>('Evolutive SFP'!V27-'Evolutive SFP'!U27)/'Evolutive SFP'!U27</f>
        <v>-1</v>
      </c>
      <c r="X52" s="222" t="e">
        <f>('Evolutive SFP'!W27-'Evolutive SFP'!V27)/'Evolutive SFP'!V27</f>
        <v>#DIV/0!</v>
      </c>
      <c r="Y52" s="222" t="e">
        <f>('Evolutive SFP'!X27-'Evolutive SFP'!W27)/'Evolutive SFP'!W27</f>
        <v>#DIV/0!</v>
      </c>
      <c r="Z52" s="222" t="e">
        <f>('Evolutive SFP'!Y27-'Evolutive SFP'!X27)/'Evolutive SFP'!X27</f>
        <v>#DIV/0!</v>
      </c>
      <c r="AA52" s="222" t="e">
        <f>('Evolutive SFP'!Z27-'Evolutive SFP'!Y27)/'Evolutive SFP'!Y27</f>
        <v>#DIV/0!</v>
      </c>
      <c r="AB52" s="222" t="e">
        <f>('Evolutive SFP'!AA27-'Evolutive SFP'!Z27)/'Evolutive SFP'!Z27</f>
        <v>#DIV/0!</v>
      </c>
    </row>
    <row r="53" spans="1:28">
      <c r="A53" s="216" t="s">
        <v>295</v>
      </c>
      <c r="D53" s="222" t="e">
        <f>(Financials!C5-Financials!#REF!)/Financials!#REF!</f>
        <v>#REF!</v>
      </c>
      <c r="E53" s="222">
        <f>(Financials!D5-Financials!C5)/Financials!C5</f>
        <v>-2.5336969063825238E-2</v>
      </c>
      <c r="F53" s="222">
        <f>(Financials!E5-Financials!D5)/Financials!D5</f>
        <v>-1.9586908518496267E-2</v>
      </c>
      <c r="G53" s="222">
        <f>(Financials!F5-Financials!E5)/Financials!E5</f>
        <v>2.3734410236666555E-2</v>
      </c>
      <c r="H53" s="222">
        <f>(Financials!G5-Financials!F5)/Financials!F5</f>
        <v>-1.3635873594197373E-2</v>
      </c>
      <c r="I53" s="222">
        <f>(Financials!H5-Financials!G5)/Financials!G5</f>
        <v>4.7052802953042518E-2</v>
      </c>
      <c r="J53" s="222">
        <f>(Financials!I5-Financials!H5)/Financials!H5</f>
        <v>-3.4703292857179872E-2</v>
      </c>
      <c r="K53" s="222">
        <f>(Financials!J5-Financials!I5)/Financials!I5</f>
        <v>3.8808369873530951E-2</v>
      </c>
      <c r="L53" s="222">
        <f>(Financials!K5-Financials!J5)/Financials!J5</f>
        <v>0.52465152146951655</v>
      </c>
      <c r="M53" s="222">
        <f>(Financials!L5-Financials!K5)/Financials!K5</f>
        <v>-0.21034821839943219</v>
      </c>
      <c r="N53" s="222">
        <f>(Financials!M5-Financials!L5)/Financials!L5</f>
        <v>-8.9978292610266242E-2</v>
      </c>
      <c r="O53" s="222">
        <f>(Financials!N5-Financials!M5)/Financials!M5</f>
        <v>1.2116382619219247E-9</v>
      </c>
      <c r="P53" s="222">
        <f>(Financials!O5-Financials!N5)/Financials!N5</f>
        <v>9.6064595052802512E-3</v>
      </c>
      <c r="Q53" s="222">
        <f>(Financials!P5-Financials!O5)/Financials!O5</f>
        <v>6.4421389924873604E-2</v>
      </c>
      <c r="R53" s="222">
        <f>(Financials!Q5-Financials!P5)/Financials!P5</f>
        <v>-8.5416041578716365E-2</v>
      </c>
      <c r="S53" s="222">
        <f>(Financials!R5-Financials!Q5)/Financials!Q5</f>
        <v>6.8336607693267409E-2</v>
      </c>
      <c r="T53" s="222">
        <f>(Financials!S5-Financials!R5)/Financials!R5</f>
        <v>-5.8699954346451512E-2</v>
      </c>
      <c r="U53" s="222">
        <f>(Financials!T5-Financials!S5)/Financials!S5</f>
        <v>-8.4575833319495541E-3</v>
      </c>
      <c r="V53" s="222">
        <f>(Financials!U5-Financials!T5)/Financials!T5</f>
        <v>1.8794875031835523E-2</v>
      </c>
      <c r="W53" s="222">
        <f>(Financials!V5-Financials!U5)/Financials!U5</f>
        <v>-1</v>
      </c>
      <c r="X53" s="222" t="e">
        <f>(Financials!W5-Financials!V5)/Financials!V5</f>
        <v>#DIV/0!</v>
      </c>
      <c r="Y53" s="222" t="e">
        <f>(Financials!X5-Financials!W5)/Financials!W5</f>
        <v>#DIV/0!</v>
      </c>
      <c r="Z53" s="222" t="e">
        <f>(Financials!Y5-Financials!X5)/Financials!X5</f>
        <v>#DIV/0!</v>
      </c>
      <c r="AA53" s="222" t="e">
        <f>(Financials!Z5-Financials!Y5)/Financials!Y5</f>
        <v>#DIV/0!</v>
      </c>
      <c r="AB53" s="222" t="e">
        <f>(Financials!AA5-Financials!Z5)/Financials!Z5</f>
        <v>#DIV/0!</v>
      </c>
    </row>
    <row r="54" spans="1:28">
      <c r="A54" s="216" t="s">
        <v>296</v>
      </c>
      <c r="D54" s="222" t="e">
        <f>(Financials!C6-Financials!#REF!)/Financials!#REF!</f>
        <v>#REF!</v>
      </c>
      <c r="E54" s="222">
        <f>(Financials!D6-Financials!C6)/Financials!C6</f>
        <v>2.6599299385903197E-3</v>
      </c>
      <c r="F54" s="222">
        <f>(Financials!E6-Financials!D6)/Financials!D6</f>
        <v>4.9360650674071397E-3</v>
      </c>
      <c r="G54" s="222">
        <f>(Financials!F6-Financials!E6)/Financials!E6</f>
        <v>-3.3062761821047691E-3</v>
      </c>
      <c r="H54" s="222">
        <f>(Financials!G6-Financials!F6)/Financials!F6</f>
        <v>2.2139179651192789E-3</v>
      </c>
      <c r="I54" s="222">
        <f>(Financials!H6-Financials!G6)/Financials!G6</f>
        <v>9.3953156021892217E-3</v>
      </c>
      <c r="J54" s="222">
        <f>(Financials!I6-Financials!H6)/Financials!H6</f>
        <v>1.461087099991053E-3</v>
      </c>
      <c r="K54" s="222">
        <f>(Financials!J6-Financials!I6)/Financials!I6</f>
        <v>-3.693715565090485E-3</v>
      </c>
      <c r="L54" s="222">
        <f>(Financials!K6-Financials!J6)/Financials!J6</f>
        <v>1.5171779286101568E-3</v>
      </c>
      <c r="M54" s="222">
        <f>(Financials!L6-Financials!K6)/Financials!K6</f>
        <v>3.3358232372154308E-3</v>
      </c>
      <c r="N54" s="222">
        <f>(Financials!M6-Financials!L6)/Financials!L6</f>
        <v>2.440496471267554E-3</v>
      </c>
      <c r="O54" s="222">
        <f>(Financials!N6-Financials!M6)/Financials!M6</f>
        <v>2.2996817527605588E-9</v>
      </c>
      <c r="P54" s="222">
        <f>(Financials!O6-Financials!N6)/Financials!N6</f>
        <v>-2.1327271248018295E-3</v>
      </c>
      <c r="Q54" s="222">
        <f>(Financials!P6-Financials!O6)/Financials!O6</f>
        <v>2.7339651014508287E-3</v>
      </c>
      <c r="R54" s="222">
        <f>(Financials!Q6-Financials!P6)/Financials!P6</f>
        <v>-2.9363356135183182E-3</v>
      </c>
      <c r="S54" s="222">
        <f>(Financials!R6-Financials!Q6)/Financials!Q6</f>
        <v>7.2171169788405919E-3</v>
      </c>
      <c r="T54" s="222">
        <f>(Financials!S6-Financials!R6)/Financials!R6</f>
        <v>1.2779779588106662E-2</v>
      </c>
      <c r="U54" s="222">
        <f>(Financials!T6-Financials!S6)/Financials!S6</f>
        <v>4.6966915039584368E-3</v>
      </c>
      <c r="V54" s="222">
        <f>(Financials!U6-Financials!T6)/Financials!T6</f>
        <v>3.9526881409134721E-3</v>
      </c>
      <c r="W54" s="222">
        <f>(Financials!V6-Financials!U6)/Financials!U6</f>
        <v>-1</v>
      </c>
      <c r="X54" s="222" t="e">
        <f>(Financials!W6-Financials!V6)/Financials!V6</f>
        <v>#DIV/0!</v>
      </c>
      <c r="Y54" s="222" t="e">
        <f>(Financials!X6-Financials!W6)/Financials!W6</f>
        <v>#DIV/0!</v>
      </c>
      <c r="Z54" s="222" t="e">
        <f>(Financials!Y6-Financials!X6)/Financials!X6</f>
        <v>#DIV/0!</v>
      </c>
      <c r="AA54" s="222" t="e">
        <f>(Financials!Z6-Financials!Y6)/Financials!Y6</f>
        <v>#DIV/0!</v>
      </c>
      <c r="AB54" s="222" t="e">
        <f>(Financials!AA6-Financials!Z6)/Financials!Z6</f>
        <v>#DIV/0!</v>
      </c>
    </row>
    <row r="55" spans="1:28">
      <c r="A55" s="216" t="s">
        <v>297</v>
      </c>
      <c r="D55" s="222" t="e">
        <f>(Financials!C7-Financials!#REF!)/Financials!#REF!</f>
        <v>#REF!</v>
      </c>
      <c r="E55" s="222">
        <f>(Financials!D7-Financials!C7)/Financials!C7</f>
        <v>-4.5930669951010895E-2</v>
      </c>
      <c r="F55" s="222">
        <f>(Financials!E7-Financials!D7)/Financials!D7</f>
        <v>-3.8543983353205698E-2</v>
      </c>
      <c r="G55" s="222">
        <f>(Financials!F7-Financials!E7)/Financials!E7</f>
        <v>4.5583075794348372E-2</v>
      </c>
      <c r="H55" s="222">
        <f>(Financials!G7-Financials!F7)/Financials!F7</f>
        <v>-2.5843576142985814E-2</v>
      </c>
      <c r="I55" s="222">
        <f>(Financials!H7-Financials!G7)/Financials!G7</f>
        <v>7.6892434299476606E-2</v>
      </c>
      <c r="J55" s="222">
        <f>(Financials!I7-Financials!H7)/Financials!H7</f>
        <v>-6.1563669429084686E-2</v>
      </c>
      <c r="K55" s="222">
        <f>(Financials!J7-Financials!I7)/Financials!I7</f>
        <v>7.2496009285465873E-2</v>
      </c>
      <c r="L55" s="222">
        <f>(Financials!K7-Financials!J7)/Financials!J7</f>
        <v>0.90983775478440576</v>
      </c>
      <c r="M55" s="222">
        <f>(Financials!L7-Financials!K7)/Financials!K7</f>
        <v>-0.29285536013265062</v>
      </c>
      <c r="N55" s="222">
        <f>(Financials!M7-Financials!L7)/Financials!L7</f>
        <v>-0.14060944259292393</v>
      </c>
      <c r="O55" s="222">
        <f>(Financials!N7-Financials!M7)/Financials!M7</f>
        <v>5.1633895214229829E-10</v>
      </c>
      <c r="P55" s="222">
        <f>(Financials!O7-Financials!N7)/Financials!N7</f>
        <v>1.7108226157581317E-2</v>
      </c>
      <c r="Q55" s="222">
        <f>(Financials!P7-Financials!O7)/Financials!O7</f>
        <v>0.10309616504382688</v>
      </c>
      <c r="R55" s="222">
        <f>(Financials!Q7-Financials!P7)/Financials!P7</f>
        <v>-0.13242175099229261</v>
      </c>
      <c r="S55" s="222">
        <f>(Financials!R7-Financials!Q7)/Financials!Q7</f>
        <v>0.108367702578506</v>
      </c>
      <c r="T55" s="222">
        <f>(Financials!S7-Financials!R7)/Financials!R7</f>
        <v>-0.10124410958726024</v>
      </c>
      <c r="U55" s="222">
        <f>(Financials!T7-Financials!S7)/Financials!S7</f>
        <v>-1.7280194941775733E-2</v>
      </c>
      <c r="V55" s="222">
        <f>(Financials!U7-Financials!T7)/Financials!T7</f>
        <v>2.8972194539219561E-2</v>
      </c>
      <c r="W55" s="222">
        <f>(Financials!V7-Financials!U7)/Financials!U7</f>
        <v>-1</v>
      </c>
      <c r="X55" s="222" t="e">
        <f>(Financials!W7-Financials!V7)/Financials!V7</f>
        <v>#DIV/0!</v>
      </c>
      <c r="Y55" s="222" t="e">
        <f>(Financials!X7-Financials!W7)/Financials!W7</f>
        <v>#DIV/0!</v>
      </c>
      <c r="Z55" s="222" t="e">
        <f>(Financials!Y7-Financials!X7)/Financials!X7</f>
        <v>#DIV/0!</v>
      </c>
      <c r="AA55" s="222" t="e">
        <f>(Financials!Z7-Financials!Y7)/Financials!Y7</f>
        <v>#DIV/0!</v>
      </c>
      <c r="AB55" s="222" t="e">
        <f>(Financials!AA7-Financials!Z7)/Financials!Z7</f>
        <v>#DIV/0!</v>
      </c>
    </row>
    <row r="58" spans="1:28">
      <c r="M58" s="216">
        <f>12.2-9.64</f>
        <v>2.5599999999999987</v>
      </c>
    </row>
  </sheetData>
  <phoneticPr fontId="24" type="noConversion"/>
  <pageMargins left="0.7" right="0.7" top="0.75" bottom="0.75" header="0.3" footer="0.3"/>
  <pageSetup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"/>
  <sheetViews>
    <sheetView zoomScaleNormal="100" workbookViewId="0">
      <selection activeCell="L25" sqref="L25"/>
    </sheetView>
  </sheetViews>
  <sheetFormatPr defaultColWidth="9.140625" defaultRowHeight="14.45"/>
  <cols>
    <col min="1" max="1" width="36.85546875" style="69" customWidth="1"/>
    <col min="2" max="2" width="13" style="116" customWidth="1"/>
    <col min="3" max="5" width="18.42578125" style="69" bestFit="1" customWidth="1"/>
    <col min="6" max="6" width="10.42578125" style="69" hidden="1" customWidth="1"/>
    <col min="7" max="7" width="21.28515625" style="117" customWidth="1"/>
    <col min="8" max="8" width="13.7109375" style="69" bestFit="1" customWidth="1"/>
    <col min="9" max="16384" width="9.140625" style="69"/>
  </cols>
  <sheetData>
    <row r="1" spans="1:7">
      <c r="A1" s="254" t="s">
        <v>298</v>
      </c>
      <c r="B1" s="255"/>
      <c r="C1" s="255"/>
      <c r="D1" s="255"/>
      <c r="E1" s="255"/>
      <c r="F1" s="256"/>
      <c r="G1" s="257"/>
    </row>
    <row r="2" spans="1:7">
      <c r="A2" s="258" t="s">
        <v>299</v>
      </c>
      <c r="B2" s="259"/>
      <c r="C2" s="259"/>
      <c r="D2" s="259"/>
      <c r="E2" s="259"/>
      <c r="F2" s="260"/>
      <c r="G2" s="261"/>
    </row>
    <row r="3" spans="1:7">
      <c r="A3" s="70"/>
      <c r="B3" s="262" t="s">
        <v>300</v>
      </c>
      <c r="C3" s="71" t="s">
        <v>301</v>
      </c>
      <c r="D3" s="264" t="s">
        <v>302</v>
      </c>
      <c r="E3" s="265"/>
      <c r="F3" s="266" t="s">
        <v>303</v>
      </c>
      <c r="G3" s="268" t="s">
        <v>304</v>
      </c>
    </row>
    <row r="4" spans="1:7" ht="21.75" customHeight="1">
      <c r="A4" s="19"/>
      <c r="B4" s="263"/>
      <c r="C4" s="72">
        <v>2017</v>
      </c>
      <c r="D4" s="73">
        <v>43160</v>
      </c>
      <c r="E4" s="74">
        <v>43252</v>
      </c>
      <c r="F4" s="267"/>
      <c r="G4" s="269"/>
    </row>
    <row r="5" spans="1:7">
      <c r="A5" s="250" t="s">
        <v>305</v>
      </c>
      <c r="B5" s="251"/>
      <c r="C5" s="251"/>
      <c r="D5" s="251"/>
      <c r="E5" s="251"/>
      <c r="F5" s="252"/>
      <c r="G5" s="253"/>
    </row>
    <row r="6" spans="1:7">
      <c r="A6" s="75" t="s">
        <v>306</v>
      </c>
      <c r="B6" s="76" t="s">
        <v>307</v>
      </c>
      <c r="C6" s="77">
        <f>C33</f>
        <v>3575294000</v>
      </c>
      <c r="D6" s="77">
        <f>D33</f>
        <v>3638388109.2157083</v>
      </c>
      <c r="E6" s="77">
        <f>E33</f>
        <v>3850883587.7828484</v>
      </c>
      <c r="F6" s="77">
        <f>F33</f>
        <v>0</v>
      </c>
      <c r="G6" s="77">
        <f>G33</f>
        <v>69326567615.863998</v>
      </c>
    </row>
    <row r="7" spans="1:7">
      <c r="A7" s="75" t="s">
        <v>308</v>
      </c>
      <c r="B7" s="78" t="s">
        <v>309</v>
      </c>
      <c r="C7" s="79">
        <f>C33/C29</f>
        <v>0.12516246590040864</v>
      </c>
      <c r="D7" s="79">
        <f>D33/D29</f>
        <v>0.12404378252661359</v>
      </c>
      <c r="E7" s="79">
        <f>E33/E29</f>
        <v>0.12810105414315853</v>
      </c>
      <c r="F7" s="79" t="e">
        <f>F33/F29</f>
        <v>#DIV/0!</v>
      </c>
      <c r="G7" s="79">
        <f>G33/G29</f>
        <v>0.15142618549789269</v>
      </c>
    </row>
    <row r="8" spans="1:7">
      <c r="A8" s="75" t="s">
        <v>264</v>
      </c>
      <c r="B8" s="78" t="s">
        <v>310</v>
      </c>
      <c r="C8" s="79">
        <f>C34/C29</f>
        <v>8.4655345791955078E-2</v>
      </c>
      <c r="D8" s="79">
        <f>D34/D29</f>
        <v>8.042760202256892E-2</v>
      </c>
      <c r="E8" s="79">
        <f>E34/E29</f>
        <v>8.2116799218848416E-2</v>
      </c>
      <c r="F8" s="79" t="e">
        <f>F34/F29</f>
        <v>#DIV/0!</v>
      </c>
      <c r="G8" s="79">
        <f>G34/G29</f>
        <v>8.6793276578618864E-2</v>
      </c>
    </row>
    <row r="9" spans="1:7">
      <c r="A9" s="250" t="s">
        <v>311</v>
      </c>
      <c r="B9" s="251"/>
      <c r="C9" s="251"/>
      <c r="D9" s="251"/>
      <c r="E9" s="251"/>
      <c r="F9" s="252"/>
      <c r="G9" s="253"/>
    </row>
    <row r="10" spans="1:7">
      <c r="A10" s="75" t="s">
        <v>312</v>
      </c>
      <c r="B10" s="76" t="s">
        <v>313</v>
      </c>
      <c r="C10" s="79">
        <f>C35/C32</f>
        <v>8.3758751660342134E-2</v>
      </c>
      <c r="D10" s="79">
        <f>D35/D32</f>
        <v>6.990596473643039E-2</v>
      </c>
      <c r="E10" s="79">
        <f>E35/E32</f>
        <v>6.4128918777493063E-2</v>
      </c>
      <c r="F10" s="79" t="e">
        <f>F35/F32</f>
        <v>#DIV/0!</v>
      </c>
      <c r="G10" s="79">
        <f>G35/G32</f>
        <v>6.4216555660073046E-2</v>
      </c>
    </row>
    <row r="11" spans="1:7">
      <c r="A11" s="75" t="s">
        <v>192</v>
      </c>
      <c r="B11" s="76" t="s">
        <v>314</v>
      </c>
      <c r="C11" s="79">
        <f>C36/C29</f>
        <v>7.8233551459860717E-2</v>
      </c>
      <c r="D11" s="79">
        <f>D36/D29</f>
        <v>7.0771560179866924E-2</v>
      </c>
      <c r="E11" s="79">
        <f>E36/E29</f>
        <v>7.3871285467047465E-2</v>
      </c>
      <c r="F11" s="79" t="e">
        <f>F36/F29</f>
        <v>#DIV/0!</v>
      </c>
      <c r="G11" s="79">
        <f>G36/G29</f>
        <v>0.21105591650727981</v>
      </c>
    </row>
    <row r="12" spans="1:7">
      <c r="A12" s="75" t="s">
        <v>315</v>
      </c>
      <c r="B12" s="76" t="s">
        <v>313</v>
      </c>
      <c r="C12" s="80">
        <f>C38/C31</f>
        <v>3.9319754241610334E-2</v>
      </c>
      <c r="D12" s="80">
        <f>D38/D31</f>
        <v>3.5325791682766637E-2</v>
      </c>
      <c r="E12" s="80">
        <f>E38/E31</f>
        <v>3.7197617219539458E-2</v>
      </c>
      <c r="F12" s="80" t="e">
        <f>F38/F31</f>
        <v>#DIV/0!</v>
      </c>
      <c r="G12" s="80">
        <f>G38/G31</f>
        <v>4.1240427366101499E-2</v>
      </c>
    </row>
    <row r="13" spans="1:7" s="83" customFormat="1">
      <c r="A13" s="81" t="s">
        <v>316</v>
      </c>
      <c r="B13" s="76" t="s">
        <v>317</v>
      </c>
      <c r="C13" s="82">
        <f>C38/C33</f>
        <v>0.24098997173379308</v>
      </c>
      <c r="D13" s="82">
        <f>D38/D33</f>
        <v>0.22956689395624905</v>
      </c>
      <c r="E13" s="82">
        <f>E38/E33</f>
        <v>0.22930110535447146</v>
      </c>
      <c r="F13" s="82" t="e">
        <f>F38/F33</f>
        <v>#DIV/0!</v>
      </c>
      <c r="G13" s="82">
        <f>G38/G33</f>
        <v>0.19351902642905425</v>
      </c>
    </row>
    <row r="14" spans="1:7">
      <c r="A14" s="250" t="s">
        <v>318</v>
      </c>
      <c r="B14" s="251"/>
      <c r="C14" s="251"/>
      <c r="D14" s="251"/>
      <c r="E14" s="251"/>
      <c r="F14" s="252"/>
      <c r="G14" s="253"/>
    </row>
    <row r="15" spans="1:7">
      <c r="A15" s="75" t="s">
        <v>319</v>
      </c>
      <c r="B15" s="76"/>
      <c r="C15" s="84">
        <f>C41/C32</f>
        <v>7.6755321619858249E-2</v>
      </c>
      <c r="D15" s="79">
        <f>D41/D32</f>
        <v>1.9738298154250281E-2</v>
      </c>
      <c r="E15" s="79">
        <f>E41/E32</f>
        <v>3.8638319225778109E-2</v>
      </c>
      <c r="F15" s="79" t="e">
        <f>F41/F32</f>
        <v>#DIV/0!</v>
      </c>
      <c r="G15" s="79">
        <f>G41/G32</f>
        <v>6.0128915991312128E-2</v>
      </c>
    </row>
    <row r="16" spans="1:7">
      <c r="A16" s="75" t="s">
        <v>320</v>
      </c>
      <c r="B16" s="76"/>
      <c r="C16" s="84">
        <f>C44/C40</f>
        <v>0.86029119555425726</v>
      </c>
      <c r="D16" s="82">
        <f>D44/D40</f>
        <v>0.91284222053722508</v>
      </c>
      <c r="E16" s="82">
        <f>E44/E40</f>
        <v>0.88209002620604382</v>
      </c>
      <c r="F16" s="82" t="e">
        <f>F44/F40</f>
        <v>#DIV/0!</v>
      </c>
      <c r="G16" s="82">
        <f>G44/G40</f>
        <v>0.79898157254733526</v>
      </c>
    </row>
    <row r="17" spans="1:9">
      <c r="A17" s="75" t="s">
        <v>321</v>
      </c>
      <c r="B17" s="76"/>
      <c r="C17" s="82">
        <f>C42/C30</f>
        <v>2.1114194279738794E-2</v>
      </c>
      <c r="D17" s="82">
        <f>D42/D30</f>
        <v>3.2004404024709877E-3</v>
      </c>
      <c r="E17" s="82">
        <f>E42/E30</f>
        <v>8.5246189240273697E-3</v>
      </c>
      <c r="F17" s="82" t="e">
        <f>F42/F30</f>
        <v>#DIV/0!</v>
      </c>
      <c r="G17" s="82">
        <f>G42/G30</f>
        <v>1.4471496280025024E-2</v>
      </c>
    </row>
    <row r="18" spans="1:9">
      <c r="A18" s="81" t="s">
        <v>322</v>
      </c>
      <c r="B18" s="85"/>
      <c r="C18" s="82">
        <f>C45/C42</f>
        <v>1.8241432510035285</v>
      </c>
      <c r="D18" s="82">
        <f>D45/D42</f>
        <v>2.5388456697716548</v>
      </c>
      <c r="E18" s="82">
        <f>E45/E42</f>
        <v>2.0792721396963407</v>
      </c>
      <c r="F18" s="82" t="e">
        <f>F45/F42</f>
        <v>#DIV/0!</v>
      </c>
      <c r="G18" s="82">
        <f>G45/G42</f>
        <v>1.6778104875343056</v>
      </c>
    </row>
    <row r="19" spans="1:9">
      <c r="A19" s="250" t="s">
        <v>323</v>
      </c>
      <c r="B19" s="251"/>
      <c r="C19" s="251"/>
      <c r="D19" s="251"/>
      <c r="E19" s="251"/>
      <c r="F19" s="252"/>
      <c r="G19" s="253"/>
    </row>
    <row r="20" spans="1:9">
      <c r="A20" s="75" t="s">
        <v>324</v>
      </c>
      <c r="B20" s="86" t="s">
        <v>325</v>
      </c>
      <c r="C20" s="79">
        <f>C46/C47</f>
        <v>0.33588266230535635</v>
      </c>
      <c r="D20" s="79">
        <f>D46/D47</f>
        <v>0.4454413297462288</v>
      </c>
      <c r="E20" s="79">
        <f>E46/E47</f>
        <v>0.45759283090446018</v>
      </c>
      <c r="F20" s="79" t="e">
        <f>F46/F47</f>
        <v>#DIV/0!</v>
      </c>
      <c r="G20" s="79">
        <f>G46/G47</f>
        <v>0.53762832801063953</v>
      </c>
      <c r="I20" s="87"/>
    </row>
    <row r="21" spans="1:9">
      <c r="A21" s="75" t="s">
        <v>326</v>
      </c>
      <c r="B21" s="76" t="s">
        <v>327</v>
      </c>
      <c r="C21" s="79">
        <f>C48/C29</f>
        <v>1.5941271248519837E-2</v>
      </c>
      <c r="D21" s="79">
        <f>D48/D29</f>
        <v>1.415577054217552E-2</v>
      </c>
      <c r="E21" s="79">
        <f>E48/E29</f>
        <v>1.2698777397005291E-2</v>
      </c>
      <c r="F21" s="79" t="e">
        <f>F48/F29</f>
        <v>#DIV/0!</v>
      </c>
      <c r="G21" s="79">
        <f>G48/G29</f>
        <v>4.885822210180283E-2</v>
      </c>
      <c r="I21" s="88"/>
    </row>
    <row r="22" spans="1:9">
      <c r="A22" s="75" t="s">
        <v>328</v>
      </c>
      <c r="B22" s="76"/>
      <c r="C22" s="79">
        <f>C46/C29</f>
        <v>8.9409237980796585E-2</v>
      </c>
      <c r="D22" s="79">
        <f>D46/D29</f>
        <v>0.11709895139952284</v>
      </c>
      <c r="E22" s="79">
        <f>E46/E29</f>
        <v>0.11553873104851002</v>
      </c>
      <c r="F22" s="79" t="e">
        <f>F46/F29</f>
        <v>#DIV/0!</v>
      </c>
      <c r="G22" s="79">
        <f>G46/G29</f>
        <v>0.10366677035926812</v>
      </c>
    </row>
    <row r="23" spans="1:9">
      <c r="A23" s="250" t="s">
        <v>329</v>
      </c>
      <c r="B23" s="251"/>
      <c r="C23" s="251"/>
      <c r="D23" s="251"/>
      <c r="E23" s="251"/>
      <c r="F23" s="252"/>
      <c r="G23" s="253"/>
    </row>
    <row r="24" spans="1:9">
      <c r="A24" s="89" t="s">
        <v>330</v>
      </c>
      <c r="B24" s="85" t="s">
        <v>331</v>
      </c>
      <c r="C24" s="82">
        <f>C32/C29</f>
        <v>0.81615737316964942</v>
      </c>
      <c r="D24" s="82">
        <f>D32/D29</f>
        <v>0.80219752120140031</v>
      </c>
      <c r="E24" s="82">
        <f>E32/E29</f>
        <v>0.80146236854830355</v>
      </c>
      <c r="F24" s="82" t="e">
        <f>F32/F29</f>
        <v>#DIV/0!</v>
      </c>
      <c r="G24" s="82">
        <f>G32/G29</f>
        <v>0.7574673642475942</v>
      </c>
    </row>
    <row r="25" spans="1:9">
      <c r="A25" s="89" t="s">
        <v>332</v>
      </c>
      <c r="B25" s="90" t="s">
        <v>333</v>
      </c>
      <c r="C25" s="82">
        <f>C32/C31</f>
        <v>1.0639264882463775</v>
      </c>
      <c r="D25" s="82">
        <f>D32/D31</f>
        <v>0.99515094571962126</v>
      </c>
      <c r="E25" s="82">
        <f>E32/E31</f>
        <v>1.0149377466976661</v>
      </c>
      <c r="F25" s="82" t="e">
        <f>F32/F31</f>
        <v>#DIV/0!</v>
      </c>
      <c r="G25" s="82">
        <f>G32/G31</f>
        <v>1.0660128261811286</v>
      </c>
    </row>
    <row r="26" spans="1:9">
      <c r="A26" s="89" t="s">
        <v>334</v>
      </c>
      <c r="B26" s="90"/>
      <c r="C26" s="82">
        <f>C39/C29</f>
        <v>3.8223399255563367E-2</v>
      </c>
      <c r="D26" s="82">
        <f>D39/D29</f>
        <v>2.9374880113870454E-2</v>
      </c>
      <c r="E26" s="82">
        <f>E39/E29</f>
        <v>3.0250433424650686E-2</v>
      </c>
      <c r="F26" s="82" t="e">
        <f>F39/F29</f>
        <v>#DIV/0!</v>
      </c>
      <c r="G26" s="82">
        <f>G39/G29</f>
        <v>4.3658487304164585E-2</v>
      </c>
    </row>
    <row r="27" spans="1:9">
      <c r="A27" s="91" t="s">
        <v>335</v>
      </c>
      <c r="B27" s="92"/>
      <c r="C27" s="93">
        <f>C43/C40</f>
        <v>0.95525792757356909</v>
      </c>
      <c r="D27" s="93">
        <f>D43/D40</f>
        <v>0.54694557621917517</v>
      </c>
      <c r="E27" s="93">
        <f>E43/E40</f>
        <v>0.54728258705267863</v>
      </c>
      <c r="F27" s="93" t="e">
        <f>F43/F40</f>
        <v>#DIV/0!</v>
      </c>
      <c r="G27" s="94">
        <f>G43/G40</f>
        <v>0.27724022592509417</v>
      </c>
    </row>
    <row r="28" spans="1:9">
      <c r="A28" s="250" t="s">
        <v>336</v>
      </c>
      <c r="B28" s="251"/>
      <c r="C28" s="251">
        <v>2015</v>
      </c>
      <c r="D28" s="251">
        <v>2016</v>
      </c>
      <c r="E28" s="251">
        <v>2017</v>
      </c>
      <c r="F28" s="252"/>
      <c r="G28" s="253" t="s">
        <v>337</v>
      </c>
    </row>
    <row r="29" spans="1:9">
      <c r="A29" s="91" t="s">
        <v>27</v>
      </c>
      <c r="B29" s="95"/>
      <c r="C29" s="23">
        <v>28565225000</v>
      </c>
      <c r="D29" s="23">
        <v>29331483086.909996</v>
      </c>
      <c r="E29" s="23">
        <v>30061295073.179626</v>
      </c>
      <c r="F29" s="96"/>
      <c r="G29" s="118">
        <v>457824169498.27197</v>
      </c>
    </row>
    <row r="30" spans="1:9">
      <c r="A30" s="91" t="s">
        <v>338</v>
      </c>
      <c r="B30" s="95"/>
      <c r="C30" s="96">
        <v>26523579000</v>
      </c>
      <c r="D30" s="96">
        <v>28948354043.454998</v>
      </c>
      <c r="E30" s="96">
        <v>29313260036.589813</v>
      </c>
      <c r="F30" s="96"/>
      <c r="G30" s="118">
        <v>450050648721.08301</v>
      </c>
    </row>
    <row r="31" spans="1:9">
      <c r="A31" s="91" t="s">
        <v>140</v>
      </c>
      <c r="B31" s="95"/>
      <c r="C31" s="23">
        <v>21912904000</v>
      </c>
      <c r="D31" s="23">
        <v>23644295497.769997</v>
      </c>
      <c r="E31" s="23">
        <v>23738398566.190002</v>
      </c>
      <c r="F31" s="97"/>
      <c r="G31" s="118">
        <v>325312096103.96991</v>
      </c>
    </row>
    <row r="32" spans="1:9">
      <c r="A32" s="91" t="s">
        <v>339</v>
      </c>
      <c r="B32" s="95"/>
      <c r="C32" s="23">
        <v>23313719000</v>
      </c>
      <c r="D32" s="23">
        <v>23529643025.479996</v>
      </c>
      <c r="E32" s="23">
        <v>24092996750.979992</v>
      </c>
      <c r="F32" s="98"/>
      <c r="G32" s="118">
        <v>346786866958.69989</v>
      </c>
    </row>
    <row r="33" spans="1:7">
      <c r="A33" s="91" t="s">
        <v>105</v>
      </c>
      <c r="B33" s="95"/>
      <c r="C33" s="23">
        <v>3575294000</v>
      </c>
      <c r="D33" s="23">
        <v>3638388109.2157083</v>
      </c>
      <c r="E33" s="23">
        <v>3850883587.7828484</v>
      </c>
      <c r="F33" s="96"/>
      <c r="G33" s="118">
        <v>69326567615.863998</v>
      </c>
    </row>
    <row r="34" spans="1:7">
      <c r="A34" s="91" t="s">
        <v>340</v>
      </c>
      <c r="B34" s="95"/>
      <c r="C34" s="23">
        <v>2418199000</v>
      </c>
      <c r="D34" s="23">
        <v>2359060848.4457083</v>
      </c>
      <c r="E34" s="23">
        <v>2468537331.7828484</v>
      </c>
      <c r="F34" s="96"/>
      <c r="G34" s="118">
        <v>39736059767.639999</v>
      </c>
    </row>
    <row r="35" spans="1:7">
      <c r="A35" s="91" t="s">
        <v>341</v>
      </c>
      <c r="B35" s="95"/>
      <c r="C35" s="97">
        <v>1952728000</v>
      </c>
      <c r="D35" s="97">
        <v>1644862395.5999999</v>
      </c>
      <c r="E35" s="97">
        <v>1545057831.75</v>
      </c>
      <c r="F35" s="97"/>
      <c r="G35" s="118">
        <v>22269458144.235699</v>
      </c>
    </row>
    <row r="36" spans="1:7">
      <c r="A36" s="91" t="s">
        <v>192</v>
      </c>
      <c r="B36" s="95"/>
      <c r="C36" s="59">
        <v>2234759000</v>
      </c>
      <c r="D36" s="59">
        <v>2075834820.4499998</v>
      </c>
      <c r="E36" s="59">
        <v>2220666509.8599997</v>
      </c>
      <c r="F36" s="98"/>
      <c r="G36" s="118">
        <v>96626499692.642014</v>
      </c>
    </row>
    <row r="37" spans="1:7">
      <c r="A37" s="91" t="s">
        <v>23</v>
      </c>
      <c r="B37" s="95"/>
      <c r="C37" s="96">
        <v>235465000</v>
      </c>
      <c r="D37" s="23">
        <v>234856882.59999996</v>
      </c>
      <c r="E37" s="23">
        <v>226150949.63</v>
      </c>
      <c r="F37" s="96"/>
      <c r="G37" s="118">
        <v>15408701421.012005</v>
      </c>
    </row>
    <row r="38" spans="1:7">
      <c r="A38" s="91" t="s">
        <v>209</v>
      </c>
      <c r="B38" s="95"/>
      <c r="C38" s="59">
        <v>861610000</v>
      </c>
      <c r="D38" s="59">
        <v>835253457.24000001</v>
      </c>
      <c r="E38" s="59">
        <v>883011863.26999998</v>
      </c>
      <c r="F38" s="96"/>
      <c r="G38" s="118">
        <v>13416009870.690001</v>
      </c>
    </row>
    <row r="39" spans="1:7">
      <c r="A39" s="91" t="s">
        <v>208</v>
      </c>
      <c r="B39" s="95"/>
      <c r="C39" s="59">
        <v>1091860000</v>
      </c>
      <c r="D39" s="59">
        <v>861608799.24000001</v>
      </c>
      <c r="E39" s="59">
        <v>909367205.26999998</v>
      </c>
      <c r="F39" s="96"/>
      <c r="G39" s="118">
        <v>19987910691.580002</v>
      </c>
    </row>
    <row r="40" spans="1:7">
      <c r="A40" s="91" t="s">
        <v>202</v>
      </c>
      <c r="B40" s="95"/>
      <c r="C40" s="59">
        <v>4008509000</v>
      </c>
      <c r="D40" s="59">
        <v>1062985799.2799999</v>
      </c>
      <c r="E40" s="59">
        <v>2119281034.4399998</v>
      </c>
      <c r="F40" s="96"/>
      <c r="G40" s="118">
        <v>32399548495.73999</v>
      </c>
    </row>
    <row r="41" spans="1:7">
      <c r="A41" s="91" t="s">
        <v>67</v>
      </c>
      <c r="B41" s="95"/>
      <c r="C41" s="59">
        <v>1789452000</v>
      </c>
      <c r="D41" s="59">
        <v>464435109.49999976</v>
      </c>
      <c r="E41" s="59">
        <v>930912899.56999969</v>
      </c>
      <c r="F41" s="96"/>
      <c r="G41" s="118">
        <v>20851918390.25</v>
      </c>
    </row>
    <row r="42" spans="1:7">
      <c r="A42" s="91" t="s">
        <v>203</v>
      </c>
      <c r="B42" s="95"/>
      <c r="C42" s="59">
        <v>560024000</v>
      </c>
      <c r="D42" s="59">
        <v>92647481.865707755</v>
      </c>
      <c r="E42" s="59">
        <v>249884371.23284873</v>
      </c>
      <c r="F42" s="96"/>
      <c r="G42" s="118">
        <v>6512906288.7900019</v>
      </c>
    </row>
    <row r="43" spans="1:7">
      <c r="A43" s="91" t="s">
        <v>342</v>
      </c>
      <c r="B43" s="95"/>
      <c r="C43" s="59">
        <v>3829160000</v>
      </c>
      <c r="D43" s="59">
        <v>581395380.5</v>
      </c>
      <c r="E43" s="59">
        <v>1159845607.22</v>
      </c>
      <c r="F43" s="96"/>
      <c r="G43" s="118">
        <v>8982458144.8299999</v>
      </c>
    </row>
    <row r="44" spans="1:7">
      <c r="A44" s="91" t="s">
        <v>86</v>
      </c>
      <c r="B44" s="95"/>
      <c r="C44" s="59">
        <v>3448485000</v>
      </c>
      <c r="D44" s="59">
        <v>970338317.4142921</v>
      </c>
      <c r="E44" s="59">
        <v>1869396663.2071512</v>
      </c>
      <c r="F44" s="96"/>
      <c r="G44" s="118">
        <v>25886642206.949989</v>
      </c>
    </row>
    <row r="45" spans="1:7">
      <c r="A45" s="91" t="s">
        <v>207</v>
      </c>
      <c r="B45" s="95"/>
      <c r="C45" s="59">
        <v>1021564000</v>
      </c>
      <c r="D45" s="59">
        <v>235217658.15000004</v>
      </c>
      <c r="E45" s="59">
        <v>519577611.25000012</v>
      </c>
      <c r="F45" s="96"/>
      <c r="G45" s="118">
        <v>10927422475.659998</v>
      </c>
    </row>
    <row r="46" spans="1:7">
      <c r="A46" s="91" t="s">
        <v>205</v>
      </c>
      <c r="B46" s="95"/>
      <c r="C46" s="59">
        <v>2553995000</v>
      </c>
      <c r="D46" s="59">
        <v>3434685912.4699998</v>
      </c>
      <c r="E46" s="59">
        <v>3473243886.4300003</v>
      </c>
      <c r="F46" s="96"/>
      <c r="G46" s="118">
        <v>47461153044.300003</v>
      </c>
    </row>
    <row r="47" spans="1:7">
      <c r="A47" s="91" t="s">
        <v>343</v>
      </c>
      <c r="B47" s="95"/>
      <c r="C47" s="59">
        <v>7603831000</v>
      </c>
      <c r="D47" s="59">
        <v>7710748157.1742916</v>
      </c>
      <c r="E47" s="59">
        <v>7590249785.0871515</v>
      </c>
      <c r="F47" s="96"/>
      <c r="G47" s="118">
        <v>88278743086.173019</v>
      </c>
    </row>
    <row r="48" spans="1:7">
      <c r="A48" s="91" t="s">
        <v>164</v>
      </c>
      <c r="B48" s="95"/>
      <c r="C48" s="96">
        <v>455366000</v>
      </c>
      <c r="D48" s="23">
        <v>415209744.24000001</v>
      </c>
      <c r="E48" s="23">
        <v>381741694.39999998</v>
      </c>
      <c r="F48" s="96"/>
      <c r="G48" s="118">
        <v>22368474956.919998</v>
      </c>
    </row>
    <row r="49" spans="1:7">
      <c r="A49" s="270" t="s">
        <v>344</v>
      </c>
      <c r="B49" s="271"/>
      <c r="C49" s="271"/>
      <c r="D49" s="271"/>
      <c r="E49" s="271"/>
      <c r="F49" s="271"/>
      <c r="G49" s="272"/>
    </row>
    <row r="50" spans="1:7">
      <c r="A50" s="99" t="s">
        <v>345</v>
      </c>
      <c r="B50" s="100"/>
      <c r="C50" s="101"/>
      <c r="D50" s="101"/>
      <c r="E50" s="101"/>
      <c r="F50" s="102"/>
      <c r="G50" s="103"/>
    </row>
    <row r="51" spans="1:7">
      <c r="A51" s="99">
        <v>2</v>
      </c>
      <c r="B51" s="100"/>
      <c r="C51" s="101"/>
      <c r="D51" s="101"/>
      <c r="E51" s="101"/>
      <c r="F51" s="102"/>
      <c r="G51" s="103"/>
    </row>
    <row r="52" spans="1:7">
      <c r="A52" s="99">
        <v>3</v>
      </c>
      <c r="B52" s="100"/>
      <c r="C52" s="101"/>
      <c r="D52" s="101"/>
      <c r="E52" s="101"/>
      <c r="F52" s="102"/>
      <c r="G52" s="103"/>
    </row>
    <row r="53" spans="1:7">
      <c r="A53" s="104">
        <v>4</v>
      </c>
      <c r="B53" s="273"/>
      <c r="C53" s="273"/>
      <c r="D53" s="273"/>
      <c r="E53" s="274"/>
      <c r="F53" s="274"/>
      <c r="G53" s="275"/>
    </row>
    <row r="54" spans="1:7">
      <c r="A54" s="105" t="s">
        <v>346</v>
      </c>
      <c r="B54" s="100"/>
      <c r="C54" s="276"/>
      <c r="D54" s="277"/>
      <c r="E54" s="277"/>
      <c r="F54" s="277"/>
      <c r="G54" s="278"/>
    </row>
    <row r="55" spans="1:7">
      <c r="A55" s="105"/>
      <c r="B55" s="100"/>
      <c r="C55" s="106"/>
      <c r="D55" s="106"/>
      <c r="E55" s="107"/>
      <c r="F55" s="107"/>
      <c r="G55" s="108"/>
    </row>
    <row r="56" spans="1:7">
      <c r="A56" s="109" t="s">
        <v>347</v>
      </c>
      <c r="B56" s="110"/>
      <c r="C56" s="276"/>
      <c r="D56" s="277"/>
      <c r="E56" s="277"/>
      <c r="F56" s="277"/>
      <c r="G56" s="278"/>
    </row>
    <row r="57" spans="1:7">
      <c r="A57" s="19"/>
      <c r="B57" s="100"/>
      <c r="C57" s="101"/>
      <c r="D57" s="101"/>
      <c r="E57" s="101"/>
      <c r="F57" s="102"/>
      <c r="G57" s="103"/>
    </row>
    <row r="58" spans="1:7">
      <c r="A58" s="105" t="s">
        <v>348</v>
      </c>
      <c r="B58" s="100"/>
      <c r="C58" s="276"/>
      <c r="D58" s="277"/>
      <c r="E58" s="277"/>
      <c r="F58" s="277"/>
      <c r="G58" s="278"/>
    </row>
    <row r="59" spans="1:7" ht="15" thickBot="1">
      <c r="A59" s="111"/>
      <c r="B59" s="112"/>
      <c r="C59" s="113"/>
      <c r="D59" s="113"/>
      <c r="E59" s="113"/>
      <c r="F59" s="114"/>
      <c r="G59" s="115"/>
    </row>
    <row r="60" spans="1:7">
      <c r="A60" s="119" t="s">
        <v>349</v>
      </c>
    </row>
    <row r="61" spans="1:7">
      <c r="A61" s="83"/>
    </row>
    <row r="62" spans="1:7">
      <c r="A62" s="83"/>
    </row>
  </sheetData>
  <mergeCells count="17">
    <mergeCell ref="A49:G49"/>
    <mergeCell ref="B53:G53"/>
    <mergeCell ref="C54:G54"/>
    <mergeCell ref="C56:G56"/>
    <mergeCell ref="C58:G58"/>
    <mergeCell ref="A28:G28"/>
    <mergeCell ref="A1:G1"/>
    <mergeCell ref="A2:G2"/>
    <mergeCell ref="B3:B4"/>
    <mergeCell ref="D3:E3"/>
    <mergeCell ref="F3:F4"/>
    <mergeCell ref="G3:G4"/>
    <mergeCell ref="A5:G5"/>
    <mergeCell ref="A9:G9"/>
    <mergeCell ref="A14:G14"/>
    <mergeCell ref="A19:G19"/>
    <mergeCell ref="A23:G2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2837D6-6C6A-4F18-BDDF-B044B1DAF79B}"/>
</file>

<file path=customXml/itemProps2.xml><?xml version="1.0" encoding="utf-8"?>
<ds:datastoreItem xmlns:ds="http://schemas.openxmlformats.org/officeDocument/2006/customXml" ds:itemID="{9818219A-312B-4AFD-890B-86637573FC9D}"/>
</file>

<file path=customXml/itemProps3.xml><?xml version="1.0" encoding="utf-8"?>
<ds:datastoreItem xmlns:ds="http://schemas.openxmlformats.org/officeDocument/2006/customXml" ds:itemID="{4555428E-CA12-4CC4-8AA9-B9FB4D5E9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Irene Oreta</cp:lastModifiedBy>
  <cp:revision/>
  <dcterms:created xsi:type="dcterms:W3CDTF">2012-11-01T05:11:14Z</dcterms:created>
  <dcterms:modified xsi:type="dcterms:W3CDTF">2023-09-21T11:55:29Z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2b3b2-3762-4506-88a3-8b8c11cc60e6_Enabled">
    <vt:lpwstr>true</vt:lpwstr>
  </property>
  <property fmtid="{D5CDD505-2E9C-101B-9397-08002B2CF9AE}" pid="3" name="MSIP_Label_7a02b3b2-3762-4506-88a3-8b8c11cc60e6_SetDate">
    <vt:lpwstr>2022-02-15T16:18:13Z</vt:lpwstr>
  </property>
  <property fmtid="{D5CDD505-2E9C-101B-9397-08002B2CF9AE}" pid="4" name="MSIP_Label_7a02b3b2-3762-4506-88a3-8b8c11cc60e6_Method">
    <vt:lpwstr>Privileged</vt:lpwstr>
  </property>
  <property fmtid="{D5CDD505-2E9C-101B-9397-08002B2CF9AE}" pid="5" name="MSIP_Label_7a02b3b2-3762-4506-88a3-8b8c11cc60e6_Name">
    <vt:lpwstr>Internal Use</vt:lpwstr>
  </property>
  <property fmtid="{D5CDD505-2E9C-101B-9397-08002B2CF9AE}" pid="6" name="MSIP_Label_7a02b3b2-3762-4506-88a3-8b8c11cc60e6_SiteId">
    <vt:lpwstr>d6c8161d-ccd5-4325-b291-dd442c369fe4</vt:lpwstr>
  </property>
  <property fmtid="{D5CDD505-2E9C-101B-9397-08002B2CF9AE}" pid="7" name="MSIP_Label_7a02b3b2-3762-4506-88a3-8b8c11cc60e6_ActionId">
    <vt:lpwstr>f633fab2-9638-41c5-9d29-ed3bd2f8c488</vt:lpwstr>
  </property>
  <property fmtid="{D5CDD505-2E9C-101B-9397-08002B2CF9AE}" pid="8" name="MSIP_Label_7a02b3b2-3762-4506-88a3-8b8c11cc60e6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
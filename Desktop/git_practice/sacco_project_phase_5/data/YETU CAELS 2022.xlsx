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1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asrake-my.sharepoint.com/personal/dmwatu_sasra_go_ke/Documents/Documents/"/>
    </mc:Choice>
  </mc:AlternateContent>
  <xr:revisionPtr revIDLastSave="301" documentId="8_{D8D43534-DF13-42B1-8C96-9071086A4D6B}" xr6:coauthVersionLast="47" xr6:coauthVersionMax="47" xr10:uidLastSave="{B4887509-3105-40EF-BB85-F0011AC64D03}"/>
  <bookViews>
    <workbookView xWindow="0" yWindow="0" windowWidth="19200" windowHeight="5940" tabRatio="759" firstSheet="4" activeTab="10" xr2:uid="{00000000-000D-0000-FFFF-FFFF00000000}"/>
  </bookViews>
  <sheets>
    <sheet name="Sheet2" sheetId="18" r:id="rId1"/>
    <sheet name="statement of deposit" sheetId="3" r:id="rId2"/>
    <sheet name="STATEMENT OF FINANCIAL POSITION" sheetId="6" r:id="rId3"/>
    <sheet name="STATEMENT OF COMPREHENSIVE INCO" sheetId="7" r:id="rId4"/>
    <sheet name="FINANCIALS" sheetId="10" r:id="rId5"/>
    <sheet name="PRUDENTIAL RATIOS" sheetId="9" r:id="rId6"/>
    <sheet name="CAELS" sheetId="14" r:id="rId7"/>
    <sheet name="FORM 4" sheetId="12" r:id="rId8"/>
    <sheet name="form 3" sheetId="16" r:id="rId9"/>
    <sheet name="Sheet1" sheetId="17" r:id="rId10"/>
    <sheet name="PERFORMANCE TOOL" sheetId="19" r:id="rId11"/>
  </sheets>
  <externalReferences>
    <externalReference r:id="rId12"/>
  </externalReferences>
  <definedNames>
    <definedName name="_xlnm.Print_Area" localSheetId="6">CAELS!$A$1:$N$25</definedName>
    <definedName name="_xlnm.Print_Area" localSheetId="4">FINANCIALS!$A$1:$M$44</definedName>
    <definedName name="_xlnm.Print_Area" localSheetId="3">'STATEMENT OF COMPREHENSIVE INCO'!$A$1:$L$64</definedName>
    <definedName name="_xlnm.Print_Area" localSheetId="2">'STATEMENT OF FINANCIAL POSITION'!$A$1:$L$86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F5" i="9" l="1"/>
  <c r="BF6" i="9"/>
  <c r="BF7" i="9"/>
  <c r="BF8" i="9"/>
  <c r="BF12" i="9"/>
  <c r="BF13" i="9"/>
  <c r="BF16" i="9"/>
  <c r="BF17" i="9"/>
  <c r="BF18" i="9"/>
  <c r="BF22" i="9"/>
  <c r="BF23" i="9"/>
  <c r="BF24" i="9"/>
  <c r="BF25" i="9"/>
  <c r="BF26" i="9"/>
  <c r="BF29" i="9"/>
  <c r="BF30" i="9"/>
  <c r="BF31" i="9"/>
  <c r="BF32" i="9"/>
  <c r="BF33" i="9"/>
  <c r="BF34" i="9"/>
  <c r="BF35" i="9"/>
  <c r="BF37" i="9"/>
  <c r="BF4" i="10"/>
  <c r="BF5" i="10"/>
  <c r="BF6" i="10"/>
  <c r="BF7" i="10"/>
  <c r="BF8" i="10"/>
  <c r="BF15" i="10"/>
  <c r="BF16" i="10"/>
  <c r="BF17" i="10"/>
  <c r="BF18" i="10"/>
  <c r="BF25" i="10"/>
  <c r="BF23" i="10" s="1"/>
  <c r="BF28" i="10"/>
  <c r="BF29" i="10"/>
  <c r="BF31" i="10"/>
  <c r="BF32" i="10"/>
  <c r="BF34" i="10"/>
  <c r="BF35" i="10"/>
  <c r="BF36" i="10"/>
  <c r="BF37" i="10"/>
  <c r="BF40" i="10"/>
  <c r="BF43" i="10"/>
  <c r="BF44" i="10"/>
  <c r="BF10" i="7"/>
  <c r="BF11" i="7"/>
  <c r="BF15" i="7"/>
  <c r="BF21" i="7"/>
  <c r="BF30" i="7"/>
  <c r="BF32" i="7"/>
  <c r="BF36" i="7"/>
  <c r="BF43" i="7"/>
  <c r="BF45" i="7"/>
  <c r="BF49" i="7"/>
  <c r="BF53" i="7"/>
  <c r="BF56" i="7"/>
  <c r="BF57" i="7"/>
  <c r="BE5" i="9"/>
  <c r="BE6" i="9"/>
  <c r="BE7" i="9"/>
  <c r="BE8" i="9"/>
  <c r="BE12" i="9"/>
  <c r="BE13" i="9"/>
  <c r="BE16" i="9"/>
  <c r="BE17" i="9"/>
  <c r="BE18" i="9"/>
  <c r="BE22" i="9"/>
  <c r="BE23" i="9"/>
  <c r="BE24" i="9"/>
  <c r="BE25" i="9"/>
  <c r="BE26" i="9"/>
  <c r="BE29" i="9"/>
  <c r="BE30" i="9"/>
  <c r="BE31" i="9"/>
  <c r="BE32" i="9"/>
  <c r="BE33" i="9"/>
  <c r="BE34" i="9"/>
  <c r="BE35" i="9"/>
  <c r="BE37" i="9"/>
  <c r="BE4" i="10"/>
  <c r="BE5" i="10"/>
  <c r="BE6" i="10"/>
  <c r="BE7" i="10"/>
  <c r="BE8" i="10"/>
  <c r="BE15" i="10"/>
  <c r="BE16" i="10"/>
  <c r="BE17" i="10"/>
  <c r="BE18" i="10"/>
  <c r="BE25" i="10"/>
  <c r="BE23" i="10" s="1"/>
  <c r="BE28" i="10"/>
  <c r="BE29" i="10"/>
  <c r="BE31" i="10"/>
  <c r="BE32" i="10"/>
  <c r="BE34" i="10"/>
  <c r="BE35" i="10"/>
  <c r="BE36" i="10"/>
  <c r="BE37" i="10"/>
  <c r="BE40" i="10"/>
  <c r="BE43" i="10"/>
  <c r="BE44" i="10"/>
  <c r="BE57" i="7"/>
  <c r="BE56" i="7"/>
  <c r="BE53" i="7"/>
  <c r="BE49" i="7"/>
  <c r="BE45" i="7"/>
  <c r="BE43" i="7"/>
  <c r="BE36" i="7"/>
  <c r="BE32" i="7"/>
  <c r="BE30" i="7"/>
  <c r="BE21" i="7"/>
  <c r="BE15" i="7"/>
  <c r="BE11" i="7"/>
  <c r="BE10" i="7"/>
  <c r="BE74" i="6"/>
  <c r="BE73" i="6"/>
  <c r="BE71" i="6"/>
  <c r="BE65" i="6"/>
  <c r="BF65" i="6"/>
  <c r="BE61" i="6"/>
  <c r="BF61" i="6"/>
  <c r="BF71" i="6" s="1"/>
  <c r="BE55" i="6"/>
  <c r="BE48" i="6"/>
  <c r="BF48" i="6"/>
  <c r="BE46" i="6"/>
  <c r="BF46" i="6"/>
  <c r="BF55" i="6" s="1"/>
  <c r="BF73" i="6" s="1"/>
  <c r="BE39" i="6"/>
  <c r="BE32" i="6"/>
  <c r="BF32" i="6"/>
  <c r="BE27" i="6"/>
  <c r="BF27" i="6"/>
  <c r="BE23" i="6"/>
  <c r="BF23" i="6"/>
  <c r="BE16" i="6"/>
  <c r="BF16" i="6"/>
  <c r="BE10" i="6"/>
  <c r="BF10" i="6"/>
  <c r="BF39" i="6" s="1"/>
  <c r="BF74" i="6" s="1"/>
  <c r="BD39" i="6"/>
  <c r="BD6" i="10"/>
  <c r="BD7" i="10"/>
  <c r="BD8" i="10"/>
  <c r="BD15" i="10"/>
  <c r="BD17" i="10"/>
  <c r="BD18" i="10"/>
  <c r="BD25" i="10"/>
  <c r="BD23" i="10" s="1"/>
  <c r="BD28" i="10"/>
  <c r="BD29" i="10"/>
  <c r="BD35" i="10"/>
  <c r="BD37" i="10"/>
  <c r="BD43" i="10"/>
  <c r="BD45" i="7"/>
  <c r="BD36" i="7"/>
  <c r="BD44" i="10" s="1"/>
  <c r="BD32" i="7"/>
  <c r="BD21" i="7"/>
  <c r="BD15" i="7"/>
  <c r="BD36" i="10" s="1"/>
  <c r="BD11" i="7"/>
  <c r="BD10" i="7"/>
  <c r="BD65" i="6"/>
  <c r="BD61" i="6"/>
  <c r="BD48" i="6"/>
  <c r="BD46" i="6"/>
  <c r="BD32" i="6"/>
  <c r="BD27" i="6"/>
  <c r="BD23" i="6"/>
  <c r="BD16" i="6"/>
  <c r="BD10" i="6"/>
  <c r="AZ35" i="9"/>
  <c r="BA35" i="9"/>
  <c r="BB35" i="9"/>
  <c r="BC35" i="9"/>
  <c r="AZ37" i="9"/>
  <c r="BA37" i="9"/>
  <c r="BB37" i="9"/>
  <c r="BC37" i="9"/>
  <c r="AZ6" i="10"/>
  <c r="BA6" i="10"/>
  <c r="BB6" i="10"/>
  <c r="BC6" i="10"/>
  <c r="AZ7" i="10"/>
  <c r="BA7" i="10"/>
  <c r="BB7" i="10"/>
  <c r="BC7" i="10"/>
  <c r="AZ8" i="10"/>
  <c r="BA8" i="10"/>
  <c r="BB8" i="10"/>
  <c r="BC8" i="10"/>
  <c r="AZ15" i="10"/>
  <c r="BA15" i="10"/>
  <c r="BB15" i="10"/>
  <c r="BC15" i="10"/>
  <c r="AZ17" i="10"/>
  <c r="BA17" i="10"/>
  <c r="BB17" i="10"/>
  <c r="BC17" i="10"/>
  <c r="AZ18" i="10"/>
  <c r="BA18" i="10"/>
  <c r="BB18" i="10"/>
  <c r="BC18" i="10"/>
  <c r="AZ25" i="10"/>
  <c r="AZ23" i="10" s="1"/>
  <c r="BA25" i="10"/>
  <c r="BA23" i="10" s="1"/>
  <c r="BB25" i="10"/>
  <c r="BB23" i="10" s="1"/>
  <c r="BC25" i="10"/>
  <c r="BC23" i="10" s="1"/>
  <c r="AZ28" i="10"/>
  <c r="BA28" i="10"/>
  <c r="BB28" i="10"/>
  <c r="BC28" i="10"/>
  <c r="AZ29" i="10"/>
  <c r="BA29" i="10"/>
  <c r="BB29" i="10"/>
  <c r="BC29" i="10"/>
  <c r="AZ34" i="10"/>
  <c r="BA34" i="10"/>
  <c r="BB34" i="10"/>
  <c r="BC34" i="10"/>
  <c r="AZ35" i="10"/>
  <c r="BA35" i="10"/>
  <c r="BB35" i="10"/>
  <c r="BC35" i="10"/>
  <c r="AZ36" i="10"/>
  <c r="BA36" i="10"/>
  <c r="BB36" i="10"/>
  <c r="BC36" i="10"/>
  <c r="AZ37" i="10"/>
  <c r="BA37" i="10"/>
  <c r="BB37" i="10"/>
  <c r="BC37" i="10"/>
  <c r="AZ40" i="10"/>
  <c r="BA40" i="10"/>
  <c r="BB40" i="10"/>
  <c r="BC40" i="10"/>
  <c r="AZ43" i="10"/>
  <c r="BA43" i="10"/>
  <c r="BB43" i="10"/>
  <c r="BC43" i="10"/>
  <c r="AZ44" i="10"/>
  <c r="BA44" i="10"/>
  <c r="BB44" i="10"/>
  <c r="BC44" i="10"/>
  <c r="AY21" i="7"/>
  <c r="AZ21" i="7"/>
  <c r="BA21" i="7"/>
  <c r="BB21" i="7"/>
  <c r="BC21" i="7"/>
  <c r="AZ30" i="7"/>
  <c r="BA30" i="7"/>
  <c r="BB30" i="7"/>
  <c r="BC30" i="7"/>
  <c r="AZ45" i="7"/>
  <c r="BA45" i="7"/>
  <c r="BB45" i="7"/>
  <c r="BC45" i="7"/>
  <c r="AZ36" i="7"/>
  <c r="BA36" i="7"/>
  <c r="BB36" i="7"/>
  <c r="BC36" i="7"/>
  <c r="AZ32" i="7"/>
  <c r="BA32" i="7"/>
  <c r="BB32" i="7"/>
  <c r="BC32" i="7"/>
  <c r="AZ57" i="7"/>
  <c r="BA57" i="7"/>
  <c r="BB57" i="7"/>
  <c r="BC57" i="7"/>
  <c r="AZ15" i="7"/>
  <c r="BA15" i="7"/>
  <c r="BB15" i="7"/>
  <c r="BC15" i="7"/>
  <c r="AZ11" i="7"/>
  <c r="BA11" i="7"/>
  <c r="BB11" i="7"/>
  <c r="BC11" i="7"/>
  <c r="AZ10" i="7"/>
  <c r="AZ43" i="7" s="1"/>
  <c r="AZ49" i="7" s="1"/>
  <c r="AZ53" i="7" s="1"/>
  <c r="AZ56" i="7" s="1"/>
  <c r="BA10" i="7"/>
  <c r="BA43" i="7" s="1"/>
  <c r="BA49" i="7" s="1"/>
  <c r="BA53" i="7" s="1"/>
  <c r="BA56" i="7" s="1"/>
  <c r="BB10" i="7"/>
  <c r="BB43" i="7" s="1"/>
  <c r="BB49" i="7" s="1"/>
  <c r="BB53" i="7" s="1"/>
  <c r="BB56" i="7" s="1"/>
  <c r="BC10" i="7"/>
  <c r="BC43" i="7" s="1"/>
  <c r="BC49" i="7" s="1"/>
  <c r="BC53" i="7" s="1"/>
  <c r="BC56" i="7" s="1"/>
  <c r="AZ65" i="6"/>
  <c r="BA65" i="6"/>
  <c r="BB65" i="6"/>
  <c r="BC65" i="6"/>
  <c r="AZ61" i="6"/>
  <c r="BA61" i="6"/>
  <c r="BB61" i="6"/>
  <c r="BC61" i="6"/>
  <c r="AZ48" i="6"/>
  <c r="BA48" i="6"/>
  <c r="BB48" i="6"/>
  <c r="BC48" i="6"/>
  <c r="AZ46" i="6"/>
  <c r="BA46" i="6"/>
  <c r="BB46" i="6"/>
  <c r="BC46" i="6"/>
  <c r="AZ32" i="6"/>
  <c r="BA32" i="6"/>
  <c r="BB32" i="6"/>
  <c r="BC32" i="6"/>
  <c r="AZ27" i="6"/>
  <c r="BA27" i="6"/>
  <c r="BB27" i="6"/>
  <c r="BC27" i="6"/>
  <c r="AZ23" i="6"/>
  <c r="BA23" i="6"/>
  <c r="BB23" i="6"/>
  <c r="BC23" i="6"/>
  <c r="AZ16" i="6"/>
  <c r="BA16" i="6"/>
  <c r="BB16" i="6"/>
  <c r="BC16" i="6"/>
  <c r="AZ10" i="6"/>
  <c r="AZ39" i="6" s="1"/>
  <c r="AZ4" i="10" s="1"/>
  <c r="BA10" i="6"/>
  <c r="BA39" i="6" s="1"/>
  <c r="BA4" i="10" s="1"/>
  <c r="BA29" i="9" s="1"/>
  <c r="BB10" i="6"/>
  <c r="BB39" i="6" s="1"/>
  <c r="BB4" i="10" s="1"/>
  <c r="BB29" i="9" s="1"/>
  <c r="BC10" i="6"/>
  <c r="BC39" i="6" s="1"/>
  <c r="BC4" i="10" s="1"/>
  <c r="BC29" i="9" s="1"/>
  <c r="AY46" i="6"/>
  <c r="AY6" i="10"/>
  <c r="AY7" i="10"/>
  <c r="AY8" i="10"/>
  <c r="AY15" i="10"/>
  <c r="AY17" i="10"/>
  <c r="AY25" i="10"/>
  <c r="AY23" i="10" s="1"/>
  <c r="AY28" i="10"/>
  <c r="AY29" i="10"/>
  <c r="AY48" i="9" s="1"/>
  <c r="AY35" i="10"/>
  <c r="AY43" i="10"/>
  <c r="AY42" i="9" s="1"/>
  <c r="AY45" i="7"/>
  <c r="AY36" i="7"/>
  <c r="AY32" i="7"/>
  <c r="AY25" i="7"/>
  <c r="AY19" i="7"/>
  <c r="AY15" i="7" s="1"/>
  <c r="AY36" i="10" s="1"/>
  <c r="AY13" i="7"/>
  <c r="AY61" i="6"/>
  <c r="AY48" i="6"/>
  <c r="AY27" i="6"/>
  <c r="AY23" i="6"/>
  <c r="AY16" i="6"/>
  <c r="AY67" i="6"/>
  <c r="AY36" i="6"/>
  <c r="AY32" i="6" s="1"/>
  <c r="AY12" i="6"/>
  <c r="AY10" i="6" s="1"/>
  <c r="BF27" i="10" l="1"/>
  <c r="BF14" i="10"/>
  <c r="BF11" i="10" s="1"/>
  <c r="BF12" i="10" s="1"/>
  <c r="BE27" i="10"/>
  <c r="BE14" i="10"/>
  <c r="BE11" i="10" s="1"/>
  <c r="BE12" i="10" s="1"/>
  <c r="BD40" i="10"/>
  <c r="BD37" i="9" s="1"/>
  <c r="BD57" i="7"/>
  <c r="BD34" i="10"/>
  <c r="BD35" i="9" s="1"/>
  <c r="BD30" i="7"/>
  <c r="BD43" i="7" s="1"/>
  <c r="BD49" i="7" s="1"/>
  <c r="BD53" i="7" s="1"/>
  <c r="BD56" i="7" s="1"/>
  <c r="AY39" i="6"/>
  <c r="AY4" i="10" s="1"/>
  <c r="AZ29" i="9"/>
  <c r="BC31" i="10"/>
  <c r="BC12" i="9" s="1"/>
  <c r="BC32" i="10"/>
  <c r="BC13" i="9" s="1"/>
  <c r="BB31" i="10"/>
  <c r="BB12" i="9" s="1"/>
  <c r="BB32" i="10"/>
  <c r="BB13" i="9" s="1"/>
  <c r="BA31" i="10"/>
  <c r="BA12" i="9" s="1"/>
  <c r="BA32" i="10"/>
  <c r="BA13" i="9" s="1"/>
  <c r="AZ31" i="10"/>
  <c r="AZ12" i="9" s="1"/>
  <c r="AZ32" i="10"/>
  <c r="AZ13" i="9" s="1"/>
  <c r="BC5" i="10"/>
  <c r="BB5" i="10"/>
  <c r="BA5" i="10"/>
  <c r="AZ5" i="10"/>
  <c r="BC55" i="6"/>
  <c r="BB55" i="6"/>
  <c r="BA55" i="6"/>
  <c r="AZ55" i="6"/>
  <c r="BC71" i="6"/>
  <c r="BC16" i="10"/>
  <c r="BB71" i="6"/>
  <c r="BB16" i="10"/>
  <c r="BA71" i="6"/>
  <c r="BA16" i="10"/>
  <c r="AZ71" i="6"/>
  <c r="AZ16" i="10"/>
  <c r="BC18" i="9"/>
  <c r="BC33" i="9"/>
  <c r="BB18" i="9"/>
  <c r="BB33" i="9"/>
  <c r="BA18" i="9"/>
  <c r="BA33" i="9"/>
  <c r="AZ18" i="9"/>
  <c r="AZ33" i="9"/>
  <c r="BC25" i="9"/>
  <c r="BB25" i="9"/>
  <c r="BA25" i="9"/>
  <c r="AZ25" i="9"/>
  <c r="BC24" i="9"/>
  <c r="BC32" i="9"/>
  <c r="BB24" i="9"/>
  <c r="BB32" i="9"/>
  <c r="BA24" i="9"/>
  <c r="BA32" i="9"/>
  <c r="AZ24" i="9"/>
  <c r="AZ32" i="9"/>
  <c r="BC23" i="9"/>
  <c r="BC31" i="9"/>
  <c r="BB23" i="9"/>
  <c r="BB31" i="9"/>
  <c r="BA23" i="9"/>
  <c r="BA31" i="9"/>
  <c r="AZ23" i="9"/>
  <c r="AZ31" i="9"/>
  <c r="BD31" i="10"/>
  <c r="BD32" i="10"/>
  <c r="BD55" i="6"/>
  <c r="BD5" i="10"/>
  <c r="BD71" i="6"/>
  <c r="BD16" i="10"/>
  <c r="BD33" i="9"/>
  <c r="BD32" i="9"/>
  <c r="BD31" i="9"/>
  <c r="BD4" i="10"/>
  <c r="BD27" i="10"/>
  <c r="BD14" i="10"/>
  <c r="BD11" i="10" s="1"/>
  <c r="BC27" i="10"/>
  <c r="BB27" i="10"/>
  <c r="BA27" i="10"/>
  <c r="AZ27" i="10"/>
  <c r="BC14" i="10"/>
  <c r="BC11" i="10" s="1"/>
  <c r="BB14" i="10"/>
  <c r="BB11" i="10" s="1"/>
  <c r="BA14" i="10"/>
  <c r="BA11" i="10" s="1"/>
  <c r="AZ14" i="10"/>
  <c r="AZ11" i="10" s="1"/>
  <c r="AY44" i="10"/>
  <c r="AY57" i="7"/>
  <c r="AY31" i="10"/>
  <c r="AY12" i="9" s="1"/>
  <c r="AY32" i="10"/>
  <c r="AY13" i="9" s="1"/>
  <c r="AY18" i="10"/>
  <c r="AY65" i="6"/>
  <c r="AY5" i="10"/>
  <c r="AY55" i="6"/>
  <c r="AY16" i="10"/>
  <c r="AY71" i="6"/>
  <c r="AY37" i="10"/>
  <c r="AY11" i="7"/>
  <c r="AY40" i="10"/>
  <c r="AY43" i="9"/>
  <c r="AY18" i="9"/>
  <c r="AY27" i="10"/>
  <c r="AY14" i="10"/>
  <c r="AY11" i="10" s="1"/>
  <c r="AY41" i="9"/>
  <c r="AY25" i="9"/>
  <c r="AY24" i="9"/>
  <c r="AY23" i="9"/>
  <c r="AY10" i="7"/>
  <c r="AZ12" i="10" l="1"/>
  <c r="AZ8" i="9" s="1"/>
  <c r="AZ5" i="9"/>
  <c r="AZ6" i="9"/>
  <c r="AZ7" i="9"/>
  <c r="AZ17" i="9"/>
  <c r="AZ26" i="9"/>
  <c r="AZ34" i="9"/>
  <c r="BA12" i="10"/>
  <c r="BA8" i="9" s="1"/>
  <c r="BA5" i="9"/>
  <c r="BA6" i="9"/>
  <c r="BA7" i="9"/>
  <c r="BA17" i="9"/>
  <c r="BA26" i="9"/>
  <c r="BA34" i="9"/>
  <c r="BB12" i="10"/>
  <c r="BB8" i="9" s="1"/>
  <c r="BB5" i="9"/>
  <c r="BB6" i="9"/>
  <c r="BB7" i="9"/>
  <c r="BB17" i="9"/>
  <c r="BB26" i="9"/>
  <c r="BB34" i="9"/>
  <c r="BC12" i="10"/>
  <c r="BC8" i="9" s="1"/>
  <c r="BC5" i="9"/>
  <c r="BC6" i="9"/>
  <c r="BC7" i="9"/>
  <c r="BC17" i="9"/>
  <c r="BC26" i="9"/>
  <c r="BC34" i="9"/>
  <c r="BD12" i="10"/>
  <c r="BD5" i="9"/>
  <c r="BD7" i="9"/>
  <c r="BD17" i="9"/>
  <c r="BD34" i="9"/>
  <c r="BD16" i="9"/>
  <c r="BD30" i="9"/>
  <c r="BD73" i="6"/>
  <c r="BD74" i="6" s="1"/>
  <c r="AZ73" i="6"/>
  <c r="AZ74" i="6" s="1"/>
  <c r="BA73" i="6"/>
  <c r="BA74" i="6" s="1"/>
  <c r="BB73" i="6"/>
  <c r="BB74" i="6" s="1"/>
  <c r="BC73" i="6"/>
  <c r="BC74" i="6" s="1"/>
  <c r="AZ16" i="9"/>
  <c r="AZ22" i="9"/>
  <c r="AZ30" i="9"/>
  <c r="BA16" i="9"/>
  <c r="BA22" i="9"/>
  <c r="BA30" i="9"/>
  <c r="BB16" i="9"/>
  <c r="BB22" i="9"/>
  <c r="BB30" i="9"/>
  <c r="BC16" i="9"/>
  <c r="BC22" i="9"/>
  <c r="BC30" i="9"/>
  <c r="BD6" i="9"/>
  <c r="BD8" i="9"/>
  <c r="BD12" i="9"/>
  <c r="BD13" i="9"/>
  <c r="BD18" i="9"/>
  <c r="BD22" i="9"/>
  <c r="BD23" i="9"/>
  <c r="BD24" i="9"/>
  <c r="BD25" i="9"/>
  <c r="BD26" i="9"/>
  <c r="BD29" i="9"/>
  <c r="AY34" i="10"/>
  <c r="AY30" i="7"/>
  <c r="AY43" i="7" s="1"/>
  <c r="AY49" i="7" s="1"/>
  <c r="AY53" i="7" s="1"/>
  <c r="AY56" i="7" s="1"/>
  <c r="AY12" i="10"/>
  <c r="AY8" i="9" s="1"/>
  <c r="AY5" i="9"/>
  <c r="AY6" i="9"/>
  <c r="AY7" i="9"/>
  <c r="AY17" i="9"/>
  <c r="AY26" i="9"/>
  <c r="AY73" i="6"/>
  <c r="AY74" i="6" s="1"/>
  <c r="AY16" i="9"/>
  <c r="AY22" i="9"/>
  <c r="AX6" i="10"/>
  <c r="AY31" i="9" s="1"/>
  <c r="AX7" i="10"/>
  <c r="AY32" i="9" s="1"/>
  <c r="AX8" i="10"/>
  <c r="AX15" i="10"/>
  <c r="AX17" i="10"/>
  <c r="AX18" i="10"/>
  <c r="AX25" i="10"/>
  <c r="AX23" i="10" s="1"/>
  <c r="AX28" i="10"/>
  <c r="AY33" i="9" s="1"/>
  <c r="AX29" i="10"/>
  <c r="AX35" i="10"/>
  <c r="AX37" i="10"/>
  <c r="AX43" i="10"/>
  <c r="AM6" i="10"/>
  <c r="AN6" i="10"/>
  <c r="AO6" i="10"/>
  <c r="AP6" i="10"/>
  <c r="AQ6" i="10"/>
  <c r="AR6" i="10"/>
  <c r="AS6" i="10"/>
  <c r="AT6" i="10"/>
  <c r="AU6" i="10"/>
  <c r="AV6" i="10"/>
  <c r="AW6" i="10"/>
  <c r="AM7" i="10"/>
  <c r="AN7" i="10"/>
  <c r="AN32" i="9" s="1"/>
  <c r="AO7" i="10"/>
  <c r="AP7" i="10"/>
  <c r="AQ7" i="10"/>
  <c r="AR7" i="10"/>
  <c r="AS7" i="10"/>
  <c r="AT7" i="10"/>
  <c r="AU7" i="10"/>
  <c r="AV7" i="10"/>
  <c r="AV32" i="9" s="1"/>
  <c r="AW7" i="10"/>
  <c r="AM8" i="10"/>
  <c r="AN8" i="10"/>
  <c r="AO8" i="10"/>
  <c r="AP8" i="10"/>
  <c r="AQ8" i="10"/>
  <c r="AR8" i="10"/>
  <c r="AS8" i="10"/>
  <c r="AT8" i="10"/>
  <c r="AU8" i="10"/>
  <c r="AV8" i="10"/>
  <c r="AW8" i="10"/>
  <c r="AM15" i="10"/>
  <c r="AM41" i="9" s="1"/>
  <c r="AN15" i="10"/>
  <c r="AO15" i="10"/>
  <c r="AP15" i="10"/>
  <c r="AP41" i="9" s="1"/>
  <c r="AQ15" i="10"/>
  <c r="AR15" i="10"/>
  <c r="AS15" i="10"/>
  <c r="AT15" i="10"/>
  <c r="AU15" i="10"/>
  <c r="AU41" i="9" s="1"/>
  <c r="AV15" i="10"/>
  <c r="AW15" i="10"/>
  <c r="AM17" i="10"/>
  <c r="AN17" i="10"/>
  <c r="AO17" i="10"/>
  <c r="AP17" i="10"/>
  <c r="AQ17" i="10"/>
  <c r="AR17" i="10"/>
  <c r="AS17" i="10"/>
  <c r="AT17" i="10"/>
  <c r="AU17" i="10"/>
  <c r="AV17" i="10"/>
  <c r="AW17" i="10"/>
  <c r="AM18" i="10"/>
  <c r="AN18" i="10"/>
  <c r="AO18" i="10"/>
  <c r="AP18" i="10"/>
  <c r="AQ18" i="10"/>
  <c r="AR18" i="10"/>
  <c r="AS18" i="10"/>
  <c r="AT18" i="10"/>
  <c r="AU18" i="10"/>
  <c r="AV18" i="10"/>
  <c r="AW18" i="10"/>
  <c r="AM25" i="10"/>
  <c r="AM23" i="10" s="1"/>
  <c r="AN25" i="10"/>
  <c r="AN23" i="10" s="1"/>
  <c r="AO25" i="10"/>
  <c r="AO23" i="10" s="1"/>
  <c r="AP25" i="10"/>
  <c r="AP23" i="10" s="1"/>
  <c r="AQ25" i="10"/>
  <c r="AQ23" i="10" s="1"/>
  <c r="AR25" i="10"/>
  <c r="AR23" i="10" s="1"/>
  <c r="AS25" i="10"/>
  <c r="AS23" i="10" s="1"/>
  <c r="AT25" i="10"/>
  <c r="AT23" i="10" s="1"/>
  <c r="AU25" i="10"/>
  <c r="AU23" i="10" s="1"/>
  <c r="AV25" i="10"/>
  <c r="AV23" i="10" s="1"/>
  <c r="AW25" i="10"/>
  <c r="AW23" i="10" s="1"/>
  <c r="AM28" i="10"/>
  <c r="AN28" i="10"/>
  <c r="AO28" i="10"/>
  <c r="AP28" i="10"/>
  <c r="AP33" i="9" s="1"/>
  <c r="AQ28" i="10"/>
  <c r="AQ33" i="9" s="1"/>
  <c r="AR28" i="10"/>
  <c r="AS28" i="10"/>
  <c r="AT28" i="10"/>
  <c r="AU28" i="10"/>
  <c r="AV28" i="10"/>
  <c r="AW28" i="10"/>
  <c r="AM29" i="10"/>
  <c r="AN29" i="10"/>
  <c r="AO29" i="10"/>
  <c r="AP29" i="10"/>
  <c r="AQ29" i="10"/>
  <c r="AR29" i="10"/>
  <c r="AS29" i="10"/>
  <c r="AS48" i="9" s="1"/>
  <c r="AT29" i="10"/>
  <c r="AU29" i="10"/>
  <c r="AV29" i="10"/>
  <c r="AW29" i="10"/>
  <c r="AM35" i="10"/>
  <c r="AN35" i="10"/>
  <c r="AO35" i="10"/>
  <c r="AP35" i="10"/>
  <c r="AQ35" i="10"/>
  <c r="AR35" i="10"/>
  <c r="AS35" i="10"/>
  <c r="AT35" i="10"/>
  <c r="AU35" i="10"/>
  <c r="AV35" i="10"/>
  <c r="AW35" i="10"/>
  <c r="AM37" i="10"/>
  <c r="AN37" i="10"/>
  <c r="AO37" i="10"/>
  <c r="AP37" i="10"/>
  <c r="AQ37" i="10"/>
  <c r="AR37" i="10"/>
  <c r="AS37" i="10"/>
  <c r="AT37" i="10"/>
  <c r="AU37" i="10"/>
  <c r="AV37" i="10"/>
  <c r="AW37" i="10"/>
  <c r="AM43" i="10"/>
  <c r="AN43" i="10"/>
  <c r="AO43" i="10"/>
  <c r="AP43" i="10"/>
  <c r="AQ43" i="10"/>
  <c r="AR43" i="10"/>
  <c r="AS43" i="10"/>
  <c r="AT43" i="10"/>
  <c r="AU43" i="10"/>
  <c r="AV43" i="10"/>
  <c r="AW43" i="10"/>
  <c r="AP31" i="9"/>
  <c r="AQ31" i="9"/>
  <c r="AS31" i="9"/>
  <c r="AT31" i="9"/>
  <c r="AU31" i="9"/>
  <c r="AX31" i="9"/>
  <c r="AP32" i="9"/>
  <c r="AQ32" i="9"/>
  <c r="AR32" i="9"/>
  <c r="AU32" i="9"/>
  <c r="AX32" i="9"/>
  <c r="AR33" i="9"/>
  <c r="AS33" i="9"/>
  <c r="AT33" i="9"/>
  <c r="AU33" i="9"/>
  <c r="AX33" i="9"/>
  <c r="AN41" i="9"/>
  <c r="AO41" i="9"/>
  <c r="AQ41" i="9"/>
  <c r="AR41" i="9"/>
  <c r="AS41" i="9"/>
  <c r="AT41" i="9"/>
  <c r="AV41" i="9"/>
  <c r="AW41" i="9"/>
  <c r="AX41" i="9"/>
  <c r="AM42" i="9"/>
  <c r="AN42" i="9"/>
  <c r="AO42" i="9"/>
  <c r="AQ42" i="9"/>
  <c r="AR42" i="9"/>
  <c r="AS42" i="9"/>
  <c r="AT42" i="9"/>
  <c r="AU42" i="9"/>
  <c r="AV42" i="9"/>
  <c r="AW42" i="9"/>
  <c r="AN46" i="9"/>
  <c r="AP46" i="9"/>
  <c r="AQ46" i="9"/>
  <c r="AS46" i="9"/>
  <c r="AT46" i="9"/>
  <c r="AU46" i="9"/>
  <c r="AV46" i="9"/>
  <c r="AX46" i="9"/>
  <c r="AM48" i="9"/>
  <c r="AO48" i="9"/>
  <c r="AP48" i="9"/>
  <c r="AR48" i="9"/>
  <c r="AT48" i="9"/>
  <c r="AU48" i="9"/>
  <c r="AW48" i="9"/>
  <c r="AX48" i="9"/>
  <c r="AX21" i="7"/>
  <c r="AV21" i="7"/>
  <c r="AW21" i="7"/>
  <c r="AO21" i="7"/>
  <c r="AP21" i="7"/>
  <c r="AQ21" i="7"/>
  <c r="AR21" i="7"/>
  <c r="AS21" i="7"/>
  <c r="AT21" i="7"/>
  <c r="AU21" i="7"/>
  <c r="AM21" i="7"/>
  <c r="AN21" i="7"/>
  <c r="AM11" i="7"/>
  <c r="AN11" i="7"/>
  <c r="AO11" i="7"/>
  <c r="AP11" i="7"/>
  <c r="AQ11" i="7"/>
  <c r="AR11" i="7"/>
  <c r="AS11" i="7"/>
  <c r="AT11" i="7"/>
  <c r="AU11" i="7"/>
  <c r="AV11" i="7"/>
  <c r="AW11" i="7"/>
  <c r="AX11" i="7"/>
  <c r="AM15" i="7"/>
  <c r="AM36" i="10" s="1"/>
  <c r="AN15" i="7"/>
  <c r="AN36" i="10" s="1"/>
  <c r="AO15" i="7"/>
  <c r="AO36" i="10" s="1"/>
  <c r="AP15" i="7"/>
  <c r="AP36" i="10" s="1"/>
  <c r="AQ15" i="7"/>
  <c r="AQ36" i="10" s="1"/>
  <c r="AR15" i="7"/>
  <c r="AR36" i="10" s="1"/>
  <c r="AS15" i="7"/>
  <c r="AS36" i="10" s="1"/>
  <c r="AT15" i="7"/>
  <c r="AT36" i="10" s="1"/>
  <c r="AU15" i="7"/>
  <c r="AU36" i="10" s="1"/>
  <c r="AV15" i="7"/>
  <c r="AV36" i="10" s="1"/>
  <c r="AW15" i="7"/>
  <c r="AW36" i="10" s="1"/>
  <c r="AX15" i="7"/>
  <c r="AX36" i="10" s="1"/>
  <c r="AM32" i="7"/>
  <c r="AN32" i="7"/>
  <c r="AO32" i="7"/>
  <c r="AP32" i="7"/>
  <c r="AQ32" i="7"/>
  <c r="AR32" i="7"/>
  <c r="AS32" i="7"/>
  <c r="AT32" i="7"/>
  <c r="AU32" i="7"/>
  <c r="AV32" i="7"/>
  <c r="AW32" i="7"/>
  <c r="AX32" i="7"/>
  <c r="AM36" i="7"/>
  <c r="AM44" i="10" s="1"/>
  <c r="AN36" i="7"/>
  <c r="AN44" i="10" s="1"/>
  <c r="AO36" i="7"/>
  <c r="AO44" i="10" s="1"/>
  <c r="AP36" i="7"/>
  <c r="AP44" i="10" s="1"/>
  <c r="AQ36" i="7"/>
  <c r="AQ44" i="10" s="1"/>
  <c r="AR36" i="7"/>
  <c r="AR44" i="10" s="1"/>
  <c r="AS36" i="7"/>
  <c r="AS44" i="10" s="1"/>
  <c r="AT36" i="7"/>
  <c r="AT44" i="10" s="1"/>
  <c r="AU36" i="7"/>
  <c r="AU44" i="10" s="1"/>
  <c r="AV36" i="7"/>
  <c r="AV44" i="10" s="1"/>
  <c r="AW36" i="7"/>
  <c r="AW44" i="10" s="1"/>
  <c r="AX36" i="7"/>
  <c r="AX44" i="10" s="1"/>
  <c r="AM45" i="7"/>
  <c r="AN45" i="7"/>
  <c r="AO45" i="7"/>
  <c r="AP45" i="7"/>
  <c r="AQ45" i="7"/>
  <c r="AR45" i="7"/>
  <c r="AS45" i="7"/>
  <c r="AT45" i="7"/>
  <c r="AU45" i="7"/>
  <c r="AV45" i="7"/>
  <c r="AW45" i="7"/>
  <c r="AX45" i="7"/>
  <c r="AM57" i="7"/>
  <c r="AN57" i="7"/>
  <c r="AO57" i="7"/>
  <c r="AP57" i="7"/>
  <c r="AQ57" i="7"/>
  <c r="AR57" i="7"/>
  <c r="AS57" i="7"/>
  <c r="AT57" i="7"/>
  <c r="AU57" i="7"/>
  <c r="AV57" i="7"/>
  <c r="AW57" i="7"/>
  <c r="AX57" i="7"/>
  <c r="AN10" i="6"/>
  <c r="AO10" i="6"/>
  <c r="AP10" i="6"/>
  <c r="AQ10" i="6"/>
  <c r="AR10" i="6"/>
  <c r="AS10" i="6"/>
  <c r="AT10" i="6"/>
  <c r="AU10" i="6"/>
  <c r="AV10" i="6"/>
  <c r="AW10" i="6"/>
  <c r="AX10" i="6"/>
  <c r="AN16" i="6"/>
  <c r="AO16" i="6"/>
  <c r="AP16" i="6"/>
  <c r="AQ16" i="6"/>
  <c r="AR16" i="6"/>
  <c r="AS16" i="6"/>
  <c r="AT16" i="6"/>
  <c r="AU16" i="6"/>
  <c r="AV16" i="6"/>
  <c r="AW16" i="6"/>
  <c r="AX16" i="6"/>
  <c r="AN23" i="6"/>
  <c r="AO23" i="6"/>
  <c r="AP23" i="6"/>
  <c r="AQ23" i="6"/>
  <c r="AR23" i="6"/>
  <c r="AS23" i="6"/>
  <c r="AT23" i="6"/>
  <c r="AU23" i="6"/>
  <c r="AV23" i="6"/>
  <c r="AW23" i="6"/>
  <c r="AX23" i="6"/>
  <c r="AN27" i="6"/>
  <c r="AO27" i="6"/>
  <c r="AP27" i="6"/>
  <c r="AQ27" i="6"/>
  <c r="AR27" i="6"/>
  <c r="AS27" i="6"/>
  <c r="AT27" i="6"/>
  <c r="AU27" i="6"/>
  <c r="AV27" i="6"/>
  <c r="AW27" i="6"/>
  <c r="AX27" i="6"/>
  <c r="AN32" i="6"/>
  <c r="AN31" i="10" s="1"/>
  <c r="AO32" i="6"/>
  <c r="AP32" i="6"/>
  <c r="AQ32" i="6"/>
  <c r="AQ32" i="10" s="1"/>
  <c r="AR32" i="6"/>
  <c r="AR31" i="10" s="1"/>
  <c r="AS32" i="6"/>
  <c r="AT32" i="6"/>
  <c r="AT31" i="10" s="1"/>
  <c r="AU32" i="6"/>
  <c r="AV32" i="6"/>
  <c r="AV31" i="10" s="1"/>
  <c r="AW32" i="6"/>
  <c r="AX32" i="6"/>
  <c r="AQ39" i="6"/>
  <c r="AQ4" i="10" s="1"/>
  <c r="AT39" i="6"/>
  <c r="AT4" i="10" s="1"/>
  <c r="AN46" i="6"/>
  <c r="AN5" i="10" s="1"/>
  <c r="AO46" i="6"/>
  <c r="AO5" i="10" s="1"/>
  <c r="AP46" i="6"/>
  <c r="AP5" i="10" s="1"/>
  <c r="AQ46" i="6"/>
  <c r="AR46" i="6"/>
  <c r="AR5" i="10" s="1"/>
  <c r="AS46" i="6"/>
  <c r="AS5" i="10" s="1"/>
  <c r="AS16" i="9" s="1"/>
  <c r="AT46" i="6"/>
  <c r="AT5" i="10" s="1"/>
  <c r="AU46" i="6"/>
  <c r="AU5" i="10" s="1"/>
  <c r="AV46" i="6"/>
  <c r="AV5" i="10" s="1"/>
  <c r="AW46" i="6"/>
  <c r="AW5" i="10" s="1"/>
  <c r="AX46" i="6"/>
  <c r="AX5" i="10" s="1"/>
  <c r="AY30" i="9" s="1"/>
  <c r="AN48" i="6"/>
  <c r="AN55" i="6" s="1"/>
  <c r="AO48" i="6"/>
  <c r="AP48" i="6"/>
  <c r="AQ48" i="6"/>
  <c r="AR48" i="6"/>
  <c r="AS48" i="6"/>
  <c r="AT48" i="6"/>
  <c r="AU48" i="6"/>
  <c r="AV48" i="6"/>
  <c r="AV55" i="6" s="1"/>
  <c r="AW48" i="6"/>
  <c r="AX48" i="6"/>
  <c r="AO55" i="6"/>
  <c r="AP55" i="6"/>
  <c r="AR55" i="6"/>
  <c r="AS55" i="6"/>
  <c r="AU55" i="6"/>
  <c r="AW55" i="6"/>
  <c r="AX55" i="6"/>
  <c r="AN61" i="6"/>
  <c r="AN16" i="10" s="1"/>
  <c r="AO61" i="6"/>
  <c r="AO16" i="10" s="1"/>
  <c r="AP61" i="6"/>
  <c r="AQ61" i="6"/>
  <c r="AQ16" i="10" s="1"/>
  <c r="AR61" i="6"/>
  <c r="AR16" i="10" s="1"/>
  <c r="AS61" i="6"/>
  <c r="AS16" i="10" s="1"/>
  <c r="AT61" i="6"/>
  <c r="AT16" i="10" s="1"/>
  <c r="AU61" i="6"/>
  <c r="AU16" i="10" s="1"/>
  <c r="AV61" i="6"/>
  <c r="AV16" i="10" s="1"/>
  <c r="AW61" i="6"/>
  <c r="AW16" i="10" s="1"/>
  <c r="AX61" i="6"/>
  <c r="AN65" i="6"/>
  <c r="AO65" i="6"/>
  <c r="AP65" i="6"/>
  <c r="AQ65" i="6"/>
  <c r="AR65" i="6"/>
  <c r="AS65" i="6"/>
  <c r="AT65" i="6"/>
  <c r="AU65" i="6"/>
  <c r="AU71" i="6" s="1"/>
  <c r="AU73" i="6" s="1"/>
  <c r="AV65" i="6"/>
  <c r="AW65" i="6"/>
  <c r="AX65" i="6"/>
  <c r="AN71" i="6"/>
  <c r="AO71" i="6"/>
  <c r="AQ71" i="6"/>
  <c r="AR71" i="6"/>
  <c r="AR73" i="6" s="1"/>
  <c r="AT71" i="6"/>
  <c r="AV71" i="6"/>
  <c r="AW71" i="6"/>
  <c r="AO73" i="6"/>
  <c r="AW73" i="6"/>
  <c r="F48" i="19"/>
  <c r="F42" i="19"/>
  <c r="F37" i="19"/>
  <c r="F35" i="19"/>
  <c r="F32" i="19"/>
  <c r="F43" i="19" s="1"/>
  <c r="AI6" i="10"/>
  <c r="AJ6" i="10"/>
  <c r="AK6" i="10"/>
  <c r="AK31" i="9" s="1"/>
  <c r="AL6" i="10"/>
  <c r="AI7" i="10"/>
  <c r="AJ7" i="10"/>
  <c r="AJ32" i="9" s="1"/>
  <c r="AK7" i="10"/>
  <c r="AK32" i="9" s="1"/>
  <c r="AI8" i="10"/>
  <c r="AJ8" i="10"/>
  <c r="AK8" i="10"/>
  <c r="AL8" i="10"/>
  <c r="AI15" i="10"/>
  <c r="AI41" i="9" s="1"/>
  <c r="AJ15" i="10"/>
  <c r="AJ41" i="9" s="1"/>
  <c r="AK15" i="10"/>
  <c r="AK41" i="9" s="1"/>
  <c r="AL15" i="10"/>
  <c r="AL41" i="9" s="1"/>
  <c r="AI17" i="10"/>
  <c r="AJ17" i="10"/>
  <c r="AK17" i="10"/>
  <c r="AL17" i="10"/>
  <c r="AI18" i="10"/>
  <c r="AJ18" i="10"/>
  <c r="AK18" i="10"/>
  <c r="AL18" i="10"/>
  <c r="AI25" i="10"/>
  <c r="AI23" i="10" s="1"/>
  <c r="AJ25" i="10"/>
  <c r="AJ23" i="10" s="1"/>
  <c r="AK25" i="10"/>
  <c r="AK23" i="10" s="1"/>
  <c r="AI28" i="10"/>
  <c r="AJ28" i="10"/>
  <c r="AJ33" i="9" s="1"/>
  <c r="AK28" i="10"/>
  <c r="AK33" i="9" s="1"/>
  <c r="AL28" i="10"/>
  <c r="AL33" i="9" s="1"/>
  <c r="AI29" i="10"/>
  <c r="AI48" i="9" s="1"/>
  <c r="AJ29" i="10"/>
  <c r="AJ48" i="9" s="1"/>
  <c r="AK29" i="10"/>
  <c r="AK48" i="9" s="1"/>
  <c r="AI35" i="10"/>
  <c r="AJ35" i="10"/>
  <c r="AK35" i="10"/>
  <c r="AL35" i="10"/>
  <c r="AI37" i="10"/>
  <c r="AJ37" i="10"/>
  <c r="AK37" i="10"/>
  <c r="AL37" i="10"/>
  <c r="AI43" i="10"/>
  <c r="AJ43" i="10"/>
  <c r="AJ42" i="9" s="1"/>
  <c r="AK43" i="10"/>
  <c r="AL43" i="10"/>
  <c r="AL62" i="6"/>
  <c r="AL63" i="6"/>
  <c r="AL61" i="6" s="1"/>
  <c r="AL53" i="6"/>
  <c r="AL43" i="6"/>
  <c r="AL44" i="6"/>
  <c r="AL37" i="6"/>
  <c r="AL21" i="6"/>
  <c r="AL20" i="6"/>
  <c r="AL25" i="6"/>
  <c r="AL29" i="10" s="1"/>
  <c r="AL48" i="9" s="1"/>
  <c r="AL12" i="6"/>
  <c r="AL10" i="6" s="1"/>
  <c r="AL41" i="7"/>
  <c r="AL22" i="7"/>
  <c r="F46" i="19" s="1"/>
  <c r="AL18" i="7"/>
  <c r="AH15" i="7"/>
  <c r="AI15" i="7"/>
  <c r="AI36" i="10" s="1"/>
  <c r="AJ15" i="7"/>
  <c r="AJ36" i="10" s="1"/>
  <c r="AK15" i="7"/>
  <c r="AK36" i="10" s="1"/>
  <c r="AL15" i="7"/>
  <c r="AL36" i="10" s="1"/>
  <c r="AH21" i="7"/>
  <c r="AI21" i="7"/>
  <c r="AJ21" i="7"/>
  <c r="AK21" i="7"/>
  <c r="AL21" i="7"/>
  <c r="AH32" i="7"/>
  <c r="AI32" i="7"/>
  <c r="AJ32" i="7"/>
  <c r="AK32" i="7"/>
  <c r="AL32" i="7"/>
  <c r="AH36" i="7"/>
  <c r="AI36" i="7"/>
  <c r="AI44" i="10" s="1"/>
  <c r="AJ36" i="7"/>
  <c r="AJ44" i="10" s="1"/>
  <c r="AK36" i="7"/>
  <c r="AK44" i="10" s="1"/>
  <c r="AL36" i="7"/>
  <c r="AH45" i="7"/>
  <c r="AI45" i="7"/>
  <c r="AJ45" i="7"/>
  <c r="AK45" i="7"/>
  <c r="AL45" i="7"/>
  <c r="AH57" i="7"/>
  <c r="AI57" i="7"/>
  <c r="AJ57" i="7"/>
  <c r="AK57" i="7"/>
  <c r="AL57" i="7"/>
  <c r="AH11" i="7"/>
  <c r="AH10" i="7" s="1"/>
  <c r="AH30" i="7" s="1"/>
  <c r="AH43" i="7" s="1"/>
  <c r="AH49" i="7" s="1"/>
  <c r="AH53" i="7" s="1"/>
  <c r="AH56" i="7" s="1"/>
  <c r="AI11" i="7"/>
  <c r="AI10" i="7" s="1"/>
  <c r="AJ11" i="7"/>
  <c r="AJ10" i="7" s="1"/>
  <c r="AK11" i="7"/>
  <c r="AK10" i="7" s="1"/>
  <c r="AL11" i="7"/>
  <c r="AL10" i="7" s="1"/>
  <c r="AM10" i="6"/>
  <c r="AL16" i="6"/>
  <c r="F39" i="19" s="1"/>
  <c r="AM16" i="6"/>
  <c r="AL23" i="6"/>
  <c r="AM23" i="6"/>
  <c r="AL27" i="6"/>
  <c r="AM27" i="6"/>
  <c r="AL32" i="6"/>
  <c r="AM32" i="6"/>
  <c r="AM31" i="10" s="1"/>
  <c r="AL46" i="6"/>
  <c r="AM46" i="6"/>
  <c r="AM5" i="10" s="1"/>
  <c r="AL48" i="6"/>
  <c r="AM48" i="6"/>
  <c r="AM55" i="6"/>
  <c r="AM61" i="6"/>
  <c r="AM16" i="10" s="1"/>
  <c r="AL65" i="6"/>
  <c r="AM65" i="6"/>
  <c r="AM71" i="6"/>
  <c r="AM73" i="6"/>
  <c r="AI10" i="6"/>
  <c r="AJ10" i="6"/>
  <c r="AK10" i="6"/>
  <c r="AI16" i="6"/>
  <c r="AJ16" i="6"/>
  <c r="AK16" i="6"/>
  <c r="AI23" i="6"/>
  <c r="AJ23" i="6"/>
  <c r="AK23" i="6"/>
  <c r="AI27" i="6"/>
  <c r="AJ27" i="6"/>
  <c r="AK27" i="6"/>
  <c r="AI32" i="6"/>
  <c r="AJ32" i="6"/>
  <c r="AJ39" i="6" s="1"/>
  <c r="AJ4" i="10" s="1"/>
  <c r="AK32" i="6"/>
  <c r="AI46" i="6"/>
  <c r="AI5" i="10" s="1"/>
  <c r="AJ46" i="6"/>
  <c r="AJ5" i="10" s="1"/>
  <c r="AJ30" i="9" s="1"/>
  <c r="AK46" i="6"/>
  <c r="AK5" i="10" s="1"/>
  <c r="AI48" i="6"/>
  <c r="AI55" i="6" s="1"/>
  <c r="AJ48" i="6"/>
  <c r="AK48" i="6"/>
  <c r="AJ55" i="6"/>
  <c r="AK55" i="6"/>
  <c r="AI61" i="6"/>
  <c r="AI16" i="10" s="1"/>
  <c r="AJ61" i="6"/>
  <c r="AJ16" i="10" s="1"/>
  <c r="AK61" i="6"/>
  <c r="AI65" i="6"/>
  <c r="AJ65" i="6"/>
  <c r="AK65" i="6"/>
  <c r="AI71" i="6"/>
  <c r="AJ71" i="6"/>
  <c r="AJ73" i="6"/>
  <c r="AJ74" i="6" s="1"/>
  <c r="AC6" i="10"/>
  <c r="AD6" i="10"/>
  <c r="AE6" i="10"/>
  <c r="AF6" i="10"/>
  <c r="AG6" i="10"/>
  <c r="AH6" i="10"/>
  <c r="AH31" i="9" s="1"/>
  <c r="AC7" i="10"/>
  <c r="AD7" i="10"/>
  <c r="AE7" i="10"/>
  <c r="AF7" i="10"/>
  <c r="AG7" i="10"/>
  <c r="AH7" i="10"/>
  <c r="AH32" i="9" s="1"/>
  <c r="AC8" i="10"/>
  <c r="AD8" i="10"/>
  <c r="AE8" i="10"/>
  <c r="AF8" i="10"/>
  <c r="AG8" i="10"/>
  <c r="AH8" i="10"/>
  <c r="AC15" i="10"/>
  <c r="AC41" i="9" s="1"/>
  <c r="AD15" i="10"/>
  <c r="AD41" i="9" s="1"/>
  <c r="AE15" i="10"/>
  <c r="AE41" i="9" s="1"/>
  <c r="AF15" i="10"/>
  <c r="AF41" i="9" s="1"/>
  <c r="AG15" i="10"/>
  <c r="AG41" i="9" s="1"/>
  <c r="AH15" i="10"/>
  <c r="AH41" i="9" s="1"/>
  <c r="AC17" i="10"/>
  <c r="AD17" i="10"/>
  <c r="AE17" i="10"/>
  <c r="AF17" i="10"/>
  <c r="AG17" i="10"/>
  <c r="AH17" i="10"/>
  <c r="AC18" i="10"/>
  <c r="AD18" i="10"/>
  <c r="AE18" i="10"/>
  <c r="AF18" i="10"/>
  <c r="AG18" i="10"/>
  <c r="AH18" i="10"/>
  <c r="AC25" i="10"/>
  <c r="AC23" i="10" s="1"/>
  <c r="AD25" i="10"/>
  <c r="AD23" i="10" s="1"/>
  <c r="AE25" i="10"/>
  <c r="AE23" i="10" s="1"/>
  <c r="AF25" i="10"/>
  <c r="AF23" i="10" s="1"/>
  <c r="AG25" i="10"/>
  <c r="AG23" i="10" s="1"/>
  <c r="AH25" i="10"/>
  <c r="AH23" i="10" s="1"/>
  <c r="AC28" i="10"/>
  <c r="AD28" i="10"/>
  <c r="AE28" i="10"/>
  <c r="AF28" i="10"/>
  <c r="AG28" i="10"/>
  <c r="AH28" i="10"/>
  <c r="AC29" i="10"/>
  <c r="AC48" i="9" s="1"/>
  <c r="AD29" i="10"/>
  <c r="AE29" i="10"/>
  <c r="AE48" i="9" s="1"/>
  <c r="AF29" i="10"/>
  <c r="AF48" i="9" s="1"/>
  <c r="AG29" i="10"/>
  <c r="AH29" i="10"/>
  <c r="AH48" i="9" s="1"/>
  <c r="AH34" i="10"/>
  <c r="AC35" i="10"/>
  <c r="AD35" i="10"/>
  <c r="AE35" i="10"/>
  <c r="AF35" i="10"/>
  <c r="AG35" i="10"/>
  <c r="AH35" i="10"/>
  <c r="AH36" i="10"/>
  <c r="AC37" i="10"/>
  <c r="AD37" i="10"/>
  <c r="AE37" i="10"/>
  <c r="AF37" i="10"/>
  <c r="AG37" i="10"/>
  <c r="AH37" i="10"/>
  <c r="AH40" i="10"/>
  <c r="AC43" i="10"/>
  <c r="AC42" i="9" s="1"/>
  <c r="AD43" i="10"/>
  <c r="AD42" i="9" s="1"/>
  <c r="AE43" i="10"/>
  <c r="AF43" i="10"/>
  <c r="AF42" i="9" s="1"/>
  <c r="AG43" i="10"/>
  <c r="AG42" i="9" s="1"/>
  <c r="AH43" i="10"/>
  <c r="AH44" i="10"/>
  <c r="AH44" i="9" s="1"/>
  <c r="AH10" i="6"/>
  <c r="AH16" i="6"/>
  <c r="AH23" i="6"/>
  <c r="AH27" i="6"/>
  <c r="AH32" i="6"/>
  <c r="AH46" i="6"/>
  <c r="AH5" i="10" s="1"/>
  <c r="AH48" i="6"/>
  <c r="AH55" i="6" s="1"/>
  <c r="AH61" i="6"/>
  <c r="AH16" i="10" s="1"/>
  <c r="AH65" i="6"/>
  <c r="AG46" i="6"/>
  <c r="AG5" i="10" s="1"/>
  <c r="AG48" i="6"/>
  <c r="AG55" i="6" s="1"/>
  <c r="AG27" i="6"/>
  <c r="AG32" i="6"/>
  <c r="AG23" i="6"/>
  <c r="AG16" i="6"/>
  <c r="AG10" i="6"/>
  <c r="AF10" i="6"/>
  <c r="AF16" i="6"/>
  <c r="AF23" i="6"/>
  <c r="AF27" i="6"/>
  <c r="AF32" i="6"/>
  <c r="AF46" i="6"/>
  <c r="AF5" i="10" s="1"/>
  <c r="AF48" i="6"/>
  <c r="AF61" i="6"/>
  <c r="AF16" i="10" s="1"/>
  <c r="AG61" i="6"/>
  <c r="AG16" i="10" s="1"/>
  <c r="AF65" i="6"/>
  <c r="AG65" i="6"/>
  <c r="AG71" i="6" s="1"/>
  <c r="AF11" i="7"/>
  <c r="AG11" i="7"/>
  <c r="AF15" i="7"/>
  <c r="AF36" i="10" s="1"/>
  <c r="AG15" i="7"/>
  <c r="AG36" i="10" s="1"/>
  <c r="AF21" i="7"/>
  <c r="AG21" i="7"/>
  <c r="AF32" i="7"/>
  <c r="AG32" i="7"/>
  <c r="AF36" i="7"/>
  <c r="AF44" i="10" s="1"/>
  <c r="AG36" i="7"/>
  <c r="AG44" i="10" s="1"/>
  <c r="AF45" i="7"/>
  <c r="AG45" i="7"/>
  <c r="AF57" i="7"/>
  <c r="AG57" i="7"/>
  <c r="AE10" i="6"/>
  <c r="AE16" i="6"/>
  <c r="AE23" i="6"/>
  <c r="AE27" i="6"/>
  <c r="AE32" i="6"/>
  <c r="AE46" i="6"/>
  <c r="AE5" i="10" s="1"/>
  <c r="AE48" i="6"/>
  <c r="AE61" i="6"/>
  <c r="AE16" i="10" s="1"/>
  <c r="AE65" i="6"/>
  <c r="AE11" i="7"/>
  <c r="AE15" i="7"/>
  <c r="AE36" i="10" s="1"/>
  <c r="AE21" i="7"/>
  <c r="AE32" i="7"/>
  <c r="AE36" i="7"/>
  <c r="AE44" i="10" s="1"/>
  <c r="AE45" i="7"/>
  <c r="AC11" i="7"/>
  <c r="AD11" i="7"/>
  <c r="AC15" i="7"/>
  <c r="AC36" i="10" s="1"/>
  <c r="AD15" i="7"/>
  <c r="AD36" i="10" s="1"/>
  <c r="AC21" i="7"/>
  <c r="AD21" i="7"/>
  <c r="AC32" i="7"/>
  <c r="AD32" i="7"/>
  <c r="AC36" i="7"/>
  <c r="AC44" i="10" s="1"/>
  <c r="AD36" i="7"/>
  <c r="AD44" i="10" s="1"/>
  <c r="AD57" i="7"/>
  <c r="AC45" i="7"/>
  <c r="AD45" i="7"/>
  <c r="AC10" i="6"/>
  <c r="AD10" i="6"/>
  <c r="AC16" i="6"/>
  <c r="AD16" i="6"/>
  <c r="AC23" i="6"/>
  <c r="AD23" i="6"/>
  <c r="AC27" i="6"/>
  <c r="AD27" i="6"/>
  <c r="AC32" i="6"/>
  <c r="AD32" i="6"/>
  <c r="AC46" i="6"/>
  <c r="AC5" i="10" s="1"/>
  <c r="AD46" i="6"/>
  <c r="AD5" i="10" s="1"/>
  <c r="AC48" i="6"/>
  <c r="AD48" i="6"/>
  <c r="AC61" i="6"/>
  <c r="AC16" i="10" s="1"/>
  <c r="AD61" i="6"/>
  <c r="AD16" i="10" s="1"/>
  <c r="AC65" i="6"/>
  <c r="AD65" i="6"/>
  <c r="AD71" i="6" s="1"/>
  <c r="Z6" i="10"/>
  <c r="AA6" i="10"/>
  <c r="AB6" i="10"/>
  <c r="Z7" i="10"/>
  <c r="AA7" i="10"/>
  <c r="AA32" i="9" s="1"/>
  <c r="AB7" i="10"/>
  <c r="Z8" i="10"/>
  <c r="AA8" i="10"/>
  <c r="AB8" i="10"/>
  <c r="Z15" i="10"/>
  <c r="Z41" i="9"/>
  <c r="AA15" i="10"/>
  <c r="AA41" i="9"/>
  <c r="AB15" i="10"/>
  <c r="Z17" i="10"/>
  <c r="AA17" i="10"/>
  <c r="AB17" i="10"/>
  <c r="Z18" i="10"/>
  <c r="AA18" i="10"/>
  <c r="AB18" i="10"/>
  <c r="Z25" i="10"/>
  <c r="Z23" i="10" s="1"/>
  <c r="AA25" i="10"/>
  <c r="AA23" i="10"/>
  <c r="AB25" i="10"/>
  <c r="AB23" i="10" s="1"/>
  <c r="Z28" i="10"/>
  <c r="AA28" i="10"/>
  <c r="AB28" i="10"/>
  <c r="Z29" i="10"/>
  <c r="AA29" i="10"/>
  <c r="AA48" i="9" s="1"/>
  <c r="AB29" i="10"/>
  <c r="AB48" i="9" s="1"/>
  <c r="Z35" i="10"/>
  <c r="AA35" i="10"/>
  <c r="AB35" i="10"/>
  <c r="Z37" i="10"/>
  <c r="AA37" i="10"/>
  <c r="AB37" i="10"/>
  <c r="Z43" i="10"/>
  <c r="Z42" i="9" s="1"/>
  <c r="AA43" i="10"/>
  <c r="AB43" i="10"/>
  <c r="AB42" i="9" s="1"/>
  <c r="W53" i="6"/>
  <c r="W48" i="6" s="1"/>
  <c r="W67" i="6"/>
  <c r="W63" i="6"/>
  <c r="W43" i="6"/>
  <c r="W46" i="6" s="1"/>
  <c r="W21" i="6"/>
  <c r="W19" i="6"/>
  <c r="W12" i="6"/>
  <c r="W10" i="6"/>
  <c r="W65" i="6"/>
  <c r="W61" i="6"/>
  <c r="W32" i="6"/>
  <c r="W27" i="6"/>
  <c r="W23" i="6"/>
  <c r="W45" i="7"/>
  <c r="W36" i="7"/>
  <c r="W32" i="7"/>
  <c r="W21" i="7"/>
  <c r="W15" i="7"/>
  <c r="W11" i="7"/>
  <c r="Z65" i="6"/>
  <c r="AA65" i="6"/>
  <c r="AB65" i="6"/>
  <c r="Z61" i="6"/>
  <c r="AA61" i="6"/>
  <c r="AA16" i="10" s="1"/>
  <c r="AB61" i="6"/>
  <c r="AB16" i="10" s="1"/>
  <c r="AB14" i="10" s="1"/>
  <c r="AB11" i="10" s="1"/>
  <c r="Z48" i="6"/>
  <c r="AA48" i="6"/>
  <c r="AB48" i="6"/>
  <c r="Z46" i="6"/>
  <c r="AA46" i="6"/>
  <c r="AA5" i="10" s="1"/>
  <c r="AA16" i="9" s="1"/>
  <c r="AB46" i="6"/>
  <c r="AB5" i="10" s="1"/>
  <c r="Z32" i="6"/>
  <c r="Z31" i="10" s="1"/>
  <c r="AA32" i="6"/>
  <c r="AA31" i="10"/>
  <c r="AB32" i="6"/>
  <c r="AB31" i="10" s="1"/>
  <c r="Z27" i="6"/>
  <c r="AA27" i="6"/>
  <c r="AB27" i="6"/>
  <c r="Z23" i="6"/>
  <c r="AA23" i="6"/>
  <c r="AB23" i="6"/>
  <c r="Z16" i="6"/>
  <c r="AA16" i="6"/>
  <c r="AB16" i="6"/>
  <c r="Z10" i="6"/>
  <c r="AA10" i="6"/>
  <c r="AA39" i="6" s="1"/>
  <c r="AA4" i="10" s="1"/>
  <c r="AB10" i="6"/>
  <c r="Z45" i="7"/>
  <c r="AA45" i="7"/>
  <c r="AB45" i="7"/>
  <c r="Y32" i="7"/>
  <c r="Z32" i="7"/>
  <c r="AA32" i="7"/>
  <c r="AB32" i="7"/>
  <c r="Z36" i="7"/>
  <c r="Z44" i="10" s="1"/>
  <c r="AA36" i="7"/>
  <c r="AA44" i="10" s="1"/>
  <c r="AB36" i="7"/>
  <c r="AB44" i="10" s="1"/>
  <c r="Z21" i="7"/>
  <c r="Z40" i="10" s="1"/>
  <c r="AA21" i="7"/>
  <c r="AA40" i="10" s="1"/>
  <c r="AA37" i="9" s="1"/>
  <c r="AB21" i="7"/>
  <c r="AB40" i="10" s="1"/>
  <c r="AB37" i="9" s="1"/>
  <c r="Z15" i="7"/>
  <c r="Z36" i="10" s="1"/>
  <c r="AA15" i="7"/>
  <c r="AA36" i="10" s="1"/>
  <c r="AB15" i="7"/>
  <c r="AB36" i="10" s="1"/>
  <c r="Z11" i="7"/>
  <c r="Z10" i="7" s="1"/>
  <c r="Z34" i="10" s="1"/>
  <c r="AA11" i="7"/>
  <c r="AA10" i="7" s="1"/>
  <c r="AA34" i="10" s="1"/>
  <c r="AA35" i="9" s="1"/>
  <c r="AB11" i="7"/>
  <c r="D17" i="18"/>
  <c r="X6" i="10"/>
  <c r="X7" i="10"/>
  <c r="X8" i="10"/>
  <c r="X15" i="10"/>
  <c r="X41" i="9" s="1"/>
  <c r="X17" i="10"/>
  <c r="X18" i="10"/>
  <c r="X25" i="10"/>
  <c r="X23" i="10"/>
  <c r="X28" i="10"/>
  <c r="X29" i="10"/>
  <c r="X35" i="10"/>
  <c r="X37" i="10"/>
  <c r="X43" i="10"/>
  <c r="X42" i="9" s="1"/>
  <c r="X45" i="7"/>
  <c r="X36" i="7"/>
  <c r="X44" i="10"/>
  <c r="X32" i="7"/>
  <c r="X21" i="7"/>
  <c r="X15" i="7"/>
  <c r="X36" i="10" s="1"/>
  <c r="X11" i="7"/>
  <c r="X10" i="7"/>
  <c r="X65" i="6"/>
  <c r="X61" i="6"/>
  <c r="X16" i="10"/>
  <c r="X48" i="6"/>
  <c r="X46" i="6"/>
  <c r="X5" i="10" s="1"/>
  <c r="X32" i="6"/>
  <c r="X31" i="10" s="1"/>
  <c r="X27" i="6"/>
  <c r="X23" i="6"/>
  <c r="X16" i="6"/>
  <c r="X12" i="6"/>
  <c r="X10" i="6"/>
  <c r="Y6" i="10"/>
  <c r="Y8" i="10"/>
  <c r="Y25" i="10"/>
  <c r="Y23" i="10" s="1"/>
  <c r="Y29" i="10"/>
  <c r="Y43" i="10"/>
  <c r="Y53" i="6"/>
  <c r="Y48" i="6"/>
  <c r="Y37" i="6"/>
  <c r="Y63" i="6"/>
  <c r="Y62" i="6"/>
  <c r="Y67" i="6"/>
  <c r="Y18" i="10"/>
  <c r="Y66" i="6"/>
  <c r="Y65" i="6"/>
  <c r="Y58" i="6"/>
  <c r="Y15" i="10" s="1"/>
  <c r="Y41" i="9" s="1"/>
  <c r="Y34" i="6"/>
  <c r="Y32" i="6" s="1"/>
  <c r="Y43" i="6"/>
  <c r="Y7" i="10" s="1"/>
  <c r="Y32" i="9" s="1"/>
  <c r="Y19" i="6"/>
  <c r="Y24" i="6"/>
  <c r="Y28" i="10" s="1"/>
  <c r="Y48" i="9" s="1"/>
  <c r="Y14" i="6"/>
  <c r="Y17" i="6"/>
  <c r="Y16" i="6" s="1"/>
  <c r="Y12" i="6"/>
  <c r="Y27" i="6"/>
  <c r="Y11" i="6"/>
  <c r="Y10" i="6" s="1"/>
  <c r="Y22" i="14" s="1"/>
  <c r="Y41" i="7"/>
  <c r="Y38" i="7"/>
  <c r="Y37" i="7"/>
  <c r="Y25" i="7"/>
  <c r="Y22" i="7"/>
  <c r="Y21" i="7"/>
  <c r="Y13" i="7"/>
  <c r="Y37" i="10"/>
  <c r="Y19" i="7"/>
  <c r="Y18" i="7"/>
  <c r="Y15" i="7" s="1"/>
  <c r="Y12" i="7"/>
  <c r="Y35" i="10" s="1"/>
  <c r="Y45" i="7"/>
  <c r="V12" i="7"/>
  <c r="V13" i="7"/>
  <c r="V11" i="7" s="1"/>
  <c r="V63" i="6"/>
  <c r="V61" i="6" s="1"/>
  <c r="W8" i="10"/>
  <c r="W29" i="10"/>
  <c r="W43" i="10"/>
  <c r="V22" i="7"/>
  <c r="V21" i="7"/>
  <c r="V17" i="7"/>
  <c r="V40" i="7"/>
  <c r="V41" i="7"/>
  <c r="V38" i="7"/>
  <c r="V37" i="7"/>
  <c r="V19" i="7"/>
  <c r="V18" i="7"/>
  <c r="V15" i="7" s="1"/>
  <c r="W36" i="10" s="1"/>
  <c r="V21" i="6"/>
  <c r="V11" i="6"/>
  <c r="V67" i="6"/>
  <c r="W18" i="10" s="1"/>
  <c r="V66" i="6"/>
  <c r="V58" i="6"/>
  <c r="W15" i="10" s="1"/>
  <c r="W41" i="9" s="1"/>
  <c r="V53" i="6"/>
  <c r="V50" i="6"/>
  <c r="V49" i="6"/>
  <c r="V45" i="6"/>
  <c r="V43" i="6"/>
  <c r="V44" i="6"/>
  <c r="V34" i="6"/>
  <c r="V37" i="6"/>
  <c r="V32" i="6" s="1"/>
  <c r="V24" i="6"/>
  <c r="W28" i="10" s="1"/>
  <c r="W27" i="10" s="1"/>
  <c r="V14" i="6"/>
  <c r="V19" i="6"/>
  <c r="V16" i="6" s="1"/>
  <c r="V12" i="6"/>
  <c r="V10" i="6" s="1"/>
  <c r="V45" i="7"/>
  <c r="V32" i="7"/>
  <c r="V27" i="6"/>
  <c r="T6" i="10"/>
  <c r="U6" i="10"/>
  <c r="V6" i="10"/>
  <c r="T7" i="10"/>
  <c r="U7" i="10"/>
  <c r="U32" i="9" s="1"/>
  <c r="V7" i="10"/>
  <c r="T8" i="10"/>
  <c r="U8" i="10"/>
  <c r="V8" i="10"/>
  <c r="T15" i="10"/>
  <c r="U15" i="10"/>
  <c r="U41" i="9" s="1"/>
  <c r="V15" i="10"/>
  <c r="T17" i="10"/>
  <c r="U17" i="10"/>
  <c r="V17" i="10"/>
  <c r="T18" i="10"/>
  <c r="U18" i="10"/>
  <c r="V18" i="10"/>
  <c r="T25" i="10"/>
  <c r="T23" i="10" s="1"/>
  <c r="U25" i="10"/>
  <c r="U23" i="10" s="1"/>
  <c r="V25" i="10"/>
  <c r="V23" i="10"/>
  <c r="T28" i="10"/>
  <c r="U28" i="10"/>
  <c r="V28" i="10"/>
  <c r="T29" i="10"/>
  <c r="T27" i="10"/>
  <c r="U29" i="10"/>
  <c r="V29" i="10"/>
  <c r="V27" i="10"/>
  <c r="T35" i="10"/>
  <c r="U35" i="10"/>
  <c r="V35" i="10"/>
  <c r="T37" i="10"/>
  <c r="U37" i="10"/>
  <c r="V37" i="10"/>
  <c r="T43" i="10"/>
  <c r="T42" i="9" s="1"/>
  <c r="U43" i="10"/>
  <c r="V43" i="10"/>
  <c r="V42" i="9"/>
  <c r="D118" i="12"/>
  <c r="C118" i="12"/>
  <c r="F117" i="12"/>
  <c r="F116" i="12"/>
  <c r="F115" i="12"/>
  <c r="F114" i="12"/>
  <c r="F113" i="12"/>
  <c r="F118" i="12"/>
  <c r="D111" i="12"/>
  <c r="D119" i="12"/>
  <c r="C111" i="12"/>
  <c r="C119" i="12" s="1"/>
  <c r="F110" i="12"/>
  <c r="F109" i="12"/>
  <c r="F108" i="12"/>
  <c r="F107" i="12"/>
  <c r="F106" i="12"/>
  <c r="F111" i="12"/>
  <c r="F119" i="12" s="1"/>
  <c r="U45" i="7"/>
  <c r="U36" i="7"/>
  <c r="U32" i="7"/>
  <c r="U21" i="7"/>
  <c r="V40" i="10"/>
  <c r="U15" i="7"/>
  <c r="V36" i="10"/>
  <c r="U11" i="7"/>
  <c r="U10" i="7"/>
  <c r="U30" i="7"/>
  <c r="U65" i="6"/>
  <c r="U61" i="6"/>
  <c r="U71" i="6" s="1"/>
  <c r="U48" i="6"/>
  <c r="U46" i="6"/>
  <c r="U55" i="6" s="1"/>
  <c r="U73" i="6" s="1"/>
  <c r="U32" i="6"/>
  <c r="V31" i="10" s="1"/>
  <c r="U27" i="6"/>
  <c r="U23" i="6"/>
  <c r="U16" i="6"/>
  <c r="U10" i="6"/>
  <c r="W22" i="14" s="1"/>
  <c r="T45" i="7"/>
  <c r="T36" i="7"/>
  <c r="U44" i="10"/>
  <c r="T32" i="7"/>
  <c r="T21" i="7"/>
  <c r="T15" i="7"/>
  <c r="U36" i="10"/>
  <c r="T11" i="7"/>
  <c r="T10" i="7"/>
  <c r="T30" i="7"/>
  <c r="T43" i="7"/>
  <c r="T49" i="7"/>
  <c r="T53" i="7"/>
  <c r="T56" i="7"/>
  <c r="T65" i="6"/>
  <c r="T61" i="6"/>
  <c r="T48" i="6"/>
  <c r="T46" i="6"/>
  <c r="U5" i="10"/>
  <c r="T32" i="6"/>
  <c r="U32" i="10" s="1"/>
  <c r="T27" i="6"/>
  <c r="T23" i="6"/>
  <c r="T16" i="6"/>
  <c r="T10" i="6"/>
  <c r="V22" i="14" s="1"/>
  <c r="S45" i="7"/>
  <c r="S36" i="7"/>
  <c r="S32" i="7"/>
  <c r="S21" i="7"/>
  <c r="T40" i="10"/>
  <c r="S15" i="7"/>
  <c r="T36" i="10"/>
  <c r="S11" i="7"/>
  <c r="S65" i="6"/>
  <c r="S61" i="6"/>
  <c r="T16" i="10"/>
  <c r="S48" i="6"/>
  <c r="S46" i="6"/>
  <c r="S32" i="6"/>
  <c r="S27" i="6"/>
  <c r="S23" i="6"/>
  <c r="S16" i="6"/>
  <c r="S10" i="6"/>
  <c r="U23" i="14"/>
  <c r="G14" i="12"/>
  <c r="D91" i="12"/>
  <c r="C91" i="12"/>
  <c r="F90" i="12"/>
  <c r="F89" i="12"/>
  <c r="F88" i="12"/>
  <c r="F87" i="12"/>
  <c r="F86" i="12"/>
  <c r="F91" i="12"/>
  <c r="D84" i="12"/>
  <c r="D92" i="12"/>
  <c r="C84" i="12"/>
  <c r="C92" i="12" s="1"/>
  <c r="F83" i="12"/>
  <c r="F82" i="12"/>
  <c r="F81" i="12"/>
  <c r="F80" i="12"/>
  <c r="F79" i="12"/>
  <c r="F84" i="12"/>
  <c r="F92" i="12"/>
  <c r="S6" i="10"/>
  <c r="S7" i="10"/>
  <c r="S8" i="10"/>
  <c r="S15" i="10"/>
  <c r="S41" i="9"/>
  <c r="S17" i="10"/>
  <c r="S18" i="10"/>
  <c r="S25" i="10"/>
  <c r="S23" i="10"/>
  <c r="S28" i="10"/>
  <c r="S29" i="10"/>
  <c r="S35" i="10"/>
  <c r="S37" i="10"/>
  <c r="S43" i="10"/>
  <c r="S42" i="9"/>
  <c r="R45" i="7"/>
  <c r="R36" i="7"/>
  <c r="R32" i="7"/>
  <c r="R21" i="7"/>
  <c r="S40" i="10"/>
  <c r="R15" i="7"/>
  <c r="S36" i="10"/>
  <c r="R11" i="7"/>
  <c r="R10" i="7" s="1"/>
  <c r="R65" i="6"/>
  <c r="R61" i="6"/>
  <c r="R71" i="6" s="1"/>
  <c r="R48" i="6"/>
  <c r="R46" i="6"/>
  <c r="R32" i="6"/>
  <c r="R27" i="6"/>
  <c r="R23" i="6"/>
  <c r="R16" i="6"/>
  <c r="R10" i="6"/>
  <c r="T22" i="14" s="1"/>
  <c r="N6" i="10"/>
  <c r="O6" i="10"/>
  <c r="O31" i="9"/>
  <c r="P6" i="10"/>
  <c r="Q6" i="10"/>
  <c r="R6" i="10"/>
  <c r="R31" i="9" s="1"/>
  <c r="N7" i="10"/>
  <c r="O7" i="10"/>
  <c r="P7" i="10"/>
  <c r="Q7" i="10"/>
  <c r="R7" i="10"/>
  <c r="N8" i="10"/>
  <c r="O8" i="10"/>
  <c r="P8" i="10"/>
  <c r="Q8" i="10"/>
  <c r="R8" i="10"/>
  <c r="N15" i="10"/>
  <c r="N41" i="9"/>
  <c r="O15" i="10"/>
  <c r="O41" i="9" s="1"/>
  <c r="P15" i="10"/>
  <c r="P41" i="9" s="1"/>
  <c r="Q15" i="10"/>
  <c r="Q41" i="9"/>
  <c r="R15" i="10"/>
  <c r="R41" i="9"/>
  <c r="N17" i="10"/>
  <c r="O17" i="10"/>
  <c r="P17" i="10"/>
  <c r="Q17" i="10"/>
  <c r="R17" i="10"/>
  <c r="N18" i="10"/>
  <c r="O18" i="10"/>
  <c r="P18" i="10"/>
  <c r="Q18" i="10"/>
  <c r="R18" i="10"/>
  <c r="N25" i="10"/>
  <c r="N23" i="10"/>
  <c r="O25" i="10"/>
  <c r="O23" i="10"/>
  <c r="P25" i="10"/>
  <c r="P23" i="10"/>
  <c r="Q25" i="10"/>
  <c r="Q23" i="10" s="1"/>
  <c r="R25" i="10"/>
  <c r="R23" i="10"/>
  <c r="N28" i="10"/>
  <c r="O28" i="10"/>
  <c r="P28" i="10"/>
  <c r="Q28" i="10"/>
  <c r="R28" i="10"/>
  <c r="S33" i="9" s="1"/>
  <c r="N29" i="10"/>
  <c r="N27" i="10" s="1"/>
  <c r="O29" i="10"/>
  <c r="P29" i="10"/>
  <c r="Q29" i="10"/>
  <c r="R29" i="10"/>
  <c r="N35" i="10"/>
  <c r="O35" i="10"/>
  <c r="P35" i="10"/>
  <c r="Q35" i="10"/>
  <c r="R35" i="10"/>
  <c r="N37" i="10"/>
  <c r="O37" i="10"/>
  <c r="P37" i="10"/>
  <c r="Q37" i="10"/>
  <c r="R37" i="10"/>
  <c r="N43" i="10"/>
  <c r="N42" i="9"/>
  <c r="O43" i="10"/>
  <c r="O42" i="9"/>
  <c r="P43" i="10"/>
  <c r="P42" i="9" s="1"/>
  <c r="Q43" i="10"/>
  <c r="R43" i="10"/>
  <c r="Q45" i="7"/>
  <c r="Q36" i="7"/>
  <c r="R44" i="10"/>
  <c r="Q32" i="7"/>
  <c r="Q21" i="7"/>
  <c r="R40" i="10"/>
  <c r="S37" i="9" s="1"/>
  <c r="Q15" i="7"/>
  <c r="R36" i="10"/>
  <c r="Q11" i="7"/>
  <c r="Q10" i="7"/>
  <c r="Q30" i="7"/>
  <c r="P45" i="7"/>
  <c r="P36" i="7"/>
  <c r="P32" i="7"/>
  <c r="P21" i="7"/>
  <c r="Q40" i="10"/>
  <c r="P15" i="7"/>
  <c r="Q36" i="10"/>
  <c r="P11" i="7"/>
  <c r="P10" i="7"/>
  <c r="Q65" i="6"/>
  <c r="Q61" i="6"/>
  <c r="R16" i="10" s="1"/>
  <c r="R14" i="10" s="1"/>
  <c r="R11" i="10" s="1"/>
  <c r="Q48" i="6"/>
  <c r="Q46" i="6"/>
  <c r="S14" i="14" s="1"/>
  <c r="Q32" i="6"/>
  <c r="R31" i="10" s="1"/>
  <c r="Q27" i="6"/>
  <c r="Q23" i="6"/>
  <c r="Q16" i="6"/>
  <c r="Q10" i="6"/>
  <c r="S23" i="14"/>
  <c r="P65" i="6"/>
  <c r="P61" i="6"/>
  <c r="P71" i="6" s="1"/>
  <c r="P48" i="6"/>
  <c r="P46" i="6"/>
  <c r="P32" i="6"/>
  <c r="P27" i="6"/>
  <c r="P23" i="6"/>
  <c r="P16" i="6"/>
  <c r="P10" i="6"/>
  <c r="D57" i="12"/>
  <c r="C57" i="12"/>
  <c r="F56" i="12"/>
  <c r="F55" i="12"/>
  <c r="F54" i="12"/>
  <c r="F53" i="12"/>
  <c r="F52" i="12"/>
  <c r="F57" i="12" s="1"/>
  <c r="D50" i="12"/>
  <c r="C50" i="12"/>
  <c r="C58" i="12"/>
  <c r="F49" i="12"/>
  <c r="F48" i="12"/>
  <c r="F47" i="12"/>
  <c r="F46" i="12"/>
  <c r="F45" i="12"/>
  <c r="D22" i="12"/>
  <c r="C22" i="12"/>
  <c r="F21" i="12"/>
  <c r="F20" i="12"/>
  <c r="F19" i="12"/>
  <c r="F18" i="12"/>
  <c r="F17" i="12"/>
  <c r="D15" i="12"/>
  <c r="G19" i="12" s="1"/>
  <c r="G20" i="12" s="1"/>
  <c r="D23" i="12"/>
  <c r="C15" i="12"/>
  <c r="C23" i="12"/>
  <c r="F14" i="12"/>
  <c r="F13" i="12"/>
  <c r="F12" i="12"/>
  <c r="F11" i="12"/>
  <c r="F10" i="12"/>
  <c r="O45" i="7"/>
  <c r="O36" i="7"/>
  <c r="P44" i="10"/>
  <c r="O32" i="7"/>
  <c r="O21" i="7"/>
  <c r="P40" i="10"/>
  <c r="Q37" i="9" s="1"/>
  <c r="O15" i="7"/>
  <c r="P36" i="10"/>
  <c r="O11" i="7"/>
  <c r="O10" i="7"/>
  <c r="O65" i="6"/>
  <c r="O61" i="6"/>
  <c r="O48" i="6"/>
  <c r="O46" i="6"/>
  <c r="O55" i="6" s="1"/>
  <c r="O32" i="6"/>
  <c r="O27" i="6"/>
  <c r="O23" i="6"/>
  <c r="O16" i="6"/>
  <c r="O10" i="6"/>
  <c r="N45" i="7"/>
  <c r="N36" i="7"/>
  <c r="N32" i="7"/>
  <c r="N21" i="7"/>
  <c r="N15" i="7"/>
  <c r="O36" i="10"/>
  <c r="N11" i="7"/>
  <c r="N65" i="6"/>
  <c r="N61" i="6"/>
  <c r="N71" i="6"/>
  <c r="O16" i="10"/>
  <c r="N48" i="6"/>
  <c r="N46" i="6"/>
  <c r="P14" i="14"/>
  <c r="O5" i="10"/>
  <c r="N32" i="6"/>
  <c r="O31" i="10"/>
  <c r="N27" i="6"/>
  <c r="N23" i="6"/>
  <c r="N16" i="6"/>
  <c r="N10" i="6"/>
  <c r="M45" i="7"/>
  <c r="M36" i="7"/>
  <c r="N44" i="10"/>
  <c r="M32" i="7"/>
  <c r="M21" i="7"/>
  <c r="M15" i="7"/>
  <c r="N36" i="10"/>
  <c r="M11" i="7"/>
  <c r="M10" i="7"/>
  <c r="M30" i="7"/>
  <c r="N34" i="10"/>
  <c r="M65" i="6"/>
  <c r="M61" i="6"/>
  <c r="N16" i="10" s="1"/>
  <c r="M48" i="6"/>
  <c r="M46" i="6"/>
  <c r="M55" i="6" s="1"/>
  <c r="M32" i="6"/>
  <c r="N32" i="10"/>
  <c r="M27" i="6"/>
  <c r="M23" i="6"/>
  <c r="M16" i="6"/>
  <c r="M10" i="6"/>
  <c r="K6" i="10"/>
  <c r="L6" i="10"/>
  <c r="M6" i="10"/>
  <c r="K7" i="10"/>
  <c r="L7" i="10"/>
  <c r="M7" i="10"/>
  <c r="K8" i="10"/>
  <c r="L8" i="10"/>
  <c r="M8" i="10"/>
  <c r="K15" i="10"/>
  <c r="K41" i="9" s="1"/>
  <c r="L15" i="10"/>
  <c r="L41" i="9" s="1"/>
  <c r="M15" i="10"/>
  <c r="K17" i="10"/>
  <c r="L17" i="10"/>
  <c r="M17" i="10"/>
  <c r="K18" i="10"/>
  <c r="L18" i="10"/>
  <c r="M18" i="10"/>
  <c r="K25" i="10"/>
  <c r="K23" i="10"/>
  <c r="L25" i="10"/>
  <c r="L23" i="10" s="1"/>
  <c r="M25" i="10"/>
  <c r="M23" i="10"/>
  <c r="K28" i="10"/>
  <c r="L28" i="10"/>
  <c r="M28" i="10"/>
  <c r="K29" i="10"/>
  <c r="L29" i="10"/>
  <c r="M29" i="10"/>
  <c r="M48" i="9" s="1"/>
  <c r="K35" i="10"/>
  <c r="L35" i="10"/>
  <c r="M35" i="10"/>
  <c r="K37" i="10"/>
  <c r="L37" i="10"/>
  <c r="M37" i="10"/>
  <c r="K43" i="10"/>
  <c r="L43" i="10"/>
  <c r="M43" i="10"/>
  <c r="M42" i="9" s="1"/>
  <c r="J45" i="7"/>
  <c r="K45" i="7"/>
  <c r="L45" i="7"/>
  <c r="J36" i="7"/>
  <c r="K44" i="10"/>
  <c r="K36" i="7"/>
  <c r="L44" i="10"/>
  <c r="L36" i="7"/>
  <c r="J32" i="7"/>
  <c r="K32" i="7"/>
  <c r="L32" i="7"/>
  <c r="J21" i="7"/>
  <c r="K21" i="7"/>
  <c r="L40" i="10"/>
  <c r="L21" i="7"/>
  <c r="M40" i="10"/>
  <c r="J15" i="7"/>
  <c r="K36" i="10"/>
  <c r="K15" i="7"/>
  <c r="L36" i="10"/>
  <c r="L15" i="7"/>
  <c r="J11" i="7"/>
  <c r="J10" i="7"/>
  <c r="K11" i="7"/>
  <c r="K10" i="7"/>
  <c r="K30" i="7"/>
  <c r="L34" i="10"/>
  <c r="L11" i="7"/>
  <c r="L10" i="7" s="1"/>
  <c r="J65" i="6"/>
  <c r="K65" i="6"/>
  <c r="L65" i="6"/>
  <c r="J61" i="6"/>
  <c r="K61" i="6"/>
  <c r="L61" i="6"/>
  <c r="L71" i="6" s="1"/>
  <c r="J48" i="6"/>
  <c r="K48" i="6"/>
  <c r="L48" i="6"/>
  <c r="J46" i="6"/>
  <c r="J55" i="6"/>
  <c r="K5" i="10"/>
  <c r="K46" i="6"/>
  <c r="L46" i="6"/>
  <c r="J32" i="6"/>
  <c r="K32" i="10"/>
  <c r="K32" i="6"/>
  <c r="L31" i="10" s="1"/>
  <c r="L32" i="6"/>
  <c r="M32" i="10" s="1"/>
  <c r="J27" i="6"/>
  <c r="K27" i="6"/>
  <c r="L27" i="6"/>
  <c r="J23" i="6"/>
  <c r="K23" i="6"/>
  <c r="L23" i="6"/>
  <c r="J16" i="6"/>
  <c r="K16" i="6"/>
  <c r="L16" i="6"/>
  <c r="J10" i="6"/>
  <c r="K10" i="6"/>
  <c r="L10" i="6"/>
  <c r="J18" i="10"/>
  <c r="I37" i="6"/>
  <c r="I63" i="6"/>
  <c r="I61" i="6" s="1"/>
  <c r="I53" i="6"/>
  <c r="I48" i="6" s="1"/>
  <c r="I45" i="6"/>
  <c r="J6" i="10"/>
  <c r="I43" i="6"/>
  <c r="I44" i="6"/>
  <c r="I34" i="6"/>
  <c r="I32" i="6" s="1"/>
  <c r="J32" i="10" s="1"/>
  <c r="I21" i="6"/>
  <c r="I14" i="6"/>
  <c r="I24" i="6"/>
  <c r="J28" i="10" s="1"/>
  <c r="I23" i="6"/>
  <c r="I19" i="6"/>
  <c r="I16" i="6" s="1"/>
  <c r="I12" i="6"/>
  <c r="I11" i="6"/>
  <c r="I41" i="7"/>
  <c r="I40" i="7"/>
  <c r="I39" i="7"/>
  <c r="I38" i="7"/>
  <c r="I37" i="7"/>
  <c r="I36" i="7"/>
  <c r="I33" i="7"/>
  <c r="I32" i="7"/>
  <c r="I25" i="7"/>
  <c r="I22" i="7"/>
  <c r="I21" i="7"/>
  <c r="I19" i="7"/>
  <c r="I15" i="7"/>
  <c r="J36" i="10"/>
  <c r="I13" i="7"/>
  <c r="J37" i="10"/>
  <c r="I12" i="7"/>
  <c r="J35" i="10"/>
  <c r="I45" i="7"/>
  <c r="I27" i="6"/>
  <c r="I65" i="6"/>
  <c r="J8" i="10"/>
  <c r="J15" i="10"/>
  <c r="J41" i="9" s="1"/>
  <c r="J17" i="10"/>
  <c r="J29" i="10"/>
  <c r="J43" i="10"/>
  <c r="J42" i="9" s="1"/>
  <c r="B8" i="17"/>
  <c r="C8" i="17"/>
  <c r="D8" i="17"/>
  <c r="E8" i="17"/>
  <c r="F8" i="17"/>
  <c r="G8" i="17"/>
  <c r="H8" i="17"/>
  <c r="I8" i="17"/>
  <c r="J8" i="17"/>
  <c r="K8" i="17"/>
  <c r="L8" i="17"/>
  <c r="B10" i="17"/>
  <c r="B12" i="17"/>
  <c r="B11" i="17"/>
  <c r="C10" i="17"/>
  <c r="D10" i="17"/>
  <c r="E10" i="17"/>
  <c r="E12" i="17" s="1"/>
  <c r="F10" i="17"/>
  <c r="F12" i="17"/>
  <c r="F11" i="17"/>
  <c r="G10" i="17"/>
  <c r="G12" i="17" s="1"/>
  <c r="G11" i="17" s="1"/>
  <c r="H10" i="17"/>
  <c r="H12" i="17" s="1"/>
  <c r="H11" i="17" s="1"/>
  <c r="I10" i="17"/>
  <c r="I12" i="17" s="1"/>
  <c r="I11" i="17" s="1"/>
  <c r="J10" i="17"/>
  <c r="J12" i="17"/>
  <c r="J11" i="17"/>
  <c r="K10" i="17"/>
  <c r="K12" i="17" s="1"/>
  <c r="K11" i="17" s="1"/>
  <c r="L10" i="17"/>
  <c r="L12" i="17"/>
  <c r="L11" i="17"/>
  <c r="C7" i="17"/>
  <c r="D7" i="17"/>
  <c r="E7" i="17"/>
  <c r="F7" i="17"/>
  <c r="G7" i="17"/>
  <c r="H7" i="17"/>
  <c r="I7" i="17"/>
  <c r="J7" i="17"/>
  <c r="K7" i="17"/>
  <c r="L7" i="17"/>
  <c r="B7" i="17"/>
  <c r="I6" i="10"/>
  <c r="I8" i="10"/>
  <c r="I29" i="10"/>
  <c r="I37" i="10"/>
  <c r="H45" i="7"/>
  <c r="H32" i="7"/>
  <c r="H41" i="7"/>
  <c r="H25" i="7"/>
  <c r="H38" i="7"/>
  <c r="H37" i="7"/>
  <c r="H36" i="7" s="1"/>
  <c r="H23" i="7"/>
  <c r="I43" i="10"/>
  <c r="I42" i="9"/>
  <c r="H19" i="7"/>
  <c r="H15" i="7"/>
  <c r="H12" i="7"/>
  <c r="I35" i="10"/>
  <c r="H67" i="6"/>
  <c r="I18" i="10"/>
  <c r="H66" i="6"/>
  <c r="H65" i="6"/>
  <c r="H63" i="6"/>
  <c r="H61" i="6" s="1"/>
  <c r="I16" i="10" s="1"/>
  <c r="H58" i="6"/>
  <c r="I15" i="10"/>
  <c r="I41" i="9"/>
  <c r="H53" i="6"/>
  <c r="H50" i="6"/>
  <c r="H49" i="6"/>
  <c r="H43" i="6"/>
  <c r="H46" i="6"/>
  <c r="H27" i="6"/>
  <c r="H34" i="6"/>
  <c r="H37" i="6"/>
  <c r="H21" i="6"/>
  <c r="I25" i="10"/>
  <c r="I23" i="10" s="1"/>
  <c r="H24" i="6"/>
  <c r="I28" i="10"/>
  <c r="H14" i="6"/>
  <c r="H12" i="6"/>
  <c r="H11" i="6"/>
  <c r="H10" i="6" s="1"/>
  <c r="H29" i="10"/>
  <c r="G29" i="10"/>
  <c r="E29" i="10"/>
  <c r="G22" i="7"/>
  <c r="G12" i="6"/>
  <c r="G45" i="7"/>
  <c r="G41" i="7"/>
  <c r="G38" i="7"/>
  <c r="G37" i="7"/>
  <c r="G32" i="7"/>
  <c r="G25" i="7"/>
  <c r="G23" i="7"/>
  <c r="G19" i="7"/>
  <c r="G15" i="7"/>
  <c r="H36" i="10"/>
  <c r="G11" i="7"/>
  <c r="G10" i="7" s="1"/>
  <c r="G63" i="6"/>
  <c r="G61" i="6"/>
  <c r="H16" i="10"/>
  <c r="G53" i="6"/>
  <c r="G50" i="6"/>
  <c r="G48" i="6" s="1"/>
  <c r="G43" i="6"/>
  <c r="G34" i="6"/>
  <c r="G32" i="6"/>
  <c r="H31" i="10" s="1"/>
  <c r="G11" i="6"/>
  <c r="G10" i="6"/>
  <c r="I22" i="14" s="1"/>
  <c r="G23" i="6"/>
  <c r="G27" i="6"/>
  <c r="G65" i="6"/>
  <c r="G71" i="6" s="1"/>
  <c r="H6" i="10"/>
  <c r="H8" i="10"/>
  <c r="H15" i="10"/>
  <c r="H41" i="9"/>
  <c r="H17" i="10"/>
  <c r="H18" i="10"/>
  <c r="H25" i="10"/>
  <c r="H23" i="10"/>
  <c r="H28" i="10"/>
  <c r="H48" i="9" s="1"/>
  <c r="H35" i="10"/>
  <c r="H37" i="10"/>
  <c r="F25" i="10"/>
  <c r="F23" i="10"/>
  <c r="F45" i="7"/>
  <c r="F21" i="7"/>
  <c r="F11" i="7"/>
  <c r="F15" i="7"/>
  <c r="G36" i="10"/>
  <c r="F36" i="7"/>
  <c r="G44" i="10"/>
  <c r="F32" i="7"/>
  <c r="E12" i="7"/>
  <c r="E15" i="7"/>
  <c r="F36" i="10"/>
  <c r="E23" i="7"/>
  <c r="E21" i="7"/>
  <c r="E32" i="7"/>
  <c r="E37" i="7"/>
  <c r="E38" i="7"/>
  <c r="E41" i="7"/>
  <c r="E45" i="7"/>
  <c r="G41" i="10"/>
  <c r="G8" i="10"/>
  <c r="G43" i="10"/>
  <c r="G37" i="10"/>
  <c r="G35" i="10"/>
  <c r="F66" i="6"/>
  <c r="G17" i="10" s="1"/>
  <c r="F67" i="6"/>
  <c r="G18" i="10"/>
  <c r="F63" i="6"/>
  <c r="F62" i="6"/>
  <c r="F61" i="6" s="1"/>
  <c r="F58" i="6"/>
  <c r="G15" i="10" s="1"/>
  <c r="F53" i="6"/>
  <c r="F50" i="6"/>
  <c r="F49" i="6"/>
  <c r="F43" i="6"/>
  <c r="F45" i="6"/>
  <c r="G6" i="10" s="1"/>
  <c r="F44" i="6"/>
  <c r="F36" i="6"/>
  <c r="F37" i="6"/>
  <c r="F27" i="6"/>
  <c r="F25" i="6"/>
  <c r="F29" i="10"/>
  <c r="F24" i="6"/>
  <c r="F23" i="6" s="1"/>
  <c r="F21" i="6"/>
  <c r="G25" i="10" s="1"/>
  <c r="G23" i="10" s="1"/>
  <c r="F16" i="6"/>
  <c r="F14" i="6"/>
  <c r="F12" i="6"/>
  <c r="F11" i="6"/>
  <c r="E50" i="6"/>
  <c r="E48" i="6"/>
  <c r="F41" i="10"/>
  <c r="F37" i="10"/>
  <c r="F28" i="10"/>
  <c r="F18" i="10"/>
  <c r="F17" i="10"/>
  <c r="F15" i="10"/>
  <c r="F8" i="10"/>
  <c r="F6" i="10"/>
  <c r="E65" i="6"/>
  <c r="E63" i="6"/>
  <c r="E61" i="6" s="1"/>
  <c r="E43" i="6"/>
  <c r="E32" i="6"/>
  <c r="F32" i="10" s="1"/>
  <c r="E27" i="6"/>
  <c r="E23" i="6"/>
  <c r="E16" i="6"/>
  <c r="E12" i="6"/>
  <c r="E10" i="6" s="1"/>
  <c r="E44" i="10"/>
  <c r="E34" i="10"/>
  <c r="E32" i="10"/>
  <c r="E28" i="10"/>
  <c r="F46" i="9"/>
  <c r="E24" i="10"/>
  <c r="E25" i="10"/>
  <c r="E15" i="10"/>
  <c r="E17" i="10"/>
  <c r="E18" i="10"/>
  <c r="E6" i="10"/>
  <c r="E7" i="10"/>
  <c r="D63" i="6"/>
  <c r="D61" i="6"/>
  <c r="D54" i="6"/>
  <c r="D48" i="6"/>
  <c r="D43" i="6"/>
  <c r="D46" i="6" s="1"/>
  <c r="D11" i="6"/>
  <c r="D12" i="6"/>
  <c r="D10" i="6" s="1"/>
  <c r="D65" i="6"/>
  <c r="D32" i="6"/>
  <c r="D27" i="6"/>
  <c r="D23" i="6"/>
  <c r="D16" i="6"/>
  <c r="C41" i="7"/>
  <c r="C36" i="7"/>
  <c r="D44" i="10"/>
  <c r="C25" i="7"/>
  <c r="C21" i="7"/>
  <c r="C19" i="7"/>
  <c r="C15" i="7"/>
  <c r="D36" i="10"/>
  <c r="C13" i="7"/>
  <c r="D37" i="10"/>
  <c r="C54" i="6"/>
  <c r="D8" i="10"/>
  <c r="C61" i="6"/>
  <c r="C67" i="6"/>
  <c r="D18" i="10"/>
  <c r="C43" i="6"/>
  <c r="D7" i="10" s="1"/>
  <c r="C32" i="6"/>
  <c r="C27" i="6"/>
  <c r="C12" i="6"/>
  <c r="C10" i="6"/>
  <c r="D21" i="7"/>
  <c r="D6" i="10"/>
  <c r="C23" i="6"/>
  <c r="C45" i="7"/>
  <c r="C32" i="7"/>
  <c r="D43" i="10"/>
  <c r="D42" i="10"/>
  <c r="D41" i="10"/>
  <c r="D35" i="10"/>
  <c r="D32" i="10"/>
  <c r="D29" i="10"/>
  <c r="D28" i="10"/>
  <c r="D27" i="10" s="1"/>
  <c r="E45" i="9" s="1"/>
  <c r="D25" i="10"/>
  <c r="D24" i="10"/>
  <c r="D17" i="10"/>
  <c r="D15" i="10"/>
  <c r="C16" i="6"/>
  <c r="D45" i="7"/>
  <c r="D32" i="7"/>
  <c r="D36" i="7"/>
  <c r="D15" i="7"/>
  <c r="D11" i="7"/>
  <c r="D10" i="7"/>
  <c r="D30" i="7"/>
  <c r="G16" i="6"/>
  <c r="E11" i="17"/>
  <c r="H16" i="6"/>
  <c r="I11" i="7"/>
  <c r="H11" i="7"/>
  <c r="H23" i="6"/>
  <c r="G40" i="10"/>
  <c r="P5" i="10"/>
  <c r="P16" i="9"/>
  <c r="L32" i="10"/>
  <c r="Q14" i="14"/>
  <c r="M44" i="10"/>
  <c r="N22" i="14"/>
  <c r="Q71" i="6"/>
  <c r="M36" i="10"/>
  <c r="K40" i="10"/>
  <c r="M71" i="6"/>
  <c r="O22" i="14"/>
  <c r="S16" i="10"/>
  <c r="D58" i="12"/>
  <c r="S44" i="10"/>
  <c r="F50" i="12"/>
  <c r="F58" i="12"/>
  <c r="O32" i="10"/>
  <c r="Q22" i="14"/>
  <c r="P22" i="14"/>
  <c r="Q44" i="10"/>
  <c r="R5" i="10"/>
  <c r="N31" i="9"/>
  <c r="Y36" i="7"/>
  <c r="Y57" i="7" s="1"/>
  <c r="Y44" i="10"/>
  <c r="Y11" i="7"/>
  <c r="Y10" i="7" s="1"/>
  <c r="R34" i="10"/>
  <c r="R44" i="9"/>
  <c r="F43" i="10"/>
  <c r="F10" i="7"/>
  <c r="G34" i="10"/>
  <c r="G36" i="7"/>
  <c r="H44" i="10"/>
  <c r="S10" i="7"/>
  <c r="H21" i="7"/>
  <c r="H57" i="7"/>
  <c r="N10" i="7"/>
  <c r="O34" i="10"/>
  <c r="O35" i="9" s="1"/>
  <c r="V36" i="7"/>
  <c r="V57" i="7" s="1"/>
  <c r="W44" i="10"/>
  <c r="N40" i="10"/>
  <c r="N37" i="9" s="1"/>
  <c r="W37" i="10"/>
  <c r="I44" i="10"/>
  <c r="S30" i="7"/>
  <c r="S43" i="7"/>
  <c r="S49" i="7"/>
  <c r="S53" i="7"/>
  <c r="S56" i="7"/>
  <c r="T34" i="10"/>
  <c r="T32" i="10"/>
  <c r="T31" i="10"/>
  <c r="J7" i="10"/>
  <c r="M22" i="14"/>
  <c r="N30" i="7"/>
  <c r="H43" i="10"/>
  <c r="H42" i="9"/>
  <c r="G21" i="7"/>
  <c r="V16" i="10"/>
  <c r="V14" i="10"/>
  <c r="V11" i="10" s="1"/>
  <c r="E11" i="7"/>
  <c r="E10" i="7"/>
  <c r="F35" i="10"/>
  <c r="S55" i="6"/>
  <c r="T5" i="10"/>
  <c r="U34" i="10"/>
  <c r="U44" i="9"/>
  <c r="E36" i="7"/>
  <c r="F44" i="10"/>
  <c r="U14" i="14"/>
  <c r="F57" i="7"/>
  <c r="F58" i="7"/>
  <c r="D12" i="17"/>
  <c r="D11" i="17"/>
  <c r="F15" i="12"/>
  <c r="F22" i="12"/>
  <c r="V32" i="10"/>
  <c r="W40" i="10"/>
  <c r="C12" i="17"/>
  <c r="C11" i="17"/>
  <c r="U48" i="9"/>
  <c r="W25" i="10"/>
  <c r="W23" i="10"/>
  <c r="T44" i="10"/>
  <c r="T44" i="9"/>
  <c r="N55" i="6"/>
  <c r="V23" i="14"/>
  <c r="V23" i="6"/>
  <c r="U19" i="14"/>
  <c r="F34" i="10"/>
  <c r="F44" i="9" s="1"/>
  <c r="F23" i="12"/>
  <c r="T31" i="9"/>
  <c r="T33" i="9"/>
  <c r="X40" i="10"/>
  <c r="Q48" i="9"/>
  <c r="R32" i="9"/>
  <c r="V33" i="9"/>
  <c r="S27" i="10"/>
  <c r="T45" i="9" s="1"/>
  <c r="S22" i="14"/>
  <c r="C48" i="6"/>
  <c r="E8" i="10"/>
  <c r="E42" i="9" s="1"/>
  <c r="W6" i="10"/>
  <c r="O27" i="10"/>
  <c r="P45" i="9"/>
  <c r="R33" i="9"/>
  <c r="V32" i="9"/>
  <c r="F41" i="9"/>
  <c r="X48" i="9"/>
  <c r="Y46" i="9"/>
  <c r="J30" i="7"/>
  <c r="K34" i="10"/>
  <c r="F19" i="14"/>
  <c r="D43" i="7"/>
  <c r="D49" i="7"/>
  <c r="D53" i="7"/>
  <c r="D56" i="7"/>
  <c r="H34" i="10"/>
  <c r="H44" i="9"/>
  <c r="G30" i="7"/>
  <c r="G43" i="7"/>
  <c r="G49" i="7"/>
  <c r="G53" i="7"/>
  <c r="G56" i="7"/>
  <c r="M34" i="10"/>
  <c r="M44" i="9"/>
  <c r="L30" i="7"/>
  <c r="L43" i="7"/>
  <c r="L49" i="7"/>
  <c r="L53" i="7"/>
  <c r="L56" i="7"/>
  <c r="O19" i="14"/>
  <c r="M43" i="7"/>
  <c r="M49" i="7"/>
  <c r="M53" i="7"/>
  <c r="M56" i="7"/>
  <c r="Q43" i="7"/>
  <c r="Q49" i="7"/>
  <c r="Q53" i="7"/>
  <c r="Q56" i="7"/>
  <c r="S19" i="14"/>
  <c r="N19" i="14"/>
  <c r="O30" i="7"/>
  <c r="P34" i="10"/>
  <c r="R30" i="7"/>
  <c r="S34" i="10"/>
  <c r="T35" i="9" s="1"/>
  <c r="W37" i="9"/>
  <c r="J40" i="10"/>
  <c r="G44" i="9"/>
  <c r="I36" i="10"/>
  <c r="H10" i="7"/>
  <c r="V10" i="7"/>
  <c r="X30" i="7"/>
  <c r="X43" i="7"/>
  <c r="X49" i="7"/>
  <c r="X53" i="7"/>
  <c r="X56" i="7"/>
  <c r="X34" i="10"/>
  <c r="X44" i="9"/>
  <c r="Q34" i="10"/>
  <c r="Q44" i="9" s="1"/>
  <c r="R35" i="9"/>
  <c r="P30" i="7"/>
  <c r="E30" i="7"/>
  <c r="E43" i="7"/>
  <c r="E49" i="7"/>
  <c r="E53" i="7"/>
  <c r="E56" i="7"/>
  <c r="F40" i="10"/>
  <c r="K43" i="7"/>
  <c r="K49" i="7"/>
  <c r="K53" i="7"/>
  <c r="K56" i="7"/>
  <c r="M19" i="14"/>
  <c r="R37" i="9"/>
  <c r="J44" i="10"/>
  <c r="I57" i="7"/>
  <c r="M37" i="9"/>
  <c r="L37" i="9"/>
  <c r="W19" i="14"/>
  <c r="U43" i="7"/>
  <c r="U49" i="7"/>
  <c r="U53" i="7"/>
  <c r="U56" i="7"/>
  <c r="I40" i="10"/>
  <c r="J37" i="9" s="1"/>
  <c r="H40" i="10"/>
  <c r="I37" i="9" s="1"/>
  <c r="V34" i="10"/>
  <c r="O44" i="10"/>
  <c r="O44" i="9"/>
  <c r="V19" i="14"/>
  <c r="F30" i="7"/>
  <c r="C11" i="7"/>
  <c r="C10" i="7"/>
  <c r="C30" i="7"/>
  <c r="C43" i="7"/>
  <c r="C49" i="7"/>
  <c r="C53" i="7"/>
  <c r="C56" i="7"/>
  <c r="U40" i="10"/>
  <c r="V37" i="9"/>
  <c r="U37" i="9"/>
  <c r="O40" i="10"/>
  <c r="P37" i="9"/>
  <c r="I10" i="7"/>
  <c r="W35" i="10"/>
  <c r="X46" i="9"/>
  <c r="G57" i="7"/>
  <c r="G19" i="14"/>
  <c r="I19" i="14"/>
  <c r="T46" i="9"/>
  <c r="V65" i="6"/>
  <c r="W17" i="10"/>
  <c r="M23" i="14"/>
  <c r="M14" i="14"/>
  <c r="K55" i="6"/>
  <c r="L5" i="10"/>
  <c r="V41" i="9"/>
  <c r="M41" i="9"/>
  <c r="V48" i="9"/>
  <c r="W46" i="9"/>
  <c r="C46" i="6"/>
  <c r="E14" i="14" s="1"/>
  <c r="K39" i="6"/>
  <c r="R22" i="14"/>
  <c r="L22" i="14"/>
  <c r="P31" i="10"/>
  <c r="P32" i="10"/>
  <c r="X32" i="10"/>
  <c r="L14" i="14"/>
  <c r="E19" i="14"/>
  <c r="W34" i="10"/>
  <c r="V30" i="7"/>
  <c r="H30" i="7"/>
  <c r="I34" i="10"/>
  <c r="K44" i="9"/>
  <c r="I30" i="7"/>
  <c r="J34" i="10"/>
  <c r="J44" i="9" s="1"/>
  <c r="J35" i="9"/>
  <c r="F43" i="7"/>
  <c r="F49" i="7"/>
  <c r="F53" i="7"/>
  <c r="F56" i="7"/>
  <c r="H19" i="14"/>
  <c r="R43" i="7"/>
  <c r="R49" i="7"/>
  <c r="R53" i="7"/>
  <c r="R56" i="7"/>
  <c r="T19" i="14"/>
  <c r="L19" i="14"/>
  <c r="J43" i="7"/>
  <c r="J49" i="7"/>
  <c r="J53" i="7"/>
  <c r="J56" i="7"/>
  <c r="P43" i="7"/>
  <c r="P49" i="7"/>
  <c r="P53" i="7"/>
  <c r="P56" i="7"/>
  <c r="R19" i="14"/>
  <c r="O43" i="7"/>
  <c r="O49" i="7"/>
  <c r="O53" i="7"/>
  <c r="O56" i="7"/>
  <c r="Q19" i="14"/>
  <c r="H43" i="7"/>
  <c r="H49" i="7"/>
  <c r="H53" i="7"/>
  <c r="H56" i="7"/>
  <c r="J19" i="14"/>
  <c r="V43" i="7"/>
  <c r="V49" i="7"/>
  <c r="V53" i="7"/>
  <c r="V56" i="7"/>
  <c r="X19" i="14"/>
  <c r="W44" i="9"/>
  <c r="W35" i="9"/>
  <c r="I43" i="7"/>
  <c r="I49" i="7"/>
  <c r="I53" i="7"/>
  <c r="I56" i="7"/>
  <c r="K19" i="14"/>
  <c r="I44" i="9"/>
  <c r="J46" i="9"/>
  <c r="O16" i="9"/>
  <c r="R32" i="10"/>
  <c r="I7" i="10"/>
  <c r="S31" i="9"/>
  <c r="M16" i="10"/>
  <c r="M14" i="10" s="1"/>
  <c r="M11" i="10" s="1"/>
  <c r="R39" i="6"/>
  <c r="T13" i="14" s="1"/>
  <c r="Q31" i="10"/>
  <c r="T32" i="9"/>
  <c r="L23" i="14"/>
  <c r="K31" i="10"/>
  <c r="Q55" i="6"/>
  <c r="Q73" i="6"/>
  <c r="Q32" i="10"/>
  <c r="L48" i="9"/>
  <c r="O23" i="14"/>
  <c r="T55" i="6"/>
  <c r="K42" i="9"/>
  <c r="W14" i="14"/>
  <c r="U22" i="14"/>
  <c r="P23" i="14"/>
  <c r="X71" i="6"/>
  <c r="L16" i="10"/>
  <c r="L14" i="10" s="1"/>
  <c r="L11" i="10" s="1"/>
  <c r="L39" i="6"/>
  <c r="I10" i="6"/>
  <c r="U39" i="6"/>
  <c r="V4" i="10" s="1"/>
  <c r="P16" i="10"/>
  <c r="F32" i="6"/>
  <c r="G31" i="10" s="1"/>
  <c r="S32" i="10"/>
  <c r="M31" i="10"/>
  <c r="Y31" i="9"/>
  <c r="E46" i="6"/>
  <c r="G23" i="14" s="1"/>
  <c r="F7" i="10"/>
  <c r="F32" i="9" s="1"/>
  <c r="D55" i="6"/>
  <c r="W16" i="10"/>
  <c r="J31" i="10"/>
  <c r="H32" i="10"/>
  <c r="N12" i="14"/>
  <c r="C65" i="6"/>
  <c r="X55" i="6"/>
  <c r="X73" i="6"/>
  <c r="D5" i="10"/>
  <c r="D16" i="9" s="1"/>
  <c r="Y46" i="6"/>
  <c r="Y55" i="6"/>
  <c r="Q16" i="10"/>
  <c r="G14" i="14"/>
  <c r="F5" i="10"/>
  <c r="F16" i="9"/>
  <c r="Z57" i="7"/>
  <c r="AA30" i="7"/>
  <c r="AA43" i="7"/>
  <c r="AA49" i="7"/>
  <c r="AA53" i="7"/>
  <c r="AA56" i="7"/>
  <c r="Z30" i="7"/>
  <c r="Z43" i="7"/>
  <c r="Z49" i="7"/>
  <c r="Z53" i="7"/>
  <c r="Z56" i="7"/>
  <c r="AA71" i="6"/>
  <c r="L16" i="9"/>
  <c r="W20" i="14"/>
  <c r="L32" i="9"/>
  <c r="Q33" i="9"/>
  <c r="AA57" i="7"/>
  <c r="AB57" i="7"/>
  <c r="AB10" i="7"/>
  <c r="AB34" i="10" s="1"/>
  <c r="AB35" i="9" s="1"/>
  <c r="AB30" i="7"/>
  <c r="AB43" i="7"/>
  <c r="AB49" i="7"/>
  <c r="AB53" i="7"/>
  <c r="AB56" i="7"/>
  <c r="AB55" i="6"/>
  <c r="W71" i="6"/>
  <c r="K32" i="9"/>
  <c r="L42" i="9"/>
  <c r="S32" i="9"/>
  <c r="L33" i="9"/>
  <c r="G28" i="10"/>
  <c r="H46" i="9" s="1"/>
  <c r="W48" i="9"/>
  <c r="O48" i="9"/>
  <c r="M46" i="9"/>
  <c r="I46" i="9"/>
  <c r="S14" i="10"/>
  <c r="E48" i="9"/>
  <c r="E27" i="10"/>
  <c r="F45" i="9" s="1"/>
  <c r="L27" i="10"/>
  <c r="M45" i="9"/>
  <c r="J27" i="10"/>
  <c r="K45" i="9" s="1"/>
  <c r="T37" i="9"/>
  <c r="E32" i="9"/>
  <c r="E40" i="10"/>
  <c r="E44" i="9"/>
  <c r="P27" i="10"/>
  <c r="Q45" i="9"/>
  <c r="P33" i="9"/>
  <c r="P48" i="9"/>
  <c r="E31" i="9"/>
  <c r="F42" i="9"/>
  <c r="K27" i="10"/>
  <c r="L45" i="9"/>
  <c r="O33" i="9"/>
  <c r="L44" i="9"/>
  <c r="D34" i="10"/>
  <c r="N33" i="9"/>
  <c r="N48" i="9"/>
  <c r="O32" i="9"/>
  <c r="N32" i="9"/>
  <c r="M27" i="10"/>
  <c r="N45" i="9"/>
  <c r="M33" i="9"/>
  <c r="M31" i="9"/>
  <c r="L31" i="9"/>
  <c r="S44" i="9"/>
  <c r="K31" i="9"/>
  <c r="K16" i="9"/>
  <c r="Q35" i="9"/>
  <c r="D40" i="10"/>
  <c r="E37" i="9" s="1"/>
  <c r="N46" i="9"/>
  <c r="N35" i="9"/>
  <c r="W42" i="9"/>
  <c r="X45" i="9"/>
  <c r="H37" i="9"/>
  <c r="K35" i="9"/>
  <c r="Y42" i="9"/>
  <c r="M35" i="9"/>
  <c r="P35" i="9"/>
  <c r="F35" i="9"/>
  <c r="I31" i="9"/>
  <c r="U42" i="9"/>
  <c r="H27" i="10"/>
  <c r="I45" i="9"/>
  <c r="X35" i="9"/>
  <c r="K37" i="9"/>
  <c r="U46" i="9"/>
  <c r="E33" i="9"/>
  <c r="H35" i="9"/>
  <c r="G42" i="9"/>
  <c r="I35" i="9"/>
  <c r="G37" i="9"/>
  <c r="E35" i="9"/>
  <c r="Q42" i="9"/>
  <c r="Q46" i="9"/>
  <c r="Y40" i="10"/>
  <c r="Y37" i="9"/>
  <c r="Y34" i="10"/>
  <c r="Y35" i="9"/>
  <c r="Y30" i="7"/>
  <c r="Y36" i="10"/>
  <c r="W57" i="7"/>
  <c r="W10" i="7"/>
  <c r="W30" i="7"/>
  <c r="W43" i="7"/>
  <c r="W49" i="7"/>
  <c r="W53" i="7"/>
  <c r="W56" i="7"/>
  <c r="P44" i="9"/>
  <c r="S35" i="9"/>
  <c r="V35" i="9"/>
  <c r="O37" i="9"/>
  <c r="X37" i="9"/>
  <c r="U35" i="9"/>
  <c r="O46" i="9"/>
  <c r="L35" i="9"/>
  <c r="N44" i="9"/>
  <c r="F37" i="9"/>
  <c r="Y44" i="9"/>
  <c r="Y43" i="7"/>
  <c r="Y49" i="7"/>
  <c r="Y53" i="7"/>
  <c r="Y56" i="7"/>
  <c r="Y19" i="14"/>
  <c r="W32" i="10"/>
  <c r="W31" i="10"/>
  <c r="J48" i="9"/>
  <c r="Z46" i="9"/>
  <c r="Y27" i="10"/>
  <c r="Z45" i="9" s="1"/>
  <c r="Y33" i="9"/>
  <c r="J71" i="6"/>
  <c r="J73" i="6" s="1"/>
  <c r="K16" i="10"/>
  <c r="K14" i="10" s="1"/>
  <c r="K11" i="10" s="1"/>
  <c r="K48" i="9"/>
  <c r="L46" i="9"/>
  <c r="K33" i="9"/>
  <c r="E16" i="10"/>
  <c r="E14" i="10" s="1"/>
  <c r="I39" i="6"/>
  <c r="K25" i="14" s="1"/>
  <c r="K22" i="14"/>
  <c r="M5" i="10"/>
  <c r="L55" i="6"/>
  <c r="L73" i="6" s="1"/>
  <c r="L74" i="6" s="1"/>
  <c r="N14" i="14"/>
  <c r="N23" i="14"/>
  <c r="E22" i="14"/>
  <c r="R48" i="9"/>
  <c r="R27" i="10"/>
  <c r="S45" i="9"/>
  <c r="J16" i="10"/>
  <c r="I71" i="6"/>
  <c r="U16" i="9"/>
  <c r="D31" i="10"/>
  <c r="F16" i="10"/>
  <c r="F14" i="10"/>
  <c r="F11" i="10" s="1"/>
  <c r="Y32" i="10"/>
  <c r="J14" i="14"/>
  <c r="I5" i="10"/>
  <c r="J33" i="9"/>
  <c r="K46" i="9"/>
  <c r="N73" i="6"/>
  <c r="V39" i="6"/>
  <c r="X24" i="14" s="1"/>
  <c r="Y23" i="14"/>
  <c r="M25" i="14"/>
  <c r="L4" i="10"/>
  <c r="L23" i="9" s="1"/>
  <c r="G46" i="6"/>
  <c r="H7" i="10"/>
  <c r="J22" i="14"/>
  <c r="R55" i="6"/>
  <c r="R73" i="6" s="1"/>
  <c r="R74" i="6" s="1"/>
  <c r="T23" i="14"/>
  <c r="S5" i="10"/>
  <c r="T14" i="14"/>
  <c r="Y31" i="10"/>
  <c r="Z33" i="9"/>
  <c r="AB31" i="9"/>
  <c r="J14" i="10"/>
  <c r="Y14" i="14"/>
  <c r="G22" i="14"/>
  <c r="H32" i="6"/>
  <c r="F31" i="10"/>
  <c r="X22" i="14"/>
  <c r="L30" i="9"/>
  <c r="V31" i="9"/>
  <c r="U31" i="9"/>
  <c r="Q23" i="14"/>
  <c r="E41" i="9"/>
  <c r="Z16" i="10"/>
  <c r="AA23" i="9"/>
  <c r="Z31" i="9"/>
  <c r="AA32" i="10"/>
  <c r="AB5" i="9"/>
  <c r="E46" i="9"/>
  <c r="T48" i="9"/>
  <c r="P30" i="9"/>
  <c r="Y5" i="10"/>
  <c r="Y16" i="9" s="1"/>
  <c r="Q14" i="10"/>
  <c r="S71" i="6"/>
  <c r="S73" i="6"/>
  <c r="W23" i="14"/>
  <c r="S48" i="9"/>
  <c r="Y17" i="10"/>
  <c r="U31" i="10"/>
  <c r="J25" i="10"/>
  <c r="J23" i="10"/>
  <c r="S39" i="6"/>
  <c r="U13" i="14" s="1"/>
  <c r="U33" i="9"/>
  <c r="Z32" i="10"/>
  <c r="AA14" i="10"/>
  <c r="AA11" i="10" s="1"/>
  <c r="AA26" i="9" s="1"/>
  <c r="T14" i="10"/>
  <c r="T11" i="10" s="1"/>
  <c r="T12" i="10" s="1"/>
  <c r="X31" i="9"/>
  <c r="T25" i="14"/>
  <c r="G39" i="6"/>
  <c r="T41" i="9"/>
  <c r="N31" i="10"/>
  <c r="I17" i="10"/>
  <c r="I14" i="10" s="1"/>
  <c r="I11" i="10" s="1"/>
  <c r="I17" i="9" s="1"/>
  <c r="V14" i="14"/>
  <c r="P14" i="10"/>
  <c r="P11" i="10"/>
  <c r="H71" i="6"/>
  <c r="Q27" i="10"/>
  <c r="R45" i="9" s="1"/>
  <c r="M4" i="10"/>
  <c r="N18" i="14" s="1"/>
  <c r="N6" i="14"/>
  <c r="I33" i="9"/>
  <c r="AB71" i="6"/>
  <c r="V71" i="6"/>
  <c r="S31" i="10"/>
  <c r="U16" i="10"/>
  <c r="U14" i="10"/>
  <c r="U11" i="10" s="1"/>
  <c r="V5" i="10"/>
  <c r="Z27" i="10"/>
  <c r="AA45" i="9"/>
  <c r="AB32" i="9"/>
  <c r="Z48" i="9"/>
  <c r="Y23" i="6"/>
  <c r="Y39" i="6" s="1"/>
  <c r="AA46" i="9"/>
  <c r="I32" i="9"/>
  <c r="W31" i="9"/>
  <c r="AA18" i="9"/>
  <c r="Z32" i="9"/>
  <c r="G41" i="9"/>
  <c r="G16" i="10"/>
  <c r="M7" i="14"/>
  <c r="L17" i="9"/>
  <c r="M5" i="14"/>
  <c r="L6" i="9"/>
  <c r="L12" i="10"/>
  <c r="L8" i="9" s="1"/>
  <c r="L7" i="9"/>
  <c r="AB12" i="10"/>
  <c r="G5" i="14"/>
  <c r="G15" i="14"/>
  <c r="S11" i="10"/>
  <c r="P7" i="9"/>
  <c r="M6" i="9"/>
  <c r="N5" i="14"/>
  <c r="M7" i="9"/>
  <c r="N8" i="14"/>
  <c r="L13" i="9"/>
  <c r="G46" i="9"/>
  <c r="F33" i="9"/>
  <c r="AB46" i="9"/>
  <c r="AB30" i="9"/>
  <c r="M16" i="14"/>
  <c r="AB41" i="9"/>
  <c r="AB33" i="9"/>
  <c r="AB16" i="9"/>
  <c r="Z14" i="10"/>
  <c r="Z11" i="10" s="1"/>
  <c r="AA33" i="9"/>
  <c r="G32" i="10"/>
  <c r="J32" i="9"/>
  <c r="L22" i="9"/>
  <c r="F31" i="9"/>
  <c r="N14" i="10"/>
  <c r="N11" i="10"/>
  <c r="S30" i="9"/>
  <c r="L18" i="9"/>
  <c r="AB27" i="10"/>
  <c r="R16" i="9"/>
  <c r="M25" i="9"/>
  <c r="AA27" i="10"/>
  <c r="AB45" i="9"/>
  <c r="K5" i="9"/>
  <c r="L5" i="14"/>
  <c r="L15" i="14"/>
  <c r="K17" i="9"/>
  <c r="L34" i="9"/>
  <c r="F17" i="9"/>
  <c r="L5" i="9"/>
  <c r="I16" i="9"/>
  <c r="AA12" i="10"/>
  <c r="AA8" i="9" s="1"/>
  <c r="I32" i="10"/>
  <c r="I31" i="10"/>
  <c r="AA17" i="9"/>
  <c r="F12" i="10"/>
  <c r="M15" i="14"/>
  <c r="J11" i="10"/>
  <c r="K34" i="9" s="1"/>
  <c r="S16" i="9"/>
  <c r="T30" i="9"/>
  <c r="X13" i="14"/>
  <c r="X25" i="14"/>
  <c r="W4" i="10"/>
  <c r="J4" i="10"/>
  <c r="K18" i="14" s="1"/>
  <c r="K20" i="14"/>
  <c r="K24" i="14"/>
  <c r="H4" i="10"/>
  <c r="I14" i="14"/>
  <c r="H5" i="10"/>
  <c r="G55" i="6"/>
  <c r="G73" i="6" s="1"/>
  <c r="G74" i="6" s="1"/>
  <c r="K12" i="14"/>
  <c r="I23" i="14"/>
  <c r="AB17" i="9"/>
  <c r="V16" i="9"/>
  <c r="V30" i="9"/>
  <c r="M13" i="9"/>
  <c r="M18" i="9"/>
  <c r="M43" i="9"/>
  <c r="M23" i="9"/>
  <c r="N16" i="14"/>
  <c r="M30" i="9"/>
  <c r="M22" i="9"/>
  <c r="M16" i="9"/>
  <c r="Z12" i="10"/>
  <c r="I7" i="9"/>
  <c r="I5" i="9"/>
  <c r="J15" i="14"/>
  <c r="I12" i="10"/>
  <c r="J7" i="14"/>
  <c r="S12" i="10"/>
  <c r="S5" i="9"/>
  <c r="S7" i="9"/>
  <c r="S17" i="9"/>
  <c r="T5" i="14"/>
  <c r="T15" i="14"/>
  <c r="U5" i="14"/>
  <c r="T34" i="9"/>
  <c r="T7" i="9"/>
  <c r="T17" i="9"/>
  <c r="U7" i="14"/>
  <c r="T5" i="9"/>
  <c r="U15" i="14"/>
  <c r="N17" i="9"/>
  <c r="O5" i="14"/>
  <c r="N12" i="10"/>
  <c r="N5" i="9"/>
  <c r="O15" i="14"/>
  <c r="H16" i="9"/>
  <c r="K15" i="14"/>
  <c r="K8" i="14"/>
  <c r="J17" i="9"/>
  <c r="J5" i="9"/>
  <c r="J26" i="9"/>
  <c r="J12" i="10"/>
  <c r="J8" i="9"/>
  <c r="J6" i="9"/>
  <c r="J12" i="9"/>
  <c r="J24" i="9"/>
  <c r="J18" i="9"/>
  <c r="J13" i="9"/>
  <c r="J25" i="9"/>
  <c r="X18" i="14"/>
  <c r="AC57" i="7"/>
  <c r="AD10" i="7"/>
  <c r="AD34" i="10" s="1"/>
  <c r="AD30" i="7"/>
  <c r="AD43" i="7"/>
  <c r="AD49" i="7"/>
  <c r="AD53" i="7"/>
  <c r="AD56" i="7"/>
  <c r="AC71" i="6"/>
  <c r="AD55" i="6"/>
  <c r="AD73" i="6" s="1"/>
  <c r="AD39" i="6"/>
  <c r="AD4" i="10" s="1"/>
  <c r="AC10" i="7"/>
  <c r="AC34" i="10" s="1"/>
  <c r="AC35" i="9" s="1"/>
  <c r="AC30" i="7"/>
  <c r="AC43" i="7"/>
  <c r="AC49" i="7"/>
  <c r="AC53" i="7"/>
  <c r="AC56" i="7"/>
  <c r="AC39" i="6"/>
  <c r="AC4" i="10" s="1"/>
  <c r="AE71" i="6"/>
  <c r="AE55" i="6"/>
  <c r="AE73" i="6"/>
  <c r="AE39" i="6"/>
  <c r="AE4" i="10" s="1"/>
  <c r="AE29" i="9" s="1"/>
  <c r="AE57" i="7"/>
  <c r="AE10" i="7"/>
  <c r="AE34" i="10" s="1"/>
  <c r="AE35" i="9" s="1"/>
  <c r="AE30" i="7"/>
  <c r="AE43" i="7"/>
  <c r="AE49" i="7"/>
  <c r="AE53" i="7"/>
  <c r="AE56" i="7"/>
  <c r="AE74" i="6" l="1"/>
  <c r="AD74" i="6"/>
  <c r="N7" i="14"/>
  <c r="D71" i="6"/>
  <c r="D73" i="6" s="1"/>
  <c r="E23" i="10"/>
  <c r="E11" i="10" s="1"/>
  <c r="E5" i="9" s="1"/>
  <c r="E39" i="6"/>
  <c r="E71" i="6"/>
  <c r="F10" i="6"/>
  <c r="F48" i="9"/>
  <c r="I48" i="9"/>
  <c r="J31" i="9"/>
  <c r="M32" i="9"/>
  <c r="M39" i="6"/>
  <c r="O13" i="14" s="1"/>
  <c r="P46" i="9"/>
  <c r="V46" i="9"/>
  <c r="W7" i="10"/>
  <c r="AB39" i="6"/>
  <c r="AB4" i="10" s="1"/>
  <c r="AB6" i="9"/>
  <c r="W16" i="6"/>
  <c r="W39" i="6" s="1"/>
  <c r="W55" i="6"/>
  <c r="W73" i="6" s="1"/>
  <c r="W74" i="6" s="1"/>
  <c r="AF39" i="6"/>
  <c r="AF4" i="10" s="1"/>
  <c r="AH39" i="6"/>
  <c r="AH4" i="10" s="1"/>
  <c r="AH18" i="9"/>
  <c r="AH46" i="9"/>
  <c r="AH42" i="9"/>
  <c r="AI73" i="6"/>
  <c r="AK30" i="9"/>
  <c r="AK16" i="9"/>
  <c r="AK39" i="6"/>
  <c r="AK4" i="10" s="1"/>
  <c r="AI39" i="6"/>
  <c r="AI4" i="10" s="1"/>
  <c r="AL55" i="6"/>
  <c r="AI33" i="9"/>
  <c r="AI25" i="9"/>
  <c r="AM31" i="9"/>
  <c r="AL31" i="9"/>
  <c r="AI31" i="9"/>
  <c r="AV73" i="6"/>
  <c r="AN73" i="6"/>
  <c r="AQ55" i="6"/>
  <c r="AQ73" i="6" s="1"/>
  <c r="AQ74" i="6" s="1"/>
  <c r="AX32" i="10"/>
  <c r="AX31" i="10"/>
  <c r="AU31" i="10"/>
  <c r="AU32" i="10"/>
  <c r="AT12" i="9"/>
  <c r="AS32" i="10"/>
  <c r="AS31" i="10"/>
  <c r="AP31" i="10"/>
  <c r="AP32" i="10"/>
  <c r="AR39" i="6"/>
  <c r="AR4" i="10" s="1"/>
  <c r="AX39" i="6"/>
  <c r="AX4" i="10" s="1"/>
  <c r="AY29" i="9" s="1"/>
  <c r="AU39" i="6"/>
  <c r="AU4" i="10" s="1"/>
  <c r="AP39" i="6"/>
  <c r="AP4" i="10" s="1"/>
  <c r="AV39" i="6"/>
  <c r="AV4" i="10" s="1"/>
  <c r="AS39" i="6"/>
  <c r="AS4" i="10" s="1"/>
  <c r="AS43" i="9" s="1"/>
  <c r="AN39" i="6"/>
  <c r="AN4" i="10" s="1"/>
  <c r="AN40" i="10"/>
  <c r="AM40" i="10"/>
  <c r="AU40" i="10"/>
  <c r="AT40" i="10"/>
  <c r="AS40" i="10"/>
  <c r="AR40" i="10"/>
  <c r="AQ40" i="10"/>
  <c r="AP40" i="10"/>
  <c r="AO40" i="10"/>
  <c r="AO37" i="9" s="1"/>
  <c r="AW40" i="10"/>
  <c r="AV40" i="10"/>
  <c r="AV37" i="9" s="1"/>
  <c r="AX40" i="10"/>
  <c r="AW33" i="9"/>
  <c r="AR31" i="9"/>
  <c r="AY46" i="9"/>
  <c r="AY44" i="9"/>
  <c r="G27" i="10"/>
  <c r="H45" i="9" s="1"/>
  <c r="F48" i="6"/>
  <c r="G48" i="9"/>
  <c r="F46" i="6"/>
  <c r="F55" i="6" s="1"/>
  <c r="G14" i="10"/>
  <c r="G11" i="10" s="1"/>
  <c r="G17" i="9" s="1"/>
  <c r="G33" i="9"/>
  <c r="H33" i="9"/>
  <c r="G34" i="9"/>
  <c r="G12" i="10"/>
  <c r="H5" i="14"/>
  <c r="H22" i="14"/>
  <c r="H24" i="9"/>
  <c r="H23" i="9"/>
  <c r="H25" i="9"/>
  <c r="I16" i="14"/>
  <c r="H43" i="9"/>
  <c r="I18" i="14"/>
  <c r="H13" i="9"/>
  <c r="F39" i="6"/>
  <c r="H12" i="14" s="1"/>
  <c r="H12" i="9"/>
  <c r="Q7" i="14"/>
  <c r="P17" i="9"/>
  <c r="P5" i="9"/>
  <c r="Q5" i="14"/>
  <c r="Q15" i="14"/>
  <c r="P12" i="10"/>
  <c r="E17" i="9"/>
  <c r="F15" i="14"/>
  <c r="E12" i="10"/>
  <c r="F5" i="14"/>
  <c r="W5" i="14"/>
  <c r="W15" i="14"/>
  <c r="V7" i="9"/>
  <c r="V34" i="9"/>
  <c r="W6" i="14"/>
  <c r="W8" i="14"/>
  <c r="V17" i="9"/>
  <c r="V12" i="10"/>
  <c r="V8" i="9" s="1"/>
  <c r="V6" i="9"/>
  <c r="V5" i="9"/>
  <c r="V26" i="9"/>
  <c r="C71" i="6"/>
  <c r="D16" i="10"/>
  <c r="D14" i="10" s="1"/>
  <c r="D39" i="6"/>
  <c r="F12" i="14"/>
  <c r="S15" i="14"/>
  <c r="R7" i="9"/>
  <c r="R17" i="9"/>
  <c r="R12" i="10"/>
  <c r="S7" i="14"/>
  <c r="S5" i="14"/>
  <c r="R5" i="9"/>
  <c r="S34" i="9"/>
  <c r="X32" i="9"/>
  <c r="W32" i="9"/>
  <c r="W24" i="9"/>
  <c r="V7" i="14"/>
  <c r="V15" i="14"/>
  <c r="U34" i="9"/>
  <c r="U17" i="9"/>
  <c r="U5" i="9"/>
  <c r="V5" i="14"/>
  <c r="U12" i="10"/>
  <c r="U7" i="9"/>
  <c r="AA34" i="9"/>
  <c r="Z5" i="9"/>
  <c r="Z17" i="9"/>
  <c r="D76" i="6"/>
  <c r="D74" i="6"/>
  <c r="I24" i="14"/>
  <c r="I13" i="14"/>
  <c r="I25" i="14"/>
  <c r="G40" i="6"/>
  <c r="I20" i="14"/>
  <c r="I12" i="14"/>
  <c r="V13" i="9"/>
  <c r="W18" i="14"/>
  <c r="V25" i="9"/>
  <c r="V18" i="9"/>
  <c r="W16" i="14"/>
  <c r="V24" i="9"/>
  <c r="V22" i="9"/>
  <c r="V12" i="9"/>
  <c r="V23" i="9"/>
  <c r="Y25" i="14"/>
  <c r="Y4" i="10"/>
  <c r="Y20" i="14"/>
  <c r="Y13" i="14"/>
  <c r="Y24" i="14"/>
  <c r="Y12" i="14"/>
  <c r="H18" i="9"/>
  <c r="H22" i="9"/>
  <c r="W13" i="9"/>
  <c r="X16" i="14"/>
  <c r="W43" i="9"/>
  <c r="W25" i="9"/>
  <c r="W29" i="9"/>
  <c r="W23" i="9"/>
  <c r="W18" i="9"/>
  <c r="W12" i="9"/>
  <c r="AW16" i="9"/>
  <c r="AW30" i="9"/>
  <c r="AU29" i="9"/>
  <c r="AU43" i="9"/>
  <c r="AU18" i="9"/>
  <c r="AU23" i="9"/>
  <c r="AU25" i="9"/>
  <c r="T20" i="14"/>
  <c r="AA12" i="9"/>
  <c r="AA25" i="9"/>
  <c r="AA24" i="9"/>
  <c r="AA43" i="9"/>
  <c r="AB23" i="9"/>
  <c r="AB12" i="9"/>
  <c r="AB22" i="9"/>
  <c r="AB25" i="9"/>
  <c r="AB29" i="9"/>
  <c r="AM16" i="9"/>
  <c r="F7" i="9"/>
  <c r="F5" i="9"/>
  <c r="AR18" i="9"/>
  <c r="AR23" i="9"/>
  <c r="AR24" i="9"/>
  <c r="AR29" i="9"/>
  <c r="AR43" i="9"/>
  <c r="U25" i="14"/>
  <c r="M18" i="14"/>
  <c r="F65" i="6"/>
  <c r="F71" i="6" s="1"/>
  <c r="F73" i="6" s="1"/>
  <c r="K5" i="14"/>
  <c r="J5" i="14"/>
  <c r="U20" i="14"/>
  <c r="M34" i="9"/>
  <c r="AB7" i="9"/>
  <c r="AA13" i="9"/>
  <c r="N25" i="14"/>
  <c r="N13" i="14"/>
  <c r="N20" i="14"/>
  <c r="N24" i="14"/>
  <c r="U30" i="9"/>
  <c r="T16" i="9"/>
  <c r="H39" i="6"/>
  <c r="P32" i="9"/>
  <c r="Q32" i="9"/>
  <c r="AT18" i="9"/>
  <c r="AT23" i="9"/>
  <c r="AT24" i="9"/>
  <c r="AT25" i="9"/>
  <c r="AT29" i="9"/>
  <c r="AT43" i="9"/>
  <c r="AP25" i="9"/>
  <c r="AP42" i="9"/>
  <c r="AS32" i="9"/>
  <c r="AT32" i="9"/>
  <c r="AS24" i="9"/>
  <c r="AV31" i="9"/>
  <c r="AW31" i="9"/>
  <c r="AV23" i="9"/>
  <c r="AN31" i="9"/>
  <c r="AO31" i="9"/>
  <c r="AN23" i="9"/>
  <c r="E23" i="14"/>
  <c r="C39" i="6"/>
  <c r="AO16" i="9"/>
  <c r="AO30" i="9"/>
  <c r="K6" i="14"/>
  <c r="G7" i="14"/>
  <c r="K16" i="14"/>
  <c r="J43" i="9"/>
  <c r="T7" i="14"/>
  <c r="X12" i="14"/>
  <c r="AB34" i="9"/>
  <c r="K13" i="14"/>
  <c r="X20" i="14"/>
  <c r="J23" i="9"/>
  <c r="N34" i="9"/>
  <c r="J34" i="9"/>
  <c r="E25" i="14"/>
  <c r="L43" i="9"/>
  <c r="L24" i="9"/>
  <c r="AB26" i="9"/>
  <c r="AB18" i="9"/>
  <c r="AA22" i="9"/>
  <c r="AB73" i="6"/>
  <c r="AB74" i="6" s="1"/>
  <c r="M6" i="14"/>
  <c r="L26" i="9"/>
  <c r="D23" i="10"/>
  <c r="F23" i="14"/>
  <c r="F14" i="14"/>
  <c r="E5" i="10"/>
  <c r="O12" i="14"/>
  <c r="O20" i="14"/>
  <c r="N4" i="10"/>
  <c r="O25" i="14"/>
  <c r="O24" i="14"/>
  <c r="AU13" i="9"/>
  <c r="U74" i="6"/>
  <c r="W13" i="14"/>
  <c r="W25" i="14"/>
  <c r="W24" i="14"/>
  <c r="W12" i="14"/>
  <c r="AA5" i="9"/>
  <c r="AA6" i="9"/>
  <c r="AA7" i="9"/>
  <c r="L7" i="14"/>
  <c r="K7" i="9"/>
  <c r="K12" i="10"/>
  <c r="H31" i="9"/>
  <c r="G31" i="9"/>
  <c r="S74" i="6"/>
  <c r="U24" i="14"/>
  <c r="T4" i="10"/>
  <c r="T8" i="9" s="1"/>
  <c r="Y30" i="9"/>
  <c r="Y22" i="9"/>
  <c r="L25" i="9"/>
  <c r="L12" i="9"/>
  <c r="T12" i="14"/>
  <c r="T24" i="14"/>
  <c r="S4" i="10"/>
  <c r="I30" i="9"/>
  <c r="U12" i="14"/>
  <c r="M29" i="9"/>
  <c r="M8" i="14"/>
  <c r="H23" i="14"/>
  <c r="G5" i="10"/>
  <c r="G7" i="9" s="1"/>
  <c r="J12" i="14"/>
  <c r="F30" i="9"/>
  <c r="M5" i="9"/>
  <c r="N15" i="14"/>
  <c r="M12" i="10"/>
  <c r="M8" i="9" s="1"/>
  <c r="M17" i="9"/>
  <c r="M26" i="9"/>
  <c r="M12" i="14"/>
  <c r="M13" i="14"/>
  <c r="M24" i="14"/>
  <c r="M20" i="14"/>
  <c r="Q11" i="10"/>
  <c r="R34" i="9" s="1"/>
  <c r="E55" i="6"/>
  <c r="E73" i="6" s="1"/>
  <c r="E74" i="6" s="1"/>
  <c r="E31" i="10"/>
  <c r="K71" i="6"/>
  <c r="K73" i="6" s="1"/>
  <c r="K74" i="6" s="1"/>
  <c r="T71" i="6"/>
  <c r="T73" i="6" s="1"/>
  <c r="Z71" i="6"/>
  <c r="AJ22" i="9"/>
  <c r="AJ25" i="9"/>
  <c r="AI23" i="9"/>
  <c r="AX22" i="9"/>
  <c r="AX16" i="9"/>
  <c r="AX30" i="9"/>
  <c r="AP22" i="9"/>
  <c r="AP16" i="9"/>
  <c r="AP30" i="9"/>
  <c r="AU12" i="9"/>
  <c r="AI29" i="9"/>
  <c r="P55" i="6"/>
  <c r="P73" i="6" s="1"/>
  <c r="Q5" i="10"/>
  <c r="AH23" i="9"/>
  <c r="AH25" i="9"/>
  <c r="AH43" i="9"/>
  <c r="F40" i="19"/>
  <c r="AL39" i="6"/>
  <c r="AL16" i="10"/>
  <c r="AL14" i="10" s="1"/>
  <c r="AL71" i="6"/>
  <c r="F33" i="19" s="1"/>
  <c r="F34" i="19" s="1"/>
  <c r="AV16" i="9"/>
  <c r="AV30" i="9"/>
  <c r="AN16" i="9"/>
  <c r="AN30" i="9"/>
  <c r="AS13" i="9"/>
  <c r="AP13" i="9"/>
  <c r="AV33" i="9"/>
  <c r="AW46" i="9"/>
  <c r="AN33" i="9"/>
  <c r="AO46" i="9"/>
  <c r="X16" i="9"/>
  <c r="X33" i="9"/>
  <c r="R14" i="14"/>
  <c r="F22" i="14"/>
  <c r="AM39" i="6"/>
  <c r="AM4" i="10" s="1"/>
  <c r="AU74" i="6"/>
  <c r="AX16" i="10"/>
  <c r="AX71" i="6"/>
  <c r="AX73" i="6" s="1"/>
  <c r="AX74" i="6" s="1"/>
  <c r="AP16" i="10"/>
  <c r="AP71" i="6"/>
  <c r="AP73" i="6" s="1"/>
  <c r="AP74" i="6" s="1"/>
  <c r="AU16" i="9"/>
  <c r="AU30" i="9"/>
  <c r="AU22" i="9"/>
  <c r="AR12" i="9"/>
  <c r="AV29" i="9"/>
  <c r="AV43" i="9"/>
  <c r="AN43" i="9"/>
  <c r="AJ43" i="9"/>
  <c r="AV24" i="9"/>
  <c r="AM32" i="10"/>
  <c r="AM13" i="9" s="1"/>
  <c r="AQ5" i="10"/>
  <c r="AX25" i="9"/>
  <c r="AX42" i="9"/>
  <c r="W7" i="14"/>
  <c r="W33" i="9"/>
  <c r="F27" i="10"/>
  <c r="X39" i="6"/>
  <c r="AI24" i="9"/>
  <c r="AR74" i="6"/>
  <c r="AT30" i="9"/>
  <c r="AT22" i="9"/>
  <c r="AT16" i="9"/>
  <c r="AQ18" i="9"/>
  <c r="AQ23" i="9"/>
  <c r="AQ24" i="9"/>
  <c r="AQ25" i="9"/>
  <c r="AQ29" i="9"/>
  <c r="AQ43" i="9"/>
  <c r="AQ13" i="9"/>
  <c r="AN24" i="9"/>
  <c r="AS12" i="9"/>
  <c r="AX12" i="9"/>
  <c r="N5" i="10"/>
  <c r="N7" i="9" s="1"/>
  <c r="R23" i="14"/>
  <c r="AH24" i="9"/>
  <c r="AJ18" i="9"/>
  <c r="AS22" i="9"/>
  <c r="AS30" i="9"/>
  <c r="AX13" i="9"/>
  <c r="AO33" i="9"/>
  <c r="AP12" i="9"/>
  <c r="I27" i="10"/>
  <c r="J45" i="9" s="1"/>
  <c r="Q31" i="9"/>
  <c r="P31" i="9"/>
  <c r="AR22" i="9"/>
  <c r="AR16" i="9"/>
  <c r="AW32" i="10"/>
  <c r="AW39" i="6"/>
  <c r="AW4" i="10" s="1"/>
  <c r="AW22" i="9" s="1"/>
  <c r="AW31" i="10"/>
  <c r="AW12" i="9" s="1"/>
  <c r="AO32" i="10"/>
  <c r="AO39" i="6"/>
  <c r="AO4" i="10" s="1"/>
  <c r="AO31" i="10"/>
  <c r="AO12" i="9" s="1"/>
  <c r="AX18" i="9"/>
  <c r="AX23" i="9"/>
  <c r="AX24" i="9"/>
  <c r="AX29" i="9"/>
  <c r="AX43" i="9"/>
  <c r="AP18" i="9"/>
  <c r="AP23" i="9"/>
  <c r="AP24" i="9"/>
  <c r="AP43" i="9"/>
  <c r="AS18" i="9"/>
  <c r="AS23" i="9"/>
  <c r="AS25" i="9"/>
  <c r="O14" i="14"/>
  <c r="C55" i="6"/>
  <c r="C73" i="6" s="1"/>
  <c r="C74" i="6" s="1"/>
  <c r="AH22" i="9"/>
  <c r="AK16" i="10"/>
  <c r="AK71" i="6"/>
  <c r="AK73" i="6" s="1"/>
  <c r="AK74" i="6" s="1"/>
  <c r="AJ23" i="9"/>
  <c r="AW74" i="6"/>
  <c r="AV12" i="9"/>
  <c r="AN12" i="9"/>
  <c r="AS29" i="9"/>
  <c r="AV22" i="9"/>
  <c r="AV48" i="9"/>
  <c r="AN48" i="9"/>
  <c r="AR25" i="9"/>
  <c r="AU24" i="9"/>
  <c r="AM24" i="9"/>
  <c r="O39" i="6"/>
  <c r="O71" i="6"/>
  <c r="O73" i="6" s="1"/>
  <c r="O74" i="6" s="1"/>
  <c r="O45" i="9"/>
  <c r="V46" i="6"/>
  <c r="Y61" i="6"/>
  <c r="X14" i="10"/>
  <c r="X11" i="10" s="1"/>
  <c r="AA42" i="9"/>
  <c r="AA31" i="9"/>
  <c r="AF71" i="6"/>
  <c r="AG48" i="9"/>
  <c r="AS71" i="6"/>
  <c r="AS73" i="6" s="1"/>
  <c r="AS74" i="6" s="1"/>
  <c r="AT55" i="6"/>
  <c r="AT73" i="6" s="1"/>
  <c r="AT74" i="6" s="1"/>
  <c r="AL42" i="9"/>
  <c r="AH33" i="9"/>
  <c r="AI32" i="9"/>
  <c r="AJ31" i="9"/>
  <c r="AV32" i="10"/>
  <c r="AV13" i="9" s="1"/>
  <c r="AN32" i="10"/>
  <c r="AN13" i="9" s="1"/>
  <c r="AQ31" i="10"/>
  <c r="AQ12" i="9" s="1"/>
  <c r="N39" i="6"/>
  <c r="U45" i="9"/>
  <c r="Z39" i="6"/>
  <c r="Z4" i="10" s="1"/>
  <c r="AM46" i="9"/>
  <c r="AI42" i="9"/>
  <c r="AW32" i="9"/>
  <c r="AO32" i="9"/>
  <c r="AI30" i="9"/>
  <c r="AJ16" i="9"/>
  <c r="AT32" i="10"/>
  <c r="AT13" i="9" s="1"/>
  <c r="H48" i="6"/>
  <c r="H55" i="6" s="1"/>
  <c r="H73" i="6" s="1"/>
  <c r="H74" i="6" s="1"/>
  <c r="J39" i="6"/>
  <c r="P39" i="6"/>
  <c r="S46" i="9"/>
  <c r="V48" i="6"/>
  <c r="AD48" i="9"/>
  <c r="F38" i="19"/>
  <c r="AK46" i="9"/>
  <c r="AM33" i="9"/>
  <c r="AH30" i="9"/>
  <c r="AI16" i="9"/>
  <c r="G7" i="10"/>
  <c r="J23" i="14"/>
  <c r="O14" i="10"/>
  <c r="O11" i="10" s="1"/>
  <c r="R46" i="9"/>
  <c r="AB32" i="10"/>
  <c r="AB13" i="9" s="1"/>
  <c r="AA55" i="6"/>
  <c r="AA73" i="6" s="1"/>
  <c r="AA74" i="6" s="1"/>
  <c r="AK42" i="9"/>
  <c r="AJ46" i="9"/>
  <c r="AJ24" i="9"/>
  <c r="AH16" i="9"/>
  <c r="AR32" i="10"/>
  <c r="AR13" i="9" s="1"/>
  <c r="U27" i="10"/>
  <c r="V45" i="9" s="1"/>
  <c r="AF55" i="6"/>
  <c r="AF73" i="6" s="1"/>
  <c r="AH71" i="6"/>
  <c r="AH73" i="6" s="1"/>
  <c r="AH74" i="6" s="1"/>
  <c r="AE42" i="9"/>
  <c r="AQ48" i="9"/>
  <c r="AR46" i="9"/>
  <c r="AI46" i="9"/>
  <c r="AI18" i="9"/>
  <c r="T39" i="6"/>
  <c r="AG39" i="6"/>
  <c r="AG4" i="10" s="1"/>
  <c r="AH29" i="9" s="1"/>
  <c r="I46" i="6"/>
  <c r="Q39" i="6"/>
  <c r="Q74" i="6" s="1"/>
  <c r="R42" i="9"/>
  <c r="W45" i="9"/>
  <c r="X27" i="10"/>
  <c r="Y45" i="9" s="1"/>
  <c r="AC55" i="6"/>
  <c r="AC73" i="6" s="1"/>
  <c r="AC74" i="6" s="1"/>
  <c r="AK18" i="9"/>
  <c r="AK22" i="9"/>
  <c r="AK23" i="9"/>
  <c r="AK24" i="9"/>
  <c r="AK25" i="9"/>
  <c r="AK29" i="9"/>
  <c r="AK43" i="9"/>
  <c r="AL46" i="9"/>
  <c r="AX27" i="10"/>
  <c r="AY45" i="9" s="1"/>
  <c r="AX14" i="10"/>
  <c r="AX11" i="10" s="1"/>
  <c r="AY34" i="9" s="1"/>
  <c r="AW27" i="10"/>
  <c r="AX45" i="9" s="1"/>
  <c r="AV27" i="10"/>
  <c r="AW45" i="9" s="1"/>
  <c r="AU27" i="10"/>
  <c r="AV45" i="9" s="1"/>
  <c r="AT27" i="10"/>
  <c r="AU45" i="9" s="1"/>
  <c r="AS27" i="10"/>
  <c r="AT45" i="9" s="1"/>
  <c r="AR27" i="10"/>
  <c r="AS45" i="9" s="1"/>
  <c r="AQ27" i="10"/>
  <c r="AR45" i="9" s="1"/>
  <c r="AP27" i="10"/>
  <c r="AQ45" i="9" s="1"/>
  <c r="AO27" i="10"/>
  <c r="AP45" i="9" s="1"/>
  <c r="AN27" i="10"/>
  <c r="AO45" i="9" s="1"/>
  <c r="AM27" i="10"/>
  <c r="AN45" i="9" s="1"/>
  <c r="AW14" i="10"/>
  <c r="AW11" i="10" s="1"/>
  <c r="AV14" i="10"/>
  <c r="AV11" i="10" s="1"/>
  <c r="AU14" i="10"/>
  <c r="AU11" i="10" s="1"/>
  <c r="AT14" i="10"/>
  <c r="AT11" i="10" s="1"/>
  <c r="AS14" i="10"/>
  <c r="AS11" i="10" s="1"/>
  <c r="AR14" i="10"/>
  <c r="AR11" i="10" s="1"/>
  <c r="AQ14" i="10"/>
  <c r="AQ11" i="10" s="1"/>
  <c r="AP14" i="10"/>
  <c r="AP11" i="10" s="1"/>
  <c r="AO14" i="10"/>
  <c r="AO11" i="10" s="1"/>
  <c r="AN14" i="10"/>
  <c r="AN11" i="10" s="1"/>
  <c r="AM14" i="10"/>
  <c r="AM11" i="10" s="1"/>
  <c r="F44" i="19"/>
  <c r="AL34" i="10"/>
  <c r="AL30" i="7"/>
  <c r="AK34" i="10"/>
  <c r="AK30" i="7"/>
  <c r="AK43" i="7" s="1"/>
  <c r="AK49" i="7" s="1"/>
  <c r="AK53" i="7" s="1"/>
  <c r="AK56" i="7" s="1"/>
  <c r="AJ30" i="7"/>
  <c r="AJ43" i="7" s="1"/>
  <c r="AJ49" i="7" s="1"/>
  <c r="AJ53" i="7" s="1"/>
  <c r="AJ56" i="7" s="1"/>
  <c r="AJ34" i="10"/>
  <c r="AI30" i="7"/>
  <c r="AI43" i="7" s="1"/>
  <c r="AI49" i="7" s="1"/>
  <c r="AI53" i="7" s="1"/>
  <c r="AI56" i="7" s="1"/>
  <c r="AI34" i="10"/>
  <c r="F49" i="19"/>
  <c r="F47" i="19"/>
  <c r="AL44" i="10"/>
  <c r="AL44" i="9" s="1"/>
  <c r="AL40" i="10"/>
  <c r="AK40" i="10"/>
  <c r="AJ40" i="10"/>
  <c r="AI40" i="10"/>
  <c r="AI37" i="9" s="1"/>
  <c r="AX10" i="7"/>
  <c r="AW10" i="7"/>
  <c r="AV10" i="7"/>
  <c r="AU10" i="7"/>
  <c r="AT10" i="7"/>
  <c r="AS10" i="7"/>
  <c r="AR10" i="7"/>
  <c r="AQ10" i="7"/>
  <c r="AP10" i="7"/>
  <c r="AO10" i="7"/>
  <c r="AN10" i="7"/>
  <c r="AM10" i="7"/>
  <c r="AK31" i="10"/>
  <c r="AK12" i="9" s="1"/>
  <c r="AK32" i="10"/>
  <c r="AK13" i="9" s="1"/>
  <c r="AJ31" i="10"/>
  <c r="AJ12" i="9" s="1"/>
  <c r="AJ32" i="10"/>
  <c r="AJ13" i="9" s="1"/>
  <c r="AI31" i="10"/>
  <c r="AI12" i="9" s="1"/>
  <c r="AI32" i="10"/>
  <c r="AI13" i="9" s="1"/>
  <c r="F31" i="19"/>
  <c r="AL5" i="10"/>
  <c r="AL16" i="9" s="1"/>
  <c r="F29" i="19"/>
  <c r="F30" i="19" s="1"/>
  <c r="AL4" i="10"/>
  <c r="F36" i="19"/>
  <c r="AL31" i="10"/>
  <c r="AL12" i="9" s="1"/>
  <c r="AL32" i="10"/>
  <c r="AL25" i="10"/>
  <c r="AL23" i="10" s="1"/>
  <c r="F41" i="19"/>
  <c r="AL7" i="10"/>
  <c r="AL27" i="10"/>
  <c r="AM45" i="9" s="1"/>
  <c r="AK27" i="10"/>
  <c r="AL45" i="9" s="1"/>
  <c r="AJ27" i="10"/>
  <c r="AK45" i="9" s="1"/>
  <c r="AI27" i="10"/>
  <c r="AJ45" i="9" s="1"/>
  <c r="AK14" i="10"/>
  <c r="AK11" i="10" s="1"/>
  <c r="AK6" i="9" s="1"/>
  <c r="AJ14" i="10"/>
  <c r="AJ11" i="10" s="1"/>
  <c r="AI14" i="10"/>
  <c r="AI11" i="10" s="1"/>
  <c r="AD29" i="9"/>
  <c r="AD16" i="9"/>
  <c r="AD22" i="9"/>
  <c r="AD30" i="9"/>
  <c r="AC16" i="9"/>
  <c r="AC22" i="9"/>
  <c r="AC30" i="9"/>
  <c r="AD31" i="10"/>
  <c r="AD12" i="9" s="1"/>
  <c r="AD32" i="10"/>
  <c r="AD13" i="9" s="1"/>
  <c r="AC31" i="10"/>
  <c r="AC12" i="9" s="1"/>
  <c r="AC32" i="10"/>
  <c r="AC13" i="9" s="1"/>
  <c r="AE16" i="9"/>
  <c r="AE22" i="9"/>
  <c r="AE30" i="9"/>
  <c r="AE31" i="10"/>
  <c r="AE12" i="9" s="1"/>
  <c r="AE32" i="10"/>
  <c r="AE13" i="9" s="1"/>
  <c r="AF16" i="9"/>
  <c r="AF22" i="9"/>
  <c r="AF30" i="9"/>
  <c r="AF29" i="9"/>
  <c r="AF31" i="10"/>
  <c r="AF12" i="9" s="1"/>
  <c r="AF32" i="10"/>
  <c r="AF13" i="9" s="1"/>
  <c r="AG29" i="9"/>
  <c r="AG31" i="10"/>
  <c r="AG12" i="9" s="1"/>
  <c r="AG32" i="10"/>
  <c r="AG13" i="9" s="1"/>
  <c r="AG73" i="6"/>
  <c r="AG74" i="6" s="1"/>
  <c r="AG16" i="9"/>
  <c r="AG22" i="9"/>
  <c r="AG30" i="9"/>
  <c r="AG18" i="9"/>
  <c r="AG33" i="9"/>
  <c r="AF18" i="9"/>
  <c r="AF33" i="9"/>
  <c r="AE18" i="9"/>
  <c r="AE33" i="9"/>
  <c r="AD18" i="9"/>
  <c r="AD33" i="9"/>
  <c r="AC18" i="9"/>
  <c r="AC33" i="9"/>
  <c r="AG25" i="9"/>
  <c r="AF25" i="9"/>
  <c r="AE25" i="9"/>
  <c r="AD25" i="9"/>
  <c r="AC25" i="9"/>
  <c r="AG24" i="9"/>
  <c r="AG32" i="9"/>
  <c r="AF24" i="9"/>
  <c r="AF32" i="9"/>
  <c r="AE24" i="9"/>
  <c r="AE32" i="9"/>
  <c r="AD24" i="9"/>
  <c r="AD32" i="9"/>
  <c r="AC24" i="9"/>
  <c r="AC32" i="9"/>
  <c r="AG23" i="9"/>
  <c r="AG31" i="9"/>
  <c r="AF23" i="9"/>
  <c r="AF31" i="9"/>
  <c r="AE23" i="9"/>
  <c r="AE31" i="9"/>
  <c r="AD23" i="9"/>
  <c r="AD31" i="9"/>
  <c r="AC23" i="9"/>
  <c r="AC31" i="9"/>
  <c r="AH31" i="10"/>
  <c r="AH12" i="9" s="1"/>
  <c r="AH32" i="10"/>
  <c r="AH13" i="9" s="1"/>
  <c r="AD35" i="9"/>
  <c r="AC45" i="9"/>
  <c r="AC46" i="9"/>
  <c r="AD43" i="9"/>
  <c r="AD44" i="9"/>
  <c r="AC43" i="9"/>
  <c r="AC44" i="9"/>
  <c r="AD40" i="10"/>
  <c r="AC40" i="10"/>
  <c r="AC37" i="9" s="1"/>
  <c r="AE43" i="9"/>
  <c r="AE44" i="9"/>
  <c r="AE40" i="10"/>
  <c r="AE37" i="9" s="1"/>
  <c r="AG43" i="9"/>
  <c r="AF43" i="9"/>
  <c r="AF40" i="10"/>
  <c r="AF37" i="9" s="1"/>
  <c r="AG46" i="9"/>
  <c r="AF46" i="9"/>
  <c r="AE46" i="9"/>
  <c r="AD46" i="9"/>
  <c r="AG40" i="10"/>
  <c r="AH37" i="9" s="1"/>
  <c r="AH27" i="10"/>
  <c r="AI45" i="9" s="1"/>
  <c r="AG27" i="10"/>
  <c r="AH45" i="9" s="1"/>
  <c r="AF27" i="10"/>
  <c r="AG45" i="9" s="1"/>
  <c r="AE27" i="10"/>
  <c r="AF45" i="9" s="1"/>
  <c r="AD27" i="10"/>
  <c r="AE45" i="9" s="1"/>
  <c r="AC27" i="10"/>
  <c r="AD45" i="9" s="1"/>
  <c r="AH14" i="10"/>
  <c r="AH11" i="10" s="1"/>
  <c r="AG14" i="10"/>
  <c r="AG11" i="10" s="1"/>
  <c r="AF14" i="10"/>
  <c r="AF11" i="10" s="1"/>
  <c r="AE14" i="10"/>
  <c r="AE11" i="10" s="1"/>
  <c r="AD14" i="10"/>
  <c r="AD11" i="10" s="1"/>
  <c r="AC14" i="10"/>
  <c r="AC11" i="10" s="1"/>
  <c r="AF74" i="6"/>
  <c r="AG10" i="7"/>
  <c r="AF10" i="7"/>
  <c r="M12" i="9"/>
  <c r="M24" i="9"/>
  <c r="F34" i="9"/>
  <c r="G45" i="9"/>
  <c r="G35" i="9"/>
  <c r="P19" i="14"/>
  <c r="N43" i="7"/>
  <c r="N49" i="7" s="1"/>
  <c r="N53" i="7" s="1"/>
  <c r="N56" i="7" s="1"/>
  <c r="H14" i="10"/>
  <c r="H11" i="10" s="1"/>
  <c r="L57" i="7"/>
  <c r="K57" i="7"/>
  <c r="J57" i="7"/>
  <c r="M73" i="6"/>
  <c r="M74" i="6" s="1"/>
  <c r="M57" i="7"/>
  <c r="N57" i="7"/>
  <c r="O57" i="7"/>
  <c r="P57" i="7"/>
  <c r="Q57" i="7"/>
  <c r="R57" i="7"/>
  <c r="S57" i="7"/>
  <c r="T57" i="7"/>
  <c r="U57" i="7"/>
  <c r="V44" i="10"/>
  <c r="W14" i="10"/>
  <c r="W11" i="10" s="1"/>
  <c r="X57" i="7"/>
  <c r="Z35" i="9"/>
  <c r="Z37" i="9"/>
  <c r="AB44" i="9"/>
  <c r="AA44" i="9"/>
  <c r="Z44" i="9"/>
  <c r="Z5" i="10"/>
  <c r="Z55" i="6"/>
  <c r="Z73" i="6" s="1"/>
  <c r="Z74" i="6" s="1"/>
  <c r="AL43" i="9" l="1"/>
  <c r="AL25" i="9"/>
  <c r="AL18" i="9"/>
  <c r="AL29" i="9"/>
  <c r="AM30" i="7"/>
  <c r="AM43" i="7" s="1"/>
  <c r="AM49" i="7" s="1"/>
  <c r="AM53" i="7" s="1"/>
  <c r="AM56" i="7" s="1"/>
  <c r="AM34" i="10"/>
  <c r="AN30" i="7"/>
  <c r="AN43" i="7" s="1"/>
  <c r="AN49" i="7" s="1"/>
  <c r="AN53" i="7" s="1"/>
  <c r="AN56" i="7" s="1"/>
  <c r="AN34" i="10"/>
  <c r="AO30" i="7"/>
  <c r="AO43" i="7" s="1"/>
  <c r="AO49" i="7" s="1"/>
  <c r="AO53" i="7" s="1"/>
  <c r="AO56" i="7" s="1"/>
  <c r="AO34" i="10"/>
  <c r="AP30" i="7"/>
  <c r="AP43" i="7" s="1"/>
  <c r="AP49" i="7" s="1"/>
  <c r="AP53" i="7" s="1"/>
  <c r="AP56" i="7" s="1"/>
  <c r="AP34" i="10"/>
  <c r="AQ30" i="7"/>
  <c r="AQ43" i="7" s="1"/>
  <c r="AQ49" i="7" s="1"/>
  <c r="AQ53" i="7" s="1"/>
  <c r="AQ56" i="7" s="1"/>
  <c r="AQ34" i="10"/>
  <c r="AR30" i="7"/>
  <c r="AR43" i="7" s="1"/>
  <c r="AR49" i="7" s="1"/>
  <c r="AR53" i="7" s="1"/>
  <c r="AR56" i="7" s="1"/>
  <c r="AR34" i="10"/>
  <c r="AS30" i="7"/>
  <c r="AS43" i="7" s="1"/>
  <c r="AS49" i="7" s="1"/>
  <c r="AS53" i="7" s="1"/>
  <c r="AS56" i="7" s="1"/>
  <c r="AS34" i="10"/>
  <c r="AT30" i="7"/>
  <c r="AT43" i="7" s="1"/>
  <c r="AT49" i="7" s="1"/>
  <c r="AT53" i="7" s="1"/>
  <c r="AT56" i="7" s="1"/>
  <c r="AT34" i="10"/>
  <c r="AU30" i="7"/>
  <c r="AU43" i="7" s="1"/>
  <c r="AU49" i="7" s="1"/>
  <c r="AU53" i="7" s="1"/>
  <c r="AU56" i="7" s="1"/>
  <c r="AU34" i="10"/>
  <c r="AV30" i="7"/>
  <c r="AV43" i="7" s="1"/>
  <c r="AV49" i="7" s="1"/>
  <c r="AV53" i="7" s="1"/>
  <c r="AV56" i="7" s="1"/>
  <c r="AV34" i="10"/>
  <c r="AW30" i="7"/>
  <c r="AW43" i="7" s="1"/>
  <c r="AW49" i="7" s="1"/>
  <c r="AW53" i="7" s="1"/>
  <c r="AW56" i="7" s="1"/>
  <c r="AW34" i="10"/>
  <c r="AX30" i="7"/>
  <c r="AX43" i="7" s="1"/>
  <c r="AX49" i="7" s="1"/>
  <c r="AX53" i="7" s="1"/>
  <c r="AX56" i="7" s="1"/>
  <c r="AX34" i="10"/>
  <c r="AJ37" i="9"/>
  <c r="AI35" i="9"/>
  <c r="AI44" i="9"/>
  <c r="AJ35" i="9"/>
  <c r="AJ44" i="9"/>
  <c r="Z6" i="9"/>
  <c r="Z8" i="9"/>
  <c r="Z26" i="9"/>
  <c r="AP29" i="9"/>
  <c r="AO22" i="9"/>
  <c r="AW13" i="9"/>
  <c r="AM22" i="9"/>
  <c r="AM12" i="9"/>
  <c r="AL11" i="10"/>
  <c r="N12" i="9"/>
  <c r="O6" i="14"/>
  <c r="AY37" i="9"/>
  <c r="AX37" i="9"/>
  <c r="AW37" i="9"/>
  <c r="AP37" i="9"/>
  <c r="AQ37" i="9"/>
  <c r="AR37" i="9"/>
  <c r="AS37" i="9"/>
  <c r="AT37" i="9"/>
  <c r="AU37" i="9"/>
  <c r="AM37" i="9"/>
  <c r="AN37" i="9"/>
  <c r="AN18" i="9"/>
  <c r="AN25" i="9"/>
  <c r="AN22" i="9"/>
  <c r="AV18" i="9"/>
  <c r="AV25" i="9"/>
  <c r="AN74" i="6"/>
  <c r="AV74" i="6"/>
  <c r="AI43" i="9"/>
  <c r="AI22" i="9"/>
  <c r="AJ29" i="9"/>
  <c r="AI74" i="6"/>
  <c r="AB43" i="9"/>
  <c r="AB24" i="9"/>
  <c r="AC29" i="9"/>
  <c r="AB8" i="9"/>
  <c r="F4" i="10"/>
  <c r="G12" i="14"/>
  <c r="G13" i="14"/>
  <c r="G20" i="14"/>
  <c r="G24" i="14"/>
  <c r="G25" i="14"/>
  <c r="H15" i="14"/>
  <c r="H14" i="14"/>
  <c r="G5" i="9"/>
  <c r="F74" i="6"/>
  <c r="AL6" i="9"/>
  <c r="AL26" i="9"/>
  <c r="AL34" i="9"/>
  <c r="AL5" i="9"/>
  <c r="AL7" i="9"/>
  <c r="AL17" i="9"/>
  <c r="P7" i="14"/>
  <c r="O12" i="10"/>
  <c r="O17" i="9"/>
  <c r="O5" i="9"/>
  <c r="O7" i="9"/>
  <c r="P5" i="14"/>
  <c r="P15" i="14"/>
  <c r="X4" i="10"/>
  <c r="X74" i="6"/>
  <c r="P12" i="14"/>
  <c r="P25" i="14"/>
  <c r="P13" i="14"/>
  <c r="P20" i="14"/>
  <c r="P24" i="14"/>
  <c r="O4" i="10"/>
  <c r="Y16" i="10"/>
  <c r="Y14" i="10" s="1"/>
  <c r="Y11" i="10" s="1"/>
  <c r="Y71" i="6"/>
  <c r="Y73" i="6" s="1"/>
  <c r="Y74" i="6" s="1"/>
  <c r="AM29" i="9"/>
  <c r="AM43" i="9"/>
  <c r="AM18" i="9"/>
  <c r="AM23" i="9"/>
  <c r="AM25" i="9"/>
  <c r="X5" i="9"/>
  <c r="X26" i="9"/>
  <c r="X12" i="10"/>
  <c r="X8" i="9" s="1"/>
  <c r="X6" i="9"/>
  <c r="X7" i="9"/>
  <c r="X17" i="9"/>
  <c r="N16" i="9"/>
  <c r="O30" i="9"/>
  <c r="N22" i="9"/>
  <c r="N30" i="9"/>
  <c r="AQ22" i="9"/>
  <c r="AQ16" i="9"/>
  <c r="AQ30" i="9"/>
  <c r="D11" i="10"/>
  <c r="G32" i="9"/>
  <c r="H32" i="9"/>
  <c r="V55" i="6"/>
  <c r="V73" i="6" s="1"/>
  <c r="V74" i="6" s="1"/>
  <c r="W5" i="10"/>
  <c r="X14" i="14"/>
  <c r="X23" i="14"/>
  <c r="T74" i="6"/>
  <c r="AR30" i="9"/>
  <c r="N18" i="9"/>
  <c r="N24" i="9"/>
  <c r="N29" i="9"/>
  <c r="N43" i="9"/>
  <c r="O16" i="14"/>
  <c r="N23" i="9"/>
  <c r="N6" i="9"/>
  <c r="O8" i="14"/>
  <c r="N26" i="9"/>
  <c r="N13" i="9"/>
  <c r="O18" i="14"/>
  <c r="N25" i="9"/>
  <c r="N8" i="9"/>
  <c r="I4" i="10"/>
  <c r="J25" i="14"/>
  <c r="J24" i="14"/>
  <c r="J20" i="14"/>
  <c r="J13" i="14"/>
  <c r="Y43" i="9"/>
  <c r="Y16" i="14"/>
  <c r="Y29" i="9"/>
  <c r="Y24" i="9"/>
  <c r="Y13" i="9"/>
  <c r="Y18" i="14"/>
  <c r="Y23" i="9"/>
  <c r="Y25" i="9"/>
  <c r="Y18" i="9"/>
  <c r="H20" i="14"/>
  <c r="H13" i="14"/>
  <c r="G4" i="10"/>
  <c r="H24" i="14"/>
  <c r="S43" i="9"/>
  <c r="S23" i="9"/>
  <c r="S24" i="9"/>
  <c r="S13" i="9"/>
  <c r="T18" i="14"/>
  <c r="T16" i="14"/>
  <c r="S6" i="9"/>
  <c r="S22" i="9"/>
  <c r="S8" i="9"/>
  <c r="S26" i="9"/>
  <c r="S18" i="9"/>
  <c r="S25" i="9"/>
  <c r="S12" i="9"/>
  <c r="AI34" i="9"/>
  <c r="AI26" i="9"/>
  <c r="AI7" i="9"/>
  <c r="AI17" i="9"/>
  <c r="AI6" i="9"/>
  <c r="J5" i="10"/>
  <c r="K14" i="14"/>
  <c r="I55" i="6"/>
  <c r="I73" i="6" s="1"/>
  <c r="I74" i="6" s="1"/>
  <c r="K23" i="14"/>
  <c r="AO29" i="9"/>
  <c r="AO43" i="9"/>
  <c r="AO18" i="9"/>
  <c r="AO23" i="9"/>
  <c r="AO24" i="9"/>
  <c r="AO25" i="9"/>
  <c r="P74" i="6"/>
  <c r="T43" i="9"/>
  <c r="U16" i="14"/>
  <c r="U8" i="14"/>
  <c r="T26" i="9"/>
  <c r="T25" i="9"/>
  <c r="T24" i="9"/>
  <c r="U18" i="14"/>
  <c r="T23" i="9"/>
  <c r="T29" i="9"/>
  <c r="U6" i="14"/>
  <c r="T12" i="9"/>
  <c r="T22" i="9"/>
  <c r="T13" i="9"/>
  <c r="T6" i="9"/>
  <c r="T18" i="9"/>
  <c r="O7" i="14"/>
  <c r="E12" i="14"/>
  <c r="E20" i="14"/>
  <c r="D4" i="10"/>
  <c r="E24" i="14"/>
  <c r="E13" i="14"/>
  <c r="AM30" i="9"/>
  <c r="AA29" i="9"/>
  <c r="H25" i="14"/>
  <c r="Q30" i="9"/>
  <c r="R30" i="9"/>
  <c r="Q16" i="9"/>
  <c r="AJ6" i="9"/>
  <c r="AJ34" i="9"/>
  <c r="AJ5" i="9"/>
  <c r="AJ26" i="9"/>
  <c r="AJ7" i="9"/>
  <c r="AJ17" i="9"/>
  <c r="AK26" i="9"/>
  <c r="AL23" i="9"/>
  <c r="R13" i="14"/>
  <c r="Q4" i="10"/>
  <c r="Q22" i="9" s="1"/>
  <c r="R24" i="14"/>
  <c r="R20" i="14"/>
  <c r="R12" i="14"/>
  <c r="R25" i="14"/>
  <c r="P4" i="10"/>
  <c r="P8" i="9" s="1"/>
  <c r="Q13" i="14"/>
  <c r="Q24" i="14"/>
  <c r="Q20" i="14"/>
  <c r="Q25" i="14"/>
  <c r="Q12" i="14"/>
  <c r="AO13" i="9"/>
  <c r="AN29" i="9"/>
  <c r="AO74" i="6"/>
  <c r="E30" i="9"/>
  <c r="E16" i="9"/>
  <c r="F7" i="14"/>
  <c r="P34" i="9"/>
  <c r="G30" i="9"/>
  <c r="G16" i="9"/>
  <c r="T8" i="14"/>
  <c r="AL32" i="9"/>
  <c r="AM32" i="9"/>
  <c r="AL24" i="9"/>
  <c r="P18" i="14"/>
  <c r="L24" i="14"/>
  <c r="K4" i="10"/>
  <c r="L25" i="14"/>
  <c r="L13" i="14"/>
  <c r="L20" i="14"/>
  <c r="L12" i="14"/>
  <c r="AL73" i="6"/>
  <c r="AL74" i="6" s="1"/>
  <c r="R15" i="14"/>
  <c r="Q34" i="9"/>
  <c r="Q12" i="10"/>
  <c r="Q17" i="9"/>
  <c r="Q6" i="9"/>
  <c r="R7" i="14"/>
  <c r="Q7" i="9"/>
  <c r="Q5" i="9"/>
  <c r="R5" i="14"/>
  <c r="J74" i="6"/>
  <c r="O34" i="9"/>
  <c r="AM74" i="6"/>
  <c r="Y12" i="9"/>
  <c r="E7" i="9"/>
  <c r="S25" i="14"/>
  <c r="R4" i="10"/>
  <c r="S20" i="14"/>
  <c r="S12" i="14"/>
  <c r="S13" i="14"/>
  <c r="S24" i="14"/>
  <c r="AL30" i="9"/>
  <c r="AL22" i="9"/>
  <c r="AK34" i="9"/>
  <c r="AK5" i="9"/>
  <c r="AK7" i="9"/>
  <c r="AK17" i="9"/>
  <c r="AH34" i="9"/>
  <c r="AH26" i="9"/>
  <c r="AH7" i="9"/>
  <c r="AH17" i="9"/>
  <c r="AH6" i="9"/>
  <c r="AL13" i="9"/>
  <c r="V24" i="14"/>
  <c r="V13" i="14"/>
  <c r="V25" i="14"/>
  <c r="V12" i="14"/>
  <c r="U4" i="10"/>
  <c r="U8" i="9" s="1"/>
  <c r="V20" i="14"/>
  <c r="Z12" i="9"/>
  <c r="Z25" i="9"/>
  <c r="Z18" i="9"/>
  <c r="Z24" i="9"/>
  <c r="Z43" i="9"/>
  <c r="Z13" i="9"/>
  <c r="Z23" i="9"/>
  <c r="Z29" i="9"/>
  <c r="AW29" i="9"/>
  <c r="AW43" i="9"/>
  <c r="AW18" i="9"/>
  <c r="AW23" i="9"/>
  <c r="AW24" i="9"/>
  <c r="AW25" i="9"/>
  <c r="N74" i="6"/>
  <c r="T6" i="14"/>
  <c r="H7" i="14"/>
  <c r="R8" i="9"/>
  <c r="F13" i="14"/>
  <c r="F25" i="14"/>
  <c r="F24" i="14"/>
  <c r="F20" i="14"/>
  <c r="E4" i="10"/>
  <c r="H30" i="9"/>
  <c r="AK37" i="9"/>
  <c r="AL37" i="9"/>
  <c r="AK35" i="9"/>
  <c r="AK44" i="9"/>
  <c r="AL35" i="9"/>
  <c r="AX12" i="10"/>
  <c r="AX8" i="9" s="1"/>
  <c r="AX6" i="9"/>
  <c r="AX7" i="9"/>
  <c r="AX17" i="9"/>
  <c r="AX26" i="9"/>
  <c r="AX5" i="9"/>
  <c r="AM12" i="10"/>
  <c r="AM8" i="9" s="1"/>
  <c r="AM6" i="9"/>
  <c r="AM7" i="9"/>
  <c r="AM17" i="9"/>
  <c r="AM26" i="9"/>
  <c r="AM34" i="9"/>
  <c r="AM5" i="9"/>
  <c r="AN12" i="10"/>
  <c r="AN8" i="9" s="1"/>
  <c r="AN6" i="9"/>
  <c r="AN7" i="9"/>
  <c r="AN17" i="9"/>
  <c r="AN26" i="9"/>
  <c r="AN34" i="9"/>
  <c r="AN5" i="9"/>
  <c r="AO12" i="10"/>
  <c r="AO8" i="9" s="1"/>
  <c r="AO6" i="9"/>
  <c r="AO7" i="9"/>
  <c r="AO17" i="9"/>
  <c r="AO26" i="9"/>
  <c r="AO34" i="9"/>
  <c r="AO5" i="9"/>
  <c r="AP12" i="10"/>
  <c r="AP8" i="9" s="1"/>
  <c r="AP6" i="9"/>
  <c r="AP7" i="9"/>
  <c r="AP17" i="9"/>
  <c r="AP26" i="9"/>
  <c r="AP34" i="9"/>
  <c r="AP5" i="9"/>
  <c r="AQ12" i="10"/>
  <c r="AQ8" i="9" s="1"/>
  <c r="AQ6" i="9"/>
  <c r="AQ7" i="9"/>
  <c r="AQ17" i="9"/>
  <c r="AQ26" i="9"/>
  <c r="AQ34" i="9"/>
  <c r="AQ5" i="9"/>
  <c r="AR12" i="10"/>
  <c r="AR8" i="9" s="1"/>
  <c r="AR6" i="9"/>
  <c r="AR7" i="9"/>
  <c r="AR17" i="9"/>
  <c r="AR26" i="9"/>
  <c r="AR34" i="9"/>
  <c r="AR5" i="9"/>
  <c r="AS12" i="10"/>
  <c r="AS8" i="9" s="1"/>
  <c r="AS6" i="9"/>
  <c r="AS7" i="9"/>
  <c r="AS17" i="9"/>
  <c r="AS26" i="9"/>
  <c r="AS34" i="9"/>
  <c r="AS5" i="9"/>
  <c r="AT12" i="10"/>
  <c r="AT8" i="9" s="1"/>
  <c r="AT6" i="9"/>
  <c r="AT7" i="9"/>
  <c r="AT17" i="9"/>
  <c r="AT26" i="9"/>
  <c r="AT34" i="9"/>
  <c r="AT5" i="9"/>
  <c r="AU12" i="10"/>
  <c r="AU8" i="9" s="1"/>
  <c r="AU6" i="9"/>
  <c r="AU7" i="9"/>
  <c r="AU17" i="9"/>
  <c r="AU26" i="9"/>
  <c r="AU34" i="9"/>
  <c r="AU5" i="9"/>
  <c r="AV12" i="10"/>
  <c r="AV8" i="9" s="1"/>
  <c r="AV6" i="9"/>
  <c r="AV7" i="9"/>
  <c r="AV17" i="9"/>
  <c r="AV26" i="9"/>
  <c r="AV34" i="9"/>
  <c r="AV5" i="9"/>
  <c r="AW12" i="10"/>
  <c r="AW8" i="9" s="1"/>
  <c r="AW6" i="9"/>
  <c r="AW7" i="9"/>
  <c r="AW17" i="9"/>
  <c r="AW26" i="9"/>
  <c r="AW34" i="9"/>
  <c r="AX34" i="9"/>
  <c r="AW5" i="9"/>
  <c r="F45" i="19"/>
  <c r="AL43" i="7"/>
  <c r="AK12" i="10"/>
  <c r="AK8" i="9" s="1"/>
  <c r="AL12" i="10"/>
  <c r="AL8" i="9" s="1"/>
  <c r="AI12" i="10"/>
  <c r="AI8" i="9" s="1"/>
  <c r="AI5" i="9"/>
  <c r="AJ12" i="10"/>
  <c r="AJ8" i="9" s="1"/>
  <c r="AC12" i="10"/>
  <c r="AC8" i="9" s="1"/>
  <c r="AC5" i="9"/>
  <c r="AC6" i="9"/>
  <c r="AC7" i="9"/>
  <c r="AC17" i="9"/>
  <c r="AC26" i="9"/>
  <c r="AC34" i="9"/>
  <c r="AD12" i="10"/>
  <c r="AD8" i="9" s="1"/>
  <c r="AD5" i="9"/>
  <c r="AD6" i="9"/>
  <c r="AD7" i="9"/>
  <c r="AD17" i="9"/>
  <c r="AD26" i="9"/>
  <c r="AD34" i="9"/>
  <c r="AE12" i="10"/>
  <c r="AE8" i="9" s="1"/>
  <c r="AE5" i="9"/>
  <c r="AE6" i="9"/>
  <c r="AE7" i="9"/>
  <c r="AE17" i="9"/>
  <c r="AE26" i="9"/>
  <c r="AE34" i="9"/>
  <c r="AF12" i="10"/>
  <c r="AF8" i="9" s="1"/>
  <c r="AF5" i="9"/>
  <c r="AF6" i="9"/>
  <c r="AF7" i="9"/>
  <c r="AF17" i="9"/>
  <c r="AF26" i="9"/>
  <c r="AF34" i="9"/>
  <c r="AG12" i="10"/>
  <c r="AG8" i="9" s="1"/>
  <c r="AG5" i="9"/>
  <c r="AG6" i="9"/>
  <c r="AG7" i="9"/>
  <c r="AG17" i="9"/>
  <c r="AG26" i="9"/>
  <c r="AG34" i="9"/>
  <c r="AH12" i="10"/>
  <c r="AH8" i="9" s="1"/>
  <c r="AH5" i="9"/>
  <c r="AF30" i="7"/>
  <c r="AF43" i="7" s="1"/>
  <c r="AF49" i="7" s="1"/>
  <c r="AF53" i="7" s="1"/>
  <c r="AF56" i="7" s="1"/>
  <c r="AF34" i="10"/>
  <c r="AG37" i="9"/>
  <c r="AD37" i="9"/>
  <c r="AG30" i="7"/>
  <c r="AG43" i="7" s="1"/>
  <c r="AG49" i="7" s="1"/>
  <c r="AG53" i="7" s="1"/>
  <c r="AG56" i="7" s="1"/>
  <c r="AG34" i="10"/>
  <c r="AH35" i="9" s="1"/>
  <c r="Z16" i="9"/>
  <c r="AA30" i="9"/>
  <c r="Z30" i="9"/>
  <c r="Z22" i="9"/>
  <c r="Z7" i="9"/>
  <c r="X34" i="9"/>
  <c r="W17" i="9"/>
  <c r="W7" i="9"/>
  <c r="W12" i="10"/>
  <c r="W8" i="9" s="1"/>
  <c r="X15" i="14"/>
  <c r="X5" i="14"/>
  <c r="W5" i="9"/>
  <c r="W34" i="9"/>
  <c r="X7" i="14"/>
  <c r="X6" i="14"/>
  <c r="W6" i="9"/>
  <c r="W26" i="9"/>
  <c r="X8" i="14"/>
  <c r="V44" i="9"/>
  <c r="V43" i="9"/>
  <c r="I5" i="14"/>
  <c r="H5" i="9"/>
  <c r="H17" i="9"/>
  <c r="H12" i="10"/>
  <c r="H8" i="9" s="1"/>
  <c r="I15" i="14"/>
  <c r="H34" i="9"/>
  <c r="I34" i="9"/>
  <c r="H7" i="9"/>
  <c r="I7" i="14"/>
  <c r="H26" i="9"/>
  <c r="I8" i="14"/>
  <c r="I6" i="14"/>
  <c r="H6" i="9"/>
  <c r="E12" i="9" l="1"/>
  <c r="E8" i="9"/>
  <c r="E22" i="9"/>
  <c r="O26" i="9"/>
  <c r="P8" i="14"/>
  <c r="O6" i="9"/>
  <c r="O8" i="9"/>
  <c r="F13" i="9"/>
  <c r="G18" i="14"/>
  <c r="F23" i="9"/>
  <c r="F8" i="9"/>
  <c r="F25" i="9"/>
  <c r="F22" i="9"/>
  <c r="G16" i="14"/>
  <c r="F12" i="9"/>
  <c r="F18" i="9"/>
  <c r="F43" i="9"/>
  <c r="F26" i="9"/>
  <c r="G6" i="14"/>
  <c r="F24" i="9"/>
  <c r="G8" i="14"/>
  <c r="F6" i="9"/>
  <c r="AX35" i="9"/>
  <c r="AX44" i="9"/>
  <c r="AY35" i="9"/>
  <c r="AW35" i="9"/>
  <c r="AW44" i="9"/>
  <c r="AV35" i="9"/>
  <c r="AV44" i="9"/>
  <c r="AU35" i="9"/>
  <c r="AU44" i="9"/>
  <c r="AT35" i="9"/>
  <c r="AT44" i="9"/>
  <c r="AS35" i="9"/>
  <c r="AS44" i="9"/>
  <c r="AR35" i="9"/>
  <c r="AR44" i="9"/>
  <c r="AQ35" i="9"/>
  <c r="AQ44" i="9"/>
  <c r="AP35" i="9"/>
  <c r="AP44" i="9"/>
  <c r="AO35" i="9"/>
  <c r="AO44" i="9"/>
  <c r="AN35" i="9"/>
  <c r="AN44" i="9"/>
  <c r="AM35" i="9"/>
  <c r="AM44" i="9"/>
  <c r="R6" i="14"/>
  <c r="D5" i="9"/>
  <c r="E7" i="14"/>
  <c r="D6" i="9"/>
  <c r="D7" i="9"/>
  <c r="D17" i="9"/>
  <c r="D26" i="9"/>
  <c r="E8" i="14"/>
  <c r="D12" i="10"/>
  <c r="D8" i="9" s="1"/>
  <c r="E15" i="14"/>
  <c r="E6" i="14"/>
  <c r="E5" i="14"/>
  <c r="E34" i="9"/>
  <c r="G23" i="9"/>
  <c r="H18" i="14"/>
  <c r="G18" i="9"/>
  <c r="G29" i="9"/>
  <c r="H16" i="14"/>
  <c r="G43" i="9"/>
  <c r="G25" i="9"/>
  <c r="G13" i="9"/>
  <c r="H8" i="14"/>
  <c r="H29" i="9"/>
  <c r="G12" i="9"/>
  <c r="H6" i="14"/>
  <c r="G26" i="9"/>
  <c r="G6" i="9"/>
  <c r="Q8" i="9"/>
  <c r="R13" i="9"/>
  <c r="S16" i="14"/>
  <c r="R18" i="9"/>
  <c r="R23" i="9"/>
  <c r="R24" i="9"/>
  <c r="S18" i="14"/>
  <c r="R12" i="9"/>
  <c r="R22" i="9"/>
  <c r="R29" i="9"/>
  <c r="R43" i="9"/>
  <c r="R25" i="9"/>
  <c r="R26" i="9"/>
  <c r="S8" i="14"/>
  <c r="R6" i="9"/>
  <c r="S6" i="14"/>
  <c r="Q26" i="9"/>
  <c r="Q16" i="14"/>
  <c r="Q18" i="14"/>
  <c r="P23" i="9"/>
  <c r="P24" i="9"/>
  <c r="P29" i="9"/>
  <c r="P25" i="9"/>
  <c r="P43" i="9"/>
  <c r="P13" i="9"/>
  <c r="P18" i="9"/>
  <c r="P22" i="9"/>
  <c r="Q6" i="14"/>
  <c r="Q8" i="14"/>
  <c r="P26" i="9"/>
  <c r="P6" i="9"/>
  <c r="P12" i="9"/>
  <c r="K30" i="9"/>
  <c r="J16" i="9"/>
  <c r="J22" i="9"/>
  <c r="J7" i="9"/>
  <c r="J30" i="9"/>
  <c r="K7" i="14"/>
  <c r="W22" i="9"/>
  <c r="W30" i="9"/>
  <c r="W16" i="9"/>
  <c r="X30" i="9"/>
  <c r="J6" i="14"/>
  <c r="I25" i="9"/>
  <c r="I24" i="9"/>
  <c r="J16" i="14"/>
  <c r="I6" i="9"/>
  <c r="I18" i="9"/>
  <c r="I43" i="9"/>
  <c r="I26" i="9"/>
  <c r="J29" i="9"/>
  <c r="I23" i="9"/>
  <c r="I22" i="9"/>
  <c r="I8" i="9"/>
  <c r="J18" i="14"/>
  <c r="I29" i="9"/>
  <c r="I13" i="9"/>
  <c r="I12" i="9"/>
  <c r="J8" i="14"/>
  <c r="R8" i="14"/>
  <c r="K22" i="9"/>
  <c r="L6" i="14"/>
  <c r="L18" i="14"/>
  <c r="K18" i="9"/>
  <c r="K29" i="9"/>
  <c r="K43" i="9"/>
  <c r="K25" i="9"/>
  <c r="K12" i="9"/>
  <c r="K24" i="9"/>
  <c r="K23" i="9"/>
  <c r="L8" i="14"/>
  <c r="L16" i="14"/>
  <c r="K6" i="9"/>
  <c r="L29" i="9"/>
  <c r="K13" i="9"/>
  <c r="K26" i="9"/>
  <c r="G22" i="9"/>
  <c r="G8" i="9"/>
  <c r="D22" i="9"/>
  <c r="E18" i="14"/>
  <c r="E16" i="14"/>
  <c r="D25" i="9"/>
  <c r="D13" i="9"/>
  <c r="D18" i="9"/>
  <c r="D23" i="9"/>
  <c r="D24" i="9"/>
  <c r="D12" i="9"/>
  <c r="S29" i="9"/>
  <c r="G24" i="9"/>
  <c r="Y5" i="9"/>
  <c r="Y12" i="10"/>
  <c r="Y8" i="9" s="1"/>
  <c r="Y34" i="9"/>
  <c r="Y6" i="14"/>
  <c r="Y5" i="14"/>
  <c r="Y17" i="9"/>
  <c r="Y26" i="9"/>
  <c r="Y15" i="14"/>
  <c r="Y7" i="9"/>
  <c r="Y8" i="14"/>
  <c r="Y6" i="9"/>
  <c r="Y7" i="14"/>
  <c r="Z34" i="9"/>
  <c r="X18" i="9"/>
  <c r="X43" i="9"/>
  <c r="X24" i="9"/>
  <c r="X13" i="9"/>
  <c r="X25" i="9"/>
  <c r="X23" i="9"/>
  <c r="X29" i="9"/>
  <c r="X22" i="9"/>
  <c r="X12" i="9"/>
  <c r="R18" i="14"/>
  <c r="Q25" i="9"/>
  <c r="Q18" i="9"/>
  <c r="Q23" i="9"/>
  <c r="R16" i="14"/>
  <c r="Q12" i="9"/>
  <c r="Q13" i="9"/>
  <c r="Q29" i="9"/>
  <c r="Q24" i="9"/>
  <c r="Q43" i="9"/>
  <c r="F16" i="14"/>
  <c r="E43" i="9"/>
  <c r="E24" i="9"/>
  <c r="E13" i="9"/>
  <c r="E18" i="9"/>
  <c r="E23" i="9"/>
  <c r="F18" i="14"/>
  <c r="E29" i="9"/>
  <c r="E6" i="9"/>
  <c r="E25" i="9"/>
  <c r="F8" i="14"/>
  <c r="F29" i="9"/>
  <c r="E26" i="9"/>
  <c r="F6" i="14"/>
  <c r="U18" i="9"/>
  <c r="U23" i="9"/>
  <c r="U24" i="9"/>
  <c r="U13" i="9"/>
  <c r="U25" i="9"/>
  <c r="U29" i="9"/>
  <c r="U12" i="9"/>
  <c r="V18" i="14"/>
  <c r="U22" i="9"/>
  <c r="V16" i="14"/>
  <c r="U43" i="9"/>
  <c r="U26" i="9"/>
  <c r="V6" i="14"/>
  <c r="V8" i="14"/>
  <c r="U6" i="9"/>
  <c r="V29" i="9"/>
  <c r="K8" i="9"/>
  <c r="O13" i="9"/>
  <c r="O25" i="9"/>
  <c r="O23" i="9"/>
  <c r="O24" i="9"/>
  <c r="O22" i="9"/>
  <c r="O18" i="9"/>
  <c r="O12" i="9"/>
  <c r="O43" i="9"/>
  <c r="O29" i="9"/>
  <c r="P16" i="14"/>
  <c r="P6" i="14"/>
  <c r="AL49" i="7"/>
  <c r="AL53" i="7" s="1"/>
  <c r="AL56" i="7" s="1"/>
  <c r="F50" i="19" s="1"/>
  <c r="AG35" i="9"/>
  <c r="AG44" i="9"/>
  <c r="AF35" i="9"/>
  <c r="AF44" i="9"/>
</calcChain>
</file>

<file path=xl/sharedStrings.xml><?xml version="1.0" encoding="utf-8"?>
<sst xmlns="http://schemas.openxmlformats.org/spreadsheetml/2006/main" count="655" uniqueCount="366">
  <si>
    <t>FORM 6 SASRA2/006</t>
  </si>
  <si>
    <t xml:space="preserve"> STATEMENT OF FINANCIAL POSITION</t>
  </si>
  <si>
    <t>NAME OF SACCO SOCIETY: YETU</t>
  </si>
  <si>
    <t>FINANCIAL YEAR :   2017</t>
  </si>
  <si>
    <t>START DATE:  1st January 2017</t>
  </si>
  <si>
    <t>END DATE: 31st  December 2017</t>
  </si>
  <si>
    <t>2011 Audited</t>
  </si>
  <si>
    <t>2012 audited</t>
  </si>
  <si>
    <t>2013 AUDITED</t>
  </si>
  <si>
    <t>2014 AUDITED</t>
  </si>
  <si>
    <t>AUDITED 2015</t>
  </si>
  <si>
    <t>AUDITED 2016</t>
  </si>
  <si>
    <t>AUDITED 2017</t>
  </si>
  <si>
    <t>AUDITED 2019</t>
  </si>
  <si>
    <t>Dcember 2020</t>
  </si>
  <si>
    <t>AUDITED 2020</t>
  </si>
  <si>
    <t>Audited 2021</t>
  </si>
  <si>
    <t>Audited 2022</t>
  </si>
  <si>
    <t>Ref No</t>
  </si>
  <si>
    <t>ASSETS</t>
  </si>
  <si>
    <t>Cash &amp; Cash Equivalent</t>
  </si>
  <si>
    <t>Cash in hand(both local and foreign notes and coins)</t>
  </si>
  <si>
    <t>Cash at bank:(placement with financial institutions)</t>
  </si>
  <si>
    <t>Prepayments &amp; Sundry Receivables</t>
  </si>
  <si>
    <t>Financial Investments</t>
  </si>
  <si>
    <t xml:space="preserve">Government Securities - Treasury Bills/bonds,  </t>
  </si>
  <si>
    <t>Other Securities - Commercial papers/Bonds</t>
  </si>
  <si>
    <t>3.3a</t>
  </si>
  <si>
    <t>Balances  in NACCOS (E.g Jungu Kuu, ESS, Savings,Money Market,Coop FD, CFP)</t>
  </si>
  <si>
    <t>Equity Investments in NACCOs(Shares in- CIC, KUSCCO, COOP BANK,CAK, KERUSSU)</t>
  </si>
  <si>
    <t>3.3b</t>
  </si>
  <si>
    <t xml:space="preserve">Equity Investments in companies - shares/stocks </t>
  </si>
  <si>
    <t>Net Loan Portfolio</t>
  </si>
  <si>
    <t>Gross Loan Portfolio</t>
  </si>
  <si>
    <t>Allowance for Loan Loss</t>
  </si>
  <si>
    <t>Accounts Receivables</t>
  </si>
  <si>
    <t>Tax Recoverable</t>
  </si>
  <si>
    <t>Deferred Tax Assets</t>
  </si>
  <si>
    <t>Retirement Benefit Assets</t>
  </si>
  <si>
    <t>Property &amp; Equipment &amp; Other assets</t>
  </si>
  <si>
    <t>Investment Properties</t>
  </si>
  <si>
    <t>Property &amp; Equipment</t>
  </si>
  <si>
    <t>Prepaid Lease rentals</t>
  </si>
  <si>
    <t>Intangible Assets</t>
  </si>
  <si>
    <t>Other Assets</t>
  </si>
  <si>
    <t>Total Assets</t>
  </si>
  <si>
    <t>LIABILITIES</t>
  </si>
  <si>
    <t>Savings Deposits - Withdrawable deposits - FOSA)</t>
  </si>
  <si>
    <t>Short Term Deposits (e.g Fixed deposits, special savings)</t>
  </si>
  <si>
    <t>Non withdrawable deposits (BOSA member deposits)</t>
  </si>
  <si>
    <t>Total Deposit liabilities</t>
  </si>
  <si>
    <t>Accounts Payable &amp; Other Liabilities</t>
  </si>
  <si>
    <t>Tax Payable</t>
  </si>
  <si>
    <t>Dividends Payable</t>
  </si>
  <si>
    <t>Deferred Tax Liability</t>
  </si>
  <si>
    <t>Retirement Benefits Liability</t>
  </si>
  <si>
    <t>Other Liabilities</t>
  </si>
  <si>
    <t>External Borrowings</t>
  </si>
  <si>
    <t>Total Liabilities</t>
  </si>
  <si>
    <t>EQUITY</t>
  </si>
  <si>
    <t>Share Capital (Members share capital per Bylaws)</t>
  </si>
  <si>
    <t>Capital Grants</t>
  </si>
  <si>
    <t>Retained Earnings</t>
  </si>
  <si>
    <t>Prior Years' Retained Earnings</t>
  </si>
  <si>
    <t>Current Year's Surplus</t>
  </si>
  <si>
    <t>Other Equity Accounts</t>
  </si>
  <si>
    <t>Statutory Reserve</t>
  </si>
  <si>
    <t>Other Reserves (provide notes on these reserves)</t>
  </si>
  <si>
    <t>Revaluation Reserves (Not part of core capital)</t>
  </si>
  <si>
    <t>Proposed Dividends</t>
  </si>
  <si>
    <t>Adjustment to Equity</t>
  </si>
  <si>
    <t>Total Equity</t>
  </si>
  <si>
    <t>Total Liabilities and  Equity</t>
  </si>
  <si>
    <t>RE</t>
  </si>
  <si>
    <t>SR</t>
  </si>
  <si>
    <t>Surplus</t>
  </si>
  <si>
    <r>
      <t>Note:</t>
    </r>
    <r>
      <rPr>
        <sz val="12"/>
        <rFont val="Calibri"/>
        <family val="2"/>
      </rPr>
      <t xml:space="preserve"> This return should be received within 15 days after end of the month. </t>
    </r>
  </si>
  <si>
    <t>AUTHORIZATION:</t>
  </si>
  <si>
    <t xml:space="preserve"> We declare that this return, to the best of our knowledge and belief is correct.</t>
  </si>
  <si>
    <t>…………………………………………………..sign……………………………..date……………………..</t>
  </si>
  <si>
    <t>name of authorizing officer</t>
  </si>
  <si>
    <t>name of countersigning officer</t>
  </si>
  <si>
    <t>FORM  7 SASRA/007</t>
  </si>
  <si>
    <t>STATEMENT OF COMPREHENSIVE INCOME</t>
  </si>
  <si>
    <t>NAME OF SACCO SOCIETY:     YETU</t>
  </si>
  <si>
    <t>FINANCIAL YEAR                             2011</t>
  </si>
  <si>
    <t>START DATE:                                    1st January</t>
  </si>
  <si>
    <t>END DATE:                                         31st December</t>
  </si>
  <si>
    <t>Ref No.</t>
  </si>
  <si>
    <t>Audited 2012</t>
  </si>
  <si>
    <t>AUDITED 2013</t>
  </si>
  <si>
    <t>AUDITED 2021</t>
  </si>
  <si>
    <t>KShs</t>
  </si>
  <si>
    <t xml:space="preserve">Financial Income </t>
  </si>
  <si>
    <t>Financial Income from Loans Portfolio</t>
  </si>
  <si>
    <t>Interest on Loan Portfolio</t>
  </si>
  <si>
    <t>Fees &amp; Commission on Loan Portfolio</t>
  </si>
  <si>
    <t>Financial Income from Investments in:</t>
  </si>
  <si>
    <t>Government Securities</t>
  </si>
  <si>
    <t>Deposit with Banks and Other Financial Inst.</t>
  </si>
  <si>
    <t>Other Investments - dividend &amp; Interest incomes from investments</t>
  </si>
  <si>
    <t>Other Operating Income- Salary processing fees, transaction fees, membership fees</t>
  </si>
  <si>
    <t>Financial Expense</t>
  </si>
  <si>
    <t>Interest Expense on Deposits</t>
  </si>
  <si>
    <t>Cost of External Borrowings</t>
  </si>
  <si>
    <t>Dividend Expenses (on member shares)</t>
  </si>
  <si>
    <t>Other Financial Expense</t>
  </si>
  <si>
    <t>Fees &amp; Commission Expense</t>
  </si>
  <si>
    <t>Other Expense</t>
  </si>
  <si>
    <t>Net Financial Income/(Loss)</t>
  </si>
  <si>
    <t>Provision for Loan Losses</t>
  </si>
  <si>
    <t>Value of Loans Recovered</t>
  </si>
  <si>
    <t>Operating Expenses</t>
  </si>
  <si>
    <t>Personnel Expenses</t>
  </si>
  <si>
    <t>Governance Expenses</t>
  </si>
  <si>
    <t>Marketing Expenses</t>
  </si>
  <si>
    <t>Depreciation and Amortization Charges</t>
  </si>
  <si>
    <t>Administrative Expenses</t>
  </si>
  <si>
    <t>Net Operating Income</t>
  </si>
  <si>
    <t>Net Non- Operating Income/ (Expense)</t>
  </si>
  <si>
    <t>Non- Operating Income</t>
  </si>
  <si>
    <t>Non- Operating Expense</t>
  </si>
  <si>
    <t>Net Income (Before Taxes and Donations)</t>
  </si>
  <si>
    <r>
      <t xml:space="preserve">Taxes </t>
    </r>
    <r>
      <rPr>
        <i/>
        <sz val="12"/>
        <rFont val="Cambria"/>
        <family val="1"/>
      </rPr>
      <t>(Incomes taxes &amp; Other payable to KRA)</t>
    </r>
  </si>
  <si>
    <t>Net Income (After Taxes before Donations)</t>
  </si>
  <si>
    <t>Donations</t>
  </si>
  <si>
    <t>Net Income/(After Taxes and Donations)</t>
  </si>
  <si>
    <r>
      <t>Note:</t>
    </r>
    <r>
      <rPr>
        <sz val="12"/>
        <rFont val="Calibri"/>
        <family val="2"/>
      </rPr>
      <t xml:space="preserve"> This return should be received within 15 days after end of the month.</t>
    </r>
  </si>
  <si>
    <t>Name of Authorizing Officer</t>
  </si>
  <si>
    <t>Name of Countersigning Officer</t>
  </si>
  <si>
    <t xml:space="preserve">YETU SACCO </t>
  </si>
  <si>
    <t>Year</t>
  </si>
  <si>
    <t>Audited 2010</t>
  </si>
  <si>
    <t>Audited 2011</t>
  </si>
  <si>
    <t>Audited 2017</t>
  </si>
  <si>
    <t>Audited 2020</t>
  </si>
  <si>
    <t>Membership</t>
  </si>
  <si>
    <t>Total Deposits</t>
  </si>
  <si>
    <t>Deposits-Members(BOSA)</t>
  </si>
  <si>
    <t>Deposits-Customers(FOSA)</t>
  </si>
  <si>
    <t>External Borrowing</t>
  </si>
  <si>
    <t>Share capital and Reserves</t>
  </si>
  <si>
    <t>Core Capital</t>
  </si>
  <si>
    <t>Institutional  Capital</t>
  </si>
  <si>
    <t>Total Capital</t>
  </si>
  <si>
    <t>5.3.1</t>
  </si>
  <si>
    <t>Members Share Capital</t>
  </si>
  <si>
    <t>5.3.3</t>
  </si>
  <si>
    <t>5.3.5</t>
  </si>
  <si>
    <t>Statutory Reserves</t>
  </si>
  <si>
    <t>5.3.6</t>
  </si>
  <si>
    <t>Capital Reserves</t>
  </si>
  <si>
    <t>5.3.7</t>
  </si>
  <si>
    <t>Supplementary Capital &amp; reserves</t>
  </si>
  <si>
    <t>a</t>
  </si>
  <si>
    <t>b</t>
  </si>
  <si>
    <t>Risk Mgt  Fund</t>
  </si>
  <si>
    <t>Investments</t>
  </si>
  <si>
    <t>Liquidity investments</t>
  </si>
  <si>
    <t>Equity Investments (at cost)</t>
  </si>
  <si>
    <t>Net Loans &amp; Advances</t>
  </si>
  <si>
    <t>Gross Loans &amp; advances</t>
  </si>
  <si>
    <t>Allowance for loan losses</t>
  </si>
  <si>
    <t>Non-Earning Assets</t>
  </si>
  <si>
    <t>Property and Equipment</t>
  </si>
  <si>
    <t>Turnover</t>
  </si>
  <si>
    <t>Loan Interest</t>
  </si>
  <si>
    <t>Income from investments</t>
  </si>
  <si>
    <t>Fees &amp; Commissions</t>
  </si>
  <si>
    <t>Average yield on loans</t>
  </si>
  <si>
    <t>Fianacial and Operating costs</t>
  </si>
  <si>
    <t>Interest expense on deposits</t>
  </si>
  <si>
    <t>Dividend expense on share capital</t>
  </si>
  <si>
    <t>Interest expense on borrowed funds</t>
  </si>
  <si>
    <t>Opperating expenses</t>
  </si>
  <si>
    <t>YETU Sacco Ltd Financial Performance &amp; Projections</t>
  </si>
  <si>
    <t>FINANCIAL SOUNDNESS INDICATORS</t>
  </si>
  <si>
    <t>Prudential Std</t>
  </si>
  <si>
    <t>CAPITAL ADEQUACY REQUIREMENTS</t>
  </si>
  <si>
    <t xml:space="preserve">Core capital </t>
  </si>
  <si>
    <t>≥ Ksh.10M</t>
  </si>
  <si>
    <t>Core capital /Total Assets</t>
  </si>
  <si>
    <t>≥ 10%</t>
  </si>
  <si>
    <t>Core capital /Total Deposits</t>
  </si>
  <si>
    <t>≥ 8%</t>
  </si>
  <si>
    <t>Institutional/Total Assets</t>
  </si>
  <si>
    <t>ASSET MIX AND QUALITY</t>
  </si>
  <si>
    <t>Non Earning Assets</t>
  </si>
  <si>
    <t>2.1.1</t>
  </si>
  <si>
    <t>Non earning Assets/Total assets</t>
  </si>
  <si>
    <t>≤ 10%</t>
  </si>
  <si>
    <t>2.1.2</t>
  </si>
  <si>
    <t>Property and Equipment/TA</t>
  </si>
  <si>
    <t>≤ 5%</t>
  </si>
  <si>
    <t>Earning Assets</t>
  </si>
  <si>
    <t>2.2.1</t>
  </si>
  <si>
    <t>Non-Govt Securities/Deposits</t>
  </si>
  <si>
    <t>2.2.2</t>
  </si>
  <si>
    <t>Non-Govt Securities/Core Capital</t>
  </si>
  <si>
    <t>≤ 40%</t>
  </si>
  <si>
    <t>2.2.3</t>
  </si>
  <si>
    <t>Gross Loans &amp; advances /Total assets</t>
  </si>
  <si>
    <t>NPLs to Loan portfolio</t>
  </si>
  <si>
    <t>FUNDING MIX</t>
  </si>
  <si>
    <t>Total Deposits/Total Assets</t>
  </si>
  <si>
    <t>3.1.1</t>
  </si>
  <si>
    <t>BOSA Deposits/Total Assets</t>
  </si>
  <si>
    <t>3.1.2</t>
  </si>
  <si>
    <t>FOSA Deposits/Total Assets</t>
  </si>
  <si>
    <t>External Borrowing/Total assets</t>
  </si>
  <si>
    <t>≤ 25%</t>
  </si>
  <si>
    <t>Core capital/total assets</t>
  </si>
  <si>
    <t>GROWTH RATIOS</t>
  </si>
  <si>
    <t>4.2.1</t>
  </si>
  <si>
    <t>BOSA Deposits</t>
  </si>
  <si>
    <t>4.2.2</t>
  </si>
  <si>
    <t>FOSA Deposits</t>
  </si>
  <si>
    <t>Total Loans &amp; advances</t>
  </si>
  <si>
    <t>Core capital</t>
  </si>
  <si>
    <t>Expenses</t>
  </si>
  <si>
    <t xml:space="preserve">Efficiency Ratios </t>
  </si>
  <si>
    <t>FinCost-Deposits/Avg Deposits</t>
  </si>
  <si>
    <t>FINANCIALS!E41/((FINANCIALS!D6+FINANCIALS!#REF!'PRUDENTIAL RATIOS'!)/2)</t>
  </si>
  <si>
    <t>FinCost-Shares/Avg Share capital</t>
  </si>
  <si>
    <t>FinCost-Ext Loans/Avg Ext Loans</t>
  </si>
  <si>
    <t>OpEx/Average Total Assets</t>
  </si>
  <si>
    <t>Opex/Turnover</t>
  </si>
  <si>
    <t xml:space="preserve">Avge yield on Net loans </t>
  </si>
  <si>
    <t xml:space="preserve">Avge yield on Gross loans </t>
  </si>
  <si>
    <t>ALL/Average Gross Loan portfolio</t>
  </si>
  <si>
    <t>YETU SACCO CAELS</t>
  </si>
  <si>
    <t>2010 Audited</t>
  </si>
  <si>
    <t>2012 Audited</t>
  </si>
  <si>
    <t>2013 Audited</t>
  </si>
  <si>
    <t>Audited 2018</t>
  </si>
  <si>
    <t>Audited 2019</t>
  </si>
  <si>
    <t>CAPITAL ADEQUACY</t>
  </si>
  <si>
    <t>10 M</t>
  </si>
  <si>
    <t>CCA</t>
  </si>
  <si>
    <t>Min 10%</t>
  </si>
  <si>
    <t>CCD</t>
  </si>
  <si>
    <t>Min 8%</t>
  </si>
  <si>
    <t>ICA</t>
  </si>
  <si>
    <t>ASSET QUALITY</t>
  </si>
  <si>
    <t>A/LNPL30</t>
  </si>
  <si>
    <t>NPL30</t>
  </si>
  <si>
    <t>Non-earning Asset ratio</t>
  </si>
  <si>
    <t>Max 10%</t>
  </si>
  <si>
    <t>Land and Building ratio</t>
  </si>
  <si>
    <t>Max 5%</t>
  </si>
  <si>
    <t>Non-Government Investment to Deposit ratio</t>
  </si>
  <si>
    <t>Non-Government Investment to Core Capital ratio</t>
  </si>
  <si>
    <t>Max 40%</t>
  </si>
  <si>
    <t>Gross loans/TA</t>
  </si>
  <si>
    <t>EARNINGS</t>
  </si>
  <si>
    <t>ROA</t>
  </si>
  <si>
    <t>Cost Income ratio</t>
  </si>
  <si>
    <t>Operating Expense  ratio</t>
  </si>
  <si>
    <t>LIQUIDITY</t>
  </si>
  <si>
    <t>MIN LIQ ratio</t>
  </si>
  <si>
    <t>Min 15%</t>
  </si>
  <si>
    <t>Technical LIQ ratio</t>
  </si>
  <si>
    <t>External Borrowing ratio</t>
  </si>
  <si>
    <t>Max 25%</t>
  </si>
  <si>
    <t>Liquid Assets to TA ratio</t>
  </si>
  <si>
    <t>FORM 4 SASRA2/004</t>
  </si>
  <si>
    <t>RISK CLASSIFICATION OF ASSETS AND PROVISIONING</t>
  </si>
  <si>
    <t>SACCO SOCIETY CS NUMBER</t>
  </si>
  <si>
    <t>6366</t>
  </si>
  <si>
    <t xml:space="preserve">FINANCIAL YEAR </t>
  </si>
  <si>
    <t>START DATE:</t>
  </si>
  <si>
    <t>1/1/2017</t>
  </si>
  <si>
    <t>END DATE:</t>
  </si>
  <si>
    <t>password3$</t>
  </si>
  <si>
    <r>
      <t xml:space="preserve">                                                            </t>
    </r>
    <r>
      <rPr>
        <b/>
        <sz val="11"/>
        <rFont val="Cambria"/>
        <family val="1"/>
      </rPr>
      <t>PORTFOLIO AGEING REPORT</t>
    </r>
  </si>
  <si>
    <t>A</t>
  </si>
  <si>
    <t>B</t>
  </si>
  <si>
    <t>C</t>
  </si>
  <si>
    <t>D</t>
  </si>
  <si>
    <t>NO.</t>
  </si>
  <si>
    <t>CLASSIFICATION</t>
  </si>
  <si>
    <t>NO. OF A/Cs</t>
  </si>
  <si>
    <t>OUTSTANDING LOAN PORTFOLIO(Kshs)</t>
  </si>
  <si>
    <t>REQUIRED PROVISION</t>
  </si>
  <si>
    <t>REQUIRED PROVISION AMOUNT(Kshs)</t>
  </si>
  <si>
    <t>Performing</t>
  </si>
  <si>
    <t>Watch</t>
  </si>
  <si>
    <t>Substandard</t>
  </si>
  <si>
    <t>Doubtful</t>
  </si>
  <si>
    <t>Loss</t>
  </si>
  <si>
    <t>subtotal</t>
  </si>
  <si>
    <t>Reschedule/Renegotiated loans</t>
  </si>
  <si>
    <t>GRAND TOTAL</t>
  </si>
  <si>
    <r>
      <t>Note:</t>
    </r>
    <r>
      <rPr>
        <sz val="10.5"/>
        <rFont val="Cambria"/>
        <family val="1"/>
      </rPr>
      <t xml:space="preserve"> This return should be received on or before the 15th day of the month following end of every  quarter </t>
    </r>
  </si>
  <si>
    <t>30/6/2017</t>
  </si>
  <si>
    <t>30/9/2017</t>
  </si>
  <si>
    <t>31/12/2017</t>
  </si>
  <si>
    <t>TOTAL ASSETS</t>
  </si>
  <si>
    <t>Total Assets(Millions)</t>
  </si>
  <si>
    <t>Gross Loans(Millions)</t>
  </si>
  <si>
    <t>Core Capital(Millions)</t>
  </si>
  <si>
    <t>Total Deposits(Millions)</t>
  </si>
  <si>
    <t>YETU SACCO SOCIETY LIMITED</t>
  </si>
  <si>
    <t>PERFORMANCE AND COMPLIANCE REPORT AS AT :  31st December , 2021</t>
  </si>
  <si>
    <t> </t>
  </si>
  <si>
    <t>Prudential Standard</t>
  </si>
  <si>
    <t>Audited</t>
  </si>
  <si>
    <t>Returns</t>
  </si>
  <si>
    <t>Aggregate for all Licensed Saccos</t>
  </si>
  <si>
    <t xml:space="preserve"> 30th September  , 2021</t>
  </si>
  <si>
    <t xml:space="preserve"> 31st December  , 2021</t>
  </si>
  <si>
    <t>A. CAPITAL  ADEQUACY</t>
  </si>
  <si>
    <t xml:space="preserve">Core Capital </t>
  </si>
  <si>
    <r>
      <t>≥</t>
    </r>
    <r>
      <rPr>
        <sz val="11"/>
        <color rgb="FF000000"/>
        <rFont val="Cambria"/>
        <family val="1"/>
      </rPr>
      <t>10M</t>
    </r>
  </si>
  <si>
    <t xml:space="preserve">                                                -  </t>
  </si>
  <si>
    <t xml:space="preserve">                                          -  </t>
  </si>
  <si>
    <t>Core Capital/Total Assets</t>
  </si>
  <si>
    <r>
      <t>≥</t>
    </r>
    <r>
      <rPr>
        <sz val="11"/>
        <color rgb="FF000000"/>
        <rFont val="Cambria"/>
        <family val="1"/>
      </rPr>
      <t>10%</t>
    </r>
  </si>
  <si>
    <t>Institutional Capital/Total Assets</t>
  </si>
  <si>
    <r>
      <t>≥</t>
    </r>
    <r>
      <rPr>
        <sz val="11"/>
        <color rgb="FF000000"/>
        <rFont val="Cambria"/>
        <family val="1"/>
      </rPr>
      <t>8%</t>
    </r>
  </si>
  <si>
    <t>B. ASSET QUALITY</t>
  </si>
  <si>
    <t>NPL  (Substandard+Doubtful+Loss)</t>
  </si>
  <si>
    <t>&lt;5%</t>
  </si>
  <si>
    <t>&lt;10%</t>
  </si>
  <si>
    <t>Equity investments/Deposits</t>
  </si>
  <si>
    <t>Equity investments/Core capital</t>
  </si>
  <si>
    <t>&lt;40%</t>
  </si>
  <si>
    <t>C. EARNINGS RATING</t>
  </si>
  <si>
    <t xml:space="preserve">Yield on Gross Loans </t>
  </si>
  <si>
    <t>Total Expense/Total Income</t>
  </si>
  <si>
    <t>Net Income/Average Assets (ROA)</t>
  </si>
  <si>
    <t>Operating Expenses/Financial Income (OPEX)</t>
  </si>
  <si>
    <t>D. LIQUIDITY</t>
  </si>
  <si>
    <t>Liquid Assets/Short-term Liabilities</t>
  </si>
  <si>
    <t>&gt;15%</t>
  </si>
  <si>
    <t>External Borrowing/Total Assets</t>
  </si>
  <si>
    <t>&lt;25%</t>
  </si>
  <si>
    <t>Liquid Assets/Total Assets</t>
  </si>
  <si>
    <t>E. STRUCTURE/SENSITIVITY TO RISK</t>
  </si>
  <si>
    <t>Gross loans /Total Assets</t>
  </si>
  <si>
    <t>70-80</t>
  </si>
  <si>
    <t>Gross loans/Deposits</t>
  </si>
  <si>
    <t>&gt;100%</t>
  </si>
  <si>
    <t>Financial Investments/Total Assets</t>
  </si>
  <si>
    <t>Dividends+Interest on Deposits/Total Income</t>
  </si>
  <si>
    <t>F. KEY FINANCIAL STATISTICS</t>
  </si>
  <si>
    <t>Average Assets</t>
  </si>
  <si>
    <t>Gross Loans</t>
  </si>
  <si>
    <t>Institutional Capital</t>
  </si>
  <si>
    <t>Non-performing Loans</t>
  </si>
  <si>
    <t xml:space="preserve">                                                    -  </t>
  </si>
  <si>
    <t>Equity Investments</t>
  </si>
  <si>
    <t>Liquid Assets</t>
  </si>
  <si>
    <t>Short-term Liabilities)</t>
  </si>
  <si>
    <t>Average Gross Loans</t>
  </si>
  <si>
    <t>Total Income</t>
  </si>
  <si>
    <t>Net Financial Income/Loss</t>
  </si>
  <si>
    <t>Dividends+Interest on Deposits</t>
  </si>
  <si>
    <t>Interest on Loan portfolio+Fees&amp;Commission on Loan</t>
  </si>
  <si>
    <t>Total Expenses</t>
  </si>
  <si>
    <t>Net Income</t>
  </si>
  <si>
    <t>G. AREAS OF IMPROVEMENT/REGULATORY CONCERNS</t>
  </si>
  <si>
    <t>Prepared by:</t>
  </si>
  <si>
    <t>Checked by:</t>
  </si>
  <si>
    <t>Approved by:</t>
  </si>
  <si>
    <t>DISCLAIMER: This report is prepared based on information submitted by the Sacco as at the stated date and may change upon verification by the Authority.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</si>
</sst>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(* #,##0.00_);_(* \(#,##0.00\);_(* &quot;-&quot;??_);_(@_)"/>
    <numFmt numFmtId="164" formatCode="&quot;£&quot;#,##0;\-&quot;£&quot;#,##0"/>
    <numFmt numFmtId="165" formatCode="_-* #,##0.00_-;\-* #,##0.00_-;_-* &quot;-&quot;??_-;_-@_-"/>
    <numFmt numFmtId="166" formatCode="d/mmm/yy"/>
    <numFmt numFmtId="167" formatCode="0.0"/>
    <numFmt numFmtId="168" formatCode="_(* #,##0_);_(* \(#,##0\);_(* &quot;-&quot;??_);_(@_)"/>
    <numFmt numFmtId="169" formatCode="0.0%"/>
    <numFmt numFmtId="170" formatCode="_(* #,##0.0_);_(* \(#,##0.0\);_(* &quot;-&quot;??_);_(@_)"/>
    <numFmt numFmtId="171" formatCode="_(* #,##0.00_);_(* \(#,##0.00\);_(* \-??_);_(@_)"/>
    <numFmt numFmtId="172" formatCode="_(* #,##0.0_);_(* \(#,##0.0\);_(* \-??_);_(@_)"/>
    <numFmt numFmtId="173" formatCode="#,##0.00_);\-#,##0.00"/>
    <numFmt numFmtId="174" formatCode="#,##0_);\-#,##0"/>
    <numFmt numFmtId="175" formatCode="[$-10409]#,##0.00;\-\ #,##0.00"/>
    <numFmt numFmtId="176" formatCode="[$-10409]0.00;\-\ 0.00"/>
  </numFmts>
  <fonts count="77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 Narrow"/>
      <family val="2"/>
    </font>
    <font>
      <sz val="8"/>
      <color indexed="8"/>
      <name val="Trebuchet MS"/>
      <family val="2"/>
    </font>
    <font>
      <b/>
      <sz val="10"/>
      <name val="Arial"/>
      <family val="2"/>
    </font>
    <font>
      <sz val="11"/>
      <name val="Cambria"/>
      <family val="1"/>
    </font>
    <font>
      <b/>
      <sz val="11"/>
      <name val="Cambria"/>
      <family val="1"/>
    </font>
    <font>
      <sz val="10"/>
      <name val="Arial"/>
      <family val="2"/>
    </font>
    <font>
      <sz val="12"/>
      <name val="Cambria"/>
      <family val="1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Cambria"/>
      <family val="1"/>
    </font>
    <font>
      <b/>
      <sz val="10.5"/>
      <name val="Cambria"/>
      <family val="1"/>
    </font>
    <font>
      <sz val="10.5"/>
      <name val="Cambria"/>
      <family val="1"/>
    </font>
    <font>
      <b/>
      <sz val="10"/>
      <name val="Cambria"/>
      <family val="1"/>
    </font>
    <font>
      <sz val="8"/>
      <name val="Calibri"/>
      <family val="2"/>
    </font>
    <font>
      <sz val="8"/>
      <name val="Calibri"/>
      <family val="2"/>
    </font>
    <font>
      <sz val="12"/>
      <color indexed="8"/>
      <name val="Cambria"/>
      <family val="1"/>
    </font>
    <font>
      <b/>
      <sz val="12"/>
      <color indexed="8"/>
      <name val="Cambria"/>
      <family val="1"/>
    </font>
    <font>
      <b/>
      <sz val="12"/>
      <name val="Cambria"/>
      <family val="1"/>
    </font>
    <font>
      <sz val="12"/>
      <name val="Helvetica"/>
      <family val="2"/>
    </font>
    <font>
      <sz val="12"/>
      <color indexed="8"/>
      <name val="Arial"/>
      <family val="2"/>
    </font>
    <font>
      <b/>
      <sz val="12"/>
      <name val="Helvetica"/>
      <family val="2"/>
    </font>
    <font>
      <sz val="12"/>
      <name val="Arial"/>
      <family val="2"/>
    </font>
    <font>
      <sz val="12"/>
      <name val="Calibri"/>
      <family val="2"/>
    </font>
    <font>
      <sz val="12"/>
      <name val="Times New Roman"/>
      <family val="1"/>
    </font>
    <font>
      <i/>
      <sz val="12"/>
      <name val="Cambria"/>
      <family val="1"/>
    </font>
    <font>
      <b/>
      <sz val="12"/>
      <name val="Arial"/>
      <family val="2"/>
    </font>
    <font>
      <sz val="11"/>
      <color indexed="8"/>
      <name val="Arial"/>
      <family val="2"/>
    </font>
    <font>
      <sz val="10"/>
      <color indexed="8"/>
      <name val="Arial"/>
      <charset val="1"/>
    </font>
    <font>
      <sz val="9"/>
      <color indexed="8"/>
      <name val="Arial"/>
      <charset val="1"/>
    </font>
    <font>
      <sz val="11"/>
      <color theme="1"/>
      <name val="Calibri"/>
      <family val="2"/>
      <scheme val="minor"/>
    </font>
    <font>
      <sz val="11"/>
      <color theme="0"/>
      <name val="Arial"/>
      <family val="2"/>
    </font>
    <font>
      <sz val="10"/>
      <color theme="0"/>
      <name val="Trebuchet MS"/>
      <family val="2"/>
    </font>
    <font>
      <b/>
      <sz val="11"/>
      <color theme="0"/>
      <name val="Arial"/>
      <family val="2"/>
    </font>
    <font>
      <sz val="11"/>
      <color rgb="FF3F3F76"/>
      <name val="Arial"/>
      <family val="2"/>
    </font>
    <font>
      <sz val="8"/>
      <color theme="1"/>
      <name val="Trebuchet MS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name val="Cambria"/>
      <family val="1"/>
      <scheme val="major"/>
    </font>
    <font>
      <b/>
      <sz val="11"/>
      <name val="Cambria"/>
      <family val="1"/>
      <scheme val="major"/>
    </font>
    <font>
      <b/>
      <sz val="11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i/>
      <sz val="11"/>
      <color theme="1"/>
      <name val="Cambria"/>
      <family val="1"/>
      <scheme val="major"/>
    </font>
    <font>
      <i/>
      <sz val="11"/>
      <name val="Cambria"/>
      <family val="1"/>
      <scheme val="major"/>
    </font>
    <font>
      <b/>
      <i/>
      <sz val="11"/>
      <color theme="1"/>
      <name val="Cambria"/>
      <family val="1"/>
      <scheme val="major"/>
    </font>
    <font>
      <b/>
      <sz val="14"/>
      <color theme="1"/>
      <name val="Calibri"/>
      <family val="2"/>
      <scheme val="minor"/>
    </font>
    <font>
      <sz val="12"/>
      <color theme="1"/>
      <name val="Cambria"/>
      <family val="1"/>
    </font>
    <font>
      <sz val="11.5"/>
      <color rgb="FF000000"/>
      <name val="Cambria"/>
      <family val="1"/>
      <scheme val="major"/>
    </font>
    <font>
      <b/>
      <sz val="12"/>
      <color theme="1"/>
      <name val="Cambria"/>
      <family val="1"/>
    </font>
    <font>
      <sz val="9"/>
      <color theme="1"/>
      <name val="Cambria"/>
      <family val="1"/>
    </font>
    <font>
      <sz val="9"/>
      <color rgb="FF000000"/>
      <name val="Cambria"/>
      <family val="1"/>
      <scheme val="major"/>
    </font>
    <font>
      <sz val="12"/>
      <color theme="1"/>
      <name val="Cambria"/>
      <family val="1"/>
      <scheme val="major"/>
    </font>
    <font>
      <sz val="12"/>
      <name val="Cambria"/>
      <family val="1"/>
      <scheme val="major"/>
    </font>
    <font>
      <b/>
      <sz val="12"/>
      <color theme="1"/>
      <name val="Cambria"/>
      <family val="1"/>
      <scheme val="major"/>
    </font>
    <font>
      <b/>
      <sz val="12"/>
      <name val="Cambria"/>
      <family val="1"/>
      <scheme val="maj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mbria"/>
      <family val="1"/>
      <scheme val="major"/>
    </font>
    <font>
      <b/>
      <sz val="12"/>
      <color indexed="8"/>
      <name val="Cambria"/>
      <family val="1"/>
      <scheme val="major"/>
    </font>
    <font>
      <b/>
      <sz val="12"/>
      <color indexed="60"/>
      <name val="Cambria"/>
      <family val="1"/>
      <scheme val="major"/>
    </font>
    <font>
      <sz val="10"/>
      <color rgb="FF000000"/>
      <name val="Arial"/>
      <charset val="1"/>
    </font>
    <font>
      <sz val="9"/>
      <color rgb="FF000000"/>
      <name val="Arial"/>
      <charset val="1"/>
    </font>
    <font>
      <b/>
      <sz val="11"/>
      <color rgb="FF000000"/>
      <name val="Calibri"/>
      <family val="2"/>
    </font>
    <font>
      <b/>
      <sz val="11"/>
      <color rgb="FF000000"/>
      <name val="Cambria"/>
      <family val="1"/>
    </font>
    <font>
      <sz val="11"/>
      <color rgb="FF000000"/>
      <name val="Calibri"/>
      <family val="2"/>
    </font>
    <font>
      <sz val="11"/>
      <color rgb="FF000000"/>
      <name val="Cambria"/>
      <family val="1"/>
    </font>
    <font>
      <sz val="11"/>
      <color rgb="FFFF0000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color rgb="FFFF0000"/>
      <name val="Calibri"/>
      <family val="2"/>
    </font>
    <font>
      <sz val="9"/>
      <color theme="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indexed="52"/>
        <bgColor indexed="64"/>
      </patternFill>
    </fill>
    <fill>
      <patternFill patternType="solid">
        <fgColor indexed="52"/>
        <bgColor indexed="51"/>
      </patternFill>
    </fill>
    <fill>
      <patternFill patternType="solid">
        <fgColor indexed="9"/>
        <bgColor indexed="0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8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FFFFC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/>
        <bgColor indexed="51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indexed="51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A9D08E"/>
        <bgColor rgb="FF000000"/>
      </patternFill>
    </fill>
    <fill>
      <patternFill patternType="solid">
        <fgColor rgb="FFDAA520"/>
        <bgColor rgb="FF000000"/>
      </patternFill>
    </fill>
  </fills>
  <borders count="6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/>
      <diagonal/>
    </border>
    <border>
      <left style="thin">
        <color indexed="59"/>
      </left>
      <right/>
      <top style="thin">
        <color indexed="59"/>
      </top>
      <bottom style="thin">
        <color indexed="59"/>
      </bottom>
      <diagonal/>
    </border>
    <border>
      <left/>
      <right/>
      <top style="thin">
        <color indexed="59"/>
      </top>
      <bottom style="thin">
        <color indexed="59"/>
      </bottom>
      <diagonal/>
    </border>
    <border>
      <left/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59"/>
      </left>
      <right/>
      <top/>
      <bottom style="thin">
        <color indexed="59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59"/>
      </left>
      <right style="thin">
        <color indexed="59"/>
      </right>
      <top/>
      <bottom style="thin">
        <color indexed="5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333300"/>
      </left>
      <right style="thin">
        <color rgb="FF333300"/>
      </right>
      <top style="thin">
        <color rgb="FF333300"/>
      </top>
      <bottom style="thin">
        <color rgb="FF333300"/>
      </bottom>
      <diagonal/>
    </border>
    <border>
      <left style="thin">
        <color rgb="FF333300"/>
      </left>
      <right style="thin">
        <color rgb="FF333300"/>
      </right>
      <top/>
      <bottom style="thin">
        <color rgb="FF333300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rgb="FF000000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455">
    <xf numFmtId="0" fontId="0" fillId="0" borderId="0"/>
    <xf numFmtId="0" fontId="35" fillId="5" borderId="0" applyNumberFormat="0" applyBorder="0" applyAlignment="0" applyProtection="0"/>
    <xf numFmtId="0" fontId="36" fillId="6" borderId="0" applyNumberFormat="0" applyBorder="0" applyAlignment="0" applyProtection="0"/>
    <xf numFmtId="0" fontId="36" fillId="6" borderId="0" applyNumberFormat="0" applyBorder="0" applyAlignment="0" applyProtection="0"/>
    <xf numFmtId="0" fontId="36" fillId="6" borderId="0" applyNumberFormat="0" applyBorder="0" applyAlignment="0" applyProtection="0"/>
    <xf numFmtId="0" fontId="36" fillId="6" borderId="0" applyNumberFormat="0" applyBorder="0" applyAlignment="0" applyProtection="0"/>
    <xf numFmtId="0" fontId="36" fillId="6" borderId="0" applyNumberFormat="0" applyBorder="0" applyAlignment="0" applyProtection="0"/>
    <xf numFmtId="0" fontId="36" fillId="6" borderId="0" applyNumberFormat="0" applyBorder="0" applyAlignment="0" applyProtection="0"/>
    <xf numFmtId="0" fontId="36" fillId="6" borderId="0" applyNumberFormat="0" applyBorder="0" applyAlignment="0" applyProtection="0"/>
    <xf numFmtId="0" fontId="36" fillId="6" borderId="0" applyNumberFormat="0" applyBorder="0" applyAlignment="0" applyProtection="0"/>
    <xf numFmtId="0" fontId="36" fillId="6" borderId="0" applyNumberFormat="0" applyBorder="0" applyAlignment="0" applyProtection="0"/>
    <xf numFmtId="0" fontId="36" fillId="6" borderId="0" applyNumberFormat="0" applyBorder="0" applyAlignment="0" applyProtection="0"/>
    <xf numFmtId="0" fontId="36" fillId="6" borderId="0" applyNumberFormat="0" applyBorder="0" applyAlignment="0" applyProtection="0"/>
    <xf numFmtId="0" fontId="36" fillId="6" borderId="0" applyNumberFormat="0" applyBorder="0" applyAlignment="0" applyProtection="0"/>
    <xf numFmtId="0" fontId="36" fillId="7" borderId="0" applyNumberFormat="0" applyBorder="0" applyAlignment="0" applyProtection="0"/>
    <xf numFmtId="0" fontId="36" fillId="7" borderId="0" applyNumberFormat="0" applyBorder="0" applyAlignment="0" applyProtection="0"/>
    <xf numFmtId="0" fontId="36" fillId="7" borderId="0" applyNumberFormat="0" applyBorder="0" applyAlignment="0" applyProtection="0"/>
    <xf numFmtId="0" fontId="36" fillId="7" borderId="0" applyNumberFormat="0" applyBorder="0" applyAlignment="0" applyProtection="0"/>
    <xf numFmtId="0" fontId="36" fillId="7" borderId="0" applyNumberFormat="0" applyBorder="0" applyAlignment="0" applyProtection="0"/>
    <xf numFmtId="0" fontId="36" fillId="7" borderId="0" applyNumberFormat="0" applyBorder="0" applyAlignment="0" applyProtection="0"/>
    <xf numFmtId="0" fontId="36" fillId="7" borderId="0" applyNumberFormat="0" applyBorder="0" applyAlignment="0" applyProtection="0"/>
    <xf numFmtId="0" fontId="36" fillId="7" borderId="0" applyNumberFormat="0" applyBorder="0" applyAlignment="0" applyProtection="0"/>
    <xf numFmtId="0" fontId="36" fillId="7" borderId="0" applyNumberFormat="0" applyBorder="0" applyAlignment="0" applyProtection="0"/>
    <xf numFmtId="0" fontId="36" fillId="7" borderId="0" applyNumberFormat="0" applyBorder="0" applyAlignment="0" applyProtection="0"/>
    <xf numFmtId="0" fontId="36" fillId="7" borderId="0" applyNumberFormat="0" applyBorder="0" applyAlignment="0" applyProtection="0"/>
    <xf numFmtId="0" fontId="36" fillId="7" borderId="0" applyNumberFormat="0" applyBorder="0" applyAlignment="0" applyProtection="0"/>
    <xf numFmtId="0" fontId="37" fillId="8" borderId="42" applyNumberFormat="0" applyAlignment="0" applyProtection="0"/>
    <xf numFmtId="43" fontId="34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8" fillId="9" borderId="41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9" fillId="0" borderId="0"/>
    <xf numFmtId="0" fontId="1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12" fillId="0" borderId="0"/>
    <xf numFmtId="0" fontId="12" fillId="0" borderId="0"/>
    <xf numFmtId="0" fontId="12" fillId="0" borderId="0"/>
    <xf numFmtId="0" fontId="3" fillId="0" borderId="0"/>
    <xf numFmtId="0" fontId="3" fillId="0" borderId="0"/>
    <xf numFmtId="0" fontId="12" fillId="0" borderId="0"/>
    <xf numFmtId="0" fontId="1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4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" fillId="0" borderId="0"/>
    <xf numFmtId="0" fontId="3" fillId="0" borderId="0"/>
    <xf numFmtId="0" fontId="3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" fillId="10" borderId="43" applyNumberFormat="0" applyFont="0" applyAlignment="0" applyProtection="0"/>
    <xf numFmtId="9" fontId="3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1" fillId="0" borderId="44" applyNumberFormat="0" applyFill="0" applyAlignment="0" applyProtection="0"/>
    <xf numFmtId="0" fontId="41" fillId="0" borderId="44" applyNumberFormat="0" applyFill="0" applyAlignment="0" applyProtection="0"/>
  </cellStyleXfs>
  <cellXfs count="476">
    <xf numFmtId="0" fontId="0" fillId="0" borderId="0" xfId="0"/>
    <xf numFmtId="0" fontId="0" fillId="0" borderId="1" xfId="0" applyBorder="1"/>
    <xf numFmtId="0" fontId="1" fillId="0" borderId="0" xfId="271"/>
    <xf numFmtId="0" fontId="43" fillId="0" borderId="1" xfId="243" applyFont="1" applyBorder="1"/>
    <xf numFmtId="0" fontId="42" fillId="0" borderId="1" xfId="243" applyFont="1" applyBorder="1"/>
    <xf numFmtId="167" fontId="42" fillId="0" borderId="1" xfId="243" applyNumberFormat="1" applyFont="1" applyBorder="1"/>
    <xf numFmtId="0" fontId="44" fillId="0" borderId="1" xfId="243" applyFont="1" applyBorder="1"/>
    <xf numFmtId="0" fontId="44" fillId="0" borderId="1" xfId="243" applyFont="1" applyBorder="1" applyAlignment="1">
      <alignment horizontal="center"/>
    </xf>
    <xf numFmtId="0" fontId="44" fillId="11" borderId="1" xfId="243" applyFont="1" applyFill="1" applyBorder="1"/>
    <xf numFmtId="0" fontId="44" fillId="11" borderId="1" xfId="243" applyFont="1" applyFill="1" applyBorder="1" applyAlignment="1">
      <alignment horizontal="center"/>
    </xf>
    <xf numFmtId="167" fontId="44" fillId="0" borderId="1" xfId="243" applyNumberFormat="1" applyFont="1" applyBorder="1"/>
    <xf numFmtId="0" fontId="45" fillId="0" borderId="1" xfId="243" applyFont="1" applyBorder="1" applyAlignment="1">
      <alignment horizontal="center"/>
    </xf>
    <xf numFmtId="168" fontId="44" fillId="0" borderId="1" xfId="124" applyNumberFormat="1" applyFont="1" applyBorder="1"/>
    <xf numFmtId="9" fontId="45" fillId="0" borderId="1" xfId="452" applyFont="1" applyBorder="1" applyAlignment="1">
      <alignment horizontal="center"/>
    </xf>
    <xf numFmtId="0" fontId="42" fillId="0" borderId="1" xfId="243" applyFont="1" applyBorder="1" applyAlignment="1">
      <alignment horizontal="right"/>
    </xf>
    <xf numFmtId="0" fontId="42" fillId="12" borderId="1" xfId="243" applyFont="1" applyFill="1" applyBorder="1"/>
    <xf numFmtId="169" fontId="44" fillId="0" borderId="1" xfId="452" applyNumberFormat="1" applyFont="1" applyBorder="1"/>
    <xf numFmtId="0" fontId="46" fillId="0" borderId="1" xfId="243" applyFont="1" applyBorder="1"/>
    <xf numFmtId="0" fontId="44" fillId="0" borderId="0" xfId="271" applyFont="1"/>
    <xf numFmtId="0" fontId="42" fillId="0" borderId="0" xfId="271" applyFont="1"/>
    <xf numFmtId="167" fontId="42" fillId="0" borderId="0" xfId="271" applyNumberFormat="1" applyFont="1"/>
    <xf numFmtId="167" fontId="42" fillId="0" borderId="0" xfId="271" applyNumberFormat="1" applyFont="1" applyAlignment="1">
      <alignment horizontal="right"/>
    </xf>
    <xf numFmtId="0" fontId="42" fillId="0" borderId="1" xfId="271" applyFont="1" applyBorder="1"/>
    <xf numFmtId="168" fontId="42" fillId="0" borderId="1" xfId="124" applyNumberFormat="1" applyFont="1" applyBorder="1"/>
    <xf numFmtId="168" fontId="45" fillId="0" borderId="1" xfId="124" applyNumberFormat="1" applyFont="1" applyBorder="1"/>
    <xf numFmtId="0" fontId="46" fillId="0" borderId="1" xfId="271" applyFont="1" applyBorder="1"/>
    <xf numFmtId="9" fontId="34" fillId="0" borderId="1" xfId="448" applyFont="1" applyBorder="1"/>
    <xf numFmtId="168" fontId="42" fillId="0" borderId="0" xfId="27" applyNumberFormat="1" applyFont="1"/>
    <xf numFmtId="0" fontId="44" fillId="0" borderId="1" xfId="271" applyFont="1" applyBorder="1"/>
    <xf numFmtId="168" fontId="42" fillId="0" borderId="1" xfId="27" applyNumberFormat="1" applyFont="1" applyBorder="1"/>
    <xf numFmtId="168" fontId="44" fillId="13" borderId="1" xfId="124" applyNumberFormat="1" applyFont="1" applyFill="1" applyBorder="1"/>
    <xf numFmtId="168" fontId="45" fillId="11" borderId="1" xfId="124" applyNumberFormat="1" applyFont="1" applyFill="1" applyBorder="1"/>
    <xf numFmtId="168" fontId="42" fillId="14" borderId="1" xfId="271" applyNumberFormat="1" applyFont="1" applyFill="1" applyBorder="1"/>
    <xf numFmtId="43" fontId="42" fillId="0" borderId="1" xfId="271" applyNumberFormat="1" applyFont="1" applyBorder="1"/>
    <xf numFmtId="168" fontId="44" fillId="0" borderId="1" xfId="271" applyNumberFormat="1" applyFont="1" applyBorder="1"/>
    <xf numFmtId="168" fontId="42" fillId="0" borderId="1" xfId="271" applyNumberFormat="1" applyFont="1" applyBorder="1"/>
    <xf numFmtId="168" fontId="47" fillId="0" borderId="1" xfId="124" applyNumberFormat="1" applyFont="1" applyFill="1" applyBorder="1"/>
    <xf numFmtId="168" fontId="47" fillId="0" borderId="1" xfId="271" applyNumberFormat="1" applyFont="1" applyBorder="1"/>
    <xf numFmtId="168" fontId="48" fillId="0" borderId="1" xfId="124" applyNumberFormat="1" applyFont="1" applyBorder="1"/>
    <xf numFmtId="168" fontId="46" fillId="0" borderId="1" xfId="124" applyNumberFormat="1" applyFont="1" applyBorder="1"/>
    <xf numFmtId="168" fontId="45" fillId="0" borderId="1" xfId="124" applyNumberFormat="1" applyFont="1" applyFill="1" applyBorder="1"/>
    <xf numFmtId="168" fontId="42" fillId="0" borderId="1" xfId="124" applyNumberFormat="1" applyFont="1" applyFill="1" applyBorder="1"/>
    <xf numFmtId="9" fontId="45" fillId="0" borderId="1" xfId="448" applyFont="1" applyBorder="1"/>
    <xf numFmtId="9" fontId="45" fillId="0" borderId="1" xfId="452" applyFont="1" applyBorder="1"/>
    <xf numFmtId="9" fontId="44" fillId="0" borderId="1" xfId="452" applyFont="1" applyBorder="1"/>
    <xf numFmtId="9" fontId="45" fillId="12" borderId="1" xfId="452" applyFont="1" applyFill="1" applyBorder="1"/>
    <xf numFmtId="9" fontId="42" fillId="0" borderId="1" xfId="452" applyFont="1" applyBorder="1"/>
    <xf numFmtId="9" fontId="42" fillId="0" borderId="1" xfId="448" applyFont="1" applyBorder="1"/>
    <xf numFmtId="9" fontId="1" fillId="0" borderId="0" xfId="271" applyNumberFormat="1"/>
    <xf numFmtId="43" fontId="49" fillId="0" borderId="0" xfId="27" applyFont="1" applyBorder="1" applyAlignment="1">
      <alignment horizontal="center"/>
    </xf>
    <xf numFmtId="43" fontId="34" fillId="0" borderId="0" xfId="27" applyFont="1"/>
    <xf numFmtId="0" fontId="50" fillId="0" borderId="1" xfId="0" applyFont="1" applyBorder="1" applyAlignment="1">
      <alignment horizontal="left" vertical="top" wrapText="1"/>
    </xf>
    <xf numFmtId="43" fontId="0" fillId="0" borderId="0" xfId="0" applyNumberFormat="1"/>
    <xf numFmtId="0" fontId="50" fillId="0" borderId="1" xfId="0" applyFont="1" applyBorder="1" applyAlignment="1">
      <alignment horizontal="left" vertical="top"/>
    </xf>
    <xf numFmtId="0" fontId="51" fillId="0" borderId="1" xfId="0" applyFont="1" applyBorder="1" applyAlignment="1">
      <alignment horizontal="left" vertical="top" wrapText="1"/>
    </xf>
    <xf numFmtId="168" fontId="34" fillId="0" borderId="1" xfId="27" applyNumberFormat="1" applyFont="1" applyBorder="1"/>
    <xf numFmtId="0" fontId="52" fillId="0" borderId="2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50" fillId="0" borderId="0" xfId="0" applyFont="1" applyAlignment="1">
      <alignment horizontal="left" vertical="top" wrapText="1"/>
    </xf>
    <xf numFmtId="0" fontId="53" fillId="0" borderId="1" xfId="0" applyFont="1" applyBorder="1" applyAlignment="1">
      <alignment horizontal="center" vertical="center" wrapText="1"/>
    </xf>
    <xf numFmtId="0" fontId="54" fillId="0" borderId="3" xfId="0" applyFont="1" applyBorder="1" applyAlignment="1">
      <alignment horizontal="center" vertical="center" wrapText="1"/>
    </xf>
    <xf numFmtId="0" fontId="42" fillId="0" borderId="4" xfId="271" applyFont="1" applyBorder="1"/>
    <xf numFmtId="168" fontId="42" fillId="0" borderId="4" xfId="27" applyNumberFormat="1" applyFont="1" applyBorder="1"/>
    <xf numFmtId="168" fontId="42" fillId="14" borderId="4" xfId="271" applyNumberFormat="1" applyFont="1" applyFill="1" applyBorder="1"/>
    <xf numFmtId="0" fontId="1" fillId="0" borderId="1" xfId="271" applyBorder="1"/>
    <xf numFmtId="0" fontId="10" fillId="0" borderId="0" xfId="0" applyFont="1"/>
    <xf numFmtId="168" fontId="44" fillId="13" borderId="4" xfId="124" applyNumberFormat="1" applyFont="1" applyFill="1" applyBorder="1"/>
    <xf numFmtId="168" fontId="48" fillId="0" borderId="4" xfId="124" applyNumberFormat="1" applyFont="1" applyBorder="1"/>
    <xf numFmtId="168" fontId="46" fillId="0" borderId="4" xfId="124" applyNumberFormat="1" applyFont="1" applyBorder="1"/>
    <xf numFmtId="168" fontId="45" fillId="0" borderId="4" xfId="124" applyNumberFormat="1" applyFont="1" applyBorder="1"/>
    <xf numFmtId="168" fontId="45" fillId="0" borderId="4" xfId="124" applyNumberFormat="1" applyFont="1" applyFill="1" applyBorder="1"/>
    <xf numFmtId="17" fontId="6" fillId="0" borderId="1" xfId="271" applyNumberFormat="1" applyFont="1" applyBorder="1"/>
    <xf numFmtId="0" fontId="55" fillId="0" borderId="5" xfId="0" applyFont="1" applyBorder="1"/>
    <xf numFmtId="168" fontId="55" fillId="0" borderId="6" xfId="27" applyNumberFormat="1" applyFont="1" applyBorder="1"/>
    <xf numFmtId="170" fontId="55" fillId="0" borderId="6" xfId="27" applyNumberFormat="1" applyFont="1" applyBorder="1"/>
    <xf numFmtId="0" fontId="55" fillId="0" borderId="6" xfId="0" applyFont="1" applyBorder="1"/>
    <xf numFmtId="0" fontId="55" fillId="0" borderId="7" xfId="0" applyFont="1" applyBorder="1"/>
    <xf numFmtId="0" fontId="55" fillId="0" borderId="8" xfId="0" applyFont="1" applyBorder="1"/>
    <xf numFmtId="168" fontId="55" fillId="0" borderId="1" xfId="0" applyNumberFormat="1" applyFont="1" applyBorder="1"/>
    <xf numFmtId="170" fontId="55" fillId="0" borderId="1" xfId="0" applyNumberFormat="1" applyFont="1" applyBorder="1"/>
    <xf numFmtId="43" fontId="55" fillId="0" borderId="1" xfId="0" applyNumberFormat="1" applyFont="1" applyBorder="1"/>
    <xf numFmtId="43" fontId="55" fillId="0" borderId="9" xfId="0" applyNumberFormat="1" applyFont="1" applyBorder="1"/>
    <xf numFmtId="2" fontId="55" fillId="0" borderId="1" xfId="0" applyNumberFormat="1" applyFont="1" applyBorder="1"/>
    <xf numFmtId="2" fontId="55" fillId="0" borderId="9" xfId="0" applyNumberFormat="1" applyFont="1" applyBorder="1"/>
    <xf numFmtId="175" fontId="55" fillId="0" borderId="1" xfId="0" applyNumberFormat="1" applyFont="1" applyBorder="1"/>
    <xf numFmtId="168" fontId="55" fillId="0" borderId="9" xfId="0" applyNumberFormat="1" applyFont="1" applyBorder="1"/>
    <xf numFmtId="0" fontId="55" fillId="0" borderId="10" xfId="0" applyFont="1" applyBorder="1"/>
    <xf numFmtId="168" fontId="56" fillId="0" borderId="1" xfId="27" applyNumberFormat="1" applyFont="1" applyFill="1" applyBorder="1"/>
    <xf numFmtId="170" fontId="56" fillId="0" borderId="1" xfId="27" applyNumberFormat="1" applyFont="1" applyFill="1" applyBorder="1"/>
    <xf numFmtId="17" fontId="55" fillId="0" borderId="1" xfId="27" applyNumberFormat="1" applyFont="1" applyBorder="1"/>
    <xf numFmtId="17" fontId="55" fillId="0" borderId="9" xfId="27" applyNumberFormat="1" applyFont="1" applyBorder="1"/>
    <xf numFmtId="168" fontId="56" fillId="0" borderId="11" xfId="28" applyNumberFormat="1" applyFont="1" applyFill="1" applyBorder="1" applyAlignment="1" applyProtection="1"/>
    <xf numFmtId="170" fontId="56" fillId="0" borderId="11" xfId="27" applyNumberFormat="1" applyFont="1" applyFill="1" applyBorder="1" applyAlignment="1" applyProtection="1"/>
    <xf numFmtId="43" fontId="56" fillId="0" borderId="11" xfId="27" applyFont="1" applyFill="1" applyBorder="1" applyAlignment="1" applyProtection="1"/>
    <xf numFmtId="43" fontId="56" fillId="0" borderId="12" xfId="27" applyFont="1" applyFill="1" applyBorder="1" applyAlignment="1" applyProtection="1"/>
    <xf numFmtId="43" fontId="34" fillId="0" borderId="1" xfId="27" applyFont="1" applyBorder="1"/>
    <xf numFmtId="0" fontId="50" fillId="0" borderId="13" xfId="0" applyFont="1" applyBorder="1" applyAlignment="1">
      <alignment horizontal="left" vertical="top" wrapText="1"/>
    </xf>
    <xf numFmtId="0" fontId="0" fillId="0" borderId="6" xfId="0" applyBorder="1"/>
    <xf numFmtId="43" fontId="40" fillId="0" borderId="6" xfId="27" applyFont="1" applyBorder="1"/>
    <xf numFmtId="168" fontId="43" fillId="0" borderId="6" xfId="27" applyNumberFormat="1" applyFont="1" applyFill="1" applyBorder="1"/>
    <xf numFmtId="43" fontId="34" fillId="0" borderId="14" xfId="27" applyFont="1" applyBorder="1"/>
    <xf numFmtId="168" fontId="34" fillId="0" borderId="9" xfId="27" applyNumberFormat="1" applyFont="1" applyBorder="1"/>
    <xf numFmtId="9" fontId="34" fillId="0" borderId="9" xfId="448" applyFont="1" applyBorder="1"/>
    <xf numFmtId="9" fontId="34" fillId="0" borderId="14" xfId="27" applyNumberFormat="1" applyFont="1" applyBorder="1"/>
    <xf numFmtId="0" fontId="50" fillId="0" borderId="11" xfId="0" applyFont="1" applyBorder="1" applyAlignment="1">
      <alignment horizontal="left" vertical="top"/>
    </xf>
    <xf numFmtId="9" fontId="34" fillId="0" borderId="11" xfId="448" applyFont="1" applyBorder="1"/>
    <xf numFmtId="9" fontId="34" fillId="0" borderId="12" xfId="448" applyFont="1" applyBorder="1"/>
    <xf numFmtId="0" fontId="0" fillId="0" borderId="5" xfId="0" applyBorder="1" applyAlignment="1">
      <alignment wrapText="1"/>
    </xf>
    <xf numFmtId="17" fontId="40" fillId="0" borderId="7" xfId="0" applyNumberFormat="1" applyFont="1" applyBorder="1"/>
    <xf numFmtId="43" fontId="34" fillId="0" borderId="9" xfId="27" applyFont="1" applyBorder="1"/>
    <xf numFmtId="43" fontId="44" fillId="0" borderId="5" xfId="124" applyFont="1" applyBorder="1"/>
    <xf numFmtId="0" fontId="44" fillId="0" borderId="6" xfId="271" applyFont="1" applyBorder="1"/>
    <xf numFmtId="0" fontId="43" fillId="0" borderId="6" xfId="271" applyFont="1" applyBorder="1"/>
    <xf numFmtId="168" fontId="43" fillId="0" borderId="6" xfId="27" applyNumberFormat="1" applyFont="1" applyBorder="1"/>
    <xf numFmtId="0" fontId="43" fillId="0" borderId="15" xfId="271" applyFont="1" applyBorder="1"/>
    <xf numFmtId="168" fontId="43" fillId="0" borderId="15" xfId="27" applyNumberFormat="1" applyFont="1" applyFill="1" applyBorder="1"/>
    <xf numFmtId="17" fontId="43" fillId="0" borderId="7" xfId="271" applyNumberFormat="1" applyFont="1" applyBorder="1"/>
    <xf numFmtId="0" fontId="42" fillId="0" borderId="8" xfId="271" applyFont="1" applyBorder="1"/>
    <xf numFmtId="0" fontId="42" fillId="0" borderId="9" xfId="271" applyFont="1" applyBorder="1"/>
    <xf numFmtId="168" fontId="42" fillId="0" borderId="9" xfId="27" applyNumberFormat="1" applyFont="1" applyBorder="1"/>
    <xf numFmtId="0" fontId="46" fillId="0" borderId="8" xfId="271" applyFont="1" applyBorder="1"/>
    <xf numFmtId="0" fontId="44" fillId="0" borderId="8" xfId="271" applyFont="1" applyBorder="1"/>
    <xf numFmtId="168" fontId="44" fillId="13" borderId="9" xfId="124" applyNumberFormat="1" applyFont="1" applyFill="1" applyBorder="1"/>
    <xf numFmtId="168" fontId="42" fillId="14" borderId="9" xfId="271" applyNumberFormat="1" applyFont="1" applyFill="1" applyBorder="1"/>
    <xf numFmtId="9" fontId="46" fillId="0" borderId="8" xfId="452" applyFont="1" applyBorder="1"/>
    <xf numFmtId="168" fontId="46" fillId="0" borderId="8" xfId="271" applyNumberFormat="1" applyFont="1" applyBorder="1"/>
    <xf numFmtId="0" fontId="48" fillId="0" borderId="8" xfId="271" applyFont="1" applyBorder="1"/>
    <xf numFmtId="168" fontId="48" fillId="0" borderId="9" xfId="124" applyNumberFormat="1" applyFont="1" applyBorder="1"/>
    <xf numFmtId="168" fontId="46" fillId="0" borderId="9" xfId="124" applyNumberFormat="1" applyFont="1" applyBorder="1"/>
    <xf numFmtId="168" fontId="45" fillId="0" borderId="9" xfId="124" applyNumberFormat="1" applyFont="1" applyBorder="1"/>
    <xf numFmtId="168" fontId="45" fillId="0" borderId="9" xfId="124" applyNumberFormat="1" applyFont="1" applyFill="1" applyBorder="1"/>
    <xf numFmtId="0" fontId="43" fillId="0" borderId="8" xfId="271" applyFont="1" applyBorder="1"/>
    <xf numFmtId="0" fontId="42" fillId="0" borderId="10" xfId="271" applyFont="1" applyBorder="1"/>
    <xf numFmtId="168" fontId="42" fillId="0" borderId="11" xfId="124" applyNumberFormat="1" applyFont="1" applyBorder="1"/>
    <xf numFmtId="168" fontId="42" fillId="0" borderId="11" xfId="27" applyNumberFormat="1" applyFont="1" applyBorder="1"/>
    <xf numFmtId="168" fontId="42" fillId="0" borderId="16" xfId="27" applyNumberFormat="1" applyFont="1" applyBorder="1"/>
    <xf numFmtId="168" fontId="42" fillId="0" borderId="12" xfId="27" applyNumberFormat="1" applyFont="1" applyBorder="1"/>
    <xf numFmtId="17" fontId="40" fillId="0" borderId="17" xfId="0" applyNumberFormat="1" applyFont="1" applyBorder="1"/>
    <xf numFmtId="0" fontId="0" fillId="0" borderId="18" xfId="0" applyBorder="1"/>
    <xf numFmtId="0" fontId="0" fillId="0" borderId="19" xfId="0" applyBorder="1" applyAlignment="1">
      <alignment wrapText="1"/>
    </xf>
    <xf numFmtId="0" fontId="57" fillId="0" borderId="20" xfId="0" applyFont="1" applyBorder="1" applyAlignment="1">
      <alignment wrapText="1"/>
    </xf>
    <xf numFmtId="0" fontId="0" fillId="0" borderId="8" xfId="0" applyBorder="1" applyAlignment="1">
      <alignment wrapText="1"/>
    </xf>
    <xf numFmtId="43" fontId="50" fillId="0" borderId="8" xfId="27" applyFont="1" applyBorder="1" applyAlignment="1">
      <alignment horizontal="left" vertical="top" wrapText="1"/>
    </xf>
    <xf numFmtId="0" fontId="50" fillId="0" borderId="8" xfId="0" applyFont="1" applyBorder="1" applyAlignment="1">
      <alignment horizontal="left" vertical="top" wrapText="1"/>
    </xf>
    <xf numFmtId="0" fontId="51" fillId="0" borderId="22" xfId="0" applyFont="1" applyBorder="1" applyAlignment="1">
      <alignment vertical="top" wrapText="1"/>
    </xf>
    <xf numFmtId="0" fontId="51" fillId="0" borderId="8" xfId="0" applyFont="1" applyBorder="1" applyAlignment="1">
      <alignment horizontal="left" vertical="top" wrapText="1"/>
    </xf>
    <xf numFmtId="0" fontId="50" fillId="0" borderId="10" xfId="0" applyFont="1" applyBorder="1" applyAlignment="1">
      <alignment horizontal="left" vertical="top" wrapText="1"/>
    </xf>
    <xf numFmtId="0" fontId="7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7" fillId="0" borderId="23" xfId="0" applyFont="1" applyBorder="1" applyAlignment="1">
      <alignment wrapText="1"/>
    </xf>
    <xf numFmtId="0" fontId="8" fillId="0" borderId="23" xfId="0" applyFont="1" applyBorder="1" applyAlignment="1">
      <alignment wrapText="1"/>
    </xf>
    <xf numFmtId="0" fontId="14" fillId="0" borderId="0" xfId="0" applyFont="1"/>
    <xf numFmtId="49" fontId="8" fillId="0" borderId="23" xfId="0" applyNumberFormat="1" applyFont="1" applyBorder="1" applyAlignment="1" applyProtection="1">
      <alignment horizontal="right" wrapText="1"/>
      <protection locked="0"/>
    </xf>
    <xf numFmtId="0" fontId="8" fillId="0" borderId="24" xfId="0" applyFont="1" applyBorder="1" applyAlignment="1" applyProtection="1">
      <alignment horizontal="right" wrapText="1"/>
      <protection locked="0"/>
    </xf>
    <xf numFmtId="0" fontId="7" fillId="0" borderId="25" xfId="0" applyFont="1" applyBorder="1" applyAlignment="1">
      <alignment wrapText="1"/>
    </xf>
    <xf numFmtId="49" fontId="6" fillId="0" borderId="1" xfId="0" applyNumberFormat="1" applyFont="1" applyBorder="1" applyAlignment="1" applyProtection="1">
      <alignment horizontal="right"/>
      <protection locked="0"/>
    </xf>
    <xf numFmtId="0" fontId="7" fillId="0" borderId="23" xfId="0" applyFont="1" applyBorder="1" applyAlignment="1" applyProtection="1">
      <alignment wrapText="1"/>
      <protection locked="0"/>
    </xf>
    <xf numFmtId="2" fontId="7" fillId="0" borderId="23" xfId="0" applyNumberFormat="1" applyFont="1" applyBorder="1" applyAlignment="1">
      <alignment horizontal="center" wrapText="1"/>
    </xf>
    <xf numFmtId="2" fontId="8" fillId="0" borderId="23" xfId="0" applyNumberFormat="1" applyFont="1" applyBorder="1" applyAlignment="1">
      <alignment wrapText="1"/>
    </xf>
    <xf numFmtId="0" fontId="7" fillId="0" borderId="26" xfId="0" applyFont="1" applyBorder="1" applyAlignment="1">
      <alignment wrapText="1"/>
    </xf>
    <xf numFmtId="0" fontId="7" fillId="0" borderId="27" xfId="0" applyFont="1" applyBorder="1" applyAlignment="1">
      <alignment wrapText="1"/>
    </xf>
    <xf numFmtId="0" fontId="15" fillId="0" borderId="0" xfId="0" applyFont="1" applyAlignment="1">
      <alignment horizontal="left" wrapText="1"/>
    </xf>
    <xf numFmtId="0" fontId="17" fillId="0" borderId="0" xfId="0" applyFont="1" applyAlignment="1" applyProtection="1">
      <alignment wrapText="1"/>
      <protection locked="0"/>
    </xf>
    <xf numFmtId="0" fontId="14" fillId="0" borderId="0" xfId="0" applyFont="1" applyAlignment="1" applyProtection="1">
      <alignment wrapText="1"/>
      <protection locked="0"/>
    </xf>
    <xf numFmtId="0" fontId="7" fillId="0" borderId="0" xfId="0" applyFont="1" applyAlignment="1" applyProtection="1">
      <alignment wrapText="1"/>
      <protection locked="0"/>
    </xf>
    <xf numFmtId="0" fontId="7" fillId="0" borderId="0" xfId="0" applyFont="1"/>
    <xf numFmtId="43" fontId="7" fillId="0" borderId="23" xfId="27" applyFont="1" applyBorder="1" applyAlignment="1" applyProtection="1">
      <alignment wrapText="1"/>
      <protection locked="0"/>
    </xf>
    <xf numFmtId="43" fontId="7" fillId="0" borderId="23" xfId="27" applyFont="1" applyBorder="1" applyAlignment="1" applyProtection="1">
      <alignment horizontal="center" wrapText="1"/>
    </xf>
    <xf numFmtId="43" fontId="7" fillId="0" borderId="23" xfId="27" applyFont="1" applyBorder="1" applyAlignment="1" applyProtection="1">
      <alignment wrapText="1"/>
    </xf>
    <xf numFmtId="43" fontId="8" fillId="0" borderId="23" xfId="27" applyFont="1" applyBorder="1" applyAlignment="1" applyProtection="1">
      <alignment wrapText="1"/>
    </xf>
    <xf numFmtId="0" fontId="56" fillId="0" borderId="0" xfId="243" applyFont="1" applyAlignment="1">
      <alignment horizontal="left"/>
    </xf>
    <xf numFmtId="0" fontId="58" fillId="0" borderId="0" xfId="243" applyFont="1" applyAlignment="1">
      <alignment horizontal="left"/>
    </xf>
    <xf numFmtId="168" fontId="59" fillId="0" borderId="0" xfId="27" applyNumberFormat="1" applyFont="1"/>
    <xf numFmtId="43" fontId="59" fillId="0" borderId="0" xfId="27" applyFont="1"/>
    <xf numFmtId="170" fontId="59" fillId="0" borderId="0" xfId="27" applyNumberFormat="1" applyFont="1"/>
    <xf numFmtId="0" fontId="59" fillId="0" borderId="0" xfId="0" applyFont="1"/>
    <xf numFmtId="0" fontId="60" fillId="0" borderId="0" xfId="243" applyFont="1"/>
    <xf numFmtId="0" fontId="58" fillId="0" borderId="0" xfId="243" applyFont="1"/>
    <xf numFmtId="0" fontId="56" fillId="0" borderId="1" xfId="243" applyFont="1" applyBorder="1" applyAlignment="1">
      <alignment horizontal="center"/>
    </xf>
    <xf numFmtId="168" fontId="58" fillId="0" borderId="1" xfId="27" applyNumberFormat="1" applyFont="1" applyFill="1" applyBorder="1"/>
    <xf numFmtId="168" fontId="58" fillId="0" borderId="4" xfId="27" applyNumberFormat="1" applyFont="1" applyFill="1" applyBorder="1"/>
    <xf numFmtId="170" fontId="58" fillId="0" borderId="4" xfId="27" applyNumberFormat="1" applyFont="1" applyFill="1" applyBorder="1"/>
    <xf numFmtId="17" fontId="61" fillId="0" borderId="1" xfId="27" applyNumberFormat="1" applyFont="1" applyBorder="1"/>
    <xf numFmtId="17" fontId="61" fillId="0" borderId="1" xfId="0" applyNumberFormat="1" applyFont="1" applyBorder="1"/>
    <xf numFmtId="17" fontId="61" fillId="0" borderId="0" xfId="0" applyNumberFormat="1" applyFont="1"/>
    <xf numFmtId="168" fontId="59" fillId="0" borderId="1" xfId="27" applyNumberFormat="1" applyFont="1" applyBorder="1"/>
    <xf numFmtId="168" fontId="59" fillId="0" borderId="4" xfId="27" applyNumberFormat="1" applyFont="1" applyBorder="1"/>
    <xf numFmtId="0" fontId="59" fillId="0" borderId="1" xfId="0" applyFont="1" applyBorder="1"/>
    <xf numFmtId="0" fontId="56" fillId="0" borderId="1" xfId="243" applyFont="1" applyBorder="1" applyAlignment="1">
      <alignment wrapText="1"/>
    </xf>
    <xf numFmtId="0" fontId="58" fillId="0" borderId="1" xfId="243" applyFont="1" applyBorder="1"/>
    <xf numFmtId="43" fontId="58" fillId="0" borderId="1" xfId="27" applyFont="1" applyBorder="1"/>
    <xf numFmtId="168" fontId="59" fillId="0" borderId="28" xfId="27" applyNumberFormat="1" applyFont="1" applyBorder="1"/>
    <xf numFmtId="167" fontId="56" fillId="0" borderId="1" xfId="243" applyNumberFormat="1" applyFont="1" applyBorder="1"/>
    <xf numFmtId="0" fontId="56" fillId="0" borderId="1" xfId="243" applyFont="1" applyBorder="1"/>
    <xf numFmtId="43" fontId="58" fillId="15" borderId="1" xfId="27" applyFont="1" applyFill="1" applyBorder="1"/>
    <xf numFmtId="168" fontId="58" fillId="15" borderId="1" xfId="27" applyNumberFormat="1" applyFont="1" applyFill="1" applyBorder="1"/>
    <xf numFmtId="168" fontId="22" fillId="3" borderId="1" xfId="28" applyNumberFormat="1" applyFont="1" applyFill="1" applyBorder="1" applyAlignment="1" applyProtection="1"/>
    <xf numFmtId="168" fontId="22" fillId="3" borderId="1" xfId="27" applyNumberFormat="1" applyFont="1" applyFill="1" applyBorder="1" applyAlignment="1" applyProtection="1"/>
    <xf numFmtId="170" fontId="22" fillId="3" borderId="1" xfId="27" applyNumberFormat="1" applyFont="1" applyFill="1" applyBorder="1" applyAlignment="1" applyProtection="1"/>
    <xf numFmtId="43" fontId="22" fillId="3" borderId="1" xfId="27" applyFont="1" applyFill="1" applyBorder="1" applyAlignment="1" applyProtection="1"/>
    <xf numFmtId="171" fontId="22" fillId="3" borderId="4" xfId="27" applyNumberFormat="1" applyFont="1" applyFill="1" applyBorder="1" applyAlignment="1" applyProtection="1"/>
    <xf numFmtId="171" fontId="22" fillId="3" borderId="1" xfId="27" applyNumberFormat="1" applyFont="1" applyFill="1" applyBorder="1" applyAlignment="1" applyProtection="1"/>
    <xf numFmtId="43" fontId="22" fillId="3" borderId="23" xfId="27" applyFont="1" applyFill="1" applyBorder="1" applyAlignment="1" applyProtection="1"/>
    <xf numFmtId="43" fontId="22" fillId="3" borderId="25" xfId="27" applyFont="1" applyFill="1" applyBorder="1" applyAlignment="1" applyProtection="1"/>
    <xf numFmtId="43" fontId="56" fillId="0" borderId="1" xfId="27" applyFont="1" applyBorder="1"/>
    <xf numFmtId="168" fontId="55" fillId="0" borderId="1" xfId="27" applyNumberFormat="1" applyFont="1" applyBorder="1"/>
    <xf numFmtId="168" fontId="23" fillId="0" borderId="1" xfId="0" applyNumberFormat="1" applyFont="1" applyBorder="1" applyAlignment="1" applyProtection="1">
      <alignment horizontal="right"/>
      <protection locked="0"/>
    </xf>
    <xf numFmtId="170" fontId="59" fillId="0" borderId="1" xfId="27" applyNumberFormat="1" applyFont="1" applyBorder="1"/>
    <xf numFmtId="43" fontId="59" fillId="0" borderId="1" xfId="27" applyFont="1" applyBorder="1"/>
    <xf numFmtId="175" fontId="24" fillId="0" borderId="4" xfId="0" applyNumberFormat="1" applyFont="1" applyBorder="1" applyAlignment="1" applyProtection="1">
      <alignment vertical="top" wrapText="1" readingOrder="1"/>
      <protection locked="0"/>
    </xf>
    <xf numFmtId="175" fontId="24" fillId="0" borderId="1" xfId="0" applyNumberFormat="1" applyFont="1" applyBorder="1" applyAlignment="1" applyProtection="1">
      <alignment vertical="top" wrapText="1" readingOrder="1"/>
      <protection locked="0"/>
    </xf>
    <xf numFmtId="43" fontId="10" fillId="0" borderId="23" xfId="27" applyFont="1" applyFill="1" applyBorder="1" applyAlignment="1" applyProtection="1">
      <protection locked="0"/>
    </xf>
    <xf numFmtId="43" fontId="10" fillId="0" borderId="25" xfId="27" applyFont="1" applyFill="1" applyBorder="1" applyAlignment="1" applyProtection="1">
      <protection locked="0"/>
    </xf>
    <xf numFmtId="43" fontId="10" fillId="0" borderId="1" xfId="27" applyFont="1" applyFill="1" applyBorder="1" applyAlignment="1" applyProtection="1">
      <protection locked="0"/>
    </xf>
    <xf numFmtId="175" fontId="24" fillId="0" borderId="29" xfId="0" applyNumberFormat="1" applyFont="1" applyBorder="1" applyAlignment="1" applyProtection="1">
      <alignment vertical="top" wrapText="1" readingOrder="1"/>
      <protection locked="0"/>
    </xf>
    <xf numFmtId="168" fontId="10" fillId="0" borderId="1" xfId="28" applyNumberFormat="1" applyFont="1" applyFill="1" applyBorder="1" applyAlignment="1" applyProtection="1"/>
    <xf numFmtId="0" fontId="59" fillId="0" borderId="4" xfId="0" applyFont="1" applyBorder="1"/>
    <xf numFmtId="43" fontId="10" fillId="0" borderId="23" xfId="27" applyFont="1" applyFill="1" applyBorder="1" applyAlignment="1" applyProtection="1"/>
    <xf numFmtId="43" fontId="10" fillId="0" borderId="25" xfId="27" applyFont="1" applyFill="1" applyBorder="1" applyAlignment="1" applyProtection="1"/>
    <xf numFmtId="43" fontId="10" fillId="0" borderId="1" xfId="27" applyFont="1" applyFill="1" applyBorder="1" applyAlignment="1" applyProtection="1"/>
    <xf numFmtId="168" fontId="22" fillId="16" borderId="1" xfId="28" applyNumberFormat="1" applyFont="1" applyFill="1" applyBorder="1" applyAlignment="1" applyProtection="1">
      <protection locked="0"/>
    </xf>
    <xf numFmtId="168" fontId="61" fillId="17" borderId="1" xfId="27" applyNumberFormat="1" applyFont="1" applyFill="1" applyBorder="1"/>
    <xf numFmtId="170" fontId="59" fillId="17" borderId="1" xfId="27" applyNumberFormat="1" applyFont="1" applyFill="1" applyBorder="1"/>
    <xf numFmtId="43" fontId="59" fillId="17" borderId="1" xfId="27" applyFont="1" applyFill="1" applyBorder="1"/>
    <xf numFmtId="175" fontId="24" fillId="17" borderId="4" xfId="0" applyNumberFormat="1" applyFont="1" applyFill="1" applyBorder="1" applyAlignment="1" applyProtection="1">
      <alignment vertical="top" wrapText="1" readingOrder="1"/>
      <protection locked="0"/>
    </xf>
    <xf numFmtId="175" fontId="24" fillId="17" borderId="1" xfId="0" applyNumberFormat="1" applyFont="1" applyFill="1" applyBorder="1" applyAlignment="1" applyProtection="1">
      <alignment vertical="top" wrapText="1" readingOrder="1"/>
      <protection locked="0"/>
    </xf>
    <xf numFmtId="43" fontId="22" fillId="16" borderId="23" xfId="27" applyFont="1" applyFill="1" applyBorder="1" applyAlignment="1" applyProtection="1">
      <protection locked="0"/>
    </xf>
    <xf numFmtId="43" fontId="22" fillId="16" borderId="25" xfId="27" applyFont="1" applyFill="1" applyBorder="1" applyAlignment="1" applyProtection="1">
      <protection locked="0"/>
    </xf>
    <xf numFmtId="43" fontId="22" fillId="16" borderId="1" xfId="27" applyFont="1" applyFill="1" applyBorder="1" applyAlignment="1" applyProtection="1">
      <protection locked="0"/>
    </xf>
    <xf numFmtId="168" fontId="61" fillId="15" borderId="1" xfId="27" applyNumberFormat="1" applyFont="1" applyFill="1" applyBorder="1"/>
    <xf numFmtId="168" fontId="10" fillId="0" borderId="1" xfId="28" applyNumberFormat="1" applyFont="1" applyFill="1" applyBorder="1" applyAlignment="1" applyProtection="1">
      <protection locked="0"/>
    </xf>
    <xf numFmtId="168" fontId="22" fillId="18" borderId="1" xfId="28" applyNumberFormat="1" applyFont="1" applyFill="1" applyBorder="1" applyAlignment="1" applyProtection="1"/>
    <xf numFmtId="168" fontId="22" fillId="18" borderId="1" xfId="27" applyNumberFormat="1" applyFont="1" applyFill="1" applyBorder="1" applyAlignment="1" applyProtection="1"/>
    <xf numFmtId="168" fontId="25" fillId="0" borderId="1" xfId="0" applyNumberFormat="1" applyFont="1" applyBorder="1" applyAlignment="1" applyProtection="1">
      <alignment horizontal="right"/>
      <protection locked="0"/>
    </xf>
    <xf numFmtId="43" fontId="56" fillId="15" borderId="1" xfId="27" applyFont="1" applyFill="1" applyBorder="1"/>
    <xf numFmtId="168" fontId="56" fillId="15" borderId="1" xfId="27" applyNumberFormat="1" applyFont="1" applyFill="1" applyBorder="1"/>
    <xf numFmtId="43" fontId="22" fillId="3" borderId="4" xfId="27" applyFont="1" applyFill="1" applyBorder="1" applyAlignment="1" applyProtection="1"/>
    <xf numFmtId="170" fontId="10" fillId="0" borderId="1" xfId="27" applyNumberFormat="1" applyFont="1" applyFill="1" applyBorder="1" applyAlignment="1" applyProtection="1">
      <protection locked="0"/>
    </xf>
    <xf numFmtId="168" fontId="22" fillId="15" borderId="1" xfId="28" applyNumberFormat="1" applyFont="1" applyFill="1" applyBorder="1" applyAlignment="1" applyProtection="1"/>
    <xf numFmtId="170" fontId="22" fillId="15" borderId="1" xfId="27" applyNumberFormat="1" applyFont="1" applyFill="1" applyBorder="1" applyAlignment="1" applyProtection="1"/>
    <xf numFmtId="43" fontId="22" fillId="15" borderId="4" xfId="27" applyFont="1" applyFill="1" applyBorder="1" applyAlignment="1" applyProtection="1"/>
    <xf numFmtId="171" fontId="22" fillId="15" borderId="4" xfId="27" applyNumberFormat="1" applyFont="1" applyFill="1" applyBorder="1" applyAlignment="1" applyProtection="1"/>
    <xf numFmtId="171" fontId="22" fillId="15" borderId="1" xfId="27" applyNumberFormat="1" applyFont="1" applyFill="1" applyBorder="1" applyAlignment="1" applyProtection="1"/>
    <xf numFmtId="43" fontId="22" fillId="15" borderId="23" xfId="27" applyFont="1" applyFill="1" applyBorder="1" applyAlignment="1" applyProtection="1"/>
    <xf numFmtId="43" fontId="22" fillId="15" borderId="25" xfId="27" applyFont="1" applyFill="1" applyBorder="1" applyAlignment="1" applyProtection="1"/>
    <xf numFmtId="43" fontId="22" fillId="15" borderId="1" xfId="27" applyFont="1" applyFill="1" applyBorder="1" applyAlignment="1" applyProtection="1"/>
    <xf numFmtId="176" fontId="24" fillId="0" borderId="4" xfId="0" applyNumberFormat="1" applyFont="1" applyBorder="1" applyAlignment="1" applyProtection="1">
      <alignment vertical="top" wrapText="1" readingOrder="1"/>
      <protection locked="0"/>
    </xf>
    <xf numFmtId="176" fontId="24" fillId="0" borderId="1" xfId="0" applyNumberFormat="1" applyFont="1" applyBorder="1" applyAlignment="1" applyProtection="1">
      <alignment vertical="top" wrapText="1" readingOrder="1"/>
      <protection locked="0"/>
    </xf>
    <xf numFmtId="176" fontId="24" fillId="0" borderId="29" xfId="0" applyNumberFormat="1" applyFont="1" applyBorder="1" applyAlignment="1" applyProtection="1">
      <alignment vertical="top" wrapText="1" readingOrder="1"/>
      <protection locked="0"/>
    </xf>
    <xf numFmtId="168" fontId="22" fillId="3" borderId="30" xfId="28" applyNumberFormat="1" applyFont="1" applyFill="1" applyBorder="1" applyAlignment="1" applyProtection="1"/>
    <xf numFmtId="170" fontId="22" fillId="3" borderId="31" xfId="27" applyNumberFormat="1" applyFont="1" applyFill="1" applyBorder="1" applyAlignment="1" applyProtection="1"/>
    <xf numFmtId="170" fontId="10" fillId="0" borderId="25" xfId="27" applyNumberFormat="1" applyFont="1" applyFill="1" applyBorder="1" applyAlignment="1" applyProtection="1"/>
    <xf numFmtId="168" fontId="22" fillId="3" borderId="4" xfId="28" applyNumberFormat="1" applyFont="1" applyFill="1" applyBorder="1" applyAlignment="1" applyProtection="1"/>
    <xf numFmtId="170" fontId="22" fillId="3" borderId="25" xfId="27" applyNumberFormat="1" applyFont="1" applyFill="1" applyBorder="1" applyAlignment="1" applyProtection="1"/>
    <xf numFmtId="0" fontId="56" fillId="0" borderId="0" xfId="243" applyFont="1"/>
    <xf numFmtId="168" fontId="58" fillId="0" borderId="0" xfId="28" applyNumberFormat="1" applyFont="1" applyBorder="1"/>
    <xf numFmtId="168" fontId="58" fillId="0" borderId="0" xfId="27" applyNumberFormat="1" applyFont="1" applyFill="1" applyBorder="1"/>
    <xf numFmtId="43" fontId="58" fillId="0" borderId="0" xfId="27" applyFont="1" applyFill="1" applyBorder="1"/>
    <xf numFmtId="0" fontId="26" fillId="0" borderId="0" xfId="243" applyFont="1"/>
    <xf numFmtId="0" fontId="27" fillId="0" borderId="0" xfId="243" applyFont="1"/>
    <xf numFmtId="174" fontId="59" fillId="0" borderId="0" xfId="27" applyNumberFormat="1" applyFont="1"/>
    <xf numFmtId="168" fontId="62" fillId="0" borderId="0" xfId="27" applyNumberFormat="1" applyFont="1"/>
    <xf numFmtId="174" fontId="59" fillId="0" borderId="1" xfId="27" applyNumberFormat="1" applyFont="1" applyBorder="1"/>
    <xf numFmtId="168" fontId="62" fillId="0" borderId="1" xfId="27" applyNumberFormat="1" applyFont="1" applyBorder="1"/>
    <xf numFmtId="0" fontId="56" fillId="0" borderId="1" xfId="243" applyFont="1" applyBorder="1" applyAlignment="1">
      <alignment horizontal="left" vertical="center"/>
    </xf>
    <xf numFmtId="17" fontId="58" fillId="0" borderId="1" xfId="243" applyNumberFormat="1" applyFont="1" applyBorder="1" applyAlignment="1">
      <alignment horizontal="center"/>
    </xf>
    <xf numFmtId="17" fontId="58" fillId="0" borderId="1" xfId="27" applyNumberFormat="1" applyFont="1" applyBorder="1" applyAlignment="1">
      <alignment horizontal="center"/>
    </xf>
    <xf numFmtId="174" fontId="58" fillId="0" borderId="1" xfId="27" applyNumberFormat="1" applyFont="1" applyBorder="1" applyAlignment="1">
      <alignment horizontal="center"/>
    </xf>
    <xf numFmtId="168" fontId="60" fillId="0" borderId="1" xfId="27" applyNumberFormat="1" applyFont="1" applyBorder="1"/>
    <xf numFmtId="0" fontId="61" fillId="0" borderId="0" xfId="0" applyFont="1"/>
    <xf numFmtId="174" fontId="58" fillId="0" borderId="1" xfId="27" applyNumberFormat="1" applyFont="1" applyBorder="1"/>
    <xf numFmtId="168" fontId="58" fillId="15" borderId="1" xfId="28" applyNumberFormat="1" applyFont="1" applyFill="1" applyBorder="1"/>
    <xf numFmtId="174" fontId="22" fillId="2" borderId="1" xfId="28" applyNumberFormat="1" applyFont="1" applyFill="1" applyBorder="1" applyAlignment="1" applyProtection="1"/>
    <xf numFmtId="174" fontId="22" fillId="2" borderId="4" xfId="28" applyNumberFormat="1" applyFont="1" applyFill="1" applyBorder="1" applyAlignment="1" applyProtection="1"/>
    <xf numFmtId="172" fontId="58" fillId="15" borderId="4" xfId="27" applyNumberFormat="1" applyFont="1" applyFill="1" applyBorder="1" applyAlignment="1" applyProtection="1"/>
    <xf numFmtId="172" fontId="58" fillId="15" borderId="1" xfId="27" applyNumberFormat="1" applyFont="1" applyFill="1" applyBorder="1" applyAlignment="1" applyProtection="1"/>
    <xf numFmtId="174" fontId="23" fillId="0" borderId="1" xfId="0" applyNumberFormat="1" applyFont="1" applyBorder="1" applyAlignment="1" applyProtection="1">
      <alignment horizontal="right"/>
      <protection locked="0"/>
    </xf>
    <xf numFmtId="168" fontId="62" fillId="19" borderId="4" xfId="27" applyNumberFormat="1" applyFont="1" applyFill="1" applyBorder="1"/>
    <xf numFmtId="173" fontId="63" fillId="0" borderId="4" xfId="0" applyNumberFormat="1" applyFont="1" applyBorder="1" applyAlignment="1" applyProtection="1">
      <alignment horizontal="right" vertical="center"/>
      <protection locked="0"/>
    </xf>
    <xf numFmtId="43" fontId="59" fillId="0" borderId="4" xfId="27" applyFont="1" applyBorder="1"/>
    <xf numFmtId="173" fontId="63" fillId="0" borderId="1" xfId="0" applyNumberFormat="1" applyFont="1" applyBorder="1" applyAlignment="1" applyProtection="1">
      <alignment horizontal="right" vertical="center"/>
      <protection locked="0"/>
    </xf>
    <xf numFmtId="172" fontId="56" fillId="0" borderId="4" xfId="27" applyNumberFormat="1" applyFont="1" applyBorder="1" applyAlignment="1" applyProtection="1">
      <alignment horizontal="right" vertical="center"/>
      <protection locked="0"/>
    </xf>
    <xf numFmtId="172" fontId="56" fillId="0" borderId="1" xfId="27" applyNumberFormat="1" applyFont="1" applyBorder="1" applyAlignment="1" applyProtection="1">
      <alignment horizontal="right" vertical="center"/>
      <protection locked="0"/>
    </xf>
    <xf numFmtId="174" fontId="10" fillId="0" borderId="1" xfId="28" applyNumberFormat="1" applyFont="1" applyFill="1" applyBorder="1" applyAlignment="1" applyProtection="1"/>
    <xf numFmtId="168" fontId="62" fillId="0" borderId="4" xfId="27" applyNumberFormat="1" applyFont="1" applyBorder="1"/>
    <xf numFmtId="172" fontId="56" fillId="0" borderId="4" xfId="27" applyNumberFormat="1" applyFont="1" applyFill="1" applyBorder="1" applyAlignment="1" applyProtection="1"/>
    <xf numFmtId="172" fontId="56" fillId="0" borderId="1" xfId="27" applyNumberFormat="1" applyFont="1" applyFill="1" applyBorder="1" applyAlignment="1" applyProtection="1"/>
    <xf numFmtId="168" fontId="58" fillId="15" borderId="4" xfId="27" applyNumberFormat="1" applyFont="1" applyFill="1" applyBorder="1"/>
    <xf numFmtId="174" fontId="20" fillId="0" borderId="1" xfId="0" applyNumberFormat="1" applyFont="1" applyBorder="1" applyAlignment="1" applyProtection="1">
      <alignment horizontal="right" vertical="center"/>
      <protection locked="0"/>
    </xf>
    <xf numFmtId="175" fontId="24" fillId="4" borderId="4" xfId="0" applyNumberFormat="1" applyFont="1" applyFill="1" applyBorder="1" applyAlignment="1" applyProtection="1">
      <alignment vertical="top" wrapText="1" readingOrder="1"/>
      <protection locked="0"/>
    </xf>
    <xf numFmtId="175" fontId="24" fillId="4" borderId="1" xfId="0" applyNumberFormat="1" applyFont="1" applyFill="1" applyBorder="1" applyAlignment="1" applyProtection="1">
      <alignment vertical="top" wrapText="1" readingOrder="1"/>
      <protection locked="0"/>
    </xf>
    <xf numFmtId="175" fontId="24" fillId="4" borderId="29" xfId="0" applyNumberFormat="1" applyFont="1" applyFill="1" applyBorder="1" applyAlignment="1" applyProtection="1">
      <alignment vertical="top" wrapText="1" readingOrder="1"/>
      <protection locked="0"/>
    </xf>
    <xf numFmtId="174" fontId="10" fillId="0" borderId="1" xfId="28" applyNumberFormat="1" applyFont="1" applyFill="1" applyBorder="1" applyAlignment="1" applyProtection="1">
      <protection locked="0"/>
    </xf>
    <xf numFmtId="172" fontId="56" fillId="0" borderId="4" xfId="27" applyNumberFormat="1" applyFont="1" applyFill="1" applyBorder="1" applyAlignment="1" applyProtection="1">
      <protection locked="0"/>
    </xf>
    <xf numFmtId="172" fontId="56" fillId="0" borderId="1" xfId="27" applyNumberFormat="1" applyFont="1" applyFill="1" applyBorder="1" applyAlignment="1" applyProtection="1">
      <protection locked="0"/>
    </xf>
    <xf numFmtId="174" fontId="10" fillId="0" borderId="1" xfId="28" applyNumberFormat="1" applyFont="1" applyBorder="1" applyAlignment="1" applyProtection="1">
      <alignment horizontal="right" vertical="center"/>
      <protection locked="0"/>
    </xf>
    <xf numFmtId="168" fontId="58" fillId="15" borderId="4" xfId="28" applyNumberFormat="1" applyFont="1" applyFill="1" applyBorder="1"/>
    <xf numFmtId="168" fontId="58" fillId="0" borderId="1" xfId="28" applyNumberFormat="1" applyFont="1" applyBorder="1"/>
    <xf numFmtId="168" fontId="62" fillId="19" borderId="32" xfId="27" applyNumberFormat="1" applyFont="1" applyFill="1" applyBorder="1"/>
    <xf numFmtId="168" fontId="62" fillId="0" borderId="30" xfId="27" applyNumberFormat="1" applyFont="1" applyBorder="1"/>
    <xf numFmtId="174" fontId="21" fillId="0" borderId="1" xfId="0" applyNumberFormat="1" applyFont="1" applyBorder="1" applyAlignment="1">
      <alignment horizontal="right" vertical="center"/>
    </xf>
    <xf numFmtId="173" fontId="64" fillId="0" borderId="4" xfId="0" applyNumberFormat="1" applyFont="1" applyBorder="1" applyAlignment="1">
      <alignment horizontal="right" vertical="center"/>
    </xf>
    <xf numFmtId="173" fontId="64" fillId="0" borderId="1" xfId="0" applyNumberFormat="1" applyFont="1" applyBorder="1" applyAlignment="1">
      <alignment horizontal="right" vertical="center"/>
    </xf>
    <xf numFmtId="168" fontId="58" fillId="0" borderId="1" xfId="27" applyNumberFormat="1" applyFont="1" applyBorder="1"/>
    <xf numFmtId="168" fontId="58" fillId="0" borderId="4" xfId="27" applyNumberFormat="1" applyFont="1" applyBorder="1"/>
    <xf numFmtId="168" fontId="28" fillId="19" borderId="4" xfId="27" applyNumberFormat="1" applyFont="1" applyFill="1" applyBorder="1" applyAlignment="1"/>
    <xf numFmtId="168" fontId="28" fillId="19" borderId="28" xfId="27" applyNumberFormat="1" applyFont="1" applyFill="1" applyBorder="1" applyAlignment="1"/>
    <xf numFmtId="168" fontId="28" fillId="19" borderId="32" xfId="27" applyNumberFormat="1" applyFont="1" applyFill="1" applyBorder="1" applyAlignment="1"/>
    <xf numFmtId="168" fontId="62" fillId="19" borderId="30" xfId="27" applyNumberFormat="1" applyFont="1" applyFill="1" applyBorder="1"/>
    <xf numFmtId="174" fontId="58" fillId="15" borderId="1" xfId="27" applyNumberFormat="1" applyFont="1" applyFill="1" applyBorder="1"/>
    <xf numFmtId="174" fontId="58" fillId="15" borderId="4" xfId="27" applyNumberFormat="1" applyFont="1" applyFill="1" applyBorder="1"/>
    <xf numFmtId="174" fontId="58" fillId="15" borderId="1" xfId="28" applyNumberFormat="1" applyFont="1" applyFill="1" applyBorder="1"/>
    <xf numFmtId="174" fontId="58" fillId="15" borderId="4" xfId="28" applyNumberFormat="1" applyFont="1" applyFill="1" applyBorder="1"/>
    <xf numFmtId="173" fontId="64" fillId="15" borderId="4" xfId="0" applyNumberFormat="1" applyFont="1" applyFill="1" applyBorder="1" applyAlignment="1">
      <alignment horizontal="right" vertical="center"/>
    </xf>
    <xf numFmtId="173" fontId="64" fillId="15" borderId="1" xfId="0" applyNumberFormat="1" applyFont="1" applyFill="1" applyBorder="1" applyAlignment="1">
      <alignment horizontal="right" vertical="center"/>
    </xf>
    <xf numFmtId="0" fontId="65" fillId="0" borderId="21" xfId="243" applyFont="1" applyBorder="1" applyAlignment="1">
      <alignment horizontal="left"/>
    </xf>
    <xf numFmtId="0" fontId="30" fillId="0" borderId="0" xfId="243" applyFont="1"/>
    <xf numFmtId="0" fontId="65" fillId="0" borderId="0" xfId="243" applyFont="1" applyAlignment="1">
      <alignment horizontal="left"/>
    </xf>
    <xf numFmtId="172" fontId="58" fillId="15" borderId="33" xfId="27" applyNumberFormat="1" applyFont="1" applyFill="1" applyBorder="1" applyAlignment="1" applyProtection="1"/>
    <xf numFmtId="175" fontId="24" fillId="0" borderId="34" xfId="0" applyNumberFormat="1" applyFont="1" applyBorder="1" applyAlignment="1" applyProtection="1">
      <alignment vertical="top" wrapText="1" readingOrder="1"/>
      <protection locked="0"/>
    </xf>
    <xf numFmtId="0" fontId="59" fillId="0" borderId="33" xfId="0" applyFont="1" applyBorder="1"/>
    <xf numFmtId="175" fontId="24" fillId="4" borderId="34" xfId="0" applyNumberFormat="1" applyFont="1" applyFill="1" applyBorder="1" applyAlignment="1" applyProtection="1">
      <alignment vertical="top" wrapText="1" readingOrder="1"/>
      <protection locked="0"/>
    </xf>
    <xf numFmtId="173" fontId="64" fillId="15" borderId="33" xfId="0" applyNumberFormat="1" applyFont="1" applyFill="1" applyBorder="1" applyAlignment="1">
      <alignment horizontal="right" vertical="center"/>
    </xf>
    <xf numFmtId="175" fontId="31" fillId="0" borderId="29" xfId="0" applyNumberFormat="1" applyFont="1" applyBorder="1" applyAlignment="1" applyProtection="1">
      <alignment vertical="top" wrapText="1" readingOrder="1"/>
      <protection locked="0"/>
    </xf>
    <xf numFmtId="175" fontId="31" fillId="4" borderId="29" xfId="0" applyNumberFormat="1" applyFont="1" applyFill="1" applyBorder="1" applyAlignment="1" applyProtection="1">
      <alignment vertical="top" wrapText="1" readingOrder="1"/>
      <protection locked="0"/>
    </xf>
    <xf numFmtId="43" fontId="63" fillId="0" borderId="1" xfId="27" applyFont="1" applyFill="1" applyBorder="1" applyAlignment="1" applyProtection="1">
      <alignment horizontal="right" vertical="center"/>
      <protection locked="0"/>
    </xf>
    <xf numFmtId="173" fontId="63" fillId="0" borderId="4" xfId="0" applyNumberFormat="1" applyFont="1" applyBorder="1" applyAlignment="1" applyProtection="1">
      <alignment horizontal="right"/>
      <protection locked="0"/>
    </xf>
    <xf numFmtId="175" fontId="32" fillId="0" borderId="29" xfId="0" applyNumberFormat="1" applyFont="1" applyBorder="1" applyAlignment="1" applyProtection="1">
      <alignment vertical="top" wrapText="1" readingOrder="1"/>
      <protection locked="0"/>
    </xf>
    <xf numFmtId="176" fontId="32" fillId="0" borderId="29" xfId="0" applyNumberFormat="1" applyFont="1" applyBorder="1" applyAlignment="1" applyProtection="1">
      <alignment vertical="top" wrapText="1" readingOrder="1"/>
      <protection locked="0"/>
    </xf>
    <xf numFmtId="175" fontId="33" fillId="0" borderId="29" xfId="0" applyNumberFormat="1" applyFont="1" applyBorder="1" applyAlignment="1" applyProtection="1">
      <alignment vertical="top" wrapText="1" readingOrder="1"/>
      <protection locked="0"/>
    </xf>
    <xf numFmtId="175" fontId="33" fillId="4" borderId="29" xfId="0" applyNumberFormat="1" applyFont="1" applyFill="1" applyBorder="1" applyAlignment="1" applyProtection="1">
      <alignment vertical="top" wrapText="1" readingOrder="1"/>
      <protection locked="0"/>
    </xf>
    <xf numFmtId="0" fontId="66" fillId="0" borderId="45" xfId="0" applyFont="1" applyBorder="1" applyAlignment="1">
      <alignment wrapText="1" readingOrder="1"/>
    </xf>
    <xf numFmtId="4" fontId="66" fillId="0" borderId="45" xfId="0" applyNumberFormat="1" applyFont="1" applyBorder="1" applyAlignment="1">
      <alignment wrapText="1" readingOrder="1"/>
    </xf>
    <xf numFmtId="0" fontId="66" fillId="0" borderId="46" xfId="0" applyFont="1" applyBorder="1" applyAlignment="1">
      <alignment wrapText="1" readingOrder="1"/>
    </xf>
    <xf numFmtId="4" fontId="66" fillId="0" borderId="46" xfId="0" applyNumberFormat="1" applyFont="1" applyBorder="1" applyAlignment="1">
      <alignment wrapText="1" readingOrder="1"/>
    </xf>
    <xf numFmtId="4" fontId="67" fillId="0" borderId="45" xfId="0" applyNumberFormat="1" applyFont="1" applyBorder="1" applyAlignment="1">
      <alignment wrapText="1" readingOrder="1"/>
    </xf>
    <xf numFmtId="0" fontId="67" fillId="0" borderId="46" xfId="0" applyFont="1" applyBorder="1" applyAlignment="1">
      <alignment wrapText="1" readingOrder="1"/>
    </xf>
    <xf numFmtId="4" fontId="67" fillId="0" borderId="46" xfId="0" applyNumberFormat="1" applyFont="1" applyBorder="1" applyAlignment="1">
      <alignment wrapText="1" readingOrder="1"/>
    </xf>
    <xf numFmtId="4" fontId="67" fillId="20" borderId="46" xfId="0" applyNumberFormat="1" applyFont="1" applyFill="1" applyBorder="1" applyAlignment="1">
      <alignment wrapText="1" readingOrder="1"/>
    </xf>
    <xf numFmtId="0" fontId="58" fillId="0" borderId="1" xfId="243" applyFont="1" applyBorder="1" applyAlignment="1">
      <alignment horizontal="center" vertical="top"/>
    </xf>
    <xf numFmtId="0" fontId="49" fillId="0" borderId="0" xfId="0" applyFont="1" applyAlignment="1">
      <alignment horizontal="center"/>
    </xf>
    <xf numFmtId="0" fontId="52" fillId="0" borderId="21" xfId="0" applyFont="1" applyBorder="1" applyAlignment="1">
      <alignment horizontal="center" vertical="top" wrapText="1"/>
    </xf>
    <xf numFmtId="4" fontId="67" fillId="20" borderId="45" xfId="0" applyNumberFormat="1" applyFont="1" applyFill="1" applyBorder="1" applyAlignment="1">
      <alignment wrapText="1" readingOrder="1"/>
    </xf>
    <xf numFmtId="0" fontId="66" fillId="0" borderId="47" xfId="0" applyFont="1" applyBorder="1" applyAlignment="1">
      <alignment wrapText="1" readingOrder="1"/>
    </xf>
    <xf numFmtId="4" fontId="66" fillId="0" borderId="47" xfId="0" applyNumberFormat="1" applyFont="1" applyBorder="1" applyAlignment="1">
      <alignment wrapText="1" readingOrder="1"/>
    </xf>
    <xf numFmtId="0" fontId="66" fillId="0" borderId="48" xfId="0" applyFont="1" applyBorder="1" applyAlignment="1">
      <alignment wrapText="1" readingOrder="1"/>
    </xf>
    <xf numFmtId="4" fontId="66" fillId="0" borderId="48" xfId="0" applyNumberFormat="1" applyFont="1" applyBorder="1" applyAlignment="1">
      <alignment wrapText="1" readingOrder="1"/>
    </xf>
    <xf numFmtId="4" fontId="67" fillId="0" borderId="47" xfId="0" applyNumberFormat="1" applyFont="1" applyBorder="1" applyAlignment="1">
      <alignment wrapText="1" readingOrder="1"/>
    </xf>
    <xf numFmtId="0" fontId="67" fillId="0" borderId="48" xfId="0" applyFont="1" applyBorder="1" applyAlignment="1">
      <alignment wrapText="1" readingOrder="1"/>
    </xf>
    <xf numFmtId="4" fontId="67" fillId="0" borderId="48" xfId="0" applyNumberFormat="1" applyFont="1" applyBorder="1" applyAlignment="1">
      <alignment wrapText="1" readingOrder="1"/>
    </xf>
    <xf numFmtId="43" fontId="59" fillId="0" borderId="0" xfId="0" applyNumberFormat="1" applyFont="1"/>
    <xf numFmtId="43" fontId="61" fillId="0" borderId="0" xfId="0" applyNumberFormat="1" applyFont="1"/>
    <xf numFmtId="43" fontId="58" fillId="15" borderId="1" xfId="27" applyFont="1" applyFill="1" applyBorder="1" applyAlignment="1" applyProtection="1"/>
    <xf numFmtId="43" fontId="67" fillId="0" borderId="46" xfId="0" applyNumberFormat="1" applyFont="1" applyBorder="1" applyAlignment="1">
      <alignment wrapText="1" readingOrder="1"/>
    </xf>
    <xf numFmtId="43" fontId="33" fillId="0" borderId="29" xfId="0" applyNumberFormat="1" applyFont="1" applyBorder="1" applyAlignment="1" applyProtection="1">
      <alignment vertical="top" wrapText="1" readingOrder="1"/>
      <protection locked="0"/>
    </xf>
    <xf numFmtId="43" fontId="67" fillId="0" borderId="45" xfId="0" applyNumberFormat="1" applyFont="1" applyBorder="1" applyAlignment="1">
      <alignment wrapText="1" readingOrder="1"/>
    </xf>
    <xf numFmtId="43" fontId="59" fillId="0" borderId="1" xfId="0" applyNumberFormat="1" applyFont="1" applyBorder="1"/>
    <xf numFmtId="43" fontId="64" fillId="15" borderId="1" xfId="0" applyNumberFormat="1" applyFont="1" applyFill="1" applyBorder="1" applyAlignment="1">
      <alignment horizontal="right" vertical="center"/>
    </xf>
    <xf numFmtId="43" fontId="62" fillId="0" borderId="0" xfId="27" applyFont="1"/>
    <xf numFmtId="43" fontId="66" fillId="0" borderId="46" xfId="0" applyNumberFormat="1" applyFont="1" applyBorder="1" applyAlignment="1">
      <alignment wrapText="1" readingOrder="1"/>
    </xf>
    <xf numFmtId="43" fontId="66" fillId="0" borderId="45" xfId="0" applyNumberFormat="1" applyFont="1" applyBorder="1" applyAlignment="1">
      <alignment wrapText="1" readingOrder="1"/>
    </xf>
    <xf numFmtId="43" fontId="32" fillId="0" borderId="29" xfId="0" applyNumberFormat="1" applyFont="1" applyBorder="1" applyAlignment="1" applyProtection="1">
      <alignment vertical="top" wrapText="1" readingOrder="1"/>
      <protection locked="0"/>
    </xf>
    <xf numFmtId="43" fontId="58" fillId="0" borderId="0" xfId="28" applyFont="1" applyBorder="1"/>
    <xf numFmtId="0" fontId="7" fillId="0" borderId="49" xfId="0" applyFont="1" applyBorder="1"/>
    <xf numFmtId="0" fontId="7" fillId="21" borderId="50" xfId="0" applyFont="1" applyFill="1" applyBorder="1"/>
    <xf numFmtId="0" fontId="7" fillId="0" borderId="50" xfId="0" applyFont="1" applyBorder="1"/>
    <xf numFmtId="0" fontId="68" fillId="0" borderId="54" xfId="0" applyFont="1" applyBorder="1"/>
    <xf numFmtId="0" fontId="68" fillId="0" borderId="36" xfId="0" applyFont="1" applyBorder="1"/>
    <xf numFmtId="0" fontId="70" fillId="0" borderId="54" xfId="0" applyFont="1" applyBorder="1"/>
    <xf numFmtId="0" fontId="68" fillId="0" borderId="59" xfId="0" applyFont="1" applyBorder="1"/>
    <xf numFmtId="0" fontId="68" fillId="0" borderId="0" xfId="0" applyFont="1"/>
    <xf numFmtId="0" fontId="68" fillId="0" borderId="14" xfId="0" applyFont="1" applyBorder="1" applyAlignment="1">
      <alignment wrapText="1"/>
    </xf>
    <xf numFmtId="0" fontId="71" fillId="0" borderId="54" xfId="0" applyFont="1" applyBorder="1"/>
    <xf numFmtId="0" fontId="70" fillId="0" borderId="59" xfId="0" applyFont="1" applyBorder="1"/>
    <xf numFmtId="0" fontId="71" fillId="0" borderId="59" xfId="0" applyFont="1" applyBorder="1"/>
    <xf numFmtId="3" fontId="71" fillId="0" borderId="59" xfId="0" applyNumberFormat="1" applyFont="1" applyBorder="1"/>
    <xf numFmtId="10" fontId="71" fillId="0" borderId="59" xfId="0" applyNumberFormat="1" applyFont="1" applyBorder="1"/>
    <xf numFmtId="0" fontId="70" fillId="23" borderId="59" xfId="0" applyFont="1" applyFill="1" applyBorder="1"/>
    <xf numFmtId="10" fontId="70" fillId="23" borderId="59" xfId="0" applyNumberFormat="1" applyFont="1" applyFill="1" applyBorder="1"/>
    <xf numFmtId="0" fontId="71" fillId="23" borderId="54" xfId="0" applyFont="1" applyFill="1" applyBorder="1"/>
    <xf numFmtId="0" fontId="71" fillId="23" borderId="59" xfId="0" applyFont="1" applyFill="1" applyBorder="1"/>
    <xf numFmtId="10" fontId="71" fillId="23" borderId="59" xfId="0" applyNumberFormat="1" applyFont="1" applyFill="1" applyBorder="1"/>
    <xf numFmtId="0" fontId="72" fillId="0" borderId="59" xfId="0" applyFont="1" applyBorder="1"/>
    <xf numFmtId="0" fontId="73" fillId="0" borderId="54" xfId="0" applyFont="1" applyBorder="1"/>
    <xf numFmtId="0" fontId="73" fillId="0" borderId="59" xfId="0" applyFont="1" applyBorder="1"/>
    <xf numFmtId="4" fontId="73" fillId="0" borderId="59" xfId="0" applyNumberFormat="1" applyFont="1" applyBorder="1"/>
    <xf numFmtId="0" fontId="7" fillId="0" borderId="59" xfId="0" applyFont="1" applyBorder="1"/>
    <xf numFmtId="4" fontId="7" fillId="0" borderId="59" xfId="0" applyNumberFormat="1" applyFont="1" applyBorder="1"/>
    <xf numFmtId="0" fontId="14" fillId="0" borderId="59" xfId="0" applyFont="1" applyBorder="1"/>
    <xf numFmtId="4" fontId="14" fillId="0" borderId="59" xfId="0" applyNumberFormat="1" applyFont="1" applyBorder="1"/>
    <xf numFmtId="0" fontId="70" fillId="0" borderId="36" xfId="0" applyFont="1" applyBorder="1"/>
    <xf numFmtId="0" fontId="72" fillId="0" borderId="14" xfId="0" applyFont="1" applyBorder="1"/>
    <xf numFmtId="0" fontId="70" fillId="0" borderId="14" xfId="0" applyFont="1" applyBorder="1"/>
    <xf numFmtId="0" fontId="68" fillId="23" borderId="54" xfId="0" applyFont="1" applyFill="1" applyBorder="1"/>
    <xf numFmtId="0" fontId="68" fillId="23" borderId="61" xfId="0" applyFont="1" applyFill="1" applyBorder="1"/>
    <xf numFmtId="0" fontId="70" fillId="0" borderId="2" xfId="0" applyFont="1" applyBorder="1"/>
    <xf numFmtId="0" fontId="70" fillId="0" borderId="8" xfId="0" applyFont="1" applyBorder="1"/>
    <xf numFmtId="0" fontId="70" fillId="0" borderId="33" xfId="0" applyFont="1" applyBorder="1"/>
    <xf numFmtId="0" fontId="68" fillId="23" borderId="62" xfId="0" applyFont="1" applyFill="1" applyBorder="1"/>
    <xf numFmtId="0" fontId="70" fillId="0" borderId="63" xfId="0" applyFont="1" applyBorder="1"/>
    <xf numFmtId="0" fontId="72" fillId="0" borderId="65" xfId="0" applyFont="1" applyBorder="1"/>
    <xf numFmtId="0" fontId="75" fillId="23" borderId="56" xfId="0" applyFont="1" applyFill="1" applyBorder="1"/>
    <xf numFmtId="0" fontId="70" fillId="0" borderId="0" xfId="0" applyFont="1"/>
    <xf numFmtId="0" fontId="72" fillId="0" borderId="0" xfId="0" applyFont="1"/>
    <xf numFmtId="0" fontId="70" fillId="23" borderId="0" xfId="0" applyFont="1" applyFill="1"/>
    <xf numFmtId="43" fontId="73" fillId="0" borderId="59" xfId="0" applyNumberFormat="1" applyFont="1" applyBorder="1"/>
    <xf numFmtId="43" fontId="71" fillId="0" borderId="59" xfId="0" applyNumberFormat="1" applyFont="1" applyBorder="1"/>
    <xf numFmtId="43" fontId="70" fillId="23" borderId="59" xfId="0" applyNumberFormat="1" applyFont="1" applyFill="1" applyBorder="1"/>
    <xf numFmtId="43" fontId="71" fillId="23" borderId="59" xfId="0" applyNumberFormat="1" applyFont="1" applyFill="1" applyBorder="1"/>
    <xf numFmtId="43" fontId="7" fillId="0" borderId="59" xfId="0" applyNumberFormat="1" applyFont="1" applyBorder="1"/>
    <xf numFmtId="43" fontId="14" fillId="0" borderId="59" xfId="0" applyNumberFormat="1" applyFont="1" applyBorder="1"/>
    <xf numFmtId="43" fontId="70" fillId="0" borderId="36" xfId="0" applyNumberFormat="1" applyFont="1" applyBorder="1"/>
    <xf numFmtId="43" fontId="70" fillId="0" borderId="30" xfId="0" applyNumberFormat="1" applyFont="1" applyBorder="1"/>
    <xf numFmtId="43" fontId="70" fillId="0" borderId="64" xfId="0" applyNumberFormat="1" applyFont="1" applyBorder="1"/>
    <xf numFmtId="43" fontId="70" fillId="0" borderId="0" xfId="0" applyNumberFormat="1" applyFont="1"/>
    <xf numFmtId="0" fontId="67" fillId="0" borderId="45" xfId="0" applyFont="1" applyBorder="1" applyAlignment="1">
      <alignment wrapText="1" readingOrder="1"/>
    </xf>
    <xf numFmtId="0" fontId="67" fillId="0" borderId="47" xfId="0" applyFont="1" applyBorder="1" applyAlignment="1">
      <alignment wrapText="1" readingOrder="1"/>
    </xf>
    <xf numFmtId="4" fontId="67" fillId="25" borderId="46" xfId="0" applyNumberFormat="1" applyFont="1" applyFill="1" applyBorder="1" applyAlignment="1">
      <alignment wrapText="1" readingOrder="1"/>
    </xf>
    <xf numFmtId="4" fontId="67" fillId="25" borderId="48" xfId="0" applyNumberFormat="1" applyFont="1" applyFill="1" applyBorder="1" applyAlignment="1">
      <alignment wrapText="1" readingOrder="1"/>
    </xf>
    <xf numFmtId="17" fontId="42" fillId="0" borderId="0" xfId="271" applyNumberFormat="1" applyFont="1"/>
    <xf numFmtId="4" fontId="67" fillId="25" borderId="45" xfId="0" applyNumberFormat="1" applyFont="1" applyFill="1" applyBorder="1" applyAlignment="1">
      <alignment wrapText="1" readingOrder="1"/>
    </xf>
    <xf numFmtId="0" fontId="61" fillId="0" borderId="0" xfId="0" applyFont="1" applyAlignment="1">
      <alignment horizontal="right"/>
    </xf>
    <xf numFmtId="168" fontId="43" fillId="0" borderId="1" xfId="27" applyNumberFormat="1" applyFont="1" applyFill="1" applyBorder="1"/>
    <xf numFmtId="17" fontId="6" fillId="0" borderId="0" xfId="271" applyNumberFormat="1" applyFont="1"/>
    <xf numFmtId="4" fontId="59" fillId="0" borderId="0" xfId="0" applyNumberFormat="1" applyFont="1"/>
    <xf numFmtId="0" fontId="76" fillId="0" borderId="0" xfId="0" applyFont="1"/>
    <xf numFmtId="0" fontId="56" fillId="0" borderId="1" xfId="243" applyFont="1" applyBorder="1" applyAlignment="1">
      <alignment horizontal="center"/>
    </xf>
    <xf numFmtId="0" fontId="58" fillId="0" borderId="0" xfId="243" applyFont="1" applyAlignment="1">
      <alignment horizontal="center"/>
    </xf>
    <xf numFmtId="0" fontId="58" fillId="0" borderId="1" xfId="243" applyFont="1" applyBorder="1" applyAlignment="1">
      <alignment horizontal="center" vertical="top"/>
    </xf>
    <xf numFmtId="0" fontId="26" fillId="0" borderId="0" xfId="243" applyFont="1" applyAlignment="1">
      <alignment horizontal="center"/>
    </xf>
    <xf numFmtId="0" fontId="62" fillId="0" borderId="4" xfId="243" applyFont="1" applyBorder="1" applyAlignment="1">
      <alignment horizontal="left" vertical="center"/>
    </xf>
    <xf numFmtId="0" fontId="62" fillId="0" borderId="35" xfId="243" applyFont="1" applyBorder="1" applyAlignment="1">
      <alignment horizontal="left" vertical="center"/>
    </xf>
    <xf numFmtId="0" fontId="58" fillId="0" borderId="36" xfId="243" applyFont="1" applyBorder="1" applyAlignment="1">
      <alignment horizontal="left"/>
    </xf>
    <xf numFmtId="0" fontId="44" fillId="0" borderId="1" xfId="243" applyFont="1" applyBorder="1" applyAlignment="1">
      <alignment horizontal="center"/>
    </xf>
    <xf numFmtId="0" fontId="49" fillId="0" borderId="0" xfId="0" applyFont="1" applyAlignment="1">
      <alignment horizontal="center"/>
    </xf>
    <xf numFmtId="0" fontId="52" fillId="0" borderId="37" xfId="0" applyFont="1" applyBorder="1" applyAlignment="1">
      <alignment horizontal="center" vertical="top" wrapText="1"/>
    </xf>
    <xf numFmtId="0" fontId="52" fillId="0" borderId="21" xfId="0" applyFont="1" applyBorder="1" applyAlignment="1">
      <alignment horizontal="center" vertical="top" wrapText="1"/>
    </xf>
    <xf numFmtId="0" fontId="52" fillId="0" borderId="38" xfId="0" applyFont="1" applyBorder="1" applyAlignment="1">
      <alignment horizontal="center" vertical="top" wrapText="1"/>
    </xf>
    <xf numFmtId="0" fontId="52" fillId="0" borderId="20" xfId="0" applyFont="1" applyBorder="1" applyAlignment="1">
      <alignment horizontal="center" vertical="top" wrapText="1"/>
    </xf>
    <xf numFmtId="0" fontId="52" fillId="0" borderId="39" xfId="0" applyFont="1" applyBorder="1" applyAlignment="1">
      <alignment horizontal="center" vertical="top" wrapText="1"/>
    </xf>
    <xf numFmtId="0" fontId="14" fillId="0" borderId="0" xfId="0" applyFont="1" applyAlignment="1" applyProtection="1">
      <alignment horizontal="left" wrapText="1"/>
      <protection locked="0"/>
    </xf>
    <xf numFmtId="0" fontId="8" fillId="0" borderId="23" xfId="0" applyFont="1" applyBorder="1" applyAlignment="1">
      <alignment horizontal="center" wrapText="1"/>
    </xf>
    <xf numFmtId="0" fontId="7" fillId="0" borderId="23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0" fontId="15" fillId="0" borderId="23" xfId="0" applyFont="1" applyBorder="1" applyAlignment="1">
      <alignment horizontal="left" wrapText="1"/>
    </xf>
    <xf numFmtId="0" fontId="55" fillId="0" borderId="6" xfId="27" applyNumberFormat="1" applyFont="1" applyBorder="1" applyAlignment="1">
      <alignment horizontal="left"/>
    </xf>
    <xf numFmtId="43" fontId="68" fillId="0" borderId="58" xfId="0" applyNumberFormat="1" applyFont="1" applyBorder="1" applyAlignment="1">
      <alignment wrapText="1"/>
    </xf>
    <xf numFmtId="43" fontId="68" fillId="0" borderId="57" xfId="0" applyNumberFormat="1" applyFont="1" applyBorder="1" applyAlignment="1">
      <alignment wrapText="1"/>
    </xf>
    <xf numFmtId="0" fontId="69" fillId="0" borderId="58" xfId="0" applyFont="1" applyBorder="1" applyAlignment="1">
      <alignment wrapText="1"/>
    </xf>
    <xf numFmtId="0" fontId="69" fillId="0" borderId="57" xfId="0" applyFont="1" applyBorder="1" applyAlignment="1">
      <alignment wrapText="1"/>
    </xf>
    <xf numFmtId="0" fontId="66" fillId="0" borderId="45" xfId="0" applyFont="1" applyFill="1" applyBorder="1" applyAlignment="1">
      <alignment wrapText="1" readingOrder="1"/>
    </xf>
    <xf numFmtId="4" fontId="66" fillId="0" borderId="45" xfId="0" applyNumberFormat="1" applyFont="1" applyFill="1" applyBorder="1" applyAlignment="1">
      <alignment wrapText="1" readingOrder="1"/>
    </xf>
    <xf numFmtId="0" fontId="66" fillId="0" borderId="46" xfId="0" applyFont="1" applyFill="1" applyBorder="1" applyAlignment="1">
      <alignment wrapText="1" readingOrder="1"/>
    </xf>
    <xf numFmtId="4" fontId="66" fillId="0" borderId="46" xfId="0" applyNumberFormat="1" applyFont="1" applyFill="1" applyBorder="1" applyAlignment="1">
      <alignment wrapText="1" readingOrder="1"/>
    </xf>
    <xf numFmtId="0" fontId="67" fillId="0" borderId="45" xfId="0" applyFont="1" applyFill="1" applyBorder="1" applyAlignment="1">
      <alignment wrapText="1" readingOrder="1"/>
    </xf>
    <xf numFmtId="4" fontId="67" fillId="0" borderId="45" xfId="0" applyNumberFormat="1" applyFont="1" applyFill="1" applyBorder="1" applyAlignment="1">
      <alignment wrapText="1" readingOrder="1"/>
    </xf>
    <xf numFmtId="0" fontId="67" fillId="0" borderId="46" xfId="0" applyFont="1" applyFill="1" applyBorder="1" applyAlignment="1">
      <alignment wrapText="1" readingOrder="1"/>
    </xf>
    <xf numFmtId="4" fontId="67" fillId="0" borderId="46" xfId="0" applyNumberFormat="1" applyFont="1" applyFill="1" applyBorder="1" applyAlignment="1">
      <alignment wrapText="1" readingOrder="1"/>
    </xf>
    <xf numFmtId="4" fontId="67" fillId="17" borderId="46" xfId="0" applyNumberFormat="1" applyFont="1" applyFill="1" applyBorder="1" applyAlignment="1">
      <alignment wrapText="1" readingOrder="1"/>
    </xf>
    <xf numFmtId="0" fontId="58" fillId="0" borderId="0" xfId="243" applyFont="1" applyAlignment="1"/>
    <xf numFmtId="0" fontId="68" fillId="0" borderId="19" xfId="0" applyFont="1" applyBorder="1" applyAlignment="1"/>
    <xf numFmtId="0" fontId="68" fillId="0" borderId="51" xfId="0" applyFont="1" applyBorder="1" applyAlignment="1"/>
    <xf numFmtId="0" fontId="68" fillId="0" borderId="52" xfId="0" applyFont="1" applyBorder="1" applyAlignment="1"/>
    <xf numFmtId="0" fontId="68" fillId="0" borderId="20" xfId="0" applyFont="1" applyBorder="1" applyAlignment="1"/>
    <xf numFmtId="0" fontId="68" fillId="0" borderId="35" xfId="0" applyFont="1" applyBorder="1" applyAlignment="1"/>
    <xf numFmtId="0" fontId="68" fillId="0" borderId="53" xfId="0" applyFont="1" applyBorder="1" applyAlignment="1"/>
    <xf numFmtId="0" fontId="68" fillId="0" borderId="56" xfId="0" applyFont="1" applyBorder="1" applyAlignment="1"/>
    <xf numFmtId="0" fontId="68" fillId="0" borderId="55" xfId="0" applyFont="1" applyBorder="1" applyAlignment="1"/>
    <xf numFmtId="0" fontId="69" fillId="22" borderId="20" xfId="0" applyFont="1" applyFill="1" applyBorder="1" applyAlignment="1"/>
    <xf numFmtId="0" fontId="69" fillId="22" borderId="35" xfId="0" applyFont="1" applyFill="1" applyBorder="1" applyAlignment="1"/>
    <xf numFmtId="0" fontId="69" fillId="22" borderId="53" xfId="0" applyFont="1" applyFill="1" applyBorder="1" applyAlignment="1"/>
    <xf numFmtId="0" fontId="74" fillId="24" borderId="38" xfId="0" applyFont="1" applyFill="1" applyBorder="1" applyAlignment="1"/>
    <xf numFmtId="0" fontId="74" fillId="24" borderId="36" xfId="0" applyFont="1" applyFill="1" applyBorder="1" applyAlignment="1"/>
    <xf numFmtId="0" fontId="74" fillId="24" borderId="60" xfId="0" applyFont="1" applyFill="1" applyBorder="1" applyAlignment="1"/>
    <xf numFmtId="0" fontId="70" fillId="0" borderId="35" xfId="0" applyFont="1" applyBorder="1" applyAlignment="1"/>
    <xf numFmtId="0" fontId="70" fillId="0" borderId="53" xfId="0" applyFont="1" applyBorder="1" applyAlignment="1"/>
  </cellXfs>
  <cellStyles count="455">
    <cellStyle name="60% - Accent2 2" xfId="1" xr:uid="{00000000-0005-0000-0000-000000000000}"/>
    <cellStyle name="Accent1 2" xfId="2" xr:uid="{00000000-0005-0000-0000-000001000000}"/>
    <cellStyle name="Accent1 2 10" xfId="3" xr:uid="{00000000-0005-0000-0000-000002000000}"/>
    <cellStyle name="Accent1 2 11" xfId="4" xr:uid="{00000000-0005-0000-0000-000003000000}"/>
    <cellStyle name="Accent1 2 12" xfId="5" xr:uid="{00000000-0005-0000-0000-000004000000}"/>
    <cellStyle name="Accent1 2 2" xfId="6" xr:uid="{00000000-0005-0000-0000-000005000000}"/>
    <cellStyle name="Accent1 2 3" xfId="7" xr:uid="{00000000-0005-0000-0000-000006000000}"/>
    <cellStyle name="Accent1 2 4" xfId="8" xr:uid="{00000000-0005-0000-0000-000007000000}"/>
    <cellStyle name="Accent1 2 5" xfId="9" xr:uid="{00000000-0005-0000-0000-000008000000}"/>
    <cellStyle name="Accent1 2 6" xfId="10" xr:uid="{00000000-0005-0000-0000-000009000000}"/>
    <cellStyle name="Accent1 2 7" xfId="11" xr:uid="{00000000-0005-0000-0000-00000A000000}"/>
    <cellStyle name="Accent1 2 8" xfId="12" xr:uid="{00000000-0005-0000-0000-00000B000000}"/>
    <cellStyle name="Accent1 2 9" xfId="13" xr:uid="{00000000-0005-0000-0000-00000C000000}"/>
    <cellStyle name="Accent5 2" xfId="14" xr:uid="{00000000-0005-0000-0000-00000D000000}"/>
    <cellStyle name="Accent5 2 10" xfId="15" xr:uid="{00000000-0005-0000-0000-00000E000000}"/>
    <cellStyle name="Accent5 2 11" xfId="16" xr:uid="{00000000-0005-0000-0000-00000F000000}"/>
    <cellStyle name="Accent5 2 12" xfId="17" xr:uid="{00000000-0005-0000-0000-000010000000}"/>
    <cellStyle name="Accent5 2 2" xfId="18" xr:uid="{00000000-0005-0000-0000-000011000000}"/>
    <cellStyle name="Accent5 2 3" xfId="19" xr:uid="{00000000-0005-0000-0000-000012000000}"/>
    <cellStyle name="Accent5 2 4" xfId="20" xr:uid="{00000000-0005-0000-0000-000013000000}"/>
    <cellStyle name="Accent5 2 5" xfId="21" xr:uid="{00000000-0005-0000-0000-000014000000}"/>
    <cellStyle name="Accent5 2 6" xfId="22" xr:uid="{00000000-0005-0000-0000-000015000000}"/>
    <cellStyle name="Accent5 2 7" xfId="23" xr:uid="{00000000-0005-0000-0000-000016000000}"/>
    <cellStyle name="Accent5 2 8" xfId="24" xr:uid="{00000000-0005-0000-0000-000017000000}"/>
    <cellStyle name="Accent5 2 9" xfId="25" xr:uid="{00000000-0005-0000-0000-000018000000}"/>
    <cellStyle name="Check Cell 2" xfId="26" xr:uid="{00000000-0005-0000-0000-000019000000}"/>
    <cellStyle name="Comma" xfId="27" builtinId="3"/>
    <cellStyle name="Comma 10" xfId="28" xr:uid="{00000000-0005-0000-0000-00001B000000}"/>
    <cellStyle name="Comma 10 10" xfId="29" xr:uid="{00000000-0005-0000-0000-00001C000000}"/>
    <cellStyle name="Comma 10 11" xfId="30" xr:uid="{00000000-0005-0000-0000-00001D000000}"/>
    <cellStyle name="Comma 10 12" xfId="31" xr:uid="{00000000-0005-0000-0000-00001E000000}"/>
    <cellStyle name="Comma 10 13" xfId="32" xr:uid="{00000000-0005-0000-0000-00001F000000}"/>
    <cellStyle name="Comma 10 14" xfId="33" xr:uid="{00000000-0005-0000-0000-000020000000}"/>
    <cellStyle name="Comma 10 15" xfId="34" xr:uid="{00000000-0005-0000-0000-000021000000}"/>
    <cellStyle name="Comma 10 16" xfId="35" xr:uid="{00000000-0005-0000-0000-000022000000}"/>
    <cellStyle name="Comma 10 2" xfId="36" xr:uid="{00000000-0005-0000-0000-000023000000}"/>
    <cellStyle name="Comma 10 3" xfId="37" xr:uid="{00000000-0005-0000-0000-000024000000}"/>
    <cellStyle name="Comma 10 4" xfId="38" xr:uid="{00000000-0005-0000-0000-000025000000}"/>
    <cellStyle name="Comma 10 5" xfId="39" xr:uid="{00000000-0005-0000-0000-000026000000}"/>
    <cellStyle name="Comma 10 6" xfId="40" xr:uid="{00000000-0005-0000-0000-000027000000}"/>
    <cellStyle name="Comma 10 7" xfId="41" xr:uid="{00000000-0005-0000-0000-000028000000}"/>
    <cellStyle name="Comma 10 8" xfId="42" xr:uid="{00000000-0005-0000-0000-000029000000}"/>
    <cellStyle name="Comma 10 9" xfId="43" xr:uid="{00000000-0005-0000-0000-00002A000000}"/>
    <cellStyle name="Comma 11" xfId="44" xr:uid="{00000000-0005-0000-0000-00002B000000}"/>
    <cellStyle name="Comma 11 10" xfId="45" xr:uid="{00000000-0005-0000-0000-00002C000000}"/>
    <cellStyle name="Comma 11 11" xfId="46" xr:uid="{00000000-0005-0000-0000-00002D000000}"/>
    <cellStyle name="Comma 11 12" xfId="47" xr:uid="{00000000-0005-0000-0000-00002E000000}"/>
    <cellStyle name="Comma 11 13" xfId="48" xr:uid="{00000000-0005-0000-0000-00002F000000}"/>
    <cellStyle name="Comma 11 14" xfId="49" xr:uid="{00000000-0005-0000-0000-000030000000}"/>
    <cellStyle name="Comma 11 15" xfId="50" xr:uid="{00000000-0005-0000-0000-000031000000}"/>
    <cellStyle name="Comma 11 16" xfId="51" xr:uid="{00000000-0005-0000-0000-000032000000}"/>
    <cellStyle name="Comma 11 17" xfId="52" xr:uid="{00000000-0005-0000-0000-000033000000}"/>
    <cellStyle name="Comma 11 2" xfId="53" xr:uid="{00000000-0005-0000-0000-000034000000}"/>
    <cellStyle name="Comma 11 2 2" xfId="54" xr:uid="{00000000-0005-0000-0000-000035000000}"/>
    <cellStyle name="Comma 11 3" xfId="55" xr:uid="{00000000-0005-0000-0000-000036000000}"/>
    <cellStyle name="Comma 11 4" xfId="56" xr:uid="{00000000-0005-0000-0000-000037000000}"/>
    <cellStyle name="Comma 11 5" xfId="57" xr:uid="{00000000-0005-0000-0000-000038000000}"/>
    <cellStyle name="Comma 11 6" xfId="58" xr:uid="{00000000-0005-0000-0000-000039000000}"/>
    <cellStyle name="Comma 11 7" xfId="59" xr:uid="{00000000-0005-0000-0000-00003A000000}"/>
    <cellStyle name="Comma 11 8" xfId="60" xr:uid="{00000000-0005-0000-0000-00003B000000}"/>
    <cellStyle name="Comma 11 9" xfId="61" xr:uid="{00000000-0005-0000-0000-00003C000000}"/>
    <cellStyle name="Comma 12" xfId="62" xr:uid="{00000000-0005-0000-0000-00003D000000}"/>
    <cellStyle name="Comma 13" xfId="63" xr:uid="{00000000-0005-0000-0000-00003E000000}"/>
    <cellStyle name="Comma 14" xfId="64" xr:uid="{00000000-0005-0000-0000-00003F000000}"/>
    <cellStyle name="Comma 141" xfId="65" xr:uid="{00000000-0005-0000-0000-000040000000}"/>
    <cellStyle name="Comma 142" xfId="66" xr:uid="{00000000-0005-0000-0000-000041000000}"/>
    <cellStyle name="Comma 143" xfId="67" xr:uid="{00000000-0005-0000-0000-000042000000}"/>
    <cellStyle name="Comma 144" xfId="68" xr:uid="{00000000-0005-0000-0000-000043000000}"/>
    <cellStyle name="Comma 15" xfId="69" xr:uid="{00000000-0005-0000-0000-000044000000}"/>
    <cellStyle name="Comma 16" xfId="70" xr:uid="{00000000-0005-0000-0000-000045000000}"/>
    <cellStyle name="Comma 16 10" xfId="71" xr:uid="{00000000-0005-0000-0000-000046000000}"/>
    <cellStyle name="Comma 16 11" xfId="72" xr:uid="{00000000-0005-0000-0000-000047000000}"/>
    <cellStyle name="Comma 16 12" xfId="73" xr:uid="{00000000-0005-0000-0000-000048000000}"/>
    <cellStyle name="Comma 16 13" xfId="74" xr:uid="{00000000-0005-0000-0000-000049000000}"/>
    <cellStyle name="Comma 16 14" xfId="75" xr:uid="{00000000-0005-0000-0000-00004A000000}"/>
    <cellStyle name="Comma 16 15" xfId="76" xr:uid="{00000000-0005-0000-0000-00004B000000}"/>
    <cellStyle name="Comma 16 16" xfId="77" xr:uid="{00000000-0005-0000-0000-00004C000000}"/>
    <cellStyle name="Comma 16 2" xfId="78" xr:uid="{00000000-0005-0000-0000-00004D000000}"/>
    <cellStyle name="Comma 16 3" xfId="79" xr:uid="{00000000-0005-0000-0000-00004E000000}"/>
    <cellStyle name="Comma 16 4" xfId="80" xr:uid="{00000000-0005-0000-0000-00004F000000}"/>
    <cellStyle name="Comma 16 5" xfId="81" xr:uid="{00000000-0005-0000-0000-000050000000}"/>
    <cellStyle name="Comma 16 6" xfId="82" xr:uid="{00000000-0005-0000-0000-000051000000}"/>
    <cellStyle name="Comma 16 7" xfId="83" xr:uid="{00000000-0005-0000-0000-000052000000}"/>
    <cellStyle name="Comma 16 8" xfId="84" xr:uid="{00000000-0005-0000-0000-000053000000}"/>
    <cellStyle name="Comma 16 9" xfId="85" xr:uid="{00000000-0005-0000-0000-000054000000}"/>
    <cellStyle name="Comma 17" xfId="86" xr:uid="{00000000-0005-0000-0000-000055000000}"/>
    <cellStyle name="Comma 17 10" xfId="87" xr:uid="{00000000-0005-0000-0000-000056000000}"/>
    <cellStyle name="Comma 17 2" xfId="88" xr:uid="{00000000-0005-0000-0000-000057000000}"/>
    <cellStyle name="Comma 17 3" xfId="89" xr:uid="{00000000-0005-0000-0000-000058000000}"/>
    <cellStyle name="Comma 17 4" xfId="90" xr:uid="{00000000-0005-0000-0000-000059000000}"/>
    <cellStyle name="Comma 17 5" xfId="91" xr:uid="{00000000-0005-0000-0000-00005A000000}"/>
    <cellStyle name="Comma 17 6" xfId="92" xr:uid="{00000000-0005-0000-0000-00005B000000}"/>
    <cellStyle name="Comma 17 7" xfId="93" xr:uid="{00000000-0005-0000-0000-00005C000000}"/>
    <cellStyle name="Comma 17 8" xfId="94" xr:uid="{00000000-0005-0000-0000-00005D000000}"/>
    <cellStyle name="Comma 17 9" xfId="95" xr:uid="{00000000-0005-0000-0000-00005E000000}"/>
    <cellStyle name="Comma 18" xfId="96" xr:uid="{00000000-0005-0000-0000-00005F000000}"/>
    <cellStyle name="Comma 2" xfId="97" xr:uid="{00000000-0005-0000-0000-000060000000}"/>
    <cellStyle name="Comma 2 10" xfId="98" xr:uid="{00000000-0005-0000-0000-000061000000}"/>
    <cellStyle name="Comma 2 11" xfId="99" xr:uid="{00000000-0005-0000-0000-000062000000}"/>
    <cellStyle name="Comma 2 12" xfId="100" xr:uid="{00000000-0005-0000-0000-000063000000}"/>
    <cellStyle name="Comma 2 13" xfId="101" xr:uid="{00000000-0005-0000-0000-000064000000}"/>
    <cellStyle name="Comma 2 14" xfId="102" xr:uid="{00000000-0005-0000-0000-000065000000}"/>
    <cellStyle name="Comma 2 15" xfId="103" xr:uid="{00000000-0005-0000-0000-000066000000}"/>
    <cellStyle name="Comma 2 16" xfId="104" xr:uid="{00000000-0005-0000-0000-000067000000}"/>
    <cellStyle name="Comma 2 17" xfId="105" xr:uid="{00000000-0005-0000-0000-000068000000}"/>
    <cellStyle name="Comma 2 18" xfId="106" xr:uid="{00000000-0005-0000-0000-000069000000}"/>
    <cellStyle name="Comma 2 19" xfId="107" xr:uid="{00000000-0005-0000-0000-00006A000000}"/>
    <cellStyle name="Comma 2 2" xfId="108" xr:uid="{00000000-0005-0000-0000-00006B000000}"/>
    <cellStyle name="Comma 2 20" xfId="109" xr:uid="{00000000-0005-0000-0000-00006C000000}"/>
    <cellStyle name="Comma 2 21" xfId="110" xr:uid="{00000000-0005-0000-0000-00006D000000}"/>
    <cellStyle name="Comma 2 22" xfId="111" xr:uid="{00000000-0005-0000-0000-00006E000000}"/>
    <cellStyle name="Comma 2 23" xfId="112" xr:uid="{00000000-0005-0000-0000-00006F000000}"/>
    <cellStyle name="Comma 2 24" xfId="113" xr:uid="{00000000-0005-0000-0000-000070000000}"/>
    <cellStyle name="Comma 2 25" xfId="114" xr:uid="{00000000-0005-0000-0000-000071000000}"/>
    <cellStyle name="Comma 2 26" xfId="115" xr:uid="{00000000-0005-0000-0000-000072000000}"/>
    <cellStyle name="Comma 2 3" xfId="116" xr:uid="{00000000-0005-0000-0000-000073000000}"/>
    <cellStyle name="Comma 2 4" xfId="117" xr:uid="{00000000-0005-0000-0000-000074000000}"/>
    <cellStyle name="Comma 2 5" xfId="118" xr:uid="{00000000-0005-0000-0000-000075000000}"/>
    <cellStyle name="Comma 2 6" xfId="119" xr:uid="{00000000-0005-0000-0000-000076000000}"/>
    <cellStyle name="Comma 2 7" xfId="120" xr:uid="{00000000-0005-0000-0000-000077000000}"/>
    <cellStyle name="Comma 2 8" xfId="121" xr:uid="{00000000-0005-0000-0000-000078000000}"/>
    <cellStyle name="Comma 2 9" xfId="122" xr:uid="{00000000-0005-0000-0000-000079000000}"/>
    <cellStyle name="Comma 24" xfId="123" xr:uid="{00000000-0005-0000-0000-00007A000000}"/>
    <cellStyle name="Comma 3" xfId="124" xr:uid="{00000000-0005-0000-0000-00007B000000}"/>
    <cellStyle name="Comma 3 10" xfId="125" xr:uid="{00000000-0005-0000-0000-00007C000000}"/>
    <cellStyle name="Comma 3 11" xfId="126" xr:uid="{00000000-0005-0000-0000-00007D000000}"/>
    <cellStyle name="Comma 3 12" xfId="127" xr:uid="{00000000-0005-0000-0000-00007E000000}"/>
    <cellStyle name="Comma 3 13" xfId="128" xr:uid="{00000000-0005-0000-0000-00007F000000}"/>
    <cellStyle name="Comma 3 14" xfId="129" xr:uid="{00000000-0005-0000-0000-000080000000}"/>
    <cellStyle name="Comma 3 15" xfId="130" xr:uid="{00000000-0005-0000-0000-000081000000}"/>
    <cellStyle name="Comma 3 16" xfId="131" xr:uid="{00000000-0005-0000-0000-000082000000}"/>
    <cellStyle name="Comma 3 17" xfId="132" xr:uid="{00000000-0005-0000-0000-000083000000}"/>
    <cellStyle name="Comma 3 18" xfId="133" xr:uid="{00000000-0005-0000-0000-000084000000}"/>
    <cellStyle name="Comma 3 19" xfId="134" xr:uid="{00000000-0005-0000-0000-000085000000}"/>
    <cellStyle name="Comma 3 2" xfId="135" xr:uid="{00000000-0005-0000-0000-000086000000}"/>
    <cellStyle name="Comma 3 20" xfId="136" xr:uid="{00000000-0005-0000-0000-000087000000}"/>
    <cellStyle name="Comma 3 3" xfId="137" xr:uid="{00000000-0005-0000-0000-000088000000}"/>
    <cellStyle name="Comma 3 4" xfId="138" xr:uid="{00000000-0005-0000-0000-000089000000}"/>
    <cellStyle name="Comma 3 5" xfId="139" xr:uid="{00000000-0005-0000-0000-00008A000000}"/>
    <cellStyle name="Comma 3 6" xfId="140" xr:uid="{00000000-0005-0000-0000-00008B000000}"/>
    <cellStyle name="Comma 3 7" xfId="141" xr:uid="{00000000-0005-0000-0000-00008C000000}"/>
    <cellStyle name="Comma 3 8" xfId="142" xr:uid="{00000000-0005-0000-0000-00008D000000}"/>
    <cellStyle name="Comma 3 9" xfId="143" xr:uid="{00000000-0005-0000-0000-00008E000000}"/>
    <cellStyle name="Comma 4" xfId="144" xr:uid="{00000000-0005-0000-0000-00008F000000}"/>
    <cellStyle name="Comma 5" xfId="145" xr:uid="{00000000-0005-0000-0000-000090000000}"/>
    <cellStyle name="Comma 5 10" xfId="146" xr:uid="{00000000-0005-0000-0000-000091000000}"/>
    <cellStyle name="Comma 5 11" xfId="147" xr:uid="{00000000-0005-0000-0000-000092000000}"/>
    <cellStyle name="Comma 5 12" xfId="148" xr:uid="{00000000-0005-0000-0000-000093000000}"/>
    <cellStyle name="Comma 5 13" xfId="149" xr:uid="{00000000-0005-0000-0000-000094000000}"/>
    <cellStyle name="Comma 5 14" xfId="150" xr:uid="{00000000-0005-0000-0000-000095000000}"/>
    <cellStyle name="Comma 5 15" xfId="151" xr:uid="{00000000-0005-0000-0000-000096000000}"/>
    <cellStyle name="Comma 5 16" xfId="152" xr:uid="{00000000-0005-0000-0000-000097000000}"/>
    <cellStyle name="Comma 5 17" xfId="153" xr:uid="{00000000-0005-0000-0000-000098000000}"/>
    <cellStyle name="Comma 5 18" xfId="154" xr:uid="{00000000-0005-0000-0000-000099000000}"/>
    <cellStyle name="Comma 5 19" xfId="155" xr:uid="{00000000-0005-0000-0000-00009A000000}"/>
    <cellStyle name="Comma 5 2" xfId="156" xr:uid="{00000000-0005-0000-0000-00009B000000}"/>
    <cellStyle name="Comma 5 20" xfId="157" xr:uid="{00000000-0005-0000-0000-00009C000000}"/>
    <cellStyle name="Comma 5 3" xfId="158" xr:uid="{00000000-0005-0000-0000-00009D000000}"/>
    <cellStyle name="Comma 5 4" xfId="159" xr:uid="{00000000-0005-0000-0000-00009E000000}"/>
    <cellStyle name="Comma 5 5" xfId="160" xr:uid="{00000000-0005-0000-0000-00009F000000}"/>
    <cellStyle name="Comma 5 6" xfId="161" xr:uid="{00000000-0005-0000-0000-0000A0000000}"/>
    <cellStyle name="Comma 5 7" xfId="162" xr:uid="{00000000-0005-0000-0000-0000A1000000}"/>
    <cellStyle name="Comma 5 8" xfId="163" xr:uid="{00000000-0005-0000-0000-0000A2000000}"/>
    <cellStyle name="Comma 5 9" xfId="164" xr:uid="{00000000-0005-0000-0000-0000A3000000}"/>
    <cellStyle name="Comma 6" xfId="165" xr:uid="{00000000-0005-0000-0000-0000A4000000}"/>
    <cellStyle name="Comma 6 10" xfId="166" xr:uid="{00000000-0005-0000-0000-0000A5000000}"/>
    <cellStyle name="Comma 6 11" xfId="167" xr:uid="{00000000-0005-0000-0000-0000A6000000}"/>
    <cellStyle name="Comma 6 12" xfId="168" xr:uid="{00000000-0005-0000-0000-0000A7000000}"/>
    <cellStyle name="Comma 6 13" xfId="169" xr:uid="{00000000-0005-0000-0000-0000A8000000}"/>
    <cellStyle name="Comma 6 14" xfId="170" xr:uid="{00000000-0005-0000-0000-0000A9000000}"/>
    <cellStyle name="Comma 6 15" xfId="171" xr:uid="{00000000-0005-0000-0000-0000AA000000}"/>
    <cellStyle name="Comma 6 16" xfId="172" xr:uid="{00000000-0005-0000-0000-0000AB000000}"/>
    <cellStyle name="Comma 6 17" xfId="173" xr:uid="{00000000-0005-0000-0000-0000AC000000}"/>
    <cellStyle name="Comma 6 18" xfId="174" xr:uid="{00000000-0005-0000-0000-0000AD000000}"/>
    <cellStyle name="Comma 6 19" xfId="175" xr:uid="{00000000-0005-0000-0000-0000AE000000}"/>
    <cellStyle name="Comma 6 2" xfId="176" xr:uid="{00000000-0005-0000-0000-0000AF000000}"/>
    <cellStyle name="Comma 6 3" xfId="177" xr:uid="{00000000-0005-0000-0000-0000B0000000}"/>
    <cellStyle name="Comma 6 4" xfId="178" xr:uid="{00000000-0005-0000-0000-0000B1000000}"/>
    <cellStyle name="Comma 6 5" xfId="179" xr:uid="{00000000-0005-0000-0000-0000B2000000}"/>
    <cellStyle name="Comma 6 6" xfId="180" xr:uid="{00000000-0005-0000-0000-0000B3000000}"/>
    <cellStyle name="Comma 6 7" xfId="181" xr:uid="{00000000-0005-0000-0000-0000B4000000}"/>
    <cellStyle name="Comma 6 8" xfId="182" xr:uid="{00000000-0005-0000-0000-0000B5000000}"/>
    <cellStyle name="Comma 6 9" xfId="183" xr:uid="{00000000-0005-0000-0000-0000B6000000}"/>
    <cellStyle name="Comma 7" xfId="184" xr:uid="{00000000-0005-0000-0000-0000B7000000}"/>
    <cellStyle name="Comma 7 10" xfId="185" xr:uid="{00000000-0005-0000-0000-0000B8000000}"/>
    <cellStyle name="Comma 7 11" xfId="186" xr:uid="{00000000-0005-0000-0000-0000B9000000}"/>
    <cellStyle name="Comma 7 12" xfId="187" xr:uid="{00000000-0005-0000-0000-0000BA000000}"/>
    <cellStyle name="Comma 7 13" xfId="188" xr:uid="{00000000-0005-0000-0000-0000BB000000}"/>
    <cellStyle name="Comma 7 14" xfId="189" xr:uid="{00000000-0005-0000-0000-0000BC000000}"/>
    <cellStyle name="Comma 7 15" xfId="190" xr:uid="{00000000-0005-0000-0000-0000BD000000}"/>
    <cellStyle name="Comma 7 16" xfId="191" xr:uid="{00000000-0005-0000-0000-0000BE000000}"/>
    <cellStyle name="Comma 7 17" xfId="192" xr:uid="{00000000-0005-0000-0000-0000BF000000}"/>
    <cellStyle name="Comma 7 18" xfId="193" xr:uid="{00000000-0005-0000-0000-0000C0000000}"/>
    <cellStyle name="Comma 7 19" xfId="194" xr:uid="{00000000-0005-0000-0000-0000C1000000}"/>
    <cellStyle name="Comma 7 2" xfId="195" xr:uid="{00000000-0005-0000-0000-0000C2000000}"/>
    <cellStyle name="Comma 7 3" xfId="196" xr:uid="{00000000-0005-0000-0000-0000C3000000}"/>
    <cellStyle name="Comma 7 4" xfId="197" xr:uid="{00000000-0005-0000-0000-0000C4000000}"/>
    <cellStyle name="Comma 7 5" xfId="198" xr:uid="{00000000-0005-0000-0000-0000C5000000}"/>
    <cellStyle name="Comma 7 6" xfId="199" xr:uid="{00000000-0005-0000-0000-0000C6000000}"/>
    <cellStyle name="Comma 7 7" xfId="200" xr:uid="{00000000-0005-0000-0000-0000C7000000}"/>
    <cellStyle name="Comma 7 8" xfId="201" xr:uid="{00000000-0005-0000-0000-0000C8000000}"/>
    <cellStyle name="Comma 7 9" xfId="202" xr:uid="{00000000-0005-0000-0000-0000C9000000}"/>
    <cellStyle name="Comma 8" xfId="203" xr:uid="{00000000-0005-0000-0000-0000CA000000}"/>
    <cellStyle name="Comma 8 10" xfId="204" xr:uid="{00000000-0005-0000-0000-0000CB000000}"/>
    <cellStyle name="Comma 8 11" xfId="205" xr:uid="{00000000-0005-0000-0000-0000CC000000}"/>
    <cellStyle name="Comma 8 12" xfId="206" xr:uid="{00000000-0005-0000-0000-0000CD000000}"/>
    <cellStyle name="Comma 8 13" xfId="207" xr:uid="{00000000-0005-0000-0000-0000CE000000}"/>
    <cellStyle name="Comma 8 14" xfId="208" xr:uid="{00000000-0005-0000-0000-0000CF000000}"/>
    <cellStyle name="Comma 8 15" xfId="209" xr:uid="{00000000-0005-0000-0000-0000D0000000}"/>
    <cellStyle name="Comma 8 16" xfId="210" xr:uid="{00000000-0005-0000-0000-0000D1000000}"/>
    <cellStyle name="Comma 8 17" xfId="211" xr:uid="{00000000-0005-0000-0000-0000D2000000}"/>
    <cellStyle name="Comma 8 18" xfId="212" xr:uid="{00000000-0005-0000-0000-0000D3000000}"/>
    <cellStyle name="Comma 8 19" xfId="213" xr:uid="{00000000-0005-0000-0000-0000D4000000}"/>
    <cellStyle name="Comma 8 2" xfId="214" xr:uid="{00000000-0005-0000-0000-0000D5000000}"/>
    <cellStyle name="Comma 8 3" xfId="215" xr:uid="{00000000-0005-0000-0000-0000D6000000}"/>
    <cellStyle name="Comma 8 4" xfId="216" xr:uid="{00000000-0005-0000-0000-0000D7000000}"/>
    <cellStyle name="Comma 8 5" xfId="217" xr:uid="{00000000-0005-0000-0000-0000D8000000}"/>
    <cellStyle name="Comma 8 6" xfId="218" xr:uid="{00000000-0005-0000-0000-0000D9000000}"/>
    <cellStyle name="Comma 8 7" xfId="219" xr:uid="{00000000-0005-0000-0000-0000DA000000}"/>
    <cellStyle name="Comma 8 8" xfId="220" xr:uid="{00000000-0005-0000-0000-0000DB000000}"/>
    <cellStyle name="Comma 8 9" xfId="221" xr:uid="{00000000-0005-0000-0000-0000DC000000}"/>
    <cellStyle name="Comma 9" xfId="222" xr:uid="{00000000-0005-0000-0000-0000DD000000}"/>
    <cellStyle name="Comma 9 10" xfId="223" xr:uid="{00000000-0005-0000-0000-0000DE000000}"/>
    <cellStyle name="Comma 9 11" xfId="224" xr:uid="{00000000-0005-0000-0000-0000DF000000}"/>
    <cellStyle name="Comma 9 12" xfId="225" xr:uid="{00000000-0005-0000-0000-0000E0000000}"/>
    <cellStyle name="Comma 9 13" xfId="226" xr:uid="{00000000-0005-0000-0000-0000E1000000}"/>
    <cellStyle name="Comma 9 14" xfId="227" xr:uid="{00000000-0005-0000-0000-0000E2000000}"/>
    <cellStyle name="Comma 9 15" xfId="228" xr:uid="{00000000-0005-0000-0000-0000E3000000}"/>
    <cellStyle name="Comma 9 16" xfId="229" xr:uid="{00000000-0005-0000-0000-0000E4000000}"/>
    <cellStyle name="Comma 9 17" xfId="230" xr:uid="{00000000-0005-0000-0000-0000E5000000}"/>
    <cellStyle name="Comma 9 18" xfId="231" xr:uid="{00000000-0005-0000-0000-0000E6000000}"/>
    <cellStyle name="Comma 9 19" xfId="232" xr:uid="{00000000-0005-0000-0000-0000E7000000}"/>
    <cellStyle name="Comma 9 2" xfId="233" xr:uid="{00000000-0005-0000-0000-0000E8000000}"/>
    <cellStyle name="Comma 9 3" xfId="234" xr:uid="{00000000-0005-0000-0000-0000E9000000}"/>
    <cellStyle name="Comma 9 4" xfId="235" xr:uid="{00000000-0005-0000-0000-0000EA000000}"/>
    <cellStyle name="Comma 9 5" xfId="236" xr:uid="{00000000-0005-0000-0000-0000EB000000}"/>
    <cellStyle name="Comma 9 6" xfId="237" xr:uid="{00000000-0005-0000-0000-0000EC000000}"/>
    <cellStyle name="Comma 9 7" xfId="238" xr:uid="{00000000-0005-0000-0000-0000ED000000}"/>
    <cellStyle name="Comma 9 8" xfId="239" xr:uid="{00000000-0005-0000-0000-0000EE000000}"/>
    <cellStyle name="Comma 9 9" xfId="240" xr:uid="{00000000-0005-0000-0000-0000EF000000}"/>
    <cellStyle name="Input 2" xfId="241" xr:uid="{00000000-0005-0000-0000-0000F0000000}"/>
    <cellStyle name="Jun" xfId="242" xr:uid="{00000000-0005-0000-0000-0000F1000000}"/>
    <cellStyle name="Normal" xfId="0" builtinId="0"/>
    <cellStyle name="Normal 10" xfId="243" xr:uid="{00000000-0005-0000-0000-0000F3000000}"/>
    <cellStyle name="Normal 10 2" xfId="244" xr:uid="{00000000-0005-0000-0000-0000F4000000}"/>
    <cellStyle name="Normal 10 3" xfId="245" xr:uid="{00000000-0005-0000-0000-0000F5000000}"/>
    <cellStyle name="Normal 10 4" xfId="246" xr:uid="{00000000-0005-0000-0000-0000F6000000}"/>
    <cellStyle name="Normal 10 5" xfId="247" xr:uid="{00000000-0005-0000-0000-0000F7000000}"/>
    <cellStyle name="Normal 11" xfId="248" xr:uid="{00000000-0005-0000-0000-0000F8000000}"/>
    <cellStyle name="Normal 12" xfId="249" xr:uid="{00000000-0005-0000-0000-0000F9000000}"/>
    <cellStyle name="Normal 12 2" xfId="250" xr:uid="{00000000-0005-0000-0000-0000FA000000}"/>
    <cellStyle name="Normal 12 3" xfId="251" xr:uid="{00000000-0005-0000-0000-0000FB000000}"/>
    <cellStyle name="Normal 12 4" xfId="252" xr:uid="{00000000-0005-0000-0000-0000FC000000}"/>
    <cellStyle name="Normal 12 5" xfId="253" xr:uid="{00000000-0005-0000-0000-0000FD000000}"/>
    <cellStyle name="Normal 13" xfId="254" xr:uid="{00000000-0005-0000-0000-0000FE000000}"/>
    <cellStyle name="Normal 13 2" xfId="255" xr:uid="{00000000-0005-0000-0000-0000FF000000}"/>
    <cellStyle name="Normal 13 3" xfId="256" xr:uid="{00000000-0005-0000-0000-000000010000}"/>
    <cellStyle name="Normal 13 4" xfId="257" xr:uid="{00000000-0005-0000-0000-000001010000}"/>
    <cellStyle name="Normal 13 5" xfId="258" xr:uid="{00000000-0005-0000-0000-000002010000}"/>
    <cellStyle name="Normal 14" xfId="259" xr:uid="{00000000-0005-0000-0000-000003010000}"/>
    <cellStyle name="Normal 14 10" xfId="260" xr:uid="{00000000-0005-0000-0000-000004010000}"/>
    <cellStyle name="Normal 14 11" xfId="261" xr:uid="{00000000-0005-0000-0000-000005010000}"/>
    <cellStyle name="Normal 14 12" xfId="262" xr:uid="{00000000-0005-0000-0000-000006010000}"/>
    <cellStyle name="Normal 14 2" xfId="263" xr:uid="{00000000-0005-0000-0000-000007010000}"/>
    <cellStyle name="Normal 14 3" xfId="264" xr:uid="{00000000-0005-0000-0000-000008010000}"/>
    <cellStyle name="Normal 14 4" xfId="265" xr:uid="{00000000-0005-0000-0000-000009010000}"/>
    <cellStyle name="Normal 14 5" xfId="266" xr:uid="{00000000-0005-0000-0000-00000A010000}"/>
    <cellStyle name="Normal 14 6" xfId="267" xr:uid="{00000000-0005-0000-0000-00000B010000}"/>
    <cellStyle name="Normal 14 7" xfId="268" xr:uid="{00000000-0005-0000-0000-00000C010000}"/>
    <cellStyle name="Normal 14 8" xfId="269" xr:uid="{00000000-0005-0000-0000-00000D010000}"/>
    <cellStyle name="Normal 14 9" xfId="270" xr:uid="{00000000-0005-0000-0000-00000E010000}"/>
    <cellStyle name="Normal 15" xfId="271" xr:uid="{00000000-0005-0000-0000-00000F010000}"/>
    <cellStyle name="Normal 16" xfId="272" xr:uid="{00000000-0005-0000-0000-000010010000}"/>
    <cellStyle name="Normal 17" xfId="273" xr:uid="{00000000-0005-0000-0000-000011010000}"/>
    <cellStyle name="Normal 17 2" xfId="274" xr:uid="{00000000-0005-0000-0000-000012010000}"/>
    <cellStyle name="Normal 17 3" xfId="275" xr:uid="{00000000-0005-0000-0000-000013010000}"/>
    <cellStyle name="Normal 17 4" xfId="276" xr:uid="{00000000-0005-0000-0000-000014010000}"/>
    <cellStyle name="Normal 17 5" xfId="277" xr:uid="{00000000-0005-0000-0000-000015010000}"/>
    <cellStyle name="Normal 18" xfId="278" xr:uid="{00000000-0005-0000-0000-000016010000}"/>
    <cellStyle name="Normal 19" xfId="279" xr:uid="{00000000-0005-0000-0000-000017010000}"/>
    <cellStyle name="Normal 2" xfId="280" xr:uid="{00000000-0005-0000-0000-000018010000}"/>
    <cellStyle name="Normal 2 10" xfId="281" xr:uid="{00000000-0005-0000-0000-000019010000}"/>
    <cellStyle name="Normal 2 11" xfId="282" xr:uid="{00000000-0005-0000-0000-00001A010000}"/>
    <cellStyle name="Normal 2 12" xfId="283" xr:uid="{00000000-0005-0000-0000-00001B010000}"/>
    <cellStyle name="Normal 2 13" xfId="284" xr:uid="{00000000-0005-0000-0000-00001C010000}"/>
    <cellStyle name="Normal 2 14" xfId="285" xr:uid="{00000000-0005-0000-0000-00001D010000}"/>
    <cellStyle name="Normal 2 15" xfId="286" xr:uid="{00000000-0005-0000-0000-00001E010000}"/>
    <cellStyle name="Normal 2 16" xfId="287" xr:uid="{00000000-0005-0000-0000-00001F010000}"/>
    <cellStyle name="Normal 2 17" xfId="288" xr:uid="{00000000-0005-0000-0000-000020010000}"/>
    <cellStyle name="Normal 2 18" xfId="289" xr:uid="{00000000-0005-0000-0000-000021010000}"/>
    <cellStyle name="Normal 2 19" xfId="290" xr:uid="{00000000-0005-0000-0000-000022010000}"/>
    <cellStyle name="Normal 2 2" xfId="291" xr:uid="{00000000-0005-0000-0000-000023010000}"/>
    <cellStyle name="Normal 2 20" xfId="292" xr:uid="{00000000-0005-0000-0000-000024010000}"/>
    <cellStyle name="Normal 2 3" xfId="293" xr:uid="{00000000-0005-0000-0000-000025010000}"/>
    <cellStyle name="Normal 2 4" xfId="294" xr:uid="{00000000-0005-0000-0000-000026010000}"/>
    <cellStyle name="Normal 2 5" xfId="295" xr:uid="{00000000-0005-0000-0000-000027010000}"/>
    <cellStyle name="Normal 2 6" xfId="296" xr:uid="{00000000-0005-0000-0000-000028010000}"/>
    <cellStyle name="Normal 2 7" xfId="297" xr:uid="{00000000-0005-0000-0000-000029010000}"/>
    <cellStyle name="Normal 2 8" xfId="298" xr:uid="{00000000-0005-0000-0000-00002A010000}"/>
    <cellStyle name="Normal 2 9" xfId="299" xr:uid="{00000000-0005-0000-0000-00002B010000}"/>
    <cellStyle name="Normal 2_deposits mobilized" xfId="300" xr:uid="{00000000-0005-0000-0000-00002C010000}"/>
    <cellStyle name="Normal 20" xfId="301" xr:uid="{00000000-0005-0000-0000-00002D010000}"/>
    <cellStyle name="Normal 21" xfId="302" xr:uid="{00000000-0005-0000-0000-00002E010000}"/>
    <cellStyle name="Normal 21 10" xfId="303" xr:uid="{00000000-0005-0000-0000-00002F010000}"/>
    <cellStyle name="Normal 21 11" xfId="304" xr:uid="{00000000-0005-0000-0000-000030010000}"/>
    <cellStyle name="Normal 21 12" xfId="305" xr:uid="{00000000-0005-0000-0000-000031010000}"/>
    <cellStyle name="Normal 21 13" xfId="306" xr:uid="{00000000-0005-0000-0000-000032010000}"/>
    <cellStyle name="Normal 21 14" xfId="307" xr:uid="{00000000-0005-0000-0000-000033010000}"/>
    <cellStyle name="Normal 21 15" xfId="308" xr:uid="{00000000-0005-0000-0000-000034010000}"/>
    <cellStyle name="Normal 21 16" xfId="309" xr:uid="{00000000-0005-0000-0000-000035010000}"/>
    <cellStyle name="Normal 21 2" xfId="310" xr:uid="{00000000-0005-0000-0000-000036010000}"/>
    <cellStyle name="Normal 21 3" xfId="311" xr:uid="{00000000-0005-0000-0000-000037010000}"/>
    <cellStyle name="Normal 21 4" xfId="312" xr:uid="{00000000-0005-0000-0000-000038010000}"/>
    <cellStyle name="Normal 21 5" xfId="313" xr:uid="{00000000-0005-0000-0000-000039010000}"/>
    <cellStyle name="Normal 21 6" xfId="314" xr:uid="{00000000-0005-0000-0000-00003A010000}"/>
    <cellStyle name="Normal 21 7" xfId="315" xr:uid="{00000000-0005-0000-0000-00003B010000}"/>
    <cellStyle name="Normal 21 8" xfId="316" xr:uid="{00000000-0005-0000-0000-00003C010000}"/>
    <cellStyle name="Normal 21 9" xfId="317" xr:uid="{00000000-0005-0000-0000-00003D010000}"/>
    <cellStyle name="Normal 22" xfId="318" xr:uid="{00000000-0005-0000-0000-00003E010000}"/>
    <cellStyle name="Normal 23" xfId="319" xr:uid="{00000000-0005-0000-0000-00003F010000}"/>
    <cellStyle name="Normal 24" xfId="320" xr:uid="{00000000-0005-0000-0000-000040010000}"/>
    <cellStyle name="Normal 25" xfId="321" xr:uid="{00000000-0005-0000-0000-000041010000}"/>
    <cellStyle name="Normal 26" xfId="322" xr:uid="{00000000-0005-0000-0000-000042010000}"/>
    <cellStyle name="Normal 27" xfId="323" xr:uid="{00000000-0005-0000-0000-000043010000}"/>
    <cellStyle name="Normal 28" xfId="324" xr:uid="{00000000-0005-0000-0000-000044010000}"/>
    <cellStyle name="Normal 29" xfId="325" xr:uid="{00000000-0005-0000-0000-000045010000}"/>
    <cellStyle name="Normal 3" xfId="326" xr:uid="{00000000-0005-0000-0000-000046010000}"/>
    <cellStyle name="Normal 3 10" xfId="327" xr:uid="{00000000-0005-0000-0000-000047010000}"/>
    <cellStyle name="Normal 3 11" xfId="328" xr:uid="{00000000-0005-0000-0000-000048010000}"/>
    <cellStyle name="Normal 3 12" xfId="329" xr:uid="{00000000-0005-0000-0000-000049010000}"/>
    <cellStyle name="Normal 3 13" xfId="330" xr:uid="{00000000-0005-0000-0000-00004A010000}"/>
    <cellStyle name="Normal 3 14" xfId="331" xr:uid="{00000000-0005-0000-0000-00004B010000}"/>
    <cellStyle name="Normal 3 15" xfId="332" xr:uid="{00000000-0005-0000-0000-00004C010000}"/>
    <cellStyle name="Normal 3 16" xfId="333" xr:uid="{00000000-0005-0000-0000-00004D010000}"/>
    <cellStyle name="Normal 3 17" xfId="334" xr:uid="{00000000-0005-0000-0000-00004E010000}"/>
    <cellStyle name="Normal 3 18" xfId="335" xr:uid="{00000000-0005-0000-0000-00004F010000}"/>
    <cellStyle name="Normal 3 19" xfId="336" xr:uid="{00000000-0005-0000-0000-000050010000}"/>
    <cellStyle name="Normal 3 2" xfId="337" xr:uid="{00000000-0005-0000-0000-000051010000}"/>
    <cellStyle name="Normal 3 20" xfId="338" xr:uid="{00000000-0005-0000-0000-000052010000}"/>
    <cellStyle name="Normal 3 21" xfId="339" xr:uid="{00000000-0005-0000-0000-000053010000}"/>
    <cellStyle name="Normal 3 22" xfId="340" xr:uid="{00000000-0005-0000-0000-000054010000}"/>
    <cellStyle name="Normal 3 23" xfId="341" xr:uid="{00000000-0005-0000-0000-000055010000}"/>
    <cellStyle name="Normal 3 24" xfId="342" xr:uid="{00000000-0005-0000-0000-000056010000}"/>
    <cellStyle name="Normal 3 25" xfId="343" xr:uid="{00000000-0005-0000-0000-000057010000}"/>
    <cellStyle name="Normal 3 26" xfId="344" xr:uid="{00000000-0005-0000-0000-000058010000}"/>
    <cellStyle name="Normal 3 27" xfId="345" xr:uid="{00000000-0005-0000-0000-000059010000}"/>
    <cellStyle name="Normal 3 28" xfId="346" xr:uid="{00000000-0005-0000-0000-00005A010000}"/>
    <cellStyle name="Normal 3 29" xfId="347" xr:uid="{00000000-0005-0000-0000-00005B010000}"/>
    <cellStyle name="Normal 3 3" xfId="348" xr:uid="{00000000-0005-0000-0000-00005C010000}"/>
    <cellStyle name="Normal 3 30" xfId="349" xr:uid="{00000000-0005-0000-0000-00005D010000}"/>
    <cellStyle name="Normal 3 4" xfId="350" xr:uid="{00000000-0005-0000-0000-00005E010000}"/>
    <cellStyle name="Normal 3 5" xfId="351" xr:uid="{00000000-0005-0000-0000-00005F010000}"/>
    <cellStyle name="Normal 3 6" xfId="352" xr:uid="{00000000-0005-0000-0000-000060010000}"/>
    <cellStyle name="Normal 3 7" xfId="353" xr:uid="{00000000-0005-0000-0000-000061010000}"/>
    <cellStyle name="Normal 3 8" xfId="354" xr:uid="{00000000-0005-0000-0000-000062010000}"/>
    <cellStyle name="Normal 3 9" xfId="355" xr:uid="{00000000-0005-0000-0000-000063010000}"/>
    <cellStyle name="Normal 3_deposits mobilized" xfId="356" xr:uid="{00000000-0005-0000-0000-000064010000}"/>
    <cellStyle name="Normal 30" xfId="357" xr:uid="{00000000-0005-0000-0000-000065010000}"/>
    <cellStyle name="Normal 31" xfId="358" xr:uid="{00000000-0005-0000-0000-000066010000}"/>
    <cellStyle name="Normal 32" xfId="359" xr:uid="{00000000-0005-0000-0000-000067010000}"/>
    <cellStyle name="Normal 33" xfId="360" xr:uid="{00000000-0005-0000-0000-000068010000}"/>
    <cellStyle name="Normal 34" xfId="361" xr:uid="{00000000-0005-0000-0000-000069010000}"/>
    <cellStyle name="Normal 35" xfId="362" xr:uid="{00000000-0005-0000-0000-00006A010000}"/>
    <cellStyle name="Normal 36" xfId="363" xr:uid="{00000000-0005-0000-0000-00006B010000}"/>
    <cellStyle name="Normal 37" xfId="364" xr:uid="{00000000-0005-0000-0000-00006C010000}"/>
    <cellStyle name="Normal 38" xfId="365" xr:uid="{00000000-0005-0000-0000-00006D010000}"/>
    <cellStyle name="Normal 39" xfId="366" xr:uid="{00000000-0005-0000-0000-00006E010000}"/>
    <cellStyle name="Normal 4" xfId="367" xr:uid="{00000000-0005-0000-0000-00006F010000}"/>
    <cellStyle name="Normal 4 10" xfId="368" xr:uid="{00000000-0005-0000-0000-000070010000}"/>
    <cellStyle name="Normal 4 11" xfId="369" xr:uid="{00000000-0005-0000-0000-000071010000}"/>
    <cellStyle name="Normal 4 12" xfId="370" xr:uid="{00000000-0005-0000-0000-000072010000}"/>
    <cellStyle name="Normal 4 13" xfId="371" xr:uid="{00000000-0005-0000-0000-000073010000}"/>
    <cellStyle name="Normal 4 14" xfId="372" xr:uid="{00000000-0005-0000-0000-000074010000}"/>
    <cellStyle name="Normal 4 15" xfId="373" xr:uid="{00000000-0005-0000-0000-000075010000}"/>
    <cellStyle name="Normal 4 16" xfId="374" xr:uid="{00000000-0005-0000-0000-000076010000}"/>
    <cellStyle name="Normal 4 17" xfId="375" xr:uid="{00000000-0005-0000-0000-000077010000}"/>
    <cellStyle name="Normal 4 18" xfId="376" xr:uid="{00000000-0005-0000-0000-000078010000}"/>
    <cellStyle name="Normal 4 19" xfId="377" xr:uid="{00000000-0005-0000-0000-000079010000}"/>
    <cellStyle name="Normal 4 2" xfId="378" xr:uid="{00000000-0005-0000-0000-00007A010000}"/>
    <cellStyle name="Normal 4 20" xfId="379" xr:uid="{00000000-0005-0000-0000-00007B010000}"/>
    <cellStyle name="Normal 4 21" xfId="380" xr:uid="{00000000-0005-0000-0000-00007C010000}"/>
    <cellStyle name="Normal 4 22" xfId="381" xr:uid="{00000000-0005-0000-0000-00007D010000}"/>
    <cellStyle name="Normal 4 23" xfId="382" xr:uid="{00000000-0005-0000-0000-00007E010000}"/>
    <cellStyle name="Normal 4 24" xfId="383" xr:uid="{00000000-0005-0000-0000-00007F010000}"/>
    <cellStyle name="Normal 4 25" xfId="384" xr:uid="{00000000-0005-0000-0000-000080010000}"/>
    <cellStyle name="Normal 4 26" xfId="385" xr:uid="{00000000-0005-0000-0000-000081010000}"/>
    <cellStyle name="Normal 4 27" xfId="386" xr:uid="{00000000-0005-0000-0000-000082010000}"/>
    <cellStyle name="Normal 4 28" xfId="387" xr:uid="{00000000-0005-0000-0000-000083010000}"/>
    <cellStyle name="Normal 4 29" xfId="388" xr:uid="{00000000-0005-0000-0000-000084010000}"/>
    <cellStyle name="Normal 4 3" xfId="389" xr:uid="{00000000-0005-0000-0000-000085010000}"/>
    <cellStyle name="Normal 4 30" xfId="390" xr:uid="{00000000-0005-0000-0000-000086010000}"/>
    <cellStyle name="Normal 4 4" xfId="391" xr:uid="{00000000-0005-0000-0000-000087010000}"/>
    <cellStyle name="Normal 4 5" xfId="392" xr:uid="{00000000-0005-0000-0000-000088010000}"/>
    <cellStyle name="Normal 4 6" xfId="393" xr:uid="{00000000-0005-0000-0000-000089010000}"/>
    <cellStyle name="Normal 4 7" xfId="394" xr:uid="{00000000-0005-0000-0000-00008A010000}"/>
    <cellStyle name="Normal 4 8" xfId="395" xr:uid="{00000000-0005-0000-0000-00008B010000}"/>
    <cellStyle name="Normal 4 9" xfId="396" xr:uid="{00000000-0005-0000-0000-00008C010000}"/>
    <cellStyle name="Normal 40" xfId="397" xr:uid="{00000000-0005-0000-0000-00008D010000}"/>
    <cellStyle name="Normal 41" xfId="398" xr:uid="{00000000-0005-0000-0000-00008E010000}"/>
    <cellStyle name="Normal 42" xfId="399" xr:uid="{00000000-0005-0000-0000-00008F010000}"/>
    <cellStyle name="Normal 43" xfId="400" xr:uid="{00000000-0005-0000-0000-000090010000}"/>
    <cellStyle name="Normal 44" xfId="401" xr:uid="{00000000-0005-0000-0000-000091010000}"/>
    <cellStyle name="Normal 45" xfId="402" xr:uid="{00000000-0005-0000-0000-000092010000}"/>
    <cellStyle name="Normal 46" xfId="403" xr:uid="{00000000-0005-0000-0000-000093010000}"/>
    <cellStyle name="Normal 47" xfId="404" xr:uid="{00000000-0005-0000-0000-000094010000}"/>
    <cellStyle name="Normal 48" xfId="405" xr:uid="{00000000-0005-0000-0000-000095010000}"/>
    <cellStyle name="Normal 5" xfId="406" xr:uid="{00000000-0005-0000-0000-000096010000}"/>
    <cellStyle name="Normal 5 10" xfId="407" xr:uid="{00000000-0005-0000-0000-000097010000}"/>
    <cellStyle name="Normal 5 11" xfId="408" xr:uid="{00000000-0005-0000-0000-000098010000}"/>
    <cellStyle name="Normal 5 12" xfId="409" xr:uid="{00000000-0005-0000-0000-000099010000}"/>
    <cellStyle name="Normal 5 13" xfId="410" xr:uid="{00000000-0005-0000-0000-00009A010000}"/>
    <cellStyle name="Normal 5 14" xfId="411" xr:uid="{00000000-0005-0000-0000-00009B010000}"/>
    <cellStyle name="Normal 5 15" xfId="412" xr:uid="{00000000-0005-0000-0000-00009C010000}"/>
    <cellStyle name="Normal 5 2" xfId="413" xr:uid="{00000000-0005-0000-0000-00009D010000}"/>
    <cellStyle name="Normal 5 3" xfId="414" xr:uid="{00000000-0005-0000-0000-00009E010000}"/>
    <cellStyle name="Normal 5 4" xfId="415" xr:uid="{00000000-0005-0000-0000-00009F010000}"/>
    <cellStyle name="Normal 5 5" xfId="416" xr:uid="{00000000-0005-0000-0000-0000A0010000}"/>
    <cellStyle name="Normal 5 6" xfId="417" xr:uid="{00000000-0005-0000-0000-0000A1010000}"/>
    <cellStyle name="Normal 5 7" xfId="418" xr:uid="{00000000-0005-0000-0000-0000A2010000}"/>
    <cellStyle name="Normal 5 8" xfId="419" xr:uid="{00000000-0005-0000-0000-0000A3010000}"/>
    <cellStyle name="Normal 5 9" xfId="420" xr:uid="{00000000-0005-0000-0000-0000A4010000}"/>
    <cellStyle name="Normal 6" xfId="421" xr:uid="{00000000-0005-0000-0000-0000A5010000}"/>
    <cellStyle name="Normal 6 2" xfId="422" xr:uid="{00000000-0005-0000-0000-0000A6010000}"/>
    <cellStyle name="Normal 6 3" xfId="423" xr:uid="{00000000-0005-0000-0000-0000A7010000}"/>
    <cellStyle name="Normal 6 4" xfId="424" xr:uid="{00000000-0005-0000-0000-0000A8010000}"/>
    <cellStyle name="Normal 7" xfId="425" xr:uid="{00000000-0005-0000-0000-0000A9010000}"/>
    <cellStyle name="Normal 7 2" xfId="426" xr:uid="{00000000-0005-0000-0000-0000AA010000}"/>
    <cellStyle name="Normal 7 3" xfId="427" xr:uid="{00000000-0005-0000-0000-0000AB010000}"/>
    <cellStyle name="Normal 7 4" xfId="428" xr:uid="{00000000-0005-0000-0000-0000AC010000}"/>
    <cellStyle name="Normal 8" xfId="429" xr:uid="{00000000-0005-0000-0000-0000AD010000}"/>
    <cellStyle name="Normal 9" xfId="430" xr:uid="{00000000-0005-0000-0000-0000AE010000}"/>
    <cellStyle name="Normal 9 10" xfId="431" xr:uid="{00000000-0005-0000-0000-0000AF010000}"/>
    <cellStyle name="Normal 9 11" xfId="432" xr:uid="{00000000-0005-0000-0000-0000B0010000}"/>
    <cellStyle name="Normal 9 12" xfId="433" xr:uid="{00000000-0005-0000-0000-0000B1010000}"/>
    <cellStyle name="Normal 9 13" xfId="434" xr:uid="{00000000-0005-0000-0000-0000B2010000}"/>
    <cellStyle name="Normal 9 14" xfId="435" xr:uid="{00000000-0005-0000-0000-0000B3010000}"/>
    <cellStyle name="Normal 9 2" xfId="436" xr:uid="{00000000-0005-0000-0000-0000B4010000}"/>
    <cellStyle name="Normal 9 2 2" xfId="437" xr:uid="{00000000-0005-0000-0000-0000B5010000}"/>
    <cellStyle name="Normal 9 2 3" xfId="438" xr:uid="{00000000-0005-0000-0000-0000B6010000}"/>
    <cellStyle name="Normal 9 2 4" xfId="439" xr:uid="{00000000-0005-0000-0000-0000B7010000}"/>
    <cellStyle name="Normal 9 3" xfId="440" xr:uid="{00000000-0005-0000-0000-0000B8010000}"/>
    <cellStyle name="Normal 9 4" xfId="441" xr:uid="{00000000-0005-0000-0000-0000B9010000}"/>
    <cellStyle name="Normal 9 5" xfId="442" xr:uid="{00000000-0005-0000-0000-0000BA010000}"/>
    <cellStyle name="Normal 9 6" xfId="443" xr:uid="{00000000-0005-0000-0000-0000BB010000}"/>
    <cellStyle name="Normal 9 7" xfId="444" xr:uid="{00000000-0005-0000-0000-0000BC010000}"/>
    <cellStyle name="Normal 9 8" xfId="445" xr:uid="{00000000-0005-0000-0000-0000BD010000}"/>
    <cellStyle name="Normal 9 9" xfId="446" xr:uid="{00000000-0005-0000-0000-0000BE010000}"/>
    <cellStyle name="Note 2" xfId="447" xr:uid="{00000000-0005-0000-0000-0000BF010000}"/>
    <cellStyle name="Percent" xfId="448" builtinId="5"/>
    <cellStyle name="Percent 2" xfId="449" xr:uid="{00000000-0005-0000-0000-0000C1010000}"/>
    <cellStyle name="Percent 3" xfId="450" xr:uid="{00000000-0005-0000-0000-0000C2010000}"/>
    <cellStyle name="Percent 4" xfId="451" xr:uid="{00000000-0005-0000-0000-0000C3010000}"/>
    <cellStyle name="Percent 5" xfId="452" xr:uid="{00000000-0005-0000-0000-0000C4010000}"/>
    <cellStyle name="Total 2" xfId="453" xr:uid="{00000000-0005-0000-0000-0000C5010000}"/>
    <cellStyle name="Total 2 2" xfId="454" xr:uid="{00000000-0005-0000-0000-0000C6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n\Supervision\Users\ADMINI~1\AppData\Local\Temp\Yetu%20Sacco%20Society%20Limited-201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9"/>
      <sheetName val="6,15,16,17,18,,"/>
      <sheetName val="pg 2"/>
      <sheetName val="pg 7"/>
      <sheetName val="pg 1-Report of Mgmt Comm"/>
      <sheetName val="21"/>
      <sheetName val="8,14,20"/>
      <sheetName val="Contents"/>
      <sheetName val="Appendix 11"/>
      <sheetName val="10,11,12,13"/>
      <sheetName val="5,"/>
      <sheetName val=" 9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43">
          <cell r="G43">
            <v>11530858</v>
          </cell>
        </row>
        <row r="48">
          <cell r="G48">
            <v>396472718</v>
          </cell>
        </row>
        <row r="83">
          <cell r="G83">
            <v>961071185</v>
          </cell>
        </row>
        <row r="84">
          <cell r="G84">
            <v>126333</v>
          </cell>
        </row>
        <row r="85">
          <cell r="G85">
            <v>5946136</v>
          </cell>
        </row>
        <row r="86">
          <cell r="G86">
            <v>19948579</v>
          </cell>
        </row>
        <row r="87">
          <cell r="G87">
            <v>6000</v>
          </cell>
        </row>
        <row r="88">
          <cell r="G88">
            <v>715242</v>
          </cell>
        </row>
        <row r="89">
          <cell r="G89">
            <v>25420820</v>
          </cell>
        </row>
        <row r="90">
          <cell r="G90">
            <v>0</v>
          </cell>
        </row>
        <row r="91">
          <cell r="G91">
            <v>6821308</v>
          </cell>
        </row>
        <row r="92">
          <cell r="G92">
            <v>19383</v>
          </cell>
        </row>
        <row r="93">
          <cell r="G93">
            <v>3911825</v>
          </cell>
        </row>
        <row r="94">
          <cell r="G94">
            <v>59122</v>
          </cell>
        </row>
        <row r="95">
          <cell r="G95">
            <v>13510985</v>
          </cell>
        </row>
        <row r="96">
          <cell r="G96">
            <v>1611928</v>
          </cell>
        </row>
        <row r="97">
          <cell r="G97">
            <v>276996</v>
          </cell>
        </row>
        <row r="98">
          <cell r="G98">
            <v>260375</v>
          </cell>
        </row>
        <row r="99">
          <cell r="G99">
            <v>27475</v>
          </cell>
        </row>
        <row r="100">
          <cell r="G100">
            <v>85000</v>
          </cell>
        </row>
        <row r="101">
          <cell r="G101">
            <v>2876981</v>
          </cell>
        </row>
        <row r="102">
          <cell r="G102">
            <v>1360050</v>
          </cell>
        </row>
        <row r="103">
          <cell r="G103">
            <v>6446917</v>
          </cell>
        </row>
        <row r="105">
          <cell r="G105">
            <v>-31852475</v>
          </cell>
        </row>
        <row r="110">
          <cell r="G110">
            <v>2282284</v>
          </cell>
        </row>
        <row r="111">
          <cell r="G111">
            <v>430465</v>
          </cell>
        </row>
        <row r="112">
          <cell r="G112">
            <v>60295</v>
          </cell>
        </row>
        <row r="125">
          <cell r="G125">
            <v>9584300</v>
          </cell>
        </row>
        <row r="126">
          <cell r="G126">
            <v>2427280</v>
          </cell>
        </row>
        <row r="127">
          <cell r="G127">
            <v>3265120</v>
          </cell>
        </row>
        <row r="128">
          <cell r="G128">
            <v>9000</v>
          </cell>
        </row>
        <row r="129">
          <cell r="G129">
            <v>600000</v>
          </cell>
        </row>
        <row r="130">
          <cell r="G130">
            <v>100000</v>
          </cell>
        </row>
        <row r="162">
          <cell r="G162">
            <v>533687314</v>
          </cell>
        </row>
        <row r="163">
          <cell r="G163">
            <v>128086820</v>
          </cell>
        </row>
        <row r="171">
          <cell r="G171">
            <v>1074107086</v>
          </cell>
        </row>
        <row r="183">
          <cell r="G183">
            <v>1750966</v>
          </cell>
        </row>
        <row r="184">
          <cell r="G184">
            <v>2750000</v>
          </cell>
        </row>
        <row r="185">
          <cell r="G185">
            <v>-1830000</v>
          </cell>
        </row>
        <row r="190">
          <cell r="G190">
            <v>56132762</v>
          </cell>
        </row>
        <row r="192">
          <cell r="G192">
            <v>72000000</v>
          </cell>
        </row>
        <row r="195">
          <cell r="G195">
            <v>-48097269</v>
          </cell>
        </row>
        <row r="205">
          <cell r="G205">
            <v>40727488</v>
          </cell>
        </row>
        <row r="206">
          <cell r="G206">
            <v>0</v>
          </cell>
        </row>
        <row r="207">
          <cell r="G207">
            <v>0</v>
          </cell>
        </row>
        <row r="208">
          <cell r="G208">
            <v>526040</v>
          </cell>
        </row>
        <row r="209">
          <cell r="G209">
            <v>947152</v>
          </cell>
        </row>
        <row r="212">
          <cell r="G212">
            <v>212095859</v>
          </cell>
          <cell r="I212">
            <v>145851655</v>
          </cell>
        </row>
        <row r="215">
          <cell r="G215">
            <v>48489144</v>
          </cell>
        </row>
        <row r="216">
          <cell r="G216">
            <v>17955841</v>
          </cell>
        </row>
        <row r="219">
          <cell r="G219">
            <v>9101678</v>
          </cell>
        </row>
        <row r="220">
          <cell r="G220">
            <v>4129807</v>
          </cell>
        </row>
      </sheetData>
      <sheetData sheetId="10" refreshError="1">
        <row r="16">
          <cell r="E16">
            <v>72147099</v>
          </cell>
        </row>
        <row r="21">
          <cell r="E21">
            <v>10500000</v>
          </cell>
        </row>
        <row r="30">
          <cell r="E30">
            <v>69319200</v>
          </cell>
        </row>
      </sheetData>
      <sheetData sheetId="11" refreshError="1"/>
      <sheetData sheetId="1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17"/>
  <sheetViews>
    <sheetView workbookViewId="0">
      <selection activeCell="D18" sqref="D18"/>
    </sheetView>
  </sheetViews>
  <sheetFormatPr defaultRowHeight="14.45"/>
  <sheetData>
    <row r="17" spans="4:4">
      <c r="D17">
        <f>30329098+16329321+2788735</f>
        <v>49447154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="75" zoomScaleNormal="75" workbookViewId="0">
      <selection activeCell="G10" sqref="G10"/>
    </sheetView>
  </sheetViews>
  <sheetFormatPr defaultColWidth="9.140625" defaultRowHeight="15"/>
  <cols>
    <col min="1" max="16384" width="9.140625" style="65"/>
  </cols>
  <sheetData/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F86"/>
  <sheetViews>
    <sheetView zoomScale="80" zoomScaleNormal="80" zoomScaleSheetLayoutView="100" workbookViewId="0">
      <pane xSplit="4" topLeftCell="BD1" activePane="topRight" state="frozen"/>
      <selection pane="topRight" activeCell="BH66" sqref="BH66"/>
    </sheetView>
  </sheetViews>
  <sheetFormatPr defaultColWidth="9.140625" defaultRowHeight="15.6"/>
  <cols>
    <col min="1" max="1" width="9.28515625" style="175" bestFit="1" customWidth="1"/>
    <col min="2" max="2" width="44.28515625" style="175" customWidth="1"/>
    <col min="3" max="3" width="16.5703125" style="175" hidden="1" customWidth="1"/>
    <col min="4" max="4" width="17.28515625" style="172" hidden="1" customWidth="1"/>
    <col min="5" max="5" width="11.85546875" style="173" hidden="1" customWidth="1"/>
    <col min="6" max="6" width="18.28515625" style="172" hidden="1" customWidth="1"/>
    <col min="7" max="7" width="16" style="174" hidden="1" customWidth="1"/>
    <col min="8" max="9" width="22.7109375" style="175" hidden="1" customWidth="1"/>
    <col min="10" max="11" width="16.28515625" style="175" hidden="1" customWidth="1"/>
    <col min="12" max="13" width="16.5703125" style="175" hidden="1" customWidth="1"/>
    <col min="14" max="18" width="16.85546875" style="175" hidden="1" customWidth="1"/>
    <col min="19" max="19" width="16.5703125" style="175" hidden="1" customWidth="1"/>
    <col min="20" max="20" width="16.85546875" style="175" hidden="1" customWidth="1"/>
    <col min="21" max="23" width="22.7109375" style="175" customWidth="1"/>
    <col min="24" max="24" width="22.7109375" style="175" hidden="1" customWidth="1"/>
    <col min="25" max="27" width="22.7109375" style="175" bestFit="1" customWidth="1"/>
    <col min="28" max="28" width="23.5703125" style="175" customWidth="1"/>
    <col min="29" max="30" width="22.7109375" style="175" bestFit="1" customWidth="1"/>
    <col min="31" max="31" width="27.28515625" style="175" customWidth="1"/>
    <col min="32" max="36" width="21" style="175" bestFit="1" customWidth="1"/>
    <col min="37" max="37" width="9.140625" style="175"/>
    <col min="38" max="38" width="22.42578125" style="350" bestFit="1" customWidth="1"/>
    <col min="39" max="50" width="21" style="175" bestFit="1" customWidth="1"/>
    <col min="51" max="51" width="20.42578125" style="175" bestFit="1" customWidth="1"/>
    <col min="52" max="52" width="21.140625" style="175" customWidth="1"/>
    <col min="53" max="53" width="20" style="175" customWidth="1"/>
    <col min="54" max="54" width="20.42578125" style="175" customWidth="1"/>
    <col min="55" max="55" width="19.85546875" style="175" customWidth="1"/>
    <col min="56" max="56" width="23" style="175" customWidth="1"/>
    <col min="57" max="57" width="20.85546875" style="175" customWidth="1"/>
    <col min="58" max="58" width="21" style="175" bestFit="1" customWidth="1"/>
    <col min="59" max="16384" width="9.140625" style="175"/>
  </cols>
  <sheetData>
    <row r="1" spans="1:58">
      <c r="A1" s="170"/>
      <c r="B1" s="171" t="s">
        <v>0</v>
      </c>
      <c r="C1" s="171"/>
    </row>
    <row r="2" spans="1:58">
      <c r="A2" s="170"/>
      <c r="B2" s="427" t="s">
        <v>1</v>
      </c>
      <c r="C2" s="427"/>
    </row>
    <row r="3" spans="1:58">
      <c r="A3" s="170"/>
      <c r="B3" s="176" t="s">
        <v>2</v>
      </c>
      <c r="C3" s="176"/>
    </row>
    <row r="4" spans="1:58">
      <c r="A4" s="170"/>
      <c r="B4" s="176" t="s">
        <v>3</v>
      </c>
      <c r="C4" s="176"/>
    </row>
    <row r="5" spans="1:58">
      <c r="A5" s="170"/>
      <c r="B5" s="176" t="s">
        <v>4</v>
      </c>
      <c r="C5" s="176"/>
    </row>
    <row r="6" spans="1:58">
      <c r="A6" s="177"/>
      <c r="B6" s="176" t="s">
        <v>5</v>
      </c>
      <c r="C6" s="176"/>
    </row>
    <row r="7" spans="1:58" ht="15.75">
      <c r="A7" s="426"/>
      <c r="B7" s="426"/>
      <c r="C7" s="178">
        <v>2010</v>
      </c>
      <c r="D7" s="179" t="s">
        <v>6</v>
      </c>
      <c r="E7" s="179" t="s">
        <v>7</v>
      </c>
      <c r="F7" s="180" t="s">
        <v>8</v>
      </c>
      <c r="G7" s="181" t="s">
        <v>9</v>
      </c>
      <c r="H7" s="182" t="s">
        <v>10</v>
      </c>
      <c r="I7" s="183" t="s">
        <v>11</v>
      </c>
      <c r="J7" s="183">
        <v>42736</v>
      </c>
      <c r="K7" s="183">
        <v>42767</v>
      </c>
      <c r="L7" s="183">
        <v>42795</v>
      </c>
      <c r="M7" s="183">
        <v>42826</v>
      </c>
      <c r="N7" s="183">
        <v>42856</v>
      </c>
      <c r="O7" s="183">
        <v>42887</v>
      </c>
      <c r="P7" s="183">
        <v>42917</v>
      </c>
      <c r="Q7" s="183">
        <v>42948</v>
      </c>
      <c r="R7" s="183">
        <v>42979</v>
      </c>
      <c r="S7" s="183">
        <v>43009</v>
      </c>
      <c r="T7" s="183">
        <v>43040</v>
      </c>
      <c r="U7" s="183">
        <v>43070</v>
      </c>
      <c r="V7" s="183" t="s">
        <v>12</v>
      </c>
      <c r="W7" s="184" t="s">
        <v>13</v>
      </c>
      <c r="X7" s="184" t="s">
        <v>14</v>
      </c>
      <c r="Y7" s="184" t="s">
        <v>15</v>
      </c>
      <c r="Z7" s="184">
        <v>44197</v>
      </c>
      <c r="AA7" s="184">
        <v>44228</v>
      </c>
      <c r="AB7" s="184">
        <v>44256</v>
      </c>
      <c r="AC7" s="184">
        <v>44287</v>
      </c>
      <c r="AD7" s="184">
        <v>44317</v>
      </c>
      <c r="AE7" s="184">
        <v>44348</v>
      </c>
      <c r="AF7" s="184">
        <v>44378</v>
      </c>
      <c r="AG7" s="184">
        <v>44409</v>
      </c>
      <c r="AH7" s="184">
        <v>44440</v>
      </c>
      <c r="AI7" s="184">
        <v>44470</v>
      </c>
      <c r="AJ7" s="184">
        <v>44501</v>
      </c>
      <c r="AK7" s="184">
        <v>44531</v>
      </c>
      <c r="AL7" s="184" t="s">
        <v>16</v>
      </c>
      <c r="AM7" s="184">
        <v>44562</v>
      </c>
      <c r="AN7" s="184">
        <v>44593</v>
      </c>
      <c r="AO7" s="184">
        <v>44621</v>
      </c>
      <c r="AP7" s="184">
        <v>44652</v>
      </c>
      <c r="AQ7" s="184">
        <v>44682</v>
      </c>
      <c r="AR7" s="184">
        <v>44713</v>
      </c>
      <c r="AS7" s="184">
        <v>44743</v>
      </c>
      <c r="AT7" s="184">
        <v>44774</v>
      </c>
      <c r="AU7" s="184">
        <v>44805</v>
      </c>
      <c r="AV7" s="184">
        <v>44835</v>
      </c>
      <c r="AW7" s="184">
        <v>44866</v>
      </c>
      <c r="AX7" s="184">
        <v>44896</v>
      </c>
      <c r="AY7" s="184" t="s">
        <v>17</v>
      </c>
      <c r="AZ7" s="184">
        <v>44927</v>
      </c>
      <c r="BA7" s="184">
        <v>44958</v>
      </c>
      <c r="BB7" s="184">
        <v>44986</v>
      </c>
      <c r="BC7" s="184">
        <v>45017</v>
      </c>
      <c r="BD7" s="184">
        <v>45047</v>
      </c>
      <c r="BE7" s="184">
        <v>45078</v>
      </c>
      <c r="BF7" s="184">
        <v>45108</v>
      </c>
    </row>
    <row r="8" spans="1:58">
      <c r="A8" s="426"/>
      <c r="B8" s="426"/>
      <c r="C8" s="178"/>
      <c r="D8" s="185"/>
      <c r="E8" s="185"/>
      <c r="F8" s="186"/>
      <c r="H8" s="187"/>
    </row>
    <row r="9" spans="1:58">
      <c r="A9" s="188" t="s">
        <v>18</v>
      </c>
      <c r="B9" s="189" t="s">
        <v>19</v>
      </c>
      <c r="C9" s="190"/>
      <c r="D9" s="185"/>
      <c r="E9" s="185"/>
      <c r="F9" s="191"/>
      <c r="H9" s="187"/>
      <c r="J9" s="187"/>
      <c r="K9" s="187"/>
      <c r="L9" s="187"/>
      <c r="Y9" s="187"/>
      <c r="Z9" s="187"/>
      <c r="AA9" s="187"/>
      <c r="AB9" s="187"/>
      <c r="AC9" s="187"/>
      <c r="AD9" s="187"/>
      <c r="AE9" s="187"/>
      <c r="AF9" s="187"/>
      <c r="AG9" s="187"/>
    </row>
    <row r="10" spans="1:58" ht="15.75">
      <c r="A10" s="192">
        <v>1</v>
      </c>
      <c r="B10" s="193" t="s">
        <v>20</v>
      </c>
      <c r="C10" s="194">
        <f t="shared" ref="C10:H10" si="0">SUM(C11:C12)</f>
        <v>169242912</v>
      </c>
      <c r="D10" s="195">
        <f t="shared" si="0"/>
        <v>257607037</v>
      </c>
      <c r="E10" s="196">
        <f t="shared" si="0"/>
        <v>266034639</v>
      </c>
      <c r="F10" s="197">
        <f t="shared" si="0"/>
        <v>396472718</v>
      </c>
      <c r="G10" s="198">
        <f t="shared" si="0"/>
        <v>407827391</v>
      </c>
      <c r="H10" s="199">
        <f t="shared" si="0"/>
        <v>624424540</v>
      </c>
      <c r="I10" s="200">
        <f t="shared" ref="I10:N10" si="1">SUM(I11:I12)</f>
        <v>420746946</v>
      </c>
      <c r="J10" s="201">
        <f t="shared" si="1"/>
        <v>728820874.78999996</v>
      </c>
      <c r="K10" s="201">
        <f t="shared" si="1"/>
        <v>644027666.03999996</v>
      </c>
      <c r="L10" s="201">
        <f t="shared" si="1"/>
        <v>576115565.94000006</v>
      </c>
      <c r="M10" s="202">
        <f t="shared" si="1"/>
        <v>558356521.38</v>
      </c>
      <c r="N10" s="202">
        <f t="shared" si="1"/>
        <v>494763008.23000002</v>
      </c>
      <c r="O10" s="202">
        <f t="shared" ref="O10:AB10" si="2">SUM(O11:O12)</f>
        <v>474558459.99000001</v>
      </c>
      <c r="P10" s="202">
        <f t="shared" si="2"/>
        <v>454343597.06</v>
      </c>
      <c r="Q10" s="202">
        <f t="shared" si="2"/>
        <v>401497499.60000002</v>
      </c>
      <c r="R10" s="202">
        <f t="shared" si="2"/>
        <v>410621874.61000001</v>
      </c>
      <c r="S10" s="202">
        <f t="shared" si="2"/>
        <v>1538752262.5999999</v>
      </c>
      <c r="T10" s="202">
        <f t="shared" si="2"/>
        <v>1195724487.4400001</v>
      </c>
      <c r="U10" s="202">
        <f t="shared" si="2"/>
        <v>1072207393.87</v>
      </c>
      <c r="V10" s="202">
        <f t="shared" si="2"/>
        <v>522599346</v>
      </c>
      <c r="W10" s="203">
        <f>SUM(W11:W12)</f>
        <v>1066133866</v>
      </c>
      <c r="X10" s="203">
        <f>SUM(X11:X12)</f>
        <v>1226316816.5699999</v>
      </c>
      <c r="Y10" s="199">
        <f t="shared" si="2"/>
        <v>1226316816</v>
      </c>
      <c r="Z10" s="199">
        <f t="shared" si="2"/>
        <v>1130882112.01</v>
      </c>
      <c r="AA10" s="199">
        <f t="shared" si="2"/>
        <v>1042568753.86</v>
      </c>
      <c r="AB10" s="199">
        <f t="shared" si="2"/>
        <v>1042430224.76</v>
      </c>
      <c r="AC10" s="199">
        <f>SUM(AC11:AC12)</f>
        <v>1041492160.5400001</v>
      </c>
      <c r="AD10" s="199">
        <f>SUM(AD11:AD12)</f>
        <v>1010365892.74</v>
      </c>
      <c r="AE10" s="199">
        <f>SUM(AE11:AE12)</f>
        <v>979572701.33000004</v>
      </c>
      <c r="AF10" s="199">
        <f t="shared" ref="AF10:AG10" si="3">SUM(AF11:AF12)</f>
        <v>991393753.49000001</v>
      </c>
      <c r="AG10" s="199">
        <f t="shared" si="3"/>
        <v>961021553.33999991</v>
      </c>
      <c r="AH10" s="199">
        <f t="shared" ref="AH10:AK10" si="4">SUM(AH11:AH12)</f>
        <v>927779647.98000002</v>
      </c>
      <c r="AI10" s="199">
        <f t="shared" si="4"/>
        <v>1519149679.0699999</v>
      </c>
      <c r="AJ10" s="199">
        <f t="shared" si="4"/>
        <v>1385674784.6900001</v>
      </c>
      <c r="AK10" s="199">
        <f t="shared" si="4"/>
        <v>413378021.73000002</v>
      </c>
      <c r="AL10" s="199">
        <f t="shared" ref="AL10:AM10" si="5">SUM(AL11:AL12)</f>
        <v>1322752340</v>
      </c>
      <c r="AM10" s="199">
        <f t="shared" si="5"/>
        <v>1304627676.02</v>
      </c>
      <c r="AN10" s="199">
        <f t="shared" ref="AN10:BF10" si="6">SUM(AN11:AN12)</f>
        <v>1190217644</v>
      </c>
      <c r="AO10" s="199">
        <f t="shared" si="6"/>
        <v>1157537408.98</v>
      </c>
      <c r="AP10" s="199">
        <f t="shared" si="6"/>
        <v>1154028973.97</v>
      </c>
      <c r="AQ10" s="199">
        <f t="shared" si="6"/>
        <v>1168668762.8</v>
      </c>
      <c r="AR10" s="199">
        <f t="shared" si="6"/>
        <v>1155931278.26</v>
      </c>
      <c r="AS10" s="199">
        <f t="shared" si="6"/>
        <v>1925512155.9000001</v>
      </c>
      <c r="AT10" s="199">
        <f t="shared" si="6"/>
        <v>1810418289.8600001</v>
      </c>
      <c r="AU10" s="199">
        <f t="shared" si="6"/>
        <v>1667947349.9200001</v>
      </c>
      <c r="AV10" s="199">
        <f t="shared" si="6"/>
        <v>1619915235.73</v>
      </c>
      <c r="AW10" s="199">
        <f t="shared" si="6"/>
        <v>1591905480.4199998</v>
      </c>
      <c r="AX10" s="199">
        <f t="shared" si="6"/>
        <v>1502271758.77</v>
      </c>
      <c r="AY10" s="199">
        <f t="shared" si="6"/>
        <v>1502271759</v>
      </c>
      <c r="AZ10" s="199">
        <f t="shared" si="6"/>
        <v>1419996818.3999999</v>
      </c>
      <c r="BA10" s="199">
        <f t="shared" si="6"/>
        <v>1256231882.26</v>
      </c>
      <c r="BB10" s="199">
        <f t="shared" si="6"/>
        <v>1148452461.04</v>
      </c>
      <c r="BC10" s="199">
        <f t="shared" si="6"/>
        <v>1166559613.5599999</v>
      </c>
      <c r="BD10" s="199">
        <f t="shared" si="6"/>
        <v>1152633625.9100001</v>
      </c>
      <c r="BE10" s="199">
        <f t="shared" si="6"/>
        <v>1131279055.55</v>
      </c>
      <c r="BF10" s="199">
        <f t="shared" si="6"/>
        <v>1145723215.6600001</v>
      </c>
    </row>
    <row r="11" spans="1:58" ht="15">
      <c r="A11" s="192">
        <v>1.1000000000000001</v>
      </c>
      <c r="B11" s="193" t="s">
        <v>21</v>
      </c>
      <c r="C11" s="204">
        <v>5659875</v>
      </c>
      <c r="D11" s="205">
        <f>257607037-179690522</f>
        <v>77916515</v>
      </c>
      <c r="E11" s="206">
        <v>15117143</v>
      </c>
      <c r="F11" s="185">
        <f>'[1]10,11,12,13'!$G$43</f>
        <v>11530858</v>
      </c>
      <c r="G11" s="207">
        <f>15905344+1100000+38820+641399+1424491</f>
        <v>19110054</v>
      </c>
      <c r="H11" s="208">
        <f>19214131+1300000+68799+807651+4505344</f>
        <v>25895925</v>
      </c>
      <c r="I11" s="209">
        <f>31664084+4550000+31779+677410+4358010</f>
        <v>41281283</v>
      </c>
      <c r="J11" s="210">
        <v>27605410</v>
      </c>
      <c r="K11" s="210">
        <v>45114693</v>
      </c>
      <c r="L11" s="210">
        <v>35947494.5</v>
      </c>
      <c r="M11" s="211">
        <v>29188907</v>
      </c>
      <c r="N11" s="211">
        <v>49471932.5</v>
      </c>
      <c r="O11" s="211">
        <v>36007322.100000001</v>
      </c>
      <c r="P11" s="211">
        <v>38435553.299999997</v>
      </c>
      <c r="Q11" s="211">
        <v>29323247</v>
      </c>
      <c r="R11" s="211">
        <v>40994679</v>
      </c>
      <c r="S11" s="211">
        <v>42150848</v>
      </c>
      <c r="T11" s="211">
        <v>55282900.700000003</v>
      </c>
      <c r="U11" s="211">
        <v>45283542.299999997</v>
      </c>
      <c r="V11" s="211">
        <f>40309430+6350000+24439+612009+5722240</f>
        <v>53018118</v>
      </c>
      <c r="W11" s="212">
        <v>41378132</v>
      </c>
      <c r="X11" s="212">
        <v>37200001.009999998</v>
      </c>
      <c r="Y11" s="213">
        <f>30730467+6450000+206308+515714+5969837+1245573+357487</f>
        <v>45475386</v>
      </c>
      <c r="Z11" s="214">
        <v>28426641.760000002</v>
      </c>
      <c r="AA11" s="214">
        <v>36369509.960000001</v>
      </c>
      <c r="AB11" s="323">
        <v>43235334.759999998</v>
      </c>
      <c r="AC11" s="327">
        <v>42456784.460000001</v>
      </c>
      <c r="AD11" s="327">
        <v>41511498.460000001</v>
      </c>
      <c r="AE11" s="327">
        <v>47226217.359999999</v>
      </c>
      <c r="AF11" s="332">
        <v>36157294.759999998</v>
      </c>
      <c r="AG11" s="334">
        <v>38964562.43</v>
      </c>
      <c r="AH11" s="332">
        <v>44352302.009999998</v>
      </c>
      <c r="AI11" s="344">
        <v>48985175.329999998</v>
      </c>
      <c r="AJ11" s="344">
        <v>44484659.310000002</v>
      </c>
      <c r="AK11" s="332">
        <v>413378021.73000002</v>
      </c>
      <c r="AL11" s="359">
        <v>64478697</v>
      </c>
      <c r="AM11" s="332">
        <v>47013157.420000002</v>
      </c>
      <c r="AN11" s="344">
        <v>39791215.43</v>
      </c>
      <c r="AO11" s="344">
        <v>42336935.229999997</v>
      </c>
      <c r="AP11" s="344">
        <v>39488722.479999997</v>
      </c>
      <c r="AQ11" s="344">
        <v>40859611.93</v>
      </c>
      <c r="AR11" s="344">
        <v>42016946.18</v>
      </c>
      <c r="AS11" s="344">
        <v>54794824.479999997</v>
      </c>
      <c r="AT11" s="344">
        <v>35184439.450000003</v>
      </c>
      <c r="AU11" s="344">
        <v>46653738.68</v>
      </c>
      <c r="AV11" s="344">
        <v>46813082.560000002</v>
      </c>
      <c r="AW11" s="344">
        <v>53790313.079999998</v>
      </c>
      <c r="AX11" s="344">
        <v>46306288.68</v>
      </c>
      <c r="AY11" s="173">
        <v>38940535</v>
      </c>
      <c r="AZ11" s="332">
        <v>54833999.869999997</v>
      </c>
      <c r="BA11" s="344">
        <v>50877124.030000001</v>
      </c>
      <c r="BB11" s="344">
        <v>56270557.68</v>
      </c>
      <c r="BC11" s="344">
        <v>45060785.07</v>
      </c>
      <c r="BD11" s="332">
        <v>35975674.68</v>
      </c>
      <c r="BE11" s="332">
        <v>43436918.68</v>
      </c>
      <c r="BF11" s="451">
        <v>52624586.240000002</v>
      </c>
    </row>
    <row r="12" spans="1:58" ht="15">
      <c r="A12" s="192">
        <v>1.2</v>
      </c>
      <c r="B12" s="193" t="s">
        <v>22</v>
      </c>
      <c r="C12" s="204">
        <f>169242912-5659875</f>
        <v>163583037</v>
      </c>
      <c r="D12" s="205">
        <f>179690522</f>
        <v>179690522</v>
      </c>
      <c r="E12" s="206">
        <f>266034639-E11</f>
        <v>250917496</v>
      </c>
      <c r="F12" s="185">
        <f>'[1]10,11,12,13'!$G$48-'[1]10,11,12,13'!$G$43</f>
        <v>384941860</v>
      </c>
      <c r="G12" s="207">
        <f>205741791+1064890+181910656</f>
        <v>388717337</v>
      </c>
      <c r="H12" s="208">
        <f>11945236+110843+127304+3146057+295099840+6600000+30462654+2539604+2155811+500000+1217444+1057790+210467402+32101630+997000</f>
        <v>598528615</v>
      </c>
      <c r="I12" s="209">
        <f>979604+111028+127516+279762+340000000+7800000+16909887+7733190-140320+500000+20000+1057206+4087790</f>
        <v>379465663</v>
      </c>
      <c r="J12" s="210">
        <v>701215464.78999996</v>
      </c>
      <c r="K12" s="210">
        <v>598912973.03999996</v>
      </c>
      <c r="L12" s="210">
        <v>540168071.44000006</v>
      </c>
      <c r="M12" s="211">
        <v>529167614.38</v>
      </c>
      <c r="N12" s="211">
        <v>445291075.73000002</v>
      </c>
      <c r="O12" s="211">
        <v>438551137.88999999</v>
      </c>
      <c r="P12" s="211">
        <v>415908043.75999999</v>
      </c>
      <c r="Q12" s="211">
        <v>372174252.60000002</v>
      </c>
      <c r="R12" s="211">
        <v>369627195.61000001</v>
      </c>
      <c r="S12" s="211">
        <v>1496601414.5999999</v>
      </c>
      <c r="T12" s="211">
        <v>1140441586.74</v>
      </c>
      <c r="U12" s="211">
        <v>1026923851.5700001</v>
      </c>
      <c r="V12" s="211">
        <f>9885789+110588+127076+351783+420000000+9000000+12648236+15693241+688304+500000+17410+471011+87790</f>
        <v>469581228</v>
      </c>
      <c r="W12" s="212">
        <f>1066133866-W11</f>
        <v>1024755734</v>
      </c>
      <c r="X12" s="212">
        <f>1259116815.56-70000000</f>
        <v>1189116815.5599999</v>
      </c>
      <c r="Y12" s="213">
        <f>384765963+69494+91717698+185967+110431794+593670514</f>
        <v>1180841430</v>
      </c>
      <c r="Z12" s="214">
        <v>1102455470.25</v>
      </c>
      <c r="AA12" s="214">
        <v>1006199243.9</v>
      </c>
      <c r="AB12" s="323">
        <v>999194890</v>
      </c>
      <c r="AC12" s="327">
        <v>999035376.08000004</v>
      </c>
      <c r="AD12" s="327">
        <v>968854394.27999997</v>
      </c>
      <c r="AE12" s="327">
        <v>932346483.97000003</v>
      </c>
      <c r="AF12" s="334">
        <v>955236458.73000002</v>
      </c>
      <c r="AG12" s="334">
        <v>922056990.90999997</v>
      </c>
      <c r="AH12" s="334">
        <v>883427345.97000003</v>
      </c>
      <c r="AI12" s="346">
        <v>1470164503.74</v>
      </c>
      <c r="AJ12" s="346">
        <v>1341190125.3800001</v>
      </c>
      <c r="AK12" s="334"/>
      <c r="AL12" s="359">
        <f>271087875+59894+5993809+95527+40425932+188551320+80600000+671459286</f>
        <v>1258273643</v>
      </c>
      <c r="AM12" s="334">
        <v>1257614518.5999999</v>
      </c>
      <c r="AN12" s="346">
        <v>1150426428.5699999</v>
      </c>
      <c r="AO12" s="346">
        <v>1115200473.75</v>
      </c>
      <c r="AP12" s="346">
        <v>1114540251.49</v>
      </c>
      <c r="AQ12" s="346">
        <v>1127809150.8699999</v>
      </c>
      <c r="AR12" s="346">
        <v>1113914332.0799999</v>
      </c>
      <c r="AS12" s="346">
        <v>1870717331.4200001</v>
      </c>
      <c r="AT12" s="346">
        <v>1775233850.4100001</v>
      </c>
      <c r="AU12" s="346">
        <v>1621293611.24</v>
      </c>
      <c r="AV12" s="346">
        <v>1573102153.1700001</v>
      </c>
      <c r="AW12" s="346">
        <v>1538115167.3399999</v>
      </c>
      <c r="AX12" s="344">
        <v>1455965470.0899999</v>
      </c>
      <c r="AY12" s="173">
        <f>1502271759-38940535</f>
        <v>1463331224</v>
      </c>
      <c r="AZ12" s="334">
        <v>1365162818.53</v>
      </c>
      <c r="BA12" s="346">
        <v>1205354758.23</v>
      </c>
      <c r="BB12" s="346">
        <v>1092181903.3599999</v>
      </c>
      <c r="BC12" s="346">
        <v>1121498828.49</v>
      </c>
      <c r="BD12" s="334">
        <v>1116657951.23</v>
      </c>
      <c r="BE12" s="334">
        <v>1087842136.8699999</v>
      </c>
      <c r="BF12" s="453">
        <v>1093098629.4200001</v>
      </c>
    </row>
    <row r="13" spans="1:58" ht="15.75">
      <c r="A13" s="192"/>
      <c r="B13" s="193"/>
      <c r="C13" s="204"/>
      <c r="D13" s="205"/>
      <c r="E13" s="215"/>
      <c r="F13" s="185"/>
      <c r="G13" s="207"/>
      <c r="H13" s="208"/>
      <c r="I13" s="216"/>
      <c r="J13" s="187"/>
      <c r="K13" s="187"/>
      <c r="L13" s="187"/>
      <c r="M13" s="217"/>
      <c r="N13" s="217"/>
      <c r="O13" s="217"/>
      <c r="P13" s="217"/>
      <c r="Q13" s="217"/>
      <c r="R13" s="217"/>
      <c r="S13" s="217"/>
      <c r="T13" s="217"/>
      <c r="U13" s="217"/>
      <c r="V13" s="217"/>
      <c r="W13" s="218"/>
      <c r="X13" s="218"/>
      <c r="Y13" s="219"/>
      <c r="AB13" s="1"/>
      <c r="AC13" s="327"/>
      <c r="AD13" s="327"/>
      <c r="AE13" s="327"/>
      <c r="AF13" s="327"/>
      <c r="AY13" s="173"/>
      <c r="BE13" s="334"/>
      <c r="BF13" s="453">
        <v>0</v>
      </c>
    </row>
    <row r="14" spans="1:58" ht="15">
      <c r="A14" s="192">
        <v>2</v>
      </c>
      <c r="B14" s="189" t="s">
        <v>23</v>
      </c>
      <c r="C14" s="190">
        <v>46579272</v>
      </c>
      <c r="D14" s="205">
        <v>47499560</v>
      </c>
      <c r="E14" s="220">
        <v>71142033</v>
      </c>
      <c r="F14" s="221">
        <f>'[1]5,'!$E$16</f>
        <v>72147099</v>
      </c>
      <c r="G14" s="222">
        <v>75848761</v>
      </c>
      <c r="H14" s="223">
        <f>56260+3000000+48374+200000+868781+3000+50000+17000+54062881+487494+462668+796000+45000+20000+23438541+2617124+496518+454518+4415+215227+112330+174253+474723+47621</f>
        <v>88152728</v>
      </c>
      <c r="I14" s="224">
        <f>56260+3000000+104553+200000+905659+3000+50000+17000+55234231+14110500+583502+796000+612480+90000+20000+32430901+2490887+496518+42236+2859306+31279+2618516+815007+6242272+487494+130000+1500960+21940</f>
        <v>125950501</v>
      </c>
      <c r="J14" s="225">
        <v>134876338.72999999</v>
      </c>
      <c r="K14" s="225">
        <v>130393812.88</v>
      </c>
      <c r="L14" s="225">
        <v>131860585.42</v>
      </c>
      <c r="M14" s="226">
        <v>138966689.44999999</v>
      </c>
      <c r="N14" s="226">
        <v>151443080.03</v>
      </c>
      <c r="O14" s="226">
        <v>161008219.12</v>
      </c>
      <c r="P14" s="226">
        <v>178486292.97999999</v>
      </c>
      <c r="Q14" s="226">
        <v>180871157.63</v>
      </c>
      <c r="R14" s="226">
        <v>191739631.24000001</v>
      </c>
      <c r="S14" s="226">
        <v>86004695.140000001</v>
      </c>
      <c r="T14" s="226">
        <v>108265902.73</v>
      </c>
      <c r="U14" s="226">
        <v>122783346.04000001</v>
      </c>
      <c r="V14" s="226">
        <f>56260+88358+200000+991501+3000+50000+17000+60725920+1113106+796000+612480+90000+20000+39066692+2422490+496518+29899+4037229+46400+4894469+4207200+487494+130000+750000+1349331+102000</f>
        <v>122783347</v>
      </c>
      <c r="W14" s="227">
        <v>145701460</v>
      </c>
      <c r="X14" s="227">
        <v>167852256.22</v>
      </c>
      <c r="Y14" s="228">
        <f>56260+50000+200000+1526864+3000+50000+17000+596316+824000+118000+20000+5745+92297+13318+2014260+578000+341400+1884611+178151+631060+45600+114000+14996+26000-(3079957)+113914696+43800355+1529858</f>
        <v>165565830</v>
      </c>
      <c r="Z14" s="214">
        <v>161182699.40000001</v>
      </c>
      <c r="AA14" s="214">
        <v>179512419.91999999</v>
      </c>
      <c r="AB14" s="323">
        <v>186441560.68000001</v>
      </c>
      <c r="AC14" s="327">
        <v>193604423.13999999</v>
      </c>
      <c r="AD14" s="327">
        <v>203785704.63999999</v>
      </c>
      <c r="AE14" s="327">
        <v>206154184.34999999</v>
      </c>
      <c r="AF14" s="332">
        <v>204368920.41</v>
      </c>
      <c r="AG14" s="175">
        <v>214211490.86000001</v>
      </c>
      <c r="AH14" s="332">
        <v>228058524.56999999</v>
      </c>
      <c r="AI14" s="344">
        <v>153732860.25999999</v>
      </c>
      <c r="AJ14" s="344">
        <v>173035000.38</v>
      </c>
      <c r="AL14" s="350">
        <v>168997681</v>
      </c>
      <c r="AM14" s="332">
        <v>172361742.00999999</v>
      </c>
      <c r="AN14" s="344">
        <v>208182549.28</v>
      </c>
      <c r="AO14" s="344">
        <v>213138689.78</v>
      </c>
      <c r="AP14" s="344">
        <v>218695217.25999999</v>
      </c>
      <c r="AQ14" s="344">
        <v>230946024</v>
      </c>
      <c r="AR14" s="344">
        <v>248624656.19999999</v>
      </c>
      <c r="AS14" s="344">
        <v>199042896.59</v>
      </c>
      <c r="AT14" s="344">
        <v>230488054.59</v>
      </c>
      <c r="AU14" s="344">
        <v>250869976.72999999</v>
      </c>
      <c r="AV14" s="344">
        <v>265697393.27000001</v>
      </c>
      <c r="AW14" s="344">
        <v>278868567.67000002</v>
      </c>
      <c r="AX14" s="344">
        <v>287649201.17000002</v>
      </c>
      <c r="AY14" s="173">
        <v>288102791</v>
      </c>
      <c r="AZ14" s="334">
        <v>275728550.25</v>
      </c>
      <c r="BA14" s="346">
        <v>292917179.32999998</v>
      </c>
      <c r="BB14" s="346">
        <v>313765549.69</v>
      </c>
      <c r="BC14" s="346">
        <v>326396090.12</v>
      </c>
      <c r="BD14" s="334">
        <v>339098272.35000002</v>
      </c>
      <c r="BE14" s="334">
        <v>353647202.97000003</v>
      </c>
      <c r="BF14" s="453">
        <v>366283865.88</v>
      </c>
    </row>
    <row r="15" spans="1:58">
      <c r="A15" s="192"/>
      <c r="B15" s="193"/>
      <c r="C15" s="204"/>
      <c r="D15" s="205"/>
      <c r="E15" s="215"/>
      <c r="F15" s="185"/>
      <c r="G15" s="207"/>
      <c r="H15" s="208"/>
      <c r="I15" s="216"/>
      <c r="J15" s="187"/>
      <c r="K15" s="187"/>
      <c r="L15" s="187"/>
      <c r="M15" s="217"/>
      <c r="N15" s="217"/>
      <c r="O15" s="217"/>
      <c r="P15" s="217"/>
      <c r="Q15" s="217"/>
      <c r="R15" s="217"/>
      <c r="S15" s="217"/>
      <c r="T15" s="217"/>
      <c r="U15" s="217"/>
      <c r="V15" s="217"/>
      <c r="W15" s="218"/>
      <c r="X15" s="218"/>
      <c r="Y15" s="219"/>
      <c r="Z15" s="187"/>
      <c r="AA15" s="187"/>
      <c r="AB15" s="1"/>
      <c r="AC15" s="1"/>
      <c r="AD15" s="1"/>
      <c r="AE15" s="1"/>
      <c r="AF15" s="1"/>
      <c r="AY15" s="173">
        <v>0</v>
      </c>
    </row>
    <row r="16" spans="1:58" ht="15.75">
      <c r="A16" s="192">
        <v>3</v>
      </c>
      <c r="B16" s="189" t="s">
        <v>24</v>
      </c>
      <c r="C16" s="194">
        <f>SUM(C17:C21)</f>
        <v>14091580</v>
      </c>
      <c r="D16" s="195">
        <f>SUM(D17:D21)</f>
        <v>15191580</v>
      </c>
      <c r="E16" s="196">
        <f>SUM(E17:E21)</f>
        <v>15191580</v>
      </c>
      <c r="F16" s="229">
        <f>SUM('[1]10,11,12,13'!$G$125:$G$130)</f>
        <v>15985700</v>
      </c>
      <c r="G16" s="198">
        <f t="shared" ref="G16:L16" si="7">SUM(G17:G21)</f>
        <v>26085700</v>
      </c>
      <c r="H16" s="199">
        <f t="shared" si="7"/>
        <v>27282077</v>
      </c>
      <c r="I16" s="200">
        <f t="shared" si="7"/>
        <v>411782430</v>
      </c>
      <c r="J16" s="201">
        <f t="shared" si="7"/>
        <v>31082077</v>
      </c>
      <c r="K16" s="201">
        <f t="shared" si="7"/>
        <v>31082077</v>
      </c>
      <c r="L16" s="201">
        <f t="shared" si="7"/>
        <v>31082077</v>
      </c>
      <c r="M16" s="202">
        <f t="shared" ref="M16:R16" si="8">SUM(M17:M21)</f>
        <v>31082077</v>
      </c>
      <c r="N16" s="202">
        <f t="shared" si="8"/>
        <v>31082077</v>
      </c>
      <c r="O16" s="202">
        <f t="shared" si="8"/>
        <v>31082077</v>
      </c>
      <c r="P16" s="202">
        <f t="shared" si="8"/>
        <v>31082077</v>
      </c>
      <c r="Q16" s="202">
        <f t="shared" si="8"/>
        <v>31082077</v>
      </c>
      <c r="R16" s="202">
        <f t="shared" si="8"/>
        <v>31082077</v>
      </c>
      <c r="S16" s="202">
        <f t="shared" ref="S16:AB16" si="9">SUM(S17:S21)</f>
        <v>31082077</v>
      </c>
      <c r="T16" s="202">
        <f t="shared" si="9"/>
        <v>51082077</v>
      </c>
      <c r="U16" s="202">
        <f t="shared" si="9"/>
        <v>33417035</v>
      </c>
      <c r="V16" s="202">
        <f t="shared" si="9"/>
        <v>583025081</v>
      </c>
      <c r="W16" s="203">
        <f>SUM(W17:W21)</f>
        <v>38417035</v>
      </c>
      <c r="X16" s="203">
        <f t="shared" si="9"/>
        <v>108417035</v>
      </c>
      <c r="Y16" s="199">
        <f t="shared" si="9"/>
        <v>108417035</v>
      </c>
      <c r="Z16" s="199">
        <f t="shared" si="9"/>
        <v>108417035</v>
      </c>
      <c r="AA16" s="199">
        <f t="shared" si="9"/>
        <v>108417035</v>
      </c>
      <c r="AB16" s="199">
        <f t="shared" si="9"/>
        <v>108417035</v>
      </c>
      <c r="AC16" s="199">
        <f>SUM(AC17:AC21)</f>
        <v>108417035</v>
      </c>
      <c r="AD16" s="199">
        <f>SUM(AD17:AD21)</f>
        <v>108417035</v>
      </c>
      <c r="AE16" s="199">
        <f>SUM(AE17:AE21)</f>
        <v>108417035</v>
      </c>
      <c r="AF16" s="199">
        <f t="shared" ref="AF16:AG16" si="10">SUM(AF17:AF21)</f>
        <v>118917035</v>
      </c>
      <c r="AG16" s="199">
        <f t="shared" si="10"/>
        <v>118917035</v>
      </c>
      <c r="AH16" s="199">
        <f t="shared" ref="AH16:AK16" si="11">SUM(AH17:AH21)</f>
        <v>118917035</v>
      </c>
      <c r="AI16" s="199">
        <f t="shared" si="11"/>
        <v>116417035</v>
      </c>
      <c r="AJ16" s="199">
        <f t="shared" si="11"/>
        <v>116417035</v>
      </c>
      <c r="AK16" s="199">
        <f t="shared" si="11"/>
        <v>0</v>
      </c>
      <c r="AL16" s="199">
        <f t="shared" ref="AL16:AM16" si="12">SUM(AL17:AL21)</f>
        <v>116417035</v>
      </c>
      <c r="AM16" s="199">
        <f t="shared" si="12"/>
        <v>116417035</v>
      </c>
      <c r="AN16" s="199">
        <f t="shared" ref="AN16:BF16" si="13">SUM(AN17:AN21)</f>
        <v>128617035</v>
      </c>
      <c r="AO16" s="199">
        <f t="shared" si="13"/>
        <v>128617035</v>
      </c>
      <c r="AP16" s="199">
        <f t="shared" si="13"/>
        <v>128617035</v>
      </c>
      <c r="AQ16" s="199">
        <f t="shared" si="13"/>
        <v>128617035</v>
      </c>
      <c r="AR16" s="199">
        <f t="shared" si="13"/>
        <v>128617035</v>
      </c>
      <c r="AS16" s="199">
        <f t="shared" si="13"/>
        <v>128617035</v>
      </c>
      <c r="AT16" s="199">
        <f t="shared" si="13"/>
        <v>98617035</v>
      </c>
      <c r="AU16" s="199">
        <f t="shared" si="13"/>
        <v>98617035</v>
      </c>
      <c r="AV16" s="199">
        <f t="shared" si="13"/>
        <v>98617035</v>
      </c>
      <c r="AW16" s="199">
        <f t="shared" si="13"/>
        <v>58617035</v>
      </c>
      <c r="AX16" s="199">
        <f t="shared" si="13"/>
        <v>137404140</v>
      </c>
      <c r="AY16" s="199">
        <f t="shared" si="13"/>
        <v>137404140</v>
      </c>
      <c r="AZ16" s="199">
        <f t="shared" si="13"/>
        <v>137404140</v>
      </c>
      <c r="BA16" s="199">
        <f t="shared" si="13"/>
        <v>137404140</v>
      </c>
      <c r="BB16" s="199">
        <f t="shared" si="13"/>
        <v>137404140</v>
      </c>
      <c r="BC16" s="199">
        <f t="shared" si="13"/>
        <v>137404140</v>
      </c>
      <c r="BD16" s="199">
        <f t="shared" si="13"/>
        <v>143294140</v>
      </c>
      <c r="BE16" s="199">
        <f t="shared" si="13"/>
        <v>143294140</v>
      </c>
      <c r="BF16" s="199">
        <f t="shared" si="13"/>
        <v>143294140</v>
      </c>
    </row>
    <row r="17" spans="1:58" ht="15">
      <c r="A17" s="192">
        <v>3.1</v>
      </c>
      <c r="B17" s="193" t="s">
        <v>25</v>
      </c>
      <c r="C17" s="204"/>
      <c r="D17" s="205"/>
      <c r="E17" s="230"/>
      <c r="F17" s="210">
        <v>0</v>
      </c>
      <c r="G17" s="207"/>
      <c r="H17" s="208"/>
      <c r="I17" s="209"/>
      <c r="J17" s="210">
        <v>0</v>
      </c>
      <c r="K17" s="210">
        <v>0</v>
      </c>
      <c r="L17" s="210">
        <v>0</v>
      </c>
      <c r="M17" s="211"/>
      <c r="N17" s="211"/>
      <c r="O17" s="211"/>
      <c r="P17" s="211"/>
      <c r="Q17" s="211"/>
      <c r="R17" s="211"/>
      <c r="S17" s="211"/>
      <c r="T17" s="211"/>
      <c r="U17" s="211"/>
      <c r="V17" s="211"/>
      <c r="W17" s="212"/>
      <c r="X17" s="212">
        <v>70000000</v>
      </c>
      <c r="Y17" s="213">
        <f>70000000</f>
        <v>70000000</v>
      </c>
      <c r="Z17" s="214">
        <v>70000000</v>
      </c>
      <c r="AA17" s="214">
        <v>70000000</v>
      </c>
      <c r="AB17" s="323">
        <v>70000000</v>
      </c>
      <c r="AC17" s="327">
        <v>70000000</v>
      </c>
      <c r="AD17" s="327">
        <v>70000000</v>
      </c>
      <c r="AE17" s="327">
        <v>70000000</v>
      </c>
      <c r="AF17" s="332">
        <v>70000000</v>
      </c>
      <c r="AG17" s="332">
        <v>70000000</v>
      </c>
      <c r="AH17" s="332">
        <v>70000000</v>
      </c>
      <c r="AI17" s="344">
        <v>70000000</v>
      </c>
      <c r="AJ17" s="344">
        <v>70000000</v>
      </c>
      <c r="AK17" s="332"/>
      <c r="AL17" s="360">
        <v>70000000</v>
      </c>
      <c r="AM17" s="332">
        <v>70000000</v>
      </c>
      <c r="AN17" s="344">
        <v>70000000</v>
      </c>
      <c r="AO17" s="344">
        <v>70000000</v>
      </c>
      <c r="AP17" s="344">
        <v>70000000</v>
      </c>
      <c r="AQ17" s="344">
        <v>70000000</v>
      </c>
      <c r="AR17" s="344">
        <v>70000000</v>
      </c>
      <c r="AS17" s="344">
        <v>70000000</v>
      </c>
      <c r="AT17" s="344">
        <v>40000000</v>
      </c>
      <c r="AU17" s="344">
        <v>40000000</v>
      </c>
      <c r="AV17" s="344">
        <v>40000000</v>
      </c>
      <c r="AW17" s="343">
        <v>0</v>
      </c>
      <c r="AX17" s="343">
        <v>0</v>
      </c>
      <c r="AY17" s="173">
        <v>0</v>
      </c>
      <c r="AZ17" s="331">
        <v>0</v>
      </c>
      <c r="BA17" s="343">
        <v>0</v>
      </c>
      <c r="BB17" s="343">
        <v>0</v>
      </c>
      <c r="BC17" s="343">
        <v>0</v>
      </c>
      <c r="BD17" s="331">
        <v>0</v>
      </c>
      <c r="BE17" s="331">
        <v>0</v>
      </c>
      <c r="BF17" s="175">
        <v>0</v>
      </c>
    </row>
    <row r="18" spans="1:58" ht="15">
      <c r="A18" s="192">
        <v>3.2</v>
      </c>
      <c r="B18" s="193" t="s">
        <v>26</v>
      </c>
      <c r="C18" s="204"/>
      <c r="D18" s="205"/>
      <c r="E18" s="230"/>
      <c r="F18" s="210">
        <v>0</v>
      </c>
      <c r="G18" s="207"/>
      <c r="H18" s="208"/>
      <c r="I18" s="209"/>
      <c r="J18" s="210">
        <v>0</v>
      </c>
      <c r="K18" s="210">
        <v>0</v>
      </c>
      <c r="L18" s="210">
        <v>0</v>
      </c>
      <c r="M18" s="211"/>
      <c r="N18" s="211"/>
      <c r="O18" s="211"/>
      <c r="P18" s="211"/>
      <c r="Q18" s="211"/>
      <c r="R18" s="211"/>
      <c r="S18" s="211"/>
      <c r="T18" s="211"/>
      <c r="U18" s="211"/>
      <c r="V18" s="211"/>
      <c r="W18" s="212"/>
      <c r="X18" s="212"/>
      <c r="Y18" s="213"/>
      <c r="Z18" s="214">
        <v>0</v>
      </c>
      <c r="AA18" s="214">
        <v>0</v>
      </c>
      <c r="AB18" s="323">
        <v>0</v>
      </c>
      <c r="AC18" s="327">
        <v>0</v>
      </c>
      <c r="AD18" s="327">
        <v>0</v>
      </c>
      <c r="AE18" s="327">
        <v>0</v>
      </c>
      <c r="AF18" s="333">
        <v>0</v>
      </c>
      <c r="AG18" s="333">
        <v>0</v>
      </c>
      <c r="AH18" s="333"/>
      <c r="AI18" s="333"/>
      <c r="AJ18" s="333"/>
      <c r="AK18" s="333"/>
      <c r="AL18" s="359"/>
      <c r="AM18" s="333">
        <v>0</v>
      </c>
      <c r="AN18" s="345">
        <v>0</v>
      </c>
      <c r="AO18" s="345">
        <v>0</v>
      </c>
      <c r="AP18" s="345">
        <v>0</v>
      </c>
      <c r="AQ18" s="345">
        <v>0</v>
      </c>
      <c r="AR18" s="345">
        <v>0</v>
      </c>
      <c r="AS18" s="345">
        <v>0</v>
      </c>
      <c r="AT18" s="345">
        <v>0</v>
      </c>
      <c r="AU18" s="345">
        <v>0</v>
      </c>
      <c r="AV18" s="345">
        <v>0</v>
      </c>
      <c r="AW18" s="345">
        <v>0</v>
      </c>
      <c r="AX18" s="343">
        <v>0</v>
      </c>
      <c r="AY18" s="173">
        <v>0</v>
      </c>
      <c r="AZ18" s="333">
        <v>0</v>
      </c>
      <c r="BA18" s="345">
        <v>0</v>
      </c>
      <c r="BB18" s="345">
        <v>0</v>
      </c>
      <c r="BC18" s="345">
        <v>0</v>
      </c>
      <c r="BD18" s="333">
        <v>0</v>
      </c>
      <c r="BE18" s="333">
        <v>0</v>
      </c>
      <c r="BF18" s="450">
        <v>0</v>
      </c>
    </row>
    <row r="19" spans="1:58" ht="15">
      <c r="A19" s="192" t="s">
        <v>27</v>
      </c>
      <c r="B19" s="363" t="s">
        <v>28</v>
      </c>
      <c r="C19" s="204"/>
      <c r="D19" s="205"/>
      <c r="E19" s="230"/>
      <c r="F19" s="210">
        <v>0</v>
      </c>
      <c r="G19" s="207"/>
      <c r="H19" s="208"/>
      <c r="I19" s="209">
        <f>346954860+32748493+997000</f>
        <v>380700353</v>
      </c>
      <c r="J19" s="210">
        <v>0</v>
      </c>
      <c r="K19" s="210">
        <v>0</v>
      </c>
      <c r="L19" s="210">
        <v>0</v>
      </c>
      <c r="M19" s="211"/>
      <c r="N19" s="211"/>
      <c r="O19" s="211"/>
      <c r="P19" s="211"/>
      <c r="Q19" s="211"/>
      <c r="R19" s="211"/>
      <c r="S19" s="211"/>
      <c r="T19" s="211"/>
      <c r="U19" s="211"/>
      <c r="V19" s="211">
        <f>495029531+33408391+1000000+20170124</f>
        <v>549608046</v>
      </c>
      <c r="W19" s="212">
        <f>12398904+2575560+1000000+12333571+9000</f>
        <v>28317035</v>
      </c>
      <c r="X19" s="212"/>
      <c r="Y19" s="213">
        <f>12398904+2575560+1000000+100000+12333571+9000</f>
        <v>28417035</v>
      </c>
      <c r="Z19" s="214">
        <v>0</v>
      </c>
      <c r="AA19" s="214">
        <v>0</v>
      </c>
      <c r="AB19" s="323">
        <v>0</v>
      </c>
      <c r="AC19" s="327">
        <v>0</v>
      </c>
      <c r="AD19" s="327">
        <v>0</v>
      </c>
      <c r="AE19" s="327">
        <v>0</v>
      </c>
      <c r="AF19" s="333">
        <v>0</v>
      </c>
      <c r="AG19" s="333">
        <v>0</v>
      </c>
      <c r="AH19" s="333"/>
      <c r="AI19" s="333"/>
      <c r="AJ19" s="333"/>
      <c r="AK19" s="333"/>
      <c r="AL19" s="359"/>
      <c r="AM19" s="333">
        <v>0</v>
      </c>
      <c r="AN19" s="345">
        <v>0</v>
      </c>
      <c r="AO19" s="345">
        <v>0</v>
      </c>
      <c r="AP19" s="345">
        <v>0</v>
      </c>
      <c r="AQ19" s="345">
        <v>0</v>
      </c>
      <c r="AR19" s="345">
        <v>0</v>
      </c>
      <c r="AS19" s="345">
        <v>0</v>
      </c>
      <c r="AT19" s="345">
        <v>0</v>
      </c>
      <c r="AU19" s="345">
        <v>0</v>
      </c>
      <c r="AV19" s="345">
        <v>0</v>
      </c>
      <c r="AW19" s="345">
        <v>0</v>
      </c>
      <c r="AX19" s="343">
        <v>0</v>
      </c>
      <c r="AY19" s="173">
        <v>0</v>
      </c>
      <c r="AZ19" s="333">
        <v>0</v>
      </c>
      <c r="BA19" s="345">
        <v>0</v>
      </c>
      <c r="BB19" s="345">
        <v>0</v>
      </c>
      <c r="BC19" s="345">
        <v>0</v>
      </c>
      <c r="BD19" s="333">
        <v>0</v>
      </c>
      <c r="BE19" s="333">
        <v>0</v>
      </c>
      <c r="BF19" s="452">
        <v>0</v>
      </c>
    </row>
    <row r="20" spans="1:58" ht="15.75">
      <c r="A20" s="192"/>
      <c r="B20" s="364" t="s">
        <v>29</v>
      </c>
      <c r="C20" s="204"/>
      <c r="D20" s="205"/>
      <c r="E20" s="230"/>
      <c r="F20" s="210"/>
      <c r="G20" s="207"/>
      <c r="H20" s="208"/>
      <c r="I20" s="209"/>
      <c r="J20" s="210"/>
      <c r="K20" s="210"/>
      <c r="L20" s="210"/>
      <c r="M20" s="211"/>
      <c r="N20" s="211"/>
      <c r="O20" s="211"/>
      <c r="P20" s="211"/>
      <c r="Q20" s="211"/>
      <c r="R20" s="211"/>
      <c r="S20" s="211"/>
      <c r="T20" s="211"/>
      <c r="U20" s="211"/>
      <c r="V20" s="211"/>
      <c r="W20" s="212"/>
      <c r="X20" s="212"/>
      <c r="Y20" s="213"/>
      <c r="Z20" s="214"/>
      <c r="AA20" s="214"/>
      <c r="AB20" s="323"/>
      <c r="AC20" s="327"/>
      <c r="AD20" s="327"/>
      <c r="AE20" s="327"/>
      <c r="AF20" s="333"/>
      <c r="AG20" s="333"/>
      <c r="AH20" s="333"/>
      <c r="AI20" s="345"/>
      <c r="AJ20" s="345"/>
      <c r="AK20" s="333"/>
      <c r="AL20" s="359">
        <f>12398904+2575560+1000000+20333571+9000</f>
        <v>36317035</v>
      </c>
      <c r="AM20" s="334"/>
      <c r="AN20" s="346"/>
      <c r="AO20" s="346"/>
      <c r="AP20" s="346"/>
      <c r="AQ20" s="346"/>
      <c r="AR20" s="346"/>
      <c r="AS20" s="346"/>
      <c r="AT20" s="346"/>
      <c r="AU20" s="346"/>
      <c r="AV20" s="346"/>
      <c r="AW20" s="346"/>
      <c r="AX20" s="344"/>
      <c r="AY20" s="173">
        <v>137404140</v>
      </c>
      <c r="BD20" s="334"/>
      <c r="BE20" s="334"/>
      <c r="BF20" s="452">
        <v>0</v>
      </c>
    </row>
    <row r="21" spans="1:58" ht="15">
      <c r="A21" s="192" t="s">
        <v>30</v>
      </c>
      <c r="B21" s="365" t="s">
        <v>31</v>
      </c>
      <c r="C21" s="204">
        <v>14091580</v>
      </c>
      <c r="D21" s="205">
        <v>15191580</v>
      </c>
      <c r="E21" s="206">
        <v>15191580</v>
      </c>
      <c r="F21" s="221">
        <f>SUM('[1]10,11,12,13'!$G$125:$G$130)</f>
        <v>15985700</v>
      </c>
      <c r="G21" s="207">
        <v>26085700</v>
      </c>
      <c r="H21" s="208">
        <f>10332420+2575560+3265097+9000+1000000+100000+10000000</f>
        <v>27282077</v>
      </c>
      <c r="I21" s="209">
        <f>10332420+2575560+7065097+9000+1000000+100000+10000000</f>
        <v>31082077</v>
      </c>
      <c r="J21" s="210">
        <v>31082077</v>
      </c>
      <c r="K21" s="210">
        <v>31082077</v>
      </c>
      <c r="L21" s="210">
        <v>31082077</v>
      </c>
      <c r="M21" s="211">
        <v>31082077</v>
      </c>
      <c r="N21" s="211">
        <v>31082077</v>
      </c>
      <c r="O21" s="211">
        <v>31082077</v>
      </c>
      <c r="P21" s="211">
        <v>31082077</v>
      </c>
      <c r="Q21" s="211">
        <v>31082077</v>
      </c>
      <c r="R21" s="211">
        <v>31082077</v>
      </c>
      <c r="S21" s="211">
        <v>31082077</v>
      </c>
      <c r="T21" s="211">
        <v>51082077</v>
      </c>
      <c r="U21" s="211">
        <v>33417035</v>
      </c>
      <c r="V21" s="211">
        <f>12398904+2575560+1000000+100000+10000000+7333571+9000</f>
        <v>33417035</v>
      </c>
      <c r="W21" s="212">
        <f>100000+10000000</f>
        <v>10100000</v>
      </c>
      <c r="X21" s="212">
        <v>38417035</v>
      </c>
      <c r="Y21" s="213">
        <v>10000000</v>
      </c>
      <c r="Z21" s="214">
        <v>38417035</v>
      </c>
      <c r="AA21" s="214">
        <v>38417035</v>
      </c>
      <c r="AB21" s="323">
        <v>38417035</v>
      </c>
      <c r="AC21" s="327">
        <v>38417035</v>
      </c>
      <c r="AD21" s="327">
        <v>38417035</v>
      </c>
      <c r="AE21" s="327">
        <v>38417035</v>
      </c>
      <c r="AF21" s="334">
        <v>48917035</v>
      </c>
      <c r="AG21" s="334">
        <v>48917035</v>
      </c>
      <c r="AH21" s="332">
        <v>48917035</v>
      </c>
      <c r="AI21" s="344">
        <v>46417035</v>
      </c>
      <c r="AJ21" s="344">
        <v>46417035</v>
      </c>
      <c r="AK21" s="334"/>
      <c r="AL21" s="359">
        <f>100000+10000000</f>
        <v>10100000</v>
      </c>
      <c r="AM21" s="334">
        <v>46417035</v>
      </c>
      <c r="AN21" s="346">
        <v>58617035</v>
      </c>
      <c r="AO21" s="346">
        <v>58617035</v>
      </c>
      <c r="AP21" s="346">
        <v>58617035</v>
      </c>
      <c r="AQ21" s="346">
        <v>58617035</v>
      </c>
      <c r="AR21" s="346">
        <v>58617035</v>
      </c>
      <c r="AS21" s="346">
        <v>58617035</v>
      </c>
      <c r="AT21" s="346">
        <v>58617035</v>
      </c>
      <c r="AU21" s="346">
        <v>58617035</v>
      </c>
      <c r="AV21" s="346">
        <v>58617035</v>
      </c>
      <c r="AW21" s="346">
        <v>58617035</v>
      </c>
      <c r="AX21" s="344">
        <v>137404140</v>
      </c>
      <c r="AY21" s="173">
        <v>0</v>
      </c>
      <c r="AZ21" s="332">
        <v>137404140</v>
      </c>
      <c r="BA21" s="344">
        <v>137404140</v>
      </c>
      <c r="BB21" s="344">
        <v>137404140</v>
      </c>
      <c r="BC21" s="344">
        <v>137404140</v>
      </c>
      <c r="BD21" s="334">
        <v>143294140</v>
      </c>
      <c r="BE21" s="334">
        <v>143294140</v>
      </c>
      <c r="BF21" s="453">
        <v>143294140</v>
      </c>
    </row>
    <row r="22" spans="1:58">
      <c r="A22" s="193"/>
      <c r="B22" s="193"/>
      <c r="C22" s="204"/>
      <c r="D22" s="205"/>
      <c r="E22" s="215"/>
      <c r="F22" s="185"/>
      <c r="G22" s="207"/>
      <c r="H22" s="208"/>
      <c r="I22" s="216"/>
      <c r="J22" s="187"/>
      <c r="K22" s="187"/>
      <c r="L22" s="187"/>
      <c r="M22" s="217"/>
      <c r="N22" s="217"/>
      <c r="O22" s="217"/>
      <c r="P22" s="217"/>
      <c r="Q22" s="217"/>
      <c r="R22" s="217"/>
      <c r="S22" s="217"/>
      <c r="T22" s="217"/>
      <c r="U22" s="217"/>
      <c r="V22" s="217"/>
      <c r="W22" s="218"/>
      <c r="X22" s="218"/>
      <c r="Y22" s="219"/>
      <c r="Z22" s="187"/>
      <c r="AA22" s="187"/>
      <c r="AB22" s="187"/>
      <c r="AC22" s="187"/>
      <c r="AD22" s="187"/>
      <c r="AE22" s="187"/>
      <c r="AF22" s="187"/>
      <c r="AY22" s="173"/>
    </row>
    <row r="23" spans="1:58" ht="15.75">
      <c r="A23" s="192">
        <v>4</v>
      </c>
      <c r="B23" s="189" t="s">
        <v>32</v>
      </c>
      <c r="C23" s="194">
        <f t="shared" ref="C23:H23" si="14">C24-C25</f>
        <v>502161933</v>
      </c>
      <c r="D23" s="195">
        <f t="shared" si="14"/>
        <v>701336906</v>
      </c>
      <c r="E23" s="231">
        <f t="shared" si="14"/>
        <v>842727981</v>
      </c>
      <c r="F23" s="232">
        <f t="shared" si="14"/>
        <v>1018650165</v>
      </c>
      <c r="G23" s="198">
        <f t="shared" si="14"/>
        <v>1128533399</v>
      </c>
      <c r="H23" s="199">
        <f t="shared" si="14"/>
        <v>1189398328</v>
      </c>
      <c r="I23" s="200">
        <f t="shared" ref="I23:N23" si="15">I24-I25</f>
        <v>1390743016</v>
      </c>
      <c r="J23" s="201">
        <f t="shared" si="15"/>
        <v>1434273391.3399999</v>
      </c>
      <c r="K23" s="201">
        <f t="shared" si="15"/>
        <v>1458295713.47</v>
      </c>
      <c r="L23" s="201">
        <f t="shared" si="15"/>
        <v>1484511802.6399999</v>
      </c>
      <c r="M23" s="202">
        <f t="shared" si="15"/>
        <v>1509096206.5699999</v>
      </c>
      <c r="N23" s="202">
        <f t="shared" si="15"/>
        <v>1571614016.1600001</v>
      </c>
      <c r="O23" s="202">
        <f t="shared" ref="O23:AB23" si="16">O24-O25</f>
        <v>1609126475.3899999</v>
      </c>
      <c r="P23" s="202">
        <f t="shared" si="16"/>
        <v>1645764434.9300001</v>
      </c>
      <c r="Q23" s="202">
        <f t="shared" si="16"/>
        <v>1673179905.4400001</v>
      </c>
      <c r="R23" s="202">
        <f t="shared" si="16"/>
        <v>1702530799.3299999</v>
      </c>
      <c r="S23" s="202">
        <f t="shared" si="16"/>
        <v>1300118194.8699999</v>
      </c>
      <c r="T23" s="202">
        <f t="shared" si="16"/>
        <v>1502186232.3799999</v>
      </c>
      <c r="U23" s="202">
        <f t="shared" si="16"/>
        <v>1586230680.46</v>
      </c>
      <c r="V23" s="202">
        <f t="shared" si="16"/>
        <v>1586230680</v>
      </c>
      <c r="W23" s="203">
        <f>W24-W25</f>
        <v>2368943638</v>
      </c>
      <c r="X23" s="203">
        <f>X24-X25</f>
        <v>2610778604.1700001</v>
      </c>
      <c r="Y23" s="199">
        <f t="shared" si="16"/>
        <v>2610778604</v>
      </c>
      <c r="Z23" s="199">
        <f t="shared" si="16"/>
        <v>2643877056.6599998</v>
      </c>
      <c r="AA23" s="199">
        <f t="shared" si="16"/>
        <v>2687640061.8200002</v>
      </c>
      <c r="AB23" s="199">
        <f t="shared" si="16"/>
        <v>2743926425.5300002</v>
      </c>
      <c r="AC23" s="199">
        <f>AC24-AC25</f>
        <v>2789649899.6500001</v>
      </c>
      <c r="AD23" s="199">
        <f>AD24-AD25</f>
        <v>2844569921.0900002</v>
      </c>
      <c r="AE23" s="199">
        <f>AE24-AE25</f>
        <v>2895204720.2599998</v>
      </c>
      <c r="AF23" s="199">
        <f t="shared" ref="AF23:AG23" si="17">AF24-AF25</f>
        <v>2916584781.7800002</v>
      </c>
      <c r="AG23" s="199">
        <f t="shared" si="17"/>
        <v>2940847245.5300002</v>
      </c>
      <c r="AH23" s="199">
        <f t="shared" ref="AH23:AK23" si="18">AH24-AH25</f>
        <v>2955894518.0900002</v>
      </c>
      <c r="AI23" s="199">
        <f t="shared" si="18"/>
        <v>2759998445.8200002</v>
      </c>
      <c r="AJ23" s="199">
        <f t="shared" si="18"/>
        <v>2891280751.1700001</v>
      </c>
      <c r="AK23" s="199">
        <f t="shared" si="18"/>
        <v>0</v>
      </c>
      <c r="AL23" s="199">
        <f t="shared" ref="AL23:AM23" si="19">AL24-AL25</f>
        <v>2997613082</v>
      </c>
      <c r="AM23" s="199">
        <f t="shared" si="19"/>
        <v>2980009066.1599998</v>
      </c>
      <c r="AN23" s="199">
        <f t="shared" ref="AN23:BF23" si="20">AN24-AN25</f>
        <v>3009016154.8400002</v>
      </c>
      <c r="AO23" s="199">
        <f t="shared" si="20"/>
        <v>3080886998.3200002</v>
      </c>
      <c r="AP23" s="199">
        <f t="shared" si="20"/>
        <v>3128688157.3800001</v>
      </c>
      <c r="AQ23" s="199">
        <f t="shared" si="20"/>
        <v>3161791179.96</v>
      </c>
      <c r="AR23" s="199">
        <f t="shared" si="20"/>
        <v>3215015386.8099999</v>
      </c>
      <c r="AS23" s="199">
        <f t="shared" si="20"/>
        <v>2968106017.4699998</v>
      </c>
      <c r="AT23" s="199">
        <f t="shared" si="20"/>
        <v>3036184484.1599998</v>
      </c>
      <c r="AU23" s="199">
        <f t="shared" si="20"/>
        <v>3106412937.9699998</v>
      </c>
      <c r="AV23" s="199">
        <f t="shared" si="20"/>
        <v>3137535687.8899999</v>
      </c>
      <c r="AW23" s="199">
        <f t="shared" si="20"/>
        <v>3222535135.8200002</v>
      </c>
      <c r="AX23" s="199">
        <f t="shared" si="20"/>
        <v>3312272534.0700002</v>
      </c>
      <c r="AY23" s="199">
        <f t="shared" si="20"/>
        <v>3312272534</v>
      </c>
      <c r="AZ23" s="199">
        <f t="shared" si="20"/>
        <v>3309370283.23</v>
      </c>
      <c r="BA23" s="199">
        <f t="shared" si="20"/>
        <v>3387555601.9400001</v>
      </c>
      <c r="BB23" s="199">
        <f t="shared" si="20"/>
        <v>3570675269.73</v>
      </c>
      <c r="BC23" s="199">
        <f t="shared" si="20"/>
        <v>3582819111.4200001</v>
      </c>
      <c r="BD23" s="199">
        <f t="shared" si="20"/>
        <v>3640294619.3299999</v>
      </c>
      <c r="BE23" s="199">
        <f t="shared" si="20"/>
        <v>3729592162.6500001</v>
      </c>
      <c r="BF23" s="199">
        <f t="shared" si="20"/>
        <v>3791136884.52</v>
      </c>
    </row>
    <row r="24" spans="1:58" ht="15">
      <c r="A24" s="193"/>
      <c r="B24" s="193" t="s">
        <v>33</v>
      </c>
      <c r="C24" s="204">
        <v>502161933</v>
      </c>
      <c r="D24" s="205">
        <v>701336906</v>
      </c>
      <c r="E24" s="206">
        <v>866580456</v>
      </c>
      <c r="F24" s="185">
        <f>SUM('[1]10,11,12,13'!$G$83:$G$103)</f>
        <v>1050502640</v>
      </c>
      <c r="G24" s="207">
        <v>1169889815</v>
      </c>
      <c r="H24" s="208">
        <f>971478121+16079464+29061764-2680000+28074187+9490022+49046+2321440+10203+131055567+4574407+73311+11986739+23688653+19598761+11937779+494722+1239178+1505137+1000</f>
        <v>1260039501</v>
      </c>
      <c r="I24" s="209">
        <f>944396801+19556130+35445402+-30000+27290321+172222+11846083+87635+1018525+10203+370493220+4439227+58806+13773291+27239013+12910863+20515212+114722+925659+574033+2214</f>
        <v>1490839582</v>
      </c>
      <c r="J24" s="210">
        <v>1537244957.0699999</v>
      </c>
      <c r="K24" s="210">
        <v>1564142279.2</v>
      </c>
      <c r="L24" s="210">
        <v>1593233368.3699999</v>
      </c>
      <c r="M24" s="211">
        <v>1620692772.3</v>
      </c>
      <c r="N24" s="211">
        <v>1686085581.8900001</v>
      </c>
      <c r="O24" s="211">
        <v>1726473041.1199999</v>
      </c>
      <c r="P24" s="211">
        <v>1765986000.6600001</v>
      </c>
      <c r="Q24" s="211">
        <v>1796276471.1700001</v>
      </c>
      <c r="R24" s="211">
        <v>1828502365.0599999</v>
      </c>
      <c r="S24" s="211">
        <v>1428964760.5999999</v>
      </c>
      <c r="T24" s="211">
        <v>1633907798.1099999</v>
      </c>
      <c r="U24" s="211">
        <v>1720827246.1900001</v>
      </c>
      <c r="V24" s="211">
        <f>11853049+32617396+597725135+1044797338+33834328</f>
        <v>1720827246</v>
      </c>
      <c r="W24" s="212">
        <v>2700721660</v>
      </c>
      <c r="X24" s="212">
        <v>2983656625.9000001</v>
      </c>
      <c r="Y24" s="213">
        <f>2700721660+1831425144-(1548490178)</f>
        <v>2983656626</v>
      </c>
      <c r="Z24" s="214">
        <v>3021255078.3899999</v>
      </c>
      <c r="AA24" s="214">
        <v>3069518083.5500002</v>
      </c>
      <c r="AB24" s="323">
        <v>3130304447.2600002</v>
      </c>
      <c r="AC24" s="327">
        <v>3180527921.3800001</v>
      </c>
      <c r="AD24" s="327">
        <v>3239947942.8200002</v>
      </c>
      <c r="AE24" s="327">
        <v>3295082741.9899998</v>
      </c>
      <c r="AF24" s="332">
        <v>3320962803.5100002</v>
      </c>
      <c r="AG24" s="334">
        <v>3349725267.2600002</v>
      </c>
      <c r="AH24" s="332">
        <v>3369272539.8200002</v>
      </c>
      <c r="AI24" s="344">
        <v>3177876467.5500002</v>
      </c>
      <c r="AJ24" s="344">
        <v>3313658772.9000001</v>
      </c>
      <c r="AK24" s="334"/>
      <c r="AL24" s="359">
        <v>3379491104</v>
      </c>
      <c r="AM24" s="332">
        <v>3366387087.8899999</v>
      </c>
      <c r="AN24" s="344">
        <v>3399894176.5700002</v>
      </c>
      <c r="AO24" s="344">
        <v>3462765020.0500002</v>
      </c>
      <c r="AP24" s="344">
        <v>3510566179.1100001</v>
      </c>
      <c r="AQ24" s="344">
        <v>3543669201.6900001</v>
      </c>
      <c r="AR24" s="344">
        <v>3596893408.54</v>
      </c>
      <c r="AS24" s="344">
        <v>3383611396.1999998</v>
      </c>
      <c r="AT24" s="344">
        <v>3467787982.8899999</v>
      </c>
      <c r="AU24" s="344">
        <v>3541927604.6999998</v>
      </c>
      <c r="AV24" s="344">
        <v>3587463038.6199999</v>
      </c>
      <c r="AW24" s="344">
        <v>3675491559.5500002</v>
      </c>
      <c r="AX24" s="344">
        <v>3748213330.8000002</v>
      </c>
      <c r="AY24" s="173">
        <v>3748213331</v>
      </c>
      <c r="AZ24" s="332">
        <v>3745311079.96</v>
      </c>
      <c r="BA24" s="344">
        <v>3823496398.6700001</v>
      </c>
      <c r="BB24" s="344">
        <v>4018635239.46</v>
      </c>
      <c r="BC24" s="344">
        <v>4056130366.1500001</v>
      </c>
      <c r="BD24" s="332">
        <v>4111459696.9499998</v>
      </c>
      <c r="BE24" s="332">
        <v>4197830621.3800001</v>
      </c>
      <c r="BF24" s="451">
        <v>4243823642.25</v>
      </c>
    </row>
    <row r="25" spans="1:58" ht="15">
      <c r="A25" s="193"/>
      <c r="B25" s="193" t="s">
        <v>34</v>
      </c>
      <c r="C25" s="204"/>
      <c r="D25" s="205"/>
      <c r="E25" s="233">
        <v>23852475</v>
      </c>
      <c r="F25" s="185">
        <f>-'[1]10,11,12,13'!$G$105</f>
        <v>31852475</v>
      </c>
      <c r="G25" s="207">
        <v>41356416</v>
      </c>
      <c r="H25" s="208">
        <v>70641173</v>
      </c>
      <c r="I25" s="209">
        <v>100096566</v>
      </c>
      <c r="J25" s="210">
        <v>102971565.73</v>
      </c>
      <c r="K25" s="210">
        <v>105846565.73</v>
      </c>
      <c r="L25" s="210">
        <v>108721565.73</v>
      </c>
      <c r="M25" s="211">
        <v>111596565.73</v>
      </c>
      <c r="N25" s="211">
        <v>114471565.73</v>
      </c>
      <c r="O25" s="211">
        <v>117346565.73</v>
      </c>
      <c r="P25" s="211">
        <v>120221565.73</v>
      </c>
      <c r="Q25" s="211">
        <v>123096565.73</v>
      </c>
      <c r="R25" s="211">
        <v>125971565.73</v>
      </c>
      <c r="S25" s="211">
        <v>128846565.73</v>
      </c>
      <c r="T25" s="211">
        <v>131721565.73</v>
      </c>
      <c r="U25" s="211">
        <v>134596565.72999999</v>
      </c>
      <c r="V25" s="211">
        <v>134596566</v>
      </c>
      <c r="W25" s="212">
        <v>331778022</v>
      </c>
      <c r="X25" s="212">
        <v>372878021.73000002</v>
      </c>
      <c r="Y25" s="213">
        <v>372878022</v>
      </c>
      <c r="Z25" s="214">
        <v>377378021.73000002</v>
      </c>
      <c r="AA25" s="214">
        <v>381878021.73000002</v>
      </c>
      <c r="AB25" s="323">
        <v>386378021.73000002</v>
      </c>
      <c r="AC25" s="327">
        <v>390878021.73000002</v>
      </c>
      <c r="AD25" s="327">
        <v>395378021.73000002</v>
      </c>
      <c r="AE25" s="327">
        <v>399878021.73000002</v>
      </c>
      <c r="AF25" s="334">
        <v>404378021.73000002</v>
      </c>
      <c r="AG25" s="334">
        <v>408878021.73000002</v>
      </c>
      <c r="AH25" s="334">
        <v>413378021.73000002</v>
      </c>
      <c r="AI25" s="346">
        <v>417878021.73000002</v>
      </c>
      <c r="AJ25" s="346">
        <v>422378021.73000002</v>
      </c>
      <c r="AK25" s="334"/>
      <c r="AL25" s="359">
        <f>23485219+20504695+86912138+42948825+187329149+20697996</f>
        <v>381878022</v>
      </c>
      <c r="AM25" s="334">
        <v>386378021.73000002</v>
      </c>
      <c r="AN25" s="346">
        <v>390878021.73000002</v>
      </c>
      <c r="AO25" s="346">
        <v>381878021.73000002</v>
      </c>
      <c r="AP25" s="346">
        <v>381878021.73000002</v>
      </c>
      <c r="AQ25" s="346">
        <v>381878021.73000002</v>
      </c>
      <c r="AR25" s="346">
        <v>381878021.73000002</v>
      </c>
      <c r="AS25" s="346">
        <v>415505378.73000002</v>
      </c>
      <c r="AT25" s="346">
        <v>431603498.73000002</v>
      </c>
      <c r="AU25" s="346">
        <v>435514666.73000002</v>
      </c>
      <c r="AV25" s="346">
        <v>449927350.73000002</v>
      </c>
      <c r="AW25" s="346">
        <v>452956423.73000002</v>
      </c>
      <c r="AX25" s="344">
        <v>435940796.73000002</v>
      </c>
      <c r="AY25" s="173">
        <v>435940797</v>
      </c>
      <c r="AZ25" s="334">
        <v>435940796.73000002</v>
      </c>
      <c r="BA25" s="346">
        <v>435940796.73000002</v>
      </c>
      <c r="BB25" s="346">
        <v>447959969.73000002</v>
      </c>
      <c r="BC25" s="346">
        <v>473311254.73000002</v>
      </c>
      <c r="BD25" s="334">
        <v>471165077.62</v>
      </c>
      <c r="BE25" s="334">
        <v>468238458.73000002</v>
      </c>
      <c r="BF25" s="453">
        <v>452686757.73000002</v>
      </c>
    </row>
    <row r="26" spans="1:58">
      <c r="A26" s="193"/>
      <c r="B26" s="193"/>
      <c r="C26" s="204"/>
      <c r="D26" s="205"/>
      <c r="E26" s="215"/>
      <c r="F26" s="185"/>
      <c r="G26" s="207"/>
      <c r="H26" s="208"/>
      <c r="I26" s="216"/>
      <c r="J26" s="187"/>
      <c r="K26" s="187"/>
      <c r="L26" s="187"/>
      <c r="M26" s="217"/>
      <c r="N26" s="217"/>
      <c r="O26" s="217"/>
      <c r="P26" s="217"/>
      <c r="Q26" s="217"/>
      <c r="R26" s="217"/>
      <c r="S26" s="217"/>
      <c r="T26" s="217"/>
      <c r="U26" s="217"/>
      <c r="V26" s="217"/>
      <c r="W26" s="218"/>
      <c r="X26" s="218"/>
      <c r="Y26" s="219"/>
      <c r="Z26" s="187"/>
      <c r="AA26" s="187"/>
      <c r="AB26" s="187"/>
      <c r="AC26" s="187"/>
      <c r="AD26" s="187"/>
      <c r="AE26" s="187"/>
      <c r="AF26" s="187"/>
      <c r="AY26" s="173"/>
    </row>
    <row r="27" spans="1:58" ht="15.75">
      <c r="A27" s="192">
        <v>5</v>
      </c>
      <c r="B27" s="189" t="s">
        <v>35</v>
      </c>
      <c r="C27" s="234">
        <f t="shared" ref="C27:H27" si="21">SUM(C28:C30)</f>
        <v>0</v>
      </c>
      <c r="D27" s="235">
        <f t="shared" si="21"/>
        <v>0</v>
      </c>
      <c r="E27" s="231">
        <f t="shared" si="21"/>
        <v>0</v>
      </c>
      <c r="F27" s="232">
        <f t="shared" si="21"/>
        <v>0</v>
      </c>
      <c r="G27" s="198">
        <f t="shared" si="21"/>
        <v>0</v>
      </c>
      <c r="H27" s="199">
        <f t="shared" si="21"/>
        <v>0</v>
      </c>
      <c r="I27" s="200">
        <f t="shared" ref="I27:N27" si="22">SUM(I28:I30)</f>
        <v>0</v>
      </c>
      <c r="J27" s="201">
        <f t="shared" si="22"/>
        <v>0</v>
      </c>
      <c r="K27" s="201">
        <f t="shared" si="22"/>
        <v>0</v>
      </c>
      <c r="L27" s="201">
        <f t="shared" si="22"/>
        <v>0</v>
      </c>
      <c r="M27" s="202">
        <f t="shared" si="22"/>
        <v>0</v>
      </c>
      <c r="N27" s="202">
        <f t="shared" si="22"/>
        <v>0</v>
      </c>
      <c r="O27" s="202">
        <f t="shared" ref="O27:AB27" si="23">SUM(O28:O30)</f>
        <v>0</v>
      </c>
      <c r="P27" s="202">
        <f t="shared" si="23"/>
        <v>0</v>
      </c>
      <c r="Q27" s="202">
        <f t="shared" si="23"/>
        <v>0</v>
      </c>
      <c r="R27" s="202">
        <f t="shared" si="23"/>
        <v>0</v>
      </c>
      <c r="S27" s="202">
        <f t="shared" si="23"/>
        <v>0</v>
      </c>
      <c r="T27" s="202">
        <f t="shared" si="23"/>
        <v>0</v>
      </c>
      <c r="U27" s="202">
        <f t="shared" si="23"/>
        <v>0</v>
      </c>
      <c r="V27" s="202">
        <f t="shared" si="23"/>
        <v>0</v>
      </c>
      <c r="W27" s="203">
        <f>SUM(W28:W30)</f>
        <v>0</v>
      </c>
      <c r="X27" s="203">
        <f>SUM(X28:X30)</f>
        <v>0</v>
      </c>
      <c r="Y27" s="199">
        <f t="shared" si="23"/>
        <v>0</v>
      </c>
      <c r="Z27" s="199">
        <f t="shared" si="23"/>
        <v>0</v>
      </c>
      <c r="AA27" s="199">
        <f t="shared" si="23"/>
        <v>0</v>
      </c>
      <c r="AB27" s="199">
        <f t="shared" si="23"/>
        <v>0</v>
      </c>
      <c r="AC27" s="199">
        <f>SUM(AC28:AC30)</f>
        <v>0</v>
      </c>
      <c r="AD27" s="199">
        <f>SUM(AD28:AD30)</f>
        <v>0</v>
      </c>
      <c r="AE27" s="199">
        <f>SUM(AE28:AE30)</f>
        <v>0</v>
      </c>
      <c r="AF27" s="199">
        <f t="shared" ref="AF27:AG27" si="24">SUM(AF28:AF30)</f>
        <v>0</v>
      </c>
      <c r="AG27" s="199">
        <f t="shared" si="24"/>
        <v>0</v>
      </c>
      <c r="AH27" s="199">
        <f t="shared" ref="AH27:AK27" si="25">SUM(AH28:AH30)</f>
        <v>0</v>
      </c>
      <c r="AI27" s="199">
        <f t="shared" si="25"/>
        <v>0</v>
      </c>
      <c r="AJ27" s="199">
        <f t="shared" si="25"/>
        <v>0</v>
      </c>
      <c r="AK27" s="199">
        <f t="shared" si="25"/>
        <v>0</v>
      </c>
      <c r="AL27" s="199">
        <f t="shared" ref="AL27:AM27" si="26">SUM(AL28:AL30)</f>
        <v>0</v>
      </c>
      <c r="AM27" s="199">
        <f t="shared" si="26"/>
        <v>0</v>
      </c>
      <c r="AN27" s="199">
        <f t="shared" ref="AN27:BF27" si="27">SUM(AN28:AN30)</f>
        <v>0</v>
      </c>
      <c r="AO27" s="199">
        <f t="shared" si="27"/>
        <v>0</v>
      </c>
      <c r="AP27" s="199">
        <f t="shared" si="27"/>
        <v>0</v>
      </c>
      <c r="AQ27" s="199">
        <f t="shared" si="27"/>
        <v>0</v>
      </c>
      <c r="AR27" s="199">
        <f t="shared" si="27"/>
        <v>0</v>
      </c>
      <c r="AS27" s="199">
        <f t="shared" si="27"/>
        <v>0</v>
      </c>
      <c r="AT27" s="199">
        <f t="shared" si="27"/>
        <v>0</v>
      </c>
      <c r="AU27" s="199">
        <f t="shared" si="27"/>
        <v>0</v>
      </c>
      <c r="AV27" s="199">
        <f t="shared" si="27"/>
        <v>0</v>
      </c>
      <c r="AW27" s="199">
        <f t="shared" si="27"/>
        <v>0</v>
      </c>
      <c r="AX27" s="199">
        <f t="shared" si="27"/>
        <v>0</v>
      </c>
      <c r="AY27" s="199">
        <f t="shared" si="27"/>
        <v>0</v>
      </c>
      <c r="AZ27" s="199">
        <f t="shared" si="27"/>
        <v>0</v>
      </c>
      <c r="BA27" s="199">
        <f t="shared" si="27"/>
        <v>0</v>
      </c>
      <c r="BB27" s="199">
        <f t="shared" si="27"/>
        <v>0</v>
      </c>
      <c r="BC27" s="199">
        <f t="shared" si="27"/>
        <v>0</v>
      </c>
      <c r="BD27" s="199">
        <f t="shared" si="27"/>
        <v>0</v>
      </c>
      <c r="BE27" s="199">
        <f t="shared" si="27"/>
        <v>0</v>
      </c>
      <c r="BF27" s="199">
        <f t="shared" si="27"/>
        <v>0</v>
      </c>
    </row>
    <row r="28" spans="1:58" ht="15">
      <c r="A28" s="193">
        <v>5.0999999999999996</v>
      </c>
      <c r="B28" s="193" t="s">
        <v>36</v>
      </c>
      <c r="C28" s="204"/>
      <c r="D28" s="205"/>
      <c r="E28" s="230"/>
      <c r="F28" s="185"/>
      <c r="G28" s="207"/>
      <c r="H28" s="208"/>
      <c r="I28" s="209"/>
      <c r="J28" s="210">
        <v>0</v>
      </c>
      <c r="K28" s="210">
        <v>0</v>
      </c>
      <c r="L28" s="210">
        <v>0</v>
      </c>
      <c r="M28" s="211"/>
      <c r="N28" s="211"/>
      <c r="O28" s="211"/>
      <c r="P28" s="211"/>
      <c r="Q28" s="211"/>
      <c r="R28" s="211"/>
      <c r="S28" s="211"/>
      <c r="T28" s="211"/>
      <c r="U28" s="211"/>
      <c r="V28" s="211"/>
      <c r="W28" s="212"/>
      <c r="X28" s="212"/>
      <c r="Y28" s="213"/>
      <c r="Z28" s="214">
        <v>0</v>
      </c>
      <c r="AA28" s="214">
        <v>0</v>
      </c>
      <c r="AB28" s="214">
        <v>0</v>
      </c>
      <c r="AC28" s="327">
        <v>0</v>
      </c>
      <c r="AD28" s="327">
        <v>0</v>
      </c>
      <c r="AE28" s="327">
        <v>0</v>
      </c>
      <c r="AF28" s="331">
        <v>0</v>
      </c>
      <c r="AG28" s="331">
        <v>0</v>
      </c>
      <c r="AH28" s="331">
        <v>0</v>
      </c>
      <c r="AI28" s="331">
        <v>0</v>
      </c>
      <c r="AJ28" s="331">
        <v>0</v>
      </c>
      <c r="AK28" s="331">
        <v>0</v>
      </c>
      <c r="AL28" s="360">
        <v>0</v>
      </c>
      <c r="AM28" s="331">
        <v>0</v>
      </c>
      <c r="AN28" s="343">
        <v>0</v>
      </c>
      <c r="AO28" s="343">
        <v>0</v>
      </c>
      <c r="AP28" s="343">
        <v>0</v>
      </c>
      <c r="AQ28" s="343">
        <v>0</v>
      </c>
      <c r="AR28" s="343">
        <v>0</v>
      </c>
      <c r="AS28" s="343">
        <v>0</v>
      </c>
      <c r="AT28" s="343">
        <v>0</v>
      </c>
      <c r="AU28" s="343">
        <v>0</v>
      </c>
      <c r="AV28" s="343">
        <v>0</v>
      </c>
      <c r="AW28" s="343">
        <v>0</v>
      </c>
      <c r="AX28" s="343">
        <v>0</v>
      </c>
      <c r="AY28" s="173">
        <v>0</v>
      </c>
      <c r="AZ28" s="331">
        <v>0</v>
      </c>
      <c r="BA28" s="343">
        <v>0</v>
      </c>
      <c r="BB28" s="343">
        <v>0</v>
      </c>
      <c r="BC28" s="343">
        <v>0</v>
      </c>
      <c r="BD28" s="175">
        <v>0</v>
      </c>
      <c r="BE28" s="331">
        <v>0</v>
      </c>
      <c r="BF28" s="450">
        <v>0</v>
      </c>
    </row>
    <row r="29" spans="1:58" ht="15">
      <c r="A29" s="193">
        <v>5.2</v>
      </c>
      <c r="B29" s="193" t="s">
        <v>37</v>
      </c>
      <c r="C29" s="204"/>
      <c r="D29" s="205"/>
      <c r="E29" s="230"/>
      <c r="F29" s="185"/>
      <c r="G29" s="207"/>
      <c r="H29" s="208"/>
      <c r="I29" s="209"/>
      <c r="J29" s="210">
        <v>0</v>
      </c>
      <c r="K29" s="210">
        <v>0</v>
      </c>
      <c r="L29" s="210">
        <v>0</v>
      </c>
      <c r="M29" s="211"/>
      <c r="N29" s="211"/>
      <c r="O29" s="211"/>
      <c r="P29" s="211"/>
      <c r="Q29" s="211"/>
      <c r="R29" s="211"/>
      <c r="S29" s="211"/>
      <c r="T29" s="211"/>
      <c r="U29" s="211"/>
      <c r="V29" s="211"/>
      <c r="W29" s="212"/>
      <c r="X29" s="212"/>
      <c r="Y29" s="213"/>
      <c r="Z29" s="214">
        <v>0</v>
      </c>
      <c r="AA29" s="214">
        <v>0</v>
      </c>
      <c r="AB29" s="214">
        <v>0</v>
      </c>
      <c r="AC29" s="327">
        <v>0</v>
      </c>
      <c r="AD29" s="327">
        <v>0</v>
      </c>
      <c r="AE29" s="327">
        <v>0</v>
      </c>
      <c r="AF29" s="333">
        <v>0</v>
      </c>
      <c r="AG29" s="333">
        <v>0</v>
      </c>
      <c r="AH29" s="333">
        <v>0</v>
      </c>
      <c r="AI29" s="333">
        <v>0</v>
      </c>
      <c r="AJ29" s="333">
        <v>0</v>
      </c>
      <c r="AK29" s="333">
        <v>0</v>
      </c>
      <c r="AL29" s="359">
        <v>0</v>
      </c>
      <c r="AM29" s="333">
        <v>0</v>
      </c>
      <c r="AN29" s="345">
        <v>0</v>
      </c>
      <c r="AO29" s="345">
        <v>0</v>
      </c>
      <c r="AP29" s="345">
        <v>0</v>
      </c>
      <c r="AQ29" s="345">
        <v>0</v>
      </c>
      <c r="AR29" s="345">
        <v>0</v>
      </c>
      <c r="AS29" s="345">
        <v>0</v>
      </c>
      <c r="AT29" s="345">
        <v>0</v>
      </c>
      <c r="AU29" s="345">
        <v>0</v>
      </c>
      <c r="AV29" s="345">
        <v>0</v>
      </c>
      <c r="AW29" s="345">
        <v>0</v>
      </c>
      <c r="AX29" s="343">
        <v>0</v>
      </c>
      <c r="AY29" s="173">
        <v>0</v>
      </c>
      <c r="AZ29" s="333">
        <v>0</v>
      </c>
      <c r="BA29" s="345">
        <v>0</v>
      </c>
      <c r="BB29" s="345">
        <v>0</v>
      </c>
      <c r="BC29" s="345">
        <v>0</v>
      </c>
      <c r="BD29" s="175">
        <v>0</v>
      </c>
      <c r="BE29" s="333">
        <v>0</v>
      </c>
      <c r="BF29" s="452">
        <v>0</v>
      </c>
    </row>
    <row r="30" spans="1:58" ht="15">
      <c r="A30" s="193">
        <v>5.3</v>
      </c>
      <c r="B30" s="193" t="s">
        <v>38</v>
      </c>
      <c r="C30" s="204"/>
      <c r="D30" s="205"/>
      <c r="E30" s="206"/>
      <c r="F30" s="185"/>
      <c r="G30" s="207"/>
      <c r="H30" s="208"/>
      <c r="I30" s="209"/>
      <c r="J30" s="210">
        <v>0</v>
      </c>
      <c r="K30" s="210">
        <v>0</v>
      </c>
      <c r="L30" s="210">
        <v>0</v>
      </c>
      <c r="M30" s="211"/>
      <c r="N30" s="211"/>
      <c r="O30" s="211"/>
      <c r="P30" s="211"/>
      <c r="Q30" s="211"/>
      <c r="R30" s="211"/>
      <c r="S30" s="211"/>
      <c r="T30" s="211"/>
      <c r="U30" s="211"/>
      <c r="V30" s="211"/>
      <c r="W30" s="212"/>
      <c r="X30" s="212"/>
      <c r="Y30" s="213"/>
      <c r="Z30" s="214">
        <v>0</v>
      </c>
      <c r="AA30" s="214">
        <v>0</v>
      </c>
      <c r="AB30" s="214">
        <v>0</v>
      </c>
      <c r="AC30" s="327">
        <v>0</v>
      </c>
      <c r="AD30" s="327">
        <v>0</v>
      </c>
      <c r="AE30" s="327">
        <v>0</v>
      </c>
      <c r="AF30" s="333">
        <v>0</v>
      </c>
      <c r="AG30" s="333">
        <v>0</v>
      </c>
      <c r="AH30" s="333">
        <v>0</v>
      </c>
      <c r="AI30" s="333">
        <v>0</v>
      </c>
      <c r="AJ30" s="333">
        <v>0</v>
      </c>
      <c r="AK30" s="333">
        <v>0</v>
      </c>
      <c r="AL30" s="359">
        <v>0</v>
      </c>
      <c r="AM30" s="333">
        <v>0</v>
      </c>
      <c r="AN30" s="345">
        <v>0</v>
      </c>
      <c r="AO30" s="345">
        <v>0</v>
      </c>
      <c r="AP30" s="345">
        <v>0</v>
      </c>
      <c r="AQ30" s="345">
        <v>0</v>
      </c>
      <c r="AR30" s="345">
        <v>0</v>
      </c>
      <c r="AS30" s="345">
        <v>0</v>
      </c>
      <c r="AT30" s="345">
        <v>0</v>
      </c>
      <c r="AU30" s="345">
        <v>0</v>
      </c>
      <c r="AV30" s="345">
        <v>0</v>
      </c>
      <c r="AW30" s="345">
        <v>0</v>
      </c>
      <c r="AX30" s="343">
        <v>0</v>
      </c>
      <c r="AY30" s="173">
        <v>0</v>
      </c>
      <c r="AZ30" s="333">
        <v>0</v>
      </c>
      <c r="BA30" s="345">
        <v>0</v>
      </c>
      <c r="BB30" s="345">
        <v>0</v>
      </c>
      <c r="BC30" s="345">
        <v>0</v>
      </c>
      <c r="BD30" s="175">
        <v>0</v>
      </c>
      <c r="BE30" s="333">
        <v>0</v>
      </c>
      <c r="BF30" s="452">
        <v>0</v>
      </c>
    </row>
    <row r="31" spans="1:58">
      <c r="A31" s="193"/>
      <c r="B31" s="193"/>
      <c r="C31" s="204"/>
      <c r="D31" s="205"/>
      <c r="E31" s="215"/>
      <c r="F31" s="185"/>
      <c r="G31" s="207"/>
      <c r="H31" s="208"/>
      <c r="I31" s="216"/>
      <c r="J31" s="187"/>
      <c r="K31" s="187"/>
      <c r="L31" s="187"/>
      <c r="M31" s="217"/>
      <c r="N31" s="217"/>
      <c r="O31" s="217"/>
      <c r="P31" s="217"/>
      <c r="Q31" s="217"/>
      <c r="R31" s="217"/>
      <c r="S31" s="217"/>
      <c r="T31" s="217"/>
      <c r="U31" s="217"/>
      <c r="V31" s="217"/>
      <c r="W31" s="218"/>
      <c r="X31" s="218"/>
      <c r="Y31" s="219"/>
      <c r="Z31" s="187"/>
      <c r="AA31" s="187"/>
      <c r="AB31" s="187"/>
      <c r="AC31" s="187"/>
      <c r="AD31" s="187"/>
      <c r="AE31" s="187"/>
      <c r="AF31" s="187"/>
      <c r="AG31" s="187"/>
      <c r="AH31" s="187"/>
      <c r="AI31" s="187"/>
      <c r="AJ31" s="187"/>
      <c r="AK31" s="187"/>
      <c r="AL31" s="356"/>
      <c r="AM31" s="187"/>
      <c r="AN31" s="187"/>
      <c r="AO31" s="187"/>
      <c r="AP31" s="187"/>
      <c r="AQ31" s="187"/>
      <c r="AR31" s="187"/>
      <c r="AS31" s="187"/>
      <c r="AT31" s="187"/>
      <c r="AU31" s="187"/>
      <c r="AV31" s="187"/>
      <c r="AW31" s="187"/>
      <c r="AX31" s="187"/>
      <c r="AY31" s="173"/>
    </row>
    <row r="32" spans="1:58" ht="15.75">
      <c r="A32" s="192">
        <v>6</v>
      </c>
      <c r="B32" s="189" t="s">
        <v>39</v>
      </c>
      <c r="C32" s="234">
        <f t="shared" ref="C32:H32" si="28">SUM(C33:C37)</f>
        <v>154877010</v>
      </c>
      <c r="D32" s="235">
        <f t="shared" si="28"/>
        <v>163611477</v>
      </c>
      <c r="E32" s="231">
        <f t="shared" si="28"/>
        <v>40224658</v>
      </c>
      <c r="F32" s="231">
        <f t="shared" si="28"/>
        <v>56850072</v>
      </c>
      <c r="G32" s="198">
        <f t="shared" si="28"/>
        <v>61006144</v>
      </c>
      <c r="H32" s="199">
        <f t="shared" si="28"/>
        <v>66390514</v>
      </c>
      <c r="I32" s="200">
        <f t="shared" ref="I32:N32" si="29">SUM(I33:I37)</f>
        <v>66106031</v>
      </c>
      <c r="J32" s="201">
        <f t="shared" si="29"/>
        <v>64982708.07</v>
      </c>
      <c r="K32" s="201">
        <f t="shared" si="29"/>
        <v>64315496.230000004</v>
      </c>
      <c r="L32" s="201">
        <f t="shared" si="29"/>
        <v>71599825.920000002</v>
      </c>
      <c r="M32" s="202">
        <f t="shared" si="29"/>
        <v>70663659.349999994</v>
      </c>
      <c r="N32" s="202">
        <f t="shared" si="29"/>
        <v>71147712.5</v>
      </c>
      <c r="O32" s="202">
        <f t="shared" ref="O32:AB32" si="30">SUM(O33:O37)</f>
        <v>70703618.25999999</v>
      </c>
      <c r="P32" s="202">
        <f t="shared" si="30"/>
        <v>69370420.359999999</v>
      </c>
      <c r="Q32" s="202">
        <f t="shared" si="30"/>
        <v>68139293.379999995</v>
      </c>
      <c r="R32" s="202">
        <f t="shared" si="30"/>
        <v>67420275.200000003</v>
      </c>
      <c r="S32" s="202">
        <f t="shared" si="30"/>
        <v>66045490.799999997</v>
      </c>
      <c r="T32" s="202">
        <f t="shared" si="30"/>
        <v>65001374.669999994</v>
      </c>
      <c r="U32" s="202">
        <f t="shared" si="30"/>
        <v>67836688.700000003</v>
      </c>
      <c r="V32" s="202">
        <f t="shared" si="30"/>
        <v>67836690</v>
      </c>
      <c r="W32" s="203">
        <f>SUM(W33:W37)</f>
        <v>82376852</v>
      </c>
      <c r="X32" s="203">
        <f>SUM(X33:X37)</f>
        <v>78065940.409999996</v>
      </c>
      <c r="Y32" s="199">
        <f t="shared" si="30"/>
        <v>78065939</v>
      </c>
      <c r="Z32" s="199">
        <f t="shared" si="30"/>
        <v>78960802.960000008</v>
      </c>
      <c r="AA32" s="199">
        <f t="shared" si="30"/>
        <v>80758833.719999999</v>
      </c>
      <c r="AB32" s="199">
        <f t="shared" si="30"/>
        <v>82099036.63000001</v>
      </c>
      <c r="AC32" s="199">
        <f>SUM(AC33:AC37)</f>
        <v>80833691.180000007</v>
      </c>
      <c r="AD32" s="199">
        <f>SUM(AD33:AD37)</f>
        <v>81133069.359999999</v>
      </c>
      <c r="AE32" s="199">
        <f>SUM(AE33:AE37)</f>
        <v>88838811.720000014</v>
      </c>
      <c r="AF32" s="199">
        <f t="shared" ref="AF32:AG32" si="31">SUM(AF33:AF37)</f>
        <v>90085222.609999999</v>
      </c>
      <c r="AG32" s="199">
        <f t="shared" si="31"/>
        <v>94821345.280000001</v>
      </c>
      <c r="AH32" s="199">
        <f t="shared" ref="AH32:AK32" si="32">SUM(AH33:AH37)</f>
        <v>93357683.219999999</v>
      </c>
      <c r="AI32" s="199">
        <f t="shared" si="32"/>
        <v>95129406.719999999</v>
      </c>
      <c r="AJ32" s="199">
        <f t="shared" si="32"/>
        <v>97754011.560000002</v>
      </c>
      <c r="AK32" s="199">
        <f t="shared" si="32"/>
        <v>0</v>
      </c>
      <c r="AL32" s="199">
        <f t="shared" ref="AL32:AM32" si="33">SUM(AL33:AL37)</f>
        <v>101497010</v>
      </c>
      <c r="AM32" s="199">
        <f t="shared" si="33"/>
        <v>100347884.39999999</v>
      </c>
      <c r="AN32" s="199">
        <f t="shared" ref="AN32:BF32" si="34">SUM(AN33:AN37)</f>
        <v>102155205.34</v>
      </c>
      <c r="AO32" s="199">
        <f t="shared" si="34"/>
        <v>105516652.61</v>
      </c>
      <c r="AP32" s="199">
        <f t="shared" si="34"/>
        <v>105613717.34999999</v>
      </c>
      <c r="AQ32" s="199">
        <f t="shared" si="34"/>
        <v>105010106.39</v>
      </c>
      <c r="AR32" s="199">
        <f t="shared" si="34"/>
        <v>103604127.28</v>
      </c>
      <c r="AS32" s="199">
        <f t="shared" si="34"/>
        <v>104977851.95</v>
      </c>
      <c r="AT32" s="199">
        <f t="shared" si="34"/>
        <v>111670422.19</v>
      </c>
      <c r="AU32" s="199">
        <f t="shared" si="34"/>
        <v>112694048.34</v>
      </c>
      <c r="AV32" s="199">
        <f t="shared" si="34"/>
        <v>113893546.04000001</v>
      </c>
      <c r="AW32" s="199">
        <f t="shared" si="34"/>
        <v>115522213.23</v>
      </c>
      <c r="AX32" s="199">
        <f t="shared" si="34"/>
        <v>127496936.86999999</v>
      </c>
      <c r="AY32" s="199">
        <f t="shared" si="34"/>
        <v>127496936</v>
      </c>
      <c r="AZ32" s="199">
        <f t="shared" si="34"/>
        <v>126987219.42999999</v>
      </c>
      <c r="BA32" s="199">
        <f t="shared" si="34"/>
        <v>126916048.74999999</v>
      </c>
      <c r="BB32" s="199">
        <f t="shared" si="34"/>
        <v>128391307.85999998</v>
      </c>
      <c r="BC32" s="199">
        <f t="shared" si="34"/>
        <v>127829705.39999999</v>
      </c>
      <c r="BD32" s="199">
        <f t="shared" si="34"/>
        <v>127456744.44</v>
      </c>
      <c r="BE32" s="199">
        <f t="shared" si="34"/>
        <v>134167011.52999999</v>
      </c>
      <c r="BF32" s="199">
        <f t="shared" si="34"/>
        <v>133068202.44999999</v>
      </c>
    </row>
    <row r="33" spans="1:58" ht="15">
      <c r="A33" s="193">
        <v>6.1</v>
      </c>
      <c r="B33" s="193" t="s">
        <v>40</v>
      </c>
      <c r="C33" s="204"/>
      <c r="D33" s="205"/>
      <c r="E33" s="230"/>
      <c r="F33" s="185"/>
      <c r="G33" s="207"/>
      <c r="H33" s="208"/>
      <c r="I33" s="209"/>
      <c r="J33" s="210">
        <v>0</v>
      </c>
      <c r="K33" s="210">
        <v>0</v>
      </c>
      <c r="L33" s="210">
        <v>0</v>
      </c>
      <c r="M33" s="211"/>
      <c r="N33" s="211"/>
      <c r="O33" s="211"/>
      <c r="P33" s="211"/>
      <c r="Q33" s="211"/>
      <c r="R33" s="211"/>
      <c r="S33" s="211"/>
      <c r="T33" s="211"/>
      <c r="U33" s="211"/>
      <c r="V33" s="211"/>
      <c r="W33" s="212"/>
      <c r="X33" s="212"/>
      <c r="Y33" s="213"/>
      <c r="Z33" s="214">
        <v>0</v>
      </c>
      <c r="AA33" s="214">
        <v>0</v>
      </c>
      <c r="AB33" s="214">
        <v>0</v>
      </c>
      <c r="AC33" s="327">
        <v>0</v>
      </c>
      <c r="AD33" s="327">
        <v>0</v>
      </c>
      <c r="AE33" s="327">
        <v>0</v>
      </c>
      <c r="AF33" s="331">
        <v>0</v>
      </c>
      <c r="AG33" s="333">
        <v>0</v>
      </c>
      <c r="AH33" s="331">
        <v>0</v>
      </c>
      <c r="AI33" s="343">
        <v>0</v>
      </c>
      <c r="AJ33" s="343">
        <v>0</v>
      </c>
      <c r="AK33" s="333"/>
      <c r="AL33" s="359"/>
      <c r="AM33" s="331">
        <v>0</v>
      </c>
      <c r="AN33" s="343">
        <v>0</v>
      </c>
      <c r="AO33" s="343">
        <v>0</v>
      </c>
      <c r="AP33" s="343">
        <v>0</v>
      </c>
      <c r="AQ33" s="343">
        <v>0</v>
      </c>
      <c r="AR33" s="343">
        <v>0</v>
      </c>
      <c r="AS33" s="343">
        <v>0</v>
      </c>
      <c r="AT33" s="343">
        <v>0</v>
      </c>
      <c r="AU33" s="343">
        <v>0</v>
      </c>
      <c r="AV33" s="343">
        <v>0</v>
      </c>
      <c r="AW33" s="343">
        <v>0</v>
      </c>
      <c r="AX33" s="343">
        <v>0</v>
      </c>
      <c r="AY33" s="173">
        <v>0</v>
      </c>
      <c r="AZ33" s="331">
        <v>0</v>
      </c>
      <c r="BA33" s="343">
        <v>0</v>
      </c>
      <c r="BB33" s="343">
        <v>0</v>
      </c>
      <c r="BC33" s="343">
        <v>0</v>
      </c>
      <c r="BD33" s="331">
        <v>0</v>
      </c>
      <c r="BE33" s="331">
        <v>0</v>
      </c>
      <c r="BF33" s="450">
        <v>0</v>
      </c>
    </row>
    <row r="34" spans="1:58" ht="15">
      <c r="A34" s="193">
        <v>6.2</v>
      </c>
      <c r="B34" s="193" t="s">
        <v>41</v>
      </c>
      <c r="C34" s="204">
        <v>152497884</v>
      </c>
      <c r="D34" s="205">
        <v>161391712</v>
      </c>
      <c r="E34" s="206">
        <v>37777814</v>
      </c>
      <c r="F34" s="185">
        <v>43577028</v>
      </c>
      <c r="G34" s="207">
        <f>48999115</f>
        <v>48999115</v>
      </c>
      <c r="H34" s="208">
        <f>550003+11888666+1427675+531789+379759+12845142+2480271+4706389+6270301+5172805+5532802</f>
        <v>51785602</v>
      </c>
      <c r="I34" s="209">
        <f>550003+11557867+1427675+813196+253299+11981094+4914703+5641159+3872961+7125211+4119604</f>
        <v>52256772</v>
      </c>
      <c r="J34" s="210">
        <v>51142952.380000003</v>
      </c>
      <c r="K34" s="210">
        <v>50372952.380000003</v>
      </c>
      <c r="L34" s="210">
        <v>57553589.579999998</v>
      </c>
      <c r="M34" s="211">
        <v>56640189.579999998</v>
      </c>
      <c r="N34" s="211">
        <v>57428419.579999998</v>
      </c>
      <c r="O34" s="211">
        <v>56657965.979999997</v>
      </c>
      <c r="P34" s="211">
        <v>55507965.979999997</v>
      </c>
      <c r="Q34" s="211">
        <v>54357965.979999997</v>
      </c>
      <c r="R34" s="211">
        <v>53207965.979999997</v>
      </c>
      <c r="S34" s="211">
        <v>52059765.979999997</v>
      </c>
      <c r="T34" s="211">
        <v>51009765.979999997</v>
      </c>
      <c r="U34" s="211">
        <v>53877676.710000001</v>
      </c>
      <c r="V34" s="211">
        <f>550003+11209775+1427675+1218764+168950+15244790+5082215+6867394+2711073+4987648+4409391</f>
        <v>53877678</v>
      </c>
      <c r="W34" s="212">
        <v>66081765</v>
      </c>
      <c r="X34" s="212">
        <v>62605320.600000001</v>
      </c>
      <c r="Y34" s="213">
        <f>62605319</f>
        <v>62605319</v>
      </c>
      <c r="Z34" s="214">
        <v>62752547.899999999</v>
      </c>
      <c r="AA34" s="214">
        <v>64668207.899999999</v>
      </c>
      <c r="AB34" s="214">
        <v>65943317.899999999</v>
      </c>
      <c r="AC34" s="327">
        <v>64693317.899999999</v>
      </c>
      <c r="AD34" s="327">
        <v>65141917.899999999</v>
      </c>
      <c r="AE34" s="327">
        <v>72433921.680000007</v>
      </c>
      <c r="AF34" s="334">
        <v>74437721.780000001</v>
      </c>
      <c r="AG34" s="334">
        <v>73861571.780000001</v>
      </c>
      <c r="AH34" s="334">
        <v>72611571.780000001</v>
      </c>
      <c r="AI34" s="346">
        <v>74473497.780000001</v>
      </c>
      <c r="AJ34" s="346">
        <v>73223497.780000001</v>
      </c>
      <c r="AK34" s="334"/>
      <c r="AL34" s="359">
        <v>79835394</v>
      </c>
      <c r="AM34" s="334">
        <v>75525877.390000001</v>
      </c>
      <c r="AN34" s="346">
        <v>75357577.390000001</v>
      </c>
      <c r="AO34" s="346">
        <v>79503659.700000003</v>
      </c>
      <c r="AP34" s="346">
        <v>79303659.700000003</v>
      </c>
      <c r="AQ34" s="346">
        <v>78864419.700000003</v>
      </c>
      <c r="AR34" s="346">
        <v>78016170.189999998</v>
      </c>
      <c r="AS34" s="346">
        <v>78753588.280000001</v>
      </c>
      <c r="AT34" s="346">
        <v>77503588.280000001</v>
      </c>
      <c r="AU34" s="346">
        <v>79023575.730000004</v>
      </c>
      <c r="AV34" s="346">
        <v>81145389.730000004</v>
      </c>
      <c r="AW34" s="346">
        <v>83543967.730000004</v>
      </c>
      <c r="AX34" s="344">
        <v>93512669.209999993</v>
      </c>
      <c r="AY34" s="173">
        <v>87413971</v>
      </c>
      <c r="AZ34" s="334">
        <v>92396669.209999993</v>
      </c>
      <c r="BA34" s="346">
        <v>91292769.209999993</v>
      </c>
      <c r="BB34" s="346">
        <v>90067769.209999993</v>
      </c>
      <c r="BC34" s="346">
        <v>88857269.209999993</v>
      </c>
      <c r="BD34" s="334">
        <v>88227764.209999993</v>
      </c>
      <c r="BE34" s="334">
        <v>95003331.909999996</v>
      </c>
      <c r="BF34" s="453">
        <v>94336757.109999999</v>
      </c>
    </row>
    <row r="35" spans="1:58" ht="15">
      <c r="A35" s="193">
        <v>6.3</v>
      </c>
      <c r="B35" s="193" t="s">
        <v>42</v>
      </c>
      <c r="C35" s="204"/>
      <c r="D35" s="205"/>
      <c r="E35" s="230"/>
      <c r="F35" s="185"/>
      <c r="G35" s="207"/>
      <c r="H35" s="208"/>
      <c r="I35" s="209"/>
      <c r="J35" s="210">
        <v>0</v>
      </c>
      <c r="K35" s="210">
        <v>0</v>
      </c>
      <c r="L35" s="210">
        <v>0</v>
      </c>
      <c r="M35" s="211"/>
      <c r="N35" s="211"/>
      <c r="O35" s="211"/>
      <c r="P35" s="211"/>
      <c r="Q35" s="211"/>
      <c r="R35" s="211"/>
      <c r="S35" s="211"/>
      <c r="T35" s="211"/>
      <c r="U35" s="211"/>
      <c r="V35" s="211"/>
      <c r="W35" s="212"/>
      <c r="X35" s="212"/>
      <c r="Y35" s="213"/>
      <c r="Z35" s="214">
        <v>0</v>
      </c>
      <c r="AA35" s="214">
        <v>0</v>
      </c>
      <c r="AB35" s="214">
        <v>0</v>
      </c>
      <c r="AC35" s="327">
        <v>0</v>
      </c>
      <c r="AD35" s="327">
        <v>0</v>
      </c>
      <c r="AE35" s="327">
        <v>0</v>
      </c>
      <c r="AF35" s="333">
        <v>0</v>
      </c>
      <c r="AG35" s="333">
        <v>0</v>
      </c>
      <c r="AH35" s="333">
        <v>0</v>
      </c>
      <c r="AI35" s="345">
        <v>0</v>
      </c>
      <c r="AJ35" s="345">
        <v>0</v>
      </c>
      <c r="AK35" s="333"/>
      <c r="AL35" s="359"/>
      <c r="AM35" s="333">
        <v>0</v>
      </c>
      <c r="AN35" s="345">
        <v>0</v>
      </c>
      <c r="AO35" s="345">
        <v>0</v>
      </c>
      <c r="AP35" s="345">
        <v>0</v>
      </c>
      <c r="AQ35" s="345">
        <v>0</v>
      </c>
      <c r="AR35" s="345">
        <v>0</v>
      </c>
      <c r="AS35" s="345">
        <v>0</v>
      </c>
      <c r="AT35" s="345">
        <v>0</v>
      </c>
      <c r="AU35" s="345">
        <v>0</v>
      </c>
      <c r="AV35" s="345">
        <v>0</v>
      </c>
      <c r="AW35" s="345">
        <v>0</v>
      </c>
      <c r="AX35" s="343">
        <v>0</v>
      </c>
      <c r="AY35" s="173"/>
      <c r="AZ35" s="333">
        <v>0</v>
      </c>
      <c r="BA35" s="345">
        <v>0</v>
      </c>
      <c r="BB35" s="345">
        <v>0</v>
      </c>
      <c r="BC35" s="345">
        <v>0</v>
      </c>
      <c r="BD35" s="333">
        <v>0</v>
      </c>
      <c r="BE35" s="333">
        <v>0</v>
      </c>
      <c r="BF35" s="452">
        <v>0</v>
      </c>
    </row>
    <row r="36" spans="1:58" ht="15">
      <c r="A36" s="193">
        <v>6.4</v>
      </c>
      <c r="B36" s="193" t="s">
        <v>43</v>
      </c>
      <c r="C36" s="204"/>
      <c r="D36" s="205"/>
      <c r="E36" s="230"/>
      <c r="F36" s="185">
        <f>'[1]5,'!$E$21</f>
        <v>10500000</v>
      </c>
      <c r="G36" s="207">
        <v>10500000</v>
      </c>
      <c r="H36" s="208">
        <v>10500000</v>
      </c>
      <c r="I36" s="209">
        <v>10500000</v>
      </c>
      <c r="J36" s="210">
        <v>10500000</v>
      </c>
      <c r="K36" s="210">
        <v>10500000</v>
      </c>
      <c r="L36" s="210">
        <v>10500000</v>
      </c>
      <c r="M36" s="211">
        <v>10500000</v>
      </c>
      <c r="N36" s="211">
        <v>10500000</v>
      </c>
      <c r="O36" s="211">
        <v>10500000</v>
      </c>
      <c r="P36" s="211">
        <v>10500000</v>
      </c>
      <c r="Q36" s="211">
        <v>10500000</v>
      </c>
      <c r="R36" s="211">
        <v>10500000</v>
      </c>
      <c r="S36" s="211">
        <v>10500000</v>
      </c>
      <c r="T36" s="211">
        <v>10500000</v>
      </c>
      <c r="U36" s="211">
        <v>10500000</v>
      </c>
      <c r="V36" s="211">
        <v>10500000</v>
      </c>
      <c r="W36" s="212">
        <v>10500000</v>
      </c>
      <c r="X36" s="212">
        <v>10500000</v>
      </c>
      <c r="Y36" s="213">
        <v>10500000</v>
      </c>
      <c r="Z36" s="214">
        <v>10500000</v>
      </c>
      <c r="AA36" s="214">
        <v>10500000</v>
      </c>
      <c r="AB36" s="214">
        <v>10500000</v>
      </c>
      <c r="AC36" s="327">
        <v>10500000</v>
      </c>
      <c r="AD36" s="327">
        <v>10500000</v>
      </c>
      <c r="AE36" s="327">
        <v>10500000</v>
      </c>
      <c r="AF36" s="334">
        <v>10500000</v>
      </c>
      <c r="AG36" s="334">
        <v>15500000</v>
      </c>
      <c r="AH36" s="334">
        <v>15500000</v>
      </c>
      <c r="AI36" s="346">
        <v>15500000</v>
      </c>
      <c r="AJ36" s="346">
        <v>18840800</v>
      </c>
      <c r="AK36" s="334"/>
      <c r="AL36" s="359"/>
      <c r="AM36" s="334">
        <v>18771200.91</v>
      </c>
      <c r="AN36" s="346">
        <v>20771200.91</v>
      </c>
      <c r="AO36" s="346">
        <v>20771200.91</v>
      </c>
      <c r="AP36" s="346">
        <v>20771200.91</v>
      </c>
      <c r="AQ36" s="346">
        <v>20771200.91</v>
      </c>
      <c r="AR36" s="346">
        <v>20771200.91</v>
      </c>
      <c r="AS36" s="346">
        <v>20771200.91</v>
      </c>
      <c r="AT36" s="346">
        <v>26771200.91</v>
      </c>
      <c r="AU36" s="346">
        <v>26771200.91</v>
      </c>
      <c r="AV36" s="346">
        <v>26771200.91</v>
      </c>
      <c r="AW36" s="346">
        <v>26771200.91</v>
      </c>
      <c r="AX36" s="344">
        <v>28487112.41</v>
      </c>
      <c r="AY36" s="173">
        <f>11085811+23500000</f>
        <v>34585811</v>
      </c>
      <c r="AZ36" s="334">
        <v>28487112.41</v>
      </c>
      <c r="BA36" s="346">
        <v>31371464.41</v>
      </c>
      <c r="BB36" s="346">
        <v>33371464.41</v>
      </c>
      <c r="BC36" s="346">
        <v>33371464.41</v>
      </c>
      <c r="BD36" s="334">
        <v>33371464.41</v>
      </c>
      <c r="BE36" s="334">
        <v>33371464.41</v>
      </c>
      <c r="BF36" s="453">
        <v>33371464.41</v>
      </c>
    </row>
    <row r="37" spans="1:58" ht="15">
      <c r="A37" s="193">
        <v>6.5</v>
      </c>
      <c r="B37" s="193" t="s">
        <v>44</v>
      </c>
      <c r="C37" s="204">
        <v>2379126</v>
      </c>
      <c r="D37" s="205">
        <v>2219765</v>
      </c>
      <c r="E37" s="206">
        <v>2446844</v>
      </c>
      <c r="F37" s="185">
        <f>SUM('[1]10,11,12,13'!$G$110:$G$112)</f>
        <v>2773044</v>
      </c>
      <c r="G37" s="207">
        <v>1507029</v>
      </c>
      <c r="H37" s="208">
        <f>3975033+89483+40396</f>
        <v>4104912</v>
      </c>
      <c r="I37" s="209">
        <f>3254493+63067+31699</f>
        <v>3349259</v>
      </c>
      <c r="J37" s="210">
        <v>3339755.69</v>
      </c>
      <c r="K37" s="210">
        <v>3442543.85</v>
      </c>
      <c r="L37" s="210">
        <v>3546236.34</v>
      </c>
      <c r="M37" s="211">
        <v>3523469.77</v>
      </c>
      <c r="N37" s="211">
        <v>3219292.92</v>
      </c>
      <c r="O37" s="211">
        <v>3545652.28</v>
      </c>
      <c r="P37" s="211">
        <v>3362454.38</v>
      </c>
      <c r="Q37" s="211">
        <v>3281327.4</v>
      </c>
      <c r="R37" s="211">
        <v>3712309.22</v>
      </c>
      <c r="S37" s="211">
        <v>3485724.82</v>
      </c>
      <c r="T37" s="211">
        <v>3491608.69</v>
      </c>
      <c r="U37" s="211">
        <v>3459011.99</v>
      </c>
      <c r="V37" s="211">
        <f>3416988+42024</f>
        <v>3459012</v>
      </c>
      <c r="W37" s="212">
        <v>5795087</v>
      </c>
      <c r="X37" s="212">
        <v>4960619.8099999996</v>
      </c>
      <c r="Y37" s="213">
        <f>4694032+184683+81905</f>
        <v>4960620</v>
      </c>
      <c r="Z37" s="214">
        <v>5708255.0599999996</v>
      </c>
      <c r="AA37" s="214">
        <v>5590625.8200000003</v>
      </c>
      <c r="AB37" s="214">
        <v>5655718.7300000004</v>
      </c>
      <c r="AC37" s="327">
        <v>5640373.2800000003</v>
      </c>
      <c r="AD37" s="327">
        <v>5491151.46</v>
      </c>
      <c r="AE37" s="327">
        <v>5904890.04</v>
      </c>
      <c r="AF37" s="334">
        <v>5147500.83</v>
      </c>
      <c r="AG37" s="334">
        <v>5459773.5</v>
      </c>
      <c r="AH37" s="334">
        <v>5246111.4400000004</v>
      </c>
      <c r="AI37" s="346">
        <v>5155908.9400000004</v>
      </c>
      <c r="AJ37" s="346">
        <v>5689713.7800000003</v>
      </c>
      <c r="AK37" s="334"/>
      <c r="AL37" s="359">
        <f>6161616+15500000</f>
        <v>21661616</v>
      </c>
      <c r="AM37" s="334">
        <v>6050806.0999999996</v>
      </c>
      <c r="AN37" s="346">
        <v>6026427.04</v>
      </c>
      <c r="AO37" s="346">
        <v>5241792</v>
      </c>
      <c r="AP37" s="346">
        <v>5538856.7400000002</v>
      </c>
      <c r="AQ37" s="346">
        <v>5374485.7800000003</v>
      </c>
      <c r="AR37" s="346">
        <v>4816756.18</v>
      </c>
      <c r="AS37" s="346">
        <v>5453062.7599999998</v>
      </c>
      <c r="AT37" s="346">
        <v>7395633</v>
      </c>
      <c r="AU37" s="346">
        <v>6899271.7000000002</v>
      </c>
      <c r="AV37" s="346">
        <v>5976955.4000000004</v>
      </c>
      <c r="AW37" s="346">
        <v>5207044.59</v>
      </c>
      <c r="AX37" s="344">
        <v>5497155.25</v>
      </c>
      <c r="AY37" s="173">
        <v>5497154</v>
      </c>
      <c r="AZ37" s="334">
        <v>6103437.8099999996</v>
      </c>
      <c r="BA37" s="346">
        <v>4251815.13</v>
      </c>
      <c r="BB37" s="346">
        <v>4952074.2400000002</v>
      </c>
      <c r="BC37" s="346">
        <v>5600971.7800000003</v>
      </c>
      <c r="BD37" s="334">
        <v>5857515.8200000003</v>
      </c>
      <c r="BE37" s="334">
        <v>5792215.21</v>
      </c>
      <c r="BF37" s="453">
        <v>5359980.93</v>
      </c>
    </row>
    <row r="38" spans="1:58">
      <c r="A38" s="193"/>
      <c r="B38" s="193"/>
      <c r="C38" s="204"/>
      <c r="D38" s="205"/>
      <c r="E38" s="215"/>
      <c r="F38" s="185"/>
      <c r="G38" s="207"/>
      <c r="H38" s="208"/>
      <c r="I38" s="216"/>
      <c r="J38" s="187"/>
      <c r="K38" s="187"/>
      <c r="L38" s="187"/>
      <c r="M38" s="217"/>
      <c r="N38" s="217"/>
      <c r="O38" s="217"/>
      <c r="P38" s="217"/>
      <c r="Q38" s="217"/>
      <c r="R38" s="217"/>
      <c r="S38" s="217"/>
      <c r="T38" s="217"/>
      <c r="U38" s="217"/>
      <c r="V38" s="217"/>
      <c r="W38" s="218"/>
      <c r="X38" s="218"/>
      <c r="Y38" s="219"/>
      <c r="Z38" s="187"/>
      <c r="AA38" s="187"/>
      <c r="AB38" s="187"/>
      <c r="AC38" s="187"/>
      <c r="AD38" s="187"/>
      <c r="AE38" s="187"/>
      <c r="AF38" s="187"/>
      <c r="AY38" s="173"/>
    </row>
    <row r="39" spans="1:58" ht="15.75">
      <c r="A39" s="193"/>
      <c r="B39" s="189" t="s">
        <v>45</v>
      </c>
      <c r="C39" s="194">
        <f t="shared" ref="C39:H39" si="35">C10+C14+C16+C23+C27+C32</f>
        <v>886952707</v>
      </c>
      <c r="D39" s="195">
        <f t="shared" si="35"/>
        <v>1185246560</v>
      </c>
      <c r="E39" s="231">
        <f t="shared" si="35"/>
        <v>1235320891</v>
      </c>
      <c r="F39" s="231">
        <f t="shared" si="35"/>
        <v>1560105754</v>
      </c>
      <c r="G39" s="198">
        <f t="shared" si="35"/>
        <v>1699301395</v>
      </c>
      <c r="H39" s="199">
        <f t="shared" si="35"/>
        <v>1995648187</v>
      </c>
      <c r="I39" s="200">
        <f t="shared" ref="I39:N39" si="36">I10+I14+I16+I23+I27+I32</f>
        <v>2415328924</v>
      </c>
      <c r="J39" s="201">
        <f t="shared" si="36"/>
        <v>2394035389.9299998</v>
      </c>
      <c r="K39" s="201">
        <f t="shared" si="36"/>
        <v>2328114765.6199999</v>
      </c>
      <c r="L39" s="201">
        <f t="shared" si="36"/>
        <v>2295169856.9200001</v>
      </c>
      <c r="M39" s="202">
        <f t="shared" si="36"/>
        <v>2308165153.7499995</v>
      </c>
      <c r="N39" s="202">
        <f t="shared" si="36"/>
        <v>2320049893.9200001</v>
      </c>
      <c r="O39" s="202">
        <f t="shared" ref="O39:AB39" si="37">O10+O14+O16+O23+O27+O32</f>
        <v>2346478849.7600002</v>
      </c>
      <c r="P39" s="202">
        <f t="shared" si="37"/>
        <v>2379046822.3300004</v>
      </c>
      <c r="Q39" s="202">
        <f t="shared" si="37"/>
        <v>2354769933.0500002</v>
      </c>
      <c r="R39" s="202">
        <f t="shared" si="37"/>
        <v>2403394657.3799996</v>
      </c>
      <c r="S39" s="202">
        <f t="shared" si="37"/>
        <v>3022002720.4099998</v>
      </c>
      <c r="T39" s="202">
        <f t="shared" si="37"/>
        <v>2922260074.2200003</v>
      </c>
      <c r="U39" s="202">
        <f t="shared" si="37"/>
        <v>2882475144.0699997</v>
      </c>
      <c r="V39" s="202">
        <f t="shared" si="37"/>
        <v>2882475144</v>
      </c>
      <c r="W39" s="203">
        <f>W10+W14+W16+W23+W27+W32</f>
        <v>3701572851</v>
      </c>
      <c r="X39" s="203">
        <f>X10+X14+X16+X23+X27+X32</f>
        <v>4191430652.3699999</v>
      </c>
      <c r="Y39" s="199">
        <f t="shared" si="37"/>
        <v>4189144224</v>
      </c>
      <c r="Z39" s="199">
        <f t="shared" si="37"/>
        <v>4123319706.0299997</v>
      </c>
      <c r="AA39" s="199">
        <f t="shared" si="37"/>
        <v>4098897104.3200002</v>
      </c>
      <c r="AB39" s="199">
        <f t="shared" si="37"/>
        <v>4163314282.6000004</v>
      </c>
      <c r="AC39" s="199">
        <f>AC10+AC14+AC16+AC23+AC27+AC32</f>
        <v>4213997209.5099998</v>
      </c>
      <c r="AD39" s="199">
        <f>AD10+AD14+AD16+AD23+AD27+AD32</f>
        <v>4248271622.8300004</v>
      </c>
      <c r="AE39" s="199">
        <f>AE10+AE14+AE16+AE23+AE27+AE32</f>
        <v>4278187452.6599994</v>
      </c>
      <c r="AF39" s="199">
        <f t="shared" ref="AF39:AG39" si="38">AF10+AF14+AF16+AF23+AF27+AF32</f>
        <v>4321349713.29</v>
      </c>
      <c r="AG39" s="199">
        <f t="shared" si="38"/>
        <v>4329818670.0100002</v>
      </c>
      <c r="AH39" s="199">
        <f t="shared" ref="AH39:AK39" si="39">AH10+AH14+AH16+AH23+AH27+AH32</f>
        <v>4324007408.8600006</v>
      </c>
      <c r="AI39" s="199">
        <f t="shared" si="39"/>
        <v>4644427426.8699999</v>
      </c>
      <c r="AJ39" s="199">
        <f t="shared" si="39"/>
        <v>4664161582.8000002</v>
      </c>
      <c r="AK39" s="199">
        <f t="shared" si="39"/>
        <v>413378021.73000002</v>
      </c>
      <c r="AL39" s="199">
        <f t="shared" ref="AL39:AM39" si="40">AL10+AL14+AL16+AL23+AL27+AL32</f>
        <v>4707277148</v>
      </c>
      <c r="AM39" s="199">
        <f t="shared" si="40"/>
        <v>4673763403.5899992</v>
      </c>
      <c r="AN39" s="199">
        <f t="shared" ref="AN39:BF39" si="41">AN10+AN14+AN16+AN23+AN27+AN32</f>
        <v>4638188588.46</v>
      </c>
      <c r="AO39" s="199">
        <f t="shared" si="41"/>
        <v>4685696784.6899996</v>
      </c>
      <c r="AP39" s="199">
        <f t="shared" si="41"/>
        <v>4735643100.960001</v>
      </c>
      <c r="AQ39" s="199">
        <f t="shared" si="41"/>
        <v>4795033108.1500006</v>
      </c>
      <c r="AR39" s="199">
        <f t="shared" si="41"/>
        <v>4851792483.5500002</v>
      </c>
      <c r="AS39" s="199">
        <f t="shared" si="41"/>
        <v>5326255956.9099989</v>
      </c>
      <c r="AT39" s="199">
        <f t="shared" si="41"/>
        <v>5287378285.7999992</v>
      </c>
      <c r="AU39" s="199">
        <f t="shared" si="41"/>
        <v>5236541347.96</v>
      </c>
      <c r="AV39" s="199">
        <f t="shared" si="41"/>
        <v>5235658897.9299994</v>
      </c>
      <c r="AW39" s="199">
        <f t="shared" si="41"/>
        <v>5267448432.1399994</v>
      </c>
      <c r="AX39" s="199">
        <f t="shared" si="41"/>
        <v>5367094570.8800001</v>
      </c>
      <c r="AY39" s="199">
        <f t="shared" si="41"/>
        <v>5367548160</v>
      </c>
      <c r="AZ39" s="199">
        <f t="shared" si="41"/>
        <v>5269487011.3100004</v>
      </c>
      <c r="BA39" s="199">
        <f t="shared" si="41"/>
        <v>5201024852.2799997</v>
      </c>
      <c r="BB39" s="199">
        <f t="shared" si="41"/>
        <v>5298688728.3199997</v>
      </c>
      <c r="BC39" s="199">
        <f t="shared" si="41"/>
        <v>5341008660.5</v>
      </c>
      <c r="BD39" s="199">
        <f t="shared" si="41"/>
        <v>5402777402.0299997</v>
      </c>
      <c r="BE39" s="199">
        <f t="shared" si="41"/>
        <v>5491979572.6999998</v>
      </c>
      <c r="BF39" s="199">
        <f t="shared" si="41"/>
        <v>5579506308.5099993</v>
      </c>
    </row>
    <row r="40" spans="1:58">
      <c r="A40" s="193"/>
      <c r="B40" s="193"/>
      <c r="C40" s="204"/>
      <c r="D40" s="205"/>
      <c r="E40" s="215"/>
      <c r="F40" s="185"/>
      <c r="G40" s="207">
        <f>1699301395-G39</f>
        <v>0</v>
      </c>
      <c r="H40" s="208"/>
      <c r="I40" s="216"/>
      <c r="J40" s="187"/>
      <c r="K40" s="187"/>
      <c r="L40" s="187"/>
      <c r="M40" s="217"/>
      <c r="N40" s="217"/>
      <c r="O40" s="217"/>
      <c r="P40" s="217"/>
      <c r="Q40" s="217"/>
      <c r="R40" s="217"/>
      <c r="S40" s="217"/>
      <c r="T40" s="217"/>
      <c r="U40" s="217"/>
      <c r="V40" s="217"/>
      <c r="W40" s="218"/>
      <c r="X40" s="218"/>
      <c r="Y40" s="219"/>
      <c r="Z40" s="187"/>
      <c r="AA40" s="187"/>
      <c r="AB40" s="187"/>
      <c r="AC40" s="187"/>
      <c r="AD40" s="187"/>
      <c r="AE40" s="187"/>
      <c r="AF40" s="187"/>
      <c r="AY40" s="173"/>
    </row>
    <row r="41" spans="1:58">
      <c r="A41" s="193"/>
      <c r="B41" s="193"/>
      <c r="C41" s="204"/>
      <c r="D41" s="205"/>
      <c r="E41" s="215"/>
      <c r="F41" s="185"/>
      <c r="G41" s="207"/>
      <c r="H41" s="208"/>
      <c r="I41" s="216"/>
      <c r="J41" s="187"/>
      <c r="K41" s="187"/>
      <c r="L41" s="187"/>
      <c r="M41" s="217"/>
      <c r="N41" s="217"/>
      <c r="O41" s="217"/>
      <c r="P41" s="217"/>
      <c r="Q41" s="217"/>
      <c r="R41" s="217"/>
      <c r="S41" s="217"/>
      <c r="T41" s="217"/>
      <c r="U41" s="217"/>
      <c r="V41" s="217"/>
      <c r="W41" s="218"/>
      <c r="X41" s="218"/>
      <c r="Y41" s="219"/>
      <c r="Z41" s="187"/>
      <c r="AA41" s="187"/>
      <c r="AB41" s="187"/>
      <c r="AC41" s="187"/>
      <c r="AD41" s="187"/>
      <c r="AE41" s="187"/>
      <c r="AF41" s="187"/>
      <c r="AY41" s="173"/>
    </row>
    <row r="42" spans="1:58">
      <c r="A42" s="193"/>
      <c r="B42" s="189" t="s">
        <v>46</v>
      </c>
      <c r="C42" s="190"/>
      <c r="D42" s="205"/>
      <c r="E42" s="230"/>
      <c r="F42" s="185"/>
      <c r="G42" s="207"/>
      <c r="H42" s="208"/>
      <c r="I42" s="216"/>
      <c r="J42" s="187"/>
      <c r="K42" s="187"/>
      <c r="L42" s="187"/>
      <c r="M42" s="211"/>
      <c r="N42" s="211"/>
      <c r="O42" s="211"/>
      <c r="P42" s="211"/>
      <c r="Q42" s="211"/>
      <c r="R42" s="211"/>
      <c r="S42" s="211"/>
      <c r="T42" s="211"/>
      <c r="U42" s="211"/>
      <c r="V42" s="211"/>
      <c r="W42" s="212"/>
      <c r="X42" s="212"/>
      <c r="Y42" s="213"/>
      <c r="Z42" s="187"/>
      <c r="AA42" s="187"/>
      <c r="AB42" s="187"/>
      <c r="AC42" s="187"/>
      <c r="AD42" s="187"/>
      <c r="AE42" s="187"/>
      <c r="AF42" s="187"/>
      <c r="AY42" s="173"/>
    </row>
    <row r="43" spans="1:58" ht="15">
      <c r="A43" s="193">
        <v>7</v>
      </c>
      <c r="B43" s="193" t="s">
        <v>47</v>
      </c>
      <c r="C43" s="204">
        <f>559229530-314641029</f>
        <v>244588501</v>
      </c>
      <c r="D43" s="205">
        <f>745419886-D44-D45</f>
        <v>330041524</v>
      </c>
      <c r="E43" s="206">
        <f>881752998-E44-E45</f>
        <v>375911745</v>
      </c>
      <c r="F43" s="185">
        <f>'[1]10,11,12,13'!$G$171-'[1]10,11,12,13'!$G$163-'[1]10,11,12,13'!$G$162</f>
        <v>412332952</v>
      </c>
      <c r="G43" s="207">
        <f>1097902733-G44-G45</f>
        <v>380508604</v>
      </c>
      <c r="H43" s="208">
        <f>17123169+257444328+2542189+20643827+14990455+103497918+64027614+2792952+5016+1331499+1948791+6773804+12347+25240538</f>
        <v>518374447</v>
      </c>
      <c r="I43" s="209">
        <f>17077340+359581397+4351414+21185880+14656346+127426754+3338792+5012+1208901+8439349+8491365+5920+25783228</f>
        <v>591551698</v>
      </c>
      <c r="J43" s="210">
        <v>534494239.95999998</v>
      </c>
      <c r="K43" s="210">
        <v>539156376.58000004</v>
      </c>
      <c r="L43" s="210">
        <v>493277339.88</v>
      </c>
      <c r="M43" s="211">
        <v>491579565.07999998</v>
      </c>
      <c r="N43" s="211">
        <v>482162831.08999997</v>
      </c>
      <c r="O43" s="211">
        <v>473594644.48000002</v>
      </c>
      <c r="P43" s="211">
        <v>471709435.02999997</v>
      </c>
      <c r="Q43" s="211">
        <v>435792099.32999998</v>
      </c>
      <c r="R43" s="211">
        <v>405204785.68000001</v>
      </c>
      <c r="S43" s="211">
        <v>1019483913.5</v>
      </c>
      <c r="T43" s="211">
        <v>852701900.11000001</v>
      </c>
      <c r="U43" s="211">
        <v>759136578.42999995</v>
      </c>
      <c r="V43" s="211">
        <f>735216946</f>
        <v>735216946</v>
      </c>
      <c r="W43" s="212">
        <f>2347338824-(W44+W45)</f>
        <v>1164138485</v>
      </c>
      <c r="X43" s="212">
        <v>862615934.25</v>
      </c>
      <c r="Y43" s="213">
        <f>2600095208-(Y44+Y45)</f>
        <v>1303353781</v>
      </c>
      <c r="Z43" s="214">
        <v>908778628.84000003</v>
      </c>
      <c r="AA43" s="214">
        <v>848942590.73000002</v>
      </c>
      <c r="AB43" s="214">
        <v>854133541.69000006</v>
      </c>
      <c r="AC43" s="327">
        <v>831611126.12</v>
      </c>
      <c r="AD43" s="327">
        <v>811102311.92999995</v>
      </c>
      <c r="AE43" s="327">
        <v>781638476.23000002</v>
      </c>
      <c r="AF43" s="332">
        <v>775399693.15999997</v>
      </c>
      <c r="AG43" s="334">
        <v>727389912.36000001</v>
      </c>
      <c r="AH43" s="332">
        <v>697691752</v>
      </c>
      <c r="AI43" s="344">
        <v>966070645.80999994</v>
      </c>
      <c r="AJ43" s="344">
        <v>906805364.74000001</v>
      </c>
      <c r="AK43" s="334"/>
      <c r="AL43" s="359">
        <f>17433011+369886504+28125593+23428792+14302573+265494831+555456347+5298339+1651829+6418340+22141214+29286616+10061936+74776466+624622</f>
        <v>1424387013</v>
      </c>
      <c r="AM43" s="332">
        <v>981819763.91999996</v>
      </c>
      <c r="AN43" s="344">
        <v>895659870.62</v>
      </c>
      <c r="AO43" s="344">
        <v>878876999.15999997</v>
      </c>
      <c r="AP43" s="344">
        <v>818768184.75999999</v>
      </c>
      <c r="AQ43" s="344">
        <v>833746433.35000002</v>
      </c>
      <c r="AR43" s="344">
        <v>801215642.01999998</v>
      </c>
      <c r="AS43" s="344">
        <v>1210326449.05</v>
      </c>
      <c r="AT43" s="344">
        <v>1133019280.1800001</v>
      </c>
      <c r="AU43" s="344">
        <v>1044953481.55</v>
      </c>
      <c r="AV43" s="344">
        <v>993784248.67999995</v>
      </c>
      <c r="AW43" s="344">
        <v>963689926.32000005</v>
      </c>
      <c r="AX43" s="344">
        <v>926834094.17999995</v>
      </c>
      <c r="AY43" s="173">
        <v>903796942</v>
      </c>
      <c r="AZ43" s="332">
        <v>1084892181.1099999</v>
      </c>
      <c r="BA43" s="344">
        <v>963683559.38</v>
      </c>
      <c r="BB43" s="344">
        <v>969278273.88999999</v>
      </c>
      <c r="BC43" s="344">
        <v>927964619.13</v>
      </c>
      <c r="BD43" s="332">
        <v>937598379.37</v>
      </c>
      <c r="BE43" s="332">
        <v>936750955.22000003</v>
      </c>
      <c r="BF43" s="451">
        <v>940009871.02999997</v>
      </c>
    </row>
    <row r="44" spans="1:58" ht="15">
      <c r="A44" s="193">
        <v>8</v>
      </c>
      <c r="B44" s="193" t="s">
        <v>48</v>
      </c>
      <c r="C44" s="204">
        <v>54809992</v>
      </c>
      <c r="D44" s="205">
        <v>71496906</v>
      </c>
      <c r="E44" s="206">
        <v>70123169</v>
      </c>
      <c r="F44" s="185">
        <f>'[1]10,11,12,13'!$G$163</f>
        <v>128086820</v>
      </c>
      <c r="G44" s="207">
        <v>129187648</v>
      </c>
      <c r="H44" s="208">
        <v>138180559</v>
      </c>
      <c r="I44" s="209">
        <f>136545631</f>
        <v>136545631</v>
      </c>
      <c r="J44" s="210">
        <v>138424598.91</v>
      </c>
      <c r="K44" s="210">
        <v>135359655.59999999</v>
      </c>
      <c r="L44" s="210">
        <v>135479135.09999999</v>
      </c>
      <c r="M44" s="211">
        <v>134578315.53999999</v>
      </c>
      <c r="N44" s="211">
        <v>126166826.86</v>
      </c>
      <c r="O44" s="211">
        <v>124401664.90000001</v>
      </c>
      <c r="P44" s="211">
        <v>123837555.68000001</v>
      </c>
      <c r="Q44" s="211">
        <v>123846702.23</v>
      </c>
      <c r="R44" s="211">
        <v>132567586.88</v>
      </c>
      <c r="S44" s="211">
        <v>139520648.63</v>
      </c>
      <c r="T44" s="211">
        <v>142084164.09999999</v>
      </c>
      <c r="U44" s="211">
        <v>148736165.15000001</v>
      </c>
      <c r="V44" s="211">
        <f>148736165</f>
        <v>148736165</v>
      </c>
      <c r="W44" s="212">
        <v>267351145</v>
      </c>
      <c r="X44" s="212">
        <v>292438021.26999998</v>
      </c>
      <c r="Y44" s="213">
        <v>292438021</v>
      </c>
      <c r="Z44" s="214">
        <v>303641466.26999998</v>
      </c>
      <c r="AA44" s="214">
        <v>305435657.26999998</v>
      </c>
      <c r="AB44" s="214">
        <v>313922176.26999998</v>
      </c>
      <c r="AC44" s="327">
        <v>313714056.26999998</v>
      </c>
      <c r="AD44" s="327">
        <v>317062843.26999998</v>
      </c>
      <c r="AE44" s="327">
        <v>317289671.72000003</v>
      </c>
      <c r="AF44" s="334">
        <v>306744383.72000003</v>
      </c>
      <c r="AG44" s="334">
        <v>316962442.72000003</v>
      </c>
      <c r="AH44" s="334">
        <v>314661494.75999999</v>
      </c>
      <c r="AI44" s="346">
        <v>304300803.75999999</v>
      </c>
      <c r="AJ44" s="346">
        <v>317173811.75999999</v>
      </c>
      <c r="AK44" s="334"/>
      <c r="AL44" s="359">
        <f>322814962</f>
        <v>322814962</v>
      </c>
      <c r="AM44" s="334">
        <v>332109567.00999999</v>
      </c>
      <c r="AN44" s="346">
        <v>337608969.58999997</v>
      </c>
      <c r="AO44" s="346">
        <v>347924792.58999997</v>
      </c>
      <c r="AP44" s="346">
        <v>386991801.13999999</v>
      </c>
      <c r="AQ44" s="346">
        <v>372949350.13999999</v>
      </c>
      <c r="AR44" s="346">
        <v>371198804.13999999</v>
      </c>
      <c r="AS44" s="346">
        <v>397414176.13999999</v>
      </c>
      <c r="AT44" s="346">
        <v>394632052.13999999</v>
      </c>
      <c r="AU44" s="346">
        <v>397566444.13999999</v>
      </c>
      <c r="AV44" s="346">
        <v>396252919.13999999</v>
      </c>
      <c r="AW44" s="346">
        <v>404552443.13999999</v>
      </c>
      <c r="AX44" s="344">
        <v>402858609.13999999</v>
      </c>
      <c r="AY44" s="173">
        <v>402858607</v>
      </c>
      <c r="AZ44" s="334">
        <v>316182989.13999999</v>
      </c>
      <c r="BA44" s="346">
        <v>312194218.13999999</v>
      </c>
      <c r="BB44" s="346">
        <v>317593020.13999999</v>
      </c>
      <c r="BC44" s="346">
        <v>346297903.13999999</v>
      </c>
      <c r="BD44" s="334">
        <v>324246345.13999999</v>
      </c>
      <c r="BE44" s="334">
        <v>317403257.13999999</v>
      </c>
      <c r="BF44" s="453">
        <v>318147771.44</v>
      </c>
    </row>
    <row r="45" spans="1:58" ht="15">
      <c r="A45" s="193">
        <v>9</v>
      </c>
      <c r="B45" s="193" t="s">
        <v>49</v>
      </c>
      <c r="C45" s="204">
        <v>259831037</v>
      </c>
      <c r="D45" s="205">
        <v>343881456</v>
      </c>
      <c r="E45" s="206">
        <v>435718084</v>
      </c>
      <c r="F45" s="185">
        <f>'[1]10,11,12,13'!$G$162</f>
        <v>533687314</v>
      </c>
      <c r="G45" s="207">
        <v>588206481</v>
      </c>
      <c r="H45" s="208">
        <v>645106995</v>
      </c>
      <c r="I45" s="209">
        <f>705964567+127592317</f>
        <v>833556884</v>
      </c>
      <c r="J45" s="210">
        <v>840112940.71000004</v>
      </c>
      <c r="K45" s="210">
        <v>848078224.82000005</v>
      </c>
      <c r="L45" s="210">
        <v>856223189.95000005</v>
      </c>
      <c r="M45" s="211">
        <v>870649199.15999997</v>
      </c>
      <c r="N45" s="211">
        <v>882521526.84000003</v>
      </c>
      <c r="O45" s="211">
        <v>894034892.03999996</v>
      </c>
      <c r="P45" s="211">
        <v>901753719.76999998</v>
      </c>
      <c r="Q45" s="211">
        <v>906765379.53999996</v>
      </c>
      <c r="R45" s="211">
        <v>913624383.92999995</v>
      </c>
      <c r="S45" s="211">
        <v>933501643.48000002</v>
      </c>
      <c r="T45" s="211">
        <v>895336321.30999994</v>
      </c>
      <c r="U45" s="211">
        <v>908230929.15999997</v>
      </c>
      <c r="V45" s="211">
        <f>17194763+476548275+5621617+22083185+14849831+157784164+173013983+4143685+6239+3052308+9402350+14230986+5862+34213314</f>
        <v>932150562</v>
      </c>
      <c r="W45" s="212">
        <v>915849194</v>
      </c>
      <c r="X45" s="212">
        <v>1445041252.8800001</v>
      </c>
      <c r="Y45" s="213">
        <v>1004303406</v>
      </c>
      <c r="Z45" s="214">
        <v>1462737891.5799999</v>
      </c>
      <c r="AA45" s="214">
        <v>1477896449.6300001</v>
      </c>
      <c r="AB45" s="214">
        <v>1501269887.28</v>
      </c>
      <c r="AC45" s="327">
        <v>1518698503.6099999</v>
      </c>
      <c r="AD45" s="327">
        <v>1541162619.8800001</v>
      </c>
      <c r="AE45" s="327">
        <v>1576476597.3699999</v>
      </c>
      <c r="AF45" s="334">
        <v>1597706770.29</v>
      </c>
      <c r="AG45" s="334">
        <v>1612045587.0999999</v>
      </c>
      <c r="AH45" s="334">
        <v>1621442975.05</v>
      </c>
      <c r="AI45" s="346">
        <v>1628994559.1300001</v>
      </c>
      <c r="AJ45" s="346">
        <v>1643030319.1500001</v>
      </c>
      <c r="AK45" s="334"/>
      <c r="AL45" s="359">
        <v>1102313070</v>
      </c>
      <c r="AM45" s="334">
        <v>1674058533.0899999</v>
      </c>
      <c r="AN45" s="346">
        <v>1689061797.0699999</v>
      </c>
      <c r="AO45" s="346">
        <v>1710152106.0999999</v>
      </c>
      <c r="AP45" s="346">
        <v>1735214474.3</v>
      </c>
      <c r="AQ45" s="346">
        <v>1761869240.8800001</v>
      </c>
      <c r="AR45" s="346">
        <v>1807733769.01</v>
      </c>
      <c r="AS45" s="346">
        <v>1824623951.8699999</v>
      </c>
      <c r="AT45" s="346">
        <v>1837098485.3</v>
      </c>
      <c r="AU45" s="346">
        <v>1849297021.8599999</v>
      </c>
      <c r="AV45" s="346">
        <v>1862726137.8</v>
      </c>
      <c r="AW45" s="346">
        <v>1881710057.3900001</v>
      </c>
      <c r="AX45" s="344">
        <v>1908758343.5599999</v>
      </c>
      <c r="AY45" s="173">
        <v>1931795498</v>
      </c>
      <c r="AZ45" s="334">
        <v>1949373703.72</v>
      </c>
      <c r="BA45" s="346">
        <v>1988218024.79</v>
      </c>
      <c r="BB45" s="346">
        <v>2044833398.6300001</v>
      </c>
      <c r="BC45" s="346">
        <v>2092421586.7</v>
      </c>
      <c r="BD45" s="334">
        <v>2123427669.0699999</v>
      </c>
      <c r="BE45" s="334">
        <v>2178369770.2800002</v>
      </c>
      <c r="BF45" s="453">
        <v>2201051177.3499999</v>
      </c>
    </row>
    <row r="46" spans="1:58" ht="15.75">
      <c r="A46" s="193"/>
      <c r="B46" s="189" t="s">
        <v>50</v>
      </c>
      <c r="C46" s="234">
        <f t="shared" ref="C46:H46" si="42">SUM(C43:C45)</f>
        <v>559229530</v>
      </c>
      <c r="D46" s="235">
        <f t="shared" si="42"/>
        <v>745419886</v>
      </c>
      <c r="E46" s="231">
        <f t="shared" si="42"/>
        <v>881752998</v>
      </c>
      <c r="F46" s="231">
        <f t="shared" si="42"/>
        <v>1074107086</v>
      </c>
      <c r="G46" s="198">
        <f t="shared" si="42"/>
        <v>1097902733</v>
      </c>
      <c r="H46" s="236">
        <f t="shared" si="42"/>
        <v>1301662001</v>
      </c>
      <c r="I46" s="200">
        <f t="shared" ref="I46:N46" si="43">SUM(I43:I45)</f>
        <v>1561654213</v>
      </c>
      <c r="J46" s="201">
        <f t="shared" si="43"/>
        <v>1513031779.5799999</v>
      </c>
      <c r="K46" s="201">
        <f t="shared" si="43"/>
        <v>1522594257</v>
      </c>
      <c r="L46" s="201">
        <f t="shared" si="43"/>
        <v>1484979664.9300001</v>
      </c>
      <c r="M46" s="202">
        <f t="shared" si="43"/>
        <v>1496807079.78</v>
      </c>
      <c r="N46" s="202">
        <f t="shared" si="43"/>
        <v>1490851184.79</v>
      </c>
      <c r="O46" s="202">
        <f t="shared" ref="O46:AB46" si="44">SUM(O43:O45)</f>
        <v>1492031201.4200001</v>
      </c>
      <c r="P46" s="202">
        <f t="shared" si="44"/>
        <v>1497300710.48</v>
      </c>
      <c r="Q46" s="202">
        <f t="shared" si="44"/>
        <v>1466404181.0999999</v>
      </c>
      <c r="R46" s="202">
        <f t="shared" si="44"/>
        <v>1451396756.4899998</v>
      </c>
      <c r="S46" s="202">
        <f t="shared" si="44"/>
        <v>2092506205.6100001</v>
      </c>
      <c r="T46" s="202">
        <f t="shared" si="44"/>
        <v>1890122385.52</v>
      </c>
      <c r="U46" s="202">
        <f t="shared" si="44"/>
        <v>1816103672.7399998</v>
      </c>
      <c r="V46" s="202">
        <f t="shared" si="44"/>
        <v>1816103673</v>
      </c>
      <c r="W46" s="203">
        <f>SUM(W43:W45)</f>
        <v>2347338824</v>
      </c>
      <c r="X46" s="203">
        <f>SUM(X43:X45)</f>
        <v>2600095208.4000001</v>
      </c>
      <c r="Y46" s="199">
        <f t="shared" si="44"/>
        <v>2600095208</v>
      </c>
      <c r="Z46" s="199">
        <f t="shared" si="44"/>
        <v>2675157986.6900001</v>
      </c>
      <c r="AA46" s="199">
        <f t="shared" si="44"/>
        <v>2632274697.6300001</v>
      </c>
      <c r="AB46" s="199">
        <f t="shared" si="44"/>
        <v>2669325605.2399998</v>
      </c>
      <c r="AC46" s="199">
        <f>SUM(AC43:AC45)</f>
        <v>2664023686</v>
      </c>
      <c r="AD46" s="199">
        <f>SUM(AD43:AD45)</f>
        <v>2669327775.0799999</v>
      </c>
      <c r="AE46" s="199">
        <f>SUM(AE43:AE45)</f>
        <v>2675404745.3199997</v>
      </c>
      <c r="AF46" s="199">
        <f t="shared" ref="AF46:AG46" si="45">SUM(AF43:AF45)</f>
        <v>2679850847.1700001</v>
      </c>
      <c r="AG46" s="199">
        <f t="shared" si="45"/>
        <v>2656397942.1799998</v>
      </c>
      <c r="AH46" s="199">
        <f t="shared" ref="AH46:AK46" si="46">SUM(AH43:AH45)</f>
        <v>2633796221.8099999</v>
      </c>
      <c r="AI46" s="199">
        <f t="shared" si="46"/>
        <v>2899366008.6999998</v>
      </c>
      <c r="AJ46" s="199">
        <f t="shared" si="46"/>
        <v>2867009495.6500001</v>
      </c>
      <c r="AK46" s="199">
        <f t="shared" si="46"/>
        <v>0</v>
      </c>
      <c r="AL46" s="199">
        <f t="shared" ref="AL46:AM46" si="47">SUM(AL43:AL45)</f>
        <v>2849515045</v>
      </c>
      <c r="AM46" s="199">
        <f t="shared" si="47"/>
        <v>2987987864.0199995</v>
      </c>
      <c r="AN46" s="199">
        <f t="shared" ref="AN46:BF46" si="48">SUM(AN43:AN45)</f>
        <v>2922330637.2799997</v>
      </c>
      <c r="AO46" s="199">
        <f t="shared" si="48"/>
        <v>2936953897.8499999</v>
      </c>
      <c r="AP46" s="199">
        <f t="shared" si="48"/>
        <v>2940974460.1999998</v>
      </c>
      <c r="AQ46" s="199">
        <f t="shared" si="48"/>
        <v>2968565024.3699999</v>
      </c>
      <c r="AR46" s="199">
        <f t="shared" si="48"/>
        <v>2980148215.1700001</v>
      </c>
      <c r="AS46" s="199">
        <f t="shared" si="48"/>
        <v>3432364577.0599999</v>
      </c>
      <c r="AT46" s="199">
        <f t="shared" si="48"/>
        <v>3364749817.6199999</v>
      </c>
      <c r="AU46" s="199">
        <f t="shared" si="48"/>
        <v>3291816947.5500002</v>
      </c>
      <c r="AV46" s="199">
        <f t="shared" si="48"/>
        <v>3252763305.6199999</v>
      </c>
      <c r="AW46" s="199">
        <f t="shared" si="48"/>
        <v>3249952426.8500004</v>
      </c>
      <c r="AX46" s="199">
        <f t="shared" si="48"/>
        <v>3238451046.8800001</v>
      </c>
      <c r="AY46" s="199">
        <f t="shared" si="48"/>
        <v>3238451047</v>
      </c>
      <c r="AZ46" s="199">
        <f t="shared" si="48"/>
        <v>3350448873.9700003</v>
      </c>
      <c r="BA46" s="199">
        <f t="shared" si="48"/>
        <v>3264095802.3099999</v>
      </c>
      <c r="BB46" s="199">
        <f t="shared" si="48"/>
        <v>3331704692.6599998</v>
      </c>
      <c r="BC46" s="199">
        <f t="shared" si="48"/>
        <v>3366684108.9700003</v>
      </c>
      <c r="BD46" s="199">
        <f t="shared" si="48"/>
        <v>3385272393.5799999</v>
      </c>
      <c r="BE46" s="199">
        <f t="shared" si="48"/>
        <v>3432523982.6400003</v>
      </c>
      <c r="BF46" s="199">
        <f t="shared" si="48"/>
        <v>3459208819.8199997</v>
      </c>
    </row>
    <row r="47" spans="1:58">
      <c r="A47" s="193"/>
      <c r="B47" s="193"/>
      <c r="C47" s="204"/>
      <c r="D47" s="205"/>
      <c r="E47" s="230"/>
      <c r="F47" s="185"/>
      <c r="G47" s="237"/>
      <c r="H47" s="208"/>
      <c r="I47" s="216"/>
      <c r="J47" s="187"/>
      <c r="K47" s="187"/>
      <c r="L47" s="187"/>
      <c r="M47" s="211"/>
      <c r="N47" s="211"/>
      <c r="O47" s="211"/>
      <c r="P47" s="211"/>
      <c r="Q47" s="211"/>
      <c r="R47" s="211"/>
      <c r="S47" s="211"/>
      <c r="T47" s="211"/>
      <c r="U47" s="211"/>
      <c r="V47" s="211"/>
      <c r="W47" s="212"/>
      <c r="X47" s="212"/>
      <c r="Y47" s="213"/>
      <c r="Z47" s="187"/>
      <c r="AA47" s="187"/>
      <c r="AB47" s="187"/>
      <c r="AC47" s="187"/>
      <c r="AD47" s="187"/>
      <c r="AE47" s="187"/>
      <c r="AF47" s="187"/>
      <c r="AG47" s="187"/>
      <c r="AH47" s="187"/>
      <c r="AI47" s="187"/>
      <c r="AJ47" s="187"/>
      <c r="AK47" s="187"/>
      <c r="AL47" s="356"/>
      <c r="AM47" s="187"/>
      <c r="AN47" s="187"/>
      <c r="AO47" s="187"/>
      <c r="AP47" s="187"/>
      <c r="AQ47" s="187"/>
      <c r="AR47" s="187"/>
      <c r="AS47" s="187"/>
      <c r="AT47" s="187"/>
      <c r="AU47" s="187"/>
      <c r="AV47" s="187"/>
      <c r="AW47" s="187"/>
      <c r="AX47" s="187"/>
      <c r="AY47" s="173"/>
    </row>
    <row r="48" spans="1:58" ht="15.75">
      <c r="A48" s="193">
        <v>10</v>
      </c>
      <c r="B48" s="189" t="s">
        <v>51</v>
      </c>
      <c r="C48" s="194">
        <f t="shared" ref="C48:H48" si="49">SUM(C49:C54)</f>
        <v>124683624</v>
      </c>
      <c r="D48" s="195">
        <f t="shared" si="49"/>
        <v>185272892</v>
      </c>
      <c r="E48" s="238">
        <f t="shared" si="49"/>
        <v>116642858</v>
      </c>
      <c r="F48" s="238">
        <f t="shared" si="49"/>
        <v>152025659</v>
      </c>
      <c r="G48" s="239">
        <f t="shared" si="49"/>
        <v>174706726</v>
      </c>
      <c r="H48" s="240">
        <f t="shared" si="49"/>
        <v>183884639</v>
      </c>
      <c r="I48" s="241">
        <f t="shared" ref="I48:N48" si="50">SUM(I49:I54)</f>
        <v>228190754</v>
      </c>
      <c r="J48" s="242">
        <f t="shared" si="50"/>
        <v>238392072.87</v>
      </c>
      <c r="K48" s="242">
        <f t="shared" si="50"/>
        <v>154598185.47999999</v>
      </c>
      <c r="L48" s="242">
        <f t="shared" si="50"/>
        <v>157493005.09</v>
      </c>
      <c r="M48" s="243">
        <f t="shared" si="50"/>
        <v>160456459.65000001</v>
      </c>
      <c r="N48" s="243">
        <f t="shared" si="50"/>
        <v>172879336.96000001</v>
      </c>
      <c r="O48" s="243">
        <f t="shared" ref="O48:AB48" si="51">SUM(O49:O54)</f>
        <v>194090907.67000002</v>
      </c>
      <c r="P48" s="243">
        <f t="shared" si="51"/>
        <v>201903538.25</v>
      </c>
      <c r="Q48" s="243">
        <f t="shared" si="51"/>
        <v>205760097.71000001</v>
      </c>
      <c r="R48" s="243">
        <f t="shared" si="51"/>
        <v>265505758.24000001</v>
      </c>
      <c r="S48" s="243">
        <f t="shared" si="51"/>
        <v>226481955.19</v>
      </c>
      <c r="T48" s="243">
        <f t="shared" si="51"/>
        <v>244043890.24000001</v>
      </c>
      <c r="U48" s="243">
        <f t="shared" si="51"/>
        <v>279111462.07999998</v>
      </c>
      <c r="V48" s="243">
        <f t="shared" si="51"/>
        <v>279111462</v>
      </c>
      <c r="W48" s="244">
        <f>SUM(W49:W54)</f>
        <v>382819831</v>
      </c>
      <c r="X48" s="244">
        <f>SUM(X49:X54)</f>
        <v>436444150.99000007</v>
      </c>
      <c r="Y48" s="245">
        <f t="shared" si="51"/>
        <v>432760301</v>
      </c>
      <c r="Z48" s="245">
        <f t="shared" si="51"/>
        <v>275835986.24000001</v>
      </c>
      <c r="AA48" s="245">
        <f t="shared" si="51"/>
        <v>289348193.18000001</v>
      </c>
      <c r="AB48" s="245">
        <f t="shared" si="51"/>
        <v>310093567.19999999</v>
      </c>
      <c r="AC48" s="245">
        <f>SUM(AC49:AC54)</f>
        <v>334599337.18000001</v>
      </c>
      <c r="AD48" s="245">
        <f>SUM(AD49:AD54)</f>
        <v>357609304.75999999</v>
      </c>
      <c r="AE48" s="245">
        <f>SUM(AE49:AE54)</f>
        <v>371783975.88</v>
      </c>
      <c r="AF48" s="245">
        <f t="shared" ref="AF48:AG48" si="52">SUM(AF49:AF54)</f>
        <v>402417846.69</v>
      </c>
      <c r="AG48" s="245">
        <f t="shared" si="52"/>
        <v>428194522.45999998</v>
      </c>
      <c r="AH48" s="245">
        <f t="shared" ref="AH48:AK48" si="53">SUM(AH49:AH54)</f>
        <v>445079393.61000001</v>
      </c>
      <c r="AI48" s="245">
        <f t="shared" si="53"/>
        <v>473015005.68000001</v>
      </c>
      <c r="AJ48" s="245">
        <f t="shared" si="53"/>
        <v>503396954.06999999</v>
      </c>
      <c r="AK48" s="245">
        <f t="shared" si="53"/>
        <v>0</v>
      </c>
      <c r="AL48" s="245">
        <f t="shared" ref="AL48:AM48" si="54">SUM(AL49:AL54)</f>
        <v>505466999</v>
      </c>
      <c r="AM48" s="245">
        <f t="shared" si="54"/>
        <v>333213737.51999998</v>
      </c>
      <c r="AN48" s="245">
        <f t="shared" ref="AN48:BF48" si="55">SUM(AN49:AN54)</f>
        <v>348651374.47999996</v>
      </c>
      <c r="AO48" s="245">
        <f t="shared" si="55"/>
        <v>377684982.41000003</v>
      </c>
      <c r="AP48" s="245">
        <f t="shared" si="55"/>
        <v>400866492.55000001</v>
      </c>
      <c r="AQ48" s="245">
        <f t="shared" si="55"/>
        <v>420685164.34000003</v>
      </c>
      <c r="AR48" s="245">
        <f t="shared" si="55"/>
        <v>447529801.93999994</v>
      </c>
      <c r="AS48" s="245">
        <f t="shared" si="55"/>
        <v>481474003.81999999</v>
      </c>
      <c r="AT48" s="245">
        <f t="shared" si="55"/>
        <v>509791307.23000002</v>
      </c>
      <c r="AU48" s="245">
        <f t="shared" si="55"/>
        <v>533000710.56999999</v>
      </c>
      <c r="AV48" s="245">
        <f t="shared" si="55"/>
        <v>562349852.19000006</v>
      </c>
      <c r="AW48" s="245">
        <f t="shared" si="55"/>
        <v>598833519.5</v>
      </c>
      <c r="AX48" s="245">
        <f t="shared" si="55"/>
        <v>612232225.38</v>
      </c>
      <c r="AY48" s="245">
        <f t="shared" si="55"/>
        <v>612685812</v>
      </c>
      <c r="AZ48" s="245">
        <f t="shared" si="55"/>
        <v>377314964.44</v>
      </c>
      <c r="BA48" s="245">
        <f t="shared" si="55"/>
        <v>396972595.10000002</v>
      </c>
      <c r="BB48" s="245">
        <f t="shared" si="55"/>
        <v>425568607.90999997</v>
      </c>
      <c r="BC48" s="245">
        <f t="shared" si="55"/>
        <v>419909788.33000004</v>
      </c>
      <c r="BD48" s="245">
        <f t="shared" si="55"/>
        <v>453678736.44999999</v>
      </c>
      <c r="BE48" s="245">
        <f t="shared" si="55"/>
        <v>470283032.70999998</v>
      </c>
      <c r="BF48" s="245">
        <f t="shared" si="55"/>
        <v>510050528.71000004</v>
      </c>
    </row>
    <row r="49" spans="1:58" ht="15">
      <c r="A49" s="193">
        <v>10.1</v>
      </c>
      <c r="B49" s="193" t="s">
        <v>52</v>
      </c>
      <c r="C49" s="204">
        <v>131500</v>
      </c>
      <c r="D49" s="205">
        <v>2499950</v>
      </c>
      <c r="E49" s="206">
        <v>1750966</v>
      </c>
      <c r="F49" s="185">
        <f>SUM('[1]10,11,12,13'!$G$183+'[1]10,11,12,13'!$G$184+'[1]10,11,12,13'!$G$185)</f>
        <v>2670966</v>
      </c>
      <c r="G49" s="207">
        <v>2499729</v>
      </c>
      <c r="H49" s="208">
        <f>2499729+3000000-3716966</f>
        <v>1782763</v>
      </c>
      <c r="I49" s="209">
        <v>781663</v>
      </c>
      <c r="J49" s="210">
        <v>1531663</v>
      </c>
      <c r="K49" s="210">
        <v>249550</v>
      </c>
      <c r="L49" s="210">
        <v>999550</v>
      </c>
      <c r="M49" s="211">
        <v>2436321</v>
      </c>
      <c r="N49" s="211">
        <v>3186321</v>
      </c>
      <c r="O49" s="211">
        <v>3372642</v>
      </c>
      <c r="P49" s="211">
        <v>370267</v>
      </c>
      <c r="Q49" s="211">
        <v>1120267</v>
      </c>
      <c r="R49" s="211">
        <v>1306588</v>
      </c>
      <c r="S49" s="211">
        <v>2056588</v>
      </c>
      <c r="T49" s="211">
        <v>2806588</v>
      </c>
      <c r="U49" s="211">
        <v>992909</v>
      </c>
      <c r="V49" s="211">
        <f>(781663+7000000)-6788754</f>
        <v>992909</v>
      </c>
      <c r="W49" s="212"/>
      <c r="X49" s="212">
        <v>987220</v>
      </c>
      <c r="Y49" s="213">
        <v>987220</v>
      </c>
      <c r="Z49" s="214">
        <v>2237220</v>
      </c>
      <c r="AA49" s="214">
        <v>3487220</v>
      </c>
      <c r="AB49" s="214">
        <v>4737220</v>
      </c>
      <c r="AC49" s="327">
        <v>1370000</v>
      </c>
      <c r="AD49" s="327">
        <v>2620000</v>
      </c>
      <c r="AE49" s="327">
        <v>229920</v>
      </c>
      <c r="AF49" s="332">
        <v>1479920</v>
      </c>
      <c r="AG49" s="334">
        <v>2729920</v>
      </c>
      <c r="AH49" s="332">
        <v>349920</v>
      </c>
      <c r="AI49" s="344">
        <v>1599920</v>
      </c>
      <c r="AJ49" s="344">
        <v>2849920</v>
      </c>
      <c r="AK49" s="334"/>
      <c r="AL49" s="359">
        <v>1469920</v>
      </c>
      <c r="AM49" s="332">
        <v>3136586.66</v>
      </c>
      <c r="AN49" s="344">
        <v>4803253.32</v>
      </c>
      <c r="AO49" s="344">
        <v>6469919.9800000004</v>
      </c>
      <c r="AP49" s="344">
        <v>2166666.64</v>
      </c>
      <c r="AQ49" s="344">
        <v>3833333.3</v>
      </c>
      <c r="AR49" s="344">
        <v>989919.96</v>
      </c>
      <c r="AS49" s="344">
        <v>2656586.62</v>
      </c>
      <c r="AT49" s="344">
        <v>4323253.28</v>
      </c>
      <c r="AU49" s="344">
        <v>1489919.94</v>
      </c>
      <c r="AV49" s="344">
        <v>3156586.6</v>
      </c>
      <c r="AW49" s="344">
        <v>4823253.26</v>
      </c>
      <c r="AX49" s="344">
        <v>2776794.82</v>
      </c>
      <c r="AY49" s="173">
        <v>2776795</v>
      </c>
      <c r="AZ49" s="332">
        <v>8103968.3300000001</v>
      </c>
      <c r="BA49" s="344">
        <v>9937301.6600000001</v>
      </c>
      <c r="BB49" s="344">
        <v>11770634.99</v>
      </c>
      <c r="BC49" s="344">
        <v>655529.31999999995</v>
      </c>
      <c r="BD49" s="332">
        <v>2488862.65</v>
      </c>
      <c r="BE49" s="424">
        <v>-2355608.02</v>
      </c>
      <c r="BF49" s="424">
        <v>-522274.69</v>
      </c>
    </row>
    <row r="50" spans="1:58" ht="15">
      <c r="A50" s="193">
        <v>10.199999999999999</v>
      </c>
      <c r="B50" s="193" t="s">
        <v>53</v>
      </c>
      <c r="C50" s="204">
        <v>38580247</v>
      </c>
      <c r="D50" s="205">
        <v>46299234</v>
      </c>
      <c r="E50" s="206">
        <f>56132762-23852475</f>
        <v>32280287</v>
      </c>
      <c r="F50" s="185">
        <f>SUM('[1]10,11,12,13'!$G$190+'[1]10,11,12,13'!$G$192+'[1]10,11,12,13'!$G$195)</f>
        <v>80035493</v>
      </c>
      <c r="G50" s="207">
        <f>72781110</f>
        <v>72781110</v>
      </c>
      <c r="H50" s="208">
        <f>72781110+60000000-55323509</f>
        <v>77457601</v>
      </c>
      <c r="I50" s="209">
        <v>104242968</v>
      </c>
      <c r="J50" s="210">
        <v>104242967.61</v>
      </c>
      <c r="K50" s="210">
        <v>3741716.21</v>
      </c>
      <c r="L50" s="210">
        <v>3741716.21</v>
      </c>
      <c r="M50" s="211">
        <v>3740716.21</v>
      </c>
      <c r="N50" s="211">
        <v>3740216.21</v>
      </c>
      <c r="O50" s="211">
        <v>3740216.21</v>
      </c>
      <c r="P50" s="211">
        <v>3739216.21</v>
      </c>
      <c r="Q50" s="211">
        <v>3739216.21</v>
      </c>
      <c r="R50" s="211">
        <v>3739216.21</v>
      </c>
      <c r="S50" s="211">
        <v>3739216.21</v>
      </c>
      <c r="T50" s="211">
        <v>3739216.21</v>
      </c>
      <c r="U50" s="211">
        <v>119878401.20999999</v>
      </c>
      <c r="V50" s="211">
        <f>104242968+115000000-95625351</f>
        <v>123617617</v>
      </c>
      <c r="W50" s="212"/>
      <c r="X50" s="212">
        <v>1397423.07</v>
      </c>
      <c r="Y50" s="213"/>
      <c r="Z50" s="214">
        <v>-196505.45</v>
      </c>
      <c r="AA50" s="214">
        <v>-566669.13</v>
      </c>
      <c r="AB50" s="214">
        <v>-566669.13</v>
      </c>
      <c r="AC50" s="327">
        <v>-566669.13</v>
      </c>
      <c r="AD50" s="327">
        <v>-566669.13</v>
      </c>
      <c r="AE50" s="327">
        <v>-566669.13</v>
      </c>
      <c r="AF50" s="334">
        <v>-566669.13</v>
      </c>
      <c r="AG50" s="334">
        <v>-566669.13</v>
      </c>
      <c r="AH50" s="334">
        <v>-566669.13</v>
      </c>
      <c r="AI50" s="346">
        <v>-566669.13</v>
      </c>
      <c r="AJ50" s="346">
        <v>-566669.13</v>
      </c>
      <c r="AK50" s="334"/>
      <c r="AL50" s="359">
        <v>240000000</v>
      </c>
      <c r="AM50" s="334">
        <v>13735194.5</v>
      </c>
      <c r="AN50" s="346">
        <v>12829974.640000001</v>
      </c>
      <c r="AO50" s="346">
        <v>12829974.640000001</v>
      </c>
      <c r="AP50" s="346">
        <v>12829974.640000001</v>
      </c>
      <c r="AQ50" s="346">
        <v>12829974.640000001</v>
      </c>
      <c r="AR50" s="346">
        <v>12829974.640000001</v>
      </c>
      <c r="AS50" s="346">
        <v>12829974.640000001</v>
      </c>
      <c r="AT50" s="346">
        <v>12829974.640000001</v>
      </c>
      <c r="AU50" s="346">
        <v>12829974.640000001</v>
      </c>
      <c r="AV50" s="346">
        <v>12829974.640000001</v>
      </c>
      <c r="AW50" s="346">
        <v>12829974.640000001</v>
      </c>
      <c r="AX50" s="344">
        <v>12833664.640000001</v>
      </c>
      <c r="AY50" s="173">
        <v>302833665</v>
      </c>
      <c r="AZ50" s="334">
        <v>19467028.629999999</v>
      </c>
      <c r="BA50" s="346">
        <v>19059454.379999999</v>
      </c>
      <c r="BB50" s="346">
        <v>18944735.440000001</v>
      </c>
      <c r="BC50" s="346">
        <v>18944735.440000001</v>
      </c>
      <c r="BD50" s="334">
        <v>18944735.440000001</v>
      </c>
      <c r="BE50" s="424">
        <v>18944735.440000001</v>
      </c>
      <c r="BF50" s="424">
        <v>18944735.440000001</v>
      </c>
    </row>
    <row r="51" spans="1:58" ht="15">
      <c r="A51" s="193">
        <v>10.3</v>
      </c>
      <c r="B51" s="193" t="s">
        <v>54</v>
      </c>
      <c r="C51" s="204"/>
      <c r="D51" s="205"/>
      <c r="E51" s="230"/>
      <c r="F51" s="185"/>
      <c r="G51" s="207"/>
      <c r="H51" s="208"/>
      <c r="I51" s="209"/>
      <c r="J51" s="210">
        <v>0</v>
      </c>
      <c r="K51" s="210">
        <v>0</v>
      </c>
      <c r="L51" s="210">
        <v>0</v>
      </c>
      <c r="M51" s="211"/>
      <c r="N51" s="211"/>
      <c r="O51" s="211"/>
      <c r="P51" s="211"/>
      <c r="Q51" s="211"/>
      <c r="R51" s="211"/>
      <c r="S51" s="211"/>
      <c r="T51" s="211"/>
      <c r="U51" s="211"/>
      <c r="V51" s="211"/>
      <c r="W51" s="212"/>
      <c r="X51" s="212"/>
      <c r="Y51" s="213"/>
      <c r="Z51" s="214">
        <v>0</v>
      </c>
      <c r="AA51" s="214">
        <v>0</v>
      </c>
      <c r="AB51" s="214">
        <v>0</v>
      </c>
      <c r="AC51" s="327">
        <v>0</v>
      </c>
      <c r="AD51" s="327">
        <v>0</v>
      </c>
      <c r="AE51" s="327">
        <v>0</v>
      </c>
      <c r="AF51" s="333">
        <v>0</v>
      </c>
      <c r="AG51" s="333">
        <v>0</v>
      </c>
      <c r="AH51" s="333">
        <v>0</v>
      </c>
      <c r="AI51" s="345">
        <v>0</v>
      </c>
      <c r="AJ51" s="345">
        <v>0</v>
      </c>
      <c r="AK51" s="333"/>
      <c r="AL51" s="359"/>
      <c r="AM51" s="333">
        <v>0</v>
      </c>
      <c r="AN51" s="345">
        <v>0</v>
      </c>
      <c r="AO51" s="345">
        <v>0</v>
      </c>
      <c r="AP51" s="345">
        <v>0</v>
      </c>
      <c r="AQ51" s="345">
        <v>0</v>
      </c>
      <c r="AR51" s="345">
        <v>0</v>
      </c>
      <c r="AS51" s="345">
        <v>0</v>
      </c>
      <c r="AT51" s="345">
        <v>0</v>
      </c>
      <c r="AU51" s="345">
        <v>0</v>
      </c>
      <c r="AV51" s="345">
        <v>0</v>
      </c>
      <c r="AW51" s="345">
        <v>0</v>
      </c>
      <c r="AX51" s="343">
        <v>0</v>
      </c>
      <c r="AY51" s="173">
        <v>23968832</v>
      </c>
      <c r="AZ51" s="333">
        <v>0</v>
      </c>
      <c r="BA51" s="345">
        <v>0</v>
      </c>
      <c r="BB51" s="345">
        <v>0</v>
      </c>
      <c r="BC51" s="345">
        <v>0</v>
      </c>
      <c r="BD51" s="333">
        <v>0</v>
      </c>
      <c r="BE51" s="175">
        <v>0</v>
      </c>
      <c r="BF51" s="175">
        <v>0</v>
      </c>
    </row>
    <row r="52" spans="1:58" ht="15">
      <c r="A52" s="193">
        <v>10.4</v>
      </c>
      <c r="B52" s="193" t="s">
        <v>55</v>
      </c>
      <c r="C52" s="204"/>
      <c r="D52" s="205"/>
      <c r="E52" s="206"/>
      <c r="F52" s="185"/>
      <c r="G52" s="207"/>
      <c r="H52" s="208"/>
      <c r="I52" s="209"/>
      <c r="J52" s="210">
        <v>45256436</v>
      </c>
      <c r="K52" s="210">
        <v>46057186</v>
      </c>
      <c r="L52" s="210">
        <v>46857936</v>
      </c>
      <c r="M52" s="211">
        <v>47658686</v>
      </c>
      <c r="N52" s="211">
        <v>48459436</v>
      </c>
      <c r="O52" s="211">
        <v>49260186</v>
      </c>
      <c r="P52" s="211">
        <v>50757456</v>
      </c>
      <c r="Q52" s="211">
        <v>50861686</v>
      </c>
      <c r="R52" s="211">
        <v>51402133.880000003</v>
      </c>
      <c r="S52" s="211">
        <v>52202884.079999998</v>
      </c>
      <c r="T52" s="211">
        <v>52835364.850000001</v>
      </c>
      <c r="U52" s="211">
        <v>53636114.850000001</v>
      </c>
      <c r="V52" s="211"/>
      <c r="W52" s="212"/>
      <c r="X52" s="212">
        <v>54475309.960000001</v>
      </c>
      <c r="Y52" s="213"/>
      <c r="Z52" s="214">
        <v>55308643.289999999</v>
      </c>
      <c r="AA52" s="214">
        <v>56141976.619999997</v>
      </c>
      <c r="AB52" s="214">
        <v>49073848.57</v>
      </c>
      <c r="AC52" s="327">
        <v>49907181.899999999</v>
      </c>
      <c r="AD52" s="327">
        <v>50740515.229999997</v>
      </c>
      <c r="AE52" s="327">
        <v>51573848.560000002</v>
      </c>
      <c r="AF52" s="334">
        <v>52407181.890000001</v>
      </c>
      <c r="AG52" s="334">
        <v>53240515.219999999</v>
      </c>
      <c r="AH52" s="334">
        <v>54073848.549999997</v>
      </c>
      <c r="AI52" s="346">
        <v>54907181.880000003</v>
      </c>
      <c r="AJ52" s="346">
        <v>55740515.210000001</v>
      </c>
      <c r="AK52" s="334"/>
      <c r="AL52" s="359"/>
      <c r="AM52" s="334">
        <v>57494681.909999996</v>
      </c>
      <c r="AN52" s="346">
        <v>58415515.240000002</v>
      </c>
      <c r="AO52" s="346">
        <v>59336348.57</v>
      </c>
      <c r="AP52" s="346">
        <v>60257181.899999999</v>
      </c>
      <c r="AQ52" s="346">
        <v>61178015.229999997</v>
      </c>
      <c r="AR52" s="346">
        <v>63286848.560000002</v>
      </c>
      <c r="AS52" s="346">
        <v>63408382.299999997</v>
      </c>
      <c r="AT52" s="346">
        <v>64334655.630000003</v>
      </c>
      <c r="AU52" s="346">
        <v>65255488.960000001</v>
      </c>
      <c r="AV52" s="346">
        <v>66490962.289999999</v>
      </c>
      <c r="AW52" s="346">
        <v>67427075.620000005</v>
      </c>
      <c r="AX52" s="344">
        <v>68187783</v>
      </c>
      <c r="AY52" s="173">
        <v>0</v>
      </c>
      <c r="AZ52" s="334">
        <v>69185099.659999996</v>
      </c>
      <c r="BA52" s="346">
        <v>70198016.319999993</v>
      </c>
      <c r="BB52" s="346">
        <v>66326496.850000001</v>
      </c>
      <c r="BC52" s="346">
        <v>67339413.510000005</v>
      </c>
      <c r="BD52" s="334">
        <v>68728650.170000002</v>
      </c>
      <c r="BE52" s="424">
        <v>69741566.829999998</v>
      </c>
      <c r="BF52" s="424">
        <v>70754483.489999995</v>
      </c>
    </row>
    <row r="53" spans="1:58" ht="15">
      <c r="A53" s="193">
        <v>10.5</v>
      </c>
      <c r="B53" s="193" t="s">
        <v>56</v>
      </c>
      <c r="C53" s="204">
        <v>75384134</v>
      </c>
      <c r="D53" s="205">
        <v>96676573</v>
      </c>
      <c r="E53" s="230">
        <v>79611605</v>
      </c>
      <c r="F53" s="185">
        <f>'[1]5,'!$E$30</f>
        <v>69319200</v>
      </c>
      <c r="G53" s="207">
        <f>99425887</f>
        <v>99425887</v>
      </c>
      <c r="H53" s="208">
        <f>37016428+404412+2169745+164800+15700+56553793+45000+128098+202372+2880+103847+4640433+50920+43645+1326340+278400+772+16820+1479870</f>
        <v>104644275</v>
      </c>
      <c r="I53" s="209">
        <f>44455686+95605+363989+2919745+129800+72572817+48396+522058+2920+126840+50920+105404+947150+70999+290+78119+168700+204225+135000+45060+122400</f>
        <v>123166123</v>
      </c>
      <c r="J53" s="210">
        <v>87361006.260000005</v>
      </c>
      <c r="K53" s="210">
        <v>104549733.27</v>
      </c>
      <c r="L53" s="210">
        <v>105893802.88</v>
      </c>
      <c r="M53" s="211">
        <v>106620736.44</v>
      </c>
      <c r="N53" s="211">
        <v>117493363.75</v>
      </c>
      <c r="O53" s="211">
        <v>137717863.46000001</v>
      </c>
      <c r="P53" s="211">
        <v>147036599.03999999</v>
      </c>
      <c r="Q53" s="211">
        <v>150038928.5</v>
      </c>
      <c r="R53" s="211">
        <v>159057820.15000001</v>
      </c>
      <c r="S53" s="211">
        <v>168483266.90000001</v>
      </c>
      <c r="T53" s="211">
        <v>184662721.18000001</v>
      </c>
      <c r="U53" s="211">
        <v>104604037.02</v>
      </c>
      <c r="V53" s="211">
        <f>53636115+149555+274338+3201745+139800+89121409+284408+420736+156054+4007573+203194+1354560+54092+55446+82821+132108+56701+168700+259850+362000+60000+319731</f>
        <v>154500936</v>
      </c>
      <c r="W53" s="212">
        <f>3200000+165400000+22344900+181865862+10009069</f>
        <v>382819831</v>
      </c>
      <c r="X53" s="212">
        <v>372873129.29000002</v>
      </c>
      <c r="Y53" s="213">
        <f>195000000+28933207+201128805+6711069</f>
        <v>431773081</v>
      </c>
      <c r="Z53" s="214">
        <v>212616913.40000001</v>
      </c>
      <c r="AA53" s="214">
        <v>224411059.36000001</v>
      </c>
      <c r="AB53" s="214">
        <v>250969670.09999999</v>
      </c>
      <c r="AC53" s="327">
        <v>278851372.41000003</v>
      </c>
      <c r="AD53" s="327">
        <v>299773808.66000003</v>
      </c>
      <c r="AE53" s="327">
        <v>315501028.44999999</v>
      </c>
      <c r="AF53" s="334">
        <v>344894304.93000001</v>
      </c>
      <c r="AG53" s="334">
        <v>368584143.37</v>
      </c>
      <c r="AH53" s="334">
        <v>387012179.19</v>
      </c>
      <c r="AI53" s="346">
        <v>413707892.93000001</v>
      </c>
      <c r="AJ53" s="346">
        <v>442003700.99000001</v>
      </c>
      <c r="AK53" s="334"/>
      <c r="AL53" s="359">
        <f>32066110+228558677</f>
        <v>260624787</v>
      </c>
      <c r="AM53" s="334">
        <v>256319114.44999999</v>
      </c>
      <c r="AN53" s="346">
        <v>270072363.27999997</v>
      </c>
      <c r="AO53" s="346">
        <v>296516365.22000003</v>
      </c>
      <c r="AP53" s="346">
        <v>323925126.37</v>
      </c>
      <c r="AQ53" s="346">
        <v>341154891.17000002</v>
      </c>
      <c r="AR53" s="346">
        <v>368732702.77999997</v>
      </c>
      <c r="AS53" s="346">
        <v>401734235.25999999</v>
      </c>
      <c r="AT53" s="346">
        <v>427457894.68000001</v>
      </c>
      <c r="AU53" s="346">
        <v>452579094.02999997</v>
      </c>
      <c r="AV53" s="346">
        <v>479872328.66000003</v>
      </c>
      <c r="AW53" s="346">
        <v>513753215.98000002</v>
      </c>
      <c r="AX53" s="344">
        <v>528433982.92000002</v>
      </c>
      <c r="AY53" s="173">
        <v>283106520</v>
      </c>
      <c r="AZ53" s="334">
        <v>280558867.81999999</v>
      </c>
      <c r="BA53" s="346">
        <v>297777822.74000001</v>
      </c>
      <c r="BB53" s="346">
        <v>328526740.63</v>
      </c>
      <c r="BC53" s="346">
        <v>332970110.06</v>
      </c>
      <c r="BD53" s="334">
        <v>363516488.19</v>
      </c>
      <c r="BE53" s="424">
        <v>383952338.45999998</v>
      </c>
      <c r="BF53" s="424">
        <v>420873584.47000003</v>
      </c>
    </row>
    <row r="54" spans="1:58" ht="15">
      <c r="A54" s="193">
        <v>10.6</v>
      </c>
      <c r="B54" s="193" t="s">
        <v>57</v>
      </c>
      <c r="C54" s="204">
        <f>2987744+7599999</f>
        <v>10587743</v>
      </c>
      <c r="D54" s="205">
        <f>17630469+22166666</f>
        <v>39797135</v>
      </c>
      <c r="E54" s="206">
        <v>3000000</v>
      </c>
      <c r="F54" s="185">
        <v>0</v>
      </c>
      <c r="G54" s="207"/>
      <c r="H54" s="208"/>
      <c r="I54" s="209"/>
      <c r="J54" s="210">
        <v>0</v>
      </c>
      <c r="K54" s="210">
        <v>0</v>
      </c>
      <c r="L54" s="210">
        <v>0</v>
      </c>
      <c r="M54" s="211"/>
      <c r="N54" s="211"/>
      <c r="O54" s="211"/>
      <c r="P54" s="211"/>
      <c r="Q54" s="211"/>
      <c r="R54" s="211">
        <v>50000000</v>
      </c>
      <c r="S54" s="211"/>
      <c r="T54" s="211"/>
      <c r="U54" s="211"/>
      <c r="V54" s="211"/>
      <c r="W54" s="212"/>
      <c r="X54" s="212">
        <v>6711068.6699999999</v>
      </c>
      <c r="Y54" s="213"/>
      <c r="Z54" s="214">
        <v>5869715</v>
      </c>
      <c r="AA54" s="214">
        <v>5874606.3300000001</v>
      </c>
      <c r="AB54" s="214">
        <v>5879497.6600000001</v>
      </c>
      <c r="AC54" s="327">
        <v>5037452</v>
      </c>
      <c r="AD54" s="327">
        <v>5041650</v>
      </c>
      <c r="AE54" s="327">
        <v>5045848</v>
      </c>
      <c r="AF54" s="334">
        <v>4203109</v>
      </c>
      <c r="AG54" s="334">
        <v>4206613</v>
      </c>
      <c r="AH54" s="334">
        <v>4210115</v>
      </c>
      <c r="AI54" s="346">
        <v>3366680</v>
      </c>
      <c r="AJ54" s="346">
        <v>3369487</v>
      </c>
      <c r="AK54" s="334"/>
      <c r="AL54" s="359">
        <v>3372292</v>
      </c>
      <c r="AM54" s="334">
        <v>2528160</v>
      </c>
      <c r="AN54" s="346">
        <v>2530268</v>
      </c>
      <c r="AO54" s="346">
        <v>2532374</v>
      </c>
      <c r="AP54" s="346">
        <v>1687543</v>
      </c>
      <c r="AQ54" s="346">
        <v>1688950</v>
      </c>
      <c r="AR54" s="346">
        <v>1690356</v>
      </c>
      <c r="AS54" s="346">
        <v>844825</v>
      </c>
      <c r="AT54" s="346">
        <v>845529</v>
      </c>
      <c r="AU54" s="346">
        <v>846233</v>
      </c>
      <c r="AV54" s="345">
        <v>0</v>
      </c>
      <c r="AW54" s="345">
        <v>0</v>
      </c>
      <c r="AX54" s="343">
        <v>0</v>
      </c>
      <c r="AY54" s="173">
        <v>0</v>
      </c>
      <c r="AZ54" s="333">
        <v>0</v>
      </c>
      <c r="BA54" s="345">
        <v>0</v>
      </c>
      <c r="BB54" s="345">
        <v>0</v>
      </c>
      <c r="BC54" s="345">
        <v>0</v>
      </c>
      <c r="BD54" s="333">
        <v>0</v>
      </c>
      <c r="BE54" s="175">
        <v>0</v>
      </c>
      <c r="BF54" s="175">
        <v>0</v>
      </c>
    </row>
    <row r="55" spans="1:58" ht="15.75">
      <c r="A55" s="193"/>
      <c r="B55" s="189" t="s">
        <v>58</v>
      </c>
      <c r="C55" s="194">
        <f>SUM(C46+C48)</f>
        <v>683913154</v>
      </c>
      <c r="D55" s="195">
        <f>SUM(D46+D48)</f>
        <v>930692778</v>
      </c>
      <c r="E55" s="196">
        <f t="shared" ref="E55:L55" si="56">E46+E48</f>
        <v>998395856</v>
      </c>
      <c r="F55" s="196">
        <f t="shared" si="56"/>
        <v>1226132745</v>
      </c>
      <c r="G55" s="198">
        <f t="shared" si="56"/>
        <v>1272609459</v>
      </c>
      <c r="H55" s="236">
        <f t="shared" si="56"/>
        <v>1485546640</v>
      </c>
      <c r="I55" s="200">
        <f t="shared" si="56"/>
        <v>1789844967</v>
      </c>
      <c r="J55" s="201">
        <f t="shared" si="56"/>
        <v>1751423852.4499998</v>
      </c>
      <c r="K55" s="201">
        <f t="shared" si="56"/>
        <v>1677192442.48</v>
      </c>
      <c r="L55" s="201">
        <f t="shared" si="56"/>
        <v>1642472670.02</v>
      </c>
      <c r="M55" s="202">
        <f t="shared" ref="M55:R55" si="57">M46+M48</f>
        <v>1657263539.4300001</v>
      </c>
      <c r="N55" s="202">
        <f t="shared" si="57"/>
        <v>1663730521.75</v>
      </c>
      <c r="O55" s="202">
        <f t="shared" si="57"/>
        <v>1686122109.0900002</v>
      </c>
      <c r="P55" s="202">
        <f t="shared" si="57"/>
        <v>1699204248.73</v>
      </c>
      <c r="Q55" s="202">
        <f t="shared" si="57"/>
        <v>1672164278.8099999</v>
      </c>
      <c r="R55" s="202">
        <f t="shared" si="57"/>
        <v>1716902514.7299998</v>
      </c>
      <c r="S55" s="202">
        <f t="shared" ref="S55:AB55" si="58">S46+S48</f>
        <v>2318988160.8000002</v>
      </c>
      <c r="T55" s="202">
        <f t="shared" si="58"/>
        <v>2134166275.76</v>
      </c>
      <c r="U55" s="202">
        <f t="shared" si="58"/>
        <v>2095215134.8199997</v>
      </c>
      <c r="V55" s="202">
        <f t="shared" si="58"/>
        <v>2095215135</v>
      </c>
      <c r="W55" s="203">
        <f>W46+W48</f>
        <v>2730158655</v>
      </c>
      <c r="X55" s="203">
        <f t="shared" si="58"/>
        <v>3036539359.3900003</v>
      </c>
      <c r="Y55" s="199">
        <f t="shared" si="58"/>
        <v>3032855509</v>
      </c>
      <c r="Z55" s="199">
        <f t="shared" si="58"/>
        <v>2950993972.9300003</v>
      </c>
      <c r="AA55" s="199">
        <f t="shared" si="58"/>
        <v>2921622890.8099999</v>
      </c>
      <c r="AB55" s="199">
        <f t="shared" si="58"/>
        <v>2979419172.4399996</v>
      </c>
      <c r="AC55" s="199">
        <f>AC46+AC48</f>
        <v>2998623023.1799998</v>
      </c>
      <c r="AD55" s="199">
        <f>AD46+AD48</f>
        <v>3026937079.8400002</v>
      </c>
      <c r="AE55" s="199">
        <f>AE46+AE48</f>
        <v>3047188721.1999998</v>
      </c>
      <c r="AF55" s="199">
        <f t="shared" ref="AF55:AG55" si="59">AF46+AF48</f>
        <v>3082268693.8600001</v>
      </c>
      <c r="AG55" s="199">
        <f t="shared" si="59"/>
        <v>3084592464.6399999</v>
      </c>
      <c r="AH55" s="199">
        <f t="shared" ref="AH55:AK55" si="60">AH46+AH48</f>
        <v>3078875615.4200001</v>
      </c>
      <c r="AI55" s="199">
        <f t="shared" si="60"/>
        <v>3372381014.3799996</v>
      </c>
      <c r="AJ55" s="199">
        <f t="shared" si="60"/>
        <v>3370406449.7200003</v>
      </c>
      <c r="AK55" s="199">
        <f t="shared" si="60"/>
        <v>0</v>
      </c>
      <c r="AL55" s="199">
        <f t="shared" ref="AL55:AM55" si="61">AL46+AL48</f>
        <v>3354982044</v>
      </c>
      <c r="AM55" s="199">
        <f t="shared" si="61"/>
        <v>3321201601.5399995</v>
      </c>
      <c r="AN55" s="199">
        <f t="shared" ref="AN55:BF55" si="62">AN46+AN48</f>
        <v>3270982011.7599998</v>
      </c>
      <c r="AO55" s="199">
        <f t="shared" si="62"/>
        <v>3314638880.2599998</v>
      </c>
      <c r="AP55" s="199">
        <f t="shared" si="62"/>
        <v>3341840952.75</v>
      </c>
      <c r="AQ55" s="199">
        <f t="shared" si="62"/>
        <v>3389250188.71</v>
      </c>
      <c r="AR55" s="199">
        <f t="shared" si="62"/>
        <v>3427678017.1100001</v>
      </c>
      <c r="AS55" s="199">
        <f t="shared" si="62"/>
        <v>3913838580.8800001</v>
      </c>
      <c r="AT55" s="199">
        <f t="shared" si="62"/>
        <v>3874541124.8499999</v>
      </c>
      <c r="AU55" s="199">
        <f t="shared" si="62"/>
        <v>3824817658.1200004</v>
      </c>
      <c r="AV55" s="199">
        <f t="shared" si="62"/>
        <v>3815113157.8099999</v>
      </c>
      <c r="AW55" s="199">
        <f t="shared" si="62"/>
        <v>3848785946.3500004</v>
      </c>
      <c r="AX55" s="199">
        <f t="shared" si="62"/>
        <v>3850683272.2600002</v>
      </c>
      <c r="AY55" s="199">
        <f t="shared" si="62"/>
        <v>3851136859</v>
      </c>
      <c r="AZ55" s="199">
        <f t="shared" si="62"/>
        <v>3727763838.4100003</v>
      </c>
      <c r="BA55" s="199">
        <f t="shared" si="62"/>
        <v>3661068397.4099998</v>
      </c>
      <c r="BB55" s="199">
        <f t="shared" si="62"/>
        <v>3757273300.5699997</v>
      </c>
      <c r="BC55" s="199">
        <f t="shared" si="62"/>
        <v>3786593897.3000002</v>
      </c>
      <c r="BD55" s="199">
        <f t="shared" si="62"/>
        <v>3838951130.0299997</v>
      </c>
      <c r="BE55" s="199">
        <f t="shared" si="62"/>
        <v>3902807015.3500004</v>
      </c>
      <c r="BF55" s="199">
        <f t="shared" si="62"/>
        <v>3969259348.5299997</v>
      </c>
    </row>
    <row r="56" spans="1:58">
      <c r="A56" s="193"/>
      <c r="B56" s="193"/>
      <c r="C56" s="204"/>
      <c r="D56" s="205"/>
      <c r="E56" s="215"/>
      <c r="F56" s="185"/>
      <c r="G56" s="207"/>
      <c r="H56" s="208"/>
      <c r="I56" s="216"/>
      <c r="J56" s="187"/>
      <c r="K56" s="187"/>
      <c r="L56" s="187"/>
      <c r="M56" s="217"/>
      <c r="N56" s="217"/>
      <c r="O56" s="217"/>
      <c r="P56" s="217"/>
      <c r="Q56" s="217"/>
      <c r="R56" s="217"/>
      <c r="S56" s="217"/>
      <c r="T56" s="217"/>
      <c r="U56" s="217"/>
      <c r="V56" s="217"/>
      <c r="W56" s="218"/>
      <c r="X56" s="218"/>
      <c r="Y56" s="219"/>
      <c r="Z56" s="187"/>
      <c r="AA56" s="187"/>
      <c r="AB56" s="187"/>
      <c r="AC56" s="187"/>
      <c r="AD56" s="187"/>
      <c r="AE56" s="187"/>
      <c r="AF56" s="187"/>
      <c r="AG56" s="187"/>
      <c r="AH56" s="187"/>
      <c r="AI56" s="187"/>
      <c r="AJ56" s="187"/>
      <c r="AK56" s="187"/>
      <c r="AL56" s="356"/>
      <c r="AM56" s="187"/>
      <c r="AN56" s="187"/>
      <c r="AO56" s="187"/>
      <c r="AP56" s="187"/>
      <c r="AQ56" s="187"/>
      <c r="AR56" s="187"/>
      <c r="AS56" s="187"/>
      <c r="AT56" s="187"/>
      <c r="AU56" s="187"/>
      <c r="AV56" s="187"/>
      <c r="AW56" s="187"/>
      <c r="AX56" s="187"/>
      <c r="AY56" s="173"/>
    </row>
    <row r="57" spans="1:58">
      <c r="A57" s="193"/>
      <c r="B57" s="189" t="s">
        <v>59</v>
      </c>
      <c r="C57" s="190"/>
      <c r="D57" s="205"/>
      <c r="E57" s="230"/>
      <c r="F57" s="185"/>
      <c r="G57" s="207"/>
      <c r="H57" s="208"/>
      <c r="I57" s="216"/>
      <c r="J57" s="187"/>
      <c r="K57" s="187"/>
      <c r="L57" s="187"/>
      <c r="M57" s="211"/>
      <c r="N57" s="211"/>
      <c r="O57" s="211"/>
      <c r="P57" s="211"/>
      <c r="Q57" s="211"/>
      <c r="R57" s="211"/>
      <c r="S57" s="211"/>
      <c r="T57" s="211"/>
      <c r="U57" s="211"/>
      <c r="V57" s="211"/>
      <c r="W57" s="212"/>
      <c r="X57" s="212"/>
      <c r="Y57" s="213"/>
      <c r="Z57" s="187"/>
      <c r="AA57" s="187"/>
      <c r="AB57" s="187"/>
      <c r="AC57" s="187"/>
      <c r="AD57" s="187"/>
      <c r="AE57" s="187"/>
      <c r="AF57" s="187"/>
      <c r="AG57" s="187"/>
      <c r="AH57" s="187"/>
      <c r="AI57" s="187"/>
      <c r="AJ57" s="187"/>
      <c r="AK57" s="187"/>
      <c r="AL57" s="356"/>
      <c r="AM57" s="187"/>
      <c r="AN57" s="187"/>
      <c r="AO57" s="187"/>
      <c r="AP57" s="187"/>
      <c r="AQ57" s="187"/>
      <c r="AR57" s="187"/>
      <c r="AS57" s="187"/>
      <c r="AT57" s="187"/>
      <c r="AU57" s="187"/>
      <c r="AV57" s="187"/>
      <c r="AW57" s="187"/>
      <c r="AX57" s="187"/>
      <c r="AY57" s="173"/>
    </row>
    <row r="58" spans="1:58" ht="15">
      <c r="A58" s="193">
        <v>11</v>
      </c>
      <c r="B58" s="193" t="s">
        <v>60</v>
      </c>
      <c r="C58" s="204">
        <v>127388080</v>
      </c>
      <c r="D58" s="205">
        <v>133080651</v>
      </c>
      <c r="E58" s="230">
        <v>33482558</v>
      </c>
      <c r="F58" s="185">
        <f>SUM('[1]10,11,12,13'!$G$205:$G$209)</f>
        <v>42200680</v>
      </c>
      <c r="G58" s="207">
        <v>42265385</v>
      </c>
      <c r="H58" s="208">
        <f>41262989+3102032</f>
        <v>44365021</v>
      </c>
      <c r="I58" s="209">
        <v>49648475</v>
      </c>
      <c r="J58" s="210">
        <v>50071558.549999997</v>
      </c>
      <c r="K58" s="210">
        <v>53219077.979999997</v>
      </c>
      <c r="L58" s="210">
        <v>53593479.68</v>
      </c>
      <c r="M58" s="211">
        <v>53900059.600000001</v>
      </c>
      <c r="N58" s="211">
        <v>54320177.359999999</v>
      </c>
      <c r="O58" s="211">
        <v>54632463.740000002</v>
      </c>
      <c r="P58" s="211">
        <v>54961836.170000002</v>
      </c>
      <c r="Q58" s="211">
        <v>55253929.960000001</v>
      </c>
      <c r="R58" s="211">
        <v>55509079.960000001</v>
      </c>
      <c r="S58" s="211">
        <v>56429805.479999997</v>
      </c>
      <c r="T58" s="211">
        <v>113430482.19</v>
      </c>
      <c r="U58" s="211">
        <v>113780340.09</v>
      </c>
      <c r="V58" s="211">
        <f>85202216+28578124</f>
        <v>113780340</v>
      </c>
      <c r="W58" s="212">
        <v>133906127</v>
      </c>
      <c r="X58" s="212">
        <v>145787005.52000001</v>
      </c>
      <c r="Y58" s="213">
        <f>133906127+11880879</f>
        <v>145787006</v>
      </c>
      <c r="Z58" s="214">
        <v>146910816.78</v>
      </c>
      <c r="AA58" s="214">
        <v>148060644.41</v>
      </c>
      <c r="AB58" s="214">
        <v>149362506.66</v>
      </c>
      <c r="AC58" s="327">
        <v>150438277.75</v>
      </c>
      <c r="AD58" s="327">
        <v>151439161.15000001</v>
      </c>
      <c r="AE58" s="327">
        <v>152852221.5</v>
      </c>
      <c r="AF58" s="332">
        <v>154048510.12</v>
      </c>
      <c r="AG58" s="334">
        <v>155177773.40000001</v>
      </c>
      <c r="AH58" s="332">
        <v>155796589.63</v>
      </c>
      <c r="AI58" s="344">
        <v>156354276.61000001</v>
      </c>
      <c r="AJ58" s="344">
        <v>157971299.69</v>
      </c>
      <c r="AK58" s="334"/>
      <c r="AL58" s="359">
        <v>158920399</v>
      </c>
      <c r="AM58" s="332">
        <v>159933737.59</v>
      </c>
      <c r="AN58" s="344">
        <v>167421517.37</v>
      </c>
      <c r="AO58" s="344">
        <v>169424363.44999999</v>
      </c>
      <c r="AP58" s="344">
        <v>171461570.11000001</v>
      </c>
      <c r="AQ58" s="344">
        <v>174195494.91</v>
      </c>
      <c r="AR58" s="344">
        <v>175892023.72999999</v>
      </c>
      <c r="AS58" s="344">
        <v>177633796.25</v>
      </c>
      <c r="AT58" s="344">
        <v>179357820.16999999</v>
      </c>
      <c r="AU58" s="344">
        <v>181003405.94</v>
      </c>
      <c r="AV58" s="344">
        <v>182245871.84</v>
      </c>
      <c r="AW58" s="344">
        <v>184145545.81999999</v>
      </c>
      <c r="AX58" s="344">
        <v>186082159.02000001</v>
      </c>
      <c r="AY58" s="173">
        <v>186082159</v>
      </c>
      <c r="AZ58" s="332">
        <v>193330127.93000001</v>
      </c>
      <c r="BA58" s="344">
        <v>202493879.68000001</v>
      </c>
      <c r="BB58" s="344">
        <v>210456400.44999999</v>
      </c>
      <c r="BC58" s="344">
        <v>218630386.31</v>
      </c>
      <c r="BD58" s="332">
        <v>221912369.08000001</v>
      </c>
      <c r="BE58" s="332">
        <v>235462493.34</v>
      </c>
      <c r="BF58" s="451">
        <v>237653953.72</v>
      </c>
    </row>
    <row r="59" spans="1:58" ht="15">
      <c r="A59" s="193">
        <v>12</v>
      </c>
      <c r="B59" s="193" t="s">
        <v>61</v>
      </c>
      <c r="C59" s="204"/>
      <c r="D59" s="205"/>
      <c r="E59" s="230"/>
      <c r="F59" s="185"/>
      <c r="G59" s="207"/>
      <c r="H59" s="208"/>
      <c r="I59" s="209"/>
      <c r="J59" s="210">
        <v>0</v>
      </c>
      <c r="K59" s="210">
        <v>0</v>
      </c>
      <c r="L59" s="210">
        <v>0</v>
      </c>
      <c r="M59" s="211"/>
      <c r="N59" s="211"/>
      <c r="O59" s="211"/>
      <c r="P59" s="211"/>
      <c r="Q59" s="211"/>
      <c r="R59" s="211"/>
      <c r="S59" s="211"/>
      <c r="T59" s="211"/>
      <c r="U59" s="211"/>
      <c r="V59" s="211"/>
      <c r="W59" s="212"/>
      <c r="X59" s="212"/>
      <c r="Y59" s="213"/>
      <c r="Z59" s="214">
        <v>0</v>
      </c>
      <c r="AA59" s="214">
        <v>0</v>
      </c>
      <c r="AB59" s="214">
        <v>0</v>
      </c>
      <c r="AC59" s="327">
        <v>0</v>
      </c>
      <c r="AD59" s="327">
        <v>0</v>
      </c>
      <c r="AE59" s="327">
        <v>0</v>
      </c>
      <c r="AF59" s="333">
        <v>0</v>
      </c>
      <c r="AG59" s="333">
        <v>0</v>
      </c>
      <c r="AH59" s="333">
        <v>0</v>
      </c>
      <c r="AI59" s="345">
        <v>0</v>
      </c>
      <c r="AJ59" s="345">
        <v>0</v>
      </c>
      <c r="AK59" s="333"/>
      <c r="AL59" s="359"/>
      <c r="AM59" s="333">
        <v>0</v>
      </c>
      <c r="AN59" s="345">
        <v>0</v>
      </c>
      <c r="AO59" s="345">
        <v>0</v>
      </c>
      <c r="AP59" s="345">
        <v>0</v>
      </c>
      <c r="AQ59" s="345">
        <v>0</v>
      </c>
      <c r="AR59" s="345">
        <v>0</v>
      </c>
      <c r="AS59" s="345">
        <v>0</v>
      </c>
      <c r="AT59" s="345">
        <v>0</v>
      </c>
      <c r="AU59" s="345">
        <v>0</v>
      </c>
      <c r="AV59" s="345">
        <v>0</v>
      </c>
      <c r="AW59" s="345">
        <v>0</v>
      </c>
      <c r="AX59" s="343">
        <v>0</v>
      </c>
      <c r="AY59" s="173">
        <v>0</v>
      </c>
      <c r="AZ59" s="333">
        <v>0</v>
      </c>
      <c r="BA59" s="345">
        <v>0</v>
      </c>
      <c r="BB59" s="345">
        <v>0</v>
      </c>
      <c r="BC59" s="345">
        <v>0</v>
      </c>
      <c r="BD59" s="333">
        <v>0</v>
      </c>
      <c r="BE59" s="333">
        <v>0</v>
      </c>
      <c r="BF59" s="452">
        <v>0</v>
      </c>
    </row>
    <row r="60" spans="1:58">
      <c r="A60" s="193"/>
      <c r="B60" s="193"/>
      <c r="C60" s="204"/>
      <c r="D60" s="205"/>
      <c r="E60" s="215"/>
      <c r="F60" s="185"/>
      <c r="G60" s="207"/>
      <c r="H60" s="208"/>
      <c r="I60" s="216"/>
      <c r="J60" s="187"/>
      <c r="K60" s="187"/>
      <c r="L60" s="187"/>
      <c r="M60" s="217"/>
      <c r="N60" s="217"/>
      <c r="O60" s="217"/>
      <c r="P60" s="217"/>
      <c r="Q60" s="217"/>
      <c r="R60" s="217"/>
      <c r="S60" s="217"/>
      <c r="T60" s="217"/>
      <c r="U60" s="217"/>
      <c r="V60" s="217"/>
      <c r="W60" s="218"/>
      <c r="X60" s="218"/>
      <c r="Y60" s="219"/>
      <c r="Z60" s="187"/>
      <c r="AA60" s="187"/>
      <c r="AB60" s="187"/>
      <c r="AC60" s="187"/>
      <c r="AD60" s="187"/>
      <c r="AE60" s="187"/>
      <c r="AF60" s="187"/>
      <c r="AG60" s="187"/>
      <c r="AH60" s="187"/>
      <c r="AI60" s="187"/>
      <c r="AJ60" s="187"/>
      <c r="AK60" s="187"/>
      <c r="AL60" s="356"/>
      <c r="AM60" s="187"/>
      <c r="AN60" s="187"/>
      <c r="AO60" s="187"/>
      <c r="AP60" s="187"/>
      <c r="AQ60" s="187"/>
      <c r="AR60" s="187"/>
      <c r="AS60" s="187"/>
      <c r="AT60" s="187"/>
      <c r="AU60" s="187"/>
      <c r="AV60" s="187"/>
      <c r="AW60" s="187"/>
      <c r="AX60" s="187"/>
      <c r="AY60" s="173"/>
    </row>
    <row r="61" spans="1:58" ht="15.75">
      <c r="A61" s="193">
        <v>13</v>
      </c>
      <c r="B61" s="189" t="s">
        <v>62</v>
      </c>
      <c r="C61" s="194">
        <f>SUM(C62:C63)</f>
        <v>48170884</v>
      </c>
      <c r="D61" s="195">
        <f>SUM(D62:D63)</f>
        <v>84159745</v>
      </c>
      <c r="E61" s="238">
        <f t="shared" ref="E61:L61" si="63">E63+E62</f>
        <v>145851655</v>
      </c>
      <c r="F61" s="238">
        <f t="shared" si="63"/>
        <v>212095859</v>
      </c>
      <c r="G61" s="239">
        <f t="shared" si="63"/>
        <v>284016397</v>
      </c>
      <c r="H61" s="240">
        <f t="shared" si="63"/>
        <v>348834010</v>
      </c>
      <c r="I61" s="241">
        <f t="shared" si="63"/>
        <v>386711956</v>
      </c>
      <c r="J61" s="242">
        <f t="shared" si="63"/>
        <v>454008603.14999998</v>
      </c>
      <c r="K61" s="242">
        <f t="shared" si="63"/>
        <v>458165036.44</v>
      </c>
      <c r="L61" s="242">
        <f t="shared" si="63"/>
        <v>459937648.5</v>
      </c>
      <c r="M61" s="243">
        <f t="shared" ref="M61:R61" si="64">M63+M62</f>
        <v>458045751</v>
      </c>
      <c r="N61" s="243">
        <f t="shared" si="64"/>
        <v>463102231.08999997</v>
      </c>
      <c r="O61" s="243">
        <f t="shared" si="64"/>
        <v>466982839.88999999</v>
      </c>
      <c r="P61" s="243">
        <f t="shared" si="64"/>
        <v>486217240.38999999</v>
      </c>
      <c r="Q61" s="243">
        <f t="shared" si="64"/>
        <v>488999787</v>
      </c>
      <c r="R61" s="243">
        <f t="shared" si="64"/>
        <v>499234516.40999997</v>
      </c>
      <c r="S61" s="243">
        <f t="shared" ref="S61:AB61" si="65">S63+S62</f>
        <v>514145952.63999999</v>
      </c>
      <c r="T61" s="243">
        <f t="shared" si="65"/>
        <v>542465174.77999997</v>
      </c>
      <c r="U61" s="243">
        <f t="shared" si="65"/>
        <v>489232032.29000002</v>
      </c>
      <c r="V61" s="243">
        <f t="shared" si="65"/>
        <v>407228249</v>
      </c>
      <c r="W61" s="244">
        <f>W63+W62</f>
        <v>481788500</v>
      </c>
      <c r="X61" s="244">
        <f t="shared" si="65"/>
        <v>655048068.79999995</v>
      </c>
      <c r="Y61" s="245">
        <f t="shared" si="65"/>
        <v>618677813</v>
      </c>
      <c r="Z61" s="245">
        <f t="shared" si="65"/>
        <v>635128528.13999999</v>
      </c>
      <c r="AA61" s="245">
        <f t="shared" si="65"/>
        <v>639221872.38</v>
      </c>
      <c r="AB61" s="245">
        <f t="shared" si="65"/>
        <v>644778090.11000001</v>
      </c>
      <c r="AC61" s="245">
        <f>AC63+AC62</f>
        <v>675603110.19000006</v>
      </c>
      <c r="AD61" s="245">
        <f>AD63+AD62</f>
        <v>680712583.45000005</v>
      </c>
      <c r="AE61" s="245">
        <f>AE63+AE62</f>
        <v>689188711.57000005</v>
      </c>
      <c r="AF61" s="245">
        <f t="shared" ref="AF61:AG61" si="66">AF63+AF62</f>
        <v>696421072.92000008</v>
      </c>
      <c r="AG61" s="245">
        <f t="shared" si="66"/>
        <v>701800595.58000004</v>
      </c>
      <c r="AH61" s="245">
        <f t="shared" ref="AH61:AK61" si="67">AH63+AH62</f>
        <v>701380888.42000008</v>
      </c>
      <c r="AI61" s="245">
        <f t="shared" si="67"/>
        <v>724658943.22000003</v>
      </c>
      <c r="AJ61" s="245">
        <f t="shared" si="67"/>
        <v>744938540.93000007</v>
      </c>
      <c r="AK61" s="245">
        <f t="shared" si="67"/>
        <v>0</v>
      </c>
      <c r="AL61" s="245">
        <f t="shared" ref="AL61:AM61" si="68">AL63+AL62</f>
        <v>736728900</v>
      </c>
      <c r="AM61" s="245">
        <f t="shared" si="68"/>
        <v>738820869.05999994</v>
      </c>
      <c r="AN61" s="245">
        <f t="shared" ref="AN61:BF61" si="69">AN63+AN62</f>
        <v>746145619.52999997</v>
      </c>
      <c r="AO61" s="245">
        <f t="shared" si="69"/>
        <v>751243560.98000002</v>
      </c>
      <c r="AP61" s="245">
        <f t="shared" si="69"/>
        <v>774086598.10000002</v>
      </c>
      <c r="AQ61" s="245">
        <f t="shared" si="69"/>
        <v>783811587.42999995</v>
      </c>
      <c r="AR61" s="245">
        <f t="shared" si="69"/>
        <v>802611105.61000001</v>
      </c>
      <c r="AS61" s="245">
        <f t="shared" si="69"/>
        <v>792980344.46000004</v>
      </c>
      <c r="AT61" s="245">
        <f t="shared" si="69"/>
        <v>792016105.46000004</v>
      </c>
      <c r="AU61" s="245">
        <f t="shared" si="69"/>
        <v>789522635.67999995</v>
      </c>
      <c r="AV61" s="245">
        <f t="shared" si="69"/>
        <v>797266720.05999994</v>
      </c>
      <c r="AW61" s="245">
        <f t="shared" si="69"/>
        <v>793596933.14999998</v>
      </c>
      <c r="AX61" s="245">
        <f t="shared" si="69"/>
        <v>819517612.37</v>
      </c>
      <c r="AY61" s="245">
        <f t="shared" si="69"/>
        <v>799856853</v>
      </c>
      <c r="AZ61" s="245">
        <f t="shared" si="69"/>
        <v>778245105.87</v>
      </c>
      <c r="BA61" s="245">
        <f t="shared" si="69"/>
        <v>780884277.78999996</v>
      </c>
      <c r="BB61" s="245">
        <f t="shared" si="69"/>
        <v>775695244.50999999</v>
      </c>
      <c r="BC61" s="245">
        <f t="shared" si="69"/>
        <v>782377491.5999999</v>
      </c>
      <c r="BD61" s="245">
        <f t="shared" si="69"/>
        <v>788354417.63</v>
      </c>
      <c r="BE61" s="245">
        <f t="shared" si="69"/>
        <v>801267699.57999992</v>
      </c>
      <c r="BF61" s="245">
        <f t="shared" si="69"/>
        <v>820466925.13</v>
      </c>
    </row>
    <row r="62" spans="1:58" ht="15">
      <c r="A62" s="193">
        <v>13.1</v>
      </c>
      <c r="B62" s="193" t="s">
        <v>63</v>
      </c>
      <c r="C62" s="204">
        <v>48170884</v>
      </c>
      <c r="D62" s="205">
        <v>49502968</v>
      </c>
      <c r="E62" s="206">
        <v>84159745</v>
      </c>
      <c r="F62" s="185">
        <f>'[1]10,11,12,13'!$I$212</f>
        <v>145851655</v>
      </c>
      <c r="G62" s="207">
        <v>212095859</v>
      </c>
      <c r="H62" s="208">
        <v>284016397</v>
      </c>
      <c r="I62" s="209">
        <v>348834011</v>
      </c>
      <c r="J62" s="210">
        <v>436712250.31999999</v>
      </c>
      <c r="K62" s="210">
        <v>441590357.38999999</v>
      </c>
      <c r="L62" s="210">
        <v>441590357.38999999</v>
      </c>
      <c r="M62" s="211">
        <v>433290731.38999999</v>
      </c>
      <c r="N62" s="211">
        <v>433290731.38999999</v>
      </c>
      <c r="O62" s="211">
        <v>431490731.38999999</v>
      </c>
      <c r="P62" s="211">
        <v>435243106.38999999</v>
      </c>
      <c r="Q62" s="211">
        <v>435243106.38999999</v>
      </c>
      <c r="R62" s="211">
        <v>441590357.38999999</v>
      </c>
      <c r="S62" s="211">
        <v>441590357.38999999</v>
      </c>
      <c r="T62" s="211">
        <v>441590357.38999999</v>
      </c>
      <c r="U62" s="211">
        <v>386711955</v>
      </c>
      <c r="V62" s="211">
        <v>386711955</v>
      </c>
      <c r="W62" s="212">
        <v>445955845</v>
      </c>
      <c r="X62" s="212">
        <v>481788500.80000001</v>
      </c>
      <c r="Y62" s="213">
        <f>(481788500-3115764)</f>
        <v>478672736</v>
      </c>
      <c r="Z62" s="214">
        <v>618679374.08000004</v>
      </c>
      <c r="AA62" s="214">
        <v>618679374.08000004</v>
      </c>
      <c r="AB62" s="214">
        <v>618679374.08000004</v>
      </c>
      <c r="AC62" s="327">
        <v>618679374.08000004</v>
      </c>
      <c r="AD62" s="327">
        <v>618679374.08000004</v>
      </c>
      <c r="AE62" s="327">
        <v>618679374.08000004</v>
      </c>
      <c r="AF62" s="332">
        <v>618679374.08000004</v>
      </c>
      <c r="AG62" s="334">
        <v>618679374.08000004</v>
      </c>
      <c r="AH62" s="332">
        <v>618679374.08000004</v>
      </c>
      <c r="AI62" s="344">
        <v>618679374.08000004</v>
      </c>
      <c r="AJ62" s="344">
        <v>618679374.08000004</v>
      </c>
      <c r="AK62" s="334"/>
      <c r="AL62" s="359">
        <f>618677814-2027443</f>
        <v>616650371</v>
      </c>
      <c r="AM62" s="332">
        <v>736728899.76999998</v>
      </c>
      <c r="AN62" s="344">
        <v>736728899.76999998</v>
      </c>
      <c r="AO62" s="344">
        <v>736728899.76999998</v>
      </c>
      <c r="AP62" s="344">
        <v>736728899.76999998</v>
      </c>
      <c r="AQ62" s="344">
        <v>736728899.76999998</v>
      </c>
      <c r="AR62" s="344">
        <v>736728899.76999998</v>
      </c>
      <c r="AS62" s="344">
        <v>736728899.76999998</v>
      </c>
      <c r="AT62" s="344">
        <v>736728899.76999998</v>
      </c>
      <c r="AU62" s="344">
        <v>736728899.76999998</v>
      </c>
      <c r="AV62" s="344">
        <v>736728899.76999998</v>
      </c>
      <c r="AW62" s="344">
        <v>736728899.76999998</v>
      </c>
      <c r="AX62" s="344">
        <v>736728899.76999998</v>
      </c>
      <c r="AY62" s="173">
        <v>736728899</v>
      </c>
      <c r="AZ62" s="332">
        <v>763729665.78999996</v>
      </c>
      <c r="BA62" s="344">
        <v>763729665.78999996</v>
      </c>
      <c r="BB62" s="344">
        <v>763729665.78999996</v>
      </c>
      <c r="BC62" s="344">
        <v>763729665.78999996</v>
      </c>
      <c r="BD62" s="332">
        <v>763729665.78999996</v>
      </c>
      <c r="BE62" s="332">
        <v>763729665.78999996</v>
      </c>
      <c r="BF62" s="451">
        <v>763729665.78999996</v>
      </c>
    </row>
    <row r="63" spans="1:58" ht="15">
      <c r="A63" s="193">
        <v>13.2</v>
      </c>
      <c r="B63" s="193" t="s">
        <v>64</v>
      </c>
      <c r="C63" s="204"/>
      <c r="D63" s="205">
        <f>48070971-9614194-3800000</f>
        <v>34656777</v>
      </c>
      <c r="E63" s="206">
        <f>145851655-E62</f>
        <v>61691910</v>
      </c>
      <c r="F63" s="185">
        <f>'[1]10,11,12,13'!$G$212-'[1]10,11,12,13'!$I$212</f>
        <v>66244204</v>
      </c>
      <c r="G63" s="207">
        <f>-1878074+96648150-20207644-2641894</f>
        <v>71920538</v>
      </c>
      <c r="H63" s="208">
        <f>348834010-284016397</f>
        <v>64817613</v>
      </c>
      <c r="I63" s="209">
        <f>-70184+114935161-50000000-22987032-4000000</f>
        <v>37877945</v>
      </c>
      <c r="J63" s="210">
        <v>17296352.829999998</v>
      </c>
      <c r="K63" s="210">
        <v>16574679.050000001</v>
      </c>
      <c r="L63" s="210">
        <v>18347291.109999999</v>
      </c>
      <c r="M63" s="211">
        <v>24755019.609999999</v>
      </c>
      <c r="N63" s="211">
        <v>29811499.699999999</v>
      </c>
      <c r="O63" s="211">
        <v>35492108.5</v>
      </c>
      <c r="P63" s="211">
        <v>50974134</v>
      </c>
      <c r="Q63" s="211">
        <v>53756680.609999999</v>
      </c>
      <c r="R63" s="211">
        <v>57644159.020000003</v>
      </c>
      <c r="S63" s="211">
        <v>72555595.25</v>
      </c>
      <c r="T63" s="211">
        <v>100874817.39</v>
      </c>
      <c r="U63" s="211">
        <v>102520077.29000001</v>
      </c>
      <c r="V63" s="211">
        <f>-10099768+109520077-50000000-21904015-7000000</f>
        <v>20516294</v>
      </c>
      <c r="W63" s="212">
        <f>44750558+32209-8950112</f>
        <v>35832655</v>
      </c>
      <c r="X63" s="212">
        <v>173259568</v>
      </c>
      <c r="Y63" s="213">
        <f>173259568+1397423-(34651914)</f>
        <v>140005077</v>
      </c>
      <c r="Z63" s="214">
        <v>16449154.060000001</v>
      </c>
      <c r="AA63" s="214">
        <v>20542498.300000001</v>
      </c>
      <c r="AB63" s="214">
        <v>26098716.030000001</v>
      </c>
      <c r="AC63" s="327">
        <v>56923736.109999999</v>
      </c>
      <c r="AD63" s="327">
        <v>62033209.369999997</v>
      </c>
      <c r="AE63" s="327">
        <v>70509337.489999995</v>
      </c>
      <c r="AF63" s="334">
        <v>77741698.840000004</v>
      </c>
      <c r="AG63" s="334">
        <v>83121221.5</v>
      </c>
      <c r="AH63" s="334">
        <v>82701514.340000004</v>
      </c>
      <c r="AI63" s="346">
        <v>105979569.14</v>
      </c>
      <c r="AJ63" s="346">
        <v>126259166.84999999</v>
      </c>
      <c r="AK63" s="334"/>
      <c r="AL63" s="359">
        <f>184556497-566669-27000000-36911299</f>
        <v>120078529</v>
      </c>
      <c r="AM63" s="334">
        <v>2091969.29</v>
      </c>
      <c r="AN63" s="346">
        <v>9416719.7599999998</v>
      </c>
      <c r="AO63" s="346">
        <v>14514661.210000001</v>
      </c>
      <c r="AP63" s="346">
        <v>37357698.329999998</v>
      </c>
      <c r="AQ63" s="346">
        <v>47082687.659999996</v>
      </c>
      <c r="AR63" s="346">
        <v>65882205.840000004</v>
      </c>
      <c r="AS63" s="346">
        <v>56251444.689999998</v>
      </c>
      <c r="AT63" s="346">
        <v>55287205.689999998</v>
      </c>
      <c r="AU63" s="346">
        <v>52793735.909999996</v>
      </c>
      <c r="AV63" s="346">
        <v>60537820.289999999</v>
      </c>
      <c r="AW63" s="346">
        <v>56868033.380000003</v>
      </c>
      <c r="AX63" s="344">
        <v>82788712.599999994</v>
      </c>
      <c r="AY63" s="173">
        <v>63127954</v>
      </c>
      <c r="AZ63" s="334">
        <v>14515440.08</v>
      </c>
      <c r="BA63" s="346">
        <v>17154612</v>
      </c>
      <c r="BB63" s="346">
        <v>11965578.720000001</v>
      </c>
      <c r="BC63" s="346">
        <v>18647825.809999999</v>
      </c>
      <c r="BD63" s="334">
        <v>24624751.84</v>
      </c>
      <c r="BE63" s="334">
        <v>37538033.789999999</v>
      </c>
      <c r="BF63" s="453">
        <v>56737259.340000004</v>
      </c>
    </row>
    <row r="64" spans="1:58">
      <c r="A64" s="193"/>
      <c r="B64" s="193"/>
      <c r="C64" s="204"/>
      <c r="D64" s="205"/>
      <c r="E64" s="215"/>
      <c r="F64" s="185"/>
      <c r="G64" s="207"/>
      <c r="H64" s="208"/>
      <c r="I64" s="216"/>
      <c r="J64" s="187"/>
      <c r="K64" s="187"/>
      <c r="L64" s="187"/>
      <c r="M64" s="217"/>
      <c r="N64" s="217"/>
      <c r="O64" s="217"/>
      <c r="P64" s="217"/>
      <c r="Q64" s="217"/>
      <c r="R64" s="217"/>
      <c r="S64" s="217"/>
      <c r="T64" s="217"/>
      <c r="U64" s="217"/>
      <c r="V64" s="217"/>
      <c r="W64" s="218"/>
      <c r="X64" s="218"/>
      <c r="Y64" s="219"/>
      <c r="Z64" s="187"/>
      <c r="AA64" s="187"/>
      <c r="AB64" s="187"/>
      <c r="AC64" s="187"/>
      <c r="AD64" s="187"/>
      <c r="AE64" s="187"/>
      <c r="AF64" s="187"/>
      <c r="AG64" s="187"/>
      <c r="AH64" s="187"/>
      <c r="AI64" s="187"/>
      <c r="AJ64" s="187"/>
      <c r="AK64" s="187"/>
      <c r="AL64" s="356"/>
      <c r="AM64" s="187"/>
      <c r="AN64" s="187"/>
      <c r="AO64" s="187"/>
      <c r="AP64" s="187"/>
      <c r="AQ64" s="187"/>
      <c r="AR64" s="187"/>
      <c r="AS64" s="187"/>
      <c r="AT64" s="187"/>
      <c r="AU64" s="187"/>
      <c r="AV64" s="187"/>
      <c r="AW64" s="187"/>
      <c r="AX64" s="187"/>
      <c r="AY64" s="173"/>
    </row>
    <row r="65" spans="1:58" ht="15.75">
      <c r="A65" s="193">
        <v>14</v>
      </c>
      <c r="B65" s="189" t="s">
        <v>65</v>
      </c>
      <c r="C65" s="194">
        <f>SUM(C66:C67)</f>
        <v>27480589</v>
      </c>
      <c r="D65" s="195">
        <f>SUM(D66:D67)</f>
        <v>37313386</v>
      </c>
      <c r="E65" s="238">
        <f t="shared" ref="E65:L65" si="70">SUM(E66:E70)</f>
        <v>57590822</v>
      </c>
      <c r="F65" s="238">
        <f t="shared" si="70"/>
        <v>79676470</v>
      </c>
      <c r="G65" s="239">
        <f t="shared" si="70"/>
        <v>100410154</v>
      </c>
      <c r="H65" s="240">
        <f t="shared" si="70"/>
        <v>116902515</v>
      </c>
      <c r="I65" s="241">
        <f t="shared" si="70"/>
        <v>189123526</v>
      </c>
      <c r="J65" s="242">
        <f t="shared" si="70"/>
        <v>138531375.78</v>
      </c>
      <c r="K65" s="242">
        <f t="shared" si="70"/>
        <v>139538208.72</v>
      </c>
      <c r="L65" s="242">
        <f t="shared" si="70"/>
        <v>139166058.72</v>
      </c>
      <c r="M65" s="243">
        <f t="shared" ref="M65:R65" si="71">SUM(M66:M70)</f>
        <v>138955803.72</v>
      </c>
      <c r="N65" s="243">
        <f t="shared" si="71"/>
        <v>138896963.72</v>
      </c>
      <c r="O65" s="243">
        <f t="shared" si="71"/>
        <v>138741437.03999999</v>
      </c>
      <c r="P65" s="243">
        <f t="shared" si="71"/>
        <v>138663497.03999999</v>
      </c>
      <c r="Q65" s="243">
        <f t="shared" si="71"/>
        <v>138351937.28</v>
      </c>
      <c r="R65" s="243">
        <f t="shared" si="71"/>
        <v>131748546.28</v>
      </c>
      <c r="S65" s="243">
        <f t="shared" ref="S65:AB65" si="72">SUM(S66:S70)</f>
        <v>132438801.49000001</v>
      </c>
      <c r="T65" s="243">
        <f t="shared" si="72"/>
        <v>132198141.49000001</v>
      </c>
      <c r="U65" s="243">
        <f t="shared" si="72"/>
        <v>184247636.87</v>
      </c>
      <c r="V65" s="243">
        <f t="shared" si="72"/>
        <v>266251419</v>
      </c>
      <c r="W65" s="244">
        <f>SUM(W66:W70)</f>
        <v>355719571</v>
      </c>
      <c r="X65" s="244">
        <f t="shared" si="72"/>
        <v>354056218.65999997</v>
      </c>
      <c r="Y65" s="245">
        <f t="shared" si="72"/>
        <v>391823896</v>
      </c>
      <c r="Z65" s="245">
        <f t="shared" si="72"/>
        <v>390286388.17999995</v>
      </c>
      <c r="AA65" s="245">
        <f t="shared" si="72"/>
        <v>389991696.72000003</v>
      </c>
      <c r="AB65" s="245">
        <f t="shared" si="72"/>
        <v>389754513.38999999</v>
      </c>
      <c r="AC65" s="245">
        <f>SUM(AC66:AC70)</f>
        <v>389332798.38999999</v>
      </c>
      <c r="AD65" s="245">
        <f>SUM(AD66:AD70)</f>
        <v>389182798.38999999</v>
      </c>
      <c r="AE65" s="245">
        <f>SUM(AE66:AE70)</f>
        <v>388957798.38999999</v>
      </c>
      <c r="AF65" s="245">
        <f t="shared" ref="AF65:AG65" si="73">SUM(AF66:AF70)</f>
        <v>388611436.38999999</v>
      </c>
      <c r="AG65" s="245">
        <f t="shared" si="73"/>
        <v>388247836.38999999</v>
      </c>
      <c r="AH65" s="245">
        <f t="shared" ref="AH65:AK65" si="74">SUM(AH66:AH70)</f>
        <v>387954315.38999999</v>
      </c>
      <c r="AI65" s="245">
        <f t="shared" si="74"/>
        <v>391033192.65999997</v>
      </c>
      <c r="AJ65" s="245">
        <f t="shared" si="74"/>
        <v>390845292.45999998</v>
      </c>
      <c r="AK65" s="245">
        <f t="shared" si="74"/>
        <v>0</v>
      </c>
      <c r="AL65" s="245">
        <f t="shared" ref="AL65:AM65" si="75">SUM(AL66:AL70)</f>
        <v>439217347</v>
      </c>
      <c r="AM65" s="245">
        <f t="shared" si="75"/>
        <v>453807195.39999998</v>
      </c>
      <c r="AN65" s="245">
        <f t="shared" ref="AN65:BF65" si="76">SUM(AN66:AN70)</f>
        <v>453639439.79999995</v>
      </c>
      <c r="AO65" s="245">
        <f t="shared" si="76"/>
        <v>450389980</v>
      </c>
      <c r="AP65" s="245">
        <f t="shared" si="76"/>
        <v>448253980</v>
      </c>
      <c r="AQ65" s="245">
        <f t="shared" si="76"/>
        <v>447775837.10000002</v>
      </c>
      <c r="AR65" s="245">
        <f t="shared" si="76"/>
        <v>445611337.10000002</v>
      </c>
      <c r="AS65" s="245">
        <f t="shared" si="76"/>
        <v>441803235.31999999</v>
      </c>
      <c r="AT65" s="245">
        <f t="shared" si="76"/>
        <v>441463235.31999999</v>
      </c>
      <c r="AU65" s="245">
        <f t="shared" si="76"/>
        <v>441197648.22000003</v>
      </c>
      <c r="AV65" s="245">
        <f t="shared" si="76"/>
        <v>441033148.22000003</v>
      </c>
      <c r="AW65" s="245">
        <f t="shared" si="76"/>
        <v>440920006.81999999</v>
      </c>
      <c r="AX65" s="245">
        <f t="shared" si="76"/>
        <v>510811527.23000002</v>
      </c>
      <c r="AY65" s="245">
        <f t="shared" si="76"/>
        <v>530472289</v>
      </c>
      <c r="AZ65" s="245">
        <f t="shared" si="76"/>
        <v>570147939.10000002</v>
      </c>
      <c r="BA65" s="245">
        <f t="shared" si="76"/>
        <v>556578297.4000001</v>
      </c>
      <c r="BB65" s="245">
        <f t="shared" si="76"/>
        <v>555263782.78999996</v>
      </c>
      <c r="BC65" s="245">
        <f t="shared" si="76"/>
        <v>553406885.28999996</v>
      </c>
      <c r="BD65" s="245">
        <f t="shared" si="76"/>
        <v>553559485.28999996</v>
      </c>
      <c r="BE65" s="245">
        <f t="shared" si="76"/>
        <v>552442364.43000007</v>
      </c>
      <c r="BF65" s="245">
        <f t="shared" si="76"/>
        <v>552126081.13</v>
      </c>
    </row>
    <row r="66" spans="1:58" ht="15">
      <c r="A66" s="193"/>
      <c r="B66" s="193" t="s">
        <v>66</v>
      </c>
      <c r="C66" s="204">
        <v>22297880</v>
      </c>
      <c r="D66" s="205">
        <v>31912074</v>
      </c>
      <c r="E66" s="206">
        <v>48489144</v>
      </c>
      <c r="F66" s="185">
        <f>SUM('[1]10,11,12,13'!$G$215:$G$216)</f>
        <v>66444985</v>
      </c>
      <c r="G66" s="207">
        <v>86652629</v>
      </c>
      <c r="H66" s="208">
        <f>86652629+16492384</f>
        <v>103145013</v>
      </c>
      <c r="I66" s="209">
        <v>126132045</v>
      </c>
      <c r="J66" s="210">
        <v>126132045.17</v>
      </c>
      <c r="K66" s="210">
        <v>126132045.17</v>
      </c>
      <c r="L66" s="210">
        <v>126132045.17</v>
      </c>
      <c r="M66" s="211">
        <v>126132045.17</v>
      </c>
      <c r="N66" s="211">
        <v>126132045.17</v>
      </c>
      <c r="O66" s="211">
        <v>126132045.17</v>
      </c>
      <c r="P66" s="211">
        <v>126132045.17</v>
      </c>
      <c r="Q66" s="211">
        <v>126132045.17</v>
      </c>
      <c r="R66" s="211">
        <v>126132045.17</v>
      </c>
      <c r="S66" s="211">
        <v>126132045.17</v>
      </c>
      <c r="T66" s="211">
        <v>126132045.17</v>
      </c>
      <c r="U66" s="211">
        <v>126132045.17</v>
      </c>
      <c r="V66" s="211">
        <f>126132045+21904015</f>
        <v>148036060</v>
      </c>
      <c r="W66" s="212">
        <v>180400622</v>
      </c>
      <c r="X66" s="212">
        <v>180400622.16999999</v>
      </c>
      <c r="Y66" s="213">
        <f>180400622+34651914</f>
        <v>215052536</v>
      </c>
      <c r="Z66" s="214">
        <v>215052536.16999999</v>
      </c>
      <c r="AA66" s="214">
        <v>215052536.16999999</v>
      </c>
      <c r="AB66" s="214">
        <v>215052536.16999999</v>
      </c>
      <c r="AC66" s="327">
        <v>215052536.16999999</v>
      </c>
      <c r="AD66" s="327">
        <v>215052536.16999999</v>
      </c>
      <c r="AE66" s="327">
        <v>215052536.16999999</v>
      </c>
      <c r="AF66" s="332">
        <v>215052536.16999999</v>
      </c>
      <c r="AG66" s="334">
        <v>215052536.16999999</v>
      </c>
      <c r="AH66" s="332">
        <v>215052536.16999999</v>
      </c>
      <c r="AI66" s="344">
        <v>215052536.16999999</v>
      </c>
      <c r="AJ66" s="344">
        <v>215052536.16999999</v>
      </c>
      <c r="AK66" s="334"/>
      <c r="AL66" s="359">
        <v>251963835</v>
      </c>
      <c r="AM66" s="332">
        <v>251963835.16999999</v>
      </c>
      <c r="AN66" s="344">
        <v>251963835.16999999</v>
      </c>
      <c r="AO66" s="344">
        <v>251963835.16999999</v>
      </c>
      <c r="AP66" s="344">
        <v>251963835.16999999</v>
      </c>
      <c r="AQ66" s="344">
        <v>251963835.16999999</v>
      </c>
      <c r="AR66" s="344">
        <v>251963835.16999999</v>
      </c>
      <c r="AS66" s="344">
        <v>251963835.16999999</v>
      </c>
      <c r="AT66" s="344">
        <v>251963835.16999999</v>
      </c>
      <c r="AU66" s="344">
        <v>251963835.16999999</v>
      </c>
      <c r="AV66" s="344">
        <v>251963835.16999999</v>
      </c>
      <c r="AW66" s="344">
        <v>251963835.16999999</v>
      </c>
      <c r="AX66" s="344">
        <v>251963835.16999999</v>
      </c>
      <c r="AY66" s="173">
        <v>268521578</v>
      </c>
      <c r="AZ66" s="332">
        <v>274154923.17000002</v>
      </c>
      <c r="BA66" s="344">
        <v>274154923.17000002</v>
      </c>
      <c r="BB66" s="344">
        <v>274154923.17000002</v>
      </c>
      <c r="BC66" s="344">
        <v>274154923.17000002</v>
      </c>
      <c r="BD66" s="332">
        <v>274154923.17000002</v>
      </c>
      <c r="BE66" s="332">
        <v>274154923.17000002</v>
      </c>
      <c r="BF66" s="451">
        <v>274154923.17000002</v>
      </c>
    </row>
    <row r="67" spans="1:58" ht="15">
      <c r="A67" s="193"/>
      <c r="B67" s="193" t="s">
        <v>67</v>
      </c>
      <c r="C67" s="204">
        <f>1332084+3850625</f>
        <v>5182709</v>
      </c>
      <c r="D67" s="205">
        <v>5401312</v>
      </c>
      <c r="E67" s="230">
        <v>9101678</v>
      </c>
      <c r="F67" s="185">
        <f>SUM('[1]10,11,12,13'!$G$219:$G$220)</f>
        <v>13231485</v>
      </c>
      <c r="G67" s="207">
        <v>13757525</v>
      </c>
      <c r="H67" s="208">
        <f>13757525-23</f>
        <v>13757502</v>
      </c>
      <c r="I67" s="209">
        <v>62991481</v>
      </c>
      <c r="J67" s="210">
        <v>12399330.609999999</v>
      </c>
      <c r="K67" s="210">
        <v>13406163.550000001</v>
      </c>
      <c r="L67" s="210">
        <v>13034013.550000001</v>
      </c>
      <c r="M67" s="211">
        <v>12823758.550000001</v>
      </c>
      <c r="N67" s="211">
        <v>12764918.550000001</v>
      </c>
      <c r="O67" s="211">
        <v>12609391.869999999</v>
      </c>
      <c r="P67" s="211">
        <v>12531451.869999999</v>
      </c>
      <c r="Q67" s="211">
        <v>12219892.109999999</v>
      </c>
      <c r="R67" s="211">
        <v>5616501.1100000003</v>
      </c>
      <c r="S67" s="211">
        <v>6306756.3200000003</v>
      </c>
      <c r="T67" s="211">
        <v>6066096.3200000003</v>
      </c>
      <c r="U67" s="211">
        <v>58115591.700000003</v>
      </c>
      <c r="V67" s="211">
        <f>62991481+2888920+268474+50000000+2066484</f>
        <v>118215359</v>
      </c>
      <c r="W67" s="212">
        <f>160253512+15065437</f>
        <v>175318949</v>
      </c>
      <c r="X67" s="212">
        <v>173655596.49000001</v>
      </c>
      <c r="Y67" s="213">
        <f>160253512+(15065437+1452411)</f>
        <v>176771360</v>
      </c>
      <c r="Z67" s="214">
        <v>175233852.00999999</v>
      </c>
      <c r="AA67" s="214">
        <v>174939160.55000001</v>
      </c>
      <c r="AB67" s="214">
        <v>174701977.22</v>
      </c>
      <c r="AC67" s="327">
        <v>174280262.22</v>
      </c>
      <c r="AD67" s="327">
        <v>174130262.22</v>
      </c>
      <c r="AE67" s="327">
        <v>173905262.22</v>
      </c>
      <c r="AF67" s="334">
        <v>173558900.22</v>
      </c>
      <c r="AG67" s="334">
        <v>173195300.22</v>
      </c>
      <c r="AH67" s="334">
        <v>172901779.22</v>
      </c>
      <c r="AI67" s="346">
        <v>175980656.49000001</v>
      </c>
      <c r="AJ67" s="346">
        <v>175792756.28999999</v>
      </c>
      <c r="AK67" s="334"/>
      <c r="AL67" s="359">
        <v>187253512</v>
      </c>
      <c r="AM67" s="334">
        <v>201843360.22999999</v>
      </c>
      <c r="AN67" s="346">
        <v>201675604.63</v>
      </c>
      <c r="AO67" s="346">
        <v>198426144.83000001</v>
      </c>
      <c r="AP67" s="346">
        <v>196290144.83000001</v>
      </c>
      <c r="AQ67" s="346">
        <v>195812001.93000001</v>
      </c>
      <c r="AR67" s="346">
        <v>193647501.93000001</v>
      </c>
      <c r="AS67" s="346">
        <v>189839400.15000001</v>
      </c>
      <c r="AT67" s="346">
        <v>189499400.15000001</v>
      </c>
      <c r="AU67" s="346">
        <v>189233813.05000001</v>
      </c>
      <c r="AV67" s="346">
        <v>189069313.05000001</v>
      </c>
      <c r="AW67" s="346">
        <v>188956171.65000001</v>
      </c>
      <c r="AX67" s="344">
        <v>258847692.06</v>
      </c>
      <c r="AY67" s="173">
        <f>18769926+187253512</f>
        <v>206023438</v>
      </c>
      <c r="AZ67" s="334">
        <v>295993015.93000001</v>
      </c>
      <c r="BA67" s="346">
        <v>282423374.23000002</v>
      </c>
      <c r="BB67" s="346">
        <v>281108859.62</v>
      </c>
      <c r="BC67" s="346">
        <v>279251962.12</v>
      </c>
      <c r="BD67" s="334">
        <v>279404562.12</v>
      </c>
      <c r="BE67" s="334">
        <v>278287441.25999999</v>
      </c>
      <c r="BF67" s="453">
        <v>277971157.95999998</v>
      </c>
    </row>
    <row r="68" spans="1:58" ht="15">
      <c r="A68" s="193"/>
      <c r="B68" s="193" t="s">
        <v>68</v>
      </c>
      <c r="C68" s="204"/>
      <c r="D68" s="205"/>
      <c r="E68" s="230"/>
      <c r="F68" s="185"/>
      <c r="G68" s="207"/>
      <c r="H68" s="208"/>
      <c r="I68" s="209"/>
      <c r="J68" s="210">
        <v>0</v>
      </c>
      <c r="K68" s="210">
        <v>0</v>
      </c>
      <c r="L68" s="210">
        <v>0</v>
      </c>
      <c r="M68" s="211"/>
      <c r="N68" s="211"/>
      <c r="O68" s="211"/>
      <c r="P68" s="211"/>
      <c r="Q68" s="211"/>
      <c r="R68" s="211"/>
      <c r="S68" s="211"/>
      <c r="T68" s="211"/>
      <c r="U68" s="211"/>
      <c r="V68" s="211"/>
      <c r="W68" s="212"/>
      <c r="X68" s="212"/>
      <c r="Y68" s="213"/>
      <c r="Z68" s="214">
        <v>0</v>
      </c>
      <c r="AA68" s="214">
        <v>0</v>
      </c>
      <c r="AB68" s="214">
        <v>0</v>
      </c>
      <c r="AC68" s="327">
        <v>0</v>
      </c>
      <c r="AD68" s="327">
        <v>0</v>
      </c>
      <c r="AE68" s="327">
        <v>0</v>
      </c>
      <c r="AF68" s="333">
        <v>0</v>
      </c>
      <c r="AG68" s="327"/>
      <c r="AH68" s="327"/>
      <c r="AI68" s="327"/>
      <c r="AJ68" s="327"/>
      <c r="AK68" s="327"/>
      <c r="AL68" s="361"/>
      <c r="AM68" s="333">
        <v>0</v>
      </c>
      <c r="AN68" s="345">
        <v>0</v>
      </c>
      <c r="AO68" s="345">
        <v>0</v>
      </c>
      <c r="AP68" s="345">
        <v>0</v>
      </c>
      <c r="AQ68" s="345">
        <v>0</v>
      </c>
      <c r="AR68" s="345">
        <v>0</v>
      </c>
      <c r="AS68" s="345">
        <v>0</v>
      </c>
      <c r="AT68" s="345">
        <v>0</v>
      </c>
      <c r="AU68" s="345">
        <v>0</v>
      </c>
      <c r="AV68" s="345">
        <v>0</v>
      </c>
      <c r="AW68" s="345">
        <v>0</v>
      </c>
      <c r="AX68" s="343">
        <v>0</v>
      </c>
      <c r="AY68" s="173">
        <v>55927273</v>
      </c>
      <c r="AZ68" s="333">
        <v>0</v>
      </c>
      <c r="BA68" s="345">
        <v>0</v>
      </c>
      <c r="BB68" s="345">
        <v>0</v>
      </c>
      <c r="BC68" s="345">
        <v>0</v>
      </c>
      <c r="BD68" s="333">
        <v>0</v>
      </c>
      <c r="BE68" s="333">
        <v>0</v>
      </c>
      <c r="BF68" s="452">
        <v>0</v>
      </c>
    </row>
    <row r="69" spans="1:58" ht="15">
      <c r="A69" s="193"/>
      <c r="B69" s="193" t="s">
        <v>69</v>
      </c>
      <c r="C69" s="204"/>
      <c r="D69" s="205"/>
      <c r="E69" s="230"/>
      <c r="F69" s="185"/>
      <c r="G69" s="207"/>
      <c r="H69" s="208"/>
      <c r="I69" s="246"/>
      <c r="J69" s="247">
        <v>0</v>
      </c>
      <c r="K69" s="247">
        <v>0</v>
      </c>
      <c r="L69" s="247">
        <v>0</v>
      </c>
      <c r="M69" s="211"/>
      <c r="N69" s="211"/>
      <c r="O69" s="211"/>
      <c r="P69" s="211"/>
      <c r="Q69" s="211"/>
      <c r="R69" s="211"/>
      <c r="S69" s="211"/>
      <c r="T69" s="211"/>
      <c r="U69" s="211"/>
      <c r="V69" s="211"/>
      <c r="W69" s="212"/>
      <c r="X69" s="212"/>
      <c r="Y69" s="213"/>
      <c r="Z69" s="248">
        <v>0</v>
      </c>
      <c r="AA69" s="248">
        <v>0</v>
      </c>
      <c r="AB69" s="248">
        <v>0</v>
      </c>
      <c r="AC69" s="328">
        <v>0</v>
      </c>
      <c r="AD69" s="328">
        <v>0</v>
      </c>
      <c r="AE69" s="328">
        <v>0</v>
      </c>
      <c r="AF69" s="333">
        <v>0</v>
      </c>
      <c r="AG69" s="328"/>
      <c r="AH69" s="328"/>
      <c r="AI69" s="328"/>
      <c r="AJ69" s="328"/>
      <c r="AK69" s="328"/>
      <c r="AL69" s="361"/>
      <c r="AM69" s="333">
        <v>0</v>
      </c>
      <c r="AN69" s="345">
        <v>0</v>
      </c>
      <c r="AO69" s="345">
        <v>0</v>
      </c>
      <c r="AP69" s="345">
        <v>0</v>
      </c>
      <c r="AQ69" s="345">
        <v>0</v>
      </c>
      <c r="AR69" s="345">
        <v>0</v>
      </c>
      <c r="AS69" s="345">
        <v>0</v>
      </c>
      <c r="AT69" s="345">
        <v>0</v>
      </c>
      <c r="AU69" s="345">
        <v>0</v>
      </c>
      <c r="AV69" s="345">
        <v>0</v>
      </c>
      <c r="AW69" s="345">
        <v>0</v>
      </c>
      <c r="AX69" s="343">
        <v>0</v>
      </c>
      <c r="AY69" s="173"/>
      <c r="AZ69" s="333">
        <v>0</v>
      </c>
      <c r="BA69" s="345">
        <v>0</v>
      </c>
      <c r="BB69" s="345">
        <v>0</v>
      </c>
      <c r="BC69" s="345">
        <v>0</v>
      </c>
      <c r="BD69" s="333">
        <v>0</v>
      </c>
      <c r="BE69" s="333">
        <v>0</v>
      </c>
      <c r="BF69" s="452">
        <v>0</v>
      </c>
    </row>
    <row r="70" spans="1:58" ht="15">
      <c r="A70" s="193"/>
      <c r="B70" s="193" t="s">
        <v>70</v>
      </c>
      <c r="C70" s="204"/>
      <c r="D70" s="205"/>
      <c r="E70" s="230"/>
      <c r="F70" s="185"/>
      <c r="G70" s="207"/>
      <c r="H70" s="208"/>
      <c r="I70" s="246"/>
      <c r="J70" s="247">
        <v>0</v>
      </c>
      <c r="K70" s="247">
        <v>0</v>
      </c>
      <c r="L70" s="247">
        <v>0</v>
      </c>
      <c r="M70" s="211"/>
      <c r="N70" s="211"/>
      <c r="O70" s="211"/>
      <c r="P70" s="211"/>
      <c r="Q70" s="211"/>
      <c r="R70" s="211"/>
      <c r="S70" s="211"/>
      <c r="T70" s="211"/>
      <c r="U70" s="211"/>
      <c r="V70" s="211"/>
      <c r="W70" s="212"/>
      <c r="X70" s="212"/>
      <c r="Y70" s="213"/>
      <c r="Z70" s="248">
        <v>0</v>
      </c>
      <c r="AA70" s="248">
        <v>0</v>
      </c>
      <c r="AB70" s="248">
        <v>0</v>
      </c>
      <c r="AC70" s="328">
        <v>0</v>
      </c>
      <c r="AD70" s="328">
        <v>0</v>
      </c>
      <c r="AE70" s="328">
        <v>0</v>
      </c>
      <c r="AF70" s="333">
        <v>0</v>
      </c>
      <c r="AG70" s="328"/>
      <c r="AH70" s="328"/>
      <c r="AI70" s="328"/>
      <c r="AJ70" s="328"/>
      <c r="AK70" s="328"/>
      <c r="AL70" s="361"/>
      <c r="AM70" s="333">
        <v>0</v>
      </c>
      <c r="AN70" s="345">
        <v>0</v>
      </c>
      <c r="AO70" s="345">
        <v>0</v>
      </c>
      <c r="AP70" s="345">
        <v>0</v>
      </c>
      <c r="AQ70" s="345">
        <v>0</v>
      </c>
      <c r="AR70" s="345">
        <v>0</v>
      </c>
      <c r="AS70" s="345">
        <v>0</v>
      </c>
      <c r="AT70" s="345">
        <v>0</v>
      </c>
      <c r="AU70" s="345">
        <v>0</v>
      </c>
      <c r="AV70" s="345">
        <v>0</v>
      </c>
      <c r="AW70" s="345">
        <v>0</v>
      </c>
      <c r="AX70" s="343">
        <v>0</v>
      </c>
      <c r="AY70" s="173"/>
      <c r="AZ70" s="333">
        <v>0</v>
      </c>
      <c r="BA70" s="345">
        <v>0</v>
      </c>
      <c r="BB70" s="345">
        <v>0</v>
      </c>
      <c r="BC70" s="345">
        <v>0</v>
      </c>
      <c r="BD70" s="333">
        <v>0</v>
      </c>
      <c r="BE70" s="333">
        <v>0</v>
      </c>
      <c r="BF70" s="452">
        <v>0</v>
      </c>
    </row>
    <row r="71" spans="1:58" ht="15.75">
      <c r="A71" s="193"/>
      <c r="B71" s="189" t="s">
        <v>71</v>
      </c>
      <c r="C71" s="194">
        <f>C58+C59+C61+C65</f>
        <v>203039553</v>
      </c>
      <c r="D71" s="195">
        <f>D58+D59+D61+D65+D70</f>
        <v>254553782</v>
      </c>
      <c r="E71" s="196">
        <f t="shared" ref="E71:L71" si="77">E58+E59+E61+E65</f>
        <v>236925035</v>
      </c>
      <c r="F71" s="249">
        <f t="shared" si="77"/>
        <v>333973009</v>
      </c>
      <c r="G71" s="250">
        <f t="shared" si="77"/>
        <v>426691936</v>
      </c>
      <c r="H71" s="236">
        <f t="shared" si="77"/>
        <v>510101546</v>
      </c>
      <c r="I71" s="200">
        <f t="shared" si="77"/>
        <v>625483957</v>
      </c>
      <c r="J71" s="201">
        <f t="shared" si="77"/>
        <v>642611537.48000002</v>
      </c>
      <c r="K71" s="201">
        <f t="shared" si="77"/>
        <v>650922323.13999999</v>
      </c>
      <c r="L71" s="201">
        <f t="shared" si="77"/>
        <v>652697186.89999998</v>
      </c>
      <c r="M71" s="202">
        <f t="shared" ref="M71:R71" si="78">M58+M59+M61+M65</f>
        <v>650901614.32000005</v>
      </c>
      <c r="N71" s="202">
        <f t="shared" si="78"/>
        <v>656319372.16999996</v>
      </c>
      <c r="O71" s="202">
        <f t="shared" si="78"/>
        <v>660356740.66999996</v>
      </c>
      <c r="P71" s="202">
        <f t="shared" si="78"/>
        <v>679842573.5999999</v>
      </c>
      <c r="Q71" s="202">
        <f t="shared" si="78"/>
        <v>682605654.24000001</v>
      </c>
      <c r="R71" s="202">
        <f t="shared" si="78"/>
        <v>686492142.64999998</v>
      </c>
      <c r="S71" s="202">
        <f t="shared" ref="S71:AB71" si="79">S58+S59+S61+S65</f>
        <v>703014559.61000001</v>
      </c>
      <c r="T71" s="202">
        <f t="shared" si="79"/>
        <v>788093798.46000004</v>
      </c>
      <c r="U71" s="202">
        <f t="shared" si="79"/>
        <v>787260009.25</v>
      </c>
      <c r="V71" s="202">
        <f t="shared" si="79"/>
        <v>787260008</v>
      </c>
      <c r="W71" s="203">
        <f>W58+W59+W61+W65</f>
        <v>971414198</v>
      </c>
      <c r="X71" s="203">
        <f t="shared" si="79"/>
        <v>1154891292.98</v>
      </c>
      <c r="Y71" s="199">
        <f t="shared" si="79"/>
        <v>1156288715</v>
      </c>
      <c r="Z71" s="199">
        <f t="shared" si="79"/>
        <v>1172325733.0999999</v>
      </c>
      <c r="AA71" s="199">
        <f t="shared" si="79"/>
        <v>1177274213.51</v>
      </c>
      <c r="AB71" s="199">
        <f t="shared" si="79"/>
        <v>1183895110.1599998</v>
      </c>
      <c r="AC71" s="199">
        <f>AC58+AC59+AC61+AC65</f>
        <v>1215374186.3299999</v>
      </c>
      <c r="AD71" s="199">
        <f>AD58+AD59+AD61+AD65</f>
        <v>1221334542.99</v>
      </c>
      <c r="AE71" s="199">
        <f>AE58+AE59+AE61+AE65</f>
        <v>1230998731.46</v>
      </c>
      <c r="AF71" s="199">
        <f t="shared" ref="AF71:AG71" si="80">AF58+AF59+AF61+AF65</f>
        <v>1239081019.4300001</v>
      </c>
      <c r="AG71" s="199">
        <f t="shared" si="80"/>
        <v>1245226205.3699999</v>
      </c>
      <c r="AH71" s="199">
        <f t="shared" ref="AH71:AK71" si="81">AH58+AH59+AH61+AH65</f>
        <v>1245131793.4400001</v>
      </c>
      <c r="AI71" s="199">
        <f t="shared" si="81"/>
        <v>1272046412.49</v>
      </c>
      <c r="AJ71" s="199">
        <f t="shared" si="81"/>
        <v>1293755133.0800002</v>
      </c>
      <c r="AK71" s="199">
        <f t="shared" si="81"/>
        <v>0</v>
      </c>
      <c r="AL71" s="199">
        <f t="shared" ref="AL71:AM71" si="82">AL58+AL59+AL61+AL65</f>
        <v>1334866646</v>
      </c>
      <c r="AM71" s="199">
        <f t="shared" si="82"/>
        <v>1352561802.05</v>
      </c>
      <c r="AN71" s="199">
        <f t="shared" ref="AN71:BF71" si="83">AN58+AN59+AN61+AN65</f>
        <v>1367206576.6999998</v>
      </c>
      <c r="AO71" s="199">
        <f t="shared" si="83"/>
        <v>1371057904.4300001</v>
      </c>
      <c r="AP71" s="199">
        <f t="shared" si="83"/>
        <v>1393802148.21</v>
      </c>
      <c r="AQ71" s="199">
        <f t="shared" si="83"/>
        <v>1405782919.4400001</v>
      </c>
      <c r="AR71" s="199">
        <f t="shared" si="83"/>
        <v>1424114466.4400001</v>
      </c>
      <c r="AS71" s="199">
        <f t="shared" si="83"/>
        <v>1412417376.03</v>
      </c>
      <c r="AT71" s="199">
        <f t="shared" si="83"/>
        <v>1412837160.95</v>
      </c>
      <c r="AU71" s="199">
        <f t="shared" si="83"/>
        <v>1411723689.8399999</v>
      </c>
      <c r="AV71" s="199">
        <f t="shared" si="83"/>
        <v>1420545740.1199999</v>
      </c>
      <c r="AW71" s="199">
        <f t="shared" si="83"/>
        <v>1418662485.79</v>
      </c>
      <c r="AX71" s="199">
        <f t="shared" si="83"/>
        <v>1516411298.6199999</v>
      </c>
      <c r="AY71" s="199">
        <f t="shared" si="83"/>
        <v>1516411301</v>
      </c>
      <c r="AZ71" s="199">
        <f t="shared" si="83"/>
        <v>1541723172.9000001</v>
      </c>
      <c r="BA71" s="199">
        <f t="shared" si="83"/>
        <v>1539956454.8700001</v>
      </c>
      <c r="BB71" s="199">
        <f t="shared" si="83"/>
        <v>1541415427.75</v>
      </c>
      <c r="BC71" s="199">
        <f t="shared" si="83"/>
        <v>1554414763.1999998</v>
      </c>
      <c r="BD71" s="199">
        <f t="shared" si="83"/>
        <v>1563826272</v>
      </c>
      <c r="BE71" s="199">
        <f t="shared" si="83"/>
        <v>1589172557.3499999</v>
      </c>
      <c r="BF71" s="199">
        <f t="shared" si="83"/>
        <v>1610246959.98</v>
      </c>
    </row>
    <row r="72" spans="1:58">
      <c r="A72" s="193"/>
      <c r="B72" s="193"/>
      <c r="C72" s="204"/>
      <c r="D72" s="205"/>
      <c r="E72" s="215"/>
      <c r="F72" s="186"/>
      <c r="G72" s="251"/>
      <c r="H72" s="208"/>
      <c r="I72" s="216"/>
      <c r="J72" s="187"/>
      <c r="K72" s="187"/>
      <c r="L72" s="187"/>
      <c r="M72" s="217"/>
      <c r="N72" s="217"/>
      <c r="O72" s="217"/>
      <c r="P72" s="217"/>
      <c r="Q72" s="217"/>
      <c r="R72" s="217"/>
      <c r="S72" s="217"/>
      <c r="T72" s="217"/>
      <c r="U72" s="217"/>
      <c r="V72" s="217"/>
      <c r="W72" s="218"/>
      <c r="X72" s="218"/>
      <c r="Y72" s="219"/>
      <c r="Z72" s="187"/>
      <c r="AA72" s="187"/>
      <c r="AB72" s="187"/>
      <c r="AC72" s="187"/>
      <c r="AD72" s="187"/>
      <c r="AE72" s="187"/>
      <c r="AF72" s="187"/>
      <c r="AG72" s="187"/>
      <c r="AY72" s="173"/>
    </row>
    <row r="73" spans="1:58" ht="15.75">
      <c r="A73" s="193"/>
      <c r="B73" s="189" t="s">
        <v>72</v>
      </c>
      <c r="C73" s="194">
        <f t="shared" ref="C73:H73" si="84">C55+C71</f>
        <v>886952707</v>
      </c>
      <c r="D73" s="195">
        <f t="shared" si="84"/>
        <v>1185246560</v>
      </c>
      <c r="E73" s="196">
        <f t="shared" si="84"/>
        <v>1235320891</v>
      </c>
      <c r="F73" s="252">
        <f t="shared" si="84"/>
        <v>1560105754</v>
      </c>
      <c r="G73" s="253">
        <f t="shared" si="84"/>
        <v>1699301395</v>
      </c>
      <c r="H73" s="236">
        <f t="shared" si="84"/>
        <v>1995648186</v>
      </c>
      <c r="I73" s="200">
        <f t="shared" ref="I73:N73" si="85">I55+I71</f>
        <v>2415328924</v>
      </c>
      <c r="J73" s="201">
        <f t="shared" si="85"/>
        <v>2394035389.9299998</v>
      </c>
      <c r="K73" s="201">
        <f t="shared" si="85"/>
        <v>2328114765.6199999</v>
      </c>
      <c r="L73" s="201">
        <f t="shared" si="85"/>
        <v>2295169856.9200001</v>
      </c>
      <c r="M73" s="202">
        <f t="shared" si="85"/>
        <v>2308165153.75</v>
      </c>
      <c r="N73" s="202">
        <f t="shared" si="85"/>
        <v>2320049893.9200001</v>
      </c>
      <c r="O73" s="202">
        <f t="shared" ref="O73:V73" si="86">O55+O71</f>
        <v>2346478849.7600002</v>
      </c>
      <c r="P73" s="202">
        <f t="shared" si="86"/>
        <v>2379046822.3299999</v>
      </c>
      <c r="Q73" s="202">
        <f t="shared" si="86"/>
        <v>2354769933.0500002</v>
      </c>
      <c r="R73" s="202">
        <f t="shared" si="86"/>
        <v>2403394657.3799996</v>
      </c>
      <c r="S73" s="202">
        <f t="shared" si="86"/>
        <v>3022002720.4100003</v>
      </c>
      <c r="T73" s="202">
        <f t="shared" si="86"/>
        <v>2922260074.2200003</v>
      </c>
      <c r="U73" s="202">
        <f t="shared" si="86"/>
        <v>2882475144.0699997</v>
      </c>
      <c r="V73" s="202">
        <f t="shared" si="86"/>
        <v>2882475143</v>
      </c>
      <c r="W73" s="203">
        <f t="shared" ref="W73:AB73" si="87">W55+W71</f>
        <v>3701572853</v>
      </c>
      <c r="X73" s="203">
        <f t="shared" si="87"/>
        <v>4191430652.3700004</v>
      </c>
      <c r="Y73" s="199">
        <f t="shared" si="87"/>
        <v>4189144224</v>
      </c>
      <c r="Z73" s="199">
        <f t="shared" si="87"/>
        <v>4123319706.0300002</v>
      </c>
      <c r="AA73" s="199">
        <f t="shared" si="87"/>
        <v>4098897104.3199997</v>
      </c>
      <c r="AB73" s="199">
        <f t="shared" si="87"/>
        <v>4163314282.5999994</v>
      </c>
      <c r="AC73" s="199">
        <f>AC55+AC71</f>
        <v>4213997209.5099998</v>
      </c>
      <c r="AD73" s="199">
        <f>AD55+AD71</f>
        <v>4248271622.8299999</v>
      </c>
      <c r="AE73" s="199">
        <f>AE55+AE71</f>
        <v>4278187452.6599998</v>
      </c>
      <c r="AF73" s="199">
        <f t="shared" ref="AF73:AH73" si="88">AF55+AF71</f>
        <v>4321349713.29</v>
      </c>
      <c r="AG73" s="199">
        <f t="shared" si="88"/>
        <v>4329818670.0100002</v>
      </c>
      <c r="AH73" s="199">
        <f t="shared" si="88"/>
        <v>4324007408.8600006</v>
      </c>
      <c r="AI73" s="199">
        <f t="shared" ref="AI73:AL73" si="89">AI55+AI71</f>
        <v>4644427426.8699999</v>
      </c>
      <c r="AJ73" s="199">
        <f t="shared" si="89"/>
        <v>4664161582.8000002</v>
      </c>
      <c r="AK73" s="199">
        <f t="shared" si="89"/>
        <v>0</v>
      </c>
      <c r="AL73" s="199">
        <f t="shared" si="89"/>
        <v>4689848690</v>
      </c>
      <c r="AM73" s="199">
        <f t="shared" ref="AM73:BF73" si="90">AM55+AM71</f>
        <v>4673763403.5899992</v>
      </c>
      <c r="AN73" s="199">
        <f t="shared" si="90"/>
        <v>4638188588.4599991</v>
      </c>
      <c r="AO73" s="199">
        <f t="shared" si="90"/>
        <v>4685696784.6899996</v>
      </c>
      <c r="AP73" s="199">
        <f t="shared" si="90"/>
        <v>4735643100.96</v>
      </c>
      <c r="AQ73" s="199">
        <f t="shared" si="90"/>
        <v>4795033108.1499996</v>
      </c>
      <c r="AR73" s="199">
        <f t="shared" si="90"/>
        <v>4851792483.5500002</v>
      </c>
      <c r="AS73" s="199">
        <f t="shared" si="90"/>
        <v>5326255956.9099998</v>
      </c>
      <c r="AT73" s="199">
        <f t="shared" si="90"/>
        <v>5287378285.8000002</v>
      </c>
      <c r="AU73" s="199">
        <f t="shared" si="90"/>
        <v>5236541347.96</v>
      </c>
      <c r="AV73" s="199">
        <f t="shared" si="90"/>
        <v>5235658897.9300003</v>
      </c>
      <c r="AW73" s="199">
        <f t="shared" si="90"/>
        <v>5267448432.1400003</v>
      </c>
      <c r="AX73" s="199">
        <f t="shared" si="90"/>
        <v>5367094570.8800001</v>
      </c>
      <c r="AY73" s="199">
        <f t="shared" si="90"/>
        <v>5367548160</v>
      </c>
      <c r="AZ73" s="199">
        <f t="shared" si="90"/>
        <v>5269487011.3100004</v>
      </c>
      <c r="BA73" s="199">
        <f t="shared" si="90"/>
        <v>5201024852.2799997</v>
      </c>
      <c r="BB73" s="199">
        <f t="shared" si="90"/>
        <v>5298688728.3199997</v>
      </c>
      <c r="BC73" s="199">
        <f t="shared" si="90"/>
        <v>5341008660.5</v>
      </c>
      <c r="BD73" s="199">
        <f t="shared" si="90"/>
        <v>5402777402.0299997</v>
      </c>
      <c r="BE73" s="199">
        <f t="shared" si="90"/>
        <v>5491979572.7000008</v>
      </c>
      <c r="BF73" s="199">
        <f t="shared" si="90"/>
        <v>5579506308.5100002</v>
      </c>
    </row>
    <row r="74" spans="1:58" ht="15.75">
      <c r="A74" s="254"/>
      <c r="B74" s="177"/>
      <c r="C74" s="255">
        <f t="shared" ref="C74:H74" si="91">C73-C39</f>
        <v>0</v>
      </c>
      <c r="D74" s="255">
        <f t="shared" si="91"/>
        <v>0</v>
      </c>
      <c r="E74" s="255">
        <f t="shared" si="91"/>
        <v>0</v>
      </c>
      <c r="F74" s="255">
        <f t="shared" si="91"/>
        <v>0</v>
      </c>
      <c r="G74" s="255">
        <f t="shared" si="91"/>
        <v>0</v>
      </c>
      <c r="H74" s="255">
        <f t="shared" si="91"/>
        <v>-1</v>
      </c>
      <c r="I74" s="255">
        <f>I73-I39</f>
        <v>0</v>
      </c>
      <c r="J74" s="255">
        <f t="shared" ref="J74:AB74" si="92">J73-J39</f>
        <v>0</v>
      </c>
      <c r="K74" s="255">
        <f t="shared" si="92"/>
        <v>0</v>
      </c>
      <c r="L74" s="255">
        <f t="shared" si="92"/>
        <v>0</v>
      </c>
      <c r="M74" s="255">
        <f t="shared" si="92"/>
        <v>0</v>
      </c>
      <c r="N74" s="255">
        <f t="shared" si="92"/>
        <v>0</v>
      </c>
      <c r="O74" s="255">
        <f t="shared" si="92"/>
        <v>0</v>
      </c>
      <c r="P74" s="255">
        <f t="shared" si="92"/>
        <v>0</v>
      </c>
      <c r="Q74" s="255">
        <f t="shared" si="92"/>
        <v>0</v>
      </c>
      <c r="R74" s="255">
        <f t="shared" si="92"/>
        <v>0</v>
      </c>
      <c r="S74" s="255">
        <f t="shared" si="92"/>
        <v>0</v>
      </c>
      <c r="T74" s="255">
        <f t="shared" si="92"/>
        <v>0</v>
      </c>
      <c r="U74" s="255">
        <f t="shared" si="92"/>
        <v>0</v>
      </c>
      <c r="V74" s="255">
        <f t="shared" si="92"/>
        <v>-1</v>
      </c>
      <c r="W74" s="255">
        <f>W73-W39</f>
        <v>2</v>
      </c>
      <c r="X74" s="255">
        <f t="shared" si="92"/>
        <v>0</v>
      </c>
      <c r="Y74" s="255">
        <f t="shared" si="92"/>
        <v>0</v>
      </c>
      <c r="Z74" s="255">
        <f t="shared" si="92"/>
        <v>0</v>
      </c>
      <c r="AA74" s="255">
        <f t="shared" si="92"/>
        <v>0</v>
      </c>
      <c r="AB74" s="255">
        <f t="shared" si="92"/>
        <v>0</v>
      </c>
      <c r="AC74" s="255">
        <f>AC73-AC39</f>
        <v>0</v>
      </c>
      <c r="AD74" s="255">
        <f>AD73-AD39</f>
        <v>0</v>
      </c>
      <c r="AE74" s="255">
        <f>AE73-AE39</f>
        <v>0</v>
      </c>
      <c r="AF74" s="255">
        <f t="shared" ref="AF74:AH74" si="93">AF73-AF39</f>
        <v>0</v>
      </c>
      <c r="AG74" s="255">
        <f t="shared" si="93"/>
        <v>0</v>
      </c>
      <c r="AH74" s="255">
        <f t="shared" si="93"/>
        <v>0</v>
      </c>
      <c r="AI74" s="255">
        <f t="shared" ref="AI74:AL74" si="94">AI73-AI39</f>
        <v>0</v>
      </c>
      <c r="AJ74" s="255">
        <f t="shared" si="94"/>
        <v>0</v>
      </c>
      <c r="AK74" s="255">
        <f t="shared" si="94"/>
        <v>-413378021.73000002</v>
      </c>
      <c r="AL74" s="362">
        <f t="shared" si="94"/>
        <v>-17428458</v>
      </c>
      <c r="AM74" s="255">
        <f t="shared" ref="AM74:BF74" si="95">AM73-AM39</f>
        <v>0</v>
      </c>
      <c r="AN74" s="255">
        <f t="shared" si="95"/>
        <v>0</v>
      </c>
      <c r="AO74" s="255">
        <f t="shared" si="95"/>
        <v>0</v>
      </c>
      <c r="AP74" s="255">
        <f t="shared" si="95"/>
        <v>0</v>
      </c>
      <c r="AQ74" s="255">
        <f t="shared" si="95"/>
        <v>0</v>
      </c>
      <c r="AR74" s="255">
        <f t="shared" si="95"/>
        <v>0</v>
      </c>
      <c r="AS74" s="255">
        <f t="shared" si="95"/>
        <v>0</v>
      </c>
      <c r="AT74" s="255">
        <f t="shared" si="95"/>
        <v>0</v>
      </c>
      <c r="AU74" s="255">
        <f t="shared" si="95"/>
        <v>0</v>
      </c>
      <c r="AV74" s="255">
        <f t="shared" si="95"/>
        <v>0</v>
      </c>
      <c r="AW74" s="255">
        <f t="shared" si="95"/>
        <v>0</v>
      </c>
      <c r="AX74" s="255">
        <f t="shared" si="95"/>
        <v>0</v>
      </c>
      <c r="AY74" s="255">
        <f t="shared" si="95"/>
        <v>0</v>
      </c>
      <c r="AZ74" s="255">
        <f t="shared" si="95"/>
        <v>0</v>
      </c>
      <c r="BA74" s="255">
        <f t="shared" si="95"/>
        <v>0</v>
      </c>
      <c r="BB74" s="255">
        <f t="shared" si="95"/>
        <v>0</v>
      </c>
      <c r="BC74" s="255">
        <f t="shared" si="95"/>
        <v>0</v>
      </c>
      <c r="BD74" s="255">
        <f t="shared" si="95"/>
        <v>0</v>
      </c>
      <c r="BE74" s="255">
        <f t="shared" si="95"/>
        <v>0</v>
      </c>
      <c r="BF74" s="255">
        <f t="shared" si="95"/>
        <v>0</v>
      </c>
    </row>
    <row r="75" spans="1:58">
      <c r="A75" s="254"/>
      <c r="B75" s="177"/>
      <c r="C75" s="255"/>
    </row>
    <row r="76" spans="1:58">
      <c r="A76" s="254"/>
      <c r="B76" s="177" t="s">
        <v>73</v>
      </c>
      <c r="C76" s="255"/>
      <c r="D76" s="172" t="e">
        <f>#REF!-D73</f>
        <v>#REF!</v>
      </c>
    </row>
    <row r="77" spans="1:58">
      <c r="A77" s="254"/>
      <c r="B77" s="177" t="s">
        <v>74</v>
      </c>
      <c r="C77" s="255"/>
      <c r="D77" s="256"/>
      <c r="E77" s="257"/>
    </row>
    <row r="78" spans="1:58">
      <c r="A78" s="254"/>
      <c r="B78" s="177" t="s">
        <v>75</v>
      </c>
      <c r="C78" s="255"/>
    </row>
    <row r="79" spans="1:58">
      <c r="A79" s="258"/>
      <c r="B79" s="176" t="s">
        <v>76</v>
      </c>
      <c r="C79" s="176"/>
    </row>
    <row r="80" spans="1:58">
      <c r="A80" s="258"/>
      <c r="B80" s="259"/>
      <c r="C80" s="259"/>
    </row>
    <row r="81" spans="1:3">
      <c r="A81" s="258"/>
      <c r="B81" s="177" t="s">
        <v>77</v>
      </c>
      <c r="C81" s="177"/>
    </row>
    <row r="82" spans="1:3">
      <c r="A82" s="258"/>
      <c r="B82" s="254" t="s">
        <v>78</v>
      </c>
      <c r="C82" s="254"/>
    </row>
    <row r="83" spans="1:3">
      <c r="A83" s="258"/>
      <c r="B83" s="254" t="s">
        <v>79</v>
      </c>
      <c r="C83" s="254"/>
    </row>
    <row r="84" spans="1:3">
      <c r="A84" s="258"/>
      <c r="B84" s="254" t="s">
        <v>80</v>
      </c>
      <c r="C84" s="254"/>
    </row>
    <row r="85" spans="1:3">
      <c r="A85" s="258"/>
      <c r="B85" s="254" t="s">
        <v>79</v>
      </c>
      <c r="C85" s="254"/>
    </row>
    <row r="86" spans="1:3">
      <c r="A86" s="258"/>
      <c r="B86" s="254" t="s">
        <v>81</v>
      </c>
      <c r="C86" s="254"/>
    </row>
  </sheetData>
  <mergeCells count="3">
    <mergeCell ref="A7:A8"/>
    <mergeCell ref="B7:B8"/>
    <mergeCell ref="B2:C2"/>
  </mergeCells>
  <pageMargins left="0.7" right="0.7" top="0.75" bottom="0.75" header="0.3" footer="0.3"/>
  <pageSetup scale="34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F64"/>
  <sheetViews>
    <sheetView zoomScaleNormal="100" zoomScaleSheetLayoutView="96" workbookViewId="0">
      <pane xSplit="4" ySplit="8" topLeftCell="BE9" activePane="bottomRight" state="frozen"/>
      <selection pane="bottomRight" activeCell="BE8" sqref="BE8:BF8"/>
      <selection pane="bottomLeft" activeCell="A9" sqref="A9"/>
      <selection pane="topRight" activeCell="E1" sqref="E1"/>
    </sheetView>
  </sheetViews>
  <sheetFormatPr defaultColWidth="9.140625" defaultRowHeight="15.6"/>
  <cols>
    <col min="1" max="1" width="9.28515625" style="175" bestFit="1" customWidth="1"/>
    <col min="2" max="2" width="35.5703125" style="175" customWidth="1"/>
    <col min="3" max="3" width="15" style="175" hidden="1" customWidth="1"/>
    <col min="4" max="4" width="18.7109375" style="173" hidden="1" customWidth="1"/>
    <col min="5" max="5" width="17.140625" style="260" hidden="1" customWidth="1"/>
    <col min="6" max="6" width="17.140625" style="261" hidden="1" customWidth="1"/>
    <col min="7" max="7" width="18.28515625" style="175" hidden="1" customWidth="1"/>
    <col min="8" max="8" width="17.140625" style="175" hidden="1" customWidth="1"/>
    <col min="9" max="9" width="19.85546875" style="175" hidden="1" customWidth="1"/>
    <col min="10" max="12" width="16" style="175" hidden="1" customWidth="1"/>
    <col min="13" max="13" width="16.42578125" style="175" hidden="1" customWidth="1"/>
    <col min="14" max="19" width="17.28515625" style="175" hidden="1" customWidth="1"/>
    <col min="20" max="20" width="17.85546875" style="175" hidden="1" customWidth="1"/>
    <col min="21" max="22" width="19.85546875" style="175" hidden="1" customWidth="1"/>
    <col min="23" max="23" width="19.85546875" style="175" customWidth="1"/>
    <col min="24" max="24" width="19.85546875" style="175" hidden="1" customWidth="1"/>
    <col min="25" max="25" width="19.85546875" style="175" customWidth="1"/>
    <col min="26" max="27" width="18.140625" style="175" bestFit="1" customWidth="1"/>
    <col min="28" max="28" width="19.85546875" style="175" bestFit="1" customWidth="1"/>
    <col min="29" max="30" width="19.28515625" style="175" bestFit="1" customWidth="1"/>
    <col min="31" max="31" width="18.7109375" style="175" bestFit="1" customWidth="1"/>
    <col min="32" max="33" width="19" style="175" bestFit="1" customWidth="1"/>
    <col min="34" max="36" width="17.7109375" style="175" bestFit="1" customWidth="1"/>
    <col min="37" max="37" width="18.5703125" style="175" bestFit="1" customWidth="1"/>
    <col min="38" max="38" width="19" style="350" bestFit="1" customWidth="1"/>
    <col min="39" max="39" width="15.85546875" style="175" customWidth="1"/>
    <col min="40" max="40" width="19.5703125" style="175" customWidth="1"/>
    <col min="41" max="41" width="18.42578125" style="175" customWidth="1"/>
    <col min="42" max="42" width="22.28515625" style="175" customWidth="1"/>
    <col min="43" max="44" width="21" style="175" customWidth="1"/>
    <col min="45" max="45" width="21.85546875" style="175" customWidth="1"/>
    <col min="46" max="46" width="19.85546875" style="175" customWidth="1"/>
    <col min="47" max="48" width="21.42578125" style="175" customWidth="1"/>
    <col min="49" max="49" width="22.28515625" style="175" customWidth="1"/>
    <col min="50" max="50" width="19" style="175" customWidth="1"/>
    <col min="51" max="51" width="18.5703125" style="175" bestFit="1" customWidth="1"/>
    <col min="52" max="52" width="21.42578125" style="175" customWidth="1"/>
    <col min="53" max="53" width="18.42578125" style="175" customWidth="1"/>
    <col min="54" max="54" width="18.140625" style="175" customWidth="1"/>
    <col min="55" max="55" width="18.85546875" style="175" customWidth="1"/>
    <col min="56" max="56" width="17.85546875" style="175" customWidth="1"/>
    <col min="57" max="57" width="19" style="175" bestFit="1" customWidth="1"/>
    <col min="58" max="58" width="21.7109375" style="175" customWidth="1"/>
    <col min="59" max="16384" width="9.140625" style="175"/>
  </cols>
  <sheetData>
    <row r="1" spans="1:58" hidden="1">
      <c r="A1" s="459" t="s">
        <v>82</v>
      </c>
      <c r="B1" s="459"/>
      <c r="C1" s="177"/>
    </row>
    <row r="2" spans="1:58" hidden="1">
      <c r="A2" s="427" t="s">
        <v>83</v>
      </c>
      <c r="B2" s="429"/>
      <c r="C2" s="429"/>
    </row>
    <row r="3" spans="1:58" hidden="1">
      <c r="A3" s="430" t="s">
        <v>84</v>
      </c>
      <c r="B3" s="431"/>
      <c r="C3" s="431"/>
      <c r="D3" s="208"/>
      <c r="E3" s="262"/>
      <c r="F3" s="263"/>
    </row>
    <row r="4" spans="1:58" hidden="1">
      <c r="A4" s="430" t="s">
        <v>85</v>
      </c>
      <c r="B4" s="431"/>
      <c r="C4" s="431"/>
      <c r="D4" s="208"/>
      <c r="E4" s="262"/>
      <c r="F4" s="263"/>
    </row>
    <row r="5" spans="1:58" hidden="1">
      <c r="A5" s="430" t="s">
        <v>86</v>
      </c>
      <c r="B5" s="431"/>
      <c r="C5" s="431"/>
      <c r="D5" s="208"/>
      <c r="E5" s="262"/>
      <c r="F5" s="263"/>
    </row>
    <row r="6" spans="1:58" hidden="1">
      <c r="A6" s="430" t="s">
        <v>87</v>
      </c>
      <c r="B6" s="431"/>
      <c r="C6" s="431"/>
      <c r="D6" s="208"/>
      <c r="E6" s="262"/>
      <c r="F6" s="263"/>
    </row>
    <row r="7" spans="1:58" hidden="1">
      <c r="A7" s="432"/>
      <c r="B7" s="432"/>
      <c r="C7" s="432"/>
      <c r="D7" s="208"/>
      <c r="E7" s="262"/>
      <c r="F7" s="263"/>
      <c r="G7" s="180" t="s">
        <v>9</v>
      </c>
      <c r="H7" s="187"/>
    </row>
    <row r="8" spans="1:58" ht="15.75">
      <c r="A8" s="264" t="s">
        <v>88</v>
      </c>
      <c r="B8" s="428"/>
      <c r="C8" s="265">
        <v>40513</v>
      </c>
      <c r="D8" s="266">
        <v>40878</v>
      </c>
      <c r="E8" s="267" t="s">
        <v>89</v>
      </c>
      <c r="F8" s="268" t="s">
        <v>90</v>
      </c>
      <c r="H8" s="183" t="s">
        <v>10</v>
      </c>
      <c r="I8" s="184" t="s">
        <v>11</v>
      </c>
      <c r="J8" s="184">
        <v>42736</v>
      </c>
      <c r="K8" s="184">
        <v>42767</v>
      </c>
      <c r="L8" s="184">
        <v>42795</v>
      </c>
      <c r="M8" s="184">
        <v>42826</v>
      </c>
      <c r="N8" s="184">
        <v>42856</v>
      </c>
      <c r="O8" s="184">
        <v>42887</v>
      </c>
      <c r="P8" s="184">
        <v>42917</v>
      </c>
      <c r="Q8" s="184">
        <v>42948</v>
      </c>
      <c r="R8" s="184">
        <v>42979</v>
      </c>
      <c r="S8" s="184">
        <v>43009</v>
      </c>
      <c r="T8" s="184">
        <v>43040</v>
      </c>
      <c r="U8" s="184">
        <v>43070</v>
      </c>
      <c r="V8" s="184" t="s">
        <v>12</v>
      </c>
      <c r="W8" s="184" t="s">
        <v>13</v>
      </c>
      <c r="X8" s="184">
        <v>44166</v>
      </c>
      <c r="Y8" s="269" t="s">
        <v>15</v>
      </c>
      <c r="Z8" s="184">
        <v>44197</v>
      </c>
      <c r="AA8" s="184">
        <v>44228</v>
      </c>
      <c r="AB8" s="184">
        <v>44256</v>
      </c>
      <c r="AC8" s="184">
        <v>44287</v>
      </c>
      <c r="AD8" s="184">
        <v>44317</v>
      </c>
      <c r="AE8" s="184">
        <v>44348</v>
      </c>
      <c r="AF8" s="184">
        <v>44378</v>
      </c>
      <c r="AG8" s="184">
        <v>44409</v>
      </c>
      <c r="AH8" s="184">
        <v>44440</v>
      </c>
      <c r="AI8" s="184">
        <v>44470</v>
      </c>
      <c r="AJ8" s="184">
        <v>44501</v>
      </c>
      <c r="AK8" s="184">
        <v>44531</v>
      </c>
      <c r="AL8" s="351" t="s">
        <v>91</v>
      </c>
      <c r="AM8" s="184">
        <v>44562</v>
      </c>
      <c r="AN8" s="184">
        <v>44593</v>
      </c>
      <c r="AO8" s="184">
        <v>44621</v>
      </c>
      <c r="AP8" s="184">
        <v>44652</v>
      </c>
      <c r="AQ8" s="184">
        <v>44682</v>
      </c>
      <c r="AR8" s="184">
        <v>44713</v>
      </c>
      <c r="AS8" s="184">
        <v>44743</v>
      </c>
      <c r="AT8" s="184">
        <v>44774</v>
      </c>
      <c r="AU8" s="184">
        <v>44805</v>
      </c>
      <c r="AV8" s="184">
        <v>44835</v>
      </c>
      <c r="AW8" s="184">
        <v>44866</v>
      </c>
      <c r="AX8" s="184">
        <v>44896</v>
      </c>
      <c r="AY8" s="421" t="s">
        <v>17</v>
      </c>
      <c r="AZ8" s="184">
        <v>44927</v>
      </c>
      <c r="BA8" s="184">
        <v>44958</v>
      </c>
      <c r="BB8" s="184">
        <v>44986</v>
      </c>
      <c r="BC8" s="184">
        <v>45017</v>
      </c>
      <c r="BD8" s="184">
        <v>45047</v>
      </c>
      <c r="BE8" s="184">
        <v>45078</v>
      </c>
      <c r="BF8" s="184">
        <v>45108</v>
      </c>
    </row>
    <row r="9" spans="1:58">
      <c r="A9" s="264"/>
      <c r="B9" s="428"/>
      <c r="C9" s="339"/>
      <c r="D9" s="190" t="s">
        <v>92</v>
      </c>
      <c r="E9" s="270"/>
      <c r="F9" s="263"/>
      <c r="H9" s="208"/>
      <c r="J9" s="187"/>
      <c r="K9" s="187"/>
      <c r="L9" s="187"/>
    </row>
    <row r="10" spans="1:58" ht="15.75">
      <c r="A10" s="193">
        <v>1</v>
      </c>
      <c r="B10" s="189" t="s">
        <v>93</v>
      </c>
      <c r="C10" s="271">
        <f t="shared" ref="C10:H10" si="0">C11+C15</f>
        <v>81774220</v>
      </c>
      <c r="D10" s="194">
        <f t="shared" si="0"/>
        <v>170905486.05000001</v>
      </c>
      <c r="E10" s="272">
        <f t="shared" si="0"/>
        <v>235675793</v>
      </c>
      <c r="F10" s="273">
        <f t="shared" si="0"/>
        <v>288037618</v>
      </c>
      <c r="G10" s="274">
        <f t="shared" si="0"/>
        <v>277638373</v>
      </c>
      <c r="H10" s="274">
        <f t="shared" si="0"/>
        <v>314967423</v>
      </c>
      <c r="I10" s="274">
        <f t="shared" ref="I10:N10" si="1">I11+I15</f>
        <v>386913271</v>
      </c>
      <c r="J10" s="275">
        <f t="shared" si="1"/>
        <v>25367152.070000004</v>
      </c>
      <c r="K10" s="275">
        <f t="shared" si="1"/>
        <v>48625771.009999998</v>
      </c>
      <c r="L10" s="275">
        <f t="shared" si="1"/>
        <v>71477836.460000008</v>
      </c>
      <c r="M10" s="275">
        <f t="shared" si="1"/>
        <v>97296138.280000001</v>
      </c>
      <c r="N10" s="275">
        <f t="shared" si="1"/>
        <v>123220238.92</v>
      </c>
      <c r="O10" s="275">
        <f t="shared" ref="O10:U10" si="2">O11+O15</f>
        <v>147840988.63</v>
      </c>
      <c r="P10" s="275">
        <f t="shared" si="2"/>
        <v>172928111.99000001</v>
      </c>
      <c r="Q10" s="275">
        <f t="shared" si="2"/>
        <v>198401591.31</v>
      </c>
      <c r="R10" s="275">
        <f t="shared" si="2"/>
        <v>224698630.52000001</v>
      </c>
      <c r="S10" s="275">
        <f t="shared" si="2"/>
        <v>261173578.98999998</v>
      </c>
      <c r="T10" s="275">
        <f t="shared" si="2"/>
        <v>314210279.59999996</v>
      </c>
      <c r="U10" s="275">
        <f t="shared" si="2"/>
        <v>347337473.00999999</v>
      </c>
      <c r="V10" s="275">
        <f t="shared" ref="V10:AB10" si="3">V11+V15</f>
        <v>401655827</v>
      </c>
      <c r="W10" s="274">
        <f>W11+W15</f>
        <v>581850477</v>
      </c>
      <c r="X10" s="274">
        <f t="shared" si="3"/>
        <v>526193190.79000002</v>
      </c>
      <c r="Y10" s="275">
        <f t="shared" si="3"/>
        <v>611439871</v>
      </c>
      <c r="Z10" s="318">
        <f t="shared" si="3"/>
        <v>47671985.969999999</v>
      </c>
      <c r="AA10" s="275">
        <f t="shared" si="3"/>
        <v>91516919.150000006</v>
      </c>
      <c r="AB10" s="275">
        <f t="shared" si="3"/>
        <v>137900968.44999999</v>
      </c>
      <c r="AC10" s="275">
        <f>AC11+AC15</f>
        <v>183129906.63</v>
      </c>
      <c r="AD10" s="275">
        <f>AD11+AD15</f>
        <v>230968028.47</v>
      </c>
      <c r="AE10" s="275">
        <f>AE11+AE15</f>
        <v>279618964.12</v>
      </c>
      <c r="AF10" s="275">
        <f t="shared" ref="AF10:AG10" si="4">AF11+AF15</f>
        <v>328471232.40999997</v>
      </c>
      <c r="AG10" s="275">
        <f t="shared" si="4"/>
        <v>375184637.46000004</v>
      </c>
      <c r="AH10" s="275">
        <f t="shared" ref="AH10:AL10" si="5">AH11+AH15</f>
        <v>421233034.04000002</v>
      </c>
      <c r="AI10" s="275">
        <f t="shared" si="5"/>
        <v>475675346.95999998</v>
      </c>
      <c r="AJ10" s="275">
        <f t="shared" si="5"/>
        <v>539421376.5999999</v>
      </c>
      <c r="AK10" s="275">
        <f t="shared" si="5"/>
        <v>598907413.16000009</v>
      </c>
      <c r="AL10" s="352">
        <f t="shared" si="5"/>
        <v>694739717</v>
      </c>
      <c r="AM10" s="352">
        <f t="shared" ref="AM10:AY10" si="6">AM11+AM15</f>
        <v>50306094.579999998</v>
      </c>
      <c r="AN10" s="352">
        <f t="shared" si="6"/>
        <v>98911062.310000002</v>
      </c>
      <c r="AO10" s="352">
        <f t="shared" si="6"/>
        <v>149550464.94999999</v>
      </c>
      <c r="AP10" s="352">
        <f t="shared" si="6"/>
        <v>201969985.66</v>
      </c>
      <c r="AQ10" s="352">
        <f t="shared" si="6"/>
        <v>251899035.56</v>
      </c>
      <c r="AR10" s="352">
        <f t="shared" si="6"/>
        <v>304205281.17000002</v>
      </c>
      <c r="AS10" s="352">
        <f t="shared" si="6"/>
        <v>380292371.48999995</v>
      </c>
      <c r="AT10" s="352">
        <f t="shared" si="6"/>
        <v>435911579.28000003</v>
      </c>
      <c r="AU10" s="352">
        <f t="shared" si="6"/>
        <v>491355984.67000002</v>
      </c>
      <c r="AV10" s="352">
        <f t="shared" si="6"/>
        <v>543980270.80999994</v>
      </c>
      <c r="AW10" s="352">
        <f t="shared" si="6"/>
        <v>600581392</v>
      </c>
      <c r="AX10" s="352">
        <f t="shared" si="6"/>
        <v>651564632.12</v>
      </c>
      <c r="AY10" s="352">
        <f t="shared" ref="AY10:BF10" si="7">AY11+AY15</f>
        <v>789154498</v>
      </c>
      <c r="AZ10" s="352">
        <f t="shared" si="7"/>
        <v>63492682.900000006</v>
      </c>
      <c r="BA10" s="352">
        <f t="shared" si="7"/>
        <v>120759773.67999999</v>
      </c>
      <c r="BB10" s="352">
        <f t="shared" si="7"/>
        <v>183684407.89999998</v>
      </c>
      <c r="BC10" s="352">
        <f t="shared" si="7"/>
        <v>240392684.42000002</v>
      </c>
      <c r="BD10" s="352">
        <f t="shared" si="7"/>
        <v>301288919.84000003</v>
      </c>
      <c r="BE10" s="352">
        <f t="shared" si="7"/>
        <v>361668780.14999998</v>
      </c>
      <c r="BF10" s="352">
        <f t="shared" si="7"/>
        <v>419675833.56</v>
      </c>
    </row>
    <row r="11" spans="1:58" ht="15.75">
      <c r="A11" s="193">
        <v>2</v>
      </c>
      <c r="B11" s="193" t="s">
        <v>94</v>
      </c>
      <c r="C11" s="271">
        <f t="shared" ref="C11:H11" si="8">SUM(C12:C13)</f>
        <v>73871195</v>
      </c>
      <c r="D11" s="194">
        <f t="shared" si="8"/>
        <v>127772957.8</v>
      </c>
      <c r="E11" s="272">
        <f t="shared" si="8"/>
        <v>171863513</v>
      </c>
      <c r="F11" s="273">
        <f t="shared" si="8"/>
        <v>213223483</v>
      </c>
      <c r="G11" s="274">
        <f t="shared" si="8"/>
        <v>201218528</v>
      </c>
      <c r="H11" s="274">
        <f t="shared" si="8"/>
        <v>199339025</v>
      </c>
      <c r="I11" s="274">
        <f t="shared" ref="I11:N11" si="9">SUM(I12:I13)</f>
        <v>265160914</v>
      </c>
      <c r="J11" s="275">
        <f t="shared" si="9"/>
        <v>22258926.200000003</v>
      </c>
      <c r="K11" s="275">
        <f t="shared" si="9"/>
        <v>42611349.219999999</v>
      </c>
      <c r="L11" s="275">
        <f t="shared" si="9"/>
        <v>62644163.810000002</v>
      </c>
      <c r="M11" s="275">
        <f t="shared" si="9"/>
        <v>82902355.710000008</v>
      </c>
      <c r="N11" s="275">
        <f t="shared" si="9"/>
        <v>105405509</v>
      </c>
      <c r="O11" s="275">
        <f t="shared" ref="O11:U11" si="10">SUM(O12:O13)</f>
        <v>126979040.58</v>
      </c>
      <c r="P11" s="275">
        <f t="shared" si="10"/>
        <v>149173992.72</v>
      </c>
      <c r="Q11" s="275">
        <f t="shared" si="10"/>
        <v>171724064.35999998</v>
      </c>
      <c r="R11" s="275">
        <f t="shared" si="10"/>
        <v>195411614.74000001</v>
      </c>
      <c r="S11" s="275">
        <f t="shared" si="10"/>
        <v>218586117.25999999</v>
      </c>
      <c r="T11" s="275">
        <f t="shared" si="10"/>
        <v>266071119.20999998</v>
      </c>
      <c r="U11" s="275">
        <f t="shared" si="10"/>
        <v>294910222.02999997</v>
      </c>
      <c r="V11" s="275">
        <f t="shared" ref="V11:AB11" si="11">SUM(V12:V13)</f>
        <v>272228846</v>
      </c>
      <c r="W11" s="274">
        <f>SUM(W12:W13)</f>
        <v>325832925</v>
      </c>
      <c r="X11" s="274">
        <f t="shared" si="11"/>
        <v>461128045.48000002</v>
      </c>
      <c r="Y11" s="275">
        <f t="shared" si="11"/>
        <v>513164979</v>
      </c>
      <c r="Z11" s="318">
        <f t="shared" si="11"/>
        <v>41274094.57</v>
      </c>
      <c r="AA11" s="275">
        <f t="shared" si="11"/>
        <v>80473912.010000005</v>
      </c>
      <c r="AB11" s="275">
        <f t="shared" si="11"/>
        <v>121082911.47999999</v>
      </c>
      <c r="AC11" s="275">
        <f>SUM(AC12:AC13)</f>
        <v>160458617.78999999</v>
      </c>
      <c r="AD11" s="275">
        <f>SUM(AD12:AD13)</f>
        <v>203258008.62</v>
      </c>
      <c r="AE11" s="275">
        <f>SUM(AE12:AE13)</f>
        <v>245501929.83000001</v>
      </c>
      <c r="AF11" s="275">
        <f t="shared" ref="AF11:AG11" si="12">SUM(AF12:AF13)</f>
        <v>288253927.40999997</v>
      </c>
      <c r="AG11" s="275">
        <f t="shared" si="12"/>
        <v>330338394.61000001</v>
      </c>
      <c r="AH11" s="275">
        <f t="shared" ref="AH11:AL11" si="13">SUM(AH12:AH13)</f>
        <v>372392385.80000001</v>
      </c>
      <c r="AI11" s="275">
        <f t="shared" si="13"/>
        <v>414014868.44999999</v>
      </c>
      <c r="AJ11" s="275">
        <f t="shared" si="13"/>
        <v>472435875.78999996</v>
      </c>
      <c r="AK11" s="275">
        <f t="shared" si="13"/>
        <v>527285140.54000002</v>
      </c>
      <c r="AL11" s="352">
        <f t="shared" si="13"/>
        <v>452871508</v>
      </c>
      <c r="AM11" s="352">
        <f t="shared" ref="AM11:AY11" si="14">SUM(AM12:AM13)</f>
        <v>44297252.009999998</v>
      </c>
      <c r="AN11" s="352">
        <f t="shared" si="14"/>
        <v>87565232.510000005</v>
      </c>
      <c r="AO11" s="352">
        <f t="shared" si="14"/>
        <v>132416504.31</v>
      </c>
      <c r="AP11" s="352">
        <f t="shared" si="14"/>
        <v>177482560.40000001</v>
      </c>
      <c r="AQ11" s="352">
        <f t="shared" si="14"/>
        <v>221369760.19</v>
      </c>
      <c r="AR11" s="352">
        <f t="shared" si="14"/>
        <v>267046480.97</v>
      </c>
      <c r="AS11" s="352">
        <f t="shared" si="14"/>
        <v>326370489.79999995</v>
      </c>
      <c r="AT11" s="352">
        <f t="shared" si="14"/>
        <v>376597469.35000002</v>
      </c>
      <c r="AU11" s="352">
        <f t="shared" si="14"/>
        <v>426633302.04000002</v>
      </c>
      <c r="AV11" s="352">
        <f t="shared" si="14"/>
        <v>473846700.77999997</v>
      </c>
      <c r="AW11" s="352">
        <f t="shared" si="14"/>
        <v>524883883.35000002</v>
      </c>
      <c r="AX11" s="352">
        <f t="shared" si="14"/>
        <v>569994854.26999998</v>
      </c>
      <c r="AY11" s="352">
        <f t="shared" ref="AY11:BF11" si="15">SUM(AY12:AY13)</f>
        <v>625333320</v>
      </c>
      <c r="AZ11" s="352">
        <f t="shared" si="15"/>
        <v>49925573.790000007</v>
      </c>
      <c r="BA11" s="352">
        <f t="shared" si="15"/>
        <v>100649446.83</v>
      </c>
      <c r="BB11" s="352">
        <f t="shared" si="15"/>
        <v>154794371.66999999</v>
      </c>
      <c r="BC11" s="352">
        <f t="shared" si="15"/>
        <v>204870051.09</v>
      </c>
      <c r="BD11" s="352">
        <f t="shared" si="15"/>
        <v>258320910.34</v>
      </c>
      <c r="BE11" s="352">
        <f t="shared" si="15"/>
        <v>312243527.25</v>
      </c>
      <c r="BF11" s="352">
        <f t="shared" si="15"/>
        <v>363815767.94999999</v>
      </c>
    </row>
    <row r="12" spans="1:58" ht="15.75">
      <c r="A12" s="193">
        <v>2.1</v>
      </c>
      <c r="B12" s="193" t="s">
        <v>95</v>
      </c>
      <c r="C12" s="193">
        <v>67225127</v>
      </c>
      <c r="D12" s="208">
        <v>82427924.099999994</v>
      </c>
      <c r="E12" s="276">
        <f>135798607+3563922</f>
        <v>139362529</v>
      </c>
      <c r="F12" s="277">
        <v>176582685</v>
      </c>
      <c r="G12" s="278">
        <v>185123085</v>
      </c>
      <c r="H12" s="279">
        <f>6430246+192908779</f>
        <v>199339025</v>
      </c>
      <c r="I12" s="209">
        <f>15547269+208483419</f>
        <v>224030688</v>
      </c>
      <c r="J12" s="210">
        <v>16403062.300000001</v>
      </c>
      <c r="K12" s="210">
        <v>32799725.620000001</v>
      </c>
      <c r="L12" s="210">
        <v>49532687.710000001</v>
      </c>
      <c r="M12" s="280">
        <v>66592721.170000002</v>
      </c>
      <c r="N12" s="280">
        <v>84208039.049999997</v>
      </c>
      <c r="O12" s="280">
        <v>102197554.06</v>
      </c>
      <c r="P12" s="280">
        <v>120758119.55</v>
      </c>
      <c r="Q12" s="280">
        <v>139928286.63999999</v>
      </c>
      <c r="R12" s="280">
        <v>160256445.40000001</v>
      </c>
      <c r="S12" s="280">
        <v>180849140.75</v>
      </c>
      <c r="T12" s="280">
        <v>200033457.09999999</v>
      </c>
      <c r="U12" s="280">
        <v>218702207.91</v>
      </c>
      <c r="V12" s="280">
        <f>19085479+206555811</f>
        <v>225641290</v>
      </c>
      <c r="W12" s="278">
        <v>325832925</v>
      </c>
      <c r="X12" s="278">
        <v>375597057.75</v>
      </c>
      <c r="Y12" s="208">
        <f>373570484</f>
        <v>373570484</v>
      </c>
      <c r="Z12" s="319">
        <v>33549968.27</v>
      </c>
      <c r="AA12" s="214">
        <v>67275547.609999999</v>
      </c>
      <c r="AB12" s="323">
        <v>101606223.58</v>
      </c>
      <c r="AC12" s="329">
        <v>136470683.19</v>
      </c>
      <c r="AD12" s="329">
        <v>172270458.12</v>
      </c>
      <c r="AE12" s="329">
        <v>208713531.83000001</v>
      </c>
      <c r="AF12" s="335">
        <v>246088749.50999999</v>
      </c>
      <c r="AG12" s="337">
        <v>283966991.31</v>
      </c>
      <c r="AH12" s="335">
        <v>322308275.19999999</v>
      </c>
      <c r="AI12" s="347">
        <v>360709914.14999998</v>
      </c>
      <c r="AJ12" s="347">
        <v>399200147.38999999</v>
      </c>
      <c r="AK12" s="335">
        <v>439248248.04000002</v>
      </c>
      <c r="AL12" s="350">
        <v>452871508</v>
      </c>
      <c r="AM12" s="335">
        <v>38683721.609999999</v>
      </c>
      <c r="AN12" s="347">
        <v>76843586.310000002</v>
      </c>
      <c r="AO12" s="347">
        <v>115693065.31</v>
      </c>
      <c r="AP12" s="347">
        <v>155062818.5</v>
      </c>
      <c r="AQ12" s="347">
        <v>193858119.38999999</v>
      </c>
      <c r="AR12" s="347">
        <v>234950203.37</v>
      </c>
      <c r="AS12" s="347">
        <v>277086562.89999998</v>
      </c>
      <c r="AT12" s="347">
        <v>316835535.85000002</v>
      </c>
      <c r="AU12" s="347">
        <v>357525447.54000002</v>
      </c>
      <c r="AV12" s="347">
        <v>398674787.38</v>
      </c>
      <c r="AW12" s="347">
        <v>442116046.05000001</v>
      </c>
      <c r="AX12" s="347">
        <v>485316811.76999998</v>
      </c>
      <c r="AY12" s="173">
        <v>485316812</v>
      </c>
      <c r="AZ12" s="335">
        <v>42709547.090000004</v>
      </c>
      <c r="BA12" s="347">
        <v>85887961.829999998</v>
      </c>
      <c r="BB12" s="347">
        <v>130225229.27</v>
      </c>
      <c r="BC12" s="347">
        <v>175649080.49000001</v>
      </c>
      <c r="BD12" s="335">
        <v>222084859.84</v>
      </c>
      <c r="BE12" s="347">
        <v>269054769.44999999</v>
      </c>
      <c r="BF12" s="455">
        <v>316337898.55000001</v>
      </c>
    </row>
    <row r="13" spans="1:58" ht="15.75">
      <c r="A13" s="193">
        <v>2.2000000000000002</v>
      </c>
      <c r="B13" s="193" t="s">
        <v>96</v>
      </c>
      <c r="C13" s="193">
        <f>8230741-1584673</f>
        <v>6646068</v>
      </c>
      <c r="D13" s="208">
        <v>45345033.700000003</v>
      </c>
      <c r="E13" s="276">
        <v>32500984</v>
      </c>
      <c r="F13" s="277">
        <v>36640798</v>
      </c>
      <c r="G13" s="281">
        <v>16095443</v>
      </c>
      <c r="H13" s="279"/>
      <c r="I13" s="209">
        <f>14238976+26891250</f>
        <v>41130226</v>
      </c>
      <c r="J13" s="210">
        <v>5855863.9000000004</v>
      </c>
      <c r="K13" s="210">
        <v>9811623.5999999996</v>
      </c>
      <c r="L13" s="210">
        <v>13111476.1</v>
      </c>
      <c r="M13" s="282">
        <v>16309634.539999999</v>
      </c>
      <c r="N13" s="282">
        <v>21197469.949999999</v>
      </c>
      <c r="O13" s="282">
        <v>24781486.52</v>
      </c>
      <c r="P13" s="282">
        <v>28415873.170000002</v>
      </c>
      <c r="Q13" s="282">
        <v>31795777.719999999</v>
      </c>
      <c r="R13" s="282">
        <v>35155169.340000004</v>
      </c>
      <c r="S13" s="282">
        <v>37736976.509999998</v>
      </c>
      <c r="T13" s="282">
        <v>66037662.109999999</v>
      </c>
      <c r="U13" s="282">
        <v>76208014.120000005</v>
      </c>
      <c r="V13" s="282">
        <f>46587556</f>
        <v>46587556</v>
      </c>
      <c r="W13" s="214">
        <v>0</v>
      </c>
      <c r="X13" s="281">
        <v>85530987.730000004</v>
      </c>
      <c r="Y13" s="208">
        <f>88161102+51433393</f>
        <v>139594495</v>
      </c>
      <c r="Z13" s="319">
        <v>7724126.2999999998</v>
      </c>
      <c r="AA13" s="214">
        <v>13198364.4</v>
      </c>
      <c r="AB13" s="323">
        <v>19476687.899999999</v>
      </c>
      <c r="AC13" s="329">
        <v>23987934.600000001</v>
      </c>
      <c r="AD13" s="329">
        <v>30987550.5</v>
      </c>
      <c r="AE13" s="329">
        <v>36788398</v>
      </c>
      <c r="AF13" s="337">
        <v>42165177.899999999</v>
      </c>
      <c r="AG13" s="337">
        <v>46371403.299999997</v>
      </c>
      <c r="AH13" s="337">
        <v>50084110.600000001</v>
      </c>
      <c r="AI13" s="349">
        <v>53304954.299999997</v>
      </c>
      <c r="AJ13" s="349">
        <v>73235728.400000006</v>
      </c>
      <c r="AK13" s="337">
        <v>88036892.5</v>
      </c>
      <c r="AM13" s="337">
        <v>5613530.4000000004</v>
      </c>
      <c r="AN13" s="349">
        <v>10721646.199999999</v>
      </c>
      <c r="AO13" s="349">
        <v>16723439</v>
      </c>
      <c r="AP13" s="349">
        <v>22419741.899999999</v>
      </c>
      <c r="AQ13" s="349">
        <v>27511640.800000001</v>
      </c>
      <c r="AR13" s="349">
        <v>32096277.600000001</v>
      </c>
      <c r="AS13" s="349">
        <v>49283926.899999999</v>
      </c>
      <c r="AT13" s="349">
        <v>59761933.5</v>
      </c>
      <c r="AU13" s="349">
        <v>69107854.5</v>
      </c>
      <c r="AV13" s="349">
        <v>75171913.400000006</v>
      </c>
      <c r="AW13" s="349">
        <v>82767837.299999997</v>
      </c>
      <c r="AX13" s="349">
        <v>84678042.5</v>
      </c>
      <c r="AY13" s="173">
        <f>79346054+60670454</f>
        <v>140016508</v>
      </c>
      <c r="AZ13" s="337">
        <v>7216026.7000000002</v>
      </c>
      <c r="BA13" s="349">
        <v>14761485</v>
      </c>
      <c r="BB13" s="349">
        <v>24569142.399999999</v>
      </c>
      <c r="BC13" s="349">
        <v>29220970.600000001</v>
      </c>
      <c r="BD13" s="337">
        <v>36236050.5</v>
      </c>
      <c r="BE13" s="349">
        <v>43188757.799999997</v>
      </c>
      <c r="BF13" s="457">
        <v>47477869.399999999</v>
      </c>
    </row>
    <row r="14" spans="1:58" ht="15.75">
      <c r="A14" s="193"/>
      <c r="B14" s="193"/>
      <c r="C14" s="193"/>
      <c r="D14" s="208"/>
      <c r="E14" s="283"/>
      <c r="F14" s="284"/>
      <c r="G14" s="285"/>
      <c r="H14" s="279"/>
      <c r="I14" s="216"/>
      <c r="J14" s="187"/>
      <c r="K14" s="187"/>
      <c r="L14" s="187"/>
      <c r="M14" s="286"/>
      <c r="N14" s="286"/>
      <c r="O14" s="286"/>
      <c r="P14" s="286"/>
      <c r="Q14" s="286"/>
      <c r="R14" s="286"/>
      <c r="S14" s="286"/>
      <c r="T14" s="286"/>
      <c r="U14" s="286"/>
      <c r="V14" s="286"/>
      <c r="W14" s="285"/>
      <c r="X14" s="285"/>
      <c r="Y14" s="187"/>
      <c r="Z14" s="320"/>
      <c r="AA14" s="187"/>
      <c r="AB14" s="187"/>
      <c r="AC14" s="187"/>
      <c r="AD14" s="187"/>
      <c r="AE14" s="187"/>
      <c r="AF14" s="187"/>
      <c r="AG14" s="187"/>
      <c r="AM14" s="350"/>
      <c r="AN14" s="350"/>
      <c r="AO14" s="350"/>
      <c r="AP14" s="350"/>
      <c r="AQ14" s="350"/>
      <c r="AR14" s="350"/>
      <c r="AS14" s="350"/>
      <c r="AT14" s="350"/>
      <c r="AU14" s="350"/>
      <c r="AV14" s="350"/>
      <c r="AW14" s="350"/>
      <c r="AX14" s="350"/>
      <c r="AY14" s="173"/>
      <c r="BF14" s="458"/>
    </row>
    <row r="15" spans="1:58" ht="15.75">
      <c r="A15" s="193">
        <v>3</v>
      </c>
      <c r="B15" s="189" t="s">
        <v>97</v>
      </c>
      <c r="C15" s="271">
        <f t="shared" ref="C15:H15" si="16">SUM(C16:C19)</f>
        <v>7903025</v>
      </c>
      <c r="D15" s="195">
        <f t="shared" si="16"/>
        <v>43132528.25</v>
      </c>
      <c r="E15" s="195">
        <f t="shared" si="16"/>
        <v>63812280</v>
      </c>
      <c r="F15" s="287">
        <f t="shared" si="16"/>
        <v>74814135</v>
      </c>
      <c r="G15" s="274">
        <f t="shared" si="16"/>
        <v>76419845</v>
      </c>
      <c r="H15" s="274">
        <f t="shared" si="16"/>
        <v>115628398</v>
      </c>
      <c r="I15" s="274">
        <f t="shared" ref="I15:N15" si="17">SUM(I16:I19)</f>
        <v>121752357</v>
      </c>
      <c r="J15" s="275">
        <f t="shared" si="17"/>
        <v>3108225.87</v>
      </c>
      <c r="K15" s="275">
        <f t="shared" si="17"/>
        <v>6014421.79</v>
      </c>
      <c r="L15" s="275">
        <f t="shared" si="17"/>
        <v>8833672.6500000004</v>
      </c>
      <c r="M15" s="275">
        <f t="shared" si="17"/>
        <v>14393782.57</v>
      </c>
      <c r="N15" s="275">
        <f t="shared" si="17"/>
        <v>17814729.920000002</v>
      </c>
      <c r="O15" s="275">
        <f t="shared" ref="O15:AB15" si="18">SUM(O16:O19)</f>
        <v>20861948.050000001</v>
      </c>
      <c r="P15" s="275">
        <f t="shared" si="18"/>
        <v>23754119.27</v>
      </c>
      <c r="Q15" s="275">
        <f t="shared" si="18"/>
        <v>26677526.950000003</v>
      </c>
      <c r="R15" s="275">
        <f t="shared" si="18"/>
        <v>29287015.780000001</v>
      </c>
      <c r="S15" s="275">
        <f t="shared" si="18"/>
        <v>42587461.729999997</v>
      </c>
      <c r="T15" s="275">
        <f t="shared" si="18"/>
        <v>48139160.390000001</v>
      </c>
      <c r="U15" s="275">
        <f t="shared" si="18"/>
        <v>52427250.980000004</v>
      </c>
      <c r="V15" s="275">
        <f t="shared" si="18"/>
        <v>129426981</v>
      </c>
      <c r="W15" s="274">
        <f>SUM(W16:W19)</f>
        <v>256017552</v>
      </c>
      <c r="X15" s="274">
        <f>SUM(X16:X19)</f>
        <v>65065145.309999995</v>
      </c>
      <c r="Y15" s="275">
        <f t="shared" si="18"/>
        <v>98274892</v>
      </c>
      <c r="Z15" s="318">
        <f t="shared" si="18"/>
        <v>6397891.4000000004</v>
      </c>
      <c r="AA15" s="275">
        <f t="shared" si="18"/>
        <v>11043007.140000001</v>
      </c>
      <c r="AB15" s="275">
        <f t="shared" si="18"/>
        <v>16818056.969999999</v>
      </c>
      <c r="AC15" s="275">
        <f>SUM(AC16:AC19)</f>
        <v>22671288.84</v>
      </c>
      <c r="AD15" s="275">
        <f>SUM(AD16:AD19)</f>
        <v>27710019.849999998</v>
      </c>
      <c r="AE15" s="275">
        <f>SUM(AE16:AE19)</f>
        <v>34117034.289999999</v>
      </c>
      <c r="AF15" s="275">
        <f t="shared" ref="AF15:AG15" si="19">SUM(AF16:AF19)</f>
        <v>40217305</v>
      </c>
      <c r="AG15" s="275">
        <f t="shared" si="19"/>
        <v>44846242.850000001</v>
      </c>
      <c r="AH15" s="275">
        <f t="shared" ref="AH15:AL15" si="20">SUM(AH16:AH19)</f>
        <v>48840648.239999995</v>
      </c>
      <c r="AI15" s="275">
        <f t="shared" si="20"/>
        <v>61660478.509999998</v>
      </c>
      <c r="AJ15" s="275">
        <f t="shared" si="20"/>
        <v>66985500.810000002</v>
      </c>
      <c r="AK15" s="275">
        <f t="shared" si="20"/>
        <v>71622272.620000005</v>
      </c>
      <c r="AL15" s="352">
        <f t="shared" si="20"/>
        <v>241868209</v>
      </c>
      <c r="AM15" s="352">
        <f t="shared" ref="AM15:BF15" si="21">SUM(AM16:AM19)</f>
        <v>6008842.5700000003</v>
      </c>
      <c r="AN15" s="352">
        <f t="shared" si="21"/>
        <v>11345829.800000001</v>
      </c>
      <c r="AO15" s="352">
        <f t="shared" si="21"/>
        <v>17133960.640000001</v>
      </c>
      <c r="AP15" s="352">
        <f t="shared" si="21"/>
        <v>24487425.260000002</v>
      </c>
      <c r="AQ15" s="352">
        <f t="shared" si="21"/>
        <v>30529275.369999997</v>
      </c>
      <c r="AR15" s="352">
        <f t="shared" si="21"/>
        <v>37158800.200000003</v>
      </c>
      <c r="AS15" s="352">
        <f t="shared" si="21"/>
        <v>53921881.690000005</v>
      </c>
      <c r="AT15" s="352">
        <f t="shared" si="21"/>
        <v>59314109.93</v>
      </c>
      <c r="AU15" s="352">
        <f t="shared" si="21"/>
        <v>64722682.630000003</v>
      </c>
      <c r="AV15" s="352">
        <f t="shared" si="21"/>
        <v>70133570.030000001</v>
      </c>
      <c r="AW15" s="352">
        <f t="shared" si="21"/>
        <v>75697508.650000006</v>
      </c>
      <c r="AX15" s="352">
        <f t="shared" si="21"/>
        <v>81569777.849999994</v>
      </c>
      <c r="AY15" s="352">
        <f t="shared" si="21"/>
        <v>163821178</v>
      </c>
      <c r="AZ15" s="352">
        <f t="shared" si="21"/>
        <v>13567109.109999999</v>
      </c>
      <c r="BA15" s="352">
        <f t="shared" si="21"/>
        <v>20110326.849999998</v>
      </c>
      <c r="BB15" s="352">
        <f t="shared" si="21"/>
        <v>28890036.23</v>
      </c>
      <c r="BC15" s="352">
        <f t="shared" si="21"/>
        <v>35522633.330000006</v>
      </c>
      <c r="BD15" s="352">
        <f t="shared" si="21"/>
        <v>42968009.5</v>
      </c>
      <c r="BE15" s="352">
        <f t="shared" si="21"/>
        <v>49425252.899999999</v>
      </c>
      <c r="BF15" s="352">
        <f t="shared" si="21"/>
        <v>55860065.609999999</v>
      </c>
    </row>
    <row r="16" spans="1:58" ht="15.75">
      <c r="A16" s="193">
        <v>3.1</v>
      </c>
      <c r="B16" s="193" t="s">
        <v>98</v>
      </c>
      <c r="C16" s="193"/>
      <c r="D16" s="208"/>
      <c r="E16" s="288"/>
      <c r="F16" s="284"/>
      <c r="G16" s="278"/>
      <c r="H16" s="279"/>
      <c r="I16" s="209"/>
      <c r="J16" s="210">
        <v>0</v>
      </c>
      <c r="K16" s="210">
        <v>0</v>
      </c>
      <c r="L16" s="210">
        <v>0</v>
      </c>
      <c r="M16" s="280"/>
      <c r="N16" s="280"/>
      <c r="O16" s="280"/>
      <c r="P16" s="280"/>
      <c r="Q16" s="280"/>
      <c r="R16" s="280"/>
      <c r="S16" s="280"/>
      <c r="T16" s="280"/>
      <c r="U16" s="280"/>
      <c r="V16" s="280"/>
      <c r="W16" s="214">
        <v>0</v>
      </c>
      <c r="X16" s="278">
        <v>1212386.3899999999</v>
      </c>
      <c r="Y16" s="214">
        <v>0</v>
      </c>
      <c r="Z16" s="319">
        <v>363934.58</v>
      </c>
      <c r="AA16" s="214">
        <v>727869.16</v>
      </c>
      <c r="AB16" s="323">
        <v>1091803.74</v>
      </c>
      <c r="AC16" s="329">
        <v>1455738.32</v>
      </c>
      <c r="AD16" s="329">
        <v>1819672.9</v>
      </c>
      <c r="AE16" s="329">
        <v>2183607.48</v>
      </c>
      <c r="AF16" s="335">
        <v>2451306.29</v>
      </c>
      <c r="AG16" s="337">
        <v>2804849.62</v>
      </c>
      <c r="AH16" s="347">
        <v>3158392.95</v>
      </c>
      <c r="AI16" s="347">
        <v>3511936.28</v>
      </c>
      <c r="AJ16" s="347">
        <v>3756359.38</v>
      </c>
      <c r="AK16" s="335">
        <v>4131862.39</v>
      </c>
      <c r="AL16" s="353"/>
      <c r="AM16" s="335">
        <v>375503.01</v>
      </c>
      <c r="AN16" s="347">
        <v>751006.02</v>
      </c>
      <c r="AO16" s="347">
        <v>1126509.03</v>
      </c>
      <c r="AP16" s="347">
        <v>1502012.04</v>
      </c>
      <c r="AQ16" s="347">
        <v>1877515.05</v>
      </c>
      <c r="AR16" s="347">
        <v>2253018.06</v>
      </c>
      <c r="AS16" s="347">
        <v>2628521.0699999998</v>
      </c>
      <c r="AT16" s="347">
        <v>2857399.08</v>
      </c>
      <c r="AU16" s="347">
        <v>3086277.09</v>
      </c>
      <c r="AV16" s="347">
        <v>3315155.1</v>
      </c>
      <c r="AW16" s="347">
        <v>3315155.1</v>
      </c>
      <c r="AX16" s="347">
        <v>3525586.22</v>
      </c>
      <c r="AY16" s="173"/>
      <c r="AZ16" s="415">
        <v>0</v>
      </c>
      <c r="BA16" s="416">
        <v>0</v>
      </c>
      <c r="BB16" s="416">
        <v>0</v>
      </c>
      <c r="BC16" s="416">
        <v>0</v>
      </c>
      <c r="BD16" s="415">
        <v>0</v>
      </c>
      <c r="BE16" s="416">
        <v>0</v>
      </c>
      <c r="BF16" s="454">
        <v>0</v>
      </c>
    </row>
    <row r="17" spans="1:58" ht="24.75" customHeight="1">
      <c r="A17" s="193">
        <v>3.2</v>
      </c>
      <c r="B17" s="188" t="s">
        <v>99</v>
      </c>
      <c r="C17" s="188"/>
      <c r="D17" s="208">
        <v>744599.53</v>
      </c>
      <c r="E17" s="276">
        <v>7264605</v>
      </c>
      <c r="F17" s="284"/>
      <c r="G17" s="278">
        <v>13488763</v>
      </c>
      <c r="H17" s="279">
        <v>19215771</v>
      </c>
      <c r="I17" s="209">
        <v>32843403</v>
      </c>
      <c r="J17" s="210">
        <v>0</v>
      </c>
      <c r="K17" s="210">
        <v>0</v>
      </c>
      <c r="L17" s="210">
        <v>0</v>
      </c>
      <c r="M17" s="280"/>
      <c r="N17" s="280">
        <v>163742.5</v>
      </c>
      <c r="O17" s="280">
        <v>163742.5</v>
      </c>
      <c r="P17" s="280">
        <v>328303.69</v>
      </c>
      <c r="Q17" s="280">
        <v>328303.69</v>
      </c>
      <c r="R17" s="280">
        <v>328303.69</v>
      </c>
      <c r="S17" s="280">
        <v>328303.69</v>
      </c>
      <c r="T17" s="280">
        <v>493687.69</v>
      </c>
      <c r="U17" s="280">
        <v>659898.59</v>
      </c>
      <c r="V17" s="280">
        <f>46159306</f>
        <v>46159306</v>
      </c>
      <c r="W17" s="214">
        <v>0</v>
      </c>
      <c r="X17" s="278">
        <v>82503.87</v>
      </c>
      <c r="Y17" s="214">
        <v>0</v>
      </c>
      <c r="Z17" s="319">
        <v>91764.57</v>
      </c>
      <c r="AA17" s="214">
        <v>127776.76</v>
      </c>
      <c r="AB17" s="323">
        <v>134020.4</v>
      </c>
      <c r="AC17" s="329">
        <v>172163.92</v>
      </c>
      <c r="AD17" s="329">
        <v>182578.18</v>
      </c>
      <c r="AE17" s="329">
        <v>195696.2</v>
      </c>
      <c r="AF17" s="337">
        <v>218699.51999999999</v>
      </c>
      <c r="AG17" s="337">
        <v>266179.15999999997</v>
      </c>
      <c r="AH17" s="349">
        <v>278307.03000000003</v>
      </c>
      <c r="AI17" s="349">
        <v>356913.33</v>
      </c>
      <c r="AJ17" s="349">
        <v>371285.66</v>
      </c>
      <c r="AK17" s="337">
        <v>375928.39</v>
      </c>
      <c r="AL17" s="353"/>
      <c r="AM17" s="337">
        <v>20724.91</v>
      </c>
      <c r="AN17" s="349">
        <v>48507.73</v>
      </c>
      <c r="AO17" s="349">
        <v>56757.2</v>
      </c>
      <c r="AP17" s="349">
        <v>62224.62</v>
      </c>
      <c r="AQ17" s="349">
        <v>77353.83</v>
      </c>
      <c r="AR17" s="349">
        <v>77353.83</v>
      </c>
      <c r="AS17" s="349">
        <v>116192.7</v>
      </c>
      <c r="AT17" s="349">
        <v>121345.73</v>
      </c>
      <c r="AU17" s="349">
        <v>132692.54999999999</v>
      </c>
      <c r="AV17" s="349">
        <v>146172.62</v>
      </c>
      <c r="AW17" s="349">
        <v>163935.51999999999</v>
      </c>
      <c r="AX17" s="349">
        <v>169397.19</v>
      </c>
      <c r="AY17" s="173">
        <v>127876850</v>
      </c>
      <c r="AZ17" s="337">
        <v>25234.62</v>
      </c>
      <c r="BA17" s="349">
        <v>34439.769999999997</v>
      </c>
      <c r="BB17" s="349">
        <v>53118.63</v>
      </c>
      <c r="BC17" s="349">
        <v>78102.09</v>
      </c>
      <c r="BD17" s="337">
        <v>110870.12</v>
      </c>
      <c r="BE17" s="349">
        <v>146247.96</v>
      </c>
      <c r="BF17" s="457">
        <v>186246.12</v>
      </c>
    </row>
    <row r="18" spans="1:58" ht="30.75" customHeight="1">
      <c r="A18" s="193">
        <v>3.3</v>
      </c>
      <c r="B18" s="188" t="s">
        <v>100</v>
      </c>
      <c r="C18" s="188">
        <v>7486550</v>
      </c>
      <c r="D18" s="208"/>
      <c r="E18" s="288">
        <v>3609778</v>
      </c>
      <c r="F18" s="277">
        <v>17727545</v>
      </c>
      <c r="G18" s="278">
        <v>10161679</v>
      </c>
      <c r="H18" s="279">
        <v>12882628</v>
      </c>
      <c r="I18" s="209">
        <v>18850066</v>
      </c>
      <c r="J18" s="210">
        <v>0</v>
      </c>
      <c r="K18" s="210">
        <v>0</v>
      </c>
      <c r="L18" s="210">
        <v>0</v>
      </c>
      <c r="M18" s="280"/>
      <c r="N18" s="280"/>
      <c r="O18" s="280"/>
      <c r="P18" s="280"/>
      <c r="Q18" s="280"/>
      <c r="R18" s="280"/>
      <c r="S18" s="280"/>
      <c r="T18" s="280"/>
      <c r="U18" s="280"/>
      <c r="V18" s="280">
        <f>8989071</f>
        <v>8989071</v>
      </c>
      <c r="W18" s="326">
        <v>97520095</v>
      </c>
      <c r="X18" s="278"/>
      <c r="Y18" s="208">
        <f>13010358+76138677</f>
        <v>89149035</v>
      </c>
      <c r="Z18" s="319">
        <v>0</v>
      </c>
      <c r="AA18" s="214">
        <v>0</v>
      </c>
      <c r="AB18" s="323">
        <v>0</v>
      </c>
      <c r="AC18" s="329">
        <v>0</v>
      </c>
      <c r="AD18" s="329">
        <v>0</v>
      </c>
      <c r="AE18" s="329">
        <v>0</v>
      </c>
      <c r="AF18" s="336">
        <v>0</v>
      </c>
      <c r="AG18" s="329"/>
      <c r="AH18" s="329"/>
      <c r="AI18" s="329"/>
      <c r="AJ18" s="329"/>
      <c r="AK18" s="336">
        <v>0</v>
      </c>
      <c r="AL18" s="354">
        <f>19029527+69970286</f>
        <v>88999813</v>
      </c>
      <c r="AM18" s="336">
        <v>0</v>
      </c>
      <c r="AN18" s="348">
        <v>0</v>
      </c>
      <c r="AO18" s="348">
        <v>0</v>
      </c>
      <c r="AP18" s="348">
        <v>0</v>
      </c>
      <c r="AQ18" s="348">
        <v>0</v>
      </c>
      <c r="AR18" s="348">
        <v>0</v>
      </c>
      <c r="AS18" s="348">
        <v>0</v>
      </c>
      <c r="AT18" s="348">
        <v>0</v>
      </c>
      <c r="AU18" s="348">
        <v>0</v>
      </c>
      <c r="AV18" s="348">
        <v>0</v>
      </c>
      <c r="AW18" s="348">
        <v>0</v>
      </c>
      <c r="AX18" s="348">
        <v>0</v>
      </c>
      <c r="AY18" s="173">
        <v>13408029</v>
      </c>
      <c r="AZ18" s="336">
        <v>0</v>
      </c>
      <c r="BA18" s="348">
        <v>0</v>
      </c>
      <c r="BB18" s="348">
        <v>0</v>
      </c>
      <c r="BC18" s="348">
        <v>0</v>
      </c>
      <c r="BD18" s="336">
        <v>0</v>
      </c>
      <c r="BE18" s="348">
        <v>0</v>
      </c>
      <c r="BF18" s="456">
        <v>0</v>
      </c>
    </row>
    <row r="19" spans="1:58" ht="15.75">
      <c r="A19" s="193">
        <v>3.4</v>
      </c>
      <c r="B19" s="193" t="s">
        <v>101</v>
      </c>
      <c r="C19" s="188">
        <f>453968+1528560-1566053</f>
        <v>416475</v>
      </c>
      <c r="D19" s="208">
        <v>42387928.719999999</v>
      </c>
      <c r="E19" s="276">
        <v>52937897</v>
      </c>
      <c r="F19" s="277">
        <v>57086590</v>
      </c>
      <c r="G19" s="278">
        <f>44053130+1269644+3387710+1558378+596150+1904391</f>
        <v>52769403</v>
      </c>
      <c r="H19" s="279">
        <f>46729689+1480900+1607200+30074574+664995+2972641</f>
        <v>83529999</v>
      </c>
      <c r="I19" s="289">
        <f>61215815+550+3642865+1243224+3956434</f>
        <v>70058888</v>
      </c>
      <c r="J19" s="290">
        <v>3108225.87</v>
      </c>
      <c r="K19" s="290">
        <v>6014421.79</v>
      </c>
      <c r="L19" s="290">
        <v>8833672.6500000004</v>
      </c>
      <c r="M19" s="280">
        <v>14393782.57</v>
      </c>
      <c r="N19" s="280">
        <v>17650987.420000002</v>
      </c>
      <c r="O19" s="280">
        <v>20698205.550000001</v>
      </c>
      <c r="P19" s="280">
        <v>23425815.579999998</v>
      </c>
      <c r="Q19" s="280">
        <v>26349223.260000002</v>
      </c>
      <c r="R19" s="280">
        <v>28958712.09</v>
      </c>
      <c r="S19" s="280">
        <v>42259158.039999999</v>
      </c>
      <c r="T19" s="280">
        <v>47645472.700000003</v>
      </c>
      <c r="U19" s="280">
        <v>51767352.390000001</v>
      </c>
      <c r="V19" s="280">
        <f>67205558+2187071+914040+3971935</f>
        <v>74278604</v>
      </c>
      <c r="W19" s="278">
        <v>158497457</v>
      </c>
      <c r="X19" s="278">
        <v>63770255.049999997</v>
      </c>
      <c r="Y19" s="208">
        <f>1034316+1144556+6946985</f>
        <v>9125857</v>
      </c>
      <c r="Z19" s="321">
        <v>5942192.25</v>
      </c>
      <c r="AA19" s="291">
        <v>10187361.220000001</v>
      </c>
      <c r="AB19" s="324">
        <v>15592232.83</v>
      </c>
      <c r="AC19" s="330">
        <v>21043386.600000001</v>
      </c>
      <c r="AD19" s="330">
        <v>25707768.77</v>
      </c>
      <c r="AE19" s="330">
        <v>31737730.609999999</v>
      </c>
      <c r="AF19" s="338">
        <v>37547299.189999998</v>
      </c>
      <c r="AG19" s="342">
        <v>41775214.07</v>
      </c>
      <c r="AH19" s="347">
        <v>45403948.259999998</v>
      </c>
      <c r="AI19" s="347">
        <v>57791628.899999999</v>
      </c>
      <c r="AJ19" s="347">
        <v>62857855.770000003</v>
      </c>
      <c r="AK19" s="420">
        <v>67114481.840000004</v>
      </c>
      <c r="AL19" s="355">
        <v>152868396</v>
      </c>
      <c r="AM19" s="417">
        <v>5612614.6500000004</v>
      </c>
      <c r="AN19" s="418">
        <v>10546316.050000001</v>
      </c>
      <c r="AO19" s="418">
        <v>15950694.41</v>
      </c>
      <c r="AP19" s="418">
        <v>22923188.600000001</v>
      </c>
      <c r="AQ19" s="418">
        <v>28574406.489999998</v>
      </c>
      <c r="AR19" s="418">
        <v>34828428.310000002</v>
      </c>
      <c r="AS19" s="418">
        <v>51177167.920000002</v>
      </c>
      <c r="AT19" s="418">
        <v>56335365.119999997</v>
      </c>
      <c r="AU19" s="418">
        <v>61503712.990000002</v>
      </c>
      <c r="AV19" s="418">
        <v>66672242.310000002</v>
      </c>
      <c r="AW19" s="418">
        <v>72218418.030000001</v>
      </c>
      <c r="AX19" s="418">
        <v>77874794.439999998</v>
      </c>
      <c r="AY19" s="173">
        <f>1813087+20494968+228244</f>
        <v>22536299</v>
      </c>
      <c r="AZ19" s="417">
        <v>13541874.49</v>
      </c>
      <c r="BA19" s="418">
        <v>20075887.079999998</v>
      </c>
      <c r="BB19" s="418">
        <v>28836917.600000001</v>
      </c>
      <c r="BC19" s="418">
        <v>35444531.240000002</v>
      </c>
      <c r="BD19" s="417">
        <v>42857139.380000003</v>
      </c>
      <c r="BE19" s="418">
        <v>49279004.939999998</v>
      </c>
      <c r="BF19" s="417">
        <v>55673819.490000002</v>
      </c>
    </row>
    <row r="20" spans="1:58">
      <c r="A20" s="193"/>
      <c r="B20" s="193"/>
      <c r="C20" s="193"/>
      <c r="D20" s="208"/>
      <c r="E20" s="283"/>
      <c r="F20" s="284"/>
      <c r="G20" s="285"/>
      <c r="H20" s="279"/>
      <c r="I20" s="216"/>
      <c r="J20" s="187"/>
      <c r="K20" s="187"/>
      <c r="L20" s="187"/>
      <c r="M20" s="286"/>
      <c r="N20" s="286"/>
      <c r="O20" s="286"/>
      <c r="P20" s="286"/>
      <c r="Q20" s="286"/>
      <c r="R20" s="286"/>
      <c r="S20" s="286"/>
      <c r="T20" s="286"/>
      <c r="U20" s="286"/>
      <c r="V20" s="286"/>
      <c r="W20" s="285"/>
      <c r="X20" s="285"/>
      <c r="Y20" s="187"/>
      <c r="Z20" s="320"/>
      <c r="AA20" s="187"/>
      <c r="AB20" s="187"/>
      <c r="AC20" s="187"/>
      <c r="AD20" s="187"/>
      <c r="AE20" s="187"/>
      <c r="AF20" s="187"/>
      <c r="AG20" s="187"/>
      <c r="AH20" s="187"/>
      <c r="AI20" s="187"/>
      <c r="AJ20" s="187"/>
      <c r="AK20" s="187"/>
      <c r="AL20" s="356"/>
      <c r="AM20" s="356"/>
      <c r="AN20" s="356"/>
      <c r="AO20" s="356"/>
      <c r="AP20" s="356"/>
      <c r="AQ20" s="356"/>
      <c r="AR20" s="356"/>
      <c r="AS20" s="356"/>
      <c r="AT20" s="356"/>
      <c r="AU20" s="356"/>
      <c r="AV20" s="356"/>
      <c r="AW20" s="356"/>
      <c r="AX20" s="356"/>
      <c r="AY20" s="173"/>
    </row>
    <row r="21" spans="1:58" ht="15.75">
      <c r="A21" s="193">
        <v>4</v>
      </c>
      <c r="B21" s="189" t="s">
        <v>102</v>
      </c>
      <c r="C21" s="271">
        <f>SUM(C22:C28)</f>
        <v>35625225</v>
      </c>
      <c r="D21" s="195">
        <f>SUM(D22:D28)</f>
        <v>22039303.5</v>
      </c>
      <c r="E21" s="195">
        <f>SUM(E22:E28)</f>
        <v>70050995</v>
      </c>
      <c r="F21" s="287">
        <f>SUM(F22:F28)</f>
        <v>100541517</v>
      </c>
      <c r="G21" s="274">
        <f t="shared" ref="G21:L21" si="22">G22+G23+G24+G25+G27+G28</f>
        <v>84023090</v>
      </c>
      <c r="H21" s="274">
        <f t="shared" si="22"/>
        <v>84894530</v>
      </c>
      <c r="I21" s="274">
        <f t="shared" si="22"/>
        <v>120804092</v>
      </c>
      <c r="J21" s="275">
        <f t="shared" si="22"/>
        <v>7692621.6500000004</v>
      </c>
      <c r="K21" s="275">
        <f t="shared" si="22"/>
        <v>19009377.050000001</v>
      </c>
      <c r="L21" s="275">
        <f t="shared" si="22"/>
        <v>27746255.600000001</v>
      </c>
      <c r="M21" s="275">
        <f t="shared" ref="M21:R21" si="23">M22+M23+M24+M25+M27+M28</f>
        <v>37506435.850000001</v>
      </c>
      <c r="N21" s="275">
        <f t="shared" si="23"/>
        <v>49227970.149999999</v>
      </c>
      <c r="O21" s="275">
        <f t="shared" si="23"/>
        <v>58108945.899999999</v>
      </c>
      <c r="P21" s="275">
        <f t="shared" si="23"/>
        <v>66895387.899999999</v>
      </c>
      <c r="Q21" s="275">
        <f t="shared" si="23"/>
        <v>75864762.5</v>
      </c>
      <c r="R21" s="275">
        <f t="shared" si="23"/>
        <v>84853191.349999994</v>
      </c>
      <c r="S21" s="275">
        <f t="shared" ref="S21:AB21" si="24">S22+S23+S24+S25+S27+S28</f>
        <v>94639053.049999997</v>
      </c>
      <c r="T21" s="275">
        <f t="shared" si="24"/>
        <v>106356910.05000001</v>
      </c>
      <c r="U21" s="275">
        <f t="shared" si="24"/>
        <v>134650701.66999999</v>
      </c>
      <c r="V21" s="275">
        <f t="shared" si="24"/>
        <v>134650702</v>
      </c>
      <c r="W21" s="274">
        <f>W22+W23+W24+W25+W27+W28</f>
        <v>200391442</v>
      </c>
      <c r="X21" s="274">
        <f t="shared" si="24"/>
        <v>35557148.980000004</v>
      </c>
      <c r="Y21" s="275">
        <f t="shared" si="24"/>
        <v>233677020</v>
      </c>
      <c r="Z21" s="318">
        <f t="shared" si="24"/>
        <v>23283436.109999999</v>
      </c>
      <c r="AA21" s="275">
        <f t="shared" si="24"/>
        <v>46345245.760000005</v>
      </c>
      <c r="AB21" s="275">
        <f t="shared" si="24"/>
        <v>69705751.030000001</v>
      </c>
      <c r="AC21" s="275">
        <f>AC22+AC23+AC24+AC25+AC27+AC28</f>
        <v>93007502.540000007</v>
      </c>
      <c r="AD21" s="275">
        <f>AD22+AD23+AD24+AD25+AD27+AD28</f>
        <v>116503644.8</v>
      </c>
      <c r="AE21" s="275">
        <f>AE22+AE23+AE24+AE25+AE27+AE28</f>
        <v>139894173.97999999</v>
      </c>
      <c r="AF21" s="275">
        <f t="shared" ref="AF21:AG21" si="25">AF22+AF23+AF24+AF25+AF27+AF28</f>
        <v>163202111.38999999</v>
      </c>
      <c r="AG21" s="275">
        <f t="shared" si="25"/>
        <v>186377142.59</v>
      </c>
      <c r="AH21" s="275">
        <f t="shared" ref="AH21:BF21" si="26">AH22+AH23+AH24+AH25+AH27+AH28</f>
        <v>209554754.78999999</v>
      </c>
      <c r="AI21" s="275">
        <f t="shared" si="26"/>
        <v>232851331.19</v>
      </c>
      <c r="AJ21" s="275">
        <f t="shared" si="26"/>
        <v>256408061.73000002</v>
      </c>
      <c r="AK21" s="275">
        <f t="shared" si="26"/>
        <v>280005054.69999999</v>
      </c>
      <c r="AL21" s="352">
        <f t="shared" si="26"/>
        <v>283673877</v>
      </c>
      <c r="AM21" s="352">
        <f t="shared" si="26"/>
        <v>28100347.530000001</v>
      </c>
      <c r="AN21" s="352">
        <f t="shared" si="26"/>
        <v>56828276.909999996</v>
      </c>
      <c r="AO21" s="352">
        <f t="shared" si="26"/>
        <v>85756246.920000002</v>
      </c>
      <c r="AP21" s="352">
        <f t="shared" si="26"/>
        <v>114969815</v>
      </c>
      <c r="AQ21" s="352">
        <f t="shared" si="26"/>
        <v>144751524.37</v>
      </c>
      <c r="AR21" s="352">
        <f t="shared" si="26"/>
        <v>174354578.53</v>
      </c>
      <c r="AS21" s="352">
        <f t="shared" si="26"/>
        <v>204599196.32999998</v>
      </c>
      <c r="AT21" s="352">
        <f t="shared" si="26"/>
        <v>234760870.22999999</v>
      </c>
      <c r="AU21" s="352">
        <f t="shared" si="26"/>
        <v>264949916.97</v>
      </c>
      <c r="AV21" s="352">
        <f t="shared" si="26"/>
        <v>294939221.17999995</v>
      </c>
      <c r="AW21" s="352">
        <f t="shared" si="26"/>
        <v>324681943.41999996</v>
      </c>
      <c r="AX21" s="352">
        <f t="shared" si="26"/>
        <v>356226075.43000001</v>
      </c>
      <c r="AY21" s="352">
        <f t="shared" si="26"/>
        <v>330405423</v>
      </c>
      <c r="AZ21" s="352">
        <f t="shared" si="26"/>
        <v>35248194.310000002</v>
      </c>
      <c r="BA21" s="352">
        <f t="shared" si="26"/>
        <v>70728636.120000005</v>
      </c>
      <c r="BB21" s="352">
        <f t="shared" si="26"/>
        <v>105947508.91999999</v>
      </c>
      <c r="BC21" s="352">
        <f t="shared" si="26"/>
        <v>112605875.39999999</v>
      </c>
      <c r="BD21" s="352">
        <f t="shared" si="26"/>
        <v>149242604.91999999</v>
      </c>
      <c r="BE21" s="352">
        <f t="shared" si="26"/>
        <v>201195375.41</v>
      </c>
      <c r="BF21" s="352">
        <f t="shared" si="26"/>
        <v>231182816.87</v>
      </c>
    </row>
    <row r="22" spans="1:58" ht="15.75">
      <c r="A22" s="193">
        <v>4.2</v>
      </c>
      <c r="B22" s="193" t="s">
        <v>103</v>
      </c>
      <c r="C22" s="193"/>
      <c r="D22" s="208">
        <v>7377984.2999999998</v>
      </c>
      <c r="E22" s="276">
        <v>48000000</v>
      </c>
      <c r="F22" s="277">
        <v>83304527</v>
      </c>
      <c r="G22" s="278">
        <f>16018598+55000000</f>
        <v>71018598</v>
      </c>
      <c r="H22" s="279">
        <v>16756380</v>
      </c>
      <c r="I22" s="209">
        <f>55275000+45225000+17621204</f>
        <v>118121204</v>
      </c>
      <c r="J22" s="210">
        <v>897209.45</v>
      </c>
      <c r="K22" s="210">
        <v>2750108.55</v>
      </c>
      <c r="L22" s="210">
        <v>3387572.1</v>
      </c>
      <c r="M22" s="280">
        <v>5043210.3499999996</v>
      </c>
      <c r="N22" s="280">
        <v>8644024.1500000004</v>
      </c>
      <c r="O22" s="280">
        <v>9414776.4000000004</v>
      </c>
      <c r="P22" s="280">
        <v>10175310.9</v>
      </c>
      <c r="Q22" s="280">
        <v>10962671.5</v>
      </c>
      <c r="R22" s="280">
        <v>11842523.85</v>
      </c>
      <c r="S22" s="280">
        <v>13173821.550000001</v>
      </c>
      <c r="T22" s="280">
        <v>16612631.15</v>
      </c>
      <c r="U22" s="280">
        <v>17936888.77</v>
      </c>
      <c r="V22" s="280">
        <f>115000000+17936889</f>
        <v>132936889</v>
      </c>
      <c r="W22" s="278">
        <v>194453667</v>
      </c>
      <c r="X22" s="278">
        <v>33991846.090000004</v>
      </c>
      <c r="Y22" s="208">
        <f>195000000+9743073+24248773</f>
        <v>228991846</v>
      </c>
      <c r="Z22" s="319">
        <v>3117295.58</v>
      </c>
      <c r="AA22" s="214">
        <v>6048847.9000000004</v>
      </c>
      <c r="AB22" s="323">
        <v>9271751.8399999999</v>
      </c>
      <c r="AC22" s="329">
        <v>12458993.01</v>
      </c>
      <c r="AD22" s="329">
        <v>15821837.27</v>
      </c>
      <c r="AE22" s="329">
        <v>19059848.449999999</v>
      </c>
      <c r="AF22" s="335">
        <v>22241993.859999999</v>
      </c>
      <c r="AG22" s="335">
        <v>25311158.949999999</v>
      </c>
      <c r="AH22" s="335">
        <v>28370013.149999999</v>
      </c>
      <c r="AI22" s="347">
        <v>31595677.120000001</v>
      </c>
      <c r="AJ22" s="347">
        <v>35004172.659999996</v>
      </c>
      <c r="AK22" s="335">
        <v>38473793.630000003</v>
      </c>
      <c r="AL22" s="355">
        <f>240000000+11425946+27047848</f>
        <v>278473794</v>
      </c>
      <c r="AM22" s="335">
        <v>3552743.83</v>
      </c>
      <c r="AN22" s="347">
        <v>6808642.21</v>
      </c>
      <c r="AO22" s="347">
        <v>10312784.470000001</v>
      </c>
      <c r="AP22" s="347">
        <v>13916661.84</v>
      </c>
      <c r="AQ22" s="347">
        <v>17879734.699999999</v>
      </c>
      <c r="AR22" s="347">
        <v>21589950.289999999</v>
      </c>
      <c r="AS22" s="347">
        <v>25724638.109999999</v>
      </c>
      <c r="AT22" s="347">
        <v>29885633.010000002</v>
      </c>
      <c r="AU22" s="347">
        <v>33838772.420000002</v>
      </c>
      <c r="AV22" s="347">
        <v>37649127.549999997</v>
      </c>
      <c r="AW22" s="347">
        <v>41152795.090000004</v>
      </c>
      <c r="AX22" s="347">
        <v>44849528.880000003</v>
      </c>
      <c r="AY22" s="173">
        <v>303188965</v>
      </c>
      <c r="AZ22" s="335">
        <v>3552527.01</v>
      </c>
      <c r="BA22" s="347">
        <v>6470536.1200000001</v>
      </c>
      <c r="BB22" s="347">
        <v>8843769.0399999991</v>
      </c>
      <c r="BC22" s="347">
        <v>11212168.52</v>
      </c>
      <c r="BD22" s="335">
        <v>14415602.050000001</v>
      </c>
      <c r="BE22" s="347">
        <v>17084780.440000001</v>
      </c>
      <c r="BF22" s="455">
        <v>15685763</v>
      </c>
    </row>
    <row r="23" spans="1:58" ht="15.75">
      <c r="A23" s="193">
        <v>4.3</v>
      </c>
      <c r="B23" s="193" t="s">
        <v>104</v>
      </c>
      <c r="C23" s="193"/>
      <c r="D23" s="208">
        <v>12361109.300000001</v>
      </c>
      <c r="E23" s="276">
        <f>30538668-8487673</f>
        <v>22050995</v>
      </c>
      <c r="F23" s="277">
        <v>15150271</v>
      </c>
      <c r="G23" s="278">
        <f>3333058+4256301</f>
        <v>7589359</v>
      </c>
      <c r="H23" s="279">
        <f>11846+1510782</f>
        <v>1522628</v>
      </c>
      <c r="I23" s="209"/>
      <c r="J23" s="210">
        <v>0</v>
      </c>
      <c r="K23" s="210">
        <v>0</v>
      </c>
      <c r="L23" s="210">
        <v>0</v>
      </c>
      <c r="M23" s="280"/>
      <c r="N23" s="280"/>
      <c r="O23" s="280"/>
      <c r="P23" s="280"/>
      <c r="Q23" s="280"/>
      <c r="R23" s="280"/>
      <c r="S23" s="280">
        <v>355068</v>
      </c>
      <c r="T23" s="280">
        <v>355068</v>
      </c>
      <c r="U23" s="280">
        <v>355068</v>
      </c>
      <c r="V23" s="280">
        <v>355068</v>
      </c>
      <c r="W23" s="214">
        <v>0</v>
      </c>
      <c r="X23" s="214">
        <v>0</v>
      </c>
      <c r="Y23" s="214">
        <v>0</v>
      </c>
      <c r="Z23" s="319">
        <v>5583.33</v>
      </c>
      <c r="AA23" s="214">
        <v>10474.66</v>
      </c>
      <c r="AB23" s="323">
        <v>15365.99</v>
      </c>
      <c r="AC23" s="329">
        <v>20257.330000000002</v>
      </c>
      <c r="AD23" s="329">
        <v>24455.33</v>
      </c>
      <c r="AE23" s="329">
        <v>28653.33</v>
      </c>
      <c r="AF23" s="337">
        <v>32851.33</v>
      </c>
      <c r="AG23" s="337">
        <v>36355.33</v>
      </c>
      <c r="AH23" s="337">
        <v>39857.33</v>
      </c>
      <c r="AI23" s="349">
        <v>43359.33</v>
      </c>
      <c r="AJ23" s="349">
        <v>46166.33</v>
      </c>
      <c r="AK23" s="337">
        <v>48971.33</v>
      </c>
      <c r="AL23" s="353"/>
      <c r="AM23" s="337">
        <v>2805</v>
      </c>
      <c r="AN23" s="349">
        <v>4913</v>
      </c>
      <c r="AO23" s="349">
        <v>7019</v>
      </c>
      <c r="AP23" s="349">
        <v>9125</v>
      </c>
      <c r="AQ23" s="349">
        <v>10532</v>
      </c>
      <c r="AR23" s="349">
        <v>11938</v>
      </c>
      <c r="AS23" s="349">
        <v>13344</v>
      </c>
      <c r="AT23" s="349">
        <v>14048</v>
      </c>
      <c r="AU23" s="349">
        <v>14752</v>
      </c>
      <c r="AV23" s="349">
        <v>15456</v>
      </c>
      <c r="AW23" s="349">
        <v>15456</v>
      </c>
      <c r="AX23" s="349">
        <v>15456</v>
      </c>
      <c r="AY23" s="173">
        <v>15456</v>
      </c>
      <c r="AZ23" s="336">
        <v>0</v>
      </c>
      <c r="BA23" s="348">
        <v>0</v>
      </c>
      <c r="BB23" s="348">
        <v>0</v>
      </c>
      <c r="BC23" s="348">
        <v>0</v>
      </c>
      <c r="BD23" s="336">
        <v>0</v>
      </c>
      <c r="BE23" s="348">
        <v>0</v>
      </c>
      <c r="BF23" s="456">
        <v>0</v>
      </c>
    </row>
    <row r="24" spans="1:58" ht="15">
      <c r="A24" s="193">
        <v>4.4000000000000004</v>
      </c>
      <c r="B24" s="193" t="s">
        <v>105</v>
      </c>
      <c r="C24" s="193">
        <v>35000000</v>
      </c>
      <c r="D24" s="208"/>
      <c r="E24" s="292"/>
      <c r="F24" s="284"/>
      <c r="G24" s="293">
        <v>0</v>
      </c>
      <c r="H24" s="279">
        <v>60000000</v>
      </c>
      <c r="I24" s="209"/>
      <c r="J24" s="210">
        <v>6666666.7000000002</v>
      </c>
      <c r="K24" s="210">
        <v>16000000</v>
      </c>
      <c r="L24" s="210">
        <v>24000000</v>
      </c>
      <c r="M24" s="294">
        <v>32000000</v>
      </c>
      <c r="N24" s="294">
        <v>40000000</v>
      </c>
      <c r="O24" s="294">
        <v>48000000</v>
      </c>
      <c r="P24" s="294">
        <v>56000000</v>
      </c>
      <c r="Q24" s="294">
        <v>64000000</v>
      </c>
      <c r="R24" s="294">
        <v>72000000</v>
      </c>
      <c r="S24" s="294">
        <v>80000000</v>
      </c>
      <c r="T24" s="294">
        <v>88000000</v>
      </c>
      <c r="U24" s="294">
        <v>115000000</v>
      </c>
      <c r="V24" s="294"/>
      <c r="W24" s="214">
        <v>0</v>
      </c>
      <c r="X24" s="214">
        <v>0</v>
      </c>
      <c r="Y24" s="214">
        <v>0</v>
      </c>
      <c r="Z24" s="319">
        <v>20000000</v>
      </c>
      <c r="AA24" s="214">
        <v>40000000</v>
      </c>
      <c r="AB24" s="323">
        <v>60000000</v>
      </c>
      <c r="AC24" s="329">
        <v>80000000</v>
      </c>
      <c r="AD24" s="329">
        <v>100000000</v>
      </c>
      <c r="AE24" s="329">
        <v>120000000</v>
      </c>
      <c r="AF24" s="337">
        <v>140000000</v>
      </c>
      <c r="AG24" s="337">
        <v>160000000</v>
      </c>
      <c r="AH24" s="337">
        <v>180000000</v>
      </c>
      <c r="AI24" s="349">
        <v>200000000</v>
      </c>
      <c r="AJ24" s="349">
        <v>220000000</v>
      </c>
      <c r="AK24" s="337">
        <v>240000000</v>
      </c>
      <c r="AL24" s="353"/>
      <c r="AM24" s="337">
        <v>24166666.699999999</v>
      </c>
      <c r="AN24" s="349">
        <v>48333333.299999997</v>
      </c>
      <c r="AO24" s="349">
        <v>72500000</v>
      </c>
      <c r="AP24" s="349">
        <v>96666666.599999994</v>
      </c>
      <c r="AQ24" s="349">
        <v>120833333.3</v>
      </c>
      <c r="AR24" s="349">
        <v>145000000</v>
      </c>
      <c r="AS24" s="349">
        <v>169166666.59999999</v>
      </c>
      <c r="AT24" s="349">
        <v>193333333.30000001</v>
      </c>
      <c r="AU24" s="349">
        <v>217499999.90000001</v>
      </c>
      <c r="AV24" s="349">
        <v>241666666.59999999</v>
      </c>
      <c r="AW24" s="349">
        <v>265833333.30000001</v>
      </c>
      <c r="AX24" s="349">
        <v>290000000</v>
      </c>
      <c r="AY24" s="173">
        <v>0</v>
      </c>
      <c r="AZ24" s="337">
        <v>28333333.300000001</v>
      </c>
      <c r="BA24" s="349">
        <v>56666666.700000003</v>
      </c>
      <c r="BB24" s="349">
        <v>85000000</v>
      </c>
      <c r="BC24" s="349">
        <v>85000000</v>
      </c>
      <c r="BD24" s="337">
        <v>113333333.3</v>
      </c>
      <c r="BE24" s="349">
        <v>170000000</v>
      </c>
      <c r="BF24" s="457">
        <v>198333333.30000001</v>
      </c>
    </row>
    <row r="25" spans="1:58" ht="15.75">
      <c r="A25" s="193">
        <v>4.5</v>
      </c>
      <c r="B25" s="193" t="s">
        <v>106</v>
      </c>
      <c r="C25" s="193">
        <f>1625+174000+15200+434400</f>
        <v>625225</v>
      </c>
      <c r="D25" s="208">
        <v>2300209.9</v>
      </c>
      <c r="E25" s="276"/>
      <c r="F25" s="277">
        <v>2086719</v>
      </c>
      <c r="G25" s="278">
        <f>3264000+1922358+33275+179800+15700</f>
        <v>5415133</v>
      </c>
      <c r="H25" s="279">
        <f>3847800+2072222+179800+15700+500000</f>
        <v>6615522</v>
      </c>
      <c r="I25" s="209">
        <f>626+230137+1348669+1103456</f>
        <v>2682888</v>
      </c>
      <c r="J25" s="210">
        <v>128745.5</v>
      </c>
      <c r="K25" s="210">
        <v>259268.5</v>
      </c>
      <c r="L25" s="210">
        <v>358683.5</v>
      </c>
      <c r="M25" s="280">
        <v>463225.5</v>
      </c>
      <c r="N25" s="280">
        <v>583946</v>
      </c>
      <c r="O25" s="280">
        <v>694169.5</v>
      </c>
      <c r="P25" s="280">
        <v>720077</v>
      </c>
      <c r="Q25" s="280">
        <v>902091</v>
      </c>
      <c r="R25" s="280">
        <v>1010667.5</v>
      </c>
      <c r="S25" s="280">
        <v>1110163.5</v>
      </c>
      <c r="T25" s="280">
        <v>1389210.9</v>
      </c>
      <c r="U25" s="280">
        <v>1358744.9</v>
      </c>
      <c r="V25" s="280">
        <v>1358745</v>
      </c>
      <c r="W25" s="278">
        <v>5937775</v>
      </c>
      <c r="X25" s="278">
        <v>1565302.89</v>
      </c>
      <c r="Y25" s="208">
        <f>1565303+3000000+27060+92811</f>
        <v>4685174</v>
      </c>
      <c r="Z25" s="319">
        <v>160557.20000000001</v>
      </c>
      <c r="AA25" s="214">
        <v>285923.20000000001</v>
      </c>
      <c r="AB25" s="323">
        <v>418633.2</v>
      </c>
      <c r="AC25" s="329">
        <v>528252.19999999995</v>
      </c>
      <c r="AD25" s="329">
        <v>657352.19999999995</v>
      </c>
      <c r="AE25" s="329">
        <v>805672.2</v>
      </c>
      <c r="AF25" s="337">
        <v>927266.2</v>
      </c>
      <c r="AG25" s="337">
        <v>1029628.31</v>
      </c>
      <c r="AH25" s="337">
        <v>1144884.31</v>
      </c>
      <c r="AI25" s="349">
        <v>1212294.74</v>
      </c>
      <c r="AJ25" s="349">
        <v>1357722.74</v>
      </c>
      <c r="AK25" s="337">
        <v>1482289.74</v>
      </c>
      <c r="AL25" s="353">
        <v>5200083</v>
      </c>
      <c r="AM25" s="337">
        <v>378132</v>
      </c>
      <c r="AN25" s="349">
        <v>1681388.4</v>
      </c>
      <c r="AO25" s="349">
        <v>2936443.45</v>
      </c>
      <c r="AP25" s="349">
        <v>4377361.5599999996</v>
      </c>
      <c r="AQ25" s="349">
        <v>6027924.3700000001</v>
      </c>
      <c r="AR25" s="349">
        <v>7752690.2400000002</v>
      </c>
      <c r="AS25" s="349">
        <v>9694547.6199999992</v>
      </c>
      <c r="AT25" s="349">
        <v>11527855.92</v>
      </c>
      <c r="AU25" s="349">
        <v>13596392.65</v>
      </c>
      <c r="AV25" s="349">
        <v>15607971.029999999</v>
      </c>
      <c r="AW25" s="349">
        <v>17680359.030000001</v>
      </c>
      <c r="AX25" s="349">
        <v>21361090.550000001</v>
      </c>
      <c r="AY25" s="173">
        <f>27216458-15456</f>
        <v>27201002</v>
      </c>
      <c r="AZ25" s="337">
        <v>3362334</v>
      </c>
      <c r="BA25" s="349">
        <v>7591433.2999999998</v>
      </c>
      <c r="BB25" s="349">
        <v>12103739.880000001</v>
      </c>
      <c r="BC25" s="349">
        <v>16393706.880000001</v>
      </c>
      <c r="BD25" s="337">
        <v>21493669.57</v>
      </c>
      <c r="BE25" s="349">
        <v>14110594.970000001</v>
      </c>
      <c r="BF25" s="457">
        <v>17163720.57</v>
      </c>
    </row>
    <row r="26" spans="1:58" ht="15.75">
      <c r="A26" s="193"/>
      <c r="B26" s="193"/>
      <c r="C26" s="193"/>
      <c r="D26" s="208"/>
      <c r="E26" s="283"/>
      <c r="F26" s="284"/>
      <c r="G26" s="285"/>
      <c r="H26" s="279"/>
      <c r="I26" s="216"/>
      <c r="J26" s="187"/>
      <c r="K26" s="187"/>
      <c r="L26" s="187"/>
      <c r="M26" s="286"/>
      <c r="N26" s="286"/>
      <c r="O26" s="286"/>
      <c r="P26" s="286"/>
      <c r="Q26" s="286"/>
      <c r="R26" s="286"/>
      <c r="S26" s="286"/>
      <c r="T26" s="286"/>
      <c r="U26" s="286"/>
      <c r="V26" s="286"/>
      <c r="W26" s="285"/>
      <c r="X26" s="285"/>
      <c r="Y26" s="187"/>
      <c r="Z26" s="320"/>
      <c r="AA26" s="187"/>
      <c r="AB26" s="187"/>
      <c r="AC26" s="187"/>
      <c r="AD26" s="187"/>
      <c r="AE26" s="187"/>
      <c r="AF26" s="336">
        <v>0</v>
      </c>
      <c r="AG26" s="336">
        <v>0</v>
      </c>
      <c r="AH26" s="336"/>
      <c r="AI26" s="336"/>
      <c r="AJ26" s="336"/>
      <c r="AK26" s="336"/>
      <c r="AL26" s="353"/>
      <c r="AY26" s="173"/>
      <c r="BD26" s="336"/>
      <c r="BE26" s="348"/>
      <c r="BF26" s="456">
        <v>0</v>
      </c>
    </row>
    <row r="27" spans="1:58" ht="15.75">
      <c r="A27" s="193">
        <v>4.5999999999999996</v>
      </c>
      <c r="B27" s="193" t="s">
        <v>107</v>
      </c>
      <c r="C27" s="193"/>
      <c r="D27" s="208"/>
      <c r="E27" s="295"/>
      <c r="F27" s="284"/>
      <c r="G27" s="281"/>
      <c r="H27" s="279"/>
      <c r="I27" s="209"/>
      <c r="J27" s="210">
        <v>0</v>
      </c>
      <c r="K27" s="210">
        <v>0</v>
      </c>
      <c r="L27" s="210">
        <v>0</v>
      </c>
      <c r="M27" s="282"/>
      <c r="N27" s="282"/>
      <c r="O27" s="282"/>
      <c r="P27" s="282"/>
      <c r="Q27" s="282"/>
      <c r="R27" s="282"/>
      <c r="S27" s="282"/>
      <c r="T27" s="282"/>
      <c r="U27" s="282"/>
      <c r="V27" s="282"/>
      <c r="W27" s="319">
        <v>0</v>
      </c>
      <c r="X27" s="319">
        <v>0</v>
      </c>
      <c r="Y27" s="319">
        <v>0</v>
      </c>
      <c r="Z27" s="319">
        <v>0</v>
      </c>
      <c r="AA27" s="214">
        <v>0</v>
      </c>
      <c r="AB27" s="323">
        <v>0</v>
      </c>
      <c r="AC27" s="329">
        <v>0</v>
      </c>
      <c r="AD27" s="329">
        <v>0</v>
      </c>
      <c r="AE27" s="329">
        <v>0</v>
      </c>
      <c r="AF27" s="336">
        <v>0</v>
      </c>
      <c r="AG27" s="336">
        <v>0</v>
      </c>
      <c r="AH27" s="336"/>
      <c r="AI27" s="336"/>
      <c r="AJ27" s="336"/>
      <c r="AK27" s="336"/>
      <c r="AL27" s="353"/>
      <c r="AM27" s="336">
        <v>0</v>
      </c>
      <c r="AN27" s="348">
        <v>0</v>
      </c>
      <c r="AO27" s="348">
        <v>0</v>
      </c>
      <c r="AP27" s="348">
        <v>0</v>
      </c>
      <c r="AQ27" s="348">
        <v>0</v>
      </c>
      <c r="AR27" s="348">
        <v>0</v>
      </c>
      <c r="AS27" s="348">
        <v>0</v>
      </c>
      <c r="AT27" s="348">
        <v>0</v>
      </c>
      <c r="AU27" s="348">
        <v>0</v>
      </c>
      <c r="AV27" s="348">
        <v>0</v>
      </c>
      <c r="AW27" s="348">
        <v>0</v>
      </c>
      <c r="AX27" s="348">
        <v>0</v>
      </c>
      <c r="AY27" s="173">
        <v>0</v>
      </c>
      <c r="AZ27" s="336">
        <v>0</v>
      </c>
      <c r="BA27" s="348">
        <v>0</v>
      </c>
      <c r="BB27" s="348">
        <v>0</v>
      </c>
      <c r="BC27" s="348">
        <v>0</v>
      </c>
      <c r="BD27" s="336">
        <v>0</v>
      </c>
      <c r="BE27" s="348">
        <v>0</v>
      </c>
      <c r="BF27" s="456">
        <v>0</v>
      </c>
    </row>
    <row r="28" spans="1:58" ht="15.75">
      <c r="A28" s="193">
        <v>4.7</v>
      </c>
      <c r="B28" s="193" t="s">
        <v>108</v>
      </c>
      <c r="C28" s="193"/>
      <c r="D28" s="208"/>
      <c r="E28" s="292"/>
      <c r="F28" s="284"/>
      <c r="G28" s="293"/>
      <c r="H28" s="279"/>
      <c r="I28" s="209"/>
      <c r="J28" s="210">
        <v>0</v>
      </c>
      <c r="K28" s="210">
        <v>0</v>
      </c>
      <c r="L28" s="210">
        <v>0</v>
      </c>
      <c r="M28" s="294"/>
      <c r="N28" s="294"/>
      <c r="O28" s="294"/>
      <c r="P28" s="294"/>
      <c r="Q28" s="294"/>
      <c r="R28" s="294"/>
      <c r="S28" s="294"/>
      <c r="T28" s="294"/>
      <c r="U28" s="294"/>
      <c r="V28" s="294"/>
      <c r="W28" s="319">
        <v>0</v>
      </c>
      <c r="X28" s="319">
        <v>0</v>
      </c>
      <c r="Y28" s="319">
        <v>0</v>
      </c>
      <c r="Z28" s="319">
        <v>0</v>
      </c>
      <c r="AA28" s="214">
        <v>0</v>
      </c>
      <c r="AB28" s="323">
        <v>0</v>
      </c>
      <c r="AC28" s="329">
        <v>0</v>
      </c>
      <c r="AD28" s="329">
        <v>0</v>
      </c>
      <c r="AE28" s="329">
        <v>0</v>
      </c>
      <c r="AF28" s="329"/>
      <c r="AG28" s="329"/>
      <c r="AH28" s="329"/>
      <c r="AI28" s="329"/>
      <c r="AJ28" s="329"/>
      <c r="AK28" s="329"/>
      <c r="AL28" s="354"/>
      <c r="AM28" s="336">
        <v>0</v>
      </c>
      <c r="AN28" s="348">
        <v>0</v>
      </c>
      <c r="AO28" s="348">
        <v>0</v>
      </c>
      <c r="AP28" s="348">
        <v>0</v>
      </c>
      <c r="AQ28" s="348">
        <v>0</v>
      </c>
      <c r="AR28" s="348">
        <v>0</v>
      </c>
      <c r="AS28" s="348">
        <v>0</v>
      </c>
      <c r="AT28" s="348">
        <v>0</v>
      </c>
      <c r="AU28" s="348">
        <v>0</v>
      </c>
      <c r="AV28" s="348">
        <v>0</v>
      </c>
      <c r="AW28" s="348">
        <v>0</v>
      </c>
      <c r="AX28" s="348">
        <v>0</v>
      </c>
      <c r="AY28" s="173">
        <v>0</v>
      </c>
      <c r="AZ28" s="336">
        <v>0</v>
      </c>
      <c r="BA28" s="348">
        <v>0</v>
      </c>
      <c r="BB28" s="348">
        <v>0</v>
      </c>
      <c r="BC28" s="348">
        <v>0</v>
      </c>
      <c r="BD28" s="425">
        <v>0</v>
      </c>
      <c r="BE28" s="425">
        <v>0</v>
      </c>
      <c r="BF28" s="175">
        <v>0</v>
      </c>
    </row>
    <row r="29" spans="1:58" ht="15.75">
      <c r="A29" s="193"/>
      <c r="B29" s="193"/>
      <c r="C29" s="193"/>
      <c r="D29" s="208"/>
      <c r="E29" s="283"/>
      <c r="F29" s="284"/>
      <c r="G29" s="285"/>
      <c r="H29" s="279"/>
      <c r="I29" s="216"/>
      <c r="J29" s="187"/>
      <c r="K29" s="187"/>
      <c r="L29" s="187"/>
      <c r="M29" s="286"/>
      <c r="N29" s="286"/>
      <c r="O29" s="286"/>
      <c r="P29" s="286"/>
      <c r="Q29" s="286"/>
      <c r="R29" s="286"/>
      <c r="S29" s="286"/>
      <c r="T29" s="286"/>
      <c r="U29" s="286"/>
      <c r="V29" s="286"/>
      <c r="W29" s="285"/>
      <c r="X29" s="285"/>
      <c r="Y29" s="187"/>
      <c r="Z29" s="320"/>
      <c r="AA29" s="187"/>
      <c r="AB29" s="187"/>
      <c r="AC29" s="187"/>
      <c r="AD29" s="187"/>
      <c r="AE29" s="187"/>
      <c r="AF29" s="187"/>
      <c r="AG29" s="187"/>
      <c r="AH29" s="187"/>
      <c r="AI29" s="187"/>
      <c r="AJ29" s="187"/>
      <c r="AK29" s="187"/>
      <c r="AL29" s="356"/>
      <c r="AM29" s="356"/>
      <c r="AN29" s="356"/>
      <c r="AO29" s="356"/>
      <c r="AP29" s="356"/>
      <c r="AQ29" s="356"/>
      <c r="AR29" s="356"/>
      <c r="AS29" s="356"/>
      <c r="AT29" s="356"/>
      <c r="AU29" s="356"/>
      <c r="AV29" s="356"/>
      <c r="AW29" s="356"/>
      <c r="AX29" s="356"/>
      <c r="AY29" s="173"/>
    </row>
    <row r="30" spans="1:58" ht="15.75">
      <c r="A30" s="193">
        <v>5</v>
      </c>
      <c r="B30" s="189" t="s">
        <v>109</v>
      </c>
      <c r="C30" s="271">
        <f t="shared" ref="C30:H30" si="27">C10-C21</f>
        <v>46148995</v>
      </c>
      <c r="D30" s="271">
        <f t="shared" si="27"/>
        <v>148866182.55000001</v>
      </c>
      <c r="E30" s="271">
        <f t="shared" si="27"/>
        <v>165624798</v>
      </c>
      <c r="F30" s="296">
        <f t="shared" si="27"/>
        <v>187496101</v>
      </c>
      <c r="G30" s="274">
        <f t="shared" si="27"/>
        <v>193615283</v>
      </c>
      <c r="H30" s="274">
        <f t="shared" si="27"/>
        <v>230072893</v>
      </c>
      <c r="I30" s="274">
        <f t="shared" ref="I30:N30" si="28">I10-I21</f>
        <v>266109179</v>
      </c>
      <c r="J30" s="275">
        <f t="shared" si="28"/>
        <v>17674530.420000002</v>
      </c>
      <c r="K30" s="275">
        <f t="shared" si="28"/>
        <v>29616393.959999997</v>
      </c>
      <c r="L30" s="275">
        <f t="shared" si="28"/>
        <v>43731580.860000007</v>
      </c>
      <c r="M30" s="275">
        <f t="shared" si="28"/>
        <v>59789702.43</v>
      </c>
      <c r="N30" s="275">
        <f t="shared" si="28"/>
        <v>73992268.770000011</v>
      </c>
      <c r="O30" s="275">
        <f t="shared" ref="O30:AB30" si="29">O10-O21</f>
        <v>89732042.729999989</v>
      </c>
      <c r="P30" s="275">
        <f t="shared" si="29"/>
        <v>106032724.09</v>
      </c>
      <c r="Q30" s="275">
        <f t="shared" si="29"/>
        <v>122536828.81</v>
      </c>
      <c r="R30" s="275">
        <f t="shared" si="29"/>
        <v>139845439.17000002</v>
      </c>
      <c r="S30" s="275">
        <f t="shared" si="29"/>
        <v>166534525.94</v>
      </c>
      <c r="T30" s="275">
        <f t="shared" si="29"/>
        <v>207853369.54999995</v>
      </c>
      <c r="U30" s="275">
        <f t="shared" si="29"/>
        <v>212686771.34</v>
      </c>
      <c r="V30" s="275">
        <f t="shared" si="29"/>
        <v>267005125</v>
      </c>
      <c r="W30" s="274">
        <f>W10-W21</f>
        <v>381459035</v>
      </c>
      <c r="X30" s="274">
        <f>X10-X21</f>
        <v>490636041.81</v>
      </c>
      <c r="Y30" s="275">
        <f t="shared" si="29"/>
        <v>377762851</v>
      </c>
      <c r="Z30" s="318">
        <f t="shared" si="29"/>
        <v>24388549.859999999</v>
      </c>
      <c r="AA30" s="275">
        <f t="shared" si="29"/>
        <v>45171673.390000001</v>
      </c>
      <c r="AB30" s="275">
        <f t="shared" si="29"/>
        <v>68195217.419999987</v>
      </c>
      <c r="AC30" s="275">
        <f>AC10-AC21</f>
        <v>90122404.089999989</v>
      </c>
      <c r="AD30" s="275">
        <f>AD10-AD21</f>
        <v>114464383.67</v>
      </c>
      <c r="AE30" s="275">
        <f>AE10-AE21</f>
        <v>139724790.14000002</v>
      </c>
      <c r="AF30" s="275">
        <f t="shared" ref="AF30:AG30" si="30">AF10-AF21</f>
        <v>165269121.01999998</v>
      </c>
      <c r="AG30" s="275">
        <f t="shared" si="30"/>
        <v>188807494.87000003</v>
      </c>
      <c r="AH30" s="275">
        <f t="shared" ref="AH30:AL30" si="31">AH10-AH21</f>
        <v>211678279.25000003</v>
      </c>
      <c r="AI30" s="275">
        <f t="shared" si="31"/>
        <v>242824015.76999998</v>
      </c>
      <c r="AJ30" s="275">
        <f t="shared" si="31"/>
        <v>283013314.86999989</v>
      </c>
      <c r="AK30" s="275">
        <f t="shared" si="31"/>
        <v>318902358.4600001</v>
      </c>
      <c r="AL30" s="275">
        <f t="shared" si="31"/>
        <v>411065840</v>
      </c>
      <c r="AM30" s="275">
        <f t="shared" ref="AM30:BF30" si="32">AM10-AM21</f>
        <v>22205747.049999997</v>
      </c>
      <c r="AN30" s="275">
        <f t="shared" si="32"/>
        <v>42082785.400000006</v>
      </c>
      <c r="AO30" s="275">
        <f t="shared" si="32"/>
        <v>63794218.029999986</v>
      </c>
      <c r="AP30" s="275">
        <f t="shared" si="32"/>
        <v>87000170.659999996</v>
      </c>
      <c r="AQ30" s="275">
        <f t="shared" si="32"/>
        <v>107147511.19</v>
      </c>
      <c r="AR30" s="275">
        <f t="shared" si="32"/>
        <v>129850702.64000002</v>
      </c>
      <c r="AS30" s="275">
        <f t="shared" si="32"/>
        <v>175693175.15999997</v>
      </c>
      <c r="AT30" s="275">
        <f t="shared" si="32"/>
        <v>201150709.05000004</v>
      </c>
      <c r="AU30" s="275">
        <f t="shared" si="32"/>
        <v>226406067.70000002</v>
      </c>
      <c r="AV30" s="275">
        <f t="shared" si="32"/>
        <v>249041049.63</v>
      </c>
      <c r="AW30" s="275">
        <f t="shared" si="32"/>
        <v>275899448.58000004</v>
      </c>
      <c r="AX30" s="275">
        <f t="shared" si="32"/>
        <v>295338556.69</v>
      </c>
      <c r="AY30" s="275">
        <f t="shared" si="32"/>
        <v>458749075</v>
      </c>
      <c r="AZ30" s="275">
        <f t="shared" si="32"/>
        <v>28244488.590000004</v>
      </c>
      <c r="BA30" s="275">
        <f t="shared" si="32"/>
        <v>50031137.559999987</v>
      </c>
      <c r="BB30" s="275">
        <f t="shared" si="32"/>
        <v>77736898.979999989</v>
      </c>
      <c r="BC30" s="275">
        <f t="shared" si="32"/>
        <v>127786809.02000003</v>
      </c>
      <c r="BD30" s="275">
        <f t="shared" si="32"/>
        <v>152046314.92000005</v>
      </c>
      <c r="BE30" s="275">
        <f t="shared" si="32"/>
        <v>160473404.73999998</v>
      </c>
      <c r="BF30" s="275">
        <f t="shared" si="32"/>
        <v>188493016.69</v>
      </c>
    </row>
    <row r="31" spans="1:58">
      <c r="A31" s="193"/>
      <c r="B31" s="193"/>
      <c r="C31" s="193"/>
      <c r="D31" s="208"/>
      <c r="E31" s="283"/>
      <c r="F31" s="284"/>
      <c r="G31" s="285"/>
      <c r="H31" s="279"/>
      <c r="I31" s="216"/>
      <c r="J31" s="187"/>
      <c r="K31" s="187"/>
      <c r="L31" s="187"/>
      <c r="M31" s="286"/>
      <c r="N31" s="286"/>
      <c r="O31" s="286"/>
      <c r="P31" s="286"/>
      <c r="Q31" s="286"/>
      <c r="R31" s="286"/>
      <c r="S31" s="286"/>
      <c r="T31" s="286"/>
      <c r="U31" s="286"/>
      <c r="V31" s="286"/>
      <c r="W31" s="285"/>
      <c r="X31" s="285"/>
      <c r="Y31" s="187"/>
      <c r="Z31" s="320"/>
      <c r="AA31" s="187"/>
      <c r="AB31" s="187"/>
      <c r="AC31" s="187"/>
      <c r="AD31" s="187"/>
      <c r="AE31" s="187"/>
      <c r="AF31" s="187"/>
      <c r="AG31" s="187"/>
      <c r="AH31" s="187"/>
      <c r="AI31" s="187"/>
      <c r="AJ31" s="187"/>
      <c r="AK31" s="187"/>
      <c r="AL31" s="356"/>
      <c r="AM31" s="356"/>
      <c r="AN31" s="356"/>
      <c r="AO31" s="356"/>
      <c r="AP31" s="356"/>
      <c r="AQ31" s="356"/>
      <c r="AR31" s="356"/>
      <c r="AS31" s="356"/>
      <c r="AT31" s="356"/>
      <c r="AU31" s="356"/>
      <c r="AV31" s="356"/>
      <c r="AW31" s="356"/>
      <c r="AX31" s="356"/>
      <c r="AY31" s="173"/>
    </row>
    <row r="32" spans="1:58" ht="15.75">
      <c r="A32" s="193">
        <v>6</v>
      </c>
      <c r="B32" s="189" t="s">
        <v>34</v>
      </c>
      <c r="C32" s="297">
        <f t="shared" ref="C32:H32" si="33">C33-C34</f>
        <v>0</v>
      </c>
      <c r="D32" s="190">
        <f t="shared" si="33"/>
        <v>5000000</v>
      </c>
      <c r="E32" s="272">
        <f t="shared" si="33"/>
        <v>5000005</v>
      </c>
      <c r="F32" s="273">
        <f t="shared" si="33"/>
        <v>8000000</v>
      </c>
      <c r="G32" s="274">
        <f t="shared" si="33"/>
        <v>9600000</v>
      </c>
      <c r="H32" s="274">
        <f t="shared" si="33"/>
        <v>30000000</v>
      </c>
      <c r="I32" s="274">
        <f t="shared" ref="I32:N32" si="34">I33-I34</f>
        <v>30000000</v>
      </c>
      <c r="J32" s="275">
        <f t="shared" si="34"/>
        <v>2875000</v>
      </c>
      <c r="K32" s="275">
        <f t="shared" si="34"/>
        <v>5750000</v>
      </c>
      <c r="L32" s="275">
        <f t="shared" si="34"/>
        <v>8625000</v>
      </c>
      <c r="M32" s="275">
        <f t="shared" si="34"/>
        <v>11500000</v>
      </c>
      <c r="N32" s="275">
        <f t="shared" si="34"/>
        <v>14375000</v>
      </c>
      <c r="O32" s="275">
        <f t="shared" ref="O32:AB32" si="35">O33-O34</f>
        <v>17250000</v>
      </c>
      <c r="P32" s="275">
        <f t="shared" si="35"/>
        <v>20125000</v>
      </c>
      <c r="Q32" s="275">
        <f t="shared" si="35"/>
        <v>23000000</v>
      </c>
      <c r="R32" s="275">
        <f t="shared" si="35"/>
        <v>25875000</v>
      </c>
      <c r="S32" s="275">
        <f t="shared" si="35"/>
        <v>28750000</v>
      </c>
      <c r="T32" s="275">
        <f t="shared" si="35"/>
        <v>31625000</v>
      </c>
      <c r="U32" s="275">
        <f t="shared" si="35"/>
        <v>34500000</v>
      </c>
      <c r="V32" s="275">
        <f t="shared" si="35"/>
        <v>34500000</v>
      </c>
      <c r="W32" s="274">
        <f>W33-W34</f>
        <v>162681456</v>
      </c>
      <c r="X32" s="274">
        <f>X33-X34</f>
        <v>41100000</v>
      </c>
      <c r="Y32" s="275">
        <f t="shared" si="35"/>
        <v>41100000</v>
      </c>
      <c r="Z32" s="318">
        <f t="shared" si="35"/>
        <v>4500000</v>
      </c>
      <c r="AA32" s="275">
        <f t="shared" si="35"/>
        <v>9000000</v>
      </c>
      <c r="AB32" s="275">
        <f t="shared" si="35"/>
        <v>13500000</v>
      </c>
      <c r="AC32" s="275">
        <f>AC33-AC34</f>
        <v>18000000</v>
      </c>
      <c r="AD32" s="275">
        <f>AD33-AD34</f>
        <v>22500000</v>
      </c>
      <c r="AE32" s="275">
        <f>AE33-AE34</f>
        <v>27000000</v>
      </c>
      <c r="AF32" s="275">
        <f t="shared" ref="AF32:AG32" si="36">AF33-AF34</f>
        <v>31500000</v>
      </c>
      <c r="AG32" s="275">
        <f t="shared" si="36"/>
        <v>36000000</v>
      </c>
      <c r="AH32" s="275">
        <f t="shared" ref="AH32:AL32" si="37">AH33-AH34</f>
        <v>40500000</v>
      </c>
      <c r="AI32" s="275">
        <f t="shared" si="37"/>
        <v>45000000</v>
      </c>
      <c r="AJ32" s="275">
        <f t="shared" si="37"/>
        <v>49500000</v>
      </c>
      <c r="AK32" s="275">
        <f t="shared" si="37"/>
        <v>9000000</v>
      </c>
      <c r="AL32" s="352">
        <f t="shared" si="37"/>
        <v>9000000</v>
      </c>
      <c r="AM32" s="352">
        <f t="shared" ref="AM32:BF32" si="38">AM33-AM34</f>
        <v>4500000</v>
      </c>
      <c r="AN32" s="352">
        <f t="shared" si="38"/>
        <v>9000000</v>
      </c>
      <c r="AO32" s="352">
        <f t="shared" si="38"/>
        <v>0</v>
      </c>
      <c r="AP32" s="352">
        <f t="shared" si="38"/>
        <v>0</v>
      </c>
      <c r="AQ32" s="352">
        <f t="shared" si="38"/>
        <v>0</v>
      </c>
      <c r="AR32" s="352">
        <f t="shared" si="38"/>
        <v>0</v>
      </c>
      <c r="AS32" s="352">
        <f t="shared" si="38"/>
        <v>33627357</v>
      </c>
      <c r="AT32" s="352">
        <f t="shared" si="38"/>
        <v>49725477</v>
      </c>
      <c r="AU32" s="352">
        <f t="shared" si="38"/>
        <v>53636645</v>
      </c>
      <c r="AV32" s="352">
        <f t="shared" si="38"/>
        <v>68049329</v>
      </c>
      <c r="AW32" s="352">
        <f t="shared" si="38"/>
        <v>71078402</v>
      </c>
      <c r="AX32" s="352">
        <f t="shared" si="38"/>
        <v>54062775</v>
      </c>
      <c r="AY32" s="352">
        <f t="shared" si="38"/>
        <v>54062775</v>
      </c>
      <c r="AZ32" s="352">
        <f t="shared" si="38"/>
        <v>0</v>
      </c>
      <c r="BA32" s="352">
        <f t="shared" si="38"/>
        <v>0</v>
      </c>
      <c r="BB32" s="352">
        <f t="shared" si="38"/>
        <v>12019173</v>
      </c>
      <c r="BC32" s="352">
        <f t="shared" si="38"/>
        <v>37370458</v>
      </c>
      <c r="BD32" s="352">
        <f t="shared" si="38"/>
        <v>35224280.899999999</v>
      </c>
      <c r="BE32" s="352">
        <f t="shared" si="38"/>
        <v>32297662</v>
      </c>
      <c r="BF32" s="352">
        <f t="shared" si="38"/>
        <v>16745961</v>
      </c>
    </row>
    <row r="33" spans="1:58" ht="15">
      <c r="A33" s="193">
        <v>6.1</v>
      </c>
      <c r="B33" s="193" t="s">
        <v>110</v>
      </c>
      <c r="C33" s="193"/>
      <c r="D33" s="208">
        <v>5000000</v>
      </c>
      <c r="E33" s="276">
        <v>5000005</v>
      </c>
      <c r="F33" s="298">
        <v>8000000</v>
      </c>
      <c r="G33" s="293">
        <v>9600000</v>
      </c>
      <c r="H33" s="279">
        <v>30000000</v>
      </c>
      <c r="I33" s="209">
        <f>30000000</f>
        <v>30000000</v>
      </c>
      <c r="J33" s="210">
        <v>2875000</v>
      </c>
      <c r="K33" s="210">
        <v>5750000</v>
      </c>
      <c r="L33" s="210">
        <v>8625000</v>
      </c>
      <c r="M33" s="294">
        <v>11500000</v>
      </c>
      <c r="N33" s="294">
        <v>14375000</v>
      </c>
      <c r="O33" s="294">
        <v>17250000</v>
      </c>
      <c r="P33" s="294">
        <v>20125000</v>
      </c>
      <c r="Q33" s="294">
        <v>23000000</v>
      </c>
      <c r="R33" s="294">
        <v>25875000</v>
      </c>
      <c r="S33" s="294">
        <v>28750000</v>
      </c>
      <c r="T33" s="294">
        <v>31625000</v>
      </c>
      <c r="U33" s="294">
        <v>34500000</v>
      </c>
      <c r="V33" s="294">
        <v>34500000</v>
      </c>
      <c r="W33" s="293">
        <v>162681456</v>
      </c>
      <c r="X33" s="293">
        <v>41100000</v>
      </c>
      <c r="Y33" s="294">
        <v>41100000</v>
      </c>
      <c r="Z33" s="319">
        <v>4500000</v>
      </c>
      <c r="AA33" s="214">
        <v>9000000</v>
      </c>
      <c r="AB33" s="323">
        <v>13500000</v>
      </c>
      <c r="AC33" s="329">
        <v>18000000</v>
      </c>
      <c r="AD33" s="329">
        <v>22500000</v>
      </c>
      <c r="AE33" s="329">
        <v>27000000</v>
      </c>
      <c r="AF33" s="335">
        <v>31500000</v>
      </c>
      <c r="AG33" s="337">
        <v>36000000</v>
      </c>
      <c r="AH33" s="335">
        <v>40500000</v>
      </c>
      <c r="AI33" s="347">
        <v>45000000</v>
      </c>
      <c r="AJ33" s="347">
        <v>49500000</v>
      </c>
      <c r="AK33" s="335">
        <v>9000000</v>
      </c>
      <c r="AL33" s="353">
        <v>9000000</v>
      </c>
      <c r="AM33" s="335">
        <v>4500000</v>
      </c>
      <c r="AN33" s="347">
        <v>9000000</v>
      </c>
      <c r="AO33" s="416">
        <v>0</v>
      </c>
      <c r="AP33" s="416">
        <v>0</v>
      </c>
      <c r="AQ33" s="416">
        <v>0</v>
      </c>
      <c r="AR33" s="416">
        <v>0</v>
      </c>
      <c r="AS33" s="347">
        <v>33627357</v>
      </c>
      <c r="AT33" s="347">
        <v>49725477</v>
      </c>
      <c r="AU33" s="347">
        <v>53636645</v>
      </c>
      <c r="AV33" s="347">
        <v>68049329</v>
      </c>
      <c r="AW33" s="347">
        <v>71078402</v>
      </c>
      <c r="AX33" s="347">
        <v>54062775</v>
      </c>
      <c r="AY33" s="173">
        <v>54062775</v>
      </c>
      <c r="AZ33" s="415">
        <v>0</v>
      </c>
      <c r="BA33" s="416">
        <v>0</v>
      </c>
      <c r="BB33" s="347">
        <v>12019173</v>
      </c>
      <c r="BC33" s="347">
        <v>37370458</v>
      </c>
      <c r="BD33" s="335">
        <v>35224280.899999999</v>
      </c>
      <c r="BE33" s="347">
        <v>32297662</v>
      </c>
      <c r="BF33" s="455">
        <v>16745961</v>
      </c>
    </row>
    <row r="34" spans="1:58" ht="15">
      <c r="A34" s="193">
        <v>6.2</v>
      </c>
      <c r="B34" s="193" t="s">
        <v>111</v>
      </c>
      <c r="C34" s="193"/>
      <c r="D34" s="208"/>
      <c r="E34" s="292"/>
      <c r="F34" s="299"/>
      <c r="G34" s="293"/>
      <c r="H34" s="279"/>
      <c r="I34" s="209"/>
      <c r="J34" s="210">
        <v>0</v>
      </c>
      <c r="K34" s="210">
        <v>0</v>
      </c>
      <c r="L34" s="210">
        <v>0</v>
      </c>
      <c r="M34" s="294"/>
      <c r="N34" s="294"/>
      <c r="O34" s="294"/>
      <c r="P34" s="294"/>
      <c r="Q34" s="294"/>
      <c r="R34" s="294"/>
      <c r="S34" s="294"/>
      <c r="T34" s="294"/>
      <c r="U34" s="294"/>
      <c r="V34" s="294"/>
      <c r="W34" s="319">
        <v>0</v>
      </c>
      <c r="X34" s="319">
        <v>0</v>
      </c>
      <c r="Y34" s="319">
        <v>0</v>
      </c>
      <c r="Z34" s="319">
        <v>0</v>
      </c>
      <c r="AA34" s="214">
        <v>0</v>
      </c>
      <c r="AB34" s="323">
        <v>0</v>
      </c>
      <c r="AC34" s="329">
        <v>0</v>
      </c>
      <c r="AD34" s="329">
        <v>0</v>
      </c>
      <c r="AE34" s="329">
        <v>0</v>
      </c>
      <c r="AF34" s="336">
        <v>0</v>
      </c>
      <c r="AG34" s="329"/>
      <c r="AH34" s="329"/>
      <c r="AI34" s="329"/>
      <c r="AJ34" s="329"/>
      <c r="AK34" s="336">
        <v>0</v>
      </c>
      <c r="AL34" s="354"/>
      <c r="AM34" s="336">
        <v>0</v>
      </c>
      <c r="AN34" s="348">
        <v>0</v>
      </c>
      <c r="AO34" s="348">
        <v>0</v>
      </c>
      <c r="AP34" s="348">
        <v>0</v>
      </c>
      <c r="AQ34" s="348">
        <v>0</v>
      </c>
      <c r="AR34" s="348">
        <v>0</v>
      </c>
      <c r="AS34" s="348">
        <v>0</v>
      </c>
      <c r="AT34" s="348">
        <v>0</v>
      </c>
      <c r="AU34" s="348">
        <v>0</v>
      </c>
      <c r="AV34" s="348">
        <v>0</v>
      </c>
      <c r="AW34" s="348">
        <v>0</v>
      </c>
      <c r="AX34" s="348">
        <v>0</v>
      </c>
      <c r="AY34" s="173">
        <v>0</v>
      </c>
      <c r="AZ34" s="336">
        <v>0</v>
      </c>
      <c r="BA34" s="348">
        <v>0</v>
      </c>
      <c r="BB34" s="348">
        <v>0</v>
      </c>
      <c r="BC34" s="348">
        <v>0</v>
      </c>
      <c r="BD34" s="336">
        <v>0</v>
      </c>
      <c r="BE34" s="348">
        <v>0</v>
      </c>
      <c r="BF34" s="456">
        <v>0</v>
      </c>
    </row>
    <row r="35" spans="1:58">
      <c r="A35" s="193"/>
      <c r="B35" s="193"/>
      <c r="C35" s="193"/>
      <c r="D35" s="208"/>
      <c r="E35" s="300"/>
      <c r="F35" s="284"/>
      <c r="G35" s="301"/>
      <c r="H35" s="279"/>
      <c r="I35" s="216"/>
      <c r="J35" s="187"/>
      <c r="K35" s="187"/>
      <c r="L35" s="187"/>
      <c r="M35" s="302"/>
      <c r="N35" s="302"/>
      <c r="O35" s="302"/>
      <c r="P35" s="302"/>
      <c r="Q35" s="302"/>
      <c r="R35" s="302"/>
      <c r="S35" s="302"/>
      <c r="T35" s="302"/>
      <c r="U35" s="302"/>
      <c r="V35" s="302"/>
      <c r="W35" s="301"/>
      <c r="X35" s="301"/>
      <c r="Y35" s="187"/>
      <c r="Z35" s="320"/>
      <c r="AA35" s="187"/>
      <c r="AB35" s="187"/>
      <c r="AC35" s="187"/>
      <c r="AD35" s="187"/>
      <c r="AE35" s="187"/>
      <c r="AF35" s="187"/>
      <c r="AG35" s="187"/>
      <c r="AH35" s="187"/>
      <c r="AI35" s="187"/>
      <c r="AJ35" s="187"/>
      <c r="AK35" s="187"/>
      <c r="AL35" s="356"/>
      <c r="AM35" s="356"/>
      <c r="AN35" s="356"/>
      <c r="AO35" s="356"/>
      <c r="AP35" s="356"/>
      <c r="AQ35" s="356"/>
      <c r="AR35" s="356"/>
      <c r="AS35" s="356"/>
      <c r="AT35" s="356"/>
      <c r="AU35" s="356"/>
      <c r="AV35" s="356"/>
      <c r="AW35" s="356"/>
      <c r="AX35" s="356"/>
      <c r="AY35" s="173"/>
    </row>
    <row r="36" spans="1:58" ht="15.75">
      <c r="A36" s="193">
        <v>7</v>
      </c>
      <c r="B36" s="189" t="s">
        <v>112</v>
      </c>
      <c r="C36" s="297">
        <f t="shared" ref="C36:H36" si="39">SUM(C37:C41)</f>
        <v>20053569</v>
      </c>
      <c r="D36" s="303">
        <f t="shared" si="39"/>
        <v>73581334.010000005</v>
      </c>
      <c r="E36" s="303">
        <f t="shared" si="39"/>
        <v>69196044</v>
      </c>
      <c r="F36" s="304">
        <f t="shared" si="39"/>
        <v>89943298</v>
      </c>
      <c r="G36" s="274">
        <f t="shared" si="39"/>
        <v>87367063</v>
      </c>
      <c r="H36" s="274">
        <f t="shared" si="39"/>
        <v>117610973</v>
      </c>
      <c r="I36" s="274">
        <f t="shared" ref="I36:N36" si="40">SUM(I37:I41)</f>
        <v>121174021</v>
      </c>
      <c r="J36" s="275">
        <f t="shared" si="40"/>
        <v>10629821.879999999</v>
      </c>
      <c r="K36" s="275">
        <f t="shared" si="40"/>
        <v>20571235.869999997</v>
      </c>
      <c r="L36" s="275">
        <f t="shared" si="40"/>
        <v>32005351.09</v>
      </c>
      <c r="M36" s="275">
        <f t="shared" si="40"/>
        <v>42407286.060000002</v>
      </c>
      <c r="N36" s="275">
        <f t="shared" si="40"/>
        <v>53619168.93</v>
      </c>
      <c r="O36" s="275">
        <f t="shared" ref="O36:AB36" si="41">SUM(O37:O41)</f>
        <v>63377189.429999992</v>
      </c>
      <c r="P36" s="275">
        <f t="shared" si="41"/>
        <v>70787287.829999998</v>
      </c>
      <c r="Q36" s="275">
        <f t="shared" si="41"/>
        <v>83499734.030000001</v>
      </c>
      <c r="R36" s="275">
        <f t="shared" si="41"/>
        <v>95381522.13000001</v>
      </c>
      <c r="S36" s="275">
        <f t="shared" si="41"/>
        <v>106208960.38999999</v>
      </c>
      <c r="T36" s="275">
        <f t="shared" si="41"/>
        <v>116377006.36000001</v>
      </c>
      <c r="U36" s="275">
        <f t="shared" si="41"/>
        <v>122985047.25</v>
      </c>
      <c r="V36" s="275">
        <f t="shared" si="41"/>
        <v>122985048</v>
      </c>
      <c r="W36" s="274">
        <f>SUM(W37:W41)</f>
        <v>162027021</v>
      </c>
      <c r="X36" s="274">
        <f>SUM(X37:X41)</f>
        <v>152230345.19999999</v>
      </c>
      <c r="Y36" s="275">
        <f t="shared" si="41"/>
        <v>149203287</v>
      </c>
      <c r="Z36" s="318">
        <f t="shared" si="41"/>
        <v>12839354.24</v>
      </c>
      <c r="AA36" s="275">
        <f t="shared" si="41"/>
        <v>26554294.220000003</v>
      </c>
      <c r="AB36" s="275">
        <f t="shared" si="41"/>
        <v>42979873.489999995</v>
      </c>
      <c r="AC36" s="275">
        <f>SUM(AC37:AC41)</f>
        <v>58066775.409999996</v>
      </c>
      <c r="AD36" s="275">
        <f>SUM(AD37:AD41)</f>
        <v>71990309.120000005</v>
      </c>
      <c r="AE36" s="275">
        <f>SUM(AE37:AE41)</f>
        <v>89269947.920000002</v>
      </c>
      <c r="AF36" s="275">
        <f t="shared" ref="AF36:AG36" si="42">SUM(AF37:AF41)</f>
        <v>112330175.40000001</v>
      </c>
      <c r="AG36" s="275">
        <f t="shared" si="42"/>
        <v>127547924.25</v>
      </c>
      <c r="AH36" s="275">
        <f t="shared" ref="AH36:AL36" si="43">SUM(AH37:AH41)</f>
        <v>147410324.18000001</v>
      </c>
      <c r="AI36" s="275">
        <f t="shared" si="43"/>
        <v>164978287.40000001</v>
      </c>
      <c r="AJ36" s="275">
        <f t="shared" si="43"/>
        <v>182148759.09999999</v>
      </c>
      <c r="AK36" s="275">
        <f t="shared" si="43"/>
        <v>200178164.36000001</v>
      </c>
      <c r="AL36" s="352">
        <f t="shared" si="43"/>
        <v>201509342</v>
      </c>
      <c r="AM36" s="352">
        <f t="shared" ref="AM36:BF36" si="44">SUM(AM37:AM41)</f>
        <v>16869805.149999999</v>
      </c>
      <c r="AN36" s="352">
        <f t="shared" si="44"/>
        <v>33746146.039999999</v>
      </c>
      <c r="AO36" s="352">
        <f t="shared" si="44"/>
        <v>58367864.920000002</v>
      </c>
      <c r="AP36" s="352">
        <f t="shared" si="44"/>
        <v>78259490.949999988</v>
      </c>
      <c r="AQ36" s="352">
        <f t="shared" si="44"/>
        <v>93428165.599999994</v>
      </c>
      <c r="AR36" s="352">
        <f t="shared" si="44"/>
        <v>116159316.56</v>
      </c>
      <c r="AS36" s="352">
        <f t="shared" si="44"/>
        <v>141926821.17000002</v>
      </c>
      <c r="AT36" s="352">
        <f t="shared" si="44"/>
        <v>160323041.00999999</v>
      </c>
      <c r="AU36" s="352">
        <f t="shared" si="44"/>
        <v>183523251.77999997</v>
      </c>
      <c r="AV36" s="352">
        <f t="shared" si="44"/>
        <v>203872900.93000001</v>
      </c>
      <c r="AW36" s="352">
        <f t="shared" si="44"/>
        <v>236258965.05000001</v>
      </c>
      <c r="AX36" s="352">
        <f t="shared" si="44"/>
        <v>261158422.87000003</v>
      </c>
      <c r="AY36" s="352">
        <f t="shared" si="44"/>
        <v>269447941</v>
      </c>
      <c r="AZ36" s="352">
        <f t="shared" si="44"/>
        <v>20851963.18</v>
      </c>
      <c r="BA36" s="352">
        <f t="shared" si="44"/>
        <v>44568084.210000001</v>
      </c>
      <c r="BB36" s="352">
        <f t="shared" si="44"/>
        <v>64743424.130000003</v>
      </c>
      <c r="BC36" s="352">
        <f t="shared" si="44"/>
        <v>92472335.210000008</v>
      </c>
      <c r="BD36" s="352">
        <f t="shared" si="44"/>
        <v>118107622.49000001</v>
      </c>
      <c r="BE36" s="352">
        <f t="shared" si="44"/>
        <v>147753475.90000001</v>
      </c>
      <c r="BF36" s="352">
        <f t="shared" si="44"/>
        <v>179691435.84999999</v>
      </c>
    </row>
    <row r="37" spans="1:58" ht="15">
      <c r="A37" s="193">
        <v>7.1</v>
      </c>
      <c r="B37" s="193" t="s">
        <v>113</v>
      </c>
      <c r="C37" s="193">
        <v>10339275</v>
      </c>
      <c r="D37" s="208">
        <v>31404308.5</v>
      </c>
      <c r="E37" s="276">
        <f>14225499+465552+3748614+3180843+2606460+24926+72200+2499536+8249440+752300</f>
        <v>35825370</v>
      </c>
      <c r="F37" s="305">
        <v>45213017</v>
      </c>
      <c r="G37" s="293">
        <f>16094500+5060307+7088000+3368390+3508807+21997+86000+3223360+11520935+956200</f>
        <v>50928496</v>
      </c>
      <c r="H37" s="279">
        <f>18596000+7340665+8126553+5110312+3029147+37597+98000+3685200+13037510+1113800</f>
        <v>60174784</v>
      </c>
      <c r="I37" s="209">
        <f>10805300+4030919+4488000+3348152+1823424+14190+54120+2157430+8963283+594000+8840700+3298025+3672000+2739397+1491893+11610+44280+1765170+7333595+486000</f>
        <v>65961488</v>
      </c>
      <c r="J37" s="210">
        <v>4983196.3</v>
      </c>
      <c r="K37" s="210">
        <v>10320308.699999999</v>
      </c>
      <c r="L37" s="210">
        <v>15964636</v>
      </c>
      <c r="M37" s="294">
        <v>22598575.32</v>
      </c>
      <c r="N37" s="294">
        <v>29645862.649999999</v>
      </c>
      <c r="O37" s="294">
        <v>35038780.979999997</v>
      </c>
      <c r="P37" s="294">
        <v>39536167.310000002</v>
      </c>
      <c r="Q37" s="294">
        <v>45850173.640000001</v>
      </c>
      <c r="R37" s="294">
        <v>51929565.770000003</v>
      </c>
      <c r="S37" s="294">
        <v>57575807.100000001</v>
      </c>
      <c r="T37" s="294">
        <v>63321819.43</v>
      </c>
      <c r="U37" s="294">
        <v>68657691.799999997</v>
      </c>
      <c r="V37" s="294">
        <f>21177693+8235272+8426921+5027392+3764578+38998+102000+4227385+16586453+1071000</f>
        <v>68657692</v>
      </c>
      <c r="W37" s="293">
        <v>86231438</v>
      </c>
      <c r="X37" s="293">
        <v>84062796.769999996</v>
      </c>
      <c r="Y37" s="208">
        <f>30866036+7905037+11896847+4010956+1012905+4213271+109200+5608421+6212044+2228080+10000000</f>
        <v>84062797</v>
      </c>
      <c r="Z37" s="319">
        <v>6221490</v>
      </c>
      <c r="AA37" s="214">
        <v>13740036.1</v>
      </c>
      <c r="AB37" s="323">
        <v>22146365.399999999</v>
      </c>
      <c r="AC37" s="329">
        <v>29916077.5</v>
      </c>
      <c r="AD37" s="329">
        <v>37970785.5</v>
      </c>
      <c r="AE37" s="329">
        <v>47700473.299999997</v>
      </c>
      <c r="AF37" s="335">
        <v>60693892.299999997</v>
      </c>
      <c r="AG37" s="337">
        <v>69579804.200000003</v>
      </c>
      <c r="AH37" s="335">
        <v>78682761.700000003</v>
      </c>
      <c r="AI37" s="347">
        <v>87840492.200000003</v>
      </c>
      <c r="AJ37" s="347">
        <v>96406947.200000003</v>
      </c>
      <c r="AK37" s="335">
        <v>105665615.3</v>
      </c>
      <c r="AL37" s="353">
        <v>105665615</v>
      </c>
      <c r="AM37" s="335">
        <v>8651302.8000000007</v>
      </c>
      <c r="AN37" s="347">
        <v>18195477.300000001</v>
      </c>
      <c r="AO37" s="347">
        <v>27784577.800000001</v>
      </c>
      <c r="AP37" s="347">
        <v>36966794.299999997</v>
      </c>
      <c r="AQ37" s="347">
        <v>49242398.799999997</v>
      </c>
      <c r="AR37" s="347">
        <v>59047292.299999997</v>
      </c>
      <c r="AS37" s="347">
        <v>73110560.400000006</v>
      </c>
      <c r="AT37" s="347">
        <v>81896345.900000006</v>
      </c>
      <c r="AU37" s="347">
        <v>90908104.900000006</v>
      </c>
      <c r="AV37" s="347">
        <v>100045729.40000001</v>
      </c>
      <c r="AW37" s="347">
        <v>113763770.40000001</v>
      </c>
      <c r="AX37" s="347">
        <v>124062936.3</v>
      </c>
      <c r="AY37" s="173">
        <v>124062936</v>
      </c>
      <c r="AZ37" s="335">
        <v>9675331.0999999996</v>
      </c>
      <c r="BA37" s="347">
        <v>20888827.100000001</v>
      </c>
      <c r="BB37" s="347">
        <v>31581157.600000001</v>
      </c>
      <c r="BC37" s="347">
        <v>43969214.399999999</v>
      </c>
      <c r="BD37" s="335">
        <v>57777877.299999997</v>
      </c>
      <c r="BE37" s="347">
        <v>72083996.299999997</v>
      </c>
      <c r="BF37" s="455">
        <v>87508424.299999997</v>
      </c>
    </row>
    <row r="38" spans="1:58" ht="15.75">
      <c r="A38" s="193">
        <v>7.2</v>
      </c>
      <c r="B38" s="193" t="s">
        <v>114</v>
      </c>
      <c r="C38" s="193">
        <v>4706687</v>
      </c>
      <c r="D38" s="208">
        <v>5602590</v>
      </c>
      <c r="E38" s="276">
        <f>981260+2199092+2303397+158045</f>
        <v>5641794</v>
      </c>
      <c r="F38" s="306">
        <v>8566934</v>
      </c>
      <c r="G38" s="278">
        <f>991618+5142864+2655313+225609</f>
        <v>9015404</v>
      </c>
      <c r="H38" s="279">
        <f>1349230+7879712+1361956</f>
        <v>10590898</v>
      </c>
      <c r="I38" s="209">
        <f>848190+5080974+460609+693974+4157160+376862</f>
        <v>11617769</v>
      </c>
      <c r="J38" s="210">
        <v>388566</v>
      </c>
      <c r="K38" s="210">
        <v>1232043</v>
      </c>
      <c r="L38" s="210">
        <v>3266709</v>
      </c>
      <c r="M38" s="280">
        <v>3797773</v>
      </c>
      <c r="N38" s="280">
        <v>4231758</v>
      </c>
      <c r="O38" s="280">
        <v>4786180</v>
      </c>
      <c r="P38" s="280">
        <v>5260811</v>
      </c>
      <c r="Q38" s="280">
        <v>5941943</v>
      </c>
      <c r="R38" s="280">
        <v>7999904</v>
      </c>
      <c r="S38" s="280">
        <v>8909164</v>
      </c>
      <c r="T38" s="280">
        <v>9423622</v>
      </c>
      <c r="U38" s="280">
        <v>9953610</v>
      </c>
      <c r="V38" s="280">
        <f>1692952+7357620+903038</f>
        <v>9953610</v>
      </c>
      <c r="W38" s="278">
        <v>22543894</v>
      </c>
      <c r="X38" s="278">
        <v>12570566.060000001</v>
      </c>
      <c r="Y38" s="208">
        <f>4870072+5071010+1372195+514509+742781</f>
        <v>12570567</v>
      </c>
      <c r="Z38" s="319">
        <v>1551122</v>
      </c>
      <c r="AA38" s="214">
        <v>2638653</v>
      </c>
      <c r="AB38" s="323">
        <v>4810788.5</v>
      </c>
      <c r="AC38" s="329">
        <v>6813027.5</v>
      </c>
      <c r="AD38" s="329">
        <v>7714846.5</v>
      </c>
      <c r="AE38" s="329">
        <v>9303104</v>
      </c>
      <c r="AF38" s="337">
        <v>12251193</v>
      </c>
      <c r="AG38" s="337">
        <v>13235597.5</v>
      </c>
      <c r="AH38" s="337">
        <v>17483563.5</v>
      </c>
      <c r="AI38" s="349">
        <v>18838685.5</v>
      </c>
      <c r="AJ38" s="349">
        <v>20736475.5</v>
      </c>
      <c r="AK38" s="337">
        <v>23427237.5</v>
      </c>
      <c r="AL38" s="353">
        <v>23427238</v>
      </c>
      <c r="AM38" s="337">
        <v>1173003</v>
      </c>
      <c r="AN38" s="349">
        <v>2868536.5</v>
      </c>
      <c r="AO38" s="349">
        <v>7252869.5</v>
      </c>
      <c r="AP38" s="349">
        <v>8673135.5</v>
      </c>
      <c r="AQ38" s="349">
        <v>7710403.5</v>
      </c>
      <c r="AR38" s="349">
        <v>12751853.5</v>
      </c>
      <c r="AS38" s="349">
        <v>15864775.5</v>
      </c>
      <c r="AT38" s="349">
        <v>17871261</v>
      </c>
      <c r="AU38" s="349">
        <v>23974333</v>
      </c>
      <c r="AV38" s="349">
        <v>26676236</v>
      </c>
      <c r="AW38" s="349">
        <v>29869905.25</v>
      </c>
      <c r="AX38" s="349">
        <v>33995450.75</v>
      </c>
      <c r="AY38" s="173">
        <v>33995451</v>
      </c>
      <c r="AZ38" s="337">
        <v>2500708</v>
      </c>
      <c r="BA38" s="349">
        <v>4701879.5</v>
      </c>
      <c r="BB38" s="349">
        <v>6186601.1500000004</v>
      </c>
      <c r="BC38" s="349">
        <v>11740599.15</v>
      </c>
      <c r="BD38" s="337">
        <v>13815424</v>
      </c>
      <c r="BE38" s="349">
        <v>16607621.5</v>
      </c>
      <c r="BF38" s="457">
        <v>20305215.5</v>
      </c>
    </row>
    <row r="39" spans="1:58" ht="15.75">
      <c r="A39" s="193">
        <v>7.3</v>
      </c>
      <c r="B39" s="193" t="s">
        <v>115</v>
      </c>
      <c r="C39" s="193">
        <v>897213</v>
      </c>
      <c r="D39" s="208">
        <v>1120228</v>
      </c>
      <c r="E39" s="276">
        <v>1661825</v>
      </c>
      <c r="F39" s="307">
        <v>2477039</v>
      </c>
      <c r="G39" s="278">
        <v>1284059</v>
      </c>
      <c r="H39" s="279">
        <v>3960517</v>
      </c>
      <c r="I39" s="209">
        <f>1143975+935979</f>
        <v>2079954</v>
      </c>
      <c r="J39" s="210">
        <v>9990</v>
      </c>
      <c r="K39" s="210">
        <v>53390</v>
      </c>
      <c r="L39" s="210">
        <v>188506</v>
      </c>
      <c r="M39" s="280">
        <v>203886</v>
      </c>
      <c r="N39" s="280">
        <v>383406</v>
      </c>
      <c r="O39" s="280">
        <v>576934</v>
      </c>
      <c r="P39" s="280">
        <v>698184</v>
      </c>
      <c r="Q39" s="280">
        <v>987950</v>
      </c>
      <c r="R39" s="280">
        <v>1050410</v>
      </c>
      <c r="S39" s="280">
        <v>1135835</v>
      </c>
      <c r="T39" s="280">
        <v>1147415</v>
      </c>
      <c r="U39" s="280">
        <v>1195765</v>
      </c>
      <c r="V39" s="280">
        <v>1195765</v>
      </c>
      <c r="W39" s="278">
        <v>3666270</v>
      </c>
      <c r="X39" s="278">
        <v>3278342.6</v>
      </c>
      <c r="Y39" s="325">
        <v>3278343</v>
      </c>
      <c r="Z39" s="319">
        <v>844120</v>
      </c>
      <c r="AA39" s="214">
        <v>983900</v>
      </c>
      <c r="AB39" s="323">
        <v>1368760</v>
      </c>
      <c r="AC39" s="329">
        <v>2024420</v>
      </c>
      <c r="AD39" s="329">
        <v>2143700</v>
      </c>
      <c r="AE39" s="329">
        <v>2628900</v>
      </c>
      <c r="AF39" s="337">
        <v>3372718</v>
      </c>
      <c r="AG39" s="337">
        <v>3437248</v>
      </c>
      <c r="AH39" s="337">
        <v>4833483</v>
      </c>
      <c r="AI39" s="349">
        <v>5652088</v>
      </c>
      <c r="AJ39" s="349">
        <v>7465808</v>
      </c>
      <c r="AK39" s="337">
        <v>8159982</v>
      </c>
      <c r="AL39" s="353">
        <v>8159982</v>
      </c>
      <c r="AM39" s="337">
        <v>900770</v>
      </c>
      <c r="AN39" s="349">
        <v>1140610</v>
      </c>
      <c r="AO39" s="349">
        <v>2721740</v>
      </c>
      <c r="AP39" s="349">
        <v>2759640</v>
      </c>
      <c r="AQ39" s="349">
        <v>4087900</v>
      </c>
      <c r="AR39" s="349">
        <v>4820246</v>
      </c>
      <c r="AS39" s="349">
        <v>6769435.5999999996</v>
      </c>
      <c r="AT39" s="349">
        <v>7942391.5999999996</v>
      </c>
      <c r="AU39" s="349">
        <v>8533696.8000000007</v>
      </c>
      <c r="AV39" s="349">
        <v>8962004.8000000007</v>
      </c>
      <c r="AW39" s="349">
        <v>12064574.800000001</v>
      </c>
      <c r="AX39" s="349">
        <v>13383311.800000001</v>
      </c>
      <c r="AY39" s="173">
        <v>13383312</v>
      </c>
      <c r="AZ39" s="337">
        <v>653380</v>
      </c>
      <c r="BA39" s="349">
        <v>2713463.2</v>
      </c>
      <c r="BB39" s="349">
        <v>3578741.2</v>
      </c>
      <c r="BC39" s="349">
        <v>4602231.2</v>
      </c>
      <c r="BD39" s="337">
        <v>5572996.2000000002</v>
      </c>
      <c r="BE39" s="349">
        <v>7473586.2000000002</v>
      </c>
      <c r="BF39" s="457">
        <v>9032959.1999999993</v>
      </c>
    </row>
    <row r="40" spans="1:58" ht="17.25" customHeight="1" thickBot="1">
      <c r="A40" s="193">
        <v>7.4</v>
      </c>
      <c r="B40" s="193" t="s">
        <v>116</v>
      </c>
      <c r="C40" s="193">
        <v>471735</v>
      </c>
      <c r="D40" s="208">
        <v>18116377.960000001</v>
      </c>
      <c r="E40" s="276">
        <v>7563029</v>
      </c>
      <c r="F40" s="307">
        <v>8638883</v>
      </c>
      <c r="G40" s="278">
        <v>6668543</v>
      </c>
      <c r="H40" s="279">
        <v>9567411</v>
      </c>
      <c r="I40" s="209">
        <f>5561905+4550650</f>
        <v>10112555</v>
      </c>
      <c r="J40" s="210">
        <v>1150000</v>
      </c>
      <c r="K40" s="210">
        <v>2300000</v>
      </c>
      <c r="L40" s="210">
        <v>3450000</v>
      </c>
      <c r="M40" s="280">
        <v>4600000</v>
      </c>
      <c r="N40" s="280">
        <v>5750000</v>
      </c>
      <c r="O40" s="280">
        <v>6900000</v>
      </c>
      <c r="P40" s="280">
        <v>8050000</v>
      </c>
      <c r="Q40" s="280">
        <v>9200000</v>
      </c>
      <c r="R40" s="280">
        <v>10350000</v>
      </c>
      <c r="S40" s="280">
        <v>11500000</v>
      </c>
      <c r="T40" s="280">
        <v>12650000</v>
      </c>
      <c r="U40" s="280">
        <v>10750235.359999999</v>
      </c>
      <c r="V40" s="280">
        <f>10750235</f>
        <v>10750235</v>
      </c>
      <c r="W40" s="278">
        <v>12996272</v>
      </c>
      <c r="X40" s="278">
        <v>12490225</v>
      </c>
      <c r="Y40" s="325">
        <v>12490225</v>
      </c>
      <c r="Z40" s="319">
        <v>1250000</v>
      </c>
      <c r="AA40" s="214">
        <v>2500000</v>
      </c>
      <c r="AB40" s="323">
        <v>3750000</v>
      </c>
      <c r="AC40" s="329">
        <v>5000000</v>
      </c>
      <c r="AD40" s="329">
        <v>6250000</v>
      </c>
      <c r="AE40" s="329">
        <v>7500000</v>
      </c>
      <c r="AF40" s="337">
        <v>8750000</v>
      </c>
      <c r="AG40" s="337">
        <v>10000000</v>
      </c>
      <c r="AH40" s="337">
        <v>11250000</v>
      </c>
      <c r="AI40" s="349">
        <v>12500000</v>
      </c>
      <c r="AJ40" s="349">
        <v>13750000</v>
      </c>
      <c r="AK40" s="337">
        <v>10387317</v>
      </c>
      <c r="AL40" s="353">
        <v>10387317</v>
      </c>
      <c r="AM40" s="337">
        <v>1250000</v>
      </c>
      <c r="AN40" s="349">
        <v>2500000</v>
      </c>
      <c r="AO40" s="349">
        <v>3750000</v>
      </c>
      <c r="AP40" s="349">
        <v>5000000</v>
      </c>
      <c r="AQ40" s="349">
        <v>6250000</v>
      </c>
      <c r="AR40" s="349">
        <v>7500000</v>
      </c>
      <c r="AS40" s="349">
        <v>8750000</v>
      </c>
      <c r="AT40" s="349">
        <v>10000000</v>
      </c>
      <c r="AU40" s="349">
        <v>11250000</v>
      </c>
      <c r="AV40" s="349">
        <v>12500000</v>
      </c>
      <c r="AW40" s="349">
        <v>13750000</v>
      </c>
      <c r="AX40" s="349">
        <v>12590196.619999999</v>
      </c>
      <c r="AY40" s="173">
        <v>12590195</v>
      </c>
      <c r="AZ40" s="337">
        <v>1375000</v>
      </c>
      <c r="BA40" s="349">
        <v>2750000</v>
      </c>
      <c r="BB40" s="349">
        <v>4125000</v>
      </c>
      <c r="BC40" s="349">
        <v>5500000</v>
      </c>
      <c r="BD40" s="337">
        <v>6250000</v>
      </c>
      <c r="BE40" s="349">
        <v>8250000</v>
      </c>
      <c r="BF40" s="457">
        <v>9625000</v>
      </c>
    </row>
    <row r="41" spans="1:58" ht="15.75">
      <c r="A41" s="193">
        <v>7.5</v>
      </c>
      <c r="B41" s="193" t="s">
        <v>117</v>
      </c>
      <c r="C41" s="193">
        <f>5007607-471735-897213</f>
        <v>3638659</v>
      </c>
      <c r="D41" s="208">
        <v>17337829.550000001</v>
      </c>
      <c r="E41" s="276">
        <f>2984687+300+174000+15200+222626+2277907+499188+876407+12450+2991090+2235883+2388618+3366484+451604+7582</f>
        <v>18504026</v>
      </c>
      <c r="F41" s="308">
        <v>25047425</v>
      </c>
      <c r="G41" s="278">
        <f>1801732+659600+1926087+42710+1198027+2526895+1827958+4561274+4071050+755408+16220+83600</f>
        <v>19470561</v>
      </c>
      <c r="H41" s="279">
        <f>2315865+641030+3005316+108770+3567027+3503613+2124107+5469196+9220032+825017+99483+169640+2268267</f>
        <v>33317363</v>
      </c>
      <c r="I41" s="209">
        <f>1245026+419052+2182752+82500+98890+1901892+198303+257059+1175650+988847+3120863+2466091+516846+30963+2519494+67012+1018657+342861+1785888+67500+80910+1556094+162248+210321+961895+809056+2553434+2017711+422874+25334+2061404+54828</f>
        <v>31402255</v>
      </c>
      <c r="J41" s="210">
        <v>4098069.58</v>
      </c>
      <c r="K41" s="210">
        <v>6665494.1699999999</v>
      </c>
      <c r="L41" s="210">
        <v>9135500.0899999999</v>
      </c>
      <c r="M41" s="280">
        <v>11207051.74</v>
      </c>
      <c r="N41" s="280">
        <v>13608142.279999999</v>
      </c>
      <c r="O41" s="280">
        <v>16075294.449999999</v>
      </c>
      <c r="P41" s="280">
        <v>17242125.52</v>
      </c>
      <c r="Q41" s="280">
        <v>21519667.390000001</v>
      </c>
      <c r="R41" s="280">
        <v>24051642.359999999</v>
      </c>
      <c r="S41" s="280">
        <v>27088154.289999999</v>
      </c>
      <c r="T41" s="280">
        <v>29834149.93</v>
      </c>
      <c r="U41" s="280">
        <v>32427745.09</v>
      </c>
      <c r="V41" s="280">
        <f>2541381+660844+13195+4274880+1900+179800+3895074+267650+380716+2716623+1428162+5727566+4052693+938463+109291+4720738+480000+38770</f>
        <v>32427746</v>
      </c>
      <c r="W41" s="278">
        <v>36589147</v>
      </c>
      <c r="X41" s="278">
        <v>39828414.770000003</v>
      </c>
      <c r="Y41" s="208">
        <f>4239832+489065+4345920+475240+214600+3117509+3303553+349200+619047+2432558+617436+5772004+4368425+1527056+88677+3740267+965800+135166</f>
        <v>36801355</v>
      </c>
      <c r="Z41" s="319">
        <v>2972622.24</v>
      </c>
      <c r="AA41" s="214">
        <v>6691705.1200000001</v>
      </c>
      <c r="AB41" s="323">
        <v>10903959.59</v>
      </c>
      <c r="AC41" s="329">
        <v>14313250.41</v>
      </c>
      <c r="AD41" s="329">
        <v>17910977.120000001</v>
      </c>
      <c r="AE41" s="329">
        <v>22137470.620000001</v>
      </c>
      <c r="AF41" s="337">
        <v>27262372.100000001</v>
      </c>
      <c r="AG41" s="337">
        <v>31295274.550000001</v>
      </c>
      <c r="AH41" s="337">
        <v>35160515.979999997</v>
      </c>
      <c r="AI41" s="349">
        <v>40147021.700000003</v>
      </c>
      <c r="AJ41" s="349">
        <v>43789528.399999999</v>
      </c>
      <c r="AK41" s="337">
        <v>52538012.560000002</v>
      </c>
      <c r="AL41" s="353">
        <f>48869190+5000000</f>
        <v>53869190</v>
      </c>
      <c r="AM41" s="337">
        <v>4894729.3499999996</v>
      </c>
      <c r="AN41" s="349">
        <v>9041522.2400000002</v>
      </c>
      <c r="AO41" s="349">
        <v>16858677.620000001</v>
      </c>
      <c r="AP41" s="349">
        <v>24859921.149999999</v>
      </c>
      <c r="AQ41" s="349">
        <v>26137463.300000001</v>
      </c>
      <c r="AR41" s="349">
        <v>32039924.760000002</v>
      </c>
      <c r="AS41" s="349">
        <v>37432049.670000002</v>
      </c>
      <c r="AT41" s="349">
        <v>42613042.509999998</v>
      </c>
      <c r="AU41" s="349">
        <v>48857117.079999998</v>
      </c>
      <c r="AV41" s="349">
        <v>55688930.729999997</v>
      </c>
      <c r="AW41" s="349">
        <v>66810714.600000001</v>
      </c>
      <c r="AX41" s="349">
        <v>77126527.400000006</v>
      </c>
      <c r="AY41" s="173">
        <v>85416047</v>
      </c>
      <c r="AZ41" s="337">
        <v>6647544.0800000001</v>
      </c>
      <c r="BA41" s="349">
        <v>13513914.41</v>
      </c>
      <c r="BB41" s="349">
        <v>19271924.18</v>
      </c>
      <c r="BC41" s="349">
        <v>26660290.460000001</v>
      </c>
      <c r="BD41" s="337">
        <v>34691324.990000002</v>
      </c>
      <c r="BE41" s="349">
        <v>43338271.899999999</v>
      </c>
      <c r="BF41" s="457">
        <v>53219836.850000001</v>
      </c>
    </row>
    <row r="42" spans="1:58">
      <c r="A42" s="193"/>
      <c r="B42" s="193"/>
      <c r="C42" s="193"/>
      <c r="D42" s="208"/>
      <c r="E42" s="283"/>
      <c r="F42" s="284"/>
      <c r="G42" s="285"/>
      <c r="H42" s="279"/>
      <c r="I42" s="216"/>
      <c r="J42" s="187"/>
      <c r="K42" s="187"/>
      <c r="L42" s="187"/>
      <c r="M42" s="286"/>
      <c r="N42" s="286"/>
      <c r="O42" s="286"/>
      <c r="P42" s="286"/>
      <c r="Q42" s="286"/>
      <c r="R42" s="286"/>
      <c r="S42" s="286"/>
      <c r="T42" s="286"/>
      <c r="U42" s="286"/>
      <c r="V42" s="286"/>
      <c r="W42" s="285"/>
      <c r="X42" s="285"/>
      <c r="Y42" s="187"/>
      <c r="Z42" s="320"/>
      <c r="AA42" s="187"/>
      <c r="AB42" s="187"/>
      <c r="AC42" s="187"/>
      <c r="AD42" s="187"/>
      <c r="AE42" s="187"/>
      <c r="AF42" s="187"/>
      <c r="AG42" s="187"/>
      <c r="AH42" s="187"/>
      <c r="AI42" s="187"/>
      <c r="AJ42" s="187"/>
      <c r="AK42" s="187"/>
      <c r="AL42" s="356"/>
      <c r="AM42" s="356"/>
      <c r="AN42" s="356"/>
      <c r="AO42" s="356"/>
      <c r="AP42" s="356"/>
      <c r="AQ42" s="356"/>
      <c r="AR42" s="356"/>
      <c r="AS42" s="356"/>
      <c r="AT42" s="356"/>
      <c r="AU42" s="356"/>
      <c r="AV42" s="356"/>
      <c r="AW42" s="356"/>
      <c r="AX42" s="356"/>
      <c r="AY42" s="173"/>
    </row>
    <row r="43" spans="1:58" ht="15.75">
      <c r="A43" s="193">
        <v>8</v>
      </c>
      <c r="B43" s="189" t="s">
        <v>118</v>
      </c>
      <c r="C43" s="271">
        <f t="shared" ref="C43:H43" si="45">C30-C32-C36</f>
        <v>26095426</v>
      </c>
      <c r="D43" s="194">
        <f t="shared" si="45"/>
        <v>70284848.540000007</v>
      </c>
      <c r="E43" s="309">
        <f t="shared" si="45"/>
        <v>91428749</v>
      </c>
      <c r="F43" s="310">
        <f t="shared" si="45"/>
        <v>89552803</v>
      </c>
      <c r="G43" s="274">
        <f t="shared" si="45"/>
        <v>96648220</v>
      </c>
      <c r="H43" s="274">
        <f t="shared" si="45"/>
        <v>82461920</v>
      </c>
      <c r="I43" s="274">
        <f t="shared" ref="I43:N43" si="46">I30-I32-I36</f>
        <v>114935158</v>
      </c>
      <c r="J43" s="275">
        <f t="shared" si="46"/>
        <v>4169708.5400000028</v>
      </c>
      <c r="K43" s="275">
        <f t="shared" si="46"/>
        <v>3295158.09</v>
      </c>
      <c r="L43" s="275">
        <f t="shared" si="46"/>
        <v>3101229.770000007</v>
      </c>
      <c r="M43" s="275">
        <f t="shared" si="46"/>
        <v>5882416.3699999973</v>
      </c>
      <c r="N43" s="275">
        <f t="shared" si="46"/>
        <v>5998099.840000011</v>
      </c>
      <c r="O43" s="275">
        <f t="shared" ref="O43:AB43" si="47">O30-O32-O36</f>
        <v>9104853.299999997</v>
      </c>
      <c r="P43" s="275">
        <f t="shared" si="47"/>
        <v>15120436.260000005</v>
      </c>
      <c r="Q43" s="275">
        <f t="shared" si="47"/>
        <v>16037094.780000001</v>
      </c>
      <c r="R43" s="275">
        <f t="shared" si="47"/>
        <v>18588917.040000007</v>
      </c>
      <c r="S43" s="275">
        <f t="shared" si="47"/>
        <v>31575565.550000012</v>
      </c>
      <c r="T43" s="275">
        <f t="shared" si="47"/>
        <v>59851363.189999938</v>
      </c>
      <c r="U43" s="275">
        <f t="shared" si="47"/>
        <v>55201724.090000004</v>
      </c>
      <c r="V43" s="275">
        <f t="shared" si="47"/>
        <v>109520077</v>
      </c>
      <c r="W43" s="274">
        <f>W30-W32-W36</f>
        <v>56750558</v>
      </c>
      <c r="X43" s="274">
        <f>X30-X32-X36</f>
        <v>297305696.61000001</v>
      </c>
      <c r="Y43" s="275">
        <f t="shared" si="47"/>
        <v>187459564</v>
      </c>
      <c r="Z43" s="318">
        <f t="shared" si="47"/>
        <v>7049195.6199999992</v>
      </c>
      <c r="AA43" s="275">
        <f t="shared" si="47"/>
        <v>9617379.1699999981</v>
      </c>
      <c r="AB43" s="275">
        <f t="shared" si="47"/>
        <v>11715343.929999992</v>
      </c>
      <c r="AC43" s="275">
        <f>AC30-AC32-AC36</f>
        <v>14055628.679999992</v>
      </c>
      <c r="AD43" s="275">
        <f>AD30-AD32-AD36</f>
        <v>19974074.549999997</v>
      </c>
      <c r="AE43" s="275">
        <f>AE30-AE32-AE36</f>
        <v>23454842.220000014</v>
      </c>
      <c r="AF43" s="275">
        <f t="shared" ref="AF43:AG43" si="48">AF30-AF32-AF36</f>
        <v>21438945.619999975</v>
      </c>
      <c r="AG43" s="275">
        <f t="shared" si="48"/>
        <v>25259570.620000035</v>
      </c>
      <c r="AH43" s="275">
        <f t="shared" ref="AH43:AL43" si="49">AH30-AH32-AH36</f>
        <v>23767955.070000023</v>
      </c>
      <c r="AI43" s="275">
        <f t="shared" si="49"/>
        <v>32845728.369999975</v>
      </c>
      <c r="AJ43" s="275">
        <f t="shared" si="49"/>
        <v>51364555.769999892</v>
      </c>
      <c r="AK43" s="275">
        <f t="shared" si="49"/>
        <v>109724194.10000008</v>
      </c>
      <c r="AL43" s="352">
        <f t="shared" si="49"/>
        <v>200556498</v>
      </c>
      <c r="AM43" s="352">
        <f t="shared" ref="AM43:BF43" si="50">AM30-AM32-AM36</f>
        <v>835941.89999999851</v>
      </c>
      <c r="AN43" s="352">
        <f t="shared" si="50"/>
        <v>-663360.63999999315</v>
      </c>
      <c r="AO43" s="352">
        <f t="shared" si="50"/>
        <v>5426353.1099999845</v>
      </c>
      <c r="AP43" s="352">
        <f t="shared" si="50"/>
        <v>8740679.7100000083</v>
      </c>
      <c r="AQ43" s="352">
        <f t="shared" si="50"/>
        <v>13719345.590000004</v>
      </c>
      <c r="AR43" s="352">
        <f t="shared" si="50"/>
        <v>13691386.080000013</v>
      </c>
      <c r="AS43" s="352">
        <f t="shared" si="50"/>
        <v>138996.98999994993</v>
      </c>
      <c r="AT43" s="352">
        <f t="shared" si="50"/>
        <v>-8897808.9599999487</v>
      </c>
      <c r="AU43" s="352">
        <f t="shared" si="50"/>
        <v>-10753829.079999954</v>
      </c>
      <c r="AV43" s="352">
        <f t="shared" si="50"/>
        <v>-22881180.300000012</v>
      </c>
      <c r="AW43" s="352">
        <f t="shared" si="50"/>
        <v>-31437918.469999969</v>
      </c>
      <c r="AX43" s="352">
        <f t="shared" si="50"/>
        <v>-19882641.180000037</v>
      </c>
      <c r="AY43" s="352">
        <f t="shared" si="50"/>
        <v>135238359</v>
      </c>
      <c r="AZ43" s="352">
        <f t="shared" si="50"/>
        <v>7392525.4100000039</v>
      </c>
      <c r="BA43" s="352">
        <f t="shared" si="50"/>
        <v>5463053.3499999866</v>
      </c>
      <c r="BB43" s="352">
        <f t="shared" si="50"/>
        <v>974301.84999998659</v>
      </c>
      <c r="BC43" s="352">
        <f t="shared" si="50"/>
        <v>-2055984.1899999827</v>
      </c>
      <c r="BD43" s="352">
        <f t="shared" si="50"/>
        <v>-1285588.469999969</v>
      </c>
      <c r="BE43" s="352">
        <f t="shared" si="50"/>
        <v>-19577733.160000026</v>
      </c>
      <c r="BF43" s="352">
        <f t="shared" si="50"/>
        <v>-7944380.1599999964</v>
      </c>
    </row>
    <row r="44" spans="1:58">
      <c r="A44" s="193"/>
      <c r="B44" s="189"/>
      <c r="C44" s="189"/>
      <c r="D44" s="208"/>
      <c r="E44" s="283"/>
      <c r="F44" s="284"/>
      <c r="G44" s="285"/>
      <c r="H44" s="279"/>
      <c r="I44" s="216"/>
      <c r="J44" s="187"/>
      <c r="K44" s="187"/>
      <c r="L44" s="187"/>
      <c r="M44" s="286"/>
      <c r="N44" s="286"/>
      <c r="O44" s="286"/>
      <c r="P44" s="286"/>
      <c r="Q44" s="286"/>
      <c r="R44" s="286"/>
      <c r="S44" s="286"/>
      <c r="T44" s="286"/>
      <c r="U44" s="286"/>
      <c r="V44" s="286"/>
      <c r="W44" s="285"/>
      <c r="X44" s="285"/>
      <c r="Y44" s="187"/>
      <c r="Z44" s="320"/>
      <c r="AA44" s="187"/>
      <c r="AB44" s="187"/>
      <c r="AC44" s="187"/>
      <c r="AD44" s="187"/>
      <c r="AE44" s="187"/>
      <c r="AF44" s="187"/>
      <c r="AG44" s="187"/>
      <c r="AH44" s="187"/>
      <c r="AI44" s="187"/>
      <c r="AJ44" s="187"/>
      <c r="AK44" s="187"/>
      <c r="AL44" s="356"/>
      <c r="AM44" s="356"/>
      <c r="AN44" s="356"/>
      <c r="AO44" s="356"/>
      <c r="AP44" s="356"/>
      <c r="AQ44" s="356"/>
      <c r="AR44" s="356"/>
      <c r="AS44" s="356"/>
      <c r="AT44" s="356"/>
      <c r="AU44" s="356"/>
      <c r="AV44" s="356"/>
      <c r="AW44" s="356"/>
      <c r="AX44" s="356"/>
      <c r="AY44" s="173"/>
    </row>
    <row r="45" spans="1:58" ht="15.75">
      <c r="A45" s="193">
        <v>9</v>
      </c>
      <c r="B45" s="189" t="s">
        <v>119</v>
      </c>
      <c r="C45" s="271">
        <f t="shared" ref="C45:H45" si="51">C46-C47</f>
        <v>0</v>
      </c>
      <c r="D45" s="194">
        <f t="shared" si="51"/>
        <v>8965033.5999999996</v>
      </c>
      <c r="E45" s="309">
        <f t="shared" si="51"/>
        <v>357268</v>
      </c>
      <c r="F45" s="310">
        <f t="shared" si="51"/>
        <v>226400</v>
      </c>
      <c r="G45" s="274">
        <f t="shared" si="51"/>
        <v>0</v>
      </c>
      <c r="H45" s="274">
        <f t="shared" si="51"/>
        <v>0</v>
      </c>
      <c r="I45" s="274">
        <f t="shared" ref="I45:N45" si="52">I46-I47</f>
        <v>0</v>
      </c>
      <c r="J45" s="275">
        <f t="shared" si="52"/>
        <v>13876644.310000001</v>
      </c>
      <c r="K45" s="275">
        <f t="shared" si="52"/>
        <v>14779520.970000001</v>
      </c>
      <c r="L45" s="275">
        <f t="shared" si="52"/>
        <v>17496061.300000001</v>
      </c>
      <c r="M45" s="275">
        <f t="shared" si="52"/>
        <v>21872603.239999998</v>
      </c>
      <c r="N45" s="275">
        <f t="shared" si="52"/>
        <v>27563399.899999999</v>
      </c>
      <c r="O45" s="275">
        <f t="shared" ref="O45:AB45" si="53">O46-O47</f>
        <v>30887255.199999999</v>
      </c>
      <c r="P45" s="275">
        <f t="shared" si="53"/>
        <v>41103697.740000002</v>
      </c>
      <c r="Q45" s="275">
        <f t="shared" si="53"/>
        <v>43719585.829999998</v>
      </c>
      <c r="R45" s="275">
        <f t="shared" si="53"/>
        <v>45805241.979999997</v>
      </c>
      <c r="S45" s="275">
        <f t="shared" si="53"/>
        <v>48480029.700000003</v>
      </c>
      <c r="T45" s="275">
        <f t="shared" si="53"/>
        <v>49273454.200000003</v>
      </c>
      <c r="U45" s="275">
        <f t="shared" si="53"/>
        <v>54318353.200000003</v>
      </c>
      <c r="V45" s="275">
        <f t="shared" si="53"/>
        <v>0</v>
      </c>
      <c r="W45" s="274">
        <f>W46-W47</f>
        <v>0</v>
      </c>
      <c r="X45" s="274">
        <f>X46-X47</f>
        <v>0</v>
      </c>
      <c r="Y45" s="275">
        <f t="shared" si="53"/>
        <v>0</v>
      </c>
      <c r="Z45" s="318">
        <f t="shared" si="53"/>
        <v>10649958.48</v>
      </c>
      <c r="AA45" s="275">
        <f t="shared" si="53"/>
        <v>13425119.140000001</v>
      </c>
      <c r="AB45" s="275">
        <f t="shared" si="53"/>
        <v>18133372.039999999</v>
      </c>
      <c r="AC45" s="275">
        <f>AC46-AC47</f>
        <v>47868107.399999999</v>
      </c>
      <c r="AD45" s="275">
        <f>AD46-AD47</f>
        <v>48309134.75</v>
      </c>
      <c r="AE45" s="275">
        <f>AE46-AE47</f>
        <v>54554495.210000001</v>
      </c>
      <c r="AF45" s="275">
        <f t="shared" ref="AF45:AG45" si="54">AF46-AF47</f>
        <v>65052753.200000003</v>
      </c>
      <c r="AG45" s="275">
        <f t="shared" si="54"/>
        <v>67861650.950000003</v>
      </c>
      <c r="AH45" s="275">
        <f t="shared" ref="AH45:AL45" si="55">AH46-AH47</f>
        <v>70183559.319999993</v>
      </c>
      <c r="AI45" s="275">
        <f t="shared" si="55"/>
        <v>85633840.719999999</v>
      </c>
      <c r="AJ45" s="275">
        <f t="shared" si="55"/>
        <v>88644611.069999993</v>
      </c>
      <c r="AK45" s="275">
        <f t="shared" si="55"/>
        <v>95832302.890000001</v>
      </c>
      <c r="AL45" s="352">
        <f t="shared" si="55"/>
        <v>0</v>
      </c>
      <c r="AM45" s="352">
        <f t="shared" ref="AM45:BF45" si="56">AM46-AM47</f>
        <v>2922694</v>
      </c>
      <c r="AN45" s="352">
        <f t="shared" si="56"/>
        <v>13413413.699999999</v>
      </c>
      <c r="AO45" s="352">
        <f t="shared" si="56"/>
        <v>14088308</v>
      </c>
      <c r="AP45" s="352">
        <f t="shared" si="56"/>
        <v>35283685.270000003</v>
      </c>
      <c r="AQ45" s="352">
        <f t="shared" si="56"/>
        <v>41696675.420000002</v>
      </c>
      <c r="AR45" s="352">
        <f t="shared" si="56"/>
        <v>62190819.68</v>
      </c>
      <c r="AS45" s="352">
        <f t="shared" si="56"/>
        <v>67779114.379999995</v>
      </c>
      <c r="AT45" s="352">
        <f t="shared" si="56"/>
        <v>77518347.890000001</v>
      </c>
      <c r="AU45" s="352">
        <f t="shared" si="56"/>
        <v>78547564.989999995</v>
      </c>
      <c r="AV45" s="352">
        <f t="shared" si="56"/>
        <v>100085667.13</v>
      </c>
      <c r="AW45" s="352">
        <f t="shared" si="56"/>
        <v>106639284.97</v>
      </c>
      <c r="AX45" s="352">
        <f t="shared" si="56"/>
        <v>137589895.84999999</v>
      </c>
      <c r="AY45" s="352">
        <f t="shared" si="56"/>
        <v>0</v>
      </c>
      <c r="AZ45" s="352">
        <f t="shared" si="56"/>
        <v>8956248.0399999991</v>
      </c>
      <c r="BA45" s="352">
        <f t="shared" si="56"/>
        <v>15358225.300000001</v>
      </c>
      <c r="BB45" s="352">
        <f t="shared" si="56"/>
        <v>16491276.85</v>
      </c>
      <c r="BC45" s="352">
        <f t="shared" si="56"/>
        <v>28037143.329999998</v>
      </c>
      <c r="BD45" s="352">
        <f t="shared" si="56"/>
        <v>35077006.990000002</v>
      </c>
      <c r="BE45" s="352">
        <f t="shared" si="56"/>
        <v>68115766.900000006</v>
      </c>
      <c r="BF45" s="352">
        <f t="shared" si="56"/>
        <v>77514972.840000004</v>
      </c>
    </row>
    <row r="46" spans="1:58" ht="15.75">
      <c r="A46" s="193">
        <v>9.1</v>
      </c>
      <c r="B46" s="193" t="s">
        <v>120</v>
      </c>
      <c r="C46" s="193"/>
      <c r="D46" s="208">
        <v>8965033.5999999996</v>
      </c>
      <c r="E46" s="276">
        <v>357268</v>
      </c>
      <c r="F46" s="284">
        <v>226400</v>
      </c>
      <c r="G46" s="278"/>
      <c r="H46" s="279"/>
      <c r="I46" s="209"/>
      <c r="J46" s="210">
        <v>13876644.310000001</v>
      </c>
      <c r="K46" s="210">
        <v>14779520.970000001</v>
      </c>
      <c r="L46" s="210">
        <v>17496061.300000001</v>
      </c>
      <c r="M46" s="280">
        <v>21872603.239999998</v>
      </c>
      <c r="N46" s="280">
        <v>27563399.899999999</v>
      </c>
      <c r="O46" s="280">
        <v>30887255.199999999</v>
      </c>
      <c r="P46" s="280">
        <v>41103697.740000002</v>
      </c>
      <c r="Q46" s="280">
        <v>43719585.829999998</v>
      </c>
      <c r="R46" s="280">
        <v>45805241.979999997</v>
      </c>
      <c r="S46" s="280">
        <v>48480029.700000003</v>
      </c>
      <c r="T46" s="280">
        <v>49273454.200000003</v>
      </c>
      <c r="U46" s="280">
        <v>54318353.200000003</v>
      </c>
      <c r="V46" s="280"/>
      <c r="W46" s="319">
        <v>0</v>
      </c>
      <c r="X46" s="319">
        <v>0</v>
      </c>
      <c r="Y46" s="319">
        <v>0</v>
      </c>
      <c r="Z46" s="319">
        <v>10649958.48</v>
      </c>
      <c r="AA46" s="214">
        <v>13425119.140000001</v>
      </c>
      <c r="AB46" s="323">
        <v>18133372.039999999</v>
      </c>
      <c r="AC46" s="329">
        <v>47868107.399999999</v>
      </c>
      <c r="AD46" s="329">
        <v>48309134.75</v>
      </c>
      <c r="AE46" s="329">
        <v>54554495.210000001</v>
      </c>
      <c r="AF46" s="335">
        <v>65052753.200000003</v>
      </c>
      <c r="AG46" s="337">
        <v>67861650.950000003</v>
      </c>
      <c r="AH46" s="335">
        <v>70183559.319999993</v>
      </c>
      <c r="AI46" s="347">
        <v>85633840.719999999</v>
      </c>
      <c r="AJ46" s="347">
        <v>88644611.069999993</v>
      </c>
      <c r="AK46" s="335">
        <v>95832302.890000001</v>
      </c>
      <c r="AL46" s="353"/>
      <c r="AM46" s="335">
        <v>2922694</v>
      </c>
      <c r="AN46" s="347">
        <v>13413413.699999999</v>
      </c>
      <c r="AO46" s="347">
        <v>14088308</v>
      </c>
      <c r="AP46" s="347">
        <v>35283685.270000003</v>
      </c>
      <c r="AQ46" s="347">
        <v>41696675.420000002</v>
      </c>
      <c r="AR46" s="347">
        <v>62190819.68</v>
      </c>
      <c r="AS46" s="347">
        <v>67779114.379999995</v>
      </c>
      <c r="AT46" s="347">
        <v>77518347.890000001</v>
      </c>
      <c r="AU46" s="347">
        <v>78547564.989999995</v>
      </c>
      <c r="AV46" s="347">
        <v>100085667.13</v>
      </c>
      <c r="AW46" s="347">
        <v>106639284.97</v>
      </c>
      <c r="AX46" s="347">
        <v>137589895.84999999</v>
      </c>
      <c r="AY46" s="173">
        <v>0</v>
      </c>
      <c r="AZ46" s="335">
        <v>8956248.0399999991</v>
      </c>
      <c r="BA46" s="347">
        <v>15358225.300000001</v>
      </c>
      <c r="BB46" s="347">
        <v>16491276.85</v>
      </c>
      <c r="BC46" s="347">
        <v>28037143.329999998</v>
      </c>
      <c r="BD46" s="335">
        <v>35077006.990000002</v>
      </c>
      <c r="BE46" s="347">
        <v>68115766.900000006</v>
      </c>
      <c r="BF46" s="455">
        <v>77514972.840000004</v>
      </c>
    </row>
    <row r="47" spans="1:58" ht="15.75">
      <c r="A47" s="193">
        <v>9.1999999999999993</v>
      </c>
      <c r="B47" s="193" t="s">
        <v>121</v>
      </c>
      <c r="C47" s="193"/>
      <c r="D47" s="208"/>
      <c r="E47" s="288"/>
      <c r="F47" s="284"/>
      <c r="G47" s="278"/>
      <c r="H47" s="279"/>
      <c r="I47" s="209"/>
      <c r="J47" s="210">
        <v>0</v>
      </c>
      <c r="K47" s="210">
        <v>0</v>
      </c>
      <c r="L47" s="210">
        <v>0</v>
      </c>
      <c r="M47" s="280"/>
      <c r="N47" s="280"/>
      <c r="O47" s="280"/>
      <c r="P47" s="280"/>
      <c r="Q47" s="280"/>
      <c r="R47" s="280"/>
      <c r="S47" s="280"/>
      <c r="T47" s="280"/>
      <c r="U47" s="280"/>
      <c r="V47" s="280"/>
      <c r="W47" s="319">
        <v>0</v>
      </c>
      <c r="X47" s="319">
        <v>0</v>
      </c>
      <c r="Y47" s="319">
        <v>0</v>
      </c>
      <c r="Z47" s="319">
        <v>0</v>
      </c>
      <c r="AA47" s="214">
        <v>0</v>
      </c>
      <c r="AB47" s="323">
        <v>0</v>
      </c>
      <c r="AC47" s="329">
        <v>0</v>
      </c>
      <c r="AD47" s="329">
        <v>0</v>
      </c>
      <c r="AE47" s="329">
        <v>0</v>
      </c>
      <c r="AF47" s="336">
        <v>0</v>
      </c>
      <c r="AG47" s="336">
        <v>0</v>
      </c>
      <c r="AH47" s="336">
        <v>0</v>
      </c>
      <c r="AI47" s="348">
        <v>0</v>
      </c>
      <c r="AJ47" s="348">
        <v>0</v>
      </c>
      <c r="AK47" s="336">
        <v>0</v>
      </c>
      <c r="AL47" s="353"/>
      <c r="AM47" s="336">
        <v>0</v>
      </c>
      <c r="AN47" s="348">
        <v>0</v>
      </c>
      <c r="AO47" s="348">
        <v>0</v>
      </c>
      <c r="AP47" s="348">
        <v>0</v>
      </c>
      <c r="AQ47" s="348">
        <v>0</v>
      </c>
      <c r="AR47" s="348">
        <v>0</v>
      </c>
      <c r="AS47" s="348">
        <v>0</v>
      </c>
      <c r="AT47" s="348">
        <v>0</v>
      </c>
      <c r="AU47" s="348">
        <v>0</v>
      </c>
      <c r="AV47" s="348">
        <v>0</v>
      </c>
      <c r="AW47" s="348">
        <v>0</v>
      </c>
      <c r="AX47" s="348">
        <v>0</v>
      </c>
      <c r="AY47" s="173">
        <v>0</v>
      </c>
      <c r="AZ47" s="336">
        <v>0</v>
      </c>
      <c r="BA47" s="348">
        <v>0</v>
      </c>
      <c r="BB47" s="348">
        <v>0</v>
      </c>
      <c r="BC47" s="348">
        <v>0</v>
      </c>
      <c r="BD47" s="336">
        <v>0</v>
      </c>
      <c r="BE47" s="348">
        <v>0</v>
      </c>
      <c r="BF47" s="456">
        <v>0</v>
      </c>
    </row>
    <row r="48" spans="1:58">
      <c r="A48" s="193"/>
      <c r="B48" s="193"/>
      <c r="C48" s="193"/>
      <c r="D48" s="208"/>
      <c r="E48" s="283"/>
      <c r="F48" s="284"/>
      <c r="G48" s="285"/>
      <c r="H48" s="279"/>
      <c r="I48" s="216"/>
      <c r="J48" s="187"/>
      <c r="K48" s="187"/>
      <c r="L48" s="187"/>
      <c r="M48" s="286"/>
      <c r="N48" s="286"/>
      <c r="O48" s="286"/>
      <c r="P48" s="286"/>
      <c r="Q48" s="286"/>
      <c r="R48" s="286"/>
      <c r="S48" s="286"/>
      <c r="T48" s="286"/>
      <c r="U48" s="286"/>
      <c r="V48" s="286"/>
      <c r="W48" s="285"/>
      <c r="X48" s="285"/>
      <c r="Y48" s="187"/>
      <c r="Z48" s="320"/>
      <c r="AA48" s="187"/>
      <c r="AB48" s="187"/>
      <c r="AC48" s="187"/>
      <c r="AD48" s="187"/>
      <c r="AE48" s="187"/>
      <c r="AF48" s="187"/>
      <c r="AG48" s="187"/>
      <c r="AH48" s="187"/>
      <c r="AI48" s="187"/>
      <c r="AJ48" s="187"/>
      <c r="AK48" s="187"/>
      <c r="AL48" s="356"/>
      <c r="AM48" s="356"/>
      <c r="AN48" s="356"/>
      <c r="AO48" s="356"/>
      <c r="AP48" s="356"/>
      <c r="AQ48" s="356"/>
      <c r="AR48" s="356"/>
      <c r="AS48" s="356"/>
      <c r="AT48" s="356"/>
      <c r="AU48" s="356"/>
      <c r="AV48" s="356"/>
      <c r="AW48" s="356"/>
      <c r="AX48" s="356"/>
      <c r="AY48" s="173"/>
    </row>
    <row r="49" spans="1:58" ht="15.75">
      <c r="A49" s="193">
        <v>10</v>
      </c>
      <c r="B49" s="193" t="s">
        <v>122</v>
      </c>
      <c r="C49" s="271">
        <f t="shared" ref="C49:H49" si="57">C43+C45</f>
        <v>26095426</v>
      </c>
      <c r="D49" s="271">
        <f t="shared" si="57"/>
        <v>79249882.140000001</v>
      </c>
      <c r="E49" s="311">
        <f t="shared" si="57"/>
        <v>91786017</v>
      </c>
      <c r="F49" s="312">
        <f t="shared" si="57"/>
        <v>89779203</v>
      </c>
      <c r="G49" s="313">
        <f t="shared" si="57"/>
        <v>96648220</v>
      </c>
      <c r="H49" s="313">
        <f t="shared" si="57"/>
        <v>82461920</v>
      </c>
      <c r="I49" s="313">
        <f t="shared" ref="I49:N49" si="58">I43+I45</f>
        <v>114935158</v>
      </c>
      <c r="J49" s="314">
        <f t="shared" si="58"/>
        <v>18046352.850000001</v>
      </c>
      <c r="K49" s="314">
        <f t="shared" si="58"/>
        <v>18074679.060000002</v>
      </c>
      <c r="L49" s="314">
        <f t="shared" si="58"/>
        <v>20597291.070000008</v>
      </c>
      <c r="M49" s="314">
        <f t="shared" si="58"/>
        <v>27755019.609999996</v>
      </c>
      <c r="N49" s="314">
        <f t="shared" si="58"/>
        <v>33561499.74000001</v>
      </c>
      <c r="O49" s="314">
        <f t="shared" ref="O49:AB49" si="59">O43+O45</f>
        <v>39992108.5</v>
      </c>
      <c r="P49" s="314">
        <f t="shared" si="59"/>
        <v>56224134.000000007</v>
      </c>
      <c r="Q49" s="314">
        <f t="shared" si="59"/>
        <v>59756680.609999999</v>
      </c>
      <c r="R49" s="314">
        <f t="shared" si="59"/>
        <v>64394159.020000003</v>
      </c>
      <c r="S49" s="314">
        <f t="shared" si="59"/>
        <v>80055595.250000015</v>
      </c>
      <c r="T49" s="314">
        <f t="shared" si="59"/>
        <v>109124817.38999994</v>
      </c>
      <c r="U49" s="314">
        <f t="shared" si="59"/>
        <v>109520077.29000001</v>
      </c>
      <c r="V49" s="314">
        <f t="shared" si="59"/>
        <v>109520077</v>
      </c>
      <c r="W49" s="313">
        <f>W43+W45</f>
        <v>56750558</v>
      </c>
      <c r="X49" s="313">
        <f>X43+X45</f>
        <v>297305696.61000001</v>
      </c>
      <c r="Y49" s="314">
        <f t="shared" si="59"/>
        <v>187459564</v>
      </c>
      <c r="Z49" s="322">
        <f t="shared" si="59"/>
        <v>17699154.100000001</v>
      </c>
      <c r="AA49" s="314">
        <f t="shared" si="59"/>
        <v>23042498.309999999</v>
      </c>
      <c r="AB49" s="314">
        <f t="shared" si="59"/>
        <v>29848715.969999991</v>
      </c>
      <c r="AC49" s="314">
        <f>AC43+AC45</f>
        <v>61923736.079999991</v>
      </c>
      <c r="AD49" s="314">
        <f>AD43+AD45</f>
        <v>68283209.299999997</v>
      </c>
      <c r="AE49" s="314">
        <f>AE43+AE45</f>
        <v>78009337.430000007</v>
      </c>
      <c r="AF49" s="314">
        <f t="shared" ref="AF49:AG49" si="60">AF43+AF45</f>
        <v>86491698.819999978</v>
      </c>
      <c r="AG49" s="314">
        <f t="shared" si="60"/>
        <v>93121221.570000038</v>
      </c>
      <c r="AH49" s="314">
        <f t="shared" ref="AH49:AK49" si="61">AH43+AH45</f>
        <v>93951514.390000015</v>
      </c>
      <c r="AI49" s="314">
        <f t="shared" si="61"/>
        <v>118479569.08999997</v>
      </c>
      <c r="AJ49" s="314">
        <f t="shared" si="61"/>
        <v>140009166.83999988</v>
      </c>
      <c r="AK49" s="314">
        <f t="shared" si="61"/>
        <v>205556496.99000007</v>
      </c>
      <c r="AL49" s="357">
        <f>AL43+AL45</f>
        <v>200556498</v>
      </c>
      <c r="AM49" s="357">
        <f t="shared" ref="AM49:BF49" si="62">AM43+AM45</f>
        <v>3758635.8999999985</v>
      </c>
      <c r="AN49" s="357">
        <f t="shared" si="62"/>
        <v>12750053.060000006</v>
      </c>
      <c r="AO49" s="357">
        <f t="shared" si="62"/>
        <v>19514661.109999985</v>
      </c>
      <c r="AP49" s="357">
        <f t="shared" si="62"/>
        <v>44024364.980000012</v>
      </c>
      <c r="AQ49" s="357">
        <f t="shared" si="62"/>
        <v>55416021.010000005</v>
      </c>
      <c r="AR49" s="357">
        <f t="shared" si="62"/>
        <v>75882205.76000002</v>
      </c>
      <c r="AS49" s="357">
        <f t="shared" si="62"/>
        <v>67918111.369999945</v>
      </c>
      <c r="AT49" s="357">
        <f t="shared" si="62"/>
        <v>68620538.930000052</v>
      </c>
      <c r="AU49" s="357">
        <f t="shared" si="62"/>
        <v>67793735.910000041</v>
      </c>
      <c r="AV49" s="357">
        <f t="shared" si="62"/>
        <v>77204486.829999983</v>
      </c>
      <c r="AW49" s="357">
        <f t="shared" si="62"/>
        <v>75201366.50000003</v>
      </c>
      <c r="AX49" s="357">
        <f t="shared" si="62"/>
        <v>117707254.66999996</v>
      </c>
      <c r="AY49" s="357">
        <f t="shared" si="62"/>
        <v>135238359</v>
      </c>
      <c r="AZ49" s="357">
        <f t="shared" si="62"/>
        <v>16348773.450000003</v>
      </c>
      <c r="BA49" s="357">
        <f t="shared" si="62"/>
        <v>20821278.649999987</v>
      </c>
      <c r="BB49" s="357">
        <f t="shared" si="62"/>
        <v>17465578.699999988</v>
      </c>
      <c r="BC49" s="357">
        <f t="shared" si="62"/>
        <v>25981159.140000015</v>
      </c>
      <c r="BD49" s="357">
        <f t="shared" si="62"/>
        <v>33791418.520000033</v>
      </c>
      <c r="BE49" s="357">
        <f t="shared" si="62"/>
        <v>48538033.73999998</v>
      </c>
      <c r="BF49" s="357">
        <f t="shared" si="62"/>
        <v>69570592.680000007</v>
      </c>
    </row>
    <row r="50" spans="1:58">
      <c r="A50" s="193"/>
      <c r="B50" s="193"/>
      <c r="C50" s="193"/>
      <c r="D50" s="208"/>
      <c r="E50" s="283"/>
      <c r="F50" s="284"/>
      <c r="G50" s="285"/>
      <c r="H50" s="279"/>
      <c r="I50" s="216"/>
      <c r="J50" s="187"/>
      <c r="K50" s="187"/>
      <c r="L50" s="187"/>
      <c r="M50" s="286"/>
      <c r="N50" s="286"/>
      <c r="O50" s="286"/>
      <c r="P50" s="286"/>
      <c r="Q50" s="286"/>
      <c r="R50" s="286"/>
      <c r="S50" s="286"/>
      <c r="T50" s="286"/>
      <c r="U50" s="286"/>
      <c r="V50" s="286"/>
      <c r="W50" s="285"/>
      <c r="X50" s="285"/>
      <c r="Y50" s="187"/>
      <c r="Z50" s="320"/>
      <c r="AA50" s="187"/>
      <c r="AB50" s="187"/>
      <c r="AC50" s="187"/>
      <c r="AD50" s="187"/>
      <c r="AE50" s="187"/>
      <c r="AF50" s="187"/>
      <c r="AG50" s="187"/>
      <c r="AH50" s="187"/>
      <c r="AI50" s="187"/>
      <c r="AJ50" s="187"/>
      <c r="AK50" s="187"/>
      <c r="AL50" s="356"/>
      <c r="AM50" s="356"/>
      <c r="AN50" s="356"/>
      <c r="AO50" s="356"/>
      <c r="AP50" s="356"/>
      <c r="AQ50" s="356"/>
      <c r="AR50" s="356"/>
      <c r="AS50" s="356"/>
      <c r="AT50" s="356"/>
      <c r="AU50" s="356"/>
      <c r="AV50" s="356"/>
      <c r="AW50" s="356"/>
      <c r="AX50" s="356"/>
      <c r="AY50" s="173"/>
    </row>
    <row r="51" spans="1:58" ht="15">
      <c r="A51" s="193">
        <v>11</v>
      </c>
      <c r="B51" s="193" t="s">
        <v>123</v>
      </c>
      <c r="C51" s="193"/>
      <c r="D51" s="208"/>
      <c r="E51" s="292">
        <v>1650000</v>
      </c>
      <c r="F51" s="284">
        <v>2750000</v>
      </c>
      <c r="G51" s="293">
        <v>2641894</v>
      </c>
      <c r="H51" s="279">
        <v>3000000</v>
      </c>
      <c r="I51" s="209">
        <v>4000000</v>
      </c>
      <c r="J51" s="210">
        <v>750000</v>
      </c>
      <c r="K51" s="210">
        <v>1500000</v>
      </c>
      <c r="L51" s="210">
        <v>2250000</v>
      </c>
      <c r="M51" s="294">
        <v>3000000</v>
      </c>
      <c r="N51" s="294">
        <v>3750000</v>
      </c>
      <c r="O51" s="294">
        <v>4500000</v>
      </c>
      <c r="P51" s="294">
        <v>5250000</v>
      </c>
      <c r="Q51" s="294">
        <v>6000000</v>
      </c>
      <c r="R51" s="294">
        <v>6750000</v>
      </c>
      <c r="S51" s="294">
        <v>7500000</v>
      </c>
      <c r="T51" s="294">
        <v>8250000</v>
      </c>
      <c r="U51" s="294">
        <v>7000000</v>
      </c>
      <c r="V51" s="294">
        <v>7000000</v>
      </c>
      <c r="W51" s="293">
        <v>12000000</v>
      </c>
      <c r="X51" s="293">
        <v>14200000</v>
      </c>
      <c r="Y51" s="294">
        <v>14200000</v>
      </c>
      <c r="Z51" s="319">
        <v>1250000</v>
      </c>
      <c r="AA51" s="214">
        <v>2500000</v>
      </c>
      <c r="AB51" s="323">
        <v>3750000</v>
      </c>
      <c r="AC51" s="329">
        <v>5000000</v>
      </c>
      <c r="AD51" s="329">
        <v>6250000</v>
      </c>
      <c r="AE51" s="329">
        <v>7500000</v>
      </c>
      <c r="AF51" s="335">
        <v>8750000</v>
      </c>
      <c r="AG51" s="337">
        <v>10000000</v>
      </c>
      <c r="AH51" s="335">
        <v>11250000</v>
      </c>
      <c r="AI51" s="347">
        <v>12500000</v>
      </c>
      <c r="AJ51" s="347">
        <v>13750000</v>
      </c>
      <c r="AK51" s="335">
        <v>16000000</v>
      </c>
      <c r="AL51" s="353">
        <v>16000000</v>
      </c>
      <c r="AM51" s="335">
        <v>1666666.7</v>
      </c>
      <c r="AN51" s="347">
        <v>3333333.3</v>
      </c>
      <c r="AO51" s="347">
        <v>5000000</v>
      </c>
      <c r="AP51" s="347">
        <v>6666666.5999999996</v>
      </c>
      <c r="AQ51" s="347">
        <v>8333333.2999999998</v>
      </c>
      <c r="AR51" s="347">
        <v>10000000</v>
      </c>
      <c r="AS51" s="347">
        <v>11666666.6</v>
      </c>
      <c r="AT51" s="347">
        <v>13333333.300000001</v>
      </c>
      <c r="AU51" s="347">
        <v>14999999.9</v>
      </c>
      <c r="AV51" s="347">
        <v>16666666.6</v>
      </c>
      <c r="AW51" s="347">
        <v>18333333.300000001</v>
      </c>
      <c r="AX51" s="347">
        <v>34918542</v>
      </c>
      <c r="AY51" s="173">
        <v>24282921</v>
      </c>
      <c r="AZ51" s="335">
        <v>1833333.3</v>
      </c>
      <c r="BA51" s="347">
        <v>3666666.7</v>
      </c>
      <c r="BB51" s="347">
        <v>5500000</v>
      </c>
      <c r="BC51" s="347">
        <v>7333333.2999999998</v>
      </c>
      <c r="BD51" s="335">
        <v>9166666.6999999993</v>
      </c>
      <c r="BE51" s="347">
        <v>11000000</v>
      </c>
      <c r="BF51" s="455">
        <v>12833333.300000001</v>
      </c>
    </row>
    <row r="52" spans="1:58">
      <c r="A52" s="193"/>
      <c r="B52" s="193"/>
      <c r="C52" s="193"/>
      <c r="D52" s="208"/>
      <c r="E52" s="283"/>
      <c r="F52" s="284"/>
      <c r="G52" s="285"/>
      <c r="H52" s="279"/>
      <c r="I52" s="216"/>
      <c r="J52" s="187"/>
      <c r="K52" s="187"/>
      <c r="L52" s="187"/>
      <c r="M52" s="286"/>
      <c r="N52" s="286"/>
      <c r="O52" s="286"/>
      <c r="P52" s="286"/>
      <c r="Q52" s="286"/>
      <c r="R52" s="286"/>
      <c r="S52" s="286"/>
      <c r="T52" s="286"/>
      <c r="U52" s="286"/>
      <c r="V52" s="286"/>
      <c r="W52" s="285"/>
      <c r="X52" s="285"/>
      <c r="Y52" s="187"/>
      <c r="Z52" s="320"/>
      <c r="AA52" s="187"/>
      <c r="AB52" s="187"/>
      <c r="AC52" s="187"/>
      <c r="AD52" s="187"/>
      <c r="AE52" s="187"/>
      <c r="AF52" s="187"/>
      <c r="AG52" s="187"/>
      <c r="AH52" s="187"/>
      <c r="AI52" s="187"/>
      <c r="AJ52" s="187"/>
      <c r="AK52" s="187"/>
      <c r="AL52" s="356"/>
      <c r="AM52" s="356"/>
      <c r="AN52" s="356"/>
      <c r="AO52" s="356"/>
      <c r="AP52" s="356"/>
      <c r="AQ52" s="356"/>
      <c r="AR52" s="356"/>
      <c r="AS52" s="356"/>
      <c r="AT52" s="356"/>
      <c r="AU52" s="356"/>
      <c r="AV52" s="356"/>
      <c r="AW52" s="356"/>
      <c r="AX52" s="356"/>
      <c r="AY52" s="173"/>
    </row>
    <row r="53" spans="1:58" ht="15.75">
      <c r="A53" s="193">
        <v>12</v>
      </c>
      <c r="B53" s="189" t="s">
        <v>124</v>
      </c>
      <c r="C53" s="271">
        <f t="shared" ref="C53:H53" si="63">C49-C51</f>
        <v>26095426</v>
      </c>
      <c r="D53" s="194">
        <f t="shared" si="63"/>
        <v>79249882.140000001</v>
      </c>
      <c r="E53" s="309">
        <f t="shared" si="63"/>
        <v>90136017</v>
      </c>
      <c r="F53" s="310">
        <f t="shared" si="63"/>
        <v>87029203</v>
      </c>
      <c r="G53" s="274">
        <f t="shared" si="63"/>
        <v>94006326</v>
      </c>
      <c r="H53" s="274">
        <f t="shared" si="63"/>
        <v>79461920</v>
      </c>
      <c r="I53" s="274">
        <f t="shared" ref="I53:N53" si="64">I49-I51</f>
        <v>110935158</v>
      </c>
      <c r="J53" s="275">
        <f t="shared" si="64"/>
        <v>17296352.850000001</v>
      </c>
      <c r="K53" s="275">
        <f t="shared" si="64"/>
        <v>16574679.060000002</v>
      </c>
      <c r="L53" s="275">
        <f t="shared" si="64"/>
        <v>18347291.070000008</v>
      </c>
      <c r="M53" s="275">
        <f t="shared" si="64"/>
        <v>24755019.609999996</v>
      </c>
      <c r="N53" s="275">
        <f t="shared" si="64"/>
        <v>29811499.74000001</v>
      </c>
      <c r="O53" s="275">
        <f t="shared" ref="O53:AB53" si="65">O49-O51</f>
        <v>35492108.5</v>
      </c>
      <c r="P53" s="275">
        <f t="shared" si="65"/>
        <v>50974134.000000007</v>
      </c>
      <c r="Q53" s="275">
        <f t="shared" si="65"/>
        <v>53756680.609999999</v>
      </c>
      <c r="R53" s="275">
        <f t="shared" si="65"/>
        <v>57644159.020000003</v>
      </c>
      <c r="S53" s="275">
        <f t="shared" si="65"/>
        <v>72555595.250000015</v>
      </c>
      <c r="T53" s="275">
        <f t="shared" si="65"/>
        <v>100874817.38999994</v>
      </c>
      <c r="U53" s="275">
        <f t="shared" si="65"/>
        <v>102520077.29000001</v>
      </c>
      <c r="V53" s="275">
        <f t="shared" si="65"/>
        <v>102520077</v>
      </c>
      <c r="W53" s="274">
        <f>W49-W51</f>
        <v>44750558</v>
      </c>
      <c r="X53" s="274">
        <f>X49-X51</f>
        <v>283105696.61000001</v>
      </c>
      <c r="Y53" s="275">
        <f t="shared" si="65"/>
        <v>173259564</v>
      </c>
      <c r="Z53" s="318">
        <f t="shared" si="65"/>
        <v>16449154.100000001</v>
      </c>
      <c r="AA53" s="275">
        <f t="shared" si="65"/>
        <v>20542498.309999999</v>
      </c>
      <c r="AB53" s="275">
        <f t="shared" si="65"/>
        <v>26098715.969999991</v>
      </c>
      <c r="AC53" s="275">
        <f>AC49-AC51</f>
        <v>56923736.079999991</v>
      </c>
      <c r="AD53" s="275">
        <f>AD49-AD51</f>
        <v>62033209.299999997</v>
      </c>
      <c r="AE53" s="275">
        <f>AE49-AE51</f>
        <v>70509337.430000007</v>
      </c>
      <c r="AF53" s="275">
        <f t="shared" ref="AF53:AG53" si="66">AF49-AF51</f>
        <v>77741698.819999978</v>
      </c>
      <c r="AG53" s="275">
        <f t="shared" si="66"/>
        <v>83121221.570000038</v>
      </c>
      <c r="AH53" s="275">
        <f t="shared" ref="AH53:AL53" si="67">AH49-AH51</f>
        <v>82701514.390000015</v>
      </c>
      <c r="AI53" s="275">
        <f t="shared" si="67"/>
        <v>105979569.08999997</v>
      </c>
      <c r="AJ53" s="275">
        <f t="shared" si="67"/>
        <v>126259166.83999988</v>
      </c>
      <c r="AK53" s="275">
        <f t="shared" si="67"/>
        <v>189556496.99000007</v>
      </c>
      <c r="AL53" s="352">
        <f t="shared" si="67"/>
        <v>184556498</v>
      </c>
      <c r="AM53" s="352">
        <f t="shared" ref="AM53:BF53" si="68">AM49-AM51</f>
        <v>2091969.1999999986</v>
      </c>
      <c r="AN53" s="352">
        <f t="shared" si="68"/>
        <v>9416719.7600000054</v>
      </c>
      <c r="AO53" s="352">
        <f t="shared" si="68"/>
        <v>14514661.109999985</v>
      </c>
      <c r="AP53" s="352">
        <f t="shared" si="68"/>
        <v>37357698.38000001</v>
      </c>
      <c r="AQ53" s="352">
        <f t="shared" si="68"/>
        <v>47082687.710000008</v>
      </c>
      <c r="AR53" s="352">
        <f t="shared" si="68"/>
        <v>65882205.76000002</v>
      </c>
      <c r="AS53" s="352">
        <f t="shared" si="68"/>
        <v>56251444.769999944</v>
      </c>
      <c r="AT53" s="352">
        <f t="shared" si="68"/>
        <v>55287205.630000055</v>
      </c>
      <c r="AU53" s="352">
        <f t="shared" si="68"/>
        <v>52793736.010000043</v>
      </c>
      <c r="AV53" s="352">
        <f t="shared" si="68"/>
        <v>60537820.229999982</v>
      </c>
      <c r="AW53" s="352">
        <f t="shared" si="68"/>
        <v>56868033.200000033</v>
      </c>
      <c r="AX53" s="352">
        <f t="shared" si="68"/>
        <v>82788712.669999957</v>
      </c>
      <c r="AY53" s="352">
        <f t="shared" si="68"/>
        <v>110955438</v>
      </c>
      <c r="AZ53" s="352">
        <f t="shared" si="68"/>
        <v>14515440.150000002</v>
      </c>
      <c r="BA53" s="352">
        <f t="shared" si="68"/>
        <v>17154611.949999988</v>
      </c>
      <c r="BB53" s="352">
        <f t="shared" si="68"/>
        <v>11965578.699999988</v>
      </c>
      <c r="BC53" s="352">
        <f t="shared" si="68"/>
        <v>18647825.840000015</v>
      </c>
      <c r="BD53" s="352">
        <f t="shared" si="68"/>
        <v>24624751.820000034</v>
      </c>
      <c r="BE53" s="352">
        <f t="shared" si="68"/>
        <v>37538033.73999998</v>
      </c>
      <c r="BF53" s="352">
        <f t="shared" si="68"/>
        <v>56737259.38000001</v>
      </c>
    </row>
    <row r="54" spans="1:58" ht="15">
      <c r="A54" s="193">
        <v>13</v>
      </c>
      <c r="B54" s="193" t="s">
        <v>125</v>
      </c>
      <c r="C54" s="193"/>
      <c r="D54" s="208"/>
      <c r="E54" s="292">
        <v>412995</v>
      </c>
      <c r="F54" s="284"/>
      <c r="G54" s="293"/>
      <c r="H54" s="279"/>
      <c r="I54" s="209"/>
      <c r="J54" s="210">
        <v>0</v>
      </c>
      <c r="K54" s="210">
        <v>0</v>
      </c>
      <c r="L54" s="210">
        <v>0</v>
      </c>
      <c r="M54" s="294"/>
      <c r="N54" s="294"/>
      <c r="O54" s="294"/>
      <c r="P54" s="294"/>
      <c r="Q54" s="294"/>
      <c r="R54" s="294"/>
      <c r="S54" s="294"/>
      <c r="T54" s="294"/>
      <c r="U54" s="294"/>
      <c r="V54" s="294"/>
      <c r="W54" s="293"/>
      <c r="X54" s="293"/>
      <c r="Y54" s="187"/>
      <c r="Z54" s="320"/>
      <c r="AA54" s="187"/>
      <c r="AB54" s="323">
        <v>0</v>
      </c>
      <c r="AC54" s="329">
        <v>0</v>
      </c>
      <c r="AD54" s="329">
        <v>0</v>
      </c>
      <c r="AE54" s="329"/>
      <c r="AF54" s="329"/>
      <c r="AG54" s="329"/>
      <c r="AH54" s="329"/>
      <c r="AI54" s="329"/>
      <c r="AJ54" s="329"/>
      <c r="AK54" s="329">
        <v>0</v>
      </c>
      <c r="AL54" s="354"/>
      <c r="AM54" s="415">
        <v>0</v>
      </c>
      <c r="AN54" s="415">
        <v>0</v>
      </c>
      <c r="AO54" s="415">
        <v>0</v>
      </c>
      <c r="AP54" s="415">
        <v>0</v>
      </c>
      <c r="AQ54" s="416">
        <v>0</v>
      </c>
      <c r="AR54" s="416">
        <v>0</v>
      </c>
      <c r="AS54" s="416">
        <v>0</v>
      </c>
      <c r="AT54" s="416">
        <v>0</v>
      </c>
      <c r="AU54" s="416">
        <v>0</v>
      </c>
      <c r="AV54" s="416">
        <v>0</v>
      </c>
      <c r="AW54" s="416">
        <v>0</v>
      </c>
      <c r="AX54" s="416">
        <v>0</v>
      </c>
      <c r="AY54" s="173"/>
      <c r="AZ54" s="415">
        <v>0</v>
      </c>
      <c r="BA54" s="416">
        <v>0</v>
      </c>
      <c r="BB54" s="416">
        <v>0</v>
      </c>
      <c r="BC54" s="416">
        <v>0</v>
      </c>
      <c r="BD54" s="415">
        <v>0</v>
      </c>
      <c r="BE54" s="416">
        <v>0</v>
      </c>
      <c r="BF54" s="454">
        <v>0</v>
      </c>
    </row>
    <row r="55" spans="1:58">
      <c r="A55" s="193"/>
      <c r="B55" s="193"/>
      <c r="C55" s="193"/>
      <c r="D55" s="208"/>
      <c r="E55" s="283"/>
      <c r="F55" s="284"/>
      <c r="G55" s="285"/>
      <c r="H55" s="279"/>
      <c r="I55" s="216"/>
      <c r="J55" s="187"/>
      <c r="K55" s="187"/>
      <c r="L55" s="187"/>
      <c r="M55" s="286"/>
      <c r="N55" s="286"/>
      <c r="O55" s="286"/>
      <c r="P55" s="286"/>
      <c r="Q55" s="286"/>
      <c r="R55" s="286"/>
      <c r="S55" s="286"/>
      <c r="T55" s="286"/>
      <c r="U55" s="286"/>
      <c r="V55" s="286"/>
      <c r="W55" s="285"/>
      <c r="X55" s="285"/>
      <c r="Y55" s="187"/>
      <c r="Z55" s="320"/>
      <c r="AA55" s="187"/>
      <c r="AB55" s="187"/>
      <c r="AC55" s="187"/>
      <c r="AD55" s="187"/>
      <c r="AE55" s="187"/>
      <c r="AF55" s="187"/>
      <c r="AG55" s="187"/>
      <c r="AH55" s="187"/>
      <c r="AI55" s="187"/>
      <c r="AJ55" s="187"/>
      <c r="AK55" s="187"/>
      <c r="AL55" s="356"/>
      <c r="AM55" s="356"/>
      <c r="AN55" s="356"/>
      <c r="AO55" s="356"/>
      <c r="AP55" s="356"/>
      <c r="AQ55" s="356"/>
      <c r="AR55" s="356"/>
      <c r="AS55" s="356"/>
      <c r="AT55" s="356"/>
      <c r="AU55" s="356"/>
      <c r="AV55" s="356"/>
      <c r="AW55" s="356"/>
      <c r="AX55" s="356"/>
      <c r="AY55" s="173"/>
    </row>
    <row r="56" spans="1:58" ht="15.75">
      <c r="A56" s="193">
        <v>14</v>
      </c>
      <c r="B56" s="189" t="s">
        <v>126</v>
      </c>
      <c r="C56" s="271">
        <f>C53-C54</f>
        <v>26095426</v>
      </c>
      <c r="D56" s="194">
        <f>D53-D54</f>
        <v>79249882.140000001</v>
      </c>
      <c r="E56" s="309">
        <f>E53-E54</f>
        <v>89723022</v>
      </c>
      <c r="F56" s="310">
        <f>F53-F54</f>
        <v>87029203</v>
      </c>
      <c r="G56" s="274">
        <f t="shared" ref="G56:L56" si="69">G53+G54</f>
        <v>94006326</v>
      </c>
      <c r="H56" s="274">
        <f t="shared" si="69"/>
        <v>79461920</v>
      </c>
      <c r="I56" s="274">
        <f t="shared" si="69"/>
        <v>110935158</v>
      </c>
      <c r="J56" s="275">
        <f t="shared" si="69"/>
        <v>17296352.850000001</v>
      </c>
      <c r="K56" s="275">
        <f t="shared" si="69"/>
        <v>16574679.060000002</v>
      </c>
      <c r="L56" s="275">
        <f t="shared" si="69"/>
        <v>18347291.070000008</v>
      </c>
      <c r="M56" s="275">
        <f t="shared" ref="M56:R56" si="70">M53+M54</f>
        <v>24755019.609999996</v>
      </c>
      <c r="N56" s="275">
        <f t="shared" si="70"/>
        <v>29811499.74000001</v>
      </c>
      <c r="O56" s="275">
        <f t="shared" si="70"/>
        <v>35492108.5</v>
      </c>
      <c r="P56" s="275">
        <f t="shared" si="70"/>
        <v>50974134.000000007</v>
      </c>
      <c r="Q56" s="275">
        <f t="shared" si="70"/>
        <v>53756680.609999999</v>
      </c>
      <c r="R56" s="275">
        <f t="shared" si="70"/>
        <v>57644159.020000003</v>
      </c>
      <c r="S56" s="275">
        <f t="shared" ref="S56:AB56" si="71">S53+S54</f>
        <v>72555595.250000015</v>
      </c>
      <c r="T56" s="275">
        <f t="shared" si="71"/>
        <v>100874817.38999994</v>
      </c>
      <c r="U56" s="275">
        <f t="shared" si="71"/>
        <v>102520077.29000001</v>
      </c>
      <c r="V56" s="275">
        <f t="shared" si="71"/>
        <v>102520077</v>
      </c>
      <c r="W56" s="274">
        <f>W53+W54</f>
        <v>44750558</v>
      </c>
      <c r="X56" s="274">
        <f t="shared" si="71"/>
        <v>283105696.61000001</v>
      </c>
      <c r="Y56" s="275">
        <f t="shared" si="71"/>
        <v>173259564</v>
      </c>
      <c r="Z56" s="318">
        <f t="shared" si="71"/>
        <v>16449154.100000001</v>
      </c>
      <c r="AA56" s="275">
        <f t="shared" si="71"/>
        <v>20542498.309999999</v>
      </c>
      <c r="AB56" s="275">
        <f t="shared" si="71"/>
        <v>26098715.969999991</v>
      </c>
      <c r="AC56" s="275">
        <f>AC53+AC54</f>
        <v>56923736.079999991</v>
      </c>
      <c r="AD56" s="275">
        <f>AD53+AD54</f>
        <v>62033209.299999997</v>
      </c>
      <c r="AE56" s="275">
        <f>AE53+AE54</f>
        <v>70509337.430000007</v>
      </c>
      <c r="AF56" s="275">
        <f t="shared" ref="AF56:AG56" si="72">AF53+AF54</f>
        <v>77741698.819999978</v>
      </c>
      <c r="AG56" s="275">
        <f t="shared" si="72"/>
        <v>83121221.570000038</v>
      </c>
      <c r="AH56" s="275">
        <f t="shared" ref="AH56:AL56" si="73">AH53+AH54</f>
        <v>82701514.390000015</v>
      </c>
      <c r="AI56" s="275">
        <f t="shared" si="73"/>
        <v>105979569.08999997</v>
      </c>
      <c r="AJ56" s="275">
        <f t="shared" si="73"/>
        <v>126259166.83999988</v>
      </c>
      <c r="AK56" s="275">
        <f t="shared" si="73"/>
        <v>189556496.99000007</v>
      </c>
      <c r="AL56" s="352">
        <f t="shared" si="73"/>
        <v>184556498</v>
      </c>
      <c r="AM56" s="352">
        <f t="shared" ref="AM56:BF56" si="74">AM53+AM54</f>
        <v>2091969.1999999986</v>
      </c>
      <c r="AN56" s="352">
        <f t="shared" si="74"/>
        <v>9416719.7600000054</v>
      </c>
      <c r="AO56" s="352">
        <f t="shared" si="74"/>
        <v>14514661.109999985</v>
      </c>
      <c r="AP56" s="352">
        <f t="shared" si="74"/>
        <v>37357698.38000001</v>
      </c>
      <c r="AQ56" s="352">
        <f t="shared" si="74"/>
        <v>47082687.710000008</v>
      </c>
      <c r="AR56" s="352">
        <f t="shared" si="74"/>
        <v>65882205.76000002</v>
      </c>
      <c r="AS56" s="352">
        <f t="shared" si="74"/>
        <v>56251444.769999944</v>
      </c>
      <c r="AT56" s="352">
        <f t="shared" si="74"/>
        <v>55287205.630000055</v>
      </c>
      <c r="AU56" s="352">
        <f t="shared" si="74"/>
        <v>52793736.010000043</v>
      </c>
      <c r="AV56" s="352">
        <f t="shared" si="74"/>
        <v>60537820.229999982</v>
      </c>
      <c r="AW56" s="352">
        <f t="shared" si="74"/>
        <v>56868033.200000033</v>
      </c>
      <c r="AX56" s="352">
        <f t="shared" si="74"/>
        <v>82788712.669999957</v>
      </c>
      <c r="AY56" s="352">
        <f t="shared" si="74"/>
        <v>110955438</v>
      </c>
      <c r="AZ56" s="352">
        <f t="shared" si="74"/>
        <v>14515440.150000002</v>
      </c>
      <c r="BA56" s="352">
        <f t="shared" si="74"/>
        <v>17154611.949999988</v>
      </c>
      <c r="BB56" s="352">
        <f t="shared" si="74"/>
        <v>11965578.699999988</v>
      </c>
      <c r="BC56" s="352">
        <f t="shared" si="74"/>
        <v>18647825.840000015</v>
      </c>
      <c r="BD56" s="352">
        <f t="shared" si="74"/>
        <v>24624751.820000034</v>
      </c>
      <c r="BE56" s="352">
        <f t="shared" si="74"/>
        <v>37538033.73999998</v>
      </c>
      <c r="BF56" s="352">
        <f t="shared" si="74"/>
        <v>56737259.38000001</v>
      </c>
    </row>
    <row r="57" spans="1:58" ht="15.75">
      <c r="A57" s="254"/>
      <c r="B57" s="176" t="s">
        <v>127</v>
      </c>
      <c r="C57" s="176"/>
      <c r="F57" s="261">
        <f t="shared" ref="F57:AB57" si="75">F51+F36+F33+F21</f>
        <v>201234815</v>
      </c>
      <c r="G57" s="261">
        <f t="shared" si="75"/>
        <v>183632047</v>
      </c>
      <c r="H57" s="261">
        <f t="shared" si="75"/>
        <v>235505503</v>
      </c>
      <c r="I57" s="261">
        <f t="shared" si="75"/>
        <v>275978113</v>
      </c>
      <c r="J57" s="261">
        <f t="shared" si="75"/>
        <v>21947443.530000001</v>
      </c>
      <c r="K57" s="261">
        <f t="shared" si="75"/>
        <v>46830612.920000002</v>
      </c>
      <c r="L57" s="261">
        <f t="shared" si="75"/>
        <v>70626606.689999998</v>
      </c>
      <c r="M57" s="261">
        <f t="shared" si="75"/>
        <v>94413721.909999996</v>
      </c>
      <c r="N57" s="261">
        <f t="shared" si="75"/>
        <v>120972139.08000001</v>
      </c>
      <c r="O57" s="261">
        <f t="shared" si="75"/>
        <v>143236135.32999998</v>
      </c>
      <c r="P57" s="261">
        <f t="shared" si="75"/>
        <v>163057675.72999999</v>
      </c>
      <c r="Q57" s="261">
        <f t="shared" si="75"/>
        <v>188364496.53</v>
      </c>
      <c r="R57" s="261">
        <f t="shared" si="75"/>
        <v>212859713.48000002</v>
      </c>
      <c r="S57" s="261">
        <f t="shared" si="75"/>
        <v>237098013.44</v>
      </c>
      <c r="T57" s="261">
        <f t="shared" si="75"/>
        <v>262608916.41000003</v>
      </c>
      <c r="U57" s="261">
        <f t="shared" si="75"/>
        <v>299135748.91999996</v>
      </c>
      <c r="V57" s="261">
        <f t="shared" si="75"/>
        <v>299135750</v>
      </c>
      <c r="W57" s="261">
        <f>W51+W36+W33+W21</f>
        <v>537099919</v>
      </c>
      <c r="X57" s="261">
        <f t="shared" si="75"/>
        <v>243087494.18000001</v>
      </c>
      <c r="Y57" s="263">
        <f t="shared" si="75"/>
        <v>438180307</v>
      </c>
      <c r="Z57" s="261">
        <f t="shared" si="75"/>
        <v>41872790.350000001</v>
      </c>
      <c r="AA57" s="261">
        <f t="shared" si="75"/>
        <v>84399539.980000004</v>
      </c>
      <c r="AB57" s="261">
        <f t="shared" si="75"/>
        <v>129935624.52</v>
      </c>
      <c r="AC57" s="261">
        <f>AC51+AC36+AC33+AC21</f>
        <v>174074277.94999999</v>
      </c>
      <c r="AD57" s="261">
        <f>AD51+AD36+AD33+AD21</f>
        <v>217243953.92000002</v>
      </c>
      <c r="AE57" s="261">
        <f>AE51+AE36+AE33+AE21</f>
        <v>263664121.89999998</v>
      </c>
      <c r="AF57" s="261">
        <f t="shared" ref="AF57:AG57" si="76">AF51+AF36+AF33+AF21</f>
        <v>315782286.78999996</v>
      </c>
      <c r="AG57" s="261">
        <f t="shared" si="76"/>
        <v>359925066.84000003</v>
      </c>
      <c r="AH57" s="261">
        <f t="shared" ref="AH57:AL57" si="77">AH51+AH36+AH33+AH21</f>
        <v>408715078.97000003</v>
      </c>
      <c r="AI57" s="261">
        <f t="shared" si="77"/>
        <v>455329618.59000003</v>
      </c>
      <c r="AJ57" s="261">
        <f t="shared" si="77"/>
        <v>501806820.83000004</v>
      </c>
      <c r="AK57" s="261">
        <f t="shared" si="77"/>
        <v>505183219.06</v>
      </c>
      <c r="AL57" s="358">
        <f t="shared" si="77"/>
        <v>510183219</v>
      </c>
      <c r="AM57" s="358">
        <f t="shared" ref="AM57:BF57" si="78">AM51+AM36+AM33+AM21</f>
        <v>51136819.379999995</v>
      </c>
      <c r="AN57" s="358">
        <f t="shared" si="78"/>
        <v>102907756.25</v>
      </c>
      <c r="AO57" s="358">
        <f t="shared" si="78"/>
        <v>149124111.84</v>
      </c>
      <c r="AP57" s="358">
        <f t="shared" si="78"/>
        <v>199895972.54999998</v>
      </c>
      <c r="AQ57" s="358">
        <f t="shared" si="78"/>
        <v>246513023.26999998</v>
      </c>
      <c r="AR57" s="358">
        <f t="shared" si="78"/>
        <v>300513895.09000003</v>
      </c>
      <c r="AS57" s="358">
        <f t="shared" si="78"/>
        <v>391820041.10000002</v>
      </c>
      <c r="AT57" s="358">
        <f t="shared" si="78"/>
        <v>458142721.53999996</v>
      </c>
      <c r="AU57" s="358">
        <f t="shared" si="78"/>
        <v>517109813.64999998</v>
      </c>
      <c r="AV57" s="358">
        <f t="shared" si="78"/>
        <v>583528117.70999992</v>
      </c>
      <c r="AW57" s="358">
        <f t="shared" si="78"/>
        <v>650352643.76999998</v>
      </c>
      <c r="AX57" s="358">
        <f t="shared" si="78"/>
        <v>706365815.29999995</v>
      </c>
      <c r="AY57" s="358">
        <f t="shared" si="78"/>
        <v>678199060</v>
      </c>
      <c r="AZ57" s="358">
        <f t="shared" si="78"/>
        <v>57933490.790000007</v>
      </c>
      <c r="BA57" s="358">
        <f t="shared" si="78"/>
        <v>118963387.03</v>
      </c>
      <c r="BB57" s="358">
        <f t="shared" si="78"/>
        <v>188210106.04999998</v>
      </c>
      <c r="BC57" s="358">
        <f t="shared" si="78"/>
        <v>249782001.90999997</v>
      </c>
      <c r="BD57" s="358">
        <f t="shared" si="78"/>
        <v>311741175.00999999</v>
      </c>
      <c r="BE57" s="358">
        <f t="shared" si="78"/>
        <v>392246513.31</v>
      </c>
      <c r="BF57" s="358">
        <f t="shared" si="78"/>
        <v>440453547.01999998</v>
      </c>
    </row>
    <row r="58" spans="1:58">
      <c r="A58" s="254"/>
      <c r="B58" s="176"/>
      <c r="C58" s="176"/>
      <c r="F58" s="261">
        <f>F57-201234815</f>
        <v>0</v>
      </c>
    </row>
    <row r="59" spans="1:58">
      <c r="A59" s="315"/>
      <c r="B59" s="316" t="s">
        <v>77</v>
      </c>
      <c r="C59" s="316"/>
    </row>
    <row r="60" spans="1:58">
      <c r="A60" s="317"/>
      <c r="B60" s="258" t="s">
        <v>78</v>
      </c>
      <c r="C60" s="258"/>
    </row>
    <row r="61" spans="1:58">
      <c r="A61" s="254"/>
      <c r="B61" s="258" t="s">
        <v>79</v>
      </c>
      <c r="C61" s="258"/>
    </row>
    <row r="62" spans="1:58">
      <c r="A62" s="254"/>
      <c r="B62" s="258" t="s">
        <v>128</v>
      </c>
      <c r="C62" s="258"/>
    </row>
    <row r="63" spans="1:58">
      <c r="A63" s="254"/>
      <c r="B63" s="258" t="s">
        <v>79</v>
      </c>
      <c r="C63" s="258"/>
    </row>
    <row r="64" spans="1:58">
      <c r="A64" s="254"/>
      <c r="B64" s="258" t="s">
        <v>129</v>
      </c>
      <c r="C64" s="258"/>
    </row>
  </sheetData>
  <mergeCells count="8">
    <mergeCell ref="A1:B1"/>
    <mergeCell ref="B8:B9"/>
    <mergeCell ref="A2:C2"/>
    <mergeCell ref="A3:C3"/>
    <mergeCell ref="A4:C4"/>
    <mergeCell ref="A5:C5"/>
    <mergeCell ref="A6:C6"/>
    <mergeCell ref="A7:C7"/>
  </mergeCells>
  <pageMargins left="0.7" right="0.7" top="0.75" bottom="0.75" header="0.3" footer="0.3"/>
  <pageSetup scale="26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BF45"/>
  <sheetViews>
    <sheetView topLeftCell="A7" zoomScale="80" zoomScaleNormal="80" zoomScaleSheetLayoutView="96" workbookViewId="0">
      <pane xSplit="3" topLeftCell="BB1" activePane="topRight" state="frozen"/>
      <selection pane="topRight" activeCell="BK11" sqref="BK11"/>
    </sheetView>
  </sheetViews>
  <sheetFormatPr defaultColWidth="9.140625" defaultRowHeight="14.1"/>
  <cols>
    <col min="1" max="1" width="5.5703125" style="19" customWidth="1"/>
    <col min="2" max="2" width="5.85546875" style="19" hidden="1" customWidth="1"/>
    <col min="3" max="3" width="34.28515625" style="19" customWidth="1"/>
    <col min="4" max="4" width="15.5703125" style="19" hidden="1" customWidth="1"/>
    <col min="5" max="5" width="15.85546875" style="19" hidden="1" customWidth="1"/>
    <col min="6" max="6" width="16.5703125" style="27" bestFit="1" customWidth="1"/>
    <col min="7" max="7" width="16.28515625" style="19" customWidth="1"/>
    <col min="8" max="8" width="15.85546875" style="19" customWidth="1"/>
    <col min="9" max="9" width="15.85546875" style="19" bestFit="1" customWidth="1"/>
    <col min="10" max="10" width="15.85546875" style="19" customWidth="1"/>
    <col min="11" max="22" width="15.85546875" style="19" bestFit="1" customWidth="1"/>
    <col min="23" max="23" width="15.7109375" style="19" bestFit="1" customWidth="1"/>
    <col min="24" max="26" width="16.85546875" style="19" bestFit="1" customWidth="1"/>
    <col min="27" max="28" width="17.28515625" style="19" bestFit="1" customWidth="1"/>
    <col min="29" max="33" width="16.5703125" style="19" bestFit="1" customWidth="1"/>
    <col min="34" max="34" width="14.85546875" style="19" bestFit="1" customWidth="1"/>
    <col min="35" max="35" width="19.42578125" style="19" customWidth="1"/>
    <col min="36" max="36" width="18.85546875" style="19" customWidth="1"/>
    <col min="37" max="37" width="13.85546875" style="19" customWidth="1"/>
    <col min="38" max="38" width="18.5703125" style="19" customWidth="1"/>
    <col min="39" max="51" width="16.5703125" style="19" bestFit="1" customWidth="1"/>
    <col min="52" max="52" width="19.85546875" style="19" customWidth="1"/>
    <col min="53" max="53" width="18.140625" style="19" customWidth="1"/>
    <col min="54" max="54" width="16.5703125" style="19" customWidth="1"/>
    <col min="55" max="55" width="20.7109375" style="19" customWidth="1"/>
    <col min="56" max="56" width="17.140625" style="19" customWidth="1"/>
    <col min="57" max="57" width="16.5703125" style="19" bestFit="1" customWidth="1"/>
    <col min="58" max="58" width="16.85546875" style="19" customWidth="1"/>
    <col min="59" max="16384" width="9.140625" style="19"/>
  </cols>
  <sheetData>
    <row r="1" spans="2:58">
      <c r="B1" s="18"/>
      <c r="C1" s="18" t="s">
        <v>130</v>
      </c>
      <c r="D1" s="18"/>
    </row>
    <row r="2" spans="2:58">
      <c r="B2" s="18"/>
      <c r="C2" s="110" t="s">
        <v>131</v>
      </c>
      <c r="D2" s="111" t="s">
        <v>132</v>
      </c>
      <c r="E2" s="112" t="s">
        <v>133</v>
      </c>
      <c r="F2" s="113" t="s">
        <v>89</v>
      </c>
      <c r="G2" s="114" t="s">
        <v>90</v>
      </c>
      <c r="H2" s="115" t="s">
        <v>9</v>
      </c>
      <c r="I2" s="116" t="s">
        <v>10</v>
      </c>
      <c r="J2" s="116" t="s">
        <v>11</v>
      </c>
      <c r="K2" s="116">
        <v>42736</v>
      </c>
      <c r="L2" s="116">
        <v>42767</v>
      </c>
      <c r="M2" s="116">
        <v>42795</v>
      </c>
      <c r="N2" s="116">
        <v>42826</v>
      </c>
      <c r="O2" s="116">
        <v>42856</v>
      </c>
      <c r="P2" s="116">
        <v>42887</v>
      </c>
      <c r="Q2" s="116">
        <v>42917</v>
      </c>
      <c r="R2" s="116">
        <v>42948</v>
      </c>
      <c r="S2" s="116">
        <v>42979</v>
      </c>
      <c r="T2" s="116">
        <v>43009</v>
      </c>
      <c r="U2" s="116">
        <v>43040</v>
      </c>
      <c r="V2" s="116">
        <v>43070</v>
      </c>
      <c r="W2" s="116" t="s">
        <v>134</v>
      </c>
      <c r="X2" s="116" t="s">
        <v>14</v>
      </c>
      <c r="Y2" s="116" t="s">
        <v>135</v>
      </c>
      <c r="Z2" s="116">
        <v>44197</v>
      </c>
      <c r="AA2" s="116">
        <v>44228</v>
      </c>
      <c r="AB2" s="116">
        <v>44256</v>
      </c>
      <c r="AC2" s="116">
        <v>44287</v>
      </c>
      <c r="AD2" s="116">
        <v>44317</v>
      </c>
      <c r="AE2" s="116">
        <v>44348</v>
      </c>
      <c r="AF2" s="116">
        <v>44378</v>
      </c>
      <c r="AG2" s="116">
        <v>44409</v>
      </c>
      <c r="AH2" s="116">
        <v>44440</v>
      </c>
      <c r="AI2" s="116">
        <v>44470</v>
      </c>
      <c r="AJ2" s="116">
        <v>44501</v>
      </c>
      <c r="AK2" s="116">
        <v>44531</v>
      </c>
      <c r="AL2" s="116" t="s">
        <v>91</v>
      </c>
      <c r="AM2" s="419">
        <v>44562</v>
      </c>
      <c r="AN2" s="419">
        <v>44593</v>
      </c>
      <c r="AO2" s="419">
        <v>44621</v>
      </c>
      <c r="AP2" s="419">
        <v>44652</v>
      </c>
      <c r="AQ2" s="419">
        <v>44682</v>
      </c>
      <c r="AR2" s="419">
        <v>44713</v>
      </c>
      <c r="AS2" s="419">
        <v>44743</v>
      </c>
      <c r="AT2" s="419">
        <v>44774</v>
      </c>
      <c r="AU2" s="419">
        <v>44805</v>
      </c>
      <c r="AV2" s="419">
        <v>44835</v>
      </c>
      <c r="AW2" s="419">
        <v>44866</v>
      </c>
      <c r="AX2" s="419">
        <v>44896</v>
      </c>
      <c r="AY2" s="419" t="s">
        <v>17</v>
      </c>
      <c r="AZ2" s="419">
        <v>44927</v>
      </c>
      <c r="BA2" s="419">
        <v>44958</v>
      </c>
      <c r="BB2" s="419">
        <v>44986</v>
      </c>
      <c r="BC2" s="419">
        <v>45017</v>
      </c>
      <c r="BD2" s="419">
        <v>45047</v>
      </c>
      <c r="BE2" s="419">
        <v>45078</v>
      </c>
      <c r="BF2" s="419">
        <v>45108</v>
      </c>
    </row>
    <row r="3" spans="2:58" ht="14.25">
      <c r="B3" s="19">
        <v>1</v>
      </c>
      <c r="C3" s="117" t="s">
        <v>136</v>
      </c>
      <c r="D3" s="23"/>
      <c r="E3" s="22"/>
      <c r="F3" s="29"/>
      <c r="G3" s="61"/>
      <c r="I3" s="118"/>
      <c r="J3" s="118"/>
    </row>
    <row r="4" spans="2:58" ht="14.25">
      <c r="B4" s="19">
        <v>2</v>
      </c>
      <c r="C4" s="117" t="s">
        <v>45</v>
      </c>
      <c r="D4" s="24">
        <f>'STATEMENT OF FINANCIAL POSITION'!C39</f>
        <v>886952707</v>
      </c>
      <c r="E4" s="24">
        <f>'STATEMENT OF FINANCIAL POSITION'!D39</f>
        <v>1185246560</v>
      </c>
      <c r="F4" s="29">
        <f>'STATEMENT OF FINANCIAL POSITION'!E39</f>
        <v>1235320891</v>
      </c>
      <c r="G4" s="62">
        <f>'STATEMENT OF FINANCIAL POSITION'!F39</f>
        <v>1560105754</v>
      </c>
      <c r="H4" s="62">
        <f>'STATEMENT OF FINANCIAL POSITION'!G39</f>
        <v>1699301395</v>
      </c>
      <c r="I4" s="119">
        <f>'STATEMENT OF FINANCIAL POSITION'!H39</f>
        <v>1995648187</v>
      </c>
      <c r="J4" s="119">
        <f>'STATEMENT OF FINANCIAL POSITION'!I39</f>
        <v>2415328924</v>
      </c>
      <c r="K4" s="119">
        <f>'STATEMENT OF FINANCIAL POSITION'!J39</f>
        <v>2394035389.9299998</v>
      </c>
      <c r="L4" s="119">
        <f>'STATEMENT OF FINANCIAL POSITION'!K39</f>
        <v>2328114765.6199999</v>
      </c>
      <c r="M4" s="119">
        <f>'STATEMENT OF FINANCIAL POSITION'!L39</f>
        <v>2295169856.9200001</v>
      </c>
      <c r="N4" s="119">
        <f>'STATEMENT OF FINANCIAL POSITION'!M39</f>
        <v>2308165153.7499995</v>
      </c>
      <c r="O4" s="119">
        <f>'STATEMENT OF FINANCIAL POSITION'!N39</f>
        <v>2320049893.9200001</v>
      </c>
      <c r="P4" s="119">
        <f>'STATEMENT OF FINANCIAL POSITION'!O39</f>
        <v>2346478849.7600002</v>
      </c>
      <c r="Q4" s="119">
        <f>'STATEMENT OF FINANCIAL POSITION'!P39</f>
        <v>2379046822.3300004</v>
      </c>
      <c r="R4" s="119">
        <f>'STATEMENT OF FINANCIAL POSITION'!Q39</f>
        <v>2354769933.0500002</v>
      </c>
      <c r="S4" s="119">
        <f>'STATEMENT OF FINANCIAL POSITION'!R39</f>
        <v>2403394657.3799996</v>
      </c>
      <c r="T4" s="119">
        <f>'STATEMENT OF FINANCIAL POSITION'!S39</f>
        <v>3022002720.4099998</v>
      </c>
      <c r="U4" s="119">
        <f>'STATEMENT OF FINANCIAL POSITION'!T39</f>
        <v>2922260074.2200003</v>
      </c>
      <c r="V4" s="119">
        <f>'STATEMENT OF FINANCIAL POSITION'!U39</f>
        <v>2882475144.0699997</v>
      </c>
      <c r="W4" s="119">
        <f>'STATEMENT OF FINANCIAL POSITION'!V39</f>
        <v>2882475144</v>
      </c>
      <c r="X4" s="119">
        <f>'STATEMENT OF FINANCIAL POSITION'!X39</f>
        <v>4191430652.3699999</v>
      </c>
      <c r="Y4" s="119">
        <f>'STATEMENT OF FINANCIAL POSITION'!Y39</f>
        <v>4189144224</v>
      </c>
      <c r="Z4" s="119">
        <f>'STATEMENT OF FINANCIAL POSITION'!Z39</f>
        <v>4123319706.0299997</v>
      </c>
      <c r="AA4" s="119">
        <f>'STATEMENT OF FINANCIAL POSITION'!AA39</f>
        <v>4098897104.3200002</v>
      </c>
      <c r="AB4" s="119">
        <f>'STATEMENT OF FINANCIAL POSITION'!AB39</f>
        <v>4163314282.6000004</v>
      </c>
      <c r="AC4" s="119">
        <f>'STATEMENT OF FINANCIAL POSITION'!AC39</f>
        <v>4213997209.5099998</v>
      </c>
      <c r="AD4" s="119">
        <f>'STATEMENT OF FINANCIAL POSITION'!AD39</f>
        <v>4248271622.8300004</v>
      </c>
      <c r="AE4" s="119">
        <f>'STATEMENT OF FINANCIAL POSITION'!AE39</f>
        <v>4278187452.6599994</v>
      </c>
      <c r="AF4" s="119">
        <f>'STATEMENT OF FINANCIAL POSITION'!AF39</f>
        <v>4321349713.29</v>
      </c>
      <c r="AG4" s="119">
        <f>'STATEMENT OF FINANCIAL POSITION'!AG39</f>
        <v>4329818670.0100002</v>
      </c>
      <c r="AH4" s="119">
        <f>'STATEMENT OF FINANCIAL POSITION'!AH39</f>
        <v>4324007408.8600006</v>
      </c>
      <c r="AI4" s="119">
        <f>'STATEMENT OF FINANCIAL POSITION'!AI39</f>
        <v>4644427426.8699999</v>
      </c>
      <c r="AJ4" s="119">
        <f>'STATEMENT OF FINANCIAL POSITION'!AJ39</f>
        <v>4664161582.8000002</v>
      </c>
      <c r="AK4" s="119">
        <f>'STATEMENT OF FINANCIAL POSITION'!AK39</f>
        <v>413378021.73000002</v>
      </c>
      <c r="AL4" s="119">
        <f>'STATEMENT OF FINANCIAL POSITION'!AL39</f>
        <v>4707277148</v>
      </c>
      <c r="AM4" s="119">
        <f>'STATEMENT OF FINANCIAL POSITION'!AM39</f>
        <v>4673763403.5899992</v>
      </c>
      <c r="AN4" s="119">
        <f>'STATEMENT OF FINANCIAL POSITION'!AN39</f>
        <v>4638188588.46</v>
      </c>
      <c r="AO4" s="119">
        <f>'STATEMENT OF FINANCIAL POSITION'!AO39</f>
        <v>4685696784.6899996</v>
      </c>
      <c r="AP4" s="119">
        <f>'STATEMENT OF FINANCIAL POSITION'!AP39</f>
        <v>4735643100.960001</v>
      </c>
      <c r="AQ4" s="119">
        <f>'STATEMENT OF FINANCIAL POSITION'!AQ39</f>
        <v>4795033108.1500006</v>
      </c>
      <c r="AR4" s="119">
        <f>'STATEMENT OF FINANCIAL POSITION'!AR39</f>
        <v>4851792483.5500002</v>
      </c>
      <c r="AS4" s="119">
        <f>'STATEMENT OF FINANCIAL POSITION'!AS39</f>
        <v>5326255956.9099989</v>
      </c>
      <c r="AT4" s="119">
        <f>'STATEMENT OF FINANCIAL POSITION'!AT39</f>
        <v>5287378285.7999992</v>
      </c>
      <c r="AU4" s="119">
        <f>'STATEMENT OF FINANCIAL POSITION'!AU39</f>
        <v>5236541347.96</v>
      </c>
      <c r="AV4" s="119">
        <f>'STATEMENT OF FINANCIAL POSITION'!AV39</f>
        <v>5235658897.9299994</v>
      </c>
      <c r="AW4" s="119">
        <f>'STATEMENT OF FINANCIAL POSITION'!AW39</f>
        <v>5267448432.1399994</v>
      </c>
      <c r="AX4" s="119">
        <f>'STATEMENT OF FINANCIAL POSITION'!AX39</f>
        <v>5367094570.8800001</v>
      </c>
      <c r="AY4" s="119">
        <f>'STATEMENT OF FINANCIAL POSITION'!AY39</f>
        <v>5367548160</v>
      </c>
      <c r="AZ4" s="119">
        <f>'STATEMENT OF FINANCIAL POSITION'!AZ39</f>
        <v>5269487011.3100004</v>
      </c>
      <c r="BA4" s="119">
        <f>'STATEMENT OF FINANCIAL POSITION'!BA39</f>
        <v>5201024852.2799997</v>
      </c>
      <c r="BB4" s="119">
        <f>'STATEMENT OF FINANCIAL POSITION'!BB39</f>
        <v>5298688728.3199997</v>
      </c>
      <c r="BC4" s="119">
        <f>'STATEMENT OF FINANCIAL POSITION'!BC39</f>
        <v>5341008660.5</v>
      </c>
      <c r="BD4" s="119">
        <f>'STATEMENT OF FINANCIAL POSITION'!BD39</f>
        <v>5402777402.0299997</v>
      </c>
      <c r="BE4" s="119">
        <f>'STATEMENT OF FINANCIAL POSITION'!BE39</f>
        <v>5491979572.6999998</v>
      </c>
      <c r="BF4" s="119">
        <f>'STATEMENT OF FINANCIAL POSITION'!BF39</f>
        <v>5579506308.5099993</v>
      </c>
    </row>
    <row r="5" spans="2:58" ht="14.25">
      <c r="B5" s="19">
        <v>3</v>
      </c>
      <c r="C5" s="117" t="s">
        <v>137</v>
      </c>
      <c r="D5" s="24">
        <f>'STATEMENT OF FINANCIAL POSITION'!C46</f>
        <v>559229530</v>
      </c>
      <c r="E5" s="24">
        <f>'STATEMENT OF FINANCIAL POSITION'!D46</f>
        <v>745419886</v>
      </c>
      <c r="F5" s="29">
        <f>'STATEMENT OF FINANCIAL POSITION'!E46</f>
        <v>881752998</v>
      </c>
      <c r="G5" s="62">
        <f>'STATEMENT OF FINANCIAL POSITION'!F46</f>
        <v>1074107086</v>
      </c>
      <c r="H5" s="62">
        <f>'STATEMENT OF FINANCIAL POSITION'!G46</f>
        <v>1097902733</v>
      </c>
      <c r="I5" s="119">
        <f>'STATEMENT OF FINANCIAL POSITION'!H46</f>
        <v>1301662001</v>
      </c>
      <c r="J5" s="119">
        <f>'STATEMENT OF FINANCIAL POSITION'!I46</f>
        <v>1561654213</v>
      </c>
      <c r="K5" s="119">
        <f>'STATEMENT OF FINANCIAL POSITION'!J46</f>
        <v>1513031779.5799999</v>
      </c>
      <c r="L5" s="119">
        <f>'STATEMENT OF FINANCIAL POSITION'!K46</f>
        <v>1522594257</v>
      </c>
      <c r="M5" s="119">
        <f>'STATEMENT OF FINANCIAL POSITION'!L46</f>
        <v>1484979664.9300001</v>
      </c>
      <c r="N5" s="119">
        <f>'STATEMENT OF FINANCIAL POSITION'!M46</f>
        <v>1496807079.78</v>
      </c>
      <c r="O5" s="119">
        <f>'STATEMENT OF FINANCIAL POSITION'!N46</f>
        <v>1490851184.79</v>
      </c>
      <c r="P5" s="119">
        <f>'STATEMENT OF FINANCIAL POSITION'!O46</f>
        <v>1492031201.4200001</v>
      </c>
      <c r="Q5" s="119">
        <f>'STATEMENT OF FINANCIAL POSITION'!P46</f>
        <v>1497300710.48</v>
      </c>
      <c r="R5" s="119">
        <f>'STATEMENT OF FINANCIAL POSITION'!Q46</f>
        <v>1466404181.0999999</v>
      </c>
      <c r="S5" s="119">
        <f>'STATEMENT OF FINANCIAL POSITION'!R46</f>
        <v>1451396756.4899998</v>
      </c>
      <c r="T5" s="119">
        <f>'STATEMENT OF FINANCIAL POSITION'!S46</f>
        <v>2092506205.6100001</v>
      </c>
      <c r="U5" s="119">
        <f>'STATEMENT OF FINANCIAL POSITION'!T46</f>
        <v>1890122385.52</v>
      </c>
      <c r="V5" s="119">
        <f>'STATEMENT OF FINANCIAL POSITION'!U46</f>
        <v>1816103672.7399998</v>
      </c>
      <c r="W5" s="119">
        <f>'STATEMENT OF FINANCIAL POSITION'!V46</f>
        <v>1816103673</v>
      </c>
      <c r="X5" s="119">
        <f>'STATEMENT OF FINANCIAL POSITION'!X46</f>
        <v>2600095208.4000001</v>
      </c>
      <c r="Y5" s="119">
        <f>'STATEMENT OF FINANCIAL POSITION'!Y46</f>
        <v>2600095208</v>
      </c>
      <c r="Z5" s="119">
        <f>'STATEMENT OF FINANCIAL POSITION'!Z46</f>
        <v>2675157986.6900001</v>
      </c>
      <c r="AA5" s="119">
        <f>'STATEMENT OF FINANCIAL POSITION'!AA46</f>
        <v>2632274697.6300001</v>
      </c>
      <c r="AB5" s="119">
        <f>'STATEMENT OF FINANCIAL POSITION'!AB46</f>
        <v>2669325605.2399998</v>
      </c>
      <c r="AC5" s="119">
        <f>'STATEMENT OF FINANCIAL POSITION'!AC46</f>
        <v>2664023686</v>
      </c>
      <c r="AD5" s="119">
        <f>'STATEMENT OF FINANCIAL POSITION'!AD46</f>
        <v>2669327775.0799999</v>
      </c>
      <c r="AE5" s="119">
        <f>'STATEMENT OF FINANCIAL POSITION'!AE46</f>
        <v>2675404745.3199997</v>
      </c>
      <c r="AF5" s="119">
        <f>'STATEMENT OF FINANCIAL POSITION'!AF46</f>
        <v>2679850847.1700001</v>
      </c>
      <c r="AG5" s="119">
        <f>'STATEMENT OF FINANCIAL POSITION'!AG46</f>
        <v>2656397942.1799998</v>
      </c>
      <c r="AH5" s="119">
        <f>'STATEMENT OF FINANCIAL POSITION'!AH46</f>
        <v>2633796221.8099999</v>
      </c>
      <c r="AI5" s="119">
        <f>'STATEMENT OF FINANCIAL POSITION'!AI46</f>
        <v>2899366008.6999998</v>
      </c>
      <c r="AJ5" s="119">
        <f>'STATEMENT OF FINANCIAL POSITION'!AJ46</f>
        <v>2867009495.6500001</v>
      </c>
      <c r="AK5" s="119">
        <f>'STATEMENT OF FINANCIAL POSITION'!AK46</f>
        <v>0</v>
      </c>
      <c r="AL5" s="119">
        <f>'STATEMENT OF FINANCIAL POSITION'!AL46</f>
        <v>2849515045</v>
      </c>
      <c r="AM5" s="119">
        <f>'STATEMENT OF FINANCIAL POSITION'!AM46</f>
        <v>2987987864.0199995</v>
      </c>
      <c r="AN5" s="119">
        <f>'STATEMENT OF FINANCIAL POSITION'!AN46</f>
        <v>2922330637.2799997</v>
      </c>
      <c r="AO5" s="119">
        <f>'STATEMENT OF FINANCIAL POSITION'!AO46</f>
        <v>2936953897.8499999</v>
      </c>
      <c r="AP5" s="119">
        <f>'STATEMENT OF FINANCIAL POSITION'!AP46</f>
        <v>2940974460.1999998</v>
      </c>
      <c r="AQ5" s="119">
        <f>'STATEMENT OF FINANCIAL POSITION'!AQ46</f>
        <v>2968565024.3699999</v>
      </c>
      <c r="AR5" s="119">
        <f>'STATEMENT OF FINANCIAL POSITION'!AR46</f>
        <v>2980148215.1700001</v>
      </c>
      <c r="AS5" s="119">
        <f>'STATEMENT OF FINANCIAL POSITION'!AS46</f>
        <v>3432364577.0599999</v>
      </c>
      <c r="AT5" s="119">
        <f>'STATEMENT OF FINANCIAL POSITION'!AT46</f>
        <v>3364749817.6199999</v>
      </c>
      <c r="AU5" s="119">
        <f>'STATEMENT OF FINANCIAL POSITION'!AU46</f>
        <v>3291816947.5500002</v>
      </c>
      <c r="AV5" s="119">
        <f>'STATEMENT OF FINANCIAL POSITION'!AV46</f>
        <v>3252763305.6199999</v>
      </c>
      <c r="AW5" s="119">
        <f>'STATEMENT OF FINANCIAL POSITION'!AW46</f>
        <v>3249952426.8500004</v>
      </c>
      <c r="AX5" s="119">
        <f>'STATEMENT OF FINANCIAL POSITION'!AX46</f>
        <v>3238451046.8800001</v>
      </c>
      <c r="AY5" s="119">
        <f>'STATEMENT OF FINANCIAL POSITION'!AY46</f>
        <v>3238451047</v>
      </c>
      <c r="AZ5" s="119">
        <f>'STATEMENT OF FINANCIAL POSITION'!AZ46</f>
        <v>3350448873.9700003</v>
      </c>
      <c r="BA5" s="119">
        <f>'STATEMENT OF FINANCIAL POSITION'!BA46</f>
        <v>3264095802.3099999</v>
      </c>
      <c r="BB5" s="119">
        <f>'STATEMENT OF FINANCIAL POSITION'!BB46</f>
        <v>3331704692.6599998</v>
      </c>
      <c r="BC5" s="119">
        <f>'STATEMENT OF FINANCIAL POSITION'!BC46</f>
        <v>3366684108.9700003</v>
      </c>
      <c r="BD5" s="119">
        <f>'STATEMENT OF FINANCIAL POSITION'!BD46</f>
        <v>3385272393.5799999</v>
      </c>
      <c r="BE5" s="119">
        <f>'STATEMENT OF FINANCIAL POSITION'!BE46</f>
        <v>3432523982.6400003</v>
      </c>
      <c r="BF5" s="119">
        <f>'STATEMENT OF FINANCIAL POSITION'!BF46</f>
        <v>3459208819.8199997</v>
      </c>
    </row>
    <row r="6" spans="2:58" ht="14.25">
      <c r="B6" s="19">
        <v>3.1</v>
      </c>
      <c r="C6" s="120" t="s">
        <v>138</v>
      </c>
      <c r="D6" s="24">
        <f>'STATEMENT OF FINANCIAL POSITION'!C45</f>
        <v>259831037</v>
      </c>
      <c r="E6" s="24">
        <f>'STATEMENT OF FINANCIAL POSITION'!D45</f>
        <v>343881456</v>
      </c>
      <c r="F6" s="29">
        <f>'STATEMENT OF FINANCIAL POSITION'!E45</f>
        <v>435718084</v>
      </c>
      <c r="G6" s="62">
        <f>'STATEMENT OF FINANCIAL POSITION'!F45</f>
        <v>533687314</v>
      </c>
      <c r="H6" s="62">
        <f>'STATEMENT OF FINANCIAL POSITION'!G45</f>
        <v>588206481</v>
      </c>
      <c r="I6" s="119">
        <f>'STATEMENT OF FINANCIAL POSITION'!H45</f>
        <v>645106995</v>
      </c>
      <c r="J6" s="119">
        <f>'STATEMENT OF FINANCIAL POSITION'!I45</f>
        <v>833556884</v>
      </c>
      <c r="K6" s="119">
        <f>'STATEMENT OF FINANCIAL POSITION'!J45</f>
        <v>840112940.71000004</v>
      </c>
      <c r="L6" s="119">
        <f>'STATEMENT OF FINANCIAL POSITION'!K45</f>
        <v>848078224.82000005</v>
      </c>
      <c r="M6" s="119">
        <f>'STATEMENT OF FINANCIAL POSITION'!L45</f>
        <v>856223189.95000005</v>
      </c>
      <c r="N6" s="119">
        <f>'STATEMENT OF FINANCIAL POSITION'!M45</f>
        <v>870649199.15999997</v>
      </c>
      <c r="O6" s="119">
        <f>'STATEMENT OF FINANCIAL POSITION'!N45</f>
        <v>882521526.84000003</v>
      </c>
      <c r="P6" s="119">
        <f>'STATEMENT OF FINANCIAL POSITION'!O45</f>
        <v>894034892.03999996</v>
      </c>
      <c r="Q6" s="119">
        <f>'STATEMENT OF FINANCIAL POSITION'!P45</f>
        <v>901753719.76999998</v>
      </c>
      <c r="R6" s="119">
        <f>'STATEMENT OF FINANCIAL POSITION'!Q45</f>
        <v>906765379.53999996</v>
      </c>
      <c r="S6" s="119">
        <f>'STATEMENT OF FINANCIAL POSITION'!R45</f>
        <v>913624383.92999995</v>
      </c>
      <c r="T6" s="119">
        <f>'STATEMENT OF FINANCIAL POSITION'!S45</f>
        <v>933501643.48000002</v>
      </c>
      <c r="U6" s="119">
        <f>'STATEMENT OF FINANCIAL POSITION'!T45</f>
        <v>895336321.30999994</v>
      </c>
      <c r="V6" s="119">
        <f>'STATEMENT OF FINANCIAL POSITION'!U45</f>
        <v>908230929.15999997</v>
      </c>
      <c r="W6" s="119">
        <f>'STATEMENT OF FINANCIAL POSITION'!V45</f>
        <v>932150562</v>
      </c>
      <c r="X6" s="119">
        <f>'STATEMENT OF FINANCIAL POSITION'!X45</f>
        <v>1445041252.8800001</v>
      </c>
      <c r="Y6" s="119">
        <f>'STATEMENT OF FINANCIAL POSITION'!Y45</f>
        <v>1004303406</v>
      </c>
      <c r="Z6" s="119">
        <f>'STATEMENT OF FINANCIAL POSITION'!Z45</f>
        <v>1462737891.5799999</v>
      </c>
      <c r="AA6" s="119">
        <f>'STATEMENT OF FINANCIAL POSITION'!AA45</f>
        <v>1477896449.6300001</v>
      </c>
      <c r="AB6" s="119">
        <f>'STATEMENT OF FINANCIAL POSITION'!AB45</f>
        <v>1501269887.28</v>
      </c>
      <c r="AC6" s="119">
        <f>'STATEMENT OF FINANCIAL POSITION'!AC45</f>
        <v>1518698503.6099999</v>
      </c>
      <c r="AD6" s="119">
        <f>'STATEMENT OF FINANCIAL POSITION'!AD45</f>
        <v>1541162619.8800001</v>
      </c>
      <c r="AE6" s="119">
        <f>'STATEMENT OF FINANCIAL POSITION'!AE45</f>
        <v>1576476597.3699999</v>
      </c>
      <c r="AF6" s="119">
        <f>'STATEMENT OF FINANCIAL POSITION'!AF45</f>
        <v>1597706770.29</v>
      </c>
      <c r="AG6" s="119">
        <f>'STATEMENT OF FINANCIAL POSITION'!AG45</f>
        <v>1612045587.0999999</v>
      </c>
      <c r="AH6" s="119">
        <f>'STATEMENT OF FINANCIAL POSITION'!AH45</f>
        <v>1621442975.05</v>
      </c>
      <c r="AI6" s="119">
        <f>'STATEMENT OF FINANCIAL POSITION'!AI45</f>
        <v>1628994559.1300001</v>
      </c>
      <c r="AJ6" s="119">
        <f>'STATEMENT OF FINANCIAL POSITION'!AJ45</f>
        <v>1643030319.1500001</v>
      </c>
      <c r="AK6" s="119">
        <f>'STATEMENT OF FINANCIAL POSITION'!AK45</f>
        <v>0</v>
      </c>
      <c r="AL6" s="119">
        <f>'STATEMENT OF FINANCIAL POSITION'!AL45</f>
        <v>1102313070</v>
      </c>
      <c r="AM6" s="119">
        <f>'STATEMENT OF FINANCIAL POSITION'!AM45</f>
        <v>1674058533.0899999</v>
      </c>
      <c r="AN6" s="119">
        <f>'STATEMENT OF FINANCIAL POSITION'!AN45</f>
        <v>1689061797.0699999</v>
      </c>
      <c r="AO6" s="119">
        <f>'STATEMENT OF FINANCIAL POSITION'!AO45</f>
        <v>1710152106.0999999</v>
      </c>
      <c r="AP6" s="119">
        <f>'STATEMENT OF FINANCIAL POSITION'!AP45</f>
        <v>1735214474.3</v>
      </c>
      <c r="AQ6" s="119">
        <f>'STATEMENT OF FINANCIAL POSITION'!AQ45</f>
        <v>1761869240.8800001</v>
      </c>
      <c r="AR6" s="119">
        <f>'STATEMENT OF FINANCIAL POSITION'!AR45</f>
        <v>1807733769.01</v>
      </c>
      <c r="AS6" s="119">
        <f>'STATEMENT OF FINANCIAL POSITION'!AS45</f>
        <v>1824623951.8699999</v>
      </c>
      <c r="AT6" s="119">
        <f>'STATEMENT OF FINANCIAL POSITION'!AT45</f>
        <v>1837098485.3</v>
      </c>
      <c r="AU6" s="119">
        <f>'STATEMENT OF FINANCIAL POSITION'!AU45</f>
        <v>1849297021.8599999</v>
      </c>
      <c r="AV6" s="119">
        <f>'STATEMENT OF FINANCIAL POSITION'!AV45</f>
        <v>1862726137.8</v>
      </c>
      <c r="AW6" s="119">
        <f>'STATEMENT OF FINANCIAL POSITION'!AW45</f>
        <v>1881710057.3900001</v>
      </c>
      <c r="AX6" s="119">
        <f>'STATEMENT OF FINANCIAL POSITION'!AX45</f>
        <v>1908758343.5599999</v>
      </c>
      <c r="AY6" s="119">
        <f>'STATEMENT OF FINANCIAL POSITION'!AY45</f>
        <v>1931795498</v>
      </c>
      <c r="AZ6" s="119">
        <f>'STATEMENT OF FINANCIAL POSITION'!AZ45</f>
        <v>1949373703.72</v>
      </c>
      <c r="BA6" s="119">
        <f>'STATEMENT OF FINANCIAL POSITION'!BA45</f>
        <v>1988218024.79</v>
      </c>
      <c r="BB6" s="119">
        <f>'STATEMENT OF FINANCIAL POSITION'!BB45</f>
        <v>2044833398.6300001</v>
      </c>
      <c r="BC6" s="119">
        <f>'STATEMENT OF FINANCIAL POSITION'!BC45</f>
        <v>2092421586.7</v>
      </c>
      <c r="BD6" s="119">
        <f>'STATEMENT OF FINANCIAL POSITION'!BD45</f>
        <v>2123427669.0699999</v>
      </c>
      <c r="BE6" s="119">
        <f>'STATEMENT OF FINANCIAL POSITION'!BE45</f>
        <v>2178369770.2800002</v>
      </c>
      <c r="BF6" s="119">
        <f>'STATEMENT OF FINANCIAL POSITION'!BF45</f>
        <v>2201051177.3499999</v>
      </c>
    </row>
    <row r="7" spans="2:58" ht="14.25">
      <c r="B7" s="19">
        <v>3.2</v>
      </c>
      <c r="C7" s="120" t="s">
        <v>139</v>
      </c>
      <c r="D7" s="24">
        <f>'STATEMENT OF FINANCIAL POSITION'!C43</f>
        <v>244588501</v>
      </c>
      <c r="E7" s="24">
        <f>'STATEMENT OF FINANCIAL POSITION'!D44</f>
        <v>71496906</v>
      </c>
      <c r="F7" s="29">
        <f>'STATEMENT OF FINANCIAL POSITION'!E43+'STATEMENT OF FINANCIAL POSITION'!E44</f>
        <v>446034914</v>
      </c>
      <c r="G7" s="62">
        <f>'STATEMENT OF FINANCIAL POSITION'!F43+'STATEMENT OF FINANCIAL POSITION'!F44</f>
        <v>540419772</v>
      </c>
      <c r="H7" s="62">
        <f>'STATEMENT OF FINANCIAL POSITION'!G43+'STATEMENT OF FINANCIAL POSITION'!G44</f>
        <v>509696252</v>
      </c>
      <c r="I7" s="119">
        <f>'STATEMENT OF FINANCIAL POSITION'!H43+'STATEMENT OF FINANCIAL POSITION'!H44</f>
        <v>656555006</v>
      </c>
      <c r="J7" s="119">
        <f>'STATEMENT OF FINANCIAL POSITION'!I43+'STATEMENT OF FINANCIAL POSITION'!I44</f>
        <v>728097329</v>
      </c>
      <c r="K7" s="119">
        <f>'STATEMENT OF FINANCIAL POSITION'!J43+'STATEMENT OF FINANCIAL POSITION'!J44</f>
        <v>672918838.87</v>
      </c>
      <c r="L7" s="119">
        <f>'STATEMENT OF FINANCIAL POSITION'!K43+'STATEMENT OF FINANCIAL POSITION'!K44</f>
        <v>674516032.18000007</v>
      </c>
      <c r="M7" s="119">
        <f>'STATEMENT OF FINANCIAL POSITION'!L43+'STATEMENT OF FINANCIAL POSITION'!L44</f>
        <v>628756474.98000002</v>
      </c>
      <c r="N7" s="119">
        <f>'STATEMENT OF FINANCIAL POSITION'!M43+'STATEMENT OF FINANCIAL POSITION'!M44</f>
        <v>626157880.62</v>
      </c>
      <c r="O7" s="119">
        <f>'STATEMENT OF FINANCIAL POSITION'!N43+'STATEMENT OF FINANCIAL POSITION'!N44</f>
        <v>608329657.94999993</v>
      </c>
      <c r="P7" s="119">
        <f>'STATEMENT OF FINANCIAL POSITION'!O43+'STATEMENT OF FINANCIAL POSITION'!O44</f>
        <v>597996309.38</v>
      </c>
      <c r="Q7" s="119">
        <f>'STATEMENT OF FINANCIAL POSITION'!P43+'STATEMENT OF FINANCIAL POSITION'!P44</f>
        <v>595546990.71000004</v>
      </c>
      <c r="R7" s="119">
        <f>'STATEMENT OF FINANCIAL POSITION'!Q43+'STATEMENT OF FINANCIAL POSITION'!Q44</f>
        <v>559638801.55999994</v>
      </c>
      <c r="S7" s="119">
        <f>'STATEMENT OF FINANCIAL POSITION'!R43+'STATEMENT OF FINANCIAL POSITION'!R44</f>
        <v>537772372.55999994</v>
      </c>
      <c r="T7" s="119">
        <f>'STATEMENT OF FINANCIAL POSITION'!S43+'STATEMENT OF FINANCIAL POSITION'!S44</f>
        <v>1159004562.1300001</v>
      </c>
      <c r="U7" s="119">
        <f>'STATEMENT OF FINANCIAL POSITION'!T43+'STATEMENT OF FINANCIAL POSITION'!T44</f>
        <v>994786064.21000004</v>
      </c>
      <c r="V7" s="119">
        <f>'STATEMENT OF FINANCIAL POSITION'!U43+'STATEMENT OF FINANCIAL POSITION'!U44</f>
        <v>907872743.57999992</v>
      </c>
      <c r="W7" s="119">
        <f>'STATEMENT OF FINANCIAL POSITION'!V43+'STATEMENT OF FINANCIAL POSITION'!V44</f>
        <v>883953111</v>
      </c>
      <c r="X7" s="119">
        <f>'STATEMENT OF FINANCIAL POSITION'!X43+'STATEMENT OF FINANCIAL POSITION'!X44</f>
        <v>1155053955.52</v>
      </c>
      <c r="Y7" s="119">
        <f>'STATEMENT OF FINANCIAL POSITION'!Y43+'STATEMENT OF FINANCIAL POSITION'!Y44</f>
        <v>1595791802</v>
      </c>
      <c r="Z7" s="119">
        <f>'STATEMENT OF FINANCIAL POSITION'!Z43+'STATEMENT OF FINANCIAL POSITION'!Z44</f>
        <v>1212420095.1100001</v>
      </c>
      <c r="AA7" s="119">
        <f>'STATEMENT OF FINANCIAL POSITION'!AA43+'STATEMENT OF FINANCIAL POSITION'!AA44</f>
        <v>1154378248</v>
      </c>
      <c r="AB7" s="119">
        <f>'STATEMENT OF FINANCIAL POSITION'!AB43+'STATEMENT OF FINANCIAL POSITION'!AB44</f>
        <v>1168055717.96</v>
      </c>
      <c r="AC7" s="119">
        <f>'STATEMENT OF FINANCIAL POSITION'!AC43+'STATEMENT OF FINANCIAL POSITION'!AC44</f>
        <v>1145325182.3899999</v>
      </c>
      <c r="AD7" s="119">
        <f>'STATEMENT OF FINANCIAL POSITION'!AD43+'STATEMENT OF FINANCIAL POSITION'!AD44</f>
        <v>1128165155.1999998</v>
      </c>
      <c r="AE7" s="119">
        <f>'STATEMENT OF FINANCIAL POSITION'!AE43+'STATEMENT OF FINANCIAL POSITION'!AE44</f>
        <v>1098928147.95</v>
      </c>
      <c r="AF7" s="119">
        <f>'STATEMENT OF FINANCIAL POSITION'!AF43+'STATEMENT OF FINANCIAL POSITION'!AF44</f>
        <v>1082144076.8800001</v>
      </c>
      <c r="AG7" s="119">
        <f>'STATEMENT OF FINANCIAL POSITION'!AG43+'STATEMENT OF FINANCIAL POSITION'!AG44</f>
        <v>1044352355.08</v>
      </c>
      <c r="AH7" s="119">
        <f>'STATEMENT OF FINANCIAL POSITION'!AH43+'STATEMENT OF FINANCIAL POSITION'!AH44</f>
        <v>1012353246.76</v>
      </c>
      <c r="AI7" s="119">
        <f>'STATEMENT OF FINANCIAL POSITION'!AI43+'STATEMENT OF FINANCIAL POSITION'!AI44</f>
        <v>1270371449.5699999</v>
      </c>
      <c r="AJ7" s="119">
        <f>'STATEMENT OF FINANCIAL POSITION'!AJ43+'STATEMENT OF FINANCIAL POSITION'!AJ44</f>
        <v>1223979176.5</v>
      </c>
      <c r="AK7" s="119">
        <f>'STATEMENT OF FINANCIAL POSITION'!AK43+'STATEMENT OF FINANCIAL POSITION'!AK44</f>
        <v>0</v>
      </c>
      <c r="AL7" s="119">
        <f>'STATEMENT OF FINANCIAL POSITION'!AL43+'STATEMENT OF FINANCIAL POSITION'!AL44</f>
        <v>1747201975</v>
      </c>
      <c r="AM7" s="119">
        <f>'STATEMENT OF FINANCIAL POSITION'!AM43+'STATEMENT OF FINANCIAL POSITION'!AM44</f>
        <v>1313929330.9299998</v>
      </c>
      <c r="AN7" s="119">
        <f>'STATEMENT OF FINANCIAL POSITION'!AN43+'STATEMENT OF FINANCIAL POSITION'!AN44</f>
        <v>1233268840.21</v>
      </c>
      <c r="AO7" s="119">
        <f>'STATEMENT OF FINANCIAL POSITION'!AO43+'STATEMENT OF FINANCIAL POSITION'!AO44</f>
        <v>1226801791.75</v>
      </c>
      <c r="AP7" s="119">
        <f>'STATEMENT OF FINANCIAL POSITION'!AP43+'STATEMENT OF FINANCIAL POSITION'!AP44</f>
        <v>1205759985.9000001</v>
      </c>
      <c r="AQ7" s="119">
        <f>'STATEMENT OF FINANCIAL POSITION'!AQ43+'STATEMENT OF FINANCIAL POSITION'!AQ44</f>
        <v>1206695783.49</v>
      </c>
      <c r="AR7" s="119">
        <f>'STATEMENT OF FINANCIAL POSITION'!AR43+'STATEMENT OF FINANCIAL POSITION'!AR44</f>
        <v>1172414446.1599998</v>
      </c>
      <c r="AS7" s="119">
        <f>'STATEMENT OF FINANCIAL POSITION'!AS43+'STATEMENT OF FINANCIAL POSITION'!AS44</f>
        <v>1607740625.1900001</v>
      </c>
      <c r="AT7" s="119">
        <f>'STATEMENT OF FINANCIAL POSITION'!AT43+'STATEMENT OF FINANCIAL POSITION'!AT44</f>
        <v>1527651332.3200002</v>
      </c>
      <c r="AU7" s="119">
        <f>'STATEMENT OF FINANCIAL POSITION'!AU43+'STATEMENT OF FINANCIAL POSITION'!AU44</f>
        <v>1442519925.6900001</v>
      </c>
      <c r="AV7" s="119">
        <f>'STATEMENT OF FINANCIAL POSITION'!AV43+'STATEMENT OF FINANCIAL POSITION'!AV44</f>
        <v>1390037167.8199999</v>
      </c>
      <c r="AW7" s="119">
        <f>'STATEMENT OF FINANCIAL POSITION'!AW43+'STATEMENT OF FINANCIAL POSITION'!AW44</f>
        <v>1368242369.46</v>
      </c>
      <c r="AX7" s="119">
        <f>'STATEMENT OF FINANCIAL POSITION'!AX43+'STATEMENT OF FINANCIAL POSITION'!AX44</f>
        <v>1329692703.3199999</v>
      </c>
      <c r="AY7" s="119">
        <f>'STATEMENT OF FINANCIAL POSITION'!AY43+'STATEMENT OF FINANCIAL POSITION'!AY44</f>
        <v>1306655549</v>
      </c>
      <c r="AZ7" s="119">
        <f>'STATEMENT OF FINANCIAL POSITION'!AZ43+'STATEMENT OF FINANCIAL POSITION'!AZ44</f>
        <v>1401075170.25</v>
      </c>
      <c r="BA7" s="119">
        <f>'STATEMENT OF FINANCIAL POSITION'!BA43+'STATEMENT OF FINANCIAL POSITION'!BA44</f>
        <v>1275877777.52</v>
      </c>
      <c r="BB7" s="119">
        <f>'STATEMENT OF FINANCIAL POSITION'!BB43+'STATEMENT OF FINANCIAL POSITION'!BB44</f>
        <v>1286871294.03</v>
      </c>
      <c r="BC7" s="119">
        <f>'STATEMENT OF FINANCIAL POSITION'!BC43+'STATEMENT OF FINANCIAL POSITION'!BC44</f>
        <v>1274262522.27</v>
      </c>
      <c r="BD7" s="119">
        <f>'STATEMENT OF FINANCIAL POSITION'!BD43+'STATEMENT OF FINANCIAL POSITION'!BD44</f>
        <v>1261844724.51</v>
      </c>
      <c r="BE7" s="119">
        <f>'STATEMENT OF FINANCIAL POSITION'!BE43+'STATEMENT OF FINANCIAL POSITION'!BE44</f>
        <v>1254154212.3600001</v>
      </c>
      <c r="BF7" s="119">
        <f>'STATEMENT OF FINANCIAL POSITION'!BF43+'STATEMENT OF FINANCIAL POSITION'!BF44</f>
        <v>1258157642.47</v>
      </c>
    </row>
    <row r="8" spans="2:58" ht="14.25">
      <c r="B8" s="19">
        <v>4</v>
      </c>
      <c r="C8" s="117" t="s">
        <v>140</v>
      </c>
      <c r="D8" s="23">
        <f>'STATEMENT OF FINANCIAL POSITION'!C54</f>
        <v>10587743</v>
      </c>
      <c r="E8" s="23">
        <f>'STATEMENT OF FINANCIAL POSITION'!D54</f>
        <v>39797135</v>
      </c>
      <c r="F8" s="29">
        <f>'STATEMENT OF FINANCIAL POSITION'!E54</f>
        <v>3000000</v>
      </c>
      <c r="G8" s="62">
        <f>'STATEMENT OF FINANCIAL POSITION'!F54</f>
        <v>0</v>
      </c>
      <c r="H8" s="62">
        <f>'STATEMENT OF FINANCIAL POSITION'!G54</f>
        <v>0</v>
      </c>
      <c r="I8" s="119">
        <f>'STATEMENT OF FINANCIAL POSITION'!H54</f>
        <v>0</v>
      </c>
      <c r="J8" s="119">
        <f>'STATEMENT OF FINANCIAL POSITION'!I54</f>
        <v>0</v>
      </c>
      <c r="K8" s="119">
        <f>'STATEMENT OF FINANCIAL POSITION'!J54</f>
        <v>0</v>
      </c>
      <c r="L8" s="119">
        <f>'STATEMENT OF FINANCIAL POSITION'!K54</f>
        <v>0</v>
      </c>
      <c r="M8" s="119">
        <f>'STATEMENT OF FINANCIAL POSITION'!L54</f>
        <v>0</v>
      </c>
      <c r="N8" s="119">
        <f>'STATEMENT OF FINANCIAL POSITION'!M54</f>
        <v>0</v>
      </c>
      <c r="O8" s="119">
        <f>'STATEMENT OF FINANCIAL POSITION'!N54</f>
        <v>0</v>
      </c>
      <c r="P8" s="119">
        <f>'STATEMENT OF FINANCIAL POSITION'!O54</f>
        <v>0</v>
      </c>
      <c r="Q8" s="119">
        <f>'STATEMENT OF FINANCIAL POSITION'!P54</f>
        <v>0</v>
      </c>
      <c r="R8" s="119">
        <f>'STATEMENT OF FINANCIAL POSITION'!Q54</f>
        <v>0</v>
      </c>
      <c r="S8" s="119">
        <f>'STATEMENT OF FINANCIAL POSITION'!R54</f>
        <v>50000000</v>
      </c>
      <c r="T8" s="119">
        <f>'STATEMENT OF FINANCIAL POSITION'!S54</f>
        <v>0</v>
      </c>
      <c r="U8" s="119">
        <f>'STATEMENT OF FINANCIAL POSITION'!T54</f>
        <v>0</v>
      </c>
      <c r="V8" s="119">
        <f>'STATEMENT OF FINANCIAL POSITION'!U54</f>
        <v>0</v>
      </c>
      <c r="W8" s="119">
        <f>'STATEMENT OF FINANCIAL POSITION'!V54</f>
        <v>0</v>
      </c>
      <c r="X8" s="119">
        <f>'STATEMENT OF FINANCIAL POSITION'!X54</f>
        <v>6711068.6699999999</v>
      </c>
      <c r="Y8" s="119">
        <f>'STATEMENT OF FINANCIAL POSITION'!Y54</f>
        <v>0</v>
      </c>
      <c r="Z8" s="119">
        <f>'STATEMENT OF FINANCIAL POSITION'!Z54</f>
        <v>5869715</v>
      </c>
      <c r="AA8" s="119">
        <f>'STATEMENT OF FINANCIAL POSITION'!AA54</f>
        <v>5874606.3300000001</v>
      </c>
      <c r="AB8" s="119">
        <f>'STATEMENT OF FINANCIAL POSITION'!AB54</f>
        <v>5879497.6600000001</v>
      </c>
      <c r="AC8" s="119">
        <f>'STATEMENT OF FINANCIAL POSITION'!AC54</f>
        <v>5037452</v>
      </c>
      <c r="AD8" s="119">
        <f>'STATEMENT OF FINANCIAL POSITION'!AD54</f>
        <v>5041650</v>
      </c>
      <c r="AE8" s="119">
        <f>'STATEMENT OF FINANCIAL POSITION'!AE54</f>
        <v>5045848</v>
      </c>
      <c r="AF8" s="119">
        <f>'STATEMENT OF FINANCIAL POSITION'!AF54</f>
        <v>4203109</v>
      </c>
      <c r="AG8" s="119">
        <f>'STATEMENT OF FINANCIAL POSITION'!AG54</f>
        <v>4206613</v>
      </c>
      <c r="AH8" s="119">
        <f>'STATEMENT OF FINANCIAL POSITION'!AH54</f>
        <v>4210115</v>
      </c>
      <c r="AI8" s="119">
        <f>'STATEMENT OF FINANCIAL POSITION'!AI54</f>
        <v>3366680</v>
      </c>
      <c r="AJ8" s="119">
        <f>'STATEMENT OF FINANCIAL POSITION'!AJ54</f>
        <v>3369487</v>
      </c>
      <c r="AK8" s="119">
        <f>'STATEMENT OF FINANCIAL POSITION'!AK54</f>
        <v>0</v>
      </c>
      <c r="AL8" s="119">
        <f>'STATEMENT OF FINANCIAL POSITION'!AL54</f>
        <v>3372292</v>
      </c>
      <c r="AM8" s="119">
        <f>'STATEMENT OF FINANCIAL POSITION'!AM54</f>
        <v>2528160</v>
      </c>
      <c r="AN8" s="119">
        <f>'STATEMENT OF FINANCIAL POSITION'!AN54</f>
        <v>2530268</v>
      </c>
      <c r="AO8" s="119">
        <f>'STATEMENT OF FINANCIAL POSITION'!AO54</f>
        <v>2532374</v>
      </c>
      <c r="AP8" s="119">
        <f>'STATEMENT OF FINANCIAL POSITION'!AP54</f>
        <v>1687543</v>
      </c>
      <c r="AQ8" s="119">
        <f>'STATEMENT OF FINANCIAL POSITION'!AQ54</f>
        <v>1688950</v>
      </c>
      <c r="AR8" s="119">
        <f>'STATEMENT OF FINANCIAL POSITION'!AR54</f>
        <v>1690356</v>
      </c>
      <c r="AS8" s="119">
        <f>'STATEMENT OF FINANCIAL POSITION'!AS54</f>
        <v>844825</v>
      </c>
      <c r="AT8" s="119">
        <f>'STATEMENT OF FINANCIAL POSITION'!AT54</f>
        <v>845529</v>
      </c>
      <c r="AU8" s="119">
        <f>'STATEMENT OF FINANCIAL POSITION'!AU54</f>
        <v>846233</v>
      </c>
      <c r="AV8" s="119">
        <f>'STATEMENT OF FINANCIAL POSITION'!AV54</f>
        <v>0</v>
      </c>
      <c r="AW8" s="119">
        <f>'STATEMENT OF FINANCIAL POSITION'!AW54</f>
        <v>0</v>
      </c>
      <c r="AX8" s="119">
        <f>'STATEMENT OF FINANCIAL POSITION'!AX54</f>
        <v>0</v>
      </c>
      <c r="AY8" s="119">
        <f>'STATEMENT OF FINANCIAL POSITION'!AY54</f>
        <v>0</v>
      </c>
      <c r="AZ8" s="119">
        <f>'STATEMENT OF FINANCIAL POSITION'!AZ54</f>
        <v>0</v>
      </c>
      <c r="BA8" s="119">
        <f>'STATEMENT OF FINANCIAL POSITION'!BA54</f>
        <v>0</v>
      </c>
      <c r="BB8" s="119">
        <f>'STATEMENT OF FINANCIAL POSITION'!BB54</f>
        <v>0</v>
      </c>
      <c r="BC8" s="119">
        <f>'STATEMENT OF FINANCIAL POSITION'!BC54</f>
        <v>0</v>
      </c>
      <c r="BD8" s="119">
        <f>'STATEMENT OF FINANCIAL POSITION'!BD54</f>
        <v>0</v>
      </c>
      <c r="BE8" s="119">
        <f>'STATEMENT OF FINANCIAL POSITION'!BE54</f>
        <v>0</v>
      </c>
      <c r="BF8" s="119">
        <f>'STATEMENT OF FINANCIAL POSITION'!BF54</f>
        <v>0</v>
      </c>
    </row>
    <row r="9" spans="2:58" ht="14.25" hidden="1">
      <c r="C9" s="117"/>
      <c r="D9" s="22"/>
      <c r="E9" s="22"/>
      <c r="F9" s="29"/>
      <c r="I9" s="118"/>
      <c r="J9" s="118"/>
      <c r="K9" s="118"/>
      <c r="L9" s="118"/>
      <c r="M9" s="118"/>
      <c r="N9" s="118"/>
      <c r="O9" s="118"/>
      <c r="P9" s="118"/>
      <c r="Q9" s="118"/>
      <c r="R9" s="118"/>
      <c r="S9" s="118"/>
      <c r="T9" s="118"/>
      <c r="U9" s="118"/>
      <c r="V9" s="118"/>
      <c r="W9" s="118"/>
      <c r="X9" s="118"/>
      <c r="Y9" s="118"/>
      <c r="Z9" s="118"/>
      <c r="AA9" s="118"/>
      <c r="AB9" s="118"/>
      <c r="AC9" s="118"/>
      <c r="AD9" s="118"/>
      <c r="AE9" s="118"/>
      <c r="AF9" s="118"/>
      <c r="AG9" s="118"/>
      <c r="AH9" s="118"/>
      <c r="AI9" s="118"/>
      <c r="AJ9" s="118"/>
      <c r="AK9" s="118"/>
      <c r="AL9" s="118"/>
      <c r="AM9" s="118"/>
      <c r="AN9" s="118"/>
      <c r="AO9" s="118"/>
      <c r="AP9" s="118"/>
      <c r="AQ9" s="118"/>
      <c r="AR9" s="118"/>
      <c r="AS9" s="118"/>
      <c r="AT9" s="118"/>
      <c r="AU9" s="118"/>
      <c r="AV9" s="118"/>
      <c r="AW9" s="118"/>
      <c r="AX9" s="118"/>
      <c r="AY9" s="118"/>
      <c r="AZ9" s="118"/>
      <c r="BA9" s="118"/>
      <c r="BB9" s="118"/>
      <c r="BC9" s="118"/>
      <c r="BD9" s="118"/>
      <c r="BE9" s="118"/>
      <c r="BF9" s="118"/>
    </row>
    <row r="10" spans="2:58" ht="14.25" hidden="1">
      <c r="B10" s="20">
        <v>5</v>
      </c>
      <c r="C10" s="121" t="s">
        <v>141</v>
      </c>
      <c r="D10" s="28"/>
      <c r="E10" s="22"/>
      <c r="F10" s="29"/>
      <c r="I10" s="118"/>
      <c r="J10" s="118"/>
      <c r="K10" s="118"/>
      <c r="L10" s="118"/>
      <c r="M10" s="118"/>
      <c r="N10" s="118"/>
      <c r="O10" s="118"/>
      <c r="P10" s="118"/>
      <c r="Q10" s="118"/>
      <c r="R10" s="118"/>
      <c r="S10" s="118"/>
      <c r="T10" s="118"/>
      <c r="U10" s="118"/>
      <c r="V10" s="118"/>
      <c r="W10" s="118"/>
      <c r="X10" s="118"/>
      <c r="Y10" s="118"/>
      <c r="Z10" s="118"/>
      <c r="AA10" s="118"/>
      <c r="AB10" s="118"/>
      <c r="AC10" s="118"/>
      <c r="AD10" s="118"/>
      <c r="AE10" s="118"/>
      <c r="AF10" s="118"/>
      <c r="AG10" s="118"/>
      <c r="AH10" s="118"/>
      <c r="AI10" s="118"/>
      <c r="AJ10" s="118"/>
      <c r="AK10" s="118"/>
      <c r="AL10" s="118"/>
      <c r="AM10" s="118"/>
      <c r="AN10" s="118"/>
      <c r="AO10" s="118"/>
      <c r="AP10" s="118"/>
      <c r="AQ10" s="118"/>
      <c r="AR10" s="118"/>
      <c r="AS10" s="118"/>
      <c r="AT10" s="118"/>
      <c r="AU10" s="118"/>
      <c r="AV10" s="118"/>
      <c r="AW10" s="118"/>
      <c r="AX10" s="118"/>
      <c r="AY10" s="118"/>
      <c r="AZ10" s="118"/>
      <c r="BA10" s="118"/>
      <c r="BB10" s="118"/>
      <c r="BC10" s="118"/>
      <c r="BD10" s="118"/>
      <c r="BE10" s="118"/>
      <c r="BF10" s="118"/>
    </row>
    <row r="11" spans="2:58" ht="14.25">
      <c r="B11" s="20">
        <v>5.0999999999999996</v>
      </c>
      <c r="C11" s="121" t="s">
        <v>142</v>
      </c>
      <c r="D11" s="30">
        <f t="shared" ref="D11:I11" si="0">D14-D23</f>
        <v>188947973</v>
      </c>
      <c r="E11" s="30">
        <f t="shared" si="0"/>
        <v>239362202</v>
      </c>
      <c r="F11" s="30">
        <f t="shared" si="0"/>
        <v>221733455</v>
      </c>
      <c r="G11" s="30">
        <f t="shared" si="0"/>
        <v>317987309</v>
      </c>
      <c r="H11" s="66">
        <f t="shared" si="0"/>
        <v>400606236</v>
      </c>
      <c r="I11" s="122">
        <f t="shared" si="0"/>
        <v>482819469</v>
      </c>
      <c r="J11" s="122">
        <f t="shared" ref="J11:R11" si="1">J14-J23</f>
        <v>544401880</v>
      </c>
      <c r="K11" s="122">
        <f t="shared" si="1"/>
        <v>561529460.48000002</v>
      </c>
      <c r="L11" s="122">
        <f t="shared" si="1"/>
        <v>569840246.13999999</v>
      </c>
      <c r="M11" s="122">
        <f t="shared" si="1"/>
        <v>571615109.89999998</v>
      </c>
      <c r="N11" s="122">
        <f t="shared" si="1"/>
        <v>569819537.31999993</v>
      </c>
      <c r="O11" s="122">
        <f t="shared" si="1"/>
        <v>575237295.16999996</v>
      </c>
      <c r="P11" s="122">
        <f t="shared" si="1"/>
        <v>579274663.66999996</v>
      </c>
      <c r="Q11" s="122">
        <f t="shared" si="1"/>
        <v>598760496.5999999</v>
      </c>
      <c r="R11" s="122">
        <f t="shared" si="1"/>
        <v>601523577.24000001</v>
      </c>
      <c r="S11" s="122">
        <f t="shared" ref="S11:Y11" si="2">S14-S23</f>
        <v>605410065.64999998</v>
      </c>
      <c r="T11" s="122">
        <f t="shared" si="2"/>
        <v>621932482.61000001</v>
      </c>
      <c r="U11" s="122">
        <f t="shared" si="2"/>
        <v>687011721.46000004</v>
      </c>
      <c r="V11" s="122">
        <f t="shared" si="2"/>
        <v>703842974.25</v>
      </c>
      <c r="W11" s="122">
        <f t="shared" si="2"/>
        <v>703842973</v>
      </c>
      <c r="X11" s="122">
        <f>X14-X23</f>
        <v>1066474257.98</v>
      </c>
      <c r="Y11" s="122">
        <f t="shared" si="2"/>
        <v>1096288715</v>
      </c>
      <c r="Z11" s="122">
        <f>Z14-Z23</f>
        <v>1083908698.0999999</v>
      </c>
      <c r="AA11" s="122">
        <f>AA14-AA23</f>
        <v>1088857178.51</v>
      </c>
      <c r="AB11" s="122">
        <f>AB14-AB23</f>
        <v>1095478075.1599998</v>
      </c>
      <c r="AC11" s="122">
        <f t="shared" ref="AC11:AH11" si="3">AC14-AC23</f>
        <v>1126957151.3299999</v>
      </c>
      <c r="AD11" s="122">
        <f t="shared" si="3"/>
        <v>1132917507.99</v>
      </c>
      <c r="AE11" s="122">
        <f t="shared" si="3"/>
        <v>1142581696.46</v>
      </c>
      <c r="AF11" s="122">
        <f t="shared" si="3"/>
        <v>1140163984.4300001</v>
      </c>
      <c r="AG11" s="122">
        <f t="shared" si="3"/>
        <v>1146309170.3699999</v>
      </c>
      <c r="AH11" s="122">
        <f t="shared" si="3"/>
        <v>1146214758.4400001</v>
      </c>
      <c r="AI11" s="122">
        <f t="shared" ref="AI11:AL11" si="4">AI14-AI23</f>
        <v>1175629377.49</v>
      </c>
      <c r="AJ11" s="122">
        <f t="shared" si="4"/>
        <v>1197338098.0800002</v>
      </c>
      <c r="AK11" s="122">
        <f t="shared" si="4"/>
        <v>-50000000</v>
      </c>
      <c r="AL11" s="122">
        <f t="shared" si="4"/>
        <v>1274766646</v>
      </c>
      <c r="AM11" s="122">
        <f t="shared" ref="AM11:AX11" si="5">AM14-AM23</f>
        <v>1256144767.05</v>
      </c>
      <c r="AN11" s="122">
        <f t="shared" si="5"/>
        <v>1258589541.6999998</v>
      </c>
      <c r="AO11" s="122">
        <f t="shared" si="5"/>
        <v>1262440869.4300001</v>
      </c>
      <c r="AP11" s="122">
        <f t="shared" si="5"/>
        <v>1285185113.21</v>
      </c>
      <c r="AQ11" s="122">
        <f t="shared" si="5"/>
        <v>1297165884.4400001</v>
      </c>
      <c r="AR11" s="122">
        <f t="shared" si="5"/>
        <v>1315497431.4400001</v>
      </c>
      <c r="AS11" s="122">
        <f t="shared" si="5"/>
        <v>1303800341.0300002</v>
      </c>
      <c r="AT11" s="122">
        <f t="shared" si="5"/>
        <v>1304220125.95</v>
      </c>
      <c r="AU11" s="122">
        <f t="shared" si="5"/>
        <v>1303106654.8399999</v>
      </c>
      <c r="AV11" s="122">
        <f t="shared" si="5"/>
        <v>1311928705.1199999</v>
      </c>
      <c r="AW11" s="122">
        <f t="shared" si="5"/>
        <v>1310045450.7900002</v>
      </c>
      <c r="AX11" s="122">
        <f t="shared" si="5"/>
        <v>1329007158.6199999</v>
      </c>
      <c r="AY11" s="122">
        <f t="shared" ref="AY11:BC11" si="6">AY14-AY23</f>
        <v>1410484028</v>
      </c>
      <c r="AZ11" s="122">
        <f t="shared" ref="AZ11:BC11" si="7">AZ14-AZ23</f>
        <v>1354319032.9000001</v>
      </c>
      <c r="BA11" s="122">
        <f t="shared" si="7"/>
        <v>1352552314.8700001</v>
      </c>
      <c r="BB11" s="122">
        <f t="shared" si="7"/>
        <v>1354011287.75</v>
      </c>
      <c r="BC11" s="122">
        <f t="shared" si="7"/>
        <v>1367010623.1999998</v>
      </c>
      <c r="BD11" s="122">
        <f t="shared" ref="BD11:BE11" si="8">BD14-BD23</f>
        <v>1370532132</v>
      </c>
      <c r="BE11" s="122">
        <f t="shared" si="8"/>
        <v>1395878417.3499999</v>
      </c>
      <c r="BF11" s="122">
        <f t="shared" ref="BF11" si="9">BF14-BF23</f>
        <v>1416952819.98</v>
      </c>
    </row>
    <row r="12" spans="2:58" ht="13.5" customHeight="1">
      <c r="B12" s="20">
        <v>5.2</v>
      </c>
      <c r="C12" s="121" t="s">
        <v>143</v>
      </c>
      <c r="D12" s="31">
        <f t="shared" ref="D12:I12" si="10">D11-D15</f>
        <v>61559893</v>
      </c>
      <c r="E12" s="31">
        <f t="shared" si="10"/>
        <v>106281551</v>
      </c>
      <c r="F12" s="29">
        <f t="shared" si="10"/>
        <v>188250897</v>
      </c>
      <c r="G12" s="29">
        <f t="shared" si="10"/>
        <v>275786629</v>
      </c>
      <c r="H12" s="62">
        <f t="shared" si="10"/>
        <v>358340851</v>
      </c>
      <c r="I12" s="119">
        <f t="shared" si="10"/>
        <v>438454448</v>
      </c>
      <c r="J12" s="119">
        <f t="shared" ref="J12:S12" si="11">J11-J15</f>
        <v>494753405</v>
      </c>
      <c r="K12" s="119">
        <f t="shared" si="11"/>
        <v>511457901.93000001</v>
      </c>
      <c r="L12" s="119">
        <f t="shared" si="11"/>
        <v>516621168.15999997</v>
      </c>
      <c r="M12" s="119">
        <f t="shared" si="11"/>
        <v>518021630.21999997</v>
      </c>
      <c r="N12" s="119">
        <f t="shared" si="11"/>
        <v>515919477.71999991</v>
      </c>
      <c r="O12" s="119">
        <f t="shared" si="11"/>
        <v>520917117.80999994</v>
      </c>
      <c r="P12" s="119">
        <f t="shared" si="11"/>
        <v>524642199.92999995</v>
      </c>
      <c r="Q12" s="119">
        <f t="shared" si="11"/>
        <v>543798660.42999995</v>
      </c>
      <c r="R12" s="119">
        <f t="shared" si="11"/>
        <v>546269647.27999997</v>
      </c>
      <c r="S12" s="119">
        <f t="shared" si="11"/>
        <v>549900985.68999994</v>
      </c>
      <c r="T12" s="119">
        <f t="shared" ref="T12:Y12" si="12">T11-T15</f>
        <v>565502677.13</v>
      </c>
      <c r="U12" s="119">
        <f t="shared" si="12"/>
        <v>573581239.26999998</v>
      </c>
      <c r="V12" s="119">
        <f t="shared" si="12"/>
        <v>590062634.15999997</v>
      </c>
      <c r="W12" s="119">
        <f t="shared" si="12"/>
        <v>590062633</v>
      </c>
      <c r="X12" s="119">
        <f t="shared" si="12"/>
        <v>920687252.46000004</v>
      </c>
      <c r="Y12" s="119">
        <f t="shared" si="12"/>
        <v>950501709</v>
      </c>
      <c r="Z12" s="119">
        <f>Z11-Z15</f>
        <v>936997881.31999993</v>
      </c>
      <c r="AA12" s="119">
        <f>AA11-AA15</f>
        <v>940796534.10000002</v>
      </c>
      <c r="AB12" s="119">
        <f>AB11-AB15</f>
        <v>946115568.49999988</v>
      </c>
      <c r="AC12" s="119">
        <f t="shared" ref="AC12:AH12" si="13">AC11-AC15</f>
        <v>976518873.57999992</v>
      </c>
      <c r="AD12" s="119">
        <f t="shared" si="13"/>
        <v>981478346.84000003</v>
      </c>
      <c r="AE12" s="119">
        <f t="shared" si="13"/>
        <v>989729474.96000004</v>
      </c>
      <c r="AF12" s="119">
        <f t="shared" si="13"/>
        <v>986115474.31000006</v>
      </c>
      <c r="AG12" s="119">
        <f t="shared" si="13"/>
        <v>991131396.96999991</v>
      </c>
      <c r="AH12" s="119">
        <f t="shared" si="13"/>
        <v>990418168.81000006</v>
      </c>
      <c r="AI12" s="119">
        <f t="shared" ref="AI12:AL12" si="14">AI11-AI15</f>
        <v>1019275100.88</v>
      </c>
      <c r="AJ12" s="119">
        <f t="shared" si="14"/>
        <v>1039366798.3900001</v>
      </c>
      <c r="AK12" s="119">
        <f t="shared" si="14"/>
        <v>-50000000</v>
      </c>
      <c r="AL12" s="119">
        <f t="shared" si="14"/>
        <v>1115846247</v>
      </c>
      <c r="AM12" s="119">
        <f t="shared" ref="AM12:AX12" si="15">AM11-AM15</f>
        <v>1096211029.46</v>
      </c>
      <c r="AN12" s="119">
        <f t="shared" si="15"/>
        <v>1091168024.3299999</v>
      </c>
      <c r="AO12" s="119">
        <f t="shared" si="15"/>
        <v>1093016505.98</v>
      </c>
      <c r="AP12" s="119">
        <f t="shared" si="15"/>
        <v>1113723543.0999999</v>
      </c>
      <c r="AQ12" s="119">
        <f t="shared" si="15"/>
        <v>1122970389.53</v>
      </c>
      <c r="AR12" s="119">
        <f t="shared" si="15"/>
        <v>1139605407.71</v>
      </c>
      <c r="AS12" s="119">
        <f t="shared" si="15"/>
        <v>1126166544.7800002</v>
      </c>
      <c r="AT12" s="119">
        <f t="shared" si="15"/>
        <v>1124862305.78</v>
      </c>
      <c r="AU12" s="119">
        <f t="shared" si="15"/>
        <v>1122103248.8999999</v>
      </c>
      <c r="AV12" s="119">
        <f t="shared" si="15"/>
        <v>1129682833.28</v>
      </c>
      <c r="AW12" s="119">
        <f t="shared" si="15"/>
        <v>1125899904.9700003</v>
      </c>
      <c r="AX12" s="119">
        <f t="shared" si="15"/>
        <v>1142924999.5999999</v>
      </c>
      <c r="AY12" s="119">
        <f t="shared" ref="AY12:BC12" si="16">AY11-AY15</f>
        <v>1224401869</v>
      </c>
      <c r="AZ12" s="119">
        <f t="shared" ref="AZ12:BC12" si="17">AZ11-AZ15</f>
        <v>1160988904.97</v>
      </c>
      <c r="BA12" s="119">
        <f t="shared" si="17"/>
        <v>1150058435.1900001</v>
      </c>
      <c r="BB12" s="119">
        <f t="shared" si="17"/>
        <v>1143554887.3</v>
      </c>
      <c r="BC12" s="119">
        <f t="shared" si="17"/>
        <v>1148380236.8899999</v>
      </c>
      <c r="BD12" s="119">
        <f t="shared" ref="BD12:BE12" si="18">BD11-BD15</f>
        <v>1148619762.9200001</v>
      </c>
      <c r="BE12" s="119">
        <f t="shared" si="18"/>
        <v>1160415924.01</v>
      </c>
      <c r="BF12" s="119">
        <f t="shared" ref="BF12" si="19">BF11-BF15</f>
        <v>1179298866.26</v>
      </c>
    </row>
    <row r="13" spans="2:58" ht="14.25" hidden="1">
      <c r="B13" s="20"/>
      <c r="C13" s="121"/>
      <c r="D13" s="28"/>
      <c r="E13" s="22"/>
      <c r="F13" s="29"/>
      <c r="I13" s="118"/>
      <c r="J13" s="118"/>
      <c r="K13" s="118"/>
      <c r="L13" s="118"/>
      <c r="M13" s="118"/>
      <c r="N13" s="118"/>
      <c r="O13" s="118"/>
      <c r="P13" s="118"/>
      <c r="Q13" s="118"/>
      <c r="R13" s="118"/>
      <c r="S13" s="118"/>
      <c r="T13" s="118"/>
      <c r="U13" s="118"/>
      <c r="V13" s="118"/>
      <c r="W13" s="118"/>
      <c r="X13" s="118"/>
      <c r="Y13" s="118"/>
      <c r="Z13" s="118"/>
      <c r="AA13" s="118"/>
      <c r="AB13" s="118"/>
      <c r="AC13" s="118"/>
      <c r="AD13" s="118"/>
      <c r="AE13" s="118"/>
      <c r="AF13" s="118"/>
      <c r="AG13" s="118"/>
      <c r="AH13" s="118"/>
      <c r="AI13" s="118"/>
      <c r="AJ13" s="118"/>
      <c r="AK13" s="118"/>
      <c r="AL13" s="118"/>
      <c r="AM13" s="118"/>
      <c r="AN13" s="118"/>
      <c r="AO13" s="118"/>
      <c r="AP13" s="118"/>
      <c r="AQ13" s="118"/>
      <c r="AR13" s="118"/>
      <c r="AS13" s="118"/>
      <c r="AT13" s="118"/>
      <c r="AU13" s="118"/>
      <c r="AV13" s="118"/>
      <c r="AW13" s="118"/>
      <c r="AX13" s="118"/>
      <c r="AY13" s="118"/>
      <c r="AZ13" s="118"/>
      <c r="BA13" s="118"/>
      <c r="BB13" s="118"/>
      <c r="BC13" s="118"/>
      <c r="BD13" s="118"/>
      <c r="BE13" s="118"/>
      <c r="BF13" s="118"/>
    </row>
    <row r="14" spans="2:58" ht="14.25">
      <c r="B14" s="20">
        <v>5.3</v>
      </c>
      <c r="C14" s="121" t="s">
        <v>144</v>
      </c>
      <c r="D14" s="32">
        <f t="shared" ref="D14:I14" si="20">SUM(D15:D21)</f>
        <v>203039553</v>
      </c>
      <c r="E14" s="32">
        <f t="shared" si="20"/>
        <v>254553782</v>
      </c>
      <c r="F14" s="32">
        <f t="shared" si="20"/>
        <v>236925035</v>
      </c>
      <c r="G14" s="63">
        <f t="shared" si="20"/>
        <v>333973009</v>
      </c>
      <c r="H14" s="63">
        <f t="shared" si="20"/>
        <v>426691936</v>
      </c>
      <c r="I14" s="123">
        <f t="shared" si="20"/>
        <v>510101546</v>
      </c>
      <c r="J14" s="123">
        <f t="shared" ref="J14:S14" si="21">SUM(J15:J21)</f>
        <v>575483957</v>
      </c>
      <c r="K14" s="123">
        <f t="shared" si="21"/>
        <v>592611537.48000002</v>
      </c>
      <c r="L14" s="123">
        <f t="shared" si="21"/>
        <v>600922323.13999999</v>
      </c>
      <c r="M14" s="123">
        <f t="shared" si="21"/>
        <v>602697186.89999998</v>
      </c>
      <c r="N14" s="123">
        <f t="shared" si="21"/>
        <v>600901614.31999993</v>
      </c>
      <c r="O14" s="123">
        <f t="shared" si="21"/>
        <v>606319372.16999996</v>
      </c>
      <c r="P14" s="123">
        <f t="shared" si="21"/>
        <v>610356740.66999996</v>
      </c>
      <c r="Q14" s="123">
        <f t="shared" si="21"/>
        <v>629842573.5999999</v>
      </c>
      <c r="R14" s="123">
        <f t="shared" si="21"/>
        <v>632605654.24000001</v>
      </c>
      <c r="S14" s="123">
        <f t="shared" si="21"/>
        <v>636492142.64999998</v>
      </c>
      <c r="T14" s="123">
        <f t="shared" ref="T14:Y14" si="22">SUM(T15:T21)</f>
        <v>653014559.61000001</v>
      </c>
      <c r="U14" s="123">
        <f t="shared" si="22"/>
        <v>738093798.46000004</v>
      </c>
      <c r="V14" s="123">
        <f t="shared" si="22"/>
        <v>737260009.25</v>
      </c>
      <c r="W14" s="123">
        <f t="shared" si="22"/>
        <v>737260008</v>
      </c>
      <c r="X14" s="123">
        <f t="shared" si="22"/>
        <v>1104891292.98</v>
      </c>
      <c r="Y14" s="123">
        <f t="shared" si="22"/>
        <v>1106288715</v>
      </c>
      <c r="Z14" s="123">
        <f>SUM(Z15:Z21)</f>
        <v>1122325733.0999999</v>
      </c>
      <c r="AA14" s="123">
        <f>SUM(AA15:AA21)</f>
        <v>1127274213.51</v>
      </c>
      <c r="AB14" s="123">
        <f>SUM(AB15:AB21)</f>
        <v>1133895110.1599998</v>
      </c>
      <c r="AC14" s="123">
        <f t="shared" ref="AC14:AH14" si="23">SUM(AC15:AC21)</f>
        <v>1165374186.3299999</v>
      </c>
      <c r="AD14" s="123">
        <f t="shared" si="23"/>
        <v>1171334542.99</v>
      </c>
      <c r="AE14" s="123">
        <f t="shared" si="23"/>
        <v>1180998731.46</v>
      </c>
      <c r="AF14" s="123">
        <f t="shared" si="23"/>
        <v>1189081019.4300001</v>
      </c>
      <c r="AG14" s="123">
        <f t="shared" si="23"/>
        <v>1195226205.3699999</v>
      </c>
      <c r="AH14" s="123">
        <f t="shared" si="23"/>
        <v>1195131793.4400001</v>
      </c>
      <c r="AI14" s="123">
        <f t="shared" ref="AI14:AL14" si="24">SUM(AI15:AI21)</f>
        <v>1222046412.49</v>
      </c>
      <c r="AJ14" s="123">
        <f t="shared" si="24"/>
        <v>1243755133.0800002</v>
      </c>
      <c r="AK14" s="123">
        <f t="shared" si="24"/>
        <v>-50000000</v>
      </c>
      <c r="AL14" s="123">
        <f t="shared" si="24"/>
        <v>1284866646</v>
      </c>
      <c r="AM14" s="123">
        <f t="shared" ref="AM14:AX14" si="25">SUM(AM15:AM21)</f>
        <v>1302561802.05</v>
      </c>
      <c r="AN14" s="123">
        <f t="shared" si="25"/>
        <v>1317206576.6999998</v>
      </c>
      <c r="AO14" s="123">
        <f t="shared" si="25"/>
        <v>1321057904.4300001</v>
      </c>
      <c r="AP14" s="123">
        <f t="shared" si="25"/>
        <v>1343802148.21</v>
      </c>
      <c r="AQ14" s="123">
        <f t="shared" si="25"/>
        <v>1355782919.4400001</v>
      </c>
      <c r="AR14" s="123">
        <f t="shared" si="25"/>
        <v>1374114466.4400001</v>
      </c>
      <c r="AS14" s="123">
        <f t="shared" si="25"/>
        <v>1362417376.0300002</v>
      </c>
      <c r="AT14" s="123">
        <f t="shared" si="25"/>
        <v>1362837160.95</v>
      </c>
      <c r="AU14" s="123">
        <f t="shared" si="25"/>
        <v>1361723689.8399999</v>
      </c>
      <c r="AV14" s="123">
        <f t="shared" si="25"/>
        <v>1370545740.1199999</v>
      </c>
      <c r="AW14" s="123">
        <f t="shared" si="25"/>
        <v>1368662485.7900002</v>
      </c>
      <c r="AX14" s="123">
        <f t="shared" si="25"/>
        <v>1466411298.6199999</v>
      </c>
      <c r="AY14" s="123">
        <f t="shared" ref="AY14:BC14" si="26">SUM(AY15:AY21)</f>
        <v>1410484028</v>
      </c>
      <c r="AZ14" s="123">
        <f t="shared" ref="AZ14:BC14" si="27">SUM(AZ15:AZ21)</f>
        <v>1491723172.9000001</v>
      </c>
      <c r="BA14" s="123">
        <f t="shared" si="27"/>
        <v>1489956454.8700001</v>
      </c>
      <c r="BB14" s="123">
        <f t="shared" si="27"/>
        <v>1491415427.75</v>
      </c>
      <c r="BC14" s="123">
        <f t="shared" si="27"/>
        <v>1504414763.1999998</v>
      </c>
      <c r="BD14" s="123">
        <f t="shared" ref="BD14:BE14" si="28">SUM(BD15:BD21)</f>
        <v>1513826272</v>
      </c>
      <c r="BE14" s="123">
        <f t="shared" si="28"/>
        <v>1539172557.3499999</v>
      </c>
      <c r="BF14" s="123">
        <f t="shared" ref="BF14" si="29">SUM(BF15:BF21)</f>
        <v>1560246959.98</v>
      </c>
    </row>
    <row r="15" spans="2:58" ht="14.25">
      <c r="B15" s="20" t="s">
        <v>145</v>
      </c>
      <c r="C15" s="124" t="s">
        <v>146</v>
      </c>
      <c r="D15" s="24">
        <f>'STATEMENT OF FINANCIAL POSITION'!C58</f>
        <v>127388080</v>
      </c>
      <c r="E15" s="24">
        <f>'STATEMENT OF FINANCIAL POSITION'!D58</f>
        <v>133080651</v>
      </c>
      <c r="F15" s="29">
        <f>'STATEMENT OF FINANCIAL POSITION'!E58</f>
        <v>33482558</v>
      </c>
      <c r="G15" s="62">
        <f>'STATEMENT OF FINANCIAL POSITION'!F58</f>
        <v>42200680</v>
      </c>
      <c r="H15" s="62">
        <f>'STATEMENT OF FINANCIAL POSITION'!G58</f>
        <v>42265385</v>
      </c>
      <c r="I15" s="119">
        <f>'STATEMENT OF FINANCIAL POSITION'!H58</f>
        <v>44365021</v>
      </c>
      <c r="J15" s="119">
        <f>'STATEMENT OF FINANCIAL POSITION'!I58</f>
        <v>49648475</v>
      </c>
      <c r="K15" s="119">
        <f>'STATEMENT OF FINANCIAL POSITION'!J58</f>
        <v>50071558.549999997</v>
      </c>
      <c r="L15" s="119">
        <f>'STATEMENT OF FINANCIAL POSITION'!K58</f>
        <v>53219077.979999997</v>
      </c>
      <c r="M15" s="119">
        <f>'STATEMENT OF FINANCIAL POSITION'!L58</f>
        <v>53593479.68</v>
      </c>
      <c r="N15" s="119">
        <f>'STATEMENT OF FINANCIAL POSITION'!M58</f>
        <v>53900059.600000001</v>
      </c>
      <c r="O15" s="119">
        <f>'STATEMENT OF FINANCIAL POSITION'!N58</f>
        <v>54320177.359999999</v>
      </c>
      <c r="P15" s="119">
        <f>'STATEMENT OF FINANCIAL POSITION'!O58</f>
        <v>54632463.740000002</v>
      </c>
      <c r="Q15" s="119">
        <f>'STATEMENT OF FINANCIAL POSITION'!P58</f>
        <v>54961836.170000002</v>
      </c>
      <c r="R15" s="119">
        <f>'STATEMENT OF FINANCIAL POSITION'!Q58</f>
        <v>55253929.960000001</v>
      </c>
      <c r="S15" s="119">
        <f>'STATEMENT OF FINANCIAL POSITION'!R58</f>
        <v>55509079.960000001</v>
      </c>
      <c r="T15" s="119">
        <f>'STATEMENT OF FINANCIAL POSITION'!S58</f>
        <v>56429805.479999997</v>
      </c>
      <c r="U15" s="119">
        <f>'STATEMENT OF FINANCIAL POSITION'!T58</f>
        <v>113430482.19</v>
      </c>
      <c r="V15" s="119">
        <f>'STATEMENT OF FINANCIAL POSITION'!U58</f>
        <v>113780340.09</v>
      </c>
      <c r="W15" s="119">
        <f>'STATEMENT OF FINANCIAL POSITION'!V58</f>
        <v>113780340</v>
      </c>
      <c r="X15" s="119">
        <f>'STATEMENT OF FINANCIAL POSITION'!X58</f>
        <v>145787005.52000001</v>
      </c>
      <c r="Y15" s="119">
        <f>'STATEMENT OF FINANCIAL POSITION'!Y58</f>
        <v>145787006</v>
      </c>
      <c r="Z15" s="119">
        <f>'STATEMENT OF FINANCIAL POSITION'!Z58</f>
        <v>146910816.78</v>
      </c>
      <c r="AA15" s="119">
        <f>'STATEMENT OF FINANCIAL POSITION'!AA58</f>
        <v>148060644.41</v>
      </c>
      <c r="AB15" s="119">
        <f>'STATEMENT OF FINANCIAL POSITION'!AB58</f>
        <v>149362506.66</v>
      </c>
      <c r="AC15" s="119">
        <f>'STATEMENT OF FINANCIAL POSITION'!AC58</f>
        <v>150438277.75</v>
      </c>
      <c r="AD15" s="119">
        <f>'STATEMENT OF FINANCIAL POSITION'!AD58</f>
        <v>151439161.15000001</v>
      </c>
      <c r="AE15" s="119">
        <f>'STATEMENT OF FINANCIAL POSITION'!AE58</f>
        <v>152852221.5</v>
      </c>
      <c r="AF15" s="119">
        <f>'STATEMENT OF FINANCIAL POSITION'!AF58</f>
        <v>154048510.12</v>
      </c>
      <c r="AG15" s="119">
        <f>'STATEMENT OF FINANCIAL POSITION'!AG58</f>
        <v>155177773.40000001</v>
      </c>
      <c r="AH15" s="119">
        <f>'STATEMENT OF FINANCIAL POSITION'!AH58</f>
        <v>155796589.63</v>
      </c>
      <c r="AI15" s="119">
        <f>'STATEMENT OF FINANCIAL POSITION'!AI58</f>
        <v>156354276.61000001</v>
      </c>
      <c r="AJ15" s="119">
        <f>'STATEMENT OF FINANCIAL POSITION'!AJ58</f>
        <v>157971299.69</v>
      </c>
      <c r="AK15" s="119">
        <f>'STATEMENT OF FINANCIAL POSITION'!AK58</f>
        <v>0</v>
      </c>
      <c r="AL15" s="119">
        <f>'STATEMENT OF FINANCIAL POSITION'!AL58</f>
        <v>158920399</v>
      </c>
      <c r="AM15" s="119">
        <f>'STATEMENT OF FINANCIAL POSITION'!AM58</f>
        <v>159933737.59</v>
      </c>
      <c r="AN15" s="119">
        <f>'STATEMENT OF FINANCIAL POSITION'!AN58</f>
        <v>167421517.37</v>
      </c>
      <c r="AO15" s="119">
        <f>'STATEMENT OF FINANCIAL POSITION'!AO58</f>
        <v>169424363.44999999</v>
      </c>
      <c r="AP15" s="119">
        <f>'STATEMENT OF FINANCIAL POSITION'!AP58</f>
        <v>171461570.11000001</v>
      </c>
      <c r="AQ15" s="119">
        <f>'STATEMENT OF FINANCIAL POSITION'!AQ58</f>
        <v>174195494.91</v>
      </c>
      <c r="AR15" s="119">
        <f>'STATEMENT OF FINANCIAL POSITION'!AR58</f>
        <v>175892023.72999999</v>
      </c>
      <c r="AS15" s="119">
        <f>'STATEMENT OF FINANCIAL POSITION'!AS58</f>
        <v>177633796.25</v>
      </c>
      <c r="AT15" s="119">
        <f>'STATEMENT OF FINANCIAL POSITION'!AT58</f>
        <v>179357820.16999999</v>
      </c>
      <c r="AU15" s="119">
        <f>'STATEMENT OF FINANCIAL POSITION'!AU58</f>
        <v>181003405.94</v>
      </c>
      <c r="AV15" s="119">
        <f>'STATEMENT OF FINANCIAL POSITION'!AV58</f>
        <v>182245871.84</v>
      </c>
      <c r="AW15" s="119">
        <f>'STATEMENT OF FINANCIAL POSITION'!AW58</f>
        <v>184145545.81999999</v>
      </c>
      <c r="AX15" s="119">
        <f>'STATEMENT OF FINANCIAL POSITION'!AX58</f>
        <v>186082159.02000001</v>
      </c>
      <c r="AY15" s="119">
        <f>'STATEMENT OF FINANCIAL POSITION'!AY58</f>
        <v>186082159</v>
      </c>
      <c r="AZ15" s="119">
        <f>'STATEMENT OF FINANCIAL POSITION'!AZ58</f>
        <v>193330127.93000001</v>
      </c>
      <c r="BA15" s="119">
        <f>'STATEMENT OF FINANCIAL POSITION'!BA58</f>
        <v>202493879.68000001</v>
      </c>
      <c r="BB15" s="119">
        <f>'STATEMENT OF FINANCIAL POSITION'!BB58</f>
        <v>210456400.44999999</v>
      </c>
      <c r="BC15" s="119">
        <f>'STATEMENT OF FINANCIAL POSITION'!BC58</f>
        <v>218630386.31</v>
      </c>
      <c r="BD15" s="119">
        <f>'STATEMENT OF FINANCIAL POSITION'!BD58</f>
        <v>221912369.08000001</v>
      </c>
      <c r="BE15" s="119">
        <f>'STATEMENT OF FINANCIAL POSITION'!BE58</f>
        <v>235462493.34</v>
      </c>
      <c r="BF15" s="119">
        <f>'STATEMENT OF FINANCIAL POSITION'!BF58</f>
        <v>237653953.72</v>
      </c>
    </row>
    <row r="16" spans="2:58" ht="14.25">
      <c r="B16" s="20" t="s">
        <v>147</v>
      </c>
      <c r="C16" s="120" t="s">
        <v>62</v>
      </c>
      <c r="D16" s="24">
        <f>'STATEMENT OF FINANCIAL POSITION'!C61</f>
        <v>48170884</v>
      </c>
      <c r="E16" s="24">
        <f>'STATEMENT OF FINANCIAL POSITION'!D61</f>
        <v>84159745</v>
      </c>
      <c r="F16" s="29">
        <f>'STATEMENT OF FINANCIAL POSITION'!E61</f>
        <v>145851655</v>
      </c>
      <c r="G16" s="62">
        <f>'STATEMENT OF FINANCIAL POSITION'!F61</f>
        <v>212095859</v>
      </c>
      <c r="H16" s="62">
        <f>'STATEMENT OF FINANCIAL POSITION'!G61</f>
        <v>284016397</v>
      </c>
      <c r="I16" s="119">
        <f>'STATEMENT OF FINANCIAL POSITION'!H61</f>
        <v>348834010</v>
      </c>
      <c r="J16" s="119">
        <f>'STATEMENT OF FINANCIAL POSITION'!I61</f>
        <v>386711956</v>
      </c>
      <c r="K16" s="119">
        <f>'STATEMENT OF FINANCIAL POSITION'!J61</f>
        <v>454008603.14999998</v>
      </c>
      <c r="L16" s="119">
        <f>'STATEMENT OF FINANCIAL POSITION'!K61</f>
        <v>458165036.44</v>
      </c>
      <c r="M16" s="119">
        <f>'STATEMENT OF FINANCIAL POSITION'!L61</f>
        <v>459937648.5</v>
      </c>
      <c r="N16" s="119">
        <f>'STATEMENT OF FINANCIAL POSITION'!M61</f>
        <v>458045751</v>
      </c>
      <c r="O16" s="119">
        <f>'STATEMENT OF FINANCIAL POSITION'!N61</f>
        <v>463102231.08999997</v>
      </c>
      <c r="P16" s="119">
        <f>'STATEMENT OF FINANCIAL POSITION'!O61</f>
        <v>466982839.88999999</v>
      </c>
      <c r="Q16" s="119">
        <f>'STATEMENT OF FINANCIAL POSITION'!P61</f>
        <v>486217240.38999999</v>
      </c>
      <c r="R16" s="119">
        <f>'STATEMENT OF FINANCIAL POSITION'!Q61</f>
        <v>488999787</v>
      </c>
      <c r="S16" s="119">
        <f>'STATEMENT OF FINANCIAL POSITION'!R61</f>
        <v>499234516.40999997</v>
      </c>
      <c r="T16" s="119">
        <f>'STATEMENT OF FINANCIAL POSITION'!S61</f>
        <v>514145952.63999999</v>
      </c>
      <c r="U16" s="119">
        <f>'STATEMENT OF FINANCIAL POSITION'!T61</f>
        <v>542465174.77999997</v>
      </c>
      <c r="V16" s="119">
        <f>'STATEMENT OF FINANCIAL POSITION'!U61</f>
        <v>489232032.29000002</v>
      </c>
      <c r="W16" s="119">
        <f>'STATEMENT OF FINANCIAL POSITION'!V61</f>
        <v>407228249</v>
      </c>
      <c r="X16" s="119">
        <f>'STATEMENT OF FINANCIAL POSITION'!X61</f>
        <v>655048068.79999995</v>
      </c>
      <c r="Y16" s="119">
        <f>'STATEMENT OF FINANCIAL POSITION'!Y61</f>
        <v>618677813</v>
      </c>
      <c r="Z16" s="119">
        <f>'STATEMENT OF FINANCIAL POSITION'!Z61</f>
        <v>635128528.13999999</v>
      </c>
      <c r="AA16" s="119">
        <f>'STATEMENT OF FINANCIAL POSITION'!AA61</f>
        <v>639221872.38</v>
      </c>
      <c r="AB16" s="119">
        <f>'STATEMENT OF FINANCIAL POSITION'!AB61</f>
        <v>644778090.11000001</v>
      </c>
      <c r="AC16" s="119">
        <f>'STATEMENT OF FINANCIAL POSITION'!AC61</f>
        <v>675603110.19000006</v>
      </c>
      <c r="AD16" s="119">
        <f>'STATEMENT OF FINANCIAL POSITION'!AD61</f>
        <v>680712583.45000005</v>
      </c>
      <c r="AE16" s="119">
        <f>'STATEMENT OF FINANCIAL POSITION'!AE61</f>
        <v>689188711.57000005</v>
      </c>
      <c r="AF16" s="119">
        <f>'STATEMENT OF FINANCIAL POSITION'!AF61</f>
        <v>696421072.92000008</v>
      </c>
      <c r="AG16" s="119">
        <f>'STATEMENT OF FINANCIAL POSITION'!AG61</f>
        <v>701800595.58000004</v>
      </c>
      <c r="AH16" s="119">
        <f>'STATEMENT OF FINANCIAL POSITION'!AH61</f>
        <v>701380888.42000008</v>
      </c>
      <c r="AI16" s="119">
        <f>'STATEMENT OF FINANCIAL POSITION'!AI61</f>
        <v>724658943.22000003</v>
      </c>
      <c r="AJ16" s="119">
        <f>'STATEMENT OF FINANCIAL POSITION'!AJ61</f>
        <v>744938540.93000007</v>
      </c>
      <c r="AK16" s="119">
        <f>'STATEMENT OF FINANCIAL POSITION'!AK61</f>
        <v>0</v>
      </c>
      <c r="AL16" s="119">
        <f>'STATEMENT OF FINANCIAL POSITION'!AL61</f>
        <v>736728900</v>
      </c>
      <c r="AM16" s="119">
        <f>'STATEMENT OF FINANCIAL POSITION'!AM61</f>
        <v>738820869.05999994</v>
      </c>
      <c r="AN16" s="119">
        <f>'STATEMENT OF FINANCIAL POSITION'!AN61</f>
        <v>746145619.52999997</v>
      </c>
      <c r="AO16" s="119">
        <f>'STATEMENT OF FINANCIAL POSITION'!AO61</f>
        <v>751243560.98000002</v>
      </c>
      <c r="AP16" s="119">
        <f>'STATEMENT OF FINANCIAL POSITION'!AP61</f>
        <v>774086598.10000002</v>
      </c>
      <c r="AQ16" s="119">
        <f>'STATEMENT OF FINANCIAL POSITION'!AQ61</f>
        <v>783811587.42999995</v>
      </c>
      <c r="AR16" s="119">
        <f>'STATEMENT OF FINANCIAL POSITION'!AR61</f>
        <v>802611105.61000001</v>
      </c>
      <c r="AS16" s="119">
        <f>'STATEMENT OF FINANCIAL POSITION'!AS61</f>
        <v>792980344.46000004</v>
      </c>
      <c r="AT16" s="119">
        <f>'STATEMENT OF FINANCIAL POSITION'!AT61</f>
        <v>792016105.46000004</v>
      </c>
      <c r="AU16" s="119">
        <f>'STATEMENT OF FINANCIAL POSITION'!AU61</f>
        <v>789522635.67999995</v>
      </c>
      <c r="AV16" s="119">
        <f>'STATEMENT OF FINANCIAL POSITION'!AV61</f>
        <v>797266720.05999994</v>
      </c>
      <c r="AW16" s="119">
        <f>'STATEMENT OF FINANCIAL POSITION'!AW61</f>
        <v>793596933.14999998</v>
      </c>
      <c r="AX16" s="119">
        <f>'STATEMENT OF FINANCIAL POSITION'!AX61</f>
        <v>819517612.37</v>
      </c>
      <c r="AY16" s="119">
        <f>'STATEMENT OF FINANCIAL POSITION'!AY61</f>
        <v>799856853</v>
      </c>
      <c r="AZ16" s="119">
        <f>'STATEMENT OF FINANCIAL POSITION'!AZ61</f>
        <v>778245105.87</v>
      </c>
      <c r="BA16" s="119">
        <f>'STATEMENT OF FINANCIAL POSITION'!BA61</f>
        <v>780884277.78999996</v>
      </c>
      <c r="BB16" s="119">
        <f>'STATEMENT OF FINANCIAL POSITION'!BB61</f>
        <v>775695244.50999999</v>
      </c>
      <c r="BC16" s="119">
        <f>'STATEMENT OF FINANCIAL POSITION'!BC61</f>
        <v>782377491.5999999</v>
      </c>
      <c r="BD16" s="119">
        <f>'STATEMENT OF FINANCIAL POSITION'!BD61</f>
        <v>788354417.63</v>
      </c>
      <c r="BE16" s="119">
        <f>'STATEMENT OF FINANCIAL POSITION'!BE61</f>
        <v>801267699.57999992</v>
      </c>
      <c r="BF16" s="119">
        <f>'STATEMENT OF FINANCIAL POSITION'!BF61</f>
        <v>820466925.13</v>
      </c>
    </row>
    <row r="17" spans="2:58" ht="14.25">
      <c r="B17" s="20" t="s">
        <v>148</v>
      </c>
      <c r="C17" s="120" t="s">
        <v>149</v>
      </c>
      <c r="D17" s="23">
        <f>'STATEMENT OF FINANCIAL POSITION'!C66</f>
        <v>22297880</v>
      </c>
      <c r="E17" s="23">
        <f>'STATEMENT OF FINANCIAL POSITION'!D66</f>
        <v>31912074</v>
      </c>
      <c r="F17" s="29">
        <f>'STATEMENT OF FINANCIAL POSITION'!E66</f>
        <v>48489144</v>
      </c>
      <c r="G17" s="62">
        <f>'STATEMENT OF FINANCIAL POSITION'!F66</f>
        <v>66444985</v>
      </c>
      <c r="H17" s="62">
        <f>'STATEMENT OF FINANCIAL POSITION'!G66</f>
        <v>86652629</v>
      </c>
      <c r="I17" s="119">
        <f>'STATEMENT OF FINANCIAL POSITION'!H66</f>
        <v>103145013</v>
      </c>
      <c r="J17" s="119">
        <f>'STATEMENT OF FINANCIAL POSITION'!I66</f>
        <v>126132045</v>
      </c>
      <c r="K17" s="119">
        <f>'STATEMENT OF FINANCIAL POSITION'!J66</f>
        <v>126132045.17</v>
      </c>
      <c r="L17" s="119">
        <f>'STATEMENT OF FINANCIAL POSITION'!K66</f>
        <v>126132045.17</v>
      </c>
      <c r="M17" s="119">
        <f>'STATEMENT OF FINANCIAL POSITION'!L66</f>
        <v>126132045.17</v>
      </c>
      <c r="N17" s="119">
        <f>'STATEMENT OF FINANCIAL POSITION'!M66</f>
        <v>126132045.17</v>
      </c>
      <c r="O17" s="119">
        <f>'STATEMENT OF FINANCIAL POSITION'!N66</f>
        <v>126132045.17</v>
      </c>
      <c r="P17" s="119">
        <f>'STATEMENT OF FINANCIAL POSITION'!O66</f>
        <v>126132045.17</v>
      </c>
      <c r="Q17" s="119">
        <f>'STATEMENT OF FINANCIAL POSITION'!P66</f>
        <v>126132045.17</v>
      </c>
      <c r="R17" s="119">
        <f>'STATEMENT OF FINANCIAL POSITION'!Q66</f>
        <v>126132045.17</v>
      </c>
      <c r="S17" s="119">
        <f>'STATEMENT OF FINANCIAL POSITION'!R66</f>
        <v>126132045.17</v>
      </c>
      <c r="T17" s="119">
        <f>'STATEMENT OF FINANCIAL POSITION'!S66</f>
        <v>126132045.17</v>
      </c>
      <c r="U17" s="119">
        <f>'STATEMENT OF FINANCIAL POSITION'!T66</f>
        <v>126132045.17</v>
      </c>
      <c r="V17" s="119">
        <f>'STATEMENT OF FINANCIAL POSITION'!U66</f>
        <v>126132045.17</v>
      </c>
      <c r="W17" s="119">
        <f>'STATEMENT OF FINANCIAL POSITION'!V66</f>
        <v>148036060</v>
      </c>
      <c r="X17" s="119">
        <f>'STATEMENT OF FINANCIAL POSITION'!X66</f>
        <v>180400622.16999999</v>
      </c>
      <c r="Y17" s="119">
        <f>'STATEMENT OF FINANCIAL POSITION'!Y66</f>
        <v>215052536</v>
      </c>
      <c r="Z17" s="119">
        <f>'STATEMENT OF FINANCIAL POSITION'!Z66</f>
        <v>215052536.16999999</v>
      </c>
      <c r="AA17" s="119">
        <f>'STATEMENT OF FINANCIAL POSITION'!AA66</f>
        <v>215052536.16999999</v>
      </c>
      <c r="AB17" s="119">
        <f>'STATEMENT OF FINANCIAL POSITION'!AB66</f>
        <v>215052536.16999999</v>
      </c>
      <c r="AC17" s="119">
        <f>'STATEMENT OF FINANCIAL POSITION'!AC66</f>
        <v>215052536.16999999</v>
      </c>
      <c r="AD17" s="119">
        <f>'STATEMENT OF FINANCIAL POSITION'!AD66</f>
        <v>215052536.16999999</v>
      </c>
      <c r="AE17" s="119">
        <f>'STATEMENT OF FINANCIAL POSITION'!AE66</f>
        <v>215052536.16999999</v>
      </c>
      <c r="AF17" s="119">
        <f>'STATEMENT OF FINANCIAL POSITION'!AF66</f>
        <v>215052536.16999999</v>
      </c>
      <c r="AG17" s="119">
        <f>'STATEMENT OF FINANCIAL POSITION'!AG66</f>
        <v>215052536.16999999</v>
      </c>
      <c r="AH17" s="119">
        <f>'STATEMENT OF FINANCIAL POSITION'!AH66</f>
        <v>215052536.16999999</v>
      </c>
      <c r="AI17" s="119">
        <f>'STATEMENT OF FINANCIAL POSITION'!AI66</f>
        <v>215052536.16999999</v>
      </c>
      <c r="AJ17" s="119">
        <f>'STATEMENT OF FINANCIAL POSITION'!AJ66</f>
        <v>215052536.16999999</v>
      </c>
      <c r="AK17" s="119">
        <f>'STATEMENT OF FINANCIAL POSITION'!AK66</f>
        <v>0</v>
      </c>
      <c r="AL17" s="119">
        <f>'STATEMENT OF FINANCIAL POSITION'!AL66</f>
        <v>251963835</v>
      </c>
      <c r="AM17" s="119">
        <f>'STATEMENT OF FINANCIAL POSITION'!AM66</f>
        <v>251963835.16999999</v>
      </c>
      <c r="AN17" s="119">
        <f>'STATEMENT OF FINANCIAL POSITION'!AN66</f>
        <v>251963835.16999999</v>
      </c>
      <c r="AO17" s="119">
        <f>'STATEMENT OF FINANCIAL POSITION'!AO66</f>
        <v>251963835.16999999</v>
      </c>
      <c r="AP17" s="119">
        <f>'STATEMENT OF FINANCIAL POSITION'!AP66</f>
        <v>251963835.16999999</v>
      </c>
      <c r="AQ17" s="119">
        <f>'STATEMENT OF FINANCIAL POSITION'!AQ66</f>
        <v>251963835.16999999</v>
      </c>
      <c r="AR17" s="119">
        <f>'STATEMENT OF FINANCIAL POSITION'!AR66</f>
        <v>251963835.16999999</v>
      </c>
      <c r="AS17" s="119">
        <f>'STATEMENT OF FINANCIAL POSITION'!AS66</f>
        <v>251963835.16999999</v>
      </c>
      <c r="AT17" s="119">
        <f>'STATEMENT OF FINANCIAL POSITION'!AT66</f>
        <v>251963835.16999999</v>
      </c>
      <c r="AU17" s="119">
        <f>'STATEMENT OF FINANCIAL POSITION'!AU66</f>
        <v>251963835.16999999</v>
      </c>
      <c r="AV17" s="119">
        <f>'STATEMENT OF FINANCIAL POSITION'!AV66</f>
        <v>251963835.16999999</v>
      </c>
      <c r="AW17" s="119">
        <f>'STATEMENT OF FINANCIAL POSITION'!AW66</f>
        <v>251963835.16999999</v>
      </c>
      <c r="AX17" s="119">
        <f>'STATEMENT OF FINANCIAL POSITION'!AX66</f>
        <v>251963835.16999999</v>
      </c>
      <c r="AY17" s="119">
        <f>'STATEMENT OF FINANCIAL POSITION'!AY66</f>
        <v>268521578</v>
      </c>
      <c r="AZ17" s="119">
        <f>'STATEMENT OF FINANCIAL POSITION'!AZ66</f>
        <v>274154923.17000002</v>
      </c>
      <c r="BA17" s="119">
        <f>'STATEMENT OF FINANCIAL POSITION'!BA66</f>
        <v>274154923.17000002</v>
      </c>
      <c r="BB17" s="119">
        <f>'STATEMENT OF FINANCIAL POSITION'!BB66</f>
        <v>274154923.17000002</v>
      </c>
      <c r="BC17" s="119">
        <f>'STATEMENT OF FINANCIAL POSITION'!BC66</f>
        <v>274154923.17000002</v>
      </c>
      <c r="BD17" s="119">
        <f>'STATEMENT OF FINANCIAL POSITION'!BD66</f>
        <v>274154923.17000002</v>
      </c>
      <c r="BE17" s="119">
        <f>'STATEMENT OF FINANCIAL POSITION'!BE66</f>
        <v>274154923.17000002</v>
      </c>
      <c r="BF17" s="119">
        <f>'STATEMENT OF FINANCIAL POSITION'!BF66</f>
        <v>274154923.17000002</v>
      </c>
    </row>
    <row r="18" spans="2:58" ht="14.25">
      <c r="B18" s="20" t="s">
        <v>150</v>
      </c>
      <c r="C18" s="120" t="s">
        <v>151</v>
      </c>
      <c r="D18" s="33">
        <f>'STATEMENT OF FINANCIAL POSITION'!C67+'STATEMENT OF FINANCIAL POSITION'!C70</f>
        <v>5182709</v>
      </c>
      <c r="E18" s="33">
        <f>'STATEMENT OF FINANCIAL POSITION'!D67+'STATEMENT OF FINANCIAL POSITION'!D70</f>
        <v>5401312</v>
      </c>
      <c r="F18" s="29">
        <f>'STATEMENT OF FINANCIAL POSITION'!E67</f>
        <v>9101678</v>
      </c>
      <c r="G18" s="62">
        <f>'STATEMENT OF FINANCIAL POSITION'!F67</f>
        <v>13231485</v>
      </c>
      <c r="H18" s="62">
        <f>'STATEMENT OF FINANCIAL POSITION'!G67</f>
        <v>13757525</v>
      </c>
      <c r="I18" s="119">
        <f>'STATEMENT OF FINANCIAL POSITION'!H67</f>
        <v>13757502</v>
      </c>
      <c r="J18" s="119">
        <f>'STATEMENT OF FINANCIAL POSITION'!I67-50000000</f>
        <v>12991481</v>
      </c>
      <c r="K18" s="119">
        <f>'STATEMENT OF FINANCIAL POSITION'!J67-50000000</f>
        <v>-37600669.390000001</v>
      </c>
      <c r="L18" s="119">
        <f>'STATEMENT OF FINANCIAL POSITION'!K67-50000000</f>
        <v>-36593836.450000003</v>
      </c>
      <c r="M18" s="119">
        <f>'STATEMENT OF FINANCIAL POSITION'!L67-50000000</f>
        <v>-36965986.450000003</v>
      </c>
      <c r="N18" s="119">
        <f>'STATEMENT OF FINANCIAL POSITION'!M67-50000000</f>
        <v>-37176241.450000003</v>
      </c>
      <c r="O18" s="119">
        <f>'STATEMENT OF FINANCIAL POSITION'!N67-50000000</f>
        <v>-37235081.450000003</v>
      </c>
      <c r="P18" s="119">
        <f>'STATEMENT OF FINANCIAL POSITION'!O67-50000000</f>
        <v>-37390608.130000003</v>
      </c>
      <c r="Q18" s="119">
        <f>'STATEMENT OF FINANCIAL POSITION'!P67-50000000</f>
        <v>-37468548.130000003</v>
      </c>
      <c r="R18" s="119">
        <f>'STATEMENT OF FINANCIAL POSITION'!Q67-50000000</f>
        <v>-37780107.890000001</v>
      </c>
      <c r="S18" s="119">
        <f>'STATEMENT OF FINANCIAL POSITION'!R67-50000000</f>
        <v>-44383498.890000001</v>
      </c>
      <c r="T18" s="119">
        <f>'STATEMENT OF FINANCIAL POSITION'!S67-50000000</f>
        <v>-43693243.68</v>
      </c>
      <c r="U18" s="119">
        <f>'STATEMENT OF FINANCIAL POSITION'!T67-50000000</f>
        <v>-43933903.68</v>
      </c>
      <c r="V18" s="119">
        <f>'STATEMENT OF FINANCIAL POSITION'!U67-50000000</f>
        <v>8115591.700000003</v>
      </c>
      <c r="W18" s="119">
        <f>'STATEMENT OF FINANCIAL POSITION'!V67-50000000</f>
        <v>68215359</v>
      </c>
      <c r="X18" s="119">
        <f>'STATEMENT OF FINANCIAL POSITION'!X67-50000000</f>
        <v>123655596.49000001</v>
      </c>
      <c r="Y18" s="119">
        <f>'STATEMENT OF FINANCIAL POSITION'!Y67-50000000</f>
        <v>126771360</v>
      </c>
      <c r="Z18" s="119">
        <f>'STATEMENT OF FINANCIAL POSITION'!Z67-50000000</f>
        <v>125233852.00999999</v>
      </c>
      <c r="AA18" s="119">
        <f>'STATEMENT OF FINANCIAL POSITION'!AA67-50000000</f>
        <v>124939160.55000001</v>
      </c>
      <c r="AB18" s="119">
        <f>'STATEMENT OF FINANCIAL POSITION'!AB67-50000000</f>
        <v>124701977.22</v>
      </c>
      <c r="AC18" s="119">
        <f>'STATEMENT OF FINANCIAL POSITION'!AC67-50000000</f>
        <v>124280262.22</v>
      </c>
      <c r="AD18" s="119">
        <f>'STATEMENT OF FINANCIAL POSITION'!AD67-50000000</f>
        <v>124130262.22</v>
      </c>
      <c r="AE18" s="119">
        <f>'STATEMENT OF FINANCIAL POSITION'!AE67-50000000</f>
        <v>123905262.22</v>
      </c>
      <c r="AF18" s="119">
        <f>'STATEMENT OF FINANCIAL POSITION'!AF67-50000000</f>
        <v>123558900.22</v>
      </c>
      <c r="AG18" s="119">
        <f>'STATEMENT OF FINANCIAL POSITION'!AG67-50000000</f>
        <v>123195300.22</v>
      </c>
      <c r="AH18" s="119">
        <f>'STATEMENT OF FINANCIAL POSITION'!AH67-50000000</f>
        <v>122901779.22</v>
      </c>
      <c r="AI18" s="119">
        <f>'STATEMENT OF FINANCIAL POSITION'!AI67-50000000</f>
        <v>125980656.49000001</v>
      </c>
      <c r="AJ18" s="119">
        <f>'STATEMENT OF FINANCIAL POSITION'!AJ67-50000000</f>
        <v>125792756.28999999</v>
      </c>
      <c r="AK18" s="119">
        <f>'STATEMENT OF FINANCIAL POSITION'!AK67-50000000</f>
        <v>-50000000</v>
      </c>
      <c r="AL18" s="119">
        <f>'STATEMENT OF FINANCIAL POSITION'!AL67-50000000</f>
        <v>137253512</v>
      </c>
      <c r="AM18" s="119">
        <f>'STATEMENT OF FINANCIAL POSITION'!AM67-50000000</f>
        <v>151843360.22999999</v>
      </c>
      <c r="AN18" s="119">
        <f>'STATEMENT OF FINANCIAL POSITION'!AN67-50000000</f>
        <v>151675604.63</v>
      </c>
      <c r="AO18" s="119">
        <f>'STATEMENT OF FINANCIAL POSITION'!AO67-50000000</f>
        <v>148426144.83000001</v>
      </c>
      <c r="AP18" s="119">
        <f>'STATEMENT OF FINANCIAL POSITION'!AP67-50000000</f>
        <v>146290144.83000001</v>
      </c>
      <c r="AQ18" s="119">
        <f>'STATEMENT OF FINANCIAL POSITION'!AQ67-50000000</f>
        <v>145812001.93000001</v>
      </c>
      <c r="AR18" s="119">
        <f>'STATEMENT OF FINANCIAL POSITION'!AR67-50000000</f>
        <v>143647501.93000001</v>
      </c>
      <c r="AS18" s="119">
        <f>'STATEMENT OF FINANCIAL POSITION'!AS67-50000000</f>
        <v>139839400.15000001</v>
      </c>
      <c r="AT18" s="119">
        <f>'STATEMENT OF FINANCIAL POSITION'!AT67-50000000</f>
        <v>139499400.15000001</v>
      </c>
      <c r="AU18" s="119">
        <f>'STATEMENT OF FINANCIAL POSITION'!AU67-50000000</f>
        <v>139233813.05000001</v>
      </c>
      <c r="AV18" s="119">
        <f>'STATEMENT OF FINANCIAL POSITION'!AV67-50000000</f>
        <v>139069313.05000001</v>
      </c>
      <c r="AW18" s="119">
        <f>'STATEMENT OF FINANCIAL POSITION'!AW67-50000000</f>
        <v>138956171.65000001</v>
      </c>
      <c r="AX18" s="119">
        <f>'STATEMENT OF FINANCIAL POSITION'!AX67-50000000</f>
        <v>208847692.06</v>
      </c>
      <c r="AY18" s="119">
        <f>'STATEMENT OF FINANCIAL POSITION'!AY67-50000000</f>
        <v>156023438</v>
      </c>
      <c r="AZ18" s="119">
        <f>'STATEMENT OF FINANCIAL POSITION'!AZ67-50000000</f>
        <v>245993015.93000001</v>
      </c>
      <c r="BA18" s="119">
        <f>'STATEMENT OF FINANCIAL POSITION'!BA67-50000000</f>
        <v>232423374.23000002</v>
      </c>
      <c r="BB18" s="119">
        <f>'STATEMENT OF FINANCIAL POSITION'!BB67-50000000</f>
        <v>231108859.62</v>
      </c>
      <c r="BC18" s="119">
        <f>'STATEMENT OF FINANCIAL POSITION'!BC67-50000000</f>
        <v>229251962.12</v>
      </c>
      <c r="BD18" s="119">
        <f>'STATEMENT OF FINANCIAL POSITION'!BD67-50000000</f>
        <v>229404562.12</v>
      </c>
      <c r="BE18" s="119">
        <f>'STATEMENT OF FINANCIAL POSITION'!BE67-50000000</f>
        <v>228287441.25999999</v>
      </c>
      <c r="BF18" s="119">
        <f>'STATEMENT OF FINANCIAL POSITION'!BF67-50000000</f>
        <v>227971157.95999998</v>
      </c>
    </row>
    <row r="19" spans="2:58" ht="9" hidden="1" customHeight="1">
      <c r="B19" s="20" t="s">
        <v>152</v>
      </c>
      <c r="C19" s="120" t="s">
        <v>153</v>
      </c>
      <c r="D19" s="34"/>
      <c r="E19" s="22"/>
      <c r="F19" s="29"/>
      <c r="G19" s="61"/>
      <c r="H19" s="61"/>
      <c r="I19" s="118"/>
      <c r="J19" s="118"/>
      <c r="K19" s="118"/>
      <c r="L19" s="118"/>
      <c r="M19" s="118"/>
      <c r="N19" s="118"/>
      <c r="O19" s="118"/>
      <c r="P19" s="118"/>
      <c r="Q19" s="118"/>
      <c r="R19" s="118"/>
      <c r="S19" s="118"/>
      <c r="T19" s="118"/>
      <c r="U19" s="118"/>
      <c r="V19" s="118"/>
      <c r="W19" s="118"/>
      <c r="X19" s="118"/>
      <c r="Y19" s="118"/>
      <c r="Z19" s="118"/>
      <c r="AA19" s="118"/>
      <c r="AB19" s="118"/>
      <c r="AC19" s="118"/>
      <c r="AD19" s="118"/>
      <c r="AE19" s="118"/>
      <c r="AF19" s="118"/>
      <c r="AG19" s="118"/>
      <c r="AH19" s="118"/>
      <c r="AI19" s="118"/>
      <c r="AJ19" s="118"/>
      <c r="AK19" s="118"/>
      <c r="AL19" s="118"/>
      <c r="AM19" s="118"/>
      <c r="AN19" s="118"/>
      <c r="AO19" s="118"/>
      <c r="AP19" s="118"/>
      <c r="AQ19" s="118"/>
      <c r="AR19" s="118"/>
      <c r="AS19" s="118"/>
      <c r="AT19" s="118"/>
      <c r="AU19" s="118"/>
      <c r="AV19" s="118"/>
      <c r="AW19" s="118"/>
      <c r="AX19" s="118"/>
      <c r="AY19" s="118"/>
      <c r="AZ19" s="118"/>
      <c r="BA19" s="118"/>
      <c r="BB19" s="118"/>
      <c r="BC19" s="118"/>
      <c r="BD19" s="118"/>
      <c r="BE19" s="118"/>
      <c r="BF19" s="118"/>
    </row>
    <row r="20" spans="2:58" ht="14.25" hidden="1">
      <c r="B20" s="21" t="s">
        <v>154</v>
      </c>
      <c r="C20" s="120" t="s">
        <v>69</v>
      </c>
      <c r="D20" s="35"/>
      <c r="E20" s="22"/>
      <c r="F20" s="29"/>
      <c r="G20" s="61"/>
      <c r="H20" s="61"/>
      <c r="I20" s="118"/>
      <c r="J20" s="118"/>
      <c r="K20" s="118"/>
      <c r="L20" s="118"/>
      <c r="M20" s="118"/>
      <c r="N20" s="118"/>
      <c r="O20" s="118"/>
      <c r="P20" s="118"/>
      <c r="Q20" s="118"/>
      <c r="R20" s="118"/>
      <c r="S20" s="118"/>
      <c r="T20" s="118"/>
      <c r="U20" s="118"/>
      <c r="V20" s="118"/>
      <c r="W20" s="118"/>
      <c r="X20" s="118"/>
      <c r="Y20" s="118"/>
      <c r="Z20" s="118"/>
      <c r="AA20" s="118"/>
      <c r="AB20" s="118"/>
      <c r="AC20" s="118"/>
      <c r="AD20" s="118"/>
      <c r="AE20" s="118"/>
      <c r="AF20" s="118"/>
      <c r="AG20" s="118"/>
      <c r="AH20" s="118"/>
      <c r="AI20" s="118"/>
      <c r="AJ20" s="118"/>
      <c r="AK20" s="118"/>
      <c r="AL20" s="118"/>
      <c r="AM20" s="118"/>
      <c r="AN20" s="118"/>
      <c r="AO20" s="118"/>
      <c r="AP20" s="118"/>
      <c r="AQ20" s="118"/>
      <c r="AR20" s="118"/>
      <c r="AS20" s="118"/>
      <c r="AT20" s="118"/>
      <c r="AU20" s="118"/>
      <c r="AV20" s="118"/>
      <c r="AW20" s="118"/>
      <c r="AX20" s="118"/>
      <c r="AY20" s="118"/>
      <c r="AZ20" s="118"/>
      <c r="BA20" s="118"/>
      <c r="BB20" s="118"/>
      <c r="BC20" s="118"/>
      <c r="BD20" s="118"/>
      <c r="BE20" s="118"/>
      <c r="BF20" s="118"/>
    </row>
    <row r="21" spans="2:58" ht="14.25" hidden="1">
      <c r="B21" s="21" t="s">
        <v>155</v>
      </c>
      <c r="C21" s="120" t="s">
        <v>156</v>
      </c>
      <c r="D21" s="36"/>
      <c r="E21" s="22"/>
      <c r="F21" s="29"/>
      <c r="G21" s="61"/>
      <c r="H21" s="61"/>
      <c r="I21" s="118"/>
      <c r="J21" s="118"/>
      <c r="K21" s="118"/>
      <c r="L21" s="118"/>
      <c r="M21" s="118"/>
      <c r="N21" s="118"/>
      <c r="O21" s="118"/>
      <c r="P21" s="118"/>
      <c r="Q21" s="118"/>
      <c r="R21" s="118"/>
      <c r="S21" s="118"/>
      <c r="T21" s="118"/>
      <c r="U21" s="118"/>
      <c r="V21" s="118"/>
      <c r="W21" s="118"/>
      <c r="X21" s="118"/>
      <c r="Y21" s="118"/>
      <c r="Z21" s="118"/>
      <c r="AA21" s="118"/>
      <c r="AB21" s="118"/>
      <c r="AC21" s="118"/>
      <c r="AD21" s="118"/>
      <c r="AE21" s="118"/>
      <c r="AF21" s="118"/>
      <c r="AG21" s="118"/>
      <c r="AH21" s="118"/>
      <c r="AI21" s="118"/>
      <c r="AJ21" s="118"/>
      <c r="AK21" s="118"/>
      <c r="AL21" s="118"/>
      <c r="AM21" s="118"/>
      <c r="AN21" s="118"/>
      <c r="AO21" s="118"/>
      <c r="AP21" s="118"/>
      <c r="AQ21" s="118"/>
      <c r="AR21" s="118"/>
      <c r="AS21" s="118"/>
      <c r="AT21" s="118"/>
      <c r="AU21" s="118"/>
      <c r="AV21" s="118"/>
      <c r="AW21" s="118"/>
      <c r="AX21" s="118"/>
      <c r="AY21" s="118"/>
      <c r="AZ21" s="118"/>
      <c r="BA21" s="118"/>
      <c r="BB21" s="118"/>
      <c r="BC21" s="118"/>
      <c r="BD21" s="118"/>
      <c r="BE21" s="118"/>
      <c r="BF21" s="118"/>
    </row>
    <row r="22" spans="2:58" ht="0.75" customHeight="1">
      <c r="C22" s="125"/>
      <c r="D22" s="37"/>
      <c r="E22" s="22"/>
      <c r="F22" s="29"/>
      <c r="G22" s="61"/>
      <c r="H22" s="61"/>
      <c r="I22" s="118"/>
      <c r="J22" s="118"/>
      <c r="K22" s="118"/>
      <c r="L22" s="118"/>
      <c r="M22" s="118"/>
      <c r="N22" s="118"/>
      <c r="O22" s="118"/>
      <c r="P22" s="118"/>
      <c r="Q22" s="118"/>
      <c r="R22" s="118"/>
      <c r="S22" s="118"/>
      <c r="T22" s="118"/>
      <c r="U22" s="118"/>
      <c r="V22" s="118"/>
      <c r="W22" s="118"/>
      <c r="X22" s="118"/>
      <c r="Y22" s="118"/>
      <c r="Z22" s="118"/>
      <c r="AA22" s="118"/>
      <c r="AB22" s="118"/>
      <c r="AC22" s="118"/>
      <c r="AD22" s="118"/>
      <c r="AE22" s="118"/>
      <c r="AF22" s="118"/>
      <c r="AG22" s="118"/>
      <c r="AH22" s="118"/>
      <c r="AI22" s="118"/>
      <c r="AJ22" s="118"/>
      <c r="AK22" s="118"/>
      <c r="AL22" s="118"/>
      <c r="AM22" s="118"/>
      <c r="AN22" s="118"/>
      <c r="AO22" s="118"/>
      <c r="AP22" s="118"/>
      <c r="AQ22" s="118"/>
      <c r="AR22" s="118"/>
      <c r="AS22" s="118"/>
      <c r="AT22" s="118"/>
      <c r="AU22" s="118"/>
      <c r="AV22" s="118"/>
      <c r="AW22" s="118"/>
      <c r="AX22" s="118"/>
      <c r="AY22" s="118"/>
      <c r="AZ22" s="118"/>
      <c r="BA22" s="118"/>
      <c r="BB22" s="118"/>
      <c r="BC22" s="118"/>
      <c r="BD22" s="118"/>
      <c r="BE22" s="118"/>
      <c r="BF22" s="118"/>
    </row>
    <row r="23" spans="2:58" ht="14.25">
      <c r="B23" s="20">
        <v>6</v>
      </c>
      <c r="C23" s="126" t="s">
        <v>157</v>
      </c>
      <c r="D23" s="38">
        <f t="shared" ref="D23:I23" si="30">D25+D24</f>
        <v>14091580</v>
      </c>
      <c r="E23" s="38">
        <f t="shared" si="30"/>
        <v>15191580</v>
      </c>
      <c r="F23" s="38">
        <f t="shared" si="30"/>
        <v>15191580</v>
      </c>
      <c r="G23" s="38">
        <f t="shared" si="30"/>
        <v>15985700</v>
      </c>
      <c r="H23" s="67">
        <f t="shared" si="30"/>
        <v>26085700</v>
      </c>
      <c r="I23" s="127">
        <f t="shared" si="30"/>
        <v>27282077</v>
      </c>
      <c r="J23" s="127">
        <f t="shared" ref="J23:S23" si="31">J25+J24</f>
        <v>31082077</v>
      </c>
      <c r="K23" s="127">
        <f t="shared" si="31"/>
        <v>31082077</v>
      </c>
      <c r="L23" s="127">
        <f t="shared" si="31"/>
        <v>31082077</v>
      </c>
      <c r="M23" s="127">
        <f t="shared" si="31"/>
        <v>31082077</v>
      </c>
      <c r="N23" s="127">
        <f t="shared" si="31"/>
        <v>31082077</v>
      </c>
      <c r="O23" s="127">
        <f t="shared" si="31"/>
        <v>31082077</v>
      </c>
      <c r="P23" s="127">
        <f t="shared" si="31"/>
        <v>31082077</v>
      </c>
      <c r="Q23" s="127">
        <f t="shared" si="31"/>
        <v>31082077</v>
      </c>
      <c r="R23" s="127">
        <f t="shared" si="31"/>
        <v>31082077</v>
      </c>
      <c r="S23" s="127">
        <f t="shared" si="31"/>
        <v>31082077</v>
      </c>
      <c r="T23" s="127">
        <f t="shared" ref="T23:Y23" si="32">T25+T24</f>
        <v>31082077</v>
      </c>
      <c r="U23" s="127">
        <f t="shared" si="32"/>
        <v>51082077</v>
      </c>
      <c r="V23" s="127">
        <f t="shared" si="32"/>
        <v>33417035</v>
      </c>
      <c r="W23" s="127">
        <f t="shared" si="32"/>
        <v>33417035</v>
      </c>
      <c r="X23" s="127">
        <f t="shared" si="32"/>
        <v>38417035</v>
      </c>
      <c r="Y23" s="127">
        <f t="shared" si="32"/>
        <v>10000000</v>
      </c>
      <c r="Z23" s="127">
        <f>Z25+Z24</f>
        <v>38417035</v>
      </c>
      <c r="AA23" s="127">
        <f>AA25+AA24</f>
        <v>38417035</v>
      </c>
      <c r="AB23" s="127">
        <f>AB25+AB24</f>
        <v>38417035</v>
      </c>
      <c r="AC23" s="127">
        <f t="shared" ref="AC23:AH23" si="33">AC25+AC24</f>
        <v>38417035</v>
      </c>
      <c r="AD23" s="127">
        <f t="shared" si="33"/>
        <v>38417035</v>
      </c>
      <c r="AE23" s="127">
        <f t="shared" si="33"/>
        <v>38417035</v>
      </c>
      <c r="AF23" s="127">
        <f t="shared" si="33"/>
        <v>48917035</v>
      </c>
      <c r="AG23" s="127">
        <f t="shared" si="33"/>
        <v>48917035</v>
      </c>
      <c r="AH23" s="127">
        <f t="shared" si="33"/>
        <v>48917035</v>
      </c>
      <c r="AI23" s="127">
        <f t="shared" ref="AI23:AL23" si="34">AI25+AI24</f>
        <v>46417035</v>
      </c>
      <c r="AJ23" s="127">
        <f t="shared" si="34"/>
        <v>46417035</v>
      </c>
      <c r="AK23" s="127">
        <f t="shared" si="34"/>
        <v>0</v>
      </c>
      <c r="AL23" s="127">
        <f t="shared" si="34"/>
        <v>10100000</v>
      </c>
      <c r="AM23" s="127">
        <f t="shared" ref="AM23:AX23" si="35">AM25+AM24</f>
        <v>46417035</v>
      </c>
      <c r="AN23" s="127">
        <f t="shared" si="35"/>
        <v>58617035</v>
      </c>
      <c r="AO23" s="127">
        <f t="shared" si="35"/>
        <v>58617035</v>
      </c>
      <c r="AP23" s="127">
        <f t="shared" si="35"/>
        <v>58617035</v>
      </c>
      <c r="AQ23" s="127">
        <f t="shared" si="35"/>
        <v>58617035</v>
      </c>
      <c r="AR23" s="127">
        <f t="shared" si="35"/>
        <v>58617035</v>
      </c>
      <c r="AS23" s="127">
        <f t="shared" si="35"/>
        <v>58617035</v>
      </c>
      <c r="AT23" s="127">
        <f t="shared" si="35"/>
        <v>58617035</v>
      </c>
      <c r="AU23" s="127">
        <f t="shared" si="35"/>
        <v>58617035</v>
      </c>
      <c r="AV23" s="127">
        <f t="shared" si="35"/>
        <v>58617035</v>
      </c>
      <c r="AW23" s="127">
        <f t="shared" si="35"/>
        <v>58617035</v>
      </c>
      <c r="AX23" s="127">
        <f t="shared" si="35"/>
        <v>137404140</v>
      </c>
      <c r="AY23" s="127">
        <f t="shared" ref="AY23:BC23" si="36">AY25+AY24</f>
        <v>0</v>
      </c>
      <c r="AZ23" s="127">
        <f t="shared" ref="AZ23:BC23" si="37">AZ25+AZ24</f>
        <v>137404140</v>
      </c>
      <c r="BA23" s="127">
        <f t="shared" si="37"/>
        <v>137404140</v>
      </c>
      <c r="BB23" s="127">
        <f t="shared" si="37"/>
        <v>137404140</v>
      </c>
      <c r="BC23" s="127">
        <f t="shared" si="37"/>
        <v>137404140</v>
      </c>
      <c r="BD23" s="127">
        <f t="shared" ref="BD23:BE23" si="38">BD25+BD24</f>
        <v>143294140</v>
      </c>
      <c r="BE23" s="127">
        <f t="shared" si="38"/>
        <v>143294140</v>
      </c>
      <c r="BF23" s="127">
        <f t="shared" ref="BF23" si="39">BF25+BF24</f>
        <v>143294140</v>
      </c>
    </row>
    <row r="24" spans="2:58" ht="0.75" customHeight="1">
      <c r="B24" s="20"/>
      <c r="C24" s="120" t="s">
        <v>158</v>
      </c>
      <c r="D24" s="39">
        <f>'STATEMENT OF FINANCIAL POSITION'!C17+'STATEMENT OF FINANCIAL POSITION'!C18</f>
        <v>0</v>
      </c>
      <c r="E24" s="39">
        <f>'STATEMENT OF FINANCIAL POSITION'!D17+'STATEMENT OF FINANCIAL POSITION'!D18</f>
        <v>0</v>
      </c>
      <c r="F24" s="29"/>
      <c r="G24" s="61"/>
      <c r="H24" s="61"/>
      <c r="I24" s="118"/>
      <c r="J24" s="118"/>
      <c r="K24" s="118"/>
      <c r="L24" s="118"/>
      <c r="M24" s="118"/>
      <c r="N24" s="118"/>
      <c r="O24" s="118"/>
      <c r="P24" s="118"/>
      <c r="Q24" s="118"/>
      <c r="R24" s="118"/>
      <c r="S24" s="118"/>
      <c r="T24" s="118"/>
      <c r="U24" s="118"/>
      <c r="V24" s="118"/>
      <c r="W24" s="118"/>
      <c r="X24" s="118"/>
      <c r="Y24" s="118"/>
      <c r="Z24" s="118"/>
      <c r="AA24" s="118"/>
      <c r="AB24" s="118"/>
      <c r="AC24" s="118"/>
      <c r="AD24" s="118"/>
      <c r="AE24" s="118"/>
      <c r="AF24" s="118"/>
      <c r="AG24" s="118"/>
      <c r="AH24" s="118"/>
      <c r="AI24" s="118"/>
      <c r="AJ24" s="118"/>
      <c r="AK24" s="118"/>
      <c r="AL24" s="118"/>
      <c r="AM24" s="118"/>
      <c r="AN24" s="118"/>
      <c r="AO24" s="118"/>
      <c r="AP24" s="118"/>
      <c r="AQ24" s="118"/>
      <c r="AR24" s="118"/>
      <c r="AS24" s="118"/>
      <c r="AT24" s="118"/>
      <c r="AU24" s="118"/>
      <c r="AV24" s="118"/>
      <c r="AW24" s="118"/>
      <c r="AX24" s="118"/>
      <c r="AY24" s="118"/>
      <c r="AZ24" s="118"/>
      <c r="BA24" s="118"/>
      <c r="BB24" s="118"/>
      <c r="BC24" s="118"/>
      <c r="BD24" s="118"/>
      <c r="BE24" s="118"/>
      <c r="BF24" s="118"/>
    </row>
    <row r="25" spans="2:58" ht="14.25">
      <c r="B25" s="20"/>
      <c r="C25" s="120" t="s">
        <v>159</v>
      </c>
      <c r="D25" s="39">
        <f>'STATEMENT OF FINANCIAL POSITION'!C21</f>
        <v>14091580</v>
      </c>
      <c r="E25" s="39">
        <f>'STATEMENT OF FINANCIAL POSITION'!D21</f>
        <v>15191580</v>
      </c>
      <c r="F25" s="39">
        <f>'STATEMENT OF FINANCIAL POSITION'!E21</f>
        <v>15191580</v>
      </c>
      <c r="G25" s="39">
        <f>'STATEMENT OF FINANCIAL POSITION'!F21</f>
        <v>15985700</v>
      </c>
      <c r="H25" s="68">
        <f>'STATEMENT OF FINANCIAL POSITION'!G21</f>
        <v>26085700</v>
      </c>
      <c r="I25" s="128">
        <f>'STATEMENT OF FINANCIAL POSITION'!H21</f>
        <v>27282077</v>
      </c>
      <c r="J25" s="128">
        <f>'STATEMENT OF FINANCIAL POSITION'!I21</f>
        <v>31082077</v>
      </c>
      <c r="K25" s="128">
        <f>'STATEMENT OF FINANCIAL POSITION'!J21</f>
        <v>31082077</v>
      </c>
      <c r="L25" s="128">
        <f>'STATEMENT OF FINANCIAL POSITION'!K21</f>
        <v>31082077</v>
      </c>
      <c r="M25" s="128">
        <f>'STATEMENT OF FINANCIAL POSITION'!L21</f>
        <v>31082077</v>
      </c>
      <c r="N25" s="128">
        <f>'STATEMENT OF FINANCIAL POSITION'!M21</f>
        <v>31082077</v>
      </c>
      <c r="O25" s="128">
        <f>'STATEMENT OF FINANCIAL POSITION'!N21</f>
        <v>31082077</v>
      </c>
      <c r="P25" s="128">
        <f>'STATEMENT OF FINANCIAL POSITION'!O21</f>
        <v>31082077</v>
      </c>
      <c r="Q25" s="128">
        <f>'STATEMENT OF FINANCIAL POSITION'!P21</f>
        <v>31082077</v>
      </c>
      <c r="R25" s="128">
        <f>'STATEMENT OF FINANCIAL POSITION'!Q21</f>
        <v>31082077</v>
      </c>
      <c r="S25" s="128">
        <f>'STATEMENT OF FINANCIAL POSITION'!R21</f>
        <v>31082077</v>
      </c>
      <c r="T25" s="128">
        <f>'STATEMENT OF FINANCIAL POSITION'!S21</f>
        <v>31082077</v>
      </c>
      <c r="U25" s="128">
        <f>'STATEMENT OF FINANCIAL POSITION'!T21</f>
        <v>51082077</v>
      </c>
      <c r="V25" s="128">
        <f>'STATEMENT OF FINANCIAL POSITION'!U21</f>
        <v>33417035</v>
      </c>
      <c r="W25" s="128">
        <f>'STATEMENT OF FINANCIAL POSITION'!V21</f>
        <v>33417035</v>
      </c>
      <c r="X25" s="128">
        <f>'STATEMENT OF FINANCIAL POSITION'!X21</f>
        <v>38417035</v>
      </c>
      <c r="Y25" s="128">
        <f>'STATEMENT OF FINANCIAL POSITION'!Y21</f>
        <v>10000000</v>
      </c>
      <c r="Z25" s="128">
        <f>'STATEMENT OF FINANCIAL POSITION'!Z21</f>
        <v>38417035</v>
      </c>
      <c r="AA25" s="128">
        <f>'STATEMENT OF FINANCIAL POSITION'!AA21</f>
        <v>38417035</v>
      </c>
      <c r="AB25" s="128">
        <f>'STATEMENT OF FINANCIAL POSITION'!AB21</f>
        <v>38417035</v>
      </c>
      <c r="AC25" s="128">
        <f>'STATEMENT OF FINANCIAL POSITION'!AC21</f>
        <v>38417035</v>
      </c>
      <c r="AD25" s="128">
        <f>'STATEMENT OF FINANCIAL POSITION'!AD21</f>
        <v>38417035</v>
      </c>
      <c r="AE25" s="128">
        <f>'STATEMENT OF FINANCIAL POSITION'!AE21</f>
        <v>38417035</v>
      </c>
      <c r="AF25" s="128">
        <f>'STATEMENT OF FINANCIAL POSITION'!AF21</f>
        <v>48917035</v>
      </c>
      <c r="AG25" s="128">
        <f>'STATEMENT OF FINANCIAL POSITION'!AG21</f>
        <v>48917035</v>
      </c>
      <c r="AH25" s="128">
        <f>'STATEMENT OF FINANCIAL POSITION'!AH21</f>
        <v>48917035</v>
      </c>
      <c r="AI25" s="128">
        <f>'STATEMENT OF FINANCIAL POSITION'!AI21</f>
        <v>46417035</v>
      </c>
      <c r="AJ25" s="128">
        <f>'STATEMENT OF FINANCIAL POSITION'!AJ21</f>
        <v>46417035</v>
      </c>
      <c r="AK25" s="128">
        <f>'STATEMENT OF FINANCIAL POSITION'!AK21</f>
        <v>0</v>
      </c>
      <c r="AL25" s="128">
        <f>'STATEMENT OF FINANCIAL POSITION'!AL21</f>
        <v>10100000</v>
      </c>
      <c r="AM25" s="128">
        <f>'STATEMENT OF FINANCIAL POSITION'!AM21</f>
        <v>46417035</v>
      </c>
      <c r="AN25" s="128">
        <f>'STATEMENT OF FINANCIAL POSITION'!AN21</f>
        <v>58617035</v>
      </c>
      <c r="AO25" s="128">
        <f>'STATEMENT OF FINANCIAL POSITION'!AO21</f>
        <v>58617035</v>
      </c>
      <c r="AP25" s="128">
        <f>'STATEMENT OF FINANCIAL POSITION'!AP21</f>
        <v>58617035</v>
      </c>
      <c r="AQ25" s="128">
        <f>'STATEMENT OF FINANCIAL POSITION'!AQ21</f>
        <v>58617035</v>
      </c>
      <c r="AR25" s="128">
        <f>'STATEMENT OF FINANCIAL POSITION'!AR21</f>
        <v>58617035</v>
      </c>
      <c r="AS25" s="128">
        <f>'STATEMENT OF FINANCIAL POSITION'!AS21</f>
        <v>58617035</v>
      </c>
      <c r="AT25" s="128">
        <f>'STATEMENT OF FINANCIAL POSITION'!AT21</f>
        <v>58617035</v>
      </c>
      <c r="AU25" s="128">
        <f>'STATEMENT OF FINANCIAL POSITION'!AU21</f>
        <v>58617035</v>
      </c>
      <c r="AV25" s="128">
        <f>'STATEMENT OF FINANCIAL POSITION'!AV21</f>
        <v>58617035</v>
      </c>
      <c r="AW25" s="128">
        <f>'STATEMENT OF FINANCIAL POSITION'!AW21</f>
        <v>58617035</v>
      </c>
      <c r="AX25" s="128">
        <f>'STATEMENT OF FINANCIAL POSITION'!AX21</f>
        <v>137404140</v>
      </c>
      <c r="AY25" s="128">
        <f>'STATEMENT OF FINANCIAL POSITION'!AY21</f>
        <v>0</v>
      </c>
      <c r="AZ25" s="128">
        <f>'STATEMENT OF FINANCIAL POSITION'!AZ21</f>
        <v>137404140</v>
      </c>
      <c r="BA25" s="128">
        <f>'STATEMENT OF FINANCIAL POSITION'!BA21</f>
        <v>137404140</v>
      </c>
      <c r="BB25" s="128">
        <f>'STATEMENT OF FINANCIAL POSITION'!BB21</f>
        <v>137404140</v>
      </c>
      <c r="BC25" s="128">
        <f>'STATEMENT OF FINANCIAL POSITION'!BC21</f>
        <v>137404140</v>
      </c>
      <c r="BD25" s="128">
        <f>'STATEMENT OF FINANCIAL POSITION'!BD21</f>
        <v>143294140</v>
      </c>
      <c r="BE25" s="128">
        <f>'STATEMENT OF FINANCIAL POSITION'!BE21</f>
        <v>143294140</v>
      </c>
      <c r="BF25" s="128">
        <f>'STATEMENT OF FINANCIAL POSITION'!BF21</f>
        <v>143294140</v>
      </c>
    </row>
    <row r="26" spans="2:58" ht="0.75" customHeight="1">
      <c r="C26" s="120"/>
      <c r="D26" s="25"/>
      <c r="E26" s="22"/>
      <c r="F26" s="29"/>
      <c r="I26" s="118"/>
      <c r="J26" s="118"/>
      <c r="K26" s="118"/>
      <c r="L26" s="118"/>
      <c r="M26" s="118"/>
      <c r="N26" s="118"/>
      <c r="O26" s="118"/>
      <c r="P26" s="118"/>
      <c r="Q26" s="118"/>
      <c r="R26" s="118"/>
      <c r="S26" s="118"/>
      <c r="T26" s="118"/>
      <c r="U26" s="118"/>
      <c r="V26" s="118"/>
      <c r="W26" s="118"/>
      <c r="X26" s="118"/>
      <c r="Y26" s="118"/>
      <c r="Z26" s="118"/>
      <c r="AA26" s="118"/>
      <c r="AB26" s="118"/>
      <c r="AC26" s="118"/>
      <c r="AD26" s="118"/>
      <c r="AE26" s="118"/>
      <c r="AF26" s="118"/>
      <c r="AG26" s="118"/>
      <c r="AH26" s="118"/>
      <c r="AI26" s="118"/>
      <c r="AJ26" s="118"/>
      <c r="AK26" s="118"/>
      <c r="AL26" s="118"/>
      <c r="AM26" s="118"/>
      <c r="AN26" s="118"/>
      <c r="AO26" s="118"/>
      <c r="AP26" s="118"/>
      <c r="AQ26" s="118"/>
      <c r="AR26" s="118"/>
      <c r="AS26" s="118"/>
      <c r="AT26" s="118"/>
      <c r="AU26" s="118"/>
      <c r="AV26" s="118"/>
      <c r="AW26" s="118"/>
      <c r="AX26" s="118"/>
      <c r="AY26" s="118"/>
      <c r="AZ26" s="118"/>
      <c r="BA26" s="118"/>
      <c r="BB26" s="118"/>
      <c r="BC26" s="118"/>
      <c r="BD26" s="118"/>
      <c r="BE26" s="118"/>
      <c r="BF26" s="118"/>
    </row>
    <row r="27" spans="2:58" ht="14.25">
      <c r="B27" s="20">
        <v>7</v>
      </c>
      <c r="C27" s="117" t="s">
        <v>160</v>
      </c>
      <c r="D27" s="24">
        <f t="shared" ref="D27:I27" si="40">D28-D29</f>
        <v>502161933</v>
      </c>
      <c r="E27" s="24">
        <f t="shared" si="40"/>
        <v>677484431</v>
      </c>
      <c r="F27" s="24">
        <f t="shared" si="40"/>
        <v>834727981</v>
      </c>
      <c r="G27" s="24" t="e">
        <f t="shared" si="40"/>
        <v>#REF!</v>
      </c>
      <c r="H27" s="69">
        <f t="shared" si="40"/>
        <v>1128533399</v>
      </c>
      <c r="I27" s="129">
        <f t="shared" si="40"/>
        <v>1189398328</v>
      </c>
      <c r="J27" s="129">
        <f t="shared" ref="J27:S27" si="41">J28-J29</f>
        <v>1390743016</v>
      </c>
      <c r="K27" s="129">
        <f t="shared" si="41"/>
        <v>1434273391.3399999</v>
      </c>
      <c r="L27" s="129">
        <f t="shared" si="41"/>
        <v>1458295713.47</v>
      </c>
      <c r="M27" s="129">
        <f t="shared" si="41"/>
        <v>1484511802.6399999</v>
      </c>
      <c r="N27" s="129">
        <f t="shared" si="41"/>
        <v>1509096206.5699999</v>
      </c>
      <c r="O27" s="129">
        <f t="shared" si="41"/>
        <v>1571614016.1600001</v>
      </c>
      <c r="P27" s="129">
        <f t="shared" si="41"/>
        <v>1609126475.3899999</v>
      </c>
      <c r="Q27" s="129">
        <f t="shared" si="41"/>
        <v>1645764434.9300001</v>
      </c>
      <c r="R27" s="129">
        <f t="shared" si="41"/>
        <v>1673179905.4400001</v>
      </c>
      <c r="S27" s="129">
        <f t="shared" si="41"/>
        <v>1702530799.3299999</v>
      </c>
      <c r="T27" s="129">
        <f t="shared" ref="T27:Y27" si="42">T28-T29</f>
        <v>1300118194.8699999</v>
      </c>
      <c r="U27" s="129">
        <f t="shared" si="42"/>
        <v>1502186232.3799999</v>
      </c>
      <c r="V27" s="129">
        <f t="shared" si="42"/>
        <v>1586230680.46</v>
      </c>
      <c r="W27" s="129">
        <f t="shared" si="42"/>
        <v>1586230680</v>
      </c>
      <c r="X27" s="129">
        <f t="shared" si="42"/>
        <v>2610778604.1700001</v>
      </c>
      <c r="Y27" s="129">
        <f t="shared" si="42"/>
        <v>2610778604</v>
      </c>
      <c r="Z27" s="129">
        <f>Z28-Z29</f>
        <v>2643877056.6599998</v>
      </c>
      <c r="AA27" s="129">
        <f>AA28-AA29</f>
        <v>2687640061.8200002</v>
      </c>
      <c r="AB27" s="129">
        <f>AB28-AB29</f>
        <v>2743926425.5300002</v>
      </c>
      <c r="AC27" s="129">
        <f t="shared" ref="AC27:AH27" si="43">AC28-AC29</f>
        <v>2789649899.6500001</v>
      </c>
      <c r="AD27" s="129">
        <f t="shared" si="43"/>
        <v>2844569921.0900002</v>
      </c>
      <c r="AE27" s="129">
        <f t="shared" si="43"/>
        <v>2895204720.2599998</v>
      </c>
      <c r="AF27" s="129">
        <f t="shared" si="43"/>
        <v>2916584781.7800002</v>
      </c>
      <c r="AG27" s="129">
        <f t="shared" si="43"/>
        <v>2940847245.5300002</v>
      </c>
      <c r="AH27" s="129">
        <f t="shared" si="43"/>
        <v>2955894518.0900002</v>
      </c>
      <c r="AI27" s="129">
        <f t="shared" ref="AI27:AL27" si="44">AI28-AI29</f>
        <v>2759998445.8200002</v>
      </c>
      <c r="AJ27" s="129">
        <f t="shared" si="44"/>
        <v>2891280751.1700001</v>
      </c>
      <c r="AK27" s="129">
        <f t="shared" si="44"/>
        <v>0</v>
      </c>
      <c r="AL27" s="129">
        <f t="shared" si="44"/>
        <v>2997613082</v>
      </c>
      <c r="AM27" s="129">
        <f t="shared" ref="AM27:AX27" si="45">AM28-AM29</f>
        <v>2980009066.1599998</v>
      </c>
      <c r="AN27" s="129">
        <f t="shared" si="45"/>
        <v>3009016154.8400002</v>
      </c>
      <c r="AO27" s="129">
        <f t="shared" si="45"/>
        <v>3080886998.3200002</v>
      </c>
      <c r="AP27" s="129">
        <f t="shared" si="45"/>
        <v>3128688157.3800001</v>
      </c>
      <c r="AQ27" s="129">
        <f t="shared" si="45"/>
        <v>3161791179.96</v>
      </c>
      <c r="AR27" s="129">
        <f t="shared" si="45"/>
        <v>3215015386.8099999</v>
      </c>
      <c r="AS27" s="129">
        <f t="shared" si="45"/>
        <v>2968106017.4699998</v>
      </c>
      <c r="AT27" s="129">
        <f t="shared" si="45"/>
        <v>3036184484.1599998</v>
      </c>
      <c r="AU27" s="129">
        <f t="shared" si="45"/>
        <v>3106412937.9699998</v>
      </c>
      <c r="AV27" s="129">
        <f t="shared" si="45"/>
        <v>3137535687.8899999</v>
      </c>
      <c r="AW27" s="129">
        <f t="shared" si="45"/>
        <v>3222535135.8200002</v>
      </c>
      <c r="AX27" s="129">
        <f t="shared" si="45"/>
        <v>3312272534.0700002</v>
      </c>
      <c r="AY27" s="129">
        <f t="shared" ref="AY27:BC27" si="46">AY28-AY29</f>
        <v>3312272534</v>
      </c>
      <c r="AZ27" s="129">
        <f t="shared" ref="AZ27:BC27" si="47">AZ28-AZ29</f>
        <v>3309370283.23</v>
      </c>
      <c r="BA27" s="129">
        <f t="shared" si="47"/>
        <v>3387555601.9400001</v>
      </c>
      <c r="BB27" s="129">
        <f t="shared" si="47"/>
        <v>3570675269.73</v>
      </c>
      <c r="BC27" s="129">
        <f t="shared" si="47"/>
        <v>3582819111.4200001</v>
      </c>
      <c r="BD27" s="129">
        <f t="shared" ref="BD27:BE27" si="48">BD28-BD29</f>
        <v>3640294619.3299999</v>
      </c>
      <c r="BE27" s="129">
        <f t="shared" si="48"/>
        <v>3729592162.6500001</v>
      </c>
      <c r="BF27" s="129">
        <f t="shared" ref="BF27" si="49">BF28-BF29</f>
        <v>3791136884.52</v>
      </c>
    </row>
    <row r="28" spans="2:58" ht="14.25">
      <c r="B28" s="20">
        <v>7.1</v>
      </c>
      <c r="C28" s="117" t="s">
        <v>161</v>
      </c>
      <c r="D28" s="40">
        <f>'STATEMENT OF FINANCIAL POSITION'!C24</f>
        <v>502161933</v>
      </c>
      <c r="E28" s="40">
        <f>'STATEMENT OF FINANCIAL POSITION'!D24</f>
        <v>701336906</v>
      </c>
      <c r="F28" s="29">
        <f>'STATEMENT OF FINANCIAL POSITION'!E24</f>
        <v>866580456</v>
      </c>
      <c r="G28" s="62">
        <f>'STATEMENT OF FINANCIAL POSITION'!F24</f>
        <v>1050502640</v>
      </c>
      <c r="H28" s="62">
        <f>'STATEMENT OF FINANCIAL POSITION'!G24</f>
        <v>1169889815</v>
      </c>
      <c r="I28" s="119">
        <f>'STATEMENT OF FINANCIAL POSITION'!H24</f>
        <v>1260039501</v>
      </c>
      <c r="J28" s="119">
        <f>'STATEMENT OF FINANCIAL POSITION'!I24</f>
        <v>1490839582</v>
      </c>
      <c r="K28" s="119">
        <f>'STATEMENT OF FINANCIAL POSITION'!J24</f>
        <v>1537244957.0699999</v>
      </c>
      <c r="L28" s="119">
        <f>'STATEMENT OF FINANCIAL POSITION'!K24</f>
        <v>1564142279.2</v>
      </c>
      <c r="M28" s="119">
        <f>'STATEMENT OF FINANCIAL POSITION'!L24</f>
        <v>1593233368.3699999</v>
      </c>
      <c r="N28" s="119">
        <f>'STATEMENT OF FINANCIAL POSITION'!M24</f>
        <v>1620692772.3</v>
      </c>
      <c r="O28" s="119">
        <f>'STATEMENT OF FINANCIAL POSITION'!N24</f>
        <v>1686085581.8900001</v>
      </c>
      <c r="P28" s="119">
        <f>'STATEMENT OF FINANCIAL POSITION'!O24</f>
        <v>1726473041.1199999</v>
      </c>
      <c r="Q28" s="119">
        <f>'STATEMENT OF FINANCIAL POSITION'!P24</f>
        <v>1765986000.6600001</v>
      </c>
      <c r="R28" s="119">
        <f>'STATEMENT OF FINANCIAL POSITION'!Q24</f>
        <v>1796276471.1700001</v>
      </c>
      <c r="S28" s="119">
        <f>'STATEMENT OF FINANCIAL POSITION'!R24</f>
        <v>1828502365.0599999</v>
      </c>
      <c r="T28" s="119">
        <f>'STATEMENT OF FINANCIAL POSITION'!S24</f>
        <v>1428964760.5999999</v>
      </c>
      <c r="U28" s="119">
        <f>'STATEMENT OF FINANCIAL POSITION'!T24</f>
        <v>1633907798.1099999</v>
      </c>
      <c r="V28" s="119">
        <f>'STATEMENT OF FINANCIAL POSITION'!U24</f>
        <v>1720827246.1900001</v>
      </c>
      <c r="W28" s="119">
        <f>'STATEMENT OF FINANCIAL POSITION'!V24</f>
        <v>1720827246</v>
      </c>
      <c r="X28" s="119">
        <f>'STATEMENT OF FINANCIAL POSITION'!X24</f>
        <v>2983656625.9000001</v>
      </c>
      <c r="Y28" s="119">
        <f>'STATEMENT OF FINANCIAL POSITION'!Y24</f>
        <v>2983656626</v>
      </c>
      <c r="Z28" s="119">
        <f>'STATEMENT OF FINANCIAL POSITION'!Z24</f>
        <v>3021255078.3899999</v>
      </c>
      <c r="AA28" s="119">
        <f>'STATEMENT OF FINANCIAL POSITION'!AA24</f>
        <v>3069518083.5500002</v>
      </c>
      <c r="AB28" s="119">
        <f>'STATEMENT OF FINANCIAL POSITION'!AB24</f>
        <v>3130304447.2600002</v>
      </c>
      <c r="AC28" s="119">
        <f>'STATEMENT OF FINANCIAL POSITION'!AC24</f>
        <v>3180527921.3800001</v>
      </c>
      <c r="AD28" s="119">
        <f>'STATEMENT OF FINANCIAL POSITION'!AD24</f>
        <v>3239947942.8200002</v>
      </c>
      <c r="AE28" s="119">
        <f>'STATEMENT OF FINANCIAL POSITION'!AE24</f>
        <v>3295082741.9899998</v>
      </c>
      <c r="AF28" s="119">
        <f>'STATEMENT OF FINANCIAL POSITION'!AF24</f>
        <v>3320962803.5100002</v>
      </c>
      <c r="AG28" s="119">
        <f>'STATEMENT OF FINANCIAL POSITION'!AG24</f>
        <v>3349725267.2600002</v>
      </c>
      <c r="AH28" s="119">
        <f>'STATEMENT OF FINANCIAL POSITION'!AH24</f>
        <v>3369272539.8200002</v>
      </c>
      <c r="AI28" s="119">
        <f>'STATEMENT OF FINANCIAL POSITION'!AI24</f>
        <v>3177876467.5500002</v>
      </c>
      <c r="AJ28" s="119">
        <f>'STATEMENT OF FINANCIAL POSITION'!AJ24</f>
        <v>3313658772.9000001</v>
      </c>
      <c r="AK28" s="119">
        <f>'STATEMENT OF FINANCIAL POSITION'!AK24</f>
        <v>0</v>
      </c>
      <c r="AL28" s="119">
        <f>'STATEMENT OF FINANCIAL POSITION'!AL24</f>
        <v>3379491104</v>
      </c>
      <c r="AM28" s="119">
        <f>'STATEMENT OF FINANCIAL POSITION'!AM24</f>
        <v>3366387087.8899999</v>
      </c>
      <c r="AN28" s="119">
        <f>'STATEMENT OF FINANCIAL POSITION'!AN24</f>
        <v>3399894176.5700002</v>
      </c>
      <c r="AO28" s="119">
        <f>'STATEMENT OF FINANCIAL POSITION'!AO24</f>
        <v>3462765020.0500002</v>
      </c>
      <c r="AP28" s="119">
        <f>'STATEMENT OF FINANCIAL POSITION'!AP24</f>
        <v>3510566179.1100001</v>
      </c>
      <c r="AQ28" s="119">
        <f>'STATEMENT OF FINANCIAL POSITION'!AQ24</f>
        <v>3543669201.6900001</v>
      </c>
      <c r="AR28" s="119">
        <f>'STATEMENT OF FINANCIAL POSITION'!AR24</f>
        <v>3596893408.54</v>
      </c>
      <c r="AS28" s="119">
        <f>'STATEMENT OF FINANCIAL POSITION'!AS24</f>
        <v>3383611396.1999998</v>
      </c>
      <c r="AT28" s="119">
        <f>'STATEMENT OF FINANCIAL POSITION'!AT24</f>
        <v>3467787982.8899999</v>
      </c>
      <c r="AU28" s="119">
        <f>'STATEMENT OF FINANCIAL POSITION'!AU24</f>
        <v>3541927604.6999998</v>
      </c>
      <c r="AV28" s="119">
        <f>'STATEMENT OF FINANCIAL POSITION'!AV24</f>
        <v>3587463038.6199999</v>
      </c>
      <c r="AW28" s="119">
        <f>'STATEMENT OF FINANCIAL POSITION'!AW24</f>
        <v>3675491559.5500002</v>
      </c>
      <c r="AX28" s="119">
        <f>'STATEMENT OF FINANCIAL POSITION'!AX24</f>
        <v>3748213330.8000002</v>
      </c>
      <c r="AY28" s="119">
        <f>'STATEMENT OF FINANCIAL POSITION'!AY24</f>
        <v>3748213331</v>
      </c>
      <c r="AZ28" s="119">
        <f>'STATEMENT OF FINANCIAL POSITION'!AZ24</f>
        <v>3745311079.96</v>
      </c>
      <c r="BA28" s="119">
        <f>'STATEMENT OF FINANCIAL POSITION'!BA24</f>
        <v>3823496398.6700001</v>
      </c>
      <c r="BB28" s="119">
        <f>'STATEMENT OF FINANCIAL POSITION'!BB24</f>
        <v>4018635239.46</v>
      </c>
      <c r="BC28" s="119">
        <f>'STATEMENT OF FINANCIAL POSITION'!BC24</f>
        <v>4056130366.1500001</v>
      </c>
      <c r="BD28" s="119">
        <f>'STATEMENT OF FINANCIAL POSITION'!BD24</f>
        <v>4111459696.9499998</v>
      </c>
      <c r="BE28" s="119">
        <f>'STATEMENT OF FINANCIAL POSITION'!BE24</f>
        <v>4197830621.3800001</v>
      </c>
      <c r="BF28" s="119">
        <f>'STATEMENT OF FINANCIAL POSITION'!BF24</f>
        <v>4243823642.25</v>
      </c>
    </row>
    <row r="29" spans="2:58" ht="14.25">
      <c r="B29" s="20">
        <v>7.2</v>
      </c>
      <c r="C29" s="117" t="s">
        <v>162</v>
      </c>
      <c r="D29" s="40">
        <f>'STATEMENT OF FINANCIAL POSITION'!C25</f>
        <v>0</v>
      </c>
      <c r="E29" s="40">
        <f>'STATEMENT OF FINANCIAL POSITION'!E25</f>
        <v>23852475</v>
      </c>
      <c r="F29" s="40">
        <f>'STATEMENT OF FINANCIAL POSITION'!F25</f>
        <v>31852475</v>
      </c>
      <c r="G29" s="40" t="e">
        <f>'STATEMENT OF FINANCIAL POSITION'!#REF!</f>
        <v>#REF!</v>
      </c>
      <c r="H29" s="70">
        <f>'STATEMENT OF FINANCIAL POSITION'!G25</f>
        <v>41356416</v>
      </c>
      <c r="I29" s="130">
        <f>'STATEMENT OF FINANCIAL POSITION'!H25</f>
        <v>70641173</v>
      </c>
      <c r="J29" s="130">
        <f>'STATEMENT OF FINANCIAL POSITION'!I25</f>
        <v>100096566</v>
      </c>
      <c r="K29" s="130">
        <f>'STATEMENT OF FINANCIAL POSITION'!J25</f>
        <v>102971565.73</v>
      </c>
      <c r="L29" s="130">
        <f>'STATEMENT OF FINANCIAL POSITION'!K25</f>
        <v>105846565.73</v>
      </c>
      <c r="M29" s="130">
        <f>'STATEMENT OF FINANCIAL POSITION'!L25</f>
        <v>108721565.73</v>
      </c>
      <c r="N29" s="130">
        <f>'STATEMENT OF FINANCIAL POSITION'!M25</f>
        <v>111596565.73</v>
      </c>
      <c r="O29" s="130">
        <f>'STATEMENT OF FINANCIAL POSITION'!N25</f>
        <v>114471565.73</v>
      </c>
      <c r="P29" s="130">
        <f>'STATEMENT OF FINANCIAL POSITION'!O25</f>
        <v>117346565.73</v>
      </c>
      <c r="Q29" s="130">
        <f>'STATEMENT OF FINANCIAL POSITION'!P25</f>
        <v>120221565.73</v>
      </c>
      <c r="R29" s="130">
        <f>'STATEMENT OF FINANCIAL POSITION'!Q25</f>
        <v>123096565.73</v>
      </c>
      <c r="S29" s="130">
        <f>'STATEMENT OF FINANCIAL POSITION'!R25</f>
        <v>125971565.73</v>
      </c>
      <c r="T29" s="130">
        <f>'STATEMENT OF FINANCIAL POSITION'!S25</f>
        <v>128846565.73</v>
      </c>
      <c r="U29" s="130">
        <f>'STATEMENT OF FINANCIAL POSITION'!T25</f>
        <v>131721565.73</v>
      </c>
      <c r="V29" s="130">
        <f>'STATEMENT OF FINANCIAL POSITION'!U25</f>
        <v>134596565.72999999</v>
      </c>
      <c r="W29" s="130">
        <f>'STATEMENT OF FINANCIAL POSITION'!V25</f>
        <v>134596566</v>
      </c>
      <c r="X29" s="130">
        <f>'STATEMENT OF FINANCIAL POSITION'!X25</f>
        <v>372878021.73000002</v>
      </c>
      <c r="Y29" s="130">
        <f>'STATEMENT OF FINANCIAL POSITION'!Y25</f>
        <v>372878022</v>
      </c>
      <c r="Z29" s="130">
        <f>'STATEMENT OF FINANCIAL POSITION'!Z25</f>
        <v>377378021.73000002</v>
      </c>
      <c r="AA29" s="130">
        <f>'STATEMENT OF FINANCIAL POSITION'!AA25</f>
        <v>381878021.73000002</v>
      </c>
      <c r="AB29" s="130">
        <f>'STATEMENT OF FINANCIAL POSITION'!AB25</f>
        <v>386378021.73000002</v>
      </c>
      <c r="AC29" s="130">
        <f>'STATEMENT OF FINANCIAL POSITION'!AC25</f>
        <v>390878021.73000002</v>
      </c>
      <c r="AD29" s="130">
        <f>'STATEMENT OF FINANCIAL POSITION'!AD25</f>
        <v>395378021.73000002</v>
      </c>
      <c r="AE29" s="130">
        <f>'STATEMENT OF FINANCIAL POSITION'!AE25</f>
        <v>399878021.73000002</v>
      </c>
      <c r="AF29" s="130">
        <f>'STATEMENT OF FINANCIAL POSITION'!AF25</f>
        <v>404378021.73000002</v>
      </c>
      <c r="AG29" s="130">
        <f>'STATEMENT OF FINANCIAL POSITION'!AG25</f>
        <v>408878021.73000002</v>
      </c>
      <c r="AH29" s="130">
        <f>'STATEMENT OF FINANCIAL POSITION'!AH25</f>
        <v>413378021.73000002</v>
      </c>
      <c r="AI29" s="130">
        <f>'STATEMENT OF FINANCIAL POSITION'!AI25</f>
        <v>417878021.73000002</v>
      </c>
      <c r="AJ29" s="130">
        <f>'STATEMENT OF FINANCIAL POSITION'!AJ25</f>
        <v>422378021.73000002</v>
      </c>
      <c r="AK29" s="130">
        <f>'STATEMENT OF FINANCIAL POSITION'!AK25</f>
        <v>0</v>
      </c>
      <c r="AL29" s="130">
        <f>'STATEMENT OF FINANCIAL POSITION'!AL25</f>
        <v>381878022</v>
      </c>
      <c r="AM29" s="130">
        <f>'STATEMENT OF FINANCIAL POSITION'!AM25</f>
        <v>386378021.73000002</v>
      </c>
      <c r="AN29" s="130">
        <f>'STATEMENT OF FINANCIAL POSITION'!AN25</f>
        <v>390878021.73000002</v>
      </c>
      <c r="AO29" s="130">
        <f>'STATEMENT OF FINANCIAL POSITION'!AO25</f>
        <v>381878021.73000002</v>
      </c>
      <c r="AP29" s="130">
        <f>'STATEMENT OF FINANCIAL POSITION'!AP25</f>
        <v>381878021.73000002</v>
      </c>
      <c r="AQ29" s="130">
        <f>'STATEMENT OF FINANCIAL POSITION'!AQ25</f>
        <v>381878021.73000002</v>
      </c>
      <c r="AR29" s="130">
        <f>'STATEMENT OF FINANCIAL POSITION'!AR25</f>
        <v>381878021.73000002</v>
      </c>
      <c r="AS29" s="130">
        <f>'STATEMENT OF FINANCIAL POSITION'!AS25</f>
        <v>415505378.73000002</v>
      </c>
      <c r="AT29" s="130">
        <f>'STATEMENT OF FINANCIAL POSITION'!AT25</f>
        <v>431603498.73000002</v>
      </c>
      <c r="AU29" s="130">
        <f>'STATEMENT OF FINANCIAL POSITION'!AU25</f>
        <v>435514666.73000002</v>
      </c>
      <c r="AV29" s="130">
        <f>'STATEMENT OF FINANCIAL POSITION'!AV25</f>
        <v>449927350.73000002</v>
      </c>
      <c r="AW29" s="130">
        <f>'STATEMENT OF FINANCIAL POSITION'!AW25</f>
        <v>452956423.73000002</v>
      </c>
      <c r="AX29" s="130">
        <f>'STATEMENT OF FINANCIAL POSITION'!AX25</f>
        <v>435940796.73000002</v>
      </c>
      <c r="AY29" s="130">
        <f>'STATEMENT OF FINANCIAL POSITION'!AY25</f>
        <v>435940797</v>
      </c>
      <c r="AZ29" s="130">
        <f>'STATEMENT OF FINANCIAL POSITION'!AZ25</f>
        <v>435940796.73000002</v>
      </c>
      <c r="BA29" s="130">
        <f>'STATEMENT OF FINANCIAL POSITION'!BA25</f>
        <v>435940796.73000002</v>
      </c>
      <c r="BB29" s="130">
        <f>'STATEMENT OF FINANCIAL POSITION'!BB25</f>
        <v>447959969.73000002</v>
      </c>
      <c r="BC29" s="130">
        <f>'STATEMENT OF FINANCIAL POSITION'!BC25</f>
        <v>473311254.73000002</v>
      </c>
      <c r="BD29" s="130">
        <f>'STATEMENT OF FINANCIAL POSITION'!BD25</f>
        <v>471165077.62</v>
      </c>
      <c r="BE29" s="130">
        <f>'STATEMENT OF FINANCIAL POSITION'!BE25</f>
        <v>468238458.73000002</v>
      </c>
      <c r="BF29" s="130">
        <f>'STATEMENT OF FINANCIAL POSITION'!BF25</f>
        <v>452686757.73000002</v>
      </c>
    </row>
    <row r="30" spans="2:58" ht="0.75" customHeight="1">
      <c r="C30" s="117"/>
      <c r="D30" s="22"/>
      <c r="E30" s="22"/>
      <c r="F30" s="29"/>
      <c r="G30" s="61"/>
      <c r="H30" s="61"/>
      <c r="I30" s="118"/>
      <c r="J30" s="118"/>
      <c r="K30" s="118"/>
      <c r="L30" s="118"/>
      <c r="M30" s="118"/>
      <c r="N30" s="118"/>
      <c r="O30" s="118"/>
      <c r="P30" s="118"/>
      <c r="Q30" s="118"/>
      <c r="R30" s="118"/>
      <c r="S30" s="118"/>
      <c r="T30" s="118"/>
      <c r="U30" s="118"/>
      <c r="V30" s="118"/>
      <c r="W30" s="118"/>
      <c r="X30" s="118"/>
      <c r="Y30" s="118"/>
      <c r="Z30" s="118"/>
      <c r="AA30" s="118"/>
      <c r="AB30" s="118"/>
      <c r="AC30" s="118"/>
      <c r="AD30" s="118"/>
      <c r="AE30" s="118"/>
      <c r="AF30" s="118"/>
      <c r="AG30" s="118"/>
      <c r="AH30" s="118"/>
      <c r="AI30" s="118"/>
      <c r="AJ30" s="118"/>
      <c r="AK30" s="118"/>
      <c r="AL30" s="118"/>
      <c r="AM30" s="118"/>
      <c r="AN30" s="118"/>
      <c r="AO30" s="118"/>
      <c r="AP30" s="118"/>
      <c r="AQ30" s="118"/>
      <c r="AR30" s="118"/>
      <c r="AS30" s="118"/>
      <c r="AT30" s="118"/>
      <c r="AU30" s="118"/>
      <c r="AV30" s="118"/>
      <c r="AW30" s="118"/>
      <c r="AX30" s="118"/>
      <c r="AY30" s="118"/>
      <c r="AZ30" s="118"/>
      <c r="BA30" s="118"/>
      <c r="BB30" s="118"/>
      <c r="BC30" s="118"/>
      <c r="BD30" s="118"/>
      <c r="BE30" s="118"/>
      <c r="BF30" s="118"/>
    </row>
    <row r="31" spans="2:58" ht="14.25">
      <c r="B31" s="20">
        <v>8</v>
      </c>
      <c r="C31" s="117" t="s">
        <v>163</v>
      </c>
      <c r="D31" s="24">
        <f>'STATEMENT OF FINANCIAL POSITION'!C14+'STATEMENT OF FINANCIAL POSITION'!C27+'STATEMENT OF FINANCIAL POSITION'!C32</f>
        <v>201456282</v>
      </c>
      <c r="E31" s="24">
        <f>'STATEMENT OF FINANCIAL POSITION'!D14+'STATEMENT OF FINANCIAL POSITION'!D27+'STATEMENT OF FINANCIAL POSITION'!D32</f>
        <v>211111037</v>
      </c>
      <c r="F31" s="29">
        <f>'STATEMENT OF FINANCIAL POSITION'!E14+'STATEMENT OF FINANCIAL POSITION'!E32</f>
        <v>111366691</v>
      </c>
      <c r="G31" s="62">
        <f>'STATEMENT OF FINANCIAL POSITION'!F14+'STATEMENT OF FINANCIAL POSITION'!F32</f>
        <v>128997171</v>
      </c>
      <c r="H31" s="62">
        <f>'STATEMENT OF FINANCIAL POSITION'!G14+'STATEMENT OF FINANCIAL POSITION'!G32</f>
        <v>136854905</v>
      </c>
      <c r="I31" s="119">
        <f>'STATEMENT OF FINANCIAL POSITION'!H14+'STATEMENT OF FINANCIAL POSITION'!H32</f>
        <v>154543242</v>
      </c>
      <c r="J31" s="119">
        <f>'STATEMENT OF FINANCIAL POSITION'!I14+'STATEMENT OF FINANCIAL POSITION'!I32</f>
        <v>192056532</v>
      </c>
      <c r="K31" s="119">
        <f>'STATEMENT OF FINANCIAL POSITION'!J14+'STATEMENT OF FINANCIAL POSITION'!J32</f>
        <v>199859046.79999998</v>
      </c>
      <c r="L31" s="119">
        <f>'STATEMENT OF FINANCIAL POSITION'!K14+'STATEMENT OF FINANCIAL POSITION'!K32</f>
        <v>194709309.11000001</v>
      </c>
      <c r="M31" s="119">
        <f>'STATEMENT OF FINANCIAL POSITION'!L14+'STATEMENT OF FINANCIAL POSITION'!L32</f>
        <v>203460411.34</v>
      </c>
      <c r="N31" s="119">
        <f>'STATEMENT OF FINANCIAL POSITION'!M14+'STATEMENT OF FINANCIAL POSITION'!M32</f>
        <v>209630348.79999998</v>
      </c>
      <c r="O31" s="119">
        <f>'STATEMENT OF FINANCIAL POSITION'!N14+'STATEMENT OF FINANCIAL POSITION'!N32</f>
        <v>222590792.53</v>
      </c>
      <c r="P31" s="119">
        <f>'STATEMENT OF FINANCIAL POSITION'!O14+'STATEMENT OF FINANCIAL POSITION'!O32</f>
        <v>231711837.38</v>
      </c>
      <c r="Q31" s="119">
        <f>'STATEMENT OF FINANCIAL POSITION'!P14+'STATEMENT OF FINANCIAL POSITION'!P32</f>
        <v>247856713.33999997</v>
      </c>
      <c r="R31" s="119">
        <f>'STATEMENT OF FINANCIAL POSITION'!Q14+'STATEMENT OF FINANCIAL POSITION'!Q32</f>
        <v>249010451.00999999</v>
      </c>
      <c r="S31" s="119">
        <f>'STATEMENT OF FINANCIAL POSITION'!R14+'STATEMENT OF FINANCIAL POSITION'!R32</f>
        <v>259159906.44</v>
      </c>
      <c r="T31" s="119">
        <f>'STATEMENT OF FINANCIAL POSITION'!S14+'STATEMENT OF FINANCIAL POSITION'!S32</f>
        <v>152050185.94</v>
      </c>
      <c r="U31" s="119">
        <f>'STATEMENT OF FINANCIAL POSITION'!T14+'STATEMENT OF FINANCIAL POSITION'!T32</f>
        <v>173267277.40000001</v>
      </c>
      <c r="V31" s="119">
        <f>'STATEMENT OF FINANCIAL POSITION'!U14+'STATEMENT OF FINANCIAL POSITION'!U32</f>
        <v>190620034.74000001</v>
      </c>
      <c r="W31" s="119">
        <f>'STATEMENT OF FINANCIAL POSITION'!V14+'STATEMENT OF FINANCIAL POSITION'!V32</f>
        <v>190620037</v>
      </c>
      <c r="X31" s="119">
        <f>'STATEMENT OF FINANCIAL POSITION'!X14+'STATEMENT OF FINANCIAL POSITION'!X32</f>
        <v>245918196.63</v>
      </c>
      <c r="Y31" s="119">
        <f>'STATEMENT OF FINANCIAL POSITION'!Y14+'STATEMENT OF FINANCIAL POSITION'!Y32</f>
        <v>243631769</v>
      </c>
      <c r="Z31" s="119">
        <f>'STATEMENT OF FINANCIAL POSITION'!Z14+'STATEMENT OF FINANCIAL POSITION'!Z32</f>
        <v>240143502.36000001</v>
      </c>
      <c r="AA31" s="119">
        <f>'STATEMENT OF FINANCIAL POSITION'!AA14+'STATEMENT OF FINANCIAL POSITION'!AA32</f>
        <v>260271253.63999999</v>
      </c>
      <c r="AB31" s="119">
        <f>'STATEMENT OF FINANCIAL POSITION'!AB14+'STATEMENT OF FINANCIAL POSITION'!AB32</f>
        <v>268540597.31</v>
      </c>
      <c r="AC31" s="119">
        <f>'STATEMENT OF FINANCIAL POSITION'!AC14+'STATEMENT OF FINANCIAL POSITION'!AC32</f>
        <v>274438114.31999999</v>
      </c>
      <c r="AD31" s="119">
        <f>'STATEMENT OF FINANCIAL POSITION'!AD14+'STATEMENT OF FINANCIAL POSITION'!AD32</f>
        <v>284918774</v>
      </c>
      <c r="AE31" s="119">
        <f>'STATEMENT OF FINANCIAL POSITION'!AE14+'STATEMENT OF FINANCIAL POSITION'!AE32</f>
        <v>294992996.06999999</v>
      </c>
      <c r="AF31" s="119">
        <f>'STATEMENT OF FINANCIAL POSITION'!AF14+'STATEMENT OF FINANCIAL POSITION'!AF32</f>
        <v>294454143.01999998</v>
      </c>
      <c r="AG31" s="119">
        <f>'STATEMENT OF FINANCIAL POSITION'!AG14+'STATEMENT OF FINANCIAL POSITION'!AG32</f>
        <v>309032836.13999999</v>
      </c>
      <c r="AH31" s="119">
        <f>'STATEMENT OF FINANCIAL POSITION'!AH14+'STATEMENT OF FINANCIAL POSITION'!AH32</f>
        <v>321416207.78999996</v>
      </c>
      <c r="AI31" s="119">
        <f>'STATEMENT OF FINANCIAL POSITION'!AI14+'STATEMENT OF FINANCIAL POSITION'!AI32</f>
        <v>248862266.97999999</v>
      </c>
      <c r="AJ31" s="119">
        <f>'STATEMENT OF FINANCIAL POSITION'!AJ14+'STATEMENT OF FINANCIAL POSITION'!AJ32</f>
        <v>270789011.94</v>
      </c>
      <c r="AK31" s="119">
        <f>'STATEMENT OF FINANCIAL POSITION'!AK14+'STATEMENT OF FINANCIAL POSITION'!AK32</f>
        <v>0</v>
      </c>
      <c r="AL31" s="119">
        <f>'STATEMENT OF FINANCIAL POSITION'!AL14+'STATEMENT OF FINANCIAL POSITION'!AL32</f>
        <v>270494691</v>
      </c>
      <c r="AM31" s="119">
        <f>'STATEMENT OF FINANCIAL POSITION'!AM14+'STATEMENT OF FINANCIAL POSITION'!AM32</f>
        <v>272709626.40999997</v>
      </c>
      <c r="AN31" s="119">
        <f>'STATEMENT OF FINANCIAL POSITION'!AN14+'STATEMENT OF FINANCIAL POSITION'!AN32</f>
        <v>310337754.62</v>
      </c>
      <c r="AO31" s="119">
        <f>'STATEMENT OF FINANCIAL POSITION'!AO14+'STATEMENT OF FINANCIAL POSITION'!AO32</f>
        <v>318655342.38999999</v>
      </c>
      <c r="AP31" s="119">
        <f>'STATEMENT OF FINANCIAL POSITION'!AP14+'STATEMENT OF FINANCIAL POSITION'!AP32</f>
        <v>324308934.61000001</v>
      </c>
      <c r="AQ31" s="119">
        <f>'STATEMENT OF FINANCIAL POSITION'!AQ14+'STATEMENT OF FINANCIAL POSITION'!AQ32</f>
        <v>335956130.38999999</v>
      </c>
      <c r="AR31" s="119">
        <f>'STATEMENT OF FINANCIAL POSITION'!AR14+'STATEMENT OF FINANCIAL POSITION'!AR32</f>
        <v>352228783.48000002</v>
      </c>
      <c r="AS31" s="119">
        <f>'STATEMENT OF FINANCIAL POSITION'!AS14+'STATEMENT OF FINANCIAL POSITION'!AS32</f>
        <v>304020748.54000002</v>
      </c>
      <c r="AT31" s="119">
        <f>'STATEMENT OF FINANCIAL POSITION'!AT14+'STATEMENT OF FINANCIAL POSITION'!AT32</f>
        <v>342158476.77999997</v>
      </c>
      <c r="AU31" s="119">
        <f>'STATEMENT OF FINANCIAL POSITION'!AU14+'STATEMENT OF FINANCIAL POSITION'!AU32</f>
        <v>363564025.06999999</v>
      </c>
      <c r="AV31" s="119">
        <f>'STATEMENT OF FINANCIAL POSITION'!AV14+'STATEMENT OF FINANCIAL POSITION'!AV32</f>
        <v>379590939.31</v>
      </c>
      <c r="AW31" s="119">
        <f>'STATEMENT OF FINANCIAL POSITION'!AW14+'STATEMENT OF FINANCIAL POSITION'!AW32</f>
        <v>394390780.90000004</v>
      </c>
      <c r="AX31" s="119">
        <f>'STATEMENT OF FINANCIAL POSITION'!AX14+'STATEMENT OF FINANCIAL POSITION'!AX32</f>
        <v>415146138.04000002</v>
      </c>
      <c r="AY31" s="119">
        <f>'STATEMENT OF FINANCIAL POSITION'!AY14+'STATEMENT OF FINANCIAL POSITION'!AY32</f>
        <v>415599727</v>
      </c>
      <c r="AZ31" s="119">
        <f>'STATEMENT OF FINANCIAL POSITION'!AZ14+'STATEMENT OF FINANCIAL POSITION'!AZ32</f>
        <v>402715769.68000001</v>
      </c>
      <c r="BA31" s="119">
        <f>'STATEMENT OF FINANCIAL POSITION'!BA14+'STATEMENT OF FINANCIAL POSITION'!BA32</f>
        <v>419833228.07999998</v>
      </c>
      <c r="BB31" s="119">
        <f>'STATEMENT OF FINANCIAL POSITION'!BB14+'STATEMENT OF FINANCIAL POSITION'!BB32</f>
        <v>442156857.54999995</v>
      </c>
      <c r="BC31" s="119">
        <f>'STATEMENT OF FINANCIAL POSITION'!BC14+'STATEMENT OF FINANCIAL POSITION'!BC32</f>
        <v>454225795.51999998</v>
      </c>
      <c r="BD31" s="119" t="e">
        <f>'STATEMENT OF FINANCIAL POSITION'!#REF!+'STATEMENT OF FINANCIAL POSITION'!BD32</f>
        <v>#REF!</v>
      </c>
      <c r="BE31" s="119" t="e">
        <f>'STATEMENT OF FINANCIAL POSITION'!#REF!+'STATEMENT OF FINANCIAL POSITION'!BE32</f>
        <v>#REF!</v>
      </c>
      <c r="BF31" s="119" t="e">
        <f>'STATEMENT OF FINANCIAL POSITION'!#REF!+'STATEMENT OF FINANCIAL POSITION'!BF32</f>
        <v>#REF!</v>
      </c>
    </row>
    <row r="32" spans="2:58" ht="13.5" customHeight="1">
      <c r="B32" s="20">
        <v>8.1</v>
      </c>
      <c r="C32" s="117" t="s">
        <v>164</v>
      </c>
      <c r="D32" s="24">
        <f>'STATEMENT OF FINANCIAL POSITION'!C34</f>
        <v>152497884</v>
      </c>
      <c r="E32" s="24">
        <f>'STATEMENT OF FINANCIAL POSITION'!D34</f>
        <v>161391712</v>
      </c>
      <c r="F32" s="29">
        <f>'STATEMENT OF FINANCIAL POSITION'!E32</f>
        <v>40224658</v>
      </c>
      <c r="G32" s="62">
        <f>'STATEMENT OF FINANCIAL POSITION'!F32</f>
        <v>56850072</v>
      </c>
      <c r="H32" s="62">
        <f>'STATEMENT OF FINANCIAL POSITION'!G32</f>
        <v>61006144</v>
      </c>
      <c r="I32" s="119">
        <f>'STATEMENT OF FINANCIAL POSITION'!H32</f>
        <v>66390514</v>
      </c>
      <c r="J32" s="119">
        <f>'STATEMENT OF FINANCIAL POSITION'!I32</f>
        <v>66106031</v>
      </c>
      <c r="K32" s="119">
        <f>'STATEMENT OF FINANCIAL POSITION'!J32</f>
        <v>64982708.07</v>
      </c>
      <c r="L32" s="119">
        <f>'STATEMENT OF FINANCIAL POSITION'!K32</f>
        <v>64315496.230000004</v>
      </c>
      <c r="M32" s="119">
        <f>'STATEMENT OF FINANCIAL POSITION'!L32</f>
        <v>71599825.920000002</v>
      </c>
      <c r="N32" s="119">
        <f>'STATEMENT OF FINANCIAL POSITION'!M32</f>
        <v>70663659.349999994</v>
      </c>
      <c r="O32" s="119">
        <f>'STATEMENT OF FINANCIAL POSITION'!N32</f>
        <v>71147712.5</v>
      </c>
      <c r="P32" s="119">
        <f>'STATEMENT OF FINANCIAL POSITION'!O32</f>
        <v>70703618.25999999</v>
      </c>
      <c r="Q32" s="119">
        <f>'STATEMENT OF FINANCIAL POSITION'!P32</f>
        <v>69370420.359999999</v>
      </c>
      <c r="R32" s="119">
        <f>'STATEMENT OF FINANCIAL POSITION'!Q32</f>
        <v>68139293.379999995</v>
      </c>
      <c r="S32" s="119">
        <f>'STATEMENT OF FINANCIAL POSITION'!R32</f>
        <v>67420275.200000003</v>
      </c>
      <c r="T32" s="119">
        <f>'STATEMENT OF FINANCIAL POSITION'!S32</f>
        <v>66045490.799999997</v>
      </c>
      <c r="U32" s="119">
        <f>'STATEMENT OF FINANCIAL POSITION'!T32</f>
        <v>65001374.669999994</v>
      </c>
      <c r="V32" s="119">
        <f>'STATEMENT OF FINANCIAL POSITION'!U32</f>
        <v>67836688.700000003</v>
      </c>
      <c r="W32" s="119">
        <f>'STATEMENT OF FINANCIAL POSITION'!V32</f>
        <v>67836690</v>
      </c>
      <c r="X32" s="119">
        <f>'STATEMENT OF FINANCIAL POSITION'!X32</f>
        <v>78065940.409999996</v>
      </c>
      <c r="Y32" s="119">
        <f>'STATEMENT OF FINANCIAL POSITION'!Y32</f>
        <v>78065939</v>
      </c>
      <c r="Z32" s="119">
        <f>'STATEMENT OF FINANCIAL POSITION'!Z32</f>
        <v>78960802.960000008</v>
      </c>
      <c r="AA32" s="119">
        <f>'STATEMENT OF FINANCIAL POSITION'!AA32</f>
        <v>80758833.719999999</v>
      </c>
      <c r="AB32" s="119">
        <f>'STATEMENT OF FINANCIAL POSITION'!AB32</f>
        <v>82099036.63000001</v>
      </c>
      <c r="AC32" s="119">
        <f>'STATEMENT OF FINANCIAL POSITION'!AC32</f>
        <v>80833691.180000007</v>
      </c>
      <c r="AD32" s="119">
        <f>'STATEMENT OF FINANCIAL POSITION'!AD32</f>
        <v>81133069.359999999</v>
      </c>
      <c r="AE32" s="119">
        <f>'STATEMENT OF FINANCIAL POSITION'!AE32</f>
        <v>88838811.720000014</v>
      </c>
      <c r="AF32" s="119">
        <f>'STATEMENT OF FINANCIAL POSITION'!AF32</f>
        <v>90085222.609999999</v>
      </c>
      <c r="AG32" s="119">
        <f>'STATEMENT OF FINANCIAL POSITION'!AG32</f>
        <v>94821345.280000001</v>
      </c>
      <c r="AH32" s="119">
        <f>'STATEMENT OF FINANCIAL POSITION'!AH32</f>
        <v>93357683.219999999</v>
      </c>
      <c r="AI32" s="119">
        <f>'STATEMENT OF FINANCIAL POSITION'!AI32</f>
        <v>95129406.719999999</v>
      </c>
      <c r="AJ32" s="119">
        <f>'STATEMENT OF FINANCIAL POSITION'!AJ32</f>
        <v>97754011.560000002</v>
      </c>
      <c r="AK32" s="119">
        <f>'STATEMENT OF FINANCIAL POSITION'!AK32</f>
        <v>0</v>
      </c>
      <c r="AL32" s="119">
        <f>'STATEMENT OF FINANCIAL POSITION'!AL32</f>
        <v>101497010</v>
      </c>
      <c r="AM32" s="119">
        <f>'STATEMENT OF FINANCIAL POSITION'!AM32</f>
        <v>100347884.39999999</v>
      </c>
      <c r="AN32" s="119">
        <f>'STATEMENT OF FINANCIAL POSITION'!AN32</f>
        <v>102155205.34</v>
      </c>
      <c r="AO32" s="119">
        <f>'STATEMENT OF FINANCIAL POSITION'!AO32</f>
        <v>105516652.61</v>
      </c>
      <c r="AP32" s="119">
        <f>'STATEMENT OF FINANCIAL POSITION'!AP32</f>
        <v>105613717.34999999</v>
      </c>
      <c r="AQ32" s="119">
        <f>'STATEMENT OF FINANCIAL POSITION'!AQ32</f>
        <v>105010106.39</v>
      </c>
      <c r="AR32" s="119">
        <f>'STATEMENT OF FINANCIAL POSITION'!AR32</f>
        <v>103604127.28</v>
      </c>
      <c r="AS32" s="119">
        <f>'STATEMENT OF FINANCIAL POSITION'!AS32</f>
        <v>104977851.95</v>
      </c>
      <c r="AT32" s="119">
        <f>'STATEMENT OF FINANCIAL POSITION'!AT32</f>
        <v>111670422.19</v>
      </c>
      <c r="AU32" s="119">
        <f>'STATEMENT OF FINANCIAL POSITION'!AU32</f>
        <v>112694048.34</v>
      </c>
      <c r="AV32" s="119">
        <f>'STATEMENT OF FINANCIAL POSITION'!AV32</f>
        <v>113893546.04000001</v>
      </c>
      <c r="AW32" s="119">
        <f>'STATEMENT OF FINANCIAL POSITION'!AW32</f>
        <v>115522213.23</v>
      </c>
      <c r="AX32" s="119">
        <f>'STATEMENT OF FINANCIAL POSITION'!AX32</f>
        <v>127496936.86999999</v>
      </c>
      <c r="AY32" s="119">
        <f>'STATEMENT OF FINANCIAL POSITION'!AY32</f>
        <v>127496936</v>
      </c>
      <c r="AZ32" s="119">
        <f>'STATEMENT OF FINANCIAL POSITION'!AZ32</f>
        <v>126987219.42999999</v>
      </c>
      <c r="BA32" s="119">
        <f>'STATEMENT OF FINANCIAL POSITION'!BA32</f>
        <v>126916048.74999999</v>
      </c>
      <c r="BB32" s="119">
        <f>'STATEMENT OF FINANCIAL POSITION'!BB32</f>
        <v>128391307.85999998</v>
      </c>
      <c r="BC32" s="119">
        <f>'STATEMENT OF FINANCIAL POSITION'!BC32</f>
        <v>127829705.39999999</v>
      </c>
      <c r="BD32" s="119">
        <f>'STATEMENT OF FINANCIAL POSITION'!BD32</f>
        <v>127456744.44</v>
      </c>
      <c r="BE32" s="119">
        <f>'STATEMENT OF FINANCIAL POSITION'!BE32</f>
        <v>134167011.52999999</v>
      </c>
      <c r="BF32" s="119">
        <f>'STATEMENT OF FINANCIAL POSITION'!BF32</f>
        <v>133068202.44999999</v>
      </c>
    </row>
    <row r="33" spans="2:58" ht="14.25" hidden="1">
      <c r="B33" s="18"/>
      <c r="C33" s="117"/>
      <c r="D33" s="22"/>
      <c r="E33" s="22"/>
      <c r="F33" s="29"/>
      <c r="G33" s="62"/>
      <c r="H33" s="62"/>
      <c r="I33" s="118"/>
      <c r="J33" s="118"/>
      <c r="K33" s="118"/>
      <c r="L33" s="118"/>
      <c r="M33" s="118"/>
      <c r="N33" s="118"/>
      <c r="O33" s="118"/>
      <c r="P33" s="118"/>
      <c r="Q33" s="118"/>
      <c r="R33" s="118"/>
      <c r="S33" s="118"/>
      <c r="T33" s="118"/>
      <c r="U33" s="118"/>
      <c r="V33" s="118"/>
      <c r="W33" s="118"/>
      <c r="X33" s="118"/>
      <c r="Y33" s="118"/>
      <c r="Z33" s="118"/>
      <c r="AA33" s="118"/>
      <c r="AB33" s="118"/>
      <c r="AC33" s="118"/>
      <c r="AD33" s="118"/>
      <c r="AE33" s="118"/>
      <c r="AF33" s="118"/>
      <c r="AG33" s="118"/>
      <c r="AH33" s="118"/>
      <c r="AI33" s="118"/>
      <c r="AJ33" s="118"/>
      <c r="AK33" s="118"/>
      <c r="AL33" s="118"/>
      <c r="AM33" s="118"/>
      <c r="AN33" s="118"/>
      <c r="AO33" s="118"/>
      <c r="AP33" s="118"/>
      <c r="AQ33" s="118"/>
      <c r="AR33" s="118"/>
      <c r="AS33" s="118"/>
      <c r="AT33" s="118"/>
      <c r="AU33" s="118"/>
      <c r="AV33" s="118"/>
      <c r="AW33" s="118"/>
      <c r="AX33" s="118"/>
      <c r="AY33" s="118"/>
      <c r="AZ33" s="118"/>
      <c r="BA33" s="118"/>
      <c r="BB33" s="118"/>
      <c r="BC33" s="118"/>
      <c r="BD33" s="118"/>
      <c r="BE33" s="118"/>
      <c r="BF33" s="118"/>
    </row>
    <row r="34" spans="2:58" ht="14.25">
      <c r="B34" s="20">
        <v>9</v>
      </c>
      <c r="C34" s="117" t="s">
        <v>165</v>
      </c>
      <c r="D34" s="35">
        <f>SUM(D35:D38)</f>
        <v>81774220</v>
      </c>
      <c r="E34" s="35">
        <f>SUM(E35:E38)</f>
        <v>168568169</v>
      </c>
      <c r="F34" s="29">
        <f>'STATEMENT OF COMPREHENSIVE INCO'!E10</f>
        <v>235675793</v>
      </c>
      <c r="G34" s="62">
        <f>'STATEMENT OF COMPREHENSIVE INCO'!F10</f>
        <v>288037618</v>
      </c>
      <c r="H34" s="62">
        <f>'STATEMENT OF COMPREHENSIVE INCO'!G10</f>
        <v>277638373</v>
      </c>
      <c r="I34" s="119">
        <f>'STATEMENT OF COMPREHENSIVE INCO'!H10</f>
        <v>314967423</v>
      </c>
      <c r="J34" s="119">
        <f>'STATEMENT OF COMPREHENSIVE INCO'!I10</f>
        <v>386913271</v>
      </c>
      <c r="K34" s="119">
        <f>'STATEMENT OF COMPREHENSIVE INCO'!J10</f>
        <v>25367152.070000004</v>
      </c>
      <c r="L34" s="119">
        <f>'STATEMENT OF COMPREHENSIVE INCO'!K10</f>
        <v>48625771.009999998</v>
      </c>
      <c r="M34" s="119">
        <f>'STATEMENT OF COMPREHENSIVE INCO'!L10</f>
        <v>71477836.460000008</v>
      </c>
      <c r="N34" s="119">
        <f>'STATEMENT OF COMPREHENSIVE INCO'!M10</f>
        <v>97296138.280000001</v>
      </c>
      <c r="O34" s="119">
        <f>'STATEMENT OF COMPREHENSIVE INCO'!N10</f>
        <v>123220238.92</v>
      </c>
      <c r="P34" s="119">
        <f>'STATEMENT OF COMPREHENSIVE INCO'!O10</f>
        <v>147840988.63</v>
      </c>
      <c r="Q34" s="119">
        <f>'STATEMENT OF COMPREHENSIVE INCO'!P10</f>
        <v>172928111.99000001</v>
      </c>
      <c r="R34" s="119">
        <f>'STATEMENT OF COMPREHENSIVE INCO'!Q10</f>
        <v>198401591.31</v>
      </c>
      <c r="S34" s="119">
        <f>'STATEMENT OF COMPREHENSIVE INCO'!R10</f>
        <v>224698630.52000001</v>
      </c>
      <c r="T34" s="119">
        <f>'STATEMENT OF COMPREHENSIVE INCO'!S10</f>
        <v>261173578.98999998</v>
      </c>
      <c r="U34" s="119">
        <f>'STATEMENT OF COMPREHENSIVE INCO'!T10</f>
        <v>314210279.59999996</v>
      </c>
      <c r="V34" s="119">
        <f>'STATEMENT OF COMPREHENSIVE INCO'!U10</f>
        <v>347337473.00999999</v>
      </c>
      <c r="W34" s="119">
        <f>'STATEMENT OF COMPREHENSIVE INCO'!V10</f>
        <v>401655827</v>
      </c>
      <c r="X34" s="119">
        <f>'STATEMENT OF COMPREHENSIVE INCO'!X10</f>
        <v>526193190.79000002</v>
      </c>
      <c r="Y34" s="119">
        <f>'STATEMENT OF COMPREHENSIVE INCO'!Y10</f>
        <v>611439871</v>
      </c>
      <c r="Z34" s="119">
        <f>'STATEMENT OF COMPREHENSIVE INCO'!Z10</f>
        <v>47671985.969999999</v>
      </c>
      <c r="AA34" s="119">
        <f>'STATEMENT OF COMPREHENSIVE INCO'!AA10</f>
        <v>91516919.150000006</v>
      </c>
      <c r="AB34" s="119">
        <f>'STATEMENT OF COMPREHENSIVE INCO'!AB10</f>
        <v>137900968.44999999</v>
      </c>
      <c r="AC34" s="119">
        <f>'STATEMENT OF COMPREHENSIVE INCO'!AC10</f>
        <v>183129906.63</v>
      </c>
      <c r="AD34" s="119">
        <f>'STATEMENT OF COMPREHENSIVE INCO'!AD10</f>
        <v>230968028.47</v>
      </c>
      <c r="AE34" s="119">
        <f>'STATEMENT OF COMPREHENSIVE INCO'!AE10</f>
        <v>279618964.12</v>
      </c>
      <c r="AF34" s="119">
        <f>'STATEMENT OF COMPREHENSIVE INCO'!AF10</f>
        <v>328471232.40999997</v>
      </c>
      <c r="AG34" s="119">
        <f>'STATEMENT OF COMPREHENSIVE INCO'!AG10</f>
        <v>375184637.46000004</v>
      </c>
      <c r="AH34" s="119">
        <f>'STATEMENT OF COMPREHENSIVE INCO'!AH10</f>
        <v>421233034.04000002</v>
      </c>
      <c r="AI34" s="119">
        <f>'STATEMENT OF COMPREHENSIVE INCO'!AI10</f>
        <v>475675346.95999998</v>
      </c>
      <c r="AJ34" s="119">
        <f>'STATEMENT OF COMPREHENSIVE INCO'!AJ10</f>
        <v>539421376.5999999</v>
      </c>
      <c r="AK34" s="119">
        <f>'STATEMENT OF COMPREHENSIVE INCO'!AK10</f>
        <v>598907413.16000009</v>
      </c>
      <c r="AL34" s="119">
        <f>'STATEMENT OF COMPREHENSIVE INCO'!AL10</f>
        <v>694739717</v>
      </c>
      <c r="AM34" s="119">
        <f>'STATEMENT OF COMPREHENSIVE INCO'!AM10</f>
        <v>50306094.579999998</v>
      </c>
      <c r="AN34" s="119">
        <f>'STATEMENT OF COMPREHENSIVE INCO'!AN10</f>
        <v>98911062.310000002</v>
      </c>
      <c r="AO34" s="119">
        <f>'STATEMENT OF COMPREHENSIVE INCO'!AO10</f>
        <v>149550464.94999999</v>
      </c>
      <c r="AP34" s="119">
        <f>'STATEMENT OF COMPREHENSIVE INCO'!AP10</f>
        <v>201969985.66</v>
      </c>
      <c r="AQ34" s="119">
        <f>'STATEMENT OF COMPREHENSIVE INCO'!AQ10</f>
        <v>251899035.56</v>
      </c>
      <c r="AR34" s="119">
        <f>'STATEMENT OF COMPREHENSIVE INCO'!AR10</f>
        <v>304205281.17000002</v>
      </c>
      <c r="AS34" s="119">
        <f>'STATEMENT OF COMPREHENSIVE INCO'!AS10</f>
        <v>380292371.48999995</v>
      </c>
      <c r="AT34" s="119">
        <f>'STATEMENT OF COMPREHENSIVE INCO'!AT10</f>
        <v>435911579.28000003</v>
      </c>
      <c r="AU34" s="119">
        <f>'STATEMENT OF COMPREHENSIVE INCO'!AU10</f>
        <v>491355984.67000002</v>
      </c>
      <c r="AV34" s="119">
        <f>'STATEMENT OF COMPREHENSIVE INCO'!AV10</f>
        <v>543980270.80999994</v>
      </c>
      <c r="AW34" s="119">
        <f>'STATEMENT OF COMPREHENSIVE INCO'!AW10</f>
        <v>600581392</v>
      </c>
      <c r="AX34" s="119">
        <f>'STATEMENT OF COMPREHENSIVE INCO'!AX10</f>
        <v>651564632.12</v>
      </c>
      <c r="AY34" s="119">
        <f>'STATEMENT OF COMPREHENSIVE INCO'!AY10</f>
        <v>789154498</v>
      </c>
      <c r="AZ34" s="119">
        <f>'STATEMENT OF COMPREHENSIVE INCO'!AZ10</f>
        <v>63492682.900000006</v>
      </c>
      <c r="BA34" s="119">
        <f>'STATEMENT OF COMPREHENSIVE INCO'!BA10</f>
        <v>120759773.67999999</v>
      </c>
      <c r="BB34" s="119">
        <f>'STATEMENT OF COMPREHENSIVE INCO'!BB10</f>
        <v>183684407.89999998</v>
      </c>
      <c r="BC34" s="119">
        <f>'STATEMENT OF COMPREHENSIVE INCO'!BC10</f>
        <v>240392684.42000002</v>
      </c>
      <c r="BD34" s="119">
        <f>'STATEMENT OF COMPREHENSIVE INCO'!BD10</f>
        <v>301288919.84000003</v>
      </c>
      <c r="BE34" s="119">
        <f>'STATEMENT OF COMPREHENSIVE INCO'!BE10</f>
        <v>361668780.14999998</v>
      </c>
      <c r="BF34" s="119">
        <f>'STATEMENT OF COMPREHENSIVE INCO'!BF10</f>
        <v>419675833.56</v>
      </c>
    </row>
    <row r="35" spans="2:58" ht="14.25">
      <c r="B35" s="19">
        <v>9.1</v>
      </c>
      <c r="C35" s="117" t="s">
        <v>166</v>
      </c>
      <c r="D35" s="24">
        <f>'STATEMENT OF COMPREHENSIVE INCO'!C12</f>
        <v>67225127</v>
      </c>
      <c r="E35" s="24">
        <v>111069243</v>
      </c>
      <c r="F35" s="29">
        <f>'STATEMENT OF COMPREHENSIVE INCO'!E12</f>
        <v>139362529</v>
      </c>
      <c r="G35" s="62">
        <f>'STATEMENT OF COMPREHENSIVE INCO'!F12</f>
        <v>176582685</v>
      </c>
      <c r="H35" s="62">
        <f>'STATEMENT OF COMPREHENSIVE INCO'!G12</f>
        <v>185123085</v>
      </c>
      <c r="I35" s="119">
        <f>'STATEMENT OF COMPREHENSIVE INCO'!H12</f>
        <v>199339025</v>
      </c>
      <c r="J35" s="119">
        <f>'STATEMENT OF COMPREHENSIVE INCO'!I12</f>
        <v>224030688</v>
      </c>
      <c r="K35" s="119">
        <f>'STATEMENT OF COMPREHENSIVE INCO'!J12</f>
        <v>16403062.300000001</v>
      </c>
      <c r="L35" s="119">
        <f>'STATEMENT OF COMPREHENSIVE INCO'!K12</f>
        <v>32799725.620000001</v>
      </c>
      <c r="M35" s="119">
        <f>'STATEMENT OF COMPREHENSIVE INCO'!L12</f>
        <v>49532687.710000001</v>
      </c>
      <c r="N35" s="119">
        <f>'STATEMENT OF COMPREHENSIVE INCO'!M12</f>
        <v>66592721.170000002</v>
      </c>
      <c r="O35" s="119">
        <f>'STATEMENT OF COMPREHENSIVE INCO'!N12</f>
        <v>84208039.049999997</v>
      </c>
      <c r="P35" s="119">
        <f>'STATEMENT OF COMPREHENSIVE INCO'!O12</f>
        <v>102197554.06</v>
      </c>
      <c r="Q35" s="119">
        <f>'STATEMENT OF COMPREHENSIVE INCO'!P12</f>
        <v>120758119.55</v>
      </c>
      <c r="R35" s="119">
        <f>'STATEMENT OF COMPREHENSIVE INCO'!Q12</f>
        <v>139928286.63999999</v>
      </c>
      <c r="S35" s="119">
        <f>'STATEMENT OF COMPREHENSIVE INCO'!R12</f>
        <v>160256445.40000001</v>
      </c>
      <c r="T35" s="119">
        <f>'STATEMENT OF COMPREHENSIVE INCO'!S12</f>
        <v>180849140.75</v>
      </c>
      <c r="U35" s="119">
        <f>'STATEMENT OF COMPREHENSIVE INCO'!T12</f>
        <v>200033457.09999999</v>
      </c>
      <c r="V35" s="119">
        <f>'STATEMENT OF COMPREHENSIVE INCO'!U12</f>
        <v>218702207.91</v>
      </c>
      <c r="W35" s="119">
        <f>'STATEMENT OF COMPREHENSIVE INCO'!V12</f>
        <v>225641290</v>
      </c>
      <c r="X35" s="119">
        <f>'STATEMENT OF COMPREHENSIVE INCO'!X12</f>
        <v>375597057.75</v>
      </c>
      <c r="Y35" s="119">
        <f>'STATEMENT OF COMPREHENSIVE INCO'!Y12</f>
        <v>373570484</v>
      </c>
      <c r="Z35" s="119">
        <f>'STATEMENT OF COMPREHENSIVE INCO'!Z12</f>
        <v>33549968.27</v>
      </c>
      <c r="AA35" s="119">
        <f>'STATEMENT OF COMPREHENSIVE INCO'!AA12</f>
        <v>67275547.609999999</v>
      </c>
      <c r="AB35" s="119">
        <f>'STATEMENT OF COMPREHENSIVE INCO'!AB12</f>
        <v>101606223.58</v>
      </c>
      <c r="AC35" s="119">
        <f>'STATEMENT OF COMPREHENSIVE INCO'!AC12</f>
        <v>136470683.19</v>
      </c>
      <c r="AD35" s="119">
        <f>'STATEMENT OF COMPREHENSIVE INCO'!AD12</f>
        <v>172270458.12</v>
      </c>
      <c r="AE35" s="119">
        <f>'STATEMENT OF COMPREHENSIVE INCO'!AE12</f>
        <v>208713531.83000001</v>
      </c>
      <c r="AF35" s="119">
        <f>'STATEMENT OF COMPREHENSIVE INCO'!AF12</f>
        <v>246088749.50999999</v>
      </c>
      <c r="AG35" s="119">
        <f>'STATEMENT OF COMPREHENSIVE INCO'!AG12</f>
        <v>283966991.31</v>
      </c>
      <c r="AH35" s="119">
        <f>'STATEMENT OF COMPREHENSIVE INCO'!AH12</f>
        <v>322308275.19999999</v>
      </c>
      <c r="AI35" s="119">
        <f>'STATEMENT OF COMPREHENSIVE INCO'!AI12</f>
        <v>360709914.14999998</v>
      </c>
      <c r="AJ35" s="119">
        <f>'STATEMENT OF COMPREHENSIVE INCO'!AJ12</f>
        <v>399200147.38999999</v>
      </c>
      <c r="AK35" s="119">
        <f>'STATEMENT OF COMPREHENSIVE INCO'!AK12</f>
        <v>439248248.04000002</v>
      </c>
      <c r="AL35" s="119">
        <f>'STATEMENT OF COMPREHENSIVE INCO'!AL12</f>
        <v>452871508</v>
      </c>
      <c r="AM35" s="119">
        <f>'STATEMENT OF COMPREHENSIVE INCO'!AM12</f>
        <v>38683721.609999999</v>
      </c>
      <c r="AN35" s="119">
        <f>'STATEMENT OF COMPREHENSIVE INCO'!AN12</f>
        <v>76843586.310000002</v>
      </c>
      <c r="AO35" s="119">
        <f>'STATEMENT OF COMPREHENSIVE INCO'!AO12</f>
        <v>115693065.31</v>
      </c>
      <c r="AP35" s="119">
        <f>'STATEMENT OF COMPREHENSIVE INCO'!AP12</f>
        <v>155062818.5</v>
      </c>
      <c r="AQ35" s="119">
        <f>'STATEMENT OF COMPREHENSIVE INCO'!AQ12</f>
        <v>193858119.38999999</v>
      </c>
      <c r="AR35" s="119">
        <f>'STATEMENT OF COMPREHENSIVE INCO'!AR12</f>
        <v>234950203.37</v>
      </c>
      <c r="AS35" s="119">
        <f>'STATEMENT OF COMPREHENSIVE INCO'!AS12</f>
        <v>277086562.89999998</v>
      </c>
      <c r="AT35" s="119">
        <f>'STATEMENT OF COMPREHENSIVE INCO'!AT12</f>
        <v>316835535.85000002</v>
      </c>
      <c r="AU35" s="119">
        <f>'STATEMENT OF COMPREHENSIVE INCO'!AU12</f>
        <v>357525447.54000002</v>
      </c>
      <c r="AV35" s="119">
        <f>'STATEMENT OF COMPREHENSIVE INCO'!AV12</f>
        <v>398674787.38</v>
      </c>
      <c r="AW35" s="119">
        <f>'STATEMENT OF COMPREHENSIVE INCO'!AW12</f>
        <v>442116046.05000001</v>
      </c>
      <c r="AX35" s="119">
        <f>'STATEMENT OF COMPREHENSIVE INCO'!AX12</f>
        <v>485316811.76999998</v>
      </c>
      <c r="AY35" s="119">
        <f>'STATEMENT OF COMPREHENSIVE INCO'!AY12</f>
        <v>485316812</v>
      </c>
      <c r="AZ35" s="119">
        <f>'STATEMENT OF COMPREHENSIVE INCO'!AZ12</f>
        <v>42709547.090000004</v>
      </c>
      <c r="BA35" s="119">
        <f>'STATEMENT OF COMPREHENSIVE INCO'!BA12</f>
        <v>85887961.829999998</v>
      </c>
      <c r="BB35" s="119">
        <f>'STATEMENT OF COMPREHENSIVE INCO'!BB12</f>
        <v>130225229.27</v>
      </c>
      <c r="BC35" s="119">
        <f>'STATEMENT OF COMPREHENSIVE INCO'!BC12</f>
        <v>175649080.49000001</v>
      </c>
      <c r="BD35" s="119">
        <f>'STATEMENT OF COMPREHENSIVE INCO'!BD12</f>
        <v>222084859.84</v>
      </c>
      <c r="BE35" s="119">
        <f>'STATEMENT OF COMPREHENSIVE INCO'!BE12</f>
        <v>269054769.44999999</v>
      </c>
      <c r="BF35" s="119">
        <f>'STATEMENT OF COMPREHENSIVE INCO'!BF12</f>
        <v>316337898.55000001</v>
      </c>
    </row>
    <row r="36" spans="2:58" ht="14.25">
      <c r="B36" s="19">
        <v>9.1999999999999993</v>
      </c>
      <c r="C36" s="117" t="s">
        <v>167</v>
      </c>
      <c r="D36" s="24">
        <f>'STATEMENT OF COMPREHENSIVE INCO'!C15</f>
        <v>7903025</v>
      </c>
      <c r="E36" s="24">
        <v>10065060</v>
      </c>
      <c r="F36" s="29">
        <f>'STATEMENT OF COMPREHENSIVE INCO'!E15</f>
        <v>63812280</v>
      </c>
      <c r="G36" s="62">
        <f>'STATEMENT OF COMPREHENSIVE INCO'!F15</f>
        <v>74814135</v>
      </c>
      <c r="H36" s="62">
        <f>'STATEMENT OF COMPREHENSIVE INCO'!G15</f>
        <v>76419845</v>
      </c>
      <c r="I36" s="119">
        <f>'STATEMENT OF COMPREHENSIVE INCO'!H15</f>
        <v>115628398</v>
      </c>
      <c r="J36" s="119">
        <f>'STATEMENT OF COMPREHENSIVE INCO'!I15</f>
        <v>121752357</v>
      </c>
      <c r="K36" s="119">
        <f>'STATEMENT OF COMPREHENSIVE INCO'!J15</f>
        <v>3108225.87</v>
      </c>
      <c r="L36" s="119">
        <f>'STATEMENT OF COMPREHENSIVE INCO'!K15</f>
        <v>6014421.79</v>
      </c>
      <c r="M36" s="119">
        <f>'STATEMENT OF COMPREHENSIVE INCO'!L15</f>
        <v>8833672.6500000004</v>
      </c>
      <c r="N36" s="119">
        <f>'STATEMENT OF COMPREHENSIVE INCO'!M15</f>
        <v>14393782.57</v>
      </c>
      <c r="O36" s="119">
        <f>'STATEMENT OF COMPREHENSIVE INCO'!N15</f>
        <v>17814729.920000002</v>
      </c>
      <c r="P36" s="119">
        <f>'STATEMENT OF COMPREHENSIVE INCO'!O15</f>
        <v>20861948.050000001</v>
      </c>
      <c r="Q36" s="119">
        <f>'STATEMENT OF COMPREHENSIVE INCO'!P15</f>
        <v>23754119.27</v>
      </c>
      <c r="R36" s="119">
        <f>'STATEMENT OF COMPREHENSIVE INCO'!Q15</f>
        <v>26677526.950000003</v>
      </c>
      <c r="S36" s="119">
        <f>'STATEMENT OF COMPREHENSIVE INCO'!R15</f>
        <v>29287015.780000001</v>
      </c>
      <c r="T36" s="119">
        <f>'STATEMENT OF COMPREHENSIVE INCO'!S15</f>
        <v>42587461.729999997</v>
      </c>
      <c r="U36" s="119">
        <f>'STATEMENT OF COMPREHENSIVE INCO'!T15</f>
        <v>48139160.390000001</v>
      </c>
      <c r="V36" s="119">
        <f>'STATEMENT OF COMPREHENSIVE INCO'!U15</f>
        <v>52427250.980000004</v>
      </c>
      <c r="W36" s="119">
        <f>'STATEMENT OF COMPREHENSIVE INCO'!V15</f>
        <v>129426981</v>
      </c>
      <c r="X36" s="119">
        <f>'STATEMENT OF COMPREHENSIVE INCO'!X15</f>
        <v>65065145.309999995</v>
      </c>
      <c r="Y36" s="119">
        <f>'STATEMENT OF COMPREHENSIVE INCO'!Y15</f>
        <v>98274892</v>
      </c>
      <c r="Z36" s="119">
        <f>'STATEMENT OF COMPREHENSIVE INCO'!Z15</f>
        <v>6397891.4000000004</v>
      </c>
      <c r="AA36" s="119">
        <f>'STATEMENT OF COMPREHENSIVE INCO'!AA15</f>
        <v>11043007.140000001</v>
      </c>
      <c r="AB36" s="119">
        <f>'STATEMENT OF COMPREHENSIVE INCO'!AB15</f>
        <v>16818056.969999999</v>
      </c>
      <c r="AC36" s="119">
        <f>'STATEMENT OF COMPREHENSIVE INCO'!AC15</f>
        <v>22671288.84</v>
      </c>
      <c r="AD36" s="119">
        <f>'STATEMENT OF COMPREHENSIVE INCO'!AD15</f>
        <v>27710019.849999998</v>
      </c>
      <c r="AE36" s="119">
        <f>'STATEMENT OF COMPREHENSIVE INCO'!AE15</f>
        <v>34117034.289999999</v>
      </c>
      <c r="AF36" s="119">
        <f>'STATEMENT OF COMPREHENSIVE INCO'!AF15</f>
        <v>40217305</v>
      </c>
      <c r="AG36" s="119">
        <f>'STATEMENT OF COMPREHENSIVE INCO'!AG15</f>
        <v>44846242.850000001</v>
      </c>
      <c r="AH36" s="119">
        <f>'STATEMENT OF COMPREHENSIVE INCO'!AH15</f>
        <v>48840648.239999995</v>
      </c>
      <c r="AI36" s="119">
        <f>'STATEMENT OF COMPREHENSIVE INCO'!AI15</f>
        <v>61660478.509999998</v>
      </c>
      <c r="AJ36" s="119">
        <f>'STATEMENT OF COMPREHENSIVE INCO'!AJ15</f>
        <v>66985500.810000002</v>
      </c>
      <c r="AK36" s="119">
        <f>'STATEMENT OF COMPREHENSIVE INCO'!AK15</f>
        <v>71622272.620000005</v>
      </c>
      <c r="AL36" s="119">
        <f>'STATEMENT OF COMPREHENSIVE INCO'!AL15</f>
        <v>241868209</v>
      </c>
      <c r="AM36" s="119">
        <f>'STATEMENT OF COMPREHENSIVE INCO'!AM15</f>
        <v>6008842.5700000003</v>
      </c>
      <c r="AN36" s="119">
        <f>'STATEMENT OF COMPREHENSIVE INCO'!AN15</f>
        <v>11345829.800000001</v>
      </c>
      <c r="AO36" s="119">
        <f>'STATEMENT OF COMPREHENSIVE INCO'!AO15</f>
        <v>17133960.640000001</v>
      </c>
      <c r="AP36" s="119">
        <f>'STATEMENT OF COMPREHENSIVE INCO'!AP15</f>
        <v>24487425.260000002</v>
      </c>
      <c r="AQ36" s="119">
        <f>'STATEMENT OF COMPREHENSIVE INCO'!AQ15</f>
        <v>30529275.369999997</v>
      </c>
      <c r="AR36" s="119">
        <f>'STATEMENT OF COMPREHENSIVE INCO'!AR15</f>
        <v>37158800.200000003</v>
      </c>
      <c r="AS36" s="119">
        <f>'STATEMENT OF COMPREHENSIVE INCO'!AS15</f>
        <v>53921881.690000005</v>
      </c>
      <c r="AT36" s="119">
        <f>'STATEMENT OF COMPREHENSIVE INCO'!AT15</f>
        <v>59314109.93</v>
      </c>
      <c r="AU36" s="119">
        <f>'STATEMENT OF COMPREHENSIVE INCO'!AU15</f>
        <v>64722682.630000003</v>
      </c>
      <c r="AV36" s="119">
        <f>'STATEMENT OF COMPREHENSIVE INCO'!AV15</f>
        <v>70133570.030000001</v>
      </c>
      <c r="AW36" s="119">
        <f>'STATEMENT OF COMPREHENSIVE INCO'!AW15</f>
        <v>75697508.650000006</v>
      </c>
      <c r="AX36" s="119">
        <f>'STATEMENT OF COMPREHENSIVE INCO'!AX15</f>
        <v>81569777.849999994</v>
      </c>
      <c r="AY36" s="119">
        <f>'STATEMENT OF COMPREHENSIVE INCO'!AY15</f>
        <v>163821178</v>
      </c>
      <c r="AZ36" s="119">
        <f>'STATEMENT OF COMPREHENSIVE INCO'!AZ15</f>
        <v>13567109.109999999</v>
      </c>
      <c r="BA36" s="119">
        <f>'STATEMENT OF COMPREHENSIVE INCO'!BA15</f>
        <v>20110326.849999998</v>
      </c>
      <c r="BB36" s="119">
        <f>'STATEMENT OF COMPREHENSIVE INCO'!BB15</f>
        <v>28890036.23</v>
      </c>
      <c r="BC36" s="119">
        <f>'STATEMENT OF COMPREHENSIVE INCO'!BC15</f>
        <v>35522633.330000006</v>
      </c>
      <c r="BD36" s="119">
        <f>'STATEMENT OF COMPREHENSIVE INCO'!BD15</f>
        <v>42968009.5</v>
      </c>
      <c r="BE36" s="119">
        <f>'STATEMENT OF COMPREHENSIVE INCO'!BE15</f>
        <v>49425252.899999999</v>
      </c>
      <c r="BF36" s="119">
        <f>'STATEMENT OF COMPREHENSIVE INCO'!BF15</f>
        <v>55860065.609999999</v>
      </c>
    </row>
    <row r="37" spans="2:58" ht="13.5" customHeight="1">
      <c r="B37" s="19">
        <v>9.3000000000000007</v>
      </c>
      <c r="C37" s="117" t="s">
        <v>168</v>
      </c>
      <c r="D37" s="24">
        <f>'STATEMENT OF COMPREHENSIVE INCO'!C13</f>
        <v>6646068</v>
      </c>
      <c r="E37" s="24">
        <v>47433866</v>
      </c>
      <c r="F37" s="29">
        <f>'STATEMENT OF COMPREHENSIVE INCO'!E13</f>
        <v>32500984</v>
      </c>
      <c r="G37" s="62">
        <f>'STATEMENT OF COMPREHENSIVE INCO'!F13</f>
        <v>36640798</v>
      </c>
      <c r="H37" s="62">
        <f>'STATEMENT OF COMPREHENSIVE INCO'!G13</f>
        <v>16095443</v>
      </c>
      <c r="I37" s="119">
        <f>'STATEMENT OF COMPREHENSIVE INCO'!H13</f>
        <v>0</v>
      </c>
      <c r="J37" s="119">
        <f>'STATEMENT OF COMPREHENSIVE INCO'!I13</f>
        <v>41130226</v>
      </c>
      <c r="K37" s="119">
        <f>'STATEMENT OF COMPREHENSIVE INCO'!J13</f>
        <v>5855863.9000000004</v>
      </c>
      <c r="L37" s="119">
        <f>'STATEMENT OF COMPREHENSIVE INCO'!K13</f>
        <v>9811623.5999999996</v>
      </c>
      <c r="M37" s="119">
        <f>'STATEMENT OF COMPREHENSIVE INCO'!L13</f>
        <v>13111476.1</v>
      </c>
      <c r="N37" s="119">
        <f>'STATEMENT OF COMPREHENSIVE INCO'!M13</f>
        <v>16309634.539999999</v>
      </c>
      <c r="O37" s="119">
        <f>'STATEMENT OF COMPREHENSIVE INCO'!N13</f>
        <v>21197469.949999999</v>
      </c>
      <c r="P37" s="119">
        <f>'STATEMENT OF COMPREHENSIVE INCO'!O13</f>
        <v>24781486.52</v>
      </c>
      <c r="Q37" s="119">
        <f>'STATEMENT OF COMPREHENSIVE INCO'!P13</f>
        <v>28415873.170000002</v>
      </c>
      <c r="R37" s="119">
        <f>'STATEMENT OF COMPREHENSIVE INCO'!Q13</f>
        <v>31795777.719999999</v>
      </c>
      <c r="S37" s="119">
        <f>'STATEMENT OF COMPREHENSIVE INCO'!R13</f>
        <v>35155169.340000004</v>
      </c>
      <c r="T37" s="119">
        <f>'STATEMENT OF COMPREHENSIVE INCO'!S13</f>
        <v>37736976.509999998</v>
      </c>
      <c r="U37" s="119">
        <f>'STATEMENT OF COMPREHENSIVE INCO'!T13</f>
        <v>66037662.109999999</v>
      </c>
      <c r="V37" s="119">
        <f>'STATEMENT OF COMPREHENSIVE INCO'!U13</f>
        <v>76208014.120000005</v>
      </c>
      <c r="W37" s="119">
        <f>'STATEMENT OF COMPREHENSIVE INCO'!V13</f>
        <v>46587556</v>
      </c>
      <c r="X37" s="119">
        <f>'STATEMENT OF COMPREHENSIVE INCO'!X13</f>
        <v>85530987.730000004</v>
      </c>
      <c r="Y37" s="119">
        <f>'STATEMENT OF COMPREHENSIVE INCO'!Y13</f>
        <v>139594495</v>
      </c>
      <c r="Z37" s="119">
        <f>'STATEMENT OF COMPREHENSIVE INCO'!Z13</f>
        <v>7724126.2999999998</v>
      </c>
      <c r="AA37" s="119">
        <f>'STATEMENT OF COMPREHENSIVE INCO'!AA13</f>
        <v>13198364.4</v>
      </c>
      <c r="AB37" s="119">
        <f>'STATEMENT OF COMPREHENSIVE INCO'!AB13</f>
        <v>19476687.899999999</v>
      </c>
      <c r="AC37" s="119">
        <f>'STATEMENT OF COMPREHENSIVE INCO'!AC13</f>
        <v>23987934.600000001</v>
      </c>
      <c r="AD37" s="119">
        <f>'STATEMENT OF COMPREHENSIVE INCO'!AD13</f>
        <v>30987550.5</v>
      </c>
      <c r="AE37" s="119">
        <f>'STATEMENT OF COMPREHENSIVE INCO'!AE13</f>
        <v>36788398</v>
      </c>
      <c r="AF37" s="119">
        <f>'STATEMENT OF COMPREHENSIVE INCO'!AF13</f>
        <v>42165177.899999999</v>
      </c>
      <c r="AG37" s="119">
        <f>'STATEMENT OF COMPREHENSIVE INCO'!AG13</f>
        <v>46371403.299999997</v>
      </c>
      <c r="AH37" s="119">
        <f>'STATEMENT OF COMPREHENSIVE INCO'!AH13</f>
        <v>50084110.600000001</v>
      </c>
      <c r="AI37" s="119">
        <f>'STATEMENT OF COMPREHENSIVE INCO'!AI13</f>
        <v>53304954.299999997</v>
      </c>
      <c r="AJ37" s="119">
        <f>'STATEMENT OF COMPREHENSIVE INCO'!AJ13</f>
        <v>73235728.400000006</v>
      </c>
      <c r="AK37" s="119">
        <f>'STATEMENT OF COMPREHENSIVE INCO'!AK13</f>
        <v>88036892.5</v>
      </c>
      <c r="AL37" s="119">
        <f>'STATEMENT OF COMPREHENSIVE INCO'!AL13</f>
        <v>0</v>
      </c>
      <c r="AM37" s="119">
        <f>'STATEMENT OF COMPREHENSIVE INCO'!AM13</f>
        <v>5613530.4000000004</v>
      </c>
      <c r="AN37" s="119">
        <f>'STATEMENT OF COMPREHENSIVE INCO'!AN13</f>
        <v>10721646.199999999</v>
      </c>
      <c r="AO37" s="119">
        <f>'STATEMENT OF COMPREHENSIVE INCO'!AO13</f>
        <v>16723439</v>
      </c>
      <c r="AP37" s="119">
        <f>'STATEMENT OF COMPREHENSIVE INCO'!AP13</f>
        <v>22419741.899999999</v>
      </c>
      <c r="AQ37" s="119">
        <f>'STATEMENT OF COMPREHENSIVE INCO'!AQ13</f>
        <v>27511640.800000001</v>
      </c>
      <c r="AR37" s="119">
        <f>'STATEMENT OF COMPREHENSIVE INCO'!AR13</f>
        <v>32096277.600000001</v>
      </c>
      <c r="AS37" s="119">
        <f>'STATEMENT OF COMPREHENSIVE INCO'!AS13</f>
        <v>49283926.899999999</v>
      </c>
      <c r="AT37" s="119">
        <f>'STATEMENT OF COMPREHENSIVE INCO'!AT13</f>
        <v>59761933.5</v>
      </c>
      <c r="AU37" s="119">
        <f>'STATEMENT OF COMPREHENSIVE INCO'!AU13</f>
        <v>69107854.5</v>
      </c>
      <c r="AV37" s="119">
        <f>'STATEMENT OF COMPREHENSIVE INCO'!AV13</f>
        <v>75171913.400000006</v>
      </c>
      <c r="AW37" s="119">
        <f>'STATEMENT OF COMPREHENSIVE INCO'!AW13</f>
        <v>82767837.299999997</v>
      </c>
      <c r="AX37" s="119">
        <f>'STATEMENT OF COMPREHENSIVE INCO'!AX13</f>
        <v>84678042.5</v>
      </c>
      <c r="AY37" s="119">
        <f>'STATEMENT OF COMPREHENSIVE INCO'!AY13</f>
        <v>140016508</v>
      </c>
      <c r="AZ37" s="119">
        <f>'STATEMENT OF COMPREHENSIVE INCO'!AZ13</f>
        <v>7216026.7000000002</v>
      </c>
      <c r="BA37" s="119">
        <f>'STATEMENT OF COMPREHENSIVE INCO'!BA13</f>
        <v>14761485</v>
      </c>
      <c r="BB37" s="119">
        <f>'STATEMENT OF COMPREHENSIVE INCO'!BB13</f>
        <v>24569142.399999999</v>
      </c>
      <c r="BC37" s="119">
        <f>'STATEMENT OF COMPREHENSIVE INCO'!BC13</f>
        <v>29220970.600000001</v>
      </c>
      <c r="BD37" s="119">
        <f>'STATEMENT OF COMPREHENSIVE INCO'!BD13</f>
        <v>36236050.5</v>
      </c>
      <c r="BE37" s="119">
        <f>'STATEMENT OF COMPREHENSIVE INCO'!BE13</f>
        <v>43188757.799999997</v>
      </c>
      <c r="BF37" s="119">
        <f>'STATEMENT OF COMPREHENSIVE INCO'!BF13</f>
        <v>47477869.399999999</v>
      </c>
    </row>
    <row r="38" spans="2:58" ht="14.25" hidden="1">
      <c r="B38" s="19">
        <v>9.4</v>
      </c>
      <c r="C38" s="117" t="s">
        <v>169</v>
      </c>
      <c r="D38" s="24"/>
      <c r="E38" s="24"/>
      <c r="F38" s="29"/>
      <c r="G38" s="61"/>
      <c r="H38" s="61"/>
      <c r="I38" s="118"/>
      <c r="J38" s="118"/>
      <c r="K38" s="118"/>
      <c r="L38" s="118"/>
      <c r="M38" s="118"/>
      <c r="N38" s="118"/>
      <c r="O38" s="118"/>
      <c r="P38" s="118"/>
      <c r="Q38" s="118"/>
      <c r="R38" s="118"/>
      <c r="S38" s="118"/>
      <c r="T38" s="118"/>
      <c r="U38" s="118"/>
      <c r="V38" s="118"/>
      <c r="W38" s="118"/>
      <c r="X38" s="118"/>
      <c r="Y38" s="118"/>
      <c r="Z38" s="118"/>
      <c r="AA38" s="118"/>
      <c r="AB38" s="118"/>
      <c r="AC38" s="118"/>
      <c r="AD38" s="118"/>
      <c r="AE38" s="118"/>
      <c r="AF38" s="118"/>
      <c r="AG38" s="118"/>
      <c r="AH38" s="118"/>
      <c r="AI38" s="118"/>
      <c r="AJ38" s="118"/>
      <c r="AK38" s="118"/>
      <c r="AL38" s="118"/>
      <c r="AM38" s="118"/>
      <c r="AN38" s="118"/>
      <c r="AO38" s="118"/>
      <c r="AP38" s="118"/>
      <c r="AQ38" s="118"/>
      <c r="AR38" s="118"/>
      <c r="AS38" s="118"/>
      <c r="AT38" s="118"/>
      <c r="AU38" s="118"/>
      <c r="AV38" s="118"/>
      <c r="AW38" s="118"/>
      <c r="AX38" s="118"/>
      <c r="AY38" s="118"/>
      <c r="AZ38" s="118"/>
      <c r="BA38" s="118"/>
      <c r="BB38" s="118"/>
      <c r="BC38" s="118"/>
      <c r="BD38" s="118"/>
      <c r="BE38" s="118"/>
      <c r="BF38" s="118"/>
    </row>
    <row r="39" spans="2:58" ht="14.25" hidden="1">
      <c r="C39" s="117"/>
      <c r="D39" s="24"/>
      <c r="E39" s="22"/>
      <c r="F39" s="29"/>
      <c r="G39" s="61"/>
      <c r="H39" s="61"/>
      <c r="I39" s="118"/>
      <c r="J39" s="118"/>
      <c r="K39" s="118"/>
      <c r="L39" s="118"/>
      <c r="M39" s="118"/>
      <c r="N39" s="118"/>
      <c r="O39" s="118"/>
      <c r="P39" s="118"/>
      <c r="Q39" s="118"/>
      <c r="R39" s="118"/>
      <c r="S39" s="118"/>
      <c r="T39" s="118"/>
      <c r="U39" s="118"/>
      <c r="V39" s="118"/>
      <c r="W39" s="118"/>
      <c r="X39" s="118"/>
      <c r="Y39" s="118"/>
      <c r="Z39" s="118"/>
      <c r="AA39" s="118"/>
      <c r="AB39" s="118"/>
      <c r="AC39" s="118"/>
      <c r="AD39" s="118"/>
      <c r="AE39" s="118"/>
      <c r="AF39" s="118"/>
      <c r="AG39" s="118"/>
      <c r="AH39" s="118"/>
      <c r="AI39" s="118"/>
      <c r="AJ39" s="118"/>
      <c r="AK39" s="118"/>
      <c r="AL39" s="118"/>
      <c r="AM39" s="118"/>
      <c r="AN39" s="118"/>
      <c r="AO39" s="118"/>
      <c r="AP39" s="118"/>
      <c r="AQ39" s="118"/>
      <c r="AR39" s="118"/>
      <c r="AS39" s="118"/>
      <c r="AT39" s="118"/>
      <c r="AU39" s="118"/>
      <c r="AV39" s="118"/>
      <c r="AW39" s="118"/>
      <c r="AX39" s="118"/>
      <c r="AY39" s="118"/>
      <c r="AZ39" s="118"/>
      <c r="BA39" s="118"/>
      <c r="BB39" s="118"/>
      <c r="BC39" s="118"/>
      <c r="BD39" s="118"/>
      <c r="BE39" s="118"/>
      <c r="BF39" s="118"/>
    </row>
    <row r="40" spans="2:58" ht="14.25">
      <c r="B40" s="20">
        <v>10</v>
      </c>
      <c r="C40" s="131" t="s">
        <v>170</v>
      </c>
      <c r="D40" s="35">
        <f>D44+D43+D42+D41</f>
        <v>55053569</v>
      </c>
      <c r="E40" s="35">
        <f>E44+E43+E42+E41</f>
        <v>131526595</v>
      </c>
      <c r="F40" s="29">
        <f>'STATEMENT OF COMPREHENSIVE INCO'!E21+'STATEMENT OF COMPREHENSIVE INCO'!E36</f>
        <v>139247039</v>
      </c>
      <c r="G40" s="62">
        <f>'STATEMENT OF COMPREHENSIVE INCO'!F21+'STATEMENT OF COMPREHENSIVE INCO'!F36</f>
        <v>190484815</v>
      </c>
      <c r="H40" s="62">
        <f>'STATEMENT OF COMPREHENSIVE INCO'!G21+'STATEMENT OF COMPREHENSIVE INCO'!G36</f>
        <v>171390153</v>
      </c>
      <c r="I40" s="119">
        <f>'STATEMENT OF COMPREHENSIVE INCO'!H21+'STATEMENT OF COMPREHENSIVE INCO'!H36</f>
        <v>202505503</v>
      </c>
      <c r="J40" s="119">
        <f>'STATEMENT OF COMPREHENSIVE INCO'!I21+'STATEMENT OF COMPREHENSIVE INCO'!I36</f>
        <v>241978113</v>
      </c>
      <c r="K40" s="119">
        <f>'STATEMENT OF COMPREHENSIVE INCO'!J21+'STATEMENT OF COMPREHENSIVE INCO'!J36</f>
        <v>18322443.530000001</v>
      </c>
      <c r="L40" s="119">
        <f>'STATEMENT OF COMPREHENSIVE INCO'!K21+'STATEMENT OF COMPREHENSIVE INCO'!K36</f>
        <v>39580612.920000002</v>
      </c>
      <c r="M40" s="119">
        <f>'STATEMENT OF COMPREHENSIVE INCO'!L21+'STATEMENT OF COMPREHENSIVE INCO'!L36</f>
        <v>59751606.689999998</v>
      </c>
      <c r="N40" s="119">
        <f>'STATEMENT OF COMPREHENSIVE INCO'!M21+'STATEMENT OF COMPREHENSIVE INCO'!M36</f>
        <v>79913721.909999996</v>
      </c>
      <c r="O40" s="119">
        <f>'STATEMENT OF COMPREHENSIVE INCO'!N21+'STATEMENT OF COMPREHENSIVE INCO'!N36</f>
        <v>102847139.08</v>
      </c>
      <c r="P40" s="119">
        <f>'STATEMENT OF COMPREHENSIVE INCO'!O21+'STATEMENT OF COMPREHENSIVE INCO'!O36</f>
        <v>121486135.32999998</v>
      </c>
      <c r="Q40" s="119">
        <f>'STATEMENT OF COMPREHENSIVE INCO'!P21+'STATEMENT OF COMPREHENSIVE INCO'!P36</f>
        <v>137682675.72999999</v>
      </c>
      <c r="R40" s="119">
        <f>'STATEMENT OF COMPREHENSIVE INCO'!Q21+'STATEMENT OF COMPREHENSIVE INCO'!Q36</f>
        <v>159364496.53</v>
      </c>
      <c r="S40" s="119">
        <f>'STATEMENT OF COMPREHENSIVE INCO'!R21+'STATEMENT OF COMPREHENSIVE INCO'!R36</f>
        <v>180234713.48000002</v>
      </c>
      <c r="T40" s="119">
        <f>'STATEMENT OF COMPREHENSIVE INCO'!S21+'STATEMENT OF COMPREHENSIVE INCO'!S36</f>
        <v>200848013.44</v>
      </c>
      <c r="U40" s="119">
        <f>'STATEMENT OF COMPREHENSIVE INCO'!T21+'STATEMENT OF COMPREHENSIVE INCO'!T36</f>
        <v>222733916.41000003</v>
      </c>
      <c r="V40" s="119">
        <f>'STATEMENT OF COMPREHENSIVE INCO'!U21+'STATEMENT OF COMPREHENSIVE INCO'!U36</f>
        <v>257635748.91999999</v>
      </c>
      <c r="W40" s="119">
        <f>'STATEMENT OF COMPREHENSIVE INCO'!V21+'STATEMENT OF COMPREHENSIVE INCO'!V36</f>
        <v>257635750</v>
      </c>
      <c r="X40" s="119">
        <f>'STATEMENT OF COMPREHENSIVE INCO'!X21+'STATEMENT OF COMPREHENSIVE INCO'!X36</f>
        <v>187787494.18000001</v>
      </c>
      <c r="Y40" s="119">
        <f>'STATEMENT OF COMPREHENSIVE INCO'!Y21+'STATEMENT OF COMPREHENSIVE INCO'!Y36</f>
        <v>382880307</v>
      </c>
      <c r="Z40" s="119">
        <f>'STATEMENT OF COMPREHENSIVE INCO'!Z21+'STATEMENT OF COMPREHENSIVE INCO'!Z36</f>
        <v>36122790.350000001</v>
      </c>
      <c r="AA40" s="119">
        <f>'STATEMENT OF COMPREHENSIVE INCO'!AA21+'STATEMENT OF COMPREHENSIVE INCO'!AA36</f>
        <v>72899539.980000004</v>
      </c>
      <c r="AB40" s="119">
        <f>'STATEMENT OF COMPREHENSIVE INCO'!AB21+'STATEMENT OF COMPREHENSIVE INCO'!AB36</f>
        <v>112685624.52</v>
      </c>
      <c r="AC40" s="119">
        <f>'STATEMENT OF COMPREHENSIVE INCO'!AC21+'STATEMENT OF COMPREHENSIVE INCO'!AC36</f>
        <v>151074277.94999999</v>
      </c>
      <c r="AD40" s="119">
        <f>'STATEMENT OF COMPREHENSIVE INCO'!AD21+'STATEMENT OF COMPREHENSIVE INCO'!AD36</f>
        <v>188493953.92000002</v>
      </c>
      <c r="AE40" s="119">
        <f>'STATEMENT OF COMPREHENSIVE INCO'!AE21+'STATEMENT OF COMPREHENSIVE INCO'!AE36</f>
        <v>229164121.89999998</v>
      </c>
      <c r="AF40" s="119">
        <f>'STATEMENT OF COMPREHENSIVE INCO'!AF21+'STATEMENT OF COMPREHENSIVE INCO'!AF36</f>
        <v>275532286.78999996</v>
      </c>
      <c r="AG40" s="119">
        <f>'STATEMENT OF COMPREHENSIVE INCO'!AG21+'STATEMENT OF COMPREHENSIVE INCO'!AG36</f>
        <v>313925066.84000003</v>
      </c>
      <c r="AH40" s="119">
        <f>'STATEMENT OF COMPREHENSIVE INCO'!AH21+'STATEMENT OF COMPREHENSIVE INCO'!AH36</f>
        <v>356965078.97000003</v>
      </c>
      <c r="AI40" s="119">
        <f>'STATEMENT OF COMPREHENSIVE INCO'!AI21+'STATEMENT OF COMPREHENSIVE INCO'!AI36</f>
        <v>397829618.59000003</v>
      </c>
      <c r="AJ40" s="119">
        <f>'STATEMENT OF COMPREHENSIVE INCO'!AJ21+'STATEMENT OF COMPREHENSIVE INCO'!AJ36</f>
        <v>438556820.83000004</v>
      </c>
      <c r="AK40" s="119">
        <f>'STATEMENT OF COMPREHENSIVE INCO'!AK21+'STATEMENT OF COMPREHENSIVE INCO'!AK36</f>
        <v>480183219.06</v>
      </c>
      <c r="AL40" s="119">
        <f>'STATEMENT OF COMPREHENSIVE INCO'!AL21+'STATEMENT OF COMPREHENSIVE INCO'!AL36</f>
        <v>485183219</v>
      </c>
      <c r="AM40" s="119">
        <f>'STATEMENT OF COMPREHENSIVE INCO'!AM21+'STATEMENT OF COMPREHENSIVE INCO'!AM36</f>
        <v>44970152.68</v>
      </c>
      <c r="AN40" s="119">
        <f>'STATEMENT OF COMPREHENSIVE INCO'!AN21+'STATEMENT OF COMPREHENSIVE INCO'!AN36</f>
        <v>90574422.949999988</v>
      </c>
      <c r="AO40" s="119">
        <f>'STATEMENT OF COMPREHENSIVE INCO'!AO21+'STATEMENT OF COMPREHENSIVE INCO'!AO36</f>
        <v>144124111.84</v>
      </c>
      <c r="AP40" s="119">
        <f>'STATEMENT OF COMPREHENSIVE INCO'!AP21+'STATEMENT OF COMPREHENSIVE INCO'!AP36</f>
        <v>193229305.94999999</v>
      </c>
      <c r="AQ40" s="119">
        <f>'STATEMENT OF COMPREHENSIVE INCO'!AQ21+'STATEMENT OF COMPREHENSIVE INCO'!AQ36</f>
        <v>238179689.97</v>
      </c>
      <c r="AR40" s="119">
        <f>'STATEMENT OF COMPREHENSIVE INCO'!AR21+'STATEMENT OF COMPREHENSIVE INCO'!AR36</f>
        <v>290513895.09000003</v>
      </c>
      <c r="AS40" s="119">
        <f>'STATEMENT OF COMPREHENSIVE INCO'!AS21+'STATEMENT OF COMPREHENSIVE INCO'!AS36</f>
        <v>346526017.5</v>
      </c>
      <c r="AT40" s="119">
        <f>'STATEMENT OF COMPREHENSIVE INCO'!AT21+'STATEMENT OF COMPREHENSIVE INCO'!AT36</f>
        <v>395083911.24000001</v>
      </c>
      <c r="AU40" s="119">
        <f>'STATEMENT OF COMPREHENSIVE INCO'!AU21+'STATEMENT OF COMPREHENSIVE INCO'!AU36</f>
        <v>448473168.75</v>
      </c>
      <c r="AV40" s="119">
        <f>'STATEMENT OF COMPREHENSIVE INCO'!AV21+'STATEMENT OF COMPREHENSIVE INCO'!AV36</f>
        <v>498812122.10999995</v>
      </c>
      <c r="AW40" s="119">
        <f>'STATEMENT OF COMPREHENSIVE INCO'!AW21+'STATEMENT OF COMPREHENSIVE INCO'!AW36</f>
        <v>560940908.47000003</v>
      </c>
      <c r="AX40" s="119">
        <f>'STATEMENT OF COMPREHENSIVE INCO'!AX21+'STATEMENT OF COMPREHENSIVE INCO'!AX36</f>
        <v>617384498.30000007</v>
      </c>
      <c r="AY40" s="119">
        <f>'STATEMENT OF COMPREHENSIVE INCO'!AY21+'STATEMENT OF COMPREHENSIVE INCO'!AY36</f>
        <v>599853364</v>
      </c>
      <c r="AZ40" s="119">
        <f>'STATEMENT OF COMPREHENSIVE INCO'!AZ21+'STATEMENT OF COMPREHENSIVE INCO'!AZ36</f>
        <v>56100157.490000002</v>
      </c>
      <c r="BA40" s="119">
        <f>'STATEMENT OF COMPREHENSIVE INCO'!BA21+'STATEMENT OF COMPREHENSIVE INCO'!BA36</f>
        <v>115296720.33000001</v>
      </c>
      <c r="BB40" s="119">
        <f>'STATEMENT OF COMPREHENSIVE INCO'!BB21+'STATEMENT OF COMPREHENSIVE INCO'!BB36</f>
        <v>170690933.04999998</v>
      </c>
      <c r="BC40" s="119">
        <f>'STATEMENT OF COMPREHENSIVE INCO'!BC21+'STATEMENT OF COMPREHENSIVE INCO'!BC36</f>
        <v>205078210.61000001</v>
      </c>
      <c r="BD40" s="119">
        <f>'STATEMENT OF COMPREHENSIVE INCO'!BD21+'STATEMENT OF COMPREHENSIVE INCO'!BD36</f>
        <v>267350227.41</v>
      </c>
      <c r="BE40" s="119">
        <f>'STATEMENT OF COMPREHENSIVE INCO'!BE21+'STATEMENT OF COMPREHENSIVE INCO'!BE36</f>
        <v>348948851.31</v>
      </c>
      <c r="BF40" s="119">
        <f>'STATEMENT OF COMPREHENSIVE INCO'!BF21+'STATEMENT OF COMPREHENSIVE INCO'!BF36</f>
        <v>410874252.72000003</v>
      </c>
    </row>
    <row r="41" spans="2:58" ht="14.25">
      <c r="B41" s="19">
        <v>10.1</v>
      </c>
      <c r="C41" s="117" t="s">
        <v>171</v>
      </c>
      <c r="D41" s="41">
        <f>'STATEMENT OF COMPREHENSIVE INCO'!C22</f>
        <v>0</v>
      </c>
      <c r="E41" s="41">
        <v>40000000</v>
      </c>
      <c r="F41" s="29">
        <f>'STATEMENT OF COMPREHENSIVE INCO'!E24</f>
        <v>0</v>
      </c>
      <c r="G41" s="62">
        <f>'STATEMENT OF COMPREHENSIVE INCO'!F24</f>
        <v>0</v>
      </c>
      <c r="H41" s="62">
        <v>55000000</v>
      </c>
      <c r="I41" s="119">
        <v>55000009</v>
      </c>
      <c r="J41" s="119">
        <v>55000022</v>
      </c>
      <c r="K41" s="119">
        <v>55000023</v>
      </c>
      <c r="L41" s="119">
        <v>55000024</v>
      </c>
      <c r="M41" s="119">
        <v>55000025</v>
      </c>
      <c r="N41" s="119">
        <v>55000026</v>
      </c>
      <c r="O41" s="119">
        <v>55000027</v>
      </c>
      <c r="P41" s="119">
        <v>55000028</v>
      </c>
      <c r="Q41" s="119">
        <v>55000029</v>
      </c>
      <c r="R41" s="119">
        <v>55000030</v>
      </c>
      <c r="S41" s="119">
        <v>55000031</v>
      </c>
      <c r="T41" s="119">
        <v>55000032</v>
      </c>
      <c r="U41" s="119">
        <v>55000033</v>
      </c>
      <c r="V41" s="119">
        <v>55000034</v>
      </c>
      <c r="W41" s="119">
        <v>55000035</v>
      </c>
      <c r="X41" s="119">
        <v>55000036</v>
      </c>
      <c r="Y41" s="119">
        <v>55000036</v>
      </c>
      <c r="Z41" s="119">
        <v>55000037</v>
      </c>
      <c r="AA41" s="119">
        <v>55000038</v>
      </c>
      <c r="AB41" s="119">
        <v>55000039</v>
      </c>
      <c r="AC41" s="119">
        <v>55000040</v>
      </c>
      <c r="AD41" s="119">
        <v>55000041</v>
      </c>
      <c r="AE41" s="119">
        <v>55000042</v>
      </c>
      <c r="AF41" s="119">
        <v>55000043</v>
      </c>
      <c r="AG41" s="119">
        <v>55000044</v>
      </c>
      <c r="AH41" s="119">
        <v>55000045</v>
      </c>
      <c r="AI41" s="119">
        <v>55000046</v>
      </c>
      <c r="AJ41" s="119">
        <v>55000047</v>
      </c>
      <c r="AK41" s="119">
        <v>55000048</v>
      </c>
      <c r="AL41" s="119">
        <v>55000049</v>
      </c>
      <c r="AM41" s="119">
        <v>55000050</v>
      </c>
      <c r="AN41" s="119">
        <v>55000051</v>
      </c>
      <c r="AO41" s="119">
        <v>55000052</v>
      </c>
      <c r="AP41" s="119">
        <v>55000053</v>
      </c>
      <c r="AQ41" s="119">
        <v>55000054</v>
      </c>
      <c r="AR41" s="119">
        <v>55000055</v>
      </c>
      <c r="AS41" s="119">
        <v>55000056</v>
      </c>
      <c r="AT41" s="119">
        <v>55000057</v>
      </c>
      <c r="AU41" s="119">
        <v>55000058</v>
      </c>
      <c r="AV41" s="119">
        <v>55000059</v>
      </c>
      <c r="AW41" s="119">
        <v>55000060</v>
      </c>
      <c r="AX41" s="119">
        <v>55000061</v>
      </c>
      <c r="AY41" s="119">
        <v>55000062</v>
      </c>
      <c r="AZ41" s="119">
        <v>55000063</v>
      </c>
      <c r="BA41" s="119">
        <v>55000064</v>
      </c>
      <c r="BB41" s="119">
        <v>55000065</v>
      </c>
      <c r="BC41" s="119">
        <v>55000066</v>
      </c>
      <c r="BD41" s="119">
        <v>55000067</v>
      </c>
      <c r="BE41" s="119">
        <v>55000068</v>
      </c>
      <c r="BF41" s="119">
        <v>55000069</v>
      </c>
    </row>
    <row r="42" spans="2:58" ht="14.25" hidden="1">
      <c r="B42" s="19">
        <v>10.199999999999999</v>
      </c>
      <c r="C42" s="117" t="s">
        <v>172</v>
      </c>
      <c r="D42" s="41">
        <f>'STATEMENT OF COMPREHENSIVE INCO'!C24</f>
        <v>35000000</v>
      </c>
      <c r="E42" s="41"/>
      <c r="F42" s="29">
        <v>0</v>
      </c>
      <c r="G42" s="62"/>
      <c r="H42" s="62"/>
      <c r="I42" s="118"/>
      <c r="J42" s="118"/>
      <c r="K42" s="118"/>
      <c r="L42" s="118"/>
      <c r="M42" s="118"/>
      <c r="N42" s="118"/>
      <c r="O42" s="118"/>
      <c r="P42" s="118"/>
      <c r="Q42" s="118"/>
      <c r="R42" s="118"/>
      <c r="S42" s="118"/>
      <c r="T42" s="118"/>
      <c r="U42" s="118"/>
      <c r="V42" s="118"/>
      <c r="W42" s="118"/>
      <c r="X42" s="118"/>
      <c r="Y42" s="118"/>
      <c r="Z42" s="118"/>
      <c r="AA42" s="118"/>
      <c r="AB42" s="118"/>
      <c r="AC42" s="118"/>
      <c r="AD42" s="118"/>
      <c r="AE42" s="118"/>
      <c r="AF42" s="118"/>
      <c r="AG42" s="118"/>
      <c r="AH42" s="118"/>
      <c r="AI42" s="118"/>
      <c r="AJ42" s="118"/>
      <c r="AK42" s="118"/>
      <c r="AL42" s="118"/>
      <c r="AM42" s="118"/>
      <c r="AN42" s="118"/>
      <c r="AO42" s="118"/>
      <c r="AP42" s="118"/>
      <c r="AQ42" s="118"/>
      <c r="AR42" s="118"/>
      <c r="AS42" s="118"/>
      <c r="AT42" s="118"/>
      <c r="AU42" s="118"/>
      <c r="AV42" s="118"/>
      <c r="AW42" s="118"/>
      <c r="AX42" s="118"/>
      <c r="AY42" s="118"/>
      <c r="AZ42" s="118"/>
      <c r="BA42" s="118"/>
      <c r="BB42" s="118"/>
      <c r="BC42" s="118"/>
      <c r="BD42" s="118"/>
      <c r="BE42" s="118"/>
      <c r="BF42" s="118"/>
    </row>
    <row r="43" spans="2:58" ht="14.25">
      <c r="B43" s="19">
        <v>10.3</v>
      </c>
      <c r="C43" s="117" t="s">
        <v>173</v>
      </c>
      <c r="D43" s="23">
        <f>'STATEMENT OF COMPREHENSIVE INCO'!C23</f>
        <v>0</v>
      </c>
      <c r="E43" s="41">
        <v>19745494</v>
      </c>
      <c r="F43" s="29">
        <f>'STATEMENT OF COMPREHENSIVE INCO'!E23</f>
        <v>22050995</v>
      </c>
      <c r="G43" s="62">
        <f>'STATEMENT OF COMPREHENSIVE INCO'!F23</f>
        <v>15150271</v>
      </c>
      <c r="H43" s="62">
        <f>'STATEMENT OF COMPREHENSIVE INCO'!G23</f>
        <v>7589359</v>
      </c>
      <c r="I43" s="119">
        <f>'STATEMENT OF COMPREHENSIVE INCO'!H23</f>
        <v>1522628</v>
      </c>
      <c r="J43" s="119">
        <f>'STATEMENT OF COMPREHENSIVE INCO'!I23</f>
        <v>0</v>
      </c>
      <c r="K43" s="119">
        <f>'STATEMENT OF COMPREHENSIVE INCO'!J23</f>
        <v>0</v>
      </c>
      <c r="L43" s="119">
        <f>'STATEMENT OF COMPREHENSIVE INCO'!K23</f>
        <v>0</v>
      </c>
      <c r="M43" s="119">
        <f>'STATEMENT OF COMPREHENSIVE INCO'!L23</f>
        <v>0</v>
      </c>
      <c r="N43" s="119">
        <f>'STATEMENT OF COMPREHENSIVE INCO'!M23</f>
        <v>0</v>
      </c>
      <c r="O43" s="119">
        <f>'STATEMENT OF COMPREHENSIVE INCO'!N23</f>
        <v>0</v>
      </c>
      <c r="P43" s="119">
        <f>'STATEMENT OF COMPREHENSIVE INCO'!O23</f>
        <v>0</v>
      </c>
      <c r="Q43" s="119">
        <f>'STATEMENT OF COMPREHENSIVE INCO'!P23</f>
        <v>0</v>
      </c>
      <c r="R43" s="119">
        <f>'STATEMENT OF COMPREHENSIVE INCO'!Q23</f>
        <v>0</v>
      </c>
      <c r="S43" s="119">
        <f>'STATEMENT OF COMPREHENSIVE INCO'!R23</f>
        <v>0</v>
      </c>
      <c r="T43" s="119">
        <f>'STATEMENT OF COMPREHENSIVE INCO'!S23</f>
        <v>355068</v>
      </c>
      <c r="U43" s="119">
        <f>'STATEMENT OF COMPREHENSIVE INCO'!T23</f>
        <v>355068</v>
      </c>
      <c r="V43" s="119">
        <f>'STATEMENT OF COMPREHENSIVE INCO'!U23</f>
        <v>355068</v>
      </c>
      <c r="W43" s="119">
        <f>'STATEMENT OF COMPREHENSIVE INCO'!V23</f>
        <v>355068</v>
      </c>
      <c r="X43" s="119">
        <f>'STATEMENT OF COMPREHENSIVE INCO'!X23</f>
        <v>0</v>
      </c>
      <c r="Y43" s="119">
        <f>'STATEMENT OF COMPREHENSIVE INCO'!Y23</f>
        <v>0</v>
      </c>
      <c r="Z43" s="119">
        <f>'STATEMENT OF COMPREHENSIVE INCO'!Z23</f>
        <v>5583.33</v>
      </c>
      <c r="AA43" s="119">
        <f>'STATEMENT OF COMPREHENSIVE INCO'!AA23</f>
        <v>10474.66</v>
      </c>
      <c r="AB43" s="119">
        <f>'STATEMENT OF COMPREHENSIVE INCO'!AB23</f>
        <v>15365.99</v>
      </c>
      <c r="AC43" s="119">
        <f>'STATEMENT OF COMPREHENSIVE INCO'!AC23</f>
        <v>20257.330000000002</v>
      </c>
      <c r="AD43" s="119">
        <f>'STATEMENT OF COMPREHENSIVE INCO'!AD23</f>
        <v>24455.33</v>
      </c>
      <c r="AE43" s="119">
        <f>'STATEMENT OF COMPREHENSIVE INCO'!AE23</f>
        <v>28653.33</v>
      </c>
      <c r="AF43" s="119">
        <f>'STATEMENT OF COMPREHENSIVE INCO'!AF23</f>
        <v>32851.33</v>
      </c>
      <c r="AG43" s="119">
        <f>'STATEMENT OF COMPREHENSIVE INCO'!AG23</f>
        <v>36355.33</v>
      </c>
      <c r="AH43" s="119">
        <f>'STATEMENT OF COMPREHENSIVE INCO'!AH23</f>
        <v>39857.33</v>
      </c>
      <c r="AI43" s="119">
        <f>'STATEMENT OF COMPREHENSIVE INCO'!AI23</f>
        <v>43359.33</v>
      </c>
      <c r="AJ43" s="119">
        <f>'STATEMENT OF COMPREHENSIVE INCO'!AJ23</f>
        <v>46166.33</v>
      </c>
      <c r="AK43" s="119">
        <f>'STATEMENT OF COMPREHENSIVE INCO'!AK23</f>
        <v>48971.33</v>
      </c>
      <c r="AL43" s="119">
        <f>'STATEMENT OF COMPREHENSIVE INCO'!AL23</f>
        <v>0</v>
      </c>
      <c r="AM43" s="119">
        <f>'STATEMENT OF COMPREHENSIVE INCO'!AM23</f>
        <v>2805</v>
      </c>
      <c r="AN43" s="119">
        <f>'STATEMENT OF COMPREHENSIVE INCO'!AN23</f>
        <v>4913</v>
      </c>
      <c r="AO43" s="119">
        <f>'STATEMENT OF COMPREHENSIVE INCO'!AO23</f>
        <v>7019</v>
      </c>
      <c r="AP43" s="119">
        <f>'STATEMENT OF COMPREHENSIVE INCO'!AP23</f>
        <v>9125</v>
      </c>
      <c r="AQ43" s="119">
        <f>'STATEMENT OF COMPREHENSIVE INCO'!AQ23</f>
        <v>10532</v>
      </c>
      <c r="AR43" s="119">
        <f>'STATEMENT OF COMPREHENSIVE INCO'!AR23</f>
        <v>11938</v>
      </c>
      <c r="AS43" s="119">
        <f>'STATEMENT OF COMPREHENSIVE INCO'!AS23</f>
        <v>13344</v>
      </c>
      <c r="AT43" s="119">
        <f>'STATEMENT OF COMPREHENSIVE INCO'!AT23</f>
        <v>14048</v>
      </c>
      <c r="AU43" s="119">
        <f>'STATEMENT OF COMPREHENSIVE INCO'!AU23</f>
        <v>14752</v>
      </c>
      <c r="AV43" s="119">
        <f>'STATEMENT OF COMPREHENSIVE INCO'!AV23</f>
        <v>15456</v>
      </c>
      <c r="AW43" s="119">
        <f>'STATEMENT OF COMPREHENSIVE INCO'!AW23</f>
        <v>15456</v>
      </c>
      <c r="AX43" s="119">
        <f>'STATEMENT OF COMPREHENSIVE INCO'!AX23</f>
        <v>15456</v>
      </c>
      <c r="AY43" s="119">
        <f>'STATEMENT OF COMPREHENSIVE INCO'!AY23</f>
        <v>15456</v>
      </c>
      <c r="AZ43" s="119">
        <f>'STATEMENT OF COMPREHENSIVE INCO'!AZ23</f>
        <v>0</v>
      </c>
      <c r="BA43" s="119">
        <f>'STATEMENT OF COMPREHENSIVE INCO'!BA23</f>
        <v>0</v>
      </c>
      <c r="BB43" s="119">
        <f>'STATEMENT OF COMPREHENSIVE INCO'!BB23</f>
        <v>0</v>
      </c>
      <c r="BC43" s="119">
        <f>'STATEMENT OF COMPREHENSIVE INCO'!BC23</f>
        <v>0</v>
      </c>
      <c r="BD43" s="119">
        <f>'STATEMENT OF COMPREHENSIVE INCO'!BD23</f>
        <v>0</v>
      </c>
      <c r="BE43" s="119">
        <f>'STATEMENT OF COMPREHENSIVE INCO'!BE23</f>
        <v>0</v>
      </c>
      <c r="BF43" s="119">
        <f>'STATEMENT OF COMPREHENSIVE INCO'!BF23</f>
        <v>0</v>
      </c>
    </row>
    <row r="44" spans="2:58" ht="14.25">
      <c r="B44" s="19">
        <v>10.4</v>
      </c>
      <c r="C44" s="132" t="s">
        <v>174</v>
      </c>
      <c r="D44" s="133">
        <f>'STATEMENT OF COMPREHENSIVE INCO'!C36</f>
        <v>20053569</v>
      </c>
      <c r="E44" s="133">
        <f>44632185+27148916</f>
        <v>71781101</v>
      </c>
      <c r="F44" s="134">
        <f>'STATEMENT OF COMPREHENSIVE INCO'!E36</f>
        <v>69196044</v>
      </c>
      <c r="G44" s="135">
        <f>'STATEMENT OF COMPREHENSIVE INCO'!F36</f>
        <v>89943298</v>
      </c>
      <c r="H44" s="135">
        <f>'STATEMENT OF COMPREHENSIVE INCO'!G36</f>
        <v>87367063</v>
      </c>
      <c r="I44" s="136">
        <f>'STATEMENT OF COMPREHENSIVE INCO'!H36</f>
        <v>117610973</v>
      </c>
      <c r="J44" s="136">
        <f>'STATEMENT OF COMPREHENSIVE INCO'!I36</f>
        <v>121174021</v>
      </c>
      <c r="K44" s="136">
        <f>'STATEMENT OF COMPREHENSIVE INCO'!J36</f>
        <v>10629821.879999999</v>
      </c>
      <c r="L44" s="136">
        <f>'STATEMENT OF COMPREHENSIVE INCO'!K36</f>
        <v>20571235.869999997</v>
      </c>
      <c r="M44" s="136">
        <f>'STATEMENT OF COMPREHENSIVE INCO'!L36</f>
        <v>32005351.09</v>
      </c>
      <c r="N44" s="136">
        <f>'STATEMENT OF COMPREHENSIVE INCO'!M36</f>
        <v>42407286.060000002</v>
      </c>
      <c r="O44" s="136">
        <f>'STATEMENT OF COMPREHENSIVE INCO'!N36</f>
        <v>53619168.93</v>
      </c>
      <c r="P44" s="136">
        <f>'STATEMENT OF COMPREHENSIVE INCO'!O36</f>
        <v>63377189.429999992</v>
      </c>
      <c r="Q44" s="136">
        <f>'STATEMENT OF COMPREHENSIVE INCO'!P36</f>
        <v>70787287.829999998</v>
      </c>
      <c r="R44" s="136">
        <f>'STATEMENT OF COMPREHENSIVE INCO'!Q36</f>
        <v>83499734.030000001</v>
      </c>
      <c r="S44" s="136">
        <f>'STATEMENT OF COMPREHENSIVE INCO'!R36</f>
        <v>95381522.13000001</v>
      </c>
      <c r="T44" s="136">
        <f>'STATEMENT OF COMPREHENSIVE INCO'!S36</f>
        <v>106208960.38999999</v>
      </c>
      <c r="U44" s="136">
        <f>'STATEMENT OF COMPREHENSIVE INCO'!T36</f>
        <v>116377006.36000001</v>
      </c>
      <c r="V44" s="136">
        <f>'STATEMENT OF COMPREHENSIVE INCO'!U36</f>
        <v>122985047.25</v>
      </c>
      <c r="W44" s="136">
        <f>'STATEMENT OF COMPREHENSIVE INCO'!V36</f>
        <v>122985048</v>
      </c>
      <c r="X44" s="136">
        <f>'STATEMENT OF COMPREHENSIVE INCO'!X36</f>
        <v>152230345.19999999</v>
      </c>
      <c r="Y44" s="136">
        <f>'STATEMENT OF COMPREHENSIVE INCO'!Y36</f>
        <v>149203287</v>
      </c>
      <c r="Z44" s="136">
        <f>'STATEMENT OF COMPREHENSIVE INCO'!Z36</f>
        <v>12839354.24</v>
      </c>
      <c r="AA44" s="136">
        <f>'STATEMENT OF COMPREHENSIVE INCO'!AA36</f>
        <v>26554294.220000003</v>
      </c>
      <c r="AB44" s="136">
        <f>'STATEMENT OF COMPREHENSIVE INCO'!AB36</f>
        <v>42979873.489999995</v>
      </c>
      <c r="AC44" s="136">
        <f>'STATEMENT OF COMPREHENSIVE INCO'!AC36</f>
        <v>58066775.409999996</v>
      </c>
      <c r="AD44" s="136">
        <f>'STATEMENT OF COMPREHENSIVE INCO'!AD36</f>
        <v>71990309.120000005</v>
      </c>
      <c r="AE44" s="136">
        <f>'STATEMENT OF COMPREHENSIVE INCO'!AE36</f>
        <v>89269947.920000002</v>
      </c>
      <c r="AF44" s="136">
        <f>'STATEMENT OF COMPREHENSIVE INCO'!AF36</f>
        <v>112330175.40000001</v>
      </c>
      <c r="AG44" s="136">
        <f>'STATEMENT OF COMPREHENSIVE INCO'!AG36</f>
        <v>127547924.25</v>
      </c>
      <c r="AH44" s="136">
        <f>'STATEMENT OF COMPREHENSIVE INCO'!AH36</f>
        <v>147410324.18000001</v>
      </c>
      <c r="AI44" s="136">
        <f>'STATEMENT OF COMPREHENSIVE INCO'!AI36</f>
        <v>164978287.40000001</v>
      </c>
      <c r="AJ44" s="136">
        <f>'STATEMENT OF COMPREHENSIVE INCO'!AJ36</f>
        <v>182148759.09999999</v>
      </c>
      <c r="AK44" s="136">
        <f>'STATEMENT OF COMPREHENSIVE INCO'!AK36</f>
        <v>200178164.36000001</v>
      </c>
      <c r="AL44" s="136">
        <f>'STATEMENT OF COMPREHENSIVE INCO'!AL36</f>
        <v>201509342</v>
      </c>
      <c r="AM44" s="136">
        <f>'STATEMENT OF COMPREHENSIVE INCO'!AM36</f>
        <v>16869805.149999999</v>
      </c>
      <c r="AN44" s="136">
        <f>'STATEMENT OF COMPREHENSIVE INCO'!AN36</f>
        <v>33746146.039999999</v>
      </c>
      <c r="AO44" s="136">
        <f>'STATEMENT OF COMPREHENSIVE INCO'!AO36</f>
        <v>58367864.920000002</v>
      </c>
      <c r="AP44" s="136">
        <f>'STATEMENT OF COMPREHENSIVE INCO'!AP36</f>
        <v>78259490.949999988</v>
      </c>
      <c r="AQ44" s="136">
        <f>'STATEMENT OF COMPREHENSIVE INCO'!AQ36</f>
        <v>93428165.599999994</v>
      </c>
      <c r="AR44" s="136">
        <f>'STATEMENT OF COMPREHENSIVE INCO'!AR36</f>
        <v>116159316.56</v>
      </c>
      <c r="AS44" s="136">
        <f>'STATEMENT OF COMPREHENSIVE INCO'!AS36</f>
        <v>141926821.17000002</v>
      </c>
      <c r="AT44" s="136">
        <f>'STATEMENT OF COMPREHENSIVE INCO'!AT36</f>
        <v>160323041.00999999</v>
      </c>
      <c r="AU44" s="136">
        <f>'STATEMENT OF COMPREHENSIVE INCO'!AU36</f>
        <v>183523251.77999997</v>
      </c>
      <c r="AV44" s="136">
        <f>'STATEMENT OF COMPREHENSIVE INCO'!AV36</f>
        <v>203872900.93000001</v>
      </c>
      <c r="AW44" s="136">
        <f>'STATEMENT OF COMPREHENSIVE INCO'!AW36</f>
        <v>236258965.05000001</v>
      </c>
      <c r="AX44" s="136">
        <f>'STATEMENT OF COMPREHENSIVE INCO'!AX36</f>
        <v>261158422.87000003</v>
      </c>
      <c r="AY44" s="136">
        <f>'STATEMENT OF COMPREHENSIVE INCO'!AY36</f>
        <v>269447941</v>
      </c>
      <c r="AZ44" s="136">
        <f>'STATEMENT OF COMPREHENSIVE INCO'!AZ36</f>
        <v>20851963.18</v>
      </c>
      <c r="BA44" s="136">
        <f>'STATEMENT OF COMPREHENSIVE INCO'!BA36</f>
        <v>44568084.210000001</v>
      </c>
      <c r="BB44" s="136">
        <f>'STATEMENT OF COMPREHENSIVE INCO'!BB36</f>
        <v>64743424.130000003</v>
      </c>
      <c r="BC44" s="136">
        <f>'STATEMENT OF COMPREHENSIVE INCO'!BC36</f>
        <v>92472335.210000008</v>
      </c>
      <c r="BD44" s="136">
        <f>'STATEMENT OF COMPREHENSIVE INCO'!BD36</f>
        <v>118107622.49000001</v>
      </c>
      <c r="BE44" s="136">
        <f>'STATEMENT OF COMPREHENSIVE INCO'!BE36</f>
        <v>147753475.90000001</v>
      </c>
      <c r="BF44" s="136">
        <f>'STATEMENT OF COMPREHENSIVE INCO'!BF36</f>
        <v>179691435.84999999</v>
      </c>
    </row>
    <row r="45" spans="2:58" ht="14.25"/>
  </sheetData>
  <phoneticPr fontId="18" type="noConversion"/>
  <pageMargins left="0.7" right="0.7" top="0.75" bottom="0.75" header="0.3" footer="0.3"/>
  <pageSetup scale="66" orientation="landscape" r:id="rId1"/>
  <colBreaks count="1" manualBreakCount="1">
    <brk id="10" max="43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BF50"/>
  <sheetViews>
    <sheetView view="pageBreakPreview" topLeftCell="BA1" zoomScale="106" zoomScaleNormal="106" zoomScaleSheetLayoutView="106" workbookViewId="0">
      <selection activeCell="BQ4" sqref="BQ4"/>
    </sheetView>
  </sheetViews>
  <sheetFormatPr defaultColWidth="9.140625" defaultRowHeight="12.6"/>
  <cols>
    <col min="1" max="1" width="9.140625" style="2"/>
    <col min="2" max="2" width="39.140625" style="2" bestFit="1" customWidth="1"/>
    <col min="3" max="3" width="15.5703125" style="2" customWidth="1"/>
    <col min="4" max="4" width="7.85546875" style="2" hidden="1" customWidth="1"/>
    <col min="5" max="6" width="6.85546875" style="2" hidden="1" customWidth="1"/>
    <col min="7" max="7" width="15.28515625" style="2" hidden="1" customWidth="1"/>
    <col min="8" max="8" width="18.28515625" style="2" hidden="1" customWidth="1"/>
    <col min="9" max="9" width="14" style="2" hidden="1" customWidth="1"/>
    <col min="10" max="12" width="9.140625" style="2" hidden="1" customWidth="1"/>
    <col min="13" max="22" width="7.42578125" style="2" hidden="1" customWidth="1"/>
    <col min="23" max="25" width="11" style="2" hidden="1" customWidth="1"/>
    <col min="26" max="37" width="0" style="2" hidden="1" customWidth="1"/>
    <col min="38" max="38" width="13.28515625" style="2" bestFit="1" customWidth="1"/>
    <col min="39" max="50" width="9.140625" style="2"/>
    <col min="51" max="51" width="12.140625" style="2" bestFit="1" customWidth="1"/>
    <col min="52" max="16384" width="9.140625" style="2"/>
  </cols>
  <sheetData>
    <row r="1" spans="1:58" ht="14.1">
      <c r="A1" s="4"/>
      <c r="B1" s="433" t="s">
        <v>175</v>
      </c>
      <c r="C1" s="433"/>
      <c r="D1" s="433"/>
      <c r="E1" s="433"/>
      <c r="F1" s="433"/>
      <c r="G1" s="433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64"/>
      <c r="AH1" s="64"/>
      <c r="AI1" s="64"/>
      <c r="AJ1" s="64"/>
      <c r="AK1" s="64"/>
      <c r="AL1" s="64"/>
      <c r="AM1" s="64"/>
      <c r="AN1" s="64"/>
      <c r="AO1" s="64"/>
      <c r="AP1" s="64"/>
      <c r="AQ1" s="64"/>
      <c r="AR1" s="64"/>
      <c r="AS1" s="64"/>
      <c r="AT1" s="64"/>
      <c r="AU1" s="64"/>
      <c r="AV1" s="64"/>
      <c r="AW1" s="64"/>
      <c r="AX1" s="64"/>
      <c r="AY1" s="64"/>
    </row>
    <row r="2" spans="1:58" ht="15" customHeight="1">
      <c r="A2" s="6"/>
      <c r="B2" s="6"/>
      <c r="C2" s="6"/>
      <c r="D2" s="7"/>
      <c r="E2" s="433"/>
      <c r="F2" s="433"/>
      <c r="G2" s="433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64"/>
    </row>
    <row r="3" spans="1:58" ht="14.25">
      <c r="A3" s="6"/>
      <c r="B3" s="8" t="s">
        <v>176</v>
      </c>
      <c r="C3" s="8" t="s">
        <v>177</v>
      </c>
      <c r="D3" s="9">
        <v>2010</v>
      </c>
      <c r="E3" s="9">
        <v>2011</v>
      </c>
      <c r="F3" s="9">
        <v>2012</v>
      </c>
      <c r="G3" s="9" t="s">
        <v>90</v>
      </c>
      <c r="H3" s="422" t="s">
        <v>9</v>
      </c>
      <c r="I3" s="71" t="s">
        <v>10</v>
      </c>
      <c r="J3" s="71" t="s">
        <v>11</v>
      </c>
      <c r="K3" s="71">
        <v>42736</v>
      </c>
      <c r="L3" s="71">
        <v>42767</v>
      </c>
      <c r="M3" s="71">
        <v>42795</v>
      </c>
      <c r="N3" s="71">
        <v>42826</v>
      </c>
      <c r="O3" s="71">
        <v>42856</v>
      </c>
      <c r="P3" s="71">
        <v>42887</v>
      </c>
      <c r="Q3" s="71">
        <v>42917</v>
      </c>
      <c r="R3" s="71">
        <v>42948</v>
      </c>
      <c r="S3" s="71">
        <v>42979</v>
      </c>
      <c r="T3" s="71">
        <v>43009</v>
      </c>
      <c r="U3" s="71">
        <v>43040</v>
      </c>
      <c r="V3" s="71">
        <v>43070</v>
      </c>
      <c r="W3" s="71" t="s">
        <v>134</v>
      </c>
      <c r="X3" s="71">
        <v>44166</v>
      </c>
      <c r="Y3" s="71" t="s">
        <v>135</v>
      </c>
      <c r="Z3" s="71">
        <v>44197</v>
      </c>
      <c r="AA3" s="71">
        <v>44228</v>
      </c>
      <c r="AB3" s="71">
        <v>44256</v>
      </c>
      <c r="AC3" s="71">
        <v>44287</v>
      </c>
      <c r="AD3" s="71">
        <v>44317</v>
      </c>
      <c r="AE3" s="71">
        <v>44348</v>
      </c>
      <c r="AF3" s="71">
        <v>44378</v>
      </c>
      <c r="AG3" s="71">
        <v>44409</v>
      </c>
      <c r="AH3" s="71">
        <v>44440</v>
      </c>
      <c r="AI3" s="71">
        <v>44470</v>
      </c>
      <c r="AJ3" s="71">
        <v>44501</v>
      </c>
      <c r="AK3" s="71">
        <v>44531</v>
      </c>
      <c r="AL3" s="71" t="s">
        <v>91</v>
      </c>
      <c r="AM3" s="71">
        <v>44562</v>
      </c>
      <c r="AN3" s="71">
        <v>44593</v>
      </c>
      <c r="AO3" s="71">
        <v>44621</v>
      </c>
      <c r="AP3" s="71">
        <v>44652</v>
      </c>
      <c r="AQ3" s="71">
        <v>44682</v>
      </c>
      <c r="AR3" s="71">
        <v>44713</v>
      </c>
      <c r="AS3" s="71">
        <v>44743</v>
      </c>
      <c r="AT3" s="71">
        <v>44774</v>
      </c>
      <c r="AU3" s="71">
        <v>44805</v>
      </c>
      <c r="AV3" s="71">
        <v>44835</v>
      </c>
      <c r="AW3" s="71">
        <v>44866</v>
      </c>
      <c r="AX3" s="71">
        <v>44896</v>
      </c>
      <c r="AY3" s="71" t="s">
        <v>17</v>
      </c>
      <c r="AZ3" s="423">
        <v>44927</v>
      </c>
      <c r="BA3" s="423">
        <v>44958</v>
      </c>
      <c r="BB3" s="423">
        <v>44986</v>
      </c>
      <c r="BC3" s="423">
        <v>45017</v>
      </c>
      <c r="BD3" s="423">
        <v>45047</v>
      </c>
      <c r="BE3" s="423">
        <v>45078</v>
      </c>
      <c r="BF3" s="423">
        <v>45108</v>
      </c>
    </row>
    <row r="4" spans="1:58" ht="14.1">
      <c r="A4" s="10">
        <v>1</v>
      </c>
      <c r="B4" s="6" t="s">
        <v>178</v>
      </c>
      <c r="C4" s="6"/>
      <c r="D4" s="6"/>
      <c r="E4" s="6"/>
      <c r="F4" s="6"/>
      <c r="G4" s="6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  <c r="AB4" s="64"/>
      <c r="AC4" s="64"/>
      <c r="AD4" s="64"/>
      <c r="AE4" s="64"/>
      <c r="AF4" s="64"/>
      <c r="AG4" s="64"/>
      <c r="AH4" s="64"/>
      <c r="AI4" s="64"/>
      <c r="AJ4" s="64"/>
      <c r="AK4" s="64"/>
      <c r="AL4" s="64"/>
      <c r="AM4" s="64"/>
      <c r="AN4" s="64"/>
      <c r="AO4" s="64"/>
      <c r="AP4" s="64"/>
      <c r="AQ4" s="64"/>
      <c r="AR4" s="64"/>
      <c r="AS4" s="64"/>
      <c r="AT4" s="64"/>
      <c r="AU4" s="64"/>
      <c r="AV4" s="64"/>
      <c r="AW4" s="64"/>
      <c r="AX4" s="64"/>
      <c r="AY4" s="64"/>
    </row>
    <row r="5" spans="1:58" ht="14.25">
      <c r="A5" s="4">
        <v>1.1000000000000001</v>
      </c>
      <c r="B5" s="4" t="s">
        <v>179</v>
      </c>
      <c r="C5" s="11" t="s">
        <v>180</v>
      </c>
      <c r="D5" s="12">
        <f>FINANCIALS!D11/1000000</f>
        <v>188.94797299999999</v>
      </c>
      <c r="E5" s="12">
        <f>FINANCIALS!E11/1000000</f>
        <v>239.362202</v>
      </c>
      <c r="F5" s="12">
        <f>FINANCIALS!F11/1000000</f>
        <v>221.73345499999999</v>
      </c>
      <c r="G5" s="12">
        <f>FINANCIALS!G11/1000000</f>
        <v>317.98730899999998</v>
      </c>
      <c r="H5" s="12">
        <f>FINANCIALS!H11/1000000</f>
        <v>400.60623600000002</v>
      </c>
      <c r="I5" s="12">
        <f>FINANCIALS!I11/1000000</f>
        <v>482.81946900000003</v>
      </c>
      <c r="J5" s="12">
        <f>FINANCIALS!J11/1000000</f>
        <v>544.40188000000001</v>
      </c>
      <c r="K5" s="12">
        <f>FINANCIALS!K11/1000000</f>
        <v>561.52946048000001</v>
      </c>
      <c r="L5" s="12">
        <f>FINANCIALS!L11/1000000</f>
        <v>569.84024613999998</v>
      </c>
      <c r="M5" s="12">
        <f>FINANCIALS!M11/1000000</f>
        <v>571.61510989999999</v>
      </c>
      <c r="N5" s="12">
        <f>FINANCIALS!N11/1000000</f>
        <v>569.81953731999988</v>
      </c>
      <c r="O5" s="12">
        <f>FINANCIALS!O11/1000000</f>
        <v>575.23729516999992</v>
      </c>
      <c r="P5" s="12">
        <f>FINANCIALS!P11/1000000</f>
        <v>579.27466367</v>
      </c>
      <c r="Q5" s="12">
        <f>FINANCIALS!Q11/1000000</f>
        <v>598.7604965999999</v>
      </c>
      <c r="R5" s="12">
        <f>FINANCIALS!R11/1000000</f>
        <v>601.52357724000001</v>
      </c>
      <c r="S5" s="12">
        <f>FINANCIALS!S11/1000000</f>
        <v>605.41006564999998</v>
      </c>
      <c r="T5" s="12">
        <f>FINANCIALS!T11/1000000</f>
        <v>621.93248260999997</v>
      </c>
      <c r="U5" s="12">
        <f>FINANCIALS!U11/1000000</f>
        <v>687.01172145999999</v>
      </c>
      <c r="V5" s="12">
        <f>FINANCIALS!V11/1000000</f>
        <v>703.84297425</v>
      </c>
      <c r="W5" s="12">
        <f>FINANCIALS!W11/1000000</f>
        <v>703.84297300000003</v>
      </c>
      <c r="X5" s="12">
        <f>FINANCIALS!X11/1000000</f>
        <v>1066.4742579799999</v>
      </c>
      <c r="Y5" s="12">
        <f>FINANCIALS!Y11/1000000</f>
        <v>1096.2887149999999</v>
      </c>
      <c r="Z5" s="12">
        <f>FINANCIALS!Z11/1000000</f>
        <v>1083.9086980999998</v>
      </c>
      <c r="AA5" s="12">
        <f>FINANCIALS!AA11/1000000</f>
        <v>1088.85717851</v>
      </c>
      <c r="AB5" s="12">
        <f>FINANCIALS!AB11/1000000</f>
        <v>1095.4780751599999</v>
      </c>
      <c r="AC5" s="12">
        <f>FINANCIALS!AC11/1000000</f>
        <v>1126.95715133</v>
      </c>
      <c r="AD5" s="12">
        <f>FINANCIALS!AD11/1000000</f>
        <v>1132.9175079900001</v>
      </c>
      <c r="AE5" s="12">
        <f>FINANCIALS!AE11/1000000</f>
        <v>1142.5816964600001</v>
      </c>
      <c r="AF5" s="12">
        <f>FINANCIALS!AF11/1000000</f>
        <v>1140.16398443</v>
      </c>
      <c r="AG5" s="12">
        <f>FINANCIALS!AG11/1000000</f>
        <v>1146.3091703699999</v>
      </c>
      <c r="AH5" s="12">
        <f>FINANCIALS!AH11/1000000</f>
        <v>1146.21475844</v>
      </c>
      <c r="AI5" s="12">
        <f>FINANCIALS!AI11/1000000</f>
        <v>1175.62937749</v>
      </c>
      <c r="AJ5" s="12">
        <f>FINANCIALS!AJ11/1000000</f>
        <v>1197.3380980800002</v>
      </c>
      <c r="AK5" s="12">
        <f>FINANCIALS!AK11/1000000</f>
        <v>-50</v>
      </c>
      <c r="AL5" s="12">
        <f>FINANCIALS!AL11/1000000</f>
        <v>1274.766646</v>
      </c>
      <c r="AM5" s="12">
        <f>FINANCIALS!AM11/1000000</f>
        <v>1256.1447670499999</v>
      </c>
      <c r="AN5" s="12">
        <f>FINANCIALS!AN11/1000000</f>
        <v>1258.5895416999997</v>
      </c>
      <c r="AO5" s="12">
        <f>FINANCIALS!AO11/1000000</f>
        <v>1262.44086943</v>
      </c>
      <c r="AP5" s="12">
        <f>FINANCIALS!AP11/1000000</f>
        <v>1285.1851132100001</v>
      </c>
      <c r="AQ5" s="12">
        <f>FINANCIALS!AQ11/1000000</f>
        <v>1297.1658844400001</v>
      </c>
      <c r="AR5" s="12">
        <f>FINANCIALS!AR11/1000000</f>
        <v>1315.4974314400001</v>
      </c>
      <c r="AS5" s="12">
        <f>FINANCIALS!AS11/1000000</f>
        <v>1303.8003410300003</v>
      </c>
      <c r="AT5" s="12">
        <f>FINANCIALS!AT11/1000000</f>
        <v>1304.22012595</v>
      </c>
      <c r="AU5" s="12">
        <f>FINANCIALS!AU11/1000000</f>
        <v>1303.1066548399999</v>
      </c>
      <c r="AV5" s="12">
        <f>FINANCIALS!AV11/1000000</f>
        <v>1311.9287051199999</v>
      </c>
      <c r="AW5" s="12">
        <f>FINANCIALS!AW11/1000000</f>
        <v>1310.0454507900001</v>
      </c>
      <c r="AX5" s="12">
        <f>FINANCIALS!AX11/1000000</f>
        <v>1329.0071586199999</v>
      </c>
      <c r="AY5" s="12">
        <f>FINANCIALS!AY11/1000000</f>
        <v>1410.4840280000001</v>
      </c>
      <c r="AZ5" s="12">
        <f>FINANCIALS!AZ11/1000000</f>
        <v>1354.3190329000001</v>
      </c>
      <c r="BA5" s="12">
        <f>FINANCIALS!BA11/1000000</f>
        <v>1352.5523148700001</v>
      </c>
      <c r="BB5" s="12">
        <f>FINANCIALS!BB11/1000000</f>
        <v>1354.0112877500001</v>
      </c>
      <c r="BC5" s="12">
        <f>FINANCIALS!BC11/1000000</f>
        <v>1367.0106231999998</v>
      </c>
      <c r="BD5" s="12">
        <f>FINANCIALS!BD11/1000000</f>
        <v>1370.532132</v>
      </c>
      <c r="BE5" s="12">
        <f>FINANCIALS!BE11/1000000</f>
        <v>1395.8784173499998</v>
      </c>
      <c r="BF5" s="12">
        <f>FINANCIALS!BF11/1000000</f>
        <v>1416.95281998</v>
      </c>
    </row>
    <row r="6" spans="1:58" ht="14.25">
      <c r="A6" s="4">
        <v>1.2</v>
      </c>
      <c r="B6" s="4" t="s">
        <v>181</v>
      </c>
      <c r="C6" s="11" t="s">
        <v>182</v>
      </c>
      <c r="D6" s="42">
        <f>FINANCIALS!D11/FINANCIALS!D4</f>
        <v>0.21303049363149415</v>
      </c>
      <c r="E6" s="42">
        <f>FINANCIALS!E11/FINANCIALS!E4</f>
        <v>0.201951399884257</v>
      </c>
      <c r="F6" s="42">
        <f>FINANCIALS!F11/FINANCIALS!F4</f>
        <v>0.1794946208838947</v>
      </c>
      <c r="G6" s="42">
        <f>FINANCIALS!G11/FINANCIALS!G4</f>
        <v>0.20382420113809799</v>
      </c>
      <c r="H6" s="42">
        <f>FINANCIALS!H11/FINANCIALS!H4</f>
        <v>0.23574760615082058</v>
      </c>
      <c r="I6" s="42">
        <f>FINANCIALS!I11/FINANCIALS!I4</f>
        <v>0.2419361649739519</v>
      </c>
      <c r="J6" s="42">
        <f>FINANCIALS!J11/FINANCIALS!J4</f>
        <v>0.2253945102840991</v>
      </c>
      <c r="K6" s="42">
        <f>FINANCIALS!K11/FINANCIALS!K4</f>
        <v>0.23455353368707671</v>
      </c>
      <c r="L6" s="42">
        <f>FINANCIALS!L11/FINANCIALS!L4</f>
        <v>0.24476467163690099</v>
      </c>
      <c r="M6" s="42">
        <f>FINANCIALS!M11/FINANCIALS!M4</f>
        <v>0.24905133194241147</v>
      </c>
      <c r="N6" s="42">
        <f>FINANCIALS!N11/FINANCIALS!N4</f>
        <v>0.2468712156035425</v>
      </c>
      <c r="O6" s="42">
        <f>FINANCIALS!O11/FINANCIALS!O4</f>
        <v>0.24794177775119663</v>
      </c>
      <c r="P6" s="42">
        <f>FINANCIALS!P11/FINANCIALS!P4</f>
        <v>0.24686975709550871</v>
      </c>
      <c r="Q6" s="42">
        <f>FINANCIALS!Q11/FINANCIALS!Q4</f>
        <v>0.25168083745976189</v>
      </c>
      <c r="R6" s="42">
        <f>FINANCIALS!R11/FINANCIALS!R4</f>
        <v>0.25544897987587289</v>
      </c>
      <c r="S6" s="42">
        <f>FINANCIALS!S11/FINANCIALS!S4</f>
        <v>0.25189789941114898</v>
      </c>
      <c r="T6" s="42">
        <f>FINANCIALS!T11/FINANCIALS!T4</f>
        <v>0.20580143042545687</v>
      </c>
      <c r="U6" s="42">
        <f>FINANCIALS!U11/FINANCIALS!U4</f>
        <v>0.23509602294497176</v>
      </c>
      <c r="V6" s="42">
        <f>FINANCIALS!V11/FINANCIALS!V4</f>
        <v>0.24418006715443422</v>
      </c>
      <c r="W6" s="42">
        <f>FINANCIALS!W11/FINANCIALS!W4</f>
        <v>0.24418006672670894</v>
      </c>
      <c r="X6" s="42">
        <f>FINANCIALS!X11/FINANCIALS!X4</f>
        <v>0.25444158485050289</v>
      </c>
      <c r="Y6" s="42">
        <f>FINANCIALS!Y11/FINANCIALS!Y4</f>
        <v>0.26169753447953858</v>
      </c>
      <c r="Z6" s="42">
        <f>FINANCIALS!Z11/FINANCIALS!Z4</f>
        <v>0.26287282465991585</v>
      </c>
      <c r="AA6" s="42">
        <f>FINANCIALS!AA11/FINANCIALS!AA4</f>
        <v>0.26564638018417386</v>
      </c>
      <c r="AB6" s="42">
        <f>FINANCIALS!AB11/FINANCIALS!AB4</f>
        <v>0.26312644225260623</v>
      </c>
      <c r="AC6" s="42">
        <f>FINANCIALS!AC11/FINANCIALS!AC4</f>
        <v>0.26743186938679575</v>
      </c>
      <c r="AD6" s="42">
        <f>FINANCIALS!AD11/FINANCIALS!AD4</f>
        <v>0.26667727691933768</v>
      </c>
      <c r="AE6" s="42">
        <f>FINANCIALS!AE11/FINANCIALS!AE4</f>
        <v>0.26707144301252861</v>
      </c>
      <c r="AF6" s="42">
        <f>FINANCIALS!AF11/FINANCIALS!AF4</f>
        <v>0.2638444143790325</v>
      </c>
      <c r="AG6" s="42">
        <f>FINANCIALS!AG11/FINANCIALS!AG4</f>
        <v>0.26474761594747159</v>
      </c>
      <c r="AH6" s="42">
        <f>FINANCIALS!AH11/FINANCIALS!AH4</f>
        <v>0.26508158984449864</v>
      </c>
      <c r="AI6" s="42">
        <f>FINANCIALS!AI11/FINANCIALS!AI4</f>
        <v>0.25312686999660733</v>
      </c>
      <c r="AJ6" s="42">
        <f>FINANCIALS!AJ11/FINANCIALS!AJ4</f>
        <v>0.25671025259832686</v>
      </c>
      <c r="AK6" s="42">
        <f>FINANCIALS!AK11/FINANCIALS!AK4</f>
        <v>-0.12095466466927397</v>
      </c>
      <c r="AL6" s="42">
        <f>FINANCIALS!AL11/FINANCIALS!AL4</f>
        <v>0.27080764652695566</v>
      </c>
      <c r="AM6" s="42">
        <f>FINANCIALS!AM11/FINANCIALS!AM4</f>
        <v>0.26876515958962177</v>
      </c>
      <c r="AN6" s="42">
        <f>FINANCIALS!AN11/FINANCIALS!AN4</f>
        <v>0.27135367993259724</v>
      </c>
      <c r="AO6" s="42">
        <f>FINANCIALS!AO11/FINANCIALS!AO4</f>
        <v>0.26942436257396918</v>
      </c>
      <c r="AP6" s="42">
        <f>FINANCIALS!AP11/FINANCIALS!AP4</f>
        <v>0.27138555119355801</v>
      </c>
      <c r="AQ6" s="42">
        <f>FINANCIALS!AQ11/FINANCIALS!AQ4</f>
        <v>0.2705228212575298</v>
      </c>
      <c r="AR6" s="42">
        <f>FINANCIALS!AR11/FINANCIALS!AR4</f>
        <v>0.27113637607135782</v>
      </c>
      <c r="AS6" s="42">
        <f>FINANCIALS!AS11/FINANCIALS!AS4</f>
        <v>0.24478739879906064</v>
      </c>
      <c r="AT6" s="42">
        <f>FINANCIALS!AT11/FINANCIALS!AT4</f>
        <v>0.24666669480651068</v>
      </c>
      <c r="AU6" s="42">
        <f>FINANCIALS!AU11/FINANCIALS!AU4</f>
        <v>0.2488487282445791</v>
      </c>
      <c r="AV6" s="42">
        <f>FINANCIALS!AV11/FINANCIALS!AV4</f>
        <v>0.25057566405609266</v>
      </c>
      <c r="AW6" s="42">
        <f>FINANCIALS!AW11/FINANCIALS!AW4</f>
        <v>0.2487058900845793</v>
      </c>
      <c r="AX6" s="42">
        <f>FINANCIALS!AX11/FINANCIALS!AX4</f>
        <v>0.24762134169029429</v>
      </c>
      <c r="AY6" s="42">
        <f>FINANCIALS!AY11/FINANCIALS!AY4</f>
        <v>0.26277994830324913</v>
      </c>
      <c r="AZ6" s="42">
        <f>FINANCIALS!AZ11/FINANCIALS!AZ4</f>
        <v>0.25701155159756528</v>
      </c>
      <c r="BA6" s="42">
        <f>FINANCIALS!BA11/FINANCIALS!BA4</f>
        <v>0.2600549609519891</v>
      </c>
      <c r="BB6" s="42">
        <f>FINANCIALS!BB11/FINANCIALS!BB4</f>
        <v>0.25553705023531403</v>
      </c>
      <c r="BC6" s="42">
        <f>FINANCIALS!BC11/FINANCIALS!BC4</f>
        <v>0.255946153637584</v>
      </c>
      <c r="BD6" s="42">
        <f>FINANCIALS!BD11/FINANCIALS!BD4</f>
        <v>0.2536717747218396</v>
      </c>
      <c r="BE6" s="42">
        <f>FINANCIALS!BE11/FINANCIALS!BE4</f>
        <v>0.25416671691365195</v>
      </c>
      <c r="BF6" s="42">
        <f>FINANCIALS!BF11/FINANCIALS!BF4</f>
        <v>0.25395666599011257</v>
      </c>
    </row>
    <row r="7" spans="1:58" ht="14.25">
      <c r="A7" s="4">
        <v>1.3</v>
      </c>
      <c r="B7" s="4" t="s">
        <v>183</v>
      </c>
      <c r="C7" s="11" t="s">
        <v>184</v>
      </c>
      <c r="D7" s="42">
        <f>FINANCIALS!D11/FINANCIALS!D5</f>
        <v>0.33787195214816357</v>
      </c>
      <c r="E7" s="42">
        <f>FINANCIALS!E11/FINANCIALS!E5</f>
        <v>0.32111056666926646</v>
      </c>
      <c r="F7" s="42">
        <f>FINANCIALS!F11/FINANCIALS!F5</f>
        <v>0.25146889832292918</v>
      </c>
      <c r="G7" s="42">
        <f>FINANCIALS!G11/FINANCIALS!G5</f>
        <v>0.29604805065032408</v>
      </c>
      <c r="H7" s="42">
        <f>FINANCIALS!H11/FINANCIALS!H5</f>
        <v>0.36488317585780161</v>
      </c>
      <c r="I7" s="42">
        <f>FINANCIALS!I11/FINANCIALS!I5</f>
        <v>0.3709253774244578</v>
      </c>
      <c r="J7" s="42">
        <f>FINANCIALS!J11/FINANCIALS!J5</f>
        <v>0.34860590485916998</v>
      </c>
      <c r="K7" s="42">
        <f>FINANCIALS!K11/FINANCIALS!K5</f>
        <v>0.37112866237077591</v>
      </c>
      <c r="L7" s="42">
        <f>FINANCIALS!L11/FINANCIALS!L5</f>
        <v>0.37425613785170081</v>
      </c>
      <c r="M7" s="42">
        <f>FINANCIALS!M11/FINANCIALS!M5</f>
        <v>0.38493127104669489</v>
      </c>
      <c r="N7" s="42">
        <f>FINANCIALS!N11/FINANCIALS!N5</f>
        <v>0.38069003348364155</v>
      </c>
      <c r="O7" s="42">
        <f>FINANCIALS!O11/FINANCIALS!O5</f>
        <v>0.38584487911248322</v>
      </c>
      <c r="P7" s="42">
        <f>FINANCIALS!P11/FINANCIALS!P5</f>
        <v>0.38824567684555866</v>
      </c>
      <c r="Q7" s="42">
        <f>FINANCIALS!Q11/FINANCIALS!Q5</f>
        <v>0.39989328289843068</v>
      </c>
      <c r="R7" s="42">
        <f>FINANCIALS!R11/FINANCIALS!R5</f>
        <v>0.41020312475430654</v>
      </c>
      <c r="S7" s="42">
        <f>FINANCIALS!S11/FINANCIALS!S5</f>
        <v>0.41712237742221475</v>
      </c>
      <c r="T7" s="42">
        <f>FINANCIALS!T11/FINANCIALS!T5</f>
        <v>0.29721894297976353</v>
      </c>
      <c r="U7" s="42">
        <f>FINANCIALS!U11/FINANCIALS!U5</f>
        <v>0.3634747287916984</v>
      </c>
      <c r="V7" s="42">
        <f>FINANCIALS!V11/FINANCIALS!V5</f>
        <v>0.38755660528349406</v>
      </c>
      <c r="W7" s="42">
        <f>FINANCIALS!W11/FINANCIALS!W5</f>
        <v>0.38755660453972335</v>
      </c>
      <c r="X7" s="42">
        <f>FINANCIALS!X11/FINANCIALS!X5</f>
        <v>0.41016738715359113</v>
      </c>
      <c r="Y7" s="42">
        <f>FINANCIALS!Y11/FINANCIALS!Y5</f>
        <v>0.42163406617839511</v>
      </c>
      <c r="Z7" s="42">
        <f>FINANCIALS!Z11/FINANCIALS!Z5</f>
        <v>0.40517558345820581</v>
      </c>
      <c r="AA7" s="42">
        <f>FINANCIALS!AA11/FINANCIALS!AA5</f>
        <v>0.41365636325508331</v>
      </c>
      <c r="AB7" s="42">
        <f>FINANCIALS!AB11/FINANCIALS!AB5</f>
        <v>0.41039507245183193</v>
      </c>
      <c r="AC7" s="42">
        <f>FINANCIALS!AC11/FINANCIALS!AC5</f>
        <v>0.42302820250900725</v>
      </c>
      <c r="AD7" s="42">
        <f>FINANCIALS!AD11/FINANCIALS!AD5</f>
        <v>0.42442052960545334</v>
      </c>
      <c r="AE7" s="42">
        <f>FINANCIALS!AE11/FINANCIALS!AE5</f>
        <v>0.42706872612776881</v>
      </c>
      <c r="AF7" s="42">
        <f>FINANCIALS!AF11/FINANCIALS!AF5</f>
        <v>0.42545800100555825</v>
      </c>
      <c r="AG7" s="42">
        <f>FINANCIALS!AG11/FINANCIALS!AG5</f>
        <v>0.43152765335651089</v>
      </c>
      <c r="AH7" s="42">
        <f>FINANCIALS!AH11/FINANCIALS!AH5</f>
        <v>0.43519492850221242</v>
      </c>
      <c r="AI7" s="42">
        <f>FINANCIALS!AI11/FINANCIALS!AI5</f>
        <v>0.40547808519598449</v>
      </c>
      <c r="AJ7" s="42">
        <f>FINANCIALS!AJ11/FINANCIALS!AJ5</f>
        <v>0.41762613618708755</v>
      </c>
      <c r="AK7" s="42" t="e">
        <f>FINANCIALS!AK11/FINANCIALS!AK5</f>
        <v>#DIV/0!</v>
      </c>
      <c r="AL7" s="42">
        <f>FINANCIALS!AL11/FINANCIALS!AL5</f>
        <v>0.44736266553033766</v>
      </c>
      <c r="AM7" s="42">
        <f>FINANCIALS!AM11/FINANCIALS!AM5</f>
        <v>0.42039821586155951</v>
      </c>
      <c r="AN7" s="42">
        <f>FINANCIALS!AN11/FINANCIALS!AN5</f>
        <v>0.43068006256521668</v>
      </c>
      <c r="AO7" s="42">
        <f>FINANCIALS!AO11/FINANCIALS!AO5</f>
        <v>0.42984701610541831</v>
      </c>
      <c r="AP7" s="42">
        <f>FINANCIALS!AP11/FINANCIALS!AP5</f>
        <v>0.43699295271085131</v>
      </c>
      <c r="AQ7" s="42">
        <f>FINANCIALS!AQ11/FINANCIALS!AQ5</f>
        <v>0.4369673137664517</v>
      </c>
      <c r="AR7" s="42">
        <f>FINANCIALS!AR11/FINANCIALS!AR5</f>
        <v>0.44142013633538646</v>
      </c>
      <c r="AS7" s="42">
        <f>FINANCIALS!AS11/FINANCIALS!AS5</f>
        <v>0.3798548527577375</v>
      </c>
      <c r="AT7" s="42">
        <f>FINANCIALS!AT11/FINANCIALS!AT5</f>
        <v>0.38761280827485667</v>
      </c>
      <c r="AU7" s="42">
        <f>FINANCIALS!AU11/FINANCIALS!AU5</f>
        <v>0.39586242965601803</v>
      </c>
      <c r="AV7" s="42">
        <f>FINANCIALS!AV11/FINANCIALS!AV5</f>
        <v>0.40332744250197966</v>
      </c>
      <c r="AW7" s="42">
        <f>FINANCIALS!AW11/FINANCIALS!AW5</f>
        <v>0.4030968084230559</v>
      </c>
      <c r="AX7" s="42">
        <f>FINANCIALS!AX11/FINANCIALS!AX5</f>
        <v>0.41038358751798848</v>
      </c>
      <c r="AY7" s="42">
        <f>FINANCIALS!AY11/FINANCIALS!AY5</f>
        <v>0.43554279732177159</v>
      </c>
      <c r="AZ7" s="42">
        <f>FINANCIALS!AZ11/FINANCIALS!AZ5</f>
        <v>0.40422017581639619</v>
      </c>
      <c r="BA7" s="42">
        <f>FINANCIALS!BA11/FINANCIALS!BA5</f>
        <v>0.4143727380528473</v>
      </c>
      <c r="BB7" s="42">
        <f>FINANCIALS!BB11/FINANCIALS!BB5</f>
        <v>0.40640195114920913</v>
      </c>
      <c r="BC7" s="42">
        <f>FINANCIALS!BC11/FINANCIALS!BC5</f>
        <v>0.40604065571753972</v>
      </c>
      <c r="BD7" s="42">
        <f>FINANCIALS!BD11/FINANCIALS!BD5</f>
        <v>0.40485135984895804</v>
      </c>
      <c r="BE7" s="42">
        <f>FINANCIALS!BE11/FINANCIALS!BE5</f>
        <v>0.40666239315723907</v>
      </c>
      <c r="BF7" s="42">
        <f>FINANCIALS!BF11/FINANCIALS!BF5</f>
        <v>0.4096176015340211</v>
      </c>
    </row>
    <row r="8" spans="1:58" ht="14.25">
      <c r="A8" s="4">
        <v>1.4</v>
      </c>
      <c r="B8" s="4" t="s">
        <v>185</v>
      </c>
      <c r="C8" s="11" t="s">
        <v>184</v>
      </c>
      <c r="D8" s="42">
        <f>FINANCIALS!D12/FINANCIALS!D4</f>
        <v>6.940606022638815E-2</v>
      </c>
      <c r="E8" s="42">
        <f>FINANCIALS!E12/FINANCIALS!E4</f>
        <v>8.967041507380541E-2</v>
      </c>
      <c r="F8" s="42">
        <f>FINANCIALS!F12/FINANCIALS!F4</f>
        <v>0.15239028042957301</v>
      </c>
      <c r="G8" s="42">
        <f>FINANCIALS!G12/FINANCIALS!G4</f>
        <v>0.17677431692877404</v>
      </c>
      <c r="H8" s="42">
        <f>FINANCIALS!H12/FINANCIALS!H4</f>
        <v>0.21087539388502649</v>
      </c>
      <c r="I8" s="42">
        <f>FINANCIALS!I12/FINANCIALS!I4</f>
        <v>0.21970528215151783</v>
      </c>
      <c r="J8" s="42">
        <f>FINANCIALS!J12/FINANCIALS!J4</f>
        <v>0.20483893522073351</v>
      </c>
      <c r="K8" s="42">
        <f>FINANCIALS!K12/FINANCIALS!K4</f>
        <v>0.21363840487961824</v>
      </c>
      <c r="L8" s="42">
        <f>FINANCIALS!L12/FINANCIALS!L4</f>
        <v>0.22190536986797499</v>
      </c>
      <c r="M8" s="42">
        <f>FINANCIALS!M12/FINANCIALS!M4</f>
        <v>0.22570078142937899</v>
      </c>
      <c r="N8" s="42">
        <f>FINANCIALS!N12/FINANCIALS!N4</f>
        <v>0.22351930791512151</v>
      </c>
      <c r="O8" s="42">
        <f>FINANCIALS!O12/FINANCIALS!O4</f>
        <v>0.22452841172732219</v>
      </c>
      <c r="P8" s="42">
        <f>FINANCIALS!P12/FINANCIALS!P4</f>
        <v>0.22358701421223584</v>
      </c>
      <c r="Q8" s="42">
        <f>FINANCIALS!Q12/FINANCIALS!Q4</f>
        <v>0.22857837656907157</v>
      </c>
      <c r="R8" s="42">
        <f>FINANCIALS!R12/FINANCIALS!R4</f>
        <v>0.23198429690005759</v>
      </c>
      <c r="S8" s="42">
        <f>FINANCIALS!S12/FINANCIALS!S4</f>
        <v>0.22880178417699434</v>
      </c>
      <c r="T8" s="42">
        <f>FINANCIALS!T12/FINANCIALS!T4</f>
        <v>0.18712844740698226</v>
      </c>
      <c r="U8" s="42">
        <f>FINANCIALS!U12/FINANCIALS!U4</f>
        <v>0.19628001091692646</v>
      </c>
      <c r="V8" s="42">
        <f>FINANCIALS!V12/FINANCIALS!V4</f>
        <v>0.20470692882605149</v>
      </c>
      <c r="W8" s="42">
        <f>FINANCIALS!W12/FINANCIALS!W4</f>
        <v>0.20470692842859081</v>
      </c>
      <c r="X8" s="42">
        <f>FINANCIALS!X12/FINANCIALS!X4</f>
        <v>0.21965942629622351</v>
      </c>
      <c r="Y8" s="42">
        <f>FINANCIALS!Y12/FINANCIALS!Y4</f>
        <v>0.22689639176290149</v>
      </c>
      <c r="Z8" s="42">
        <f>FINANCIALS!Z12/FINANCIALS!Z4</f>
        <v>0.22724356783436445</v>
      </c>
      <c r="AA8" s="42">
        <f>FINANCIALS!AA12/FINANCIALS!AA4</f>
        <v>0.22952431109052601</v>
      </c>
      <c r="AB8" s="42">
        <f>FINANCIALS!AB12/FINANCIALS!AB4</f>
        <v>0.22725057593037351</v>
      </c>
      <c r="AC8" s="42">
        <f>FINANCIALS!AC12/FINANCIALS!AC4</f>
        <v>0.2317322069830105</v>
      </c>
      <c r="AD8" s="42">
        <f>FINANCIALS!AD12/FINANCIALS!AD4</f>
        <v>0.23103003620709756</v>
      </c>
      <c r="AE8" s="42">
        <f>FINANCIALS!AE12/FINANCIALS!AE4</f>
        <v>0.23134317649981123</v>
      </c>
      <c r="AF8" s="42">
        <f>FINANCIALS!AF12/FINANCIALS!AF4</f>
        <v>0.22819617474542106</v>
      </c>
      <c r="AG8" s="42">
        <f>FINANCIALS!AG12/FINANCIALS!AG4</f>
        <v>0.22890829212663327</v>
      </c>
      <c r="AH8" s="42">
        <f>FINANCIALS!AH12/FINANCIALS!AH4</f>
        <v>0.2290509879286072</v>
      </c>
      <c r="AI8" s="42">
        <f>FINANCIALS!AI12/FINANCIALS!AI4</f>
        <v>0.21946195024666709</v>
      </c>
      <c r="AJ8" s="42">
        <f>FINANCIALS!AJ12/FINANCIALS!AJ4</f>
        <v>0.22284107871023737</v>
      </c>
      <c r="AK8" s="42">
        <f>FINANCIALS!AK12/FINANCIALS!AK4</f>
        <v>-0.12095466466927397</v>
      </c>
      <c r="AL8" s="42">
        <f>FINANCIALS!AL12/FINANCIALS!AL4</f>
        <v>0.23704706817062898</v>
      </c>
      <c r="AM8" s="42">
        <f>FINANCIALS!AM12/FINANCIALS!AM4</f>
        <v>0.23454568295390846</v>
      </c>
      <c r="AN8" s="42">
        <f>FINANCIALS!AN12/FINANCIALS!AN4</f>
        <v>0.23525736470588321</v>
      </c>
      <c r="AO8" s="42">
        <f>FINANCIALS!AO12/FINANCIALS!AO4</f>
        <v>0.23326658898444125</v>
      </c>
      <c r="AP8" s="42">
        <f>FINANCIALS!AP12/FINANCIALS!AP4</f>
        <v>0.23517894388498742</v>
      </c>
      <c r="AQ8" s="42">
        <f>FINANCIALS!AQ12/FINANCIALS!AQ4</f>
        <v>0.23419450172748851</v>
      </c>
      <c r="AR8" s="42">
        <f>FINANCIALS!AR12/FINANCIALS!AR4</f>
        <v>0.23488337796264608</v>
      </c>
      <c r="AS8" s="42">
        <f>FINANCIALS!AS12/FINANCIALS!AS4</f>
        <v>0.21143680549541974</v>
      </c>
      <c r="AT8" s="42">
        <f>FINANCIALS!AT12/FINANCIALS!AT4</f>
        <v>0.21274481320940786</v>
      </c>
      <c r="AU8" s="42">
        <f>FINANCIALS!AU12/FINANCIALS!AU4</f>
        <v>0.21428327866391006</v>
      </c>
      <c r="AV8" s="42">
        <f>FINANCIALS!AV12/FINANCIALS!AV4</f>
        <v>0.2157670801905445</v>
      </c>
      <c r="AW8" s="42">
        <f>FINANCIALS!AW12/FINANCIALS!AW4</f>
        <v>0.21374673515552242</v>
      </c>
      <c r="AX8" s="42">
        <f>FINANCIALS!AX12/FINANCIALS!AX4</f>
        <v>0.2129504119046301</v>
      </c>
      <c r="AY8" s="42">
        <f>FINANCIALS!AY12/FINANCIALS!AY4</f>
        <v>0.22811194841705901</v>
      </c>
      <c r="AZ8" s="42">
        <f>FINANCIALS!AZ12/FINANCIALS!AZ4</f>
        <v>0.22032294651797174</v>
      </c>
      <c r="BA8" s="42">
        <f>FINANCIALS!BA12/FINANCIALS!BA4</f>
        <v>0.22112150352172286</v>
      </c>
      <c r="BB8" s="42">
        <f>FINANCIALS!BB12/FINANCIALS!BB4</f>
        <v>0.2158184686690541</v>
      </c>
      <c r="BC8" s="42">
        <f>FINANCIALS!BC12/FINANCIALS!BC4</f>
        <v>0.21501186571423644</v>
      </c>
      <c r="BD8" s="42">
        <f>FINANCIALS!BD12/FINANCIALS!BD4</f>
        <v>0.21259801717694796</v>
      </c>
      <c r="BE8" s="42">
        <f>FINANCIALS!BE12/FINANCIALS!BE4</f>
        <v>0.2112928332396381</v>
      </c>
      <c r="BF8" s="42">
        <f>FINANCIALS!BF12/FINANCIALS!BF4</f>
        <v>0.21136258318434098</v>
      </c>
    </row>
    <row r="9" spans="1:58" ht="14.25">
      <c r="A9" s="6"/>
      <c r="B9" s="4"/>
      <c r="C9" s="1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43"/>
      <c r="AI9" s="43"/>
      <c r="AJ9" s="43"/>
      <c r="AK9" s="43"/>
      <c r="AL9" s="43"/>
      <c r="AM9" s="43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43"/>
      <c r="BA9" s="43"/>
      <c r="BB9" s="43"/>
      <c r="BC9" s="43"/>
      <c r="BD9" s="43"/>
      <c r="BE9" s="43"/>
      <c r="BF9" s="43"/>
    </row>
    <row r="10" spans="1:58" ht="14.25">
      <c r="A10" s="10">
        <v>2</v>
      </c>
      <c r="B10" s="6" t="s">
        <v>186</v>
      </c>
      <c r="C10" s="6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</row>
    <row r="11" spans="1:58" ht="14.25">
      <c r="A11" s="5">
        <v>2.1</v>
      </c>
      <c r="B11" s="6" t="s">
        <v>187</v>
      </c>
      <c r="C11" s="6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</row>
    <row r="12" spans="1:58" ht="14.25">
      <c r="A12" s="14" t="s">
        <v>188</v>
      </c>
      <c r="B12" s="4" t="s">
        <v>189</v>
      </c>
      <c r="C12" s="11" t="s">
        <v>190</v>
      </c>
      <c r="D12" s="42">
        <f>FINANCIALS!D31/FINANCIALS!D4</f>
        <v>0.2271330595307603</v>
      </c>
      <c r="E12" s="42">
        <f>FINANCIALS!E31/FINANCIALS!E4</f>
        <v>0.17811571374651364</v>
      </c>
      <c r="F12" s="42">
        <f>FINANCIALS!F31/FINANCIALS!F4</f>
        <v>9.0152034027246128E-2</v>
      </c>
      <c r="G12" s="42">
        <f>FINANCIALS!G31/FINANCIALS!G4</f>
        <v>8.2684888937343159E-2</v>
      </c>
      <c r="H12" s="42">
        <f>FINANCIALS!H31/FINANCIALS!H4</f>
        <v>8.0535981081802155E-2</v>
      </c>
      <c r="I12" s="42">
        <f>FINANCIALS!I31/FINANCIALS!I4</f>
        <v>7.7440123468014863E-2</v>
      </c>
      <c r="J12" s="42">
        <f>FINANCIALS!J31/FINANCIALS!J4</f>
        <v>7.9515684216598242E-2</v>
      </c>
      <c r="K12" s="42">
        <f>FINANCIALS!K31/FINANCIALS!K4</f>
        <v>8.3482077015513023E-2</v>
      </c>
      <c r="L12" s="42">
        <f>FINANCIALS!L31/FINANCIALS!L4</f>
        <v>8.3633896397777879E-2</v>
      </c>
      <c r="M12" s="42">
        <f>FINANCIALS!M31/FINANCIALS!M4</f>
        <v>8.8647213070771766E-2</v>
      </c>
      <c r="N12" s="42">
        <f>FINANCIALS!N31/FINANCIALS!N4</f>
        <v>9.0821208551485358E-2</v>
      </c>
      <c r="O12" s="42">
        <f>FINANCIALS!O31/FINANCIALS!O4</f>
        <v>9.5942243791105025E-2</v>
      </c>
      <c r="P12" s="42">
        <f>FINANCIALS!P31/FINANCIALS!P4</f>
        <v>9.8748743208872169E-2</v>
      </c>
      <c r="Q12" s="42">
        <f>FINANCIALS!Q31/FINANCIALS!Q4</f>
        <v>0.104183201025549</v>
      </c>
      <c r="R12" s="42">
        <f>FINANCIALS!R31/FINANCIALS!R4</f>
        <v>0.10574725263604451</v>
      </c>
      <c r="S12" s="42">
        <f>FINANCIALS!S31/FINANCIALS!S4</f>
        <v>0.10783077412783994</v>
      </c>
      <c r="T12" s="42">
        <f>FINANCIALS!T31/FINANCIALS!T4</f>
        <v>5.0314377585792214E-2</v>
      </c>
      <c r="U12" s="42">
        <f>FINANCIALS!U31/FINANCIALS!U4</f>
        <v>5.9292216640316628E-2</v>
      </c>
      <c r="V12" s="42">
        <f>FINANCIALS!V31/FINANCIALS!V4</f>
        <v>6.6130677703207588E-2</v>
      </c>
      <c r="W12" s="42">
        <f>FINANCIALS!W31/FINANCIALS!W4</f>
        <v>6.6130678488861935E-2</v>
      </c>
      <c r="X12" s="42">
        <f>FINANCIALS!X31/FINANCIALS!X4</f>
        <v>5.8671660591819205E-2</v>
      </c>
      <c r="Y12" s="42">
        <f>FINANCIALS!Y31/FINANCIALS!Y4</f>
        <v>5.8157885232074547E-2</v>
      </c>
      <c r="Z12" s="42">
        <f>FINANCIALS!Z31/FINANCIALS!Z4</f>
        <v>5.824033048148336E-2</v>
      </c>
      <c r="AA12" s="42">
        <f>FINANCIALS!AA31/FINANCIALS!AA4</f>
        <v>6.3497874432048851E-2</v>
      </c>
      <c r="AB12" s="42">
        <f>FINANCIALS!AB31/FINANCIALS!AB4</f>
        <v>6.4501639578911571E-2</v>
      </c>
      <c r="AC12" s="42">
        <f>FINANCIALS!AC31/FINANCIALS!AC4</f>
        <v>6.5125366884595401E-2</v>
      </c>
      <c r="AD12" s="42">
        <f>FINANCIALS!AD31/FINANCIALS!AD4</f>
        <v>6.7066986128867245E-2</v>
      </c>
      <c r="AE12" s="42">
        <f>FINANCIALS!AE31/FINANCIALS!AE4</f>
        <v>6.8952798196485199E-2</v>
      </c>
      <c r="AF12" s="42">
        <f>FINANCIALS!AF31/FINANCIALS!AF4</f>
        <v>6.813939221684083E-2</v>
      </c>
      <c r="AG12" s="42">
        <f>FINANCIALS!AG31/FINANCIALS!AG4</f>
        <v>7.137315894554222E-2</v>
      </c>
      <c r="AH12" s="42">
        <f>FINANCIALS!AH31/FINANCIALS!AH4</f>
        <v>7.4332945667810374E-2</v>
      </c>
      <c r="AI12" s="42">
        <f>FINANCIALS!AI31/FINANCIALS!AI4</f>
        <v>5.3582981088309251E-2</v>
      </c>
      <c r="AJ12" s="42">
        <f>FINANCIALS!AJ31/FINANCIALS!AJ4</f>
        <v>5.8057382261066375E-2</v>
      </c>
      <c r="AK12" s="42">
        <f>FINANCIALS!AK31/FINANCIALS!AK4</f>
        <v>0</v>
      </c>
      <c r="AL12" s="42">
        <f>FINANCIALS!AL31/FINANCIALS!AL4</f>
        <v>5.7463090125238578E-2</v>
      </c>
      <c r="AM12" s="42">
        <f>FINANCIALS!AM31/FINANCIALS!AM4</f>
        <v>5.8349043984667032E-2</v>
      </c>
      <c r="AN12" s="42">
        <f>FINANCIALS!AN31/FINANCIALS!AN4</f>
        <v>6.6909257504563918E-2</v>
      </c>
      <c r="AO12" s="42">
        <f>FINANCIALS!AO31/FINANCIALS!AO4</f>
        <v>6.8005967315506066E-2</v>
      </c>
      <c r="AP12" s="42">
        <f>FINANCIALS!AP31/FINANCIALS!AP4</f>
        <v>6.8482554047254257E-2</v>
      </c>
      <c r="AQ12" s="42">
        <f>FINANCIALS!AQ31/FINANCIALS!AQ4</f>
        <v>7.0063359900265035E-2</v>
      </c>
      <c r="AR12" s="42">
        <f>FINANCIALS!AR31/FINANCIALS!AR4</f>
        <v>7.259766048820751E-2</v>
      </c>
      <c r="AS12" s="42">
        <f>FINANCIALS!AS31/FINANCIALS!AS4</f>
        <v>5.7079635488711318E-2</v>
      </c>
      <c r="AT12" s="42">
        <f>FINANCIALS!AT31/FINANCIALS!AT4</f>
        <v>6.4712312659549034E-2</v>
      </c>
      <c r="AU12" s="42">
        <f>FINANCIALS!AU31/FINANCIALS!AU4</f>
        <v>6.9428273532421106E-2</v>
      </c>
      <c r="AV12" s="42">
        <f>FINANCIALS!AV31/FINANCIALS!AV4</f>
        <v>7.250108280737641E-2</v>
      </c>
      <c r="AW12" s="42">
        <f>FINANCIALS!AW31/FINANCIALS!AW4</f>
        <v>7.4873211571199264E-2</v>
      </c>
      <c r="AX12" s="42">
        <f>FINANCIALS!AX31/FINANCIALS!AX4</f>
        <v>7.7350255814838717E-2</v>
      </c>
      <c r="AY12" s="42">
        <f>FINANCIALS!AY31/FINANCIALS!AY4</f>
        <v>7.7428225068780748E-2</v>
      </c>
      <c r="AZ12" s="42">
        <f>FINANCIALS!AZ31/FINANCIALS!AZ4</f>
        <v>7.6424093809443594E-2</v>
      </c>
      <c r="BA12" s="42">
        <f>FINANCIALS!BA31/FINANCIALS!BA4</f>
        <v>8.0721250138990508E-2</v>
      </c>
      <c r="BB12" s="42">
        <f>FINANCIALS!BB31/FINANCIALS!BB4</f>
        <v>8.3446467649023429E-2</v>
      </c>
      <c r="BC12" s="42">
        <f>FINANCIALS!BC31/FINANCIALS!BC4</f>
        <v>8.5044946449773687E-2</v>
      </c>
      <c r="BD12" s="42" t="e">
        <f>FINANCIALS!BD31/FINANCIALS!BD4</f>
        <v>#REF!</v>
      </c>
      <c r="BE12" s="42" t="e">
        <f>FINANCIALS!BE31/FINANCIALS!BE4</f>
        <v>#REF!</v>
      </c>
      <c r="BF12" s="42" t="e">
        <f>FINANCIALS!BF31/FINANCIALS!BF4</f>
        <v>#REF!</v>
      </c>
    </row>
    <row r="13" spans="1:58" ht="14.25">
      <c r="A13" s="14" t="s">
        <v>191</v>
      </c>
      <c r="B13" s="4" t="s">
        <v>192</v>
      </c>
      <c r="C13" s="11" t="s">
        <v>193</v>
      </c>
      <c r="D13" s="42">
        <f>FINANCIALS!D32/FINANCIALS!D4</f>
        <v>0.17193462830256631</v>
      </c>
      <c r="E13" s="42">
        <f>FINANCIALS!E32/FINANCIALS!E4</f>
        <v>0.13616720558125897</v>
      </c>
      <c r="F13" s="42">
        <f>FINANCIALS!F32/FINANCIALS!F4</f>
        <v>3.2562112640577047E-2</v>
      </c>
      <c r="G13" s="42">
        <f>FINANCIALS!G32/FINANCIALS!G4</f>
        <v>3.6439883549073813E-2</v>
      </c>
      <c r="H13" s="42">
        <f>FINANCIALS!H32/FINANCIALS!H4</f>
        <v>3.5900720248628996E-2</v>
      </c>
      <c r="I13" s="42">
        <f>FINANCIALS!I32/FINANCIALS!I4</f>
        <v>3.3267644283436017E-2</v>
      </c>
      <c r="J13" s="42">
        <f>FINANCIALS!J32/FINANCIALS!J4</f>
        <v>2.7369370003039802E-2</v>
      </c>
      <c r="K13" s="42">
        <f>FINANCIALS!K32/FINANCIALS!K4</f>
        <v>2.7143587076171025E-2</v>
      </c>
      <c r="L13" s="42">
        <f>FINANCIALS!L32/FINANCIALS!L4</f>
        <v>2.7625569486421839E-2</v>
      </c>
      <c r="M13" s="42">
        <f>FINANCIALS!M32/FINANCIALS!M4</f>
        <v>3.119587236828009E-2</v>
      </c>
      <c r="N13" s="42">
        <f>FINANCIALS!N32/FINANCIALS!N4</f>
        <v>3.0614646111953941E-2</v>
      </c>
      <c r="O13" s="42">
        <f>FINANCIALS!O32/FINANCIALS!O4</f>
        <v>3.0666457944052004E-2</v>
      </c>
      <c r="P13" s="42">
        <f>FINANCIALS!P32/FINANCIALS!P4</f>
        <v>3.0131794397904595E-2</v>
      </c>
      <c r="Q13" s="42">
        <f>FINANCIALS!Q32/FINANCIALS!Q4</f>
        <v>2.9158913439147751E-2</v>
      </c>
      <c r="R13" s="42">
        <f>FINANCIALS!R32/FINANCIALS!R4</f>
        <v>2.8936709452435986E-2</v>
      </c>
      <c r="S13" s="42">
        <f>FINANCIALS!S32/FINANCIALS!S4</f>
        <v>2.8052103300211427E-2</v>
      </c>
      <c r="T13" s="42">
        <f>FINANCIALS!T32/FINANCIALS!T4</f>
        <v>2.1854874700787664E-2</v>
      </c>
      <c r="U13" s="42">
        <f>FINANCIALS!U32/FINANCIALS!U4</f>
        <v>2.2243528303123376E-2</v>
      </c>
      <c r="V13" s="42">
        <f>FINANCIALS!V32/FINANCIALS!V4</f>
        <v>2.3534179935448082E-2</v>
      </c>
      <c r="W13" s="42">
        <f>FINANCIALS!W32/FINANCIALS!W4</f>
        <v>2.3534180387020886E-2</v>
      </c>
      <c r="X13" s="42">
        <f>FINANCIALS!X32/FINANCIALS!X4</f>
        <v>1.8625129910203438E-2</v>
      </c>
      <c r="Y13" s="42">
        <f>FINANCIALS!Y32/FINANCIALS!Y4</f>
        <v>1.8635295140413861E-2</v>
      </c>
      <c r="Z13" s="42">
        <f>FINANCIALS!Z32/FINANCIALS!Z4</f>
        <v>1.9149813400238316E-2</v>
      </c>
      <c r="AA13" s="42">
        <f>FINANCIALS!AA32/FINANCIALS!AA4</f>
        <v>1.9702576489389029E-2</v>
      </c>
      <c r="AB13" s="42">
        <f>FINANCIALS!AB32/FINANCIALS!AB4</f>
        <v>1.971963466056878E-2</v>
      </c>
      <c r="AC13" s="42">
        <f>FINANCIALS!AC32/FINANCIALS!AC4</f>
        <v>1.9182189062104123E-2</v>
      </c>
      <c r="AD13" s="42">
        <f>FINANCIALS!AD32/FINANCIALS!AD4</f>
        <v>1.9097900643639386E-2</v>
      </c>
      <c r="AE13" s="42">
        <f>FINANCIALS!AE32/FINANCIALS!AE4</f>
        <v>2.0765525751977914E-2</v>
      </c>
      <c r="AF13" s="42">
        <f>FINANCIALS!AF32/FINANCIALS!AF4</f>
        <v>2.0846547626763318E-2</v>
      </c>
      <c r="AG13" s="42">
        <f>FINANCIALS!AG32/FINANCIALS!AG4</f>
        <v>2.1899611163111597E-2</v>
      </c>
      <c r="AH13" s="42">
        <f>FINANCIALS!AH32/FINANCIALS!AH4</f>
        <v>2.1590546544556732E-2</v>
      </c>
      <c r="AI13" s="42">
        <f>FINANCIALS!AI32/FINANCIALS!AI4</f>
        <v>2.0482483194728306E-2</v>
      </c>
      <c r="AJ13" s="42">
        <f>FINANCIALS!AJ32/FINANCIALS!AJ4</f>
        <v>2.0958538812310204E-2</v>
      </c>
      <c r="AK13" s="42">
        <f>FINANCIALS!AK32/FINANCIALS!AK4</f>
        <v>0</v>
      </c>
      <c r="AL13" s="42">
        <f>FINANCIALS!AL32/FINANCIALS!AL4</f>
        <v>2.1561723860496179E-2</v>
      </c>
      <c r="AM13" s="42">
        <f>FINANCIALS!AM32/FINANCIALS!AM4</f>
        <v>2.1470467316107834E-2</v>
      </c>
      <c r="AN13" s="42">
        <f>FINANCIALS!AN32/FINANCIALS!AN4</f>
        <v>2.2024806320762005E-2</v>
      </c>
      <c r="AO13" s="42">
        <f>FINANCIALS!AO32/FINANCIALS!AO4</f>
        <v>2.2518881920563893E-2</v>
      </c>
      <c r="AP13" s="42">
        <f>FINANCIALS!AP32/FINANCIALS!AP4</f>
        <v>2.2301874338585645E-2</v>
      </c>
      <c r="AQ13" s="42">
        <f>FINANCIALS!AQ32/FINANCIALS!AQ4</f>
        <v>2.1899766700571241E-2</v>
      </c>
      <c r="AR13" s="42">
        <f>FINANCIALS!AR32/FINANCIALS!AR4</f>
        <v>2.1353783705974592E-2</v>
      </c>
      <c r="AS13" s="42">
        <f>FINANCIALS!AS32/FINANCIALS!AS4</f>
        <v>1.9709501908898568E-2</v>
      </c>
      <c r="AT13" s="42">
        <f>FINANCIALS!AT32/FINANCIALS!AT4</f>
        <v>2.1120187766762721E-2</v>
      </c>
      <c r="AU13" s="42">
        <f>FINANCIALS!AU32/FINANCIALS!AU4</f>
        <v>2.1520702473571077E-2</v>
      </c>
      <c r="AV13" s="42">
        <f>FINANCIALS!AV32/FINANCIALS!AV4</f>
        <v>2.1753431279686618E-2</v>
      </c>
      <c r="AW13" s="42">
        <f>FINANCIALS!AW32/FINANCIALS!AW4</f>
        <v>2.1931342037470491E-2</v>
      </c>
      <c r="AX13" s="42">
        <f>FINANCIALS!AX32/FINANCIALS!AX4</f>
        <v>2.3755299107594319E-2</v>
      </c>
      <c r="AY13" s="42">
        <f>FINANCIALS!AY32/FINANCIALS!AY4</f>
        <v>2.3753291484207194E-2</v>
      </c>
      <c r="AZ13" s="42">
        <f>FINANCIALS!AZ32/FINANCIALS!AZ4</f>
        <v>2.4098592359644289E-2</v>
      </c>
      <c r="BA13" s="42">
        <f>FINANCIALS!BA32/FINANCIALS!BA4</f>
        <v>2.4402123111248574E-2</v>
      </c>
      <c r="BB13" s="42">
        <f>FINANCIALS!BB32/FINANCIALS!BB4</f>
        <v>2.4230769996694577E-2</v>
      </c>
      <c r="BC13" s="42">
        <f>FINANCIALS!BC32/FINANCIALS!BC4</f>
        <v>2.3933626310209573E-2</v>
      </c>
      <c r="BD13" s="42">
        <f>FINANCIALS!BD32/FINANCIALS!BD4</f>
        <v>2.3590967192561058E-2</v>
      </c>
      <c r="BE13" s="42">
        <f>FINANCIALS!BE32/FINANCIALS!BE4</f>
        <v>2.4429626831994934E-2</v>
      </c>
      <c r="BF13" s="42">
        <f>FINANCIALS!BF32/FINANCIALS!BF4</f>
        <v>2.3849458194364098E-2</v>
      </c>
    </row>
    <row r="14" spans="1:58" ht="14.25">
      <c r="A14" s="14"/>
      <c r="B14" s="4"/>
      <c r="C14" s="11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43"/>
      <c r="AL14" s="43"/>
      <c r="AM14" s="43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43"/>
      <c r="BC14" s="43"/>
      <c r="BD14" s="43"/>
      <c r="BE14" s="43"/>
      <c r="BF14" s="43"/>
    </row>
    <row r="15" spans="1:58" ht="14.25">
      <c r="A15" s="14">
        <v>2.2000000000000002</v>
      </c>
      <c r="B15" s="6" t="s">
        <v>194</v>
      </c>
      <c r="C15" s="11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43"/>
      <c r="AL15" s="43"/>
      <c r="AM15" s="43"/>
      <c r="AN15" s="43"/>
      <c r="AO15" s="43"/>
      <c r="AP15" s="43"/>
      <c r="AQ15" s="43"/>
      <c r="AR15" s="43"/>
      <c r="AS15" s="43"/>
      <c r="AT15" s="43"/>
      <c r="AU15" s="43"/>
      <c r="AV15" s="43"/>
      <c r="AW15" s="43"/>
      <c r="AX15" s="43"/>
      <c r="AY15" s="43"/>
      <c r="AZ15" s="43"/>
      <c r="BA15" s="43"/>
      <c r="BB15" s="43"/>
      <c r="BC15" s="43"/>
      <c r="BD15" s="43"/>
      <c r="BE15" s="43"/>
      <c r="BF15" s="43"/>
    </row>
    <row r="16" spans="1:58" ht="14.25">
      <c r="A16" s="14" t="s">
        <v>195</v>
      </c>
      <c r="B16" s="4" t="s">
        <v>196</v>
      </c>
      <c r="C16" s="11" t="s">
        <v>193</v>
      </c>
      <c r="D16" s="42">
        <f>('STATEMENT OF FINANCIAL POSITION'!C18+'STATEMENT OF FINANCIAL POSITION'!C21)/FINANCIALS!D5</f>
        <v>2.519820439382019E-2</v>
      </c>
      <c r="E16" s="42">
        <f>('STATEMENT OF FINANCIAL POSITION'!D18+'STATEMENT OF FINANCIAL POSITION'!D21)/FINANCIALS!E5</f>
        <v>2.0379896331340963E-2</v>
      </c>
      <c r="F16" s="42">
        <f>('STATEMENT OF FINANCIAL POSITION'!E18+'STATEMENT OF FINANCIAL POSITION'!E21)/FINANCIALS!F5</f>
        <v>1.7228838500643238E-2</v>
      </c>
      <c r="G16" s="42">
        <f>('STATEMENT OF FINANCIAL POSITION'!F18+'STATEMENT OF FINANCIAL POSITION'!F21)/FINANCIALS!G5</f>
        <v>1.4882780505183262E-2</v>
      </c>
      <c r="H16" s="42">
        <f>('STATEMENT OF FINANCIAL POSITION'!G18+'STATEMENT OF FINANCIAL POSITION'!G21)/FINANCIALS!H5</f>
        <v>2.3759572880123252E-2</v>
      </c>
      <c r="I16" s="42">
        <f>('STATEMENT OF FINANCIAL POSITION'!H18+'STATEMENT OF FINANCIAL POSITION'!H21)/FINANCIALS!I5</f>
        <v>2.095941725197523E-2</v>
      </c>
      <c r="J16" s="42">
        <f>('STATEMENT OF FINANCIAL POSITION'!I18+'STATEMENT OF FINANCIAL POSITION'!I21)/FINANCIALS!J5</f>
        <v>1.9903303011164098E-2</v>
      </c>
      <c r="K16" s="42">
        <f>('STATEMENT OF FINANCIAL POSITION'!J18+'STATEMENT OF FINANCIAL POSITION'!J21)/FINANCIALS!K5</f>
        <v>2.0542910875690941E-2</v>
      </c>
      <c r="L16" s="42">
        <f>('STATEMENT OF FINANCIAL POSITION'!K18+'STATEMENT OF FINANCIAL POSITION'!K21)/FINANCIALS!L5</f>
        <v>2.0413893495987354E-2</v>
      </c>
      <c r="M16" s="42">
        <f>('STATEMENT OF FINANCIAL POSITION'!L18+'STATEMENT OF FINANCIAL POSITION'!L21)/FINANCIALS!M5</f>
        <v>2.093097820397774E-2</v>
      </c>
      <c r="N16" s="42">
        <f>('STATEMENT OF FINANCIAL POSITION'!M18+'STATEMENT OF FINANCIAL POSITION'!M21)/FINANCIALS!N5</f>
        <v>2.0765586574168549E-2</v>
      </c>
      <c r="O16" s="42">
        <f>('STATEMENT OF FINANCIAL POSITION'!N18+'STATEMENT OF FINANCIAL POSITION'!N21)/FINANCIALS!O5</f>
        <v>2.0848544319584918E-2</v>
      </c>
      <c r="P16" s="42">
        <f>('STATEMENT OF FINANCIAL POSITION'!O18+'STATEMENT OF FINANCIAL POSITION'!O21)/FINANCIALS!P5</f>
        <v>2.0832055636918638E-2</v>
      </c>
      <c r="Q16" s="42">
        <f>('STATEMENT OF FINANCIAL POSITION'!P18+'STATEMENT OF FINANCIAL POSITION'!P21)/FINANCIALS!Q5</f>
        <v>2.0758740567241033E-2</v>
      </c>
      <c r="R16" s="42">
        <f>('STATEMENT OF FINANCIAL POSITION'!Q18+'STATEMENT OF FINANCIAL POSITION'!Q21)/FINANCIALS!R5</f>
        <v>2.1196118642190634E-2</v>
      </c>
      <c r="S16" s="42">
        <f>('STATEMENT OF FINANCIAL POSITION'!R18+'STATEMENT OF FINANCIAL POSITION'!R21)/FINANCIALS!S5</f>
        <v>2.1415286248239702E-2</v>
      </c>
      <c r="T16" s="42">
        <f>('STATEMENT OF FINANCIAL POSITION'!S18+'STATEMENT OF FINANCIAL POSITION'!S21)/FINANCIALS!T5</f>
        <v>1.4853995135913617E-2</v>
      </c>
      <c r="U16" s="42">
        <f>('STATEMENT OF FINANCIAL POSITION'!T18+'STATEMENT OF FINANCIAL POSITION'!T21)/FINANCIALS!U5</f>
        <v>2.7025803932768398E-2</v>
      </c>
      <c r="V16" s="42">
        <f>('STATEMENT OF FINANCIAL POSITION'!U18+'STATEMENT OF FINANCIAL POSITION'!U21)/FINANCIALS!V5</f>
        <v>1.8400400539680044E-2</v>
      </c>
      <c r="W16" s="42">
        <f>('STATEMENT OF FINANCIAL POSITION'!V18+'STATEMENT OF FINANCIAL POSITION'!V21)/FINANCIALS!W5</f>
        <v>1.8400400537045773E-2</v>
      </c>
      <c r="X16" s="42">
        <f>('STATEMENT OF FINANCIAL POSITION'!X18+'STATEMENT OF FINANCIAL POSITION'!X21)/FINANCIALS!X5</f>
        <v>1.4775241643416736E-2</v>
      </c>
      <c r="Y16" s="42">
        <f>('STATEMENT OF FINANCIAL POSITION'!Y18+'STATEMENT OF FINANCIAL POSITION'!Y21)/FINANCIALS!Y5</f>
        <v>3.8460130110743239E-3</v>
      </c>
      <c r="Z16" s="42">
        <f>('STATEMENT OF FINANCIAL POSITION'!Z18+'STATEMENT OF FINANCIAL POSITION'!Z21)/FINANCIALS!Z5</f>
        <v>1.4360660264231266E-2</v>
      </c>
      <c r="AA16" s="42">
        <f>('STATEMENT OF FINANCIAL POSITION'!AA18+'STATEMENT OF FINANCIAL POSITION'!AA21)/FINANCIALS!AA5</f>
        <v>1.459461470134148E-2</v>
      </c>
      <c r="AB16" s="42">
        <f>('STATEMENT OF FINANCIAL POSITION'!AB18+'STATEMENT OF FINANCIAL POSITION'!AB21)/FINANCIALS!AB5</f>
        <v>1.4392037795833422E-2</v>
      </c>
      <c r="AC16" s="42">
        <f>('STATEMENT OF FINANCIAL POSITION'!AC18+'STATEMENT OF FINANCIAL POSITION'!AC21)/FINANCIALS!AC5</f>
        <v>1.4420680717626323E-2</v>
      </c>
      <c r="AD16" s="42">
        <f>('STATEMENT OF FINANCIAL POSITION'!AD18+'STATEMENT OF FINANCIAL POSITION'!AD21)/FINANCIALS!AD5</f>
        <v>1.4392026096850785E-2</v>
      </c>
      <c r="AE16" s="42">
        <f>('STATEMENT OF FINANCIAL POSITION'!AE18+'STATEMENT OF FINANCIAL POSITION'!AE21)/FINANCIALS!AE5</f>
        <v>1.4359335748058942E-2</v>
      </c>
      <c r="AF16" s="42">
        <f>('STATEMENT OF FINANCIAL POSITION'!AF18+'STATEMENT OF FINANCIAL POSITION'!AF21)/FINANCIALS!AF5</f>
        <v>1.8253640888879246E-2</v>
      </c>
      <c r="AG16" s="42">
        <f>('STATEMENT OF FINANCIAL POSITION'!AG18+'STATEMENT OF FINANCIAL POSITION'!AG21)/FINANCIALS!AG5</f>
        <v>1.8414799312732391E-2</v>
      </c>
      <c r="AH16" s="42">
        <f>('STATEMENT OF FINANCIAL POSITION'!AH18+'STATEMENT OF FINANCIAL POSITION'!AH21)/FINANCIALS!AH5</f>
        <v>1.8572824501351583E-2</v>
      </c>
      <c r="AI16" s="42">
        <f>('STATEMENT OF FINANCIAL POSITION'!AI18+'STATEMENT OF FINANCIAL POSITION'!AI21)/FINANCIALS!AI5</f>
        <v>1.600937407030311E-2</v>
      </c>
      <c r="AJ16" s="42">
        <f>('STATEMENT OF FINANCIAL POSITION'!AJ18+'STATEMENT OF FINANCIAL POSITION'!AJ21)/FINANCIALS!AJ5</f>
        <v>1.6190052760699514E-2</v>
      </c>
      <c r="AK16" s="42" t="e">
        <f>('STATEMENT OF FINANCIAL POSITION'!AK18+'STATEMENT OF FINANCIAL POSITION'!AK21)/FINANCIALS!AK5</f>
        <v>#DIV/0!</v>
      </c>
      <c r="AL16" s="42">
        <f>('STATEMENT OF FINANCIAL POSITION'!AL18+'STATEMENT OF FINANCIAL POSITION'!AL21)/FINANCIALS!AL5</f>
        <v>3.5444627736647026E-3</v>
      </c>
      <c r="AM16" s="42">
        <f>('STATEMENT OF FINANCIAL POSITION'!AM18+'STATEMENT OF FINANCIAL POSITION'!AM21)/FINANCIALS!AM5</f>
        <v>1.5534546026418974E-2</v>
      </c>
      <c r="AN16" s="42">
        <f>('STATEMENT OF FINANCIAL POSITION'!AN18+'STATEMENT OF FINANCIAL POSITION'!AN21)/FINANCIALS!AN5</f>
        <v>2.005831723906458E-2</v>
      </c>
      <c r="AO16" s="42">
        <f>('STATEMENT OF FINANCIAL POSITION'!AO18+'STATEMENT OF FINANCIAL POSITION'!AO21)/FINANCIALS!AO5</f>
        <v>1.9958445736213516E-2</v>
      </c>
      <c r="AP16" s="42">
        <f>('STATEMENT OF FINANCIAL POSITION'!AP18+'STATEMENT OF FINANCIAL POSITION'!AP21)/FINANCIALS!AP5</f>
        <v>1.9931160842523526E-2</v>
      </c>
      <c r="AQ16" s="42">
        <f>('STATEMENT OF FINANCIAL POSITION'!AQ18+'STATEMENT OF FINANCIAL POSITION'!AQ21)/FINANCIALS!AQ5</f>
        <v>1.9745915793924686E-2</v>
      </c>
      <c r="AR16" s="42">
        <f>('STATEMENT OF FINANCIAL POSITION'!AR18+'STATEMENT OF FINANCIAL POSITION'!AR21)/FINANCIALS!AR5</f>
        <v>1.9669167694955143E-2</v>
      </c>
      <c r="AS16" s="42">
        <f>('STATEMENT OF FINANCIAL POSITION'!AS18+'STATEMENT OF FINANCIAL POSITION'!AS21)/FINANCIALS!AS5</f>
        <v>1.707774150559745E-2</v>
      </c>
      <c r="AT16" s="42">
        <f>('STATEMENT OF FINANCIAL POSITION'!AT18+'STATEMENT OF FINANCIAL POSITION'!AT21)/FINANCIALS!AT5</f>
        <v>1.7420919288870573E-2</v>
      </c>
      <c r="AU16" s="42">
        <f>('STATEMENT OF FINANCIAL POSITION'!AU18+'STATEMENT OF FINANCIAL POSITION'!AU21)/FINANCIALS!AU5</f>
        <v>1.7806893862560277E-2</v>
      </c>
      <c r="AV16" s="42">
        <f>('STATEMENT OF FINANCIAL POSITION'!AV18+'STATEMENT OF FINANCIAL POSITION'!AV21)/FINANCIALS!AV5</f>
        <v>1.8020688716797725E-2</v>
      </c>
      <c r="AW16" s="42">
        <f>('STATEMENT OF FINANCIAL POSITION'!AW18+'STATEMENT OF FINANCIAL POSITION'!AW21)/FINANCIALS!AW5</f>
        <v>1.8036274782278663E-2</v>
      </c>
      <c r="AX16" s="42">
        <f>('STATEMENT OF FINANCIAL POSITION'!AX18+'STATEMENT OF FINANCIAL POSITION'!AX21)/FINANCIALS!AX5</f>
        <v>4.2428969285294084E-2</v>
      </c>
      <c r="AY16" s="42">
        <f>('STATEMENT OF FINANCIAL POSITION'!AY18+'STATEMENT OF FINANCIAL POSITION'!AY21)/FINANCIALS!AY5</f>
        <v>0</v>
      </c>
      <c r="AZ16" s="42">
        <f>('STATEMENT OF FINANCIAL POSITION'!AZ18+'STATEMENT OF FINANCIAL POSITION'!AZ21)/FINANCIALS!AZ5</f>
        <v>4.1010666083433664E-2</v>
      </c>
      <c r="BA16" s="42">
        <f>('STATEMENT OF FINANCIAL POSITION'!BA18+'STATEMENT OF FINANCIAL POSITION'!BA21)/FINANCIALS!BA5</f>
        <v>4.2095621060741883E-2</v>
      </c>
      <c r="BB16" s="42">
        <f>('STATEMENT OF FINANCIAL POSITION'!BB18+'STATEMENT OF FINANCIAL POSITION'!BB21)/FINANCIALS!BB5</f>
        <v>4.124139222263961E-2</v>
      </c>
      <c r="BC16" s="42">
        <f>('STATEMENT OF FINANCIAL POSITION'!BC18+'STATEMENT OF FINANCIAL POSITION'!BC21)/FINANCIALS!BC5</f>
        <v>4.0812899444265735E-2</v>
      </c>
      <c r="BD16" s="42">
        <f>('STATEMENT OF FINANCIAL POSITION'!BD18+'STATEMENT OF FINANCIAL POSITION'!BD21)/FINANCIALS!BD5</f>
        <v>4.2328688312275896E-2</v>
      </c>
      <c r="BE16" s="42">
        <f>('STATEMENT OF FINANCIAL POSITION'!BE18+'STATEMENT OF FINANCIAL POSITION'!BE21)/FINANCIALS!BE5</f>
        <v>4.1745998199782586E-2</v>
      </c>
      <c r="BF16" s="42">
        <f>('STATEMENT OF FINANCIAL POSITION'!BF18+'STATEMENT OF FINANCIAL POSITION'!BF21)/FINANCIALS!BF5</f>
        <v>4.142396353148068E-2</v>
      </c>
    </row>
    <row r="17" spans="1:58" ht="14.25">
      <c r="A17" s="14" t="s">
        <v>197</v>
      </c>
      <c r="B17" s="4" t="s">
        <v>198</v>
      </c>
      <c r="C17" s="11" t="s">
        <v>199</v>
      </c>
      <c r="D17" s="42">
        <f>('STATEMENT OF FINANCIAL POSITION'!C18+'STATEMENT OF FINANCIAL POSITION'!C21)/FINANCIALS!D11</f>
        <v>7.4579154125141101E-2</v>
      </c>
      <c r="E17" s="42">
        <f>('STATEMENT OF FINANCIAL POSITION'!D18+'STATEMENT OF FINANCIAL POSITION'!D21)/FINANCIALS!E11</f>
        <v>6.3466912791853416E-2</v>
      </c>
      <c r="F17" s="42">
        <f>('STATEMENT OF FINANCIAL POSITION'!E18+'STATEMENT OF FINANCIAL POSITION'!E21)/FINANCIALS!F11</f>
        <v>6.8512800650673125E-2</v>
      </c>
      <c r="G17" s="42">
        <f>('STATEMENT OF FINANCIAL POSITION'!F18+'STATEMENT OF FINANCIAL POSITION'!F21)/FINANCIALS!G11</f>
        <v>5.0271503130963006E-2</v>
      </c>
      <c r="H17" s="42">
        <f>('STATEMENT OF FINANCIAL POSITION'!G21+'STATEMENT OF FINANCIAL POSITION'!G24)/FINANCIALS!H11</f>
        <v>2.985414123708249</v>
      </c>
      <c r="I17" s="42">
        <f>('STATEMENT OF FINANCIAL POSITION'!H21+'STATEMENT OF FINANCIAL POSITION'!H24)/FINANCIALS!I11</f>
        <v>2.6662586342391261</v>
      </c>
      <c r="J17" s="42">
        <f>('STATEMENT OF FINANCIAL POSITION'!I21+'STATEMENT OF FINANCIAL POSITION'!I24)/FINANCIALS!J11</f>
        <v>2.7955848701330717</v>
      </c>
      <c r="K17" s="42">
        <f>('STATEMENT OF FINANCIAL POSITION'!J21+'STATEMENT OF FINANCIAL POSITION'!J24)/FINANCIALS!K11</f>
        <v>2.7929559256416949</v>
      </c>
      <c r="L17" s="42">
        <f>('STATEMENT OF FINANCIAL POSITION'!K21+'STATEMENT OF FINANCIAL POSITION'!K24)/FINANCIALS!L11</f>
        <v>2.7994238157198899</v>
      </c>
      <c r="M17" s="42">
        <f>('STATEMENT OF FINANCIAL POSITION'!L21+'STATEMENT OF FINANCIAL POSITION'!L24)/FINANCIALS!M11</f>
        <v>2.8416244029206337</v>
      </c>
      <c r="N17" s="42">
        <f>('STATEMENT OF FINANCIAL POSITION'!M21+'STATEMENT OF FINANCIAL POSITION'!M24)/FINANCIALS!N11</f>
        <v>2.8987683663299775</v>
      </c>
      <c r="O17" s="42">
        <f>('STATEMENT OF FINANCIAL POSITION'!N21+'STATEMENT OF FINANCIAL POSITION'!N24)/FINANCIALS!O11</f>
        <v>2.9851466052501436</v>
      </c>
      <c r="P17" s="42">
        <f>('STATEMENT OF FINANCIAL POSITION'!O21+'STATEMENT OF FINANCIAL POSITION'!O24)/FINANCIALS!P11</f>
        <v>3.0340617816512001</v>
      </c>
      <c r="Q17" s="42">
        <f>('STATEMENT OF FINANCIAL POSITION'!P21+'STATEMENT OF FINANCIAL POSITION'!P24)/FINANCIALS!Q11</f>
        <v>3.0013136936462357</v>
      </c>
      <c r="R17" s="42">
        <f>('STATEMENT OF FINANCIAL POSITION'!Q21+'STATEMENT OF FINANCIAL POSITION'!Q24)/FINANCIALS!R11</f>
        <v>3.0378834966944415</v>
      </c>
      <c r="S17" s="42">
        <f>('STATEMENT OF FINANCIAL POSITION'!R21+'STATEMENT OF FINANCIAL POSITION'!R24)/FINANCIALS!S11</f>
        <v>3.0716113714816626</v>
      </c>
      <c r="T17" s="42">
        <f>('STATEMENT OF FINANCIAL POSITION'!S21+'STATEMENT OF FINANCIAL POSITION'!S24)/FINANCIALS!T11</f>
        <v>2.3475970116125335</v>
      </c>
      <c r="U17" s="42">
        <f>('STATEMENT OF FINANCIAL POSITION'!T21+'STATEMENT OF FINANCIAL POSITION'!T24)/FINANCIALS!U11</f>
        <v>2.4526362833070023</v>
      </c>
      <c r="V17" s="42">
        <f>('STATEMENT OF FINANCIAL POSITION'!U21+'STATEMENT OF FINANCIAL POSITION'!U24)/FINANCIALS!V11</f>
        <v>2.4923801833204133</v>
      </c>
      <c r="W17" s="42">
        <f>('STATEMENT OF FINANCIAL POSITION'!V21+'STATEMENT OF FINANCIAL POSITION'!V24)/FINANCIALS!W11</f>
        <v>2.492380187476845</v>
      </c>
      <c r="X17" s="42">
        <f>('STATEMENT OF FINANCIAL POSITION'!X21+'STATEMENT OF FINANCIAL POSITION'!X24)/FINANCIALS!X11</f>
        <v>2.8337052097479449</v>
      </c>
      <c r="Y17" s="42">
        <f>('STATEMENT OF FINANCIAL POSITION'!Y21+'STATEMENT OF FINANCIAL POSITION'!Y24)/FINANCIALS!Y11</f>
        <v>2.7307191846811998</v>
      </c>
      <c r="Z17" s="42">
        <f>('STATEMENT OF FINANCIAL POSITION'!Z21+'STATEMENT OF FINANCIAL POSITION'!Z24)/FINANCIALS!Z11</f>
        <v>2.8228135070355518</v>
      </c>
      <c r="AA17" s="42">
        <f>('STATEMENT OF FINANCIAL POSITION'!AA21+'STATEMENT OF FINANCIAL POSITION'!AA24)/FINANCIALS!AA11</f>
        <v>2.8543092518367938</v>
      </c>
      <c r="AB17" s="42">
        <f>('STATEMENT OF FINANCIAL POSITION'!AB21+'STATEMENT OF FINANCIAL POSITION'!AB24)/FINANCIALS!AB11</f>
        <v>2.8925466918150717</v>
      </c>
      <c r="AC17" s="42">
        <f>('STATEMENT OF FINANCIAL POSITION'!AC21+'STATEMENT OF FINANCIAL POSITION'!AC24)/FINANCIALS!AC11</f>
        <v>2.8563153022997376</v>
      </c>
      <c r="AD17" s="42">
        <f>('STATEMENT OF FINANCIAL POSITION'!AD21+'STATEMENT OF FINANCIAL POSITION'!AD24)/FINANCIALS!AD11</f>
        <v>2.8937367060699866</v>
      </c>
      <c r="AE17" s="42">
        <f>('STATEMENT OF FINANCIAL POSITION'!AE21+'STATEMENT OF FINANCIAL POSITION'!AE24)/FINANCIALS!AE11</f>
        <v>2.9175154716008529</v>
      </c>
      <c r="AF17" s="42">
        <f>('STATEMENT OF FINANCIAL POSITION'!AF21+'STATEMENT OF FINANCIAL POSITION'!AF24)/FINANCIALS!AF11</f>
        <v>2.9556097934409826</v>
      </c>
      <c r="AG17" s="42">
        <f>('STATEMENT OF FINANCIAL POSITION'!AG21+'STATEMENT OF FINANCIAL POSITION'!AG24)/FINANCIALS!AG11</f>
        <v>2.9648565937608296</v>
      </c>
      <c r="AH17" s="42">
        <f>('STATEMENT OF FINANCIAL POSITION'!AH21+'STATEMENT OF FINANCIAL POSITION'!AH24)/FINANCIALS!AH11</f>
        <v>2.9821545654081101</v>
      </c>
      <c r="AI17" s="42">
        <f>('STATEMENT OF FINANCIAL POSITION'!AI21+'STATEMENT OF FINANCIAL POSITION'!AI24)/FINANCIALS!AI11</f>
        <v>2.7426105235937133</v>
      </c>
      <c r="AJ17" s="42">
        <f>('STATEMENT OF FINANCIAL POSITION'!AJ21+'STATEMENT OF FINANCIAL POSITION'!AJ24)/FINANCIALS!AJ11</f>
        <v>2.8062882265987135</v>
      </c>
      <c r="AK17" s="42">
        <f>('STATEMENT OF FINANCIAL POSITION'!AK21+'STATEMENT OF FINANCIAL POSITION'!AK24)/FINANCIALS!AK11</f>
        <v>0</v>
      </c>
      <c r="AL17" s="42">
        <f>('STATEMENT OF FINANCIAL POSITION'!AL21+'STATEMENT OF FINANCIAL POSITION'!AL24)/FINANCIALS!AL11</f>
        <v>2.6589894822208895</v>
      </c>
      <c r="AM17" s="42">
        <f>('STATEMENT OF FINANCIAL POSITION'!AM21+'STATEMENT OF FINANCIAL POSITION'!AM24)/FINANCIALS!AM11</f>
        <v>2.7168875852620222</v>
      </c>
      <c r="AN17" s="42">
        <f>('STATEMENT OF FINANCIAL POSITION'!AN21+'STATEMENT OF FINANCIAL POSITION'!AN24)/FINANCIALS!AN11</f>
        <v>2.7479262277187892</v>
      </c>
      <c r="AO17" s="42">
        <f>('STATEMENT OF FINANCIAL POSITION'!AO21+'STATEMENT OF FINANCIAL POSITION'!AO24)/FINANCIALS!AO11</f>
        <v>2.7893441509382741</v>
      </c>
      <c r="AP17" s="42">
        <f>('STATEMENT OF FINANCIAL POSITION'!AP21+'STATEMENT OF FINANCIAL POSITION'!AP24)/FINANCIALS!AP11</f>
        <v>2.777174414349751</v>
      </c>
      <c r="AQ17" s="42">
        <f>('STATEMENT OF FINANCIAL POSITION'!AQ21+'STATEMENT OF FINANCIAL POSITION'!AQ24)/FINANCIALS!AQ11</f>
        <v>2.7770436147764896</v>
      </c>
      <c r="AR17" s="42">
        <f>('STATEMENT OF FINANCIAL POSITION'!AR21+'STATEMENT OF FINANCIAL POSITION'!AR24)/FINANCIALS!AR11</f>
        <v>2.7788046986443153</v>
      </c>
      <c r="AS17" s="42">
        <f>('STATEMENT OF FINANCIAL POSITION'!AS21+'STATEMENT OF FINANCIAL POSITION'!AS24)/FINANCIALS!AS11</f>
        <v>2.6401499699567839</v>
      </c>
      <c r="AT17" s="42">
        <f>('STATEMENT OF FINANCIAL POSITION'!AT21+'STATEMENT OF FINANCIAL POSITION'!AT24)/FINANCIALS!AT11</f>
        <v>2.7038418958006418</v>
      </c>
      <c r="AU17" s="42">
        <f>('STATEMENT OF FINANCIAL POSITION'!AU21+'STATEMENT OF FINANCIAL POSITION'!AU24)/FINANCIALS!AU11</f>
        <v>2.7630467746648777</v>
      </c>
      <c r="AV17" s="42">
        <f>('STATEMENT OF FINANCIAL POSITION'!AV21+'STATEMENT OF FINANCIAL POSITION'!AV24)/FINANCIALS!AV11</f>
        <v>2.7791754684462822</v>
      </c>
      <c r="AW17" s="42">
        <f>('STATEMENT OF FINANCIAL POSITION'!AW21+'STATEMENT OF FINANCIAL POSITION'!AW24)/FINANCIALS!AW11</f>
        <v>2.8503656818152461</v>
      </c>
      <c r="AX17" s="42">
        <f>('STATEMENT OF FINANCIAL POSITION'!AX21+'STATEMENT OF FINANCIAL POSITION'!AX24)/FINANCIALS!AX11</f>
        <v>2.9236994290043596</v>
      </c>
      <c r="AY17" s="42">
        <f>('STATEMENT OF FINANCIAL POSITION'!AY21+'STATEMENT OF FINANCIAL POSITION'!AY24)/FINANCIALS!AY11</f>
        <v>2.6573950903327774</v>
      </c>
      <c r="AZ17" s="42">
        <f>('STATEMENT OF FINANCIAL POSITION'!AZ21+'STATEMENT OF FINANCIAL POSITION'!AZ24)/FINANCIALS!AZ11</f>
        <v>2.8669132793961785</v>
      </c>
      <c r="BA17" s="42">
        <f>('STATEMENT OF FINANCIAL POSITION'!BA21+'STATEMENT OF FINANCIAL POSITION'!BA24)/FINANCIALS!BA11</f>
        <v>2.928463834724722</v>
      </c>
      <c r="BB17" s="42">
        <f>('STATEMENT OF FINANCIAL POSITION'!BB21+'STATEMENT OF FINANCIAL POSITION'!BB24)/FINANCIALS!BB11</f>
        <v>3.0694274243209683</v>
      </c>
      <c r="BC17" s="42">
        <f>('STATEMENT OF FINANCIAL POSITION'!BC21+'STATEMENT OF FINANCIAL POSITION'!BC24)/FINANCIALS!BC11</f>
        <v>3.0676678256775092</v>
      </c>
      <c r="BD17" s="42">
        <f>('STATEMENT OF FINANCIAL POSITION'!BD21+'STATEMENT OF FINANCIAL POSITION'!BD24)/FINANCIALS!BD11</f>
        <v>3.1044539107164835</v>
      </c>
      <c r="BE17" s="42">
        <f>('STATEMENT OF FINANCIAL POSITION'!BE21+'STATEMENT OF FINANCIAL POSITION'!BE24)/FINANCIALS!BE11</f>
        <v>3.1099590819817902</v>
      </c>
      <c r="BF17" s="42">
        <f>('STATEMENT OF FINANCIAL POSITION'!BF21+'STATEMENT OF FINANCIAL POSITION'!BF24)/FINANCIALS!BF11</f>
        <v>3.0961636268961468</v>
      </c>
    </row>
    <row r="18" spans="1:58" ht="14.25">
      <c r="A18" s="14" t="s">
        <v>200</v>
      </c>
      <c r="B18" s="4" t="s">
        <v>201</v>
      </c>
      <c r="C18" s="4"/>
      <c r="D18" s="42">
        <f>FINANCIALS!D28/FINANCIALS!D4</f>
        <v>0.56616539871499594</v>
      </c>
      <c r="E18" s="42">
        <f>FINANCIALS!E28/FINANCIALS!E4</f>
        <v>0.5917223720944611</v>
      </c>
      <c r="F18" s="42">
        <f>FINANCIALS!F28/FINANCIALS!F4</f>
        <v>0.70150230787281331</v>
      </c>
      <c r="G18" s="42">
        <f>FINANCIALS!G28/FINANCIALS!G4</f>
        <v>0.67335348088204028</v>
      </c>
      <c r="H18" s="42">
        <f>FINANCIALS!H28/FINANCIALS!H4</f>
        <v>0.68845339528483118</v>
      </c>
      <c r="I18" s="42">
        <f>FINANCIALS!I28/FINANCIALS!I4</f>
        <v>0.63139360394688648</v>
      </c>
      <c r="J18" s="42">
        <f>FINANCIALS!J28/FINANCIALS!J4</f>
        <v>0.61724081022100985</v>
      </c>
      <c r="K18" s="42">
        <f>FINANCIALS!K28/FINANCIALS!K4</f>
        <v>0.6421145499920734</v>
      </c>
      <c r="L18" s="42">
        <f>FINANCIALS!L28/FINANCIALS!L4</f>
        <v>0.671849301545688</v>
      </c>
      <c r="M18" s="42">
        <f>FINANCIALS!M28/FINANCIALS!M4</f>
        <v>0.69416795605186155</v>
      </c>
      <c r="N18" s="42">
        <f>FINANCIALS!N28/FINANCIALS!N4</f>
        <v>0.70215632952733653</v>
      </c>
      <c r="O18" s="42">
        <f>FINANCIALS!O28/FINANCIALS!O4</f>
        <v>0.72674539729021004</v>
      </c>
      <c r="P18" s="42">
        <f>FINANCIALS!P28/FINANCIALS!P4</f>
        <v>0.73577183160912996</v>
      </c>
      <c r="Q18" s="42">
        <f>FINANCIALS!Q28/FINANCIALS!Q4</f>
        <v>0.74230821524160739</v>
      </c>
      <c r="R18" s="42">
        <f>FINANCIALS!R28/FINANCIALS!R4</f>
        <v>0.76282461651928124</v>
      </c>
      <c r="S18" s="42">
        <f>FINANCIALS!S28/FINANCIALS!S4</f>
        <v>0.7607998792230386</v>
      </c>
      <c r="T18" s="42">
        <f>FINANCIALS!T28/FINANCIALS!T4</f>
        <v>0.47285356526950117</v>
      </c>
      <c r="U18" s="42">
        <f>FINANCIALS!U28/FINANCIALS!U4</f>
        <v>0.55912470369226708</v>
      </c>
      <c r="V18" s="42">
        <f>FINANCIALS!V28/FINANCIALS!V4</f>
        <v>0.59699638684836154</v>
      </c>
      <c r="W18" s="42">
        <f>FINANCIALS!W28/FINANCIALS!W4</f>
        <v>0.59699638679694367</v>
      </c>
      <c r="X18" s="42">
        <f>FINANCIALS!X28/FINANCIALS!X4</f>
        <v>0.71184683067890508</v>
      </c>
      <c r="Y18" s="42">
        <f>FINANCIALS!Y28/FINANCIALS!Y4</f>
        <v>0.71223535559037365</v>
      </c>
      <c r="Z18" s="42">
        <f>FINANCIALS!Z28/FINANCIALS!Z4</f>
        <v>0.73272394424610698</v>
      </c>
      <c r="AA18" s="42">
        <f>FINANCIALS!AA28/FINANCIALS!AA4</f>
        <v>0.74886439093943247</v>
      </c>
      <c r="AB18" s="42">
        <f>FINANCIALS!AB28/FINANCIALS!AB4</f>
        <v>0.75187800746695421</v>
      </c>
      <c r="AC18" s="42">
        <f>FINANCIALS!AC28/FINANCIALS!AC4</f>
        <v>0.75475321013556851</v>
      </c>
      <c r="AD18" s="42">
        <f>FINANCIALS!AD28/FINANCIALS!AD4</f>
        <v>0.76265084497155999</v>
      </c>
      <c r="AE18" s="42">
        <f>FINANCIALS!AE28/FINANCIALS!AE4</f>
        <v>0.77020532140106535</v>
      </c>
      <c r="AF18" s="42">
        <f>FINANCIALS!AF28/FINANCIALS!AF4</f>
        <v>0.76850128405405793</v>
      </c>
      <c r="AG18" s="42">
        <f>FINANCIALS!AG28/FINANCIALS!AG4</f>
        <v>0.77364100498283994</v>
      </c>
      <c r="AH18" s="42">
        <f>FINANCIALS!AH28/FINANCIALS!AH4</f>
        <v>0.77920137993202221</v>
      </c>
      <c r="AI18" s="42">
        <f>FINANCIALS!AI28/FINANCIALS!AI4</f>
        <v>0.68423428239283601</v>
      </c>
      <c r="AJ18" s="42">
        <f>FINANCIALS!AJ28/FINANCIALS!AJ4</f>
        <v>0.71045110982427351</v>
      </c>
      <c r="AK18" s="42">
        <f>FINANCIALS!AK28/FINANCIALS!AK4</f>
        <v>0</v>
      </c>
      <c r="AL18" s="42">
        <f>FINANCIALS!AL28/FINANCIALS!AL4</f>
        <v>0.71792906976719184</v>
      </c>
      <c r="AM18" s="42">
        <f>FINANCIALS!AM28/FINANCIALS!AM4</f>
        <v>0.72027332091826024</v>
      </c>
      <c r="AN18" s="42">
        <f>FINANCIALS!AN28/FINANCIALS!AN4</f>
        <v>0.73302197867268137</v>
      </c>
      <c r="AO18" s="42">
        <f>FINANCIALS!AO28/FINANCIALS!AO4</f>
        <v>0.73900749006299449</v>
      </c>
      <c r="AP18" s="42">
        <f>FINANCIALS!AP28/FINANCIALS!AP4</f>
        <v>0.74130716869232494</v>
      </c>
      <c r="AQ18" s="42">
        <f>FINANCIALS!AQ28/FINANCIALS!AQ4</f>
        <v>0.73902914156461441</v>
      </c>
      <c r="AR18" s="42">
        <f>FINANCIALS!AR28/FINANCIALS!AR4</f>
        <v>0.74135351434243424</v>
      </c>
      <c r="AS18" s="42">
        <f>FINANCIALS!AS28/FINANCIALS!AS4</f>
        <v>0.63527014540303561</v>
      </c>
      <c r="AT18" s="42">
        <f>FINANCIALS!AT28/FINANCIALS!AT4</f>
        <v>0.65586152445404444</v>
      </c>
      <c r="AU18" s="42">
        <f>FINANCIALS!AU28/FINANCIALS!AU4</f>
        <v>0.67638683041810199</v>
      </c>
      <c r="AV18" s="42">
        <f>FINANCIALS!AV28/FINANCIALS!AV4</f>
        <v>0.68519800631747807</v>
      </c>
      <c r="AW18" s="42">
        <f>FINANCIALS!AW28/FINANCIALS!AW4</f>
        <v>0.6977745690159064</v>
      </c>
      <c r="AX18" s="42">
        <f>FINANCIALS!AX28/FINANCIALS!AX4</f>
        <v>0.69836916068826327</v>
      </c>
      <c r="AY18" s="42">
        <f>FINANCIALS!AY28/FINANCIALS!AY4</f>
        <v>0.69831014445895534</v>
      </c>
      <c r="AZ18" s="42">
        <f>FINANCIALS!AZ28/FINANCIALS!AZ4</f>
        <v>0.71075440017621594</v>
      </c>
      <c r="BA18" s="42">
        <f>FINANCIALS!BA28/FINANCIALS!BA4</f>
        <v>0.73514288188680244</v>
      </c>
      <c r="BB18" s="42">
        <f>FINANCIALS!BB28/FINANCIALS!BB4</f>
        <v>0.7584207047267234</v>
      </c>
      <c r="BC18" s="42">
        <f>FINANCIALS!BC28/FINANCIALS!BC4</f>
        <v>0.75943152763401145</v>
      </c>
      <c r="BD18" s="42">
        <f>FINANCIALS!BD28/FINANCIALS!BD4</f>
        <v>0.76099002254010872</v>
      </c>
      <c r="BE18" s="42">
        <f>FINANCIALS!BE28/FINANCIALS!BE4</f>
        <v>0.76435656138397423</v>
      </c>
      <c r="BF18" s="42">
        <f>FINANCIALS!BF28/FINANCIALS!BF4</f>
        <v>0.76060916640191201</v>
      </c>
    </row>
    <row r="19" spans="1:58" ht="14.25">
      <c r="A19" s="6"/>
      <c r="B19" s="15" t="s">
        <v>202</v>
      </c>
      <c r="C19" s="1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  <c r="AN19" s="45"/>
      <c r="AO19" s="45"/>
      <c r="AP19" s="45"/>
      <c r="AQ19" s="45"/>
      <c r="AR19" s="45"/>
      <c r="AS19" s="45"/>
      <c r="AT19" s="45"/>
      <c r="AU19" s="45"/>
      <c r="AV19" s="45"/>
      <c r="AW19" s="45"/>
      <c r="AX19" s="45"/>
      <c r="AY19" s="45"/>
      <c r="AZ19" s="45"/>
      <c r="BA19" s="45"/>
      <c r="BB19" s="45"/>
      <c r="BC19" s="45"/>
      <c r="BD19" s="45"/>
      <c r="BE19" s="45"/>
      <c r="BF19" s="45"/>
    </row>
    <row r="20" spans="1:58" ht="14.25">
      <c r="A20" s="6"/>
      <c r="B20" s="6"/>
      <c r="C20" s="6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44"/>
      <c r="AG20" s="44"/>
      <c r="AH20" s="44"/>
      <c r="AI20" s="44"/>
      <c r="AJ20" s="44"/>
      <c r="AK20" s="44"/>
      <c r="AL20" s="44"/>
      <c r="AM20" s="44"/>
      <c r="AN20" s="44"/>
      <c r="AO20" s="44"/>
      <c r="AP20" s="44"/>
      <c r="AQ20" s="44"/>
      <c r="AR20" s="44"/>
      <c r="AS20" s="44"/>
      <c r="AT20" s="44"/>
      <c r="AU20" s="44"/>
      <c r="AV20" s="44"/>
      <c r="AW20" s="44"/>
      <c r="AX20" s="44"/>
      <c r="AY20" s="44"/>
      <c r="AZ20" s="44"/>
      <c r="BA20" s="44"/>
      <c r="BB20" s="44"/>
      <c r="BC20" s="44"/>
      <c r="BD20" s="44"/>
      <c r="BE20" s="44"/>
      <c r="BF20" s="44"/>
    </row>
    <row r="21" spans="1:58" ht="14.25">
      <c r="A21" s="10">
        <v>3</v>
      </c>
      <c r="B21" s="6" t="s">
        <v>203</v>
      </c>
      <c r="C21" s="6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44"/>
      <c r="AH21" s="44"/>
      <c r="AI21" s="44"/>
      <c r="AJ21" s="44"/>
      <c r="AK21" s="44"/>
      <c r="AL21" s="44"/>
      <c r="AM21" s="44"/>
      <c r="AN21" s="44"/>
      <c r="AO21" s="44"/>
      <c r="AP21" s="44"/>
      <c r="AQ21" s="44"/>
      <c r="AR21" s="44"/>
      <c r="AS21" s="44"/>
      <c r="AT21" s="44"/>
      <c r="AU21" s="44"/>
      <c r="AV21" s="44"/>
      <c r="AW21" s="44"/>
      <c r="AX21" s="44"/>
      <c r="AY21" s="44"/>
      <c r="AZ21" s="44"/>
      <c r="BA21" s="44"/>
      <c r="BB21" s="44"/>
      <c r="BC21" s="44"/>
      <c r="BD21" s="44"/>
      <c r="BE21" s="44"/>
      <c r="BF21" s="44"/>
    </row>
    <row r="22" spans="1:58" ht="14.25">
      <c r="A22" s="4">
        <v>3.1</v>
      </c>
      <c r="B22" s="4" t="s">
        <v>204</v>
      </c>
      <c r="C22" s="16"/>
      <c r="D22" s="42">
        <f>FINANCIALS!D5/FINANCIALS!D4</f>
        <v>0.63050659362833428</v>
      </c>
      <c r="E22" s="42">
        <f>FINANCIALS!E5/FINANCIALS!E4</f>
        <v>0.62891546042538182</v>
      </c>
      <c r="F22" s="42">
        <f>FINANCIALS!F5/FINANCIALS!F4</f>
        <v>0.71378457567103515</v>
      </c>
      <c r="G22" s="42">
        <f>FINANCIALS!G5/FINANCIALS!G4</f>
        <v>0.68848351033003108</v>
      </c>
      <c r="H22" s="42">
        <f>FINANCIALS!H5/FINANCIALS!H4</f>
        <v>0.6460906442085278</v>
      </c>
      <c r="I22" s="42">
        <f>FINANCIALS!I5/FINANCIALS!I4</f>
        <v>0.65225023602820031</v>
      </c>
      <c r="J22" s="42">
        <f>FINANCIALS!J5/FINANCIALS!J4</f>
        <v>0.64655964555492562</v>
      </c>
      <c r="K22" s="42">
        <f>FINANCIALS!K5/FINANCIALS!K4</f>
        <v>0.63200059027708866</v>
      </c>
      <c r="L22" s="42">
        <f>FINANCIALS!L5/FINANCIALS!L4</f>
        <v>0.6540030927532553</v>
      </c>
      <c r="M22" s="42">
        <f>FINANCIALS!M5/FINANCIALS!M4</f>
        <v>0.64700207718951419</v>
      </c>
      <c r="N22" s="42">
        <f>FINANCIALS!N5/FINANCIALS!N4</f>
        <v>0.64848352699033995</v>
      </c>
      <c r="O22" s="42">
        <f>FINANCIALS!O5/FINANCIALS!O4</f>
        <v>0.64259444966979984</v>
      </c>
      <c r="P22" s="42">
        <f>FINANCIALS!P5/FINANCIALS!P4</f>
        <v>0.63585964202174938</v>
      </c>
      <c r="Q22" s="42">
        <f>FINANCIALS!Q5/FINANCIALS!Q4</f>
        <v>0.62937000500627716</v>
      </c>
      <c r="R22" s="42">
        <f>FINANCIALS!R5/FINANCIALS!R4</f>
        <v>0.62273777175362932</v>
      </c>
      <c r="S22" s="42">
        <f>FINANCIALS!S5/FINANCIALS!S4</f>
        <v>0.60389447568806842</v>
      </c>
      <c r="T22" s="42">
        <f>FINANCIALS!T5/FINANCIALS!T4</f>
        <v>0.69242366708594705</v>
      </c>
      <c r="U22" s="42">
        <f>FINANCIALS!U5/FINANCIALS!U4</f>
        <v>0.64680156369193287</v>
      </c>
      <c r="V22" s="42">
        <f>FINANCIALS!V5/FINANCIALS!V4</f>
        <v>0.63005007223607701</v>
      </c>
      <c r="W22" s="42">
        <f>FINANCIALS!W5/FINANCIALS!W4</f>
        <v>0.63005007234157784</v>
      </c>
      <c r="X22" s="42">
        <f>FINANCIALS!X5/FINANCIALS!X4</f>
        <v>0.62033597214111225</v>
      </c>
      <c r="Y22" s="42">
        <f>FINANCIALS!Y5/FINANCIALS!Y4</f>
        <v>0.62067455044966247</v>
      </c>
      <c r="Z22" s="42">
        <f>FINANCIALS!Z5/FINANCIALS!Z4</f>
        <v>0.64878742794981725</v>
      </c>
      <c r="AA22" s="42">
        <f>FINANCIALS!AA5/FINANCIALS!AA4</f>
        <v>0.64219096762778827</v>
      </c>
      <c r="AB22" s="42">
        <f>FINANCIALS!AB5/FINANCIALS!AB4</f>
        <v>0.64115399992647182</v>
      </c>
      <c r="AC22" s="42">
        <f>FINANCIALS!AC5/FINANCIALS!AC4</f>
        <v>0.63218449219375983</v>
      </c>
      <c r="AD22" s="42">
        <f>FINANCIALS!AD5/FINANCIALS!AD4</f>
        <v>0.62833265197431476</v>
      </c>
      <c r="AE22" s="42">
        <f>FINANCIALS!AE5/FINANCIALS!AE4</f>
        <v>0.62535940159810999</v>
      </c>
      <c r="AF22" s="42">
        <f>FINANCIALS!AF5/FINANCIALS!AF4</f>
        <v>0.62014209100650008</v>
      </c>
      <c r="AG22" s="42">
        <f>FINANCIALS!AG5/FINANCIALS!AG4</f>
        <v>0.6135125151035169</v>
      </c>
      <c r="AH22" s="42">
        <f>FINANCIALS!AH5/FINANCIALS!AH4</f>
        <v>0.60911001595725411</v>
      </c>
      <c r="AI22" s="42">
        <f>FINANCIALS!AI5/FINANCIALS!AI4</f>
        <v>0.62426769593296405</v>
      </c>
      <c r="AJ22" s="42">
        <f>FINANCIALS!AJ5/FINANCIALS!AJ4</f>
        <v>0.61468914503791061</v>
      </c>
      <c r="AK22" s="42">
        <f>FINANCIALS!AK5/FINANCIALS!AK4</f>
        <v>0</v>
      </c>
      <c r="AL22" s="42">
        <f>FINANCIALS!AL5/FINANCIALS!AL4</f>
        <v>0.60534252719976023</v>
      </c>
      <c r="AM22" s="42">
        <f>FINANCIALS!AM5/FINANCIALS!AM4</f>
        <v>0.63931089488288473</v>
      </c>
      <c r="AN22" s="42">
        <f>FINANCIALS!AN5/FINANCIALS!AN4</f>
        <v>0.63005860618752674</v>
      </c>
      <c r="AO22" s="42">
        <f>FINANCIALS!AO5/FINANCIALS!AO4</f>
        <v>0.62679128266390916</v>
      </c>
      <c r="AP22" s="42">
        <f>FINANCIALS!AP5/FINANCIALS!AP4</f>
        <v>0.62102958299450628</v>
      </c>
      <c r="AQ22" s="42">
        <f>FINANCIALS!AQ5/FINANCIALS!AQ4</f>
        <v>0.61909166368932933</v>
      </c>
      <c r="AR22" s="42">
        <f>FINANCIALS!AR5/FINANCIALS!AR4</f>
        <v>0.61423653737751382</v>
      </c>
      <c r="AS22" s="42">
        <f>FINANCIALS!AS5/FINANCIALS!AS4</f>
        <v>0.64442351340758119</v>
      </c>
      <c r="AT22" s="42">
        <f>FINANCIALS!AT5/FINANCIALS!AT4</f>
        <v>0.63637395240974348</v>
      </c>
      <c r="AU22" s="42">
        <f>FINANCIALS!AU5/FINANCIALS!AU4</f>
        <v>0.62862426338567801</v>
      </c>
      <c r="AV22" s="42">
        <f>FINANCIALS!AV5/FINANCIALS!AV4</f>
        <v>0.6212710508902769</v>
      </c>
      <c r="AW22" s="42">
        <f>FINANCIALS!AW5/FINANCIALS!AW4</f>
        <v>0.61698799119133407</v>
      </c>
      <c r="AX22" s="42">
        <f>FINANCIALS!AX5/FINANCIALS!AX4</f>
        <v>0.60338997275187134</v>
      </c>
      <c r="AY22" s="42">
        <f>FINANCIALS!AY5/FINANCIALS!AY4</f>
        <v>0.60333898280290421</v>
      </c>
      <c r="AZ22" s="42">
        <f>FINANCIALS!AZ5/FINANCIALS!AZ4</f>
        <v>0.63582069123215756</v>
      </c>
      <c r="BA22" s="42">
        <f>FINANCIALS!BA5/FINANCIALS!BA4</f>
        <v>0.62758704198060156</v>
      </c>
      <c r="BB22" s="42">
        <f>FINANCIALS!BB5/FINANCIALS!BB4</f>
        <v>0.62877909299577761</v>
      </c>
      <c r="BC22" s="42">
        <f>FINANCIALS!BC5/FINANCIALS!BC4</f>
        <v>0.63034612429458736</v>
      </c>
      <c r="BD22" s="42">
        <f>FINANCIALS!BD5/FINANCIALS!BD4</f>
        <v>0.62658002387957767</v>
      </c>
      <c r="BE22" s="42">
        <f>FINANCIALS!BE5/FINANCIALS!BE4</f>
        <v>0.62500669152206667</v>
      </c>
      <c r="BF22" s="42">
        <f>FINANCIALS!BF5/FINANCIALS!BF4</f>
        <v>0.61998474928577996</v>
      </c>
    </row>
    <row r="23" spans="1:58" ht="14.25">
      <c r="A23" s="4" t="s">
        <v>205</v>
      </c>
      <c r="B23" s="4" t="s">
        <v>206</v>
      </c>
      <c r="C23" s="4"/>
      <c r="D23" s="42">
        <f>FINANCIALS!D6/FINANCIALS!D4</f>
        <v>0.29294801735127912</v>
      </c>
      <c r="E23" s="42">
        <f>FINANCIALS!E6/FINANCIALS!E4</f>
        <v>0.2901349538614143</v>
      </c>
      <c r="F23" s="42">
        <f>FINANCIALS!F6/FINANCIALS!F4</f>
        <v>0.35271651857784375</v>
      </c>
      <c r="G23" s="42">
        <f>FINANCIALS!G6/FINANCIALS!G4</f>
        <v>0.34208406233466143</v>
      </c>
      <c r="H23" s="42">
        <f>FINANCIALS!H6/FINANCIALS!H4</f>
        <v>0.34614605903975026</v>
      </c>
      <c r="I23" s="42">
        <f>FINANCIALS!I6/FINANCIALS!I4</f>
        <v>0.32325687423381505</v>
      </c>
      <c r="J23" s="42">
        <f>FINANCIALS!J6/FINANCIALS!J4</f>
        <v>0.34511112574247466</v>
      </c>
      <c r="K23" s="42">
        <f>FINANCIALS!K6/FINANCIALS!K4</f>
        <v>0.35091918199862721</v>
      </c>
      <c r="L23" s="42">
        <f>FINANCIALS!L6/FINANCIALS!L4</f>
        <v>0.36427681201280832</v>
      </c>
      <c r="M23" s="42">
        <f>FINANCIALS!M6/FINANCIALS!M4</f>
        <v>0.37305438957751369</v>
      </c>
      <c r="N23" s="42">
        <f>FINANCIALS!N6/FINANCIALS!N4</f>
        <v>0.37720403054585805</v>
      </c>
      <c r="O23" s="42">
        <f>FINANCIALS!O6/FINANCIALS!O4</f>
        <v>0.38038902919836565</v>
      </c>
      <c r="P23" s="42">
        <f>FINANCIALS!P6/FINANCIALS!P4</f>
        <v>0.38101127232893772</v>
      </c>
      <c r="Q23" s="42">
        <f>FINANCIALS!Q6/FINANCIALS!Q4</f>
        <v>0.37903992107512907</v>
      </c>
      <c r="R23" s="42">
        <f>FINANCIALS!R6/FINANCIALS!R4</f>
        <v>0.38507599694273237</v>
      </c>
      <c r="S23" s="42">
        <f>FINANCIALS!S6/FINANCIALS!S4</f>
        <v>0.38013914241032914</v>
      </c>
      <c r="T23" s="42">
        <f>FINANCIALS!T6/FINANCIALS!T4</f>
        <v>0.3089016555727489</v>
      </c>
      <c r="U23" s="42">
        <f>FINANCIALS!U6/FINANCIALS!U4</f>
        <v>0.30638488655017471</v>
      </c>
      <c r="V23" s="42">
        <f>FINANCIALS!V6/FINANCIALS!V4</f>
        <v>0.31508716771711526</v>
      </c>
      <c r="W23" s="42">
        <f>FINANCIALS!W6/FINANCIALS!W4</f>
        <v>0.32338546403090856</v>
      </c>
      <c r="X23" s="42">
        <f>FINANCIALS!X6/FINANCIALS!X4</f>
        <v>0.34476086394580258</v>
      </c>
      <c r="Y23" s="42">
        <f>FINANCIALS!Y6/FINANCIALS!Y4</f>
        <v>0.23973951535166815</v>
      </c>
      <c r="Z23" s="42">
        <f>FINANCIALS!Z6/FINANCIALS!Z4</f>
        <v>0.35474762954734551</v>
      </c>
      <c r="AA23" s="42">
        <f>FINANCIALS!AA6/FINANCIALS!AA4</f>
        <v>0.36055953882628156</v>
      </c>
      <c r="AB23" s="42">
        <f>FINANCIALS!AB6/FINANCIALS!AB4</f>
        <v>0.3605948975685912</v>
      </c>
      <c r="AC23" s="42">
        <f>FINANCIALS!AC6/FINANCIALS!AC4</f>
        <v>0.36039380856319858</v>
      </c>
      <c r="AD23" s="42">
        <f>FINANCIALS!AD6/FINANCIALS!AD4</f>
        <v>0.36277403064292518</v>
      </c>
      <c r="AE23" s="42">
        <f>FINANCIALS!AE6/FINANCIALS!AE4</f>
        <v>0.36849170701714162</v>
      </c>
      <c r="AF23" s="42">
        <f>FINANCIALS!AF6/FINANCIALS!AF4</f>
        <v>0.36972401594260418</v>
      </c>
      <c r="AG23" s="42">
        <f>FINANCIALS!AG6/FINANCIALS!AG4</f>
        <v>0.37231249388470966</v>
      </c>
      <c r="AH23" s="42">
        <f>FINANCIALS!AH6/FINANCIALS!AH4</f>
        <v>0.37498616947964108</v>
      </c>
      <c r="AI23" s="42">
        <f>FINANCIALS!AI6/FINANCIALS!AI4</f>
        <v>0.35074174045772999</v>
      </c>
      <c r="AJ23" s="42">
        <f>FINANCIALS!AJ6/FINANCIALS!AJ4</f>
        <v>0.3522670237688576</v>
      </c>
      <c r="AK23" s="42">
        <f>FINANCIALS!AK6/FINANCIALS!AK4</f>
        <v>0</v>
      </c>
      <c r="AL23" s="42">
        <f>FINANCIALS!AL6/FINANCIALS!AL4</f>
        <v>0.23417212017532135</v>
      </c>
      <c r="AM23" s="42">
        <f>FINANCIALS!AM6/FINANCIALS!AM4</f>
        <v>0.35818213044419972</v>
      </c>
      <c r="AN23" s="42">
        <f>FINANCIALS!AN6/FINANCIALS!AN4</f>
        <v>0.36416410520099457</v>
      </c>
      <c r="AO23" s="42">
        <f>FINANCIALS!AO6/FINANCIALS!AO4</f>
        <v>0.36497284922228307</v>
      </c>
      <c r="AP23" s="42">
        <f>FINANCIALS!AP6/FINANCIALS!AP4</f>
        <v>0.36641580400098994</v>
      </c>
      <c r="AQ23" s="42">
        <f>FINANCIALS!AQ6/FINANCIALS!AQ4</f>
        <v>0.36743630359619289</v>
      </c>
      <c r="AR23" s="42">
        <f>FINANCIALS!AR6/FINANCIALS!AR4</f>
        <v>0.37259090844035897</v>
      </c>
      <c r="AS23" s="42">
        <f>FINANCIALS!AS6/FINANCIALS!AS4</f>
        <v>0.34257158623832762</v>
      </c>
      <c r="AT23" s="42">
        <f>FINANCIALS!AT6/FINANCIALS!AT4</f>
        <v>0.34744979193824421</v>
      </c>
      <c r="AU23" s="42">
        <f>FINANCIALS!AU6/FINANCIALS!AU4</f>
        <v>0.35315237653578935</v>
      </c>
      <c r="AV23" s="42">
        <f>FINANCIALS!AV6/FINANCIALS!AV4</f>
        <v>0.35577683231741059</v>
      </c>
      <c r="AW23" s="42">
        <f>FINANCIALS!AW6/FINANCIALS!AW4</f>
        <v>0.35723369324481841</v>
      </c>
      <c r="AX23" s="42">
        <f>FINANCIALS!AX6/FINANCIALS!AX4</f>
        <v>0.35564089999760073</v>
      </c>
      <c r="AY23" s="42">
        <f>FINANCIALS!AY6/FINANCIALS!AY4</f>
        <v>0.3599027787763715</v>
      </c>
      <c r="AZ23" s="42">
        <f>FINANCIALS!AZ6/FINANCIALS!AZ4</f>
        <v>0.36993614360107957</v>
      </c>
      <c r="BA23" s="42">
        <f>FINANCIALS!BA6/FINANCIALS!BA4</f>
        <v>0.38227427886994514</v>
      </c>
      <c r="BB23" s="42">
        <f>FINANCIALS!BB6/FINANCIALS!BB4</f>
        <v>0.38591310104723481</v>
      </c>
      <c r="BC23" s="42">
        <f>FINANCIALS!BC6/FINANCIALS!BC4</f>
        <v>0.39176524879555569</v>
      </c>
      <c r="BD23" s="42">
        <f>FINANCIALS!BD6/FINANCIALS!BD4</f>
        <v>0.39302520001511793</v>
      </c>
      <c r="BE23" s="42">
        <f>FINANCIALS!BE6/FINANCIALS!BE4</f>
        <v>0.39664564324099572</v>
      </c>
      <c r="BF23" s="42">
        <f>FINANCIALS!BF6/FINANCIALS!BF4</f>
        <v>0.39448851845420496</v>
      </c>
    </row>
    <row r="24" spans="1:58" ht="14.25">
      <c r="A24" s="4" t="s">
        <v>207</v>
      </c>
      <c r="B24" s="4" t="s">
        <v>208</v>
      </c>
      <c r="C24" s="4"/>
      <c r="D24" s="42">
        <f>FINANCIALS!D7/FINANCIALS!D4</f>
        <v>0.27576273128168038</v>
      </c>
      <c r="E24" s="42">
        <f>FINANCIALS!E7/FINANCIALS!E4</f>
        <v>6.0322390642500577E-2</v>
      </c>
      <c r="F24" s="42">
        <f>FINANCIALS!F7/FINANCIALS!F4</f>
        <v>0.36106805709319134</v>
      </c>
      <c r="G24" s="42">
        <f>FINANCIALS!G7/FINANCIALS!G4</f>
        <v>0.3463994479953697</v>
      </c>
      <c r="H24" s="42">
        <f>FINANCIALS!H7/FINANCIALS!H4</f>
        <v>0.29994458516877753</v>
      </c>
      <c r="I24" s="42">
        <f>FINANCIALS!I7/FINANCIALS!I4</f>
        <v>0.32899336179438526</v>
      </c>
      <c r="J24" s="42">
        <f>FINANCIALS!J7/FINANCIALS!J4</f>
        <v>0.30144851981245102</v>
      </c>
      <c r="K24" s="42">
        <f>FINANCIALS!K7/FINANCIALS!K4</f>
        <v>0.28108140827846145</v>
      </c>
      <c r="L24" s="42">
        <f>FINANCIALS!L7/FINANCIALS!L4</f>
        <v>0.28972628074044698</v>
      </c>
      <c r="M24" s="42">
        <f>FINANCIALS!M7/FINANCIALS!M4</f>
        <v>0.2739476876120005</v>
      </c>
      <c r="N24" s="42">
        <f>FINANCIALS!N7/FINANCIALS!N4</f>
        <v>0.2712794964444819</v>
      </c>
      <c r="O24" s="42">
        <f>FINANCIALS!O7/FINANCIALS!O4</f>
        <v>0.26220542047143419</v>
      </c>
      <c r="P24" s="42">
        <f>FINANCIALS!P7/FINANCIALS!P4</f>
        <v>0.25484836969281166</v>
      </c>
      <c r="Q24" s="42">
        <f>FINANCIALS!Q7/FINANCIALS!Q4</f>
        <v>0.25033008393114803</v>
      </c>
      <c r="R24" s="42">
        <f>FINANCIALS!R7/FINANCIALS!R4</f>
        <v>0.23766177481089693</v>
      </c>
      <c r="S24" s="42">
        <f>FINANCIALS!S7/FINANCIALS!S4</f>
        <v>0.22375533327773933</v>
      </c>
      <c r="T24" s="42">
        <f>FINANCIALS!T7/FINANCIALS!T4</f>
        <v>0.38352201151319815</v>
      </c>
      <c r="U24" s="42">
        <f>FINANCIALS!U7/FINANCIALS!U4</f>
        <v>0.34041667714175816</v>
      </c>
      <c r="V24" s="42">
        <f>FINANCIALS!V7/FINANCIALS!V4</f>
        <v>0.31496290451896181</v>
      </c>
      <c r="W24" s="42">
        <f>FINANCIALS!W7/FINANCIALS!W4</f>
        <v>0.30666460831066927</v>
      </c>
      <c r="X24" s="42">
        <f>FINANCIALS!X7/FINANCIALS!X4</f>
        <v>0.27557510819530961</v>
      </c>
      <c r="Y24" s="42">
        <f>FINANCIALS!Y7/FINANCIALS!Y4</f>
        <v>0.38093503509799426</v>
      </c>
      <c r="Z24" s="42">
        <f>FINANCIALS!Z7/FINANCIALS!Z4</f>
        <v>0.29403979840247174</v>
      </c>
      <c r="AA24" s="42">
        <f>FINANCIALS!AA7/FINANCIALS!AA4</f>
        <v>0.28163142880150666</v>
      </c>
      <c r="AB24" s="42">
        <f>FINANCIALS!AB7/FINANCIALS!AB4</f>
        <v>0.28055910235788067</v>
      </c>
      <c r="AC24" s="42">
        <f>FINANCIALS!AC7/FINANCIALS!AC4</f>
        <v>0.27179068363056114</v>
      </c>
      <c r="AD24" s="42">
        <f>FINANCIALS!AD7/FINANCIALS!AD4</f>
        <v>0.26555862133138952</v>
      </c>
      <c r="AE24" s="42">
        <f>FINANCIALS!AE7/FINANCIALS!AE4</f>
        <v>0.25686769458096842</v>
      </c>
      <c r="AF24" s="42">
        <f>FINANCIALS!AF7/FINANCIALS!AF4</f>
        <v>0.25041807506389585</v>
      </c>
      <c r="AG24" s="42">
        <f>FINANCIALS!AG7/FINANCIALS!AG4</f>
        <v>0.24120002121880729</v>
      </c>
      <c r="AH24" s="42">
        <f>FINANCIALS!AH7/FINANCIALS!AH4</f>
        <v>0.234123846477613</v>
      </c>
      <c r="AI24" s="42">
        <f>FINANCIALS!AI7/FINANCIALS!AI4</f>
        <v>0.27352595547523417</v>
      </c>
      <c r="AJ24" s="42">
        <f>FINANCIALS!AJ7/FINANCIALS!AJ4</f>
        <v>0.26242212126905301</v>
      </c>
      <c r="AK24" s="42">
        <f>FINANCIALS!AK7/FINANCIALS!AK4</f>
        <v>0</v>
      </c>
      <c r="AL24" s="42">
        <f>FINANCIALS!AL7/FINANCIALS!AL4</f>
        <v>0.37117040702443893</v>
      </c>
      <c r="AM24" s="42">
        <f>FINANCIALS!AM7/FINANCIALS!AM4</f>
        <v>0.28112876443868506</v>
      </c>
      <c r="AN24" s="42">
        <f>FINANCIALS!AN7/FINANCIALS!AN4</f>
        <v>0.26589450098653222</v>
      </c>
      <c r="AO24" s="42">
        <f>FINANCIALS!AO7/FINANCIALS!AO4</f>
        <v>0.26181843344162609</v>
      </c>
      <c r="AP24" s="42">
        <f>FINANCIALS!AP7/FINANCIALS!AP4</f>
        <v>0.25461377899351634</v>
      </c>
      <c r="AQ24" s="42">
        <f>FINANCIALS!AQ7/FINANCIALS!AQ4</f>
        <v>0.25165536009313649</v>
      </c>
      <c r="AR24" s="42">
        <f>FINANCIALS!AR7/FINANCIALS!AR4</f>
        <v>0.24164562893715474</v>
      </c>
      <c r="AS24" s="42">
        <f>FINANCIALS!AS7/FINANCIALS!AS4</f>
        <v>0.30185192716925358</v>
      </c>
      <c r="AT24" s="42">
        <f>FINANCIALS!AT7/FINANCIALS!AT4</f>
        <v>0.28892416047149938</v>
      </c>
      <c r="AU24" s="42">
        <f>FINANCIALS!AU7/FINANCIALS!AU4</f>
        <v>0.27547188684988855</v>
      </c>
      <c r="AV24" s="42">
        <f>FINANCIALS!AV7/FINANCIALS!AV4</f>
        <v>0.26549421857286637</v>
      </c>
      <c r="AW24" s="42">
        <f>FINANCIALS!AW7/FINANCIALS!AW4</f>
        <v>0.25975429794651561</v>
      </c>
      <c r="AX24" s="42">
        <f>FINANCIALS!AX7/FINANCIALS!AX4</f>
        <v>0.24774907275427061</v>
      </c>
      <c r="AY24" s="42">
        <f>FINANCIALS!AY7/FINANCIALS!AY4</f>
        <v>0.24343620402653265</v>
      </c>
      <c r="AZ24" s="42">
        <f>FINANCIALS!AZ7/FINANCIALS!AZ4</f>
        <v>0.26588454763107788</v>
      </c>
      <c r="BA24" s="42">
        <f>FINANCIALS!BA7/FINANCIALS!BA4</f>
        <v>0.24531276311065633</v>
      </c>
      <c r="BB24" s="42">
        <f>FINANCIALS!BB7/FINANCIALS!BB4</f>
        <v>0.24286599194854289</v>
      </c>
      <c r="BC24" s="42">
        <f>FINANCIALS!BC7/FINANCIALS!BC4</f>
        <v>0.23858087549903159</v>
      </c>
      <c r="BD24" s="42">
        <f>FINANCIALS!BD7/FINANCIALS!BD4</f>
        <v>0.23355482386445975</v>
      </c>
      <c r="BE24" s="42">
        <f>FINANCIALS!BE7/FINANCIALS!BE4</f>
        <v>0.22836104828107096</v>
      </c>
      <c r="BF24" s="42">
        <f>FINANCIALS!BF7/FINANCIALS!BF4</f>
        <v>0.22549623083157505</v>
      </c>
    </row>
    <row r="25" spans="1:58" ht="14.25">
      <c r="A25" s="4">
        <v>3.2</v>
      </c>
      <c r="B25" s="4" t="s">
        <v>209</v>
      </c>
      <c r="C25" s="11" t="s">
        <v>210</v>
      </c>
      <c r="D25" s="42">
        <f>FINANCIALS!D8/FINANCIALS!D4</f>
        <v>1.1937212566622224E-2</v>
      </c>
      <c r="E25" s="42">
        <f>FINANCIALS!E8/FINANCIALS!E4</f>
        <v>3.3577093866444127E-2</v>
      </c>
      <c r="F25" s="42">
        <f>FINANCIALS!F8/FINANCIALS!F4</f>
        <v>2.4285187936646008E-3</v>
      </c>
      <c r="G25" s="42">
        <f>FINANCIALS!G8/FINANCIALS!G4</f>
        <v>0</v>
      </c>
      <c r="H25" s="42">
        <f>FINANCIALS!H8/FINANCIALS!H4</f>
        <v>0</v>
      </c>
      <c r="I25" s="42">
        <f>FINANCIALS!I8/FINANCIALS!I4</f>
        <v>0</v>
      </c>
      <c r="J25" s="42">
        <f>FINANCIALS!J8/FINANCIALS!J4</f>
        <v>0</v>
      </c>
      <c r="K25" s="42">
        <f>FINANCIALS!K8/FINANCIALS!K4</f>
        <v>0</v>
      </c>
      <c r="L25" s="42">
        <f>FINANCIALS!L8/FINANCIALS!L4</f>
        <v>0</v>
      </c>
      <c r="M25" s="42">
        <f>FINANCIALS!M8/FINANCIALS!M4</f>
        <v>0</v>
      </c>
      <c r="N25" s="42">
        <f>FINANCIALS!N8/FINANCIALS!N4</f>
        <v>0</v>
      </c>
      <c r="O25" s="42">
        <f>FINANCIALS!O8/FINANCIALS!O4</f>
        <v>0</v>
      </c>
      <c r="P25" s="42">
        <f>FINANCIALS!P8/FINANCIALS!P4</f>
        <v>0</v>
      </c>
      <c r="Q25" s="42">
        <f>FINANCIALS!Q8/FINANCIALS!Q4</f>
        <v>0</v>
      </c>
      <c r="R25" s="42">
        <f>FINANCIALS!R8/FINANCIALS!R4</f>
        <v>0</v>
      </c>
      <c r="S25" s="42">
        <f>FINANCIALS!S8/FINANCIALS!S4</f>
        <v>2.080390744252808E-2</v>
      </c>
      <c r="T25" s="42">
        <f>FINANCIALS!T8/FINANCIALS!T4</f>
        <v>0</v>
      </c>
      <c r="U25" s="42">
        <f>FINANCIALS!U8/FINANCIALS!U4</f>
        <v>0</v>
      </c>
      <c r="V25" s="42">
        <f>FINANCIALS!V8/FINANCIALS!V4</f>
        <v>0</v>
      </c>
      <c r="W25" s="42">
        <f>FINANCIALS!W8/FINANCIALS!W4</f>
        <v>0</v>
      </c>
      <c r="X25" s="42">
        <f>FINANCIALS!X8/FINANCIALS!X4</f>
        <v>1.6011403328849774E-3</v>
      </c>
      <c r="Y25" s="42">
        <f>FINANCIALS!Y8/FINANCIALS!Y4</f>
        <v>0</v>
      </c>
      <c r="Z25" s="42">
        <f>FINANCIALS!Z8/FINANCIALS!Z4</f>
        <v>1.4235410830297848E-3</v>
      </c>
      <c r="AA25" s="42">
        <f>FINANCIALS!AA8/FINANCIALS!AA4</f>
        <v>1.4332163458820435E-3</v>
      </c>
      <c r="AB25" s="42">
        <f>FINANCIALS!AB8/FINANCIALS!AB4</f>
        <v>1.4122156678328494E-3</v>
      </c>
      <c r="AC25" s="42">
        <f>FINANCIALS!AC8/FINANCIALS!AC4</f>
        <v>1.195409429467978E-3</v>
      </c>
      <c r="AD25" s="42">
        <f>FINANCIALS!AD8/FINANCIALS!AD4</f>
        <v>1.1867532134495411E-3</v>
      </c>
      <c r="AE25" s="42">
        <f>FINANCIALS!AE8/FINANCIALS!AE4</f>
        <v>1.1794359307147006E-3</v>
      </c>
      <c r="AF25" s="42">
        <f>FINANCIALS!AF8/FINANCIALS!AF4</f>
        <v>9.72638013321079E-4</v>
      </c>
      <c r="AG25" s="42">
        <f>FINANCIALS!AG8/FINANCIALS!AG4</f>
        <v>9.7154484300615855E-4</v>
      </c>
      <c r="AH25" s="42">
        <f>FINANCIALS!AH8/FINANCIALS!AH4</f>
        <v>9.7366045011240449E-4</v>
      </c>
      <c r="AI25" s="42">
        <f>FINANCIALS!AI8/FINANCIALS!AI4</f>
        <v>7.2488590962199468E-4</v>
      </c>
      <c r="AJ25" s="42">
        <f>FINANCIALS!AJ8/FINANCIALS!AJ4</f>
        <v>7.2242072668014681E-4</v>
      </c>
      <c r="AK25" s="42">
        <f>FINANCIALS!AK8/FINANCIALS!AK4</f>
        <v>0</v>
      </c>
      <c r="AL25" s="42">
        <f>FINANCIALS!AL8/FINANCIALS!AL4</f>
        <v>7.1639971345914902E-4</v>
      </c>
      <c r="AM25" s="42">
        <f>FINANCIALS!AM8/FINANCIALS!AM4</f>
        <v>5.4092596943569637E-4</v>
      </c>
      <c r="AN25" s="42">
        <f>FINANCIALS!AN8/FINANCIALS!AN4</f>
        <v>5.4552934874088751E-4</v>
      </c>
      <c r="AO25" s="42">
        <f>FINANCIALS!AO8/FINANCIALS!AO4</f>
        <v>5.4044768929015089E-4</v>
      </c>
      <c r="AP25" s="42">
        <f>FINANCIALS!AP8/FINANCIALS!AP4</f>
        <v>3.5634927802264158E-4</v>
      </c>
      <c r="AQ25" s="42">
        <f>FINANCIALS!AQ8/FINANCIALS!AQ4</f>
        <v>3.5222905909227883E-4</v>
      </c>
      <c r="AR25" s="42">
        <f>FINANCIALS!AR8/FINANCIALS!AR4</f>
        <v>3.4839824780865032E-4</v>
      </c>
      <c r="AS25" s="42">
        <f>FINANCIALS!AS8/FINANCIALS!AS4</f>
        <v>1.586151711135792E-4</v>
      </c>
      <c r="AT25" s="42">
        <f>FINANCIALS!AT8/FINANCIALS!AT4</f>
        <v>1.5991460309749115E-4</v>
      </c>
      <c r="AU25" s="42">
        <f>FINANCIALS!AU8/FINANCIALS!AU4</f>
        <v>1.6160151209913907E-4</v>
      </c>
      <c r="AV25" s="42">
        <f>FINANCIALS!AV8/FINANCIALS!AV4</f>
        <v>0</v>
      </c>
      <c r="AW25" s="42">
        <f>FINANCIALS!AW8/FINANCIALS!AW4</f>
        <v>0</v>
      </c>
      <c r="AX25" s="42">
        <f>FINANCIALS!AX8/FINANCIALS!AX4</f>
        <v>0</v>
      </c>
      <c r="AY25" s="42">
        <f>FINANCIALS!AY8/FINANCIALS!AY4</f>
        <v>0</v>
      </c>
      <c r="AZ25" s="42">
        <f>FINANCIALS!AZ8/FINANCIALS!AZ4</f>
        <v>0</v>
      </c>
      <c r="BA25" s="42">
        <f>FINANCIALS!BA8/FINANCIALS!BA4</f>
        <v>0</v>
      </c>
      <c r="BB25" s="42">
        <f>FINANCIALS!BB8/FINANCIALS!BB4</f>
        <v>0</v>
      </c>
      <c r="BC25" s="42">
        <f>FINANCIALS!BC8/FINANCIALS!BC4</f>
        <v>0</v>
      </c>
      <c r="BD25" s="42">
        <f>FINANCIALS!BD8/FINANCIALS!BD4</f>
        <v>0</v>
      </c>
      <c r="BE25" s="42">
        <f>FINANCIALS!BE8/FINANCIALS!BE4</f>
        <v>0</v>
      </c>
      <c r="BF25" s="42">
        <f>FINANCIALS!BF8/FINANCIALS!BF4</f>
        <v>0</v>
      </c>
    </row>
    <row r="26" spans="1:58" ht="14.25">
      <c r="A26" s="4">
        <v>3.3</v>
      </c>
      <c r="B26" s="4" t="s">
        <v>211</v>
      </c>
      <c r="C26" s="11" t="s">
        <v>182</v>
      </c>
      <c r="D26" s="42">
        <f>FINANCIALS!D11/FINANCIALS!D4</f>
        <v>0.21303049363149415</v>
      </c>
      <c r="E26" s="42">
        <f>FINANCIALS!E11/FINANCIALS!E4</f>
        <v>0.201951399884257</v>
      </c>
      <c r="F26" s="42">
        <f>FINANCIALS!F11/FINANCIALS!F4</f>
        <v>0.1794946208838947</v>
      </c>
      <c r="G26" s="42">
        <f>FINANCIALS!G11/FINANCIALS!G4</f>
        <v>0.20382420113809799</v>
      </c>
      <c r="H26" s="42">
        <f>FINANCIALS!H11/FINANCIALS!H4</f>
        <v>0.23574760615082058</v>
      </c>
      <c r="I26" s="42">
        <f>FINANCIALS!I11/FINANCIALS!I4</f>
        <v>0.2419361649739519</v>
      </c>
      <c r="J26" s="42">
        <f>FINANCIALS!J11/FINANCIALS!J4</f>
        <v>0.2253945102840991</v>
      </c>
      <c r="K26" s="42">
        <f>FINANCIALS!K11/FINANCIALS!K4</f>
        <v>0.23455353368707671</v>
      </c>
      <c r="L26" s="42">
        <f>FINANCIALS!L11/FINANCIALS!L4</f>
        <v>0.24476467163690099</v>
      </c>
      <c r="M26" s="42">
        <f>FINANCIALS!M11/FINANCIALS!M4</f>
        <v>0.24905133194241147</v>
      </c>
      <c r="N26" s="42">
        <f>FINANCIALS!N11/FINANCIALS!N4</f>
        <v>0.2468712156035425</v>
      </c>
      <c r="O26" s="42">
        <f>FINANCIALS!O11/FINANCIALS!O4</f>
        <v>0.24794177775119663</v>
      </c>
      <c r="P26" s="42">
        <f>FINANCIALS!P11/FINANCIALS!P4</f>
        <v>0.24686975709550871</v>
      </c>
      <c r="Q26" s="42">
        <f>FINANCIALS!Q11/FINANCIALS!Q4</f>
        <v>0.25168083745976189</v>
      </c>
      <c r="R26" s="42">
        <f>FINANCIALS!R11/FINANCIALS!R4</f>
        <v>0.25544897987587289</v>
      </c>
      <c r="S26" s="42">
        <f>FINANCIALS!S11/FINANCIALS!S4</f>
        <v>0.25189789941114898</v>
      </c>
      <c r="T26" s="42">
        <f>FINANCIALS!T11/FINANCIALS!T4</f>
        <v>0.20580143042545687</v>
      </c>
      <c r="U26" s="42">
        <f>FINANCIALS!U11/FINANCIALS!U4</f>
        <v>0.23509602294497176</v>
      </c>
      <c r="V26" s="42">
        <f>FINANCIALS!V11/FINANCIALS!V4</f>
        <v>0.24418006715443422</v>
      </c>
      <c r="W26" s="42">
        <f>FINANCIALS!W11/FINANCIALS!W4</f>
        <v>0.24418006672670894</v>
      </c>
      <c r="X26" s="42">
        <f>FINANCIALS!X11/FINANCIALS!X4</f>
        <v>0.25444158485050289</v>
      </c>
      <c r="Y26" s="42">
        <f>FINANCIALS!Y11/FINANCIALS!Y4</f>
        <v>0.26169753447953858</v>
      </c>
      <c r="Z26" s="42">
        <f>FINANCIALS!Z11/FINANCIALS!Z4</f>
        <v>0.26287282465991585</v>
      </c>
      <c r="AA26" s="42">
        <f>FINANCIALS!AA11/FINANCIALS!AA4</f>
        <v>0.26564638018417386</v>
      </c>
      <c r="AB26" s="42">
        <f>FINANCIALS!AB11/FINANCIALS!AB4</f>
        <v>0.26312644225260623</v>
      </c>
      <c r="AC26" s="42">
        <f>FINANCIALS!AC11/FINANCIALS!AC4</f>
        <v>0.26743186938679575</v>
      </c>
      <c r="AD26" s="42">
        <f>FINANCIALS!AD11/FINANCIALS!AD4</f>
        <v>0.26667727691933768</v>
      </c>
      <c r="AE26" s="42">
        <f>FINANCIALS!AE11/FINANCIALS!AE4</f>
        <v>0.26707144301252861</v>
      </c>
      <c r="AF26" s="42">
        <f>FINANCIALS!AF11/FINANCIALS!AF4</f>
        <v>0.2638444143790325</v>
      </c>
      <c r="AG26" s="42">
        <f>FINANCIALS!AG11/FINANCIALS!AG4</f>
        <v>0.26474761594747159</v>
      </c>
      <c r="AH26" s="42">
        <f>FINANCIALS!AH11/FINANCIALS!AH4</f>
        <v>0.26508158984449864</v>
      </c>
      <c r="AI26" s="42">
        <f>FINANCIALS!AI11/FINANCIALS!AI4</f>
        <v>0.25312686999660733</v>
      </c>
      <c r="AJ26" s="42">
        <f>FINANCIALS!AJ11/FINANCIALS!AJ4</f>
        <v>0.25671025259832686</v>
      </c>
      <c r="AK26" s="42">
        <f>FINANCIALS!AK11/FINANCIALS!AK4</f>
        <v>-0.12095466466927397</v>
      </c>
      <c r="AL26" s="42">
        <f>FINANCIALS!AL11/FINANCIALS!AL4</f>
        <v>0.27080764652695566</v>
      </c>
      <c r="AM26" s="42">
        <f>FINANCIALS!AM11/FINANCIALS!AM4</f>
        <v>0.26876515958962177</v>
      </c>
      <c r="AN26" s="42">
        <f>FINANCIALS!AN11/FINANCIALS!AN4</f>
        <v>0.27135367993259724</v>
      </c>
      <c r="AO26" s="42">
        <f>FINANCIALS!AO11/FINANCIALS!AO4</f>
        <v>0.26942436257396918</v>
      </c>
      <c r="AP26" s="42">
        <f>FINANCIALS!AP11/FINANCIALS!AP4</f>
        <v>0.27138555119355801</v>
      </c>
      <c r="AQ26" s="42">
        <f>FINANCIALS!AQ11/FINANCIALS!AQ4</f>
        <v>0.2705228212575298</v>
      </c>
      <c r="AR26" s="42">
        <f>FINANCIALS!AR11/FINANCIALS!AR4</f>
        <v>0.27113637607135782</v>
      </c>
      <c r="AS26" s="42">
        <f>FINANCIALS!AS11/FINANCIALS!AS4</f>
        <v>0.24478739879906064</v>
      </c>
      <c r="AT26" s="42">
        <f>FINANCIALS!AT11/FINANCIALS!AT4</f>
        <v>0.24666669480651068</v>
      </c>
      <c r="AU26" s="42">
        <f>FINANCIALS!AU11/FINANCIALS!AU4</f>
        <v>0.2488487282445791</v>
      </c>
      <c r="AV26" s="42">
        <f>FINANCIALS!AV11/FINANCIALS!AV4</f>
        <v>0.25057566405609266</v>
      </c>
      <c r="AW26" s="42">
        <f>FINANCIALS!AW11/FINANCIALS!AW4</f>
        <v>0.2487058900845793</v>
      </c>
      <c r="AX26" s="42">
        <f>FINANCIALS!AX11/FINANCIALS!AX4</f>
        <v>0.24762134169029429</v>
      </c>
      <c r="AY26" s="42">
        <f>FINANCIALS!AY11/FINANCIALS!AY4</f>
        <v>0.26277994830324913</v>
      </c>
      <c r="AZ26" s="42">
        <f>FINANCIALS!AZ11/FINANCIALS!AZ4</f>
        <v>0.25701155159756528</v>
      </c>
      <c r="BA26" s="42">
        <f>FINANCIALS!BA11/FINANCIALS!BA4</f>
        <v>0.2600549609519891</v>
      </c>
      <c r="BB26" s="42">
        <f>FINANCIALS!BB11/FINANCIALS!BB4</f>
        <v>0.25553705023531403</v>
      </c>
      <c r="BC26" s="42">
        <f>FINANCIALS!BC11/FINANCIALS!BC4</f>
        <v>0.255946153637584</v>
      </c>
      <c r="BD26" s="42">
        <f>FINANCIALS!BD11/FINANCIALS!BD4</f>
        <v>0.2536717747218396</v>
      </c>
      <c r="BE26" s="42">
        <f>FINANCIALS!BE11/FINANCIALS!BE4</f>
        <v>0.25416671691365195</v>
      </c>
      <c r="BF26" s="42">
        <f>FINANCIALS!BF11/FINANCIALS!BF4</f>
        <v>0.25395666599011257</v>
      </c>
    </row>
    <row r="27" spans="1:58" ht="14.25">
      <c r="A27" s="4"/>
      <c r="B27" s="4"/>
      <c r="C27" s="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4"/>
      <c r="AH27" s="44"/>
      <c r="AI27" s="44"/>
      <c r="AJ27" s="44"/>
      <c r="AK27" s="44"/>
      <c r="AL27" s="44"/>
      <c r="AM27" s="44"/>
      <c r="AN27" s="44"/>
      <c r="AO27" s="44"/>
      <c r="AP27" s="44"/>
      <c r="AQ27" s="44"/>
      <c r="AR27" s="44"/>
      <c r="AS27" s="44"/>
      <c r="AT27" s="44"/>
      <c r="AU27" s="44"/>
      <c r="AV27" s="44"/>
      <c r="AW27" s="44"/>
      <c r="AX27" s="44"/>
      <c r="AY27" s="44"/>
      <c r="AZ27" s="44"/>
      <c r="BA27" s="44"/>
      <c r="BB27" s="44"/>
      <c r="BC27" s="44"/>
      <c r="BD27" s="44"/>
      <c r="BE27" s="44"/>
      <c r="BF27" s="44"/>
    </row>
    <row r="28" spans="1:58" ht="14.25">
      <c r="A28" s="10">
        <v>4</v>
      </c>
      <c r="B28" s="6" t="s">
        <v>212</v>
      </c>
      <c r="C28" s="6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4"/>
      <c r="AH28" s="44"/>
      <c r="AI28" s="44"/>
      <c r="AJ28" s="44"/>
      <c r="AK28" s="44"/>
      <c r="AL28" s="44"/>
      <c r="AM28" s="44"/>
      <c r="AN28" s="44"/>
      <c r="AO28" s="44"/>
      <c r="AP28" s="44"/>
      <c r="AQ28" s="44"/>
      <c r="AR28" s="44"/>
      <c r="AS28" s="44"/>
      <c r="AT28" s="44"/>
      <c r="AU28" s="44"/>
      <c r="AV28" s="44"/>
      <c r="AW28" s="44"/>
      <c r="AX28" s="44"/>
      <c r="AY28" s="44"/>
      <c r="AZ28" s="44"/>
      <c r="BA28" s="44"/>
      <c r="BB28" s="44"/>
      <c r="BC28" s="44"/>
      <c r="BD28" s="44"/>
      <c r="BE28" s="44"/>
      <c r="BF28" s="44"/>
    </row>
    <row r="29" spans="1:58" ht="14.25">
      <c r="A29" s="4">
        <v>4.0999999999999996</v>
      </c>
      <c r="B29" s="4" t="s">
        <v>45</v>
      </c>
      <c r="C29" s="4"/>
      <c r="D29" s="43"/>
      <c r="E29" s="42">
        <f>(FINANCIALS!E4-FINANCIALS!D4)/FINANCIALS!D4</f>
        <v>0.33631314346955365</v>
      </c>
      <c r="F29" s="42">
        <f>(FINANCIALS!F4-FINANCIALS!E4)/FINANCIALS!E4</f>
        <v>4.2248028967069938E-2</v>
      </c>
      <c r="G29" s="42">
        <f>(FINANCIALS!G4-FINANCIALS!F4)/FINANCIALS!F4</f>
        <v>0.2629153812310942</v>
      </c>
      <c r="H29" s="42">
        <f>(FINANCIALS!H4-FINANCIALS!G4)/FINANCIALS!G4</f>
        <v>8.9221926554089226E-2</v>
      </c>
      <c r="I29" s="42">
        <f>(FINANCIALS!I4-FINANCIALS!H4)/FINANCIALS!H4</f>
        <v>0.17439330825712646</v>
      </c>
      <c r="J29" s="42">
        <f>(FINANCIALS!J4-FINANCIALS!I4)/FINANCIALS!I4</f>
        <v>0.21029795719199076</v>
      </c>
      <c r="K29" s="42">
        <f>(FINANCIALS!K4-FINANCIALS!J4)/FINANCIALS!J4</f>
        <v>-8.8159976301431364E-3</v>
      </c>
      <c r="L29" s="42">
        <f>(FINANCIALS!L4-FINANCIALS!K4)/FINANCIALS!K4</f>
        <v>-2.7535359162726255E-2</v>
      </c>
      <c r="M29" s="42">
        <f>(FINANCIALS!M4-FINANCIALS!L4)/FINANCIALS!L4</f>
        <v>-1.4150895474101019E-2</v>
      </c>
      <c r="N29" s="42">
        <f>(FINANCIALS!N4-FINANCIALS!M4)/FINANCIALS!M4</f>
        <v>5.6620196500133842E-3</v>
      </c>
      <c r="O29" s="42">
        <f>(FINANCIALS!O4-FINANCIALS!N4)/FINANCIALS!N4</f>
        <v>5.1489990439773379E-3</v>
      </c>
      <c r="P29" s="42">
        <f>(FINANCIALS!P4-FINANCIALS!O4)/FINANCIALS!O4</f>
        <v>1.1391546323749654E-2</v>
      </c>
      <c r="Q29" s="42">
        <f>(FINANCIALS!Q4-FINANCIALS!P4)/FINANCIALS!P4</f>
        <v>1.3879508256949023E-2</v>
      </c>
      <c r="R29" s="42">
        <f>(FINANCIALS!R4-FINANCIALS!Q4)/FINANCIALS!Q4</f>
        <v>-1.0204460480615431E-2</v>
      </c>
      <c r="S29" s="42">
        <f>(FINANCIALS!S4-FINANCIALS!R4)/FINANCIALS!R4</f>
        <v>2.0649458636079403E-2</v>
      </c>
      <c r="T29" s="42">
        <f>(FINANCIALS!T4-FINANCIALS!S4)/FINANCIALS!S4</f>
        <v>0.25738929772955405</v>
      </c>
      <c r="U29" s="42">
        <f>(FINANCIALS!U4-FINANCIALS!T4)/FINANCIALS!T4</f>
        <v>-3.3005478623946219E-2</v>
      </c>
      <c r="V29" s="42">
        <f>(FINANCIALS!V4-FINANCIALS!U4)/FINANCIALS!U4</f>
        <v>-1.3614438530293999E-2</v>
      </c>
      <c r="W29" s="42">
        <f>(FINANCIALS!W4-FINANCIALS!V4)/FINANCIALS!V4</f>
        <v>-2.4284578817002571E-11</v>
      </c>
      <c r="X29" s="42">
        <f>(FINANCIALS!X4-FINANCIALS!W4)/FINANCIALS!W4</f>
        <v>0.45410816849354241</v>
      </c>
      <c r="Y29" s="42">
        <f>(FINANCIALS!Y4-FINANCIALS!X4)/FINANCIALS!X4</f>
        <v>-5.4550070360988767E-4</v>
      </c>
      <c r="Z29" s="42">
        <f>(FINANCIALS!Z4-FINANCIALS!Y4)/FINANCIALS!Y4</f>
        <v>-1.5713118109633332E-2</v>
      </c>
      <c r="AA29" s="42">
        <f>(FINANCIALS!AA4-FINANCIALS!Z4)/FINANCIALS!Z4</f>
        <v>-5.9230434337370474E-3</v>
      </c>
      <c r="AB29" s="42">
        <f>(FINANCIALS!AB4-FINANCIALS!AA4)/FINANCIALS!AA4</f>
        <v>1.5715734413559255E-2</v>
      </c>
      <c r="AC29" s="42">
        <f>(FINANCIALS!AC4-FINANCIALS!AB4)/FINANCIALS!AB4</f>
        <v>1.2173697076346529E-2</v>
      </c>
      <c r="AD29" s="42">
        <f>(FINANCIALS!AD4-FINANCIALS!AC4)/FINANCIALS!AC4</f>
        <v>8.1334684424212156E-3</v>
      </c>
      <c r="AE29" s="42">
        <f>(FINANCIALS!AE4-FINANCIALS!AD4)/FINANCIALS!AD4</f>
        <v>7.0418825550684636E-3</v>
      </c>
      <c r="AF29" s="42">
        <f>(FINANCIALS!AF4-FINANCIALS!AE4)/FINANCIALS!AE4</f>
        <v>1.0088912911743521E-2</v>
      </c>
      <c r="AG29" s="42">
        <f>(FINANCIALS!AG4-FINANCIALS!AF4)/FINANCIALS!AF4</f>
        <v>1.9597943424839235E-3</v>
      </c>
      <c r="AH29" s="42">
        <f>(FINANCIALS!AH4-FINANCIALS!AG4)/FINANCIALS!AG4</f>
        <v>-1.3421488503088275E-3</v>
      </c>
      <c r="AI29" s="42">
        <f>(FINANCIALS!AI4-FINANCIALS!AH4)/FINANCIALS!AH4</f>
        <v>7.4102559896972092E-2</v>
      </c>
      <c r="AJ29" s="42">
        <f>(FINANCIALS!AJ4-FINANCIALS!AI4)/FINANCIALS!AI4</f>
        <v>4.2489965104912115E-3</v>
      </c>
      <c r="AK29" s="42">
        <f>(FINANCIALS!AK4-FINANCIALS!AJ4)/FINANCIALS!AJ4</f>
        <v>-0.91137141919473552</v>
      </c>
      <c r="AL29" s="42">
        <f>(FINANCIALS!AL4-FINANCIALS!AK4)/FINANCIALS!AK4</f>
        <v>10.387342578833527</v>
      </c>
      <c r="AM29" s="42">
        <f>(FINANCIALS!AM4-FINANCIALS!AL4)/FINANCIALS!AL4</f>
        <v>-7.1195604924685438E-3</v>
      </c>
      <c r="AN29" s="42">
        <f>(FINANCIALS!AN4-FINANCIALS!AM4)/FINANCIALS!AM4</f>
        <v>-7.6115994880428745E-3</v>
      </c>
      <c r="AO29" s="42">
        <f>(FINANCIALS!AO4-FINANCIALS!AN4)/FINANCIALS!AN4</f>
        <v>1.0242834098682803E-2</v>
      </c>
      <c r="AP29" s="42">
        <f>(FINANCIALS!AP4-FINANCIALS!AO4)/FINANCIALS!AO4</f>
        <v>1.0659314625990211E-2</v>
      </c>
      <c r="AQ29" s="42">
        <f>(FINANCIALS!AQ4-FINANCIALS!AP4)/FINANCIALS!AP4</f>
        <v>1.2541064840371974E-2</v>
      </c>
      <c r="AR29" s="42">
        <f>(FINANCIALS!AR4-FINANCIALS!AQ4)/FINANCIALS!AQ4</f>
        <v>1.1837118559938012E-2</v>
      </c>
      <c r="AS29" s="42">
        <f>(FINANCIALS!AS4-FINANCIALS!AR4)/FINANCIALS!AR4</f>
        <v>9.7791378128530199E-2</v>
      </c>
      <c r="AT29" s="42">
        <f>(FINANCIALS!AT4-FINANCIALS!AS4)/FINANCIALS!AS4</f>
        <v>-7.2992494961797412E-3</v>
      </c>
      <c r="AU29" s="42">
        <f>(FINANCIALS!AU4-FINANCIALS!AT4)/FINANCIALS!AT4</f>
        <v>-9.6147722164175338E-3</v>
      </c>
      <c r="AV29" s="42">
        <f>(FINANCIALS!AV4-FINANCIALS!AU4)/FINANCIALS!AU4</f>
        <v>-1.6851772407840582E-4</v>
      </c>
      <c r="AW29" s="42">
        <f>(FINANCIALS!AW4-FINANCIALS!AV4)/FINANCIALS!AV4</f>
        <v>6.0717351587912909E-3</v>
      </c>
      <c r="AX29" s="42">
        <f>(FINANCIALS!AX4-FINANCIALS!AW4)/FINANCIALS!AW4</f>
        <v>1.8917344901185414E-2</v>
      </c>
      <c r="AY29" s="42">
        <f>(FINANCIALS!AY4-FINANCIALS!AX4)/FINANCIALS!AX4</f>
        <v>8.4512973268796739E-5</v>
      </c>
      <c r="AZ29" s="42">
        <f>(FINANCIALS!AZ4-FINANCIALS!AY4)/FINANCIALS!AY4</f>
        <v>-1.8269262942207039E-2</v>
      </c>
      <c r="BA29" s="42">
        <f>(FINANCIALS!BA4-FINANCIALS!AZ4)/FINANCIALS!AZ4</f>
        <v>-1.2992186693516665E-2</v>
      </c>
      <c r="BB29" s="42">
        <f>(FINANCIALS!BB4-FINANCIALS!BA4)/FINANCIALS!BA4</f>
        <v>1.877781376052963E-2</v>
      </c>
      <c r="BC29" s="42">
        <f>(FINANCIALS!BC4-FINANCIALS!BB4)/FINANCIALS!BB4</f>
        <v>7.9868688933947343E-3</v>
      </c>
      <c r="BD29" s="42">
        <f>(FINANCIALS!BD4-FINANCIALS!BC4)/FINANCIALS!BC4</f>
        <v>1.1564995575988682E-2</v>
      </c>
      <c r="BE29" s="42">
        <f>(FINANCIALS!BE4-FINANCIALS!BD4)/FINANCIALS!BD4</f>
        <v>1.6510428624448587E-2</v>
      </c>
      <c r="BF29" s="42">
        <f>(FINANCIALS!BF4-FINANCIALS!BE4)/FINANCIALS!BE4</f>
        <v>1.5937192528006627E-2</v>
      </c>
    </row>
    <row r="30" spans="1:58" ht="14.25">
      <c r="A30" s="4">
        <v>4.2</v>
      </c>
      <c r="B30" s="4" t="s">
        <v>137</v>
      </c>
      <c r="C30" s="4"/>
      <c r="D30" s="43"/>
      <c r="E30" s="42">
        <f>(FINANCIALS!E5-FINANCIALS!D5)/FINANCIALS!D5</f>
        <v>0.33294085167498216</v>
      </c>
      <c r="F30" s="42">
        <f>(FINANCIALS!F5-FINANCIALS!E5)/FINANCIALS!E5</f>
        <v>0.18289438551415302</v>
      </c>
      <c r="G30" s="42">
        <f>(FINANCIALS!G5-FINANCIALS!F5)/FINANCIALS!F5</f>
        <v>0.21814962743115052</v>
      </c>
      <c r="H30" s="42">
        <f>(FINANCIALS!H5-FINANCIALS!G5)/FINANCIALS!G5</f>
        <v>2.2153886991487549E-2</v>
      </c>
      <c r="I30" s="42">
        <f>(FINANCIALS!I5-FINANCIALS!H5)/FINANCIALS!H5</f>
        <v>0.18558954438817304</v>
      </c>
      <c r="J30" s="42">
        <f>(FINANCIALS!J5-FINANCIALS!I5)/FINANCIALS!I5</f>
        <v>0.19973865089421167</v>
      </c>
      <c r="K30" s="42">
        <f>(FINANCIALS!K5-FINANCIALS!J5)/FINANCIALS!J5</f>
        <v>-3.1135210993088185E-2</v>
      </c>
      <c r="L30" s="42">
        <f>(FINANCIALS!L5-FINANCIALS!K5)/FINANCIALS!K5</f>
        <v>6.3200770460052789E-3</v>
      </c>
      <c r="M30" s="42">
        <f>(FINANCIALS!M5-FINANCIALS!L5)/FINANCIALS!L5</f>
        <v>-2.4704278173301907E-2</v>
      </c>
      <c r="N30" s="42">
        <f>(FINANCIALS!N5-FINANCIALS!M5)/FINANCIALS!M5</f>
        <v>7.9646981903670928E-3</v>
      </c>
      <c r="O30" s="42">
        <f>(FINANCIALS!O5-FINANCIALS!N5)/FINANCIALS!N5</f>
        <v>-3.9790665547061715E-3</v>
      </c>
      <c r="P30" s="42">
        <f>(FINANCIALS!P5-FINANCIALS!O5)/FINANCIALS!O5</f>
        <v>7.9150531054937622E-4</v>
      </c>
      <c r="Q30" s="42">
        <f>(FINANCIALS!Q5-FINANCIALS!P5)/FINANCIALS!P5</f>
        <v>3.5317686754706141E-3</v>
      </c>
      <c r="R30" s="42">
        <f>(FINANCIALS!R5-FINANCIALS!Q5)/FINANCIALS!Q5</f>
        <v>-2.0634819154059843E-2</v>
      </c>
      <c r="S30" s="42">
        <f>(FINANCIALS!S5-FINANCIALS!R5)/FINANCIALS!R5</f>
        <v>-1.0234166543866883E-2</v>
      </c>
      <c r="T30" s="42">
        <f>(FINANCIALS!T5-FINANCIALS!S5)/FINANCIALS!S5</f>
        <v>0.44171894849099291</v>
      </c>
      <c r="U30" s="42">
        <f>(FINANCIALS!U5-FINANCIALS!T5)/FINANCIALS!T5</f>
        <v>-9.6718384656356099E-2</v>
      </c>
      <c r="V30" s="42">
        <f>(FINANCIALS!V5-FINANCIALS!U5)/FINANCIALS!U5</f>
        <v>-3.9160804266987502E-2</v>
      </c>
      <c r="W30" s="42">
        <f>(FINANCIALS!W5-FINANCIALS!V5)/FINANCIALS!V5</f>
        <v>1.4316375919749519E-10</v>
      </c>
      <c r="X30" s="42">
        <f>(FINANCIALS!X5-FINANCIALS!W5)/FINANCIALS!W5</f>
        <v>0.43168875601960205</v>
      </c>
      <c r="Y30" s="42">
        <f>(FINANCIALS!Y5-FINANCIALS!X5)/FINANCIALS!X5</f>
        <v>-1.5384055709774433E-10</v>
      </c>
      <c r="Z30" s="42">
        <f>(FINANCIALS!Z5-FINANCIALS!Y5)/FINANCIALS!Y5</f>
        <v>2.886924234891327E-2</v>
      </c>
      <c r="AA30" s="42">
        <f>(FINANCIALS!AA5-FINANCIALS!Z5)/FINANCIALS!Z5</f>
        <v>-1.6030189347082214E-2</v>
      </c>
      <c r="AB30" s="42">
        <f>(FINANCIALS!AB5-FINANCIALS!AA5)/FINANCIALS!AA5</f>
        <v>1.4075623506679938E-2</v>
      </c>
      <c r="AC30" s="42">
        <f>(FINANCIALS!AC5-FINANCIALS!AB5)/FINANCIALS!AB5</f>
        <v>-1.9862392319587681E-3</v>
      </c>
      <c r="AD30" s="42">
        <f>(FINANCIALS!AD5-FINANCIALS!AC5)/FINANCIALS!AC5</f>
        <v>1.9910067271075773E-3</v>
      </c>
      <c r="AE30" s="42">
        <f>(FINANCIALS!AE5-FINANCIALS!AD5)/FINANCIALS!AD5</f>
        <v>2.2765919932098426E-3</v>
      </c>
      <c r="AF30" s="42">
        <f>(FINANCIALS!AF5-FINANCIALS!AE5)/FINANCIALS!AE5</f>
        <v>1.6618427016614236E-3</v>
      </c>
      <c r="AG30" s="42">
        <f>(FINANCIALS!AG5-FINANCIALS!AF5)/FINANCIALS!AF5</f>
        <v>-8.7515710117849251E-3</v>
      </c>
      <c r="AH30" s="42">
        <f>(FINANCIALS!AH5-FINANCIALS!AG5)/FINANCIALS!AG5</f>
        <v>-8.5084090794964075E-3</v>
      </c>
      <c r="AI30" s="42">
        <f>(FINANCIALS!AI5-FINANCIALS!AH5)/FINANCIALS!AH5</f>
        <v>0.10083156194502198</v>
      </c>
      <c r="AJ30" s="42">
        <f>(FINANCIALS!AJ5-FINANCIALS!AI5)/FINANCIALS!AI5</f>
        <v>-1.1159858035483947E-2</v>
      </c>
      <c r="AK30" s="42">
        <f>(FINANCIALS!AK5-FINANCIALS!AJ5)/FINANCIALS!AJ5</f>
        <v>-1</v>
      </c>
      <c r="AL30" s="42" t="e">
        <f>(FINANCIALS!AL5-FINANCIALS!AK5)/FINANCIALS!AK5</f>
        <v>#DIV/0!</v>
      </c>
      <c r="AM30" s="42">
        <f>(FINANCIALS!AM5-FINANCIALS!AL5)/FINANCIALS!AL5</f>
        <v>4.8595222988197809E-2</v>
      </c>
      <c r="AN30" s="42">
        <f>(FINANCIALS!AN5-FINANCIALS!AM5)/FINANCIALS!AM5</f>
        <v>-2.1973726041733449E-2</v>
      </c>
      <c r="AO30" s="42">
        <f>(FINANCIALS!AO5-FINANCIALS!AN5)/FINANCIALS!AN5</f>
        <v>5.0039719610957423E-3</v>
      </c>
      <c r="AP30" s="42">
        <f>(FINANCIALS!AP5-FINANCIALS!AO5)/FINANCIALS!AO5</f>
        <v>1.3689565753630527E-3</v>
      </c>
      <c r="AQ30" s="42">
        <f>(FINANCIALS!AQ5-FINANCIALS!AP5)/FINANCIALS!AP5</f>
        <v>9.3814361679712757E-3</v>
      </c>
      <c r="AR30" s="42">
        <f>(FINANCIALS!AR5-FINANCIALS!AQ5)/FINANCIALS!AQ5</f>
        <v>3.9019494957697343E-3</v>
      </c>
      <c r="AS30" s="42">
        <f>(FINANCIALS!AS5-FINANCIALS!AR5)/FINANCIALS!AR5</f>
        <v>0.1517429098284642</v>
      </c>
      <c r="AT30" s="42">
        <f>(FINANCIALS!AT5-FINANCIALS!AS5)/FINANCIALS!AS5</f>
        <v>-1.9699177614143672E-2</v>
      </c>
      <c r="AU30" s="42">
        <f>(FINANCIALS!AU5-FINANCIALS!AT5)/FINANCIALS!AT5</f>
        <v>-2.1675569960083258E-2</v>
      </c>
      <c r="AV30" s="42">
        <f>(FINANCIALS!AV5-FINANCIALS!AU5)/FINANCIALS!AU5</f>
        <v>-1.1863855904583866E-2</v>
      </c>
      <c r="AW30" s="42">
        <f>(FINANCIALS!AW5-FINANCIALS!AV5)/FINANCIALS!AV5</f>
        <v>-8.6415103279816746E-4</v>
      </c>
      <c r="AX30" s="42">
        <f>(FINANCIALS!AX5-FINANCIALS!AW5)/FINANCIALS!AW5</f>
        <v>-3.538937947208021E-3</v>
      </c>
      <c r="AY30" s="42">
        <f>(FINANCIALS!AY5-FINANCIALS!AX5)/FINANCIALS!AX5</f>
        <v>3.7054716536380175E-11</v>
      </c>
      <c r="AZ30" s="42">
        <f>(FINANCIALS!AZ5-FINANCIALS!AY5)/FINANCIALS!AY5</f>
        <v>3.4583764072565359E-2</v>
      </c>
      <c r="BA30" s="42">
        <f>(FINANCIALS!BA5-FINANCIALS!AZ5)/FINANCIALS!AZ5</f>
        <v>-2.577358285657981E-2</v>
      </c>
      <c r="BB30" s="42">
        <f>(FINANCIALS!BB5-FINANCIALS!BA5)/FINANCIALS!BA5</f>
        <v>2.0712900124485657E-2</v>
      </c>
      <c r="BC30" s="42">
        <f>(FINANCIALS!BC5-FINANCIALS!BB5)/FINANCIALS!BB5</f>
        <v>1.0498954600347008E-2</v>
      </c>
      <c r="BD30" s="42">
        <f>(FINANCIALS!BD5-FINANCIALS!BC5)/FINANCIALS!BC5</f>
        <v>5.5212440515206331E-3</v>
      </c>
      <c r="BE30" s="42">
        <f>(FINANCIALS!BE5-FINANCIALS!BD5)/FINANCIALS!BD5</f>
        <v>1.3957987295087598E-2</v>
      </c>
      <c r="BF30" s="42">
        <f>(FINANCIALS!BF5-FINANCIALS!BE5)/FINANCIALS!BE5</f>
        <v>7.7741152909514954E-3</v>
      </c>
    </row>
    <row r="31" spans="1:58" ht="14.25">
      <c r="A31" s="4" t="s">
        <v>213</v>
      </c>
      <c r="B31" s="17" t="s">
        <v>214</v>
      </c>
      <c r="C31" s="17"/>
      <c r="D31" s="43"/>
      <c r="E31" s="42">
        <f>(FINANCIALS!E6-FINANCIALS!D6)/FINANCIALS!D6</f>
        <v>0.32348105896217472</v>
      </c>
      <c r="F31" s="42">
        <f>(FINANCIALS!F6-FINANCIALS!E6)/FINANCIALS!E6</f>
        <v>0.2670589716242216</v>
      </c>
      <c r="G31" s="42">
        <f>(FINANCIALS!G6-FINANCIALS!F6)/FINANCIALS!F6</f>
        <v>0.22484545305216205</v>
      </c>
      <c r="H31" s="42">
        <f>(FINANCIALS!H6-FINANCIALS!G6)/FINANCIALS!G6</f>
        <v>0.10215563602473039</v>
      </c>
      <c r="I31" s="42">
        <f>(FINANCIALS!I6-FINANCIALS!H6)/FINANCIALS!H6</f>
        <v>9.6735612132774165E-2</v>
      </c>
      <c r="J31" s="42">
        <f>(FINANCIALS!J6-FINANCIALS!I6)/FINANCIALS!I6</f>
        <v>0.2921219122728626</v>
      </c>
      <c r="K31" s="42">
        <f>(FINANCIALS!K6-FINANCIALS!J6)/FINANCIALS!J6</f>
        <v>7.8651581383857166E-3</v>
      </c>
      <c r="L31" s="42">
        <f>(FINANCIALS!L6-FINANCIALS!K6)/FINANCIALS!K6</f>
        <v>9.481206304557524E-3</v>
      </c>
      <c r="M31" s="42">
        <f>(FINANCIALS!M6-FINANCIALS!L6)/FINANCIALS!L6</f>
        <v>9.6040257745430499E-3</v>
      </c>
      <c r="N31" s="42">
        <f>(FINANCIALS!N6-FINANCIALS!M6)/FINANCIALS!M6</f>
        <v>1.6848421508931965E-2</v>
      </c>
      <c r="O31" s="42">
        <f>(FINANCIALS!O6-FINANCIALS!N6)/FINANCIALS!N6</f>
        <v>1.3636178258079669E-2</v>
      </c>
      <c r="P31" s="42">
        <f>(FINANCIALS!P6-FINANCIALS!O6)/FINANCIALS!O6</f>
        <v>1.3045987944594677E-2</v>
      </c>
      <c r="Q31" s="42">
        <f>(FINANCIALS!Q6-FINANCIALS!P6)/FINANCIALS!P6</f>
        <v>8.6336985264493134E-3</v>
      </c>
      <c r="R31" s="42">
        <f>(FINANCIALS!R6-FINANCIALS!Q6)/FINANCIALS!Q6</f>
        <v>5.5576812827323272E-3</v>
      </c>
      <c r="S31" s="42">
        <f>(FINANCIALS!S6-FINANCIALS!R6)/FINANCIALS!R6</f>
        <v>7.5642548169180691E-3</v>
      </c>
      <c r="T31" s="42">
        <f>(FINANCIALS!T6-FINANCIALS!S6)/FINANCIALS!S6</f>
        <v>2.1756489756213672E-2</v>
      </c>
      <c r="U31" s="42">
        <f>(FINANCIALS!U6-FINANCIALS!T6)/FINANCIALS!T6</f>
        <v>-4.0884043897045114E-2</v>
      </c>
      <c r="V31" s="42">
        <f>(FINANCIALS!V6-FINANCIALS!U6)/FINANCIALS!U6</f>
        <v>1.4401971128718919E-2</v>
      </c>
      <c r="W31" s="42">
        <f>(FINANCIALS!W6-FINANCIALS!V6)/FINANCIALS!V6</f>
        <v>2.6336509880942618E-2</v>
      </c>
      <c r="X31" s="42">
        <f>(FINANCIALS!X6-FINANCIALS!W6)/FINANCIALS!W6</f>
        <v>0.55022301309302879</v>
      </c>
      <c r="Y31" s="42">
        <f>(FINANCIALS!Y6-FINANCIALS!X6)/FINANCIALS!X6</f>
        <v>-0.3050001832138699</v>
      </c>
      <c r="Z31" s="42">
        <f>(FINANCIALS!Z6-FINANCIALS!Y6)/FINANCIALS!Y6</f>
        <v>0.45647010937250565</v>
      </c>
      <c r="AA31" s="42">
        <f>(FINANCIALS!AA6-FINANCIALS!Z6)/FINANCIALS!Z6</f>
        <v>1.0363140339262306E-2</v>
      </c>
      <c r="AB31" s="42">
        <f>(FINANCIALS!AB6-FINANCIALS!AA6)/FINANCIALS!AA6</f>
        <v>1.5815341904266388E-2</v>
      </c>
      <c r="AC31" s="42">
        <f>(FINANCIALS!AC6-FINANCIALS!AB6)/FINANCIALS!AB6</f>
        <v>1.1609249261355052E-2</v>
      </c>
      <c r="AD31" s="42">
        <f>(FINANCIALS!AD6-FINANCIALS!AC6)/FINANCIALS!AC6</f>
        <v>1.4791689210598563E-2</v>
      </c>
      <c r="AE31" s="42">
        <f>(FINANCIALS!AE6-FINANCIALS!AD6)/FINANCIALS!AD6</f>
        <v>2.2913855445539831E-2</v>
      </c>
      <c r="AF31" s="42">
        <f>(FINANCIALS!AF6-FINANCIALS!AE6)/FINANCIALS!AE6</f>
        <v>1.3466849400376695E-2</v>
      </c>
      <c r="AG31" s="42">
        <f>(FINANCIALS!AG6-FINANCIALS!AF6)/FINANCIALS!AF6</f>
        <v>8.9746235521035583E-3</v>
      </c>
      <c r="AH31" s="42">
        <f>(FINANCIALS!AH6-FINANCIALS!AG6)/FINANCIALS!AG6</f>
        <v>5.8294802735110868E-3</v>
      </c>
      <c r="AI31" s="42">
        <f>(FINANCIALS!AI6-FINANCIALS!AH6)/FINANCIALS!AH6</f>
        <v>4.6573232584804876E-3</v>
      </c>
      <c r="AJ31" s="42">
        <f>(FINANCIALS!AJ6-FINANCIALS!AI6)/FINANCIALS!AI6</f>
        <v>8.6162104970418582E-3</v>
      </c>
      <c r="AK31" s="42">
        <f>(FINANCIALS!AK6-FINANCIALS!AJ6)/FINANCIALS!AJ6</f>
        <v>-1</v>
      </c>
      <c r="AL31" s="42" t="e">
        <f>(FINANCIALS!AL6-FINANCIALS!AK6)/FINANCIALS!AK6</f>
        <v>#DIV/0!</v>
      </c>
      <c r="AM31" s="42">
        <f>(FINANCIALS!AM6-FINANCIALS!AL6)/FINANCIALS!AL6</f>
        <v>0.51867793156983966</v>
      </c>
      <c r="AN31" s="42">
        <f>(FINANCIALS!AN6-FINANCIALS!AM6)/FINANCIALS!AM6</f>
        <v>8.9622099128796838E-3</v>
      </c>
      <c r="AO31" s="42">
        <f>(FINANCIALS!AO6-FINANCIALS!AN6)/FINANCIALS!AN6</f>
        <v>1.2486404622131136E-2</v>
      </c>
      <c r="AP31" s="42">
        <f>(FINANCIALS!AP6-FINANCIALS!AO6)/FINANCIALS!AO6</f>
        <v>1.4655052091918743E-2</v>
      </c>
      <c r="AQ31" s="42">
        <f>(FINANCIALS!AQ6-FINANCIALS!AP6)/FINANCIALS!AP6</f>
        <v>1.5361078975988209E-2</v>
      </c>
      <c r="AR31" s="42">
        <f>(FINANCIALS!AR6-FINANCIALS!AQ6)/FINANCIALS!AQ6</f>
        <v>2.6031743483467557E-2</v>
      </c>
      <c r="AS31" s="42">
        <f>(FINANCIALS!AS6-FINANCIALS!AR6)/FINANCIALS!AR6</f>
        <v>9.3432911137405778E-3</v>
      </c>
      <c r="AT31" s="42">
        <f>(FINANCIALS!AT6-FINANCIALS!AS6)/FINANCIALS!AS6</f>
        <v>6.8367695256961354E-3</v>
      </c>
      <c r="AU31" s="42">
        <f>(FINANCIALS!AU6-FINANCIALS!AT6)/FINANCIALS!AT6</f>
        <v>6.6401102921860551E-3</v>
      </c>
      <c r="AV31" s="42">
        <f>(FINANCIALS!AV6-FINANCIALS!AU6)/FINANCIALS!AU6</f>
        <v>7.2617409649496003E-3</v>
      </c>
      <c r="AW31" s="42">
        <f>(FINANCIALS!AW6-FINANCIALS!AV6)/FINANCIALS!AV6</f>
        <v>1.0191471094307717E-2</v>
      </c>
      <c r="AX31" s="42">
        <f>(FINANCIALS!AX6-FINANCIALS!AW6)/FINANCIALS!AW6</f>
        <v>1.4374311315270743E-2</v>
      </c>
      <c r="AY31" s="42">
        <f>(FINANCIALS!AY6-FINANCIALS!AX6)/FINANCIALS!AX6</f>
        <v>1.2069183360861577E-2</v>
      </c>
      <c r="AZ31" s="42">
        <f>(FINANCIALS!AZ6-FINANCIALS!AY6)/FINANCIALS!AY6</f>
        <v>9.099413337591301E-3</v>
      </c>
      <c r="BA31" s="42">
        <f>(FINANCIALS!BA6-FINANCIALS!AZ6)/FINANCIALS!AZ6</f>
        <v>1.9926564617073223E-2</v>
      </c>
      <c r="BB31" s="42">
        <f>(FINANCIALS!BB6-FINANCIALS!BA6)/FINANCIALS!BA6</f>
        <v>2.8475435356733574E-2</v>
      </c>
      <c r="BC31" s="42">
        <f>(FINANCIALS!BC6-FINANCIALS!BB6)/FINANCIALS!BB6</f>
        <v>2.3272403562012985E-2</v>
      </c>
      <c r="BD31" s="42">
        <f>(FINANCIALS!BD6-FINANCIALS!BC6)/FINANCIALS!BC6</f>
        <v>1.4818276855430553E-2</v>
      </c>
      <c r="BE31" s="42">
        <f>(FINANCIALS!BE6-FINANCIALS!BD6)/FINANCIALS!BD6</f>
        <v>2.5874251339139481E-2</v>
      </c>
      <c r="BF31" s="42">
        <f>(FINANCIALS!BF6-FINANCIALS!BE6)/FINANCIALS!BE6</f>
        <v>1.0412101462041638E-2</v>
      </c>
    </row>
    <row r="32" spans="1:58" ht="14.25">
      <c r="A32" s="4" t="s">
        <v>215</v>
      </c>
      <c r="B32" s="17" t="s">
        <v>216</v>
      </c>
      <c r="C32" s="17"/>
      <c r="D32" s="43"/>
      <c r="E32" s="42">
        <f>(FINANCIALS!E7-FINANCIALS!D7)/FINANCIALS!D7</f>
        <v>-0.70768492505704506</v>
      </c>
      <c r="F32" s="42">
        <f>(FINANCIALS!F7-FINANCIALS!E7)/FINANCIALS!E7</f>
        <v>5.2385205032508679</v>
      </c>
      <c r="G32" s="42">
        <f>(FINANCIALS!G7-FINANCIALS!F7)/FINANCIALS!F7</f>
        <v>0.21160867689384513</v>
      </c>
      <c r="H32" s="42">
        <f>(FINANCIALS!H7-FINANCIALS!G7)/FINANCIALS!G7</f>
        <v>-5.6851213800519496E-2</v>
      </c>
      <c r="I32" s="42">
        <f>(FINANCIALS!I7-FINANCIALS!H7)/FINANCIALS!H7</f>
        <v>0.28812994685313087</v>
      </c>
      <c r="J32" s="42">
        <f>(FINANCIALS!J7-FINANCIALS!I7)/FINANCIALS!I7</f>
        <v>0.10896622879454521</v>
      </c>
      <c r="K32" s="42">
        <f>(FINANCIALS!K7-FINANCIALS!J7)/FINANCIALS!J7</f>
        <v>-7.5784497391007455E-2</v>
      </c>
      <c r="L32" s="42">
        <f>(FINANCIALS!L7-FINANCIALS!K7)/FINANCIALS!K7</f>
        <v>2.3735303839645082E-3</v>
      </c>
      <c r="M32" s="42">
        <f>(FINANCIALS!M7-FINANCIALS!L7)/FINANCIALS!L7</f>
        <v>-6.784057756508409E-2</v>
      </c>
      <c r="N32" s="42">
        <f>(FINANCIALS!N7-FINANCIALS!M7)/FINANCIALS!M7</f>
        <v>-4.132910695007431E-3</v>
      </c>
      <c r="O32" s="42">
        <f>(FINANCIALS!O7-FINANCIALS!N7)/FINANCIALS!N7</f>
        <v>-2.8472408032854564E-2</v>
      </c>
      <c r="P32" s="42">
        <f>(FINANCIALS!P7-FINANCIALS!O7)/FINANCIALS!O7</f>
        <v>-1.6986429043788717E-2</v>
      </c>
      <c r="Q32" s="42">
        <f>(FINANCIALS!Q7-FINANCIALS!P7)/FINANCIALS!P7</f>
        <v>-4.0958758968586279E-3</v>
      </c>
      <c r="R32" s="42">
        <f>(FINANCIALS!R7-FINANCIALS!Q7)/FINANCIALS!Q7</f>
        <v>-6.0294468295761211E-2</v>
      </c>
      <c r="S32" s="42">
        <f>(FINANCIALS!S7-FINANCIALS!R7)/FINANCIALS!R7</f>
        <v>-3.9072396229580697E-2</v>
      </c>
      <c r="T32" s="42">
        <f>(FINANCIALS!T7-FINANCIALS!S7)/FINANCIALS!S7</f>
        <v>1.155195434478532</v>
      </c>
      <c r="U32" s="42">
        <f>(FINANCIALS!U7-FINANCIALS!T7)/FINANCIALS!T7</f>
        <v>-0.14168925928833442</v>
      </c>
      <c r="V32" s="42">
        <f>(FINANCIALS!V7-FINANCIALS!U7)/FINANCIALS!U7</f>
        <v>-8.7368856236462775E-2</v>
      </c>
      <c r="W32" s="42">
        <f>(FINANCIALS!W7-FINANCIALS!V7)/FINANCIALS!V7</f>
        <v>-2.6346900211672863E-2</v>
      </c>
      <c r="X32" s="42">
        <f>(FINANCIALS!X7-FINANCIALS!W7)/FINANCIALS!W7</f>
        <v>0.30669143096663642</v>
      </c>
      <c r="Y32" s="42">
        <f>(FINANCIALS!Y7-FINANCIALS!X7)/FINANCIALS!X7</f>
        <v>0.38157338397372259</v>
      </c>
      <c r="Z32" s="42">
        <f>(FINANCIALS!Z7-FINANCIALS!Y7)/FINANCIALS!Y7</f>
        <v>-0.24023917556759067</v>
      </c>
      <c r="AA32" s="42">
        <f>(FINANCIALS!AA7-FINANCIALS!Z7)/FINANCIALS!Z7</f>
        <v>-4.787271948402845E-2</v>
      </c>
      <c r="AB32" s="42">
        <f>(FINANCIALS!AB7-FINANCIALS!AA7)/FINANCIALS!AA7</f>
        <v>1.1848343455619269E-2</v>
      </c>
      <c r="AC32" s="42">
        <f>(FINANCIALS!AC7-FINANCIALS!AB7)/FINANCIALS!AB7</f>
        <v>-1.9460146652677555E-2</v>
      </c>
      <c r="AD32" s="42">
        <f>(FINANCIALS!AD7-FINANCIALS!AC7)/FINANCIALS!AC7</f>
        <v>-1.4982668201000769E-2</v>
      </c>
      <c r="AE32" s="42">
        <f>(FINANCIALS!AE7-FINANCIALS!AD7)/FINANCIALS!AD7</f>
        <v>-2.5915538266041073E-2</v>
      </c>
      <c r="AF32" s="42">
        <f>(FINANCIALS!AF7-FINANCIALS!AE7)/FINANCIALS!AE7</f>
        <v>-1.5273128731218548E-2</v>
      </c>
      <c r="AG32" s="42">
        <f>(FINANCIALS!AG7-FINANCIALS!AF7)/FINANCIALS!AF7</f>
        <v>-3.4923003884066751E-2</v>
      </c>
      <c r="AH32" s="42">
        <f>(FINANCIALS!AH7-FINANCIALS!AG7)/FINANCIALS!AG7</f>
        <v>-3.0640145698286703E-2</v>
      </c>
      <c r="AI32" s="42">
        <f>(FINANCIALS!AI7-FINANCIALS!AH7)/FINANCIALS!AH7</f>
        <v>0.25486973409309238</v>
      </c>
      <c r="AJ32" s="42">
        <f>(FINANCIALS!AJ7-FINANCIALS!AI7)/FINANCIALS!AI7</f>
        <v>-3.6518667894892443E-2</v>
      </c>
      <c r="AK32" s="42">
        <f>(FINANCIALS!AK7-FINANCIALS!AJ7)/FINANCIALS!AJ7</f>
        <v>-1</v>
      </c>
      <c r="AL32" s="42" t="e">
        <f>(FINANCIALS!AL7-FINANCIALS!AK7)/FINANCIALS!AK7</f>
        <v>#DIV/0!</v>
      </c>
      <c r="AM32" s="42">
        <f>(FINANCIALS!AM7-FINANCIALS!AL7)/FINANCIALS!AL7</f>
        <v>-0.24798085754796617</v>
      </c>
      <c r="AN32" s="42">
        <f>(FINANCIALS!AN7-FINANCIALS!AM7)/FINANCIALS!AM7</f>
        <v>-6.1388758756841404E-2</v>
      </c>
      <c r="AO32" s="42">
        <f>(FINANCIALS!AO7-FINANCIALS!AN7)/FINANCIALS!AN7</f>
        <v>-5.2438270141478916E-3</v>
      </c>
      <c r="AP32" s="42">
        <f>(FINANCIALS!AP7-FINANCIALS!AO7)/FINANCIALS!AO7</f>
        <v>-1.7151756699005413E-2</v>
      </c>
      <c r="AQ32" s="42">
        <f>(FINANCIALS!AQ7-FINANCIALS!AP7)/FINANCIALS!AP7</f>
        <v>7.7610602519822278E-4</v>
      </c>
      <c r="AR32" s="42">
        <f>(FINANCIALS!AR7-FINANCIALS!AQ7)/FINANCIALS!AQ7</f>
        <v>-2.8409262549050959E-2</v>
      </c>
      <c r="AS32" s="42">
        <f>(FINANCIALS!AS7-FINANCIALS!AR7)/FINANCIALS!AR7</f>
        <v>0.37130741646507404</v>
      </c>
      <c r="AT32" s="42">
        <f>(FINANCIALS!AT7-FINANCIALS!AS7)/FINANCIALS!AS7</f>
        <v>-4.9814809438266862E-2</v>
      </c>
      <c r="AU32" s="42">
        <f>(FINANCIALS!AU7-FINANCIALS!AT7)/FINANCIALS!AT7</f>
        <v>-5.5726987453814804E-2</v>
      </c>
      <c r="AV32" s="42">
        <f>(FINANCIALS!AV7-FINANCIALS!AU7)/FINANCIALS!AU7</f>
        <v>-3.6382691798795129E-2</v>
      </c>
      <c r="AW32" s="42">
        <f>(FINANCIALS!AW7-FINANCIALS!AV7)/FINANCIALS!AV7</f>
        <v>-1.5679291794895495E-2</v>
      </c>
      <c r="AX32" s="42">
        <f>(FINANCIALS!AX7-FINANCIALS!AW7)/FINANCIALS!AW7</f>
        <v>-2.8174588801262147E-2</v>
      </c>
      <c r="AY32" s="42">
        <f>(FINANCIALS!AY7-FINANCIALS!AX7)/FINANCIALS!AX7</f>
        <v>-1.7325171644907402E-2</v>
      </c>
      <c r="AZ32" s="42">
        <f>(FINANCIALS!AZ7-FINANCIALS!AY7)/FINANCIALS!AY7</f>
        <v>7.2260529044751332E-2</v>
      </c>
      <c r="BA32" s="42">
        <f>(FINANCIALS!BA7-FINANCIALS!AZ7)/FINANCIALS!AZ7</f>
        <v>-8.9358083983217332E-2</v>
      </c>
      <c r="BB32" s="42">
        <f>(FINANCIALS!BB7-FINANCIALS!BA7)/FINANCIALS!BA7</f>
        <v>8.616433880813212E-3</v>
      </c>
      <c r="BC32" s="42">
        <f>(FINANCIALS!BC7-FINANCIALS!BB7)/FINANCIALS!BB7</f>
        <v>-9.7980053005254537E-3</v>
      </c>
      <c r="BD32" s="42">
        <f>(FINANCIALS!BD7-FINANCIALS!BC7)/FINANCIALS!BC7</f>
        <v>-9.7450859167376638E-3</v>
      </c>
      <c r="BE32" s="42">
        <f>(FINANCIALS!BE7-FINANCIALS!BD7)/FINANCIALS!BD7</f>
        <v>-6.0946580832172033E-3</v>
      </c>
      <c r="BF32" s="42">
        <f>(FINANCIALS!BF7-FINANCIALS!BE7)/FINANCIALS!BE7</f>
        <v>3.1921354411962267E-3</v>
      </c>
    </row>
    <row r="33" spans="1:58" ht="14.25">
      <c r="A33" s="4">
        <v>4.3</v>
      </c>
      <c r="B33" s="4" t="s">
        <v>217</v>
      </c>
      <c r="C33" s="4"/>
      <c r="D33" s="43"/>
      <c r="E33" s="42">
        <f>(FINANCIALS!E28-FINANCIALS!D28)/FINANCIALS!D28</f>
        <v>0.39663494962689655</v>
      </c>
      <c r="F33" s="42">
        <f>(FINANCIALS!F28-FINANCIALS!E28)/FINANCIALS!E28</f>
        <v>0.23561222657231731</v>
      </c>
      <c r="G33" s="42">
        <f>(FINANCIALS!G28-FINANCIALS!F28)/FINANCIALS!F28</f>
        <v>0.21223901684669427</v>
      </c>
      <c r="H33" s="42">
        <f>(FINANCIALS!H28-FINANCIALS!G28)/FINANCIALS!G28</f>
        <v>0.11364766774884069</v>
      </c>
      <c r="I33" s="42">
        <f>(FINANCIALS!I28-FINANCIALS!H28)/FINANCIALS!H28</f>
        <v>7.7058270654317987E-2</v>
      </c>
      <c r="J33" s="42">
        <f>(FINANCIALS!J28-FINANCIALS!I28)/FINANCIALS!I28</f>
        <v>0.18316892511451513</v>
      </c>
      <c r="K33" s="42">
        <f>(FINANCIALS!K28-FINANCIALS!J28)/FINANCIALS!J28</f>
        <v>3.1127007647426371E-2</v>
      </c>
      <c r="L33" s="42">
        <f>(FINANCIALS!L28-FINANCIALS!K28)/FINANCIALS!K28</f>
        <v>1.7497095701173485E-2</v>
      </c>
      <c r="M33" s="42">
        <f>(FINANCIALS!M28-FINANCIALS!L28)/FINANCIALS!L28</f>
        <v>1.8598748692400819E-2</v>
      </c>
      <c r="N33" s="42">
        <f>(FINANCIALS!N28-FINANCIALS!M28)/FINANCIALS!M28</f>
        <v>1.7235016837547877E-2</v>
      </c>
      <c r="O33" s="42">
        <f>(FINANCIALS!O28-FINANCIALS!N28)/FINANCIALS!N28</f>
        <v>4.0348677249419825E-2</v>
      </c>
      <c r="P33" s="42">
        <f>(FINANCIALS!P28-FINANCIALS!O28)/FINANCIALS!O28</f>
        <v>2.3953386271607802E-2</v>
      </c>
      <c r="Q33" s="42">
        <f>(FINANCIALS!Q28-FINANCIALS!P28)/FINANCIALS!P28</f>
        <v>2.2886519858061206E-2</v>
      </c>
      <c r="R33" s="42">
        <f>(FINANCIALS!R28-FINANCIALS!Q28)/FINANCIALS!Q28</f>
        <v>1.7152157774002492E-2</v>
      </c>
      <c r="S33" s="42">
        <f>(FINANCIALS!S28-FINANCIALS!R28)/FINANCIALS!R28</f>
        <v>1.7940386353226357E-2</v>
      </c>
      <c r="T33" s="42">
        <f>(FINANCIALS!T28-FINANCIALS!S28)/FINANCIALS!S28</f>
        <v>-0.21850538019232463</v>
      </c>
      <c r="U33" s="42">
        <f>(FINANCIALS!U28-FINANCIALS!T28)/FINANCIALS!T28</f>
        <v>0.14342063790568749</v>
      </c>
      <c r="V33" s="42">
        <f>(FINANCIALS!V28-FINANCIALS!U28)/FINANCIALS!U28</f>
        <v>5.3197278439176938E-2</v>
      </c>
      <c r="W33" s="42">
        <f>(FINANCIALS!W28-FINANCIALS!V28)/FINANCIALS!V28</f>
        <v>-1.1041204609069787E-10</v>
      </c>
      <c r="X33" s="42">
        <f>(FINANCIALS!X28-FINANCIALS!W28)/FINANCIALS!W28</f>
        <v>0.73385017748609038</v>
      </c>
      <c r="Y33" s="42">
        <f>(FINANCIALS!Y28-FINANCIALS!X28)/FINANCIALS!X28</f>
        <v>3.3515889115559351E-11</v>
      </c>
      <c r="Z33" s="42">
        <f>(FINANCIALS!Z28-FINANCIALS!Y28)/FINANCIALS!Y28</f>
        <v>1.260146762947241E-2</v>
      </c>
      <c r="AA33" s="42">
        <f>(FINANCIALS!AA28-FINANCIALS!Z28)/FINANCIALS!Z28</f>
        <v>1.5974488716695597E-2</v>
      </c>
      <c r="AB33" s="42">
        <f>(FINANCIALS!AB28-FINANCIALS!AA28)/FINANCIALS!AA28</f>
        <v>1.9803227104529249E-2</v>
      </c>
      <c r="AC33" s="42">
        <f>(FINANCIALS!AC28-FINANCIALS!AB28)/FINANCIALS!AB28</f>
        <v>1.6044277790283692E-2</v>
      </c>
      <c r="AD33" s="42">
        <f>(FINANCIALS!AD28-FINANCIALS!AC28)/FINANCIALS!AC28</f>
        <v>1.8682439805218966E-2</v>
      </c>
      <c r="AE33" s="42">
        <f>(FINANCIALS!AE28-FINANCIALS!AD28)/FINANCIALS!AD28</f>
        <v>1.7017186739738517E-2</v>
      </c>
      <c r="AF33" s="42">
        <f>(FINANCIALS!AF28-FINANCIALS!AE28)/FINANCIALS!AE28</f>
        <v>7.8541461767271756E-3</v>
      </c>
      <c r="AG33" s="42">
        <f>(FINANCIALS!AG28-FINANCIALS!AF28)/FINANCIALS!AF28</f>
        <v>8.6608810311275715E-3</v>
      </c>
      <c r="AH33" s="42">
        <f>(FINANCIALS!AH28-FINANCIALS!AG28)/FINANCIALS!AG28</f>
        <v>5.8354853011540172E-3</v>
      </c>
      <c r="AI33" s="42">
        <f>(FINANCIALS!AI28-FINANCIALS!AH28)/FINANCIALS!AH28</f>
        <v>-5.6806349147470604E-2</v>
      </c>
      <c r="AJ33" s="42">
        <f>(FINANCIALS!AJ28-FINANCIALS!AI28)/FINANCIALS!AI28</f>
        <v>4.2727370537056136E-2</v>
      </c>
      <c r="AK33" s="42">
        <f>(FINANCIALS!AK28-FINANCIALS!AJ28)/FINANCIALS!AJ28</f>
        <v>-1</v>
      </c>
      <c r="AL33" s="42" t="e">
        <f>(FINANCIALS!AL28-FINANCIALS!AK28)/FINANCIALS!AK28</f>
        <v>#DIV/0!</v>
      </c>
      <c r="AM33" s="42">
        <f>(FINANCIALS!AM28-FINANCIALS!AL28)/FINANCIALS!AL28</f>
        <v>-3.8775116450195969E-3</v>
      </c>
      <c r="AN33" s="42">
        <f>(FINANCIALS!AN28-FINANCIALS!AM28)/FINANCIALS!AM28</f>
        <v>9.9534271624722864E-3</v>
      </c>
      <c r="AO33" s="42">
        <f>(FINANCIALS!AO28-FINANCIALS!AN28)/FINANCIALS!AN28</f>
        <v>1.8492000107905585E-2</v>
      </c>
      <c r="AP33" s="42">
        <f>(FINANCIALS!AP28-FINANCIALS!AO28)/FINANCIALS!AO28</f>
        <v>1.3804332313403618E-2</v>
      </c>
      <c r="AQ33" s="42">
        <f>(FINANCIALS!AQ28-FINANCIALS!AP28)/FINANCIALS!AP28</f>
        <v>9.4295395360962011E-3</v>
      </c>
      <c r="AR33" s="42">
        <f>(FINANCIALS!AR28-FINANCIALS!AQ28)/FINANCIALS!AQ28</f>
        <v>1.5019518984621057E-2</v>
      </c>
      <c r="AS33" s="42">
        <f>(FINANCIALS!AS28-FINANCIALS!AR28)/FINANCIALS!AR28</f>
        <v>-5.9296172589827334E-2</v>
      </c>
      <c r="AT33" s="42">
        <f>(FINANCIALS!AT28-FINANCIALS!AS28)/FINANCIALS!AS28</f>
        <v>2.4877734714020484E-2</v>
      </c>
      <c r="AU33" s="42">
        <f>(FINANCIALS!AU28-FINANCIALS!AT28)/FINANCIALS!AT28</f>
        <v>2.1379514023291916E-2</v>
      </c>
      <c r="AV33" s="42">
        <f>(FINANCIALS!AV28-FINANCIALS!AU28)/FINANCIALS!AU28</f>
        <v>1.2856116499833687E-2</v>
      </c>
      <c r="AW33" s="42">
        <f>(FINANCIALS!AW28-FINANCIALS!AV28)/FINANCIALS!AV28</f>
        <v>2.4537819618585532E-2</v>
      </c>
      <c r="AX33" s="42">
        <f>(FINANCIALS!AX28-FINANCIALS!AW28)/FINANCIALS!AW28</f>
        <v>1.978559059972471E-2</v>
      </c>
      <c r="AY33" s="42">
        <f>(FINANCIALS!AY28-FINANCIALS!AX28)/FINANCIALS!AX28</f>
        <v>5.3358704965293355E-11</v>
      </c>
      <c r="AZ33" s="42">
        <f>(FINANCIALS!AZ28-FINANCIALS!AY28)/FINANCIALS!AY28</f>
        <v>-7.743025232839827E-4</v>
      </c>
      <c r="BA33" s="42">
        <f>(FINANCIALS!BA28-FINANCIALS!AZ28)/FINANCIALS!AZ28</f>
        <v>2.0875520628538834E-2</v>
      </c>
      <c r="BB33" s="42">
        <f>(FINANCIALS!BB28-FINANCIALS!BA28)/FINANCIALS!BA28</f>
        <v>5.1036752867840762E-2</v>
      </c>
      <c r="BC33" s="42">
        <f>(FINANCIALS!BC28-FINANCIALS!BB28)/FINANCIALS!BB28</f>
        <v>9.3303135158488357E-3</v>
      </c>
      <c r="BD33" s="42">
        <f>(FINANCIALS!BD28-FINANCIALS!BC28)/FINANCIALS!BC28</f>
        <v>1.3640915307295026E-2</v>
      </c>
      <c r="BE33" s="42">
        <f>(FINANCIALS!BE28-FINANCIALS!BD28)/FINANCIALS!BD28</f>
        <v>2.1007362541841955E-2</v>
      </c>
      <c r="BF33" s="42">
        <f>(FINANCIALS!BF28-FINANCIALS!BE28)/FINANCIALS!BE28</f>
        <v>1.0956378429313587E-2</v>
      </c>
    </row>
    <row r="34" spans="1:58" ht="14.25">
      <c r="A34" s="4">
        <v>4.4000000000000004</v>
      </c>
      <c r="B34" s="4" t="s">
        <v>218</v>
      </c>
      <c r="C34" s="4"/>
      <c r="D34" s="46"/>
      <c r="E34" s="42">
        <f>(FINANCIALS!E11-FINANCIALS!D11)/FINANCIALS!D11</f>
        <v>0.26681540002548743</v>
      </c>
      <c r="F34" s="42">
        <f>(FINANCIALS!F11-FINANCIALS!E11)/FINANCIALS!E11</f>
        <v>-7.3648833661715735E-2</v>
      </c>
      <c r="G34" s="42">
        <f>(FINANCIALS!G11-FINANCIALS!F11)/FINANCIALS!F11</f>
        <v>0.43409711899361331</v>
      </c>
      <c r="H34" s="42">
        <f>(FINANCIALS!H11-FINANCIALS!G11)/FINANCIALS!G11</f>
        <v>0.25981831557938057</v>
      </c>
      <c r="I34" s="42">
        <f>(FINANCIALS!I11-FINANCIALS!H11)/FINANCIALS!H11</f>
        <v>0.20522205001322047</v>
      </c>
      <c r="J34" s="42">
        <f>(FINANCIALS!J11-FINANCIALS!I11)/FINANCIALS!I11</f>
        <v>0.1275474891837885</v>
      </c>
      <c r="K34" s="42">
        <f>(FINANCIALS!K11-FINANCIALS!J11)/FINANCIALS!J11</f>
        <v>3.1461280919896931E-2</v>
      </c>
      <c r="L34" s="42">
        <f>(FINANCIALS!L11-FINANCIALS!K11)/FINANCIALS!K11</f>
        <v>1.4800266495182351E-2</v>
      </c>
      <c r="M34" s="42">
        <f>(FINANCIALS!M11-FINANCIALS!L11)/FINANCIALS!L11</f>
        <v>3.1146690182425915E-3</v>
      </c>
      <c r="N34" s="42">
        <f>(FINANCIALS!N11-FINANCIALS!M11)/FINANCIALS!M11</f>
        <v>-3.1412265856900906E-3</v>
      </c>
      <c r="O34" s="42">
        <f>(FINANCIALS!O11-FINANCIALS!N11)/FINANCIALS!N11</f>
        <v>9.5078485295205187E-3</v>
      </c>
      <c r="P34" s="42">
        <f>(FINANCIALS!P11-FINANCIALS!O11)/FINANCIALS!O11</f>
        <v>7.0186139422806996E-3</v>
      </c>
      <c r="Q34" s="42">
        <f>(FINANCIALS!Q11-FINANCIALS!P11)/FINANCIALS!P11</f>
        <v>3.3638331092451505E-2</v>
      </c>
      <c r="R34" s="42">
        <f>(FINANCIALS!R11-FINANCIALS!Q11)/FINANCIALS!Q11</f>
        <v>4.6146675602181091E-3</v>
      </c>
      <c r="S34" s="42">
        <f>(FINANCIALS!S11-FINANCIALS!R11)/FINANCIALS!R11</f>
        <v>6.4610741075728584E-3</v>
      </c>
      <c r="T34" s="42">
        <f>(FINANCIALS!T11-FINANCIALS!S11)/FINANCIALS!S11</f>
        <v>2.7291282219202458E-2</v>
      </c>
      <c r="U34" s="42">
        <f>(FINANCIALS!U11-FINANCIALS!T11)/FINANCIALS!T11</f>
        <v>0.1046403599581882</v>
      </c>
      <c r="V34" s="42">
        <f>(FINANCIALS!V11-FINANCIALS!U11)/FINANCIALS!U11</f>
        <v>2.4499222159166507E-2</v>
      </c>
      <c r="W34" s="42">
        <f>(FINANCIALS!W11-FINANCIALS!V11)/FINANCIALS!V11</f>
        <v>-1.7759643069989769E-9</v>
      </c>
      <c r="X34" s="42">
        <f>(FINANCIALS!X11-FINANCIALS!W11)/FINANCIALS!W11</f>
        <v>0.51521617589552893</v>
      </c>
      <c r="Y34" s="42">
        <f>(FINANCIALS!Y11-FINANCIALS!X11)/FINANCIALS!X11</f>
        <v>2.79560962647812E-2</v>
      </c>
      <c r="Z34" s="42">
        <f>(FINANCIALS!Z11-FINANCIALS!Y11)/FINANCIALS!Y11</f>
        <v>-1.1292661076056133E-2</v>
      </c>
      <c r="AA34" s="42">
        <f>(FINANCIALS!AA11-FINANCIALS!Z11)/FINANCIALS!Z11</f>
        <v>4.565403357934439E-3</v>
      </c>
      <c r="AB34" s="42">
        <f>(FINANCIALS!AB11-FINANCIALS!AA11)/FINANCIALS!AA11</f>
        <v>6.0805923684683237E-3</v>
      </c>
      <c r="AC34" s="42">
        <f>(FINANCIALS!AC11-FINANCIALS!AB11)/FINANCIALS!AB11</f>
        <v>2.8735468909683478E-2</v>
      </c>
      <c r="AD34" s="42">
        <f>(FINANCIALS!AD11-FINANCIALS!AC11)/FINANCIALS!AC11</f>
        <v>5.2888937729050813E-3</v>
      </c>
      <c r="AE34" s="42">
        <f>(FINANCIALS!AE11-FINANCIALS!AD11)/FINANCIALS!AD11</f>
        <v>8.5303549480368092E-3</v>
      </c>
      <c r="AF34" s="42">
        <f>(FINANCIALS!AF11-FINANCIALS!AE11)/FINANCIALS!AE11</f>
        <v>-2.116008017186552E-3</v>
      </c>
      <c r="AG34" s="42">
        <f>(FINANCIALS!AG11-FINANCIALS!AF11)/FINANCIALS!AF11</f>
        <v>5.3897386901516362E-3</v>
      </c>
      <c r="AH34" s="42">
        <f>(FINANCIALS!AH11-FINANCIALS!AG11)/FINANCIALS!AG11</f>
        <v>-8.2361663362908041E-5</v>
      </c>
      <c r="AI34" s="42">
        <f>(FINANCIALS!AI11-FINANCIALS!AH11)/FINANCIALS!AH11</f>
        <v>2.56623977604627E-2</v>
      </c>
      <c r="AJ34" s="42">
        <f>(FINANCIALS!AJ11-FINANCIALS!AI11)/FINANCIALS!AI11</f>
        <v>1.8465615954875888E-2</v>
      </c>
      <c r="AK34" s="42">
        <f>(FINANCIALS!AK11-FINANCIALS!AJ11)/FINANCIALS!AJ11</f>
        <v>-1.0417592992991518</v>
      </c>
      <c r="AL34" s="42">
        <f>(FINANCIALS!AL11-FINANCIALS!AK11)/FINANCIALS!AK11</f>
        <v>-26.495332919999999</v>
      </c>
      <c r="AM34" s="42">
        <f>(FINANCIALS!AM11-FINANCIALS!AL11)/FINANCIALS!AL11</f>
        <v>-1.4608068863766026E-2</v>
      </c>
      <c r="AN34" s="42">
        <f>(FINANCIALS!AN11-FINANCIALS!AM11)/FINANCIALS!AM11</f>
        <v>1.9462523063653733E-3</v>
      </c>
      <c r="AO34" s="42">
        <f>(FINANCIALS!AO11-FINANCIALS!AN11)/FINANCIALS!AN11</f>
        <v>3.0600347471489387E-3</v>
      </c>
      <c r="AP34" s="42">
        <f>(FINANCIALS!AP11-FINANCIALS!AO11)/FINANCIALS!AO11</f>
        <v>1.8016086401154884E-2</v>
      </c>
      <c r="AQ34" s="42">
        <f>(FINANCIALS!AQ11-FINANCIALS!AP11)/FINANCIALS!AP11</f>
        <v>9.3222144474391783E-3</v>
      </c>
      <c r="AR34" s="42">
        <f>(FINANCIALS!AR11-FINANCIALS!AQ11)/FINANCIALS!AQ11</f>
        <v>1.413199901407669E-2</v>
      </c>
      <c r="AS34" s="42">
        <f>(FINANCIALS!AS11-FINANCIALS!AR11)/FINANCIALS!AR11</f>
        <v>-8.8917622569553087E-3</v>
      </c>
      <c r="AT34" s="42">
        <f>(FINANCIALS!AT11-FINANCIALS!AS11)/FINANCIALS!AS11</f>
        <v>3.2197024865648406E-4</v>
      </c>
      <c r="AU34" s="42">
        <f>(FINANCIALS!AU11-FINANCIALS!AT11)/FINANCIALS!AT11</f>
        <v>-8.5374476888176829E-4</v>
      </c>
      <c r="AV34" s="42">
        <f>(FINANCIALS!AV11-FINANCIALS!AU11)/FINANCIALS!AU11</f>
        <v>6.770013987138431E-3</v>
      </c>
      <c r="AW34" s="42">
        <f>(FINANCIALS!AW11-FINANCIALS!AV11)/FINANCIALS!AV11</f>
        <v>-1.4354852688640784E-3</v>
      </c>
      <c r="AX34" s="42">
        <f>(FINANCIALS!AX11-FINANCIALS!AW11)/FINANCIALS!AW11</f>
        <v>1.4474083947671553E-2</v>
      </c>
      <c r="AY34" s="42">
        <f>(FINANCIALS!AY11-FINANCIALS!AX11)/FINANCIALS!AX11</f>
        <v>6.1306569232180197E-2</v>
      </c>
      <c r="AZ34" s="42">
        <f>(FINANCIALS!AZ11-FINANCIALS!AY11)/FINANCIALS!AY11</f>
        <v>-3.9819660474737333E-2</v>
      </c>
      <c r="BA34" s="42">
        <f>(FINANCIALS!BA11-FINANCIALS!AZ11)/FINANCIALS!AZ11</f>
        <v>-1.3045065358174154E-3</v>
      </c>
      <c r="BB34" s="42">
        <f>(FINANCIALS!BB11-FINANCIALS!BA11)/FINANCIALS!BA11</f>
        <v>1.0786812931077674E-3</v>
      </c>
      <c r="BC34" s="42">
        <f>(FINANCIALS!BC11-FINANCIALS!BB11)/FINANCIALS!BB11</f>
        <v>9.6006108424702905E-3</v>
      </c>
      <c r="BD34" s="42">
        <f>(FINANCIALS!BD11-FINANCIALS!BC11)/FINANCIALS!BC11</f>
        <v>2.5760654235127902E-3</v>
      </c>
      <c r="BE34" s="42">
        <f>(FINANCIALS!BE11-FINANCIALS!BD11)/FINANCIALS!BD11</f>
        <v>1.8493754913292252E-2</v>
      </c>
      <c r="BF34" s="42">
        <f>(FINANCIALS!BF11-FINANCIALS!BE11)/FINANCIALS!BE11</f>
        <v>1.5097591859045098E-2</v>
      </c>
    </row>
    <row r="35" spans="1:58" ht="14.25">
      <c r="A35" s="4">
        <v>4.5</v>
      </c>
      <c r="B35" s="4" t="s">
        <v>165</v>
      </c>
      <c r="C35" s="4"/>
      <c r="D35" s="43"/>
      <c r="E35" s="42">
        <f>(FINANCIALS!E34-FINANCIALS!D35)/FINANCIALS!D34</f>
        <v>1.2393030713102491</v>
      </c>
      <c r="F35" s="42">
        <f>(FINANCIALS!F34-FINANCIALS!E35)/FINANCIALS!E34</f>
        <v>0.73920569191209518</v>
      </c>
      <c r="G35" s="42">
        <f>(FINANCIALS!G34-FINANCIALS!F35)/FINANCIALS!F34</f>
        <v>0.63084582046998772</v>
      </c>
      <c r="H35" s="42">
        <f>(FINANCIALS!H34-FINANCIALS!G35)/FINANCIALS!G34</f>
        <v>0.35084197925841754</v>
      </c>
      <c r="I35" s="42">
        <f>(FINANCIALS!I34-FINANCIALS!H35)/FINANCIALS!H34</f>
        <v>0.46767432252601482</v>
      </c>
      <c r="J35" s="42">
        <f>(FINANCIALS!J34-FINANCIALS!I35)/FINANCIALS!I34</f>
        <v>0.59553538652789495</v>
      </c>
      <c r="K35" s="42">
        <f>(FINANCIALS!K34-FINANCIALS!J35)/FINANCIALS!J34</f>
        <v>-0.51345753898940316</v>
      </c>
      <c r="L35" s="42">
        <f>(FINANCIALS!L34-FINANCIALS!K35)/FINANCIALS!K34</f>
        <v>1.270253303212054</v>
      </c>
      <c r="M35" s="42">
        <f>(FINANCIALS!M34-FINANCIALS!L35)/FINANCIALS!L34</f>
        <v>0.79542411434557536</v>
      </c>
      <c r="N35" s="42">
        <f>(FINANCIALS!N34-FINANCIALS!M35)/FINANCIALS!M34</f>
        <v>0.6682274245489942</v>
      </c>
      <c r="O35" s="42">
        <f>(FINANCIALS!O34-FINANCIALS!N35)/FINANCIALS!N34</f>
        <v>0.58201197653946601</v>
      </c>
      <c r="P35" s="42">
        <f>(FINANCIALS!P34-FINANCIALS!O35)/FINANCIALS!O34</f>
        <v>0.51641637881674052</v>
      </c>
      <c r="Q35" s="42">
        <f>(FINANCIALS!Q34-FINANCIALS!P35)/FINANCIALS!P34</f>
        <v>0.47842319363148056</v>
      </c>
      <c r="R35" s="42">
        <f>(FINANCIALS!R34-FINANCIALS!Q35)/FINANCIALS!Q34</f>
        <v>0.448992768535459</v>
      </c>
      <c r="S35" s="42">
        <f>(FINANCIALS!S34-FINANCIALS!R35)/FINANCIALS!R34</f>
        <v>0.42726645144467329</v>
      </c>
      <c r="T35" s="42">
        <f>(FINANCIALS!T34-FINANCIALS!S35)/FINANCIALS!S34</f>
        <v>0.44912215689279655</v>
      </c>
      <c r="U35" s="42">
        <f>(FINANCIALS!U34-FINANCIALS!T35)/FINANCIALS!T34</f>
        <v>0.51062262639938094</v>
      </c>
      <c r="V35" s="42">
        <f>(FINANCIALS!V34-FINANCIALS!U35)/FINANCIALS!U34</f>
        <v>0.46880711890623966</v>
      </c>
      <c r="W35" s="42">
        <f>(FINANCIALS!W34-FINANCIALS!V35)/FINANCIALS!V34</f>
        <v>0.52673158903511885</v>
      </c>
      <c r="X35" s="42">
        <f>(FINANCIALS!X34-FINANCIALS!W35)/FINANCIALS!W34</f>
        <v>0.74828218735141128</v>
      </c>
      <c r="Y35" s="42">
        <f>(FINANCIALS!Y34-FINANCIALS!X35)/FINANCIALS!X34</f>
        <v>0.44820574910123306</v>
      </c>
      <c r="Z35" s="42">
        <f>(FINANCIALS!Z34-FINANCIALS!Y35)/FINANCIALS!Y34</f>
        <v>-0.53300171200317414</v>
      </c>
      <c r="AA35" s="42">
        <f>(FINANCIALS!AA34-FINANCIALS!Z35)/FINANCIALS!Z34</f>
        <v>1.2159541856821035</v>
      </c>
      <c r="AB35" s="42">
        <f>(FINANCIALS!AB34-FINANCIALS!AA35)/FINANCIALS!AA34</f>
        <v>0.77171982509859194</v>
      </c>
      <c r="AC35" s="42">
        <f>(FINANCIALS!AC34-FINANCIALS!AB35)/FINANCIALS!AB34</f>
        <v>0.59117556581597741</v>
      </c>
      <c r="AD35" s="42">
        <f>(FINANCIALS!AD34-FINANCIALS!AC35)/FINANCIALS!AC34</f>
        <v>0.51601263288428734</v>
      </c>
      <c r="AE35" s="42">
        <f>(FINANCIALS!AE34-FINANCIALS!AD35)/FINANCIALS!AD34</f>
        <v>0.46477647452380316</v>
      </c>
      <c r="AF35" s="42">
        <f>(FINANCIALS!AF34-FINANCIALS!AE35)/FINANCIALS!AE34</f>
        <v>0.42828890721662671</v>
      </c>
      <c r="AG35" s="42">
        <f>(FINANCIALS!AG34-FINANCIALS!AF35)/FINANCIALS!AF34</f>
        <v>0.39302037807944684</v>
      </c>
      <c r="AH35" s="42">
        <f>(FINANCIALS!AH34-FINANCIALS!AG35)/FINANCIALS!AG34</f>
        <v>0.36586264208281855</v>
      </c>
      <c r="AI35" s="42">
        <f>(FINANCIALS!AI34-FINANCIALS!AH35)/FINANCIALS!AH34</f>
        <v>0.36409079859922938</v>
      </c>
      <c r="AJ35" s="42">
        <f>(FINANCIALS!AJ34-FINANCIALS!AI35)/FINANCIALS!AI34</f>
        <v>0.37570049318748477</v>
      </c>
      <c r="AK35" s="42">
        <f>(FINANCIALS!AK34-FINANCIALS!AJ35)/FINANCIALS!AJ34</f>
        <v>0.37022497519242759</v>
      </c>
      <c r="AL35" s="42">
        <f>(FINANCIALS!AL34-FINANCIALS!AK35)/FINANCIALS!AK34</f>
        <v>0.42659593677753427</v>
      </c>
      <c r="AM35" s="42">
        <f>(FINANCIALS!AM34-FINANCIALS!AL35)/FINANCIALS!AL34</f>
        <v>-0.57944781846983429</v>
      </c>
      <c r="AN35" s="42">
        <f>(FINANCIALS!AN34-FINANCIALS!AM35)/FINANCIALS!AM34</f>
        <v>1.1972175777672942</v>
      </c>
      <c r="AO35" s="42">
        <f>(FINANCIALS!AO34-FINANCIALS!AN35)/FINANCIALS!AN34</f>
        <v>0.73507327635535114</v>
      </c>
      <c r="AP35" s="42">
        <f>(FINANCIALS!AP34-FINANCIALS!AO35)/FINANCIALS!AO34</f>
        <v>0.57690840599422688</v>
      </c>
      <c r="AQ35" s="42">
        <f>(FINANCIALS!AQ34-FINANCIALS!AP35)/FINANCIALS!AP34</f>
        <v>0.47945845390619513</v>
      </c>
      <c r="AR35" s="42">
        <f>(FINANCIALS!AR34-FINANCIALS!AQ35)/FINANCIALS!AQ34</f>
        <v>0.43806107290044138</v>
      </c>
      <c r="AS35" s="42">
        <f>(FINANCIALS!AS34-FINANCIALS!AR35)/FINANCIALS!AR34</f>
        <v>0.4777766104552863</v>
      </c>
      <c r="AT35" s="42">
        <f>(FINANCIALS!AT34-FINANCIALS!AS35)/FINANCIALS!AS34</f>
        <v>0.41763923835158095</v>
      </c>
      <c r="AU35" s="42">
        <f>(FINANCIALS!AU34-FINANCIALS!AT35)/FINANCIALS!AT34</f>
        <v>0.40035745117910687</v>
      </c>
      <c r="AV35" s="42">
        <f>(FINANCIALS!AV34-FINANCIALS!AU35)/FINANCIALS!AU34</f>
        <v>0.37946993440046323</v>
      </c>
      <c r="AW35" s="42">
        <f>(FINANCIALS!AW34-FINANCIALS!AV35)/FINANCIALS!AV34</f>
        <v>0.37116530774058426</v>
      </c>
      <c r="AX35" s="42">
        <f>(FINANCIALS!AX34-FINANCIALS!AW35)/FINANCIALS!AW34</f>
        <v>0.34874304941835427</v>
      </c>
      <c r="AY35" s="42">
        <f>(FINANCIALS!AY34-FINANCIALS!AX35)/FINANCIALS!AX34</f>
        <v>0.46632010279839992</v>
      </c>
      <c r="AZ35" s="42">
        <f>(FINANCIALS!AZ34-FINANCIALS!AY35)/FINANCIALS!AY34</f>
        <v>-0.53452667401510523</v>
      </c>
      <c r="BA35" s="42">
        <f>(FINANCIALS!BA34-FINANCIALS!AZ35)/FINANCIALS!AZ34</f>
        <v>1.2292790763453465</v>
      </c>
      <c r="BB35" s="42">
        <f>(FINANCIALS!BB34-FINANCIALS!BA35)/FINANCIALS!BA34</f>
        <v>0.80984290620773858</v>
      </c>
      <c r="BC35" s="42">
        <f>(FINANCIALS!BC34-FINANCIALS!BB35)/FINANCIALS!BB34</f>
        <v>0.59976487067958717</v>
      </c>
      <c r="BD35" s="42">
        <f>(FINANCIALS!BD34-FINANCIALS!BC35)/FINANCIALS!BC34</f>
        <v>0.52264418800070245</v>
      </c>
      <c r="BE35" s="42">
        <f>(FINANCIALS!BE34-FINANCIALS!BD35)/FINANCIALS!BD34</f>
        <v>0.4632892586429207</v>
      </c>
      <c r="BF35" s="42">
        <f>(FINANCIALS!BF34-FINANCIALS!BE35)/FINANCIALS!BE34</f>
        <v>0.41646133804397167</v>
      </c>
    </row>
    <row r="36" spans="1:58" ht="14.25">
      <c r="A36" s="4">
        <v>4.5999999999999996</v>
      </c>
      <c r="B36" s="4" t="s">
        <v>136</v>
      </c>
      <c r="C36" s="4"/>
      <c r="D36" s="46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42"/>
      <c r="AJ36" s="42"/>
      <c r="AK36" s="42"/>
      <c r="AL36" s="42"/>
      <c r="AM36" s="42"/>
      <c r="AN36" s="42"/>
      <c r="AO36" s="42"/>
      <c r="AP36" s="42"/>
      <c r="AQ36" s="42"/>
      <c r="AR36" s="42"/>
      <c r="AS36" s="42"/>
      <c r="AT36" s="42"/>
      <c r="AU36" s="42"/>
      <c r="AV36" s="42"/>
      <c r="AW36" s="42"/>
      <c r="AX36" s="42"/>
      <c r="AY36" s="42"/>
      <c r="AZ36" s="42"/>
      <c r="BA36" s="42"/>
      <c r="BB36" s="42"/>
      <c r="BC36" s="42"/>
      <c r="BD36" s="42"/>
      <c r="BE36" s="42"/>
      <c r="BF36" s="42"/>
    </row>
    <row r="37" spans="1:58" ht="14.25">
      <c r="A37" s="4">
        <v>4.7</v>
      </c>
      <c r="B37" s="4" t="s">
        <v>219</v>
      </c>
      <c r="C37" s="4"/>
      <c r="D37" s="43"/>
      <c r="E37" s="42">
        <f>(FINANCIALS!E40-FINANCIALS!D40)/FINANCIALS!D40</f>
        <v>1.389065729780389</v>
      </c>
      <c r="F37" s="42">
        <f>(FINANCIALS!F40-FINANCIALS!E40)/FINANCIALS!E40</f>
        <v>5.8698729333029567E-2</v>
      </c>
      <c r="G37" s="42">
        <f>(FINANCIALS!G40-FINANCIALS!F40)/FINANCIALS!F40</f>
        <v>0.36796312774736989</v>
      </c>
      <c r="H37" s="42">
        <f>(FINANCIALS!H40-FINANCIALS!G40)/FINANCIALS!G40</f>
        <v>-0.10024243664777163</v>
      </c>
      <c r="I37" s="42">
        <f>(FINANCIALS!I40-FINANCIALS!H40)/FINANCIALS!H40</f>
        <v>0.18154689435395976</v>
      </c>
      <c r="J37" s="42">
        <f>(FINANCIALS!J40-FINANCIALS!I40)/FINANCIALS!I40</f>
        <v>0.19492117209279</v>
      </c>
      <c r="K37" s="42">
        <f>(FINANCIALS!K40-FINANCIALS!J40)/FINANCIALS!J40</f>
        <v>-0.92428057520227047</v>
      </c>
      <c r="L37" s="42">
        <f>(FINANCIALS!L40-FINANCIALS!K40)/FINANCIALS!K40</f>
        <v>1.1602256737859897</v>
      </c>
      <c r="M37" s="42">
        <f>(FINANCIALS!M40-FINANCIALS!L40)/FINANCIALS!L40</f>
        <v>0.50961802463164063</v>
      </c>
      <c r="N37" s="42">
        <f>(FINANCIALS!N40-FINANCIALS!M40)/FINANCIALS!M40</f>
        <v>0.3374321852900789</v>
      </c>
      <c r="O37" s="42">
        <f>(FINANCIALS!O40-FINANCIALS!N40)/FINANCIALS!N40</f>
        <v>0.28697721269731313</v>
      </c>
      <c r="P37" s="42">
        <f>(FINANCIALS!P40-FINANCIALS!O40)/FINANCIALS!O40</f>
        <v>0.18123008978890096</v>
      </c>
      <c r="Q37" s="42">
        <f>(FINANCIALS!Q40-FINANCIALS!P40)/FINANCIALS!P40</f>
        <v>0.13332007274743232</v>
      </c>
      <c r="R37" s="42">
        <f>(FINANCIALS!R40-FINANCIALS!Q40)/FINANCIALS!Q40</f>
        <v>0.15747675359330418</v>
      </c>
      <c r="S37" s="42">
        <f>(FINANCIALS!S40-FINANCIALS!R40)/FINANCIALS!R40</f>
        <v>0.13095901160187989</v>
      </c>
      <c r="T37" s="42">
        <f>(FINANCIALS!T40-FINANCIALS!S40)/FINANCIALS!S40</f>
        <v>0.11436919981725585</v>
      </c>
      <c r="U37" s="42">
        <f>(FINANCIALS!U40-FINANCIALS!T40)/FINANCIALS!T40</f>
        <v>0.10896748538933435</v>
      </c>
      <c r="V37" s="42">
        <f>(FINANCIALS!V40-FINANCIALS!U40)/FINANCIALS!U40</f>
        <v>0.15669743105380507</v>
      </c>
      <c r="W37" s="42">
        <f>(FINANCIALS!W40-FINANCIALS!V40)/FINANCIALS!V40</f>
        <v>4.1919648870172092E-9</v>
      </c>
      <c r="X37" s="42">
        <f>(FINANCIALS!X40-FINANCIALS!W40)/FINANCIALS!W40</f>
        <v>-0.27111243614288777</v>
      </c>
      <c r="Y37" s="42">
        <f>(FINANCIALS!Y40-FINANCIALS!X40)/FINANCIALS!X40</f>
        <v>1.0389020508096114</v>
      </c>
      <c r="Z37" s="42">
        <f>(FINANCIALS!Z40-FINANCIALS!Y40)/FINANCIALS!Y40</f>
        <v>-0.90565513637137773</v>
      </c>
      <c r="AA37" s="42">
        <f>(FINANCIALS!AA40-FINANCIALS!Z40)/FINANCIALS!Z40</f>
        <v>1.018103786381497</v>
      </c>
      <c r="AB37" s="42">
        <f>(FINANCIALS!AB40-FINANCIALS!AA40)/FINANCIALS!AA40</f>
        <v>0.54576592048338446</v>
      </c>
      <c r="AC37" s="42">
        <f>(FINANCIALS!AC40-FINANCIALS!AB40)/FINANCIALS!AB40</f>
        <v>0.34067037027590497</v>
      </c>
      <c r="AD37" s="42">
        <f>(FINANCIALS!AD40-FINANCIALS!AC40)/FINANCIALS!AC40</f>
        <v>0.2476905829222931</v>
      </c>
      <c r="AE37" s="42">
        <f>(FINANCIALS!AE40-FINANCIALS!AD40)/FINANCIALS!AD40</f>
        <v>0.21576377986776732</v>
      </c>
      <c r="AF37" s="42">
        <f>(FINANCIALS!AF40-FINANCIALS!AE40)/FINANCIALS!AE40</f>
        <v>0.20233605725696274</v>
      </c>
      <c r="AG37" s="42">
        <f>(FINANCIALS!AG40-FINANCIALS!AF40)/FINANCIALS!AF40</f>
        <v>0.13934040361397487</v>
      </c>
      <c r="AH37" s="42">
        <f>(FINANCIALS!AH40-FINANCIALS!AG40)/FINANCIALS!AG40</f>
        <v>0.13710282062928233</v>
      </c>
      <c r="AI37" s="42">
        <f>(FINANCIALS!AI40-FINANCIALS!AH40)/FINANCIALS!AH40</f>
        <v>0.11447769551551661</v>
      </c>
      <c r="AJ37" s="42">
        <f>(FINANCIALS!AJ40-FINANCIALS!AI40)/FINANCIALS!AI40</f>
        <v>0.10237347934109736</v>
      </c>
      <c r="AK37" s="42">
        <f>(FINANCIALS!AK40-FINANCIALS!AJ40)/FINANCIALS!AJ40</f>
        <v>9.4916773044868008E-2</v>
      </c>
      <c r="AL37" s="42">
        <f>(FINANCIALS!AL40-FINANCIALS!AK40)/FINANCIALS!AK40</f>
        <v>1.0412691950768143E-2</v>
      </c>
      <c r="AM37" s="42">
        <f>(FINANCIALS!AM40-FINANCIALS!AL40)/FINANCIALS!AL40</f>
        <v>-0.90731305016548813</v>
      </c>
      <c r="AN37" s="42">
        <f>(FINANCIALS!AN40-FINANCIALS!AM40)/FINANCIALS!AM40</f>
        <v>1.0141008547271846</v>
      </c>
      <c r="AO37" s="42">
        <f>(FINANCIALS!AO40-FINANCIALS!AN40)/FINANCIALS!AN40</f>
        <v>0.59122307541016494</v>
      </c>
      <c r="AP37" s="42">
        <f>(FINANCIALS!AP40-FINANCIALS!AO40)/FINANCIALS!AO40</f>
        <v>0.34071463465123952</v>
      </c>
      <c r="AQ37" s="42">
        <f>(FINANCIALS!AQ40-FINANCIALS!AP40)/FINANCIALS!AP40</f>
        <v>0.23262715662618677</v>
      </c>
      <c r="AR37" s="42">
        <f>(FINANCIALS!AR40-FINANCIALS!AQ40)/FINANCIALS!AQ40</f>
        <v>0.21972572525638859</v>
      </c>
      <c r="AS37" s="42">
        <f>(FINANCIALS!AS40-FINANCIALS!AR40)/FINANCIALS!AR40</f>
        <v>0.19280359169274033</v>
      </c>
      <c r="AT37" s="42">
        <f>(FINANCIALS!AT40-FINANCIALS!AS40)/FINANCIALS!AS40</f>
        <v>0.14012769976211095</v>
      </c>
      <c r="AU37" s="42">
        <f>(FINANCIALS!AU40-FINANCIALS!AT40)/FINANCIALS!AT40</f>
        <v>0.13513397025567017</v>
      </c>
      <c r="AV37" s="42">
        <f>(FINANCIALS!AV40-FINANCIALS!AU40)/FINANCIALS!AU40</f>
        <v>0.11224518403253964</v>
      </c>
      <c r="AW37" s="42">
        <f>(FINANCIALS!AW40-FINANCIALS!AV40)/FINANCIALS!AV40</f>
        <v>0.12455348137329188</v>
      </c>
      <c r="AX37" s="42">
        <f>(FINANCIALS!AX40-FINANCIALS!AW40)/FINANCIALS!AW40</f>
        <v>0.10062305846787556</v>
      </c>
      <c r="AY37" s="42">
        <f>(FINANCIALS!AY40-FINANCIALS!AX40)/FINANCIALS!AX40</f>
        <v>-2.839581225034472E-2</v>
      </c>
      <c r="AZ37" s="42">
        <f>(FINANCIALS!AZ40-FINANCIALS!AY40)/FINANCIALS!AY40</f>
        <v>-0.90647688108989244</v>
      </c>
      <c r="BA37" s="42">
        <f>(FINANCIALS!BA40-FINANCIALS!AZ40)/FINANCIALS!AZ40</f>
        <v>1.0551942363183553</v>
      </c>
      <c r="BB37" s="42">
        <f>(FINANCIALS!BB40-FINANCIALS!BA40)/FINANCIALS!BA40</f>
        <v>0.48044916248659753</v>
      </c>
      <c r="BC37" s="42">
        <f>(FINANCIALS!BC40-FINANCIALS!BB40)/FINANCIALS!BB40</f>
        <v>0.20145930979196811</v>
      </c>
      <c r="BD37" s="42">
        <f>(FINANCIALS!BD40-FINANCIALS!BC40)/FINANCIALS!BC40</f>
        <v>0.30365008849440134</v>
      </c>
      <c r="BE37" s="42">
        <f>(FINANCIALS!BE40-FINANCIALS!BD40)/FINANCIALS!BD40</f>
        <v>0.30521247238313692</v>
      </c>
      <c r="BF37" s="42">
        <f>(FINANCIALS!BF40-FINANCIALS!BE40)/FINANCIALS!BE40</f>
        <v>0.17746268880818464</v>
      </c>
    </row>
    <row r="38" spans="1:58" ht="14.1" hidden="1">
      <c r="A38" s="4"/>
      <c r="B38" s="4"/>
      <c r="C38" s="4"/>
      <c r="D38" s="43"/>
      <c r="E38" s="43"/>
      <c r="F38" s="43"/>
      <c r="G38" s="43"/>
      <c r="H38" s="64"/>
      <c r="I38" s="64"/>
      <c r="J38" s="64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64"/>
      <c r="AB38" s="64"/>
      <c r="AC38" s="64"/>
      <c r="AD38" s="64"/>
      <c r="AE38" s="64"/>
      <c r="AF38" s="64"/>
      <c r="AG38" s="64"/>
      <c r="AH38" s="64"/>
      <c r="AI38" s="64"/>
      <c r="AJ38" s="64"/>
      <c r="AK38" s="64"/>
      <c r="AL38" s="64"/>
      <c r="AM38" s="64"/>
      <c r="AN38" s="64"/>
      <c r="AO38" s="64"/>
      <c r="AP38" s="64"/>
      <c r="AQ38" s="64"/>
      <c r="AR38" s="64"/>
      <c r="AS38" s="64"/>
      <c r="AT38" s="64"/>
      <c r="AU38" s="64"/>
      <c r="AV38" s="64"/>
      <c r="AW38" s="64"/>
      <c r="AX38" s="64"/>
      <c r="AY38" s="64"/>
    </row>
    <row r="39" spans="1:58" ht="14.1" hidden="1">
      <c r="A39" s="5">
        <v>5</v>
      </c>
      <c r="B39" s="3" t="s">
        <v>220</v>
      </c>
      <c r="C39" s="4"/>
      <c r="D39" s="43"/>
      <c r="E39" s="43"/>
      <c r="F39" s="43"/>
      <c r="G39" s="43"/>
      <c r="H39" s="64"/>
      <c r="I39" s="64"/>
      <c r="J39" s="64"/>
      <c r="K39" s="64"/>
      <c r="L39" s="64"/>
      <c r="M39" s="64"/>
      <c r="N39" s="64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64"/>
      <c r="Z39" s="64"/>
      <c r="AA39" s="64"/>
      <c r="AB39" s="64"/>
      <c r="AC39" s="64"/>
      <c r="AD39" s="64"/>
      <c r="AE39" s="64"/>
      <c r="AF39" s="64"/>
      <c r="AG39" s="64"/>
      <c r="AH39" s="64"/>
      <c r="AI39" s="64"/>
      <c r="AJ39" s="64"/>
      <c r="AK39" s="64"/>
      <c r="AL39" s="64"/>
      <c r="AM39" s="64"/>
      <c r="AN39" s="64"/>
      <c r="AO39" s="64"/>
      <c r="AP39" s="64"/>
      <c r="AQ39" s="64"/>
      <c r="AR39" s="64"/>
      <c r="AS39" s="64"/>
      <c r="AT39" s="64"/>
      <c r="AU39" s="64"/>
      <c r="AV39" s="64"/>
      <c r="AW39" s="64"/>
      <c r="AX39" s="64"/>
      <c r="AY39" s="64"/>
    </row>
    <row r="40" spans="1:58" ht="14.1" hidden="1">
      <c r="A40" s="5">
        <v>5.0999999999999996</v>
      </c>
      <c r="B40" s="4" t="s">
        <v>221</v>
      </c>
      <c r="C40" s="4"/>
      <c r="D40" s="46"/>
      <c r="E40" s="47" t="s">
        <v>222</v>
      </c>
      <c r="F40" s="47" t="s">
        <v>222</v>
      </c>
      <c r="G40" s="47" t="s">
        <v>222</v>
      </c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  <c r="AA40" s="64"/>
      <c r="AB40" s="64"/>
      <c r="AC40" s="64"/>
      <c r="AD40" s="64"/>
      <c r="AE40" s="64"/>
      <c r="AF40" s="64"/>
      <c r="AG40" s="64"/>
      <c r="AH40" s="64"/>
      <c r="AI40" s="64"/>
      <c r="AJ40" s="64"/>
      <c r="AK40" s="64"/>
      <c r="AL40" s="64"/>
      <c r="AM40" s="64"/>
      <c r="AN40" s="64"/>
      <c r="AO40" s="64"/>
      <c r="AP40" s="64"/>
      <c r="AQ40" s="64"/>
      <c r="AR40" s="64"/>
      <c r="AS40" s="64"/>
      <c r="AT40" s="64"/>
      <c r="AU40" s="64"/>
      <c r="AV40" s="64"/>
      <c r="AW40" s="64"/>
      <c r="AX40" s="64"/>
      <c r="AY40" s="64"/>
    </row>
    <row r="41" spans="1:58" ht="14.1" hidden="1">
      <c r="A41" s="5">
        <v>5.2</v>
      </c>
      <c r="B41" s="4" t="s">
        <v>223</v>
      </c>
      <c r="C41" s="4"/>
      <c r="D41" s="46"/>
      <c r="E41" s="47" t="e">
        <f>FINANCIALS!E42/((FINANCIALS!E15+FINANCIALS!#REF!)/2)</f>
        <v>#REF!</v>
      </c>
      <c r="F41" s="47" t="e">
        <f>FINANCIALS!F42/((FINANCIALS!F15+FINANCIALS!#REF!)/2)</f>
        <v>#REF!</v>
      </c>
      <c r="G41" s="47" t="e">
        <f>FINANCIALS!G42/((FINANCIALS!G15+FINANCIALS!#REF!)/2)</f>
        <v>#REF!</v>
      </c>
      <c r="H41" s="47" t="e">
        <f>FINANCIALS!H42/((FINANCIALS!H15+FINANCIALS!#REF!)/2)</f>
        <v>#REF!</v>
      </c>
      <c r="I41" s="47" t="e">
        <f>FINANCIALS!I42/((FINANCIALS!I15+FINANCIALS!#REF!)/2)</f>
        <v>#REF!</v>
      </c>
      <c r="J41" s="47" t="e">
        <f>FINANCIALS!J42/((FINANCIALS!J15+FINANCIALS!#REF!)/2)</f>
        <v>#REF!</v>
      </c>
      <c r="K41" s="47" t="e">
        <f>FINANCIALS!K42/((FINANCIALS!K15+FINANCIALS!#REF!)/2)</f>
        <v>#REF!</v>
      </c>
      <c r="L41" s="47" t="e">
        <f>FINANCIALS!L42/((FINANCIALS!L15+FINANCIALS!#REF!)/2)</f>
        <v>#REF!</v>
      </c>
      <c r="M41" s="47" t="e">
        <f>FINANCIALS!M42/((FINANCIALS!M15+FINANCIALS!#REF!)/2)</f>
        <v>#REF!</v>
      </c>
      <c r="N41" s="47" t="e">
        <f>FINANCIALS!N42/((FINANCIALS!N15+FINANCIALS!#REF!)/2)</f>
        <v>#REF!</v>
      </c>
      <c r="O41" s="47" t="e">
        <f>FINANCIALS!O42/((FINANCIALS!O15+FINANCIALS!#REF!)/2)</f>
        <v>#REF!</v>
      </c>
      <c r="P41" s="47" t="e">
        <f>FINANCIALS!P42/((FINANCIALS!P15+FINANCIALS!#REF!)/2)</f>
        <v>#REF!</v>
      </c>
      <c r="Q41" s="47" t="e">
        <f>FINANCIALS!Q42/((FINANCIALS!Q15+FINANCIALS!#REF!)/2)</f>
        <v>#REF!</v>
      </c>
      <c r="R41" s="47" t="e">
        <f>FINANCIALS!R42/((FINANCIALS!R15+FINANCIALS!#REF!)/2)</f>
        <v>#REF!</v>
      </c>
      <c r="S41" s="47" t="e">
        <f>FINANCIALS!S42/((FINANCIALS!S15+FINANCIALS!#REF!)/2)</f>
        <v>#REF!</v>
      </c>
      <c r="T41" s="47" t="e">
        <f>FINANCIALS!T42/((FINANCIALS!T15+FINANCIALS!#REF!)/2)</f>
        <v>#REF!</v>
      </c>
      <c r="U41" s="47" t="e">
        <f>FINANCIALS!U42/((FINANCIALS!U15+FINANCIALS!#REF!)/2)</f>
        <v>#REF!</v>
      </c>
      <c r="V41" s="47" t="e">
        <f>FINANCIALS!V42/((FINANCIALS!V15+FINANCIALS!#REF!)/2)</f>
        <v>#REF!</v>
      </c>
      <c r="W41" s="47" t="e">
        <f>FINANCIALS!W42/((FINANCIALS!W15+FINANCIALS!#REF!)/2)</f>
        <v>#REF!</v>
      </c>
      <c r="X41" s="47" t="e">
        <f>FINANCIALS!X42/((FINANCIALS!X15+FINANCIALS!#REF!)/2)</f>
        <v>#REF!</v>
      </c>
      <c r="Y41" s="47" t="e">
        <f>FINANCIALS!Y42/((FINANCIALS!Y15+FINANCIALS!#REF!)/2)</f>
        <v>#REF!</v>
      </c>
      <c r="Z41" s="47" t="e">
        <f>FINANCIALS!Z42/((FINANCIALS!Z15+FINANCIALS!#REF!)/2)</f>
        <v>#REF!</v>
      </c>
      <c r="AA41" s="47" t="e">
        <f>FINANCIALS!AA42/((FINANCIALS!AA15+FINANCIALS!#REF!)/2)</f>
        <v>#REF!</v>
      </c>
      <c r="AB41" s="47" t="e">
        <f>FINANCIALS!AB42/((FINANCIALS!AB15+FINANCIALS!#REF!)/2)</f>
        <v>#REF!</v>
      </c>
      <c r="AC41" s="47" t="e">
        <f>FINANCIALS!AC42/((FINANCIALS!AC15+FINANCIALS!#REF!)/2)</f>
        <v>#REF!</v>
      </c>
      <c r="AD41" s="47" t="e">
        <f>FINANCIALS!AD42/((FINANCIALS!AD15+FINANCIALS!#REF!)/2)</f>
        <v>#REF!</v>
      </c>
      <c r="AE41" s="47" t="e">
        <f>FINANCIALS!AE42/((FINANCIALS!AE15+FINANCIALS!#REF!)/2)</f>
        <v>#REF!</v>
      </c>
      <c r="AF41" s="47" t="e">
        <f>FINANCIALS!AF42/((FINANCIALS!AF15+FINANCIALS!#REF!)/2)</f>
        <v>#REF!</v>
      </c>
      <c r="AG41" s="47" t="e">
        <f>FINANCIALS!AG42/((FINANCIALS!AG15+FINANCIALS!#REF!)/2)</f>
        <v>#REF!</v>
      </c>
      <c r="AH41" s="47" t="e">
        <f>FINANCIALS!AH42/((FINANCIALS!AH15+FINANCIALS!#REF!)/2)</f>
        <v>#REF!</v>
      </c>
      <c r="AI41" s="47" t="e">
        <f>FINANCIALS!AI42/((FINANCIALS!AI15+FINANCIALS!#REF!)/2)</f>
        <v>#REF!</v>
      </c>
      <c r="AJ41" s="47" t="e">
        <f>FINANCIALS!AJ42/((FINANCIALS!AJ15+FINANCIALS!#REF!)/2)</f>
        <v>#REF!</v>
      </c>
      <c r="AK41" s="47" t="e">
        <f>FINANCIALS!AK42/((FINANCIALS!AK15+FINANCIALS!#REF!)/2)</f>
        <v>#REF!</v>
      </c>
      <c r="AL41" s="47" t="e">
        <f>FINANCIALS!AL42/((FINANCIALS!AL15+FINANCIALS!#REF!)/2)</f>
        <v>#REF!</v>
      </c>
      <c r="AM41" s="47" t="e">
        <f>FINANCIALS!AM42/((FINANCIALS!AM15+FINANCIALS!#REF!)/2)</f>
        <v>#REF!</v>
      </c>
      <c r="AN41" s="47" t="e">
        <f>FINANCIALS!AN42/((FINANCIALS!AN15+FINANCIALS!#REF!)/2)</f>
        <v>#REF!</v>
      </c>
      <c r="AO41" s="47" t="e">
        <f>FINANCIALS!AO42/((FINANCIALS!AO15+FINANCIALS!#REF!)/2)</f>
        <v>#REF!</v>
      </c>
      <c r="AP41" s="47" t="e">
        <f>FINANCIALS!AP42/((FINANCIALS!AP15+FINANCIALS!#REF!)/2)</f>
        <v>#REF!</v>
      </c>
      <c r="AQ41" s="47" t="e">
        <f>FINANCIALS!AQ42/((FINANCIALS!AQ15+FINANCIALS!#REF!)/2)</f>
        <v>#REF!</v>
      </c>
      <c r="AR41" s="47" t="e">
        <f>FINANCIALS!AR42/((FINANCIALS!AR15+FINANCIALS!#REF!)/2)</f>
        <v>#REF!</v>
      </c>
      <c r="AS41" s="47" t="e">
        <f>FINANCIALS!AS42/((FINANCIALS!AS15+FINANCIALS!#REF!)/2)</f>
        <v>#REF!</v>
      </c>
      <c r="AT41" s="47" t="e">
        <f>FINANCIALS!AT42/((FINANCIALS!AT15+FINANCIALS!#REF!)/2)</f>
        <v>#REF!</v>
      </c>
      <c r="AU41" s="47" t="e">
        <f>FINANCIALS!AU42/((FINANCIALS!AU15+FINANCIALS!#REF!)/2)</f>
        <v>#REF!</v>
      </c>
      <c r="AV41" s="47" t="e">
        <f>FINANCIALS!AV42/((FINANCIALS!AV15+FINANCIALS!#REF!)/2)</f>
        <v>#REF!</v>
      </c>
      <c r="AW41" s="47" t="e">
        <f>FINANCIALS!AW42/((FINANCIALS!AW15+FINANCIALS!#REF!)/2)</f>
        <v>#REF!</v>
      </c>
      <c r="AX41" s="47" t="e">
        <f>FINANCIALS!AX42/((FINANCIALS!AX15+FINANCIALS!#REF!)/2)</f>
        <v>#REF!</v>
      </c>
      <c r="AY41" s="47" t="e">
        <f>FINANCIALS!AY42/((FINANCIALS!AY15+FINANCIALS!#REF!)/2)</f>
        <v>#REF!</v>
      </c>
    </row>
    <row r="42" spans="1:58" ht="14.1" hidden="1">
      <c r="A42" s="5">
        <v>5.3</v>
      </c>
      <c r="B42" s="4" t="s">
        <v>224</v>
      </c>
      <c r="C42" s="4"/>
      <c r="D42" s="43"/>
      <c r="E42" s="42" t="e">
        <f>FINANCIALS!E43/((FINANCIALS!E8+FINANCIALS!#REF!)/2)</f>
        <v>#REF!</v>
      </c>
      <c r="F42" s="42" t="e">
        <f>FINANCIALS!F43/((FINANCIALS!F8+FINANCIALS!#REF!)/2)</f>
        <v>#REF!</v>
      </c>
      <c r="G42" s="42" t="e">
        <f>FINANCIALS!G43/((FINANCIALS!G8+FINANCIALS!#REF!)/2)</f>
        <v>#REF!</v>
      </c>
      <c r="H42" s="42" t="e">
        <f>FINANCIALS!H43/((FINANCIALS!H8+FINANCIALS!#REF!)/2)</f>
        <v>#REF!</v>
      </c>
      <c r="I42" s="42" t="e">
        <f>FINANCIALS!I43/((FINANCIALS!I8+FINANCIALS!#REF!)/2)</f>
        <v>#REF!</v>
      </c>
      <c r="J42" s="42" t="e">
        <f>FINANCIALS!J43/((FINANCIALS!J8+FINANCIALS!#REF!)/2)</f>
        <v>#REF!</v>
      </c>
      <c r="K42" s="42" t="e">
        <f>FINANCIALS!K43/((FINANCIALS!K8+FINANCIALS!#REF!)/2)</f>
        <v>#REF!</v>
      </c>
      <c r="L42" s="42" t="e">
        <f>FINANCIALS!L43/((FINANCIALS!L8+FINANCIALS!#REF!)/2)</f>
        <v>#REF!</v>
      </c>
      <c r="M42" s="42" t="e">
        <f>FINANCIALS!M43/((FINANCIALS!M8+FINANCIALS!#REF!)/2)</f>
        <v>#REF!</v>
      </c>
      <c r="N42" s="42" t="e">
        <f>FINANCIALS!N43/((FINANCIALS!N8+FINANCIALS!#REF!)/2)</f>
        <v>#REF!</v>
      </c>
      <c r="O42" s="42" t="e">
        <f>FINANCIALS!O43/((FINANCIALS!O8+FINANCIALS!#REF!)/2)</f>
        <v>#REF!</v>
      </c>
      <c r="P42" s="42" t="e">
        <f>FINANCIALS!P43/((FINANCIALS!P8+FINANCIALS!#REF!)/2)</f>
        <v>#REF!</v>
      </c>
      <c r="Q42" s="42" t="e">
        <f>FINANCIALS!Q43/((FINANCIALS!Q8+FINANCIALS!#REF!)/2)</f>
        <v>#REF!</v>
      </c>
      <c r="R42" s="42" t="e">
        <f>FINANCIALS!R43/((FINANCIALS!R8+FINANCIALS!#REF!)/2)</f>
        <v>#REF!</v>
      </c>
      <c r="S42" s="42" t="e">
        <f>FINANCIALS!S43/((FINANCIALS!S8+FINANCIALS!#REF!)/2)</f>
        <v>#REF!</v>
      </c>
      <c r="T42" s="42" t="e">
        <f>FINANCIALS!T43/((FINANCIALS!T8+FINANCIALS!#REF!)/2)</f>
        <v>#REF!</v>
      </c>
      <c r="U42" s="42" t="e">
        <f>FINANCIALS!U43/((FINANCIALS!U8+FINANCIALS!#REF!)/2)</f>
        <v>#REF!</v>
      </c>
      <c r="V42" s="42" t="e">
        <f>FINANCIALS!V43/((FINANCIALS!V8+FINANCIALS!#REF!)/2)</f>
        <v>#REF!</v>
      </c>
      <c r="W42" s="42" t="e">
        <f>FINANCIALS!W43/((FINANCIALS!W8+FINANCIALS!#REF!)/2)</f>
        <v>#REF!</v>
      </c>
      <c r="X42" s="42" t="e">
        <f>FINANCIALS!X43/((FINANCIALS!X8+FINANCIALS!#REF!)/2)</f>
        <v>#REF!</v>
      </c>
      <c r="Y42" s="42" t="e">
        <f>FINANCIALS!Y43/((FINANCIALS!Y8+FINANCIALS!#REF!)/2)</f>
        <v>#REF!</v>
      </c>
      <c r="Z42" s="42" t="e">
        <f>FINANCIALS!Z43/((FINANCIALS!Z8+FINANCIALS!#REF!)/2)</f>
        <v>#REF!</v>
      </c>
      <c r="AA42" s="42" t="e">
        <f>FINANCIALS!AA43/((FINANCIALS!AA8+FINANCIALS!#REF!)/2)</f>
        <v>#REF!</v>
      </c>
      <c r="AB42" s="42" t="e">
        <f>FINANCIALS!AB43/((FINANCIALS!AB8+FINANCIALS!#REF!)/2)</f>
        <v>#REF!</v>
      </c>
      <c r="AC42" s="42" t="e">
        <f>FINANCIALS!AC43/((FINANCIALS!AC8+FINANCIALS!#REF!)/2)</f>
        <v>#REF!</v>
      </c>
      <c r="AD42" s="42" t="e">
        <f>FINANCIALS!AD43/((FINANCIALS!AD8+FINANCIALS!#REF!)/2)</f>
        <v>#REF!</v>
      </c>
      <c r="AE42" s="42" t="e">
        <f>FINANCIALS!AE43/((FINANCIALS!AE8+FINANCIALS!#REF!)/2)</f>
        <v>#REF!</v>
      </c>
      <c r="AF42" s="42" t="e">
        <f>FINANCIALS!AF43/((FINANCIALS!AF8+FINANCIALS!#REF!)/2)</f>
        <v>#REF!</v>
      </c>
      <c r="AG42" s="42" t="e">
        <f>FINANCIALS!AG43/((FINANCIALS!AG8+FINANCIALS!#REF!)/2)</f>
        <v>#REF!</v>
      </c>
      <c r="AH42" s="42" t="e">
        <f>FINANCIALS!AH43/((FINANCIALS!AH8+FINANCIALS!#REF!)/2)</f>
        <v>#REF!</v>
      </c>
      <c r="AI42" s="42" t="e">
        <f>FINANCIALS!AI43/((FINANCIALS!AI8+FINANCIALS!#REF!)/2)</f>
        <v>#REF!</v>
      </c>
      <c r="AJ42" s="42" t="e">
        <f>FINANCIALS!AJ43/((FINANCIALS!AJ8+FINANCIALS!#REF!)/2)</f>
        <v>#REF!</v>
      </c>
      <c r="AK42" s="42" t="e">
        <f>FINANCIALS!AK43/((FINANCIALS!AK8+FINANCIALS!#REF!)/2)</f>
        <v>#REF!</v>
      </c>
      <c r="AL42" s="42" t="e">
        <f>FINANCIALS!AL43/((FINANCIALS!AL8+FINANCIALS!#REF!)/2)</f>
        <v>#REF!</v>
      </c>
      <c r="AM42" s="42" t="e">
        <f>FINANCIALS!AM43/((FINANCIALS!AM8+FINANCIALS!#REF!)/2)</f>
        <v>#REF!</v>
      </c>
      <c r="AN42" s="42" t="e">
        <f>FINANCIALS!AN43/((FINANCIALS!AN8+FINANCIALS!#REF!)/2)</f>
        <v>#REF!</v>
      </c>
      <c r="AO42" s="42" t="e">
        <f>FINANCIALS!AO43/((FINANCIALS!AO8+FINANCIALS!#REF!)/2)</f>
        <v>#REF!</v>
      </c>
      <c r="AP42" s="42" t="e">
        <f>FINANCIALS!AP43/((FINANCIALS!AP8+FINANCIALS!#REF!)/2)</f>
        <v>#REF!</v>
      </c>
      <c r="AQ42" s="42" t="e">
        <f>FINANCIALS!AQ43/((FINANCIALS!AQ8+FINANCIALS!#REF!)/2)</f>
        <v>#REF!</v>
      </c>
      <c r="AR42" s="42" t="e">
        <f>FINANCIALS!AR43/((FINANCIALS!AR8+FINANCIALS!#REF!)/2)</f>
        <v>#REF!</v>
      </c>
      <c r="AS42" s="42" t="e">
        <f>FINANCIALS!AS43/((FINANCIALS!AS8+FINANCIALS!#REF!)/2)</f>
        <v>#REF!</v>
      </c>
      <c r="AT42" s="42" t="e">
        <f>FINANCIALS!AT43/((FINANCIALS!AT8+FINANCIALS!#REF!)/2)</f>
        <v>#REF!</v>
      </c>
      <c r="AU42" s="42" t="e">
        <f>FINANCIALS!AU43/((FINANCIALS!AU8+FINANCIALS!#REF!)/2)</f>
        <v>#REF!</v>
      </c>
      <c r="AV42" s="42" t="e">
        <f>FINANCIALS!AV43/((FINANCIALS!AV8+FINANCIALS!#REF!)/2)</f>
        <v>#REF!</v>
      </c>
      <c r="AW42" s="42" t="e">
        <f>FINANCIALS!AW43/((FINANCIALS!AW8+FINANCIALS!#REF!)/2)</f>
        <v>#REF!</v>
      </c>
      <c r="AX42" s="42" t="e">
        <f>FINANCIALS!AX43/((FINANCIALS!AX8+FINANCIALS!#REF!)/2)</f>
        <v>#REF!</v>
      </c>
      <c r="AY42" s="42" t="e">
        <f>FINANCIALS!AY43/((FINANCIALS!AY8+FINANCIALS!#REF!)/2)</f>
        <v>#REF!</v>
      </c>
    </row>
    <row r="43" spans="1:58" ht="14.1" hidden="1">
      <c r="A43" s="5">
        <v>5.4</v>
      </c>
      <c r="B43" s="4" t="s">
        <v>225</v>
      </c>
      <c r="C43" s="4"/>
      <c r="D43" s="43"/>
      <c r="E43" s="42" t="e">
        <f>FINANCIALS!E44/((FINANCIALS!E4+FINANCIALS!#REF!)/2)</f>
        <v>#REF!</v>
      </c>
      <c r="F43" s="42" t="e">
        <f>FINANCIALS!F44/((FINANCIALS!F4+FINANCIALS!#REF!)/2)</f>
        <v>#REF!</v>
      </c>
      <c r="G43" s="42" t="e">
        <f>FINANCIALS!G44/((FINANCIALS!G4+FINANCIALS!#REF!)/2)</f>
        <v>#REF!</v>
      </c>
      <c r="H43" s="42" t="e">
        <f>FINANCIALS!H44/((FINANCIALS!H4+FINANCIALS!#REF!)/2)</f>
        <v>#REF!</v>
      </c>
      <c r="I43" s="42" t="e">
        <f>FINANCIALS!I44/((FINANCIALS!I4+FINANCIALS!#REF!)/2)</f>
        <v>#REF!</v>
      </c>
      <c r="J43" s="42" t="e">
        <f>FINANCIALS!J44/((FINANCIALS!J4+FINANCIALS!#REF!)/2)</f>
        <v>#REF!</v>
      </c>
      <c r="K43" s="42" t="e">
        <f>FINANCIALS!K44/((FINANCIALS!K4+FINANCIALS!#REF!)/2)</f>
        <v>#REF!</v>
      </c>
      <c r="L43" s="42" t="e">
        <f>FINANCIALS!L44/((FINANCIALS!L4+FINANCIALS!#REF!)/2)</f>
        <v>#REF!</v>
      </c>
      <c r="M43" s="42" t="e">
        <f>FINANCIALS!M44/((FINANCIALS!M4+FINANCIALS!#REF!)/2)</f>
        <v>#REF!</v>
      </c>
      <c r="N43" s="42" t="e">
        <f>FINANCIALS!N44/((FINANCIALS!N4+FINANCIALS!#REF!)/2)</f>
        <v>#REF!</v>
      </c>
      <c r="O43" s="42" t="e">
        <f>FINANCIALS!O44/((FINANCIALS!O4+FINANCIALS!#REF!)/2)</f>
        <v>#REF!</v>
      </c>
      <c r="P43" s="42" t="e">
        <f>FINANCIALS!P44/((FINANCIALS!P4+FINANCIALS!#REF!)/2)</f>
        <v>#REF!</v>
      </c>
      <c r="Q43" s="42" t="e">
        <f>FINANCIALS!Q44/((FINANCIALS!Q4+FINANCIALS!#REF!)/2)</f>
        <v>#REF!</v>
      </c>
      <c r="R43" s="42" t="e">
        <f>FINANCIALS!R44/((FINANCIALS!R4+FINANCIALS!#REF!)/2)</f>
        <v>#REF!</v>
      </c>
      <c r="S43" s="42" t="e">
        <f>FINANCIALS!S44/((FINANCIALS!S4+FINANCIALS!#REF!)/2)</f>
        <v>#REF!</v>
      </c>
      <c r="T43" s="42" t="e">
        <f>FINANCIALS!T44/((FINANCIALS!T4+FINANCIALS!#REF!)/2)</f>
        <v>#REF!</v>
      </c>
      <c r="U43" s="42" t="e">
        <f>FINANCIALS!U44/((FINANCIALS!U4+FINANCIALS!#REF!)/2)</f>
        <v>#REF!</v>
      </c>
      <c r="V43" s="42" t="e">
        <f>FINANCIALS!V44/((FINANCIALS!V4+FINANCIALS!#REF!)/2)</f>
        <v>#REF!</v>
      </c>
      <c r="W43" s="42" t="e">
        <f>FINANCIALS!W44/((FINANCIALS!W4+FINANCIALS!#REF!)/2)</f>
        <v>#REF!</v>
      </c>
      <c r="X43" s="42" t="e">
        <f>FINANCIALS!X44/((FINANCIALS!X4+FINANCIALS!#REF!)/2)</f>
        <v>#REF!</v>
      </c>
      <c r="Y43" s="42" t="e">
        <f>FINANCIALS!Y44/((FINANCIALS!Y4+FINANCIALS!#REF!)/2)</f>
        <v>#REF!</v>
      </c>
      <c r="Z43" s="42" t="e">
        <f>FINANCIALS!Z44/((FINANCIALS!Z4+FINANCIALS!#REF!)/2)</f>
        <v>#REF!</v>
      </c>
      <c r="AA43" s="42" t="e">
        <f>FINANCIALS!AA44/((FINANCIALS!AA4+FINANCIALS!#REF!)/2)</f>
        <v>#REF!</v>
      </c>
      <c r="AB43" s="42" t="e">
        <f>FINANCIALS!AB44/((FINANCIALS!AB4+FINANCIALS!#REF!)/2)</f>
        <v>#REF!</v>
      </c>
      <c r="AC43" s="42" t="e">
        <f>FINANCIALS!AC44/((FINANCIALS!AC4+FINANCIALS!#REF!)/2)</f>
        <v>#REF!</v>
      </c>
      <c r="AD43" s="42" t="e">
        <f>FINANCIALS!AD44/((FINANCIALS!AD4+FINANCIALS!#REF!)/2)</f>
        <v>#REF!</v>
      </c>
      <c r="AE43" s="42" t="e">
        <f>FINANCIALS!AE44/((FINANCIALS!AE4+FINANCIALS!#REF!)/2)</f>
        <v>#REF!</v>
      </c>
      <c r="AF43" s="42" t="e">
        <f>FINANCIALS!AF44/((FINANCIALS!AF4+FINANCIALS!#REF!)/2)</f>
        <v>#REF!</v>
      </c>
      <c r="AG43" s="42" t="e">
        <f>FINANCIALS!AG44/((FINANCIALS!AG4+FINANCIALS!#REF!)/2)</f>
        <v>#REF!</v>
      </c>
      <c r="AH43" s="42" t="e">
        <f>FINANCIALS!AH44/((FINANCIALS!AH4+FINANCIALS!#REF!)/2)</f>
        <v>#REF!</v>
      </c>
      <c r="AI43" s="42" t="e">
        <f>FINANCIALS!AI44/((FINANCIALS!AI4+FINANCIALS!#REF!)/2)</f>
        <v>#REF!</v>
      </c>
      <c r="AJ43" s="42" t="e">
        <f>FINANCIALS!AJ44/((FINANCIALS!AJ4+FINANCIALS!#REF!)/2)</f>
        <v>#REF!</v>
      </c>
      <c r="AK43" s="42" t="e">
        <f>FINANCIALS!AK44/((FINANCIALS!AK4+FINANCIALS!#REF!)/2)</f>
        <v>#REF!</v>
      </c>
      <c r="AL43" s="42" t="e">
        <f>FINANCIALS!AL44/((FINANCIALS!AL4+FINANCIALS!#REF!)/2)</f>
        <v>#REF!</v>
      </c>
      <c r="AM43" s="42" t="e">
        <f>FINANCIALS!AM44/((FINANCIALS!AM4+FINANCIALS!#REF!)/2)</f>
        <v>#REF!</v>
      </c>
      <c r="AN43" s="42" t="e">
        <f>FINANCIALS!AN44/((FINANCIALS!AN4+FINANCIALS!#REF!)/2)</f>
        <v>#REF!</v>
      </c>
      <c r="AO43" s="42" t="e">
        <f>FINANCIALS!AO44/((FINANCIALS!AO4+FINANCIALS!#REF!)/2)</f>
        <v>#REF!</v>
      </c>
      <c r="AP43" s="42" t="e">
        <f>FINANCIALS!AP44/((FINANCIALS!AP4+FINANCIALS!#REF!)/2)</f>
        <v>#REF!</v>
      </c>
      <c r="AQ43" s="42" t="e">
        <f>FINANCIALS!AQ44/((FINANCIALS!AQ4+FINANCIALS!#REF!)/2)</f>
        <v>#REF!</v>
      </c>
      <c r="AR43" s="42" t="e">
        <f>FINANCIALS!AR44/((FINANCIALS!AR4+FINANCIALS!#REF!)/2)</f>
        <v>#REF!</v>
      </c>
      <c r="AS43" s="42" t="e">
        <f>FINANCIALS!AS44/((FINANCIALS!AS4+FINANCIALS!#REF!)/2)</f>
        <v>#REF!</v>
      </c>
      <c r="AT43" s="42" t="e">
        <f>FINANCIALS!AT44/((FINANCIALS!AT4+FINANCIALS!#REF!)/2)</f>
        <v>#REF!</v>
      </c>
      <c r="AU43" s="42" t="e">
        <f>FINANCIALS!AU44/((FINANCIALS!AU4+FINANCIALS!#REF!)/2)</f>
        <v>#REF!</v>
      </c>
      <c r="AV43" s="42" t="e">
        <f>FINANCIALS!AV44/((FINANCIALS!AV4+FINANCIALS!#REF!)/2)</f>
        <v>#REF!</v>
      </c>
      <c r="AW43" s="42" t="e">
        <f>FINANCIALS!AW44/((FINANCIALS!AW4+FINANCIALS!#REF!)/2)</f>
        <v>#REF!</v>
      </c>
      <c r="AX43" s="42" t="e">
        <f>FINANCIALS!AX44/((FINANCIALS!AX4+FINANCIALS!#REF!)/2)</f>
        <v>#REF!</v>
      </c>
      <c r="AY43" s="42" t="e">
        <f>FINANCIALS!AY44/((FINANCIALS!AY4+FINANCIALS!#REF!)/2)</f>
        <v>#REF!</v>
      </c>
    </row>
    <row r="44" spans="1:58" ht="14.1" hidden="1">
      <c r="A44" s="5"/>
      <c r="B44" s="4" t="s">
        <v>226</v>
      </c>
      <c r="C44" s="4"/>
      <c r="D44" s="46"/>
      <c r="E44" s="47">
        <f>FINANCIALS!E44/FINANCIALS!E34</f>
        <v>0.4258283246821053</v>
      </c>
      <c r="F44" s="47">
        <f>FINANCIALS!F44/FINANCIALS!F34</f>
        <v>0.2936069212674719</v>
      </c>
      <c r="G44" s="47">
        <f>FINANCIALS!G44/FINANCIALS!G34</f>
        <v>0.31226233095706268</v>
      </c>
      <c r="H44" s="47">
        <f>FINANCIALS!H44/FINANCIALS!H34</f>
        <v>0.31467935089793947</v>
      </c>
      <c r="I44" s="47">
        <f>FINANCIALS!I44/FINANCIALS!I34</f>
        <v>0.37340678562811241</v>
      </c>
      <c r="J44" s="47">
        <f>FINANCIALS!J44/FINANCIALS!J34</f>
        <v>0.31318135117676021</v>
      </c>
      <c r="K44" s="47">
        <f>FINANCIALS!K44/FINANCIALS!K34</f>
        <v>0.41903883615580018</v>
      </c>
      <c r="L44" s="47">
        <f>FINANCIALS!L44/FINANCIALS!L34</f>
        <v>0.4230521273538157</v>
      </c>
      <c r="M44" s="47">
        <f>FINANCIALS!M44/FINANCIALS!M34</f>
        <v>0.44776608631559012</v>
      </c>
      <c r="N44" s="47">
        <f>FINANCIALS!N44/FINANCIALS!N34</f>
        <v>0.435857854275365</v>
      </c>
      <c r="O44" s="47">
        <f>FINANCIALS!O44/FINANCIALS!O34</f>
        <v>0.43514904207264132</v>
      </c>
      <c r="P44" s="47">
        <f>FINANCIALS!P44/FINANCIALS!P34</f>
        <v>0.42868483238172456</v>
      </c>
      <c r="Q44" s="47">
        <f>FINANCIALS!Q44/FINANCIALS!Q34</f>
        <v>0.40934517248469959</v>
      </c>
      <c r="R44" s="47">
        <f>FINANCIALS!R44/FINANCIALS!R34</f>
        <v>0.42086221929305351</v>
      </c>
      <c r="S44" s="47">
        <f>FINANCIALS!S44/FINANCIALS!S34</f>
        <v>0.42448644172537703</v>
      </c>
      <c r="T44" s="47">
        <f>FINANCIALS!T44/FINANCIALS!T34</f>
        <v>0.40666043173557997</v>
      </c>
      <c r="U44" s="47">
        <f>FINANCIALS!U44/FINANCIALS!U34</f>
        <v>0.37037937303690949</v>
      </c>
      <c r="V44" s="47">
        <f>FINANCIALS!V44/FINANCIALS!V34</f>
        <v>0.35407940923914999</v>
      </c>
      <c r="W44" s="47">
        <f>FINANCIALS!W44/FINANCIALS!W34</f>
        <v>0.30619510469594158</v>
      </c>
      <c r="X44" s="47">
        <f>FINANCIALS!X44/FINANCIALS!X34</f>
        <v>0.28930504587383388</v>
      </c>
      <c r="Y44" s="47">
        <f>FINANCIALS!Y44/FINANCIALS!Y34</f>
        <v>0.24401955789369842</v>
      </c>
      <c r="Z44" s="47">
        <f>FINANCIALS!Z44/FINANCIALS!Z34</f>
        <v>0.26932702673808917</v>
      </c>
      <c r="AA44" s="47">
        <f>FINANCIALS!AA44/FINANCIALS!AA34</f>
        <v>0.29015721318673782</v>
      </c>
      <c r="AB44" s="47">
        <f>FINANCIALS!AB44/FINANCIALS!AB34</f>
        <v>0.31167202067608102</v>
      </c>
      <c r="AC44" s="47">
        <f>FINANCIALS!AC44/FINANCIALS!AC34</f>
        <v>0.3170796975685653</v>
      </c>
      <c r="AD44" s="47">
        <f>FINANCIALS!AD44/FINANCIALS!AD34</f>
        <v>0.31168949917824096</v>
      </c>
      <c r="AE44" s="47">
        <f>FINANCIALS!AE44/FINANCIALS!AE34</f>
        <v>0.31925569927256192</v>
      </c>
      <c r="AF44" s="47">
        <f>FINANCIALS!AF44/FINANCIALS!AF34</f>
        <v>0.34197873151883429</v>
      </c>
      <c r="AG44" s="47">
        <f>FINANCIALS!AG44/FINANCIALS!AG34</f>
        <v>0.33996041286098344</v>
      </c>
      <c r="AH44" s="47">
        <f>FINANCIALS!AH44/FINANCIALS!AH34</f>
        <v>0.34994958198364379</v>
      </c>
      <c r="AI44" s="47">
        <f>FINANCIALS!AI44/FINANCIALS!AI34</f>
        <v>0.34682959386977269</v>
      </c>
      <c r="AJ44" s="47">
        <f>FINANCIALS!AJ44/FINANCIALS!AJ34</f>
        <v>0.33767434329001345</v>
      </c>
      <c r="AK44" s="47">
        <f>FINANCIALS!AK44/FINANCIALS!AK34</f>
        <v>0.33423891566779079</v>
      </c>
      <c r="AL44" s="47">
        <f>FINANCIALS!AL44/FINANCIALS!AL34</f>
        <v>0.29005012534787905</v>
      </c>
      <c r="AM44" s="47">
        <f>FINANCIALS!AM44/FINANCIALS!AM34</f>
        <v>0.3353431684738028</v>
      </c>
      <c r="AN44" s="47">
        <f>FINANCIALS!AN44/FINANCIALS!AN34</f>
        <v>0.34117666165828076</v>
      </c>
      <c r="AO44" s="47">
        <f>FINANCIALS!AO44/FINANCIALS!AO34</f>
        <v>0.39028875596952806</v>
      </c>
      <c r="AP44" s="47">
        <f>FINANCIALS!AP44/FINANCIALS!AP34</f>
        <v>0.38748079668502555</v>
      </c>
      <c r="AQ44" s="47">
        <f>FINANCIALS!AQ44/FINANCIALS!AQ34</f>
        <v>0.37089528902839436</v>
      </c>
      <c r="AR44" s="47">
        <f>FINANCIALS!AR44/FINANCIALS!AR34</f>
        <v>0.38184516755672732</v>
      </c>
      <c r="AS44" s="47">
        <f>FINANCIALS!AS44/FINANCIALS!AS34</f>
        <v>0.37320449162291985</v>
      </c>
      <c r="AT44" s="47">
        <f>FINANCIALS!AT44/FINANCIALS!AT34</f>
        <v>0.36778798414762764</v>
      </c>
      <c r="AU44" s="47">
        <f>FINANCIALS!AU44/FINANCIALS!AU34</f>
        <v>0.37350364604443798</v>
      </c>
      <c r="AV44" s="47">
        <f>FINANCIALS!AV44/FINANCIALS!AV34</f>
        <v>0.374779954108314</v>
      </c>
      <c r="AW44" s="47">
        <f>FINANCIALS!AW44/FINANCIALS!AW34</f>
        <v>0.39338375813348547</v>
      </c>
      <c r="AX44" s="47">
        <f>FINANCIALS!AX44/FINANCIALS!AX34</f>
        <v>0.40081737098017001</v>
      </c>
      <c r="AY44" s="47">
        <f>FINANCIALS!AY44/FINANCIALS!AY34</f>
        <v>0.34143876982628563</v>
      </c>
    </row>
    <row r="45" spans="1:58" ht="14.1" hidden="1">
      <c r="A45" s="5">
        <v>5.5</v>
      </c>
      <c r="B45" s="4" t="s">
        <v>227</v>
      </c>
      <c r="C45" s="4"/>
      <c r="D45" s="46"/>
      <c r="E45" s="47">
        <f>FINANCIALS!D35/FINANCIALS!D27</f>
        <v>0.13387141195348234</v>
      </c>
      <c r="F45" s="47">
        <f>FINANCIALS!E35/FINANCIALS!E27</f>
        <v>0.1639436095026662</v>
      </c>
      <c r="G45" s="47">
        <f>FINANCIALS!F35/FINANCIALS!F27</f>
        <v>0.16695562167814762</v>
      </c>
      <c r="H45" s="47" t="e">
        <f>FINANCIALS!G35/FINANCIALS!G27</f>
        <v>#REF!</v>
      </c>
      <c r="I45" s="47">
        <f>FINANCIALS!H35/FINANCIALS!H27</f>
        <v>0.16403864091575726</v>
      </c>
      <c r="J45" s="47">
        <f>FINANCIALS!I35/FINANCIALS!I27</f>
        <v>0.1675965236433391</v>
      </c>
      <c r="K45" s="47">
        <f>FINANCIALS!J35/FINANCIALS!J27</f>
        <v>0.16108704873769433</v>
      </c>
      <c r="L45" s="47">
        <f>FINANCIALS!K35/FINANCIALS!K27</f>
        <v>1.1436496276818673E-2</v>
      </c>
      <c r="M45" s="47">
        <f>FINANCIALS!L35/FINANCIALS!L27</f>
        <v>2.249182063489262E-2</v>
      </c>
      <c r="N45" s="47">
        <f>FINANCIALS!M35/FINANCIALS!M27</f>
        <v>3.3366314516269209E-2</v>
      </c>
      <c r="O45" s="47">
        <f>FINANCIALS!N35/FINANCIALS!N27</f>
        <v>4.4127551895022987E-2</v>
      </c>
      <c r="P45" s="47">
        <f>FINANCIALS!O35/FINANCIALS!O27</f>
        <v>5.3580610877821983E-2</v>
      </c>
      <c r="Q45" s="47">
        <f>FINANCIALS!P35/FINANCIALS!P27</f>
        <v>6.3511200407805515E-2</v>
      </c>
      <c r="R45" s="47">
        <f>FINANCIALS!Q35/FINANCIALS!Q27</f>
        <v>7.3375093656788279E-2</v>
      </c>
      <c r="S45" s="47">
        <f>FINANCIALS!R35/FINANCIALS!R27</f>
        <v>8.3630150102240633E-2</v>
      </c>
      <c r="T45" s="47">
        <f>FINANCIALS!S35/FINANCIALS!S27</f>
        <v>9.4128367876261637E-2</v>
      </c>
      <c r="U45" s="47">
        <f>FINANCIALS!T35/FINANCIALS!T27</f>
        <v>0.13910207661395224</v>
      </c>
      <c r="V45" s="47">
        <f>FINANCIALS!U35/FINANCIALS!U27</f>
        <v>0.13316155666203616</v>
      </c>
      <c r="W45" s="47">
        <f>FINANCIALS!V35/FINANCIALS!V27</f>
        <v>0.13787541156786684</v>
      </c>
      <c r="X45" s="47">
        <f>FINANCIALS!W35/FINANCIALS!W27</f>
        <v>0.14224998472479425</v>
      </c>
      <c r="Y45" s="47">
        <f>FINANCIALS!X35/FINANCIALS!X27</f>
        <v>0.14386400177712774</v>
      </c>
      <c r="Z45" s="47">
        <f>FINANCIALS!Y35/FINANCIALS!Y27</f>
        <v>0.14308776831082073</v>
      </c>
      <c r="AA45" s="47">
        <f>FINANCIALS!Z35/FINANCIALS!Z27</f>
        <v>1.2689685469862034E-2</v>
      </c>
      <c r="AB45" s="47">
        <f>FINANCIALS!AA35/FINANCIALS!AA27</f>
        <v>2.5031457361311522E-2</v>
      </c>
      <c r="AC45" s="47">
        <f>FINANCIALS!AB35/FINANCIALS!AB27</f>
        <v>3.7029500002127194E-2</v>
      </c>
      <c r="AD45" s="47">
        <f>FINANCIALS!AC35/FINANCIALS!AC27</f>
        <v>4.8920362088132323E-2</v>
      </c>
      <c r="AE45" s="47">
        <f>FINANCIALS!AD35/FINANCIALS!AD27</f>
        <v>6.0561161405372779E-2</v>
      </c>
      <c r="AF45" s="47">
        <f>FINANCIALS!AE35/FINANCIALS!AE27</f>
        <v>7.208938641522275E-2</v>
      </c>
      <c r="AG45" s="47">
        <f>FINANCIALS!AF35/FINANCIALS!AF27</f>
        <v>8.4375654377450093E-2</v>
      </c>
      <c r="AH45" s="47">
        <f>FINANCIALS!AG35/FINANCIALS!AG27</f>
        <v>9.65595855893642E-2</v>
      </c>
      <c r="AI45" s="47">
        <f>FINANCIALS!AH35/FINANCIALS!AH27</f>
        <v>0.10903916673192546</v>
      </c>
      <c r="AJ45" s="47">
        <f>FINANCIALS!AI35/FINANCIALS!AI27</f>
        <v>0.13069207147427667</v>
      </c>
      <c r="AK45" s="47">
        <f>FINANCIALS!AJ35/FINANCIALS!AJ27</f>
        <v>0.13807035073590057</v>
      </c>
      <c r="AL45" s="47" t="e">
        <f>FINANCIALS!AK35/FINANCIALS!AK27</f>
        <v>#DIV/0!</v>
      </c>
      <c r="AM45" s="47">
        <f>FINANCIALS!AL35/FINANCIALS!AL27</f>
        <v>0.15107737243321784</v>
      </c>
      <c r="AN45" s="47">
        <f>FINANCIALS!AM35/FINANCIALS!AM27</f>
        <v>1.2981075141441542E-2</v>
      </c>
      <c r="AO45" s="47">
        <f>FINANCIALS!AN35/FINANCIALS!AN27</f>
        <v>2.5537777916677898E-2</v>
      </c>
      <c r="AP45" s="47">
        <f>FINANCIALS!AO35/FINANCIALS!AO27</f>
        <v>3.7551869112072964E-2</v>
      </c>
      <c r="AQ45" s="47">
        <f>FINANCIALS!AP35/FINANCIALS!AP27</f>
        <v>4.9561608795761672E-2</v>
      </c>
      <c r="AR45" s="47">
        <f>FINANCIALS!AQ35/FINANCIALS!AQ27</f>
        <v>6.1312752283802785E-2</v>
      </c>
      <c r="AS45" s="47">
        <f>FINANCIALS!AR35/FINANCIALS!AR27</f>
        <v>7.3079029212087879E-2</v>
      </c>
      <c r="AT45" s="47">
        <f>FINANCIALS!AS35/FINANCIALS!AS27</f>
        <v>9.335467172300918E-2</v>
      </c>
      <c r="AU45" s="47">
        <f>FINANCIALS!AT35/FINANCIALS!AT27</f>
        <v>0.10435318983512187</v>
      </c>
      <c r="AV45" s="47">
        <f>FINANCIALS!AU35/FINANCIALS!AU27</f>
        <v>0.1150926984529102</v>
      </c>
      <c r="AW45" s="47">
        <f>FINANCIALS!AV35/FINANCIALS!AV27</f>
        <v>0.12706621598561313</v>
      </c>
      <c r="AX45" s="47">
        <f>FINANCIALS!AW35/FINANCIALS!AW27</f>
        <v>0.13719510491465906</v>
      </c>
      <c r="AY45" s="47">
        <f>FINANCIALS!AX35/FINANCIALS!AX27</f>
        <v>0.14652079705943166</v>
      </c>
    </row>
    <row r="46" spans="1:58" ht="14.1" hidden="1">
      <c r="A46" s="5">
        <v>5.6</v>
      </c>
      <c r="B46" s="4" t="s">
        <v>228</v>
      </c>
      <c r="C46" s="4"/>
      <c r="D46" s="46"/>
      <c r="E46" s="47">
        <f>FINANCIALS!D35/FINANCIALS!D28</f>
        <v>0.13387141195348234</v>
      </c>
      <c r="F46" s="47">
        <f>FINANCIALS!E35/FINANCIALS!E28</f>
        <v>0.15836788574762384</v>
      </c>
      <c r="G46" s="47">
        <f>FINANCIALS!F35/FINANCIALS!F28</f>
        <v>0.16081891535296752</v>
      </c>
      <c r="H46" s="47">
        <f>FINANCIALS!G35/FINANCIALS!G28</f>
        <v>0.16809351854651217</v>
      </c>
      <c r="I46" s="47">
        <f>FINANCIALS!H35/FINANCIALS!H28</f>
        <v>0.15823976123768546</v>
      </c>
      <c r="J46" s="47">
        <f>FINANCIALS!I35/FINANCIALS!I28</f>
        <v>0.15820061580751982</v>
      </c>
      <c r="K46" s="47">
        <f>FINANCIALS!J35/FINANCIALS!J28</f>
        <v>0.15027149178549246</v>
      </c>
      <c r="L46" s="47">
        <f>FINANCIALS!K35/FINANCIALS!K28</f>
        <v>1.0670428434037186E-2</v>
      </c>
      <c r="M46" s="47">
        <f>FINANCIALS!L35/FINANCIALS!L28</f>
        <v>2.0969783923222015E-2</v>
      </c>
      <c r="N46" s="47">
        <f>FINANCIALS!M35/FINANCIALS!M28</f>
        <v>3.1089411440507139E-2</v>
      </c>
      <c r="O46" s="47">
        <f>FINANCIALS!N35/FINANCIALS!N28</f>
        <v>4.1089046800335385E-2</v>
      </c>
      <c r="P46" s="47">
        <f>FINANCIALS!O35/FINANCIALS!O28</f>
        <v>4.9942921020419299E-2</v>
      </c>
      <c r="Q46" s="47">
        <f>FINANCIALS!P35/FINANCIALS!P28</f>
        <v>5.9194410585005297E-2</v>
      </c>
      <c r="R46" s="47">
        <f>FINANCIALS!Q35/FINANCIALS!Q28</f>
        <v>6.8379998202063433E-2</v>
      </c>
      <c r="S46" s="47">
        <f>FINANCIALS!R35/FINANCIALS!R28</f>
        <v>7.7899081174769305E-2</v>
      </c>
      <c r="T46" s="47">
        <f>FINANCIALS!S35/FINANCIALS!S28</f>
        <v>8.764355379695743E-2</v>
      </c>
      <c r="U46" s="47">
        <f>FINANCIALS!T35/FINANCIALS!T28</f>
        <v>0.12655955257711485</v>
      </c>
      <c r="V46" s="47">
        <f>FINANCIALS!U35/FINANCIALS!U28</f>
        <v>0.12242640455684581</v>
      </c>
      <c r="W46" s="47">
        <f>FINANCIALS!V35/FINANCIALS!V28</f>
        <v>0.12709132098775047</v>
      </c>
      <c r="X46" s="47">
        <f>FINANCIALS!W35/FINANCIALS!W28</f>
        <v>0.13112373163807983</v>
      </c>
      <c r="Y46" s="47">
        <f>FINANCIALS!X35/FINANCIALS!X28</f>
        <v>0.12588481344990685</v>
      </c>
      <c r="Z46" s="47">
        <f>FINANCIALS!Y35/FINANCIALS!Y28</f>
        <v>0.12520558858705613</v>
      </c>
      <c r="AA46" s="47">
        <f>FINANCIALS!Z35/FINANCIALS!Z28</f>
        <v>1.1104646049243376E-2</v>
      </c>
      <c r="AB46" s="47">
        <f>FINANCIALS!AA35/FINANCIALS!AA28</f>
        <v>2.1917299647309318E-2</v>
      </c>
      <c r="AC46" s="47">
        <f>FINANCIALS!AB35/FINANCIALS!AB28</f>
        <v>3.2458895066560495E-2</v>
      </c>
      <c r="AD46" s="47">
        <f>FINANCIALS!AC35/FINANCIALS!AC28</f>
        <v>4.290818586204604E-2</v>
      </c>
      <c r="AE46" s="47">
        <f>FINANCIALS!AD35/FINANCIALS!AD28</f>
        <v>5.3170748777543159E-2</v>
      </c>
      <c r="AF46" s="47">
        <f>FINANCIALS!AE35/FINANCIALS!AE28</f>
        <v>6.3340907701744581E-2</v>
      </c>
      <c r="AG46" s="47">
        <f>FINANCIALS!AF35/FINANCIALS!AF28</f>
        <v>7.4101627771892914E-2</v>
      </c>
      <c r="AH46" s="47">
        <f>FINANCIALS!AG35/FINANCIALS!AG28</f>
        <v>8.4773218295086814E-2</v>
      </c>
      <c r="AI46" s="47">
        <f>FINANCIALS!AH35/FINANCIALS!AH28</f>
        <v>9.5661087487217342E-2</v>
      </c>
      <c r="AJ46" s="47">
        <f>FINANCIALS!AI35/FINANCIALS!AI28</f>
        <v>0.11350658775861451</v>
      </c>
      <c r="AK46" s="47">
        <f>FINANCIALS!AJ35/FINANCIALS!AJ28</f>
        <v>0.12047110905165222</v>
      </c>
      <c r="AL46" s="47" t="e">
        <f>FINANCIALS!AK35/FINANCIALS!AK28</f>
        <v>#DIV/0!</v>
      </c>
      <c r="AM46" s="47">
        <f>FINANCIALS!AL35/FINANCIALS!AL28</f>
        <v>0.13400582929896654</v>
      </c>
      <c r="AN46" s="47">
        <f>FINANCIALS!AM35/FINANCIALS!AM28</f>
        <v>1.1491168603027874E-2</v>
      </c>
      <c r="AO46" s="47">
        <f>FINANCIALS!AN35/FINANCIALS!AN28</f>
        <v>2.2601758266348169E-2</v>
      </c>
      <c r="AP46" s="47">
        <f>FINANCIALS!AO35/FINANCIALS!AO28</f>
        <v>3.3410602405914758E-2</v>
      </c>
      <c r="AQ46" s="47">
        <f>FINANCIALS!AP35/FINANCIALS!AP28</f>
        <v>4.4170316293342622E-2</v>
      </c>
      <c r="AR46" s="47">
        <f>FINANCIALS!AQ35/FINANCIALS!AQ28</f>
        <v>5.4705478518578349E-2</v>
      </c>
      <c r="AS46" s="47">
        <f>FINANCIALS!AR35/FINANCIALS!AR28</f>
        <v>6.5320313026837135E-2</v>
      </c>
      <c r="AT46" s="47">
        <f>FINANCIALS!AS35/FINANCIALS!AS28</f>
        <v>8.189077599489851E-2</v>
      </c>
      <c r="AU46" s="47">
        <f>FINANCIALS!AT35/FINANCIALS!AT28</f>
        <v>9.1365313396684147E-2</v>
      </c>
      <c r="AV46" s="47">
        <f>FINANCIALS!AU35/FINANCIALS!AU28</f>
        <v>0.10094092467208468</v>
      </c>
      <c r="AW46" s="47">
        <f>FINANCIALS!AV35/FINANCIALS!AV28</f>
        <v>0.11113000554658242</v>
      </c>
      <c r="AX46" s="47">
        <f>FINANCIALS!AW35/FINANCIALS!AW28</f>
        <v>0.12028759660765741</v>
      </c>
      <c r="AY46" s="47">
        <f>FINANCIALS!AX35/FINANCIALS!AX28</f>
        <v>0.12947950635094091</v>
      </c>
    </row>
    <row r="47" spans="1:58" ht="14.1" hidden="1">
      <c r="A47" s="5"/>
      <c r="B47" s="4"/>
      <c r="C47" s="4"/>
      <c r="D47" s="46"/>
      <c r="E47" s="47"/>
      <c r="F47" s="47"/>
      <c r="G47" s="47"/>
      <c r="H47" s="64"/>
      <c r="I47" s="64"/>
      <c r="J47" s="64"/>
      <c r="K47" s="64"/>
      <c r="L47" s="64"/>
      <c r="M47" s="64"/>
      <c r="N47" s="64"/>
      <c r="O47" s="64"/>
      <c r="P47" s="64"/>
      <c r="Q47" s="64"/>
      <c r="R47" s="64"/>
      <c r="S47" s="64"/>
      <c r="T47" s="64"/>
      <c r="U47" s="64"/>
      <c r="V47" s="64"/>
      <c r="W47" s="64"/>
      <c r="X47" s="64"/>
      <c r="Y47" s="64"/>
      <c r="Z47" s="64"/>
      <c r="AA47" s="64"/>
      <c r="AB47" s="64"/>
      <c r="AC47" s="64"/>
      <c r="AD47" s="64"/>
      <c r="AE47" s="64"/>
      <c r="AF47" s="64"/>
      <c r="AG47" s="64"/>
      <c r="AH47" s="64"/>
      <c r="AI47" s="64"/>
      <c r="AJ47" s="64"/>
      <c r="AK47" s="64"/>
      <c r="AL47" s="64"/>
      <c r="AM47" s="64"/>
      <c r="AN47" s="64"/>
      <c r="AO47" s="64"/>
      <c r="AP47" s="64"/>
      <c r="AQ47" s="64"/>
      <c r="AR47" s="64"/>
      <c r="AS47" s="64"/>
      <c r="AT47" s="64"/>
      <c r="AU47" s="64"/>
      <c r="AV47" s="64"/>
      <c r="AW47" s="64"/>
      <c r="AX47" s="64"/>
      <c r="AY47" s="64"/>
    </row>
    <row r="48" spans="1:58" ht="14.1" hidden="1">
      <c r="A48" s="5">
        <v>5.7</v>
      </c>
      <c r="B48" s="3" t="s">
        <v>229</v>
      </c>
      <c r="C48" s="4"/>
      <c r="D48" s="46"/>
      <c r="E48" s="47" t="e">
        <f>FINANCIALS!E29/((FINANCIALS!E28+FINANCIALS!#REF!)/2)</f>
        <v>#REF!</v>
      </c>
      <c r="F48" s="47" t="e">
        <f>FINANCIALS!F29/((FINANCIALS!F28+FINANCIALS!#REF!)/2)</f>
        <v>#REF!</v>
      </c>
      <c r="G48" s="47" t="e">
        <f>FINANCIALS!G29/((FINANCIALS!G28+FINANCIALS!#REF!)/2)</f>
        <v>#REF!</v>
      </c>
      <c r="H48" s="47" t="e">
        <f>FINANCIALS!H29/((FINANCIALS!H28+FINANCIALS!#REF!)/2)</f>
        <v>#REF!</v>
      </c>
      <c r="I48" s="47" t="e">
        <f>FINANCIALS!I29/((FINANCIALS!I28+FINANCIALS!#REF!)/2)</f>
        <v>#REF!</v>
      </c>
      <c r="J48" s="47" t="e">
        <f>FINANCIALS!J29/((FINANCIALS!J28+FINANCIALS!#REF!)/2)</f>
        <v>#REF!</v>
      </c>
      <c r="K48" s="47" t="e">
        <f>FINANCIALS!K29/((FINANCIALS!K28+FINANCIALS!#REF!)/2)</f>
        <v>#REF!</v>
      </c>
      <c r="L48" s="47" t="e">
        <f>FINANCIALS!L29/((FINANCIALS!L28+FINANCIALS!#REF!)/2)</f>
        <v>#REF!</v>
      </c>
      <c r="M48" s="47" t="e">
        <f>FINANCIALS!M29/((FINANCIALS!M28+FINANCIALS!#REF!)/2)</f>
        <v>#REF!</v>
      </c>
      <c r="N48" s="47" t="e">
        <f>FINANCIALS!N29/((FINANCIALS!N28+FINANCIALS!#REF!)/2)</f>
        <v>#REF!</v>
      </c>
      <c r="O48" s="47" t="e">
        <f>FINANCIALS!O29/((FINANCIALS!O28+FINANCIALS!#REF!)/2)</f>
        <v>#REF!</v>
      </c>
      <c r="P48" s="47" t="e">
        <f>FINANCIALS!P29/((FINANCIALS!P28+FINANCIALS!#REF!)/2)</f>
        <v>#REF!</v>
      </c>
      <c r="Q48" s="47" t="e">
        <f>FINANCIALS!Q29/((FINANCIALS!Q28+FINANCIALS!#REF!)/2)</f>
        <v>#REF!</v>
      </c>
      <c r="R48" s="47" t="e">
        <f>FINANCIALS!R29/((FINANCIALS!R28+FINANCIALS!#REF!)/2)</f>
        <v>#REF!</v>
      </c>
      <c r="S48" s="47" t="e">
        <f>FINANCIALS!S29/((FINANCIALS!S28+FINANCIALS!#REF!)/2)</f>
        <v>#REF!</v>
      </c>
      <c r="T48" s="47" t="e">
        <f>FINANCIALS!T29/((FINANCIALS!T28+FINANCIALS!#REF!)/2)</f>
        <v>#REF!</v>
      </c>
      <c r="U48" s="47" t="e">
        <f>FINANCIALS!U29/((FINANCIALS!U28+FINANCIALS!#REF!)/2)</f>
        <v>#REF!</v>
      </c>
      <c r="V48" s="47" t="e">
        <f>FINANCIALS!V29/((FINANCIALS!V28+FINANCIALS!#REF!)/2)</f>
        <v>#REF!</v>
      </c>
      <c r="W48" s="47" t="e">
        <f>FINANCIALS!W29/((FINANCIALS!W28+FINANCIALS!#REF!)/2)</f>
        <v>#REF!</v>
      </c>
      <c r="X48" s="47" t="e">
        <f>FINANCIALS!X29/((FINANCIALS!X28+FINANCIALS!#REF!)/2)</f>
        <v>#REF!</v>
      </c>
      <c r="Y48" s="47" t="e">
        <f>FINANCIALS!Y29/((FINANCIALS!Y28+FINANCIALS!#REF!)/2)</f>
        <v>#REF!</v>
      </c>
      <c r="Z48" s="47" t="e">
        <f>FINANCIALS!Z29/((FINANCIALS!Z28+FINANCIALS!#REF!)/2)</f>
        <v>#REF!</v>
      </c>
      <c r="AA48" s="47" t="e">
        <f>FINANCIALS!AA29/((FINANCIALS!AA28+FINANCIALS!#REF!)/2)</f>
        <v>#REF!</v>
      </c>
      <c r="AB48" s="47" t="e">
        <f>FINANCIALS!AB29/((FINANCIALS!AB28+FINANCIALS!#REF!)/2)</f>
        <v>#REF!</v>
      </c>
      <c r="AC48" s="47" t="e">
        <f>FINANCIALS!AC29/((FINANCIALS!AC28+FINANCIALS!#REF!)/2)</f>
        <v>#REF!</v>
      </c>
      <c r="AD48" s="47" t="e">
        <f>FINANCIALS!AD29/((FINANCIALS!AD28+FINANCIALS!#REF!)/2)</f>
        <v>#REF!</v>
      </c>
      <c r="AE48" s="47" t="e">
        <f>FINANCIALS!AE29/((FINANCIALS!AE28+FINANCIALS!#REF!)/2)</f>
        <v>#REF!</v>
      </c>
      <c r="AF48" s="47" t="e">
        <f>FINANCIALS!AF29/((FINANCIALS!AF28+FINANCIALS!#REF!)/2)</f>
        <v>#REF!</v>
      </c>
      <c r="AG48" s="47" t="e">
        <f>FINANCIALS!AG29/((FINANCIALS!AG28+FINANCIALS!#REF!)/2)</f>
        <v>#REF!</v>
      </c>
      <c r="AH48" s="47" t="e">
        <f>FINANCIALS!AH29/((FINANCIALS!AH28+FINANCIALS!#REF!)/2)</f>
        <v>#REF!</v>
      </c>
      <c r="AI48" s="47" t="e">
        <f>FINANCIALS!AI29/((FINANCIALS!AI28+FINANCIALS!#REF!)/2)</f>
        <v>#REF!</v>
      </c>
      <c r="AJ48" s="47" t="e">
        <f>FINANCIALS!AJ29/((FINANCIALS!AJ28+FINANCIALS!#REF!)/2)</f>
        <v>#REF!</v>
      </c>
      <c r="AK48" s="47" t="e">
        <f>FINANCIALS!AK29/((FINANCIALS!AK28+FINANCIALS!#REF!)/2)</f>
        <v>#REF!</v>
      </c>
      <c r="AL48" s="47" t="e">
        <f>FINANCIALS!AL29/((FINANCIALS!AL28+FINANCIALS!#REF!)/2)</f>
        <v>#REF!</v>
      </c>
      <c r="AM48" s="47" t="e">
        <f>FINANCIALS!AM29/((FINANCIALS!AM28+FINANCIALS!#REF!)/2)</f>
        <v>#REF!</v>
      </c>
      <c r="AN48" s="47" t="e">
        <f>FINANCIALS!AN29/((FINANCIALS!AN28+FINANCIALS!#REF!)/2)</f>
        <v>#REF!</v>
      </c>
      <c r="AO48" s="47" t="e">
        <f>FINANCIALS!AO29/((FINANCIALS!AO28+FINANCIALS!#REF!)/2)</f>
        <v>#REF!</v>
      </c>
      <c r="AP48" s="47" t="e">
        <f>FINANCIALS!AP29/((FINANCIALS!AP28+FINANCIALS!#REF!)/2)</f>
        <v>#REF!</v>
      </c>
      <c r="AQ48" s="47" t="e">
        <f>FINANCIALS!AQ29/((FINANCIALS!AQ28+FINANCIALS!#REF!)/2)</f>
        <v>#REF!</v>
      </c>
      <c r="AR48" s="47" t="e">
        <f>FINANCIALS!AR29/((FINANCIALS!AR28+FINANCIALS!#REF!)/2)</f>
        <v>#REF!</v>
      </c>
      <c r="AS48" s="47" t="e">
        <f>FINANCIALS!AS29/((FINANCIALS!AS28+FINANCIALS!#REF!)/2)</f>
        <v>#REF!</v>
      </c>
      <c r="AT48" s="47" t="e">
        <f>FINANCIALS!AT29/((FINANCIALS!AT28+FINANCIALS!#REF!)/2)</f>
        <v>#REF!</v>
      </c>
      <c r="AU48" s="47" t="e">
        <f>FINANCIALS!AU29/((FINANCIALS!AU28+FINANCIALS!#REF!)/2)</f>
        <v>#REF!</v>
      </c>
      <c r="AV48" s="47" t="e">
        <f>FINANCIALS!AV29/((FINANCIALS!AV28+FINANCIALS!#REF!)/2)</f>
        <v>#REF!</v>
      </c>
      <c r="AW48" s="47" t="e">
        <f>FINANCIALS!AW29/((FINANCIALS!AW28+FINANCIALS!#REF!)/2)</f>
        <v>#REF!</v>
      </c>
      <c r="AX48" s="47" t="e">
        <f>FINANCIALS!AX29/((FINANCIALS!AX28+FINANCIALS!#REF!)/2)</f>
        <v>#REF!</v>
      </c>
      <c r="AY48" s="47" t="e">
        <f>FINANCIALS!AY29/((FINANCIALS!AY28+FINANCIALS!#REF!)/2)</f>
        <v>#REF!</v>
      </c>
    </row>
    <row r="49" spans="4:7" hidden="1">
      <c r="D49" s="48"/>
      <c r="E49" s="48"/>
      <c r="F49" s="48"/>
      <c r="G49" s="48"/>
    </row>
    <row r="50" spans="4:7" hidden="1"/>
  </sheetData>
  <mergeCells count="2">
    <mergeCell ref="B1:G1"/>
    <mergeCell ref="E2:G2"/>
  </mergeCells>
  <phoneticPr fontId="19" type="noConversion"/>
  <pageMargins left="0.7" right="0.7" top="0.75" bottom="0.75" header="0.3" footer="0.3"/>
  <pageSetup scale="61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65"/>
  <sheetViews>
    <sheetView topLeftCell="B1" zoomScaleNormal="93" zoomScaleSheetLayoutView="100" workbookViewId="0">
      <pane xSplit="3" topLeftCell="U1" activePane="topRight" state="frozen"/>
      <selection pane="topRight" activeCell="AD14" sqref="AD14"/>
      <selection activeCell="B1" sqref="B1"/>
    </sheetView>
  </sheetViews>
  <sheetFormatPr defaultRowHeight="14.45"/>
  <cols>
    <col min="1" max="1" width="5.28515625" customWidth="1"/>
    <col min="2" max="2" width="9.28515625" style="57" customWidth="1"/>
    <col min="3" max="3" width="19.7109375" style="57" customWidth="1"/>
    <col min="4" max="4" width="7.140625" customWidth="1"/>
    <col min="5" max="5" width="14.140625" style="50" bestFit="1" customWidth="1"/>
    <col min="6" max="6" width="15.42578125" style="50" hidden="1" customWidth="1"/>
    <col min="7" max="7" width="14.140625" style="50" hidden="1" customWidth="1"/>
    <col min="8" max="8" width="12.28515625" customWidth="1"/>
    <col min="9" max="9" width="16.5703125" customWidth="1"/>
    <col min="10" max="10" width="13.28515625" customWidth="1"/>
    <col min="11" max="22" width="13.42578125" bestFit="1" customWidth="1"/>
    <col min="23" max="25" width="13.42578125" customWidth="1"/>
  </cols>
  <sheetData>
    <row r="1" spans="1:26" ht="18.600000000000001">
      <c r="B1" s="434" t="s">
        <v>230</v>
      </c>
      <c r="C1" s="434"/>
      <c r="D1" s="340"/>
      <c r="E1" s="49"/>
    </row>
    <row r="2" spans="1:26" ht="15" thickBot="1"/>
    <row r="3" spans="1:26">
      <c r="B3" s="139"/>
      <c r="C3" s="107"/>
      <c r="D3" s="97"/>
      <c r="E3" s="98" t="s">
        <v>231</v>
      </c>
      <c r="F3" s="98" t="s">
        <v>6</v>
      </c>
      <c r="G3" s="98" t="s">
        <v>232</v>
      </c>
      <c r="H3" s="98" t="s">
        <v>233</v>
      </c>
      <c r="I3" s="99" t="s">
        <v>9</v>
      </c>
      <c r="J3" s="108" t="s">
        <v>10</v>
      </c>
      <c r="K3" s="137" t="s">
        <v>11</v>
      </c>
      <c r="L3" s="137">
        <v>42736</v>
      </c>
      <c r="M3" s="137">
        <v>42767</v>
      </c>
      <c r="N3" s="137">
        <v>42795</v>
      </c>
      <c r="O3" s="137">
        <v>42826</v>
      </c>
      <c r="P3" s="137">
        <v>42856</v>
      </c>
      <c r="Q3" s="137">
        <v>42887</v>
      </c>
      <c r="R3" s="137">
        <v>42917</v>
      </c>
      <c r="S3" s="137">
        <v>42948</v>
      </c>
      <c r="T3" s="137">
        <v>42979</v>
      </c>
      <c r="U3" s="137">
        <v>43009</v>
      </c>
      <c r="V3" s="137">
        <v>43040</v>
      </c>
      <c r="W3" s="137">
        <v>43070</v>
      </c>
      <c r="X3" s="137" t="s">
        <v>134</v>
      </c>
      <c r="Y3" s="137" t="s">
        <v>234</v>
      </c>
      <c r="Z3" s="137" t="s">
        <v>235</v>
      </c>
    </row>
    <row r="4" spans="1:26" ht="15.6">
      <c r="B4" s="140"/>
      <c r="C4" s="141"/>
      <c r="D4" s="1"/>
      <c r="E4" s="95"/>
      <c r="F4" s="95"/>
      <c r="G4" s="95"/>
      <c r="H4" s="95"/>
      <c r="I4" s="95"/>
      <c r="J4" s="109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</row>
    <row r="5" spans="1:26" ht="15">
      <c r="B5" s="435" t="s">
        <v>236</v>
      </c>
      <c r="C5" s="142" t="s">
        <v>142</v>
      </c>
      <c r="D5" s="59" t="s">
        <v>237</v>
      </c>
      <c r="E5" s="55">
        <f>FINANCIALS!D11</f>
        <v>188947973</v>
      </c>
      <c r="F5" s="55">
        <f>FINANCIALS!E11</f>
        <v>239362202</v>
      </c>
      <c r="G5" s="55">
        <f>FINANCIALS!F11</f>
        <v>221733455</v>
      </c>
      <c r="H5" s="55">
        <f>FINANCIALS!G11</f>
        <v>317987309</v>
      </c>
      <c r="I5" s="55">
        <f>FINANCIALS!H11</f>
        <v>400606236</v>
      </c>
      <c r="J5" s="101">
        <f>FINANCIALS!I11</f>
        <v>482819469</v>
      </c>
      <c r="K5" s="101">
        <f>FINANCIALS!J11</f>
        <v>544401880</v>
      </c>
      <c r="L5" s="101">
        <f>FINANCIALS!K11</f>
        <v>561529460.48000002</v>
      </c>
      <c r="M5" s="101">
        <f>FINANCIALS!L11</f>
        <v>569840246.13999999</v>
      </c>
      <c r="N5" s="101">
        <f>FINANCIALS!M11</f>
        <v>571615109.89999998</v>
      </c>
      <c r="O5" s="101">
        <f>FINANCIALS!N11</f>
        <v>569819537.31999993</v>
      </c>
      <c r="P5" s="101">
        <f>FINANCIALS!O11</f>
        <v>575237295.16999996</v>
      </c>
      <c r="Q5" s="101">
        <f>FINANCIALS!P11</f>
        <v>579274663.66999996</v>
      </c>
      <c r="R5" s="101">
        <f>FINANCIALS!Q11</f>
        <v>598760496.5999999</v>
      </c>
      <c r="S5" s="101">
        <f>FINANCIALS!R11</f>
        <v>601523577.24000001</v>
      </c>
      <c r="T5" s="101">
        <f>FINANCIALS!S11</f>
        <v>605410065.64999998</v>
      </c>
      <c r="U5" s="101">
        <f>FINANCIALS!T11</f>
        <v>621932482.61000001</v>
      </c>
      <c r="V5" s="101">
        <f>FINANCIALS!U11</f>
        <v>687011721.46000004</v>
      </c>
      <c r="W5" s="101">
        <f>FINANCIALS!V11</f>
        <v>703842974.25</v>
      </c>
      <c r="X5" s="101">
        <f>FINANCIALS!W11</f>
        <v>703842973</v>
      </c>
      <c r="Y5" s="101">
        <f>FINANCIALS!Y11</f>
        <v>1096288715</v>
      </c>
    </row>
    <row r="6" spans="1:26" ht="15">
      <c r="B6" s="436"/>
      <c r="C6" s="143" t="s">
        <v>238</v>
      </c>
      <c r="D6" s="59" t="s">
        <v>239</v>
      </c>
      <c r="E6" s="26">
        <f>FINANCIALS!D11/FINANCIALS!D4</f>
        <v>0.21303049363149415</v>
      </c>
      <c r="F6" s="26">
        <f>FINANCIALS!E11/FINANCIALS!E4</f>
        <v>0.201951399884257</v>
      </c>
      <c r="G6" s="26">
        <f>FINANCIALS!F11/FINANCIALS!F4</f>
        <v>0.1794946208838947</v>
      </c>
      <c r="H6" s="26">
        <f>FINANCIALS!G11/FINANCIALS!G4</f>
        <v>0.20382420113809799</v>
      </c>
      <c r="I6" s="26">
        <f>FINANCIALS!H11/FINANCIALS!H4</f>
        <v>0.23574760615082058</v>
      </c>
      <c r="J6" s="102">
        <f>FINANCIALS!I11/FINANCIALS!I4</f>
        <v>0.2419361649739519</v>
      </c>
      <c r="K6" s="102">
        <f>FINANCIALS!J11/FINANCIALS!J4</f>
        <v>0.2253945102840991</v>
      </c>
      <c r="L6" s="102">
        <f>FINANCIALS!K11/FINANCIALS!K4</f>
        <v>0.23455353368707671</v>
      </c>
      <c r="M6" s="102">
        <f>FINANCIALS!L11/FINANCIALS!L4</f>
        <v>0.24476467163690099</v>
      </c>
      <c r="N6" s="102">
        <f>FINANCIALS!M11/FINANCIALS!M4</f>
        <v>0.24905133194241147</v>
      </c>
      <c r="O6" s="102">
        <f>FINANCIALS!N11/FINANCIALS!N4</f>
        <v>0.2468712156035425</v>
      </c>
      <c r="P6" s="102">
        <f>FINANCIALS!O11/FINANCIALS!O4</f>
        <v>0.24794177775119663</v>
      </c>
      <c r="Q6" s="102">
        <f>FINANCIALS!P11/FINANCIALS!P4</f>
        <v>0.24686975709550871</v>
      </c>
      <c r="R6" s="102">
        <f>FINANCIALS!Q11/FINANCIALS!Q4</f>
        <v>0.25168083745976189</v>
      </c>
      <c r="S6" s="102">
        <f>FINANCIALS!R11/FINANCIALS!R4</f>
        <v>0.25544897987587289</v>
      </c>
      <c r="T6" s="102">
        <f>FINANCIALS!S11/FINANCIALS!S4</f>
        <v>0.25189789941114898</v>
      </c>
      <c r="U6" s="102">
        <f>FINANCIALS!T11/FINANCIALS!T4</f>
        <v>0.20580143042545687</v>
      </c>
      <c r="V6" s="102">
        <f>FINANCIALS!U11/FINANCIALS!U4</f>
        <v>0.23509602294497176</v>
      </c>
      <c r="W6" s="102">
        <f>FINANCIALS!V11/FINANCIALS!V4</f>
        <v>0.24418006715443422</v>
      </c>
      <c r="X6" s="102">
        <f>FINANCIALS!W11/FINANCIALS!W4</f>
        <v>0.24418006672670894</v>
      </c>
      <c r="Y6" s="102">
        <f>FINANCIALS!Y11/FINANCIALS!Y4</f>
        <v>0.26169753447953858</v>
      </c>
    </row>
    <row r="7" spans="1:26" ht="15">
      <c r="B7" s="436"/>
      <c r="C7" s="143" t="s">
        <v>240</v>
      </c>
      <c r="D7" s="59" t="s">
        <v>241</v>
      </c>
      <c r="E7" s="26">
        <f>FINANCIALS!D11/FINANCIALS!D5</f>
        <v>0.33787195214816357</v>
      </c>
      <c r="F7" s="26">
        <f>FINANCIALS!E11/FINANCIALS!E5</f>
        <v>0.32111056666926646</v>
      </c>
      <c r="G7" s="26">
        <f>FINANCIALS!F11/FINANCIALS!F5</f>
        <v>0.25146889832292918</v>
      </c>
      <c r="H7" s="26">
        <f>FINANCIALS!G11/FINANCIALS!G5</f>
        <v>0.29604805065032408</v>
      </c>
      <c r="I7" s="26">
        <f>FINANCIALS!H11/FINANCIALS!H5</f>
        <v>0.36488317585780161</v>
      </c>
      <c r="J7" s="102">
        <f>FINANCIALS!I11/FINANCIALS!I5</f>
        <v>0.3709253774244578</v>
      </c>
      <c r="K7" s="102">
        <f>FINANCIALS!J11/FINANCIALS!J5</f>
        <v>0.34860590485916998</v>
      </c>
      <c r="L7" s="102">
        <f>FINANCIALS!K11/FINANCIALS!K5</f>
        <v>0.37112866237077591</v>
      </c>
      <c r="M7" s="102">
        <f>FINANCIALS!L11/FINANCIALS!L5</f>
        <v>0.37425613785170081</v>
      </c>
      <c r="N7" s="102">
        <f>FINANCIALS!M11/FINANCIALS!M5</f>
        <v>0.38493127104669489</v>
      </c>
      <c r="O7" s="102">
        <f>FINANCIALS!N11/FINANCIALS!N5</f>
        <v>0.38069003348364155</v>
      </c>
      <c r="P7" s="102">
        <f>FINANCIALS!O11/FINANCIALS!O5</f>
        <v>0.38584487911248322</v>
      </c>
      <c r="Q7" s="102">
        <f>FINANCIALS!P11/FINANCIALS!P5</f>
        <v>0.38824567684555866</v>
      </c>
      <c r="R7" s="102">
        <f>FINANCIALS!Q11/FINANCIALS!Q5</f>
        <v>0.39989328289843068</v>
      </c>
      <c r="S7" s="102">
        <f>FINANCIALS!R11/FINANCIALS!R5</f>
        <v>0.41020312475430654</v>
      </c>
      <c r="T7" s="102">
        <f>FINANCIALS!S11/FINANCIALS!S5</f>
        <v>0.41712237742221475</v>
      </c>
      <c r="U7" s="102">
        <f>FINANCIALS!T11/FINANCIALS!T5</f>
        <v>0.29721894297976353</v>
      </c>
      <c r="V7" s="102">
        <f>FINANCIALS!U11/FINANCIALS!U5</f>
        <v>0.3634747287916984</v>
      </c>
      <c r="W7" s="102">
        <f>FINANCIALS!V11/FINANCIALS!V5</f>
        <v>0.38755660528349406</v>
      </c>
      <c r="X7" s="102">
        <f>FINANCIALS!W11/FINANCIALS!W5</f>
        <v>0.38755660453972335</v>
      </c>
      <c r="Y7" s="102">
        <f>FINANCIALS!Y11/FINANCIALS!Y5</f>
        <v>0.42163406617839511</v>
      </c>
    </row>
    <row r="8" spans="1:26" ht="15">
      <c r="B8" s="437"/>
      <c r="C8" s="143" t="s">
        <v>242</v>
      </c>
      <c r="D8" s="59" t="s">
        <v>241</v>
      </c>
      <c r="E8" s="26">
        <f>(FINANCIALS!D11-FINANCIALS!D15)/FINANCIALS!D4</f>
        <v>6.940606022638815E-2</v>
      </c>
      <c r="F8" s="26">
        <f>(FINANCIALS!E11-FINANCIALS!E15)/FINANCIALS!E4</f>
        <v>8.967041507380541E-2</v>
      </c>
      <c r="G8" s="26">
        <f>(FINANCIALS!F11-FINANCIALS!F15)/FINANCIALS!F4</f>
        <v>0.15239028042957301</v>
      </c>
      <c r="H8" s="26">
        <f>(FINANCIALS!G11-FINANCIALS!G15)/FINANCIALS!G4</f>
        <v>0.17677431692877404</v>
      </c>
      <c r="I8" s="26">
        <f>(FINANCIALS!H11-FINANCIALS!H15)/FINANCIALS!H4</f>
        <v>0.21087539388502649</v>
      </c>
      <c r="J8" s="102">
        <f>(FINANCIALS!I11-FINANCIALS!I15)/FINANCIALS!I4</f>
        <v>0.21970528215151783</v>
      </c>
      <c r="K8" s="102">
        <f>(FINANCIALS!J11-FINANCIALS!J15)/FINANCIALS!J4</f>
        <v>0.20483893522073351</v>
      </c>
      <c r="L8" s="102">
        <f>(FINANCIALS!K11-FINANCIALS!K15)/FINANCIALS!K4</f>
        <v>0.21363840487961824</v>
      </c>
      <c r="M8" s="102">
        <f>(FINANCIALS!L11-FINANCIALS!L15)/FINANCIALS!L4</f>
        <v>0.22190536986797499</v>
      </c>
      <c r="N8" s="102">
        <f>(FINANCIALS!M11-FINANCIALS!M15)/FINANCIALS!M4</f>
        <v>0.22570078142937899</v>
      </c>
      <c r="O8" s="102">
        <f>(FINANCIALS!N11-FINANCIALS!N15)/FINANCIALS!N4</f>
        <v>0.22351930791512151</v>
      </c>
      <c r="P8" s="102">
        <f>(FINANCIALS!O11-FINANCIALS!O15)/FINANCIALS!O4</f>
        <v>0.22452841172732219</v>
      </c>
      <c r="Q8" s="102">
        <f>(FINANCIALS!P11-FINANCIALS!P15)/FINANCIALS!P4</f>
        <v>0.22358701421223584</v>
      </c>
      <c r="R8" s="102">
        <f>(FINANCIALS!Q11-FINANCIALS!Q15)/FINANCIALS!Q4</f>
        <v>0.22857837656907157</v>
      </c>
      <c r="S8" s="102">
        <f>(FINANCIALS!R11-FINANCIALS!R15)/FINANCIALS!R4</f>
        <v>0.23198429690005759</v>
      </c>
      <c r="T8" s="102">
        <f>(FINANCIALS!S11-FINANCIALS!S15)/FINANCIALS!S4</f>
        <v>0.22880178417699434</v>
      </c>
      <c r="U8" s="102">
        <f>(FINANCIALS!T11-FINANCIALS!T15)/FINANCIALS!T4</f>
        <v>0.18712844740698226</v>
      </c>
      <c r="V8" s="102">
        <f>(FINANCIALS!U11-FINANCIALS!U15)/FINANCIALS!U4</f>
        <v>0.19628001091692646</v>
      </c>
      <c r="W8" s="102">
        <f>(FINANCIALS!V11-FINANCIALS!V15)/FINANCIALS!V4</f>
        <v>0.20470692882605149</v>
      </c>
      <c r="X8" s="102">
        <f>(FINANCIALS!W11-FINANCIALS!W15)/FINANCIALS!W4</f>
        <v>0.20470692842859081</v>
      </c>
      <c r="Y8" s="102">
        <f>(FINANCIALS!Y11-FINANCIALS!Y15)/FINANCIALS!Y4</f>
        <v>0.22689639176290149</v>
      </c>
    </row>
    <row r="9" spans="1:26" ht="15" hidden="1">
      <c r="B9" s="341"/>
      <c r="C9" s="143"/>
      <c r="D9" s="51"/>
      <c r="E9" s="1"/>
      <c r="F9" s="1"/>
      <c r="G9" s="1"/>
      <c r="H9" s="1"/>
      <c r="I9" s="1"/>
      <c r="J9" s="100"/>
      <c r="K9" s="100"/>
      <c r="L9" s="100"/>
      <c r="M9" s="100"/>
      <c r="N9" s="100"/>
      <c r="O9" s="100"/>
      <c r="P9" s="100"/>
      <c r="Q9" s="100"/>
      <c r="R9" s="100"/>
      <c r="S9" s="100"/>
      <c r="T9" s="100"/>
      <c r="U9" s="100"/>
      <c r="V9" s="100"/>
      <c r="W9" s="100"/>
      <c r="X9" s="100"/>
      <c r="Y9" s="100"/>
    </row>
    <row r="10" spans="1:26" ht="15">
      <c r="B10" s="435" t="s">
        <v>243</v>
      </c>
      <c r="C10" s="143" t="s">
        <v>244</v>
      </c>
      <c r="D10" s="51"/>
      <c r="E10" s="1"/>
      <c r="F10" s="1"/>
      <c r="G10" s="1"/>
      <c r="H10" s="1"/>
      <c r="I10" s="1"/>
      <c r="J10" s="100"/>
      <c r="K10" s="100"/>
      <c r="L10" s="100"/>
      <c r="M10" s="100"/>
      <c r="N10" s="100"/>
      <c r="O10" s="100"/>
      <c r="P10" s="100"/>
      <c r="Q10" s="100"/>
      <c r="R10" s="100"/>
      <c r="S10" s="100"/>
      <c r="T10" s="100"/>
      <c r="U10" s="100"/>
      <c r="V10" s="100"/>
      <c r="W10" s="100"/>
      <c r="X10" s="100"/>
      <c r="Y10" s="100"/>
    </row>
    <row r="11" spans="1:26" ht="15">
      <c r="A11" s="52"/>
      <c r="B11" s="437"/>
      <c r="C11" s="143" t="s">
        <v>245</v>
      </c>
      <c r="D11" s="51"/>
      <c r="E11" s="1"/>
      <c r="F11" s="1"/>
      <c r="G11" s="1"/>
      <c r="H11" s="1"/>
      <c r="I11" s="1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</row>
    <row r="12" spans="1:26" ht="30">
      <c r="B12" s="435"/>
      <c r="C12" s="143" t="s">
        <v>246</v>
      </c>
      <c r="D12" s="59" t="s">
        <v>247</v>
      </c>
      <c r="E12" s="26">
        <f>('STATEMENT OF FINANCIAL POSITION'!C14+'STATEMENT OF FINANCIAL POSITION'!C32)/'STATEMENT OF FINANCIAL POSITION'!C39</f>
        <v>0.2271330595307603</v>
      </c>
      <c r="F12" s="26">
        <f>('STATEMENT OF FINANCIAL POSITION'!D14+'STATEMENT OF FINANCIAL POSITION'!D32)/'STATEMENT OF FINANCIAL POSITION'!D39</f>
        <v>0.17811571374651364</v>
      </c>
      <c r="G12" s="26">
        <f>('STATEMENT OF FINANCIAL POSITION'!E14+'STATEMENT OF FINANCIAL POSITION'!E32)/'STATEMENT OF FINANCIAL POSITION'!E39</f>
        <v>9.0152034027246128E-2</v>
      </c>
      <c r="H12" s="26">
        <f>('STATEMENT OF FINANCIAL POSITION'!F14+'STATEMENT OF FINANCIAL POSITION'!F32)/'STATEMENT OF FINANCIAL POSITION'!F39</f>
        <v>8.2684888937343159E-2</v>
      </c>
      <c r="I12" s="26">
        <f>('STATEMENT OF FINANCIAL POSITION'!G14+'STATEMENT OF FINANCIAL POSITION'!G32)/'STATEMENT OF FINANCIAL POSITION'!G39</f>
        <v>8.0535981081802155E-2</v>
      </c>
      <c r="J12" s="102">
        <f>('STATEMENT OF FINANCIAL POSITION'!H14+'STATEMENT OF FINANCIAL POSITION'!H32)/'STATEMENT OF FINANCIAL POSITION'!H39</f>
        <v>7.7440123468014863E-2</v>
      </c>
      <c r="K12" s="102">
        <f>('STATEMENT OF FINANCIAL POSITION'!I14+'STATEMENT OF FINANCIAL POSITION'!I32)/'STATEMENT OF FINANCIAL POSITION'!I39</f>
        <v>7.9515684216598242E-2</v>
      </c>
      <c r="L12" s="102">
        <f>('STATEMENT OF FINANCIAL POSITION'!J14+'STATEMENT OF FINANCIAL POSITION'!J32)/'STATEMENT OF FINANCIAL POSITION'!J39</f>
        <v>8.3482077015513023E-2</v>
      </c>
      <c r="M12" s="102">
        <f>('STATEMENT OF FINANCIAL POSITION'!K14+'STATEMENT OF FINANCIAL POSITION'!K32)/'STATEMENT OF FINANCIAL POSITION'!K39</f>
        <v>8.3633896397777879E-2</v>
      </c>
      <c r="N12" s="102">
        <f>('STATEMENT OF FINANCIAL POSITION'!L14+'STATEMENT OF FINANCIAL POSITION'!L32)/'STATEMENT OF FINANCIAL POSITION'!L39</f>
        <v>8.8647213070771766E-2</v>
      </c>
      <c r="O12" s="102">
        <f>('STATEMENT OF FINANCIAL POSITION'!M14+'STATEMENT OF FINANCIAL POSITION'!M32)/'STATEMENT OF FINANCIAL POSITION'!M39</f>
        <v>9.0821208551485358E-2</v>
      </c>
      <c r="P12" s="102">
        <f>('STATEMENT OF FINANCIAL POSITION'!N14+'STATEMENT OF FINANCIAL POSITION'!N32)/'STATEMENT OF FINANCIAL POSITION'!N39</f>
        <v>9.5942243791105025E-2</v>
      </c>
      <c r="Q12" s="102">
        <f>('STATEMENT OF FINANCIAL POSITION'!O14+'STATEMENT OF FINANCIAL POSITION'!O32)/'STATEMENT OF FINANCIAL POSITION'!O39</f>
        <v>9.8748743208872169E-2</v>
      </c>
      <c r="R12" s="102">
        <f>('STATEMENT OF FINANCIAL POSITION'!P14+'STATEMENT OF FINANCIAL POSITION'!P32)/'STATEMENT OF FINANCIAL POSITION'!P39</f>
        <v>0.104183201025549</v>
      </c>
      <c r="S12" s="102">
        <f>('STATEMENT OF FINANCIAL POSITION'!Q14+'STATEMENT OF FINANCIAL POSITION'!Q32)/'STATEMENT OF FINANCIAL POSITION'!Q39</f>
        <v>0.10574725263604451</v>
      </c>
      <c r="T12" s="102">
        <f>('STATEMENT OF FINANCIAL POSITION'!R14+'STATEMENT OF FINANCIAL POSITION'!R32)/'STATEMENT OF FINANCIAL POSITION'!R39</f>
        <v>0.10783077412783994</v>
      </c>
      <c r="U12" s="102">
        <f>('STATEMENT OF FINANCIAL POSITION'!S14+'STATEMENT OF FINANCIAL POSITION'!S32)/'STATEMENT OF FINANCIAL POSITION'!S39</f>
        <v>5.0314377585792214E-2</v>
      </c>
      <c r="V12" s="102">
        <f>('STATEMENT OF FINANCIAL POSITION'!T14+'STATEMENT OF FINANCIAL POSITION'!T32)/'STATEMENT OF FINANCIAL POSITION'!T39</f>
        <v>5.9292216640316628E-2</v>
      </c>
      <c r="W12" s="102">
        <f>('STATEMENT OF FINANCIAL POSITION'!U14+'STATEMENT OF FINANCIAL POSITION'!U32)/'STATEMENT OF FINANCIAL POSITION'!U39</f>
        <v>6.6130677703207588E-2</v>
      </c>
      <c r="X12" s="102">
        <f>('STATEMENT OF FINANCIAL POSITION'!V14+'STATEMENT OF FINANCIAL POSITION'!V32)/'STATEMENT OF FINANCIAL POSITION'!V39</f>
        <v>6.6130678488861935E-2</v>
      </c>
      <c r="Y12" s="102">
        <f>('STATEMENT OF FINANCIAL POSITION'!Y14+'STATEMENT OF FINANCIAL POSITION'!Y32)/'STATEMENT OF FINANCIAL POSITION'!Y39</f>
        <v>5.8157885232074547E-2</v>
      </c>
    </row>
    <row r="13" spans="1:26" ht="30">
      <c r="B13" s="436"/>
      <c r="C13" s="143" t="s">
        <v>248</v>
      </c>
      <c r="D13" s="59" t="s">
        <v>249</v>
      </c>
      <c r="E13" s="26">
        <f>('STATEMENT OF FINANCIAL POSITION'!C34+'STATEMENT OF FINANCIAL POSITION'!C35)/'STATEMENT OF FINANCIAL POSITION'!C39</f>
        <v>0.17193462830256631</v>
      </c>
      <c r="F13" s="26">
        <f>('STATEMENT OF FINANCIAL POSITION'!D34+'STATEMENT OF FINANCIAL POSITION'!D35)/'STATEMENT OF FINANCIAL POSITION'!D39</f>
        <v>0.13616720558125897</v>
      </c>
      <c r="G13" s="26">
        <f>('STATEMENT OF FINANCIAL POSITION'!E34+'STATEMENT OF FINANCIAL POSITION'!E35)/'STATEMENT OF FINANCIAL POSITION'!E39</f>
        <v>3.0581377094188556E-2</v>
      </c>
      <c r="H13" s="26">
        <f>('STATEMENT OF FINANCIAL POSITION'!F34+'STATEMENT OF FINANCIAL POSITION'!F35)/'STATEMENT OF FINANCIAL POSITION'!F39</f>
        <v>2.7932098762068921E-2</v>
      </c>
      <c r="I13" s="26">
        <f>('STATEMENT OF FINANCIAL POSITION'!G34+'STATEMENT OF FINANCIAL POSITION'!G35)/'STATEMENT OF FINANCIAL POSITION'!G39</f>
        <v>2.883485833894699E-2</v>
      </c>
      <c r="J13" s="102">
        <f>('STATEMENT OF FINANCIAL POSITION'!H34+'STATEMENT OF FINANCIAL POSITION'!H35)/'STATEMENT OF FINANCIAL POSITION'!H39</f>
        <v>2.594926417258334E-2</v>
      </c>
      <c r="K13" s="102">
        <f>('STATEMENT OF FINANCIAL POSITION'!I34+'STATEMENT OF FINANCIAL POSITION'!I35)/'STATEMENT OF FINANCIAL POSITION'!I39</f>
        <v>2.1635468147111876E-2</v>
      </c>
      <c r="L13" s="102">
        <f>('STATEMENT OF FINANCIAL POSITION'!J34+'STATEMENT OF FINANCIAL POSITION'!J35)/'STATEMENT OF FINANCIAL POSITION'!J39</f>
        <v>2.1362655119937634E-2</v>
      </c>
      <c r="M13" s="102">
        <f>('STATEMENT OF FINANCIAL POSITION'!K34+'STATEMENT OF FINANCIAL POSITION'!K35)/'STATEMENT OF FINANCIAL POSITION'!K39</f>
        <v>2.1636799492822763E-2</v>
      </c>
      <c r="N13" s="102">
        <f>('STATEMENT OF FINANCIAL POSITION'!L34+'STATEMENT OF FINANCIAL POSITION'!L35)/'STATEMENT OF FINANCIAL POSITION'!L39</f>
        <v>2.5075960895214071E-2</v>
      </c>
      <c r="O13" s="102">
        <f>('STATEMENT OF FINANCIAL POSITION'!M34+'STATEMENT OF FINANCIAL POSITION'!M35)/'STATEMENT OF FINANCIAL POSITION'!M39</f>
        <v>2.4539054100170675E-2</v>
      </c>
      <c r="P13" s="102">
        <f>('STATEMENT OF FINANCIAL POSITION'!N34+'STATEMENT OF FINANCIAL POSITION'!N35)/'STATEMENT OF FINANCIAL POSITION'!N39</f>
        <v>2.4753096789210796E-2</v>
      </c>
      <c r="Q13" s="102">
        <f>('STATEMENT OF FINANCIAL POSITION'!O34+'STATEMENT OF FINANCIAL POSITION'!O35)/'STATEMENT OF FINANCIAL POSITION'!O39</f>
        <v>2.4145952129845542E-2</v>
      </c>
      <c r="R13" s="102">
        <f>('STATEMENT OF FINANCIAL POSITION'!P34+'STATEMENT OF FINANCIAL POSITION'!P35)/'STATEMENT OF FINANCIAL POSITION'!P39</f>
        <v>2.3332019134300344E-2</v>
      </c>
      <c r="S13" s="102">
        <f>('STATEMENT OF FINANCIAL POSITION'!Q34+'STATEMENT OF FINANCIAL POSITION'!Q35)/'STATEMENT OF FINANCIAL POSITION'!Q39</f>
        <v>2.3084194008538745E-2</v>
      </c>
      <c r="T13" s="102">
        <f>('STATEMENT OF FINANCIAL POSITION'!R34+'STATEMENT OF FINANCIAL POSITION'!R35)/'STATEMENT OF FINANCIAL POSITION'!R39</f>
        <v>2.2138671989062057E-2</v>
      </c>
      <c r="U13" s="102">
        <f>('STATEMENT OF FINANCIAL POSITION'!S34+'STATEMENT OF FINANCIAL POSITION'!S35)/'STATEMENT OF FINANCIAL POSITION'!S39</f>
        <v>1.7226909038962401E-2</v>
      </c>
      <c r="V13" s="102">
        <f>('STATEMENT OF FINANCIAL POSITION'!T34+'STATEMENT OF FINANCIAL POSITION'!T35)/'STATEMENT OF FINANCIAL POSITION'!T39</f>
        <v>1.7455587348301074E-2</v>
      </c>
      <c r="W13" s="102">
        <f>('STATEMENT OF FINANCIAL POSITION'!U34+'STATEMENT OF FINANCIAL POSITION'!U35)/'STATEMENT OF FINANCIAL POSITION'!U39</f>
        <v>1.8691462724610263E-2</v>
      </c>
      <c r="X13" s="102">
        <f>('STATEMENT OF FINANCIAL POSITION'!V34+'STATEMENT OF FINANCIAL POSITION'!V35)/'STATEMENT OF FINANCIAL POSITION'!V39</f>
        <v>1.8691463172596224E-2</v>
      </c>
      <c r="Y13" s="102">
        <f>('STATEMENT OF FINANCIAL POSITION'!Y34+'STATEMENT OF FINANCIAL POSITION'!Y35)/'STATEMENT OF FINANCIAL POSITION'!Y39</f>
        <v>1.4944655913570189E-2</v>
      </c>
    </row>
    <row r="14" spans="1:26" ht="45">
      <c r="B14" s="436"/>
      <c r="C14" s="143" t="s">
        <v>250</v>
      </c>
      <c r="D14" s="59" t="s">
        <v>249</v>
      </c>
      <c r="E14" s="26">
        <f>'STATEMENT OF FINANCIAL POSITION'!C21/'STATEMENT OF FINANCIAL POSITION'!C46</f>
        <v>2.519820439382019E-2</v>
      </c>
      <c r="F14" s="26">
        <f>'STATEMENT OF FINANCIAL POSITION'!D21/'STATEMENT OF FINANCIAL POSITION'!D46</f>
        <v>2.0379896331340963E-2</v>
      </c>
      <c r="G14" s="26">
        <f>'STATEMENT OF FINANCIAL POSITION'!E21/'STATEMENT OF FINANCIAL POSITION'!E46</f>
        <v>1.7228838500643238E-2</v>
      </c>
      <c r="H14" s="26">
        <f>'STATEMENT OF FINANCIAL POSITION'!F21/'STATEMENT OF FINANCIAL POSITION'!F46</f>
        <v>1.4882780505183262E-2</v>
      </c>
      <c r="I14" s="26">
        <f>'STATEMENT OF FINANCIAL POSITION'!G21/'STATEMENT OF FINANCIAL POSITION'!G46</f>
        <v>2.3759572880123252E-2</v>
      </c>
      <c r="J14" s="102">
        <f>'STATEMENT OF FINANCIAL POSITION'!H21/'STATEMENT OF FINANCIAL POSITION'!H46</f>
        <v>2.095941725197523E-2</v>
      </c>
      <c r="K14" s="102">
        <f>'STATEMENT OF FINANCIAL POSITION'!I21/'STATEMENT OF FINANCIAL POSITION'!I46</f>
        <v>1.9903303011164098E-2</v>
      </c>
      <c r="L14" s="102">
        <f>'STATEMENT OF FINANCIAL POSITION'!J21/'STATEMENT OF FINANCIAL POSITION'!J46</f>
        <v>2.0542910875690941E-2</v>
      </c>
      <c r="M14" s="102">
        <f>'STATEMENT OF FINANCIAL POSITION'!K21/'STATEMENT OF FINANCIAL POSITION'!K46</f>
        <v>2.0413893495987354E-2</v>
      </c>
      <c r="N14" s="102">
        <f>'STATEMENT OF FINANCIAL POSITION'!L21/'STATEMENT OF FINANCIAL POSITION'!L46</f>
        <v>2.093097820397774E-2</v>
      </c>
      <c r="O14" s="102">
        <f>'STATEMENT OF FINANCIAL POSITION'!M21/'STATEMENT OF FINANCIAL POSITION'!M46</f>
        <v>2.0765586574168549E-2</v>
      </c>
      <c r="P14" s="102">
        <f>'STATEMENT OF FINANCIAL POSITION'!N21/'STATEMENT OF FINANCIAL POSITION'!N46</f>
        <v>2.0848544319584918E-2</v>
      </c>
      <c r="Q14" s="102">
        <f>'STATEMENT OF FINANCIAL POSITION'!O21/'STATEMENT OF FINANCIAL POSITION'!O46</f>
        <v>2.0832055636918638E-2</v>
      </c>
      <c r="R14" s="102">
        <f>'STATEMENT OF FINANCIAL POSITION'!P21/'STATEMENT OF FINANCIAL POSITION'!P46</f>
        <v>2.0758740567241033E-2</v>
      </c>
      <c r="S14" s="102">
        <f>'STATEMENT OF FINANCIAL POSITION'!Q21/'STATEMENT OF FINANCIAL POSITION'!Q46</f>
        <v>2.1196118642190634E-2</v>
      </c>
      <c r="T14" s="102">
        <f>'STATEMENT OF FINANCIAL POSITION'!R21/'STATEMENT OF FINANCIAL POSITION'!R46</f>
        <v>2.1415286248239702E-2</v>
      </c>
      <c r="U14" s="102">
        <f>'STATEMENT OF FINANCIAL POSITION'!S21/'STATEMENT OF FINANCIAL POSITION'!S46</f>
        <v>1.4853995135913617E-2</v>
      </c>
      <c r="V14" s="102">
        <f>'STATEMENT OF FINANCIAL POSITION'!T21/'STATEMENT OF FINANCIAL POSITION'!T46</f>
        <v>2.7025803932768398E-2</v>
      </c>
      <c r="W14" s="102">
        <f>'STATEMENT OF FINANCIAL POSITION'!U21/'STATEMENT OF FINANCIAL POSITION'!U46</f>
        <v>1.8400400539680044E-2</v>
      </c>
      <c r="X14" s="102">
        <f>'STATEMENT OF FINANCIAL POSITION'!V21/'STATEMENT OF FINANCIAL POSITION'!V46</f>
        <v>1.8400400537045773E-2</v>
      </c>
      <c r="Y14" s="102">
        <f>'STATEMENT OF FINANCIAL POSITION'!Y21/'STATEMENT OF FINANCIAL POSITION'!Y46</f>
        <v>3.8460130110743239E-3</v>
      </c>
    </row>
    <row r="15" spans="1:26" ht="43.5">
      <c r="B15" s="436"/>
      <c r="C15" s="144" t="s">
        <v>251</v>
      </c>
      <c r="D15" s="60" t="s">
        <v>252</v>
      </c>
      <c r="E15" s="26">
        <f>'STATEMENT OF FINANCIAL POSITION'!C21/FINANCIALS!D11</f>
        <v>7.4579154125141101E-2</v>
      </c>
      <c r="F15" s="26">
        <f>'STATEMENT OF FINANCIAL POSITION'!D21/FINANCIALS!E11</f>
        <v>6.3466912791853416E-2</v>
      </c>
      <c r="G15" s="26">
        <f>'STATEMENT OF FINANCIAL POSITION'!E21/FINANCIALS!F11</f>
        <v>6.8512800650673125E-2</v>
      </c>
      <c r="H15" s="26">
        <f>'STATEMENT OF FINANCIAL POSITION'!F21/FINANCIALS!G11</f>
        <v>5.0271503130963006E-2</v>
      </c>
      <c r="I15" s="26">
        <f>'STATEMENT OF FINANCIAL POSITION'!G21/FINANCIALS!H11</f>
        <v>6.5115561506136913E-2</v>
      </c>
      <c r="J15" s="102">
        <f>'STATEMENT OF FINANCIAL POSITION'!H21/FINANCIALS!I11</f>
        <v>5.6505751635297044E-2</v>
      </c>
      <c r="K15" s="102">
        <f>'STATEMENT OF FINANCIAL POSITION'!I21/FINANCIALS!J11</f>
        <v>5.7093992768724455E-2</v>
      </c>
      <c r="L15" s="102">
        <f>'STATEMENT OF FINANCIAL POSITION'!J21/FINANCIALS!K11</f>
        <v>5.5352531233945915E-2</v>
      </c>
      <c r="M15" s="102">
        <f>'STATEMENT OF FINANCIAL POSITION'!K21/FINANCIALS!L11</f>
        <v>5.4545247041683446E-2</v>
      </c>
      <c r="N15" s="102">
        <f>'STATEMENT OF FINANCIAL POSITION'!L21/FINANCIALS!M11</f>
        <v>5.4375884159950899E-2</v>
      </c>
      <c r="O15" s="102">
        <f>'STATEMENT OF FINANCIAL POSITION'!M21/FINANCIALS!N11</f>
        <v>5.4547229367014297E-2</v>
      </c>
      <c r="P15" s="102">
        <f>'STATEMENT OF FINANCIAL POSITION'!N21/FINANCIALS!O11</f>
        <v>5.4033487155616899E-2</v>
      </c>
      <c r="Q15" s="102">
        <f>'STATEMENT OF FINANCIAL POSITION'!O21/FINANCIALS!P11</f>
        <v>5.3656890158252764E-2</v>
      </c>
      <c r="R15" s="102">
        <f>'STATEMENT OF FINANCIAL POSITION'!P21/FINANCIALS!Q11</f>
        <v>5.1910700816931624E-2</v>
      </c>
      <c r="S15" s="102">
        <f>'STATEMENT OF FINANCIAL POSITION'!Q21/FINANCIALS!R11</f>
        <v>5.1672250558515778E-2</v>
      </c>
      <c r="T15" s="102">
        <f>'STATEMENT OF FINANCIAL POSITION'!R21/FINANCIALS!S11</f>
        <v>5.1340535553581611E-2</v>
      </c>
      <c r="U15" s="102">
        <f>'STATEMENT OF FINANCIAL POSITION'!S21/FINANCIALS!T11</f>
        <v>4.9976609791405405E-2</v>
      </c>
      <c r="V15" s="102">
        <f>'STATEMENT OF FINANCIAL POSITION'!T21/FINANCIALS!U11</f>
        <v>7.4354010862352021E-2</v>
      </c>
      <c r="W15" s="102">
        <f>'STATEMENT OF FINANCIAL POSITION'!U21/FINANCIALS!V11</f>
        <v>4.7477969124588446E-2</v>
      </c>
      <c r="X15" s="102">
        <f>'STATEMENT OF FINANCIAL POSITION'!V21/FINANCIALS!W11</f>
        <v>4.7477969208907622E-2</v>
      </c>
      <c r="Y15" s="102">
        <f>'STATEMENT OF FINANCIAL POSITION'!Y21/FINANCIALS!Y11</f>
        <v>9.1216847014611475E-3</v>
      </c>
    </row>
    <row r="16" spans="1:26" ht="15" customHeight="1">
      <c r="B16" s="437"/>
      <c r="C16" s="145" t="s">
        <v>253</v>
      </c>
      <c r="D16" s="54"/>
      <c r="E16" s="26">
        <f>FINANCIALS!D28/FINANCIALS!D4</f>
        <v>0.56616539871499594</v>
      </c>
      <c r="F16" s="26">
        <f>FINANCIALS!E28/FINANCIALS!E4</f>
        <v>0.5917223720944611</v>
      </c>
      <c r="G16" s="26">
        <f>FINANCIALS!F28/FINANCIALS!F4</f>
        <v>0.70150230787281331</v>
      </c>
      <c r="H16" s="26">
        <f>FINANCIALS!G28/FINANCIALS!G4</f>
        <v>0.67335348088204028</v>
      </c>
      <c r="I16" s="26">
        <f>FINANCIALS!H28/FINANCIALS!H4</f>
        <v>0.68845339528483118</v>
      </c>
      <c r="J16" s="102">
        <f>FINANCIALS!I28/FINANCIALS!I4</f>
        <v>0.63139360394688648</v>
      </c>
      <c r="K16" s="102">
        <f>FINANCIALS!J28/FINANCIALS!J4</f>
        <v>0.61724081022100985</v>
      </c>
      <c r="L16" s="102">
        <f>FINANCIALS!K28/FINANCIALS!K4</f>
        <v>0.6421145499920734</v>
      </c>
      <c r="M16" s="102">
        <f>FINANCIALS!L28/FINANCIALS!L4</f>
        <v>0.671849301545688</v>
      </c>
      <c r="N16" s="102">
        <f>FINANCIALS!M28/FINANCIALS!M4</f>
        <v>0.69416795605186155</v>
      </c>
      <c r="O16" s="102">
        <f>FINANCIALS!N28/FINANCIALS!N4</f>
        <v>0.70215632952733653</v>
      </c>
      <c r="P16" s="102">
        <f>FINANCIALS!O28/FINANCIALS!O4</f>
        <v>0.72674539729021004</v>
      </c>
      <c r="Q16" s="102">
        <f>FINANCIALS!P28/FINANCIALS!P4</f>
        <v>0.73577183160912996</v>
      </c>
      <c r="R16" s="102">
        <f>FINANCIALS!Q28/FINANCIALS!Q4</f>
        <v>0.74230821524160739</v>
      </c>
      <c r="S16" s="102">
        <f>FINANCIALS!R28/FINANCIALS!R4</f>
        <v>0.76282461651928124</v>
      </c>
      <c r="T16" s="102">
        <f>FINANCIALS!S28/FINANCIALS!S4</f>
        <v>0.7607998792230386</v>
      </c>
      <c r="U16" s="102">
        <f>FINANCIALS!T28/FINANCIALS!T4</f>
        <v>0.47285356526950117</v>
      </c>
      <c r="V16" s="102">
        <f>FINANCIALS!U28/FINANCIALS!U4</f>
        <v>0.55912470369226708</v>
      </c>
      <c r="W16" s="102">
        <f>FINANCIALS!V28/FINANCIALS!V4</f>
        <v>0.59699638684836154</v>
      </c>
      <c r="X16" s="102">
        <f>FINANCIALS!W28/FINANCIALS!W4</f>
        <v>0.59699638679694367</v>
      </c>
      <c r="Y16" s="102">
        <f>FINANCIALS!Y28/FINANCIALS!Y4</f>
        <v>0.71223535559037365</v>
      </c>
    </row>
    <row r="17" spans="2:25" ht="0.75" customHeight="1">
      <c r="B17" s="341"/>
      <c r="C17" s="143"/>
      <c r="D17" s="51"/>
      <c r="E17" s="1"/>
      <c r="F17" s="1"/>
      <c r="G17" s="1"/>
      <c r="H17" s="1"/>
      <c r="I17" s="1"/>
      <c r="J17" s="100"/>
      <c r="K17" s="100"/>
      <c r="L17" s="100"/>
      <c r="M17" s="100"/>
      <c r="N17" s="100"/>
      <c r="O17" s="100"/>
      <c r="P17" s="100"/>
      <c r="Q17" s="100"/>
      <c r="R17" s="100"/>
      <c r="S17" s="100"/>
      <c r="T17" s="100"/>
      <c r="U17" s="100"/>
      <c r="V17" s="100"/>
      <c r="W17" s="100"/>
      <c r="X17" s="100"/>
      <c r="Y17" s="100"/>
    </row>
    <row r="18" spans="2:25" ht="15">
      <c r="B18" s="438" t="s">
        <v>254</v>
      </c>
      <c r="C18" s="143" t="s">
        <v>255</v>
      </c>
      <c r="D18" s="51"/>
      <c r="E18" s="26">
        <f>'STATEMENT OF COMPREHENSIVE INCO'!C56/FINANCIALS!D4</f>
        <v>2.9421440167046019E-2</v>
      </c>
      <c r="F18" s="26">
        <f>'STATEMENT OF COMPREHENSIVE INCO'!D56/FINANCIALS!E4</f>
        <v>6.6863625522777304E-2</v>
      </c>
      <c r="G18" s="26">
        <f>'STATEMENT OF COMPREHENSIVE INCO'!E56/FINANCIALS!F4</f>
        <v>7.2631348383794148E-2</v>
      </c>
      <c r="H18" s="26">
        <f>'STATEMENT OF COMPREHENSIVE INCO'!F56/FINANCIALS!G4</f>
        <v>5.5784168974996294E-2</v>
      </c>
      <c r="I18" s="26">
        <f>'STATEMENT OF COMPREHENSIVE INCO'!G56/FINANCIALS!H4</f>
        <v>5.532057248737797E-2</v>
      </c>
      <c r="J18" s="102">
        <f>'STATEMENT OF COMPREHENSIVE INCO'!H56/FINANCIALS!I4</f>
        <v>3.9817599373290741E-2</v>
      </c>
      <c r="K18" s="102">
        <f>'STATEMENT OF COMPREHENSIVE INCO'!I56/FINANCIALS!J4</f>
        <v>4.5929627595516678E-2</v>
      </c>
      <c r="L18" s="102">
        <f>'STATEMENT OF COMPREHENSIVE INCO'!J56/FINANCIALS!K4</f>
        <v>7.2247690751579647E-3</v>
      </c>
      <c r="M18" s="102">
        <f>'STATEMENT OF COMPREHENSIVE INCO'!K56/FINANCIALS!L4</f>
        <v>7.119356530340978E-3</v>
      </c>
      <c r="N18" s="102">
        <f>'STATEMENT OF COMPREHENSIVE INCO'!L56/FINANCIALS!M4</f>
        <v>7.9938706996706237E-3</v>
      </c>
      <c r="O18" s="102">
        <f>'STATEMENT OF COMPREHENSIVE INCO'!M56/FINANCIALS!N4</f>
        <v>1.0724977616866511E-2</v>
      </c>
      <c r="P18" s="102">
        <f>'STATEMENT OF COMPREHENSIVE INCO'!N56/FINANCIALS!O4</f>
        <v>1.2849508029169983E-2</v>
      </c>
      <c r="Q18" s="102">
        <f>'STATEMENT OF COMPREHENSIVE INCO'!O56/FINANCIALS!P4</f>
        <v>1.5125688647749866E-2</v>
      </c>
      <c r="R18" s="102">
        <f>'STATEMENT OF COMPREHENSIVE INCO'!P56/FINANCIALS!Q4</f>
        <v>2.1426284477275129E-2</v>
      </c>
      <c r="S18" s="102">
        <f>'STATEMENT OF COMPREHENSIVE INCO'!Q56/FINANCIALS!R4</f>
        <v>2.2828846188116567E-2</v>
      </c>
      <c r="T18" s="102">
        <f>'STATEMENT OF COMPREHENSIVE INCO'!R56/FINANCIALS!S4</f>
        <v>2.3984474977089006E-2</v>
      </c>
      <c r="U18" s="102">
        <f>'STATEMENT OF COMPREHENSIVE INCO'!S56/FINANCIALS!T4</f>
        <v>2.4009109839635182E-2</v>
      </c>
      <c r="V18" s="102">
        <f>'STATEMENT OF COMPREHENSIVE INCO'!T56/FINANCIALS!U4</f>
        <v>3.4519452351250805E-2</v>
      </c>
      <c r="W18" s="102">
        <f>'STATEMENT OF COMPREHENSIVE INCO'!U56/FINANCIALS!V4</f>
        <v>3.5566682162345944E-2</v>
      </c>
      <c r="X18" s="102">
        <f>'STATEMENT OF COMPREHENSIVE INCO'!V56/FINANCIALS!W4</f>
        <v>3.5566682062601683E-2</v>
      </c>
      <c r="Y18" s="102">
        <f>'STATEMENT OF COMPREHENSIVE INCO'!Y56/FINANCIALS!Y4</f>
        <v>4.1359178566204455E-2</v>
      </c>
    </row>
    <row r="19" spans="2:25" ht="15">
      <c r="B19" s="438"/>
      <c r="C19" s="143" t="s">
        <v>256</v>
      </c>
      <c r="D19" s="51"/>
      <c r="E19" s="26">
        <f>'STATEMENT OF COMPREHENSIVE INCO'!C36/'STATEMENT OF COMPREHENSIVE INCO'!C30</f>
        <v>0.43453966874034849</v>
      </c>
      <c r="F19" s="26">
        <f>'STATEMENT OF COMPREHENSIVE INCO'!D36/'STATEMENT OF COMPREHENSIVE INCO'!D30</f>
        <v>0.49427836967127226</v>
      </c>
      <c r="G19" s="26">
        <f>'STATEMENT OF COMPREHENSIVE INCO'!E36/'STATEMENT OF COMPREHENSIVE INCO'!E30</f>
        <v>0.41778794501533523</v>
      </c>
      <c r="H19" s="26">
        <f>'STATEMENT OF COMPREHENSIVE INCO'!F36/'STATEMENT OF COMPREHENSIVE INCO'!F30</f>
        <v>0.47970756469223857</v>
      </c>
      <c r="I19" s="26">
        <f>'STATEMENT OF COMPREHENSIVE INCO'!G36/'STATEMENT OF COMPREHENSIVE INCO'!G30</f>
        <v>0.45124053042858192</v>
      </c>
      <c r="J19" s="102">
        <f>'STATEMENT OF COMPREHENSIVE INCO'!H36/'STATEMENT OF COMPREHENSIVE INCO'!H30</f>
        <v>0.51119004706043314</v>
      </c>
      <c r="K19" s="102">
        <f>'STATEMENT OF COMPREHENSIVE INCO'!I36/'STATEMENT OF COMPREHENSIVE INCO'!I30</f>
        <v>0.45535453326095149</v>
      </c>
      <c r="L19" s="102">
        <f>'STATEMENT OF COMPREHENSIVE INCO'!J36/'STATEMENT OF COMPREHENSIVE INCO'!J30</f>
        <v>0.60142032786181354</v>
      </c>
      <c r="M19" s="102">
        <f>'STATEMENT OF COMPREHENSIVE INCO'!K36/'STATEMENT OF COMPREHENSIVE INCO'!K30</f>
        <v>0.69458948641024898</v>
      </c>
      <c r="N19" s="102">
        <f>'STATEMENT OF COMPREHENSIVE INCO'!L36/'STATEMENT OF COMPREHENSIVE INCO'!L30</f>
        <v>0.73185900122065684</v>
      </c>
      <c r="O19" s="102">
        <f>'STATEMENT OF COMPREHENSIVE INCO'!M36/'STATEMENT OF COMPREHENSIVE INCO'!M30</f>
        <v>0.70927407791750074</v>
      </c>
      <c r="P19" s="102">
        <f>'STATEMENT OF COMPREHENSIVE INCO'!N36/'STATEMENT OF COMPREHENSIVE INCO'!N30</f>
        <v>0.72465907345903369</v>
      </c>
      <c r="Q19" s="102">
        <f>'STATEMENT OF COMPREHENSIVE INCO'!O36/'STATEMENT OF COMPREHENSIVE INCO'!O30</f>
        <v>0.70629384444862509</v>
      </c>
      <c r="R19" s="102">
        <f>'STATEMENT OF COMPREHENSIVE INCO'!P36/'STATEMENT OF COMPREHENSIVE INCO'!P30</f>
        <v>0.66759850260864873</v>
      </c>
      <c r="S19" s="102">
        <f>'STATEMENT OF COMPREHENSIVE INCO'!Q36/'STATEMENT OF COMPREHENSIVE INCO'!Q30</f>
        <v>0.68142561579972716</v>
      </c>
      <c r="T19" s="102">
        <f>'STATEMENT OF COMPREHENSIVE INCO'!R36/'STATEMENT OF COMPREHENSIVE INCO'!R30</f>
        <v>0.68204957341548744</v>
      </c>
      <c r="U19" s="102">
        <f>'STATEMENT OF COMPREHENSIVE INCO'!S36/'STATEMENT OF COMPREHENSIVE INCO'!S30</f>
        <v>0.63775940628831251</v>
      </c>
      <c r="V19" s="102">
        <f>'STATEMENT OF COMPREHENSIVE INCO'!T36/'STATEMENT OF COMPREHENSIVE INCO'!T30</f>
        <v>0.55989954173923107</v>
      </c>
      <c r="W19" s="102">
        <f>'STATEMENT OF COMPREHENSIVE INCO'!U36/'STATEMENT OF COMPREHENSIVE INCO'!U30</f>
        <v>0.57824493020958379</v>
      </c>
      <c r="X19" s="102">
        <f>'STATEMENT OF COMPREHENSIVE INCO'!V36/'STATEMENT OF COMPREHENSIVE INCO'!V30</f>
        <v>0.46060931601968313</v>
      </c>
      <c r="Y19" s="102">
        <f>'STATEMENT OF COMPREHENSIVE INCO'!Y36/'STATEMENT OF COMPREHENSIVE INCO'!Y30</f>
        <v>0.3949654832523487</v>
      </c>
    </row>
    <row r="20" spans="2:25" ht="30">
      <c r="B20" s="438"/>
      <c r="C20" s="143" t="s">
        <v>257</v>
      </c>
      <c r="D20" s="53"/>
      <c r="E20" s="26">
        <f>'STATEMENT OF COMPREHENSIVE INCO'!C36/'STATEMENT OF FINANCIAL POSITION'!C39</f>
        <v>2.2609513271376711E-2</v>
      </c>
      <c r="F20" s="26">
        <f>'STATEMENT OF COMPREHENSIVE INCO'!D36/'STATEMENT OF FINANCIAL POSITION'!D39</f>
        <v>6.2081035704503545E-2</v>
      </c>
      <c r="G20" s="26">
        <f>'STATEMENT OF COMPREHENSIVE INCO'!E36/'STATEMENT OF FINANCIAL POSITION'!E39</f>
        <v>5.6014631100414214E-2</v>
      </c>
      <c r="H20" s="26">
        <f>'STATEMENT OF COMPREHENSIVE INCO'!F36/'STATEMENT OF FINANCIAL POSITION'!F39</f>
        <v>5.7652051964677264E-2</v>
      </c>
      <c r="I20" s="26">
        <f>'STATEMENT OF COMPREHENSIVE INCO'!G36/'STATEMENT OF FINANCIAL POSITION'!G39</f>
        <v>5.1413518082823677E-2</v>
      </c>
      <c r="J20" s="102">
        <f>'STATEMENT OF COMPREHENSIVE INCO'!H36/'STATEMENT OF FINANCIAL POSITION'!H39</f>
        <v>5.8933720766084108E-2</v>
      </c>
      <c r="K20" s="102">
        <f>'STATEMENT OF COMPREHENSIVE INCO'!I36/'STATEMENT OF FINANCIAL POSITION'!I39</f>
        <v>5.0168745049980611E-2</v>
      </c>
      <c r="L20" s="102">
        <f>'STATEMENT OF COMPREHENSIVE INCO'!J36/'STATEMENT OF FINANCIAL POSITION'!J39</f>
        <v>4.4401272949899078E-3</v>
      </c>
      <c r="M20" s="102">
        <f>'STATEMENT OF COMPREHENSIVE INCO'!K36/'STATEMENT OF FINANCIAL POSITION'!K39</f>
        <v>8.8360059279644979E-3</v>
      </c>
      <c r="N20" s="102">
        <f>'STATEMENT OF COMPREHENSIVE INCO'!L36/'STATEMENT OF FINANCIAL POSITION'!L39</f>
        <v>1.3944654681440238E-2</v>
      </c>
      <c r="O20" s="102">
        <f>'STATEMENT OF COMPREHENSIVE INCO'!M36/'STATEMENT OF FINANCIAL POSITION'!M39</f>
        <v>1.8372726055196825E-2</v>
      </c>
      <c r="P20" s="102">
        <f>'STATEMENT OF COMPREHENSIVE INCO'!N36/'STATEMENT OF FINANCIAL POSITION'!N39</f>
        <v>2.3111213715927479E-2</v>
      </c>
      <c r="Q20" s="102">
        <f>'STATEMENT OF COMPREHENSIVE INCO'!O36/'STATEMENT OF FINANCIAL POSITION'!O39</f>
        <v>2.700948676204018E-2</v>
      </c>
      <c r="R20" s="102">
        <f>'STATEMENT OF COMPREHENSIVE INCO'!P36/'STATEMENT OF FINANCIAL POSITION'!P39</f>
        <v>2.9754474424623582E-2</v>
      </c>
      <c r="S20" s="102">
        <f>'STATEMENT OF COMPREHENSIVE INCO'!Q36/'STATEMENT OF FINANCIAL POSITION'!Q39</f>
        <v>3.5459826821318173E-2</v>
      </c>
      <c r="T20" s="102">
        <f>'STATEMENT OF COMPREHENSIVE INCO'!R36/'STATEMENT OF FINANCIAL POSITION'!R39</f>
        <v>3.9686167162399283E-2</v>
      </c>
      <c r="U20" s="102">
        <f>'STATEMENT OF COMPREHENSIVE INCO'!S36/'STATEMENT OF FINANCIAL POSITION'!S39</f>
        <v>3.5145223289405392E-2</v>
      </c>
      <c r="V20" s="102">
        <f>'STATEMENT OF COMPREHENSIVE INCO'!T36/'STATEMENT OF FINANCIAL POSITION'!T39</f>
        <v>3.9824315223231106E-2</v>
      </c>
      <c r="W20" s="102">
        <f>'STATEMENT OF COMPREHENSIVE INCO'!U36/'STATEMENT OF FINANCIAL POSITION'!U39</f>
        <v>4.2666472771851024E-2</v>
      </c>
      <c r="X20" s="102">
        <f>'STATEMENT OF COMPREHENSIVE INCO'!V36/'STATEMENT OF FINANCIAL POSITION'!V39</f>
        <v>4.2666473033080209E-2</v>
      </c>
      <c r="Y20" s="102">
        <f>'STATEMENT OF COMPREHENSIVE INCO'!Y36/'STATEMENT OF FINANCIAL POSITION'!Y39</f>
        <v>3.5616650805479641E-2</v>
      </c>
    </row>
    <row r="21" spans="2:25" ht="15" hidden="1">
      <c r="B21" s="341"/>
      <c r="C21" s="143"/>
      <c r="D21" s="51"/>
      <c r="E21" s="1"/>
      <c r="F21" s="1"/>
      <c r="G21" s="1"/>
      <c r="H21" s="1"/>
      <c r="I21" s="1"/>
      <c r="J21" s="100"/>
      <c r="K21" s="100"/>
      <c r="L21" s="100"/>
      <c r="M21" s="100"/>
      <c r="N21" s="100"/>
      <c r="O21" s="100"/>
      <c r="P21" s="100"/>
      <c r="Q21" s="100"/>
      <c r="R21" s="100"/>
      <c r="S21" s="100"/>
      <c r="T21" s="100"/>
      <c r="U21" s="100"/>
      <c r="V21" s="100"/>
      <c r="W21" s="100"/>
      <c r="X21" s="100"/>
      <c r="Y21" s="100"/>
    </row>
    <row r="22" spans="2:25" ht="15">
      <c r="B22" s="438" t="s">
        <v>258</v>
      </c>
      <c r="C22" s="143" t="s">
        <v>259</v>
      </c>
      <c r="D22" s="59" t="s">
        <v>260</v>
      </c>
      <c r="E22" s="26">
        <f>'STATEMENT OF FINANCIAL POSITION'!C10/'STATEMENT OF FINANCIAL POSITION'!C43</f>
        <v>0.69194958597011069</v>
      </c>
      <c r="F22" s="26">
        <f>'STATEMENT OF FINANCIAL POSITION'!D10/'STATEMENT OF FINANCIAL POSITION'!D43</f>
        <v>0.78052917062642091</v>
      </c>
      <c r="G22" s="26">
        <f>'STATEMENT OF FINANCIAL POSITION'!E10/'STATEMENT OF FINANCIAL POSITION'!E43</f>
        <v>0.70770504656618272</v>
      </c>
      <c r="H22" s="26">
        <f>'STATEMENT OF FINANCIAL POSITION'!F10/'STATEMENT OF FINANCIAL POSITION'!F43</f>
        <v>0.96153537105615561</v>
      </c>
      <c r="I22" s="26">
        <f>'STATEMENT OF FINANCIAL POSITION'!G10/'STATEMENT OF FINANCIAL POSITION'!G43</f>
        <v>1.0717954514374135</v>
      </c>
      <c r="J22" s="102">
        <f>'STATEMENT OF FINANCIAL POSITION'!H10/'STATEMENT OF FINANCIAL POSITION'!H43</f>
        <v>1.2045820229252158</v>
      </c>
      <c r="K22" s="102">
        <f>'STATEMENT OF FINANCIAL POSITION'!I10/'STATEMENT OF FINANCIAL POSITION'!I43</f>
        <v>0.71125980607023798</v>
      </c>
      <c r="L22" s="102">
        <f>'STATEMENT OF FINANCIAL POSITION'!J10/'STATEMENT OF FINANCIAL POSITION'!J43</f>
        <v>1.3635710552176257</v>
      </c>
      <c r="M22" s="102">
        <f>'STATEMENT OF FINANCIAL POSITION'!K10/'STATEMENT OF FINANCIAL POSITION'!K43</f>
        <v>1.1945099678227382</v>
      </c>
      <c r="N22" s="102">
        <f>'STATEMENT OF FINANCIAL POSITION'!L10/'STATEMENT OF FINANCIAL POSITION'!L43</f>
        <v>1.1679343836879923</v>
      </c>
      <c r="O22" s="102">
        <f>'STATEMENT OF FINANCIAL POSITION'!M10/'STATEMENT OF FINANCIAL POSITION'!M43</f>
        <v>1.1358416033610605</v>
      </c>
      <c r="P22" s="102">
        <f>'STATEMENT OF FINANCIAL POSITION'!N10/'STATEMENT OF FINANCIAL POSITION'!N43</f>
        <v>1.0261326181271906</v>
      </c>
      <c r="Q22" s="102">
        <f>'STATEMENT OF FINANCIAL POSITION'!O10/'STATEMENT OF FINANCIAL POSITION'!O43</f>
        <v>1.0020351064380346</v>
      </c>
      <c r="R22" s="102">
        <f>'STATEMENT OF FINANCIAL POSITION'!P10/'STATEMENT OF FINANCIAL POSITION'!P43</f>
        <v>0.96318530713956241</v>
      </c>
      <c r="S22" s="102">
        <f>'STATEMENT OF FINANCIAL POSITION'!Q10/'STATEMENT OF FINANCIAL POSITION'!Q43</f>
        <v>0.92130513659443225</v>
      </c>
      <c r="T22" s="102">
        <f>'STATEMENT OF FINANCIAL POSITION'!R10/'STATEMENT OF FINANCIAL POSITION'!R43</f>
        <v>1.01336876838932</v>
      </c>
      <c r="U22" s="102">
        <f>'STATEMENT OF FINANCIAL POSITION'!S10/'STATEMENT OF FINANCIAL POSITION'!S43</f>
        <v>1.5093443282663428</v>
      </c>
      <c r="V22" s="102">
        <f>'STATEMENT OF FINANCIAL POSITION'!T10/'STATEMENT OF FINANCIAL POSITION'!T43</f>
        <v>1.4022772639368455</v>
      </c>
      <c r="W22" s="102">
        <f>'STATEMENT OF FINANCIAL POSITION'!U10/'STATEMENT OF FINANCIAL POSITION'!U43</f>
        <v>1.4124038076092633</v>
      </c>
      <c r="X22" s="102">
        <f>'STATEMENT OF FINANCIAL POSITION'!V10/'STATEMENT OF FINANCIAL POSITION'!V43</f>
        <v>0.71080971248451064</v>
      </c>
      <c r="Y22" s="102">
        <f>'STATEMENT OF FINANCIAL POSITION'!Y10/'STATEMENT OF FINANCIAL POSITION'!Y43</f>
        <v>0.94089328153028928</v>
      </c>
    </row>
    <row r="23" spans="2:25" ht="15">
      <c r="B23" s="438"/>
      <c r="C23" s="143" t="s">
        <v>261</v>
      </c>
      <c r="D23" s="53"/>
      <c r="E23" s="26">
        <f>'STATEMENT OF FINANCIAL POSITION'!C10/'STATEMENT OF FINANCIAL POSITION'!C46</f>
        <v>0.30263586402527776</v>
      </c>
      <c r="F23" s="26">
        <f>'STATEMENT OF FINANCIAL POSITION'!D10/'STATEMENT OF FINANCIAL POSITION'!D46</f>
        <v>0.34558648332062342</v>
      </c>
      <c r="G23" s="26">
        <f>'STATEMENT OF FINANCIAL POSITION'!E10/'STATEMENT OF FINANCIAL POSITION'!E46</f>
        <v>0.30171106829624866</v>
      </c>
      <c r="H23" s="26">
        <f>'STATEMENT OF FINANCIAL POSITION'!F10/'STATEMENT OF FINANCIAL POSITION'!F46</f>
        <v>0.36911842698708347</v>
      </c>
      <c r="I23" s="26">
        <f>'STATEMENT OF FINANCIAL POSITION'!G10/'STATEMENT OF FINANCIAL POSITION'!G46</f>
        <v>0.37146040240342493</v>
      </c>
      <c r="J23" s="102">
        <f>'STATEMENT OF FINANCIAL POSITION'!H10/'STATEMENT OF FINANCIAL POSITION'!H46</f>
        <v>0.47971327389159912</v>
      </c>
      <c r="K23" s="102">
        <f>'STATEMENT OF FINANCIAL POSITION'!I10/'STATEMENT OF FINANCIAL POSITION'!I46</f>
        <v>0.26942388558074476</v>
      </c>
      <c r="L23" s="102">
        <f>'STATEMENT OF FINANCIAL POSITION'!J10/'STATEMENT OF FINANCIAL POSITION'!J46</f>
        <v>0.48169568189262502</v>
      </c>
      <c r="M23" s="102">
        <f>'STATEMENT OF FINANCIAL POSITION'!K10/'STATEMENT OF FINANCIAL POSITION'!K46</f>
        <v>0.42298049075066224</v>
      </c>
      <c r="N23" s="102">
        <f>'STATEMENT OF FINANCIAL POSITION'!L10/'STATEMENT OF FINANCIAL POSITION'!L46</f>
        <v>0.3879619226753232</v>
      </c>
      <c r="O23" s="102">
        <f>'STATEMENT OF FINANCIAL POSITION'!M10/'STATEMENT OF FINANCIAL POSITION'!M46</f>
        <v>0.37303172127036371</v>
      </c>
      <c r="P23" s="102">
        <f>'STATEMENT OF FINANCIAL POSITION'!N10/'STATEMENT OF FINANCIAL POSITION'!N46</f>
        <v>0.33186612673195276</v>
      </c>
      <c r="Q23" s="102">
        <f>'STATEMENT OF FINANCIAL POSITION'!O10/'STATEMENT OF FINANCIAL POSITION'!O46</f>
        <v>0.31806202144992135</v>
      </c>
      <c r="R23" s="102">
        <f>'STATEMENT OF FINANCIAL POSITION'!P10/'STATEMENT OF FINANCIAL POSITION'!P46</f>
        <v>0.30344178285626267</v>
      </c>
      <c r="S23" s="102">
        <f>'STATEMENT OF FINANCIAL POSITION'!Q10/'STATEMENT OF FINANCIAL POSITION'!Q46</f>
        <v>0.27379729598071867</v>
      </c>
      <c r="T23" s="102">
        <f>'STATEMENT OF FINANCIAL POSITION'!R10/'STATEMENT OF FINANCIAL POSITION'!R46</f>
        <v>0.28291497329994841</v>
      </c>
      <c r="U23" s="102">
        <f>'STATEMENT OF FINANCIAL POSITION'!S10/'STATEMENT OF FINANCIAL POSITION'!S46</f>
        <v>0.73536329711931636</v>
      </c>
      <c r="V23" s="102">
        <f>'STATEMENT OF FINANCIAL POSITION'!T10/'STATEMENT OF FINANCIAL POSITION'!T46</f>
        <v>0.63261749429576697</v>
      </c>
      <c r="W23" s="102">
        <f>'STATEMENT OF FINANCIAL POSITION'!U10/'STATEMENT OF FINANCIAL POSITION'!U46</f>
        <v>0.59038886929419321</v>
      </c>
      <c r="X23" s="102">
        <f>'STATEMENT OF FINANCIAL POSITION'!V10/'STATEMENT OF FINANCIAL POSITION'!V46</f>
        <v>0.28775854251576088</v>
      </c>
      <c r="Y23" s="102">
        <f>'STATEMENT OF FINANCIAL POSITION'!Y10/'STATEMENT OF FINANCIAL POSITION'!Y46</f>
        <v>0.47164304300352372</v>
      </c>
    </row>
    <row r="24" spans="2:25" ht="30">
      <c r="B24" s="438"/>
      <c r="C24" s="143" t="s">
        <v>262</v>
      </c>
      <c r="D24" s="59" t="s">
        <v>263</v>
      </c>
      <c r="E24" s="26">
        <f>'STATEMENT OF FINANCIAL POSITION'!C54/'STATEMENT OF FINANCIAL POSITION'!C39</f>
        <v>1.1937212566622224E-2</v>
      </c>
      <c r="F24" s="26">
        <f>'STATEMENT OF FINANCIAL POSITION'!D54/'STATEMENT OF FINANCIAL POSITION'!D39</f>
        <v>3.3577093866444127E-2</v>
      </c>
      <c r="G24" s="26">
        <f>'STATEMENT OF FINANCIAL POSITION'!E54/'STATEMENT OF FINANCIAL POSITION'!E39</f>
        <v>2.4285187936646008E-3</v>
      </c>
      <c r="H24" s="26">
        <f>'STATEMENT OF FINANCIAL POSITION'!F54/'STATEMENT OF FINANCIAL POSITION'!F39</f>
        <v>0</v>
      </c>
      <c r="I24" s="26">
        <f>'STATEMENT OF FINANCIAL POSITION'!G54/'STATEMENT OF FINANCIAL POSITION'!G39</f>
        <v>0</v>
      </c>
      <c r="J24" s="102">
        <f>'STATEMENT OF FINANCIAL POSITION'!H54/'STATEMENT OF FINANCIAL POSITION'!H39</f>
        <v>0</v>
      </c>
      <c r="K24" s="102">
        <f>'STATEMENT OF FINANCIAL POSITION'!I54/'STATEMENT OF FINANCIAL POSITION'!I39</f>
        <v>0</v>
      </c>
      <c r="L24" s="102">
        <f>'STATEMENT OF FINANCIAL POSITION'!J54/'STATEMENT OF FINANCIAL POSITION'!J39</f>
        <v>0</v>
      </c>
      <c r="M24" s="102">
        <f>'STATEMENT OF FINANCIAL POSITION'!K54/'STATEMENT OF FINANCIAL POSITION'!K39</f>
        <v>0</v>
      </c>
      <c r="N24" s="102">
        <f>'STATEMENT OF FINANCIAL POSITION'!L54/'STATEMENT OF FINANCIAL POSITION'!L39</f>
        <v>0</v>
      </c>
      <c r="O24" s="102">
        <f>'STATEMENT OF FINANCIAL POSITION'!M54/'STATEMENT OF FINANCIAL POSITION'!M39</f>
        <v>0</v>
      </c>
      <c r="P24" s="102">
        <f>'STATEMENT OF FINANCIAL POSITION'!N54/'STATEMENT OF FINANCIAL POSITION'!N39</f>
        <v>0</v>
      </c>
      <c r="Q24" s="102">
        <f>'STATEMENT OF FINANCIAL POSITION'!O54/'STATEMENT OF FINANCIAL POSITION'!O39</f>
        <v>0</v>
      </c>
      <c r="R24" s="102">
        <f>'STATEMENT OF FINANCIAL POSITION'!P54/'STATEMENT OF FINANCIAL POSITION'!P39</f>
        <v>0</v>
      </c>
      <c r="S24" s="102">
        <f>'STATEMENT OF FINANCIAL POSITION'!Q54/'STATEMENT OF FINANCIAL POSITION'!Q39</f>
        <v>0</v>
      </c>
      <c r="T24" s="102">
        <f>'STATEMENT OF FINANCIAL POSITION'!R54/'STATEMENT OF FINANCIAL POSITION'!R39</f>
        <v>2.080390744252808E-2</v>
      </c>
      <c r="U24" s="102">
        <f>'STATEMENT OF FINANCIAL POSITION'!S54/'STATEMENT OF FINANCIAL POSITION'!S39</f>
        <v>0</v>
      </c>
      <c r="V24" s="102">
        <f>'STATEMENT OF FINANCIAL POSITION'!T54/'STATEMENT OF FINANCIAL POSITION'!T39</f>
        <v>0</v>
      </c>
      <c r="W24" s="102">
        <f>'STATEMENT OF FINANCIAL POSITION'!U54/'STATEMENT OF FINANCIAL POSITION'!U39</f>
        <v>0</v>
      </c>
      <c r="X24" s="102">
        <f>'STATEMENT OF FINANCIAL POSITION'!V54/'STATEMENT OF FINANCIAL POSITION'!V39</f>
        <v>0</v>
      </c>
      <c r="Y24" s="102">
        <f>'STATEMENT OF FINANCIAL POSITION'!Y54/'STATEMENT OF FINANCIAL POSITION'!Y39</f>
        <v>0</v>
      </c>
    </row>
    <row r="25" spans="2:25" ht="30.6" thickBot="1">
      <c r="B25" s="439"/>
      <c r="C25" s="146" t="s">
        <v>264</v>
      </c>
      <c r="D25" s="104"/>
      <c r="E25" s="105">
        <f>'STATEMENT OF FINANCIAL POSITION'!C10/'STATEMENT OF FINANCIAL POSITION'!C39</f>
        <v>0.19081390773634563</v>
      </c>
      <c r="F25" s="105">
        <f>'STATEMENT OF FINANCIAL POSITION'!D10/'STATEMENT OF FINANCIAL POSITION'!D39</f>
        <v>0.21734468227437842</v>
      </c>
      <c r="G25" s="105">
        <f>'STATEMENT OF FINANCIAL POSITION'!E10/'STATEMENT OF FINANCIAL POSITION'!E39</f>
        <v>0.21535670685909253</v>
      </c>
      <c r="H25" s="105">
        <f>'STATEMENT OF FINANCIAL POSITION'!F10/'STATEMENT OF FINANCIAL POSITION'!F39</f>
        <v>0.25413195033956654</v>
      </c>
      <c r="I25" s="105">
        <f>'STATEMENT OF FINANCIAL POSITION'!G10/'STATEMENT OF FINANCIAL POSITION'!G39</f>
        <v>0.23999709068678779</v>
      </c>
      <c r="J25" s="106">
        <f>'STATEMENT OF FINANCIAL POSITION'!H10/'STATEMENT OF FINANCIAL POSITION'!H39</f>
        <v>0.31289309612165622</v>
      </c>
      <c r="K25" s="106">
        <f>'STATEMENT OF FINANCIAL POSITION'!I10/'STATEMENT OF FINANCIAL POSITION'!I39</f>
        <v>0.17419861196511718</v>
      </c>
      <c r="L25" s="106">
        <f>'STATEMENT OF FINANCIAL POSITION'!J10/'STATEMENT OF FINANCIAL POSITION'!J39</f>
        <v>0.30443195529006373</v>
      </c>
      <c r="M25" s="106">
        <f>'STATEMENT OF FINANCIAL POSITION'!K10/'STATEMENT OF FINANCIAL POSITION'!K39</f>
        <v>0.27663054912522284</v>
      </c>
      <c r="N25" s="106">
        <f>'STATEMENT OF FINANCIAL POSITION'!L10/'STATEMENT OF FINANCIAL POSITION'!L39</f>
        <v>0.25101216984137181</v>
      </c>
      <c r="O25" s="106">
        <f>'STATEMENT OF FINANCIAL POSITION'!M10/'STATEMENT OF FINANCIAL POSITION'!M39</f>
        <v>0.24190492628868288</v>
      </c>
      <c r="P25" s="106">
        <f>'STATEMENT OF FINANCIAL POSITION'!N10/'STATEMENT OF FINANCIAL POSITION'!N39</f>
        <v>0.21325533107136721</v>
      </c>
      <c r="Q25" s="106">
        <f>'STATEMENT OF FINANCIAL POSITION'!O10/'STATEMENT OF FINANCIAL POSITION'!O39</f>
        <v>0.20224280309986098</v>
      </c>
      <c r="R25" s="106">
        <f>'STATEMENT OF FINANCIAL POSITION'!P10/'STATEMENT OF FINANCIAL POSITION'!P39</f>
        <v>0.1909771563953597</v>
      </c>
      <c r="S25" s="106">
        <f>'STATEMENT OF FINANCIAL POSITION'!Q10/'STATEMENT OF FINANCIAL POSITION'!Q39</f>
        <v>0.17050391801120166</v>
      </c>
      <c r="T25" s="106">
        <f>'STATEMENT OF FINANCIAL POSITION'!R10/'STATEMENT OF FINANCIAL POSITION'!R39</f>
        <v>0.17085078946527624</v>
      </c>
      <c r="U25" s="106">
        <f>'STATEMENT OF FINANCIAL POSITION'!S10/'STATEMENT OF FINANCIAL POSITION'!S39</f>
        <v>0.5091829508317699</v>
      </c>
      <c r="V25" s="106">
        <f>'STATEMENT OF FINANCIAL POSITION'!T10/'STATEMENT OF FINANCIAL POSITION'!T39</f>
        <v>0.40917798452937448</v>
      </c>
      <c r="W25" s="106">
        <f>'STATEMENT OF FINANCIAL POSITION'!U10/'STATEMENT OF FINANCIAL POSITION'!U39</f>
        <v>0.37197454974618227</v>
      </c>
      <c r="X25" s="106">
        <f>'STATEMENT OF FINANCIAL POSITION'!V10/'STATEMENT OF FINANCIAL POSITION'!V39</f>
        <v>0.18130229052896216</v>
      </c>
      <c r="Y25" s="106">
        <f>'STATEMENT OF FINANCIAL POSITION'!Y10/'STATEMENT OF FINANCIAL POSITION'!Y39</f>
        <v>0.29273683368892289</v>
      </c>
    </row>
    <row r="26" spans="2:25" ht="15">
      <c r="B26" s="56"/>
      <c r="C26" s="96"/>
      <c r="D26" s="58"/>
      <c r="E26"/>
      <c r="F26"/>
      <c r="G26"/>
    </row>
    <row r="27" spans="2:25">
      <c r="E27"/>
      <c r="F27"/>
      <c r="G27"/>
    </row>
    <row r="28" spans="2:25">
      <c r="E28"/>
      <c r="F28"/>
      <c r="G28"/>
    </row>
    <row r="29" spans="2:25">
      <c r="E29"/>
      <c r="F29"/>
      <c r="G29"/>
    </row>
    <row r="30" spans="2:25">
      <c r="E30"/>
      <c r="F30"/>
      <c r="G30"/>
    </row>
    <row r="31" spans="2:25">
      <c r="E31"/>
      <c r="F31"/>
      <c r="G31"/>
    </row>
    <row r="32" spans="2:25">
      <c r="E32"/>
      <c r="F32"/>
      <c r="G32"/>
    </row>
    <row r="33" spans="5:7">
      <c r="E33"/>
      <c r="F33"/>
      <c r="G33"/>
    </row>
    <row r="34" spans="5:7">
      <c r="E34"/>
      <c r="F34"/>
      <c r="G34"/>
    </row>
    <row r="35" spans="5:7">
      <c r="E35"/>
      <c r="F35"/>
      <c r="G35"/>
    </row>
    <row r="36" spans="5:7">
      <c r="E36"/>
      <c r="F36"/>
      <c r="G36"/>
    </row>
    <row r="37" spans="5:7">
      <c r="E37"/>
      <c r="F37"/>
      <c r="G37"/>
    </row>
    <row r="38" spans="5:7">
      <c r="E38"/>
      <c r="F38"/>
      <c r="G38"/>
    </row>
    <row r="39" spans="5:7">
      <c r="E39"/>
      <c r="F39"/>
      <c r="G39"/>
    </row>
    <row r="40" spans="5:7">
      <c r="E40"/>
      <c r="F40"/>
      <c r="G40"/>
    </row>
    <row r="41" spans="5:7">
      <c r="E41"/>
      <c r="F41"/>
      <c r="G41"/>
    </row>
    <row r="42" spans="5:7">
      <c r="E42"/>
      <c r="F42"/>
      <c r="G42"/>
    </row>
    <row r="43" spans="5:7">
      <c r="E43"/>
      <c r="F43"/>
      <c r="G43"/>
    </row>
    <row r="44" spans="5:7">
      <c r="E44"/>
      <c r="F44"/>
      <c r="G44"/>
    </row>
    <row r="45" spans="5:7">
      <c r="E45"/>
      <c r="F45"/>
      <c r="G45"/>
    </row>
    <row r="46" spans="5:7">
      <c r="E46"/>
      <c r="F46"/>
      <c r="G46"/>
    </row>
    <row r="47" spans="5:7">
      <c r="E47"/>
      <c r="F47"/>
      <c r="G47"/>
    </row>
    <row r="48" spans="5:7">
      <c r="E48"/>
      <c r="F48"/>
      <c r="G48"/>
    </row>
    <row r="49" spans="5:7">
      <c r="E49"/>
      <c r="F49"/>
      <c r="G49"/>
    </row>
    <row r="50" spans="5:7">
      <c r="E50"/>
      <c r="F50"/>
      <c r="G50"/>
    </row>
    <row r="51" spans="5:7">
      <c r="E51"/>
      <c r="F51"/>
      <c r="G51"/>
    </row>
    <row r="52" spans="5:7">
      <c r="E52"/>
      <c r="F52"/>
      <c r="G52"/>
    </row>
    <row r="53" spans="5:7">
      <c r="E53"/>
      <c r="F53"/>
      <c r="G53"/>
    </row>
    <row r="54" spans="5:7">
      <c r="E54"/>
      <c r="F54"/>
      <c r="G54"/>
    </row>
    <row r="55" spans="5:7">
      <c r="E55"/>
      <c r="F55"/>
      <c r="G55"/>
    </row>
    <row r="56" spans="5:7">
      <c r="E56"/>
      <c r="F56"/>
      <c r="G56"/>
    </row>
    <row r="57" spans="5:7">
      <c r="E57"/>
      <c r="F57"/>
      <c r="G57"/>
    </row>
    <row r="58" spans="5:7">
      <c r="E58"/>
      <c r="F58"/>
      <c r="G58"/>
    </row>
    <row r="59" spans="5:7">
      <c r="E59"/>
      <c r="F59"/>
      <c r="G59"/>
    </row>
    <row r="60" spans="5:7">
      <c r="E60"/>
      <c r="F60"/>
      <c r="G60"/>
    </row>
    <row r="61" spans="5:7">
      <c r="E61"/>
      <c r="F61"/>
      <c r="G61"/>
    </row>
    <row r="62" spans="5:7">
      <c r="E62"/>
      <c r="F62"/>
      <c r="G62"/>
    </row>
    <row r="63" spans="5:7">
      <c r="E63"/>
      <c r="F63"/>
      <c r="G63"/>
    </row>
    <row r="64" spans="5:7">
      <c r="E64"/>
      <c r="F64"/>
      <c r="G64"/>
    </row>
    <row r="65" spans="5:7">
      <c r="E65"/>
      <c r="F65"/>
      <c r="G65"/>
    </row>
  </sheetData>
  <mergeCells count="6">
    <mergeCell ref="B1:C1"/>
    <mergeCell ref="B5:B8"/>
    <mergeCell ref="B10:B11"/>
    <mergeCell ref="B18:B20"/>
    <mergeCell ref="B22:B25"/>
    <mergeCell ref="B12:B16"/>
  </mergeCells>
  <phoneticPr fontId="18" type="noConversion"/>
  <pageMargins left="0.7" right="0.7" top="0.75" bottom="0.75" header="0.3" footer="0.3"/>
  <pageSetup scale="7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21"/>
  <sheetViews>
    <sheetView topLeftCell="A95" workbookViewId="0">
      <selection activeCell="B107" sqref="B107"/>
    </sheetView>
  </sheetViews>
  <sheetFormatPr defaultRowHeight="14.45"/>
  <cols>
    <col min="1" max="1" width="4.28515625" bestFit="1" customWidth="1"/>
    <col min="2" max="2" width="18.85546875" customWidth="1"/>
    <col min="3" max="3" width="7.7109375" bestFit="1" customWidth="1"/>
    <col min="4" max="4" width="23.42578125" customWidth="1"/>
    <col min="5" max="5" width="13.85546875" customWidth="1"/>
    <col min="6" max="6" width="18.28515625" customWidth="1"/>
  </cols>
  <sheetData>
    <row r="1" spans="1:7" ht="28.5">
      <c r="A1" s="147"/>
      <c r="B1" s="148" t="s">
        <v>265</v>
      </c>
      <c r="C1" s="147"/>
      <c r="D1" s="147"/>
      <c r="E1" s="147"/>
      <c r="F1" s="147"/>
    </row>
    <row r="2" spans="1:7">
      <c r="A2" s="149"/>
      <c r="B2" s="441" t="s">
        <v>266</v>
      </c>
      <c r="C2" s="441"/>
      <c r="D2" s="441"/>
      <c r="E2" s="441"/>
      <c r="F2" s="441"/>
    </row>
    <row r="3" spans="1:7" ht="31.5" customHeight="1">
      <c r="A3" s="149"/>
      <c r="B3" s="150" t="s">
        <v>267</v>
      </c>
      <c r="C3" s="149"/>
      <c r="D3" s="151"/>
      <c r="E3" s="149"/>
      <c r="F3" s="152" t="s">
        <v>268</v>
      </c>
    </row>
    <row r="4" spans="1:7" ht="21" customHeight="1">
      <c r="A4" s="149"/>
      <c r="B4" s="150" t="s">
        <v>269</v>
      </c>
      <c r="C4" s="149"/>
      <c r="D4" s="149"/>
      <c r="E4" s="149"/>
      <c r="F4" s="153">
        <v>2017</v>
      </c>
    </row>
    <row r="5" spans="1:7" ht="17.25" customHeight="1">
      <c r="A5" s="149"/>
      <c r="B5" s="150" t="s">
        <v>270</v>
      </c>
      <c r="C5" s="149"/>
      <c r="D5" s="149"/>
      <c r="E5" s="154"/>
      <c r="F5" s="155" t="s">
        <v>271</v>
      </c>
    </row>
    <row r="6" spans="1:7" ht="17.25" customHeight="1">
      <c r="A6" s="149"/>
      <c r="B6" s="150" t="s">
        <v>272</v>
      </c>
      <c r="C6" s="149"/>
      <c r="D6" s="149"/>
      <c r="E6" s="154"/>
      <c r="F6" s="155" t="s">
        <v>273</v>
      </c>
    </row>
    <row r="7" spans="1:7">
      <c r="A7" s="149"/>
      <c r="B7" s="442" t="s">
        <v>274</v>
      </c>
      <c r="C7" s="442"/>
      <c r="D7" s="442"/>
      <c r="E7" s="442"/>
      <c r="F7" s="443"/>
    </row>
    <row r="8" spans="1:7">
      <c r="A8" s="149"/>
      <c r="B8" s="149"/>
      <c r="C8" s="150" t="s">
        <v>275</v>
      </c>
      <c r="D8" s="150" t="s">
        <v>276</v>
      </c>
      <c r="E8" s="150" t="s">
        <v>277</v>
      </c>
      <c r="F8" s="150" t="s">
        <v>278</v>
      </c>
    </row>
    <row r="9" spans="1:7" ht="27.75" customHeight="1">
      <c r="A9" s="149" t="s">
        <v>279</v>
      </c>
      <c r="B9" s="150" t="s">
        <v>280</v>
      </c>
      <c r="C9" s="150" t="s">
        <v>281</v>
      </c>
      <c r="D9" s="150" t="s">
        <v>282</v>
      </c>
      <c r="E9" s="150" t="s">
        <v>283</v>
      </c>
      <c r="F9" s="150" t="s">
        <v>284</v>
      </c>
    </row>
    <row r="10" spans="1:7" ht="21.75" customHeight="1">
      <c r="A10" s="149">
        <v>1</v>
      </c>
      <c r="B10" s="149" t="s">
        <v>285</v>
      </c>
      <c r="C10" s="156">
        <v>9569</v>
      </c>
      <c r="D10" s="156">
        <v>1523201365.5899999</v>
      </c>
      <c r="E10" s="157">
        <v>0.01</v>
      </c>
      <c r="F10" s="149">
        <f>D10*E10</f>
        <v>15232013.6559</v>
      </c>
    </row>
    <row r="11" spans="1:7">
      <c r="A11" s="149">
        <v>2</v>
      </c>
      <c r="B11" s="149" t="s">
        <v>286</v>
      </c>
      <c r="C11" s="156">
        <v>102</v>
      </c>
      <c r="D11" s="156">
        <v>4670712.6100000003</v>
      </c>
      <c r="E11" s="157">
        <v>0.05</v>
      </c>
      <c r="F11" s="149">
        <f>D11*E11</f>
        <v>233535.63050000003</v>
      </c>
    </row>
    <row r="12" spans="1:7" ht="16.5" customHeight="1">
      <c r="A12" s="149">
        <v>3</v>
      </c>
      <c r="B12" s="149" t="s">
        <v>287</v>
      </c>
      <c r="C12" s="156">
        <v>515</v>
      </c>
      <c r="D12" s="156">
        <v>33773549.219999999</v>
      </c>
      <c r="E12" s="157">
        <v>0.25</v>
      </c>
      <c r="F12" s="149">
        <f>D12*E12</f>
        <v>8443387.3049999997</v>
      </c>
    </row>
    <row r="13" spans="1:7">
      <c r="A13" s="149">
        <v>4</v>
      </c>
      <c r="B13" s="149" t="s">
        <v>288</v>
      </c>
      <c r="C13" s="156">
        <v>224</v>
      </c>
      <c r="D13" s="156">
        <v>5677083.7800000003</v>
      </c>
      <c r="E13" s="157">
        <v>0.5</v>
      </c>
      <c r="F13" s="149">
        <f>D13*E13</f>
        <v>2838541.89</v>
      </c>
    </row>
    <row r="14" spans="1:7">
      <c r="A14" s="149">
        <v>5</v>
      </c>
      <c r="B14" s="149" t="s">
        <v>289</v>
      </c>
      <c r="C14" s="156">
        <v>638</v>
      </c>
      <c r="D14" s="156">
        <v>26325060.960000001</v>
      </c>
      <c r="E14" s="157">
        <v>1</v>
      </c>
      <c r="F14" s="149">
        <f>D14*E14</f>
        <v>26325060.960000001</v>
      </c>
      <c r="G14">
        <f>D14+D13+D12</f>
        <v>65775693.960000001</v>
      </c>
    </row>
    <row r="15" spans="1:7" ht="14.25" customHeight="1">
      <c r="A15" s="149"/>
      <c r="B15" s="150" t="s">
        <v>290</v>
      </c>
      <c r="C15" s="150">
        <f>SUM(C10:C14)</f>
        <v>11048</v>
      </c>
      <c r="D15" s="150">
        <f>SUM(D10:D14)</f>
        <v>1593647772.1599998</v>
      </c>
      <c r="E15" s="158"/>
      <c r="F15" s="150">
        <f>SUM(F10:F14)</f>
        <v>53072539.441399999</v>
      </c>
    </row>
    <row r="16" spans="1:7" ht="27" customHeight="1">
      <c r="A16" s="149"/>
      <c r="B16" s="149" t="s">
        <v>291</v>
      </c>
      <c r="C16" s="156"/>
      <c r="D16" s="156"/>
      <c r="E16" s="156"/>
      <c r="F16" s="156"/>
    </row>
    <row r="17" spans="1:7">
      <c r="A17" s="149">
        <v>1</v>
      </c>
      <c r="B17" s="149" t="s">
        <v>285</v>
      </c>
      <c r="C17" s="156">
        <v>0</v>
      </c>
      <c r="D17" s="156">
        <v>0</v>
      </c>
      <c r="E17" s="157">
        <v>0.01</v>
      </c>
      <c r="F17" s="149">
        <f>D17*E17</f>
        <v>0</v>
      </c>
    </row>
    <row r="18" spans="1:7">
      <c r="A18" s="149">
        <v>2</v>
      </c>
      <c r="B18" s="149" t="s">
        <v>286</v>
      </c>
      <c r="C18" s="156">
        <v>0</v>
      </c>
      <c r="D18" s="156">
        <v>0</v>
      </c>
      <c r="E18" s="157">
        <v>0.05</v>
      </c>
      <c r="F18" s="149">
        <f>D18*E18</f>
        <v>0</v>
      </c>
    </row>
    <row r="19" spans="1:7">
      <c r="A19" s="149">
        <v>3</v>
      </c>
      <c r="B19" s="149" t="s">
        <v>287</v>
      </c>
      <c r="C19" s="156">
        <v>0</v>
      </c>
      <c r="D19" s="156">
        <v>0</v>
      </c>
      <c r="E19" s="157">
        <v>0.25</v>
      </c>
      <c r="F19" s="149">
        <f>D19*E19</f>
        <v>0</v>
      </c>
      <c r="G19">
        <f>G14/D15</f>
        <v>4.127367107654465E-2</v>
      </c>
    </row>
    <row r="20" spans="1:7">
      <c r="A20" s="149">
        <v>4</v>
      </c>
      <c r="B20" s="149" t="s">
        <v>288</v>
      </c>
      <c r="C20" s="156">
        <v>0</v>
      </c>
      <c r="D20" s="156">
        <v>0</v>
      </c>
      <c r="E20" s="157">
        <v>0.5</v>
      </c>
      <c r="F20" s="149">
        <f>D20*E20</f>
        <v>0</v>
      </c>
      <c r="G20">
        <f>G19*100</f>
        <v>4.1273671076544654</v>
      </c>
    </row>
    <row r="21" spans="1:7">
      <c r="A21" s="149">
        <v>5</v>
      </c>
      <c r="B21" s="149" t="s">
        <v>289</v>
      </c>
      <c r="C21" s="156">
        <v>0</v>
      </c>
      <c r="D21" s="156">
        <v>0</v>
      </c>
      <c r="E21" s="157">
        <v>1</v>
      </c>
      <c r="F21" s="149">
        <f>D21*E21</f>
        <v>0</v>
      </c>
    </row>
    <row r="22" spans="1:7">
      <c r="A22" s="149"/>
      <c r="B22" s="150" t="s">
        <v>290</v>
      </c>
      <c r="C22" s="150">
        <f>SUM(C16:C21)</f>
        <v>0</v>
      </c>
      <c r="D22" s="150">
        <f>SUM(D16:D21)</f>
        <v>0</v>
      </c>
      <c r="E22" s="150"/>
      <c r="F22" s="150">
        <f>SUM(F16:F21)</f>
        <v>0</v>
      </c>
    </row>
    <row r="23" spans="1:7">
      <c r="A23" s="149"/>
      <c r="B23" s="150" t="s">
        <v>292</v>
      </c>
      <c r="C23" s="150">
        <f>C15+C22</f>
        <v>11048</v>
      </c>
      <c r="D23" s="150">
        <f>D15+D22</f>
        <v>1593647772.1599998</v>
      </c>
      <c r="E23" s="150"/>
      <c r="F23" s="150">
        <f>F15+F22</f>
        <v>53072539.441399999</v>
      </c>
    </row>
    <row r="24" spans="1:7">
      <c r="A24" s="154"/>
      <c r="B24" s="159"/>
      <c r="C24" s="159"/>
      <c r="D24" s="159"/>
      <c r="E24" s="159"/>
      <c r="F24" s="160"/>
    </row>
    <row r="25" spans="1:7">
      <c r="A25" s="444" t="s">
        <v>293</v>
      </c>
      <c r="B25" s="444"/>
      <c r="C25" s="444"/>
      <c r="D25" s="444"/>
      <c r="E25" s="444"/>
      <c r="F25" s="444"/>
    </row>
    <row r="26" spans="1:7">
      <c r="A26" s="161"/>
      <c r="B26" s="161"/>
      <c r="C26" s="161"/>
      <c r="D26" s="161"/>
      <c r="E26" s="161"/>
      <c r="F26" s="161"/>
    </row>
    <row r="27" spans="1:7">
      <c r="A27" s="147"/>
      <c r="B27" s="162" t="s">
        <v>77</v>
      </c>
      <c r="C27" s="163"/>
      <c r="D27" s="164"/>
      <c r="E27" s="164"/>
      <c r="F27" s="164"/>
    </row>
    <row r="28" spans="1:7">
      <c r="A28" s="147"/>
      <c r="B28" s="440" t="s">
        <v>78</v>
      </c>
      <c r="C28" s="440"/>
      <c r="D28" s="440"/>
      <c r="E28" s="440"/>
      <c r="F28" s="440"/>
    </row>
    <row r="29" spans="1:7">
      <c r="A29" s="147"/>
      <c r="B29" s="440" t="s">
        <v>79</v>
      </c>
      <c r="C29" s="440"/>
      <c r="D29" s="440"/>
      <c r="E29" s="440"/>
      <c r="F29" s="440"/>
    </row>
    <row r="30" spans="1:7" ht="26.1">
      <c r="A30" s="147"/>
      <c r="B30" s="163" t="s">
        <v>128</v>
      </c>
      <c r="C30" s="163"/>
      <c r="D30" s="164"/>
      <c r="E30" s="164"/>
      <c r="F30" s="164"/>
    </row>
    <row r="31" spans="1:7">
      <c r="A31" s="147"/>
      <c r="B31" s="440" t="s">
        <v>79</v>
      </c>
      <c r="C31" s="440"/>
      <c r="D31" s="440"/>
      <c r="E31" s="440"/>
      <c r="F31" s="440"/>
    </row>
    <row r="32" spans="1:7" ht="26.1">
      <c r="A32" s="147"/>
      <c r="B32" s="163" t="s">
        <v>129</v>
      </c>
      <c r="C32" s="163"/>
      <c r="D32" s="164"/>
      <c r="E32" s="164"/>
      <c r="F32" s="164"/>
    </row>
    <row r="33" spans="1:7">
      <c r="A33" s="165"/>
      <c r="B33" s="165"/>
      <c r="C33" s="165"/>
      <c r="D33" s="165"/>
      <c r="E33" s="165"/>
      <c r="F33" s="165"/>
    </row>
    <row r="36" spans="1:7" ht="28.5">
      <c r="A36" s="147"/>
      <c r="B36" s="148" t="s">
        <v>265</v>
      </c>
      <c r="C36" s="147"/>
      <c r="D36" s="147"/>
      <c r="E36" s="147"/>
      <c r="F36" s="147"/>
      <c r="G36" s="151"/>
    </row>
    <row r="37" spans="1:7">
      <c r="A37" s="149"/>
      <c r="B37" s="441" t="s">
        <v>266</v>
      </c>
      <c r="C37" s="441"/>
      <c r="D37" s="441"/>
      <c r="E37" s="441"/>
      <c r="F37" s="441"/>
      <c r="G37" s="151"/>
    </row>
    <row r="38" spans="1:7" ht="30" customHeight="1">
      <c r="A38" s="149"/>
      <c r="B38" s="150" t="s">
        <v>267</v>
      </c>
      <c r="C38" s="149"/>
      <c r="D38" s="151"/>
      <c r="E38" s="149"/>
      <c r="F38" s="152" t="s">
        <v>268</v>
      </c>
      <c r="G38" s="151"/>
    </row>
    <row r="39" spans="1:7" ht="23.25" customHeight="1">
      <c r="A39" s="149"/>
      <c r="B39" s="150" t="s">
        <v>269</v>
      </c>
      <c r="C39" s="149"/>
      <c r="D39" s="149"/>
      <c r="E39" s="149"/>
      <c r="F39" s="153">
        <v>2017</v>
      </c>
      <c r="G39" s="151"/>
    </row>
    <row r="40" spans="1:7" ht="17.25" customHeight="1">
      <c r="A40" s="149"/>
      <c r="B40" s="150" t="s">
        <v>270</v>
      </c>
      <c r="C40" s="149"/>
      <c r="D40" s="149"/>
      <c r="E40" s="154"/>
      <c r="F40" s="155" t="s">
        <v>271</v>
      </c>
      <c r="G40" s="151"/>
    </row>
    <row r="41" spans="1:7" ht="17.25" customHeight="1">
      <c r="A41" s="149"/>
      <c r="B41" s="150" t="s">
        <v>272</v>
      </c>
      <c r="C41" s="149"/>
      <c r="D41" s="149"/>
      <c r="E41" s="154"/>
      <c r="F41" s="155" t="s">
        <v>294</v>
      </c>
      <c r="G41" s="151"/>
    </row>
    <row r="42" spans="1:7">
      <c r="A42" s="149"/>
      <c r="B42" s="442" t="s">
        <v>274</v>
      </c>
      <c r="C42" s="442"/>
      <c r="D42" s="442"/>
      <c r="E42" s="442"/>
      <c r="F42" s="443"/>
      <c r="G42" s="151"/>
    </row>
    <row r="43" spans="1:7">
      <c r="A43" s="149"/>
      <c r="B43" s="149"/>
      <c r="C43" s="150" t="s">
        <v>275</v>
      </c>
      <c r="D43" s="150" t="s">
        <v>276</v>
      </c>
      <c r="E43" s="150" t="s">
        <v>277</v>
      </c>
      <c r="F43" s="150" t="s">
        <v>278</v>
      </c>
      <c r="G43" s="151"/>
    </row>
    <row r="44" spans="1:7" ht="30.75" customHeight="1">
      <c r="A44" s="149" t="s">
        <v>279</v>
      </c>
      <c r="B44" s="150" t="s">
        <v>280</v>
      </c>
      <c r="C44" s="150" t="s">
        <v>281</v>
      </c>
      <c r="D44" s="150" t="s">
        <v>282</v>
      </c>
      <c r="E44" s="150" t="s">
        <v>283</v>
      </c>
      <c r="F44" s="150" t="s">
        <v>284</v>
      </c>
      <c r="G44" s="151"/>
    </row>
    <row r="45" spans="1:7" ht="15.75" customHeight="1">
      <c r="A45" s="149">
        <v>1</v>
      </c>
      <c r="B45" s="149" t="s">
        <v>285</v>
      </c>
      <c r="C45" s="156">
        <v>10401</v>
      </c>
      <c r="D45" s="166">
        <v>1659113605.1400001</v>
      </c>
      <c r="E45" s="167">
        <v>0.01</v>
      </c>
      <c r="F45" s="168">
        <f>D45*E45</f>
        <v>16591136.051400002</v>
      </c>
      <c r="G45" s="151"/>
    </row>
    <row r="46" spans="1:7">
      <c r="A46" s="149">
        <v>2</v>
      </c>
      <c r="B46" s="149" t="s">
        <v>286</v>
      </c>
      <c r="C46" s="156">
        <v>81</v>
      </c>
      <c r="D46" s="166">
        <v>2163744.0499999998</v>
      </c>
      <c r="E46" s="167">
        <v>0.05</v>
      </c>
      <c r="F46" s="168">
        <f>D46*E46</f>
        <v>108187.2025</v>
      </c>
      <c r="G46" s="151"/>
    </row>
    <row r="47" spans="1:7" ht="14.25" customHeight="1">
      <c r="A47" s="149">
        <v>3</v>
      </c>
      <c r="B47" s="149" t="s">
        <v>287</v>
      </c>
      <c r="C47" s="156">
        <v>474</v>
      </c>
      <c r="D47" s="166">
        <v>27649020.649999999</v>
      </c>
      <c r="E47" s="167">
        <v>0.25</v>
      </c>
      <c r="F47" s="168">
        <f>D47*E47</f>
        <v>6912255.1624999996</v>
      </c>
      <c r="G47" s="151"/>
    </row>
    <row r="48" spans="1:7">
      <c r="A48" s="149">
        <v>4</v>
      </c>
      <c r="B48" s="149" t="s">
        <v>288</v>
      </c>
      <c r="C48" s="156">
        <v>256</v>
      </c>
      <c r="D48" s="166">
        <v>11508312.68</v>
      </c>
      <c r="E48" s="167">
        <v>0.5</v>
      </c>
      <c r="F48" s="168">
        <f>D48*E48</f>
        <v>5754156.3399999999</v>
      </c>
      <c r="G48" s="151"/>
    </row>
    <row r="49" spans="1:7">
      <c r="A49" s="149">
        <v>5</v>
      </c>
      <c r="B49" s="149" t="s">
        <v>289</v>
      </c>
      <c r="C49" s="156">
        <v>664</v>
      </c>
      <c r="D49" s="166">
        <v>26681484.260000002</v>
      </c>
      <c r="E49" s="167">
        <v>1</v>
      </c>
      <c r="F49" s="168">
        <f>D49*E49</f>
        <v>26681484.260000002</v>
      </c>
      <c r="G49" s="151"/>
    </row>
    <row r="50" spans="1:7" ht="14.25" customHeight="1">
      <c r="A50" s="149"/>
      <c r="B50" s="150" t="s">
        <v>290</v>
      </c>
      <c r="C50" s="150">
        <f>SUM(C45:C49)</f>
        <v>11876</v>
      </c>
      <c r="D50" s="169">
        <f>SUM(D45:D49)</f>
        <v>1727116166.7800002</v>
      </c>
      <c r="E50" s="169"/>
      <c r="F50" s="169">
        <f>SUM(F45:F49)</f>
        <v>56047219.016400002</v>
      </c>
      <c r="G50" s="151"/>
    </row>
    <row r="51" spans="1:7" ht="27" customHeight="1">
      <c r="A51" s="149"/>
      <c r="B51" s="149" t="s">
        <v>291</v>
      </c>
      <c r="C51" s="156"/>
      <c r="D51" s="156"/>
      <c r="E51" s="156"/>
      <c r="F51" s="156"/>
      <c r="G51" s="151"/>
    </row>
    <row r="52" spans="1:7" ht="18" customHeight="1">
      <c r="A52" s="149">
        <v>1</v>
      </c>
      <c r="B52" s="149" t="s">
        <v>285</v>
      </c>
      <c r="C52" s="156">
        <v>0</v>
      </c>
      <c r="D52" s="156">
        <v>0</v>
      </c>
      <c r="E52" s="157">
        <v>0.01</v>
      </c>
      <c r="F52" s="149">
        <f>D52*E52</f>
        <v>0</v>
      </c>
      <c r="G52" s="151"/>
    </row>
    <row r="53" spans="1:7">
      <c r="A53" s="149">
        <v>2</v>
      </c>
      <c r="B53" s="149" t="s">
        <v>286</v>
      </c>
      <c r="C53" s="156">
        <v>0</v>
      </c>
      <c r="D53" s="156">
        <v>0</v>
      </c>
      <c r="E53" s="157">
        <v>0.05</v>
      </c>
      <c r="F53" s="149">
        <f>D53*E53</f>
        <v>0</v>
      </c>
      <c r="G53" s="151"/>
    </row>
    <row r="54" spans="1:7" ht="14.25" customHeight="1">
      <c r="A54" s="149">
        <v>3</v>
      </c>
      <c r="B54" s="149" t="s">
        <v>287</v>
      </c>
      <c r="C54" s="156">
        <v>0</v>
      </c>
      <c r="D54" s="156">
        <v>0</v>
      </c>
      <c r="E54" s="157">
        <v>0.25</v>
      </c>
      <c r="F54" s="149">
        <f>D54*E54</f>
        <v>0</v>
      </c>
      <c r="G54" s="151"/>
    </row>
    <row r="55" spans="1:7">
      <c r="A55" s="149">
        <v>4</v>
      </c>
      <c r="B55" s="149" t="s">
        <v>288</v>
      </c>
      <c r="C55" s="156">
        <v>0</v>
      </c>
      <c r="D55" s="156">
        <v>0</v>
      </c>
      <c r="E55" s="157">
        <v>0.5</v>
      </c>
      <c r="F55" s="149">
        <f>D55*E55</f>
        <v>0</v>
      </c>
      <c r="G55" s="151"/>
    </row>
    <row r="56" spans="1:7">
      <c r="A56" s="149">
        <v>5</v>
      </c>
      <c r="B56" s="149" t="s">
        <v>289</v>
      </c>
      <c r="C56" s="156">
        <v>0</v>
      </c>
      <c r="D56" s="156">
        <v>0</v>
      </c>
      <c r="E56" s="157">
        <v>1</v>
      </c>
      <c r="F56" s="149">
        <f>D56*E56</f>
        <v>0</v>
      </c>
      <c r="G56" s="151"/>
    </row>
    <row r="57" spans="1:7" ht="15.75" customHeight="1">
      <c r="A57" s="149"/>
      <c r="B57" s="150" t="s">
        <v>290</v>
      </c>
      <c r="C57" s="150">
        <f>SUM(C51:C56)</f>
        <v>0</v>
      </c>
      <c r="D57" s="150">
        <f>SUM(D51:D56)</f>
        <v>0</v>
      </c>
      <c r="E57" s="150"/>
      <c r="F57" s="150">
        <f>SUM(F51:F56)</f>
        <v>0</v>
      </c>
      <c r="G57" s="151"/>
    </row>
    <row r="58" spans="1:7" ht="20.25" customHeight="1">
      <c r="A58" s="149"/>
      <c r="B58" s="150" t="s">
        <v>292</v>
      </c>
      <c r="C58" s="150">
        <f>C50+C57</f>
        <v>11876</v>
      </c>
      <c r="D58" s="169">
        <f>D50+D57</f>
        <v>1727116166.7800002</v>
      </c>
      <c r="E58" s="169"/>
      <c r="F58" s="169">
        <f>F50+F57</f>
        <v>56047219.016400002</v>
      </c>
      <c r="G58" s="151"/>
    </row>
    <row r="59" spans="1:7">
      <c r="A59" s="154"/>
      <c r="B59" s="159"/>
      <c r="C59" s="159"/>
      <c r="D59" s="159"/>
      <c r="E59" s="159"/>
      <c r="F59" s="160"/>
      <c r="G59" s="151"/>
    </row>
    <row r="60" spans="1:7">
      <c r="A60" s="444" t="s">
        <v>293</v>
      </c>
      <c r="B60" s="444"/>
      <c r="C60" s="444"/>
      <c r="D60" s="444"/>
      <c r="E60" s="444"/>
      <c r="F60" s="444"/>
      <c r="G60" s="151"/>
    </row>
    <row r="61" spans="1:7">
      <c r="A61" s="161"/>
      <c r="B61" s="161"/>
      <c r="C61" s="161"/>
      <c r="D61" s="161"/>
      <c r="E61" s="161"/>
      <c r="F61" s="161"/>
      <c r="G61" s="151"/>
    </row>
    <row r="62" spans="1:7">
      <c r="A62" s="147"/>
      <c r="B62" s="162" t="s">
        <v>77</v>
      </c>
      <c r="C62" s="163"/>
      <c r="D62" s="164"/>
      <c r="E62" s="164"/>
      <c r="F62" s="164"/>
      <c r="G62" s="151"/>
    </row>
    <row r="63" spans="1:7">
      <c r="A63" s="147"/>
      <c r="B63" s="440" t="s">
        <v>78</v>
      </c>
      <c r="C63" s="440"/>
      <c r="D63" s="440"/>
      <c r="E63" s="440"/>
      <c r="F63" s="440"/>
      <c r="G63" s="151"/>
    </row>
    <row r="64" spans="1:7">
      <c r="A64" s="147"/>
      <c r="B64" s="440" t="s">
        <v>79</v>
      </c>
      <c r="C64" s="440"/>
      <c r="D64" s="440"/>
      <c r="E64" s="440"/>
      <c r="F64" s="440"/>
      <c r="G64" s="151"/>
    </row>
    <row r="65" spans="1:7" ht="26.1">
      <c r="A65" s="147"/>
      <c r="B65" s="163" t="s">
        <v>128</v>
      </c>
      <c r="C65" s="163"/>
      <c r="D65" s="164"/>
      <c r="E65" s="164"/>
      <c r="F65" s="164"/>
      <c r="G65" s="151"/>
    </row>
    <row r="66" spans="1:7">
      <c r="A66" s="147"/>
      <c r="B66" s="440" t="s">
        <v>79</v>
      </c>
      <c r="C66" s="440"/>
      <c r="D66" s="440"/>
      <c r="E66" s="440"/>
      <c r="F66" s="440"/>
      <c r="G66" s="151"/>
    </row>
    <row r="67" spans="1:7" ht="26.1">
      <c r="A67" s="147"/>
      <c r="B67" s="163" t="s">
        <v>129</v>
      </c>
      <c r="C67" s="163"/>
      <c r="D67" s="164"/>
      <c r="E67" s="164"/>
      <c r="F67" s="164"/>
      <c r="G67" s="151"/>
    </row>
    <row r="70" spans="1:7" ht="28.5">
      <c r="A70" s="147"/>
      <c r="B70" s="148" t="s">
        <v>265</v>
      </c>
      <c r="C70" s="147"/>
      <c r="D70" s="147"/>
      <c r="E70" s="147"/>
      <c r="F70" s="147"/>
    </row>
    <row r="71" spans="1:7">
      <c r="A71" s="149"/>
      <c r="B71" s="441" t="s">
        <v>266</v>
      </c>
      <c r="C71" s="441"/>
      <c r="D71" s="441"/>
      <c r="E71" s="441"/>
      <c r="F71" s="441"/>
    </row>
    <row r="72" spans="1:7" ht="36" customHeight="1">
      <c r="A72" s="149"/>
      <c r="B72" s="150" t="s">
        <v>267</v>
      </c>
      <c r="C72" s="149"/>
      <c r="D72" s="151"/>
      <c r="E72" s="149"/>
      <c r="F72" s="152" t="s">
        <v>268</v>
      </c>
    </row>
    <row r="73" spans="1:7" ht="29.25" customHeight="1">
      <c r="A73" s="149"/>
      <c r="B73" s="150" t="s">
        <v>269</v>
      </c>
      <c r="C73" s="149"/>
      <c r="D73" s="149"/>
      <c r="E73" s="149"/>
      <c r="F73" s="153">
        <v>2017</v>
      </c>
    </row>
    <row r="74" spans="1:7" ht="21.75" customHeight="1">
      <c r="A74" s="149"/>
      <c r="B74" s="150" t="s">
        <v>270</v>
      </c>
      <c r="C74" s="149"/>
      <c r="D74" s="149"/>
      <c r="E74" s="154"/>
      <c r="F74" s="155" t="s">
        <v>271</v>
      </c>
    </row>
    <row r="75" spans="1:7" ht="19.5" customHeight="1">
      <c r="A75" s="149"/>
      <c r="B75" s="150" t="s">
        <v>272</v>
      </c>
      <c r="C75" s="149"/>
      <c r="D75" s="149"/>
      <c r="E75" s="154"/>
      <c r="F75" s="155" t="s">
        <v>295</v>
      </c>
    </row>
    <row r="76" spans="1:7">
      <c r="A76" s="149"/>
      <c r="B76" s="442" t="s">
        <v>274</v>
      </c>
      <c r="C76" s="442"/>
      <c r="D76" s="442"/>
      <c r="E76" s="442"/>
      <c r="F76" s="443"/>
    </row>
    <row r="77" spans="1:7">
      <c r="A77" s="149"/>
      <c r="B77" s="149"/>
      <c r="C77" s="150" t="s">
        <v>275</v>
      </c>
      <c r="D77" s="150" t="s">
        <v>276</v>
      </c>
      <c r="E77" s="150" t="s">
        <v>277</v>
      </c>
      <c r="F77" s="150" t="s">
        <v>278</v>
      </c>
    </row>
    <row r="78" spans="1:7" ht="42.6">
      <c r="A78" s="149" t="s">
        <v>279</v>
      </c>
      <c r="B78" s="150" t="s">
        <v>280</v>
      </c>
      <c r="C78" s="150" t="s">
        <v>281</v>
      </c>
      <c r="D78" s="150" t="s">
        <v>282</v>
      </c>
      <c r="E78" s="150" t="s">
        <v>283</v>
      </c>
      <c r="F78" s="150" t="s">
        <v>284</v>
      </c>
    </row>
    <row r="79" spans="1:7" ht="15" customHeight="1">
      <c r="A79" s="149">
        <v>1</v>
      </c>
      <c r="B79" s="149" t="s">
        <v>285</v>
      </c>
      <c r="C79" s="156">
        <v>11770</v>
      </c>
      <c r="D79" s="166">
        <v>1747548341.24</v>
      </c>
      <c r="E79" s="167">
        <v>0.01</v>
      </c>
      <c r="F79" s="168">
        <f>D79*E79</f>
        <v>17475483.4124</v>
      </c>
    </row>
    <row r="80" spans="1:7">
      <c r="A80" s="149">
        <v>2</v>
      </c>
      <c r="B80" s="149" t="s">
        <v>286</v>
      </c>
      <c r="C80" s="156">
        <v>138</v>
      </c>
      <c r="D80" s="166">
        <v>5506042.9699999997</v>
      </c>
      <c r="E80" s="167">
        <v>0.05</v>
      </c>
      <c r="F80" s="168">
        <f>D80*E80</f>
        <v>275302.14850000001</v>
      </c>
    </row>
    <row r="81" spans="1:6" ht="15" customHeight="1">
      <c r="A81" s="149">
        <v>3</v>
      </c>
      <c r="B81" s="149" t="s">
        <v>287</v>
      </c>
      <c r="C81" s="156">
        <v>385</v>
      </c>
      <c r="D81" s="166">
        <v>14780152.18</v>
      </c>
      <c r="E81" s="167">
        <v>0.25</v>
      </c>
      <c r="F81" s="168">
        <f>D81*E81</f>
        <v>3695038.0449999999</v>
      </c>
    </row>
    <row r="82" spans="1:6">
      <c r="A82" s="149">
        <v>4</v>
      </c>
      <c r="B82" s="149" t="s">
        <v>288</v>
      </c>
      <c r="C82" s="156">
        <v>462</v>
      </c>
      <c r="D82" s="166">
        <v>31526199.899999999</v>
      </c>
      <c r="E82" s="167">
        <v>0.5</v>
      </c>
      <c r="F82" s="168">
        <f>D82*E82</f>
        <v>15763099.949999999</v>
      </c>
    </row>
    <row r="83" spans="1:6">
      <c r="A83" s="149">
        <v>5</v>
      </c>
      <c r="B83" s="149" t="s">
        <v>289</v>
      </c>
      <c r="C83" s="156">
        <v>770</v>
      </c>
      <c r="D83" s="166">
        <v>29453502.870000001</v>
      </c>
      <c r="E83" s="167">
        <v>1</v>
      </c>
      <c r="F83" s="168">
        <f>D83*E83</f>
        <v>29453502.870000001</v>
      </c>
    </row>
    <row r="84" spans="1:6">
      <c r="A84" s="149"/>
      <c r="B84" s="150" t="s">
        <v>290</v>
      </c>
      <c r="C84" s="150">
        <f>SUM(C79:C83)</f>
        <v>13525</v>
      </c>
      <c r="D84" s="169">
        <f>SUM(D79:D83)</f>
        <v>1828814239.1600001</v>
      </c>
      <c r="E84" s="169"/>
      <c r="F84" s="169">
        <f>SUM(F79:F83)</f>
        <v>66662426.425899997</v>
      </c>
    </row>
    <row r="85" spans="1:6" ht="25.5" customHeight="1">
      <c r="A85" s="149"/>
      <c r="B85" s="149" t="s">
        <v>291</v>
      </c>
      <c r="C85" s="156"/>
      <c r="D85" s="156"/>
      <c r="E85" s="156"/>
      <c r="F85" s="156"/>
    </row>
    <row r="86" spans="1:6" ht="15" customHeight="1">
      <c r="A86" s="149">
        <v>1</v>
      </c>
      <c r="B86" s="149" t="s">
        <v>285</v>
      </c>
      <c r="C86" s="156">
        <v>0</v>
      </c>
      <c r="D86" s="156">
        <v>0</v>
      </c>
      <c r="E86" s="157">
        <v>0.01</v>
      </c>
      <c r="F86" s="149">
        <f>D86*E86</f>
        <v>0</v>
      </c>
    </row>
    <row r="87" spans="1:6">
      <c r="A87" s="149">
        <v>2</v>
      </c>
      <c r="B87" s="149" t="s">
        <v>286</v>
      </c>
      <c r="C87" s="156">
        <v>0</v>
      </c>
      <c r="D87" s="156">
        <v>0</v>
      </c>
      <c r="E87" s="157">
        <v>0.05</v>
      </c>
      <c r="F87" s="149">
        <f>D87*E87</f>
        <v>0</v>
      </c>
    </row>
    <row r="88" spans="1:6" ht="16.5" customHeight="1">
      <c r="A88" s="149">
        <v>3</v>
      </c>
      <c r="B88" s="149" t="s">
        <v>287</v>
      </c>
      <c r="C88" s="156">
        <v>0</v>
      </c>
      <c r="D88" s="156">
        <v>0</v>
      </c>
      <c r="E88" s="157">
        <v>0.25</v>
      </c>
      <c r="F88" s="149">
        <f>D88*E88</f>
        <v>0</v>
      </c>
    </row>
    <row r="89" spans="1:6">
      <c r="A89" s="149">
        <v>4</v>
      </c>
      <c r="B89" s="149" t="s">
        <v>288</v>
      </c>
      <c r="C89" s="156">
        <v>0</v>
      </c>
      <c r="D89" s="156">
        <v>0</v>
      </c>
      <c r="E89" s="157">
        <v>0.5</v>
      </c>
      <c r="F89" s="149">
        <f>D89*E89</f>
        <v>0</v>
      </c>
    </row>
    <row r="90" spans="1:6">
      <c r="A90" s="149">
        <v>5</v>
      </c>
      <c r="B90" s="149" t="s">
        <v>289</v>
      </c>
      <c r="C90" s="156">
        <v>0</v>
      </c>
      <c r="D90" s="156">
        <v>0</v>
      </c>
      <c r="E90" s="157">
        <v>1</v>
      </c>
      <c r="F90" s="149">
        <f>D90*E90</f>
        <v>0</v>
      </c>
    </row>
    <row r="91" spans="1:6">
      <c r="A91" s="149"/>
      <c r="B91" s="150" t="s">
        <v>290</v>
      </c>
      <c r="C91" s="150">
        <f>SUM(C85:C90)</f>
        <v>0</v>
      </c>
      <c r="D91" s="150">
        <f>SUM(D85:D90)</f>
        <v>0</v>
      </c>
      <c r="E91" s="150"/>
      <c r="F91" s="150">
        <f>SUM(F85:F90)</f>
        <v>0</v>
      </c>
    </row>
    <row r="92" spans="1:6">
      <c r="A92" s="149"/>
      <c r="B92" s="150" t="s">
        <v>292</v>
      </c>
      <c r="C92" s="150">
        <f>C84+C91</f>
        <v>13525</v>
      </c>
      <c r="D92" s="169">
        <f>D84+D91</f>
        <v>1828814239.1600001</v>
      </c>
      <c r="E92" s="169"/>
      <c r="F92" s="169">
        <f>F84+F91</f>
        <v>66662426.425899997</v>
      </c>
    </row>
    <row r="93" spans="1:6">
      <c r="A93" s="154"/>
      <c r="B93" s="159"/>
      <c r="C93" s="159"/>
      <c r="D93" s="159"/>
      <c r="E93" s="159"/>
      <c r="F93" s="160"/>
    </row>
    <row r="94" spans="1:6">
      <c r="A94" s="444" t="s">
        <v>293</v>
      </c>
      <c r="B94" s="444"/>
      <c r="C94" s="444"/>
      <c r="D94" s="444"/>
      <c r="E94" s="444"/>
      <c r="F94" s="444"/>
    </row>
    <row r="97" spans="1:6" ht="28.5">
      <c r="A97" s="147"/>
      <c r="B97" s="148" t="s">
        <v>265</v>
      </c>
      <c r="C97" s="147"/>
      <c r="D97" s="147"/>
      <c r="E97" s="147"/>
      <c r="F97" s="147"/>
    </row>
    <row r="98" spans="1:6">
      <c r="A98" s="149"/>
      <c r="B98" s="441" t="s">
        <v>266</v>
      </c>
      <c r="C98" s="441"/>
      <c r="D98" s="441"/>
      <c r="E98" s="441"/>
      <c r="F98" s="441"/>
    </row>
    <row r="99" spans="1:6" ht="28.5">
      <c r="A99" s="149"/>
      <c r="B99" s="150" t="s">
        <v>267</v>
      </c>
      <c r="C99" s="149"/>
      <c r="D99" s="151"/>
      <c r="E99" s="149"/>
      <c r="F99" s="152" t="s">
        <v>268</v>
      </c>
    </row>
    <row r="100" spans="1:6">
      <c r="A100" s="149"/>
      <c r="B100" s="150" t="s">
        <v>269</v>
      </c>
      <c r="C100" s="149"/>
      <c r="D100" s="149"/>
      <c r="E100" s="149"/>
      <c r="F100" s="153">
        <v>2017</v>
      </c>
    </row>
    <row r="101" spans="1:6">
      <c r="A101" s="149"/>
      <c r="B101" s="150" t="s">
        <v>270</v>
      </c>
      <c r="C101" s="149"/>
      <c r="D101" s="149"/>
      <c r="E101" s="154"/>
      <c r="F101" s="155" t="s">
        <v>271</v>
      </c>
    </row>
    <row r="102" spans="1:6">
      <c r="A102" s="149"/>
      <c r="B102" s="150" t="s">
        <v>272</v>
      </c>
      <c r="C102" s="149"/>
      <c r="D102" s="149"/>
      <c r="E102" s="154"/>
      <c r="F102" s="155" t="s">
        <v>296</v>
      </c>
    </row>
    <row r="103" spans="1:6">
      <c r="A103" s="149"/>
      <c r="B103" s="442" t="s">
        <v>274</v>
      </c>
      <c r="C103" s="442"/>
      <c r="D103" s="442"/>
      <c r="E103" s="442"/>
      <c r="F103" s="443"/>
    </row>
    <row r="104" spans="1:6">
      <c r="A104" s="149"/>
      <c r="B104" s="149"/>
      <c r="C104" s="150" t="s">
        <v>275</v>
      </c>
      <c r="D104" s="150" t="s">
        <v>276</v>
      </c>
      <c r="E104" s="150" t="s">
        <v>277</v>
      </c>
      <c r="F104" s="150" t="s">
        <v>278</v>
      </c>
    </row>
    <row r="105" spans="1:6" ht="42.6">
      <c r="A105" s="149" t="s">
        <v>279</v>
      </c>
      <c r="B105" s="150" t="s">
        <v>280</v>
      </c>
      <c r="C105" s="150" t="s">
        <v>281</v>
      </c>
      <c r="D105" s="150" t="s">
        <v>282</v>
      </c>
      <c r="E105" s="150" t="s">
        <v>283</v>
      </c>
      <c r="F105" s="150" t="s">
        <v>284</v>
      </c>
    </row>
    <row r="106" spans="1:6">
      <c r="A106" s="149">
        <v>1</v>
      </c>
      <c r="B106" s="149" t="s">
        <v>285</v>
      </c>
      <c r="C106" s="156">
        <v>9533</v>
      </c>
      <c r="D106" s="156">
        <v>1660292955.8499999</v>
      </c>
      <c r="E106" s="157">
        <v>0.01</v>
      </c>
      <c r="F106" s="149">
        <f>D106*E106</f>
        <v>16602929.558499999</v>
      </c>
    </row>
    <row r="107" spans="1:6">
      <c r="A107" s="149">
        <v>2</v>
      </c>
      <c r="B107" s="149" t="s">
        <v>286</v>
      </c>
      <c r="C107" s="156">
        <v>114</v>
      </c>
      <c r="D107" s="156">
        <v>4034383.67</v>
      </c>
      <c r="E107" s="157">
        <v>0.05</v>
      </c>
      <c r="F107" s="149">
        <f>D107*E107</f>
        <v>201719.18350000001</v>
      </c>
    </row>
    <row r="108" spans="1:6">
      <c r="A108" s="149">
        <v>3</v>
      </c>
      <c r="B108" s="149" t="s">
        <v>287</v>
      </c>
      <c r="C108" s="156">
        <v>320</v>
      </c>
      <c r="D108" s="156">
        <v>13448912.33</v>
      </c>
      <c r="E108" s="157">
        <v>0.25</v>
      </c>
      <c r="F108" s="149">
        <f>D108*E108</f>
        <v>3362228.0825</v>
      </c>
    </row>
    <row r="109" spans="1:6">
      <c r="A109" s="149">
        <v>4</v>
      </c>
      <c r="B109" s="149" t="s">
        <v>288</v>
      </c>
      <c r="C109" s="156">
        <v>232</v>
      </c>
      <c r="D109" s="156">
        <v>7856522.3600000003</v>
      </c>
      <c r="E109" s="157">
        <v>0.5</v>
      </c>
      <c r="F109" s="149">
        <f>D109*E109</f>
        <v>3928261.18</v>
      </c>
    </row>
    <row r="110" spans="1:6">
      <c r="A110" s="149">
        <v>5</v>
      </c>
      <c r="B110" s="149" t="s">
        <v>289</v>
      </c>
      <c r="C110" s="156">
        <v>816</v>
      </c>
      <c r="D110" s="156">
        <v>35656631.799999997</v>
      </c>
      <c r="E110" s="157">
        <v>1</v>
      </c>
      <c r="F110" s="149">
        <f>D110*E110</f>
        <v>35656631.799999997</v>
      </c>
    </row>
    <row r="111" spans="1:6">
      <c r="A111" s="149"/>
      <c r="B111" s="150" t="s">
        <v>290</v>
      </c>
      <c r="C111" s="150">
        <f>SUM(C106:C110)</f>
        <v>11015</v>
      </c>
      <c r="D111" s="150">
        <f>SUM(D106:D110)</f>
        <v>1721289406.0099998</v>
      </c>
      <c r="E111" s="158"/>
      <c r="F111" s="150">
        <f>SUM(F106:F110)</f>
        <v>59751769.804499999</v>
      </c>
    </row>
    <row r="112" spans="1:6" ht="28.5">
      <c r="A112" s="149"/>
      <c r="B112" s="149" t="s">
        <v>291</v>
      </c>
      <c r="C112" s="156"/>
      <c r="D112" s="156"/>
      <c r="E112" s="156"/>
      <c r="F112" s="156"/>
    </row>
    <row r="113" spans="1:6">
      <c r="A113" s="149">
        <v>1</v>
      </c>
      <c r="B113" s="149" t="s">
        <v>285</v>
      </c>
      <c r="C113" s="156">
        <v>0</v>
      </c>
      <c r="D113" s="156">
        <v>0</v>
      </c>
      <c r="E113" s="157">
        <v>0.01</v>
      </c>
      <c r="F113" s="149">
        <f>D113*E113</f>
        <v>0</v>
      </c>
    </row>
    <row r="114" spans="1:6">
      <c r="A114" s="149">
        <v>2</v>
      </c>
      <c r="B114" s="149" t="s">
        <v>286</v>
      </c>
      <c r="C114" s="156">
        <v>0</v>
      </c>
      <c r="D114" s="156">
        <v>0</v>
      </c>
      <c r="E114" s="157">
        <v>0.05</v>
      </c>
      <c r="F114" s="149">
        <f>D114*E114</f>
        <v>0</v>
      </c>
    </row>
    <row r="115" spans="1:6">
      <c r="A115" s="149">
        <v>3</v>
      </c>
      <c r="B115" s="149" t="s">
        <v>287</v>
      </c>
      <c r="C115" s="156">
        <v>0</v>
      </c>
      <c r="D115" s="156">
        <v>0</v>
      </c>
      <c r="E115" s="157">
        <v>0.25</v>
      </c>
      <c r="F115" s="149">
        <f>D115*E115</f>
        <v>0</v>
      </c>
    </row>
    <row r="116" spans="1:6">
      <c r="A116" s="149">
        <v>4</v>
      </c>
      <c r="B116" s="149" t="s">
        <v>288</v>
      </c>
      <c r="C116" s="156">
        <v>0</v>
      </c>
      <c r="D116" s="156">
        <v>0</v>
      </c>
      <c r="E116" s="157">
        <v>0.5</v>
      </c>
      <c r="F116" s="149">
        <f>D116*E116</f>
        <v>0</v>
      </c>
    </row>
    <row r="117" spans="1:6">
      <c r="A117" s="149">
        <v>5</v>
      </c>
      <c r="B117" s="149" t="s">
        <v>289</v>
      </c>
      <c r="C117" s="156">
        <v>0</v>
      </c>
      <c r="D117" s="156">
        <v>0</v>
      </c>
      <c r="E117" s="157">
        <v>1</v>
      </c>
      <c r="F117" s="149">
        <f>D117*E117</f>
        <v>0</v>
      </c>
    </row>
    <row r="118" spans="1:6">
      <c r="A118" s="149"/>
      <c r="B118" s="150" t="s">
        <v>290</v>
      </c>
      <c r="C118" s="150">
        <f>SUM(C112:C117)</f>
        <v>0</v>
      </c>
      <c r="D118" s="150">
        <f>SUM(D112:D117)</f>
        <v>0</v>
      </c>
      <c r="E118" s="150"/>
      <c r="F118" s="150">
        <f>SUM(F112:F117)</f>
        <v>0</v>
      </c>
    </row>
    <row r="119" spans="1:6">
      <c r="A119" s="149"/>
      <c r="B119" s="150" t="s">
        <v>292</v>
      </c>
      <c r="C119" s="150">
        <f>C111+C118</f>
        <v>11015</v>
      </c>
      <c r="D119" s="150">
        <f>D111+D118</f>
        <v>1721289406.0099998</v>
      </c>
      <c r="E119" s="150"/>
      <c r="F119" s="150">
        <f>F111+F118</f>
        <v>59751769.804499999</v>
      </c>
    </row>
    <row r="120" spans="1:6">
      <c r="A120" s="154"/>
      <c r="B120" s="159"/>
      <c r="C120" s="159"/>
      <c r="D120" s="159"/>
      <c r="E120" s="159"/>
      <c r="F120" s="160"/>
    </row>
    <row r="121" spans="1:6">
      <c r="A121" s="444" t="s">
        <v>293</v>
      </c>
      <c r="B121" s="444"/>
      <c r="C121" s="444"/>
      <c r="D121" s="444"/>
      <c r="E121" s="444"/>
      <c r="F121" s="444"/>
    </row>
  </sheetData>
  <mergeCells count="18">
    <mergeCell ref="B2:F2"/>
    <mergeCell ref="B7:F7"/>
    <mergeCell ref="A25:F25"/>
    <mergeCell ref="B28:F28"/>
    <mergeCell ref="B29:F29"/>
    <mergeCell ref="B98:F98"/>
    <mergeCell ref="B103:F103"/>
    <mergeCell ref="A121:F121"/>
    <mergeCell ref="B76:F76"/>
    <mergeCell ref="A94:F94"/>
    <mergeCell ref="B66:F66"/>
    <mergeCell ref="B71:F71"/>
    <mergeCell ref="B31:F31"/>
    <mergeCell ref="B37:F37"/>
    <mergeCell ref="B42:F42"/>
    <mergeCell ref="A60:F60"/>
    <mergeCell ref="B63:F63"/>
    <mergeCell ref="B64:F64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>
      <selection activeCell="F15" sqref="F15"/>
    </sheetView>
  </sheetViews>
  <sheetFormatPr defaultRowHeight="14.4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12"/>
  <sheetViews>
    <sheetView workbookViewId="0">
      <selection activeCell="B17" sqref="B17"/>
    </sheetView>
  </sheetViews>
  <sheetFormatPr defaultRowHeight="14.45"/>
  <cols>
    <col min="1" max="1" width="22.5703125" bestFit="1" customWidth="1"/>
    <col min="2" max="2" width="18.5703125" bestFit="1" customWidth="1"/>
    <col min="3" max="3" width="19.140625" bestFit="1" customWidth="1"/>
    <col min="4" max="12" width="20.42578125" bestFit="1" customWidth="1"/>
  </cols>
  <sheetData>
    <row r="1" spans="1:12" ht="15" thickBot="1"/>
    <row r="2" spans="1:12" ht="15.6">
      <c r="A2" s="72"/>
      <c r="B2" s="73"/>
      <c r="C2" s="74"/>
      <c r="D2" s="445">
        <v>2015</v>
      </c>
      <c r="E2" s="445"/>
      <c r="F2" s="445"/>
      <c r="G2" s="75"/>
      <c r="H2" s="75"/>
      <c r="I2" s="75"/>
      <c r="J2" s="75"/>
      <c r="K2" s="75"/>
      <c r="L2" s="76"/>
    </row>
    <row r="3" spans="1:12" ht="15" customHeight="1">
      <c r="A3" s="77"/>
      <c r="B3" s="87" t="s">
        <v>8</v>
      </c>
      <c r="C3" s="88" t="s">
        <v>9</v>
      </c>
      <c r="D3" s="89">
        <v>42005</v>
      </c>
      <c r="E3" s="89">
        <v>42036</v>
      </c>
      <c r="F3" s="89">
        <v>42064</v>
      </c>
      <c r="G3" s="89">
        <v>42095</v>
      </c>
      <c r="H3" s="89">
        <v>42125</v>
      </c>
      <c r="I3" s="89">
        <v>42156</v>
      </c>
      <c r="J3" s="89">
        <v>42186</v>
      </c>
      <c r="K3" s="89">
        <v>42217</v>
      </c>
      <c r="L3" s="90">
        <v>42248</v>
      </c>
    </row>
    <row r="4" spans="1:12" ht="15.6" hidden="1">
      <c r="A4" s="77" t="s">
        <v>297</v>
      </c>
      <c r="B4" s="78">
        <v>1560105754</v>
      </c>
      <c r="C4" s="79">
        <v>1699301395</v>
      </c>
      <c r="D4" s="79">
        <v>1669088316.5899999</v>
      </c>
      <c r="E4" s="79">
        <v>1657344461.75</v>
      </c>
      <c r="F4" s="79">
        <v>1652260195.3500001</v>
      </c>
      <c r="G4" s="80">
        <v>1679089147.8799999</v>
      </c>
      <c r="H4" s="80">
        <v>1688949604.5</v>
      </c>
      <c r="I4" s="80">
        <v>1697944058.5599999</v>
      </c>
      <c r="J4" s="80">
        <v>1742591404.9599998</v>
      </c>
      <c r="K4" s="80">
        <v>1777788745.0799999</v>
      </c>
      <c r="L4" s="81">
        <v>1807799854.8999999</v>
      </c>
    </row>
    <row r="5" spans="1:12" ht="15.6" hidden="1">
      <c r="A5" s="77" t="s">
        <v>298</v>
      </c>
      <c r="B5" s="78">
        <v>1699301395</v>
      </c>
      <c r="C5" s="78">
        <v>1995648187</v>
      </c>
      <c r="D5" s="78">
        <v>1978434930.1200001</v>
      </c>
      <c r="E5" s="78">
        <v>1942033505.0500002</v>
      </c>
      <c r="F5" s="78">
        <v>1934954001.99</v>
      </c>
      <c r="G5" s="78">
        <v>1967188881.54</v>
      </c>
      <c r="H5" s="78">
        <v>1976784488.8299999</v>
      </c>
      <c r="I5" s="78">
        <v>1995219632.75</v>
      </c>
      <c r="J5" s="78">
        <v>2018704548.0000002</v>
      </c>
      <c r="K5" s="78">
        <v>2032786370.8799999</v>
      </c>
      <c r="L5" s="85">
        <v>2069087252.4499998</v>
      </c>
    </row>
    <row r="6" spans="1:12" ht="15.6" hidden="1">
      <c r="A6" s="77" t="s">
        <v>298</v>
      </c>
      <c r="B6" s="78">
        <v>1050502640</v>
      </c>
      <c r="C6" s="79">
        <v>1169889815</v>
      </c>
      <c r="D6" s="80">
        <v>1217913003.4200001</v>
      </c>
      <c r="E6" s="80">
        <v>1225386553.3</v>
      </c>
      <c r="F6" s="80">
        <v>1245854977.1800001</v>
      </c>
      <c r="G6" s="80">
        <v>1263999905.5699999</v>
      </c>
      <c r="H6" s="80">
        <v>1288635626.8800001</v>
      </c>
      <c r="I6" s="80">
        <v>1316353208.9000001</v>
      </c>
      <c r="J6" s="84">
        <v>1334828355.5999999</v>
      </c>
      <c r="K6" s="80">
        <v>1362482431.78</v>
      </c>
      <c r="L6" s="81">
        <v>1392677530.3199999</v>
      </c>
    </row>
    <row r="7" spans="1:12" ht="15.6">
      <c r="A7" s="77" t="s">
        <v>298</v>
      </c>
      <c r="B7" s="78">
        <f>B5/1000000</f>
        <v>1699.301395</v>
      </c>
      <c r="C7" s="78">
        <f t="shared" ref="C7:L7" si="0">C5/1000000</f>
        <v>1995.648187</v>
      </c>
      <c r="D7" s="78">
        <f t="shared" si="0"/>
        <v>1978.4349301200002</v>
      </c>
      <c r="E7" s="78">
        <f t="shared" si="0"/>
        <v>1942.0335050500003</v>
      </c>
      <c r="F7" s="78">
        <f t="shared" si="0"/>
        <v>1934.9540019900001</v>
      </c>
      <c r="G7" s="78">
        <f t="shared" si="0"/>
        <v>1967.18888154</v>
      </c>
      <c r="H7" s="78">
        <f t="shared" si="0"/>
        <v>1976.7844888299999</v>
      </c>
      <c r="I7" s="78">
        <f t="shared" si="0"/>
        <v>1995.2196327500001</v>
      </c>
      <c r="J7" s="78">
        <f t="shared" si="0"/>
        <v>2018.7045480000002</v>
      </c>
      <c r="K7" s="78">
        <f t="shared" si="0"/>
        <v>2032.7863708799998</v>
      </c>
      <c r="L7" s="78">
        <f t="shared" si="0"/>
        <v>2069.0872524499996</v>
      </c>
    </row>
    <row r="8" spans="1:12" ht="14.25" customHeight="1">
      <c r="A8" s="77" t="s">
        <v>299</v>
      </c>
      <c r="B8" s="82">
        <f>B6/1000000</f>
        <v>1050.5026399999999</v>
      </c>
      <c r="C8" s="82">
        <f t="shared" ref="C8:L8" si="1">C6/1000000</f>
        <v>1169.889815</v>
      </c>
      <c r="D8" s="82">
        <f t="shared" si="1"/>
        <v>1217.91300342</v>
      </c>
      <c r="E8" s="82">
        <f t="shared" si="1"/>
        <v>1225.3865533000001</v>
      </c>
      <c r="F8" s="82">
        <f t="shared" si="1"/>
        <v>1245.8549771800001</v>
      </c>
      <c r="G8" s="82">
        <f t="shared" si="1"/>
        <v>1263.99990557</v>
      </c>
      <c r="H8" s="82">
        <f t="shared" si="1"/>
        <v>1288.63562688</v>
      </c>
      <c r="I8" s="82">
        <f t="shared" si="1"/>
        <v>1316.3532089</v>
      </c>
      <c r="J8" s="82">
        <f t="shared" si="1"/>
        <v>1334.8283555999999</v>
      </c>
      <c r="K8" s="82">
        <f t="shared" si="1"/>
        <v>1362.4824317800001</v>
      </c>
      <c r="L8" s="83">
        <f t="shared" si="1"/>
        <v>1392.67753032</v>
      </c>
    </row>
    <row r="9" spans="1:12" ht="5.25" hidden="1" customHeight="1">
      <c r="A9" s="77" t="s">
        <v>300</v>
      </c>
      <c r="B9" s="78">
        <v>317987309</v>
      </c>
      <c r="C9" s="78">
        <v>400606236</v>
      </c>
      <c r="D9" s="78">
        <v>471755404.38</v>
      </c>
      <c r="E9" s="78">
        <v>420334469.88</v>
      </c>
      <c r="F9" s="78">
        <v>423498805.12</v>
      </c>
      <c r="G9" s="78">
        <v>425239803.25999999</v>
      </c>
      <c r="H9" s="78">
        <v>429311771.53000003</v>
      </c>
      <c r="I9" s="78">
        <v>432273182.19</v>
      </c>
      <c r="J9" s="78">
        <v>437627052.35000002</v>
      </c>
      <c r="K9" s="78">
        <v>440522203.13</v>
      </c>
      <c r="L9" s="85">
        <v>440371550.34999996</v>
      </c>
    </row>
    <row r="10" spans="1:12" ht="15.6">
      <c r="A10" s="77" t="s">
        <v>300</v>
      </c>
      <c r="B10" s="80">
        <f>B9/1000000</f>
        <v>317.98730899999998</v>
      </c>
      <c r="C10" s="80">
        <f t="shared" ref="C10:L10" si="2">C9/1000000</f>
        <v>400.60623600000002</v>
      </c>
      <c r="D10" s="80">
        <f t="shared" si="2"/>
        <v>471.75540438000002</v>
      </c>
      <c r="E10" s="80">
        <f t="shared" si="2"/>
        <v>420.33446987999997</v>
      </c>
      <c r="F10" s="80">
        <f t="shared" si="2"/>
        <v>423.49880511999999</v>
      </c>
      <c r="G10" s="80">
        <f t="shared" si="2"/>
        <v>425.23980325999997</v>
      </c>
      <c r="H10" s="80">
        <f t="shared" si="2"/>
        <v>429.31177153000004</v>
      </c>
      <c r="I10" s="80">
        <f t="shared" si="2"/>
        <v>432.27318219</v>
      </c>
      <c r="J10" s="80">
        <f t="shared" si="2"/>
        <v>437.62705235000004</v>
      </c>
      <c r="K10" s="80">
        <f t="shared" si="2"/>
        <v>440.52220312999998</v>
      </c>
      <c r="L10" s="81">
        <f t="shared" si="2"/>
        <v>440.37155034999995</v>
      </c>
    </row>
    <row r="11" spans="1:12" ht="15.6">
      <c r="A11" s="77" t="s">
        <v>301</v>
      </c>
      <c r="B11" s="80">
        <f t="shared" ref="B11:L11" si="3">B12/1000000</f>
        <v>317.988677489949</v>
      </c>
      <c r="C11" s="80">
        <f t="shared" si="3"/>
        <v>400.60780649605096</v>
      </c>
      <c r="D11" s="80">
        <f t="shared" si="3"/>
        <v>471.75709404840779</v>
      </c>
      <c r="E11" s="80">
        <f t="shared" si="3"/>
        <v>420.33611560102315</v>
      </c>
      <c r="F11" s="80">
        <f t="shared" si="3"/>
        <v>423.50047447378228</v>
      </c>
      <c r="G11" s="80">
        <f t="shared" si="3"/>
        <v>425.24149249970884</v>
      </c>
      <c r="H11" s="80">
        <f t="shared" si="3"/>
        <v>429.31348947739838</v>
      </c>
      <c r="I11" s="80">
        <f t="shared" si="3"/>
        <v>432.27493081639113</v>
      </c>
      <c r="J11" s="80">
        <f t="shared" si="3"/>
        <v>437.62882480540799</v>
      </c>
      <c r="K11" s="80">
        <f t="shared" si="3"/>
        <v>440.52400613463493</v>
      </c>
      <c r="L11" s="81">
        <f t="shared" si="3"/>
        <v>440.37338339908064</v>
      </c>
    </row>
    <row r="12" spans="1:12" ht="15.95" thickBot="1">
      <c r="A12" s="86"/>
      <c r="B12" s="91">
        <f t="shared" ref="B12:L12" si="4">SUM(B8:B10)</f>
        <v>317988677.48994899</v>
      </c>
      <c r="C12" s="92">
        <f t="shared" si="4"/>
        <v>400607806.49605095</v>
      </c>
      <c r="D12" s="92">
        <f t="shared" si="4"/>
        <v>471757094.04840779</v>
      </c>
      <c r="E12" s="92">
        <f t="shared" si="4"/>
        <v>420336115.60102314</v>
      </c>
      <c r="F12" s="92">
        <f t="shared" si="4"/>
        <v>423500474.4737823</v>
      </c>
      <c r="G12" s="93">
        <f t="shared" si="4"/>
        <v>425241492.49970883</v>
      </c>
      <c r="H12" s="93">
        <f t="shared" si="4"/>
        <v>429313489.4773984</v>
      </c>
      <c r="I12" s="93">
        <f t="shared" si="4"/>
        <v>432274930.81639111</v>
      </c>
      <c r="J12" s="93">
        <f t="shared" si="4"/>
        <v>437628824.805408</v>
      </c>
      <c r="K12" s="93">
        <f t="shared" si="4"/>
        <v>440524006.13463491</v>
      </c>
      <c r="L12" s="94">
        <f t="shared" si="4"/>
        <v>440373383.39908063</v>
      </c>
    </row>
  </sheetData>
  <mergeCells count="1">
    <mergeCell ref="D2:F2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5C299-22EA-4FD5-8481-B6F14E6BB331}">
  <dimension ref="A1:G64"/>
  <sheetViews>
    <sheetView tabSelected="1" workbookViewId="0">
      <selection activeCell="F35" sqref="F35"/>
    </sheetView>
  </sheetViews>
  <sheetFormatPr defaultRowHeight="14.45"/>
  <cols>
    <col min="1" max="1" width="72.28515625" customWidth="1"/>
    <col min="3" max="3" width="28.5703125" bestFit="1" customWidth="1"/>
    <col min="4" max="4" width="22.7109375" bestFit="1" customWidth="1"/>
    <col min="5" max="5" width="17.42578125" customWidth="1"/>
    <col min="6" max="6" width="18.140625" style="52" customWidth="1"/>
    <col min="7" max="7" width="18.7109375" customWidth="1"/>
  </cols>
  <sheetData>
    <row r="1" spans="1:7">
      <c r="A1" s="460" t="s">
        <v>302</v>
      </c>
      <c r="B1" s="461"/>
      <c r="C1" s="461"/>
      <c r="D1" s="461"/>
      <c r="E1" s="461"/>
      <c r="F1" s="461"/>
      <c r="G1" s="462"/>
    </row>
    <row r="2" spans="1:7">
      <c r="A2" s="463" t="s">
        <v>303</v>
      </c>
      <c r="B2" s="464"/>
      <c r="C2" s="464"/>
      <c r="D2" s="464"/>
      <c r="E2" s="464"/>
      <c r="F2" s="464"/>
      <c r="G2" s="465"/>
    </row>
    <row r="3" spans="1:7">
      <c r="A3" s="366" t="s">
        <v>304</v>
      </c>
      <c r="B3" s="466" t="s">
        <v>305</v>
      </c>
      <c r="C3" s="367" t="s">
        <v>306</v>
      </c>
      <c r="D3" s="464" t="s">
        <v>307</v>
      </c>
      <c r="E3" s="465"/>
      <c r="F3" s="446" t="s">
        <v>91</v>
      </c>
      <c r="G3" s="448" t="s">
        <v>308</v>
      </c>
    </row>
    <row r="4" spans="1:7" ht="29.1">
      <c r="A4" s="368" t="s">
        <v>304</v>
      </c>
      <c r="B4" s="467"/>
      <c r="C4" s="369">
        <v>2020</v>
      </c>
      <c r="D4" s="370" t="s">
        <v>309</v>
      </c>
      <c r="E4" s="371" t="s">
        <v>310</v>
      </c>
      <c r="F4" s="447"/>
      <c r="G4" s="449"/>
    </row>
    <row r="5" spans="1:7">
      <c r="A5" s="468" t="s">
        <v>311</v>
      </c>
      <c r="B5" s="469"/>
      <c r="C5" s="469"/>
      <c r="D5" s="469"/>
      <c r="E5" s="469"/>
      <c r="F5" s="469"/>
      <c r="G5" s="470"/>
    </row>
    <row r="6" spans="1:7">
      <c r="A6" s="372" t="s">
        <v>312</v>
      </c>
      <c r="B6" s="373" t="s">
        <v>313</v>
      </c>
      <c r="C6" s="375">
        <v>1146288715</v>
      </c>
      <c r="D6" s="375">
        <v>1154864001</v>
      </c>
      <c r="E6" s="374" t="s">
        <v>314</v>
      </c>
      <c r="F6" s="406" t="s">
        <v>315</v>
      </c>
      <c r="G6" s="375">
        <v>7290089864</v>
      </c>
    </row>
    <row r="7" spans="1:7">
      <c r="A7" s="372" t="s">
        <v>316</v>
      </c>
      <c r="B7" s="373" t="s">
        <v>317</v>
      </c>
      <c r="C7" s="376">
        <v>0.27400000000000002</v>
      </c>
      <c r="D7" s="376">
        <v>0.26700000000000002</v>
      </c>
      <c r="E7" s="374" t="e">
        <v>#DIV/0!</v>
      </c>
      <c r="F7" s="406" t="e">
        <v>#DIV/0!</v>
      </c>
      <c r="G7" s="376">
        <v>0.23300000000000001</v>
      </c>
    </row>
    <row r="8" spans="1:7">
      <c r="A8" s="372" t="s">
        <v>318</v>
      </c>
      <c r="B8" s="373" t="s">
        <v>319</v>
      </c>
      <c r="C8" s="376">
        <v>0.23899999999999999</v>
      </c>
      <c r="D8" s="376">
        <v>0.23100000000000001</v>
      </c>
      <c r="E8" s="374" t="e">
        <v>#DIV/0!</v>
      </c>
      <c r="F8" s="406" t="e">
        <v>#DIV/0!</v>
      </c>
      <c r="G8" s="376">
        <v>0.14099999999999999</v>
      </c>
    </row>
    <row r="9" spans="1:7">
      <c r="A9" s="468" t="s">
        <v>320</v>
      </c>
      <c r="B9" s="469"/>
      <c r="C9" s="469"/>
      <c r="D9" s="469"/>
      <c r="E9" s="469"/>
      <c r="F9" s="469"/>
      <c r="G9" s="470"/>
    </row>
    <row r="10" spans="1:7">
      <c r="A10" s="372" t="s">
        <v>321</v>
      </c>
      <c r="B10" s="374" t="s">
        <v>322</v>
      </c>
      <c r="C10" s="376">
        <v>0</v>
      </c>
      <c r="D10" s="376">
        <v>0.16900000000000001</v>
      </c>
      <c r="E10" s="374" t="e">
        <v>#DIV/0!</v>
      </c>
      <c r="F10" s="406" t="e">
        <v>#DIV/0!</v>
      </c>
      <c r="G10" s="376">
        <v>0.112</v>
      </c>
    </row>
    <row r="11" spans="1:7">
      <c r="A11" s="372" t="s">
        <v>163</v>
      </c>
      <c r="B11" s="374" t="s">
        <v>323</v>
      </c>
      <c r="C11" s="376">
        <v>5.8000000000000003E-2</v>
      </c>
      <c r="D11" s="376">
        <v>7.3999999999999996E-2</v>
      </c>
      <c r="E11" s="374" t="e">
        <v>#DIV/0!</v>
      </c>
      <c r="F11" s="406" t="e">
        <v>#DIV/0!</v>
      </c>
      <c r="G11" s="376">
        <v>9.4E-2</v>
      </c>
    </row>
    <row r="12" spans="1:7">
      <c r="A12" s="372" t="s">
        <v>324</v>
      </c>
      <c r="B12" s="374" t="s">
        <v>322</v>
      </c>
      <c r="C12" s="378">
        <v>4.0000000000000001E-3</v>
      </c>
      <c r="D12" s="378">
        <v>1.9E-2</v>
      </c>
      <c r="E12" s="377" t="e">
        <v>#DIV/0!</v>
      </c>
      <c r="F12" s="407" t="e">
        <v>#DIV/0!</v>
      </c>
      <c r="G12" s="378">
        <v>3.3000000000000002E-2</v>
      </c>
    </row>
    <row r="13" spans="1:7">
      <c r="A13" s="379" t="s">
        <v>325</v>
      </c>
      <c r="B13" s="374" t="s">
        <v>326</v>
      </c>
      <c r="C13" s="381">
        <v>8.9999999999999993E-3</v>
      </c>
      <c r="D13" s="381">
        <v>4.2000000000000003E-2</v>
      </c>
      <c r="E13" s="380" t="e">
        <v>#DIV/0!</v>
      </c>
      <c r="F13" s="408" t="e">
        <v>#DIV/0!</v>
      </c>
      <c r="G13" s="381">
        <v>9.2999999999999999E-2</v>
      </c>
    </row>
    <row r="14" spans="1:7">
      <c r="A14" s="468" t="s">
        <v>327</v>
      </c>
      <c r="B14" s="469"/>
      <c r="C14" s="469"/>
      <c r="D14" s="469"/>
      <c r="E14" s="469"/>
      <c r="F14" s="469"/>
      <c r="G14" s="470"/>
    </row>
    <row r="15" spans="1:7">
      <c r="A15" s="372" t="s">
        <v>328</v>
      </c>
      <c r="B15" s="374" t="s">
        <v>304</v>
      </c>
      <c r="C15" s="376">
        <v>0.17199999999999999</v>
      </c>
      <c r="D15" s="376">
        <v>0.111</v>
      </c>
      <c r="E15" s="374" t="e">
        <v>#DIV/0!</v>
      </c>
      <c r="F15" s="406" t="e">
        <v>#DIV/0!</v>
      </c>
      <c r="G15" s="376">
        <v>0.19</v>
      </c>
    </row>
    <row r="16" spans="1:7">
      <c r="A16" s="372" t="s">
        <v>329</v>
      </c>
      <c r="B16" s="374" t="s">
        <v>304</v>
      </c>
      <c r="C16" s="376">
        <v>0.626</v>
      </c>
      <c r="D16" s="376">
        <v>0.72599999999999998</v>
      </c>
      <c r="E16" s="374" t="e">
        <v>#DIV/0!</v>
      </c>
      <c r="F16" s="406" t="e">
        <v>#DIV/0!</v>
      </c>
      <c r="G16" s="376">
        <v>0.64</v>
      </c>
    </row>
    <row r="17" spans="1:7">
      <c r="A17" s="372" t="s">
        <v>330</v>
      </c>
      <c r="B17" s="374" t="s">
        <v>304</v>
      </c>
      <c r="C17" s="381">
        <v>4.3999999999999997E-2</v>
      </c>
      <c r="D17" s="381">
        <v>2.1000000000000001E-2</v>
      </c>
      <c r="E17" s="381">
        <v>0</v>
      </c>
      <c r="F17" s="408" t="e">
        <v>#DIV/0!</v>
      </c>
      <c r="G17" s="381">
        <v>5.0000000000000001E-3</v>
      </c>
    </row>
    <row r="18" spans="1:7">
      <c r="A18" s="379" t="s">
        <v>331</v>
      </c>
      <c r="B18" s="380" t="s">
        <v>304</v>
      </c>
      <c r="C18" s="381">
        <v>0.24399999999999999</v>
      </c>
      <c r="D18" s="381">
        <v>0.3</v>
      </c>
      <c r="E18" s="380" t="e">
        <v>#DIV/0!</v>
      </c>
      <c r="F18" s="408" t="e">
        <v>#DIV/0!</v>
      </c>
      <c r="G18" s="381">
        <v>0.42799999999999999</v>
      </c>
    </row>
    <row r="19" spans="1:7">
      <c r="A19" s="468" t="s">
        <v>332</v>
      </c>
      <c r="B19" s="469"/>
      <c r="C19" s="469"/>
      <c r="D19" s="469"/>
      <c r="E19" s="469"/>
      <c r="F19" s="469"/>
      <c r="G19" s="470"/>
    </row>
    <row r="20" spans="1:7">
      <c r="A20" s="372" t="s">
        <v>333</v>
      </c>
      <c r="B20" s="373" t="s">
        <v>334</v>
      </c>
      <c r="C20" s="376">
        <v>0.34599999999999997</v>
      </c>
      <c r="D20" s="376">
        <v>0.68700000000000006</v>
      </c>
      <c r="E20" s="374" t="e">
        <v>#DIV/0!</v>
      </c>
      <c r="F20" s="406" t="e">
        <v>#DIV/0!</v>
      </c>
      <c r="G20" s="376">
        <v>0.56000000000000005</v>
      </c>
    </row>
    <row r="21" spans="1:7">
      <c r="A21" s="372" t="s">
        <v>335</v>
      </c>
      <c r="B21" s="374" t="s">
        <v>336</v>
      </c>
      <c r="C21" s="376">
        <v>0</v>
      </c>
      <c r="D21" s="376">
        <v>1E-3</v>
      </c>
      <c r="E21" s="374" t="e">
        <v>#DIV/0!</v>
      </c>
      <c r="F21" s="406" t="e">
        <v>#DIV/0!</v>
      </c>
      <c r="G21" s="376">
        <v>4.0000000000000001E-3</v>
      </c>
    </row>
    <row r="22" spans="1:7">
      <c r="A22" s="372" t="s">
        <v>337</v>
      </c>
      <c r="B22" s="374" t="s">
        <v>304</v>
      </c>
      <c r="C22" s="376">
        <v>0.16800000000000001</v>
      </c>
      <c r="D22" s="376">
        <v>0.23100000000000001</v>
      </c>
      <c r="E22" s="374" t="e">
        <v>#DIV/0!</v>
      </c>
      <c r="F22" s="406" t="e">
        <v>#DIV/0!</v>
      </c>
      <c r="G22" s="376">
        <v>0.17799999999999999</v>
      </c>
    </row>
    <row r="23" spans="1:7">
      <c r="A23" s="468" t="s">
        <v>338</v>
      </c>
      <c r="B23" s="469"/>
      <c r="C23" s="469"/>
      <c r="D23" s="469"/>
      <c r="E23" s="469"/>
      <c r="F23" s="469"/>
      <c r="G23" s="470"/>
    </row>
    <row r="24" spans="1:7">
      <c r="A24" s="379" t="s">
        <v>339</v>
      </c>
      <c r="B24" s="380" t="s">
        <v>340</v>
      </c>
      <c r="C24" s="381">
        <v>0.71199999999999997</v>
      </c>
      <c r="D24" s="381">
        <v>0.77900000000000003</v>
      </c>
      <c r="E24" s="380" t="e">
        <v>#DIV/0!</v>
      </c>
      <c r="F24" s="408" t="e">
        <v>#DIV/0!</v>
      </c>
      <c r="G24" s="381">
        <v>0.749</v>
      </c>
    </row>
    <row r="25" spans="1:7">
      <c r="A25" s="379" t="s">
        <v>341</v>
      </c>
      <c r="B25" s="380" t="s">
        <v>342</v>
      </c>
      <c r="C25" s="381">
        <v>1.1479999999999999</v>
      </c>
      <c r="D25" s="381">
        <v>1.2789999999999999</v>
      </c>
      <c r="E25" s="380" t="e">
        <v>#DIV/0!</v>
      </c>
      <c r="F25" s="408" t="e">
        <v>#DIV/0!</v>
      </c>
      <c r="G25" s="381">
        <v>1.1339999999999999</v>
      </c>
    </row>
    <row r="26" spans="1:7">
      <c r="A26" s="379" t="s">
        <v>343</v>
      </c>
      <c r="B26" s="380" t="s">
        <v>304</v>
      </c>
      <c r="C26" s="381">
        <v>0.27</v>
      </c>
      <c r="D26" s="381">
        <v>4.4999999999999998E-2</v>
      </c>
      <c r="E26" s="380" t="e">
        <v>#DIV/0!</v>
      </c>
      <c r="F26" s="408" t="e">
        <v>#DIV/0!</v>
      </c>
      <c r="G26" s="381">
        <v>3.5000000000000003E-2</v>
      </c>
    </row>
    <row r="27" spans="1:7">
      <c r="A27" s="379" t="s">
        <v>344</v>
      </c>
      <c r="B27" s="382" t="s">
        <v>304</v>
      </c>
      <c r="C27" s="381">
        <v>0.375</v>
      </c>
      <c r="D27" s="381">
        <v>0.42399999999999999</v>
      </c>
      <c r="E27" s="380" t="e">
        <v>#DIV/0!</v>
      </c>
      <c r="F27" s="408" t="e">
        <v>#DIV/0!</v>
      </c>
      <c r="G27" s="381">
        <v>0.192</v>
      </c>
    </row>
    <row r="28" spans="1:7">
      <c r="A28" s="468" t="s">
        <v>345</v>
      </c>
      <c r="B28" s="469"/>
      <c r="C28" s="469"/>
      <c r="D28" s="469"/>
      <c r="E28" s="469"/>
      <c r="F28" s="469"/>
      <c r="G28" s="470"/>
    </row>
    <row r="29" spans="1:7">
      <c r="A29" s="383" t="s">
        <v>45</v>
      </c>
      <c r="B29" s="384" t="s">
        <v>304</v>
      </c>
      <c r="C29" s="385">
        <v>4189144224</v>
      </c>
      <c r="D29" s="385">
        <v>4324007408.8599997</v>
      </c>
      <c r="E29" s="384" t="s">
        <v>314</v>
      </c>
      <c r="F29" s="405">
        <f>'STATEMENT OF FINANCIAL POSITION'!AL39</f>
        <v>4707277148</v>
      </c>
      <c r="G29" s="387">
        <v>31315915532.150002</v>
      </c>
    </row>
    <row r="30" spans="1:7">
      <c r="A30" s="383" t="s">
        <v>346</v>
      </c>
      <c r="B30" s="384" t="s">
        <v>304</v>
      </c>
      <c r="C30" s="385">
        <v>3945358538</v>
      </c>
      <c r="D30" s="385">
        <v>4026347207.9000001</v>
      </c>
      <c r="E30" s="385">
        <v>2095715326.1900001</v>
      </c>
      <c r="F30" s="405">
        <f>(F29+C29)/2</f>
        <v>4448210686</v>
      </c>
      <c r="G30" s="387">
        <v>324282491324.87</v>
      </c>
    </row>
    <row r="31" spans="1:7">
      <c r="A31" s="383" t="s">
        <v>137</v>
      </c>
      <c r="B31" s="384" t="s">
        <v>304</v>
      </c>
      <c r="C31" s="387">
        <v>2600095208</v>
      </c>
      <c r="D31" s="387">
        <v>2633796221.8099999</v>
      </c>
      <c r="E31" s="386" t="s">
        <v>314</v>
      </c>
      <c r="F31" s="409">
        <f>'STATEMENT OF FINANCIAL POSITION'!AL46</f>
        <v>2849515045</v>
      </c>
      <c r="G31" s="387">
        <v>20678841952.41</v>
      </c>
    </row>
    <row r="32" spans="1:7">
      <c r="A32" s="383" t="s">
        <v>347</v>
      </c>
      <c r="B32" s="384" t="s">
        <v>304</v>
      </c>
      <c r="C32" s="389">
        <v>2983656626</v>
      </c>
      <c r="D32" s="389">
        <v>3369272539.8200002</v>
      </c>
      <c r="E32" s="388" t="s">
        <v>314</v>
      </c>
      <c r="F32" s="410">
        <f>'STATEMENT OF FINANCIAL POSITION'!AL24</f>
        <v>3379491104</v>
      </c>
      <c r="G32" s="387">
        <v>23448249418.82</v>
      </c>
    </row>
    <row r="33" spans="1:7">
      <c r="A33" s="383" t="s">
        <v>142</v>
      </c>
      <c r="B33" s="384" t="s">
        <v>304</v>
      </c>
      <c r="C33" s="385">
        <v>1146288715</v>
      </c>
      <c r="D33" s="385">
        <v>1154864001.27</v>
      </c>
      <c r="E33" s="384" t="s">
        <v>314</v>
      </c>
      <c r="F33" s="405">
        <f>'STATEMENT OF FINANCIAL POSITION'!AL71-'STATEMENT OF FINANCIAL POSITION'!AL21</f>
        <v>1324766646</v>
      </c>
      <c r="G33" s="387">
        <v>7290089863.5500002</v>
      </c>
    </row>
    <row r="34" spans="1:7">
      <c r="A34" s="383" t="s">
        <v>348</v>
      </c>
      <c r="B34" s="384" t="s">
        <v>304</v>
      </c>
      <c r="C34" s="385">
        <v>1000501709</v>
      </c>
      <c r="D34" s="385">
        <v>999067411.63999999</v>
      </c>
      <c r="E34" s="384" t="s">
        <v>314</v>
      </c>
      <c r="F34" s="405">
        <f>F33-'STATEMENT OF FINANCIAL POSITION'!AL58</f>
        <v>1165846247</v>
      </c>
      <c r="G34" s="387">
        <v>4400182875.8400002</v>
      </c>
    </row>
    <row r="35" spans="1:7">
      <c r="A35" s="383" t="s">
        <v>349</v>
      </c>
      <c r="B35" s="384" t="s">
        <v>304</v>
      </c>
      <c r="C35" s="386" t="s">
        <v>350</v>
      </c>
      <c r="D35" s="387">
        <v>570927059.48000002</v>
      </c>
      <c r="E35" s="386" t="s">
        <v>314</v>
      </c>
      <c r="F35" s="405">
        <f>86912138+42948825+187329149</f>
        <v>317190112</v>
      </c>
      <c r="G35" s="387">
        <v>2627134892.02</v>
      </c>
    </row>
    <row r="36" spans="1:7">
      <c r="A36" s="383" t="s">
        <v>163</v>
      </c>
      <c r="B36" s="384" t="s">
        <v>304</v>
      </c>
      <c r="C36" s="389">
        <v>243631769</v>
      </c>
      <c r="D36" s="389">
        <v>321416207.79000002</v>
      </c>
      <c r="E36" s="388" t="s">
        <v>314</v>
      </c>
      <c r="F36" s="410">
        <f>'STATEMENT OF FINANCIAL POSITION'!AL14+'STATEMENT OF FINANCIAL POSITION'!AL32</f>
        <v>270494691</v>
      </c>
      <c r="G36" s="387">
        <v>2929635251.8600001</v>
      </c>
    </row>
    <row r="37" spans="1:7">
      <c r="A37" s="383" t="s">
        <v>164</v>
      </c>
      <c r="B37" s="384" t="s">
        <v>304</v>
      </c>
      <c r="C37" s="385">
        <v>73105319</v>
      </c>
      <c r="D37" s="385">
        <v>88111571.780000001</v>
      </c>
      <c r="E37" s="384" t="s">
        <v>314</v>
      </c>
      <c r="F37" s="405">
        <f>'STATEMENT OF FINANCIAL POSITION'!AL34</f>
        <v>79835394</v>
      </c>
      <c r="G37" s="387">
        <v>1007863204.02</v>
      </c>
    </row>
    <row r="38" spans="1:7">
      <c r="A38" s="383" t="s">
        <v>351</v>
      </c>
      <c r="B38" s="384" t="s">
        <v>304</v>
      </c>
      <c r="C38" s="385">
        <v>10000000</v>
      </c>
      <c r="D38" s="385">
        <v>48917035</v>
      </c>
      <c r="E38" s="384" t="s">
        <v>314</v>
      </c>
      <c r="F38" s="405">
        <f>'STATEMENT OF FINANCIAL POSITION'!AL20+'STATEMENT OF FINANCIAL POSITION'!AL21</f>
        <v>46417035</v>
      </c>
      <c r="G38" s="387">
        <v>681359893.48000002</v>
      </c>
    </row>
    <row r="39" spans="1:7">
      <c r="A39" s="383" t="s">
        <v>24</v>
      </c>
      <c r="B39" s="384" t="s">
        <v>304</v>
      </c>
      <c r="C39" s="385">
        <v>702087549</v>
      </c>
      <c r="D39" s="385">
        <v>118917035</v>
      </c>
      <c r="E39" s="384" t="s">
        <v>314</v>
      </c>
      <c r="F39" s="405">
        <f>'STATEMENT OF FINANCIAL POSITION'!AL16</f>
        <v>116417035</v>
      </c>
      <c r="G39" s="387">
        <v>729048653.5</v>
      </c>
    </row>
    <row r="40" spans="1:7">
      <c r="A40" s="383" t="s">
        <v>352</v>
      </c>
      <c r="B40" s="384" t="s">
        <v>304</v>
      </c>
      <c r="C40" s="385">
        <v>702646302</v>
      </c>
      <c r="D40" s="385">
        <v>997779647.98000002</v>
      </c>
      <c r="E40" s="384" t="s">
        <v>314</v>
      </c>
      <c r="F40" s="405">
        <f>'STATEMENT OF FINANCIAL POSITION'!AL10+'STATEMENT OF FINANCIAL POSITION'!AL17</f>
        <v>1392752340</v>
      </c>
      <c r="G40" s="387">
        <v>5570627362.3500004</v>
      </c>
    </row>
    <row r="41" spans="1:7">
      <c r="A41" s="383" t="s">
        <v>353</v>
      </c>
      <c r="B41" s="384" t="s">
        <v>304</v>
      </c>
      <c r="C41" s="385">
        <v>2028552103</v>
      </c>
      <c r="D41" s="385">
        <v>1453222525.3699999</v>
      </c>
      <c r="E41" s="384" t="s">
        <v>314</v>
      </c>
      <c r="F41" s="405">
        <f>'STATEMENT OF FINANCIAL POSITION'!AL43+'STATEMENT OF FINANCIAL POSITION'!AL44+'STATEMENT OF FINANCIAL POSITION'!AL48-'STATEMENT OF FINANCIAL POSITION'!AL54</f>
        <v>2249296682</v>
      </c>
      <c r="G41" s="387">
        <v>9955950931.8600006</v>
      </c>
    </row>
    <row r="42" spans="1:7">
      <c r="A42" s="383" t="s">
        <v>140</v>
      </c>
      <c r="B42" s="384" t="s">
        <v>304</v>
      </c>
      <c r="C42" s="384" t="s">
        <v>350</v>
      </c>
      <c r="D42" s="385">
        <v>4210115</v>
      </c>
      <c r="E42" s="384" t="s">
        <v>314</v>
      </c>
      <c r="F42" s="405">
        <f>'STATEMENT OF FINANCIAL POSITION'!AL54</f>
        <v>3372292</v>
      </c>
      <c r="G42" s="387">
        <v>113499997</v>
      </c>
    </row>
    <row r="43" spans="1:7">
      <c r="A43" s="383" t="s">
        <v>354</v>
      </c>
      <c r="B43" s="384" t="s">
        <v>304</v>
      </c>
      <c r="C43" s="385">
        <v>2842189143</v>
      </c>
      <c r="D43" s="385">
        <v>3138907724.1999998</v>
      </c>
      <c r="E43" s="385">
        <v>1491828312.95</v>
      </c>
      <c r="F43" s="405">
        <f>(C32+F32)/2</f>
        <v>3181573865</v>
      </c>
      <c r="G43" s="387">
        <v>244385603659.48999</v>
      </c>
    </row>
    <row r="44" spans="1:7">
      <c r="A44" s="383" t="s">
        <v>355</v>
      </c>
      <c r="B44" s="384" t="s">
        <v>304</v>
      </c>
      <c r="C44" s="385">
        <v>611439871</v>
      </c>
      <c r="D44" s="385">
        <v>491416593.36000001</v>
      </c>
      <c r="E44" s="384" t="s">
        <v>314</v>
      </c>
      <c r="F44" s="405">
        <f>'STATEMENT OF COMPREHENSIVE INCO'!AL10</f>
        <v>694739717</v>
      </c>
      <c r="G44" s="387">
        <v>5297537946.8500004</v>
      </c>
    </row>
    <row r="45" spans="1:7">
      <c r="A45" s="383" t="s">
        <v>356</v>
      </c>
      <c r="B45" s="384" t="s">
        <v>304</v>
      </c>
      <c r="C45" s="385">
        <v>377762851</v>
      </c>
      <c r="D45" s="385">
        <v>211678279.25</v>
      </c>
      <c r="E45" s="384" t="s">
        <v>314</v>
      </c>
      <c r="F45" s="405">
        <f>'STATEMENT OF COMPREHENSIVE INCO'!AL30</f>
        <v>411065840</v>
      </c>
      <c r="G45" s="387">
        <v>4170644000.6599998</v>
      </c>
    </row>
    <row r="46" spans="1:7">
      <c r="A46" s="383" t="s">
        <v>357</v>
      </c>
      <c r="B46" s="384" t="s">
        <v>304</v>
      </c>
      <c r="C46" s="385">
        <v>228991846</v>
      </c>
      <c r="D46" s="385">
        <v>208370013.15000001</v>
      </c>
      <c r="E46" s="384" t="s">
        <v>314</v>
      </c>
      <c r="F46" s="405">
        <f>'STATEMENT OF COMPREHENSIVE INCO'!AL22</f>
        <v>278473794</v>
      </c>
      <c r="G46" s="387">
        <v>1017127439.35</v>
      </c>
    </row>
    <row r="47" spans="1:7">
      <c r="A47" s="383" t="s">
        <v>112</v>
      </c>
      <c r="B47" s="384" t="s">
        <v>304</v>
      </c>
      <c r="C47" s="385">
        <v>149203287</v>
      </c>
      <c r="D47" s="385">
        <v>147410324.18000001</v>
      </c>
      <c r="E47" s="384" t="s">
        <v>314</v>
      </c>
      <c r="F47" s="405">
        <f>'STATEMENT OF COMPREHENSIVE INCO'!AL36</f>
        <v>201509342</v>
      </c>
      <c r="G47" s="387">
        <v>2265046507.5500002</v>
      </c>
    </row>
    <row r="48" spans="1:7">
      <c r="A48" s="383" t="s">
        <v>358</v>
      </c>
      <c r="B48" s="384" t="s">
        <v>304</v>
      </c>
      <c r="C48" s="385">
        <v>513164979</v>
      </c>
      <c r="D48" s="385">
        <v>372392385.80000001</v>
      </c>
      <c r="E48" s="384" t="s">
        <v>314</v>
      </c>
      <c r="F48" s="405">
        <f>'STATEMENT OF COMPREHENSIVE INCO'!AL12</f>
        <v>452871508</v>
      </c>
      <c r="G48" s="387">
        <v>4460318486.8800001</v>
      </c>
    </row>
    <row r="49" spans="1:7">
      <c r="A49" s="383" t="s">
        <v>359</v>
      </c>
      <c r="B49" s="384" t="s">
        <v>304</v>
      </c>
      <c r="C49" s="385">
        <v>382880307</v>
      </c>
      <c r="D49" s="385">
        <v>356965078.97000003</v>
      </c>
      <c r="E49" s="384" t="s">
        <v>314</v>
      </c>
      <c r="F49" s="405">
        <f>'STATEMENT OF COMPREHENSIVE INCO'!AL36+'STATEMENT OF COMPREHENSIVE INCO'!AL32+'STATEMENT OF COMPREHENSIVE INCO'!AL21</f>
        <v>494183219</v>
      </c>
      <c r="G49" s="387">
        <v>3392066573.7399998</v>
      </c>
    </row>
    <row r="50" spans="1:7">
      <c r="A50" s="383" t="s">
        <v>360</v>
      </c>
      <c r="B50" s="384" t="s">
        <v>304</v>
      </c>
      <c r="C50" s="385">
        <v>173259564</v>
      </c>
      <c r="D50" s="385">
        <v>82701514.390000001</v>
      </c>
      <c r="E50" s="384" t="s">
        <v>314</v>
      </c>
      <c r="F50" s="405">
        <f>'STATEMENT OF COMPREHENSIVE INCO'!AL56</f>
        <v>184556498</v>
      </c>
      <c r="G50" s="387">
        <v>1533061446.01</v>
      </c>
    </row>
    <row r="51" spans="1:7">
      <c r="A51" s="471" t="s">
        <v>361</v>
      </c>
      <c r="B51" s="472"/>
      <c r="C51" s="472"/>
      <c r="D51" s="472"/>
      <c r="E51" s="472"/>
      <c r="F51" s="472"/>
      <c r="G51" s="473"/>
    </row>
    <row r="52" spans="1:7">
      <c r="A52" s="368">
        <v>1</v>
      </c>
      <c r="B52" s="373" t="s">
        <v>304</v>
      </c>
      <c r="C52" s="373" t="s">
        <v>304</v>
      </c>
      <c r="D52" s="373" t="s">
        <v>304</v>
      </c>
      <c r="E52" s="373" t="s">
        <v>304</v>
      </c>
      <c r="F52" s="411" t="s">
        <v>304</v>
      </c>
      <c r="G52" s="391" t="s">
        <v>304</v>
      </c>
    </row>
    <row r="53" spans="1:7">
      <c r="A53" s="368">
        <v>2</v>
      </c>
      <c r="B53" s="373" t="s">
        <v>304</v>
      </c>
      <c r="C53" s="373" t="s">
        <v>304</v>
      </c>
      <c r="D53" s="373" t="s">
        <v>304</v>
      </c>
      <c r="E53" s="373" t="s">
        <v>304</v>
      </c>
      <c r="F53" s="411" t="s">
        <v>304</v>
      </c>
      <c r="G53" s="391" t="s">
        <v>304</v>
      </c>
    </row>
    <row r="54" spans="1:7">
      <c r="A54" s="368">
        <v>3</v>
      </c>
      <c r="B54" s="373" t="s">
        <v>304</v>
      </c>
      <c r="C54" s="373" t="s">
        <v>304</v>
      </c>
      <c r="D54" s="373" t="s">
        <v>304</v>
      </c>
      <c r="E54" s="373" t="s">
        <v>304</v>
      </c>
      <c r="F54" s="411" t="s">
        <v>304</v>
      </c>
      <c r="G54" s="391" t="s">
        <v>304</v>
      </c>
    </row>
    <row r="55" spans="1:7">
      <c r="A55" s="379">
        <v>4</v>
      </c>
      <c r="B55" s="373" t="s">
        <v>304</v>
      </c>
      <c r="C55" s="373" t="s">
        <v>304</v>
      </c>
      <c r="D55" s="373" t="s">
        <v>304</v>
      </c>
      <c r="E55" s="390" t="s">
        <v>304</v>
      </c>
      <c r="F55" s="412" t="s">
        <v>304</v>
      </c>
      <c r="G55" s="392" t="s">
        <v>304</v>
      </c>
    </row>
    <row r="56" spans="1:7">
      <c r="A56" s="393" t="s">
        <v>362</v>
      </c>
      <c r="B56" s="373" t="s">
        <v>304</v>
      </c>
      <c r="C56" s="474" t="s">
        <v>304</v>
      </c>
      <c r="D56" s="474"/>
      <c r="E56" s="474"/>
      <c r="F56" s="474"/>
      <c r="G56" s="475"/>
    </row>
    <row r="57" spans="1:7">
      <c r="A57" s="393" t="s">
        <v>304</v>
      </c>
      <c r="B57" s="373" t="s">
        <v>304</v>
      </c>
      <c r="C57" s="373" t="s">
        <v>304</v>
      </c>
      <c r="D57" s="373" t="s">
        <v>304</v>
      </c>
      <c r="E57" s="390" t="s">
        <v>304</v>
      </c>
      <c r="F57" s="412" t="s">
        <v>304</v>
      </c>
      <c r="G57" s="391" t="s">
        <v>304</v>
      </c>
    </row>
    <row r="58" spans="1:7">
      <c r="A58" s="394" t="s">
        <v>363</v>
      </c>
      <c r="B58" s="395" t="s">
        <v>304</v>
      </c>
      <c r="C58" s="474" t="s">
        <v>304</v>
      </c>
      <c r="D58" s="474"/>
      <c r="E58" s="474"/>
      <c r="F58" s="474"/>
      <c r="G58" s="475"/>
    </row>
    <row r="59" spans="1:7">
      <c r="A59" s="396" t="s">
        <v>304</v>
      </c>
      <c r="B59" s="397" t="s">
        <v>304</v>
      </c>
      <c r="C59" s="373" t="s">
        <v>304</v>
      </c>
      <c r="D59" s="373" t="s">
        <v>304</v>
      </c>
      <c r="E59" s="373" t="s">
        <v>304</v>
      </c>
      <c r="F59" s="411" t="s">
        <v>304</v>
      </c>
      <c r="G59" s="391" t="s">
        <v>304</v>
      </c>
    </row>
    <row r="60" spans="1:7">
      <c r="A60" s="393" t="s">
        <v>364</v>
      </c>
      <c r="B60" s="373" t="s">
        <v>304</v>
      </c>
      <c r="C60" s="474" t="s">
        <v>304</v>
      </c>
      <c r="D60" s="474"/>
      <c r="E60" s="474"/>
      <c r="F60" s="474"/>
      <c r="G60" s="475"/>
    </row>
    <row r="61" spans="1:7">
      <c r="A61" s="398" t="s">
        <v>304</v>
      </c>
      <c r="B61" s="399" t="s">
        <v>304</v>
      </c>
      <c r="C61" s="399" t="s">
        <v>304</v>
      </c>
      <c r="D61" s="399" t="s">
        <v>304</v>
      </c>
      <c r="E61" s="399" t="s">
        <v>304</v>
      </c>
      <c r="F61" s="413" t="s">
        <v>304</v>
      </c>
      <c r="G61" s="400" t="s">
        <v>304</v>
      </c>
    </row>
    <row r="62" spans="1:7">
      <c r="A62" s="401" t="s">
        <v>365</v>
      </c>
      <c r="B62" s="402"/>
      <c r="C62" s="402"/>
      <c r="D62" s="402"/>
      <c r="E62" s="402"/>
      <c r="F62" s="414"/>
      <c r="G62" s="403"/>
    </row>
    <row r="63" spans="1:7">
      <c r="A63" s="404" t="s">
        <v>304</v>
      </c>
      <c r="B63" s="402"/>
      <c r="C63" s="402"/>
      <c r="D63" s="402"/>
      <c r="E63" s="402"/>
      <c r="F63" s="414"/>
      <c r="G63" s="403"/>
    </row>
    <row r="64" spans="1:7">
      <c r="A64" s="404" t="s">
        <v>304</v>
      </c>
      <c r="B64" s="402"/>
      <c r="C64" s="402"/>
      <c r="D64" s="402"/>
      <c r="E64" s="402"/>
      <c r="F64" s="414"/>
      <c r="G64" s="403"/>
    </row>
  </sheetData>
  <mergeCells count="16">
    <mergeCell ref="A1:G1"/>
    <mergeCell ref="A2:G2"/>
    <mergeCell ref="B3:B4"/>
    <mergeCell ref="D3:E3"/>
    <mergeCell ref="F3:F4"/>
    <mergeCell ref="G3:G4"/>
    <mergeCell ref="A51:G51"/>
    <mergeCell ref="C56:G56"/>
    <mergeCell ref="C58:G58"/>
    <mergeCell ref="C60:G60"/>
    <mergeCell ref="A5:G5"/>
    <mergeCell ref="A9:G9"/>
    <mergeCell ref="A14:G14"/>
    <mergeCell ref="A19:G19"/>
    <mergeCell ref="A23:G23"/>
    <mergeCell ref="A28:G2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FB27488935CD4FBFBB981DE553EA38" ma:contentTypeVersion="17" ma:contentTypeDescription="Create a new document." ma:contentTypeScope="" ma:versionID="332fa557c6615f9869f6fecf8fd32bdc">
  <xsd:schema xmlns:xsd="http://www.w3.org/2001/XMLSchema" xmlns:xs="http://www.w3.org/2001/XMLSchema" xmlns:p="http://schemas.microsoft.com/office/2006/metadata/properties" xmlns:ns2="6e3db4b3-2b3b-4352-9127-36718d9c05b9" xmlns:ns3="df647032-17c5-4266-af02-4596a72daf50" targetNamespace="http://schemas.microsoft.com/office/2006/metadata/properties" ma:root="true" ma:fieldsID="0ef70def4206780f33c1bc13f4ed6917" ns2:_="" ns3:_="">
    <xsd:import namespace="6e3db4b3-2b3b-4352-9127-36718d9c05b9"/>
    <xsd:import namespace="df647032-17c5-4266-af02-4596a72daf5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_Flow_SignoffStatu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LengthInSecond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3db4b3-2b3b-4352-9127-36718d9c05b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f2a9480d-a1a4-4d65-9325-9590a28e6ac7}" ma:internalName="TaxCatchAll" ma:showField="CatchAllData" ma:web="6e3db4b3-2b3b-4352-9127-36718d9c05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647032-17c5-4266-af02-4596a72daf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Flow_SignoffStatus" ma:index="14" nillable="true" ma:displayName="Sign-off status" ma:internalName="Sign_x002d_off_x0020_status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e3e1d0d5-9008-431c-be16-ab01e5c392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f647032-17c5-4266-af02-4596a72daf50">
      <Terms xmlns="http://schemas.microsoft.com/office/infopath/2007/PartnerControls"/>
    </lcf76f155ced4ddcb4097134ff3c332f>
    <TaxCatchAll xmlns="6e3db4b3-2b3b-4352-9127-36718d9c05b9" xsi:nil="true"/>
    <_Flow_SignoffStatus xmlns="df647032-17c5-4266-af02-4596a72daf5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F689A9C-A1D3-4C14-BF8D-14403C3C2005}"/>
</file>

<file path=customXml/itemProps2.xml><?xml version="1.0" encoding="utf-8"?>
<ds:datastoreItem xmlns:ds="http://schemas.openxmlformats.org/officeDocument/2006/customXml" ds:itemID="{2B2737BE-90B0-470A-9F32-CB5E2ACC026F}"/>
</file>

<file path=customXml/itemProps3.xml><?xml version="1.0" encoding="utf-8"?>
<ds:datastoreItem xmlns:ds="http://schemas.openxmlformats.org/officeDocument/2006/customXml" ds:itemID="{1CBE4322-E955-426B-93BB-916B4D393F3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HP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Joseph Obae</dc:creator>
  <cp:keywords/>
  <dc:description/>
  <cp:lastModifiedBy>Enock Langat</cp:lastModifiedBy>
  <cp:revision/>
  <dcterms:created xsi:type="dcterms:W3CDTF">2011-05-18T12:22:25Z</dcterms:created>
  <dcterms:modified xsi:type="dcterms:W3CDTF">2023-08-25T12:45:00Z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294dde6-398b-42fd-9ab1-a1959fc6b9e2_Enabled">
    <vt:lpwstr>true</vt:lpwstr>
  </property>
  <property fmtid="{D5CDD505-2E9C-101B-9397-08002B2CF9AE}" pid="3" name="MSIP_Label_6294dde6-398b-42fd-9ab1-a1959fc6b9e2_SetDate">
    <vt:lpwstr>2021-09-13T12:10:29Z</vt:lpwstr>
  </property>
  <property fmtid="{D5CDD505-2E9C-101B-9397-08002B2CF9AE}" pid="4" name="MSIP_Label_6294dde6-398b-42fd-9ab1-a1959fc6b9e2_Method">
    <vt:lpwstr>Privileged</vt:lpwstr>
  </property>
  <property fmtid="{D5CDD505-2E9C-101B-9397-08002B2CF9AE}" pid="5" name="MSIP_Label_6294dde6-398b-42fd-9ab1-a1959fc6b9e2_Name">
    <vt:lpwstr>Public</vt:lpwstr>
  </property>
  <property fmtid="{D5CDD505-2E9C-101B-9397-08002B2CF9AE}" pid="6" name="MSIP_Label_6294dde6-398b-42fd-9ab1-a1959fc6b9e2_SiteId">
    <vt:lpwstr>d6c8161d-ccd5-4325-b291-dd442c369fe4</vt:lpwstr>
  </property>
  <property fmtid="{D5CDD505-2E9C-101B-9397-08002B2CF9AE}" pid="7" name="MSIP_Label_6294dde6-398b-42fd-9ab1-a1959fc6b9e2_ActionId">
    <vt:lpwstr>9291e6c6-731d-4ca3-b450-92e4a00aa2e2</vt:lpwstr>
  </property>
  <property fmtid="{D5CDD505-2E9C-101B-9397-08002B2CF9AE}" pid="8" name="MSIP_Label_6294dde6-398b-42fd-9ab1-a1959fc6b9e2_ContentBits">
    <vt:lpwstr>0</vt:lpwstr>
  </property>
  <property fmtid="{D5CDD505-2E9C-101B-9397-08002B2CF9AE}" pid="9" name="ContentTypeId">
    <vt:lpwstr>0x010100F4FB27488935CD4FBFBB981DE553EA38</vt:lpwstr>
  </property>
  <property fmtid="{D5CDD505-2E9C-101B-9397-08002B2CF9AE}" pid="10" name="MediaServiceImageTags">
    <vt:lpwstr/>
  </property>
</Properties>
</file>
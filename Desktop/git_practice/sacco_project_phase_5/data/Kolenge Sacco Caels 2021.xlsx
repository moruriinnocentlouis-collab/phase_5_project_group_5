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llins\OneDrive - Sacco Societies Regulatory Authority\Documents\DT Saccos\Portfolio 2\KOLENGE- 10474\Returns\"/>
    </mc:Choice>
  </mc:AlternateContent>
  <xr:revisionPtr revIDLastSave="0" documentId="11_249E4DA2069B37DA2BD7AC13BBF74DB8FAE554D4" xr6:coauthVersionLast="47" xr6:coauthVersionMax="47" xr10:uidLastSave="{00000000-0000-0000-0000-000000000000}"/>
  <bookViews>
    <workbookView xWindow="-120" yWindow="-120" windowWidth="20736" windowHeight="11160" firstSheet="3" activeTab="3" xr2:uid="{00000000-000D-0000-FFFF-FFFF00000000}"/>
  </bookViews>
  <sheets>
    <sheet name="sofp" sheetId="1" r:id="rId1"/>
    <sheet name="soci" sheetId="2" r:id="rId2"/>
    <sheet name="financials" sheetId="3" r:id="rId3"/>
    <sheet name="caels" sheetId="4" r:id="rId4"/>
    <sheet name="FORM 4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" i="3" l="1"/>
  <c r="AC5" i="3"/>
  <c r="AD5" i="3"/>
  <c r="AE5" i="3"/>
  <c r="AF5" i="3"/>
  <c r="AG5" i="3"/>
  <c r="AH5" i="3"/>
  <c r="AB6" i="3"/>
  <c r="AC6" i="3"/>
  <c r="AD6" i="3"/>
  <c r="AE6" i="3"/>
  <c r="AF6" i="3"/>
  <c r="AG6" i="3"/>
  <c r="AH6" i="3"/>
  <c r="AB7" i="3"/>
  <c r="AC7" i="3"/>
  <c r="AD7" i="3"/>
  <c r="AE7" i="3"/>
  <c r="AF7" i="3"/>
  <c r="AG7" i="3"/>
  <c r="AH7" i="3"/>
  <c r="AB8" i="3"/>
  <c r="AC8" i="3"/>
  <c r="AD8" i="3"/>
  <c r="AE8" i="3"/>
  <c r="AF8" i="3"/>
  <c r="AG8" i="3"/>
  <c r="AH8" i="3"/>
  <c r="AB15" i="3"/>
  <c r="AC15" i="3"/>
  <c r="AD15" i="3"/>
  <c r="AE15" i="3"/>
  <c r="AF15" i="3"/>
  <c r="AG15" i="3"/>
  <c r="AH15" i="3"/>
  <c r="AB16" i="3"/>
  <c r="AC16" i="3"/>
  <c r="AD16" i="3"/>
  <c r="AE16" i="3"/>
  <c r="AF16" i="3"/>
  <c r="AG16" i="3"/>
  <c r="AH16" i="3"/>
  <c r="AB17" i="3"/>
  <c r="AC17" i="3"/>
  <c r="AD17" i="3"/>
  <c r="AE17" i="3"/>
  <c r="AF17" i="3"/>
  <c r="AG17" i="3"/>
  <c r="AH17" i="3"/>
  <c r="AB19" i="3"/>
  <c r="AB14" i="3" s="1"/>
  <c r="AB11" i="3" s="1"/>
  <c r="AC19" i="3"/>
  <c r="AC14" i="3" s="1"/>
  <c r="AC11" i="3" s="1"/>
  <c r="AD19" i="3"/>
  <c r="AD14" i="3" s="1"/>
  <c r="AD11" i="3" s="1"/>
  <c r="AE19" i="3"/>
  <c r="AE14" i="3" s="1"/>
  <c r="AE11" i="3" s="1"/>
  <c r="AF19" i="3"/>
  <c r="AF14" i="3" s="1"/>
  <c r="AF11" i="3" s="1"/>
  <c r="AG19" i="3"/>
  <c r="AH19" i="3"/>
  <c r="AB20" i="3"/>
  <c r="AC20" i="3"/>
  <c r="AD20" i="3"/>
  <c r="AE20" i="3"/>
  <c r="AF20" i="3"/>
  <c r="AG20" i="3"/>
  <c r="AH20" i="3"/>
  <c r="AB23" i="3"/>
  <c r="AC23" i="3"/>
  <c r="AD23" i="3"/>
  <c r="AE23" i="3"/>
  <c r="AF23" i="3"/>
  <c r="AG23" i="3"/>
  <c r="AH23" i="3"/>
  <c r="AB24" i="3"/>
  <c r="AC24" i="3"/>
  <c r="AD24" i="3"/>
  <c r="AE24" i="3"/>
  <c r="AF24" i="3"/>
  <c r="AG24" i="3"/>
  <c r="AH24" i="3"/>
  <c r="AB27" i="3"/>
  <c r="AC27" i="3"/>
  <c r="AD27" i="3"/>
  <c r="AE27" i="3"/>
  <c r="AF27" i="3"/>
  <c r="AG27" i="3"/>
  <c r="AH27" i="3"/>
  <c r="AB28" i="3"/>
  <c r="AC28" i="3"/>
  <c r="AD28" i="3"/>
  <c r="AE28" i="3"/>
  <c r="AF28" i="3"/>
  <c r="AG28" i="3"/>
  <c r="AH28" i="3"/>
  <c r="AB36" i="3"/>
  <c r="AC36" i="3"/>
  <c r="AD36" i="3"/>
  <c r="AE36" i="3"/>
  <c r="AF36" i="3"/>
  <c r="AG36" i="3"/>
  <c r="AH36" i="3"/>
  <c r="AB40" i="3"/>
  <c r="AC40" i="3"/>
  <c r="AD40" i="3"/>
  <c r="AE40" i="3"/>
  <c r="AF40" i="3"/>
  <c r="AG40" i="3"/>
  <c r="AH40" i="3"/>
  <c r="AB42" i="3"/>
  <c r="AC42" i="3"/>
  <c r="AD42" i="3"/>
  <c r="AE42" i="3"/>
  <c r="AF42" i="3"/>
  <c r="AG42" i="3"/>
  <c r="AH42" i="3"/>
  <c r="AC43" i="3"/>
  <c r="AD43" i="3"/>
  <c r="AE43" i="3"/>
  <c r="AF43" i="3"/>
  <c r="AB46" i="3"/>
  <c r="AC41" i="4" s="1"/>
  <c r="AC46" i="3"/>
  <c r="AD41" i="4" s="1"/>
  <c r="AD46" i="3"/>
  <c r="AE41" i="4" s="1"/>
  <c r="AE46" i="3"/>
  <c r="AF41" i="4" s="1"/>
  <c r="AF46" i="3"/>
  <c r="AG41" i="4" s="1"/>
  <c r="AG46" i="3"/>
  <c r="AH41" i="4" s="1"/>
  <c r="AH46" i="3"/>
  <c r="AI41" i="4" s="1"/>
  <c r="AB47" i="3"/>
  <c r="AC42" i="4" s="1"/>
  <c r="AC47" i="3"/>
  <c r="AD42" i="4" s="1"/>
  <c r="AD47" i="3"/>
  <c r="AE42" i="4" s="1"/>
  <c r="AE47" i="3"/>
  <c r="AF42" i="4" s="1"/>
  <c r="AF47" i="3"/>
  <c r="AG42" i="4" s="1"/>
  <c r="AG47" i="3"/>
  <c r="AH42" i="4" s="1"/>
  <c r="AH47" i="3"/>
  <c r="AI42" i="4" s="1"/>
  <c r="AB48" i="3"/>
  <c r="AC43" i="4" s="1"/>
  <c r="AC48" i="3"/>
  <c r="AD43" i="4" s="1"/>
  <c r="AD48" i="3"/>
  <c r="AE43" i="4" s="1"/>
  <c r="AE48" i="3"/>
  <c r="AF43" i="4" s="1"/>
  <c r="AF48" i="3"/>
  <c r="AG43" i="4" s="1"/>
  <c r="AG48" i="3"/>
  <c r="AH43" i="4" s="1"/>
  <c r="AH48" i="3"/>
  <c r="AI43" i="4" s="1"/>
  <c r="AC20" i="2"/>
  <c r="AD20" i="2"/>
  <c r="AE20" i="2"/>
  <c r="AF20" i="2"/>
  <c r="AG20" i="2"/>
  <c r="AH20" i="2"/>
  <c r="AB20" i="2"/>
  <c r="AB23" i="2"/>
  <c r="AC23" i="2"/>
  <c r="AD23" i="2"/>
  <c r="AE23" i="2"/>
  <c r="AF23" i="2"/>
  <c r="AG23" i="2"/>
  <c r="AH23" i="2"/>
  <c r="AB12" i="2"/>
  <c r="AC12" i="2"/>
  <c r="AD12" i="2"/>
  <c r="AE12" i="2"/>
  <c r="AF12" i="2"/>
  <c r="AG12" i="2"/>
  <c r="AH12" i="2"/>
  <c r="AB7" i="2"/>
  <c r="AB41" i="3" s="1"/>
  <c r="AC7" i="2"/>
  <c r="AC41" i="3" s="1"/>
  <c r="AD7" i="2"/>
  <c r="AD41" i="3" s="1"/>
  <c r="AE7" i="2"/>
  <c r="AE41" i="3" s="1"/>
  <c r="AF7" i="2"/>
  <c r="AF41" i="3" s="1"/>
  <c r="AG7" i="2"/>
  <c r="AG41" i="3" s="1"/>
  <c r="AH7" i="2"/>
  <c r="AH41" i="3" s="1"/>
  <c r="AB4" i="2"/>
  <c r="AB3" i="2" s="1"/>
  <c r="AC4" i="2"/>
  <c r="AC3" i="2" s="1"/>
  <c r="AC19" i="2" s="1"/>
  <c r="AD4" i="2"/>
  <c r="AE4" i="2"/>
  <c r="AF4" i="2"/>
  <c r="AG4" i="2"/>
  <c r="AH4" i="2"/>
  <c r="AB46" i="1"/>
  <c r="AC46" i="1"/>
  <c r="AD46" i="1"/>
  <c r="AE46" i="1"/>
  <c r="AF46" i="1"/>
  <c r="AG46" i="1"/>
  <c r="AH46" i="1"/>
  <c r="AB29" i="1"/>
  <c r="AC29" i="1"/>
  <c r="AD29" i="1"/>
  <c r="AE29" i="1"/>
  <c r="AF29" i="1"/>
  <c r="AG29" i="1"/>
  <c r="AH29" i="1"/>
  <c r="AB19" i="1"/>
  <c r="AB35" i="3" s="1"/>
  <c r="AC19" i="1"/>
  <c r="AC35" i="3" s="1"/>
  <c r="AD19" i="1"/>
  <c r="AD35" i="3" s="1"/>
  <c r="AE19" i="1"/>
  <c r="AE35" i="3" s="1"/>
  <c r="AF19" i="1"/>
  <c r="AG19" i="1"/>
  <c r="AG35" i="3" s="1"/>
  <c r="AH19" i="1"/>
  <c r="AH35" i="3" s="1"/>
  <c r="AH15" i="1"/>
  <c r="AB15" i="1"/>
  <c r="AC15" i="1"/>
  <c r="AD15" i="1"/>
  <c r="AE15" i="1"/>
  <c r="AF15" i="1"/>
  <c r="AG15" i="1"/>
  <c r="AB12" i="1"/>
  <c r="AC12" i="1"/>
  <c r="AD12" i="1"/>
  <c r="AE12" i="1"/>
  <c r="AF12" i="1"/>
  <c r="AG12" i="1"/>
  <c r="AH12" i="1"/>
  <c r="AB7" i="1"/>
  <c r="AC7" i="1"/>
  <c r="AD7" i="1"/>
  <c r="AE7" i="1"/>
  <c r="AF7" i="1"/>
  <c r="AG7" i="1"/>
  <c r="AH7" i="1"/>
  <c r="AB3" i="1"/>
  <c r="AB33" i="3" s="1"/>
  <c r="AC3" i="1"/>
  <c r="AC33" i="3" s="1"/>
  <c r="AD3" i="1"/>
  <c r="AD33" i="3" s="1"/>
  <c r="AE3" i="1"/>
  <c r="AE33" i="3" s="1"/>
  <c r="AF3" i="1"/>
  <c r="AF33" i="3" s="1"/>
  <c r="AG3" i="1"/>
  <c r="AG33" i="3" s="1"/>
  <c r="AH3" i="1"/>
  <c r="AH33" i="3" s="1"/>
  <c r="AI15" i="4" l="1"/>
  <c r="AH15" i="4"/>
  <c r="AG15" i="4"/>
  <c r="AF15" i="4"/>
  <c r="AE15" i="4"/>
  <c r="AD15" i="4"/>
  <c r="AC15" i="4"/>
  <c r="AE25" i="1"/>
  <c r="AD25" i="1"/>
  <c r="AF35" i="3"/>
  <c r="AF25" i="1"/>
  <c r="AI39" i="4"/>
  <c r="AH4" i="3"/>
  <c r="AH36" i="1"/>
  <c r="AH39" i="4"/>
  <c r="AG4" i="3"/>
  <c r="AG36" i="1"/>
  <c r="AG39" i="4"/>
  <c r="AF4" i="3"/>
  <c r="AF36" i="1"/>
  <c r="AF47" i="1" s="1"/>
  <c r="AF39" i="4"/>
  <c r="AE4" i="3"/>
  <c r="AE36" i="1"/>
  <c r="AD36" i="1"/>
  <c r="AE39" i="4"/>
  <c r="AD4" i="3"/>
  <c r="AC36" i="1"/>
  <c r="AC47" i="1" s="1"/>
  <c r="AD39" i="4"/>
  <c r="AC4" i="3"/>
  <c r="AC39" i="4"/>
  <c r="AB4" i="3"/>
  <c r="AB36" i="1"/>
  <c r="AB47" i="1" s="1"/>
  <c r="AH47" i="1"/>
  <c r="AG47" i="1"/>
  <c r="AE47" i="1"/>
  <c r="AD47" i="1"/>
  <c r="AC29" i="2"/>
  <c r="AC30" i="2" s="1"/>
  <c r="AC33" i="2" s="1"/>
  <c r="AE13" i="4"/>
  <c r="AI12" i="4"/>
  <c r="AG38" i="4"/>
  <c r="AI38" i="4"/>
  <c r="AH49" i="3"/>
  <c r="AH12" i="4"/>
  <c r="AF38" i="4"/>
  <c r="AH38" i="4"/>
  <c r="AG49" i="3"/>
  <c r="AG12" i="4"/>
  <c r="AE38" i="4"/>
  <c r="AF49" i="3"/>
  <c r="AF12" i="4"/>
  <c r="AD38" i="4"/>
  <c r="AE49" i="3"/>
  <c r="AE12" i="4"/>
  <c r="AC38" i="4"/>
  <c r="AD49" i="3"/>
  <c r="AD12" i="4"/>
  <c r="AC49" i="3"/>
  <c r="AC12" i="4"/>
  <c r="AB49" i="3"/>
  <c r="AH43" i="3"/>
  <c r="AI47" i="4"/>
  <c r="AG43" i="3"/>
  <c r="AH47" i="4"/>
  <c r="AG39" i="3"/>
  <c r="AG47" i="4"/>
  <c r="AF39" i="3"/>
  <c r="AE39" i="3"/>
  <c r="AF47" i="4"/>
  <c r="AD39" i="3"/>
  <c r="AE47" i="4"/>
  <c r="AC39" i="3"/>
  <c r="AD47" i="4"/>
  <c r="AB39" i="3"/>
  <c r="AC47" i="4"/>
  <c r="AG34" i="4"/>
  <c r="AI34" i="4"/>
  <c r="AH26" i="3"/>
  <c r="AI46" i="4" s="1"/>
  <c r="AG26" i="3"/>
  <c r="AH46" i="4" s="1"/>
  <c r="AF34" i="4"/>
  <c r="AH34" i="4"/>
  <c r="AF26" i="3"/>
  <c r="AG46" i="4" s="1"/>
  <c r="AE34" i="4"/>
  <c r="AE26" i="3"/>
  <c r="AF46" i="4" s="1"/>
  <c r="AD34" i="4"/>
  <c r="AD26" i="3"/>
  <c r="AE46" i="4" s="1"/>
  <c r="AC34" i="4"/>
  <c r="AC26" i="3"/>
  <c r="AD46" i="4" s="1"/>
  <c r="AB26" i="3"/>
  <c r="AC46" i="4" s="1"/>
  <c r="AH22" i="3"/>
  <c r="AI22" i="4" s="1"/>
  <c r="AG22" i="3"/>
  <c r="AH22" i="4" s="1"/>
  <c r="AF22" i="3"/>
  <c r="AE22" i="3"/>
  <c r="AD22" i="3"/>
  <c r="AC22" i="3"/>
  <c r="AB22" i="3"/>
  <c r="AF12" i="3"/>
  <c r="AG3" i="4"/>
  <c r="AG5" i="4"/>
  <c r="AE35" i="4"/>
  <c r="AE12" i="3"/>
  <c r="AF3" i="4"/>
  <c r="AF5" i="4"/>
  <c r="AD35" i="4"/>
  <c r="AD12" i="3"/>
  <c r="AE3" i="4"/>
  <c r="AE5" i="4"/>
  <c r="AC35" i="4"/>
  <c r="AC12" i="3"/>
  <c r="AD3" i="4"/>
  <c r="AD5" i="4"/>
  <c r="AB12" i="3"/>
  <c r="AC3" i="4"/>
  <c r="AC5" i="4"/>
  <c r="AH14" i="3"/>
  <c r="AH11" i="3" s="1"/>
  <c r="AG14" i="3"/>
  <c r="AG11" i="3" s="1"/>
  <c r="AG33" i="4"/>
  <c r="AI33" i="4"/>
  <c r="AF33" i="4"/>
  <c r="AH33" i="4"/>
  <c r="AE33" i="4"/>
  <c r="AD33" i="4"/>
  <c r="AC33" i="4"/>
  <c r="AG32" i="4"/>
  <c r="AI32" i="4"/>
  <c r="AF32" i="4"/>
  <c r="AH32" i="4"/>
  <c r="AE32" i="4"/>
  <c r="AD32" i="4"/>
  <c r="AC32" i="4"/>
  <c r="AB43" i="3"/>
  <c r="AH39" i="3"/>
  <c r="AB19" i="2"/>
  <c r="AD3" i="2"/>
  <c r="AD19" i="2" s="1"/>
  <c r="AF3" i="2"/>
  <c r="AF19" i="2" s="1"/>
  <c r="AE3" i="2"/>
  <c r="AE19" i="2" s="1"/>
  <c r="AH3" i="2"/>
  <c r="AH19" i="2" s="1"/>
  <c r="AG3" i="2"/>
  <c r="AG19" i="2" s="1"/>
  <c r="AG25" i="1"/>
  <c r="AC25" i="1"/>
  <c r="AH25" i="1"/>
  <c r="AB25" i="1"/>
  <c r="AA37" i="1"/>
  <c r="W5" i="3"/>
  <c r="X5" i="3"/>
  <c r="Y5" i="3"/>
  <c r="Z5" i="3"/>
  <c r="AA5" i="3"/>
  <c r="W6" i="3"/>
  <c r="X6" i="3"/>
  <c r="Y6" i="3"/>
  <c r="Z6" i="3"/>
  <c r="AA6" i="3"/>
  <c r="W7" i="3"/>
  <c r="X7" i="3"/>
  <c r="Y7" i="3"/>
  <c r="Z7" i="3"/>
  <c r="AA7" i="3"/>
  <c r="W8" i="3"/>
  <c r="X8" i="3"/>
  <c r="Y8" i="3"/>
  <c r="Z8" i="3"/>
  <c r="W15" i="3"/>
  <c r="X15" i="3"/>
  <c r="Y15" i="3"/>
  <c r="Z15" i="3"/>
  <c r="AA15" i="3"/>
  <c r="W16" i="3"/>
  <c r="X16" i="3"/>
  <c r="Y16" i="3"/>
  <c r="Z16" i="3"/>
  <c r="W17" i="3"/>
  <c r="X17" i="3"/>
  <c r="Y17" i="3"/>
  <c r="Z17" i="3"/>
  <c r="AA17" i="3"/>
  <c r="W19" i="3"/>
  <c r="X19" i="3"/>
  <c r="Y19" i="3"/>
  <c r="Z19" i="3"/>
  <c r="AA19" i="3"/>
  <c r="W20" i="3"/>
  <c r="X20" i="3"/>
  <c r="Y20" i="3"/>
  <c r="Z20" i="3"/>
  <c r="AA20" i="3"/>
  <c r="W23" i="3"/>
  <c r="X23" i="3"/>
  <c r="Y23" i="3"/>
  <c r="Z23" i="3"/>
  <c r="W24" i="3"/>
  <c r="X24" i="3"/>
  <c r="Y24" i="3"/>
  <c r="Z24" i="3"/>
  <c r="AA24" i="3"/>
  <c r="W27" i="3"/>
  <c r="X27" i="3"/>
  <c r="Y27" i="3"/>
  <c r="Z27" i="3"/>
  <c r="AA27" i="3"/>
  <c r="W28" i="3"/>
  <c r="X28" i="3"/>
  <c r="Y28" i="3"/>
  <c r="Z28" i="3"/>
  <c r="AA28" i="3"/>
  <c r="W36" i="3"/>
  <c r="X36" i="3"/>
  <c r="Y36" i="3"/>
  <c r="Z36" i="3"/>
  <c r="W40" i="3"/>
  <c r="X40" i="3"/>
  <c r="Y40" i="3"/>
  <c r="Z40" i="3"/>
  <c r="AA40" i="3"/>
  <c r="W42" i="3"/>
  <c r="X42" i="3"/>
  <c r="Y42" i="3"/>
  <c r="Z42" i="3"/>
  <c r="AA42" i="3"/>
  <c r="W43" i="3"/>
  <c r="X43" i="3"/>
  <c r="Y43" i="3"/>
  <c r="Z43" i="3"/>
  <c r="AA43" i="3"/>
  <c r="W46" i="3"/>
  <c r="X41" i="4" s="1"/>
  <c r="X46" i="3"/>
  <c r="Y41" i="4" s="1"/>
  <c r="Y46" i="3"/>
  <c r="Z41" i="4" s="1"/>
  <c r="Z46" i="3"/>
  <c r="AA41" i="4" s="1"/>
  <c r="AA46" i="3"/>
  <c r="AB41" i="4" s="1"/>
  <c r="W47" i="3"/>
  <c r="X42" i="4" s="1"/>
  <c r="X47" i="3"/>
  <c r="Y42" i="4" s="1"/>
  <c r="Y47" i="3"/>
  <c r="Z47" i="3"/>
  <c r="AA42" i="4" s="1"/>
  <c r="AA47" i="3"/>
  <c r="W48" i="3"/>
  <c r="X43" i="4" s="1"/>
  <c r="X48" i="3"/>
  <c r="Y43" i="4" s="1"/>
  <c r="Y48" i="3"/>
  <c r="Z43" i="4" s="1"/>
  <c r="Z48" i="3"/>
  <c r="AA43" i="4" s="1"/>
  <c r="AA48" i="3"/>
  <c r="AB43" i="4" s="1"/>
  <c r="AA9" i="2"/>
  <c r="AA10" i="2"/>
  <c r="AA23" i="2"/>
  <c r="AA12" i="2"/>
  <c r="AA7" i="2"/>
  <c r="AA41" i="3" s="1"/>
  <c r="AA4" i="2"/>
  <c r="AA3" i="2" s="1"/>
  <c r="AA19" i="2" s="1"/>
  <c r="AA34" i="1"/>
  <c r="AA31" i="1"/>
  <c r="AA8" i="3" s="1"/>
  <c r="AA40" i="1"/>
  <c r="AA16" i="3" s="1"/>
  <c r="AA21" i="1"/>
  <c r="AA36" i="3" s="1"/>
  <c r="AA10" i="1"/>
  <c r="AA23" i="3" s="1"/>
  <c r="AA6" i="1"/>
  <c r="AA4" i="1"/>
  <c r="AA5" i="1" s="1"/>
  <c r="AA46" i="1"/>
  <c r="AA29" i="1"/>
  <c r="AA19" i="1"/>
  <c r="AA35" i="3" s="1"/>
  <c r="AA15" i="1"/>
  <c r="AA12" i="1"/>
  <c r="AA7" i="1"/>
  <c r="AA3" i="1"/>
  <c r="U5" i="3"/>
  <c r="V5" i="3"/>
  <c r="U6" i="3"/>
  <c r="V6" i="3"/>
  <c r="U7" i="3"/>
  <c r="V7" i="3"/>
  <c r="U8" i="3"/>
  <c r="V8" i="3"/>
  <c r="U15" i="3"/>
  <c r="V15" i="3"/>
  <c r="U16" i="3"/>
  <c r="V16" i="3"/>
  <c r="U17" i="3"/>
  <c r="V17" i="3"/>
  <c r="U19" i="3"/>
  <c r="U14" i="3" s="1"/>
  <c r="U11" i="3" s="1"/>
  <c r="V19" i="3"/>
  <c r="V14" i="3" s="1"/>
  <c r="V11" i="3" s="1"/>
  <c r="U20" i="3"/>
  <c r="V20" i="3"/>
  <c r="U23" i="3"/>
  <c r="V23" i="3"/>
  <c r="U24" i="3"/>
  <c r="V24" i="3"/>
  <c r="V22" i="3" s="1"/>
  <c r="U27" i="3"/>
  <c r="V27" i="3"/>
  <c r="U28" i="3"/>
  <c r="V28" i="3"/>
  <c r="U36" i="3"/>
  <c r="V36" i="3"/>
  <c r="U40" i="3"/>
  <c r="V40" i="3"/>
  <c r="U42" i="3"/>
  <c r="V42" i="3"/>
  <c r="U43" i="3"/>
  <c r="U46" i="3"/>
  <c r="V41" i="4" s="1"/>
  <c r="V46" i="3"/>
  <c r="W41" i="4" s="1"/>
  <c r="U47" i="3"/>
  <c r="V42" i="4" s="1"/>
  <c r="V47" i="3"/>
  <c r="W42" i="4" s="1"/>
  <c r="U48" i="3"/>
  <c r="V43" i="4" s="1"/>
  <c r="V48" i="3"/>
  <c r="W43" i="4" s="1"/>
  <c r="T23" i="2"/>
  <c r="T49" i="3" s="1"/>
  <c r="U23" i="2"/>
  <c r="V23" i="2"/>
  <c r="T5" i="3"/>
  <c r="T6" i="3"/>
  <c r="T7" i="3"/>
  <c r="T8" i="3"/>
  <c r="T15" i="3"/>
  <c r="T16" i="3"/>
  <c r="T17" i="3"/>
  <c r="T19" i="3"/>
  <c r="T20" i="3"/>
  <c r="T23" i="3"/>
  <c r="T24" i="3"/>
  <c r="T27" i="3"/>
  <c r="T28" i="3"/>
  <c r="T36" i="3"/>
  <c r="T40" i="3"/>
  <c r="T42" i="3"/>
  <c r="T46" i="3"/>
  <c r="U41" i="4" s="1"/>
  <c r="T47" i="3"/>
  <c r="U42" i="4" s="1"/>
  <c r="T48" i="3"/>
  <c r="U43" i="4" s="1"/>
  <c r="Q23" i="2"/>
  <c r="R23" i="2"/>
  <c r="S23" i="2"/>
  <c r="W23" i="2"/>
  <c r="T38" i="4"/>
  <c r="S5" i="3"/>
  <c r="S6" i="3"/>
  <c r="S7" i="3"/>
  <c r="S8" i="3"/>
  <c r="S15" i="3"/>
  <c r="S16" i="3"/>
  <c r="S17" i="3"/>
  <c r="S19" i="3"/>
  <c r="S14" i="3" s="1"/>
  <c r="S11" i="3" s="1"/>
  <c r="S20" i="3"/>
  <c r="S23" i="3"/>
  <c r="S24" i="3"/>
  <c r="S27" i="3"/>
  <c r="S28" i="3"/>
  <c r="S36" i="3"/>
  <c r="S40" i="3"/>
  <c r="S42" i="3"/>
  <c r="S46" i="3"/>
  <c r="T41" i="4" s="1"/>
  <c r="S47" i="3"/>
  <c r="T42" i="4" s="1"/>
  <c r="S48" i="3"/>
  <c r="T43" i="4" s="1"/>
  <c r="S49" i="3"/>
  <c r="R7" i="2"/>
  <c r="S7" i="2"/>
  <c r="S41" i="3" s="1"/>
  <c r="R5" i="3"/>
  <c r="R6" i="3"/>
  <c r="R7" i="3"/>
  <c r="R8" i="3"/>
  <c r="R15" i="3"/>
  <c r="R16" i="3"/>
  <c r="R17" i="3"/>
  <c r="R19" i="3"/>
  <c r="R14" i="3" s="1"/>
  <c r="R11" i="3" s="1"/>
  <c r="R20" i="3"/>
  <c r="R23" i="3"/>
  <c r="R24" i="3"/>
  <c r="R27" i="3"/>
  <c r="R28" i="3"/>
  <c r="R36" i="3"/>
  <c r="R40" i="3"/>
  <c r="R43" i="3" s="1"/>
  <c r="R41" i="3"/>
  <c r="R42" i="3"/>
  <c r="R46" i="3"/>
  <c r="R47" i="3"/>
  <c r="S42" i="4" s="1"/>
  <c r="R48" i="3"/>
  <c r="S43" i="4" s="1"/>
  <c r="S32" i="4"/>
  <c r="S33" i="4"/>
  <c r="S34" i="4"/>
  <c r="S41" i="4"/>
  <c r="S47" i="4"/>
  <c r="O5" i="3"/>
  <c r="P5" i="3"/>
  <c r="Q5" i="3"/>
  <c r="O6" i="3"/>
  <c r="P6" i="3"/>
  <c r="Q6" i="3"/>
  <c r="O7" i="3"/>
  <c r="P7" i="3"/>
  <c r="Q7" i="3"/>
  <c r="O8" i="3"/>
  <c r="P8" i="3"/>
  <c r="Q8" i="3"/>
  <c r="O15" i="3"/>
  <c r="P15" i="3"/>
  <c r="Q15" i="3"/>
  <c r="O16" i="3"/>
  <c r="P16" i="3"/>
  <c r="Q16" i="3"/>
  <c r="O17" i="3"/>
  <c r="P17" i="3"/>
  <c r="Q17" i="3"/>
  <c r="O19" i="3"/>
  <c r="P19" i="3"/>
  <c r="Q19" i="3"/>
  <c r="Q14" i="3" s="1"/>
  <c r="Q11" i="3" s="1"/>
  <c r="O20" i="3"/>
  <c r="P20" i="3"/>
  <c r="Q20" i="3"/>
  <c r="O23" i="3"/>
  <c r="P23" i="3"/>
  <c r="Q23" i="3"/>
  <c r="O24" i="3"/>
  <c r="P24" i="3"/>
  <c r="P22" i="3" s="1"/>
  <c r="Q24" i="3"/>
  <c r="O27" i="3"/>
  <c r="P27" i="3"/>
  <c r="Q27" i="3"/>
  <c r="O28" i="3"/>
  <c r="O26" i="3" s="1"/>
  <c r="P28" i="3"/>
  <c r="Q28" i="3"/>
  <c r="O36" i="3"/>
  <c r="P36" i="3"/>
  <c r="Q36" i="3"/>
  <c r="O40" i="3"/>
  <c r="P40" i="3"/>
  <c r="Q40" i="3"/>
  <c r="O42" i="3"/>
  <c r="P42" i="3"/>
  <c r="Q42" i="3"/>
  <c r="O46" i="3"/>
  <c r="P41" i="4" s="1"/>
  <c r="P46" i="3"/>
  <c r="Q41" i="4" s="1"/>
  <c r="Q46" i="3"/>
  <c r="R41" i="4" s="1"/>
  <c r="O47" i="3"/>
  <c r="P42" i="4" s="1"/>
  <c r="P47" i="3"/>
  <c r="Q42" i="4" s="1"/>
  <c r="Q47" i="3"/>
  <c r="R42" i="4" s="1"/>
  <c r="O48" i="3"/>
  <c r="P43" i="4" s="1"/>
  <c r="P48" i="3"/>
  <c r="Q43" i="4" s="1"/>
  <c r="Q48" i="3"/>
  <c r="R43" i="4" s="1"/>
  <c r="Q49" i="3"/>
  <c r="I23" i="2"/>
  <c r="J23" i="2"/>
  <c r="K23" i="2"/>
  <c r="L23" i="2"/>
  <c r="M23" i="2"/>
  <c r="N23" i="2"/>
  <c r="O23" i="2"/>
  <c r="P23" i="2"/>
  <c r="R38" i="4"/>
  <c r="X23" i="2"/>
  <c r="Y23" i="2"/>
  <c r="Z23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N7" i="2"/>
  <c r="O7" i="2"/>
  <c r="O41" i="3" s="1"/>
  <c r="P7" i="2"/>
  <c r="P41" i="3" s="1"/>
  <c r="Q7" i="2"/>
  <c r="Q41" i="3" s="1"/>
  <c r="T7" i="2"/>
  <c r="T41" i="3" s="1"/>
  <c r="U7" i="2"/>
  <c r="U41" i="3" s="1"/>
  <c r="V7" i="2"/>
  <c r="V41" i="3" s="1"/>
  <c r="W7" i="2"/>
  <c r="W41" i="3" s="1"/>
  <c r="X7" i="2"/>
  <c r="X41" i="3" s="1"/>
  <c r="Y7" i="2"/>
  <c r="Y41" i="3" s="1"/>
  <c r="Z7" i="2"/>
  <c r="Z41" i="3" s="1"/>
  <c r="N4" i="2"/>
  <c r="O4" i="2"/>
  <c r="P4" i="2"/>
  <c r="Q4" i="2"/>
  <c r="R4" i="2"/>
  <c r="S4" i="2"/>
  <c r="T4" i="2"/>
  <c r="U4" i="2"/>
  <c r="V4" i="2"/>
  <c r="W4" i="2"/>
  <c r="X4" i="2"/>
  <c r="Y4" i="2"/>
  <c r="Y3" i="2" s="1"/>
  <c r="Y19" i="2" s="1"/>
  <c r="Y29" i="2" s="1"/>
  <c r="Y30" i="2" s="1"/>
  <c r="Y33" i="2" s="1"/>
  <c r="Z4" i="2"/>
  <c r="Z3" i="2" s="1"/>
  <c r="Z19" i="2" s="1"/>
  <c r="Z29" i="2" s="1"/>
  <c r="Z30" i="2" s="1"/>
  <c r="Z33" i="2" s="1"/>
  <c r="P3" i="2"/>
  <c r="P19" i="2" s="1"/>
  <c r="P29" i="2" s="1"/>
  <c r="S3" i="2"/>
  <c r="S19" i="2" s="1"/>
  <c r="S29" i="2" s="1"/>
  <c r="S30" i="2" s="1"/>
  <c r="S33" i="2" s="1"/>
  <c r="X3" i="2"/>
  <c r="X19" i="2" s="1"/>
  <c r="X29" i="2" s="1"/>
  <c r="X30" i="2" s="1"/>
  <c r="X33" i="2" s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O29" i="1"/>
  <c r="P29" i="1"/>
  <c r="Q29" i="1"/>
  <c r="R29" i="1"/>
  <c r="S29" i="1"/>
  <c r="T29" i="1"/>
  <c r="U29" i="1"/>
  <c r="V29" i="1"/>
  <c r="W29" i="1"/>
  <c r="X29" i="1"/>
  <c r="Y29" i="1"/>
  <c r="Z29" i="1"/>
  <c r="O19" i="1"/>
  <c r="O35" i="3" s="1"/>
  <c r="P19" i="1"/>
  <c r="P35" i="3" s="1"/>
  <c r="Q19" i="1"/>
  <c r="R19" i="1"/>
  <c r="S19" i="1"/>
  <c r="T19" i="1"/>
  <c r="U19" i="1"/>
  <c r="U35" i="3" s="1"/>
  <c r="V19" i="1"/>
  <c r="V35" i="3" s="1"/>
  <c r="W19" i="1"/>
  <c r="W35" i="3" s="1"/>
  <c r="X19" i="1"/>
  <c r="X35" i="3" s="1"/>
  <c r="Y19" i="1"/>
  <c r="Y35" i="3" s="1"/>
  <c r="Z19" i="1"/>
  <c r="Z35" i="3" s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N7" i="1"/>
  <c r="O7" i="1"/>
  <c r="P7" i="1"/>
  <c r="Q7" i="1"/>
  <c r="R7" i="1"/>
  <c r="S7" i="1"/>
  <c r="T7" i="1"/>
  <c r="U7" i="1"/>
  <c r="V7" i="1"/>
  <c r="W7" i="1"/>
  <c r="X7" i="1"/>
  <c r="Y7" i="1"/>
  <c r="Z7" i="1"/>
  <c r="M3" i="1"/>
  <c r="O3" i="1"/>
  <c r="O33" i="3" s="1"/>
  <c r="P3" i="1"/>
  <c r="P33" i="3" s="1"/>
  <c r="Q3" i="1"/>
  <c r="Q33" i="3" s="1"/>
  <c r="R3" i="1"/>
  <c r="R33" i="3" s="1"/>
  <c r="S3" i="1"/>
  <c r="S33" i="3" s="1"/>
  <c r="T3" i="1"/>
  <c r="T33" i="3" s="1"/>
  <c r="U3" i="1"/>
  <c r="U33" i="3" s="1"/>
  <c r="V3" i="1"/>
  <c r="V33" i="3" s="1"/>
  <c r="W3" i="1"/>
  <c r="W33" i="3" s="1"/>
  <c r="X3" i="1"/>
  <c r="X33" i="3" s="1"/>
  <c r="Y3" i="1"/>
  <c r="Y33" i="3" s="1"/>
  <c r="Z3" i="1"/>
  <c r="Z33" i="3" s="1"/>
  <c r="N21" i="1"/>
  <c r="N19" i="1" s="1"/>
  <c r="AA15" i="4" l="1"/>
  <c r="Z15" i="4"/>
  <c r="Y15" i="4"/>
  <c r="X15" i="4"/>
  <c r="Z36" i="1"/>
  <c r="AA39" i="4"/>
  <c r="Z4" i="3"/>
  <c r="Y36" i="1"/>
  <c r="Z39" i="4"/>
  <c r="Y4" i="3"/>
  <c r="X36" i="1"/>
  <c r="Y39" i="4"/>
  <c r="X4" i="3"/>
  <c r="W36" i="1"/>
  <c r="X39" i="4"/>
  <c r="W4" i="3"/>
  <c r="X35" i="2"/>
  <c r="X37" i="2" s="1"/>
  <c r="Z35" i="2"/>
  <c r="Z37" i="2" s="1"/>
  <c r="Y35" i="2"/>
  <c r="Y37" i="2" s="1"/>
  <c r="AA12" i="4"/>
  <c r="Y38" i="4"/>
  <c r="AA38" i="4"/>
  <c r="Z49" i="3"/>
  <c r="Z12" i="4"/>
  <c r="X38" i="4"/>
  <c r="Y49" i="3"/>
  <c r="W38" i="4"/>
  <c r="Y12" i="4"/>
  <c r="X49" i="3"/>
  <c r="V38" i="4"/>
  <c r="X12" i="4"/>
  <c r="W49" i="3"/>
  <c r="AA25" i="1"/>
  <c r="AA33" i="3"/>
  <c r="AA36" i="1"/>
  <c r="AA47" i="1" s="1"/>
  <c r="AB39" i="4"/>
  <c r="AA4" i="3"/>
  <c r="AA29" i="2"/>
  <c r="AA30" i="2" s="1"/>
  <c r="AA33" i="2" s="1"/>
  <c r="AB13" i="4"/>
  <c r="AB12" i="4"/>
  <c r="Z38" i="4"/>
  <c r="AB38" i="4"/>
  <c r="AA49" i="3"/>
  <c r="AB47" i="4"/>
  <c r="AA47" i="4"/>
  <c r="Z47" i="4"/>
  <c r="Y47" i="4"/>
  <c r="X47" i="4"/>
  <c r="Z34" i="4"/>
  <c r="AB34" i="4"/>
  <c r="Y34" i="4"/>
  <c r="AA34" i="4"/>
  <c r="X34" i="4"/>
  <c r="Z33" i="4"/>
  <c r="AB33" i="4"/>
  <c r="Y33" i="4"/>
  <c r="AA33" i="4"/>
  <c r="X33" i="4"/>
  <c r="Z32" i="4"/>
  <c r="AB32" i="4"/>
  <c r="Y32" i="4"/>
  <c r="AA32" i="4"/>
  <c r="X32" i="4"/>
  <c r="AC17" i="4"/>
  <c r="AB3" i="3"/>
  <c r="AC13" i="4"/>
  <c r="AI17" i="4"/>
  <c r="AH3" i="3"/>
  <c r="AI13" i="4"/>
  <c r="AG13" i="4"/>
  <c r="AD17" i="4"/>
  <c r="AC3" i="3"/>
  <c r="AD13" i="4"/>
  <c r="AH17" i="4"/>
  <c r="AG3" i="3"/>
  <c r="AH13" i="4"/>
  <c r="AF13" i="4"/>
  <c r="AG29" i="2"/>
  <c r="AG30" i="2" s="1"/>
  <c r="AG33" i="2" s="1"/>
  <c r="AH29" i="2"/>
  <c r="AH30" i="2" s="1"/>
  <c r="AH33" i="2" s="1"/>
  <c r="AE29" i="2"/>
  <c r="AE30" i="2" s="1"/>
  <c r="AE33" i="2" s="1"/>
  <c r="AF29" i="2"/>
  <c r="AF30" i="2" s="1"/>
  <c r="AF33" i="2" s="1"/>
  <c r="AD29" i="2"/>
  <c r="AD30" i="2" s="1"/>
  <c r="AD33" i="2" s="1"/>
  <c r="AB29" i="2"/>
  <c r="AB30" i="2" s="1"/>
  <c r="AB33" i="2" s="1"/>
  <c r="AG36" i="4"/>
  <c r="AI36" i="4"/>
  <c r="AG12" i="3"/>
  <c r="AH6" i="4" s="1"/>
  <c r="AH3" i="4"/>
  <c r="AH23" i="4" s="1"/>
  <c r="AH4" i="4"/>
  <c r="AH5" i="4"/>
  <c r="AF35" i="4"/>
  <c r="AH35" i="4"/>
  <c r="AH12" i="3"/>
  <c r="AI6" i="4" s="1"/>
  <c r="AI3" i="4"/>
  <c r="AI23" i="4" s="1"/>
  <c r="AI4" i="4"/>
  <c r="AI5" i="4"/>
  <c r="AG35" i="4"/>
  <c r="AI35" i="4"/>
  <c r="AC6" i="4"/>
  <c r="AD6" i="4"/>
  <c r="AC22" i="4"/>
  <c r="AC23" i="4"/>
  <c r="AD22" i="4"/>
  <c r="AD23" i="4"/>
  <c r="AE22" i="4"/>
  <c r="AE23" i="4"/>
  <c r="AF22" i="4"/>
  <c r="AF23" i="4"/>
  <c r="AG22" i="4"/>
  <c r="AG23" i="4"/>
  <c r="AC36" i="4"/>
  <c r="AD36" i="4"/>
  <c r="AE36" i="4"/>
  <c r="AF36" i="4"/>
  <c r="AH36" i="4"/>
  <c r="AC45" i="4"/>
  <c r="AD45" i="4"/>
  <c r="AE45" i="4"/>
  <c r="AF45" i="4"/>
  <c r="AG45" i="4"/>
  <c r="AH44" i="4"/>
  <c r="AH45" i="4"/>
  <c r="AI44" i="4"/>
  <c r="AI45" i="4"/>
  <c r="AC35" i="2"/>
  <c r="AC37" i="2" s="1"/>
  <c r="AD11" i="4"/>
  <c r="AC26" i="4"/>
  <c r="AD26" i="4"/>
  <c r="AC31" i="4"/>
  <c r="AD31" i="4"/>
  <c r="AE31" i="4"/>
  <c r="AH26" i="4"/>
  <c r="AF31" i="4"/>
  <c r="AH31" i="4"/>
  <c r="AI26" i="4"/>
  <c r="AG31" i="4"/>
  <c r="AI31" i="4"/>
  <c r="AG17" i="4"/>
  <c r="AF3" i="3"/>
  <c r="AG20" i="4"/>
  <c r="AE17" i="4"/>
  <c r="AD3" i="3"/>
  <c r="AF17" i="4"/>
  <c r="AE3" i="3"/>
  <c r="Z42" i="4"/>
  <c r="AB42" i="4"/>
  <c r="AA39" i="3"/>
  <c r="Z39" i="3"/>
  <c r="Y39" i="3"/>
  <c r="X39" i="3"/>
  <c r="W39" i="3"/>
  <c r="AA26" i="3"/>
  <c r="AB46" i="4" s="1"/>
  <c r="Z26" i="3"/>
  <c r="AA46" i="4" s="1"/>
  <c r="Y26" i="3"/>
  <c r="Z46" i="4" s="1"/>
  <c r="X26" i="3"/>
  <c r="Y46" i="4" s="1"/>
  <c r="W26" i="3"/>
  <c r="X46" i="4" s="1"/>
  <c r="AA22" i="3"/>
  <c r="AB22" i="4" s="1"/>
  <c r="Z22" i="3"/>
  <c r="Y22" i="3"/>
  <c r="X22" i="3"/>
  <c r="W22" i="3"/>
  <c r="AA14" i="3"/>
  <c r="AA11" i="3" s="1"/>
  <c r="AA12" i="3" s="1"/>
  <c r="Z14" i="3"/>
  <c r="Y14" i="3"/>
  <c r="X14" i="3"/>
  <c r="W14" i="3"/>
  <c r="W15" i="4"/>
  <c r="V15" i="4"/>
  <c r="U15" i="4"/>
  <c r="T15" i="4"/>
  <c r="S15" i="4"/>
  <c r="R15" i="4"/>
  <c r="Q15" i="4"/>
  <c r="P15" i="4"/>
  <c r="Z25" i="1"/>
  <c r="Y25" i="1"/>
  <c r="X25" i="1"/>
  <c r="W25" i="1"/>
  <c r="U12" i="4"/>
  <c r="T35" i="3"/>
  <c r="T12" i="4"/>
  <c r="S35" i="3"/>
  <c r="S12" i="4"/>
  <c r="R35" i="3"/>
  <c r="R12" i="4"/>
  <c r="Q35" i="3"/>
  <c r="V36" i="1"/>
  <c r="W39" i="4"/>
  <c r="V4" i="3"/>
  <c r="U36" i="1"/>
  <c r="U47" i="1" s="1"/>
  <c r="V39" i="4"/>
  <c r="U4" i="3"/>
  <c r="T36" i="1"/>
  <c r="U39" i="4"/>
  <c r="T4" i="3"/>
  <c r="T39" i="4"/>
  <c r="S4" i="3"/>
  <c r="S36" i="1"/>
  <c r="R36" i="1"/>
  <c r="S39" i="4"/>
  <c r="R4" i="3"/>
  <c r="R39" i="4"/>
  <c r="Q4" i="3"/>
  <c r="Q36" i="1"/>
  <c r="P36" i="1"/>
  <c r="Q39" i="4"/>
  <c r="P4" i="3"/>
  <c r="P39" i="4"/>
  <c r="O4" i="3"/>
  <c r="O36" i="1"/>
  <c r="Z47" i="1"/>
  <c r="Y47" i="1"/>
  <c r="X47" i="1"/>
  <c r="W47" i="1"/>
  <c r="Q12" i="4"/>
  <c r="P49" i="3"/>
  <c r="P12" i="4"/>
  <c r="P38" i="4"/>
  <c r="O49" i="3"/>
  <c r="R47" i="4"/>
  <c r="Q39" i="3"/>
  <c r="P43" i="3"/>
  <c r="Q47" i="4"/>
  <c r="O43" i="3"/>
  <c r="P47" i="4"/>
  <c r="Q43" i="3"/>
  <c r="P34" i="4"/>
  <c r="R34" i="4"/>
  <c r="P26" i="3"/>
  <c r="Q34" i="4"/>
  <c r="Q22" i="4"/>
  <c r="Q22" i="3"/>
  <c r="O22" i="3"/>
  <c r="P22" i="4" s="1"/>
  <c r="Q12" i="3"/>
  <c r="R3" i="4"/>
  <c r="R5" i="4"/>
  <c r="O14" i="3"/>
  <c r="O11" i="3" s="1"/>
  <c r="O12" i="3" s="1"/>
  <c r="P14" i="3"/>
  <c r="P11" i="3" s="1"/>
  <c r="P12" i="3" s="1"/>
  <c r="P33" i="4"/>
  <c r="R33" i="4"/>
  <c r="Q33" i="4"/>
  <c r="P32" i="4"/>
  <c r="R32" i="4"/>
  <c r="Q32" i="4"/>
  <c r="R39" i="3"/>
  <c r="R26" i="3"/>
  <c r="R22" i="3"/>
  <c r="S22" i="4" s="1"/>
  <c r="S43" i="3"/>
  <c r="T47" i="4"/>
  <c r="S39" i="3"/>
  <c r="R36" i="4" s="1"/>
  <c r="T34" i="4"/>
  <c r="S26" i="3"/>
  <c r="S22" i="3"/>
  <c r="T3" i="4"/>
  <c r="T5" i="4"/>
  <c r="T32" i="4"/>
  <c r="S38" i="4"/>
  <c r="T43" i="3"/>
  <c r="U47" i="4"/>
  <c r="T39" i="3"/>
  <c r="U34" i="4"/>
  <c r="T26" i="3"/>
  <c r="T22" i="3"/>
  <c r="U22" i="4" s="1"/>
  <c r="T14" i="3"/>
  <c r="T11" i="3" s="1"/>
  <c r="U33" i="4"/>
  <c r="U32" i="4"/>
  <c r="U38" i="4"/>
  <c r="W12" i="4"/>
  <c r="V49" i="3"/>
  <c r="V12" i="4"/>
  <c r="U49" i="3"/>
  <c r="V39" i="3"/>
  <c r="W47" i="4"/>
  <c r="V47" i="4"/>
  <c r="U39" i="3"/>
  <c r="W34" i="4"/>
  <c r="V26" i="3"/>
  <c r="W46" i="4" s="1"/>
  <c r="U26" i="3"/>
  <c r="V34" i="4"/>
  <c r="W22" i="4"/>
  <c r="U22" i="3"/>
  <c r="W3" i="4"/>
  <c r="W23" i="4" s="1"/>
  <c r="W5" i="4"/>
  <c r="V3" i="4"/>
  <c r="V5" i="4"/>
  <c r="W33" i="4"/>
  <c r="T33" i="4"/>
  <c r="V33" i="4"/>
  <c r="W32" i="4"/>
  <c r="V32" i="4"/>
  <c r="U35" i="4"/>
  <c r="V12" i="3"/>
  <c r="U12" i="3"/>
  <c r="T35" i="4"/>
  <c r="V43" i="3"/>
  <c r="U45" i="4"/>
  <c r="U3" i="2"/>
  <c r="U19" i="2" s="1"/>
  <c r="V47" i="1"/>
  <c r="V25" i="1"/>
  <c r="U25" i="1"/>
  <c r="S35" i="2"/>
  <c r="S37" i="2" s="1"/>
  <c r="Q38" i="4"/>
  <c r="R49" i="3"/>
  <c r="T45" i="4"/>
  <c r="T3" i="2"/>
  <c r="T19" i="2" s="1"/>
  <c r="T47" i="1"/>
  <c r="T25" i="1"/>
  <c r="S12" i="3"/>
  <c r="R35" i="4"/>
  <c r="S47" i="1"/>
  <c r="S25" i="1"/>
  <c r="S3" i="4"/>
  <c r="S23" i="4" s="1"/>
  <c r="Q35" i="4"/>
  <c r="S5" i="4"/>
  <c r="S35" i="4"/>
  <c r="R12" i="3"/>
  <c r="S45" i="4"/>
  <c r="R3" i="2"/>
  <c r="R19" i="2" s="1"/>
  <c r="R29" i="2" s="1"/>
  <c r="R30" i="2" s="1"/>
  <c r="R33" i="2" s="1"/>
  <c r="R47" i="1"/>
  <c r="R25" i="1"/>
  <c r="P39" i="3"/>
  <c r="O39" i="3"/>
  <c r="Q26" i="3"/>
  <c r="P30" i="2"/>
  <c r="P33" i="2" s="1"/>
  <c r="Q3" i="2"/>
  <c r="Q19" i="2" s="1"/>
  <c r="W3" i="2"/>
  <c r="W19" i="2" s="1"/>
  <c r="W29" i="2" s="1"/>
  <c r="W30" i="2" s="1"/>
  <c r="W33" i="2" s="1"/>
  <c r="O3" i="2"/>
  <c r="O19" i="2" s="1"/>
  <c r="V3" i="2"/>
  <c r="V19" i="2" s="1"/>
  <c r="N3" i="2"/>
  <c r="N19" i="2" s="1"/>
  <c r="N29" i="2" s="1"/>
  <c r="N30" i="2" s="1"/>
  <c r="N33" i="2" s="1"/>
  <c r="N35" i="2" s="1"/>
  <c r="N37" i="2" s="1"/>
  <c r="Q47" i="1"/>
  <c r="O47" i="1"/>
  <c r="P47" i="1"/>
  <c r="Q25" i="1"/>
  <c r="P25" i="1"/>
  <c r="O25" i="1"/>
  <c r="N28" i="1"/>
  <c r="N26" i="1"/>
  <c r="N29" i="1" s="1"/>
  <c r="N36" i="1" s="1"/>
  <c r="N47" i="1" s="1"/>
  <c r="B6" i="1"/>
  <c r="N6" i="1"/>
  <c r="B4" i="1"/>
  <c r="B5" i="1" s="1"/>
  <c r="N4" i="1"/>
  <c r="W35" i="2" l="1"/>
  <c r="W37" i="2" s="1"/>
  <c r="X11" i="4"/>
  <c r="X17" i="4"/>
  <c r="W3" i="3"/>
  <c r="X13" i="4"/>
  <c r="Y17" i="4"/>
  <c r="X3" i="3"/>
  <c r="Y11" i="4"/>
  <c r="Y13" i="4"/>
  <c r="Z17" i="4"/>
  <c r="Y3" i="3"/>
  <c r="Z11" i="4"/>
  <c r="Z13" i="4"/>
  <c r="AA17" i="4"/>
  <c r="Z3" i="3"/>
  <c r="AA11" i="4"/>
  <c r="AA13" i="4"/>
  <c r="W11" i="3"/>
  <c r="X11" i="3"/>
  <c r="Y11" i="3"/>
  <c r="Z11" i="3"/>
  <c r="X22" i="4"/>
  <c r="Y22" i="4"/>
  <c r="Z22" i="4"/>
  <c r="AA22" i="4"/>
  <c r="X36" i="4"/>
  <c r="Y36" i="4"/>
  <c r="AA36" i="4"/>
  <c r="Z36" i="4"/>
  <c r="AB36" i="4"/>
  <c r="AD30" i="4"/>
  <c r="AF16" i="4"/>
  <c r="AF18" i="4"/>
  <c r="AF20" i="4"/>
  <c r="AF21" i="4"/>
  <c r="AF24" i="4"/>
  <c r="AF4" i="4"/>
  <c r="AF28" i="4"/>
  <c r="AF27" i="4"/>
  <c r="AF6" i="4"/>
  <c r="AD44" i="4"/>
  <c r="AF44" i="4"/>
  <c r="AF26" i="4"/>
  <c r="AC30" i="4"/>
  <c r="AE16" i="4"/>
  <c r="AE18" i="4"/>
  <c r="AE20" i="4"/>
  <c r="AE21" i="4"/>
  <c r="AE24" i="4"/>
  <c r="AE4" i="4"/>
  <c r="AE28" i="4"/>
  <c r="AE27" i="4"/>
  <c r="AE6" i="4"/>
  <c r="AC44" i="4"/>
  <c r="AE44" i="4"/>
  <c r="AE26" i="4"/>
  <c r="AE30" i="4"/>
  <c r="AG16" i="4"/>
  <c r="AG18" i="4"/>
  <c r="AG21" i="4"/>
  <c r="AG24" i="4"/>
  <c r="AG4" i="4"/>
  <c r="AG28" i="4"/>
  <c r="AG27" i="4"/>
  <c r="AG6" i="4"/>
  <c r="AG44" i="4"/>
  <c r="AG26" i="4"/>
  <c r="AB35" i="2"/>
  <c r="AB37" i="2" s="1"/>
  <c r="AC11" i="4"/>
  <c r="AD35" i="2"/>
  <c r="AD37" i="2" s="1"/>
  <c r="AE11" i="4"/>
  <c r="AF35" i="2"/>
  <c r="AF37" i="2" s="1"/>
  <c r="AG11" i="4"/>
  <c r="AE35" i="2"/>
  <c r="AE37" i="2" s="1"/>
  <c r="AF11" i="4"/>
  <c r="AH35" i="2"/>
  <c r="AH37" i="2" s="1"/>
  <c r="AI11" i="4"/>
  <c r="AG35" i="2"/>
  <c r="AG37" i="2" s="1"/>
  <c r="AH11" i="4"/>
  <c r="AF30" i="4"/>
  <c r="AH30" i="4"/>
  <c r="AH16" i="4"/>
  <c r="AH18" i="4"/>
  <c r="AH20" i="4"/>
  <c r="AH21" i="4"/>
  <c r="AH24" i="4"/>
  <c r="AH28" i="4"/>
  <c r="AH27" i="4"/>
  <c r="AD16" i="4"/>
  <c r="AD18" i="4"/>
  <c r="AD20" i="4"/>
  <c r="AD21" i="4"/>
  <c r="AD24" i="4"/>
  <c r="AD4" i="4"/>
  <c r="AD28" i="4"/>
  <c r="AD27" i="4"/>
  <c r="AG30" i="4"/>
  <c r="AI30" i="4"/>
  <c r="AI16" i="4"/>
  <c r="AI18" i="4"/>
  <c r="AI20" i="4"/>
  <c r="AI21" i="4"/>
  <c r="AI24" i="4"/>
  <c r="AI28" i="4"/>
  <c r="AI27" i="4"/>
  <c r="AC16" i="4"/>
  <c r="AC18" i="4"/>
  <c r="AC20" i="4"/>
  <c r="AC21" i="4"/>
  <c r="AC24" i="4"/>
  <c r="AC4" i="4"/>
  <c r="AC28" i="4"/>
  <c r="AC27" i="4"/>
  <c r="AA30" i="4"/>
  <c r="AB45" i="4"/>
  <c r="AA35" i="2"/>
  <c r="AA37" i="2" s="1"/>
  <c r="AB11" i="4"/>
  <c r="Z31" i="4"/>
  <c r="AB31" i="4"/>
  <c r="AB15" i="4"/>
  <c r="AB17" i="4"/>
  <c r="AA3" i="3"/>
  <c r="X44" i="4"/>
  <c r="X45" i="4"/>
  <c r="Y44" i="4"/>
  <c r="Y45" i="4"/>
  <c r="Z44" i="4"/>
  <c r="Z45" i="4"/>
  <c r="AA44" i="4"/>
  <c r="AA45" i="4"/>
  <c r="X26" i="4"/>
  <c r="Y26" i="4"/>
  <c r="Z26" i="4"/>
  <c r="X31" i="4"/>
  <c r="AA26" i="4"/>
  <c r="Y31" i="4"/>
  <c r="AA31" i="4"/>
  <c r="AB6" i="4"/>
  <c r="AB3" i="4"/>
  <c r="AB23" i="4" s="1"/>
  <c r="AB4" i="4"/>
  <c r="AB5" i="4"/>
  <c r="Z35" i="4"/>
  <c r="AB35" i="4"/>
  <c r="N5" i="1"/>
  <c r="N3" i="1"/>
  <c r="N25" i="1"/>
  <c r="P17" i="4"/>
  <c r="O3" i="3"/>
  <c r="P13" i="4"/>
  <c r="Q17" i="4"/>
  <c r="P3" i="3"/>
  <c r="R17" i="4"/>
  <c r="Q3" i="3"/>
  <c r="R13" i="4"/>
  <c r="V29" i="2"/>
  <c r="V30" i="2" s="1"/>
  <c r="V33" i="2" s="1"/>
  <c r="O29" i="2"/>
  <c r="O30" i="2" s="1"/>
  <c r="O33" i="2" s="1"/>
  <c r="Q29" i="2"/>
  <c r="Q30" i="2" s="1"/>
  <c r="Q33" i="2" s="1"/>
  <c r="Q35" i="2" s="1"/>
  <c r="Q37" i="2" s="1"/>
  <c r="R46" i="4"/>
  <c r="P46" i="4"/>
  <c r="Q36" i="4"/>
  <c r="Q45" i="4"/>
  <c r="Q6" i="4"/>
  <c r="Q13" i="4"/>
  <c r="R3" i="3"/>
  <c r="S17" i="4"/>
  <c r="S6" i="4"/>
  <c r="S13" i="4"/>
  <c r="T17" i="4"/>
  <c r="S3" i="3"/>
  <c r="T11" i="4"/>
  <c r="T6" i="4"/>
  <c r="U17" i="4"/>
  <c r="T3" i="3"/>
  <c r="T29" i="2"/>
  <c r="T30" i="2" s="1"/>
  <c r="T33" i="2" s="1"/>
  <c r="S44" i="4"/>
  <c r="T13" i="4"/>
  <c r="V17" i="4"/>
  <c r="U3" i="3"/>
  <c r="V13" i="4"/>
  <c r="U13" i="4"/>
  <c r="W17" i="4"/>
  <c r="V3" i="3"/>
  <c r="W13" i="4"/>
  <c r="U29" i="2"/>
  <c r="U30" i="2" s="1"/>
  <c r="U33" i="2" s="1"/>
  <c r="V6" i="4"/>
  <c r="W6" i="4"/>
  <c r="V22" i="4"/>
  <c r="V23" i="4"/>
  <c r="T46" i="4"/>
  <c r="V46" i="4"/>
  <c r="V36" i="4"/>
  <c r="T36" i="4"/>
  <c r="U36" i="4"/>
  <c r="W36" i="4"/>
  <c r="V44" i="4"/>
  <c r="V45" i="4"/>
  <c r="W44" i="4"/>
  <c r="W45" i="4"/>
  <c r="T12" i="3"/>
  <c r="U6" i="4" s="1"/>
  <c r="U3" i="4"/>
  <c r="U23" i="4" s="1"/>
  <c r="U4" i="4"/>
  <c r="U5" i="4"/>
  <c r="U46" i="4"/>
  <c r="T22" i="4"/>
  <c r="T23" i="4"/>
  <c r="S46" i="4"/>
  <c r="S36" i="4"/>
  <c r="Q3" i="4"/>
  <c r="Q23" i="4" s="1"/>
  <c r="Q4" i="4"/>
  <c r="Q5" i="4"/>
  <c r="P6" i="4"/>
  <c r="P3" i="4"/>
  <c r="P23" i="4" s="1"/>
  <c r="P4" i="4"/>
  <c r="P5" i="4"/>
  <c r="P35" i="4"/>
  <c r="R6" i="4"/>
  <c r="R22" i="4"/>
  <c r="R23" i="4"/>
  <c r="Q46" i="4"/>
  <c r="P36" i="4"/>
  <c r="R45" i="4"/>
  <c r="P44" i="4"/>
  <c r="P45" i="4"/>
  <c r="Q44" i="4"/>
  <c r="P26" i="4"/>
  <c r="Q26" i="4"/>
  <c r="R26" i="4"/>
  <c r="P31" i="4"/>
  <c r="S31" i="4"/>
  <c r="S26" i="4"/>
  <c r="Q31" i="4"/>
  <c r="T26" i="4"/>
  <c r="R31" i="4"/>
  <c r="U26" i="4"/>
  <c r="V26" i="4"/>
  <c r="V31" i="4"/>
  <c r="T31" i="4"/>
  <c r="W26" i="4"/>
  <c r="W31" i="4"/>
  <c r="U31" i="4"/>
  <c r="R20" i="4"/>
  <c r="S20" i="4"/>
  <c r="T20" i="4"/>
  <c r="U20" i="4"/>
  <c r="T35" i="2"/>
  <c r="T37" i="2" s="1"/>
  <c r="U11" i="4"/>
  <c r="P35" i="2"/>
  <c r="P37" i="2" s="1"/>
  <c r="Q11" i="4"/>
  <c r="R11" i="4"/>
  <c r="B23" i="2"/>
  <c r="B46" i="1"/>
  <c r="B3" i="1"/>
  <c r="B29" i="1"/>
  <c r="B4" i="3" s="1"/>
  <c r="B19" i="1"/>
  <c r="B35" i="3" s="1"/>
  <c r="B15" i="1"/>
  <c r="B12" i="1"/>
  <c r="B7" i="1"/>
  <c r="B12" i="2"/>
  <c r="B7" i="2"/>
  <c r="B41" i="3" s="1"/>
  <c r="B4" i="2"/>
  <c r="B5" i="3"/>
  <c r="B6" i="3"/>
  <c r="B7" i="3"/>
  <c r="B8" i="3"/>
  <c r="B15" i="3"/>
  <c r="B17" i="3"/>
  <c r="B19" i="3"/>
  <c r="B20" i="3"/>
  <c r="B23" i="3"/>
  <c r="B24" i="3"/>
  <c r="B27" i="3"/>
  <c r="B28" i="3"/>
  <c r="B36" i="3"/>
  <c r="B40" i="3"/>
  <c r="B42" i="3"/>
  <c r="B46" i="3"/>
  <c r="B47" i="3"/>
  <c r="B48" i="3"/>
  <c r="Z30" i="4" l="1"/>
  <c r="AB20" i="4"/>
  <c r="AB21" i="4"/>
  <c r="AB24" i="4"/>
  <c r="AB28" i="4"/>
  <c r="AB27" i="4"/>
  <c r="AB30" i="4"/>
  <c r="AB44" i="4"/>
  <c r="AB26" i="4"/>
  <c r="AB16" i="4"/>
  <c r="AB18" i="4"/>
  <c r="AA3" i="4"/>
  <c r="AA23" i="4" s="1"/>
  <c r="AA4" i="4"/>
  <c r="AA5" i="4"/>
  <c r="Y35" i="4"/>
  <c r="AA35" i="4"/>
  <c r="Z12" i="3"/>
  <c r="AA6" i="4" s="1"/>
  <c r="Z3" i="4"/>
  <c r="Z23" i="4" s="1"/>
  <c r="Z4" i="4"/>
  <c r="Z5" i="4"/>
  <c r="X35" i="4"/>
  <c r="Y12" i="3"/>
  <c r="Z6" i="4" s="1"/>
  <c r="Y3" i="4"/>
  <c r="Y23" i="4" s="1"/>
  <c r="Y4" i="4"/>
  <c r="Y5" i="4"/>
  <c r="W35" i="4"/>
  <c r="X12" i="3"/>
  <c r="Y6" i="4" s="1"/>
  <c r="X3" i="4"/>
  <c r="X23" i="4" s="1"/>
  <c r="X4" i="4"/>
  <c r="X5" i="4"/>
  <c r="V35" i="4"/>
  <c r="W12" i="3"/>
  <c r="X6" i="4" s="1"/>
  <c r="Y30" i="4"/>
  <c r="AA16" i="4"/>
  <c r="AA18" i="4"/>
  <c r="AA20" i="4"/>
  <c r="AA21" i="4"/>
  <c r="AA24" i="4"/>
  <c r="AA28" i="4"/>
  <c r="AA27" i="4"/>
  <c r="X30" i="4"/>
  <c r="Z16" i="4"/>
  <c r="Z18" i="4"/>
  <c r="Z20" i="4"/>
  <c r="Z21" i="4"/>
  <c r="Z24" i="4"/>
  <c r="Z28" i="4"/>
  <c r="Z27" i="4"/>
  <c r="Y16" i="4"/>
  <c r="Y18" i="4"/>
  <c r="Y20" i="4"/>
  <c r="Y21" i="4"/>
  <c r="Y24" i="4"/>
  <c r="Y28" i="4"/>
  <c r="Y27" i="4"/>
  <c r="X16" i="4"/>
  <c r="X18" i="4"/>
  <c r="X20" i="4"/>
  <c r="X21" i="4"/>
  <c r="X24" i="4"/>
  <c r="X28" i="4"/>
  <c r="X27" i="4"/>
  <c r="U35" i="2"/>
  <c r="U37" i="2" s="1"/>
  <c r="V11" i="4"/>
  <c r="W30" i="4"/>
  <c r="U30" i="4"/>
  <c r="W16" i="4"/>
  <c r="W18" i="4"/>
  <c r="W20" i="4"/>
  <c r="W21" i="4"/>
  <c r="W24" i="4"/>
  <c r="W4" i="4"/>
  <c r="W28" i="4"/>
  <c r="W27" i="4"/>
  <c r="V30" i="4"/>
  <c r="T30" i="4"/>
  <c r="V16" i="4"/>
  <c r="V18" i="4"/>
  <c r="V20" i="4"/>
  <c r="V21" i="4"/>
  <c r="V24" i="4"/>
  <c r="V4" i="4"/>
  <c r="V28" i="4"/>
  <c r="V27" i="4"/>
  <c r="U16" i="4"/>
  <c r="U18" i="4"/>
  <c r="U21" i="4"/>
  <c r="U24" i="4"/>
  <c r="U28" i="4"/>
  <c r="U27" i="4"/>
  <c r="U44" i="4"/>
  <c r="S30" i="4"/>
  <c r="R30" i="4"/>
  <c r="T16" i="4"/>
  <c r="T18" i="4"/>
  <c r="T44" i="4"/>
  <c r="T21" i="4"/>
  <c r="T24" i="4"/>
  <c r="T4" i="4"/>
  <c r="T28" i="4"/>
  <c r="T27" i="4"/>
  <c r="S24" i="4"/>
  <c r="S27" i="4"/>
  <c r="S28" i="4"/>
  <c r="Q30" i="4"/>
  <c r="S16" i="4"/>
  <c r="S18" i="4"/>
  <c r="S21" i="4"/>
  <c r="S4" i="4"/>
  <c r="O35" i="2"/>
  <c r="O37" i="2" s="1"/>
  <c r="P11" i="4"/>
  <c r="V35" i="2"/>
  <c r="V37" i="2" s="1"/>
  <c r="W11" i="4"/>
  <c r="P30" i="4"/>
  <c r="R16" i="4"/>
  <c r="R18" i="4"/>
  <c r="R21" i="4"/>
  <c r="R24" i="4"/>
  <c r="R4" i="4"/>
  <c r="R28" i="4"/>
  <c r="R27" i="4"/>
  <c r="R44" i="4"/>
  <c r="Q16" i="4"/>
  <c r="Q18" i="4"/>
  <c r="Q20" i="4"/>
  <c r="Q21" i="4"/>
  <c r="Q24" i="4"/>
  <c r="Q28" i="4"/>
  <c r="Q27" i="4"/>
  <c r="P16" i="4"/>
  <c r="P18" i="4"/>
  <c r="P20" i="4"/>
  <c r="P21" i="4"/>
  <c r="P24" i="4"/>
  <c r="P28" i="4"/>
  <c r="P27" i="4"/>
  <c r="S11" i="4"/>
  <c r="R35" i="2"/>
  <c r="R37" i="2" s="1"/>
  <c r="B3" i="2"/>
  <c r="B43" i="3"/>
  <c r="B19" i="2"/>
  <c r="B29" i="2" s="1"/>
  <c r="B16" i="3"/>
  <c r="B14" i="3" s="1"/>
  <c r="B11" i="3" s="1"/>
  <c r="B36" i="1"/>
  <c r="B47" i="1" s="1"/>
  <c r="B22" i="3"/>
  <c r="C22" i="4" s="1"/>
  <c r="B33" i="3"/>
  <c r="C15" i="4" s="1"/>
  <c r="B25" i="1"/>
  <c r="B49" i="3"/>
  <c r="C12" i="4"/>
  <c r="B39" i="3"/>
  <c r="B26" i="3"/>
  <c r="N42" i="3"/>
  <c r="N16" i="3"/>
  <c r="N8" i="3"/>
  <c r="N23" i="3"/>
  <c r="C7" i="1"/>
  <c r="D7" i="1"/>
  <c r="E7" i="1"/>
  <c r="F7" i="1"/>
  <c r="G7" i="1"/>
  <c r="H7" i="1"/>
  <c r="I7" i="1"/>
  <c r="J7" i="1"/>
  <c r="K7" i="1"/>
  <c r="L7" i="1"/>
  <c r="M7" i="1"/>
  <c r="D5" i="3"/>
  <c r="E5" i="3"/>
  <c r="F5" i="3"/>
  <c r="G5" i="3"/>
  <c r="H5" i="3"/>
  <c r="I5" i="3"/>
  <c r="J5" i="3"/>
  <c r="K5" i="3"/>
  <c r="L5" i="3"/>
  <c r="M5" i="3"/>
  <c r="L32" i="4" s="1"/>
  <c r="N5" i="3"/>
  <c r="O32" i="4" s="1"/>
  <c r="D6" i="3"/>
  <c r="E6" i="3"/>
  <c r="F6" i="3"/>
  <c r="G6" i="3"/>
  <c r="H6" i="3"/>
  <c r="I6" i="3"/>
  <c r="J6" i="3"/>
  <c r="K6" i="3"/>
  <c r="L6" i="3"/>
  <c r="M6" i="3"/>
  <c r="N33" i="4" s="1"/>
  <c r="N6" i="3"/>
  <c r="D7" i="3"/>
  <c r="E7" i="3"/>
  <c r="F7" i="3"/>
  <c r="G7" i="3"/>
  <c r="H7" i="3"/>
  <c r="I7" i="3"/>
  <c r="J7" i="3"/>
  <c r="K7" i="3"/>
  <c r="L7" i="3"/>
  <c r="M7" i="3"/>
  <c r="N7" i="3"/>
  <c r="D8" i="3"/>
  <c r="E8" i="3"/>
  <c r="F8" i="3"/>
  <c r="G8" i="3"/>
  <c r="H8" i="3"/>
  <c r="I8" i="3"/>
  <c r="J8" i="3"/>
  <c r="K8" i="3"/>
  <c r="L8" i="3"/>
  <c r="M8" i="3"/>
  <c r="D15" i="3"/>
  <c r="E15" i="3"/>
  <c r="F15" i="3"/>
  <c r="G15" i="3"/>
  <c r="H15" i="3"/>
  <c r="I15" i="3"/>
  <c r="J15" i="3"/>
  <c r="K15" i="3"/>
  <c r="L15" i="3"/>
  <c r="M15" i="3"/>
  <c r="N15" i="3"/>
  <c r="D16" i="3"/>
  <c r="E16" i="3"/>
  <c r="F16" i="3"/>
  <c r="G16" i="3"/>
  <c r="H16" i="3"/>
  <c r="I16" i="3"/>
  <c r="J16" i="3"/>
  <c r="K16" i="3"/>
  <c r="L16" i="3"/>
  <c r="M16" i="3"/>
  <c r="D17" i="3"/>
  <c r="E17" i="3"/>
  <c r="F17" i="3"/>
  <c r="G17" i="3"/>
  <c r="H17" i="3"/>
  <c r="I17" i="3"/>
  <c r="J17" i="3"/>
  <c r="K17" i="3"/>
  <c r="L17" i="3"/>
  <c r="M17" i="3"/>
  <c r="N17" i="3"/>
  <c r="D19" i="3"/>
  <c r="E19" i="3"/>
  <c r="F19" i="3"/>
  <c r="G19" i="3"/>
  <c r="H19" i="3"/>
  <c r="I19" i="3"/>
  <c r="J19" i="3"/>
  <c r="K19" i="3"/>
  <c r="L19" i="3"/>
  <c r="M19" i="3"/>
  <c r="N19" i="3"/>
  <c r="D20" i="3"/>
  <c r="E20" i="3"/>
  <c r="F20" i="3"/>
  <c r="G20" i="3"/>
  <c r="H20" i="3"/>
  <c r="I20" i="3"/>
  <c r="J20" i="3"/>
  <c r="K20" i="3"/>
  <c r="L20" i="3"/>
  <c r="M20" i="3"/>
  <c r="N20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7" i="3"/>
  <c r="E27" i="3"/>
  <c r="F27" i="3"/>
  <c r="G27" i="3"/>
  <c r="H27" i="3"/>
  <c r="I27" i="3"/>
  <c r="J27" i="3"/>
  <c r="K27" i="3"/>
  <c r="L27" i="3"/>
  <c r="M27" i="3"/>
  <c r="N34" i="4" s="1"/>
  <c r="N27" i="3"/>
  <c r="D28" i="3"/>
  <c r="E28" i="3"/>
  <c r="F28" i="3"/>
  <c r="G28" i="3"/>
  <c r="H28" i="3"/>
  <c r="I28" i="3"/>
  <c r="J28" i="3"/>
  <c r="K28" i="3"/>
  <c r="L28" i="3"/>
  <c r="M28" i="3"/>
  <c r="N28" i="3"/>
  <c r="D36" i="3"/>
  <c r="E36" i="3"/>
  <c r="F36" i="3"/>
  <c r="G36" i="3"/>
  <c r="H36" i="3"/>
  <c r="I36" i="3"/>
  <c r="J36" i="3"/>
  <c r="K36" i="3"/>
  <c r="L36" i="3"/>
  <c r="M36" i="3"/>
  <c r="N36" i="3"/>
  <c r="D40" i="3"/>
  <c r="E40" i="3"/>
  <c r="F40" i="3"/>
  <c r="G40" i="3"/>
  <c r="H40" i="3"/>
  <c r="I40" i="3"/>
  <c r="J40" i="3"/>
  <c r="K40" i="3"/>
  <c r="L40" i="3"/>
  <c r="L43" i="3" s="1"/>
  <c r="M40" i="3"/>
  <c r="N40" i="3"/>
  <c r="D42" i="3"/>
  <c r="E42" i="3"/>
  <c r="F42" i="3"/>
  <c r="G42" i="3"/>
  <c r="H42" i="3"/>
  <c r="I42" i="3"/>
  <c r="J42" i="3"/>
  <c r="K42" i="3"/>
  <c r="L42" i="3"/>
  <c r="M42" i="3"/>
  <c r="D46" i="3"/>
  <c r="E46" i="3"/>
  <c r="F46" i="3"/>
  <c r="G46" i="3"/>
  <c r="H46" i="3"/>
  <c r="I46" i="3"/>
  <c r="J46" i="3"/>
  <c r="K46" i="3"/>
  <c r="L46" i="3"/>
  <c r="M46" i="3"/>
  <c r="N46" i="3"/>
  <c r="D47" i="3"/>
  <c r="E47" i="3"/>
  <c r="F47" i="3"/>
  <c r="G47" i="3"/>
  <c r="H47" i="3"/>
  <c r="I47" i="3"/>
  <c r="J47" i="3"/>
  <c r="K47" i="3"/>
  <c r="L47" i="3"/>
  <c r="M47" i="3"/>
  <c r="N47" i="3"/>
  <c r="D48" i="3"/>
  <c r="E48" i="3"/>
  <c r="F48" i="3"/>
  <c r="G48" i="3"/>
  <c r="H48" i="3"/>
  <c r="I48" i="3"/>
  <c r="J48" i="3"/>
  <c r="K48" i="3"/>
  <c r="L48" i="3"/>
  <c r="M48" i="3"/>
  <c r="N48" i="3"/>
  <c r="I49" i="3"/>
  <c r="I12" i="2"/>
  <c r="I7" i="2"/>
  <c r="I41" i="3" s="1"/>
  <c r="J7" i="2"/>
  <c r="I4" i="2"/>
  <c r="J4" i="2"/>
  <c r="K4" i="2"/>
  <c r="L4" i="2"/>
  <c r="M4" i="2"/>
  <c r="I46" i="1"/>
  <c r="J46" i="1"/>
  <c r="K46" i="1"/>
  <c r="L46" i="1"/>
  <c r="M46" i="1"/>
  <c r="I29" i="1"/>
  <c r="I4" i="3" s="1"/>
  <c r="J29" i="1"/>
  <c r="J36" i="1" s="1"/>
  <c r="K29" i="1"/>
  <c r="K36" i="1" s="1"/>
  <c r="L29" i="1"/>
  <c r="L4" i="3" s="1"/>
  <c r="I19" i="1"/>
  <c r="I35" i="3" s="1"/>
  <c r="J19" i="1"/>
  <c r="J35" i="3" s="1"/>
  <c r="K19" i="1"/>
  <c r="K35" i="3" s="1"/>
  <c r="L19" i="1"/>
  <c r="L35" i="3" s="1"/>
  <c r="M19" i="1"/>
  <c r="M35" i="3" s="1"/>
  <c r="I15" i="1"/>
  <c r="J15" i="1"/>
  <c r="K15" i="1"/>
  <c r="L15" i="1"/>
  <c r="M15" i="1"/>
  <c r="I12" i="1"/>
  <c r="J12" i="1"/>
  <c r="K12" i="1"/>
  <c r="L12" i="1"/>
  <c r="M12" i="1"/>
  <c r="I3" i="1"/>
  <c r="I33" i="3" s="1"/>
  <c r="J3" i="1"/>
  <c r="J33" i="3" s="1"/>
  <c r="K3" i="1"/>
  <c r="K33" i="3" s="1"/>
  <c r="L3" i="1"/>
  <c r="L33" i="3" s="1"/>
  <c r="M33" i="3"/>
  <c r="B48" i="1" l="1"/>
  <c r="J3" i="2"/>
  <c r="F43" i="3"/>
  <c r="B30" i="2"/>
  <c r="B33" i="2" s="1"/>
  <c r="B35" i="2" s="1"/>
  <c r="B37" i="2" s="1"/>
  <c r="I3" i="2"/>
  <c r="B12" i="3"/>
  <c r="C3" i="4"/>
  <c r="C23" i="4" s="1"/>
  <c r="D14" i="3"/>
  <c r="D11" i="3" s="1"/>
  <c r="D12" i="3" s="1"/>
  <c r="C5" i="4"/>
  <c r="C17" i="4"/>
  <c r="B3" i="3"/>
  <c r="H43" i="3"/>
  <c r="N43" i="4"/>
  <c r="N42" i="4"/>
  <c r="J43" i="4"/>
  <c r="L43" i="4"/>
  <c r="M33" i="4"/>
  <c r="K33" i="4"/>
  <c r="L22" i="3"/>
  <c r="M22" i="4" s="1"/>
  <c r="K14" i="3"/>
  <c r="K11" i="3" s="1"/>
  <c r="K12" i="3" s="1"/>
  <c r="J22" i="3"/>
  <c r="F14" i="3"/>
  <c r="F11" i="3" s="1"/>
  <c r="F12" i="3" s="1"/>
  <c r="E14" i="3"/>
  <c r="E11" i="3" s="1"/>
  <c r="E12" i="3" s="1"/>
  <c r="M42" i="4"/>
  <c r="E26" i="3"/>
  <c r="J33" i="4"/>
  <c r="J32" i="4"/>
  <c r="L14" i="3"/>
  <c r="L11" i="3" s="1"/>
  <c r="L12" i="3" s="1"/>
  <c r="M6" i="4" s="1"/>
  <c r="K42" i="4"/>
  <c r="J41" i="4"/>
  <c r="K22" i="3"/>
  <c r="J14" i="3"/>
  <c r="J11" i="3" s="1"/>
  <c r="J12" i="3" s="1"/>
  <c r="J42" i="4"/>
  <c r="K43" i="4"/>
  <c r="N14" i="3"/>
  <c r="O42" i="4"/>
  <c r="O41" i="4"/>
  <c r="M41" i="4"/>
  <c r="M43" i="4"/>
  <c r="N24" i="3"/>
  <c r="N22" i="3" s="1"/>
  <c r="J12" i="4"/>
  <c r="L42" i="4"/>
  <c r="J41" i="3"/>
  <c r="J39" i="3" s="1"/>
  <c r="I39" i="3"/>
  <c r="K43" i="3"/>
  <c r="G43" i="3"/>
  <c r="M14" i="3"/>
  <c r="M11" i="3" s="1"/>
  <c r="N3" i="4" s="1"/>
  <c r="I14" i="3"/>
  <c r="I11" i="3" s="1"/>
  <c r="I12" i="3" s="1"/>
  <c r="J6" i="4" s="1"/>
  <c r="H14" i="3"/>
  <c r="H11" i="3" s="1"/>
  <c r="H12" i="3" s="1"/>
  <c r="G14" i="3"/>
  <c r="G11" i="3" s="1"/>
  <c r="G12" i="3" s="1"/>
  <c r="J15" i="4"/>
  <c r="K15" i="4"/>
  <c r="L33" i="4"/>
  <c r="K4" i="3"/>
  <c r="J4" i="3"/>
  <c r="N41" i="4"/>
  <c r="N32" i="4"/>
  <c r="M32" i="4"/>
  <c r="K47" i="1"/>
  <c r="L15" i="4"/>
  <c r="L41" i="4"/>
  <c r="I36" i="1"/>
  <c r="I47" i="1" s="1"/>
  <c r="K41" i="4"/>
  <c r="K32" i="4"/>
  <c r="O33" i="4"/>
  <c r="J47" i="1"/>
  <c r="I25" i="1"/>
  <c r="J17" i="4" s="1"/>
  <c r="D26" i="3"/>
  <c r="J43" i="3"/>
  <c r="N26" i="3"/>
  <c r="O46" i="4" s="1"/>
  <c r="O47" i="4"/>
  <c r="I43" i="3"/>
  <c r="M26" i="3"/>
  <c r="N46" i="4" s="1"/>
  <c r="N47" i="4"/>
  <c r="L26" i="3"/>
  <c r="M47" i="4"/>
  <c r="K26" i="3"/>
  <c r="L46" i="4" s="1"/>
  <c r="L47" i="4"/>
  <c r="O34" i="4"/>
  <c r="J26" i="3"/>
  <c r="K47" i="4"/>
  <c r="I26" i="3"/>
  <c r="J47" i="4"/>
  <c r="M34" i="4"/>
  <c r="E43" i="3"/>
  <c r="L34" i="4"/>
  <c r="M25" i="1"/>
  <c r="M3" i="3" s="1"/>
  <c r="D43" i="3"/>
  <c r="H26" i="3"/>
  <c r="K34" i="4"/>
  <c r="L25" i="1"/>
  <c r="L3" i="3" s="1"/>
  <c r="M21" i="4" s="1"/>
  <c r="N43" i="3"/>
  <c r="G26" i="3"/>
  <c r="J34" i="4"/>
  <c r="M43" i="3"/>
  <c r="F26" i="3"/>
  <c r="O43" i="4"/>
  <c r="M22" i="3"/>
  <c r="I22" i="3"/>
  <c r="H22" i="3"/>
  <c r="G22" i="3"/>
  <c r="D22" i="3"/>
  <c r="K25" i="1"/>
  <c r="K3" i="3" s="1"/>
  <c r="F22" i="3"/>
  <c r="J25" i="1"/>
  <c r="E22" i="3"/>
  <c r="N15" i="4"/>
  <c r="M15" i="4"/>
  <c r="N33" i="3"/>
  <c r="O39" i="4"/>
  <c r="N41" i="3"/>
  <c r="N39" i="3" s="1"/>
  <c r="O36" i="4" s="1"/>
  <c r="K12" i="2"/>
  <c r="L12" i="2"/>
  <c r="M12" i="2"/>
  <c r="K7" i="2"/>
  <c r="K3" i="2" s="1"/>
  <c r="L7" i="2"/>
  <c r="L3" i="2" s="1"/>
  <c r="M7" i="2"/>
  <c r="M29" i="1"/>
  <c r="M41" i="3" l="1"/>
  <c r="M39" i="3" s="1"/>
  <c r="M3" i="2"/>
  <c r="C6" i="4"/>
  <c r="J48" i="1"/>
  <c r="C11" i="4"/>
  <c r="I48" i="1"/>
  <c r="K22" i="4"/>
  <c r="K48" i="1"/>
  <c r="M5" i="4"/>
  <c r="L22" i="4"/>
  <c r="C21" i="4"/>
  <c r="C4" i="4"/>
  <c r="C28" i="4"/>
  <c r="C27" i="4"/>
  <c r="C26" i="4"/>
  <c r="C18" i="4"/>
  <c r="C24" i="4"/>
  <c r="C16" i="4"/>
  <c r="C20" i="4"/>
  <c r="M18" i="4"/>
  <c r="L3" i="4"/>
  <c r="L23" i="4" s="1"/>
  <c r="K35" i="4"/>
  <c r="K3" i="4"/>
  <c r="K23" i="4" s="1"/>
  <c r="N11" i="3"/>
  <c r="J35" i="4"/>
  <c r="J5" i="4"/>
  <c r="M3" i="4"/>
  <c r="M23" i="4" s="1"/>
  <c r="M46" i="4"/>
  <c r="N38" i="4"/>
  <c r="N12" i="4"/>
  <c r="M49" i="3"/>
  <c r="N45" i="4" s="1"/>
  <c r="L38" i="4"/>
  <c r="M12" i="4"/>
  <c r="L49" i="3"/>
  <c r="J38" i="4"/>
  <c r="L12" i="4"/>
  <c r="K49" i="3"/>
  <c r="L44" i="4" s="1"/>
  <c r="O38" i="4"/>
  <c r="M38" i="4"/>
  <c r="N49" i="3"/>
  <c r="O45" i="4" s="1"/>
  <c r="L19" i="2"/>
  <c r="L29" i="2" s="1"/>
  <c r="L30" i="2" s="1"/>
  <c r="L33" i="2" s="1"/>
  <c r="L35" i="2" s="1"/>
  <c r="L37" i="2" s="1"/>
  <c r="L41" i="3"/>
  <c r="L39" i="3" s="1"/>
  <c r="M36" i="4" s="1"/>
  <c r="K41" i="3"/>
  <c r="K39" i="3" s="1"/>
  <c r="J36" i="4" s="1"/>
  <c r="K19" i="2"/>
  <c r="K29" i="2" s="1"/>
  <c r="K30" i="2" s="1"/>
  <c r="K33" i="2" s="1"/>
  <c r="K35" i="2" s="1"/>
  <c r="K37" i="2" s="1"/>
  <c r="M19" i="2"/>
  <c r="M29" i="2" s="1"/>
  <c r="M30" i="2" s="1"/>
  <c r="M33" i="2" s="1"/>
  <c r="M35" i="2" s="1"/>
  <c r="M37" i="2" s="1"/>
  <c r="N36" i="4"/>
  <c r="J13" i="4"/>
  <c r="J3" i="4"/>
  <c r="J23" i="4" s="1"/>
  <c r="M12" i="3"/>
  <c r="N6" i="4" s="1"/>
  <c r="L35" i="4"/>
  <c r="N35" i="4"/>
  <c r="M36" i="1"/>
  <c r="M47" i="1" s="1"/>
  <c r="M48" i="1" s="1"/>
  <c r="M4" i="3"/>
  <c r="N26" i="4" s="1"/>
  <c r="K5" i="4"/>
  <c r="L6" i="4"/>
  <c r="J31" i="4"/>
  <c r="L5" i="4"/>
  <c r="N4" i="3"/>
  <c r="K31" i="4"/>
  <c r="I3" i="3"/>
  <c r="J18" i="4" s="1"/>
  <c r="N35" i="3"/>
  <c r="O12" i="4"/>
  <c r="N21" i="4"/>
  <c r="M27" i="4"/>
  <c r="M4" i="4"/>
  <c r="M20" i="4"/>
  <c r="M17" i="4"/>
  <c r="M16" i="4"/>
  <c r="N4" i="4"/>
  <c r="M24" i="4"/>
  <c r="N24" i="4"/>
  <c r="N16" i="4"/>
  <c r="J46" i="4"/>
  <c r="N20" i="4"/>
  <c r="N30" i="4"/>
  <c r="N27" i="4"/>
  <c r="N13" i="4"/>
  <c r="M28" i="4"/>
  <c r="N28" i="4"/>
  <c r="M26" i="4"/>
  <c r="K46" i="4"/>
  <c r="J3" i="3"/>
  <c r="K16" i="4" s="1"/>
  <c r="K17" i="4"/>
  <c r="N17" i="4"/>
  <c r="N18" i="4"/>
  <c r="L18" i="4"/>
  <c r="L30" i="4"/>
  <c r="L16" i="4"/>
  <c r="L20" i="4"/>
  <c r="L13" i="4"/>
  <c r="L17" i="4"/>
  <c r="N23" i="4"/>
  <c r="J22" i="4"/>
  <c r="O15" i="4"/>
  <c r="L26" i="4"/>
  <c r="L24" i="4"/>
  <c r="L21" i="4"/>
  <c r="L28" i="4"/>
  <c r="L4" i="4"/>
  <c r="L27" i="4"/>
  <c r="I19" i="2"/>
  <c r="L36" i="1"/>
  <c r="L47" i="1" s="1"/>
  <c r="L48" i="1" s="1"/>
  <c r="I29" i="2" l="1"/>
  <c r="I30" i="2" s="1"/>
  <c r="I33" i="2" s="1"/>
  <c r="I35" i="2" s="1"/>
  <c r="I37" i="2" s="1"/>
  <c r="N12" i="3"/>
  <c r="O5" i="4"/>
  <c r="K6" i="4"/>
  <c r="K27" i="4"/>
  <c r="N44" i="4"/>
  <c r="O35" i="4"/>
  <c r="N11" i="4"/>
  <c r="L36" i="4"/>
  <c r="J45" i="4"/>
  <c r="M35" i="4"/>
  <c r="O3" i="4"/>
  <c r="O23" i="4" s="1"/>
  <c r="K20" i="4"/>
  <c r="L45" i="4"/>
  <c r="K36" i="4"/>
  <c r="M45" i="4"/>
  <c r="J26" i="4"/>
  <c r="O31" i="4"/>
  <c r="O22" i="4"/>
  <c r="M31" i="4"/>
  <c r="N5" i="4"/>
  <c r="L31" i="4"/>
  <c r="N31" i="4"/>
  <c r="N22" i="4"/>
  <c r="J4" i="4"/>
  <c r="J44" i="4"/>
  <c r="J28" i="4"/>
  <c r="J20" i="4"/>
  <c r="J16" i="4"/>
  <c r="J30" i="4"/>
  <c r="K26" i="4"/>
  <c r="J21" i="4"/>
  <c r="J27" i="4"/>
  <c r="J24" i="4"/>
  <c r="K4" i="4"/>
  <c r="K21" i="4"/>
  <c r="K24" i="4"/>
  <c r="K30" i="4"/>
  <c r="K28" i="4"/>
  <c r="K18" i="4"/>
  <c r="O17" i="4"/>
  <c r="N3" i="3"/>
  <c r="O6" i="4" s="1"/>
  <c r="O11" i="4"/>
  <c r="O13" i="4"/>
  <c r="M13" i="4"/>
  <c r="C5" i="3"/>
  <c r="C6" i="3"/>
  <c r="C33" i="4" s="1"/>
  <c r="F33" i="4"/>
  <c r="G33" i="4"/>
  <c r="C7" i="3"/>
  <c r="C8" i="3"/>
  <c r="C15" i="3"/>
  <c r="C42" i="4" s="1"/>
  <c r="C16" i="3"/>
  <c r="C17" i="3"/>
  <c r="C19" i="3"/>
  <c r="C20" i="3"/>
  <c r="C23" i="3"/>
  <c r="C24" i="3"/>
  <c r="C27" i="3"/>
  <c r="C28" i="3"/>
  <c r="C36" i="3"/>
  <c r="C40" i="3"/>
  <c r="C42" i="3"/>
  <c r="C46" i="3"/>
  <c r="C47" i="3"/>
  <c r="C48" i="3"/>
  <c r="C23" i="2"/>
  <c r="D23" i="2"/>
  <c r="D49" i="3" s="1"/>
  <c r="E23" i="2"/>
  <c r="E49" i="3" s="1"/>
  <c r="F23" i="2"/>
  <c r="F49" i="3" s="1"/>
  <c r="G23" i="2"/>
  <c r="G49" i="3" s="1"/>
  <c r="H23" i="2"/>
  <c r="H49" i="3" s="1"/>
  <c r="C12" i="2"/>
  <c r="D12" i="2"/>
  <c r="E12" i="2"/>
  <c r="F12" i="2"/>
  <c r="G12" i="2"/>
  <c r="H12" i="2"/>
  <c r="J12" i="2"/>
  <c r="C7" i="2"/>
  <c r="C41" i="3" s="1"/>
  <c r="D7" i="2"/>
  <c r="D41" i="3" s="1"/>
  <c r="D39" i="3" s="1"/>
  <c r="E7" i="2"/>
  <c r="E41" i="3" s="1"/>
  <c r="E39" i="3" s="1"/>
  <c r="F7" i="2"/>
  <c r="F41" i="3" s="1"/>
  <c r="F39" i="3" s="1"/>
  <c r="G7" i="2"/>
  <c r="G41" i="3" s="1"/>
  <c r="G39" i="3" s="1"/>
  <c r="H7" i="2"/>
  <c r="H41" i="3" s="1"/>
  <c r="H39" i="3" s="1"/>
  <c r="C4" i="2"/>
  <c r="D4" i="2"/>
  <c r="E4" i="2"/>
  <c r="F4" i="2"/>
  <c r="G4" i="2"/>
  <c r="H4" i="2"/>
  <c r="C46" i="1"/>
  <c r="D46" i="1"/>
  <c r="E46" i="1"/>
  <c r="F46" i="1"/>
  <c r="G46" i="1"/>
  <c r="H46" i="1"/>
  <c r="C29" i="1"/>
  <c r="C36" i="1" s="1"/>
  <c r="D29" i="1"/>
  <c r="E29" i="1"/>
  <c r="F29" i="1"/>
  <c r="G29" i="1"/>
  <c r="H29" i="1"/>
  <c r="C19" i="1"/>
  <c r="C35" i="3" s="1"/>
  <c r="D19" i="1"/>
  <c r="E19" i="1"/>
  <c r="F19" i="1"/>
  <c r="G19" i="1"/>
  <c r="G35" i="3" s="1"/>
  <c r="H19" i="1"/>
  <c r="H35" i="3" s="1"/>
  <c r="C15" i="1"/>
  <c r="D15" i="1"/>
  <c r="E15" i="1"/>
  <c r="F15" i="1"/>
  <c r="G15" i="1"/>
  <c r="H15" i="1"/>
  <c r="C12" i="1"/>
  <c r="D12" i="1"/>
  <c r="E12" i="1"/>
  <c r="F12" i="1"/>
  <c r="G12" i="1"/>
  <c r="H12" i="1"/>
  <c r="C3" i="1"/>
  <c r="C33" i="3" s="1"/>
  <c r="D3" i="1"/>
  <c r="D33" i="3" s="1"/>
  <c r="E3" i="1"/>
  <c r="E33" i="3" s="1"/>
  <c r="F3" i="1"/>
  <c r="F33" i="3" s="1"/>
  <c r="G3" i="1"/>
  <c r="G33" i="3" s="1"/>
  <c r="H3" i="1"/>
  <c r="H33" i="3" s="1"/>
  <c r="M11" i="4" l="1"/>
  <c r="L11" i="4"/>
  <c r="K13" i="4"/>
  <c r="N48" i="1"/>
  <c r="C41" i="4"/>
  <c r="C32" i="4"/>
  <c r="C34" i="4"/>
  <c r="C47" i="4"/>
  <c r="C43" i="4"/>
  <c r="C49" i="3"/>
  <c r="C38" i="4"/>
  <c r="J49" i="3"/>
  <c r="K12" i="4"/>
  <c r="K38" i="4"/>
  <c r="H36" i="1"/>
  <c r="H47" i="1" s="1"/>
  <c r="H4" i="3"/>
  <c r="F36" i="1"/>
  <c r="F47" i="1" s="1"/>
  <c r="F4" i="3"/>
  <c r="G36" i="1"/>
  <c r="G47" i="1" s="1"/>
  <c r="G4" i="3"/>
  <c r="E36" i="1"/>
  <c r="E47" i="1" s="1"/>
  <c r="E4" i="3"/>
  <c r="D36" i="1"/>
  <c r="D47" i="1" s="1"/>
  <c r="D4" i="3"/>
  <c r="G12" i="4"/>
  <c r="F35" i="3"/>
  <c r="F12" i="4"/>
  <c r="E35" i="3"/>
  <c r="E12" i="4"/>
  <c r="D35" i="3"/>
  <c r="O30" i="4"/>
  <c r="O28" i="4"/>
  <c r="O21" i="4"/>
  <c r="O26" i="4"/>
  <c r="O44" i="4"/>
  <c r="M30" i="4"/>
  <c r="O20" i="4"/>
  <c r="O24" i="4"/>
  <c r="O4" i="4"/>
  <c r="O27" i="4"/>
  <c r="M44" i="4"/>
  <c r="O16" i="4"/>
  <c r="O18" i="4"/>
  <c r="F38" i="4"/>
  <c r="I12" i="4"/>
  <c r="H12" i="4"/>
  <c r="H38" i="4"/>
  <c r="I38" i="4"/>
  <c r="G38" i="4"/>
  <c r="I42" i="4"/>
  <c r="H42" i="4"/>
  <c r="G42" i="4"/>
  <c r="F42" i="4"/>
  <c r="F32" i="4"/>
  <c r="G41" i="4"/>
  <c r="H32" i="4"/>
  <c r="I41" i="4"/>
  <c r="I32" i="4"/>
  <c r="H33" i="4"/>
  <c r="I33" i="4"/>
  <c r="G32" i="4"/>
  <c r="H41" i="4"/>
  <c r="F41" i="4"/>
  <c r="G47" i="4"/>
  <c r="F34" i="4"/>
  <c r="G43" i="4"/>
  <c r="F43" i="4"/>
  <c r="F47" i="4"/>
  <c r="I47" i="4"/>
  <c r="H34" i="4"/>
  <c r="I43" i="4"/>
  <c r="I34" i="4"/>
  <c r="H47" i="4"/>
  <c r="G34" i="4"/>
  <c r="H43" i="4"/>
  <c r="D32" i="4"/>
  <c r="H25" i="1"/>
  <c r="H3" i="3" s="1"/>
  <c r="I6" i="4" s="1"/>
  <c r="G25" i="1"/>
  <c r="G3" i="3" s="1"/>
  <c r="F25" i="1"/>
  <c r="F3" i="3" s="1"/>
  <c r="E25" i="1"/>
  <c r="E3" i="3" s="1"/>
  <c r="F6" i="4" s="1"/>
  <c r="D25" i="1"/>
  <c r="D3" i="3" s="1"/>
  <c r="I46" i="4"/>
  <c r="H46" i="4"/>
  <c r="C43" i="3"/>
  <c r="E43" i="4"/>
  <c r="D38" i="4"/>
  <c r="D41" i="4"/>
  <c r="E32" i="4"/>
  <c r="C4" i="3"/>
  <c r="C31" i="4" s="1"/>
  <c r="C14" i="3"/>
  <c r="C11" i="3" s="1"/>
  <c r="C26" i="3"/>
  <c r="C46" i="4" s="1"/>
  <c r="D42" i="4"/>
  <c r="D33" i="4"/>
  <c r="D43" i="4"/>
  <c r="D3" i="2"/>
  <c r="D19" i="2" s="1"/>
  <c r="D29" i="2" s="1"/>
  <c r="D30" i="2" s="1"/>
  <c r="D33" i="2" s="1"/>
  <c r="D35" i="2" s="1"/>
  <c r="D37" i="2" s="1"/>
  <c r="E41" i="4"/>
  <c r="C3" i="2"/>
  <c r="C19" i="2" s="1"/>
  <c r="C29" i="2" s="1"/>
  <c r="C30" i="2" s="1"/>
  <c r="C33" i="2" s="1"/>
  <c r="C35" i="2" s="1"/>
  <c r="C37" i="2" s="1"/>
  <c r="C39" i="3"/>
  <c r="E42" i="4"/>
  <c r="E15" i="4"/>
  <c r="I15" i="4"/>
  <c r="H15" i="4"/>
  <c r="G15" i="4"/>
  <c r="F15" i="4"/>
  <c r="E33" i="4"/>
  <c r="D15" i="4"/>
  <c r="E38" i="4"/>
  <c r="E34" i="4"/>
  <c r="D12" i="4"/>
  <c r="J19" i="2"/>
  <c r="D34" i="4"/>
  <c r="H3" i="2"/>
  <c r="H19" i="2" s="1"/>
  <c r="H29" i="2" s="1"/>
  <c r="H30" i="2" s="1"/>
  <c r="H33" i="2" s="1"/>
  <c r="H35" i="2" s="1"/>
  <c r="H37" i="2" s="1"/>
  <c r="E47" i="4"/>
  <c r="C47" i="1"/>
  <c r="C22" i="3"/>
  <c r="G35" i="4"/>
  <c r="D47" i="4"/>
  <c r="C25" i="1"/>
  <c r="C13" i="4" s="1"/>
  <c r="F3" i="2"/>
  <c r="F19" i="2" s="1"/>
  <c r="F29" i="2" s="1"/>
  <c r="F30" i="2" s="1"/>
  <c r="F33" i="2" s="1"/>
  <c r="F35" i="2" s="1"/>
  <c r="F37" i="2" s="1"/>
  <c r="G3" i="2"/>
  <c r="G19" i="2" s="1"/>
  <c r="G29" i="2" s="1"/>
  <c r="G30" i="2" s="1"/>
  <c r="G33" i="2" s="1"/>
  <c r="G35" i="2" s="1"/>
  <c r="G37" i="2" s="1"/>
  <c r="E3" i="2"/>
  <c r="E19" i="2" s="1"/>
  <c r="E29" i="2" s="1"/>
  <c r="E30" i="2" s="1"/>
  <c r="E33" i="2" s="1"/>
  <c r="E35" i="2" s="1"/>
  <c r="E37" i="2" s="1"/>
  <c r="J29" i="2" l="1"/>
  <c r="J30" i="2" s="1"/>
  <c r="J33" i="2" s="1"/>
  <c r="J35" i="2" s="1"/>
  <c r="J37" i="2" s="1"/>
  <c r="G48" i="1"/>
  <c r="D48" i="1"/>
  <c r="C48" i="1"/>
  <c r="H48" i="1"/>
  <c r="J11" i="4"/>
  <c r="E48" i="1"/>
  <c r="F48" i="1"/>
  <c r="C12" i="3"/>
  <c r="D6" i="4" s="1"/>
  <c r="C35" i="4"/>
  <c r="C45" i="4"/>
  <c r="C36" i="4"/>
  <c r="K45" i="4"/>
  <c r="K44" i="4"/>
  <c r="F31" i="4"/>
  <c r="G46" i="4"/>
  <c r="F46" i="4"/>
  <c r="F45" i="4"/>
  <c r="G45" i="4"/>
  <c r="F36" i="4"/>
  <c r="H45" i="4"/>
  <c r="G36" i="4"/>
  <c r="I45" i="4"/>
  <c r="H36" i="4"/>
  <c r="I36" i="4"/>
  <c r="H35" i="4"/>
  <c r="I35" i="4"/>
  <c r="F35" i="4"/>
  <c r="G31" i="4"/>
  <c r="H31" i="4"/>
  <c r="I31" i="4"/>
  <c r="I13" i="4"/>
  <c r="I11" i="4"/>
  <c r="I17" i="4"/>
  <c r="E13" i="4"/>
  <c r="E11" i="4"/>
  <c r="F13" i="4"/>
  <c r="F11" i="4"/>
  <c r="F17" i="4"/>
  <c r="G11" i="4"/>
  <c r="G17" i="4"/>
  <c r="G13" i="4"/>
  <c r="H13" i="4"/>
  <c r="H11" i="4"/>
  <c r="H17" i="4"/>
  <c r="E36" i="4"/>
  <c r="H22" i="4"/>
  <c r="E6" i="4"/>
  <c r="D5" i="4"/>
  <c r="D45" i="4"/>
  <c r="D35" i="4"/>
  <c r="F22" i="4"/>
  <c r="E5" i="4"/>
  <c r="D46" i="4"/>
  <c r="E31" i="4"/>
  <c r="E46" i="4"/>
  <c r="E3" i="4"/>
  <c r="E23" i="4" s="1"/>
  <c r="G22" i="4"/>
  <c r="D3" i="4"/>
  <c r="D23" i="4" s="1"/>
  <c r="D31" i="4"/>
  <c r="D36" i="4"/>
  <c r="C3" i="3"/>
  <c r="D17" i="4"/>
  <c r="E17" i="4"/>
  <c r="I22" i="4"/>
  <c r="G6" i="4"/>
  <c r="G5" i="4"/>
  <c r="G3" i="4"/>
  <c r="G23" i="4" s="1"/>
  <c r="D13" i="4"/>
  <c r="E45" i="4"/>
  <c r="I5" i="4"/>
  <c r="I3" i="4"/>
  <c r="I23" i="4" s="1"/>
  <c r="D11" i="4"/>
  <c r="E35" i="4"/>
  <c r="F3" i="4"/>
  <c r="F23" i="4" s="1"/>
  <c r="F5" i="4"/>
  <c r="E22" i="4"/>
  <c r="H6" i="4"/>
  <c r="H3" i="4"/>
  <c r="H23" i="4" s="1"/>
  <c r="H5" i="4"/>
  <c r="D22" i="4"/>
  <c r="K11" i="4" l="1"/>
  <c r="C30" i="4"/>
  <c r="C44" i="4"/>
  <c r="F4" i="4"/>
  <c r="F26" i="4"/>
  <c r="F28" i="4"/>
  <c r="F44" i="4"/>
  <c r="F27" i="4"/>
  <c r="G30" i="4"/>
  <c r="H28" i="4"/>
  <c r="H44" i="4"/>
  <c r="H27" i="4"/>
  <c r="H26" i="4"/>
  <c r="H30" i="4"/>
  <c r="I28" i="4"/>
  <c r="I44" i="4"/>
  <c r="I27" i="4"/>
  <c r="I26" i="4"/>
  <c r="I30" i="4"/>
  <c r="G4" i="4"/>
  <c r="F30" i="4"/>
  <c r="G28" i="4"/>
  <c r="G27" i="4"/>
  <c r="G26" i="4"/>
  <c r="G44" i="4"/>
  <c r="I4" i="4"/>
  <c r="H4" i="4"/>
  <c r="E44" i="4"/>
  <c r="G18" i="4"/>
  <c r="G16" i="4"/>
  <c r="G20" i="4"/>
  <c r="G21" i="4"/>
  <c r="G24" i="4"/>
  <c r="E30" i="4"/>
  <c r="F18" i="4"/>
  <c r="F24" i="4"/>
  <c r="F16" i="4"/>
  <c r="F20" i="4"/>
  <c r="F21" i="4"/>
  <c r="D27" i="4"/>
  <c r="D26" i="4"/>
  <c r="D21" i="4"/>
  <c r="D4" i="4"/>
  <c r="D16" i="4"/>
  <c r="D28" i="4"/>
  <c r="D20" i="4"/>
  <c r="D18" i="4"/>
  <c r="D24" i="4"/>
  <c r="D44" i="4"/>
  <c r="H24" i="4"/>
  <c r="H21" i="4"/>
  <c r="H18" i="4"/>
  <c r="H16" i="4"/>
  <c r="H20" i="4"/>
  <c r="E27" i="4"/>
  <c r="D30" i="4"/>
  <c r="E28" i="4"/>
  <c r="E21" i="4"/>
  <c r="E4" i="4"/>
  <c r="E24" i="4"/>
  <c r="E26" i="4"/>
  <c r="E20" i="4"/>
  <c r="E16" i="4"/>
  <c r="E18" i="4"/>
  <c r="I21" i="4"/>
  <c r="I24" i="4"/>
  <c r="I18" i="4"/>
  <c r="I16" i="4"/>
  <c r="I20" i="4"/>
</calcChain>
</file>

<file path=xl/sharedStrings.xml><?xml version="1.0" encoding="utf-8"?>
<sst xmlns="http://schemas.openxmlformats.org/spreadsheetml/2006/main" count="190" uniqueCount="172">
  <si>
    <t>KOLENGE SACCO</t>
  </si>
  <si>
    <t>Audited 2019</t>
  </si>
  <si>
    <t>Audit 20</t>
  </si>
  <si>
    <t>Audited 2021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</si>
  <si>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</si>
  <si>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</si>
  <si>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</si>
  <si>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</si>
  <si>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</si>
  <si>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</si>
  <si>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</si>
  <si>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with Other Saccos</t>
  </si>
  <si>
    <t>Investment In Companies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</si>
  <si>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</si>
  <si>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</si>
  <si>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</si>
  <si>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</si>
  <si>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</si>
  <si>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</si>
  <si>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</si>
  <si>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</si>
  <si>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</si>
  <si>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</si>
  <si>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</si>
  <si>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</si>
  <si>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</si>
  <si>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</si>
  <si>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</si>
  <si>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</si>
  <si>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</si>
  <si>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</si>
  <si>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</si>
  <si>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</si>
  <si>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</si>
  <si>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</si>
  <si>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</si>
  <si>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</si>
  <si>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</si>
  <si>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</si>
  <si>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</si>
  <si>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</si>
  <si>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</si>
  <si>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</si>
  <si>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</si>
  <si>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</si>
  <si>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</si>
  <si>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</si>
  <si>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</si>
  <si>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</si>
  <si>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Auidted 2021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</si>
  <si>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</si>
  <si>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</si>
  <si>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</si>
  <si>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</si>
  <si>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</si>
  <si>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</si>
  <si>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</si>
  <si>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</si>
  <si>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</si>
  <si>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</si>
  <si>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</si>
  <si>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</si>
  <si>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</si>
  <si>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</si>
  <si>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</si>
  <si>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</si>
  <si>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</si>
  <si>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</si>
  <si>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</si>
  <si>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</si>
  <si>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</si>
  <si>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</si>
  <si>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</si>
  <si>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</si>
  <si>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</si>
  <si>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</si>
  <si>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</si>
  <si>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</si>
  <si>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</si>
  <si>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</si>
  <si>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</si>
  <si>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</si>
  <si>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</si>
  <si>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</si>
  <si>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</si>
  <si>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AUDITED 2020</t>
  </si>
  <si>
    <t>Membership</t>
  </si>
  <si>
    <t>Total Deposits</t>
  </si>
  <si>
    <t>Deposits-Members(BOSA)</t>
  </si>
  <si>
    <t>Deposits-Customers(FOSA)</t>
  </si>
  <si>
    <t>External Borrowing</t>
  </si>
  <si>
    <t>Short term liabilities</t>
  </si>
  <si>
    <t>Share Capital and Reserves</t>
  </si>
  <si>
    <t>Core Capital</t>
  </si>
  <si>
    <t>Institutional Capital</t>
  </si>
  <si>
    <t>Total Capital</t>
  </si>
  <si>
    <t>Members Share Capital</t>
  </si>
  <si>
    <t>Retained Earnings</t>
  </si>
  <si>
    <t>Supplementary Capital &amp; Reserves</t>
  </si>
  <si>
    <t>Capital Reserves</t>
  </si>
  <si>
    <t>Investments</t>
  </si>
  <si>
    <t>Investment in Coop Bank, Kuscco</t>
  </si>
  <si>
    <t>Equity investments (at Cost)</t>
  </si>
  <si>
    <t>Net Loans &amp; Advances</t>
  </si>
  <si>
    <t>Gross Loans &amp; Advances</t>
  </si>
  <si>
    <t>Allowance for loan loss</t>
  </si>
  <si>
    <t>Non-Performing loans</t>
  </si>
  <si>
    <t>Renegotiated loans</t>
  </si>
  <si>
    <t>Required Loan loss provision</t>
  </si>
  <si>
    <t>Cash and cash equivalents</t>
  </si>
  <si>
    <t>Non-Earning Assets</t>
  </si>
  <si>
    <t>Land and Building</t>
  </si>
  <si>
    <t>Turnover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</si>
  <si>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</si>
  <si>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</si>
  <si>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</si>
  <si>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</si>
  <si>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</si>
  <si>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</si>
  <si>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</si>
  <si>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</si>
  <si>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Operating expense</t>
  </si>
  <si>
    <t>KOLENGE SACCO SOCIETY</t>
  </si>
  <si>
    <t>CAPITAL ADEQUACY</t>
  </si>
  <si>
    <t>&gt; Kshs. 10 Million</t>
  </si>
  <si>
    <t>Core Capital to Total Assets</t>
  </si>
  <si>
    <t>Min. 10%</t>
  </si>
  <si>
    <t>Core Capital to Total Deposits</t>
  </si>
  <si>
    <t>Min. 8%</t>
  </si>
  <si>
    <t>Institutional Capital to Total Assets</t>
  </si>
  <si>
    <t>Min 8%</t>
  </si>
  <si>
    <t>ASSET QUALITY</t>
  </si>
  <si>
    <t>A/LNPL30</t>
  </si>
  <si>
    <t>NPL30</t>
  </si>
  <si>
    <t>EARNINGS</t>
  </si>
  <si>
    <t>ROA</t>
  </si>
  <si>
    <t>Cost Income Ratio</t>
  </si>
  <si>
    <t>Operating Expense Ratio</t>
  </si>
  <si>
    <t>LIQUIDITY</t>
  </si>
  <si>
    <t>Min Liquidity Ratio</t>
  </si>
  <si>
    <t>Min 15%</t>
  </si>
  <si>
    <t>T/LIQ Ratio</t>
  </si>
  <si>
    <t>External Borrowing to TA Ratio</t>
  </si>
  <si>
    <t>Max 25%</t>
  </si>
  <si>
    <t>Liquid Assets to TA Ratio</t>
  </si>
  <si>
    <t>STRUCTURE</t>
  </si>
  <si>
    <t>Non-Earning to TA Ratio</t>
  </si>
  <si>
    <t>Max 10%</t>
  </si>
  <si>
    <t>LB Ratio</t>
  </si>
  <si>
    <t>Max 5%</t>
  </si>
  <si>
    <t>Investments to Deposit Ratio</t>
  </si>
  <si>
    <t>Investments to Core Capital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</si>
  <si>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</si>
  <si>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</si>
  <si>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</si>
  <si>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</si>
  <si>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</si>
  <si>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</si>
  <si>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</si>
  <si>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</si>
  <si>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</si>
  <si>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</si>
  <si>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Expenses</t>
  </si>
  <si>
    <t>Gross loans/Deposits</t>
  </si>
  <si>
    <t>EFFICIENCY RATIOS</t>
  </si>
  <si>
    <t>Financial Cost: Interest on Deposits/Avg Deposits</t>
  </si>
  <si>
    <t>Financial Cost: Share Capital/Avg Deposits</t>
  </si>
  <si>
    <t>Financial Cost: External Loans/Avg Deposits</t>
  </si>
  <si>
    <t>OpEx/Average Total Assets</t>
  </si>
  <si>
    <t>OpEx/Turnover</t>
  </si>
  <si>
    <t>Average yield on Net loans</t>
  </si>
  <si>
    <t>Average yield on Gross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</si>
</sst>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#,##0.00%"/>
    <numFmt numFmtId="165" formatCode="#,##0%"/>
    <numFmt numFmtId="166" formatCode="_(* #,##0_);_(* \(#,##0\);_(* &quot;-&quot;??_);_(@_)"/>
    <numFmt numFmtId="167" formatCode="#,##0.00_);\-#,##0.00"/>
    <numFmt numFmtId="168" formatCode="_(* #,##0.0_);_(* \(#,##0.0\);_(* \-??_);_(@_)"/>
    <numFmt numFmtId="169" formatCode="[$-10409]#,##0.00;\-\ #,##0.00"/>
    <numFmt numFmtId="170" formatCode="[$-10409]0.00;\-\ 0.00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mbria"/>
      <family val="1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name val="Arial"/>
    </font>
    <font>
      <sz val="12"/>
      <color rgb="FFFF0000"/>
      <name val="Times New Roman"/>
      <family val="1"/>
    </font>
    <font>
      <sz val="9"/>
      <color indexed="8"/>
      <name val="Arial"/>
      <charset val="1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"/>
      <name val="Arial"/>
      <family val="2"/>
    </font>
    <font>
      <sz val="12"/>
      <color theme="1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B9E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rgb="FFFFD966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" fillId="0" borderId="0"/>
    <xf numFmtId="0" fontId="5" fillId="0" borderId="0"/>
    <xf numFmtId="0" fontId="16" fillId="0" borderId="0"/>
  </cellStyleXfs>
  <cellXfs count="70">
    <xf numFmtId="0" fontId="0" fillId="0" borderId="0" xfId="0"/>
    <xf numFmtId="4" fontId="0" fillId="0" borderId="0" xfId="0" applyNumberFormat="1"/>
    <xf numFmtId="9" fontId="0" fillId="0" borderId="0" xfId="2" applyFont="1"/>
    <xf numFmtId="17" fontId="0" fillId="0" borderId="0" xfId="0" applyNumberFormat="1"/>
    <xf numFmtId="0" fontId="1" fillId="0" borderId="0" xfId="0" applyFont="1"/>
    <xf numFmtId="3" fontId="0" fillId="0" borderId="1" xfId="0" applyNumberFormat="1" applyBorder="1"/>
    <xf numFmtId="166" fontId="0" fillId="0" borderId="0" xfId="0" applyNumberFormat="1"/>
    <xf numFmtId="43" fontId="3" fillId="0" borderId="2" xfId="1" applyFont="1" applyFill="1" applyBorder="1" applyAlignment="1" applyProtection="1">
      <protection locked="0"/>
    </xf>
    <xf numFmtId="165" fontId="6" fillId="0" borderId="1" xfId="0" applyNumberFormat="1" applyFont="1" applyBorder="1"/>
    <xf numFmtId="0" fontId="6" fillId="0" borderId="0" xfId="0" applyFont="1"/>
    <xf numFmtId="4" fontId="6" fillId="0" borderId="0" xfId="0" applyNumberFormat="1" applyFont="1"/>
    <xf numFmtId="17" fontId="6" fillId="0" borderId="0" xfId="0" applyNumberFormat="1" applyFont="1"/>
    <xf numFmtId="0" fontId="6" fillId="0" borderId="1" xfId="0" applyFont="1" applyBorder="1"/>
    <xf numFmtId="4" fontId="6" fillId="0" borderId="1" xfId="0" applyNumberFormat="1" applyFont="1" applyBorder="1"/>
    <xf numFmtId="3" fontId="6" fillId="0" borderId="1" xfId="0" applyNumberFormat="1" applyFont="1" applyBorder="1"/>
    <xf numFmtId="165" fontId="8" fillId="3" borderId="1" xfId="0" applyNumberFormat="1" applyFont="1" applyFill="1" applyBorder="1"/>
    <xf numFmtId="164" fontId="8" fillId="3" borderId="1" xfId="0" applyNumberFormat="1" applyFont="1" applyFill="1" applyBorder="1"/>
    <xf numFmtId="166" fontId="0" fillId="0" borderId="0" xfId="1" applyNumberFormat="1" applyFont="1"/>
    <xf numFmtId="0" fontId="1" fillId="0" borderId="0" xfId="0" applyFont="1" applyAlignment="1">
      <alignment horizontal="center" vertical="top"/>
    </xf>
    <xf numFmtId="0" fontId="7" fillId="2" borderId="0" xfId="0" applyFont="1" applyFill="1" applyAlignment="1">
      <alignment horizontal="center"/>
    </xf>
    <xf numFmtId="166" fontId="0" fillId="0" borderId="0" xfId="1" applyNumberFormat="1" applyFont="1" applyFill="1" applyBorder="1"/>
    <xf numFmtId="169" fontId="10" fillId="0" borderId="3" xfId="0" applyNumberFormat="1" applyFont="1" applyBorder="1" applyAlignment="1" applyProtection="1">
      <alignment vertical="top" wrapText="1" readingOrder="1"/>
      <protection locked="0"/>
    </xf>
    <xf numFmtId="170" fontId="10" fillId="0" borderId="3" xfId="0" applyNumberFormat="1" applyFont="1" applyBorder="1" applyAlignment="1" applyProtection="1">
      <alignment vertical="top" wrapText="1" readingOrder="1"/>
      <protection locked="0"/>
    </xf>
    <xf numFmtId="17" fontId="1" fillId="0" borderId="0" xfId="0" applyNumberFormat="1" applyFont="1"/>
    <xf numFmtId="17" fontId="7" fillId="0" borderId="0" xfId="0" applyNumberFormat="1" applyFont="1"/>
    <xf numFmtId="169" fontId="11" fillId="0" borderId="3" xfId="0" applyNumberFormat="1" applyFont="1" applyBorder="1" applyAlignment="1" applyProtection="1">
      <alignment vertical="top" wrapText="1" readingOrder="1"/>
      <protection locked="0"/>
    </xf>
    <xf numFmtId="170" fontId="11" fillId="0" borderId="3" xfId="0" applyNumberFormat="1" applyFont="1" applyBorder="1" applyAlignment="1" applyProtection="1">
      <alignment vertical="top" wrapText="1" readingOrder="1"/>
      <protection locked="0"/>
    </xf>
    <xf numFmtId="0" fontId="12" fillId="0" borderId="0" xfId="0" applyFont="1" applyAlignment="1">
      <alignment horizontal="center" vertical="top"/>
    </xf>
    <xf numFmtId="17" fontId="12" fillId="0" borderId="0" xfId="0" applyNumberFormat="1" applyFont="1"/>
    <xf numFmtId="0" fontId="12" fillId="0" borderId="0" xfId="0" applyFont="1"/>
    <xf numFmtId="4" fontId="13" fillId="0" borderId="0" xfId="0" applyNumberFormat="1" applyFont="1"/>
    <xf numFmtId="0" fontId="13" fillId="0" borderId="0" xfId="0" applyFont="1"/>
    <xf numFmtId="166" fontId="13" fillId="0" borderId="0" xfId="1" applyNumberFormat="1" applyFont="1"/>
    <xf numFmtId="169" fontId="14" fillId="0" borderId="3" xfId="0" applyNumberFormat="1" applyFont="1" applyBorder="1" applyAlignment="1" applyProtection="1">
      <alignment vertical="top" wrapText="1" readingOrder="1"/>
      <protection locked="0"/>
    </xf>
    <xf numFmtId="168" fontId="15" fillId="0" borderId="1" xfId="1" applyNumberFormat="1" applyFont="1" applyBorder="1" applyAlignment="1" applyProtection="1">
      <alignment horizontal="right" vertical="center"/>
      <protection locked="0"/>
    </xf>
    <xf numFmtId="169" fontId="14" fillId="4" borderId="3" xfId="0" applyNumberFormat="1" applyFont="1" applyFill="1" applyBorder="1" applyAlignment="1" applyProtection="1">
      <alignment vertical="top" wrapText="1" readingOrder="1"/>
      <protection locked="0"/>
    </xf>
    <xf numFmtId="166" fontId="13" fillId="0" borderId="1" xfId="1" applyNumberFormat="1" applyFont="1" applyBorder="1"/>
    <xf numFmtId="168" fontId="15" fillId="0" borderId="1" xfId="1" applyNumberFormat="1" applyFont="1" applyFill="1" applyBorder="1" applyAlignment="1" applyProtection="1">
      <protection locked="0"/>
    </xf>
    <xf numFmtId="43" fontId="13" fillId="0" borderId="0" xfId="1" applyFont="1"/>
    <xf numFmtId="169" fontId="11" fillId="0" borderId="3" xfId="5" applyNumberFormat="1" applyFont="1" applyBorder="1" applyAlignment="1" applyProtection="1">
      <alignment vertical="top" wrapText="1" readingOrder="1"/>
      <protection locked="0"/>
    </xf>
    <xf numFmtId="170" fontId="11" fillId="0" borderId="3" xfId="5" applyNumberFormat="1" applyFont="1" applyBorder="1" applyAlignment="1" applyProtection="1">
      <alignment vertical="top" wrapText="1" readingOrder="1"/>
      <protection locked="0"/>
    </xf>
    <xf numFmtId="169" fontId="17" fillId="0" borderId="3" xfId="0" applyNumberFormat="1" applyFont="1" applyBorder="1" applyAlignment="1" applyProtection="1">
      <alignment vertical="top" wrapText="1" readingOrder="1"/>
      <protection locked="0"/>
    </xf>
    <xf numFmtId="169" fontId="14" fillId="0" borderId="3" xfId="5" applyNumberFormat="1" applyFont="1" applyBorder="1" applyAlignment="1" applyProtection="1">
      <alignment vertical="top" wrapText="1" readingOrder="1"/>
      <protection locked="0"/>
    </xf>
    <xf numFmtId="169" fontId="17" fillId="0" borderId="3" xfId="5" applyNumberFormat="1" applyFont="1" applyBorder="1" applyAlignment="1" applyProtection="1">
      <alignment vertical="top" wrapText="1" readingOrder="1"/>
      <protection locked="0"/>
    </xf>
    <xf numFmtId="169" fontId="14" fillId="4" borderId="3" xfId="5" applyNumberFormat="1" applyFont="1" applyFill="1" applyBorder="1" applyAlignment="1" applyProtection="1">
      <alignment vertical="top" wrapText="1" readingOrder="1"/>
      <protection locked="0"/>
    </xf>
    <xf numFmtId="169" fontId="15" fillId="0" borderId="3" xfId="0" applyNumberFormat="1" applyFont="1" applyBorder="1" applyAlignment="1" applyProtection="1">
      <alignment vertical="top" wrapText="1" readingOrder="1"/>
      <protection locked="0"/>
    </xf>
    <xf numFmtId="169" fontId="15" fillId="0" borderId="3" xfId="5" applyNumberFormat="1" applyFont="1" applyBorder="1" applyAlignment="1" applyProtection="1">
      <alignment vertical="top" wrapText="1" readingOrder="1"/>
      <protection locked="0"/>
    </xf>
    <xf numFmtId="169" fontId="18" fillId="0" borderId="3" xfId="5" applyNumberFormat="1" applyFont="1" applyBorder="1" applyAlignment="1" applyProtection="1">
      <alignment vertical="top" wrapText="1" readingOrder="1"/>
      <protection locked="0"/>
    </xf>
    <xf numFmtId="169" fontId="18" fillId="4" borderId="3" xfId="5" applyNumberFormat="1" applyFont="1" applyFill="1" applyBorder="1" applyAlignment="1" applyProtection="1">
      <alignment vertical="top" wrapText="1" readingOrder="1"/>
      <protection locked="0"/>
    </xf>
    <xf numFmtId="0" fontId="1" fillId="2" borderId="0" xfId="0" applyFont="1" applyFill="1" applyAlignment="1">
      <alignment horizontal="left"/>
    </xf>
    <xf numFmtId="0" fontId="0" fillId="5" borderId="0" xfId="0" applyFill="1"/>
    <xf numFmtId="4" fontId="9" fillId="0" borderId="0" xfId="0" applyNumberFormat="1" applyFont="1"/>
    <xf numFmtId="43" fontId="0" fillId="0" borderId="0" xfId="0" applyNumberFormat="1"/>
    <xf numFmtId="43" fontId="13" fillId="0" borderId="0" xfId="0" applyNumberFormat="1" applyFont="1"/>
    <xf numFmtId="0" fontId="7" fillId="0" borderId="0" xfId="0" applyFont="1"/>
    <xf numFmtId="165" fontId="19" fillId="0" borderId="1" xfId="0" applyNumberFormat="1" applyFont="1" applyBorder="1"/>
    <xf numFmtId="9" fontId="20" fillId="0" borderId="0" xfId="2" applyFont="1"/>
    <xf numFmtId="165" fontId="19" fillId="3" borderId="1" xfId="0" applyNumberFormat="1" applyFont="1" applyFill="1" applyBorder="1"/>
    <xf numFmtId="164" fontId="19" fillId="3" borderId="1" xfId="0" applyNumberFormat="1" applyFont="1" applyFill="1" applyBorder="1"/>
    <xf numFmtId="0" fontId="1" fillId="0" borderId="4" xfId="0" applyFont="1" applyBorder="1" applyAlignment="1">
      <alignment horizontal="center" vertical="top"/>
    </xf>
    <xf numFmtId="166" fontId="0" fillId="0" borderId="4" xfId="1" applyNumberFormat="1" applyFont="1" applyBorder="1"/>
    <xf numFmtId="0" fontId="12" fillId="0" borderId="4" xfId="0" applyFont="1" applyBorder="1" applyAlignment="1">
      <alignment horizontal="center" vertical="top"/>
    </xf>
    <xf numFmtId="166" fontId="13" fillId="0" borderId="4" xfId="1" applyNumberFormat="1" applyFont="1" applyBorder="1"/>
    <xf numFmtId="167" fontId="14" fillId="0" borderId="4" xfId="0" applyNumberFormat="1" applyFont="1" applyBorder="1" applyAlignment="1" applyProtection="1">
      <alignment horizontal="right" vertical="center"/>
      <protection locked="0"/>
    </xf>
    <xf numFmtId="166" fontId="0" fillId="6" borderId="4" xfId="1" applyNumberFormat="1" applyFont="1" applyFill="1" applyBorder="1"/>
    <xf numFmtId="169" fontId="21" fillId="0" borderId="3" xfId="0" applyNumberFormat="1" applyFont="1" applyBorder="1" applyAlignment="1" applyProtection="1">
      <alignment vertical="top" wrapText="1" readingOrder="1"/>
      <protection locked="0"/>
    </xf>
    <xf numFmtId="169" fontId="21" fillId="4" borderId="3" xfId="0" applyNumberFormat="1" applyFont="1" applyFill="1" applyBorder="1" applyAlignment="1" applyProtection="1">
      <alignment vertical="top" wrapText="1" readingOrder="1"/>
      <protection locked="0"/>
    </xf>
    <xf numFmtId="43" fontId="13" fillId="6" borderId="0" xfId="0" applyNumberFormat="1" applyFont="1" applyFill="1"/>
    <xf numFmtId="4" fontId="22" fillId="6" borderId="0" xfId="0" applyNumberFormat="1" applyFont="1" applyFill="1"/>
    <xf numFmtId="0" fontId="7" fillId="2" borderId="1" xfId="0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" xfId="3" xr:uid="{00000000-0005-0000-0000-000002000000}"/>
    <cellStyle name="Normal 3" xfId="4" xr:uid="{00000000-0005-0000-0000-000003000000}"/>
    <cellStyle name="Normal 4" xfId="5" xr:uid="{00000000-0005-0000-0000-000004000000}"/>
    <cellStyle name="Per cent" xfId="2" builtinId="5"/>
  </cellStyles>
  <dxfs count="41"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  <dxf>
      <font>
        <color rgb="FFFF0000"/>
      </font>
      <fill>
        <patternFill>
          <bgColor rgb="FFF0BCBC"/>
        </patternFill>
      </fill>
    </dxf>
    <dxf>
      <fill>
        <patternFill>
          <bgColor rgb="FFF2CA6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"/>
  <sheetViews>
    <sheetView zoomScale="90" zoomScaleNormal="90" workbookViewId="0">
      <pane xSplit="1" ySplit="2" topLeftCell="T25" activePane="bottomRight" state="frozen"/>
      <selection pane="bottomRight" activeCell="AA46" sqref="AA46:AH47"/>
      <selection pane="bottomLeft" activeCell="A2" sqref="A2"/>
      <selection pane="topRight" activeCell="B1" sqref="B1"/>
    </sheetView>
  </sheetViews>
  <sheetFormatPr defaultRowHeight="14.45"/>
  <cols>
    <col min="1" max="1" width="38.7109375" customWidth="1"/>
    <col min="2" max="2" width="20.5703125" customWidth="1"/>
    <col min="3" max="10" width="18.42578125" hidden="1" customWidth="1"/>
    <col min="11" max="12" width="15" hidden="1" customWidth="1"/>
    <col min="13" max="13" width="17.7109375" hidden="1" customWidth="1"/>
    <col min="14" max="14" width="13.5703125" customWidth="1"/>
    <col min="15" max="17" width="13.5703125" bestFit="1" customWidth="1"/>
    <col min="18" max="18" width="15.85546875" customWidth="1"/>
    <col min="19" max="19" width="15.28515625" customWidth="1"/>
    <col min="20" max="20" width="18.28515625" customWidth="1"/>
    <col min="21" max="22" width="18.140625" customWidth="1"/>
    <col min="23" max="23" width="18" hidden="1" customWidth="1"/>
    <col min="24" max="24" width="18.7109375" hidden="1" customWidth="1"/>
    <col min="25" max="26" width="0" hidden="1" customWidth="1"/>
    <col min="27" max="27" width="15.85546875" bestFit="1" customWidth="1"/>
    <col min="28" max="34" width="13.28515625" bestFit="1" customWidth="1"/>
  </cols>
  <sheetData>
    <row r="1" spans="1:34">
      <c r="A1" t="s">
        <v>0</v>
      </c>
    </row>
    <row r="2" spans="1:34">
      <c r="A2" s="59"/>
      <c r="B2" s="18" t="s">
        <v>1</v>
      </c>
      <c r="C2" s="3">
        <v>43831</v>
      </c>
      <c r="D2" s="3">
        <v>43862</v>
      </c>
      <c r="E2" s="3">
        <v>43891</v>
      </c>
      <c r="F2" s="3">
        <v>43922</v>
      </c>
      <c r="G2" s="3">
        <v>43952</v>
      </c>
      <c r="H2" s="3">
        <v>43983</v>
      </c>
      <c r="I2" s="3">
        <v>44044</v>
      </c>
      <c r="J2" s="3">
        <v>44075</v>
      </c>
      <c r="K2" s="3">
        <v>44105</v>
      </c>
      <c r="L2" s="3">
        <v>44136</v>
      </c>
      <c r="M2" s="3">
        <v>44166</v>
      </c>
      <c r="N2" s="3" t="s">
        <v>2</v>
      </c>
      <c r="O2" s="3">
        <v>44217</v>
      </c>
      <c r="P2" s="3">
        <v>44248</v>
      </c>
      <c r="Q2" s="3">
        <v>44276</v>
      </c>
      <c r="R2" s="3">
        <v>44307</v>
      </c>
      <c r="S2" s="3">
        <v>44337</v>
      </c>
      <c r="T2" s="3">
        <v>44368</v>
      </c>
      <c r="U2" s="3">
        <v>44398</v>
      </c>
      <c r="V2" s="3">
        <v>44429</v>
      </c>
      <c r="W2" s="3">
        <v>44460</v>
      </c>
      <c r="X2" s="3">
        <v>44490</v>
      </c>
      <c r="Y2" s="3">
        <v>44521</v>
      </c>
      <c r="Z2" s="3">
        <v>44551</v>
      </c>
      <c r="AA2" t="s">
        <v>3</v>
      </c>
      <c r="AB2" s="3">
        <v>44562</v>
      </c>
      <c r="AC2" s="3">
        <v>44593</v>
      </c>
      <c r="AD2" s="3">
        <v>44621</v>
      </c>
      <c r="AE2" s="3">
        <v>44652</v>
      </c>
      <c r="AF2" s="3">
        <v>44682</v>
      </c>
      <c r="AG2" s="3">
        <v>44713</v>
      </c>
      <c r="AH2" s="3">
        <v>44743</v>
      </c>
    </row>
    <row r="3" spans="1:34">
      <c r="A3" s="50" t="s">
        <v>4</v>
      </c>
      <c r="B3" s="60">
        <f t="shared" ref="B3:AH3" si="0">SUM(B4:B5)</f>
        <v>20169730.780000001</v>
      </c>
      <c r="C3" s="60">
        <f t="shared" si="0"/>
        <v>14896096.26</v>
      </c>
      <c r="D3" s="60">
        <f t="shared" si="0"/>
        <v>16021231.91</v>
      </c>
      <c r="E3" s="60">
        <f t="shared" si="0"/>
        <v>34153089.07</v>
      </c>
      <c r="F3" s="60">
        <f t="shared" si="0"/>
        <v>25607703.719999999</v>
      </c>
      <c r="G3" s="60">
        <f t="shared" si="0"/>
        <v>20680620.170000002</v>
      </c>
      <c r="H3" s="60">
        <f t="shared" si="0"/>
        <v>21452163.16</v>
      </c>
      <c r="I3" s="60">
        <f t="shared" si="0"/>
        <v>21208465.350000001</v>
      </c>
      <c r="J3" s="60">
        <f t="shared" si="0"/>
        <v>21425653.140000001</v>
      </c>
      <c r="K3" s="60">
        <f t="shared" si="0"/>
        <v>21992718.039999999</v>
      </c>
      <c r="L3" s="60">
        <f t="shared" si="0"/>
        <v>21523751.620000001</v>
      </c>
      <c r="M3" s="60">
        <f t="shared" si="0"/>
        <v>23211656.449999999</v>
      </c>
      <c r="N3" s="60">
        <f t="shared" si="0"/>
        <v>23211656.449999999</v>
      </c>
      <c r="O3" s="60">
        <f t="shared" si="0"/>
        <v>17122718.199999999</v>
      </c>
      <c r="P3" s="60">
        <f t="shared" si="0"/>
        <v>17127711.23</v>
      </c>
      <c r="Q3" s="60">
        <f t="shared" si="0"/>
        <v>33618206.969999999</v>
      </c>
      <c r="R3" s="60">
        <f t="shared" si="0"/>
        <v>24261358.260000002</v>
      </c>
      <c r="S3" s="60">
        <f t="shared" si="0"/>
        <v>14456515.76</v>
      </c>
      <c r="T3" s="60">
        <f t="shared" si="0"/>
        <v>14896359.73</v>
      </c>
      <c r="U3" s="60">
        <f t="shared" si="0"/>
        <v>6795058.3300000001</v>
      </c>
      <c r="V3" s="60">
        <f t="shared" si="0"/>
        <v>6446838.8399999999</v>
      </c>
      <c r="W3" s="60">
        <f t="shared" si="0"/>
        <v>0</v>
      </c>
      <c r="X3" s="60">
        <f t="shared" si="0"/>
        <v>0</v>
      </c>
      <c r="Y3" s="60">
        <f t="shared" si="0"/>
        <v>0</v>
      </c>
      <c r="Z3" s="60">
        <f t="shared" si="0"/>
        <v>0</v>
      </c>
      <c r="AA3" s="60">
        <f t="shared" si="0"/>
        <v>14090331.68</v>
      </c>
      <c r="AB3" s="60">
        <f t="shared" si="0"/>
        <v>13483485.91</v>
      </c>
      <c r="AC3" s="60">
        <f t="shared" si="0"/>
        <v>10557148.279999999</v>
      </c>
      <c r="AD3" s="60">
        <f t="shared" si="0"/>
        <v>31706573.5</v>
      </c>
      <c r="AE3" s="60">
        <f t="shared" si="0"/>
        <v>19968277.43</v>
      </c>
      <c r="AF3" s="60">
        <f t="shared" si="0"/>
        <v>14471978.449999999</v>
      </c>
      <c r="AG3" s="60">
        <f t="shared" si="0"/>
        <v>16453237.560000001</v>
      </c>
      <c r="AH3" s="60">
        <f t="shared" si="0"/>
        <v>15088392.91</v>
      </c>
    </row>
    <row r="4" spans="1:34">
      <c r="A4" s="51" t="s">
        <v>5</v>
      </c>
      <c r="B4" s="17">
        <f>277824+380004</f>
        <v>657828</v>
      </c>
      <c r="C4" s="7">
        <v>1326784</v>
      </c>
      <c r="D4" s="7">
        <v>1340039</v>
      </c>
      <c r="E4" s="7">
        <v>12537269</v>
      </c>
      <c r="F4" s="7">
        <v>3716678</v>
      </c>
      <c r="G4" s="7">
        <v>1730398</v>
      </c>
      <c r="H4" s="7">
        <v>504122</v>
      </c>
      <c r="I4" s="7">
        <v>691459</v>
      </c>
      <c r="J4" s="7">
        <v>1738608</v>
      </c>
      <c r="K4">
        <v>1348867</v>
      </c>
      <c r="L4">
        <v>1004575</v>
      </c>
      <c r="M4" s="17">
        <v>1940206</v>
      </c>
      <c r="N4" s="17">
        <f>1382913+557293</f>
        <v>1940206</v>
      </c>
      <c r="O4" s="21">
        <v>2654121</v>
      </c>
      <c r="P4" s="21">
        <v>1080038</v>
      </c>
      <c r="Q4" s="21">
        <v>8746749</v>
      </c>
      <c r="R4" s="25">
        <v>3361652</v>
      </c>
      <c r="S4" s="39">
        <v>882292</v>
      </c>
      <c r="T4" s="39">
        <v>1786706</v>
      </c>
      <c r="U4" s="39">
        <v>2705233</v>
      </c>
      <c r="V4" s="39">
        <v>789086</v>
      </c>
      <c r="AA4">
        <f>1150953+86700</f>
        <v>1237653</v>
      </c>
      <c r="AB4" s="25">
        <v>3042274</v>
      </c>
      <c r="AC4" s="25">
        <v>1960906.6</v>
      </c>
      <c r="AD4" s="25">
        <v>5690322</v>
      </c>
      <c r="AE4" s="25">
        <v>1087018</v>
      </c>
      <c r="AF4" s="25">
        <v>1949090</v>
      </c>
      <c r="AG4" s="25">
        <v>2425270</v>
      </c>
      <c r="AH4" s="25">
        <v>2555612</v>
      </c>
    </row>
    <row r="5" spans="1:34">
      <c r="A5" t="s">
        <v>6</v>
      </c>
      <c r="B5" s="17">
        <f>20169730.78-B4</f>
        <v>19511902.780000001</v>
      </c>
      <c r="C5" s="7">
        <v>13569312.26</v>
      </c>
      <c r="D5" s="7">
        <v>14681192.91</v>
      </c>
      <c r="E5" s="7">
        <v>21615820.07</v>
      </c>
      <c r="F5" s="7">
        <v>21891025.719999999</v>
      </c>
      <c r="G5" s="7">
        <v>18950222.170000002</v>
      </c>
      <c r="H5" s="7">
        <v>20948041.16</v>
      </c>
      <c r="I5" s="7">
        <v>20517006.350000001</v>
      </c>
      <c r="J5" s="7">
        <v>19687045.140000001</v>
      </c>
      <c r="K5">
        <v>20643851.039999999</v>
      </c>
      <c r="L5">
        <v>20519176.620000001</v>
      </c>
      <c r="M5" s="17">
        <v>21271450.449999999</v>
      </c>
      <c r="N5" s="17">
        <f>23211656.45-N4</f>
        <v>21271450.449999999</v>
      </c>
      <c r="O5" s="21">
        <v>14468597.199999999</v>
      </c>
      <c r="P5" s="21">
        <v>16047673.23</v>
      </c>
      <c r="Q5" s="21">
        <v>24871457.969999999</v>
      </c>
      <c r="R5" s="25">
        <v>20899706.260000002</v>
      </c>
      <c r="S5" s="39">
        <v>13574223.76</v>
      </c>
      <c r="T5" s="39">
        <v>13109653.73</v>
      </c>
      <c r="U5" s="39">
        <v>4089825.33</v>
      </c>
      <c r="V5" s="39">
        <v>5657752.8399999999</v>
      </c>
      <c r="AA5">
        <f>14090331.68-AA4</f>
        <v>12852678.68</v>
      </c>
      <c r="AB5" s="25">
        <v>10441211.91</v>
      </c>
      <c r="AC5" s="25">
        <v>8596241.6799999997</v>
      </c>
      <c r="AD5" s="25">
        <v>26016251.5</v>
      </c>
      <c r="AE5" s="25">
        <v>18881259.43</v>
      </c>
      <c r="AF5" s="25">
        <v>12522888.449999999</v>
      </c>
      <c r="AG5" s="25">
        <v>14027967.560000001</v>
      </c>
      <c r="AH5" s="25">
        <v>12532780.91</v>
      </c>
    </row>
    <row r="6" spans="1:34">
      <c r="A6" t="s">
        <v>7</v>
      </c>
      <c r="B6" s="17">
        <f>8721430.62+3249359.54</f>
        <v>11970790.16</v>
      </c>
      <c r="C6" s="6">
        <v>8294381.9500000002</v>
      </c>
      <c r="D6">
        <v>10632495.49</v>
      </c>
      <c r="E6">
        <v>10345209.300000001</v>
      </c>
      <c r="F6">
        <v>9864723.1799999997</v>
      </c>
      <c r="G6">
        <v>11742444.949999999</v>
      </c>
      <c r="H6">
        <v>11470579.279999999</v>
      </c>
      <c r="I6">
        <v>13014272.18</v>
      </c>
      <c r="J6">
        <v>14429148.289999999</v>
      </c>
      <c r="K6">
        <v>13593016.439999999</v>
      </c>
      <c r="L6">
        <v>15547515.539999999</v>
      </c>
      <c r="M6" s="17">
        <v>14110392.060000001</v>
      </c>
      <c r="N6" s="17">
        <f>6485507.01+7624885.23</f>
        <v>14110392.24</v>
      </c>
      <c r="O6" s="21">
        <v>9639724.7899999991</v>
      </c>
      <c r="P6" s="21">
        <v>9782799.1999999993</v>
      </c>
      <c r="Q6" s="21">
        <v>10369316.73</v>
      </c>
      <c r="R6" s="25">
        <v>13635316.039999999</v>
      </c>
      <c r="S6" s="39">
        <v>5771933.2800000003</v>
      </c>
      <c r="T6" s="39">
        <v>6638154.5499999998</v>
      </c>
      <c r="U6" s="39">
        <v>3640013.56</v>
      </c>
      <c r="V6" s="39">
        <v>14636706.66</v>
      </c>
      <c r="AA6">
        <f>6357721.19+4903070.43</f>
        <v>11260791.620000001</v>
      </c>
      <c r="AB6" s="25">
        <v>7449228.5999999996</v>
      </c>
      <c r="AC6" s="25">
        <v>7707340.9199999999</v>
      </c>
      <c r="AD6" s="25">
        <v>8348133.1900000004</v>
      </c>
      <c r="AE6" s="25">
        <v>12587347.630000001</v>
      </c>
      <c r="AF6" s="25">
        <v>13798991.529999999</v>
      </c>
      <c r="AG6" s="25">
        <v>13058451.49</v>
      </c>
      <c r="AH6" s="25">
        <v>17479306.399999999</v>
      </c>
    </row>
    <row r="7" spans="1:34">
      <c r="A7" s="1" t="s">
        <v>8</v>
      </c>
      <c r="B7" s="60">
        <f t="shared" ref="B7:L7" si="1">B8+B9+B10+B11</f>
        <v>661303</v>
      </c>
      <c r="C7" s="60">
        <f t="shared" si="1"/>
        <v>661303</v>
      </c>
      <c r="D7" s="60">
        <f t="shared" si="1"/>
        <v>661303</v>
      </c>
      <c r="E7" s="60">
        <f t="shared" si="1"/>
        <v>661303</v>
      </c>
      <c r="F7" s="60">
        <f t="shared" si="1"/>
        <v>661303</v>
      </c>
      <c r="G7" s="60">
        <f t="shared" si="1"/>
        <v>661303</v>
      </c>
      <c r="H7" s="60">
        <f t="shared" si="1"/>
        <v>661303</v>
      </c>
      <c r="I7" s="60">
        <f t="shared" si="1"/>
        <v>661303</v>
      </c>
      <c r="J7" s="60">
        <f t="shared" si="1"/>
        <v>661303</v>
      </c>
      <c r="K7" s="60">
        <f t="shared" si="1"/>
        <v>661303</v>
      </c>
      <c r="L7" s="60">
        <f t="shared" si="1"/>
        <v>661303</v>
      </c>
      <c r="M7" s="60">
        <f>M8+M9+M10+M11</f>
        <v>712303</v>
      </c>
      <c r="N7" s="60">
        <f t="shared" ref="N7:AH7" si="2">N8+N9+N10+N11</f>
        <v>712303</v>
      </c>
      <c r="O7" s="60">
        <f t="shared" si="2"/>
        <v>712303</v>
      </c>
      <c r="P7" s="60">
        <f t="shared" si="2"/>
        <v>712303</v>
      </c>
      <c r="Q7" s="60">
        <f t="shared" si="2"/>
        <v>712303</v>
      </c>
      <c r="R7" s="60">
        <f t="shared" si="2"/>
        <v>712303</v>
      </c>
      <c r="S7" s="60">
        <f t="shared" si="2"/>
        <v>712303</v>
      </c>
      <c r="T7" s="60">
        <f t="shared" si="2"/>
        <v>712303</v>
      </c>
      <c r="U7" s="60">
        <f t="shared" si="2"/>
        <v>3712303</v>
      </c>
      <c r="V7" s="60">
        <f t="shared" si="2"/>
        <v>3712303</v>
      </c>
      <c r="W7" s="60">
        <f t="shared" si="2"/>
        <v>0</v>
      </c>
      <c r="X7" s="60">
        <f t="shared" si="2"/>
        <v>0</v>
      </c>
      <c r="Y7" s="60">
        <f t="shared" si="2"/>
        <v>0</v>
      </c>
      <c r="Z7" s="60">
        <f t="shared" si="2"/>
        <v>0</v>
      </c>
      <c r="AA7" s="60">
        <f t="shared" si="2"/>
        <v>4675303</v>
      </c>
      <c r="AB7" s="60">
        <f t="shared" si="2"/>
        <v>4675303</v>
      </c>
      <c r="AC7" s="60">
        <f t="shared" si="2"/>
        <v>4675303</v>
      </c>
      <c r="AD7" s="60">
        <f t="shared" si="2"/>
        <v>4675303</v>
      </c>
      <c r="AE7" s="60">
        <f t="shared" si="2"/>
        <v>4675303</v>
      </c>
      <c r="AF7" s="60">
        <f t="shared" si="2"/>
        <v>4675303</v>
      </c>
      <c r="AG7" s="60">
        <f t="shared" si="2"/>
        <v>4675303</v>
      </c>
      <c r="AH7" s="60">
        <f t="shared" si="2"/>
        <v>4675303</v>
      </c>
    </row>
    <row r="8" spans="1:34">
      <c r="A8" t="s">
        <v>9</v>
      </c>
      <c r="B8" s="17"/>
      <c r="C8" s="6"/>
      <c r="M8" s="17"/>
      <c r="N8" s="17"/>
      <c r="O8" s="21">
        <v>0</v>
      </c>
      <c r="P8" s="21">
        <v>0</v>
      </c>
      <c r="Q8" s="21">
        <v>0</v>
      </c>
      <c r="R8" s="25">
        <v>0</v>
      </c>
      <c r="S8" s="39">
        <v>0</v>
      </c>
      <c r="T8" s="39">
        <v>0</v>
      </c>
      <c r="U8" s="39">
        <v>0</v>
      </c>
      <c r="V8" s="39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</row>
    <row r="9" spans="1:34">
      <c r="A9" t="s">
        <v>10</v>
      </c>
      <c r="B9" s="17"/>
      <c r="C9" s="7"/>
      <c r="D9" s="7"/>
      <c r="E9" s="7"/>
      <c r="F9" s="7"/>
      <c r="G9" s="7"/>
      <c r="H9" s="7"/>
      <c r="I9" s="7"/>
      <c r="J9" s="7"/>
      <c r="M9" s="17"/>
      <c r="N9" s="17"/>
      <c r="O9" s="21">
        <v>0</v>
      </c>
      <c r="P9" s="21">
        <v>0</v>
      </c>
      <c r="Q9" s="21">
        <v>0</v>
      </c>
      <c r="R9" s="25">
        <v>0</v>
      </c>
      <c r="S9" s="39">
        <v>0</v>
      </c>
      <c r="T9" s="39">
        <v>0</v>
      </c>
      <c r="U9" s="39">
        <v>0</v>
      </c>
      <c r="V9" s="39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</row>
    <row r="10" spans="1:34">
      <c r="A10" t="s">
        <v>11</v>
      </c>
      <c r="B10" s="17"/>
      <c r="C10" s="6"/>
      <c r="M10" s="17"/>
      <c r="N10" s="17"/>
      <c r="O10" s="21">
        <v>0</v>
      </c>
      <c r="P10" s="21">
        <v>0</v>
      </c>
      <c r="Q10" s="21">
        <v>0</v>
      </c>
      <c r="R10" s="25">
        <v>0</v>
      </c>
      <c r="S10" s="39">
        <v>0</v>
      </c>
      <c r="T10" s="39">
        <v>0</v>
      </c>
      <c r="U10" s="39">
        <v>0</v>
      </c>
      <c r="V10" s="39">
        <v>0</v>
      </c>
      <c r="AA10" s="52">
        <f>570600+166703</f>
        <v>737303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</row>
    <row r="11" spans="1:34">
      <c r="A11" t="s">
        <v>12</v>
      </c>
      <c r="B11" s="17">
        <v>661303</v>
      </c>
      <c r="C11" s="6">
        <v>661303</v>
      </c>
      <c r="D11" s="2">
        <v>661303</v>
      </c>
      <c r="E11">
        <v>661303</v>
      </c>
      <c r="F11">
        <v>661303</v>
      </c>
      <c r="G11">
        <v>661303</v>
      </c>
      <c r="H11">
        <v>661303</v>
      </c>
      <c r="I11">
        <v>661303</v>
      </c>
      <c r="J11">
        <v>661303</v>
      </c>
      <c r="K11">
        <v>661303</v>
      </c>
      <c r="L11">
        <v>661303</v>
      </c>
      <c r="M11" s="17">
        <v>712303</v>
      </c>
      <c r="N11" s="17">
        <v>712303</v>
      </c>
      <c r="O11" s="21">
        <v>712303</v>
      </c>
      <c r="P11" s="21">
        <v>712303</v>
      </c>
      <c r="Q11" s="21">
        <v>712303</v>
      </c>
      <c r="R11" s="25">
        <v>712303</v>
      </c>
      <c r="S11" s="39">
        <v>712303</v>
      </c>
      <c r="T11" s="39">
        <v>712303</v>
      </c>
      <c r="U11" s="39">
        <v>3712303</v>
      </c>
      <c r="V11" s="39">
        <v>3712303</v>
      </c>
      <c r="AA11" s="52">
        <v>3938000</v>
      </c>
      <c r="AB11" s="25">
        <v>4675303</v>
      </c>
      <c r="AC11" s="25">
        <v>4675303</v>
      </c>
      <c r="AD11" s="25">
        <v>4675303</v>
      </c>
      <c r="AE11" s="25">
        <v>4675303</v>
      </c>
      <c r="AF11" s="25">
        <v>4675303</v>
      </c>
      <c r="AG11" s="25">
        <v>4675303</v>
      </c>
      <c r="AH11" s="25">
        <v>4675303</v>
      </c>
    </row>
    <row r="12" spans="1:34">
      <c r="A12" s="1" t="s">
        <v>13</v>
      </c>
      <c r="B12" s="60">
        <f t="shared" ref="B12:AH12" si="3">B13-B14</f>
        <v>56045241.309999995</v>
      </c>
      <c r="C12" s="60">
        <f t="shared" si="3"/>
        <v>60648362.659999996</v>
      </c>
      <c r="D12" s="60">
        <f t="shared" si="3"/>
        <v>58851209.890000001</v>
      </c>
      <c r="E12" s="60">
        <f t="shared" si="3"/>
        <v>55392165.57</v>
      </c>
      <c r="F12" s="60">
        <f t="shared" si="3"/>
        <v>57826486.07</v>
      </c>
      <c r="G12" s="60">
        <f t="shared" si="3"/>
        <v>61350104.560000002</v>
      </c>
      <c r="H12" s="60">
        <f t="shared" si="3"/>
        <v>62144242.960000001</v>
      </c>
      <c r="I12" s="60">
        <f t="shared" si="3"/>
        <v>64618145.979999997</v>
      </c>
      <c r="J12" s="60">
        <f t="shared" si="3"/>
        <v>65371984.669999994</v>
      </c>
      <c r="K12" s="60">
        <f t="shared" si="3"/>
        <v>66216475.490000002</v>
      </c>
      <c r="L12" s="60">
        <f t="shared" si="3"/>
        <v>66580328.969999999</v>
      </c>
      <c r="M12" s="60">
        <f t="shared" si="3"/>
        <v>67339933.510000005</v>
      </c>
      <c r="N12" s="60">
        <f t="shared" si="3"/>
        <v>67339933.510000005</v>
      </c>
      <c r="O12" s="60">
        <f t="shared" si="3"/>
        <v>72724362.75</v>
      </c>
      <c r="P12" s="60">
        <f t="shared" si="3"/>
        <v>73512983.109999999</v>
      </c>
      <c r="Q12" s="60">
        <f t="shared" si="3"/>
        <v>68149427.560000002</v>
      </c>
      <c r="R12" s="60">
        <f t="shared" si="3"/>
        <v>73544752.530000001</v>
      </c>
      <c r="S12" s="60">
        <f t="shared" si="3"/>
        <v>84194623.840000004</v>
      </c>
      <c r="T12" s="60">
        <f t="shared" si="3"/>
        <v>85894938.75</v>
      </c>
      <c r="U12" s="60">
        <f t="shared" si="3"/>
        <v>93602090.430000007</v>
      </c>
      <c r="V12" s="60">
        <f t="shared" si="3"/>
        <v>84878317.540000007</v>
      </c>
      <c r="W12" s="60">
        <f t="shared" si="3"/>
        <v>0</v>
      </c>
      <c r="X12" s="60">
        <f t="shared" si="3"/>
        <v>0</v>
      </c>
      <c r="Y12" s="60">
        <f t="shared" si="3"/>
        <v>0</v>
      </c>
      <c r="Z12" s="60">
        <f t="shared" si="3"/>
        <v>0</v>
      </c>
      <c r="AA12" s="60">
        <f t="shared" si="3"/>
        <v>85182900.390000001</v>
      </c>
      <c r="AB12" s="60">
        <f t="shared" si="3"/>
        <v>82962718.609999999</v>
      </c>
      <c r="AC12" s="60">
        <f t="shared" si="3"/>
        <v>86932804.180000007</v>
      </c>
      <c r="AD12" s="60">
        <f t="shared" si="3"/>
        <v>81103304.840000004</v>
      </c>
      <c r="AE12" s="60">
        <f t="shared" si="3"/>
        <v>80844999.960000008</v>
      </c>
      <c r="AF12" s="60">
        <f t="shared" si="3"/>
        <v>81071195.840000004</v>
      </c>
      <c r="AG12" s="60">
        <f t="shared" si="3"/>
        <v>83281568.560000002</v>
      </c>
      <c r="AH12" s="60">
        <f t="shared" si="3"/>
        <v>80437434.270000011</v>
      </c>
    </row>
    <row r="13" spans="1:34">
      <c r="A13" t="s">
        <v>14</v>
      </c>
      <c r="B13" s="17">
        <v>57365818.869999997</v>
      </c>
      <c r="C13" s="7">
        <v>62076595.68</v>
      </c>
      <c r="D13" s="7">
        <v>60379033.460000001</v>
      </c>
      <c r="E13" s="7">
        <v>57030943.990000002</v>
      </c>
      <c r="F13" s="7">
        <v>59212361.850000001</v>
      </c>
      <c r="G13" s="7">
        <v>62939748.200000003</v>
      </c>
      <c r="H13" s="7">
        <v>63778714.509999998</v>
      </c>
      <c r="I13" s="7">
        <v>66314083.859999999</v>
      </c>
      <c r="J13" s="7">
        <v>66795065.549999997</v>
      </c>
      <c r="K13">
        <v>67805971.760000005</v>
      </c>
      <c r="L13">
        <v>68586040.719999999</v>
      </c>
      <c r="M13" s="17">
        <v>69038024.290000007</v>
      </c>
      <c r="N13" s="17">
        <v>69038024.290000007</v>
      </c>
      <c r="O13" s="21">
        <v>74541965.109999999</v>
      </c>
      <c r="P13" s="21">
        <v>75387405.269999996</v>
      </c>
      <c r="Q13" s="21">
        <v>70174336.790000007</v>
      </c>
      <c r="R13" s="25">
        <v>75666974.900000006</v>
      </c>
      <c r="S13" s="39">
        <v>86661210.280000001</v>
      </c>
      <c r="T13" s="39">
        <v>88293829.920000002</v>
      </c>
      <c r="U13" s="39">
        <v>96115932.290000007</v>
      </c>
      <c r="V13" s="39">
        <v>86784508.650000006</v>
      </c>
      <c r="AA13" s="52">
        <v>87521945.390000001</v>
      </c>
      <c r="AB13" s="25">
        <v>85380017.75</v>
      </c>
      <c r="AC13" s="25">
        <v>88986400.840000004</v>
      </c>
      <c r="AD13" s="25">
        <v>83079817.5</v>
      </c>
      <c r="AE13" s="25">
        <v>83179789.090000004</v>
      </c>
      <c r="AF13" s="25">
        <v>83569675.900000006</v>
      </c>
      <c r="AG13" s="25">
        <v>85620613.900000006</v>
      </c>
      <c r="AH13" s="25">
        <v>82060705.010000005</v>
      </c>
    </row>
    <row r="14" spans="1:34">
      <c r="A14" t="s">
        <v>15</v>
      </c>
      <c r="B14" s="17">
        <v>1320577.56</v>
      </c>
      <c r="C14" s="7">
        <v>1428233.02</v>
      </c>
      <c r="D14" s="7">
        <v>1527823.57</v>
      </c>
      <c r="E14" s="7">
        <v>1638778.42</v>
      </c>
      <c r="F14" s="7">
        <v>1385875.78</v>
      </c>
      <c r="G14" s="7">
        <v>1589643.64</v>
      </c>
      <c r="H14" s="7">
        <v>1634471.55</v>
      </c>
      <c r="I14" s="7">
        <v>1695937.88</v>
      </c>
      <c r="J14" s="7">
        <v>1423080.88</v>
      </c>
      <c r="K14">
        <v>1589496.27</v>
      </c>
      <c r="L14">
        <v>2005711.75</v>
      </c>
      <c r="M14" s="17">
        <v>1698090.78</v>
      </c>
      <c r="N14" s="17">
        <v>1698090.78</v>
      </c>
      <c r="O14" s="21">
        <v>1817602.36</v>
      </c>
      <c r="P14" s="21">
        <v>1874422.16</v>
      </c>
      <c r="Q14" s="21">
        <v>2024909.23</v>
      </c>
      <c r="R14" s="25">
        <v>2122222.37</v>
      </c>
      <c r="S14" s="39">
        <v>2466586.44</v>
      </c>
      <c r="T14" s="39">
        <v>2398891.17</v>
      </c>
      <c r="U14" s="39">
        <v>2513841.86</v>
      </c>
      <c r="V14" s="39">
        <v>1906191.11</v>
      </c>
      <c r="AA14" s="52">
        <v>2339045</v>
      </c>
      <c r="AB14" s="25">
        <v>2417299.14</v>
      </c>
      <c r="AC14" s="25">
        <v>2053596.66</v>
      </c>
      <c r="AD14" s="25">
        <v>1976512.66</v>
      </c>
      <c r="AE14" s="25">
        <v>2334789.13</v>
      </c>
      <c r="AF14" s="25">
        <v>2498480.06</v>
      </c>
      <c r="AG14" s="25">
        <v>2339045.34</v>
      </c>
      <c r="AH14" s="25">
        <v>1623270.74</v>
      </c>
    </row>
    <row r="15" spans="1:34">
      <c r="A15" s="1" t="s">
        <v>16</v>
      </c>
      <c r="B15" s="60">
        <f t="shared" ref="B15:AH15" si="4">SUM(B16:B18)</f>
        <v>0</v>
      </c>
      <c r="C15" s="60">
        <f t="shared" si="4"/>
        <v>0</v>
      </c>
      <c r="D15" s="60">
        <f t="shared" si="4"/>
        <v>0</v>
      </c>
      <c r="E15" s="60">
        <f t="shared" si="4"/>
        <v>0</v>
      </c>
      <c r="F15" s="60">
        <f t="shared" si="4"/>
        <v>0</v>
      </c>
      <c r="G15" s="60">
        <f t="shared" si="4"/>
        <v>0</v>
      </c>
      <c r="H15" s="60">
        <f t="shared" si="4"/>
        <v>0</v>
      </c>
      <c r="I15" s="60">
        <f t="shared" si="4"/>
        <v>0</v>
      </c>
      <c r="J15" s="60">
        <f t="shared" si="4"/>
        <v>0</v>
      </c>
      <c r="K15" s="60">
        <f t="shared" si="4"/>
        <v>0</v>
      </c>
      <c r="L15" s="60">
        <f t="shared" si="4"/>
        <v>0</v>
      </c>
      <c r="M15" s="60">
        <f t="shared" si="4"/>
        <v>0</v>
      </c>
      <c r="N15" s="60">
        <f t="shared" si="4"/>
        <v>0</v>
      </c>
      <c r="O15" s="60">
        <f t="shared" si="4"/>
        <v>0</v>
      </c>
      <c r="P15" s="60">
        <f t="shared" si="4"/>
        <v>0</v>
      </c>
      <c r="Q15" s="60">
        <f t="shared" si="4"/>
        <v>0</v>
      </c>
      <c r="R15" s="60">
        <f t="shared" si="4"/>
        <v>0</v>
      </c>
      <c r="S15" s="60">
        <f t="shared" si="4"/>
        <v>0</v>
      </c>
      <c r="T15" s="60">
        <f t="shared" si="4"/>
        <v>0</v>
      </c>
      <c r="U15" s="60">
        <f t="shared" si="4"/>
        <v>0</v>
      </c>
      <c r="V15" s="60">
        <f t="shared" si="4"/>
        <v>0</v>
      </c>
      <c r="W15" s="60">
        <f t="shared" si="4"/>
        <v>0</v>
      </c>
      <c r="X15" s="60">
        <f t="shared" si="4"/>
        <v>0</v>
      </c>
      <c r="Y15" s="60">
        <f t="shared" si="4"/>
        <v>0</v>
      </c>
      <c r="Z15" s="60">
        <f t="shared" si="4"/>
        <v>0</v>
      </c>
      <c r="AA15" s="60">
        <f t="shared" si="4"/>
        <v>0</v>
      </c>
      <c r="AB15" s="60">
        <f t="shared" si="4"/>
        <v>0</v>
      </c>
      <c r="AC15" s="60">
        <f t="shared" si="4"/>
        <v>0</v>
      </c>
      <c r="AD15" s="60">
        <f t="shared" si="4"/>
        <v>0</v>
      </c>
      <c r="AE15" s="60">
        <f t="shared" si="4"/>
        <v>0</v>
      </c>
      <c r="AF15" s="60">
        <f t="shared" si="4"/>
        <v>0</v>
      </c>
      <c r="AG15" s="60">
        <f t="shared" si="4"/>
        <v>0</v>
      </c>
      <c r="AH15" s="60">
        <f t="shared" si="4"/>
        <v>0</v>
      </c>
    </row>
    <row r="16" spans="1:34">
      <c r="A16" t="s">
        <v>17</v>
      </c>
      <c r="B16" s="20"/>
      <c r="C16" s="6"/>
      <c r="M16" s="17"/>
      <c r="N16" s="17"/>
      <c r="O16" s="21">
        <v>0</v>
      </c>
      <c r="P16" s="21">
        <v>0</v>
      </c>
      <c r="Q16" s="21">
        <v>0</v>
      </c>
      <c r="R16" s="25">
        <v>0</v>
      </c>
      <c r="S16" s="39">
        <v>0</v>
      </c>
      <c r="T16" s="39">
        <v>0</v>
      </c>
      <c r="U16" s="39">
        <v>0</v>
      </c>
      <c r="V16" s="39">
        <v>0</v>
      </c>
    </row>
    <row r="17" spans="1:34">
      <c r="A17" t="s">
        <v>18</v>
      </c>
      <c r="B17" s="17"/>
      <c r="C17" s="6"/>
      <c r="M17" s="17"/>
      <c r="N17" s="17"/>
      <c r="O17" s="21">
        <v>0</v>
      </c>
      <c r="P17" s="21">
        <v>0</v>
      </c>
      <c r="Q17" s="21">
        <v>0</v>
      </c>
      <c r="R17" s="25">
        <v>0</v>
      </c>
      <c r="S17" s="39">
        <v>0</v>
      </c>
      <c r="T17" s="39">
        <v>0</v>
      </c>
      <c r="U17" s="39">
        <v>0</v>
      </c>
      <c r="V17" s="39">
        <v>0</v>
      </c>
    </row>
    <row r="18" spans="1:34">
      <c r="A18" t="s">
        <v>19</v>
      </c>
      <c r="B18" s="17"/>
      <c r="C18" s="6"/>
      <c r="M18" s="17"/>
      <c r="N18" s="17"/>
      <c r="O18" s="21">
        <v>0</v>
      </c>
      <c r="P18" s="21">
        <v>0</v>
      </c>
      <c r="Q18" s="21">
        <v>0</v>
      </c>
      <c r="R18" s="25">
        <v>0</v>
      </c>
      <c r="S18" s="39">
        <v>0</v>
      </c>
      <c r="T18" s="39">
        <v>0</v>
      </c>
      <c r="U18" s="39">
        <v>0</v>
      </c>
      <c r="V18" s="39">
        <v>0</v>
      </c>
    </row>
    <row r="19" spans="1:34">
      <c r="A19" s="1" t="s">
        <v>20</v>
      </c>
      <c r="B19" s="60">
        <f t="shared" ref="B19:AH19" si="5">SUM(B20:B24)</f>
        <v>55507074.600000001</v>
      </c>
      <c r="C19" s="60">
        <f t="shared" si="5"/>
        <v>55485740.68</v>
      </c>
      <c r="D19" s="60">
        <f t="shared" si="5"/>
        <v>55468328.5</v>
      </c>
      <c r="E19" s="60">
        <f t="shared" si="5"/>
        <v>55316439.529999994</v>
      </c>
      <c r="F19" s="60">
        <f t="shared" si="5"/>
        <v>55306691.570000008</v>
      </c>
      <c r="G19" s="60">
        <f t="shared" si="5"/>
        <v>55124112.240000002</v>
      </c>
      <c r="H19" s="60">
        <f t="shared" si="5"/>
        <v>55330748.960000001</v>
      </c>
      <c r="I19" s="60">
        <f t="shared" si="5"/>
        <v>55306859.719999999</v>
      </c>
      <c r="J19" s="60">
        <f t="shared" si="5"/>
        <v>55294385.869999997</v>
      </c>
      <c r="K19" s="60">
        <f t="shared" si="5"/>
        <v>55327257.710000001</v>
      </c>
      <c r="L19" s="60">
        <f t="shared" si="5"/>
        <v>55247560.990000002</v>
      </c>
      <c r="M19" s="60">
        <f t="shared" si="5"/>
        <v>55265709.309999995</v>
      </c>
      <c r="N19" s="60">
        <f t="shared" si="5"/>
        <v>55265709.309999995</v>
      </c>
      <c r="O19" s="60">
        <f t="shared" si="5"/>
        <v>55192195.559999995</v>
      </c>
      <c r="P19" s="60">
        <f t="shared" si="5"/>
        <v>55118681.800000004</v>
      </c>
      <c r="Q19" s="60">
        <f t="shared" si="5"/>
        <v>55071669.120000005</v>
      </c>
      <c r="R19" s="64">
        <f t="shared" si="5"/>
        <v>55107744.120000005</v>
      </c>
      <c r="S19" s="64">
        <f t="shared" si="5"/>
        <v>55116430.620000005</v>
      </c>
      <c r="T19" s="64">
        <f t="shared" si="5"/>
        <v>55148470.640000001</v>
      </c>
      <c r="U19" s="64">
        <f t="shared" si="5"/>
        <v>55079317.350000009</v>
      </c>
      <c r="V19" s="64">
        <f t="shared" si="5"/>
        <v>55002124.830000006</v>
      </c>
      <c r="W19" s="64">
        <f t="shared" si="5"/>
        <v>0</v>
      </c>
      <c r="X19" s="64">
        <f t="shared" si="5"/>
        <v>0</v>
      </c>
      <c r="Y19" s="64">
        <f t="shared" si="5"/>
        <v>0</v>
      </c>
      <c r="Z19" s="64">
        <f t="shared" si="5"/>
        <v>0</v>
      </c>
      <c r="AA19" s="64">
        <f t="shared" si="5"/>
        <v>54712707</v>
      </c>
      <c r="AB19" s="64">
        <f t="shared" si="5"/>
        <v>54643172.380000003</v>
      </c>
      <c r="AC19" s="64">
        <f t="shared" si="5"/>
        <v>54573637.689999998</v>
      </c>
      <c r="AD19" s="64">
        <f t="shared" si="5"/>
        <v>54504103.189999998</v>
      </c>
      <c r="AE19" s="64">
        <f t="shared" si="5"/>
        <v>54434568.620000005</v>
      </c>
      <c r="AF19" s="64">
        <f t="shared" si="5"/>
        <v>54365034.009999998</v>
      </c>
      <c r="AG19" s="64">
        <f t="shared" si="5"/>
        <v>54295499.439999998</v>
      </c>
      <c r="AH19" s="64">
        <f t="shared" si="5"/>
        <v>54225964.68</v>
      </c>
    </row>
    <row r="20" spans="1:34">
      <c r="A20" t="s">
        <v>21</v>
      </c>
      <c r="B20" s="17"/>
      <c r="C20" s="6">
        <v>52176368.399999999</v>
      </c>
      <c r="D20">
        <v>52176368.399999999</v>
      </c>
      <c r="E20">
        <v>52045927.479999997</v>
      </c>
      <c r="F20">
        <v>52002447.170000002</v>
      </c>
      <c r="G20">
        <v>51958966.859999999</v>
      </c>
      <c r="H20">
        <v>51925486.560000002</v>
      </c>
      <c r="I20">
        <v>51826525.939999998</v>
      </c>
      <c r="J20">
        <v>51785045.640000001</v>
      </c>
      <c r="K20">
        <v>51741565.329999998</v>
      </c>
      <c r="L20">
        <v>51698085.020000003</v>
      </c>
      <c r="M20" s="17">
        <v>0</v>
      </c>
      <c r="N20" s="17">
        <v>51654604.719999999</v>
      </c>
      <c r="O20" s="21">
        <v>51611559.219999999</v>
      </c>
      <c r="P20" s="21">
        <v>51568513.710000001</v>
      </c>
      <c r="Q20" s="21">
        <v>51525468.210000001</v>
      </c>
      <c r="R20" s="25">
        <v>51482422.700000003</v>
      </c>
      <c r="S20" s="39">
        <v>51439377.200000003</v>
      </c>
      <c r="T20" s="39">
        <v>51493080.520000003</v>
      </c>
      <c r="U20" s="39">
        <v>51449953.990000002</v>
      </c>
      <c r="V20" s="39">
        <v>51406827.460000001</v>
      </c>
      <c r="AA20">
        <v>51234321.32</v>
      </c>
      <c r="AB20" s="25">
        <v>51191626.049999997</v>
      </c>
      <c r="AC20" s="25">
        <v>51148930.780000001</v>
      </c>
      <c r="AD20" s="25">
        <v>51106235.509999998</v>
      </c>
      <c r="AE20" s="25">
        <v>51063540.240000002</v>
      </c>
      <c r="AF20" s="25">
        <v>51020844.969999999</v>
      </c>
      <c r="AG20" s="25">
        <v>50978149.710000001</v>
      </c>
      <c r="AH20" s="25">
        <v>50935454.340000004</v>
      </c>
    </row>
    <row r="21" spans="1:34">
      <c r="A21" t="s">
        <v>22</v>
      </c>
      <c r="B21" s="17">
        <v>55251628.100000001</v>
      </c>
      <c r="C21" s="7">
        <v>3060950.56</v>
      </c>
      <c r="D21" s="7">
        <v>3050563.16</v>
      </c>
      <c r="E21" s="7">
        <v>3036139.89</v>
      </c>
      <c r="F21" s="7">
        <v>3076897.02</v>
      </c>
      <c r="G21" s="7">
        <v>2944822.77</v>
      </c>
      <c r="H21" s="7">
        <v>3024964.57</v>
      </c>
      <c r="I21" s="7">
        <v>3008085.51</v>
      </c>
      <c r="J21" s="7">
        <v>3053742.23</v>
      </c>
      <c r="K21">
        <v>3146743.67</v>
      </c>
      <c r="L21">
        <v>3127177.04</v>
      </c>
      <c r="M21" s="17">
        <v>54759560.159999996</v>
      </c>
      <c r="N21" s="17">
        <f>54759560.16-N20</f>
        <v>3104955.4399999976</v>
      </c>
      <c r="O21" s="21">
        <v>3088406.29</v>
      </c>
      <c r="P21" s="21">
        <v>3071857.14</v>
      </c>
      <c r="Q21" s="21">
        <v>3055307.99</v>
      </c>
      <c r="R21" s="25">
        <v>3140573</v>
      </c>
      <c r="S21" s="39">
        <v>3198979.03</v>
      </c>
      <c r="T21" s="39">
        <v>3184519.3</v>
      </c>
      <c r="U21" s="39">
        <v>3166225.77</v>
      </c>
      <c r="V21" s="39">
        <v>3147932.27</v>
      </c>
      <c r="AA21">
        <f>1395000+581395.21+737666.03+95058.33+70993.53+87757.67+106887.38</f>
        <v>3074758.15</v>
      </c>
      <c r="AB21" s="25">
        <v>3059018.56</v>
      </c>
      <c r="AC21" s="25">
        <v>3043278.9</v>
      </c>
      <c r="AD21" s="25">
        <v>3027539.43</v>
      </c>
      <c r="AE21" s="25">
        <v>3011799.88</v>
      </c>
      <c r="AF21" s="25">
        <v>2996060.3</v>
      </c>
      <c r="AG21" s="25">
        <v>2980320.75</v>
      </c>
      <c r="AH21" s="25">
        <v>2964581.12</v>
      </c>
    </row>
    <row r="22" spans="1:34">
      <c r="A22" t="s">
        <v>23</v>
      </c>
      <c r="B22" s="17"/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>
        <v>0</v>
      </c>
      <c r="L22">
        <v>0</v>
      </c>
      <c r="M22" s="17">
        <v>0</v>
      </c>
      <c r="N22" s="17"/>
      <c r="O22" s="21">
        <v>0</v>
      </c>
      <c r="P22" s="21">
        <v>0</v>
      </c>
      <c r="Q22" s="21">
        <v>0</v>
      </c>
      <c r="R22" s="25">
        <v>0</v>
      </c>
      <c r="S22" s="39">
        <v>0</v>
      </c>
      <c r="T22" s="39">
        <v>0</v>
      </c>
      <c r="U22" s="39">
        <v>0</v>
      </c>
      <c r="V22" s="39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0</v>
      </c>
      <c r="AG22" s="25">
        <v>0</v>
      </c>
      <c r="AH22" s="25">
        <v>0</v>
      </c>
    </row>
    <row r="23" spans="1:34">
      <c r="A23" t="s">
        <v>24</v>
      </c>
      <c r="B23" s="17">
        <v>255446.5</v>
      </c>
      <c r="C23" s="7">
        <v>248421.72</v>
      </c>
      <c r="D23" s="7">
        <v>241396.94</v>
      </c>
      <c r="E23" s="7">
        <v>234372.16</v>
      </c>
      <c r="F23" s="7">
        <v>227347.38</v>
      </c>
      <c r="G23" s="7">
        <v>220322.61</v>
      </c>
      <c r="H23" s="7">
        <v>380297.83</v>
      </c>
      <c r="I23" s="7">
        <v>472248.27</v>
      </c>
      <c r="J23" s="7">
        <v>455598</v>
      </c>
      <c r="K23">
        <v>438948.71</v>
      </c>
      <c r="L23">
        <v>422298.93</v>
      </c>
      <c r="M23" s="17">
        <v>506149.15</v>
      </c>
      <c r="N23" s="17">
        <v>506149.15</v>
      </c>
      <c r="O23" s="21">
        <v>492230.05</v>
      </c>
      <c r="P23" s="21">
        <v>478310.95</v>
      </c>
      <c r="Q23" s="21">
        <v>490892.92</v>
      </c>
      <c r="R23" s="25">
        <v>484748.42</v>
      </c>
      <c r="S23" s="39">
        <v>478074.39</v>
      </c>
      <c r="T23" s="39">
        <v>470870.82</v>
      </c>
      <c r="U23" s="39">
        <v>463137.59</v>
      </c>
      <c r="V23" s="39">
        <v>447365.1</v>
      </c>
      <c r="AA23">
        <v>403627.53</v>
      </c>
      <c r="AB23" s="25">
        <v>392527.77</v>
      </c>
      <c r="AC23" s="25">
        <v>381428.01</v>
      </c>
      <c r="AD23" s="25">
        <v>370328.25</v>
      </c>
      <c r="AE23" s="25">
        <v>359228.5</v>
      </c>
      <c r="AF23" s="25">
        <v>348128.74</v>
      </c>
      <c r="AG23" s="25">
        <v>337028.98</v>
      </c>
      <c r="AH23" s="25">
        <v>325929.21999999997</v>
      </c>
    </row>
    <row r="24" spans="1:34">
      <c r="A24" t="s">
        <v>25</v>
      </c>
      <c r="B24" s="17"/>
      <c r="C24" s="7"/>
      <c r="D24" s="7"/>
      <c r="E24" s="7"/>
      <c r="F24" s="7"/>
      <c r="G24" s="7"/>
      <c r="H24" s="7"/>
      <c r="I24" s="7"/>
      <c r="J24" s="7"/>
      <c r="M24" s="17"/>
      <c r="N24" s="17"/>
      <c r="O24" s="21">
        <v>0</v>
      </c>
      <c r="P24" s="21">
        <v>0</v>
      </c>
      <c r="Q24" s="21">
        <v>0</v>
      </c>
      <c r="R24" s="25">
        <v>0</v>
      </c>
      <c r="S24" s="39">
        <v>0</v>
      </c>
      <c r="T24" s="39">
        <v>0</v>
      </c>
      <c r="U24" s="39">
        <v>0</v>
      </c>
      <c r="V24" s="39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</row>
    <row r="25" spans="1:34">
      <c r="A25" s="1" t="s">
        <v>26</v>
      </c>
      <c r="B25" s="60">
        <f t="shared" ref="B25:AH25" si="6">B19+B15+B12+B7+B6+B3</f>
        <v>144354139.84999999</v>
      </c>
      <c r="C25" s="60">
        <f t="shared" si="6"/>
        <v>139985884.55000001</v>
      </c>
      <c r="D25" s="60">
        <f t="shared" si="6"/>
        <v>141634568.78999999</v>
      </c>
      <c r="E25" s="60">
        <f t="shared" si="6"/>
        <v>155868206.47</v>
      </c>
      <c r="F25" s="60">
        <f t="shared" si="6"/>
        <v>149266907.54000002</v>
      </c>
      <c r="G25" s="60">
        <f t="shared" si="6"/>
        <v>149558584.92000002</v>
      </c>
      <c r="H25" s="60">
        <f t="shared" si="6"/>
        <v>151059037.36000001</v>
      </c>
      <c r="I25" s="60">
        <f t="shared" si="6"/>
        <v>154809046.22999999</v>
      </c>
      <c r="J25" s="60">
        <f t="shared" si="6"/>
        <v>157182474.96999997</v>
      </c>
      <c r="K25" s="60">
        <f t="shared" si="6"/>
        <v>157790770.68000001</v>
      </c>
      <c r="L25" s="60">
        <f t="shared" si="6"/>
        <v>159560460.12</v>
      </c>
      <c r="M25" s="60">
        <f t="shared" si="6"/>
        <v>160639994.32999998</v>
      </c>
      <c r="N25" s="60">
        <f t="shared" si="6"/>
        <v>160639994.50999999</v>
      </c>
      <c r="O25" s="60">
        <f t="shared" si="6"/>
        <v>155391304.29999998</v>
      </c>
      <c r="P25" s="60">
        <f t="shared" si="6"/>
        <v>156254478.33999997</v>
      </c>
      <c r="Q25" s="60">
        <f t="shared" si="6"/>
        <v>167920923.38</v>
      </c>
      <c r="R25" s="60">
        <f t="shared" si="6"/>
        <v>167261473.94999999</v>
      </c>
      <c r="S25" s="60">
        <f t="shared" si="6"/>
        <v>160251806.5</v>
      </c>
      <c r="T25" s="60">
        <f t="shared" si="6"/>
        <v>163290226.66999999</v>
      </c>
      <c r="U25" s="60">
        <f t="shared" si="6"/>
        <v>162828782.67000005</v>
      </c>
      <c r="V25" s="60">
        <f t="shared" si="6"/>
        <v>164676290.87</v>
      </c>
      <c r="W25" s="60">
        <f t="shared" si="6"/>
        <v>0</v>
      </c>
      <c r="X25" s="60">
        <f t="shared" si="6"/>
        <v>0</v>
      </c>
      <c r="Y25" s="60">
        <f t="shared" si="6"/>
        <v>0</v>
      </c>
      <c r="Z25" s="60">
        <f t="shared" si="6"/>
        <v>0</v>
      </c>
      <c r="AA25" s="60">
        <f t="shared" si="6"/>
        <v>169922033.69</v>
      </c>
      <c r="AB25" s="60">
        <f t="shared" si="6"/>
        <v>163213908.5</v>
      </c>
      <c r="AC25" s="60">
        <f t="shared" si="6"/>
        <v>164446234.06999999</v>
      </c>
      <c r="AD25" s="60">
        <f t="shared" si="6"/>
        <v>180337417.72</v>
      </c>
      <c r="AE25" s="60">
        <f t="shared" si="6"/>
        <v>172510496.64000002</v>
      </c>
      <c r="AF25" s="60">
        <f t="shared" si="6"/>
        <v>168382502.82999998</v>
      </c>
      <c r="AG25" s="60">
        <f t="shared" si="6"/>
        <v>171764060.05000001</v>
      </c>
      <c r="AH25" s="60">
        <f t="shared" si="6"/>
        <v>171906401.26000002</v>
      </c>
    </row>
    <row r="26" spans="1:34">
      <c r="A26" t="s">
        <v>27</v>
      </c>
      <c r="B26" s="17">
        <v>15613501.26</v>
      </c>
      <c r="C26" s="7">
        <v>13262369.710000001</v>
      </c>
      <c r="D26" s="7">
        <v>13635118.07</v>
      </c>
      <c r="E26" s="7">
        <v>27186048.510000002</v>
      </c>
      <c r="F26" s="7">
        <v>20233888.359999999</v>
      </c>
      <c r="G26" s="7">
        <v>18909946.190000001</v>
      </c>
      <c r="H26" s="7">
        <v>18177280.440000001</v>
      </c>
      <c r="I26" s="7">
        <v>18265076.84</v>
      </c>
      <c r="J26" s="7">
        <v>18583040.309999999</v>
      </c>
      <c r="K26">
        <v>18454130.260000002</v>
      </c>
      <c r="L26">
        <v>18751585.890000001</v>
      </c>
      <c r="M26" s="17">
        <v>18489342.77</v>
      </c>
      <c r="N26" s="17">
        <f>4996861.54+1415534.37+2970174.84+3700924.59+5405847.43</f>
        <v>18489342.77</v>
      </c>
      <c r="O26" s="21">
        <v>16897878.050000001</v>
      </c>
      <c r="P26" s="21">
        <v>16315861.15</v>
      </c>
      <c r="Q26" s="21">
        <v>27505820.5</v>
      </c>
      <c r="R26" s="25">
        <v>22295743.260000002</v>
      </c>
      <c r="S26" s="39">
        <v>15431498.58</v>
      </c>
      <c r="T26" s="39">
        <v>16960539.289999999</v>
      </c>
      <c r="U26" s="39">
        <v>15154840.859999999</v>
      </c>
      <c r="V26" s="39">
        <v>14798589.439999999</v>
      </c>
      <c r="AB26" s="25">
        <v>14260031.24</v>
      </c>
      <c r="AC26" s="25">
        <v>13851604.02</v>
      </c>
      <c r="AD26" s="25">
        <v>29030314.469999999</v>
      </c>
      <c r="AE26" s="25">
        <v>20435922.699999999</v>
      </c>
      <c r="AF26" s="25">
        <v>16048465.59</v>
      </c>
      <c r="AG26" s="25">
        <v>17293580.620000001</v>
      </c>
      <c r="AH26" s="25">
        <v>14734684.92</v>
      </c>
    </row>
    <row r="27" spans="1:34">
      <c r="A27" t="s">
        <v>28</v>
      </c>
      <c r="B27" s="17"/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>
        <v>0</v>
      </c>
      <c r="L27">
        <v>0</v>
      </c>
      <c r="M27" s="17">
        <v>0</v>
      </c>
      <c r="N27" s="17"/>
      <c r="O27" s="21">
        <v>0</v>
      </c>
      <c r="P27" s="21">
        <v>0</v>
      </c>
      <c r="Q27" s="21">
        <v>0</v>
      </c>
      <c r="R27" s="25">
        <v>0</v>
      </c>
      <c r="S27" s="39">
        <v>0</v>
      </c>
      <c r="T27" s="39">
        <v>0</v>
      </c>
      <c r="U27" s="39">
        <v>0</v>
      </c>
      <c r="V27" s="39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</row>
    <row r="28" spans="1:34">
      <c r="A28" t="s">
        <v>29</v>
      </c>
      <c r="B28" s="17">
        <v>74005548.789999992</v>
      </c>
      <c r="C28" s="7">
        <v>74909237.439999998</v>
      </c>
      <c r="D28" s="7">
        <v>75827987.159999996</v>
      </c>
      <c r="E28" s="7">
        <v>76004399.900000006</v>
      </c>
      <c r="F28" s="7">
        <v>76848087.620000005</v>
      </c>
      <c r="G28" s="7">
        <v>77803091.670000002</v>
      </c>
      <c r="H28" s="7">
        <v>78350969.459999993</v>
      </c>
      <c r="I28" s="7">
        <v>80445980.530000001</v>
      </c>
      <c r="J28" s="7">
        <v>81494469.700000003</v>
      </c>
      <c r="K28">
        <v>81973863.359999999</v>
      </c>
      <c r="L28">
        <v>83125828.469999999</v>
      </c>
      <c r="M28" s="17">
        <v>84095875.609999999</v>
      </c>
      <c r="N28" s="17">
        <f>22406526.45+14207427.43+28159763.19+18210438.44+1111720.1</f>
        <v>84095875.609999985</v>
      </c>
      <c r="O28" s="21">
        <v>85036076.599999994</v>
      </c>
      <c r="P28" s="21">
        <v>85833677.140000001</v>
      </c>
      <c r="Q28" s="21">
        <v>86217200.230000004</v>
      </c>
      <c r="R28" s="25">
        <v>86876660.040000007</v>
      </c>
      <c r="S28" s="39">
        <v>86779455.879999995</v>
      </c>
      <c r="T28" s="39">
        <v>87509435.939999998</v>
      </c>
      <c r="U28" s="39">
        <v>88460867.569999993</v>
      </c>
      <c r="V28" s="39">
        <v>89159355.489999995</v>
      </c>
      <c r="AA28" s="52">
        <v>103508022.09</v>
      </c>
      <c r="AB28" s="25">
        <v>88882733.260000005</v>
      </c>
      <c r="AC28" s="25">
        <v>89800752.650000006</v>
      </c>
      <c r="AD28" s="25">
        <v>89729581.150000006</v>
      </c>
      <c r="AE28" s="25">
        <v>90423825.239999995</v>
      </c>
      <c r="AF28" s="25">
        <v>90497508.439999998</v>
      </c>
      <c r="AG28" s="25">
        <v>91409162.030000001</v>
      </c>
      <c r="AH28" s="25">
        <v>92742859.840000004</v>
      </c>
    </row>
    <row r="29" spans="1:34">
      <c r="A29" s="1" t="s">
        <v>30</v>
      </c>
      <c r="B29" s="60">
        <f t="shared" ref="B29:AH29" si="7">SUM(B26:B28)</f>
        <v>89619050.049999997</v>
      </c>
      <c r="C29" s="60">
        <f t="shared" si="7"/>
        <v>88171607.150000006</v>
      </c>
      <c r="D29" s="60">
        <f t="shared" si="7"/>
        <v>89463105.229999989</v>
      </c>
      <c r="E29" s="60">
        <f t="shared" si="7"/>
        <v>103190448.41000001</v>
      </c>
      <c r="F29" s="60">
        <f t="shared" si="7"/>
        <v>97081975.980000004</v>
      </c>
      <c r="G29" s="60">
        <f t="shared" si="7"/>
        <v>96713037.859999999</v>
      </c>
      <c r="H29" s="60">
        <f t="shared" si="7"/>
        <v>96528249.899999991</v>
      </c>
      <c r="I29" s="60">
        <f t="shared" si="7"/>
        <v>98711057.370000005</v>
      </c>
      <c r="J29" s="60">
        <f t="shared" si="7"/>
        <v>100077510.01000001</v>
      </c>
      <c r="K29" s="60">
        <f t="shared" si="7"/>
        <v>100427993.62</v>
      </c>
      <c r="L29" s="60">
        <f t="shared" si="7"/>
        <v>101877414.36</v>
      </c>
      <c r="M29" s="60">
        <f t="shared" si="7"/>
        <v>102585218.38</v>
      </c>
      <c r="N29" s="60">
        <f t="shared" si="7"/>
        <v>102585218.37999998</v>
      </c>
      <c r="O29" s="60">
        <f t="shared" si="7"/>
        <v>101933954.64999999</v>
      </c>
      <c r="P29" s="60">
        <f t="shared" si="7"/>
        <v>102149538.29000001</v>
      </c>
      <c r="Q29" s="60">
        <f t="shared" si="7"/>
        <v>113723020.73</v>
      </c>
      <c r="R29" s="60">
        <f t="shared" si="7"/>
        <v>109172403.30000001</v>
      </c>
      <c r="S29" s="60">
        <f t="shared" si="7"/>
        <v>102210954.45999999</v>
      </c>
      <c r="T29" s="60">
        <f t="shared" si="7"/>
        <v>104469975.22999999</v>
      </c>
      <c r="U29" s="60">
        <f t="shared" si="7"/>
        <v>103615708.42999999</v>
      </c>
      <c r="V29" s="60">
        <f t="shared" si="7"/>
        <v>103957944.92999999</v>
      </c>
      <c r="W29" s="60">
        <f t="shared" si="7"/>
        <v>0</v>
      </c>
      <c r="X29" s="60">
        <f t="shared" si="7"/>
        <v>0</v>
      </c>
      <c r="Y29" s="60">
        <f t="shared" si="7"/>
        <v>0</v>
      </c>
      <c r="Z29" s="60">
        <f t="shared" si="7"/>
        <v>0</v>
      </c>
      <c r="AA29" s="60">
        <f t="shared" si="7"/>
        <v>103508022.09</v>
      </c>
      <c r="AB29" s="60">
        <f t="shared" si="7"/>
        <v>103142764.5</v>
      </c>
      <c r="AC29" s="60">
        <f t="shared" si="7"/>
        <v>103652356.67</v>
      </c>
      <c r="AD29" s="60">
        <f t="shared" si="7"/>
        <v>118759895.62</v>
      </c>
      <c r="AE29" s="60">
        <f t="shared" si="7"/>
        <v>110859747.94</v>
      </c>
      <c r="AF29" s="60">
        <f t="shared" si="7"/>
        <v>106545974.03</v>
      </c>
      <c r="AG29" s="60">
        <f t="shared" si="7"/>
        <v>108702742.65000001</v>
      </c>
      <c r="AH29" s="60">
        <f t="shared" si="7"/>
        <v>107477544.76000001</v>
      </c>
    </row>
    <row r="30" spans="1:34">
      <c r="A30" t="s">
        <v>31</v>
      </c>
      <c r="B30" s="17">
        <v>150000</v>
      </c>
      <c r="C30" s="6"/>
      <c r="M30" s="17"/>
      <c r="N30" s="17">
        <v>180000</v>
      </c>
      <c r="O30" s="21">
        <v>0</v>
      </c>
      <c r="P30" s="21">
        <v>0</v>
      </c>
      <c r="Q30" s="21">
        <v>0</v>
      </c>
      <c r="R30" s="25">
        <v>0</v>
      </c>
      <c r="S30" s="39">
        <v>0</v>
      </c>
      <c r="T30" s="39">
        <v>0</v>
      </c>
      <c r="U30" s="39">
        <v>0</v>
      </c>
      <c r="V30" s="39">
        <v>0</v>
      </c>
      <c r="AA30">
        <v>284207.15999999997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0</v>
      </c>
    </row>
    <row r="31" spans="1:34">
      <c r="A31" t="s">
        <v>32</v>
      </c>
      <c r="B31" s="17">
        <v>5072100</v>
      </c>
      <c r="C31" s="7"/>
      <c r="D31" s="7"/>
      <c r="E31" s="7"/>
      <c r="F31" s="7"/>
      <c r="G31" s="7"/>
      <c r="H31" s="7"/>
      <c r="I31" s="7"/>
      <c r="J31" s="7"/>
      <c r="M31" s="17"/>
      <c r="N31" s="17">
        <v>4832741</v>
      </c>
      <c r="O31" s="21">
        <v>0</v>
      </c>
      <c r="P31" s="21">
        <v>0</v>
      </c>
      <c r="Q31" s="21">
        <v>0</v>
      </c>
      <c r="R31" s="25">
        <v>0</v>
      </c>
      <c r="S31" s="39">
        <v>0</v>
      </c>
      <c r="T31" s="39">
        <v>0</v>
      </c>
      <c r="U31" s="39">
        <v>0</v>
      </c>
      <c r="V31" s="39">
        <v>0</v>
      </c>
      <c r="AA31" s="52">
        <f>1100000+900000</f>
        <v>2000000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0</v>
      </c>
    </row>
    <row r="32" spans="1:34">
      <c r="A32" t="s">
        <v>33</v>
      </c>
      <c r="B32" s="17"/>
      <c r="C32" s="7"/>
      <c r="D32" s="7"/>
      <c r="E32" s="7"/>
      <c r="F32" s="7"/>
      <c r="G32" s="7"/>
      <c r="H32" s="7"/>
      <c r="I32" s="7"/>
      <c r="J32" s="7"/>
      <c r="M32" s="17"/>
      <c r="N32" s="17"/>
      <c r="O32" s="21">
        <v>0</v>
      </c>
      <c r="P32" s="21">
        <v>0</v>
      </c>
      <c r="Q32" s="21">
        <v>0</v>
      </c>
      <c r="R32" s="25">
        <v>0</v>
      </c>
      <c r="S32" s="39">
        <v>0</v>
      </c>
      <c r="T32" s="39">
        <v>0</v>
      </c>
      <c r="U32" s="39">
        <v>0</v>
      </c>
      <c r="V32" s="39">
        <v>0</v>
      </c>
      <c r="AA32" s="52">
        <v>0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</row>
    <row r="33" spans="1:34">
      <c r="A33" t="s">
        <v>34</v>
      </c>
      <c r="B33" s="17"/>
      <c r="C33" s="7"/>
      <c r="D33" s="7"/>
      <c r="E33" s="7"/>
      <c r="F33" s="7"/>
      <c r="G33" s="7"/>
      <c r="H33" s="7"/>
      <c r="I33" s="7"/>
      <c r="J33" s="7"/>
      <c r="M33" s="17"/>
      <c r="N33" s="17"/>
      <c r="O33" s="21">
        <v>0</v>
      </c>
      <c r="P33" s="21">
        <v>0</v>
      </c>
      <c r="Q33" s="21">
        <v>0</v>
      </c>
      <c r="R33" s="25">
        <v>0</v>
      </c>
      <c r="S33" s="39">
        <v>0</v>
      </c>
      <c r="T33" s="39">
        <v>0</v>
      </c>
      <c r="U33" s="39">
        <v>0</v>
      </c>
      <c r="V33" s="39">
        <v>0</v>
      </c>
      <c r="AA33" s="52">
        <v>0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0</v>
      </c>
    </row>
    <row r="34" spans="1:34">
      <c r="A34" t="s">
        <v>35</v>
      </c>
      <c r="B34" s="17"/>
      <c r="C34" s="7">
        <v>1373960</v>
      </c>
      <c r="D34" s="7">
        <v>1275820</v>
      </c>
      <c r="E34" s="7">
        <v>1177680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>
        <v>0</v>
      </c>
      <c r="L34">
        <v>0</v>
      </c>
      <c r="M34" s="17">
        <v>600000</v>
      </c>
      <c r="N34" s="17"/>
      <c r="O34" s="21">
        <v>0</v>
      </c>
      <c r="P34" s="21">
        <v>0</v>
      </c>
      <c r="Q34" s="21">
        <v>0</v>
      </c>
      <c r="R34" s="25">
        <v>3140480</v>
      </c>
      <c r="S34" s="39">
        <v>3042340</v>
      </c>
      <c r="T34" s="39">
        <v>2944200</v>
      </c>
      <c r="U34" s="39">
        <v>2846060</v>
      </c>
      <c r="V34" s="39">
        <v>2747920</v>
      </c>
      <c r="AA34" s="52">
        <f>2355360+350000+4200000</f>
        <v>6905360</v>
      </c>
      <c r="AB34" s="25">
        <v>2257220</v>
      </c>
      <c r="AC34" s="25">
        <v>2159220</v>
      </c>
      <c r="AD34" s="25">
        <v>2061080</v>
      </c>
      <c r="AE34" s="25">
        <v>1962940</v>
      </c>
      <c r="AF34" s="25">
        <v>1864800</v>
      </c>
      <c r="AG34" s="25">
        <v>1766660</v>
      </c>
      <c r="AH34" s="25">
        <v>1668520</v>
      </c>
    </row>
    <row r="35" spans="1:34">
      <c r="A35" t="s">
        <v>36</v>
      </c>
      <c r="B35" s="17"/>
      <c r="C35" s="7"/>
      <c r="D35" s="7"/>
      <c r="E35" s="7"/>
      <c r="F35" s="7"/>
      <c r="G35" s="7"/>
      <c r="H35" s="7"/>
      <c r="I35" s="7"/>
      <c r="J35" s="7"/>
      <c r="M35" s="17"/>
      <c r="N35" s="17"/>
      <c r="O35" s="21">
        <v>0</v>
      </c>
      <c r="P35" s="21">
        <v>0</v>
      </c>
      <c r="Q35" s="21">
        <v>0</v>
      </c>
      <c r="R35" s="25">
        <v>0</v>
      </c>
      <c r="S35" s="39">
        <v>0</v>
      </c>
      <c r="T35" s="39">
        <v>0</v>
      </c>
      <c r="U35" s="39">
        <v>0</v>
      </c>
      <c r="V35" s="39">
        <v>0</v>
      </c>
      <c r="AA3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</row>
    <row r="36" spans="1:34">
      <c r="A36" s="1" t="s">
        <v>37</v>
      </c>
      <c r="B36" s="60">
        <f t="shared" ref="B36:AH36" si="8">SUM(B29:B35)</f>
        <v>94841150.049999997</v>
      </c>
      <c r="C36" s="60">
        <f t="shared" si="8"/>
        <v>89545567.150000006</v>
      </c>
      <c r="D36" s="60">
        <f t="shared" si="8"/>
        <v>90738925.229999989</v>
      </c>
      <c r="E36" s="60">
        <f t="shared" si="8"/>
        <v>104368128.41000001</v>
      </c>
      <c r="F36" s="60">
        <f t="shared" si="8"/>
        <v>97081975.980000004</v>
      </c>
      <c r="G36" s="60">
        <f t="shared" si="8"/>
        <v>96713037.859999999</v>
      </c>
      <c r="H36" s="60">
        <f t="shared" si="8"/>
        <v>96528249.899999991</v>
      </c>
      <c r="I36" s="60">
        <f t="shared" si="8"/>
        <v>98711057.370000005</v>
      </c>
      <c r="J36" s="60">
        <f t="shared" si="8"/>
        <v>100077510.01000001</v>
      </c>
      <c r="K36" s="60">
        <f t="shared" si="8"/>
        <v>100427993.62</v>
      </c>
      <c r="L36" s="60">
        <f t="shared" si="8"/>
        <v>101877414.36</v>
      </c>
      <c r="M36" s="60">
        <f t="shared" si="8"/>
        <v>103185218.38</v>
      </c>
      <c r="N36" s="60">
        <f t="shared" si="8"/>
        <v>107597959.37999998</v>
      </c>
      <c r="O36" s="60">
        <f t="shared" si="8"/>
        <v>101933954.64999999</v>
      </c>
      <c r="P36" s="60">
        <f t="shared" si="8"/>
        <v>102149538.29000001</v>
      </c>
      <c r="Q36" s="60">
        <f t="shared" si="8"/>
        <v>113723020.73</v>
      </c>
      <c r="R36" s="60">
        <f t="shared" si="8"/>
        <v>112312883.30000001</v>
      </c>
      <c r="S36" s="60">
        <f t="shared" si="8"/>
        <v>105253294.45999999</v>
      </c>
      <c r="T36" s="60">
        <f t="shared" si="8"/>
        <v>107414175.22999999</v>
      </c>
      <c r="U36" s="60">
        <f t="shared" si="8"/>
        <v>106461768.42999999</v>
      </c>
      <c r="V36" s="60">
        <f t="shared" si="8"/>
        <v>106705864.92999999</v>
      </c>
      <c r="W36" s="60">
        <f t="shared" si="8"/>
        <v>0</v>
      </c>
      <c r="X36" s="60">
        <f t="shared" si="8"/>
        <v>0</v>
      </c>
      <c r="Y36" s="60">
        <f t="shared" si="8"/>
        <v>0</v>
      </c>
      <c r="Z36" s="60">
        <f t="shared" si="8"/>
        <v>0</v>
      </c>
      <c r="AA36" s="60">
        <f t="shared" si="8"/>
        <v>112697589.25</v>
      </c>
      <c r="AB36" s="60">
        <f t="shared" si="8"/>
        <v>105399984.5</v>
      </c>
      <c r="AC36" s="60">
        <f t="shared" si="8"/>
        <v>105811576.67</v>
      </c>
      <c r="AD36" s="60">
        <f t="shared" si="8"/>
        <v>120820975.62</v>
      </c>
      <c r="AE36" s="60">
        <f t="shared" si="8"/>
        <v>112822687.94</v>
      </c>
      <c r="AF36" s="60">
        <f t="shared" si="8"/>
        <v>108410774.03</v>
      </c>
      <c r="AG36" s="60">
        <f t="shared" si="8"/>
        <v>110469402.65000001</v>
      </c>
      <c r="AH36" s="60">
        <f t="shared" si="8"/>
        <v>109146064.76000001</v>
      </c>
    </row>
    <row r="37" spans="1:34">
      <c r="A37" t="s">
        <v>38</v>
      </c>
      <c r="B37" s="17">
        <v>5186000</v>
      </c>
      <c r="C37" s="7">
        <v>5186000</v>
      </c>
      <c r="D37" s="7">
        <v>5186000</v>
      </c>
      <c r="E37" s="7">
        <v>5186000</v>
      </c>
      <c r="F37" s="7">
        <v>5186000</v>
      </c>
      <c r="G37" s="7">
        <v>5186000</v>
      </c>
      <c r="H37" s="7">
        <v>5186000</v>
      </c>
      <c r="I37" s="7">
        <v>5186000</v>
      </c>
      <c r="J37" s="7">
        <v>5186000</v>
      </c>
      <c r="K37">
        <v>5186000</v>
      </c>
      <c r="L37">
        <v>5186000</v>
      </c>
      <c r="M37" s="17">
        <v>5186000</v>
      </c>
      <c r="N37" s="17">
        <v>5186000</v>
      </c>
      <c r="O37" s="21">
        <v>5186000</v>
      </c>
      <c r="P37" s="21">
        <v>5186000</v>
      </c>
      <c r="Q37" s="21">
        <v>5186000</v>
      </c>
      <c r="R37" s="25">
        <v>5186000</v>
      </c>
      <c r="S37" s="39">
        <v>5186000</v>
      </c>
      <c r="T37" s="39">
        <v>5186000</v>
      </c>
      <c r="U37" s="39">
        <v>5186000</v>
      </c>
      <c r="V37" s="39">
        <v>5186000</v>
      </c>
      <c r="AA37" s="52">
        <f>7307000+38037055.28</f>
        <v>45344055.280000001</v>
      </c>
      <c r="AB37" s="25">
        <v>7307000</v>
      </c>
      <c r="AC37" s="25">
        <v>7307000</v>
      </c>
      <c r="AD37" s="25">
        <v>7307000</v>
      </c>
      <c r="AE37" s="25">
        <v>7307000</v>
      </c>
      <c r="AF37" s="25">
        <v>7307000</v>
      </c>
      <c r="AG37" s="25">
        <v>7307000</v>
      </c>
      <c r="AH37" s="25">
        <v>7307000</v>
      </c>
    </row>
    <row r="38" spans="1:34">
      <c r="A38" t="s">
        <v>39</v>
      </c>
      <c r="B38" s="17"/>
      <c r="C38" s="6"/>
      <c r="M38" s="17"/>
      <c r="N38" s="17"/>
      <c r="O38" s="21">
        <v>38037055.280000001</v>
      </c>
      <c r="P38" s="21">
        <v>38037055.280000001</v>
      </c>
      <c r="Q38" s="21">
        <v>38037055.280000001</v>
      </c>
      <c r="R38" s="25">
        <v>38037055.280000001</v>
      </c>
      <c r="S38" s="39">
        <v>38037055.280000001</v>
      </c>
      <c r="T38" s="39">
        <v>38037055.280000001</v>
      </c>
      <c r="U38" s="39">
        <v>38037055.280000001</v>
      </c>
      <c r="V38" s="39">
        <v>38037055.280000001</v>
      </c>
      <c r="AA38" s="52">
        <v>0</v>
      </c>
      <c r="AB38" s="25">
        <v>38037055.280000001</v>
      </c>
      <c r="AC38" s="25">
        <v>38037055.280000001</v>
      </c>
      <c r="AD38" s="25">
        <v>38037055.280000001</v>
      </c>
      <c r="AE38" s="25">
        <v>38037055.280000001</v>
      </c>
      <c r="AF38" s="25">
        <v>38037055.280000001</v>
      </c>
      <c r="AG38" s="25">
        <v>38037055.280000001</v>
      </c>
      <c r="AH38" s="25">
        <v>38037055.280000001</v>
      </c>
    </row>
    <row r="39" spans="1:34">
      <c r="A39" t="s">
        <v>40</v>
      </c>
      <c r="B39" s="17">
        <v>2836262.49</v>
      </c>
      <c r="C39" s="7">
        <v>2907717.51</v>
      </c>
      <c r="D39" s="7">
        <v>2907717.51</v>
      </c>
      <c r="E39" s="7">
        <v>2907717.51</v>
      </c>
      <c r="F39" s="7">
        <v>2907717.51</v>
      </c>
      <c r="G39" s="7">
        <v>2907717.51</v>
      </c>
      <c r="H39" s="7">
        <v>2907717.51</v>
      </c>
      <c r="I39" s="7">
        <v>2907717.51</v>
      </c>
      <c r="J39" s="7">
        <v>2907717.51</v>
      </c>
      <c r="K39">
        <v>2907717.51</v>
      </c>
      <c r="L39">
        <v>2907717.51</v>
      </c>
      <c r="M39" s="17">
        <v>2907717.51</v>
      </c>
      <c r="N39" s="17">
        <v>2907717.51</v>
      </c>
      <c r="O39" s="21">
        <v>3782201.51</v>
      </c>
      <c r="P39" s="21">
        <v>3782201.51</v>
      </c>
      <c r="Q39" s="21">
        <v>3782201.51</v>
      </c>
      <c r="R39" s="25">
        <v>3782201.51</v>
      </c>
      <c r="S39" s="39">
        <v>3782201.51</v>
      </c>
      <c r="T39" s="39">
        <v>3782201.51</v>
      </c>
      <c r="U39" s="39">
        <v>3782201.51</v>
      </c>
      <c r="V39" s="39">
        <v>3782201.51</v>
      </c>
      <c r="AA39" s="52">
        <v>3782201.69</v>
      </c>
      <c r="AB39" s="25">
        <v>4961328.87</v>
      </c>
      <c r="AC39" s="25">
        <v>4961328.87</v>
      </c>
      <c r="AD39" s="25">
        <v>4961328.87</v>
      </c>
      <c r="AE39" s="25">
        <v>4961328.87</v>
      </c>
      <c r="AF39" s="25">
        <v>4961328.87</v>
      </c>
      <c r="AG39" s="25">
        <v>4961328.87</v>
      </c>
      <c r="AH39" s="25">
        <v>4961328.87</v>
      </c>
    </row>
    <row r="40" spans="1:34">
      <c r="A40" t="s">
        <v>41</v>
      </c>
      <c r="B40" s="17">
        <v>71455.02</v>
      </c>
      <c r="C40" s="7">
        <v>455434.08</v>
      </c>
      <c r="D40" s="7">
        <v>530934.4</v>
      </c>
      <c r="E40" s="7">
        <v>753728.08</v>
      </c>
      <c r="F40" s="7">
        <v>1027743.92</v>
      </c>
      <c r="G40" s="7">
        <v>1276398.72</v>
      </c>
      <c r="H40" s="7">
        <v>2331181.84</v>
      </c>
      <c r="I40" s="7">
        <v>3584942.96</v>
      </c>
      <c r="J40" s="7">
        <v>4390523.84</v>
      </c>
      <c r="K40">
        <v>4596773.5199999996</v>
      </c>
      <c r="L40">
        <v>4852988.4800000004</v>
      </c>
      <c r="M40" s="17">
        <v>874484</v>
      </c>
      <c r="N40" s="17">
        <v>874484.18</v>
      </c>
      <c r="O40" s="21">
        <v>332251.76</v>
      </c>
      <c r="P40" s="21">
        <v>850324.08</v>
      </c>
      <c r="Q40" s="21">
        <v>844694.16</v>
      </c>
      <c r="R40" s="25">
        <v>1525244.56</v>
      </c>
      <c r="S40" s="39">
        <v>1565181.68</v>
      </c>
      <c r="T40" s="39">
        <v>2267213.2000000002</v>
      </c>
      <c r="U40" s="39">
        <v>2659983.44</v>
      </c>
      <c r="V40" s="39">
        <v>3942712.8</v>
      </c>
      <c r="AA40" s="52">
        <f>4411408.97-882281.79-1100000-900000-350000</f>
        <v>1179127.1799999997</v>
      </c>
      <c r="AB40" s="25">
        <v>471583.92</v>
      </c>
      <c r="AC40" s="25">
        <v>1128170.6399999999</v>
      </c>
      <c r="AD40" s="25">
        <v>1833598.4</v>
      </c>
      <c r="AE40" s="25">
        <v>1970691.68</v>
      </c>
      <c r="AF40" s="25">
        <v>2197827.7599999998</v>
      </c>
      <c r="AG40" s="25">
        <v>3256170.64</v>
      </c>
      <c r="AH40" s="25">
        <v>4428713.92</v>
      </c>
    </row>
    <row r="41" spans="1:34">
      <c r="A41" t="s">
        <v>42</v>
      </c>
      <c r="B41" s="17">
        <v>5484971.8600000003</v>
      </c>
      <c r="C41" s="7">
        <v>5598830.3799999999</v>
      </c>
      <c r="D41" s="7">
        <v>5617705.46</v>
      </c>
      <c r="E41" s="7">
        <v>5673403.8799999999</v>
      </c>
      <c r="F41" s="7">
        <v>5741907.8399999999</v>
      </c>
      <c r="G41" s="7">
        <v>5804071.54</v>
      </c>
      <c r="H41" s="7">
        <v>6067767.3200000003</v>
      </c>
      <c r="I41" s="7">
        <v>6381207.5999999996</v>
      </c>
      <c r="J41" s="7">
        <v>6582602.8200000003</v>
      </c>
      <c r="K41">
        <v>6634165.2400000002</v>
      </c>
      <c r="L41">
        <v>6698218.9800000004</v>
      </c>
      <c r="M41" s="17">
        <v>6036778.1600000001</v>
      </c>
      <c r="N41" s="17">
        <v>6036778.1600000001</v>
      </c>
      <c r="O41" s="21">
        <v>6119841.0999999996</v>
      </c>
      <c r="P41" s="21">
        <v>6249359.1799999997</v>
      </c>
      <c r="Q41" s="21">
        <v>6347951.7000000002</v>
      </c>
      <c r="R41" s="25">
        <v>6418089.2999999998</v>
      </c>
      <c r="S41" s="39">
        <v>6428073.5700000003</v>
      </c>
      <c r="T41" s="39">
        <v>6603581.4500000002</v>
      </c>
      <c r="U41" s="39">
        <v>6701774.0099999998</v>
      </c>
      <c r="V41" s="39">
        <v>7022456.3499999996</v>
      </c>
      <c r="AA41" s="52">
        <v>6919059.9500000002</v>
      </c>
      <c r="AB41" s="25">
        <v>7036955.9299999997</v>
      </c>
      <c r="AC41" s="25">
        <v>7201102.6100000003</v>
      </c>
      <c r="AD41" s="25">
        <v>7377459.5499999998</v>
      </c>
      <c r="AE41" s="25">
        <v>7411732.8700000001</v>
      </c>
      <c r="AF41" s="25">
        <v>7468516.8899999997</v>
      </c>
      <c r="AG41" s="25">
        <v>7733102.6100000003</v>
      </c>
      <c r="AH41" s="25">
        <v>8026238.4299999997</v>
      </c>
    </row>
    <row r="42" spans="1:34">
      <c r="A42" t="s">
        <v>43</v>
      </c>
      <c r="B42" s="17">
        <v>35934323.43</v>
      </c>
      <c r="C42" s="7">
        <v>36292335.43</v>
      </c>
      <c r="D42" s="7">
        <v>36653286.189999998</v>
      </c>
      <c r="E42" s="7">
        <v>36979228.590000004</v>
      </c>
      <c r="F42" s="7">
        <v>37321562.289999999</v>
      </c>
      <c r="G42" s="7">
        <v>37671359.289999999</v>
      </c>
      <c r="H42" s="7">
        <v>38038120.789999999</v>
      </c>
      <c r="I42" s="7">
        <v>38038120.789999999</v>
      </c>
      <c r="J42" s="7">
        <v>38038120.789999999</v>
      </c>
      <c r="K42">
        <v>38038120.789999999</v>
      </c>
      <c r="L42">
        <v>38038120.789999999</v>
      </c>
      <c r="M42" s="17">
        <v>38037055.280000001</v>
      </c>
      <c r="N42" s="17">
        <v>38037055.280000001</v>
      </c>
      <c r="O42" s="21">
        <v>0</v>
      </c>
      <c r="P42" s="21">
        <v>0</v>
      </c>
      <c r="Q42" s="21">
        <v>0</v>
      </c>
      <c r="R42" s="25">
        <v>0</v>
      </c>
      <c r="S42" s="39">
        <v>0</v>
      </c>
      <c r="T42" s="39">
        <v>0</v>
      </c>
      <c r="U42" s="39">
        <v>0</v>
      </c>
      <c r="V42" s="39">
        <v>0</v>
      </c>
      <c r="AA42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0</v>
      </c>
    </row>
    <row r="43" spans="1:34">
      <c r="A43" t="s">
        <v>44</v>
      </c>
      <c r="B43" s="17"/>
      <c r="C43" s="7"/>
      <c r="D43" s="7"/>
      <c r="E43" s="7"/>
      <c r="F43" s="7"/>
      <c r="G43" s="7"/>
      <c r="H43" s="7"/>
      <c r="I43" s="7"/>
      <c r="J43" s="7"/>
      <c r="M43" s="17"/>
      <c r="N43" s="17"/>
      <c r="O43" s="21">
        <v>0</v>
      </c>
      <c r="P43" s="21">
        <v>0</v>
      </c>
      <c r="Q43" s="21">
        <v>0</v>
      </c>
      <c r="R43" s="25">
        <v>0</v>
      </c>
      <c r="S43" s="39">
        <v>0</v>
      </c>
      <c r="T43" s="39">
        <v>0</v>
      </c>
      <c r="U43" s="39">
        <v>0</v>
      </c>
      <c r="V43" s="39">
        <v>0</v>
      </c>
      <c r="AA43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</row>
    <row r="44" spans="1:34">
      <c r="A44" t="s">
        <v>45</v>
      </c>
      <c r="B44" s="17"/>
      <c r="C44" s="6"/>
      <c r="M44" s="17"/>
      <c r="N44" s="17"/>
      <c r="O44" s="22">
        <v>0</v>
      </c>
      <c r="P44" s="22">
        <v>0</v>
      </c>
      <c r="Q44" s="22">
        <v>0</v>
      </c>
      <c r="R44" s="26">
        <v>0</v>
      </c>
      <c r="S44" s="40">
        <v>0</v>
      </c>
      <c r="T44" s="40">
        <v>0</v>
      </c>
      <c r="U44" s="40">
        <v>0</v>
      </c>
      <c r="V44" s="40">
        <v>0</v>
      </c>
      <c r="AA44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  <c r="AG44" s="26">
        <v>0</v>
      </c>
      <c r="AH44" s="26">
        <v>0</v>
      </c>
    </row>
    <row r="45" spans="1:34">
      <c r="A45" t="s">
        <v>46</v>
      </c>
      <c r="B45" s="17"/>
      <c r="C45" s="6"/>
      <c r="M45" s="17"/>
      <c r="N45" s="17"/>
      <c r="O45" s="22">
        <v>0</v>
      </c>
      <c r="P45" s="22">
        <v>0</v>
      </c>
      <c r="Q45" s="22">
        <v>0</v>
      </c>
      <c r="R45" s="26">
        <v>0</v>
      </c>
      <c r="S45" s="40">
        <v>0</v>
      </c>
      <c r="T45" s="40">
        <v>0</v>
      </c>
      <c r="U45" s="40">
        <v>0</v>
      </c>
      <c r="V45" s="40">
        <v>0</v>
      </c>
      <c r="AA45">
        <v>0</v>
      </c>
      <c r="AB45" s="26">
        <v>0</v>
      </c>
      <c r="AC45" s="26">
        <v>0</v>
      </c>
      <c r="AD45" s="26">
        <v>0</v>
      </c>
      <c r="AE45" s="26">
        <v>0</v>
      </c>
      <c r="AF45" s="26">
        <v>0</v>
      </c>
      <c r="AG45" s="26">
        <v>0</v>
      </c>
      <c r="AH45" s="26">
        <v>0</v>
      </c>
    </row>
    <row r="46" spans="1:34">
      <c r="A46" t="s">
        <v>47</v>
      </c>
      <c r="B46" s="60">
        <f t="shared" ref="B46" si="9">SUM(B37:B45)</f>
        <v>49513012.799999997</v>
      </c>
      <c r="C46" s="60">
        <f t="shared" ref="C46:H46" si="10">SUM(C37:C45)</f>
        <v>50440317.399999999</v>
      </c>
      <c r="D46" s="60">
        <f t="shared" si="10"/>
        <v>50895643.560000002</v>
      </c>
      <c r="E46" s="60">
        <f t="shared" si="10"/>
        <v>51500078.060000002</v>
      </c>
      <c r="F46" s="60">
        <f t="shared" si="10"/>
        <v>52184931.560000002</v>
      </c>
      <c r="G46" s="60">
        <f t="shared" si="10"/>
        <v>52845547.060000002</v>
      </c>
      <c r="H46" s="60">
        <f t="shared" si="10"/>
        <v>54530787.460000001</v>
      </c>
      <c r="I46" s="60">
        <f t="shared" ref="I46:Z46" si="11">SUM(I37:I45)</f>
        <v>56097988.859999999</v>
      </c>
      <c r="J46" s="60">
        <f t="shared" si="11"/>
        <v>57104964.960000001</v>
      </c>
      <c r="K46" s="60">
        <f t="shared" si="11"/>
        <v>57362777.060000002</v>
      </c>
      <c r="L46" s="60">
        <f t="shared" si="11"/>
        <v>57683045.759999998</v>
      </c>
      <c r="M46" s="60">
        <f t="shared" si="11"/>
        <v>53042034.950000003</v>
      </c>
      <c r="N46" s="60">
        <f t="shared" si="11"/>
        <v>53042035.130000003</v>
      </c>
      <c r="O46" s="60">
        <f t="shared" si="11"/>
        <v>53457349.649999999</v>
      </c>
      <c r="P46" s="60">
        <f t="shared" si="11"/>
        <v>54104940.049999997</v>
      </c>
      <c r="Q46" s="60">
        <f t="shared" si="11"/>
        <v>54197902.649999999</v>
      </c>
      <c r="R46" s="60">
        <f t="shared" si="11"/>
        <v>54948590.649999999</v>
      </c>
      <c r="S46" s="60">
        <f t="shared" si="11"/>
        <v>54998512.039999999</v>
      </c>
      <c r="T46" s="60">
        <f t="shared" si="11"/>
        <v>55876051.440000005</v>
      </c>
      <c r="U46" s="60">
        <f t="shared" si="11"/>
        <v>56367014.239999995</v>
      </c>
      <c r="V46" s="60">
        <f t="shared" si="11"/>
        <v>57970425.939999998</v>
      </c>
      <c r="W46" s="60">
        <f t="shared" si="11"/>
        <v>0</v>
      </c>
      <c r="X46" s="60">
        <f t="shared" si="11"/>
        <v>0</v>
      </c>
      <c r="Y46" s="60">
        <f t="shared" si="11"/>
        <v>0</v>
      </c>
      <c r="Z46" s="60">
        <f t="shared" si="11"/>
        <v>0</v>
      </c>
      <c r="AA46" s="60">
        <f t="shared" ref="AA46:AH46" si="12">SUM(AA37:AA45)</f>
        <v>57224444.100000001</v>
      </c>
      <c r="AB46" s="60">
        <f t="shared" si="12"/>
        <v>57813924</v>
      </c>
      <c r="AC46" s="60">
        <f t="shared" si="12"/>
        <v>58634657.399999999</v>
      </c>
      <c r="AD46" s="60">
        <f t="shared" si="12"/>
        <v>59516442.099999994</v>
      </c>
      <c r="AE46" s="60">
        <f t="shared" si="12"/>
        <v>59687808.699999996</v>
      </c>
      <c r="AF46" s="60">
        <f t="shared" si="12"/>
        <v>59971728.799999997</v>
      </c>
      <c r="AG46" s="60">
        <f t="shared" si="12"/>
        <v>61294657.399999999</v>
      </c>
      <c r="AH46" s="60">
        <f t="shared" si="12"/>
        <v>62760336.5</v>
      </c>
    </row>
    <row r="47" spans="1:34">
      <c r="A47" t="s">
        <v>48</v>
      </c>
      <c r="B47" s="60">
        <f t="shared" ref="B47" si="13">B46+B36</f>
        <v>144354162.84999999</v>
      </c>
      <c r="C47" s="60">
        <f t="shared" ref="C47:H47" si="14">C46+C36</f>
        <v>139985884.55000001</v>
      </c>
      <c r="D47" s="60">
        <f t="shared" si="14"/>
        <v>141634568.78999999</v>
      </c>
      <c r="E47" s="60">
        <f t="shared" si="14"/>
        <v>155868206.47000003</v>
      </c>
      <c r="F47" s="60">
        <f t="shared" si="14"/>
        <v>149266907.54000002</v>
      </c>
      <c r="G47" s="60">
        <f t="shared" si="14"/>
        <v>149558584.92000002</v>
      </c>
      <c r="H47" s="60">
        <f t="shared" si="14"/>
        <v>151059037.35999998</v>
      </c>
      <c r="I47" s="60">
        <f t="shared" ref="I47:Z47" si="15">I46+I36</f>
        <v>154809046.23000002</v>
      </c>
      <c r="J47" s="60">
        <f t="shared" si="15"/>
        <v>157182474.97</v>
      </c>
      <c r="K47" s="60">
        <f t="shared" si="15"/>
        <v>157790770.68000001</v>
      </c>
      <c r="L47" s="60">
        <f t="shared" si="15"/>
        <v>159560460.12</v>
      </c>
      <c r="M47" s="60">
        <f t="shared" si="15"/>
        <v>156227253.32999998</v>
      </c>
      <c r="N47" s="60">
        <f t="shared" si="15"/>
        <v>160639994.50999999</v>
      </c>
      <c r="O47" s="60">
        <f t="shared" si="15"/>
        <v>155391304.29999998</v>
      </c>
      <c r="P47" s="60">
        <f t="shared" si="15"/>
        <v>156254478.34</v>
      </c>
      <c r="Q47" s="60">
        <f t="shared" si="15"/>
        <v>167920923.38</v>
      </c>
      <c r="R47" s="60">
        <f t="shared" si="15"/>
        <v>167261473.95000002</v>
      </c>
      <c r="S47" s="60">
        <f t="shared" si="15"/>
        <v>160251806.5</v>
      </c>
      <c r="T47" s="60">
        <f t="shared" si="15"/>
        <v>163290226.66999999</v>
      </c>
      <c r="U47" s="60">
        <f t="shared" si="15"/>
        <v>162828782.66999999</v>
      </c>
      <c r="V47" s="60">
        <f t="shared" si="15"/>
        <v>164676290.87</v>
      </c>
      <c r="W47" s="60">
        <f t="shared" si="15"/>
        <v>0</v>
      </c>
      <c r="X47" s="60">
        <f t="shared" si="15"/>
        <v>0</v>
      </c>
      <c r="Y47" s="60">
        <f t="shared" si="15"/>
        <v>0</v>
      </c>
      <c r="Z47" s="60">
        <f t="shared" si="15"/>
        <v>0</v>
      </c>
      <c r="AA47" s="60">
        <f t="shared" ref="AA47:AH47" si="16">AA46+AA36</f>
        <v>169922033.34999999</v>
      </c>
      <c r="AB47" s="60">
        <f t="shared" si="16"/>
        <v>163213908.5</v>
      </c>
      <c r="AC47" s="60">
        <f t="shared" si="16"/>
        <v>164446234.06999999</v>
      </c>
      <c r="AD47" s="60">
        <f t="shared" si="16"/>
        <v>180337417.72</v>
      </c>
      <c r="AE47" s="60">
        <f t="shared" si="16"/>
        <v>172510496.63999999</v>
      </c>
      <c r="AF47" s="60">
        <f t="shared" si="16"/>
        <v>168382502.82999998</v>
      </c>
      <c r="AG47" s="60">
        <f t="shared" si="16"/>
        <v>171764060.05000001</v>
      </c>
      <c r="AH47" s="60">
        <f t="shared" si="16"/>
        <v>171906401.25999999</v>
      </c>
    </row>
    <row r="48" spans="1:34">
      <c r="B48" s="6">
        <f>B47-B25</f>
        <v>23</v>
      </c>
      <c r="C48" s="6">
        <f t="shared" ref="C48:N48" si="17">C47-C25</f>
        <v>0</v>
      </c>
      <c r="D48" s="6">
        <f t="shared" si="17"/>
        <v>0</v>
      </c>
      <c r="E48" s="6">
        <f t="shared" si="17"/>
        <v>0</v>
      </c>
      <c r="F48" s="6">
        <f t="shared" si="17"/>
        <v>0</v>
      </c>
      <c r="G48" s="6">
        <f t="shared" si="17"/>
        <v>0</v>
      </c>
      <c r="H48" s="6">
        <f t="shared" si="17"/>
        <v>0</v>
      </c>
      <c r="I48" s="6">
        <f t="shared" si="17"/>
        <v>0</v>
      </c>
      <c r="J48" s="6">
        <f t="shared" si="17"/>
        <v>0</v>
      </c>
      <c r="K48" s="6">
        <f t="shared" si="17"/>
        <v>0</v>
      </c>
      <c r="L48" s="6">
        <f t="shared" si="17"/>
        <v>0</v>
      </c>
      <c r="M48" s="6">
        <f t="shared" si="17"/>
        <v>-4412741</v>
      </c>
      <c r="N48" s="6">
        <f t="shared" si="17"/>
        <v>0</v>
      </c>
    </row>
    <row r="49" spans="27:27">
      <c r="AA49" s="6"/>
    </row>
  </sheetData>
  <conditionalFormatting sqref="B16 B3:AH3 B7:AH7 B12:AH12 B15:AH15 A19:AH19 B25:AH25 B29:AH29 B36:AH36 B46:AH47">
    <cfRule type="notContainsBlanks" dxfId="40" priority="144">
      <formula>LEN(TRIM(A3))&gt;0</formula>
    </cfRule>
  </conditionalFormatting>
  <conditionalFormatting sqref="B16 B3:AH3 B7:AH7 B12:AH12 B15:AH15 A19:AH19 B25:AH25 B29:AH29 B36:AH36 B46:AH47">
    <cfRule type="cellIs" dxfId="39" priority="140" operator="lessThan">
      <formula>0</formula>
    </cfRule>
  </conditionalFormatting>
  <conditionalFormatting sqref="A25">
    <cfRule type="notContainsBlanks" dxfId="38" priority="20">
      <formula>LEN(TRIM(A25))&gt;0</formula>
    </cfRule>
  </conditionalFormatting>
  <conditionalFormatting sqref="A25">
    <cfRule type="cellIs" dxfId="37" priority="19" operator="lessThan">
      <formula>0</formula>
    </cfRule>
  </conditionalFormatting>
  <conditionalFormatting sqref="A4:B4">
    <cfRule type="notContainsBlanks" dxfId="36" priority="18">
      <formula>LEN(TRIM(A4))&gt;0</formula>
    </cfRule>
  </conditionalFormatting>
  <conditionalFormatting sqref="A4:B4">
    <cfRule type="cellIs" dxfId="35" priority="17" operator="lessThan">
      <formula>0</formula>
    </cfRule>
  </conditionalFormatting>
  <conditionalFormatting sqref="A7">
    <cfRule type="notContainsBlanks" dxfId="34" priority="16">
      <formula>LEN(TRIM(A7))&gt;0</formula>
    </cfRule>
  </conditionalFormatting>
  <conditionalFormatting sqref="A7">
    <cfRule type="cellIs" dxfId="33" priority="15" operator="lessThan">
      <formula>0</formula>
    </cfRule>
  </conditionalFormatting>
  <conditionalFormatting sqref="A12">
    <cfRule type="notContainsBlanks" dxfId="32" priority="14">
      <formula>LEN(TRIM(A12))&gt;0</formula>
    </cfRule>
  </conditionalFormatting>
  <conditionalFormatting sqref="A12">
    <cfRule type="cellIs" dxfId="31" priority="13" operator="lessThan">
      <formula>0</formula>
    </cfRule>
  </conditionalFormatting>
  <conditionalFormatting sqref="A15">
    <cfRule type="notContainsBlanks" dxfId="30" priority="12">
      <formula>LEN(TRIM(A15))&gt;0</formula>
    </cfRule>
  </conditionalFormatting>
  <conditionalFormatting sqref="A15">
    <cfRule type="cellIs" dxfId="29" priority="11" operator="lessThan">
      <formula>0</formula>
    </cfRule>
  </conditionalFormatting>
  <conditionalFormatting sqref="A29">
    <cfRule type="notContainsBlanks" dxfId="28" priority="8">
      <formula>LEN(TRIM(A29))&gt;0</formula>
    </cfRule>
  </conditionalFormatting>
  <conditionalFormatting sqref="A29">
    <cfRule type="cellIs" dxfId="27" priority="7" operator="lessThan">
      <formula>0</formula>
    </cfRule>
  </conditionalFormatting>
  <conditionalFormatting sqref="A36">
    <cfRule type="notContainsBlanks" dxfId="26" priority="6">
      <formula>LEN(TRIM(A36))&gt;0</formula>
    </cfRule>
  </conditionalFormatting>
  <conditionalFormatting sqref="A36">
    <cfRule type="cellIs" dxfId="25" priority="5" operator="lessThan">
      <formula>0</formula>
    </cfRule>
  </conditionalFormatting>
  <printOptions horizontalCentered="1" verticalCentere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37"/>
  <sheetViews>
    <sheetView zoomScale="90" zoomScaleNormal="90" workbookViewId="0">
      <pane xSplit="1" ySplit="2" topLeftCell="V18" activePane="bottomRight" state="frozen"/>
      <selection pane="bottomRight" activeCell="AH24" sqref="AH24"/>
      <selection pane="bottomLeft" activeCell="A2" sqref="A2"/>
      <selection pane="topRight" activeCell="B1" sqref="B1"/>
    </sheetView>
  </sheetViews>
  <sheetFormatPr defaultColWidth="9.140625" defaultRowHeight="15.6"/>
  <cols>
    <col min="1" max="1" width="38.7109375" style="31" customWidth="1"/>
    <col min="2" max="2" width="22.85546875" style="31" customWidth="1"/>
    <col min="3" max="3" width="14.7109375" style="31" hidden="1" customWidth="1"/>
    <col min="4" max="4" width="15.85546875" style="31" hidden="1" customWidth="1"/>
    <col min="5" max="5" width="15.85546875" style="31" customWidth="1"/>
    <col min="6" max="10" width="15.85546875" style="31" hidden="1" customWidth="1"/>
    <col min="11" max="12" width="15" style="31" hidden="1" customWidth="1"/>
    <col min="13" max="13" width="16.140625" style="31" hidden="1" customWidth="1"/>
    <col min="14" max="14" width="16.5703125" style="31" hidden="1" customWidth="1"/>
    <col min="15" max="15" width="15" style="31" customWidth="1"/>
    <col min="16" max="17" width="14.28515625" style="31" bestFit="1" customWidth="1"/>
    <col min="18" max="18" width="19.5703125" style="31" customWidth="1"/>
    <col min="19" max="19" width="15.140625" style="31" bestFit="1" customWidth="1"/>
    <col min="20" max="20" width="17.7109375" style="31" customWidth="1"/>
    <col min="21" max="21" width="15.140625" style="31" customWidth="1"/>
    <col min="22" max="22" width="16.7109375" style="31" customWidth="1"/>
    <col min="23" max="23" width="14" style="31" hidden="1" customWidth="1"/>
    <col min="24" max="24" width="12" style="31" hidden="1" customWidth="1"/>
    <col min="25" max="25" width="14.140625" style="31" hidden="1" customWidth="1"/>
    <col min="26" max="26" width="9.42578125" style="31" hidden="1" customWidth="1"/>
    <col min="27" max="27" width="15.5703125" style="31" bestFit="1" customWidth="1"/>
    <col min="28" max="28" width="20.140625" style="31" bestFit="1" customWidth="1"/>
    <col min="29" max="30" width="19.28515625" style="31" bestFit="1" customWidth="1"/>
    <col min="31" max="31" width="16.85546875" style="31" bestFit="1" customWidth="1"/>
    <col min="32" max="32" width="20" style="31" bestFit="1" customWidth="1"/>
    <col min="33" max="34" width="19.28515625" style="31" bestFit="1" customWidth="1"/>
    <col min="35" max="35" width="9.140625" style="31"/>
    <col min="36" max="36" width="14.5703125" style="31" bestFit="1" customWidth="1"/>
    <col min="37" max="16384" width="9.140625" style="31"/>
  </cols>
  <sheetData>
    <row r="2" spans="1:34" s="29" customFormat="1">
      <c r="A2" s="61"/>
      <c r="B2" s="27" t="s">
        <v>1</v>
      </c>
      <c r="C2" s="28">
        <v>43831</v>
      </c>
      <c r="D2" s="28">
        <v>43862</v>
      </c>
      <c r="E2" s="28">
        <v>43891</v>
      </c>
      <c r="F2" s="28">
        <v>43922</v>
      </c>
      <c r="G2" s="28">
        <v>43952</v>
      </c>
      <c r="H2" s="28">
        <v>43983</v>
      </c>
      <c r="I2" s="28">
        <v>44044</v>
      </c>
      <c r="J2" s="28">
        <v>44075</v>
      </c>
      <c r="K2" s="28">
        <v>44105</v>
      </c>
      <c r="L2" s="28">
        <v>44136</v>
      </c>
      <c r="M2" s="28">
        <v>44166</v>
      </c>
      <c r="N2" s="28" t="s">
        <v>2</v>
      </c>
      <c r="O2" s="28">
        <v>44217</v>
      </c>
      <c r="P2" s="28">
        <v>44248</v>
      </c>
      <c r="Q2" s="28">
        <v>44276</v>
      </c>
      <c r="R2" s="28">
        <v>44307</v>
      </c>
      <c r="S2" s="28">
        <v>44337</v>
      </c>
      <c r="T2" s="28">
        <v>44368</v>
      </c>
      <c r="U2" s="28">
        <v>44398</v>
      </c>
      <c r="V2" s="28">
        <v>44429</v>
      </c>
      <c r="W2" s="28">
        <v>44460</v>
      </c>
      <c r="X2" s="28">
        <v>44490</v>
      </c>
      <c r="Y2" s="28">
        <v>44521</v>
      </c>
      <c r="Z2" s="28">
        <v>44551</v>
      </c>
      <c r="AA2" s="29" t="s">
        <v>49</v>
      </c>
      <c r="AB2" s="23">
        <v>44562</v>
      </c>
      <c r="AC2" s="23">
        <v>44593</v>
      </c>
      <c r="AD2" s="23">
        <v>44621</v>
      </c>
      <c r="AE2" s="23">
        <v>44652</v>
      </c>
      <c r="AF2" s="23">
        <v>44682</v>
      </c>
      <c r="AG2" s="23">
        <v>44713</v>
      </c>
      <c r="AH2" s="23">
        <v>44743</v>
      </c>
    </row>
    <row r="3" spans="1:34">
      <c r="A3" s="30" t="s">
        <v>50</v>
      </c>
      <c r="B3" s="62">
        <f t="shared" ref="B3" si="0">B7+B4</f>
        <v>12051863.800000001</v>
      </c>
      <c r="C3" s="62">
        <f t="shared" ref="C3:H3" si="1">C7+C4</f>
        <v>874366</v>
      </c>
      <c r="D3" s="62">
        <f t="shared" si="1"/>
        <v>2141137</v>
      </c>
      <c r="E3" s="62">
        <f t="shared" si="1"/>
        <v>2798444</v>
      </c>
      <c r="F3" s="62">
        <f t="shared" si="1"/>
        <v>3322700</v>
      </c>
      <c r="G3" s="62">
        <f t="shared" si="1"/>
        <v>4166431</v>
      </c>
      <c r="H3" s="62">
        <f t="shared" si="1"/>
        <v>5920494</v>
      </c>
      <c r="I3" s="62">
        <f t="shared" ref="I3:Z3" si="2">I7+I4</f>
        <v>8466868.3200000003</v>
      </c>
      <c r="J3" s="62">
        <f t="shared" si="2"/>
        <v>9495478.2599999998</v>
      </c>
      <c r="K3" s="62">
        <f t="shared" si="2"/>
        <v>10301967.530000001</v>
      </c>
      <c r="L3" s="62">
        <f t="shared" si="2"/>
        <v>11557846.720000001</v>
      </c>
      <c r="M3" s="62">
        <f t="shared" si="2"/>
        <v>12169511.75</v>
      </c>
      <c r="N3" s="62">
        <f t="shared" si="2"/>
        <v>14926525.969999999</v>
      </c>
      <c r="O3" s="62">
        <f t="shared" si="2"/>
        <v>1041308.04</v>
      </c>
      <c r="P3" s="62">
        <f t="shared" si="2"/>
        <v>2268833.9500000002</v>
      </c>
      <c r="Q3" s="62">
        <f t="shared" si="2"/>
        <v>3667211.41</v>
      </c>
      <c r="R3" s="62">
        <f t="shared" si="2"/>
        <v>5082885.9700000007</v>
      </c>
      <c r="S3" s="62">
        <f t="shared" si="2"/>
        <v>6425505.0999999996</v>
      </c>
      <c r="T3" s="62">
        <f t="shared" si="2"/>
        <v>7853873</v>
      </c>
      <c r="U3" s="62">
        <f t="shared" si="2"/>
        <v>9158805.1400000006</v>
      </c>
      <c r="V3" s="62">
        <f t="shared" si="2"/>
        <v>10677619.17</v>
      </c>
      <c r="W3" s="62">
        <f t="shared" si="2"/>
        <v>0</v>
      </c>
      <c r="X3" s="62">
        <f t="shared" si="2"/>
        <v>0</v>
      </c>
      <c r="Y3" s="62">
        <f t="shared" si="2"/>
        <v>0</v>
      </c>
      <c r="Z3" s="62">
        <f t="shared" si="2"/>
        <v>0</v>
      </c>
      <c r="AA3" s="62">
        <f t="shared" ref="AA3:AH3" si="3">AA7+AA4</f>
        <v>17086630.91</v>
      </c>
      <c r="AB3" s="62">
        <f t="shared" si="3"/>
        <v>1232256.92</v>
      </c>
      <c r="AC3" s="62">
        <f t="shared" si="3"/>
        <v>2774061.16</v>
      </c>
      <c r="AD3" s="62">
        <f t="shared" si="3"/>
        <v>4567543.0999999996</v>
      </c>
      <c r="AE3" s="62">
        <f t="shared" si="3"/>
        <v>5859365.7300000004</v>
      </c>
      <c r="AF3" s="62">
        <f t="shared" si="3"/>
        <v>6817801.6899999995</v>
      </c>
      <c r="AG3" s="62">
        <f t="shared" si="3"/>
        <v>8691697.9100000001</v>
      </c>
      <c r="AH3" s="62">
        <f t="shared" si="3"/>
        <v>10126204.539999999</v>
      </c>
    </row>
    <row r="4" spans="1:34">
      <c r="A4" s="30" t="s">
        <v>51</v>
      </c>
      <c r="B4" s="62">
        <f t="shared" ref="B4" si="4">B5+B6</f>
        <v>7965837</v>
      </c>
      <c r="C4" s="62">
        <f t="shared" ref="C4:H4" si="5">C5+C6</f>
        <v>761226</v>
      </c>
      <c r="D4" s="62">
        <f t="shared" si="5"/>
        <v>1914857</v>
      </c>
      <c r="E4" s="62">
        <f t="shared" si="5"/>
        <v>2459024</v>
      </c>
      <c r="F4" s="62">
        <f t="shared" si="5"/>
        <v>2870140</v>
      </c>
      <c r="G4" s="62">
        <f t="shared" si="5"/>
        <v>3600731</v>
      </c>
      <c r="H4" s="62">
        <f t="shared" si="5"/>
        <v>5285654</v>
      </c>
      <c r="I4" s="62">
        <f t="shared" ref="I4:Z4" si="6">I5+I6</f>
        <v>7609748.3200000003</v>
      </c>
      <c r="J4" s="62">
        <f t="shared" si="6"/>
        <v>8534218.2599999998</v>
      </c>
      <c r="K4" s="62">
        <f t="shared" si="6"/>
        <v>9236567.5300000012</v>
      </c>
      <c r="L4" s="62">
        <f t="shared" si="6"/>
        <v>10394306.720000001</v>
      </c>
      <c r="M4" s="62">
        <f t="shared" si="6"/>
        <v>11260698.75</v>
      </c>
      <c r="N4" s="62">
        <f t="shared" si="6"/>
        <v>10535391.35</v>
      </c>
      <c r="O4" s="62">
        <f t="shared" si="6"/>
        <v>726504.79</v>
      </c>
      <c r="P4" s="62">
        <f t="shared" si="6"/>
        <v>1669272</v>
      </c>
      <c r="Q4" s="62">
        <f t="shared" si="6"/>
        <v>2619230.11</v>
      </c>
      <c r="R4" s="62">
        <f t="shared" si="6"/>
        <v>3670772.1</v>
      </c>
      <c r="S4" s="62">
        <f t="shared" si="6"/>
        <v>4667469.08</v>
      </c>
      <c r="T4" s="62">
        <f t="shared" si="6"/>
        <v>5721933.5999999996</v>
      </c>
      <c r="U4" s="62">
        <f t="shared" si="6"/>
        <v>6650970.1299999999</v>
      </c>
      <c r="V4" s="62">
        <f t="shared" si="6"/>
        <v>7823830.2999999998</v>
      </c>
      <c r="W4" s="62">
        <f t="shared" si="6"/>
        <v>0</v>
      </c>
      <c r="X4" s="62">
        <f t="shared" si="6"/>
        <v>0</v>
      </c>
      <c r="Y4" s="62">
        <f t="shared" si="6"/>
        <v>0</v>
      </c>
      <c r="Z4" s="62">
        <f t="shared" si="6"/>
        <v>0</v>
      </c>
      <c r="AA4" s="62">
        <f t="shared" ref="AA4:AH4" si="7">AA5+AA6</f>
        <v>15972154.91</v>
      </c>
      <c r="AB4" s="62">
        <f t="shared" si="7"/>
        <v>863875.47</v>
      </c>
      <c r="AC4" s="62">
        <f t="shared" si="7"/>
        <v>1998200.84</v>
      </c>
      <c r="AD4" s="62">
        <f t="shared" si="7"/>
        <v>3224012.1</v>
      </c>
      <c r="AE4" s="62">
        <f t="shared" si="7"/>
        <v>4117980.79</v>
      </c>
      <c r="AF4" s="62">
        <f t="shared" si="7"/>
        <v>4706913.8099999996</v>
      </c>
      <c r="AG4" s="62">
        <f t="shared" si="7"/>
        <v>6176462.7699999996</v>
      </c>
      <c r="AH4" s="62">
        <f t="shared" si="7"/>
        <v>7241804.0899999999</v>
      </c>
    </row>
    <row r="5" spans="1:34">
      <c r="A5" s="31" t="s">
        <v>52</v>
      </c>
      <c r="B5" s="32">
        <v>7965837</v>
      </c>
      <c r="C5" s="63">
        <v>674356</v>
      </c>
      <c r="D5" s="63">
        <v>1801930</v>
      </c>
      <c r="E5" s="63">
        <v>2295366</v>
      </c>
      <c r="F5" s="63">
        <v>2632389</v>
      </c>
      <c r="G5" s="63">
        <v>3285850</v>
      </c>
      <c r="H5" s="63">
        <v>4924390</v>
      </c>
      <c r="I5" s="63">
        <v>7088437.9199999999</v>
      </c>
      <c r="J5" s="63">
        <v>7962433.8600000003</v>
      </c>
      <c r="K5" s="32">
        <v>8614878.1300000008</v>
      </c>
      <c r="L5" s="32">
        <v>9714049.3200000003</v>
      </c>
      <c r="M5" s="32">
        <v>10535391.35</v>
      </c>
      <c r="N5" s="32">
        <v>10535391.35</v>
      </c>
      <c r="O5" s="33">
        <v>637890.79</v>
      </c>
      <c r="P5" s="33">
        <v>1542089.5</v>
      </c>
      <c r="Q5" s="33">
        <v>2452303.61</v>
      </c>
      <c r="R5" s="33">
        <v>3394936.1</v>
      </c>
      <c r="S5" s="42">
        <v>4321940.58</v>
      </c>
      <c r="T5" s="47">
        <v>5311546.0999999996</v>
      </c>
      <c r="U5" s="47">
        <v>6131679.6299999999</v>
      </c>
      <c r="V5" s="47">
        <v>7261916.7999999998</v>
      </c>
      <c r="AA5" s="53">
        <v>11716503.76</v>
      </c>
      <c r="AB5" s="65">
        <v>841848.47</v>
      </c>
      <c r="AC5" s="65">
        <v>1998200.84</v>
      </c>
      <c r="AD5" s="65">
        <v>3117643.1</v>
      </c>
      <c r="AE5" s="65">
        <v>3948174.79</v>
      </c>
      <c r="AF5" s="65">
        <v>4490825.8099999996</v>
      </c>
      <c r="AG5" s="65">
        <v>5900392.7699999996</v>
      </c>
      <c r="AH5" s="65">
        <v>6895856.0899999999</v>
      </c>
    </row>
    <row r="6" spans="1:34">
      <c r="A6" s="31" t="s">
        <v>53</v>
      </c>
      <c r="B6" s="32"/>
      <c r="C6" s="34">
        <v>86870</v>
      </c>
      <c r="D6" s="34">
        <v>112927</v>
      </c>
      <c r="E6" s="34">
        <v>163658</v>
      </c>
      <c r="F6" s="34">
        <v>237751</v>
      </c>
      <c r="G6" s="34">
        <v>314881</v>
      </c>
      <c r="H6" s="34">
        <v>361264</v>
      </c>
      <c r="I6" s="34">
        <v>521310.4</v>
      </c>
      <c r="J6" s="34">
        <v>571784.4</v>
      </c>
      <c r="K6" s="32">
        <v>621689.4</v>
      </c>
      <c r="L6" s="32">
        <v>680257.4</v>
      </c>
      <c r="M6" s="32">
        <v>725307.4</v>
      </c>
      <c r="N6" s="32"/>
      <c r="O6" s="33">
        <v>88614</v>
      </c>
      <c r="P6" s="33">
        <v>127182.5</v>
      </c>
      <c r="Q6" s="33">
        <v>166926.5</v>
      </c>
      <c r="R6" s="33">
        <v>275836</v>
      </c>
      <c r="S6" s="42">
        <v>345528.5</v>
      </c>
      <c r="T6" s="47">
        <v>410387.5</v>
      </c>
      <c r="U6" s="47">
        <v>519290.5</v>
      </c>
      <c r="V6" s="47">
        <v>561913.5</v>
      </c>
      <c r="AA6" s="53">
        <v>4255651.1500000004</v>
      </c>
      <c r="AB6" s="65">
        <v>22027</v>
      </c>
      <c r="AC6" s="65">
        <v>0</v>
      </c>
      <c r="AD6" s="65">
        <v>106369</v>
      </c>
      <c r="AE6" s="65">
        <v>169806</v>
      </c>
      <c r="AF6" s="65">
        <v>216088</v>
      </c>
      <c r="AG6" s="65">
        <v>276070</v>
      </c>
      <c r="AH6" s="65">
        <v>345948</v>
      </c>
    </row>
    <row r="7" spans="1:34">
      <c r="A7" s="30" t="s">
        <v>54</v>
      </c>
      <c r="B7" s="62">
        <f t="shared" ref="B7:AH7" si="8">SUM(B8:B11)</f>
        <v>4086026.8</v>
      </c>
      <c r="C7" s="62">
        <f t="shared" si="8"/>
        <v>113140</v>
      </c>
      <c r="D7" s="62">
        <f t="shared" si="8"/>
        <v>226280</v>
      </c>
      <c r="E7" s="62">
        <f t="shared" si="8"/>
        <v>339420</v>
      </c>
      <c r="F7" s="62">
        <f t="shared" si="8"/>
        <v>452560</v>
      </c>
      <c r="G7" s="62">
        <f t="shared" si="8"/>
        <v>565700</v>
      </c>
      <c r="H7" s="62">
        <f t="shared" si="8"/>
        <v>634840</v>
      </c>
      <c r="I7" s="62">
        <f t="shared" si="8"/>
        <v>857120</v>
      </c>
      <c r="J7" s="62">
        <f t="shared" si="8"/>
        <v>961260</v>
      </c>
      <c r="K7" s="62">
        <f t="shared" si="8"/>
        <v>1065400</v>
      </c>
      <c r="L7" s="62">
        <f t="shared" si="8"/>
        <v>1163540</v>
      </c>
      <c r="M7" s="62">
        <f t="shared" si="8"/>
        <v>908813</v>
      </c>
      <c r="N7" s="62">
        <f t="shared" si="8"/>
        <v>4391134.62</v>
      </c>
      <c r="O7" s="62">
        <f t="shared" si="8"/>
        <v>314803.25</v>
      </c>
      <c r="P7" s="62">
        <f t="shared" si="8"/>
        <v>599561.94999999995</v>
      </c>
      <c r="Q7" s="62">
        <f t="shared" si="8"/>
        <v>1047981.3</v>
      </c>
      <c r="R7" s="62">
        <f t="shared" si="8"/>
        <v>1412113.87</v>
      </c>
      <c r="S7" s="62">
        <f t="shared" si="8"/>
        <v>1758036.02</v>
      </c>
      <c r="T7" s="62">
        <f t="shared" si="8"/>
        <v>2131939.4</v>
      </c>
      <c r="U7" s="62">
        <f t="shared" si="8"/>
        <v>2507835.0099999998</v>
      </c>
      <c r="V7" s="62">
        <f t="shared" si="8"/>
        <v>2853788.87</v>
      </c>
      <c r="W7" s="62">
        <f t="shared" si="8"/>
        <v>0</v>
      </c>
      <c r="X7" s="62">
        <f t="shared" si="8"/>
        <v>0</v>
      </c>
      <c r="Y7" s="62">
        <f t="shared" si="8"/>
        <v>0</v>
      </c>
      <c r="Z7" s="62">
        <f t="shared" si="8"/>
        <v>0</v>
      </c>
      <c r="AA7" s="62">
        <f t="shared" si="8"/>
        <v>1114476</v>
      </c>
      <c r="AB7" s="62">
        <f t="shared" si="8"/>
        <v>368381.45</v>
      </c>
      <c r="AC7" s="62">
        <f t="shared" si="8"/>
        <v>775860.32</v>
      </c>
      <c r="AD7" s="62">
        <f t="shared" si="8"/>
        <v>1343531</v>
      </c>
      <c r="AE7" s="62">
        <f t="shared" si="8"/>
        <v>1741384.94</v>
      </c>
      <c r="AF7" s="62">
        <f t="shared" si="8"/>
        <v>2110887.88</v>
      </c>
      <c r="AG7" s="62">
        <f t="shared" si="8"/>
        <v>2515235.1399999997</v>
      </c>
      <c r="AH7" s="62">
        <f t="shared" si="8"/>
        <v>2884400.45</v>
      </c>
    </row>
    <row r="8" spans="1:34">
      <c r="A8" s="31" t="s">
        <v>55</v>
      </c>
      <c r="B8" s="32"/>
      <c r="K8" s="32"/>
      <c r="L8" s="32"/>
      <c r="M8" s="32"/>
      <c r="N8" s="32"/>
      <c r="O8" s="33">
        <v>0</v>
      </c>
      <c r="P8" s="33">
        <v>0</v>
      </c>
      <c r="Q8" s="33">
        <v>0</v>
      </c>
      <c r="R8" s="33">
        <v>0</v>
      </c>
      <c r="S8" s="42">
        <v>0</v>
      </c>
      <c r="T8" s="47">
        <v>0</v>
      </c>
      <c r="U8" s="47">
        <v>0</v>
      </c>
      <c r="V8" s="47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</row>
    <row r="9" spans="1:34">
      <c r="A9" s="31" t="s">
        <v>56</v>
      </c>
      <c r="B9" s="32"/>
      <c r="K9" s="32"/>
      <c r="L9" s="32"/>
      <c r="M9" s="32"/>
      <c r="N9" s="32"/>
      <c r="O9" s="33">
        <v>0</v>
      </c>
      <c r="P9" s="33">
        <v>0</v>
      </c>
      <c r="Q9" s="33">
        <v>0</v>
      </c>
      <c r="R9" s="33">
        <v>0</v>
      </c>
      <c r="S9" s="42">
        <v>0</v>
      </c>
      <c r="T9" s="47">
        <v>0</v>
      </c>
      <c r="U9" s="47">
        <v>0</v>
      </c>
      <c r="V9" s="47">
        <v>0</v>
      </c>
      <c r="AA9" s="53">
        <f>4308</f>
        <v>4308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</row>
    <row r="10" spans="1:34">
      <c r="A10" s="31" t="s">
        <v>57</v>
      </c>
      <c r="B10" s="32"/>
      <c r="C10" s="31">
        <v>113140</v>
      </c>
      <c r="D10" s="31">
        <v>226280</v>
      </c>
      <c r="E10" s="31">
        <v>339420</v>
      </c>
      <c r="F10" s="31">
        <v>452560</v>
      </c>
      <c r="G10" s="31">
        <v>565700</v>
      </c>
      <c r="H10" s="31">
        <v>634840</v>
      </c>
      <c r="I10" s="31">
        <v>857120</v>
      </c>
      <c r="J10" s="31">
        <v>961260</v>
      </c>
      <c r="K10" s="32">
        <v>1065400</v>
      </c>
      <c r="L10" s="32">
        <v>1163540</v>
      </c>
      <c r="M10" s="32">
        <v>908813</v>
      </c>
      <c r="N10" s="32"/>
      <c r="O10" s="33">
        <v>101140</v>
      </c>
      <c r="P10" s="33">
        <v>213780</v>
      </c>
      <c r="Q10" s="33">
        <v>329420</v>
      </c>
      <c r="R10" s="45">
        <v>448060</v>
      </c>
      <c r="S10" s="46">
        <v>563700</v>
      </c>
      <c r="T10" s="47">
        <v>685340</v>
      </c>
      <c r="U10" s="47">
        <v>806980</v>
      </c>
      <c r="V10" s="47">
        <v>928620</v>
      </c>
      <c r="AA10" s="53">
        <f>1110168</f>
        <v>1110168</v>
      </c>
      <c r="AB10" s="65">
        <v>118840</v>
      </c>
      <c r="AC10" s="65">
        <v>216700</v>
      </c>
      <c r="AD10" s="65">
        <v>356520</v>
      </c>
      <c r="AE10" s="65">
        <v>475360</v>
      </c>
      <c r="AF10" s="65">
        <v>594200</v>
      </c>
      <c r="AG10" s="65">
        <v>723040</v>
      </c>
      <c r="AH10" s="65">
        <v>822180</v>
      </c>
    </row>
    <row r="11" spans="1:34">
      <c r="A11" s="31" t="s">
        <v>58</v>
      </c>
      <c r="B11" s="32">
        <v>4086026.8</v>
      </c>
      <c r="K11" s="32"/>
      <c r="L11" s="32"/>
      <c r="M11" s="32"/>
      <c r="N11" s="32">
        <v>4391134.62</v>
      </c>
      <c r="O11" s="35">
        <v>213663.25</v>
      </c>
      <c r="P11" s="35">
        <v>385781.95</v>
      </c>
      <c r="Q11" s="35">
        <v>718561.3</v>
      </c>
      <c r="R11" s="35">
        <v>964053.87</v>
      </c>
      <c r="S11" s="44">
        <v>1194336.02</v>
      </c>
      <c r="T11" s="48">
        <v>1446599.4</v>
      </c>
      <c r="U11" s="48">
        <v>1700855.01</v>
      </c>
      <c r="V11" s="48">
        <v>1925168.87</v>
      </c>
      <c r="AB11" s="66">
        <v>249541.45</v>
      </c>
      <c r="AC11" s="66">
        <v>559160.31999999995</v>
      </c>
      <c r="AD11" s="66">
        <v>987011</v>
      </c>
      <c r="AE11" s="66">
        <v>1266024.94</v>
      </c>
      <c r="AF11" s="66">
        <v>1516687.88</v>
      </c>
      <c r="AG11" s="66">
        <v>1792195.14</v>
      </c>
      <c r="AH11" s="66">
        <v>2062220.45</v>
      </c>
    </row>
    <row r="12" spans="1:34">
      <c r="A12" s="30" t="s">
        <v>59</v>
      </c>
      <c r="B12" s="36">
        <f t="shared" ref="B12:AH12" si="9">SUM(B13:B18)</f>
        <v>2425390</v>
      </c>
      <c r="C12" s="36">
        <f t="shared" si="9"/>
        <v>18708</v>
      </c>
      <c r="D12" s="36">
        <f t="shared" si="9"/>
        <v>37959</v>
      </c>
      <c r="E12" s="36">
        <f t="shared" si="9"/>
        <v>45177</v>
      </c>
      <c r="F12" s="36">
        <f t="shared" si="9"/>
        <v>53343</v>
      </c>
      <c r="G12" s="36">
        <f t="shared" si="9"/>
        <v>62403</v>
      </c>
      <c r="H12" s="36">
        <f t="shared" si="9"/>
        <v>70755</v>
      </c>
      <c r="I12" s="36">
        <f t="shared" si="9"/>
        <v>82203</v>
      </c>
      <c r="J12" s="36">
        <f t="shared" si="9"/>
        <v>117484.38</v>
      </c>
      <c r="K12" s="36">
        <f t="shared" si="9"/>
        <v>134466.38</v>
      </c>
      <c r="L12" s="36">
        <f t="shared" si="9"/>
        <v>162121.29999999999</v>
      </c>
      <c r="M12" s="36">
        <f t="shared" si="9"/>
        <v>192116.22</v>
      </c>
      <c r="N12" s="36">
        <f t="shared" si="9"/>
        <v>3692116.22</v>
      </c>
      <c r="O12" s="36">
        <f t="shared" si="9"/>
        <v>27750</v>
      </c>
      <c r="P12" s="36">
        <f t="shared" si="9"/>
        <v>54138.92</v>
      </c>
      <c r="Q12" s="36">
        <f t="shared" si="9"/>
        <v>79422.03</v>
      </c>
      <c r="R12" s="36">
        <f t="shared" si="9"/>
        <v>99403.49</v>
      </c>
      <c r="S12" s="36">
        <f t="shared" si="9"/>
        <v>107268.49</v>
      </c>
      <c r="T12" s="36">
        <f t="shared" si="9"/>
        <v>129940.94</v>
      </c>
      <c r="U12" s="36">
        <f t="shared" si="9"/>
        <v>153370.94</v>
      </c>
      <c r="V12" s="36">
        <f t="shared" si="9"/>
        <v>162227.94</v>
      </c>
      <c r="W12" s="36">
        <f t="shared" si="9"/>
        <v>0</v>
      </c>
      <c r="X12" s="36">
        <f t="shared" si="9"/>
        <v>0</v>
      </c>
      <c r="Y12" s="36">
        <f t="shared" si="9"/>
        <v>0</v>
      </c>
      <c r="Z12" s="36">
        <f t="shared" si="9"/>
        <v>0</v>
      </c>
      <c r="AA12" s="36">
        <f t="shared" si="9"/>
        <v>4422769.9400000004</v>
      </c>
      <c r="AB12" s="36">
        <f t="shared" si="9"/>
        <v>19389</v>
      </c>
      <c r="AC12" s="36">
        <f t="shared" si="9"/>
        <v>28521</v>
      </c>
      <c r="AD12" s="36">
        <f t="shared" si="9"/>
        <v>39255</v>
      </c>
      <c r="AE12" s="36">
        <f t="shared" si="9"/>
        <v>50979</v>
      </c>
      <c r="AF12" s="36">
        <f t="shared" si="9"/>
        <v>62721</v>
      </c>
      <c r="AG12" s="36">
        <f t="shared" si="9"/>
        <v>74673</v>
      </c>
      <c r="AH12" s="36">
        <f t="shared" si="9"/>
        <v>88681</v>
      </c>
    </row>
    <row r="13" spans="1:34">
      <c r="A13" s="31" t="s">
        <v>60</v>
      </c>
      <c r="B13" s="32">
        <v>2300000</v>
      </c>
      <c r="C13" s="63"/>
      <c r="D13" s="63"/>
      <c r="E13" s="63"/>
      <c r="F13" s="63"/>
      <c r="G13" s="63"/>
      <c r="H13" s="63"/>
      <c r="I13" s="63"/>
      <c r="J13" s="63"/>
      <c r="K13" s="32"/>
      <c r="L13" s="32"/>
      <c r="M13" s="32"/>
      <c r="N13" s="32">
        <v>3500000</v>
      </c>
      <c r="O13" s="33">
        <v>0</v>
      </c>
      <c r="P13" s="33">
        <v>0</v>
      </c>
      <c r="Q13" s="33">
        <v>0</v>
      </c>
      <c r="R13" s="33">
        <v>0</v>
      </c>
      <c r="S13" s="42">
        <v>0</v>
      </c>
      <c r="T13" s="47">
        <v>0</v>
      </c>
      <c r="U13" s="47">
        <v>0</v>
      </c>
      <c r="V13" s="47">
        <v>0</v>
      </c>
      <c r="AA13" s="53">
        <v>4200000</v>
      </c>
      <c r="AB13" s="65">
        <v>0</v>
      </c>
      <c r="AC13" s="65">
        <v>0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</row>
    <row r="14" spans="1:34">
      <c r="A14" s="31" t="s">
        <v>61</v>
      </c>
      <c r="B14" s="32"/>
      <c r="C14" s="63"/>
      <c r="D14" s="63"/>
      <c r="E14" s="63"/>
      <c r="F14" s="63"/>
      <c r="G14" s="63"/>
      <c r="H14" s="63"/>
      <c r="I14" s="63"/>
      <c r="J14" s="63"/>
      <c r="K14" s="32"/>
      <c r="L14" s="32"/>
      <c r="M14" s="32"/>
      <c r="N14" s="32"/>
      <c r="O14" s="33">
        <v>0</v>
      </c>
      <c r="P14" s="33">
        <v>0</v>
      </c>
      <c r="Q14" s="33">
        <v>0</v>
      </c>
      <c r="R14" s="33">
        <v>0</v>
      </c>
      <c r="S14" s="42">
        <v>0</v>
      </c>
      <c r="T14" s="47">
        <v>0</v>
      </c>
      <c r="U14" s="47">
        <v>0</v>
      </c>
      <c r="V14" s="47">
        <v>0</v>
      </c>
      <c r="AA14" s="53"/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</row>
    <row r="15" spans="1:34">
      <c r="A15" s="31" t="s">
        <v>62</v>
      </c>
      <c r="B15" s="32"/>
      <c r="C15" s="37"/>
      <c r="D15" s="37"/>
      <c r="E15" s="37"/>
      <c r="F15" s="37"/>
      <c r="G15" s="37"/>
      <c r="H15" s="37"/>
      <c r="I15" s="37"/>
      <c r="J15" s="63"/>
      <c r="K15" s="32"/>
      <c r="L15" s="32"/>
      <c r="M15" s="32"/>
      <c r="N15" s="32"/>
      <c r="O15" s="33">
        <v>0</v>
      </c>
      <c r="P15" s="33">
        <v>0</v>
      </c>
      <c r="Q15" s="33">
        <v>0</v>
      </c>
      <c r="R15" s="33">
        <v>0</v>
      </c>
      <c r="S15" s="42">
        <v>0</v>
      </c>
      <c r="T15" s="47">
        <v>0</v>
      </c>
      <c r="U15" s="47">
        <v>0</v>
      </c>
      <c r="V15" s="47">
        <v>0</v>
      </c>
      <c r="AA15" s="53"/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</row>
    <row r="16" spans="1:34">
      <c r="A16" s="31" t="s">
        <v>63</v>
      </c>
      <c r="B16" s="32">
        <v>125390</v>
      </c>
      <c r="C16" s="63">
        <v>18708</v>
      </c>
      <c r="D16" s="63">
        <v>37959</v>
      </c>
      <c r="E16" s="63">
        <v>45177</v>
      </c>
      <c r="F16" s="63">
        <v>53343</v>
      </c>
      <c r="G16" s="63">
        <v>62403</v>
      </c>
      <c r="H16" s="63">
        <v>70755</v>
      </c>
      <c r="I16" s="63">
        <v>82203</v>
      </c>
      <c r="J16" s="63">
        <v>117484.38</v>
      </c>
      <c r="K16" s="32">
        <v>134466.38</v>
      </c>
      <c r="L16" s="32">
        <v>162121.29999999999</v>
      </c>
      <c r="M16" s="32">
        <v>192116.22</v>
      </c>
      <c r="N16" s="32">
        <v>192116.22</v>
      </c>
      <c r="O16" s="33">
        <v>27750</v>
      </c>
      <c r="P16" s="33">
        <v>54138.92</v>
      </c>
      <c r="Q16" s="33">
        <v>79422.03</v>
      </c>
      <c r="R16" s="33">
        <v>99403.49</v>
      </c>
      <c r="S16" s="42">
        <v>107268.49</v>
      </c>
      <c r="T16" s="47">
        <v>129940.94</v>
      </c>
      <c r="U16" s="47">
        <v>153370.94</v>
      </c>
      <c r="V16" s="47">
        <v>162227.94</v>
      </c>
      <c r="AA16" s="53">
        <v>222769.94</v>
      </c>
      <c r="AB16" s="65">
        <v>19389</v>
      </c>
      <c r="AC16" s="65">
        <v>28521</v>
      </c>
      <c r="AD16" s="65">
        <v>39255</v>
      </c>
      <c r="AE16" s="65">
        <v>50979</v>
      </c>
      <c r="AF16" s="65">
        <v>62721</v>
      </c>
      <c r="AG16" s="65">
        <v>74673</v>
      </c>
      <c r="AH16" s="65">
        <v>88681</v>
      </c>
    </row>
    <row r="17" spans="1:36">
      <c r="A17" s="31" t="s">
        <v>64</v>
      </c>
      <c r="B17" s="32"/>
      <c r="K17" s="32"/>
      <c r="L17" s="32"/>
      <c r="M17" s="32"/>
      <c r="N17" s="32"/>
      <c r="O17" s="33">
        <v>0</v>
      </c>
      <c r="P17" s="33">
        <v>0</v>
      </c>
      <c r="Q17" s="33">
        <v>0</v>
      </c>
      <c r="R17" s="33">
        <v>0</v>
      </c>
      <c r="S17" s="42">
        <v>0</v>
      </c>
      <c r="T17" s="47">
        <v>0</v>
      </c>
      <c r="U17" s="47">
        <v>0</v>
      </c>
      <c r="V17" s="47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</row>
    <row r="18" spans="1:36">
      <c r="A18" s="31" t="s">
        <v>65</v>
      </c>
      <c r="B18" s="32"/>
      <c r="K18" s="32"/>
      <c r="L18" s="32"/>
      <c r="M18" s="32"/>
      <c r="N18" s="32"/>
      <c r="O18" s="33">
        <v>0</v>
      </c>
      <c r="P18" s="33">
        <v>0</v>
      </c>
      <c r="Q18" s="33">
        <v>0</v>
      </c>
      <c r="R18" s="33">
        <v>0</v>
      </c>
      <c r="S18" s="42">
        <v>0</v>
      </c>
      <c r="T18" s="47">
        <v>0</v>
      </c>
      <c r="U18" s="47">
        <v>0</v>
      </c>
      <c r="V18" s="47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</row>
    <row r="19" spans="1:36">
      <c r="A19" s="30" t="s">
        <v>66</v>
      </c>
      <c r="B19" s="36">
        <f t="shared" ref="B19:AH19" si="10">B3-B12</f>
        <v>9626473.8000000007</v>
      </c>
      <c r="C19" s="36">
        <f t="shared" si="10"/>
        <v>855658</v>
      </c>
      <c r="D19" s="36">
        <f t="shared" si="10"/>
        <v>2103178</v>
      </c>
      <c r="E19" s="36">
        <f t="shared" si="10"/>
        <v>2753267</v>
      </c>
      <c r="F19" s="36">
        <f t="shared" si="10"/>
        <v>3269357</v>
      </c>
      <c r="G19" s="36">
        <f t="shared" si="10"/>
        <v>4104028</v>
      </c>
      <c r="H19" s="36">
        <f t="shared" si="10"/>
        <v>5849739</v>
      </c>
      <c r="I19" s="36">
        <f t="shared" si="10"/>
        <v>8384665.3200000003</v>
      </c>
      <c r="J19" s="36">
        <f t="shared" si="10"/>
        <v>9377993.879999999</v>
      </c>
      <c r="K19" s="36">
        <f t="shared" si="10"/>
        <v>10167501.15</v>
      </c>
      <c r="L19" s="36">
        <f t="shared" si="10"/>
        <v>11395725.42</v>
      </c>
      <c r="M19" s="36">
        <f t="shared" si="10"/>
        <v>11977395.529999999</v>
      </c>
      <c r="N19" s="36">
        <f t="shared" si="10"/>
        <v>11234409.749999998</v>
      </c>
      <c r="O19" s="36">
        <f t="shared" si="10"/>
        <v>1013558.04</v>
      </c>
      <c r="P19" s="36">
        <f>P3-P12</f>
        <v>2214695.0300000003</v>
      </c>
      <c r="Q19" s="36">
        <f t="shared" si="10"/>
        <v>3587789.3800000004</v>
      </c>
      <c r="R19" s="36">
        <f t="shared" si="10"/>
        <v>4983482.4800000004</v>
      </c>
      <c r="S19" s="36">
        <f t="shared" si="10"/>
        <v>6318236.6099999994</v>
      </c>
      <c r="T19" s="36">
        <f t="shared" si="10"/>
        <v>7723932.0599999996</v>
      </c>
      <c r="U19" s="36">
        <f t="shared" si="10"/>
        <v>9005434.2000000011</v>
      </c>
      <c r="V19" s="36">
        <f t="shared" si="10"/>
        <v>10515391.23</v>
      </c>
      <c r="W19" s="36">
        <f t="shared" si="10"/>
        <v>0</v>
      </c>
      <c r="X19" s="36">
        <f t="shared" si="10"/>
        <v>0</v>
      </c>
      <c r="Y19" s="36">
        <f t="shared" si="10"/>
        <v>0</v>
      </c>
      <c r="Z19" s="36">
        <f t="shared" si="10"/>
        <v>0</v>
      </c>
      <c r="AA19" s="36">
        <f t="shared" si="10"/>
        <v>12663860.969999999</v>
      </c>
      <c r="AB19" s="36">
        <f t="shared" si="10"/>
        <v>1212867.92</v>
      </c>
      <c r="AC19" s="36">
        <f t="shared" si="10"/>
        <v>2745540.16</v>
      </c>
      <c r="AD19" s="36">
        <f t="shared" si="10"/>
        <v>4528288.0999999996</v>
      </c>
      <c r="AE19" s="36">
        <f t="shared" si="10"/>
        <v>5808386.7300000004</v>
      </c>
      <c r="AF19" s="36">
        <f t="shared" si="10"/>
        <v>6755080.6899999995</v>
      </c>
      <c r="AG19" s="36">
        <f t="shared" si="10"/>
        <v>8617024.9100000001</v>
      </c>
      <c r="AH19" s="36">
        <f t="shared" si="10"/>
        <v>10037523.539999999</v>
      </c>
    </row>
    <row r="20" spans="1:36">
      <c r="A20" s="31" t="s">
        <v>67</v>
      </c>
      <c r="B20" s="32"/>
      <c r="K20" s="32"/>
      <c r="L20" s="32"/>
      <c r="M20" s="32"/>
      <c r="N20" s="32"/>
      <c r="O20" s="35"/>
      <c r="P20" s="35"/>
      <c r="Q20" s="35"/>
      <c r="R20" s="35"/>
      <c r="AA20" s="67">
        <v>640954.54</v>
      </c>
      <c r="AB20" s="68">
        <f>AB22-AB21</f>
        <v>-78253.800000000279</v>
      </c>
      <c r="AC20" s="68">
        <f t="shared" ref="AC20:AH20" si="11">AC22-AC21</f>
        <v>285448.59999999986</v>
      </c>
      <c r="AD20" s="68">
        <f t="shared" si="11"/>
        <v>362532.59999999986</v>
      </c>
      <c r="AE20" s="68">
        <f t="shared" si="11"/>
        <v>4256.1999999997206</v>
      </c>
      <c r="AF20" s="68">
        <f t="shared" si="11"/>
        <v>-159434.80000000028</v>
      </c>
      <c r="AG20" s="68">
        <f t="shared" si="11"/>
        <v>177659.79999999981</v>
      </c>
      <c r="AH20" s="68">
        <f t="shared" si="11"/>
        <v>715774.59999999986</v>
      </c>
    </row>
    <row r="21" spans="1:36">
      <c r="A21" s="31" t="s">
        <v>68</v>
      </c>
      <c r="B21" s="32"/>
      <c r="C21" s="37">
        <v>1428233</v>
      </c>
      <c r="D21" s="37">
        <v>1527823.6</v>
      </c>
      <c r="E21" s="37">
        <v>1638778.4</v>
      </c>
      <c r="F21" s="37">
        <v>1385875.8</v>
      </c>
      <c r="G21" s="37">
        <v>1589643.6</v>
      </c>
      <c r="H21" s="37">
        <v>1634471.6</v>
      </c>
      <c r="I21" s="37">
        <v>1695937.9</v>
      </c>
      <c r="J21" s="37">
        <v>1423080.9</v>
      </c>
      <c r="K21" s="32">
        <v>1589496.3</v>
      </c>
      <c r="L21" s="32">
        <v>2005711.8</v>
      </c>
      <c r="M21" s="32">
        <v>1698090.8</v>
      </c>
      <c r="N21" s="32"/>
      <c r="O21" s="33">
        <v>1817602.4</v>
      </c>
      <c r="P21" s="33">
        <v>1874422.2</v>
      </c>
      <c r="Q21" s="33">
        <v>2024909.2</v>
      </c>
      <c r="R21" s="33">
        <v>2122222.4</v>
      </c>
      <c r="S21" s="42">
        <v>2466586.4</v>
      </c>
      <c r="T21" s="47">
        <v>2398891.2000000002</v>
      </c>
      <c r="U21" s="47">
        <v>2513841.9</v>
      </c>
      <c r="V21" s="47">
        <v>1906191.1</v>
      </c>
      <c r="AB21" s="65">
        <v>2417299.1</v>
      </c>
      <c r="AC21" s="65">
        <v>2053596.7</v>
      </c>
      <c r="AD21" s="65">
        <v>1976512.7</v>
      </c>
      <c r="AE21" s="65">
        <v>2334789.1</v>
      </c>
      <c r="AF21" s="65">
        <v>2498480.1</v>
      </c>
      <c r="AG21" s="65">
        <v>2161385.5</v>
      </c>
      <c r="AH21" s="65">
        <v>1623270.7</v>
      </c>
    </row>
    <row r="22" spans="1:36">
      <c r="A22" s="31" t="s">
        <v>69</v>
      </c>
      <c r="B22" s="32"/>
      <c r="C22" s="31">
        <v>1320577.6000000001</v>
      </c>
      <c r="D22" s="31">
        <v>1320577.6000000001</v>
      </c>
      <c r="E22" s="31">
        <v>1320577.6000000001</v>
      </c>
      <c r="F22" s="31">
        <v>1320577.6000000001</v>
      </c>
      <c r="G22" s="31">
        <v>1320577.6000000001</v>
      </c>
      <c r="H22" s="38">
        <v>1320577.6000000001</v>
      </c>
      <c r="I22" s="31">
        <v>1320577.6000000001</v>
      </c>
      <c r="J22" s="31">
        <v>1320577.6000000001</v>
      </c>
      <c r="K22" s="32">
        <v>1320577.6000000001</v>
      </c>
      <c r="L22" s="32">
        <v>1320577.6000000001</v>
      </c>
      <c r="M22" s="32">
        <v>1320577.6000000001</v>
      </c>
      <c r="N22" s="32"/>
      <c r="O22" s="33">
        <v>1698090.8</v>
      </c>
      <c r="P22" s="33">
        <v>1698090.8</v>
      </c>
      <c r="Q22" s="33">
        <v>1698090.8</v>
      </c>
      <c r="R22" s="33">
        <v>1698090.8</v>
      </c>
      <c r="S22" s="42">
        <v>1698090.8</v>
      </c>
      <c r="T22" s="47">
        <v>1698090.8</v>
      </c>
      <c r="U22" s="47">
        <v>1698090.8</v>
      </c>
      <c r="V22" s="47">
        <v>1698090.8</v>
      </c>
      <c r="AB22" s="65">
        <v>2339045.2999999998</v>
      </c>
      <c r="AC22" s="65">
        <v>2339045.2999999998</v>
      </c>
      <c r="AD22" s="65">
        <v>2339045.2999999998</v>
      </c>
      <c r="AE22" s="65">
        <v>2339045.2999999998</v>
      </c>
      <c r="AF22" s="65">
        <v>2339045.2999999998</v>
      </c>
      <c r="AG22" s="65">
        <v>2339045.2999999998</v>
      </c>
      <c r="AH22" s="65">
        <v>2339045.2999999998</v>
      </c>
    </row>
    <row r="23" spans="1:36">
      <c r="A23" s="30" t="s">
        <v>70</v>
      </c>
      <c r="B23" s="36">
        <f t="shared" ref="B23:AH23" si="12">SUM(B24:B28)</f>
        <v>7297058.6100000003</v>
      </c>
      <c r="C23" s="36">
        <f t="shared" si="12"/>
        <v>597859.91999999993</v>
      </c>
      <c r="D23" s="36">
        <f t="shared" si="12"/>
        <v>1508463.15</v>
      </c>
      <c r="E23" s="36">
        <f t="shared" si="12"/>
        <v>2110756.0700000003</v>
      </c>
      <c r="F23" s="36">
        <f t="shared" si="12"/>
        <v>2752978.9699999997</v>
      </c>
      <c r="G23" s="36">
        <f t="shared" si="12"/>
        <v>3302713.54</v>
      </c>
      <c r="H23" s="36">
        <f t="shared" si="12"/>
        <v>3854917.7800000003</v>
      </c>
      <c r="I23" s="36">
        <f t="shared" si="12"/>
        <v>5132872.0600000005</v>
      </c>
      <c r="J23" s="36">
        <f t="shared" si="12"/>
        <v>5621411.4199999999</v>
      </c>
      <c r="K23" s="36">
        <f t="shared" si="12"/>
        <v>6247790.8899999997</v>
      </c>
      <c r="L23" s="36">
        <f t="shared" si="12"/>
        <v>6904511.8100000005</v>
      </c>
      <c r="M23" s="36">
        <f t="shared" si="12"/>
        <v>7917865.0899999999</v>
      </c>
      <c r="N23" s="36">
        <f t="shared" si="12"/>
        <v>7917865.0899999999</v>
      </c>
      <c r="O23" s="36">
        <f t="shared" si="12"/>
        <v>428731.75</v>
      </c>
      <c r="P23" s="36">
        <f t="shared" si="12"/>
        <v>895458.51</v>
      </c>
      <c r="Q23" s="36">
        <f t="shared" si="12"/>
        <v>1705103.19</v>
      </c>
      <c r="R23" s="36">
        <f t="shared" si="12"/>
        <v>2552795.19</v>
      </c>
      <c r="S23" s="36">
        <f t="shared" si="12"/>
        <v>3493263.81</v>
      </c>
      <c r="T23" s="36">
        <f t="shared" si="12"/>
        <v>4089115.27</v>
      </c>
      <c r="U23" s="36">
        <f t="shared" si="12"/>
        <v>4764703.8100000005</v>
      </c>
      <c r="V23" s="36">
        <f t="shared" si="12"/>
        <v>5209556.93</v>
      </c>
      <c r="W23" s="36">
        <f t="shared" si="12"/>
        <v>0</v>
      </c>
      <c r="X23" s="36">
        <f t="shared" si="12"/>
        <v>0</v>
      </c>
      <c r="Y23" s="36">
        <f t="shared" si="12"/>
        <v>0</v>
      </c>
      <c r="Z23" s="36">
        <f t="shared" si="12"/>
        <v>0</v>
      </c>
      <c r="AA23" s="36">
        <f t="shared" si="12"/>
        <v>7442154.1500000004</v>
      </c>
      <c r="AB23" s="36">
        <f t="shared" si="12"/>
        <v>475134.32</v>
      </c>
      <c r="AC23" s="36">
        <f t="shared" si="12"/>
        <v>1369375.52</v>
      </c>
      <c r="AD23" s="36">
        <f t="shared" si="12"/>
        <v>2197422.81</v>
      </c>
      <c r="AE23" s="36">
        <f t="shared" si="12"/>
        <v>2747878.38</v>
      </c>
      <c r="AF23" s="36">
        <f t="shared" si="12"/>
        <v>3246961.29</v>
      </c>
      <c r="AG23" s="36">
        <f t="shared" si="12"/>
        <v>3847913.46</v>
      </c>
      <c r="AH23" s="36">
        <f t="shared" si="12"/>
        <v>4340847.76</v>
      </c>
    </row>
    <row r="24" spans="1:36">
      <c r="A24" s="31" t="s">
        <v>71</v>
      </c>
      <c r="B24" s="32">
        <v>3246926</v>
      </c>
      <c r="C24" s="37">
        <v>278913</v>
      </c>
      <c r="D24" s="37">
        <v>565617</v>
      </c>
      <c r="E24" s="37">
        <v>839684</v>
      </c>
      <c r="F24" s="37">
        <v>1089616</v>
      </c>
      <c r="G24" s="37">
        <v>1366411</v>
      </c>
      <c r="H24" s="37">
        <v>1630754</v>
      </c>
      <c r="I24" s="37">
        <v>2178366</v>
      </c>
      <c r="J24" s="37">
        <v>2434400</v>
      </c>
      <c r="K24" s="32">
        <v>2733818</v>
      </c>
      <c r="L24" s="32">
        <v>2955729.2</v>
      </c>
      <c r="M24" s="32">
        <v>3225576.8</v>
      </c>
      <c r="N24" s="32">
        <v>3225576.8</v>
      </c>
      <c r="O24" s="33">
        <v>239265</v>
      </c>
      <c r="P24" s="33">
        <v>354420</v>
      </c>
      <c r="Q24" s="33">
        <v>702365</v>
      </c>
      <c r="R24" s="41">
        <v>944921</v>
      </c>
      <c r="S24" s="43">
        <v>1538695.6</v>
      </c>
      <c r="T24" s="47">
        <v>1673325.6</v>
      </c>
      <c r="U24" s="47">
        <v>2064549</v>
      </c>
      <c r="V24" s="47">
        <v>2271581.6</v>
      </c>
      <c r="AA24" s="53">
        <v>3174461.15</v>
      </c>
      <c r="AB24" s="65">
        <v>253196.7</v>
      </c>
      <c r="AC24" s="65">
        <v>542120.30000000005</v>
      </c>
      <c r="AD24" s="65">
        <v>776144</v>
      </c>
      <c r="AE24" s="65">
        <v>1032362</v>
      </c>
      <c r="AF24" s="65">
        <v>1264492.3</v>
      </c>
      <c r="AG24" s="65">
        <v>1627866.9</v>
      </c>
      <c r="AH24" s="65">
        <v>1877734.6</v>
      </c>
    </row>
    <row r="25" spans="1:36">
      <c r="A25" s="31" t="s">
        <v>72</v>
      </c>
      <c r="B25" s="32">
        <v>1496224</v>
      </c>
      <c r="C25" s="63">
        <v>89400</v>
      </c>
      <c r="D25" s="63">
        <v>480973</v>
      </c>
      <c r="E25" s="63">
        <v>583753</v>
      </c>
      <c r="F25" s="63">
        <v>644603</v>
      </c>
      <c r="G25" s="63">
        <v>715083</v>
      </c>
      <c r="H25" s="63">
        <v>780543</v>
      </c>
      <c r="I25" s="63">
        <v>916678</v>
      </c>
      <c r="J25" s="63">
        <v>966153</v>
      </c>
      <c r="K25" s="32">
        <v>1035628</v>
      </c>
      <c r="L25" s="32">
        <v>1154748</v>
      </c>
      <c r="M25" s="32">
        <v>1433549</v>
      </c>
      <c r="N25" s="32">
        <v>1433549</v>
      </c>
      <c r="O25" s="33">
        <v>41300</v>
      </c>
      <c r="P25" s="33">
        <v>102300</v>
      </c>
      <c r="Q25" s="33">
        <v>354320</v>
      </c>
      <c r="R25" s="33">
        <v>500160</v>
      </c>
      <c r="S25" s="42">
        <v>613260</v>
      </c>
      <c r="T25" s="47">
        <v>784860</v>
      </c>
      <c r="U25" s="47">
        <v>881945</v>
      </c>
      <c r="V25" s="47">
        <v>953435</v>
      </c>
      <c r="AA25" s="53">
        <v>1312180</v>
      </c>
      <c r="AB25" s="65">
        <v>72300</v>
      </c>
      <c r="AC25" s="65">
        <v>206306</v>
      </c>
      <c r="AD25" s="65">
        <v>582006</v>
      </c>
      <c r="AE25" s="65">
        <v>647381</v>
      </c>
      <c r="AF25" s="65">
        <v>750286</v>
      </c>
      <c r="AG25" s="65">
        <v>808801</v>
      </c>
      <c r="AH25" s="65">
        <v>882826</v>
      </c>
    </row>
    <row r="26" spans="1:36">
      <c r="A26" s="31" t="s">
        <v>73</v>
      </c>
      <c r="B26" s="32">
        <v>176687</v>
      </c>
      <c r="C26" s="63">
        <v>6980</v>
      </c>
      <c r="D26" s="63">
        <v>23820</v>
      </c>
      <c r="E26" s="63">
        <v>34920</v>
      </c>
      <c r="F26" s="63">
        <v>47100</v>
      </c>
      <c r="G26" s="63">
        <v>69150</v>
      </c>
      <c r="H26" s="63">
        <v>76540</v>
      </c>
      <c r="I26" s="63">
        <v>153027</v>
      </c>
      <c r="J26" s="63">
        <v>163027</v>
      </c>
      <c r="K26" s="32">
        <v>181439</v>
      </c>
      <c r="L26" s="32">
        <v>196109</v>
      </c>
      <c r="M26" s="32">
        <v>210309</v>
      </c>
      <c r="N26" s="32">
        <v>210309</v>
      </c>
      <c r="O26" s="33">
        <v>2320</v>
      </c>
      <c r="P26" s="33">
        <v>21590</v>
      </c>
      <c r="Q26" s="33">
        <v>53890</v>
      </c>
      <c r="R26" s="33">
        <v>84510</v>
      </c>
      <c r="S26" s="42">
        <v>103190</v>
      </c>
      <c r="T26" s="47">
        <v>147890</v>
      </c>
      <c r="U26" s="47">
        <v>165710</v>
      </c>
      <c r="V26" s="47">
        <v>171510</v>
      </c>
      <c r="AA26" s="53">
        <v>207905</v>
      </c>
      <c r="AB26" s="65">
        <v>900</v>
      </c>
      <c r="AC26" s="65">
        <v>6175</v>
      </c>
      <c r="AD26" s="65">
        <v>9475</v>
      </c>
      <c r="AE26" s="65">
        <v>36025</v>
      </c>
      <c r="AF26" s="65">
        <v>36625</v>
      </c>
      <c r="AG26" s="65">
        <v>44425</v>
      </c>
      <c r="AH26" s="65">
        <v>45050</v>
      </c>
    </row>
    <row r="27" spans="1:36">
      <c r="A27" s="31" t="s">
        <v>74</v>
      </c>
      <c r="B27" s="32">
        <v>437585.61</v>
      </c>
      <c r="C27" s="63">
        <v>21333.919999999998</v>
      </c>
      <c r="D27" s="63">
        <v>115807.15</v>
      </c>
      <c r="E27" s="63">
        <v>194785.07</v>
      </c>
      <c r="F27" s="63">
        <v>266532.96999999997</v>
      </c>
      <c r="G27" s="63">
        <v>327724.53999999998</v>
      </c>
      <c r="H27" s="63">
        <v>441267.78</v>
      </c>
      <c r="I27" s="63">
        <v>622657.06000000006</v>
      </c>
      <c r="J27" s="63">
        <v>705630.42</v>
      </c>
      <c r="K27" s="32">
        <v>796966.89</v>
      </c>
      <c r="L27" s="32">
        <v>876663.61</v>
      </c>
      <c r="M27" s="32">
        <v>1005565.29</v>
      </c>
      <c r="N27" s="32">
        <v>1005565.29</v>
      </c>
      <c r="O27" s="33">
        <v>73513.75</v>
      </c>
      <c r="P27" s="33">
        <v>147027.51</v>
      </c>
      <c r="Q27" s="33">
        <v>222924.19</v>
      </c>
      <c r="R27" s="33">
        <v>301802.19</v>
      </c>
      <c r="S27" s="42">
        <v>382743.21</v>
      </c>
      <c r="T27" s="47">
        <v>461566.67</v>
      </c>
      <c r="U27" s="47">
        <v>540347.81000000006</v>
      </c>
      <c r="V27" s="47">
        <v>617540.32999999996</v>
      </c>
      <c r="AA27" s="53">
        <v>935842</v>
      </c>
      <c r="AB27" s="65">
        <v>69534.62</v>
      </c>
      <c r="AC27" s="65">
        <v>139069.22</v>
      </c>
      <c r="AD27" s="65">
        <v>208603.81</v>
      </c>
      <c r="AE27" s="65">
        <v>278138.38</v>
      </c>
      <c r="AF27" s="65">
        <v>347672.99</v>
      </c>
      <c r="AG27" s="65">
        <v>417207.56</v>
      </c>
      <c r="AH27" s="65">
        <v>486742.16</v>
      </c>
    </row>
    <row r="28" spans="1:36">
      <c r="A28" s="31" t="s">
        <v>75</v>
      </c>
      <c r="B28" s="32">
        <v>1939636</v>
      </c>
      <c r="C28" s="63">
        <v>201233</v>
      </c>
      <c r="D28" s="63">
        <v>322246</v>
      </c>
      <c r="E28" s="63">
        <v>457614</v>
      </c>
      <c r="F28" s="63">
        <v>705127</v>
      </c>
      <c r="G28" s="63">
        <v>824345</v>
      </c>
      <c r="H28" s="63">
        <v>925813</v>
      </c>
      <c r="I28" s="63">
        <v>1262144</v>
      </c>
      <c r="J28" s="63">
        <v>1352201</v>
      </c>
      <c r="K28" s="32">
        <v>1499939</v>
      </c>
      <c r="L28" s="32">
        <v>1721262</v>
      </c>
      <c r="M28" s="32">
        <v>2042865</v>
      </c>
      <c r="N28" s="32">
        <v>2042865</v>
      </c>
      <c r="O28" s="33">
        <v>72333</v>
      </c>
      <c r="P28" s="33">
        <v>270121</v>
      </c>
      <c r="Q28" s="33">
        <v>371604</v>
      </c>
      <c r="R28" s="33">
        <v>721402</v>
      </c>
      <c r="S28" s="42">
        <v>855375</v>
      </c>
      <c r="T28" s="47">
        <v>1021473</v>
      </c>
      <c r="U28" s="47">
        <v>1112152</v>
      </c>
      <c r="V28" s="47">
        <v>1195490</v>
      </c>
      <c r="AA28" s="53">
        <v>1811766</v>
      </c>
      <c r="AB28" s="65">
        <v>79203</v>
      </c>
      <c r="AC28" s="65">
        <v>475705</v>
      </c>
      <c r="AD28" s="65">
        <v>621194</v>
      </c>
      <c r="AE28" s="65">
        <v>753972</v>
      </c>
      <c r="AF28" s="65">
        <v>847885</v>
      </c>
      <c r="AG28" s="65">
        <v>949613</v>
      </c>
      <c r="AH28" s="65">
        <v>1048495</v>
      </c>
    </row>
    <row r="29" spans="1:36">
      <c r="A29" s="30" t="s">
        <v>76</v>
      </c>
      <c r="B29" s="36">
        <f t="shared" ref="B29:Z29" si="13">B19-B21-B23</f>
        <v>2329415.1900000004</v>
      </c>
      <c r="C29" s="36">
        <f t="shared" si="13"/>
        <v>-1170434.92</v>
      </c>
      <c r="D29" s="36">
        <f t="shared" si="13"/>
        <v>-933108.75</v>
      </c>
      <c r="E29" s="36">
        <f t="shared" si="13"/>
        <v>-996267.4700000002</v>
      </c>
      <c r="F29" s="36">
        <f t="shared" si="13"/>
        <v>-869497.76999999979</v>
      </c>
      <c r="G29" s="36">
        <f t="shared" si="13"/>
        <v>-788329.14000000013</v>
      </c>
      <c r="H29" s="36">
        <f t="shared" si="13"/>
        <v>360349.62000000011</v>
      </c>
      <c r="I29" s="36">
        <f t="shared" si="13"/>
        <v>1555855.3599999994</v>
      </c>
      <c r="J29" s="36">
        <f t="shared" si="13"/>
        <v>2333501.5599999987</v>
      </c>
      <c r="K29" s="36">
        <f t="shared" si="13"/>
        <v>2330213.96</v>
      </c>
      <c r="L29" s="36">
        <f t="shared" si="13"/>
        <v>2485501.8099999987</v>
      </c>
      <c r="M29" s="36">
        <f t="shared" si="13"/>
        <v>2361439.6399999987</v>
      </c>
      <c r="N29" s="36">
        <f t="shared" si="13"/>
        <v>3316544.6599999983</v>
      </c>
      <c r="O29" s="36">
        <f>O19-O21-O23-O20+O22</f>
        <v>465314.69000000018</v>
      </c>
      <c r="P29" s="36">
        <f t="shared" ref="P29:V29" si="14">P19-P21-P23-P20+P22</f>
        <v>1142905.1200000003</v>
      </c>
      <c r="Q29" s="36">
        <f t="shared" si="14"/>
        <v>1555867.7900000005</v>
      </c>
      <c r="R29" s="36">
        <f t="shared" si="14"/>
        <v>2006555.6900000006</v>
      </c>
      <c r="S29" s="36">
        <f t="shared" si="14"/>
        <v>2056477.1999999995</v>
      </c>
      <c r="T29" s="36">
        <f t="shared" si="14"/>
        <v>2934016.3899999997</v>
      </c>
      <c r="U29" s="36">
        <f t="shared" si="14"/>
        <v>3424979.29</v>
      </c>
      <c r="V29" s="36">
        <f t="shared" si="14"/>
        <v>5097734.0000000009</v>
      </c>
      <c r="W29" s="36">
        <f t="shared" si="13"/>
        <v>0</v>
      </c>
      <c r="X29" s="36">
        <f t="shared" si="13"/>
        <v>0</v>
      </c>
      <c r="Y29" s="36">
        <f t="shared" si="13"/>
        <v>0</v>
      </c>
      <c r="Z29" s="36">
        <f t="shared" si="13"/>
        <v>0</v>
      </c>
      <c r="AA29" s="36">
        <f>AA19-AA20-AA23</f>
        <v>4580752.2799999993</v>
      </c>
      <c r="AB29" s="36">
        <f t="shared" ref="AB29:AH29" si="15">AB19-AB20-AB23</f>
        <v>815987.40000000014</v>
      </c>
      <c r="AC29" s="36">
        <f t="shared" si="15"/>
        <v>1090716.0400000005</v>
      </c>
      <c r="AD29" s="36">
        <f t="shared" si="15"/>
        <v>1968332.69</v>
      </c>
      <c r="AE29" s="36">
        <f t="shared" si="15"/>
        <v>3056252.1500000013</v>
      </c>
      <c r="AF29" s="36">
        <f t="shared" si="15"/>
        <v>3667554.2</v>
      </c>
      <c r="AG29" s="36">
        <f t="shared" si="15"/>
        <v>4591451.6499999994</v>
      </c>
      <c r="AH29" s="36">
        <f t="shared" si="15"/>
        <v>4980901.18</v>
      </c>
      <c r="AI29" s="66"/>
      <c r="AJ29" s="53"/>
    </row>
    <row r="30" spans="1:36">
      <c r="A30" s="30" t="s">
        <v>77</v>
      </c>
      <c r="B30" s="36">
        <f>B29</f>
        <v>2329415.1900000004</v>
      </c>
      <c r="C30" s="36">
        <f t="shared" ref="C30:Z30" si="16">C29</f>
        <v>-1170434.92</v>
      </c>
      <c r="D30" s="36">
        <f t="shared" si="16"/>
        <v>-933108.75</v>
      </c>
      <c r="E30" s="36">
        <f t="shared" si="16"/>
        <v>-996267.4700000002</v>
      </c>
      <c r="F30" s="36">
        <f t="shared" si="16"/>
        <v>-869497.76999999979</v>
      </c>
      <c r="G30" s="36">
        <f t="shared" si="16"/>
        <v>-788329.14000000013</v>
      </c>
      <c r="H30" s="36">
        <f t="shared" si="16"/>
        <v>360349.62000000011</v>
      </c>
      <c r="I30" s="36">
        <f t="shared" si="16"/>
        <v>1555855.3599999994</v>
      </c>
      <c r="J30" s="36">
        <f t="shared" si="16"/>
        <v>2333501.5599999987</v>
      </c>
      <c r="K30" s="36">
        <f t="shared" si="16"/>
        <v>2330213.96</v>
      </c>
      <c r="L30" s="36">
        <f t="shared" si="16"/>
        <v>2485501.8099999987</v>
      </c>
      <c r="M30" s="36">
        <f t="shared" si="16"/>
        <v>2361439.6399999987</v>
      </c>
      <c r="N30" s="36">
        <f t="shared" si="16"/>
        <v>3316544.6599999983</v>
      </c>
      <c r="O30" s="36">
        <f t="shared" si="16"/>
        <v>465314.69000000018</v>
      </c>
      <c r="P30" s="36">
        <f t="shared" si="16"/>
        <v>1142905.1200000003</v>
      </c>
      <c r="Q30" s="36">
        <f t="shared" si="16"/>
        <v>1555867.7900000005</v>
      </c>
      <c r="R30" s="36">
        <f t="shared" si="16"/>
        <v>2006555.6900000006</v>
      </c>
      <c r="S30" s="36">
        <f t="shared" si="16"/>
        <v>2056477.1999999995</v>
      </c>
      <c r="T30" s="36">
        <f t="shared" si="16"/>
        <v>2934016.3899999997</v>
      </c>
      <c r="U30" s="36">
        <f t="shared" si="16"/>
        <v>3424979.29</v>
      </c>
      <c r="V30" s="36">
        <f t="shared" si="16"/>
        <v>5097734.0000000009</v>
      </c>
      <c r="W30" s="36">
        <f t="shared" si="16"/>
        <v>0</v>
      </c>
      <c r="X30" s="36">
        <f t="shared" si="16"/>
        <v>0</v>
      </c>
      <c r="Y30" s="36">
        <f t="shared" si="16"/>
        <v>0</v>
      </c>
      <c r="Z30" s="36">
        <f t="shared" si="16"/>
        <v>0</v>
      </c>
      <c r="AA30" s="36">
        <f t="shared" ref="AA30:AH30" si="17">AA29</f>
        <v>4580752.2799999993</v>
      </c>
      <c r="AB30" s="36">
        <f t="shared" si="17"/>
        <v>815987.40000000014</v>
      </c>
      <c r="AC30" s="36">
        <f t="shared" si="17"/>
        <v>1090716.0400000005</v>
      </c>
      <c r="AD30" s="36">
        <f t="shared" si="17"/>
        <v>1968332.69</v>
      </c>
      <c r="AE30" s="36">
        <f t="shared" si="17"/>
        <v>3056252.1500000013</v>
      </c>
      <c r="AF30" s="36">
        <f t="shared" si="17"/>
        <v>3667554.2</v>
      </c>
      <c r="AG30" s="36">
        <f t="shared" si="17"/>
        <v>4591451.6499999994</v>
      </c>
      <c r="AH30" s="36">
        <f t="shared" si="17"/>
        <v>4980901.18</v>
      </c>
    </row>
    <row r="31" spans="1:36">
      <c r="A31" s="31" t="s">
        <v>78</v>
      </c>
      <c r="B31" s="32"/>
      <c r="K31" s="32"/>
      <c r="L31" s="32"/>
      <c r="M31" s="32"/>
      <c r="N31" s="32"/>
      <c r="O31" s="33">
        <v>0</v>
      </c>
      <c r="P31" s="33">
        <v>0</v>
      </c>
      <c r="Q31" s="33">
        <v>0</v>
      </c>
      <c r="R31" s="31">
        <v>0</v>
      </c>
      <c r="S31" s="42">
        <v>0</v>
      </c>
      <c r="T31" s="47">
        <v>0</v>
      </c>
      <c r="U31" s="47">
        <v>0</v>
      </c>
      <c r="V31" s="47">
        <v>0</v>
      </c>
    </row>
    <row r="32" spans="1:36">
      <c r="A32" s="31" t="s">
        <v>79</v>
      </c>
      <c r="B32" s="32"/>
      <c r="K32" s="32"/>
      <c r="L32" s="32"/>
      <c r="M32" s="32"/>
      <c r="N32" s="32"/>
      <c r="O32" s="33">
        <v>0</v>
      </c>
      <c r="P32" s="33">
        <v>0</v>
      </c>
      <c r="Q32" s="33">
        <v>0</v>
      </c>
      <c r="R32" s="31">
        <v>0</v>
      </c>
      <c r="S32" s="42">
        <v>0</v>
      </c>
      <c r="T32" s="47">
        <v>0</v>
      </c>
      <c r="U32" s="47">
        <v>0</v>
      </c>
      <c r="V32" s="47">
        <v>0</v>
      </c>
    </row>
    <row r="33" spans="1:34">
      <c r="A33" s="30" t="s">
        <v>80</v>
      </c>
      <c r="B33" s="36">
        <f>B30</f>
        <v>2329415.1900000004</v>
      </c>
      <c r="C33" s="36">
        <f t="shared" ref="C33:AH33" si="18">C30</f>
        <v>-1170434.92</v>
      </c>
      <c r="D33" s="36">
        <f t="shared" si="18"/>
        <v>-933108.75</v>
      </c>
      <c r="E33" s="36">
        <f t="shared" si="18"/>
        <v>-996267.4700000002</v>
      </c>
      <c r="F33" s="36">
        <f t="shared" si="18"/>
        <v>-869497.76999999979</v>
      </c>
      <c r="G33" s="36">
        <f t="shared" si="18"/>
        <v>-788329.14000000013</v>
      </c>
      <c r="H33" s="36">
        <f t="shared" si="18"/>
        <v>360349.62000000011</v>
      </c>
      <c r="I33" s="36">
        <f t="shared" si="18"/>
        <v>1555855.3599999994</v>
      </c>
      <c r="J33" s="36">
        <f t="shared" si="18"/>
        <v>2333501.5599999987</v>
      </c>
      <c r="K33" s="36">
        <f t="shared" si="18"/>
        <v>2330213.96</v>
      </c>
      <c r="L33" s="36">
        <f t="shared" si="18"/>
        <v>2485501.8099999987</v>
      </c>
      <c r="M33" s="36">
        <f t="shared" si="18"/>
        <v>2361439.6399999987</v>
      </c>
      <c r="N33" s="36">
        <f t="shared" si="18"/>
        <v>3316544.6599999983</v>
      </c>
      <c r="O33" s="36">
        <f t="shared" si="18"/>
        <v>465314.69000000018</v>
      </c>
      <c r="P33" s="36">
        <f t="shared" si="18"/>
        <v>1142905.1200000003</v>
      </c>
      <c r="Q33" s="36">
        <f t="shared" si="18"/>
        <v>1555867.7900000005</v>
      </c>
      <c r="R33" s="36">
        <f t="shared" si="18"/>
        <v>2006555.6900000006</v>
      </c>
      <c r="S33" s="36">
        <f t="shared" si="18"/>
        <v>2056477.1999999995</v>
      </c>
      <c r="T33" s="36">
        <f t="shared" si="18"/>
        <v>2934016.3899999997</v>
      </c>
      <c r="U33" s="36">
        <f t="shared" si="18"/>
        <v>3424979.29</v>
      </c>
      <c r="V33" s="36">
        <f t="shared" si="18"/>
        <v>5097734.0000000009</v>
      </c>
      <c r="W33" s="36">
        <f t="shared" si="18"/>
        <v>0</v>
      </c>
      <c r="X33" s="36">
        <f t="shared" si="18"/>
        <v>0</v>
      </c>
      <c r="Y33" s="36">
        <f t="shared" si="18"/>
        <v>0</v>
      </c>
      <c r="Z33" s="36">
        <f t="shared" si="18"/>
        <v>0</v>
      </c>
      <c r="AA33" s="36">
        <f t="shared" si="18"/>
        <v>4580752.2799999993</v>
      </c>
      <c r="AB33" s="36">
        <f t="shared" si="18"/>
        <v>815987.40000000014</v>
      </c>
      <c r="AC33" s="36">
        <f t="shared" si="18"/>
        <v>1090716.0400000005</v>
      </c>
      <c r="AD33" s="36">
        <f t="shared" si="18"/>
        <v>1968332.69</v>
      </c>
      <c r="AE33" s="36">
        <f t="shared" si="18"/>
        <v>3056252.1500000013</v>
      </c>
      <c r="AF33" s="36">
        <f t="shared" si="18"/>
        <v>3667554.2</v>
      </c>
      <c r="AG33" s="36">
        <f t="shared" si="18"/>
        <v>4591451.6499999994</v>
      </c>
      <c r="AH33" s="36">
        <f t="shared" si="18"/>
        <v>4980901.18</v>
      </c>
    </row>
    <row r="34" spans="1:34">
      <c r="A34" s="31" t="s">
        <v>81</v>
      </c>
      <c r="B34" s="32">
        <v>150000</v>
      </c>
      <c r="C34" s="31">
        <v>100000</v>
      </c>
      <c r="D34" s="31">
        <v>120000</v>
      </c>
      <c r="E34" s="31">
        <v>120000</v>
      </c>
      <c r="F34" s="31">
        <v>120000</v>
      </c>
      <c r="G34" s="31">
        <v>100000</v>
      </c>
      <c r="H34" s="31">
        <v>150000</v>
      </c>
      <c r="I34" s="31">
        <v>150000</v>
      </c>
      <c r="J34" s="31">
        <v>150000</v>
      </c>
      <c r="K34" s="32">
        <v>150000</v>
      </c>
      <c r="L34" s="32">
        <v>170000</v>
      </c>
      <c r="M34" s="32">
        <v>180000</v>
      </c>
      <c r="N34" s="32">
        <v>180000</v>
      </c>
      <c r="O34" s="33">
        <v>50000</v>
      </c>
      <c r="P34" s="33">
        <v>80000</v>
      </c>
      <c r="Q34" s="33">
        <v>0</v>
      </c>
      <c r="R34" s="33">
        <v>100000</v>
      </c>
      <c r="S34" s="42">
        <v>100000</v>
      </c>
      <c r="T34" s="47">
        <v>100000</v>
      </c>
      <c r="U34" s="47">
        <v>100000</v>
      </c>
      <c r="V34" s="47">
        <v>169343</v>
      </c>
      <c r="AA34" s="53">
        <v>169343</v>
      </c>
      <c r="AB34" s="65">
        <v>70000</v>
      </c>
      <c r="AC34" s="65">
        <v>251400</v>
      </c>
      <c r="AD34" s="65">
        <v>401400</v>
      </c>
      <c r="AE34" s="65">
        <v>601400</v>
      </c>
      <c r="AF34" s="65">
        <v>601400</v>
      </c>
      <c r="AG34" s="65">
        <v>876558</v>
      </c>
      <c r="AH34" s="65">
        <v>876558</v>
      </c>
    </row>
    <row r="35" spans="1:34">
      <c r="A35" s="30" t="s">
        <v>82</v>
      </c>
      <c r="B35" s="36">
        <f t="shared" ref="B35:AH35" si="19">B33-B34</f>
        <v>2179415.1900000004</v>
      </c>
      <c r="C35" s="36">
        <f t="shared" si="19"/>
        <v>-1270434.92</v>
      </c>
      <c r="D35" s="36">
        <f t="shared" si="19"/>
        <v>-1053108.75</v>
      </c>
      <c r="E35" s="36">
        <f t="shared" si="19"/>
        <v>-1116267.4700000002</v>
      </c>
      <c r="F35" s="36">
        <f t="shared" si="19"/>
        <v>-989497.76999999979</v>
      </c>
      <c r="G35" s="36">
        <f t="shared" si="19"/>
        <v>-888329.14000000013</v>
      </c>
      <c r="H35" s="36">
        <f t="shared" si="19"/>
        <v>210349.62000000011</v>
      </c>
      <c r="I35" s="36">
        <f t="shared" si="19"/>
        <v>1405855.3599999994</v>
      </c>
      <c r="J35" s="36">
        <f t="shared" si="19"/>
        <v>2183501.5599999987</v>
      </c>
      <c r="K35" s="36">
        <f t="shared" si="19"/>
        <v>2180213.96</v>
      </c>
      <c r="L35" s="36">
        <f t="shared" si="19"/>
        <v>2315501.8099999987</v>
      </c>
      <c r="M35" s="36">
        <f t="shared" si="19"/>
        <v>2181439.6399999987</v>
      </c>
      <c r="N35" s="36">
        <f t="shared" si="19"/>
        <v>3136544.6599999983</v>
      </c>
      <c r="O35" s="36">
        <f t="shared" si="19"/>
        <v>415314.69000000018</v>
      </c>
      <c r="P35" s="36">
        <f t="shared" si="19"/>
        <v>1062905.1200000003</v>
      </c>
      <c r="Q35" s="36">
        <f t="shared" si="19"/>
        <v>1555867.7900000005</v>
      </c>
      <c r="R35" s="36">
        <f t="shared" si="19"/>
        <v>1906555.6900000006</v>
      </c>
      <c r="S35" s="36">
        <f t="shared" si="19"/>
        <v>1956477.1999999995</v>
      </c>
      <c r="T35" s="36">
        <f t="shared" si="19"/>
        <v>2834016.3899999997</v>
      </c>
      <c r="U35" s="36">
        <f t="shared" si="19"/>
        <v>3324979.29</v>
      </c>
      <c r="V35" s="36">
        <f t="shared" si="19"/>
        <v>4928391.0000000009</v>
      </c>
      <c r="W35" s="36">
        <f t="shared" si="19"/>
        <v>0</v>
      </c>
      <c r="X35" s="36">
        <f t="shared" si="19"/>
        <v>0</v>
      </c>
      <c r="Y35" s="36">
        <f t="shared" si="19"/>
        <v>0</v>
      </c>
      <c r="Z35" s="36">
        <f t="shared" si="19"/>
        <v>0</v>
      </c>
      <c r="AA35" s="36">
        <f t="shared" si="19"/>
        <v>4411409.2799999993</v>
      </c>
      <c r="AB35" s="36">
        <f t="shared" si="19"/>
        <v>745987.40000000014</v>
      </c>
      <c r="AC35" s="36">
        <f t="shared" si="19"/>
        <v>839316.0400000005</v>
      </c>
      <c r="AD35" s="36">
        <f t="shared" si="19"/>
        <v>1566932.69</v>
      </c>
      <c r="AE35" s="36">
        <f t="shared" si="19"/>
        <v>2454852.1500000013</v>
      </c>
      <c r="AF35" s="36">
        <f t="shared" si="19"/>
        <v>3066154.2</v>
      </c>
      <c r="AG35" s="36">
        <f t="shared" si="19"/>
        <v>3714893.6499999994</v>
      </c>
      <c r="AH35" s="36">
        <f t="shared" si="19"/>
        <v>4104343.1799999997</v>
      </c>
    </row>
    <row r="36" spans="1:34">
      <c r="A36" s="31" t="s">
        <v>83</v>
      </c>
      <c r="B36" s="32"/>
      <c r="C36" s="37"/>
      <c r="D36" s="37"/>
      <c r="E36" s="37"/>
      <c r="F36" s="37"/>
      <c r="G36" s="37"/>
      <c r="H36" s="37"/>
      <c r="I36" s="37"/>
      <c r="J36" s="37"/>
      <c r="K36" s="32"/>
      <c r="L36" s="32"/>
      <c r="M36" s="32"/>
      <c r="N36" s="32"/>
      <c r="O36" s="33">
        <v>0</v>
      </c>
      <c r="P36" s="33">
        <v>0</v>
      </c>
      <c r="Q36" s="33">
        <v>0</v>
      </c>
      <c r="R36" s="47">
        <v>0</v>
      </c>
      <c r="S36" s="42">
        <v>0</v>
      </c>
      <c r="T36" s="47">
        <v>0</v>
      </c>
      <c r="U36" s="47">
        <v>0</v>
      </c>
      <c r="V36" s="47">
        <v>0</v>
      </c>
    </row>
    <row r="37" spans="1:34">
      <c r="A37" s="30" t="s">
        <v>84</v>
      </c>
      <c r="B37" s="36">
        <f t="shared" ref="B37:AH37" si="20">B35-B36</f>
        <v>2179415.1900000004</v>
      </c>
      <c r="C37" s="36">
        <f t="shared" si="20"/>
        <v>-1270434.92</v>
      </c>
      <c r="D37" s="36">
        <f t="shared" si="20"/>
        <v>-1053108.75</v>
      </c>
      <c r="E37" s="36">
        <f t="shared" si="20"/>
        <v>-1116267.4700000002</v>
      </c>
      <c r="F37" s="36">
        <f t="shared" si="20"/>
        <v>-989497.76999999979</v>
      </c>
      <c r="G37" s="36">
        <f t="shared" si="20"/>
        <v>-888329.14000000013</v>
      </c>
      <c r="H37" s="36">
        <f t="shared" si="20"/>
        <v>210349.62000000011</v>
      </c>
      <c r="I37" s="36">
        <f t="shared" si="20"/>
        <v>1405855.3599999994</v>
      </c>
      <c r="J37" s="36">
        <f t="shared" si="20"/>
        <v>2183501.5599999987</v>
      </c>
      <c r="K37" s="36">
        <f t="shared" si="20"/>
        <v>2180213.96</v>
      </c>
      <c r="L37" s="36">
        <f t="shared" si="20"/>
        <v>2315501.8099999987</v>
      </c>
      <c r="M37" s="36">
        <f t="shared" si="20"/>
        <v>2181439.6399999987</v>
      </c>
      <c r="N37" s="36">
        <f t="shared" si="20"/>
        <v>3136544.6599999983</v>
      </c>
      <c r="O37" s="36">
        <f t="shared" si="20"/>
        <v>415314.69000000018</v>
      </c>
      <c r="P37" s="36">
        <f t="shared" si="20"/>
        <v>1062905.1200000003</v>
      </c>
      <c r="Q37" s="36">
        <f t="shared" si="20"/>
        <v>1555867.7900000005</v>
      </c>
      <c r="R37" s="36">
        <f t="shared" si="20"/>
        <v>1906555.6900000006</v>
      </c>
      <c r="S37" s="36">
        <f t="shared" si="20"/>
        <v>1956477.1999999995</v>
      </c>
      <c r="T37" s="36">
        <f t="shared" si="20"/>
        <v>2834016.3899999997</v>
      </c>
      <c r="U37" s="36">
        <f t="shared" si="20"/>
        <v>3324979.29</v>
      </c>
      <c r="V37" s="36">
        <f t="shared" si="20"/>
        <v>4928391.0000000009</v>
      </c>
      <c r="W37" s="36">
        <f t="shared" si="20"/>
        <v>0</v>
      </c>
      <c r="X37" s="36">
        <f t="shared" si="20"/>
        <v>0</v>
      </c>
      <c r="Y37" s="36">
        <f t="shared" si="20"/>
        <v>0</v>
      </c>
      <c r="Z37" s="36">
        <f t="shared" si="20"/>
        <v>0</v>
      </c>
      <c r="AA37" s="36">
        <f t="shared" si="20"/>
        <v>4411409.2799999993</v>
      </c>
      <c r="AB37" s="36">
        <f t="shared" si="20"/>
        <v>745987.40000000014</v>
      </c>
      <c r="AC37" s="36">
        <f t="shared" si="20"/>
        <v>839316.0400000005</v>
      </c>
      <c r="AD37" s="36">
        <f t="shared" si="20"/>
        <v>1566932.69</v>
      </c>
      <c r="AE37" s="36">
        <f t="shared" si="20"/>
        <v>2454852.1500000013</v>
      </c>
      <c r="AF37" s="36">
        <f t="shared" si="20"/>
        <v>3066154.2</v>
      </c>
      <c r="AG37" s="36">
        <f t="shared" si="20"/>
        <v>3714893.6499999994</v>
      </c>
      <c r="AH37" s="36">
        <f t="shared" si="20"/>
        <v>4104343.1799999997</v>
      </c>
    </row>
  </sheetData>
  <conditionalFormatting sqref="B3:AH4 B7:AH7 B12:AH12 B19:AH19 B23:AH23 B33:AH33 B35:AH35 B37:AH37 B29:AH30">
    <cfRule type="notContainsBlanks" dxfId="24" priority="129">
      <formula>LEN(TRIM(B3))&gt;0</formula>
    </cfRule>
  </conditionalFormatting>
  <conditionalFormatting sqref="B3:AH4 B7:AH7 B12:AH12 B19:AH19 B23:AH23 B33:AH33 B35:AH35 B37:AH37 B29:AH30">
    <cfRule type="cellIs" dxfId="23" priority="124" operator="lessThan">
      <formula>0</formula>
    </cfRule>
  </conditionalFormatting>
  <conditionalFormatting sqref="A7">
    <cfRule type="cellIs" dxfId="22" priority="21" operator="lessThan">
      <formula>0</formula>
    </cfRule>
  </conditionalFormatting>
  <conditionalFormatting sqref="A7">
    <cfRule type="notContainsBlanks" dxfId="21" priority="22">
      <formula>LEN(TRIM(A7))&gt;0</formula>
    </cfRule>
  </conditionalFormatting>
  <conditionalFormatting sqref="A3">
    <cfRule type="cellIs" dxfId="20" priority="19" operator="lessThan">
      <formula>0</formula>
    </cfRule>
  </conditionalFormatting>
  <conditionalFormatting sqref="A3">
    <cfRule type="notContainsBlanks" dxfId="19" priority="20">
      <formula>LEN(TRIM(A3))&gt;0</formula>
    </cfRule>
  </conditionalFormatting>
  <conditionalFormatting sqref="A4">
    <cfRule type="cellIs" dxfId="18" priority="17" operator="lessThan">
      <formula>0</formula>
    </cfRule>
  </conditionalFormatting>
  <conditionalFormatting sqref="A4">
    <cfRule type="notContainsBlanks" dxfId="17" priority="18">
      <formula>LEN(TRIM(A4))&gt;0</formula>
    </cfRule>
  </conditionalFormatting>
  <conditionalFormatting sqref="A12">
    <cfRule type="cellIs" dxfId="16" priority="15" operator="lessThan">
      <formula>0</formula>
    </cfRule>
  </conditionalFormatting>
  <conditionalFormatting sqref="A12">
    <cfRule type="notContainsBlanks" dxfId="15" priority="16">
      <formula>LEN(TRIM(A12))&gt;0</formula>
    </cfRule>
  </conditionalFormatting>
  <conditionalFormatting sqref="A19">
    <cfRule type="cellIs" dxfId="14" priority="13" operator="lessThan">
      <formula>0</formula>
    </cfRule>
  </conditionalFormatting>
  <conditionalFormatting sqref="A19">
    <cfRule type="notContainsBlanks" dxfId="13" priority="14">
      <formula>LEN(TRIM(A19))&gt;0</formula>
    </cfRule>
  </conditionalFormatting>
  <conditionalFormatting sqref="A23">
    <cfRule type="cellIs" dxfId="12" priority="11" operator="lessThan">
      <formula>0</formula>
    </cfRule>
  </conditionalFormatting>
  <conditionalFormatting sqref="A23">
    <cfRule type="notContainsBlanks" dxfId="11" priority="12">
      <formula>LEN(TRIM(A23))&gt;0</formula>
    </cfRule>
  </conditionalFormatting>
  <conditionalFormatting sqref="A29">
    <cfRule type="cellIs" dxfId="10" priority="9" operator="lessThan">
      <formula>0</formula>
    </cfRule>
  </conditionalFormatting>
  <conditionalFormatting sqref="A29">
    <cfRule type="notContainsBlanks" dxfId="9" priority="10">
      <formula>LEN(TRIM(A29))&gt;0</formula>
    </cfRule>
  </conditionalFormatting>
  <conditionalFormatting sqref="A30">
    <cfRule type="cellIs" dxfId="8" priority="7" operator="lessThan">
      <formula>0</formula>
    </cfRule>
  </conditionalFormatting>
  <conditionalFormatting sqref="A30">
    <cfRule type="notContainsBlanks" dxfId="7" priority="8">
      <formula>LEN(TRIM(A30))&gt;0</formula>
    </cfRule>
  </conditionalFormatting>
  <conditionalFormatting sqref="A33">
    <cfRule type="cellIs" dxfId="6" priority="5" operator="lessThan">
      <formula>0</formula>
    </cfRule>
  </conditionalFormatting>
  <conditionalFormatting sqref="A33">
    <cfRule type="notContainsBlanks" dxfId="5" priority="6">
      <formula>LEN(TRIM(A33))&gt;0</formula>
    </cfRule>
  </conditionalFormatting>
  <conditionalFormatting sqref="A35">
    <cfRule type="cellIs" dxfId="4" priority="3" operator="lessThan">
      <formula>0</formula>
    </cfRule>
  </conditionalFormatting>
  <conditionalFormatting sqref="A35">
    <cfRule type="notContainsBlanks" dxfId="3" priority="4">
      <formula>LEN(TRIM(A35))&gt;0</formula>
    </cfRule>
  </conditionalFormatting>
  <conditionalFormatting sqref="A37">
    <cfRule type="cellIs" dxfId="2" priority="1" operator="lessThan">
      <formula>0</formula>
    </cfRule>
  </conditionalFormatting>
  <conditionalFormatting sqref="A37">
    <cfRule type="notContainsBlanks" dxfId="1" priority="2">
      <formula>LEN(TRIM(A37))&gt;0</formula>
    </cfRule>
  </conditionalFormatting>
  <printOptions horizontalCentered="1" verticalCentere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9"/>
  <sheetViews>
    <sheetView zoomScale="90" zoomScaleNormal="90" workbookViewId="0">
      <pane xSplit="1" ySplit="2" topLeftCell="N24" activePane="bottomRight" state="frozen"/>
      <selection pane="bottomRight" activeCell="AA3" sqref="AA3:AH49"/>
      <selection pane="bottomLeft" activeCell="A3" sqref="A3"/>
      <selection pane="topRight" activeCell="B1" sqref="B1"/>
    </sheetView>
  </sheetViews>
  <sheetFormatPr defaultRowHeight="14.45"/>
  <cols>
    <col min="1" max="1" width="34.28515625" customWidth="1"/>
    <col min="2" max="2" width="19.140625" customWidth="1"/>
    <col min="3" max="4" width="13.5703125" hidden="1" customWidth="1"/>
    <col min="5" max="5" width="13.5703125" bestFit="1" customWidth="1"/>
    <col min="6" max="7" width="13.5703125" hidden="1" customWidth="1"/>
    <col min="8" max="8" width="13.5703125" bestFit="1" customWidth="1"/>
    <col min="9" max="9" width="13.5703125" hidden="1" customWidth="1"/>
    <col min="10" max="10" width="13.5703125" bestFit="1" customWidth="1"/>
    <col min="11" max="12" width="13.5703125" hidden="1" customWidth="1"/>
    <col min="13" max="14" width="13.5703125" bestFit="1" customWidth="1"/>
    <col min="15" max="18" width="12" bestFit="1" customWidth="1"/>
    <col min="19" max="19" width="12.28515625" customWidth="1"/>
    <col min="20" max="20" width="12" bestFit="1" customWidth="1"/>
    <col min="21" max="21" width="14.28515625" customWidth="1"/>
    <col min="22" max="22" width="13.42578125" customWidth="1"/>
    <col min="23" max="26" width="0" hidden="1" customWidth="1"/>
    <col min="27" max="27" width="12" bestFit="1" customWidth="1"/>
    <col min="28" max="34" width="12.140625" bestFit="1" customWidth="1"/>
  </cols>
  <sheetData>
    <row r="1" spans="1:34">
      <c r="B1" s="4" t="s">
        <v>1</v>
      </c>
      <c r="C1" s="23">
        <v>43831</v>
      </c>
      <c r="D1" s="23">
        <v>43862</v>
      </c>
      <c r="E1" s="23">
        <v>43891</v>
      </c>
      <c r="F1" s="23">
        <v>43922</v>
      </c>
      <c r="G1" s="23">
        <v>43952</v>
      </c>
      <c r="H1" s="23">
        <v>43983</v>
      </c>
      <c r="I1" s="23">
        <v>44044</v>
      </c>
      <c r="J1" s="23">
        <v>44075</v>
      </c>
      <c r="K1" s="23">
        <v>44105</v>
      </c>
      <c r="L1" s="23">
        <v>44136</v>
      </c>
      <c r="M1" s="23">
        <v>44166</v>
      </c>
      <c r="N1" s="23" t="s">
        <v>85</v>
      </c>
      <c r="O1" s="23">
        <v>44197</v>
      </c>
      <c r="P1" s="23">
        <v>44228</v>
      </c>
      <c r="Q1" s="23">
        <v>44256</v>
      </c>
      <c r="R1" s="23">
        <v>44287</v>
      </c>
      <c r="S1" s="23">
        <v>44317</v>
      </c>
      <c r="T1" s="23">
        <v>44348</v>
      </c>
      <c r="U1" s="23">
        <v>44378</v>
      </c>
      <c r="V1" s="23">
        <v>44409</v>
      </c>
      <c r="W1" s="23">
        <v>44440</v>
      </c>
      <c r="X1" s="23">
        <v>44470</v>
      </c>
      <c r="Y1" s="23">
        <v>44501</v>
      </c>
      <c r="Z1" s="23">
        <v>44531</v>
      </c>
      <c r="AA1" s="23" t="s">
        <v>3</v>
      </c>
      <c r="AB1" s="3">
        <v>44562</v>
      </c>
      <c r="AC1" s="3">
        <v>44593</v>
      </c>
      <c r="AD1" s="3">
        <v>44621</v>
      </c>
      <c r="AE1" s="3">
        <v>44652</v>
      </c>
      <c r="AF1" s="3">
        <v>44682</v>
      </c>
      <c r="AG1" s="3">
        <v>44713</v>
      </c>
      <c r="AH1" s="3">
        <v>44743</v>
      </c>
    </row>
    <row r="2" spans="1:34">
      <c r="A2" t="s">
        <v>86</v>
      </c>
    </row>
    <row r="3" spans="1:34">
      <c r="A3" s="49" t="s">
        <v>26</v>
      </c>
      <c r="B3" s="5">
        <f>sofp!B25</f>
        <v>144354139.84999999</v>
      </c>
      <c r="C3" s="5">
        <f>sofp!C25</f>
        <v>139985884.55000001</v>
      </c>
      <c r="D3" s="5">
        <f>sofp!D25</f>
        <v>141634568.78999999</v>
      </c>
      <c r="E3" s="5">
        <f>sofp!E25</f>
        <v>155868206.47</v>
      </c>
      <c r="F3" s="5">
        <f>sofp!F25</f>
        <v>149266907.54000002</v>
      </c>
      <c r="G3" s="5">
        <f>sofp!G25</f>
        <v>149558584.92000002</v>
      </c>
      <c r="H3" s="5">
        <f>sofp!H25</f>
        <v>151059037.36000001</v>
      </c>
      <c r="I3" s="5">
        <f>sofp!I25</f>
        <v>154809046.22999999</v>
      </c>
      <c r="J3" s="5">
        <f>sofp!J25</f>
        <v>157182474.96999997</v>
      </c>
      <c r="K3" s="5">
        <f>sofp!K25</f>
        <v>157790770.68000001</v>
      </c>
      <c r="L3" s="5">
        <f>sofp!L25</f>
        <v>159560460.12</v>
      </c>
      <c r="M3" s="5">
        <f>sofp!M25</f>
        <v>160639994.32999998</v>
      </c>
      <c r="N3" s="5">
        <f>sofp!N25</f>
        <v>160639994.50999999</v>
      </c>
      <c r="O3" s="5">
        <f>sofp!O25</f>
        <v>155391304.29999998</v>
      </c>
      <c r="P3" s="5">
        <f>sofp!P25</f>
        <v>156254478.33999997</v>
      </c>
      <c r="Q3" s="5">
        <f>sofp!Q25</f>
        <v>167920923.38</v>
      </c>
      <c r="R3" s="5">
        <f>sofp!R25</f>
        <v>167261473.94999999</v>
      </c>
      <c r="S3" s="5">
        <f>sofp!S25</f>
        <v>160251806.5</v>
      </c>
      <c r="T3" s="5">
        <f>sofp!T25</f>
        <v>163290226.66999999</v>
      </c>
      <c r="U3" s="5">
        <f>sofp!U25</f>
        <v>162828782.67000005</v>
      </c>
      <c r="V3" s="5">
        <f>sofp!V25</f>
        <v>164676290.87</v>
      </c>
      <c r="W3" s="5">
        <f>sofp!W25</f>
        <v>0</v>
      </c>
      <c r="X3" s="5">
        <f>sofp!X25</f>
        <v>0</v>
      </c>
      <c r="Y3" s="5">
        <f>sofp!Y25</f>
        <v>0</v>
      </c>
      <c r="Z3" s="5">
        <f>sofp!Z25</f>
        <v>0</v>
      </c>
      <c r="AA3" s="5">
        <f>sofp!AA25</f>
        <v>169922033.69</v>
      </c>
      <c r="AB3" s="5">
        <f>sofp!AB25</f>
        <v>163213908.5</v>
      </c>
      <c r="AC3" s="5">
        <f>sofp!AC25</f>
        <v>164446234.06999999</v>
      </c>
      <c r="AD3" s="5">
        <f>sofp!AD25</f>
        <v>180337417.72</v>
      </c>
      <c r="AE3" s="5">
        <f>sofp!AE25</f>
        <v>172510496.64000002</v>
      </c>
      <c r="AF3" s="5">
        <f>sofp!AF25</f>
        <v>168382502.82999998</v>
      </c>
      <c r="AG3" s="5">
        <f>sofp!AG25</f>
        <v>171764060.05000001</v>
      </c>
      <c r="AH3" s="5">
        <f>sofp!AH25</f>
        <v>171906401.26000002</v>
      </c>
    </row>
    <row r="4" spans="1:34">
      <c r="A4" t="s">
        <v>87</v>
      </c>
      <c r="B4" s="5">
        <f>sofp!B29</f>
        <v>89619050.049999997</v>
      </c>
      <c r="C4" s="5">
        <f>sofp!C29</f>
        <v>88171607.150000006</v>
      </c>
      <c r="D4" s="5">
        <f>sofp!D29</f>
        <v>89463105.229999989</v>
      </c>
      <c r="E4" s="5">
        <f>sofp!E29</f>
        <v>103190448.41000001</v>
      </c>
      <c r="F4" s="5">
        <f>sofp!F29</f>
        <v>97081975.980000004</v>
      </c>
      <c r="G4" s="5">
        <f>sofp!G29</f>
        <v>96713037.859999999</v>
      </c>
      <c r="H4" s="5">
        <f>sofp!H29</f>
        <v>96528249.899999991</v>
      </c>
      <c r="I4" s="5">
        <f>sofp!I29</f>
        <v>98711057.370000005</v>
      </c>
      <c r="J4" s="5">
        <f>sofp!J29</f>
        <v>100077510.01000001</v>
      </c>
      <c r="K4" s="5">
        <f>sofp!K29</f>
        <v>100427993.62</v>
      </c>
      <c r="L4" s="5">
        <f>sofp!L29</f>
        <v>101877414.36</v>
      </c>
      <c r="M4" s="5">
        <f>sofp!M29</f>
        <v>102585218.38</v>
      </c>
      <c r="N4" s="5">
        <f>sofp!N29</f>
        <v>102585218.37999998</v>
      </c>
      <c r="O4" s="5">
        <f>sofp!O29</f>
        <v>101933954.64999999</v>
      </c>
      <c r="P4" s="5">
        <f>sofp!P29</f>
        <v>102149538.29000001</v>
      </c>
      <c r="Q4" s="5">
        <f>sofp!Q29</f>
        <v>113723020.73</v>
      </c>
      <c r="R4" s="5">
        <f>sofp!R29</f>
        <v>109172403.30000001</v>
      </c>
      <c r="S4" s="5">
        <f>sofp!S29</f>
        <v>102210954.45999999</v>
      </c>
      <c r="T4" s="5">
        <f>sofp!T29</f>
        <v>104469975.22999999</v>
      </c>
      <c r="U4" s="5">
        <f>sofp!U29</f>
        <v>103615708.42999999</v>
      </c>
      <c r="V4" s="5">
        <f>sofp!V29</f>
        <v>103957944.92999999</v>
      </c>
      <c r="W4" s="5">
        <f>sofp!W29</f>
        <v>0</v>
      </c>
      <c r="X4" s="5">
        <f>sofp!X29</f>
        <v>0</v>
      </c>
      <c r="Y4" s="5">
        <f>sofp!Y29</f>
        <v>0</v>
      </c>
      <c r="Z4" s="5">
        <f>sofp!Z29</f>
        <v>0</v>
      </c>
      <c r="AA4" s="5">
        <f>sofp!AA29</f>
        <v>103508022.09</v>
      </c>
      <c r="AB4" s="5">
        <f>sofp!AB29</f>
        <v>103142764.5</v>
      </c>
      <c r="AC4" s="5">
        <f>sofp!AC29</f>
        <v>103652356.67</v>
      </c>
      <c r="AD4" s="5">
        <f>sofp!AD29</f>
        <v>118759895.62</v>
      </c>
      <c r="AE4" s="5">
        <f>sofp!AE29</f>
        <v>110859747.94</v>
      </c>
      <c r="AF4" s="5">
        <f>sofp!AF29</f>
        <v>106545974.03</v>
      </c>
      <c r="AG4" s="5">
        <f>sofp!AG29</f>
        <v>108702742.65000001</v>
      </c>
      <c r="AH4" s="5">
        <f>sofp!AH29</f>
        <v>107477544.76000001</v>
      </c>
    </row>
    <row r="5" spans="1:34">
      <c r="A5" t="s">
        <v>88</v>
      </c>
      <c r="B5" s="5">
        <f>sofp!B28</f>
        <v>74005548.789999992</v>
      </c>
      <c r="C5" s="5">
        <f>sofp!C28</f>
        <v>74909237.439999998</v>
      </c>
      <c r="D5" s="5">
        <f>sofp!D28</f>
        <v>75827987.159999996</v>
      </c>
      <c r="E5" s="5">
        <f>sofp!E28</f>
        <v>76004399.900000006</v>
      </c>
      <c r="F5" s="5">
        <f>sofp!F28</f>
        <v>76848087.620000005</v>
      </c>
      <c r="G5" s="5">
        <f>sofp!G28</f>
        <v>77803091.670000002</v>
      </c>
      <c r="H5" s="5">
        <f>sofp!H28</f>
        <v>78350969.459999993</v>
      </c>
      <c r="I5" s="5">
        <f>sofp!I28</f>
        <v>80445980.530000001</v>
      </c>
      <c r="J5" s="5">
        <f>sofp!J28</f>
        <v>81494469.700000003</v>
      </c>
      <c r="K5" s="5">
        <f>sofp!K28</f>
        <v>81973863.359999999</v>
      </c>
      <c r="L5" s="5">
        <f>sofp!L28</f>
        <v>83125828.469999999</v>
      </c>
      <c r="M5" s="5">
        <f>sofp!M28</f>
        <v>84095875.609999999</v>
      </c>
      <c r="N5" s="5">
        <f>sofp!N28</f>
        <v>84095875.609999985</v>
      </c>
      <c r="O5" s="5">
        <f>sofp!O28</f>
        <v>85036076.599999994</v>
      </c>
      <c r="P5" s="5">
        <f>sofp!P28</f>
        <v>85833677.140000001</v>
      </c>
      <c r="Q5" s="5">
        <f>sofp!Q28</f>
        <v>86217200.230000004</v>
      </c>
      <c r="R5" s="5">
        <f>sofp!R28</f>
        <v>86876660.040000007</v>
      </c>
      <c r="S5" s="5">
        <f>sofp!S28</f>
        <v>86779455.879999995</v>
      </c>
      <c r="T5" s="5">
        <f>sofp!T28</f>
        <v>87509435.939999998</v>
      </c>
      <c r="U5" s="5">
        <f>sofp!U28</f>
        <v>88460867.569999993</v>
      </c>
      <c r="V5" s="5">
        <f>sofp!V28</f>
        <v>89159355.489999995</v>
      </c>
      <c r="W5" s="5">
        <f>sofp!W28</f>
        <v>0</v>
      </c>
      <c r="X5" s="5">
        <f>sofp!X28</f>
        <v>0</v>
      </c>
      <c r="Y5" s="5">
        <f>sofp!Y28</f>
        <v>0</v>
      </c>
      <c r="Z5" s="5">
        <f>sofp!Z28</f>
        <v>0</v>
      </c>
      <c r="AA5" s="5">
        <f>sofp!AA28</f>
        <v>103508022.09</v>
      </c>
      <c r="AB5" s="5">
        <f>sofp!AB28</f>
        <v>88882733.260000005</v>
      </c>
      <c r="AC5" s="5">
        <f>sofp!AC28</f>
        <v>89800752.650000006</v>
      </c>
      <c r="AD5" s="5">
        <f>sofp!AD28</f>
        <v>89729581.150000006</v>
      </c>
      <c r="AE5" s="5">
        <f>sofp!AE28</f>
        <v>90423825.239999995</v>
      </c>
      <c r="AF5" s="5">
        <f>sofp!AF28</f>
        <v>90497508.439999998</v>
      </c>
      <c r="AG5" s="5">
        <f>sofp!AG28</f>
        <v>91409162.030000001</v>
      </c>
      <c r="AH5" s="5">
        <f>sofp!AH28</f>
        <v>92742859.840000004</v>
      </c>
    </row>
    <row r="6" spans="1:34">
      <c r="A6" t="s">
        <v>89</v>
      </c>
      <c r="B6" s="5">
        <f>sofp!B26 + sofp!B28</f>
        <v>89619050.049999997</v>
      </c>
      <c r="C6" s="5">
        <f>sofp!C26 + sofp!C28</f>
        <v>88171607.150000006</v>
      </c>
      <c r="D6" s="5">
        <f>sofp!D26 + sofp!D28</f>
        <v>89463105.229999989</v>
      </c>
      <c r="E6" s="5">
        <f>sofp!E26 + sofp!E28</f>
        <v>103190448.41000001</v>
      </c>
      <c r="F6" s="5">
        <f>sofp!F26 + sofp!F28</f>
        <v>97081975.980000004</v>
      </c>
      <c r="G6" s="5">
        <f>sofp!G26 + sofp!G28</f>
        <v>96713037.859999999</v>
      </c>
      <c r="H6" s="5">
        <f>sofp!H26 + sofp!H28</f>
        <v>96528249.899999991</v>
      </c>
      <c r="I6" s="5">
        <f>sofp!I26 + sofp!I28</f>
        <v>98711057.370000005</v>
      </c>
      <c r="J6" s="5">
        <f>sofp!J26 + sofp!J28</f>
        <v>100077510.01000001</v>
      </c>
      <c r="K6" s="5">
        <f>sofp!K26 + sofp!K28</f>
        <v>100427993.62</v>
      </c>
      <c r="L6" s="5">
        <f>sofp!L26 + sofp!L28</f>
        <v>101877414.36</v>
      </c>
      <c r="M6" s="5">
        <f>sofp!M26 + sofp!M28</f>
        <v>102585218.38</v>
      </c>
      <c r="N6" s="5">
        <f>sofp!N26 + sofp!N28</f>
        <v>102585218.37999998</v>
      </c>
      <c r="O6" s="5">
        <f>sofp!O26 + sofp!O28</f>
        <v>101933954.64999999</v>
      </c>
      <c r="P6" s="5">
        <f>sofp!P26 + sofp!P28</f>
        <v>102149538.29000001</v>
      </c>
      <c r="Q6" s="5">
        <f>sofp!Q26 + sofp!Q28</f>
        <v>113723020.73</v>
      </c>
      <c r="R6" s="5">
        <f>sofp!R26 + sofp!R28</f>
        <v>109172403.30000001</v>
      </c>
      <c r="S6" s="5">
        <f>sofp!S26 + sofp!S28</f>
        <v>102210954.45999999</v>
      </c>
      <c r="T6" s="5">
        <f>sofp!T26 + sofp!T28</f>
        <v>104469975.22999999</v>
      </c>
      <c r="U6" s="5">
        <f>sofp!U26 + sofp!U28</f>
        <v>103615708.42999999</v>
      </c>
      <c r="V6" s="5">
        <f>sofp!V26 + sofp!V28</f>
        <v>103957944.92999999</v>
      </c>
      <c r="W6" s="5">
        <f>sofp!W26 + sofp!W28</f>
        <v>0</v>
      </c>
      <c r="X6" s="5">
        <f>sofp!X26 + sofp!X28</f>
        <v>0</v>
      </c>
      <c r="Y6" s="5">
        <f>sofp!Y26 + sofp!Y28</f>
        <v>0</v>
      </c>
      <c r="Z6" s="5">
        <f>sofp!Z26 + sofp!Z28</f>
        <v>0</v>
      </c>
      <c r="AA6" s="5">
        <f>sofp!AA26 + sofp!AA28</f>
        <v>103508022.09</v>
      </c>
      <c r="AB6" s="5">
        <f>sofp!AB26 + sofp!AB28</f>
        <v>103142764.5</v>
      </c>
      <c r="AC6" s="5">
        <f>sofp!AC26 + sofp!AC28</f>
        <v>103652356.67</v>
      </c>
      <c r="AD6" s="5">
        <f>sofp!AD26 + sofp!AD28</f>
        <v>118759895.62</v>
      </c>
      <c r="AE6" s="5">
        <f>sofp!AE26 + sofp!AE28</f>
        <v>110859747.94</v>
      </c>
      <c r="AF6" s="5">
        <f>sofp!AF26 + sofp!AF28</f>
        <v>106545974.03</v>
      </c>
      <c r="AG6" s="5">
        <f>sofp!AG26 + sofp!AG28</f>
        <v>108702742.65000001</v>
      </c>
      <c r="AH6" s="5">
        <f>sofp!AH26 + sofp!AH28</f>
        <v>107477544.76000001</v>
      </c>
    </row>
    <row r="7" spans="1:34">
      <c r="A7" t="s">
        <v>90</v>
      </c>
      <c r="B7" s="5">
        <f>sofp!B35</f>
        <v>0</v>
      </c>
      <c r="C7" s="5">
        <f>sofp!C35</f>
        <v>0</v>
      </c>
      <c r="D7" s="5">
        <f>sofp!D35</f>
        <v>0</v>
      </c>
      <c r="E7" s="5">
        <f>sofp!E35</f>
        <v>0</v>
      </c>
      <c r="F7" s="5">
        <f>sofp!F35</f>
        <v>0</v>
      </c>
      <c r="G7" s="5">
        <f>sofp!G35</f>
        <v>0</v>
      </c>
      <c r="H7" s="5">
        <f>sofp!H35</f>
        <v>0</v>
      </c>
      <c r="I7" s="5">
        <f>sofp!I35</f>
        <v>0</v>
      </c>
      <c r="J7" s="5">
        <f>sofp!J35</f>
        <v>0</v>
      </c>
      <c r="K7" s="5">
        <f>sofp!K35</f>
        <v>0</v>
      </c>
      <c r="L7" s="5">
        <f>sofp!L35</f>
        <v>0</v>
      </c>
      <c r="M7" s="5">
        <f>sofp!M35</f>
        <v>0</v>
      </c>
      <c r="N7" s="5">
        <f>sofp!N35</f>
        <v>0</v>
      </c>
      <c r="O7" s="5">
        <f>sofp!O35</f>
        <v>0</v>
      </c>
      <c r="P7" s="5">
        <f>sofp!P35</f>
        <v>0</v>
      </c>
      <c r="Q7" s="5">
        <f>sofp!Q35</f>
        <v>0</v>
      </c>
      <c r="R7" s="5">
        <f>sofp!R35</f>
        <v>0</v>
      </c>
      <c r="S7" s="5">
        <f>sofp!S35</f>
        <v>0</v>
      </c>
      <c r="T7" s="5">
        <f>sofp!T35</f>
        <v>0</v>
      </c>
      <c r="U7" s="5">
        <f>sofp!U35</f>
        <v>0</v>
      </c>
      <c r="V7" s="5">
        <f>sofp!V35</f>
        <v>0</v>
      </c>
      <c r="W7" s="5">
        <f>sofp!W35</f>
        <v>0</v>
      </c>
      <c r="X7" s="5">
        <f>sofp!X35</f>
        <v>0</v>
      </c>
      <c r="Y7" s="5">
        <f>sofp!Y35</f>
        <v>0</v>
      </c>
      <c r="Z7" s="5">
        <f>sofp!Z35</f>
        <v>0</v>
      </c>
      <c r="AA7" s="5">
        <f>sofp!AA35</f>
        <v>0</v>
      </c>
      <c r="AB7" s="5">
        <f>sofp!AB35</f>
        <v>0</v>
      </c>
      <c r="AC7" s="5">
        <f>sofp!AC35</f>
        <v>0</v>
      </c>
      <c r="AD7" s="5">
        <f>sofp!AD35</f>
        <v>0</v>
      </c>
      <c r="AE7" s="5">
        <f>sofp!AE35</f>
        <v>0</v>
      </c>
      <c r="AF7" s="5">
        <f>sofp!AF35</f>
        <v>0</v>
      </c>
      <c r="AG7" s="5">
        <f>sofp!AG35</f>
        <v>0</v>
      </c>
      <c r="AH7" s="5">
        <f>sofp!AH35</f>
        <v>0</v>
      </c>
    </row>
    <row r="8" spans="1:34">
      <c r="A8" t="s">
        <v>91</v>
      </c>
      <c r="B8" s="5">
        <f>SUM(sofp!B30:B34)</f>
        <v>5222100</v>
      </c>
      <c r="C8" s="5">
        <f>SUM(sofp!C30:C34)</f>
        <v>1373960</v>
      </c>
      <c r="D8" s="5">
        <f>SUM(sofp!D30:D34)</f>
        <v>1275820</v>
      </c>
      <c r="E8" s="5">
        <f>SUM(sofp!E30:E34)</f>
        <v>1177680</v>
      </c>
      <c r="F8" s="5">
        <f>SUM(sofp!F30:F34)</f>
        <v>0</v>
      </c>
      <c r="G8" s="5">
        <f>SUM(sofp!G30:G34)</f>
        <v>0</v>
      </c>
      <c r="H8" s="5">
        <f>SUM(sofp!H30:H34)</f>
        <v>0</v>
      </c>
      <c r="I8" s="5">
        <f>SUM(sofp!I30:I34)</f>
        <v>0</v>
      </c>
      <c r="J8" s="5">
        <f>SUM(sofp!J30:J34)</f>
        <v>0</v>
      </c>
      <c r="K8" s="5">
        <f>SUM(sofp!K30:K34)</f>
        <v>0</v>
      </c>
      <c r="L8" s="5">
        <f>SUM(sofp!L30:L34)</f>
        <v>0</v>
      </c>
      <c r="M8" s="5">
        <f>SUM(sofp!M30:M34)</f>
        <v>600000</v>
      </c>
      <c r="N8" s="5">
        <f>SUM(sofp!N30:N34)</f>
        <v>5012741</v>
      </c>
      <c r="O8" s="5">
        <f>SUM(sofp!O30:O34)</f>
        <v>0</v>
      </c>
      <c r="P8" s="5">
        <f>SUM(sofp!P30:P34)</f>
        <v>0</v>
      </c>
      <c r="Q8" s="5">
        <f>SUM(sofp!Q30:Q34)</f>
        <v>0</v>
      </c>
      <c r="R8" s="5">
        <f>SUM(sofp!R30:R34)</f>
        <v>3140480</v>
      </c>
      <c r="S8" s="5">
        <f>SUM(sofp!S30:S34)</f>
        <v>3042340</v>
      </c>
      <c r="T8" s="5">
        <f>SUM(sofp!T30:T34)</f>
        <v>2944200</v>
      </c>
      <c r="U8" s="5">
        <f>SUM(sofp!U30:U34)</f>
        <v>2846060</v>
      </c>
      <c r="V8" s="5">
        <f>SUM(sofp!V30:V34)</f>
        <v>2747920</v>
      </c>
      <c r="W8" s="5">
        <f>SUM(sofp!W30:W34)</f>
        <v>0</v>
      </c>
      <c r="X8" s="5">
        <f>SUM(sofp!X30:X34)</f>
        <v>0</v>
      </c>
      <c r="Y8" s="5">
        <f>SUM(sofp!Y30:Y34)</f>
        <v>0</v>
      </c>
      <c r="Z8" s="5">
        <f>SUM(sofp!Z30:Z34)</f>
        <v>0</v>
      </c>
      <c r="AA8" s="5">
        <f>SUM(sofp!AA30:AA34)</f>
        <v>9189567.1600000001</v>
      </c>
      <c r="AB8" s="5">
        <f>SUM(sofp!AB30:AB34)</f>
        <v>2257220</v>
      </c>
      <c r="AC8" s="5">
        <f>SUM(sofp!AC30:AC34)</f>
        <v>2159220</v>
      </c>
      <c r="AD8" s="5">
        <f>SUM(sofp!AD30:AD34)</f>
        <v>2061080</v>
      </c>
      <c r="AE8" s="5">
        <f>SUM(sofp!AE30:AE34)</f>
        <v>1962940</v>
      </c>
      <c r="AF8" s="5">
        <f>SUM(sofp!AF30:AF34)</f>
        <v>1864800</v>
      </c>
      <c r="AG8" s="5">
        <f>SUM(sofp!AG30:AG34)</f>
        <v>1766660</v>
      </c>
      <c r="AH8" s="5">
        <f>SUM(sofp!AH30:AH34)</f>
        <v>1668520</v>
      </c>
    </row>
    <row r="9" spans="1:34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1:34">
      <c r="A10" s="49" t="s">
        <v>92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>
      <c r="A11" t="s">
        <v>93</v>
      </c>
      <c r="B11" s="5">
        <f t="shared" ref="B11:C11" si="0">B14</f>
        <v>49513012.799999997</v>
      </c>
      <c r="C11" s="5">
        <f t="shared" si="0"/>
        <v>50440317.399999999</v>
      </c>
      <c r="D11" s="5">
        <f t="shared" ref="D11:M11" si="1">D14</f>
        <v>50895643.560000002</v>
      </c>
      <c r="E11" s="5">
        <f t="shared" si="1"/>
        <v>51500078.060000002</v>
      </c>
      <c r="F11" s="5">
        <f t="shared" si="1"/>
        <v>52184931.560000002</v>
      </c>
      <c r="G11" s="5">
        <f t="shared" si="1"/>
        <v>52845547.060000002</v>
      </c>
      <c r="H11" s="5">
        <f t="shared" si="1"/>
        <v>54530787.460000001</v>
      </c>
      <c r="I11" s="5">
        <f t="shared" si="1"/>
        <v>56097988.859999999</v>
      </c>
      <c r="J11" s="5">
        <f t="shared" si="1"/>
        <v>57104964.960000001</v>
      </c>
      <c r="K11" s="5">
        <f t="shared" si="1"/>
        <v>57362777.060000002</v>
      </c>
      <c r="L11" s="5">
        <f t="shared" si="1"/>
        <v>57683045.759999998</v>
      </c>
      <c r="M11" s="5">
        <f t="shared" si="1"/>
        <v>53042034.950000003</v>
      </c>
      <c r="N11" s="5">
        <f>N14-sofp!N11</f>
        <v>52329732.130000003</v>
      </c>
      <c r="O11" s="5">
        <f>O14-sofp!O11+38037055</f>
        <v>52745046.369999997</v>
      </c>
      <c r="P11" s="5">
        <f>P14-sofp!P11+38037055</f>
        <v>53392636.769999996</v>
      </c>
      <c r="Q11" s="5">
        <f>Q14-sofp!Q11+38037055</f>
        <v>53485599.370000005</v>
      </c>
      <c r="R11" s="5">
        <f>R14-sofp!R11+38037055</f>
        <v>54236287.370000005</v>
      </c>
      <c r="S11" s="5">
        <f>S14-sofp!S11+38037055</f>
        <v>54286208.759999998</v>
      </c>
      <c r="T11" s="5">
        <f>T14-sofp!T11+38037055</f>
        <v>55163748.159999996</v>
      </c>
      <c r="U11" s="5">
        <f>U14-sofp!U11+38037055</f>
        <v>52654710.960000001</v>
      </c>
      <c r="V11" s="5">
        <f>V14-sofp!V11+38037055</f>
        <v>54258122.659999996</v>
      </c>
      <c r="W11" s="5">
        <f>W14-sofp!W11</f>
        <v>0</v>
      </c>
      <c r="X11" s="5">
        <f>X14-sofp!X11</f>
        <v>0</v>
      </c>
      <c r="Y11" s="5">
        <f>Y14-sofp!Y11</f>
        <v>0</v>
      </c>
      <c r="Z11" s="5">
        <f>Z14-sofp!Z11</f>
        <v>0</v>
      </c>
      <c r="AA11" s="5">
        <f>AA14-sofp!AA11</f>
        <v>53286444.100000001</v>
      </c>
      <c r="AB11" s="5">
        <f>AB14-sofp!AB11</f>
        <v>15101565.719999999</v>
      </c>
      <c r="AC11" s="5">
        <f>AC14-sofp!AC11</f>
        <v>15922299.120000001</v>
      </c>
      <c r="AD11" s="5">
        <f>AD14-sofp!AD11</f>
        <v>16804083.82</v>
      </c>
      <c r="AE11" s="5">
        <f>AE14-sofp!AE11</f>
        <v>16975450.420000002</v>
      </c>
      <c r="AF11" s="5">
        <f>AF14-sofp!AF11</f>
        <v>17259370.52</v>
      </c>
      <c r="AG11" s="5">
        <f>AG14-sofp!AG11</f>
        <v>18582299.120000001</v>
      </c>
      <c r="AH11" s="5">
        <f>AH14-sofp!AH11</f>
        <v>20047978.219999999</v>
      </c>
    </row>
    <row r="12" spans="1:34">
      <c r="A12" t="s">
        <v>94</v>
      </c>
      <c r="B12" s="5">
        <f t="shared" ref="B12:C12" si="2">B11 - B15</f>
        <v>44327012.799999997</v>
      </c>
      <c r="C12" s="5">
        <f t="shared" si="2"/>
        <v>45254317.399999999</v>
      </c>
      <c r="D12" s="5">
        <f t="shared" ref="D12:N12" si="3">D11 - D15</f>
        <v>45709643.560000002</v>
      </c>
      <c r="E12" s="5">
        <f t="shared" si="3"/>
        <v>46314078.060000002</v>
      </c>
      <c r="F12" s="5">
        <f t="shared" si="3"/>
        <v>46998931.560000002</v>
      </c>
      <c r="G12" s="5">
        <f t="shared" si="3"/>
        <v>47659547.060000002</v>
      </c>
      <c r="H12" s="5">
        <f t="shared" si="3"/>
        <v>49344787.460000001</v>
      </c>
      <c r="I12" s="5">
        <f t="shared" si="3"/>
        <v>50911988.859999999</v>
      </c>
      <c r="J12" s="5">
        <f t="shared" si="3"/>
        <v>51918964.960000001</v>
      </c>
      <c r="K12" s="5">
        <f t="shared" si="3"/>
        <v>52176777.060000002</v>
      </c>
      <c r="L12" s="5">
        <f t="shared" si="3"/>
        <v>52497045.759999998</v>
      </c>
      <c r="M12" s="5">
        <f t="shared" si="3"/>
        <v>47856034.950000003</v>
      </c>
      <c r="N12" s="5">
        <f t="shared" si="3"/>
        <v>47143732.130000003</v>
      </c>
      <c r="O12" s="5">
        <f>O11 - O15+38037055</f>
        <v>85596101.370000005</v>
      </c>
      <c r="P12" s="5">
        <f>P11 - P15+38037055</f>
        <v>86243691.769999996</v>
      </c>
      <c r="Q12" s="5">
        <f t="shared" ref="Q12:R12" si="4">Q11 - Q15</f>
        <v>48299599.370000005</v>
      </c>
      <c r="R12" s="5">
        <f t="shared" si="4"/>
        <v>49050287.370000005</v>
      </c>
      <c r="S12" s="5">
        <f t="shared" ref="S12:V12" si="5">S11 - S15</f>
        <v>49100208.759999998</v>
      </c>
      <c r="T12" s="5">
        <f t="shared" si="5"/>
        <v>49977748.159999996</v>
      </c>
      <c r="U12" s="5">
        <f t="shared" si="5"/>
        <v>47468710.960000001</v>
      </c>
      <c r="V12" s="5">
        <f t="shared" si="5"/>
        <v>49072122.659999996</v>
      </c>
      <c r="W12" s="5">
        <f t="shared" ref="W12:Z12" si="6">W11 - W15</f>
        <v>0</v>
      </c>
      <c r="X12" s="5">
        <f t="shared" si="6"/>
        <v>0</v>
      </c>
      <c r="Y12" s="5">
        <f t="shared" si="6"/>
        <v>0</v>
      </c>
      <c r="Z12" s="5">
        <f t="shared" si="6"/>
        <v>0</v>
      </c>
      <c r="AA12" s="5">
        <f>AA11 - AA15+35037055.28</f>
        <v>42979444.100000001</v>
      </c>
      <c r="AB12" s="5">
        <f t="shared" ref="AB12:AH12" si="7">AB11 - AB15+35037055.28</f>
        <v>42831621</v>
      </c>
      <c r="AC12" s="5">
        <f t="shared" si="7"/>
        <v>43652354.400000006</v>
      </c>
      <c r="AD12" s="5">
        <f t="shared" si="7"/>
        <v>44534139.100000001</v>
      </c>
      <c r="AE12" s="5">
        <f t="shared" si="7"/>
        <v>44705505.700000003</v>
      </c>
      <c r="AF12" s="5">
        <f t="shared" si="7"/>
        <v>44989425.799999997</v>
      </c>
      <c r="AG12" s="5">
        <f t="shared" si="7"/>
        <v>46312354.400000006</v>
      </c>
      <c r="AH12" s="5">
        <f t="shared" si="7"/>
        <v>47778033.5</v>
      </c>
    </row>
    <row r="13" spans="1:34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1:34">
      <c r="A14" t="s">
        <v>95</v>
      </c>
      <c r="B14" s="5">
        <f t="shared" ref="B14:C14" si="8">SUM(B15:B17) + B19</f>
        <v>49513012.799999997</v>
      </c>
      <c r="C14" s="5">
        <f t="shared" si="8"/>
        <v>50440317.399999999</v>
      </c>
      <c r="D14" s="5">
        <f t="shared" ref="D14:N14" si="9">SUM(D15:D17) + D19</f>
        <v>50895643.560000002</v>
      </c>
      <c r="E14" s="5">
        <f t="shared" si="9"/>
        <v>51500078.060000002</v>
      </c>
      <c r="F14" s="5">
        <f t="shared" si="9"/>
        <v>52184931.560000002</v>
      </c>
      <c r="G14" s="5">
        <f t="shared" si="9"/>
        <v>52845547.060000002</v>
      </c>
      <c r="H14" s="5">
        <f t="shared" si="9"/>
        <v>54530787.460000001</v>
      </c>
      <c r="I14" s="5">
        <f t="shared" si="9"/>
        <v>56097988.859999999</v>
      </c>
      <c r="J14" s="5">
        <f t="shared" si="9"/>
        <v>57104964.960000001</v>
      </c>
      <c r="K14" s="5">
        <f t="shared" si="9"/>
        <v>57362777.060000002</v>
      </c>
      <c r="L14" s="5">
        <f t="shared" si="9"/>
        <v>57683045.759999998</v>
      </c>
      <c r="M14" s="5">
        <f t="shared" si="9"/>
        <v>53042034.950000003</v>
      </c>
      <c r="N14" s="5">
        <f t="shared" si="9"/>
        <v>53042035.130000003</v>
      </c>
      <c r="O14" s="5">
        <f t="shared" ref="O14:Q14" si="10">SUM(O15:O17) + O19</f>
        <v>15420294.369999999</v>
      </c>
      <c r="P14" s="5">
        <f t="shared" si="10"/>
        <v>16067884.77</v>
      </c>
      <c r="Q14" s="5">
        <f t="shared" si="10"/>
        <v>16160847.370000001</v>
      </c>
      <c r="R14" s="5">
        <f t="shared" ref="R14:V14" si="11">SUM(R15:R17) + R19</f>
        <v>16911535.370000001</v>
      </c>
      <c r="S14" s="5">
        <f t="shared" si="11"/>
        <v>16961456.759999998</v>
      </c>
      <c r="T14" s="5">
        <f t="shared" si="11"/>
        <v>17838996.16</v>
      </c>
      <c r="U14" s="5">
        <f t="shared" si="11"/>
        <v>18329958.960000001</v>
      </c>
      <c r="V14" s="5">
        <f t="shared" si="11"/>
        <v>19933370.659999996</v>
      </c>
      <c r="W14" s="5">
        <f t="shared" ref="W14:AA14" si="12">SUM(W15:W17) + W19</f>
        <v>0</v>
      </c>
      <c r="X14" s="5">
        <f t="shared" si="12"/>
        <v>0</v>
      </c>
      <c r="Y14" s="5">
        <f t="shared" si="12"/>
        <v>0</v>
      </c>
      <c r="Z14" s="5">
        <f t="shared" si="12"/>
        <v>0</v>
      </c>
      <c r="AA14" s="5">
        <f t="shared" si="12"/>
        <v>57224444.100000001</v>
      </c>
      <c r="AB14" s="5">
        <f t="shared" ref="AB14:AH14" si="13">SUM(AB15:AB17) + AB19</f>
        <v>19776868.719999999</v>
      </c>
      <c r="AC14" s="5">
        <f t="shared" si="13"/>
        <v>20597602.120000001</v>
      </c>
      <c r="AD14" s="5">
        <f t="shared" si="13"/>
        <v>21479386.82</v>
      </c>
      <c r="AE14" s="5">
        <f t="shared" si="13"/>
        <v>21650753.420000002</v>
      </c>
      <c r="AF14" s="5">
        <f t="shared" si="13"/>
        <v>21934673.52</v>
      </c>
      <c r="AG14" s="5">
        <f t="shared" si="13"/>
        <v>23257602.120000001</v>
      </c>
      <c r="AH14" s="5">
        <f t="shared" si="13"/>
        <v>24723281.219999999</v>
      </c>
    </row>
    <row r="15" spans="1:34">
      <c r="A15" t="s">
        <v>96</v>
      </c>
      <c r="B15" s="5">
        <f>sofp!B37</f>
        <v>5186000</v>
      </c>
      <c r="C15" s="5">
        <f>sofp!C37</f>
        <v>5186000</v>
      </c>
      <c r="D15" s="5">
        <f>sofp!D37</f>
        <v>5186000</v>
      </c>
      <c r="E15" s="5">
        <f>sofp!E37</f>
        <v>5186000</v>
      </c>
      <c r="F15" s="5">
        <f>sofp!F37</f>
        <v>5186000</v>
      </c>
      <c r="G15" s="5">
        <f>sofp!G37</f>
        <v>5186000</v>
      </c>
      <c r="H15" s="5">
        <f>sofp!H37</f>
        <v>5186000</v>
      </c>
      <c r="I15" s="5">
        <f>sofp!I37</f>
        <v>5186000</v>
      </c>
      <c r="J15" s="5">
        <f>sofp!J37</f>
        <v>5186000</v>
      </c>
      <c r="K15" s="5">
        <f>sofp!K37</f>
        <v>5186000</v>
      </c>
      <c r="L15" s="5">
        <f>sofp!L37</f>
        <v>5186000</v>
      </c>
      <c r="M15" s="5">
        <f>sofp!M37</f>
        <v>5186000</v>
      </c>
      <c r="N15" s="5">
        <f>sofp!N37</f>
        <v>5186000</v>
      </c>
      <c r="O15" s="5">
        <f>sofp!O37</f>
        <v>5186000</v>
      </c>
      <c r="P15" s="5">
        <f>sofp!P37</f>
        <v>5186000</v>
      </c>
      <c r="Q15" s="5">
        <f>sofp!Q37</f>
        <v>5186000</v>
      </c>
      <c r="R15" s="5">
        <f>sofp!R37</f>
        <v>5186000</v>
      </c>
      <c r="S15" s="5">
        <f>sofp!S37</f>
        <v>5186000</v>
      </c>
      <c r="T15" s="5">
        <f>sofp!T37</f>
        <v>5186000</v>
      </c>
      <c r="U15" s="5">
        <f>sofp!U37</f>
        <v>5186000</v>
      </c>
      <c r="V15" s="5">
        <f>sofp!V37</f>
        <v>5186000</v>
      </c>
      <c r="W15" s="5">
        <f>sofp!W37</f>
        <v>0</v>
      </c>
      <c r="X15" s="5">
        <f>sofp!X37</f>
        <v>0</v>
      </c>
      <c r="Y15" s="5">
        <f>sofp!Y37</f>
        <v>0</v>
      </c>
      <c r="Z15" s="5">
        <f>sofp!Z37</f>
        <v>0</v>
      </c>
      <c r="AA15" s="5">
        <f>sofp!AA37</f>
        <v>45344055.280000001</v>
      </c>
      <c r="AB15" s="5">
        <f>sofp!AB37</f>
        <v>7307000</v>
      </c>
      <c r="AC15" s="5">
        <f>sofp!AC37</f>
        <v>7307000</v>
      </c>
      <c r="AD15" s="5">
        <f>sofp!AD37</f>
        <v>7307000</v>
      </c>
      <c r="AE15" s="5">
        <f>sofp!AE37</f>
        <v>7307000</v>
      </c>
      <c r="AF15" s="5">
        <f>sofp!AF37</f>
        <v>7307000</v>
      </c>
      <c r="AG15" s="5">
        <f>sofp!AG37</f>
        <v>7307000</v>
      </c>
      <c r="AH15" s="5">
        <f>sofp!AH37</f>
        <v>7307000</v>
      </c>
    </row>
    <row r="16" spans="1:34">
      <c r="A16" t="s">
        <v>97</v>
      </c>
      <c r="B16" s="5">
        <f>sofp!B39 + sofp!B40</f>
        <v>2907717.5100000002</v>
      </c>
      <c r="C16" s="5">
        <f>sofp!C39 + sofp!C40</f>
        <v>3363151.59</v>
      </c>
      <c r="D16" s="5">
        <f>sofp!D39 + sofp!D40</f>
        <v>3438651.9099999997</v>
      </c>
      <c r="E16" s="5">
        <f>sofp!E39 + sofp!E40</f>
        <v>3661445.59</v>
      </c>
      <c r="F16" s="5">
        <f>sofp!F39 + sofp!F40</f>
        <v>3935461.4299999997</v>
      </c>
      <c r="G16" s="5">
        <f>sofp!G39 + sofp!G40</f>
        <v>4184116.2299999995</v>
      </c>
      <c r="H16" s="5">
        <f>sofp!H39 + sofp!H40</f>
        <v>5238899.3499999996</v>
      </c>
      <c r="I16" s="5">
        <f>sofp!I39 + sofp!I40</f>
        <v>6492660.4699999997</v>
      </c>
      <c r="J16" s="5">
        <f>sofp!J39 + sofp!J40</f>
        <v>7298241.3499999996</v>
      </c>
      <c r="K16" s="5">
        <f>sofp!K39 + sofp!K40</f>
        <v>7504491.0299999993</v>
      </c>
      <c r="L16" s="5">
        <f>sofp!L39 + sofp!L40</f>
        <v>7760705.9900000002</v>
      </c>
      <c r="M16" s="5">
        <f>sofp!M39 + sofp!M40</f>
        <v>3782201.51</v>
      </c>
      <c r="N16" s="5">
        <f>sofp!N39 + sofp!N40</f>
        <v>3782201.69</v>
      </c>
      <c r="O16" s="5">
        <f>sofp!O39 + sofp!O40</f>
        <v>4114453.2699999996</v>
      </c>
      <c r="P16" s="5">
        <f>sofp!P39 + sofp!P40</f>
        <v>4632525.59</v>
      </c>
      <c r="Q16" s="5">
        <f>sofp!Q39 + sofp!Q40</f>
        <v>4626895.67</v>
      </c>
      <c r="R16" s="5">
        <f>sofp!R39 + sofp!R40</f>
        <v>5307446.07</v>
      </c>
      <c r="S16" s="5">
        <f>sofp!S39 + sofp!S40</f>
        <v>5347383.1899999995</v>
      </c>
      <c r="T16" s="5">
        <f>sofp!T39 + sofp!T40</f>
        <v>6049414.71</v>
      </c>
      <c r="U16" s="5">
        <f>sofp!U39 + sofp!U40</f>
        <v>6442184.9499999993</v>
      </c>
      <c r="V16" s="5">
        <f>sofp!V39 + sofp!V40</f>
        <v>7724914.3099999996</v>
      </c>
      <c r="W16" s="5">
        <f>sofp!W39 + sofp!W40</f>
        <v>0</v>
      </c>
      <c r="X16" s="5">
        <f>sofp!X39 + sofp!X40</f>
        <v>0</v>
      </c>
      <c r="Y16" s="5">
        <f>sofp!Y39 + sofp!Y40</f>
        <v>0</v>
      </c>
      <c r="Z16" s="5">
        <f>sofp!Z39 + sofp!Z40</f>
        <v>0</v>
      </c>
      <c r="AA16" s="5">
        <f>sofp!AA39 + sofp!AA40</f>
        <v>4961328.8699999992</v>
      </c>
      <c r="AB16" s="5">
        <f>sofp!AB39 + sofp!AB40</f>
        <v>5432912.79</v>
      </c>
      <c r="AC16" s="5">
        <f>sofp!AC39 + sofp!AC40</f>
        <v>6089499.5099999998</v>
      </c>
      <c r="AD16" s="5">
        <f>sofp!AD39 + sofp!AD40</f>
        <v>6794927.2699999996</v>
      </c>
      <c r="AE16" s="5">
        <f>sofp!AE39 + sofp!AE40</f>
        <v>6932020.5499999998</v>
      </c>
      <c r="AF16" s="5">
        <f>sofp!AF39 + sofp!AF40</f>
        <v>7159156.6299999999</v>
      </c>
      <c r="AG16" s="5">
        <f>sofp!AG39 + sofp!AG40</f>
        <v>8217499.5099999998</v>
      </c>
      <c r="AH16" s="5">
        <f>sofp!AH39 + sofp!AH40</f>
        <v>9390042.7899999991</v>
      </c>
    </row>
    <row r="17" spans="1:34">
      <c r="A17" t="s">
        <v>42</v>
      </c>
      <c r="B17" s="5">
        <f>sofp!B41</f>
        <v>5484971.8600000003</v>
      </c>
      <c r="C17" s="5">
        <f>sofp!C41</f>
        <v>5598830.3799999999</v>
      </c>
      <c r="D17" s="5">
        <f>sofp!D41</f>
        <v>5617705.46</v>
      </c>
      <c r="E17" s="5">
        <f>sofp!E41</f>
        <v>5673403.8799999999</v>
      </c>
      <c r="F17" s="5">
        <f>sofp!F41</f>
        <v>5741907.8399999999</v>
      </c>
      <c r="G17" s="5">
        <f>sofp!G41</f>
        <v>5804071.54</v>
      </c>
      <c r="H17" s="5">
        <f>sofp!H41</f>
        <v>6067767.3200000003</v>
      </c>
      <c r="I17" s="5">
        <f>sofp!I41</f>
        <v>6381207.5999999996</v>
      </c>
      <c r="J17" s="5">
        <f>sofp!J41</f>
        <v>6582602.8200000003</v>
      </c>
      <c r="K17" s="5">
        <f>sofp!K41</f>
        <v>6634165.2400000002</v>
      </c>
      <c r="L17" s="5">
        <f>sofp!L41</f>
        <v>6698218.9800000004</v>
      </c>
      <c r="M17" s="5">
        <f>sofp!M41</f>
        <v>6036778.1600000001</v>
      </c>
      <c r="N17" s="5">
        <f>sofp!N41</f>
        <v>6036778.1600000001</v>
      </c>
      <c r="O17" s="5">
        <f>sofp!O41</f>
        <v>6119841.0999999996</v>
      </c>
      <c r="P17" s="5">
        <f>sofp!P41</f>
        <v>6249359.1799999997</v>
      </c>
      <c r="Q17" s="5">
        <f>sofp!Q41</f>
        <v>6347951.7000000002</v>
      </c>
      <c r="R17" s="5">
        <f>sofp!R41</f>
        <v>6418089.2999999998</v>
      </c>
      <c r="S17" s="5">
        <f>sofp!S41</f>
        <v>6428073.5700000003</v>
      </c>
      <c r="T17" s="5">
        <f>sofp!T41</f>
        <v>6603581.4500000002</v>
      </c>
      <c r="U17" s="5">
        <f>sofp!U41</f>
        <v>6701774.0099999998</v>
      </c>
      <c r="V17" s="5">
        <f>sofp!V41</f>
        <v>7022456.3499999996</v>
      </c>
      <c r="W17" s="5">
        <f>sofp!W41</f>
        <v>0</v>
      </c>
      <c r="X17" s="5">
        <f>sofp!X41</f>
        <v>0</v>
      </c>
      <c r="Y17" s="5">
        <f>sofp!Y41</f>
        <v>0</v>
      </c>
      <c r="Z17" s="5">
        <f>sofp!Z41</f>
        <v>0</v>
      </c>
      <c r="AA17" s="5">
        <f>sofp!AA41</f>
        <v>6919059.9500000002</v>
      </c>
      <c r="AB17" s="5">
        <f>sofp!AB41</f>
        <v>7036955.9299999997</v>
      </c>
      <c r="AC17" s="5">
        <f>sofp!AC41</f>
        <v>7201102.6100000003</v>
      </c>
      <c r="AD17" s="5">
        <f>sofp!AD41</f>
        <v>7377459.5499999998</v>
      </c>
      <c r="AE17" s="5">
        <f>sofp!AE41</f>
        <v>7411732.8700000001</v>
      </c>
      <c r="AF17" s="5">
        <f>sofp!AF41</f>
        <v>7468516.8899999997</v>
      </c>
      <c r="AG17" s="5">
        <f>sofp!AG41</f>
        <v>7733102.6100000003</v>
      </c>
      <c r="AH17" s="5">
        <f>sofp!AH41</f>
        <v>8026238.4299999997</v>
      </c>
    </row>
    <row r="18" spans="1:34">
      <c r="A18" t="s">
        <v>98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>
      <c r="A19" t="s">
        <v>99</v>
      </c>
      <c r="B19" s="5">
        <f>sofp!B42</f>
        <v>35934323.43</v>
      </c>
      <c r="C19" s="5">
        <f>sofp!C42</f>
        <v>36292335.43</v>
      </c>
      <c r="D19" s="5">
        <f>sofp!D42</f>
        <v>36653286.189999998</v>
      </c>
      <c r="E19" s="5">
        <f>sofp!E42</f>
        <v>36979228.590000004</v>
      </c>
      <c r="F19" s="5">
        <f>sofp!F42</f>
        <v>37321562.289999999</v>
      </c>
      <c r="G19" s="5">
        <f>sofp!G42</f>
        <v>37671359.289999999</v>
      </c>
      <c r="H19" s="5">
        <f>sofp!H42</f>
        <v>38038120.789999999</v>
      </c>
      <c r="I19" s="5">
        <f>sofp!I42</f>
        <v>38038120.789999999</v>
      </c>
      <c r="J19" s="5">
        <f>sofp!J42</f>
        <v>38038120.789999999</v>
      </c>
      <c r="K19" s="5">
        <f>sofp!K42</f>
        <v>38038120.789999999</v>
      </c>
      <c r="L19" s="5">
        <f>sofp!L42</f>
        <v>38038120.789999999</v>
      </c>
      <c r="M19" s="5">
        <f>sofp!M42</f>
        <v>38037055.280000001</v>
      </c>
      <c r="N19" s="5">
        <f>sofp!N42</f>
        <v>38037055.280000001</v>
      </c>
      <c r="O19" s="5">
        <f>sofp!O42</f>
        <v>0</v>
      </c>
      <c r="P19" s="5">
        <f>sofp!P42</f>
        <v>0</v>
      </c>
      <c r="Q19" s="5">
        <f>sofp!Q42</f>
        <v>0</v>
      </c>
      <c r="R19" s="5">
        <f>sofp!R42</f>
        <v>0</v>
      </c>
      <c r="S19" s="5">
        <f>sofp!S42</f>
        <v>0</v>
      </c>
      <c r="T19" s="5">
        <f>sofp!T42</f>
        <v>0</v>
      </c>
      <c r="U19" s="5">
        <f>sofp!U42</f>
        <v>0</v>
      </c>
      <c r="V19" s="5">
        <f>sofp!V42</f>
        <v>0</v>
      </c>
      <c r="W19" s="5">
        <f>sofp!W42</f>
        <v>0</v>
      </c>
      <c r="X19" s="5">
        <f>sofp!X42</f>
        <v>0</v>
      </c>
      <c r="Y19" s="5">
        <f>sofp!Y42</f>
        <v>0</v>
      </c>
      <c r="Z19" s="5">
        <f>sofp!Z42</f>
        <v>0</v>
      </c>
      <c r="AA19" s="5">
        <f>sofp!AA42</f>
        <v>0</v>
      </c>
      <c r="AB19" s="5">
        <f>sofp!AB42</f>
        <v>0</v>
      </c>
      <c r="AC19" s="5">
        <f>sofp!AC42</f>
        <v>0</v>
      </c>
      <c r="AD19" s="5">
        <f>sofp!AD42</f>
        <v>0</v>
      </c>
      <c r="AE19" s="5">
        <f>sofp!AE42</f>
        <v>0</v>
      </c>
      <c r="AF19" s="5">
        <f>sofp!AF42</f>
        <v>0</v>
      </c>
      <c r="AG19" s="5">
        <f>sofp!AG42</f>
        <v>0</v>
      </c>
      <c r="AH19" s="5">
        <f>sofp!AH42</f>
        <v>0</v>
      </c>
    </row>
    <row r="20" spans="1:34">
      <c r="A20" t="s">
        <v>45</v>
      </c>
      <c r="B20" s="5">
        <f>sofp!B44</f>
        <v>0</v>
      </c>
      <c r="C20" s="5">
        <f>sofp!C44</f>
        <v>0</v>
      </c>
      <c r="D20" s="5">
        <f>sofp!D44</f>
        <v>0</v>
      </c>
      <c r="E20" s="5">
        <f>sofp!E44</f>
        <v>0</v>
      </c>
      <c r="F20" s="5">
        <f>sofp!F44</f>
        <v>0</v>
      </c>
      <c r="G20" s="5">
        <f>sofp!G44</f>
        <v>0</v>
      </c>
      <c r="H20" s="5">
        <f>sofp!H44</f>
        <v>0</v>
      </c>
      <c r="I20" s="5">
        <f>sofp!I44</f>
        <v>0</v>
      </c>
      <c r="J20" s="5">
        <f>sofp!J44</f>
        <v>0</v>
      </c>
      <c r="K20" s="5">
        <f>sofp!K44</f>
        <v>0</v>
      </c>
      <c r="L20" s="5">
        <f>sofp!L44</f>
        <v>0</v>
      </c>
      <c r="M20" s="5">
        <f>sofp!M44</f>
        <v>0</v>
      </c>
      <c r="N20" s="5">
        <f>sofp!N44</f>
        <v>0</v>
      </c>
      <c r="O20" s="5">
        <f>sofp!O44</f>
        <v>0</v>
      </c>
      <c r="P20" s="5">
        <f>sofp!P44</f>
        <v>0</v>
      </c>
      <c r="Q20" s="5">
        <f>sofp!Q44</f>
        <v>0</v>
      </c>
      <c r="R20" s="5">
        <f>sofp!R44</f>
        <v>0</v>
      </c>
      <c r="S20" s="5">
        <f>sofp!S44</f>
        <v>0</v>
      </c>
      <c r="T20" s="5">
        <f>sofp!T44</f>
        <v>0</v>
      </c>
      <c r="U20" s="5">
        <f>sofp!U44</f>
        <v>0</v>
      </c>
      <c r="V20" s="5">
        <f>sofp!V44</f>
        <v>0</v>
      </c>
      <c r="W20" s="5">
        <f>sofp!W44</f>
        <v>0</v>
      </c>
      <c r="X20" s="5">
        <f>sofp!X44</f>
        <v>0</v>
      </c>
      <c r="Y20" s="5">
        <f>sofp!Y44</f>
        <v>0</v>
      </c>
      <c r="Z20" s="5">
        <f>sofp!Z44</f>
        <v>0</v>
      </c>
      <c r="AA20" s="5">
        <f>sofp!AA44</f>
        <v>0</v>
      </c>
      <c r="AB20" s="5">
        <f>sofp!AB44</f>
        <v>0</v>
      </c>
      <c r="AC20" s="5">
        <f>sofp!AC44</f>
        <v>0</v>
      </c>
      <c r="AD20" s="5">
        <f>sofp!AD44</f>
        <v>0</v>
      </c>
      <c r="AE20" s="5">
        <f>sofp!AE44</f>
        <v>0</v>
      </c>
      <c r="AF20" s="5">
        <f>sofp!AF44</f>
        <v>0</v>
      </c>
      <c r="AG20" s="5">
        <f>sofp!AG44</f>
        <v>0</v>
      </c>
      <c r="AH20" s="5">
        <f>sofp!AH44</f>
        <v>0</v>
      </c>
    </row>
    <row r="21" spans="1:34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>
      <c r="A22" s="49" t="s">
        <v>100</v>
      </c>
      <c r="B22" s="5">
        <f t="shared" ref="B22:C22" si="14">SUM(B23:B24)</f>
        <v>661303</v>
      </c>
      <c r="C22" s="5">
        <f t="shared" si="14"/>
        <v>661303</v>
      </c>
      <c r="D22" s="5">
        <f t="shared" ref="D22:N22" si="15">SUM(D23:D24)</f>
        <v>661303</v>
      </c>
      <c r="E22" s="5">
        <f t="shared" si="15"/>
        <v>661303</v>
      </c>
      <c r="F22" s="5">
        <f t="shared" si="15"/>
        <v>661303</v>
      </c>
      <c r="G22" s="5">
        <f t="shared" si="15"/>
        <v>661303</v>
      </c>
      <c r="H22" s="5">
        <f t="shared" si="15"/>
        <v>661303</v>
      </c>
      <c r="I22" s="5">
        <f t="shared" si="15"/>
        <v>661303</v>
      </c>
      <c r="J22" s="5">
        <f t="shared" si="15"/>
        <v>661303</v>
      </c>
      <c r="K22" s="5">
        <f t="shared" si="15"/>
        <v>661303</v>
      </c>
      <c r="L22" s="5">
        <f t="shared" si="15"/>
        <v>661303</v>
      </c>
      <c r="M22" s="5">
        <f t="shared" si="15"/>
        <v>712303</v>
      </c>
      <c r="N22" s="5">
        <f t="shared" si="15"/>
        <v>712303</v>
      </c>
      <c r="O22" s="5">
        <f t="shared" ref="O22:R22" si="16">SUM(O23:O24)</f>
        <v>712303</v>
      </c>
      <c r="P22" s="5">
        <f t="shared" si="16"/>
        <v>712303</v>
      </c>
      <c r="Q22" s="5">
        <f t="shared" si="16"/>
        <v>712303</v>
      </c>
      <c r="R22" s="5">
        <f t="shared" si="16"/>
        <v>712303</v>
      </c>
      <c r="S22" s="5">
        <f t="shared" ref="S22:V22" si="17">SUM(S23:S24)</f>
        <v>712303</v>
      </c>
      <c r="T22" s="5">
        <f t="shared" si="17"/>
        <v>712303</v>
      </c>
      <c r="U22" s="5">
        <f t="shared" si="17"/>
        <v>3712303</v>
      </c>
      <c r="V22" s="5">
        <f t="shared" si="17"/>
        <v>3712303</v>
      </c>
      <c r="W22" s="5">
        <f t="shared" ref="W22:AA22" si="18">SUM(W23:W24)</f>
        <v>0</v>
      </c>
      <c r="X22" s="5">
        <f t="shared" si="18"/>
        <v>0</v>
      </c>
      <c r="Y22" s="5">
        <f t="shared" si="18"/>
        <v>0</v>
      </c>
      <c r="Z22" s="5">
        <f t="shared" si="18"/>
        <v>0</v>
      </c>
      <c r="AA22" s="5">
        <f t="shared" si="18"/>
        <v>4675303</v>
      </c>
      <c r="AB22" s="5">
        <f t="shared" ref="AB22:AH22" si="19">SUM(AB23:AB24)</f>
        <v>4675303</v>
      </c>
      <c r="AC22" s="5">
        <f t="shared" si="19"/>
        <v>4675303</v>
      </c>
      <c r="AD22" s="5">
        <f t="shared" si="19"/>
        <v>4675303</v>
      </c>
      <c r="AE22" s="5">
        <f t="shared" si="19"/>
        <v>4675303</v>
      </c>
      <c r="AF22" s="5">
        <f t="shared" si="19"/>
        <v>4675303</v>
      </c>
      <c r="AG22" s="5">
        <f t="shared" si="19"/>
        <v>4675303</v>
      </c>
      <c r="AH22" s="5">
        <f t="shared" si="19"/>
        <v>4675303</v>
      </c>
    </row>
    <row r="23" spans="1:34">
      <c r="A23" t="s">
        <v>101</v>
      </c>
      <c r="B23" s="5">
        <f>sofp!B10</f>
        <v>0</v>
      </c>
      <c r="C23" s="5">
        <f>sofp!C10</f>
        <v>0</v>
      </c>
      <c r="D23" s="5">
        <f>sofp!D10</f>
        <v>0</v>
      </c>
      <c r="E23" s="5">
        <f>sofp!E10</f>
        <v>0</v>
      </c>
      <c r="F23" s="5">
        <f>sofp!F10</f>
        <v>0</v>
      </c>
      <c r="G23" s="5">
        <f>sofp!G10</f>
        <v>0</v>
      </c>
      <c r="H23" s="5">
        <f>sofp!H10</f>
        <v>0</v>
      </c>
      <c r="I23" s="5">
        <f>sofp!I10</f>
        <v>0</v>
      </c>
      <c r="J23" s="5">
        <f>sofp!J10</f>
        <v>0</v>
      </c>
      <c r="K23" s="5">
        <f>sofp!K10</f>
        <v>0</v>
      </c>
      <c r="L23" s="5">
        <f>sofp!L10</f>
        <v>0</v>
      </c>
      <c r="M23" s="5">
        <f>sofp!M10</f>
        <v>0</v>
      </c>
      <c r="N23" s="5">
        <f>sofp!N10</f>
        <v>0</v>
      </c>
      <c r="O23" s="5">
        <f>sofp!O10</f>
        <v>0</v>
      </c>
      <c r="P23" s="5">
        <f>sofp!P10</f>
        <v>0</v>
      </c>
      <c r="Q23" s="5">
        <f>sofp!Q10</f>
        <v>0</v>
      </c>
      <c r="R23" s="5">
        <f>sofp!R10</f>
        <v>0</v>
      </c>
      <c r="S23" s="5">
        <f>sofp!S10</f>
        <v>0</v>
      </c>
      <c r="T23" s="5">
        <f>sofp!T10</f>
        <v>0</v>
      </c>
      <c r="U23" s="5">
        <f>sofp!U10</f>
        <v>0</v>
      </c>
      <c r="V23" s="5">
        <f>sofp!V10</f>
        <v>0</v>
      </c>
      <c r="W23" s="5">
        <f>sofp!W10</f>
        <v>0</v>
      </c>
      <c r="X23" s="5">
        <f>sofp!X10</f>
        <v>0</v>
      </c>
      <c r="Y23" s="5">
        <f>sofp!Y10</f>
        <v>0</v>
      </c>
      <c r="Z23" s="5">
        <f>sofp!Z10</f>
        <v>0</v>
      </c>
      <c r="AA23" s="5">
        <f>sofp!AA10</f>
        <v>737303</v>
      </c>
      <c r="AB23" s="5">
        <f>sofp!AB10</f>
        <v>0</v>
      </c>
      <c r="AC23" s="5">
        <f>sofp!AC10</f>
        <v>0</v>
      </c>
      <c r="AD23" s="5">
        <f>sofp!AD10</f>
        <v>0</v>
      </c>
      <c r="AE23" s="5">
        <f>sofp!AE10</f>
        <v>0</v>
      </c>
      <c r="AF23" s="5">
        <f>sofp!AF10</f>
        <v>0</v>
      </c>
      <c r="AG23" s="5">
        <f>sofp!AG10</f>
        <v>0</v>
      </c>
      <c r="AH23" s="5">
        <f>sofp!AH10</f>
        <v>0</v>
      </c>
    </row>
    <row r="24" spans="1:34">
      <c r="A24" t="s">
        <v>102</v>
      </c>
      <c r="B24" s="5">
        <f>sofp!B9 + sofp!B11</f>
        <v>661303</v>
      </c>
      <c r="C24" s="5">
        <f>sofp!C9 + sofp!C11</f>
        <v>661303</v>
      </c>
      <c r="D24" s="5">
        <f>sofp!D9 + sofp!D11</f>
        <v>661303</v>
      </c>
      <c r="E24" s="5">
        <f>sofp!E9 + sofp!E11</f>
        <v>661303</v>
      </c>
      <c r="F24" s="5">
        <f>sofp!F9 + sofp!F11</f>
        <v>661303</v>
      </c>
      <c r="G24" s="5">
        <f>sofp!G9 + sofp!G11</f>
        <v>661303</v>
      </c>
      <c r="H24" s="5">
        <f>sofp!H9 + sofp!H11</f>
        <v>661303</v>
      </c>
      <c r="I24" s="5">
        <f>sofp!I9 + sofp!I11</f>
        <v>661303</v>
      </c>
      <c r="J24" s="5">
        <f>sofp!J9 + sofp!J11</f>
        <v>661303</v>
      </c>
      <c r="K24" s="5">
        <f>sofp!K9 + sofp!K11</f>
        <v>661303</v>
      </c>
      <c r="L24" s="5">
        <f>sofp!L9 + sofp!L11</f>
        <v>661303</v>
      </c>
      <c r="M24" s="5">
        <f>sofp!M9 + sofp!M11</f>
        <v>712303</v>
      </c>
      <c r="N24" s="5">
        <f>sofp!N9 + sofp!N11</f>
        <v>712303</v>
      </c>
      <c r="O24" s="5">
        <f>sofp!O9 + sofp!O11</f>
        <v>712303</v>
      </c>
      <c r="P24" s="5">
        <f>sofp!P9 + sofp!P11</f>
        <v>712303</v>
      </c>
      <c r="Q24" s="5">
        <f>sofp!Q9 + sofp!Q11</f>
        <v>712303</v>
      </c>
      <c r="R24" s="5">
        <f>sofp!R9 + sofp!R11</f>
        <v>712303</v>
      </c>
      <c r="S24" s="5">
        <f>sofp!S9 + sofp!S11</f>
        <v>712303</v>
      </c>
      <c r="T24" s="5">
        <f>sofp!T9 + sofp!T11</f>
        <v>712303</v>
      </c>
      <c r="U24" s="5">
        <f>sofp!U9 + sofp!U11</f>
        <v>3712303</v>
      </c>
      <c r="V24" s="5">
        <f>sofp!V9 + sofp!V11</f>
        <v>3712303</v>
      </c>
      <c r="W24" s="5">
        <f>sofp!W9 + sofp!W11</f>
        <v>0</v>
      </c>
      <c r="X24" s="5">
        <f>sofp!X9 + sofp!X11</f>
        <v>0</v>
      </c>
      <c r="Y24" s="5">
        <f>sofp!Y9 + sofp!Y11</f>
        <v>0</v>
      </c>
      <c r="Z24" s="5">
        <f>sofp!Z9 + sofp!Z11</f>
        <v>0</v>
      </c>
      <c r="AA24" s="5">
        <f>sofp!AA9 + sofp!AA11</f>
        <v>3938000</v>
      </c>
      <c r="AB24" s="5">
        <f>sofp!AB9 + sofp!AB11</f>
        <v>4675303</v>
      </c>
      <c r="AC24" s="5">
        <f>sofp!AC9 + sofp!AC11</f>
        <v>4675303</v>
      </c>
      <c r="AD24" s="5">
        <f>sofp!AD9 + sofp!AD11</f>
        <v>4675303</v>
      </c>
      <c r="AE24" s="5">
        <f>sofp!AE9 + sofp!AE11</f>
        <v>4675303</v>
      </c>
      <c r="AF24" s="5">
        <f>sofp!AF9 + sofp!AF11</f>
        <v>4675303</v>
      </c>
      <c r="AG24" s="5">
        <f>sofp!AG9 + sofp!AG11</f>
        <v>4675303</v>
      </c>
      <c r="AH24" s="5">
        <f>sofp!AH9 + sofp!AH11</f>
        <v>4675303</v>
      </c>
    </row>
    <row r="25" spans="1:34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</row>
    <row r="26" spans="1:34">
      <c r="A26" s="49" t="s">
        <v>103</v>
      </c>
      <c r="B26" s="5">
        <f t="shared" ref="B26:C26" si="20">B27 - B28</f>
        <v>56045241.309999995</v>
      </c>
      <c r="C26" s="5">
        <f t="shared" si="20"/>
        <v>60648362.659999996</v>
      </c>
      <c r="D26" s="5">
        <f t="shared" ref="D26:N26" si="21">D27 - D28</f>
        <v>58851209.890000001</v>
      </c>
      <c r="E26" s="5">
        <f t="shared" si="21"/>
        <v>55392165.57</v>
      </c>
      <c r="F26" s="5">
        <f t="shared" si="21"/>
        <v>57826486.07</v>
      </c>
      <c r="G26" s="5">
        <f t="shared" si="21"/>
        <v>61350104.560000002</v>
      </c>
      <c r="H26" s="5">
        <f t="shared" si="21"/>
        <v>62144242.960000001</v>
      </c>
      <c r="I26" s="5">
        <f t="shared" si="21"/>
        <v>64618145.979999997</v>
      </c>
      <c r="J26" s="5">
        <f t="shared" si="21"/>
        <v>65371984.669999994</v>
      </c>
      <c r="K26" s="5">
        <f t="shared" si="21"/>
        <v>66216475.490000002</v>
      </c>
      <c r="L26" s="5">
        <f t="shared" si="21"/>
        <v>66580328.969999999</v>
      </c>
      <c r="M26" s="5">
        <f t="shared" si="21"/>
        <v>67339933.510000005</v>
      </c>
      <c r="N26" s="5">
        <f t="shared" si="21"/>
        <v>67339933.510000005</v>
      </c>
      <c r="O26" s="5">
        <f t="shared" ref="O26:R26" si="22">O27 - O28</f>
        <v>72724362.75</v>
      </c>
      <c r="P26" s="5">
        <f t="shared" si="22"/>
        <v>73512983.109999999</v>
      </c>
      <c r="Q26" s="5">
        <f t="shared" si="22"/>
        <v>68149427.560000002</v>
      </c>
      <c r="R26" s="5">
        <f t="shared" si="22"/>
        <v>73544752.530000001</v>
      </c>
      <c r="S26" s="5">
        <f t="shared" ref="S26:V26" si="23">S27 - S28</f>
        <v>84194623.840000004</v>
      </c>
      <c r="T26" s="5">
        <f t="shared" si="23"/>
        <v>85894938.75</v>
      </c>
      <c r="U26" s="5">
        <f t="shared" si="23"/>
        <v>93602090.430000007</v>
      </c>
      <c r="V26" s="5">
        <f t="shared" si="23"/>
        <v>84878317.540000007</v>
      </c>
      <c r="W26" s="5">
        <f t="shared" ref="W26:AA26" si="24">W27 - W28</f>
        <v>0</v>
      </c>
      <c r="X26" s="5">
        <f t="shared" si="24"/>
        <v>0</v>
      </c>
      <c r="Y26" s="5">
        <f t="shared" si="24"/>
        <v>0</v>
      </c>
      <c r="Z26" s="5">
        <f t="shared" si="24"/>
        <v>0</v>
      </c>
      <c r="AA26" s="5">
        <f t="shared" si="24"/>
        <v>85182900.390000001</v>
      </c>
      <c r="AB26" s="5">
        <f t="shared" ref="AB26:AH26" si="25">AB27 - AB28</f>
        <v>82962718.609999999</v>
      </c>
      <c r="AC26" s="5">
        <f t="shared" si="25"/>
        <v>86932804.180000007</v>
      </c>
      <c r="AD26" s="5">
        <f t="shared" si="25"/>
        <v>81103304.840000004</v>
      </c>
      <c r="AE26" s="5">
        <f t="shared" si="25"/>
        <v>80844999.960000008</v>
      </c>
      <c r="AF26" s="5">
        <f t="shared" si="25"/>
        <v>81071195.840000004</v>
      </c>
      <c r="AG26" s="5">
        <f t="shared" si="25"/>
        <v>83281568.560000002</v>
      </c>
      <c r="AH26" s="5">
        <f t="shared" si="25"/>
        <v>80437434.270000011</v>
      </c>
    </row>
    <row r="27" spans="1:34">
      <c r="A27" t="s">
        <v>104</v>
      </c>
      <c r="B27" s="5">
        <f>sofp!B13</f>
        <v>57365818.869999997</v>
      </c>
      <c r="C27" s="5">
        <f>sofp!C13</f>
        <v>62076595.68</v>
      </c>
      <c r="D27" s="5">
        <f>sofp!D13</f>
        <v>60379033.460000001</v>
      </c>
      <c r="E27" s="5">
        <f>sofp!E13</f>
        <v>57030943.990000002</v>
      </c>
      <c r="F27" s="5">
        <f>sofp!F13</f>
        <v>59212361.850000001</v>
      </c>
      <c r="G27" s="5">
        <f>sofp!G13</f>
        <v>62939748.200000003</v>
      </c>
      <c r="H27" s="5">
        <f>sofp!H13</f>
        <v>63778714.509999998</v>
      </c>
      <c r="I27" s="5">
        <f>sofp!I13</f>
        <v>66314083.859999999</v>
      </c>
      <c r="J27" s="5">
        <f>sofp!J13</f>
        <v>66795065.549999997</v>
      </c>
      <c r="K27" s="5">
        <f>sofp!K13</f>
        <v>67805971.760000005</v>
      </c>
      <c r="L27" s="5">
        <f>sofp!L13</f>
        <v>68586040.719999999</v>
      </c>
      <c r="M27" s="5">
        <f>sofp!M13</f>
        <v>69038024.290000007</v>
      </c>
      <c r="N27" s="5">
        <f>sofp!N13</f>
        <v>69038024.290000007</v>
      </c>
      <c r="O27" s="5">
        <f>sofp!O13</f>
        <v>74541965.109999999</v>
      </c>
      <c r="P27" s="5">
        <f>sofp!P13</f>
        <v>75387405.269999996</v>
      </c>
      <c r="Q27" s="5">
        <f>sofp!Q13</f>
        <v>70174336.790000007</v>
      </c>
      <c r="R27" s="5">
        <f>sofp!R13</f>
        <v>75666974.900000006</v>
      </c>
      <c r="S27" s="5">
        <f>sofp!S13</f>
        <v>86661210.280000001</v>
      </c>
      <c r="T27" s="5">
        <f>sofp!T13</f>
        <v>88293829.920000002</v>
      </c>
      <c r="U27" s="5">
        <f>sofp!U13</f>
        <v>96115932.290000007</v>
      </c>
      <c r="V27" s="5">
        <f>sofp!V13</f>
        <v>86784508.650000006</v>
      </c>
      <c r="W27" s="5">
        <f>sofp!W13</f>
        <v>0</v>
      </c>
      <c r="X27" s="5">
        <f>sofp!X13</f>
        <v>0</v>
      </c>
      <c r="Y27" s="5">
        <f>sofp!Y13</f>
        <v>0</v>
      </c>
      <c r="Z27" s="5">
        <f>sofp!Z13</f>
        <v>0</v>
      </c>
      <c r="AA27" s="5">
        <f>sofp!AA13</f>
        <v>87521945.390000001</v>
      </c>
      <c r="AB27" s="5">
        <f>sofp!AB13</f>
        <v>85380017.75</v>
      </c>
      <c r="AC27" s="5">
        <f>sofp!AC13</f>
        <v>88986400.840000004</v>
      </c>
      <c r="AD27" s="5">
        <f>sofp!AD13</f>
        <v>83079817.5</v>
      </c>
      <c r="AE27" s="5">
        <f>sofp!AE13</f>
        <v>83179789.090000004</v>
      </c>
      <c r="AF27" s="5">
        <f>sofp!AF13</f>
        <v>83569675.900000006</v>
      </c>
      <c r="AG27" s="5">
        <f>sofp!AG13</f>
        <v>85620613.900000006</v>
      </c>
      <c r="AH27" s="5">
        <f>sofp!AH13</f>
        <v>82060705.010000005</v>
      </c>
    </row>
    <row r="28" spans="1:34">
      <c r="A28" t="s">
        <v>105</v>
      </c>
      <c r="B28" s="5">
        <f>sofp!B14</f>
        <v>1320577.56</v>
      </c>
      <c r="C28" s="5">
        <f>sofp!C14</f>
        <v>1428233.02</v>
      </c>
      <c r="D28" s="5">
        <f>sofp!D14</f>
        <v>1527823.57</v>
      </c>
      <c r="E28" s="5">
        <f>sofp!E14</f>
        <v>1638778.42</v>
      </c>
      <c r="F28" s="5">
        <f>sofp!F14</f>
        <v>1385875.78</v>
      </c>
      <c r="G28" s="5">
        <f>sofp!G14</f>
        <v>1589643.64</v>
      </c>
      <c r="H28" s="5">
        <f>sofp!H14</f>
        <v>1634471.55</v>
      </c>
      <c r="I28" s="5">
        <f>sofp!I14</f>
        <v>1695937.88</v>
      </c>
      <c r="J28" s="5">
        <f>sofp!J14</f>
        <v>1423080.88</v>
      </c>
      <c r="K28" s="5">
        <f>sofp!K14</f>
        <v>1589496.27</v>
      </c>
      <c r="L28" s="5">
        <f>sofp!L14</f>
        <v>2005711.75</v>
      </c>
      <c r="M28" s="5">
        <f>sofp!M14</f>
        <v>1698090.78</v>
      </c>
      <c r="N28" s="5">
        <f>sofp!N14</f>
        <v>1698090.78</v>
      </c>
      <c r="O28" s="5">
        <f>sofp!O14</f>
        <v>1817602.36</v>
      </c>
      <c r="P28" s="5">
        <f>sofp!P14</f>
        <v>1874422.16</v>
      </c>
      <c r="Q28" s="5">
        <f>sofp!Q14</f>
        <v>2024909.23</v>
      </c>
      <c r="R28" s="5">
        <f>sofp!R14</f>
        <v>2122222.37</v>
      </c>
      <c r="S28" s="5">
        <f>sofp!S14</f>
        <v>2466586.44</v>
      </c>
      <c r="T28" s="5">
        <f>sofp!T14</f>
        <v>2398891.17</v>
      </c>
      <c r="U28" s="5">
        <f>sofp!U14</f>
        <v>2513841.86</v>
      </c>
      <c r="V28" s="5">
        <f>sofp!V14</f>
        <v>1906191.11</v>
      </c>
      <c r="W28" s="5">
        <f>sofp!W14</f>
        <v>0</v>
      </c>
      <c r="X28" s="5">
        <f>sofp!X14</f>
        <v>0</v>
      </c>
      <c r="Y28" s="5">
        <f>sofp!Y14</f>
        <v>0</v>
      </c>
      <c r="Z28" s="5">
        <f>sofp!Z14</f>
        <v>0</v>
      </c>
      <c r="AA28" s="5">
        <f>sofp!AA14</f>
        <v>2339045</v>
      </c>
      <c r="AB28" s="5">
        <f>sofp!AB14</f>
        <v>2417299.14</v>
      </c>
      <c r="AC28" s="5">
        <f>sofp!AC14</f>
        <v>2053596.66</v>
      </c>
      <c r="AD28" s="5">
        <f>sofp!AD14</f>
        <v>1976512.66</v>
      </c>
      <c r="AE28" s="5">
        <f>sofp!AE14</f>
        <v>2334789.13</v>
      </c>
      <c r="AF28" s="5">
        <f>sofp!AF14</f>
        <v>2498480.06</v>
      </c>
      <c r="AG28" s="5">
        <f>sofp!AG14</f>
        <v>2339045.34</v>
      </c>
      <c r="AH28" s="5">
        <f>sofp!AH14</f>
        <v>1623270.74</v>
      </c>
    </row>
    <row r="29" spans="1:34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>
      <c r="A30" s="49" t="s">
        <v>106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>
      <c r="A31" t="s">
        <v>107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>
      <c r="A32" t="s">
        <v>108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>
      <c r="A33" t="s">
        <v>109</v>
      </c>
      <c r="B33" s="5">
        <f>sofp!B3</f>
        <v>20169730.780000001</v>
      </c>
      <c r="C33" s="5">
        <f>sofp!C3</f>
        <v>14896096.26</v>
      </c>
      <c r="D33" s="5">
        <f>sofp!D3</f>
        <v>16021231.91</v>
      </c>
      <c r="E33" s="5">
        <f>sofp!E3</f>
        <v>34153089.07</v>
      </c>
      <c r="F33" s="5">
        <f>sofp!F3</f>
        <v>25607703.719999999</v>
      </c>
      <c r="G33" s="5">
        <f>sofp!G3</f>
        <v>20680620.170000002</v>
      </c>
      <c r="H33" s="5">
        <f>sofp!H3</f>
        <v>21452163.16</v>
      </c>
      <c r="I33" s="5">
        <f>sofp!I3</f>
        <v>21208465.350000001</v>
      </c>
      <c r="J33" s="5">
        <f>sofp!J3</f>
        <v>21425653.140000001</v>
      </c>
      <c r="K33" s="5">
        <f>sofp!K3</f>
        <v>21992718.039999999</v>
      </c>
      <c r="L33" s="5">
        <f>sofp!L3</f>
        <v>21523751.620000001</v>
      </c>
      <c r="M33" s="5">
        <f>sofp!M3</f>
        <v>23211656.449999999</v>
      </c>
      <c r="N33" s="5">
        <f>sofp!N3</f>
        <v>23211656.449999999</v>
      </c>
      <c r="O33" s="5">
        <f>sofp!O3</f>
        <v>17122718.199999999</v>
      </c>
      <c r="P33" s="5">
        <f>sofp!P3</f>
        <v>17127711.23</v>
      </c>
      <c r="Q33" s="5">
        <f>sofp!Q3</f>
        <v>33618206.969999999</v>
      </c>
      <c r="R33" s="5">
        <f>sofp!R3</f>
        <v>24261358.260000002</v>
      </c>
      <c r="S33" s="5">
        <f>sofp!S3</f>
        <v>14456515.76</v>
      </c>
      <c r="T33" s="5">
        <f>sofp!T3</f>
        <v>14896359.73</v>
      </c>
      <c r="U33" s="5">
        <f>sofp!U3</f>
        <v>6795058.3300000001</v>
      </c>
      <c r="V33" s="5">
        <f>sofp!V3</f>
        <v>6446838.8399999999</v>
      </c>
      <c r="W33" s="5">
        <f>sofp!W3</f>
        <v>0</v>
      </c>
      <c r="X33" s="5">
        <f>sofp!X3</f>
        <v>0</v>
      </c>
      <c r="Y33" s="5">
        <f>sofp!Y3</f>
        <v>0</v>
      </c>
      <c r="Z33" s="5">
        <f>sofp!Z3</f>
        <v>0</v>
      </c>
      <c r="AA33" s="5">
        <f>sofp!AA3</f>
        <v>14090331.68</v>
      </c>
      <c r="AB33" s="5">
        <f>sofp!AB3</f>
        <v>13483485.91</v>
      </c>
      <c r="AC33" s="5">
        <f>sofp!AC3</f>
        <v>10557148.279999999</v>
      </c>
      <c r="AD33" s="5">
        <f>sofp!AD3</f>
        <v>31706573.5</v>
      </c>
      <c r="AE33" s="5">
        <f>sofp!AE3</f>
        <v>19968277.43</v>
      </c>
      <c r="AF33" s="5">
        <f>sofp!AF3</f>
        <v>14471978.449999999</v>
      </c>
      <c r="AG33" s="5">
        <f>sofp!AG3</f>
        <v>16453237.560000001</v>
      </c>
      <c r="AH33" s="5">
        <f>sofp!AH3</f>
        <v>15088392.91</v>
      </c>
    </row>
    <row r="34" spans="1:34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>
      <c r="A35" s="49" t="s">
        <v>110</v>
      </c>
      <c r="B35" s="5">
        <f>sofp!B19 + sofp!B6</f>
        <v>67477864.760000005</v>
      </c>
      <c r="C35" s="5">
        <f>sofp!C19 + sofp!C6</f>
        <v>63780122.630000003</v>
      </c>
      <c r="D35" s="5">
        <f>sofp!D19 + sofp!D6</f>
        <v>66100823.990000002</v>
      </c>
      <c r="E35" s="5">
        <f>sofp!E19 + sofp!E6</f>
        <v>65661648.829999998</v>
      </c>
      <c r="F35" s="5">
        <f>sofp!F19 + sofp!F6</f>
        <v>65171414.750000007</v>
      </c>
      <c r="G35" s="5">
        <f>sofp!G19 + sofp!G6</f>
        <v>66866557.189999998</v>
      </c>
      <c r="H35" s="5">
        <f>sofp!H19 + sofp!H6</f>
        <v>66801328.240000002</v>
      </c>
      <c r="I35" s="5">
        <f>sofp!I19 + sofp!I6</f>
        <v>68321131.900000006</v>
      </c>
      <c r="J35" s="5">
        <f>sofp!J19 + sofp!J6</f>
        <v>69723534.159999996</v>
      </c>
      <c r="K35" s="5">
        <f>sofp!K19 + sofp!K6</f>
        <v>68920274.150000006</v>
      </c>
      <c r="L35" s="5">
        <f>sofp!L19 + sofp!L6</f>
        <v>70795076.530000001</v>
      </c>
      <c r="M35" s="5">
        <f>sofp!M19 + sofp!M6</f>
        <v>69376101.36999999</v>
      </c>
      <c r="N35" s="5">
        <f>sofp!N19 + sofp!N6</f>
        <v>69376101.549999997</v>
      </c>
      <c r="O35" s="5">
        <f>sofp!O19 + sofp!O6</f>
        <v>64831920.349999994</v>
      </c>
      <c r="P35" s="5">
        <f>sofp!P19 + sofp!P6</f>
        <v>64901481</v>
      </c>
      <c r="Q35" s="5">
        <f>sofp!Q19 + sofp!Q6</f>
        <v>65440985.850000009</v>
      </c>
      <c r="R35" s="5">
        <f>sofp!R19 + sofp!R6</f>
        <v>68743060.159999996</v>
      </c>
      <c r="S35" s="5">
        <f>sofp!S19 + sofp!S6</f>
        <v>60888363.900000006</v>
      </c>
      <c r="T35" s="5">
        <f>sofp!T19 + sofp!T6</f>
        <v>61786625.189999998</v>
      </c>
      <c r="U35" s="5">
        <f>sofp!U19 + sofp!U6</f>
        <v>58719330.910000011</v>
      </c>
      <c r="V35" s="5">
        <f>sofp!V19 + sofp!V6</f>
        <v>69638831.49000001</v>
      </c>
      <c r="W35" s="5">
        <f>sofp!W19 + sofp!W6</f>
        <v>0</v>
      </c>
      <c r="X35" s="5">
        <f>sofp!X19 + sofp!X6</f>
        <v>0</v>
      </c>
      <c r="Y35" s="5">
        <f>sofp!Y19 + sofp!Y6</f>
        <v>0</v>
      </c>
      <c r="Z35" s="5">
        <f>sofp!Z19 + sofp!Z6</f>
        <v>0</v>
      </c>
      <c r="AA35" s="5">
        <f>sofp!AA19 + sofp!AA6</f>
        <v>65973498.620000005</v>
      </c>
      <c r="AB35" s="5">
        <f>sofp!AB19 + sofp!AB6</f>
        <v>62092400.980000004</v>
      </c>
      <c r="AC35" s="5">
        <f>sofp!AC19 + sofp!AC6</f>
        <v>62280978.609999999</v>
      </c>
      <c r="AD35" s="5">
        <f>sofp!AD19 + sofp!AD6</f>
        <v>62852236.379999995</v>
      </c>
      <c r="AE35" s="5">
        <f>sofp!AE19 + sofp!AE6</f>
        <v>67021916.250000007</v>
      </c>
      <c r="AF35" s="5">
        <f>sofp!AF19 + sofp!AF6</f>
        <v>68164025.539999992</v>
      </c>
      <c r="AG35" s="5">
        <f>sofp!AG19 + sofp!AG6</f>
        <v>67353950.929999992</v>
      </c>
      <c r="AH35" s="5">
        <f>sofp!AH19 + sofp!AH6</f>
        <v>71705271.079999998</v>
      </c>
    </row>
    <row r="36" spans="1:34">
      <c r="A36" t="s">
        <v>22</v>
      </c>
      <c r="B36" s="5">
        <f>sofp!B21</f>
        <v>55251628.100000001</v>
      </c>
      <c r="C36" s="5">
        <f>sofp!C21</f>
        <v>3060950.56</v>
      </c>
      <c r="D36" s="5">
        <f>sofp!D21</f>
        <v>3050563.16</v>
      </c>
      <c r="E36" s="5">
        <f>sofp!E21</f>
        <v>3036139.89</v>
      </c>
      <c r="F36" s="5">
        <f>sofp!F21</f>
        <v>3076897.02</v>
      </c>
      <c r="G36" s="5">
        <f>sofp!G21</f>
        <v>2944822.77</v>
      </c>
      <c r="H36" s="5">
        <f>sofp!H21</f>
        <v>3024964.57</v>
      </c>
      <c r="I36" s="5">
        <f>sofp!I21</f>
        <v>3008085.51</v>
      </c>
      <c r="J36" s="5">
        <f>sofp!J21</f>
        <v>3053742.23</v>
      </c>
      <c r="K36" s="5">
        <f>sofp!K21</f>
        <v>3146743.67</v>
      </c>
      <c r="L36" s="5">
        <f>sofp!L21</f>
        <v>3127177.04</v>
      </c>
      <c r="M36" s="5">
        <f>sofp!M21</f>
        <v>54759560.159999996</v>
      </c>
      <c r="N36" s="5">
        <f>sofp!N21</f>
        <v>3104955.4399999976</v>
      </c>
      <c r="O36" s="5">
        <f>sofp!O21</f>
        <v>3088406.29</v>
      </c>
      <c r="P36" s="5">
        <f>sofp!P21</f>
        <v>3071857.14</v>
      </c>
      <c r="Q36" s="5">
        <f>sofp!Q21</f>
        <v>3055307.99</v>
      </c>
      <c r="R36" s="5">
        <f>sofp!R21</f>
        <v>3140573</v>
      </c>
      <c r="S36" s="5">
        <f>sofp!S21</f>
        <v>3198979.03</v>
      </c>
      <c r="T36" s="5">
        <f>sofp!T21</f>
        <v>3184519.3</v>
      </c>
      <c r="U36" s="5">
        <f>sofp!U21</f>
        <v>3166225.77</v>
      </c>
      <c r="V36" s="5">
        <f>sofp!V21</f>
        <v>3147932.27</v>
      </c>
      <c r="W36" s="5">
        <f>sofp!W21</f>
        <v>0</v>
      </c>
      <c r="X36" s="5">
        <f>sofp!X21</f>
        <v>0</v>
      </c>
      <c r="Y36" s="5">
        <f>sofp!Y21</f>
        <v>0</v>
      </c>
      <c r="Z36" s="5">
        <f>sofp!Z21</f>
        <v>0</v>
      </c>
      <c r="AA36" s="5">
        <f>sofp!AA21</f>
        <v>3074758.15</v>
      </c>
      <c r="AB36" s="5">
        <f>sofp!AB21</f>
        <v>3059018.56</v>
      </c>
      <c r="AC36" s="5">
        <f>sofp!AC21</f>
        <v>3043278.9</v>
      </c>
      <c r="AD36" s="5">
        <f>sofp!AD21</f>
        <v>3027539.43</v>
      </c>
      <c r="AE36" s="5">
        <f>sofp!AE21</f>
        <v>3011799.88</v>
      </c>
      <c r="AF36" s="5">
        <f>sofp!AF21</f>
        <v>2996060.3</v>
      </c>
      <c r="AG36" s="5">
        <f>sofp!AG21</f>
        <v>2980320.75</v>
      </c>
      <c r="AH36" s="5">
        <f>sofp!AH21</f>
        <v>2964581.12</v>
      </c>
    </row>
    <row r="37" spans="1:34">
      <c r="A37" t="s">
        <v>111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>
      <c r="A39" s="49" t="s">
        <v>112</v>
      </c>
      <c r="B39" s="5">
        <f t="shared" ref="B39:C39" si="26">SUM(B40:B42)</f>
        <v>12051863.800000001</v>
      </c>
      <c r="C39" s="5">
        <f t="shared" si="26"/>
        <v>874366</v>
      </c>
      <c r="D39" s="5">
        <f t="shared" ref="D39:N39" si="27">SUM(D40:D42)</f>
        <v>2141137</v>
      </c>
      <c r="E39" s="5">
        <f t="shared" si="27"/>
        <v>2798444</v>
      </c>
      <c r="F39" s="5">
        <f t="shared" si="27"/>
        <v>3322700</v>
      </c>
      <c r="G39" s="5">
        <f t="shared" si="27"/>
        <v>4166431</v>
      </c>
      <c r="H39" s="5">
        <f t="shared" si="27"/>
        <v>5920494</v>
      </c>
      <c r="I39" s="5">
        <f t="shared" si="27"/>
        <v>8466868.3200000003</v>
      </c>
      <c r="J39" s="5">
        <f t="shared" si="27"/>
        <v>9495478.2599999998</v>
      </c>
      <c r="K39" s="5">
        <f t="shared" si="27"/>
        <v>10301967.530000001</v>
      </c>
      <c r="L39" s="5">
        <f t="shared" si="27"/>
        <v>11557846.720000001</v>
      </c>
      <c r="M39" s="5">
        <f t="shared" si="27"/>
        <v>12169511.75</v>
      </c>
      <c r="N39" s="5">
        <f t="shared" si="27"/>
        <v>14926525.969999999</v>
      </c>
      <c r="O39" s="5">
        <f t="shared" ref="O39:R39" si="28">SUM(O40:O42)</f>
        <v>1041308.04</v>
      </c>
      <c r="P39" s="5">
        <f t="shared" si="28"/>
        <v>2268833.9500000002</v>
      </c>
      <c r="Q39" s="5">
        <f t="shared" si="28"/>
        <v>3667211.41</v>
      </c>
      <c r="R39" s="5">
        <f t="shared" si="28"/>
        <v>5082885.9700000007</v>
      </c>
      <c r="S39" s="5">
        <f t="shared" ref="S39:V39" si="29">SUM(S40:S42)</f>
        <v>6425505.0999999996</v>
      </c>
      <c r="T39" s="5">
        <f t="shared" si="29"/>
        <v>7853873</v>
      </c>
      <c r="U39" s="5">
        <f t="shared" si="29"/>
        <v>9158805.1400000006</v>
      </c>
      <c r="V39" s="5">
        <f t="shared" si="29"/>
        <v>10677619.17</v>
      </c>
      <c r="W39" s="5">
        <f t="shared" ref="W39:AA39" si="30">SUM(W40:W42)</f>
        <v>0</v>
      </c>
      <c r="X39" s="5">
        <f t="shared" si="30"/>
        <v>0</v>
      </c>
      <c r="Y39" s="5">
        <f t="shared" si="30"/>
        <v>0</v>
      </c>
      <c r="Z39" s="5">
        <f t="shared" si="30"/>
        <v>0</v>
      </c>
      <c r="AA39" s="5">
        <f t="shared" si="30"/>
        <v>17086630.91</v>
      </c>
      <c r="AB39" s="5">
        <f t="shared" ref="AB39:AH39" si="31">SUM(AB40:AB42)</f>
        <v>1232256.92</v>
      </c>
      <c r="AC39" s="5">
        <f t="shared" si="31"/>
        <v>2774061.16</v>
      </c>
      <c r="AD39" s="5">
        <f t="shared" si="31"/>
        <v>4567543.0999999996</v>
      </c>
      <c r="AE39" s="5">
        <f t="shared" si="31"/>
        <v>5859365.7300000004</v>
      </c>
      <c r="AF39" s="5">
        <f t="shared" si="31"/>
        <v>6817801.6899999995</v>
      </c>
      <c r="AG39" s="5">
        <f t="shared" si="31"/>
        <v>8691697.9100000001</v>
      </c>
      <c r="AH39" s="5">
        <f t="shared" si="31"/>
        <v>10126204.539999999</v>
      </c>
    </row>
    <row r="40" spans="1:34">
      <c r="A40" t="s">
        <v>113</v>
      </c>
      <c r="B40" s="5">
        <f>soci!B5</f>
        <v>7965837</v>
      </c>
      <c r="C40" s="5">
        <f>soci!C5</f>
        <v>674356</v>
      </c>
      <c r="D40" s="5">
        <f>soci!D5</f>
        <v>1801930</v>
      </c>
      <c r="E40" s="5">
        <f>soci!E5</f>
        <v>2295366</v>
      </c>
      <c r="F40" s="5">
        <f>soci!F5</f>
        <v>2632389</v>
      </c>
      <c r="G40" s="5">
        <f>soci!G5</f>
        <v>3285850</v>
      </c>
      <c r="H40" s="5">
        <f>soci!H5</f>
        <v>4924390</v>
      </c>
      <c r="I40" s="5">
        <f>soci!I5</f>
        <v>7088437.9199999999</v>
      </c>
      <c r="J40" s="5">
        <f>soci!J5</f>
        <v>7962433.8600000003</v>
      </c>
      <c r="K40" s="5">
        <f>soci!K5</f>
        <v>8614878.1300000008</v>
      </c>
      <c r="L40" s="5">
        <f>soci!L5</f>
        <v>9714049.3200000003</v>
      </c>
      <c r="M40" s="5">
        <f>soci!M5</f>
        <v>10535391.35</v>
      </c>
      <c r="N40" s="5">
        <f>soci!N5</f>
        <v>10535391.35</v>
      </c>
      <c r="O40" s="5">
        <f>soci!O5</f>
        <v>637890.79</v>
      </c>
      <c r="P40" s="5">
        <f>soci!P5</f>
        <v>1542089.5</v>
      </c>
      <c r="Q40" s="5">
        <f>soci!Q5</f>
        <v>2452303.61</v>
      </c>
      <c r="R40" s="5">
        <f>soci!R5</f>
        <v>3394936.1</v>
      </c>
      <c r="S40" s="5">
        <f>soci!S5</f>
        <v>4321940.58</v>
      </c>
      <c r="T40" s="5">
        <f>soci!T5</f>
        <v>5311546.0999999996</v>
      </c>
      <c r="U40" s="5">
        <f>soci!U5</f>
        <v>6131679.6299999999</v>
      </c>
      <c r="V40" s="5">
        <f>soci!V5</f>
        <v>7261916.7999999998</v>
      </c>
      <c r="W40" s="5">
        <f>soci!W5</f>
        <v>0</v>
      </c>
      <c r="X40" s="5">
        <f>soci!X5</f>
        <v>0</v>
      </c>
      <c r="Y40" s="5">
        <f>soci!Y5</f>
        <v>0</v>
      </c>
      <c r="Z40" s="5">
        <f>soci!Z5</f>
        <v>0</v>
      </c>
      <c r="AA40" s="5">
        <f>soci!AA5</f>
        <v>11716503.76</v>
      </c>
      <c r="AB40" s="5">
        <f>soci!AB5</f>
        <v>841848.47</v>
      </c>
      <c r="AC40" s="5">
        <f>soci!AC5</f>
        <v>1998200.84</v>
      </c>
      <c r="AD40" s="5">
        <f>soci!AD5</f>
        <v>3117643.1</v>
      </c>
      <c r="AE40" s="5">
        <f>soci!AE5</f>
        <v>3948174.79</v>
      </c>
      <c r="AF40" s="5">
        <f>soci!AF5</f>
        <v>4490825.8099999996</v>
      </c>
      <c r="AG40" s="5">
        <f>soci!AG5</f>
        <v>5900392.7699999996</v>
      </c>
      <c r="AH40" s="5">
        <f>soci!AH5</f>
        <v>6895856.0899999999</v>
      </c>
    </row>
    <row r="41" spans="1:34">
      <c r="A41" t="s">
        <v>114</v>
      </c>
      <c r="B41" s="5">
        <f>soci!B7</f>
        <v>4086026.8</v>
      </c>
      <c r="C41" s="5">
        <f>soci!C7</f>
        <v>113140</v>
      </c>
      <c r="D41" s="5">
        <f>soci!D7</f>
        <v>226280</v>
      </c>
      <c r="E41" s="5">
        <f>soci!E7</f>
        <v>339420</v>
      </c>
      <c r="F41" s="5">
        <f>soci!F7</f>
        <v>452560</v>
      </c>
      <c r="G41" s="5">
        <f>soci!G7</f>
        <v>565700</v>
      </c>
      <c r="H41" s="5">
        <f>soci!H7</f>
        <v>634840</v>
      </c>
      <c r="I41" s="5">
        <f>soci!I7</f>
        <v>857120</v>
      </c>
      <c r="J41" s="5">
        <f>soci!J7</f>
        <v>961260</v>
      </c>
      <c r="K41" s="5">
        <f>soci!K7</f>
        <v>1065400</v>
      </c>
      <c r="L41" s="5">
        <f>soci!L7</f>
        <v>1163540</v>
      </c>
      <c r="M41" s="5">
        <f>soci!M7</f>
        <v>908813</v>
      </c>
      <c r="N41" s="5">
        <f>soci!N7</f>
        <v>4391134.62</v>
      </c>
      <c r="O41" s="5">
        <f>soci!O7</f>
        <v>314803.25</v>
      </c>
      <c r="P41" s="5">
        <f>soci!P7</f>
        <v>599561.94999999995</v>
      </c>
      <c r="Q41" s="5">
        <f>soci!Q7</f>
        <v>1047981.3</v>
      </c>
      <c r="R41" s="5">
        <f>soci!R7</f>
        <v>1412113.87</v>
      </c>
      <c r="S41" s="5">
        <f>soci!S7</f>
        <v>1758036.02</v>
      </c>
      <c r="T41" s="5">
        <f>soci!T7</f>
        <v>2131939.4</v>
      </c>
      <c r="U41" s="5">
        <f>soci!U7</f>
        <v>2507835.0099999998</v>
      </c>
      <c r="V41" s="5">
        <f>soci!V7</f>
        <v>2853788.87</v>
      </c>
      <c r="W41" s="5">
        <f>soci!W7</f>
        <v>0</v>
      </c>
      <c r="X41" s="5">
        <f>soci!X7</f>
        <v>0</v>
      </c>
      <c r="Y41" s="5">
        <f>soci!Y7</f>
        <v>0</v>
      </c>
      <c r="Z41" s="5">
        <f>soci!Z7</f>
        <v>0</v>
      </c>
      <c r="AA41" s="5">
        <f>soci!AA7</f>
        <v>1114476</v>
      </c>
      <c r="AB41" s="5">
        <f>soci!AB7</f>
        <v>368381.45</v>
      </c>
      <c r="AC41" s="5">
        <f>soci!AC7</f>
        <v>775860.32</v>
      </c>
      <c r="AD41" s="5">
        <f>soci!AD7</f>
        <v>1343531</v>
      </c>
      <c r="AE41" s="5">
        <f>soci!AE7</f>
        <v>1741384.94</v>
      </c>
      <c r="AF41" s="5">
        <f>soci!AF7</f>
        <v>2110887.88</v>
      </c>
      <c r="AG41" s="5">
        <f>soci!AG7</f>
        <v>2515235.1399999997</v>
      </c>
      <c r="AH41" s="5">
        <f>soci!AH7</f>
        <v>2884400.45</v>
      </c>
    </row>
    <row r="42" spans="1:34">
      <c r="A42" t="s">
        <v>115</v>
      </c>
      <c r="B42" s="5">
        <f>soci!B6</f>
        <v>0</v>
      </c>
      <c r="C42" s="5">
        <f>soci!C6</f>
        <v>86870</v>
      </c>
      <c r="D42" s="5">
        <f>soci!D6</f>
        <v>112927</v>
      </c>
      <c r="E42" s="5">
        <f>soci!E6</f>
        <v>163658</v>
      </c>
      <c r="F42" s="5">
        <f>soci!F6</f>
        <v>237751</v>
      </c>
      <c r="G42" s="5">
        <f>soci!G6</f>
        <v>314881</v>
      </c>
      <c r="H42" s="5">
        <f>soci!H6</f>
        <v>361264</v>
      </c>
      <c r="I42" s="5">
        <f>soci!I6</f>
        <v>521310.4</v>
      </c>
      <c r="J42" s="5">
        <f>soci!J6</f>
        <v>571784.4</v>
      </c>
      <c r="K42" s="5">
        <f>soci!K6</f>
        <v>621689.4</v>
      </c>
      <c r="L42" s="5">
        <f>soci!L6</f>
        <v>680257.4</v>
      </c>
      <c r="M42" s="5">
        <f>soci!M6</f>
        <v>725307.4</v>
      </c>
      <c r="N42" s="5">
        <f>soci!N6</f>
        <v>0</v>
      </c>
      <c r="O42" s="5">
        <f>soci!O6</f>
        <v>88614</v>
      </c>
      <c r="P42" s="5">
        <f>soci!P6</f>
        <v>127182.5</v>
      </c>
      <c r="Q42" s="5">
        <f>soci!Q6</f>
        <v>166926.5</v>
      </c>
      <c r="R42" s="5">
        <f>soci!R6</f>
        <v>275836</v>
      </c>
      <c r="S42" s="5">
        <f>soci!S6</f>
        <v>345528.5</v>
      </c>
      <c r="T42" s="5">
        <f>soci!T6</f>
        <v>410387.5</v>
      </c>
      <c r="U42" s="5">
        <f>soci!U6</f>
        <v>519290.5</v>
      </c>
      <c r="V42" s="5">
        <f>soci!V6</f>
        <v>561913.5</v>
      </c>
      <c r="W42" s="5">
        <f>soci!W6</f>
        <v>0</v>
      </c>
      <c r="X42" s="5">
        <f>soci!X6</f>
        <v>0</v>
      </c>
      <c r="Y42" s="5">
        <f>soci!Y6</f>
        <v>0</v>
      </c>
      <c r="Z42" s="5">
        <f>soci!Z6</f>
        <v>0</v>
      </c>
      <c r="AA42" s="5">
        <f>soci!AA6</f>
        <v>4255651.1500000004</v>
      </c>
      <c r="AB42" s="5">
        <f>soci!AB6</f>
        <v>22027</v>
      </c>
      <c r="AC42" s="5">
        <f>soci!AC6</f>
        <v>0</v>
      </c>
      <c r="AD42" s="5">
        <f>soci!AD6</f>
        <v>106369</v>
      </c>
      <c r="AE42" s="5">
        <f>soci!AE6</f>
        <v>169806</v>
      </c>
      <c r="AF42" s="5">
        <f>soci!AF6</f>
        <v>216088</v>
      </c>
      <c r="AG42" s="5">
        <f>soci!AG6</f>
        <v>276070</v>
      </c>
      <c r="AH42" s="5">
        <f>soci!AH6</f>
        <v>345948</v>
      </c>
    </row>
    <row r="43" spans="1:34">
      <c r="A43" t="s">
        <v>116</v>
      </c>
      <c r="B43" s="5">
        <f t="shared" ref="B43:C43" si="32">B40/B27</f>
        <v>0.13886033803599743</v>
      </c>
      <c r="C43" s="5">
        <f t="shared" si="32"/>
        <v>1.0863289015980394E-2</v>
      </c>
      <c r="D43" s="5">
        <f t="shared" ref="D43:N43" si="33">D40/D27</f>
        <v>2.9843637712315244E-2</v>
      </c>
      <c r="E43" s="5">
        <f t="shared" si="33"/>
        <v>4.0247729380079651E-2</v>
      </c>
      <c r="F43" s="5">
        <f t="shared" si="33"/>
        <v>4.4456747168243549E-2</v>
      </c>
      <c r="G43" s="5">
        <f t="shared" si="33"/>
        <v>5.2206278130613806E-2</v>
      </c>
      <c r="H43" s="5">
        <f t="shared" si="33"/>
        <v>7.7210555870139003E-2</v>
      </c>
      <c r="I43" s="5">
        <f t="shared" si="33"/>
        <v>0.10689189245175829</v>
      </c>
      <c r="J43" s="5">
        <f t="shared" si="33"/>
        <v>0.11920691737385383</v>
      </c>
      <c r="K43" s="5">
        <f t="shared" si="33"/>
        <v>0.12705190865035396</v>
      </c>
      <c r="L43" s="5">
        <f t="shared" si="33"/>
        <v>0.14163303812297973</v>
      </c>
      <c r="M43" s="5">
        <f t="shared" si="33"/>
        <v>0.15260273535269789</v>
      </c>
      <c r="N43" s="5">
        <f t="shared" si="33"/>
        <v>0.15260273535269789</v>
      </c>
      <c r="O43" s="5">
        <f t="shared" ref="O43:R43" si="34">O40/O27</f>
        <v>8.5574721441630652E-3</v>
      </c>
      <c r="P43" s="5">
        <f t="shared" si="34"/>
        <v>2.0455532253391747E-2</v>
      </c>
      <c r="Q43" s="5">
        <f t="shared" si="34"/>
        <v>3.4945875118686673E-2</v>
      </c>
      <c r="R43" s="5">
        <f t="shared" si="34"/>
        <v>4.4866814148268534E-2</v>
      </c>
      <c r="S43" s="5">
        <f t="shared" ref="S43:V43" si="35">S40/S27</f>
        <v>4.9871684990734938E-2</v>
      </c>
      <c r="T43" s="5">
        <f t="shared" si="35"/>
        <v>6.0157613559323551E-2</v>
      </c>
      <c r="U43" s="5">
        <f t="shared" si="35"/>
        <v>6.3794622638623108E-2</v>
      </c>
      <c r="V43" s="5">
        <f t="shared" si="35"/>
        <v>8.3677570029083742E-2</v>
      </c>
      <c r="W43" s="5" t="e">
        <f t="shared" ref="W43:AA43" si="36">W40/W27</f>
        <v>#DIV/0!</v>
      </c>
      <c r="X43" s="5" t="e">
        <f t="shared" si="36"/>
        <v>#DIV/0!</v>
      </c>
      <c r="Y43" s="5" t="e">
        <f t="shared" si="36"/>
        <v>#DIV/0!</v>
      </c>
      <c r="Z43" s="5" t="e">
        <f t="shared" si="36"/>
        <v>#DIV/0!</v>
      </c>
      <c r="AA43" s="5">
        <f t="shared" si="36"/>
        <v>0.13386932509087821</v>
      </c>
      <c r="AB43" s="5">
        <f t="shared" ref="AB43:AH43" si="37">AB40/AB27</f>
        <v>9.8600175097761679E-3</v>
      </c>
      <c r="AC43" s="5">
        <f t="shared" si="37"/>
        <v>2.2455125964615876E-2</v>
      </c>
      <c r="AD43" s="5">
        <f t="shared" si="37"/>
        <v>3.7525878050947814E-2</v>
      </c>
      <c r="AE43" s="5">
        <f t="shared" si="37"/>
        <v>4.746555423130612E-2</v>
      </c>
      <c r="AF43" s="5">
        <f t="shared" si="37"/>
        <v>5.3737504203962089E-2</v>
      </c>
      <c r="AG43" s="5">
        <f t="shared" si="37"/>
        <v>6.8913226631279731E-2</v>
      </c>
      <c r="AH43" s="5">
        <f t="shared" si="37"/>
        <v>8.4033595484704446E-2</v>
      </c>
    </row>
    <row r="44" spans="1:34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>
      <c r="A45" s="49" t="s">
        <v>117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>
      <c r="A46" t="s">
        <v>118</v>
      </c>
      <c r="B46" s="5">
        <f>soci!B13 + soci!B16</f>
        <v>2425390</v>
      </c>
      <c r="C46" s="5">
        <f>soci!C13 + soci!C16</f>
        <v>18708</v>
      </c>
      <c r="D46" s="5">
        <f>soci!D13 + soci!D16</f>
        <v>37959</v>
      </c>
      <c r="E46" s="5">
        <f>soci!E13 + soci!E16</f>
        <v>45177</v>
      </c>
      <c r="F46" s="5">
        <f>soci!F13 + soci!F16</f>
        <v>53343</v>
      </c>
      <c r="G46" s="5">
        <f>soci!G13 + soci!G16</f>
        <v>62403</v>
      </c>
      <c r="H46" s="5">
        <f>soci!H13 + soci!H16</f>
        <v>70755</v>
      </c>
      <c r="I46" s="5">
        <f>soci!I13 + soci!I16</f>
        <v>82203</v>
      </c>
      <c r="J46" s="5">
        <f>soci!J13 + soci!J16</f>
        <v>117484.38</v>
      </c>
      <c r="K46" s="5">
        <f>soci!K13 + soci!K16</f>
        <v>134466.38</v>
      </c>
      <c r="L46" s="5">
        <f>soci!L13 + soci!L16</f>
        <v>162121.29999999999</v>
      </c>
      <c r="M46" s="5">
        <f>soci!M13 + soci!M16</f>
        <v>192116.22</v>
      </c>
      <c r="N46" s="5">
        <f>soci!N13 + soci!N16</f>
        <v>3692116.22</v>
      </c>
      <c r="O46" s="5">
        <f>soci!O13 + soci!O16</f>
        <v>27750</v>
      </c>
      <c r="P46" s="5">
        <f>soci!P13 + soci!P16</f>
        <v>54138.92</v>
      </c>
      <c r="Q46" s="5">
        <f>soci!Q13 + soci!Q16</f>
        <v>79422.03</v>
      </c>
      <c r="R46" s="5">
        <f>soci!R13 + soci!R16</f>
        <v>99403.49</v>
      </c>
      <c r="S46" s="5">
        <f>soci!S13 + soci!S16</f>
        <v>107268.49</v>
      </c>
      <c r="T46" s="5">
        <f>soci!T13 + soci!T16</f>
        <v>129940.94</v>
      </c>
      <c r="U46" s="5">
        <f>soci!U13 + soci!U16</f>
        <v>153370.94</v>
      </c>
      <c r="V46" s="5">
        <f>soci!V13 + soci!V16</f>
        <v>162227.94</v>
      </c>
      <c r="W46" s="5">
        <f>soci!W13 + soci!W16</f>
        <v>0</v>
      </c>
      <c r="X46" s="5">
        <f>soci!X13 + soci!X16</f>
        <v>0</v>
      </c>
      <c r="Y46" s="5">
        <f>soci!Y13 + soci!Y16</f>
        <v>0</v>
      </c>
      <c r="Z46" s="5">
        <f>soci!Z13 + soci!Z16</f>
        <v>0</v>
      </c>
      <c r="AA46" s="5">
        <f>soci!AA13 + soci!AA16</f>
        <v>4422769.9400000004</v>
      </c>
      <c r="AB46" s="5">
        <f>soci!AB13 + soci!AB16</f>
        <v>19389</v>
      </c>
      <c r="AC46" s="5">
        <f>soci!AC13 + soci!AC16</f>
        <v>28521</v>
      </c>
      <c r="AD46" s="5">
        <f>soci!AD13 + soci!AD16</f>
        <v>39255</v>
      </c>
      <c r="AE46" s="5">
        <f>soci!AE13 + soci!AE16</f>
        <v>50979</v>
      </c>
      <c r="AF46" s="5">
        <f>soci!AF13 + soci!AF16</f>
        <v>62721</v>
      </c>
      <c r="AG46" s="5">
        <f>soci!AG13 + soci!AG16</f>
        <v>74673</v>
      </c>
      <c r="AH46" s="5">
        <f>soci!AH13 + soci!AH16</f>
        <v>88681</v>
      </c>
    </row>
    <row r="47" spans="1:34">
      <c r="A47" t="s">
        <v>119</v>
      </c>
      <c r="B47" s="5">
        <f>soci!B15</f>
        <v>0</v>
      </c>
      <c r="C47" s="5">
        <f>soci!C15</f>
        <v>0</v>
      </c>
      <c r="D47" s="5">
        <f>soci!D15</f>
        <v>0</v>
      </c>
      <c r="E47" s="5">
        <f>soci!E15</f>
        <v>0</v>
      </c>
      <c r="F47" s="5">
        <f>soci!F15</f>
        <v>0</v>
      </c>
      <c r="G47" s="5">
        <f>soci!G15</f>
        <v>0</v>
      </c>
      <c r="H47" s="5">
        <f>soci!H15</f>
        <v>0</v>
      </c>
      <c r="I47" s="5">
        <f>soci!I15</f>
        <v>0</v>
      </c>
      <c r="J47" s="5">
        <f>soci!J15</f>
        <v>0</v>
      </c>
      <c r="K47" s="5">
        <f>soci!K15</f>
        <v>0</v>
      </c>
      <c r="L47" s="5">
        <f>soci!L15</f>
        <v>0</v>
      </c>
      <c r="M47" s="5">
        <f>soci!M15</f>
        <v>0</v>
      </c>
      <c r="N47" s="5">
        <f>soci!N15</f>
        <v>0</v>
      </c>
      <c r="O47" s="5">
        <f>soci!O15</f>
        <v>0</v>
      </c>
      <c r="P47" s="5">
        <f>soci!P15</f>
        <v>0</v>
      </c>
      <c r="Q47" s="5">
        <f>soci!Q15</f>
        <v>0</v>
      </c>
      <c r="R47" s="5">
        <f>soci!R15</f>
        <v>0</v>
      </c>
      <c r="S47" s="5">
        <f>soci!S15</f>
        <v>0</v>
      </c>
      <c r="T47" s="5">
        <f>soci!T15</f>
        <v>0</v>
      </c>
      <c r="U47" s="5">
        <f>soci!U15</f>
        <v>0</v>
      </c>
      <c r="V47" s="5">
        <f>soci!V15</f>
        <v>0</v>
      </c>
      <c r="W47" s="5">
        <f>soci!W15</f>
        <v>0</v>
      </c>
      <c r="X47" s="5">
        <f>soci!X15</f>
        <v>0</v>
      </c>
      <c r="Y47" s="5">
        <f>soci!Y15</f>
        <v>0</v>
      </c>
      <c r="Z47" s="5">
        <f>soci!Z15</f>
        <v>0</v>
      </c>
      <c r="AA47" s="5">
        <f>soci!AA15</f>
        <v>0</v>
      </c>
      <c r="AB47" s="5">
        <f>soci!AB15</f>
        <v>0</v>
      </c>
      <c r="AC47" s="5">
        <f>soci!AC15</f>
        <v>0</v>
      </c>
      <c r="AD47" s="5">
        <f>soci!AD15</f>
        <v>0</v>
      </c>
      <c r="AE47" s="5">
        <f>soci!AE15</f>
        <v>0</v>
      </c>
      <c r="AF47" s="5">
        <f>soci!AF15</f>
        <v>0</v>
      </c>
      <c r="AG47" s="5">
        <f>soci!AG15</f>
        <v>0</v>
      </c>
      <c r="AH47" s="5">
        <f>soci!AH15</f>
        <v>0</v>
      </c>
    </row>
    <row r="48" spans="1:34">
      <c r="A48" t="s">
        <v>120</v>
      </c>
      <c r="B48" s="5">
        <f>soci!B14</f>
        <v>0</v>
      </c>
      <c r="C48" s="5">
        <f>soci!C14</f>
        <v>0</v>
      </c>
      <c r="D48" s="5">
        <f>soci!D14</f>
        <v>0</v>
      </c>
      <c r="E48" s="5">
        <f>soci!E14</f>
        <v>0</v>
      </c>
      <c r="F48" s="5">
        <f>soci!F14</f>
        <v>0</v>
      </c>
      <c r="G48" s="5">
        <f>soci!G14</f>
        <v>0</v>
      </c>
      <c r="H48" s="5">
        <f>soci!H14</f>
        <v>0</v>
      </c>
      <c r="I48" s="5">
        <f>soci!I14</f>
        <v>0</v>
      </c>
      <c r="J48" s="5">
        <f>soci!J14</f>
        <v>0</v>
      </c>
      <c r="K48" s="5">
        <f>soci!K14</f>
        <v>0</v>
      </c>
      <c r="L48" s="5">
        <f>soci!L14</f>
        <v>0</v>
      </c>
      <c r="M48" s="5">
        <f>soci!M14</f>
        <v>0</v>
      </c>
      <c r="N48" s="5">
        <f>soci!N14</f>
        <v>0</v>
      </c>
      <c r="O48" s="5">
        <f>soci!O14</f>
        <v>0</v>
      </c>
      <c r="P48" s="5">
        <f>soci!P14</f>
        <v>0</v>
      </c>
      <c r="Q48" s="5">
        <f>soci!Q14</f>
        <v>0</v>
      </c>
      <c r="R48" s="5">
        <f>soci!R14</f>
        <v>0</v>
      </c>
      <c r="S48" s="5">
        <f>soci!S14</f>
        <v>0</v>
      </c>
      <c r="T48" s="5">
        <f>soci!T14</f>
        <v>0</v>
      </c>
      <c r="U48" s="5">
        <f>soci!U14</f>
        <v>0</v>
      </c>
      <c r="V48" s="5">
        <f>soci!V14</f>
        <v>0</v>
      </c>
      <c r="W48" s="5">
        <f>soci!W14</f>
        <v>0</v>
      </c>
      <c r="X48" s="5">
        <f>soci!X14</f>
        <v>0</v>
      </c>
      <c r="Y48" s="5">
        <f>soci!Y14</f>
        <v>0</v>
      </c>
      <c r="Z48" s="5">
        <f>soci!Z14</f>
        <v>0</v>
      </c>
      <c r="AA48" s="5">
        <f>soci!AA14</f>
        <v>0</v>
      </c>
      <c r="AB48" s="5">
        <f>soci!AB14</f>
        <v>0</v>
      </c>
      <c r="AC48" s="5">
        <f>soci!AC14</f>
        <v>0</v>
      </c>
      <c r="AD48" s="5">
        <f>soci!AD14</f>
        <v>0</v>
      </c>
      <c r="AE48" s="5">
        <f>soci!AE14</f>
        <v>0</v>
      </c>
      <c r="AF48" s="5">
        <f>soci!AF14</f>
        <v>0</v>
      </c>
      <c r="AG48" s="5">
        <f>soci!AG14</f>
        <v>0</v>
      </c>
      <c r="AH48" s="5">
        <f>soci!AH14</f>
        <v>0</v>
      </c>
    </row>
    <row r="49" spans="1:34">
      <c r="A49" t="s">
        <v>121</v>
      </c>
      <c r="B49" s="5">
        <f>soci!B23</f>
        <v>7297058.6100000003</v>
      </c>
      <c r="C49" s="5">
        <f>soci!C23</f>
        <v>597859.91999999993</v>
      </c>
      <c r="D49" s="5">
        <f>soci!D23</f>
        <v>1508463.15</v>
      </c>
      <c r="E49" s="5">
        <f>soci!E23</f>
        <v>2110756.0700000003</v>
      </c>
      <c r="F49" s="5">
        <f>soci!F23</f>
        <v>2752978.9699999997</v>
      </c>
      <c r="G49" s="5">
        <f>soci!G23</f>
        <v>3302713.54</v>
      </c>
      <c r="H49" s="5">
        <f>soci!H23</f>
        <v>3854917.7800000003</v>
      </c>
      <c r="I49" s="5">
        <f>soci!I23</f>
        <v>5132872.0600000005</v>
      </c>
      <c r="J49" s="5">
        <f>soci!J23</f>
        <v>5621411.4199999999</v>
      </c>
      <c r="K49" s="5">
        <f>soci!K23</f>
        <v>6247790.8899999997</v>
      </c>
      <c r="L49" s="5">
        <f>soci!L23</f>
        <v>6904511.8100000005</v>
      </c>
      <c r="M49" s="5">
        <f>soci!M23</f>
        <v>7917865.0899999999</v>
      </c>
      <c r="N49" s="5">
        <f>soci!N23</f>
        <v>7917865.0899999999</v>
      </c>
      <c r="O49" s="5">
        <f>soci!O23</f>
        <v>428731.75</v>
      </c>
      <c r="P49" s="5">
        <f>soci!P23</f>
        <v>895458.51</v>
      </c>
      <c r="Q49" s="5">
        <f>soci!Q23</f>
        <v>1705103.19</v>
      </c>
      <c r="R49" s="5">
        <f>soci!R23</f>
        <v>2552795.19</v>
      </c>
      <c r="S49" s="5">
        <f>soci!S23</f>
        <v>3493263.81</v>
      </c>
      <c r="T49" s="5">
        <f>soci!T23</f>
        <v>4089115.27</v>
      </c>
      <c r="U49" s="5">
        <f>soci!U23</f>
        <v>4764703.8100000005</v>
      </c>
      <c r="V49" s="5">
        <f>soci!V23</f>
        <v>5209556.93</v>
      </c>
      <c r="W49" s="5">
        <f>soci!W23</f>
        <v>0</v>
      </c>
      <c r="X49" s="5">
        <f>soci!X23</f>
        <v>0</v>
      </c>
      <c r="Y49" s="5">
        <f>soci!Y23</f>
        <v>0</v>
      </c>
      <c r="Z49" s="5">
        <f>soci!Z23</f>
        <v>0</v>
      </c>
      <c r="AA49" s="5">
        <f>soci!AA23</f>
        <v>7442154.1500000004</v>
      </c>
      <c r="AB49" s="5">
        <f>soci!AB23</f>
        <v>475134.32</v>
      </c>
      <c r="AC49" s="5">
        <f>soci!AC23</f>
        <v>1369375.52</v>
      </c>
      <c r="AD49" s="5">
        <f>soci!AD23</f>
        <v>2197422.81</v>
      </c>
      <c r="AE49" s="5">
        <f>soci!AE23</f>
        <v>2747878.38</v>
      </c>
      <c r="AF49" s="5">
        <f>soci!AF23</f>
        <v>3246961.29</v>
      </c>
      <c r="AG49" s="5">
        <f>soci!AG23</f>
        <v>3847913.46</v>
      </c>
      <c r="AH49" s="5">
        <f>soci!AH23</f>
        <v>4340847.76</v>
      </c>
    </row>
  </sheetData>
  <conditionalFormatting sqref="B3:AH46">
    <cfRule type="cellIs" dxfId="0" priority="3" operator="lessThan">
      <formula>0</formula>
    </cfRule>
  </conditionalFormatting>
  <printOptions horizontalCentered="1" verticalCentere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47"/>
  <sheetViews>
    <sheetView tabSelected="1" zoomScale="102" zoomScaleNormal="102" workbookViewId="0">
      <pane xSplit="2" ySplit="1" topLeftCell="R2" activePane="bottomRight" state="frozen"/>
      <selection pane="bottomRight" activeCell="AF3" sqref="AF3"/>
      <selection pane="bottomLeft" activeCell="A2" sqref="A2"/>
      <selection pane="topRight" activeCell="C1" sqref="C1"/>
    </sheetView>
  </sheetViews>
  <sheetFormatPr defaultColWidth="9.140625" defaultRowHeight="15.6"/>
  <cols>
    <col min="1" max="1" width="38.7109375" style="9" customWidth="1"/>
    <col min="2" max="2" width="18.7109375" style="10" customWidth="1"/>
    <col min="3" max="3" width="13.7109375" style="10" bestFit="1" customWidth="1"/>
    <col min="4" max="5" width="15.7109375" style="9" hidden="1" customWidth="1"/>
    <col min="6" max="6" width="15.7109375" style="9" bestFit="1" customWidth="1"/>
    <col min="7" max="9" width="15.7109375" style="9" hidden="1" customWidth="1"/>
    <col min="10" max="14" width="12.42578125" style="9" hidden="1" customWidth="1"/>
    <col min="15" max="15" width="14.7109375" style="9" hidden="1" customWidth="1"/>
    <col min="16" max="16" width="11.28515625" style="9" bestFit="1" customWidth="1"/>
    <col min="17" max="17" width="11.28515625" style="9" hidden="1" customWidth="1"/>
    <col min="18" max="18" width="11.28515625" style="9" bestFit="1" customWidth="1"/>
    <col min="19" max="20" width="11.28515625" style="9" hidden="1" customWidth="1"/>
    <col min="21" max="23" width="11.28515625" style="9" bestFit="1" customWidth="1"/>
    <col min="24" max="27" width="0" style="9" hidden="1" customWidth="1"/>
    <col min="28" max="28" width="13.85546875" style="9" bestFit="1" customWidth="1"/>
    <col min="29" max="31" width="11" style="9" bestFit="1" customWidth="1"/>
    <col min="32" max="32" width="13.7109375" style="9" bestFit="1" customWidth="1"/>
    <col min="33" max="35" width="11" style="9" bestFit="1" customWidth="1"/>
    <col min="36" max="16384" width="9.140625" style="9"/>
  </cols>
  <sheetData>
    <row r="1" spans="1:35">
      <c r="A1" s="9" t="s">
        <v>122</v>
      </c>
      <c r="C1" s="10" t="s">
        <v>1</v>
      </c>
      <c r="D1" s="11">
        <v>43831</v>
      </c>
      <c r="E1" s="11">
        <v>43862</v>
      </c>
      <c r="F1" s="24">
        <v>43891</v>
      </c>
      <c r="G1" s="24">
        <v>43922</v>
      </c>
      <c r="H1" s="24">
        <v>43952</v>
      </c>
      <c r="I1" s="24">
        <v>43983</v>
      </c>
      <c r="J1" s="24">
        <v>44044</v>
      </c>
      <c r="K1" s="24">
        <v>44075</v>
      </c>
      <c r="L1" s="24">
        <v>44105</v>
      </c>
      <c r="M1" s="24">
        <v>44136</v>
      </c>
      <c r="N1" s="24">
        <v>44166</v>
      </c>
      <c r="O1" s="24" t="s">
        <v>85</v>
      </c>
      <c r="P1" s="24">
        <v>44197</v>
      </c>
      <c r="Q1" s="24">
        <v>44228</v>
      </c>
      <c r="R1" s="24">
        <v>44256</v>
      </c>
      <c r="S1" s="24">
        <v>44287</v>
      </c>
      <c r="T1" s="24">
        <v>44317</v>
      </c>
      <c r="U1" s="24">
        <v>44348</v>
      </c>
      <c r="V1" s="24">
        <v>44378</v>
      </c>
      <c r="W1" s="24">
        <v>44409</v>
      </c>
      <c r="X1" s="24">
        <v>44440</v>
      </c>
      <c r="Y1" s="24">
        <v>44470</v>
      </c>
      <c r="Z1" s="24">
        <v>44501</v>
      </c>
      <c r="AA1" s="24">
        <v>44531</v>
      </c>
      <c r="AB1" s="54" t="s">
        <v>3</v>
      </c>
      <c r="AC1" s="3">
        <v>44562</v>
      </c>
      <c r="AD1" s="3">
        <v>44593</v>
      </c>
      <c r="AE1" s="3">
        <v>44621</v>
      </c>
      <c r="AF1" s="3">
        <v>44652</v>
      </c>
      <c r="AG1" s="3">
        <v>44682</v>
      </c>
      <c r="AH1" s="3">
        <v>44713</v>
      </c>
      <c r="AI1" s="3">
        <v>44743</v>
      </c>
    </row>
    <row r="2" spans="1:35">
      <c r="A2" s="69" t="s">
        <v>123</v>
      </c>
      <c r="B2" s="69"/>
      <c r="C2" s="19"/>
    </row>
    <row r="3" spans="1:35">
      <c r="A3" s="12" t="s">
        <v>93</v>
      </c>
      <c r="B3" s="13" t="s">
        <v>124</v>
      </c>
      <c r="C3" s="14">
        <f>financials!B11</f>
        <v>49513012.799999997</v>
      </c>
      <c r="D3" s="14">
        <f>financials!C11</f>
        <v>50440317.399999999</v>
      </c>
      <c r="E3" s="14">
        <f>financials!D11</f>
        <v>50895643.560000002</v>
      </c>
      <c r="F3" s="14">
        <f>financials!E11</f>
        <v>51500078.060000002</v>
      </c>
      <c r="G3" s="14">
        <f>financials!F11</f>
        <v>52184931.560000002</v>
      </c>
      <c r="H3" s="14">
        <f>financials!G11</f>
        <v>52845547.060000002</v>
      </c>
      <c r="I3" s="14">
        <f>financials!H11</f>
        <v>54530787.460000001</v>
      </c>
      <c r="J3" s="14">
        <f>financials!I11</f>
        <v>56097988.859999999</v>
      </c>
      <c r="K3" s="14">
        <f>financials!J11</f>
        <v>57104964.960000001</v>
      </c>
      <c r="L3" s="14">
        <f>financials!K11</f>
        <v>57362777.060000002</v>
      </c>
      <c r="M3" s="14">
        <f>financials!L11</f>
        <v>57683045.759999998</v>
      </c>
      <c r="N3" s="14">
        <f>financials!M11</f>
        <v>53042034.950000003</v>
      </c>
      <c r="O3" s="14">
        <f>financials!N11</f>
        <v>52329732.130000003</v>
      </c>
      <c r="P3" s="14">
        <f>financials!O11</f>
        <v>52745046.369999997</v>
      </c>
      <c r="Q3" s="14">
        <f>financials!P11</f>
        <v>53392636.769999996</v>
      </c>
      <c r="R3" s="14">
        <f>financials!Q11</f>
        <v>53485599.370000005</v>
      </c>
      <c r="S3" s="14">
        <f>financials!R11</f>
        <v>54236287.370000005</v>
      </c>
      <c r="T3" s="14">
        <f>financials!S11</f>
        <v>54286208.759999998</v>
      </c>
      <c r="U3" s="14">
        <f>financials!T11</f>
        <v>55163748.159999996</v>
      </c>
      <c r="V3" s="14">
        <f>financials!U11</f>
        <v>52654710.960000001</v>
      </c>
      <c r="W3" s="14">
        <f>financials!V11</f>
        <v>54258122.659999996</v>
      </c>
      <c r="X3" s="14">
        <f>financials!W11</f>
        <v>0</v>
      </c>
      <c r="Y3" s="14">
        <f>financials!X11</f>
        <v>0</v>
      </c>
      <c r="Z3" s="14">
        <f>financials!Y11</f>
        <v>0</v>
      </c>
      <c r="AA3" s="14">
        <f>financials!Z11</f>
        <v>0</v>
      </c>
      <c r="AB3" s="14">
        <f>financials!AA11</f>
        <v>53286444.100000001</v>
      </c>
      <c r="AC3" s="14">
        <f>financials!AB11</f>
        <v>15101565.719999999</v>
      </c>
      <c r="AD3" s="14">
        <f>financials!AC11</f>
        <v>15922299.120000001</v>
      </c>
      <c r="AE3" s="14">
        <f>financials!AD11</f>
        <v>16804083.82</v>
      </c>
      <c r="AF3" s="14">
        <f>financials!AE11</f>
        <v>16975450.420000002</v>
      </c>
      <c r="AG3" s="14">
        <f>financials!AF11</f>
        <v>17259370.52</v>
      </c>
      <c r="AH3" s="14">
        <f>financials!AG11</f>
        <v>18582299.120000001</v>
      </c>
      <c r="AI3" s="14">
        <f>financials!AH11</f>
        <v>20047978.219999999</v>
      </c>
    </row>
    <row r="4" spans="1:35">
      <c r="A4" s="12" t="s">
        <v>125</v>
      </c>
      <c r="B4" s="13" t="s">
        <v>126</v>
      </c>
      <c r="C4" s="8">
        <f>financials!B11 /financials!B3</f>
        <v>0.34299683300700295</v>
      </c>
      <c r="D4" s="8">
        <f>financials!C11 /financials!C3</f>
        <v>0.36032431099854056</v>
      </c>
      <c r="E4" s="8">
        <f>financials!D11 /financials!D3</f>
        <v>0.35934478422045685</v>
      </c>
      <c r="F4" s="55">
        <f>financials!E11 /financials!E3</f>
        <v>0.33040784407763257</v>
      </c>
      <c r="G4" s="55">
        <f>financials!F11 /financials!F3</f>
        <v>0.34960817786096138</v>
      </c>
      <c r="H4" s="55">
        <f>financials!G11 /financials!G3</f>
        <v>0.35334345459518401</v>
      </c>
      <c r="I4" s="55">
        <f>financials!H11 /financials!H3</f>
        <v>0.36098990443083279</v>
      </c>
      <c r="J4" s="55">
        <f>financials!I11 /financials!I3</f>
        <v>0.36236893273442916</v>
      </c>
      <c r="K4" s="55">
        <f>financials!J11 /financials!J3</f>
        <v>0.36330363783175651</v>
      </c>
      <c r="L4" s="55">
        <f>financials!K11 /financials!K3</f>
        <v>0.36353695981580458</v>
      </c>
      <c r="M4" s="55">
        <f>financials!L11 /financials!L3</f>
        <v>0.36151215480714044</v>
      </c>
      <c r="N4" s="55">
        <f>financials!M11 /financials!M3</f>
        <v>0.33019196228951964</v>
      </c>
      <c r="O4" s="55">
        <f>financials!N11 /financials!N3</f>
        <v>0.32575780576699676</v>
      </c>
      <c r="P4" s="55">
        <f>financials!O11 /financials!O3</f>
        <v>0.33943370645869536</v>
      </c>
      <c r="Q4" s="55">
        <f>financials!P11 /financials!P3</f>
        <v>0.34170308164749658</v>
      </c>
      <c r="R4" s="55">
        <f>financials!Q11 /financials!Q3</f>
        <v>0.31851658681606759</v>
      </c>
      <c r="S4" s="55">
        <f>financials!R11 /financials!R3</f>
        <v>0.32426048921590295</v>
      </c>
      <c r="T4" s="55">
        <f>financials!S11 /financials!S3</f>
        <v>0.33875567424570652</v>
      </c>
      <c r="U4" s="55">
        <f>financials!T11 /financials!T3</f>
        <v>0.33782639221563893</v>
      </c>
      <c r="V4" s="55">
        <f>financials!U11 /financials!U3</f>
        <v>0.32337471358926534</v>
      </c>
      <c r="W4" s="55">
        <f>financials!V11 /financials!V3</f>
        <v>0.32948351200618703</v>
      </c>
      <c r="X4" s="55" t="e">
        <f>financials!W11 /financials!W3</f>
        <v>#DIV/0!</v>
      </c>
      <c r="Y4" s="55" t="e">
        <f>financials!X11 /financials!X3</f>
        <v>#DIV/0!</v>
      </c>
      <c r="Z4" s="55" t="e">
        <f>financials!Y11 /financials!Y3</f>
        <v>#DIV/0!</v>
      </c>
      <c r="AA4" s="55" t="e">
        <f>financials!Z11 /financials!Z3</f>
        <v>#DIV/0!</v>
      </c>
      <c r="AB4" s="55">
        <f>financials!AA11 /financials!AA3</f>
        <v>0.313593493102925</v>
      </c>
      <c r="AC4" s="55">
        <f>financials!AB11 /financials!AB3</f>
        <v>9.2526218254248838E-2</v>
      </c>
      <c r="AD4" s="55">
        <f>financials!AC11 /financials!AC3</f>
        <v>9.6823738226941333E-2</v>
      </c>
      <c r="AE4" s="55">
        <f>financials!AD11 /financials!AD3</f>
        <v>9.3181348787475582E-2</v>
      </c>
      <c r="AF4" s="55">
        <f>financials!AE11 /financials!AE3</f>
        <v>9.8402420436043789E-2</v>
      </c>
      <c r="AG4" s="55">
        <f>financials!AF11 /financials!AF3</f>
        <v>0.10250097385370953</v>
      </c>
      <c r="AH4" s="55">
        <f>financials!AG11 /financials!AG3</f>
        <v>0.10818502493822485</v>
      </c>
      <c r="AI4" s="55">
        <f>financials!AH11 /financials!AH3</f>
        <v>0.11662147583252827</v>
      </c>
    </row>
    <row r="5" spans="1:35">
      <c r="A5" s="12" t="s">
        <v>127</v>
      </c>
      <c r="B5" s="13" t="s">
        <v>128</v>
      </c>
      <c r="C5" s="8">
        <f>financials!B11 /financials!B4</f>
        <v>0.55248312465235727</v>
      </c>
      <c r="D5" s="8">
        <f>financials!C11 /financials!C4</f>
        <v>0.57206984232678804</v>
      </c>
      <c r="E5" s="8">
        <f>financials!D11 /financials!D4</f>
        <v>0.56890092769698519</v>
      </c>
      <c r="F5" s="55">
        <f>financials!E11 /financials!E4</f>
        <v>0.49907795589159604</v>
      </c>
      <c r="G5" s="55">
        <f>financials!F11 /financials!F4</f>
        <v>0.53753470748010623</v>
      </c>
      <c r="H5" s="55">
        <f>financials!G11 /financials!G4</f>
        <v>0.5464159562074582</v>
      </c>
      <c r="I5" s="55">
        <f>financials!H11 /financials!H4</f>
        <v>0.56492050271803396</v>
      </c>
      <c r="J5" s="55">
        <f>financials!I11 /financials!I4</f>
        <v>0.568305014196405</v>
      </c>
      <c r="K5" s="55">
        <f>financials!J11 /financials!J4</f>
        <v>0.57060737176908105</v>
      </c>
      <c r="L5" s="55">
        <f>financials!K11 /financials!K4</f>
        <v>0.57118314318863717</v>
      </c>
      <c r="M5" s="55">
        <f>financials!L11 /financials!L4</f>
        <v>0.5662005275886548</v>
      </c>
      <c r="N5" s="55">
        <f>financials!M11 /financials!M4</f>
        <v>0.5170533902215787</v>
      </c>
      <c r="O5" s="55">
        <f>financials!N11 /financials!N4</f>
        <v>0.51010986725356733</v>
      </c>
      <c r="P5" s="55">
        <f>financials!O11 /financials!O4</f>
        <v>0.51744334408593462</v>
      </c>
      <c r="Q5" s="55">
        <f>financials!P11 /financials!P4</f>
        <v>0.522690926105017</v>
      </c>
      <c r="R5" s="55">
        <f>financials!Q11 /financials!Q4</f>
        <v>0.47031462079243347</v>
      </c>
      <c r="S5" s="55">
        <f>financials!R11 /financials!R4</f>
        <v>0.49679484677974473</v>
      </c>
      <c r="T5" s="55">
        <f>financials!S11 /financials!S4</f>
        <v>0.53111928214352766</v>
      </c>
      <c r="U5" s="55">
        <f>financials!T11 /financials!T4</f>
        <v>0.52803447151731464</v>
      </c>
      <c r="V5" s="55">
        <f>financials!U11 /financials!U4</f>
        <v>0.50817305365983301</v>
      </c>
      <c r="W5" s="55">
        <f>financials!V11 /financials!V4</f>
        <v>0.52192377116087341</v>
      </c>
      <c r="X5" s="55" t="e">
        <f>financials!W11 /financials!W4</f>
        <v>#DIV/0!</v>
      </c>
      <c r="Y5" s="55" t="e">
        <f>financials!X11 /financials!X4</f>
        <v>#DIV/0!</v>
      </c>
      <c r="Z5" s="55" t="e">
        <f>financials!Y11 /financials!Y4</f>
        <v>#DIV/0!</v>
      </c>
      <c r="AA5" s="55" t="e">
        <f>financials!Z11 /financials!Z4</f>
        <v>#DIV/0!</v>
      </c>
      <c r="AB5" s="55">
        <f>financials!AA11 /financials!AA4</f>
        <v>0.51480496896817862</v>
      </c>
      <c r="AC5" s="55">
        <f>financials!AB11 /financials!AB4</f>
        <v>0.14641420358671886</v>
      </c>
      <c r="AD5" s="55">
        <f>financials!AC11 /financials!AC4</f>
        <v>0.15361251428843176</v>
      </c>
      <c r="AE5" s="55">
        <f>financials!AD11 /financials!AD4</f>
        <v>0.14149628317095012</v>
      </c>
      <c r="AF5" s="55">
        <f>financials!AE11 /financials!AE4</f>
        <v>0.15312546470146704</v>
      </c>
      <c r="AG5" s="55">
        <f>financials!AF11 /financials!AF4</f>
        <v>0.16198988912655021</v>
      </c>
      <c r="AH5" s="55">
        <f>financials!AG11 /financials!AG4</f>
        <v>0.17094600068952354</v>
      </c>
      <c r="AI5" s="55">
        <f>financials!AH11 /financials!AH4</f>
        <v>0.1865317845208283</v>
      </c>
    </row>
    <row r="6" spans="1:35">
      <c r="A6" s="12" t="s">
        <v>129</v>
      </c>
      <c r="B6" s="13" t="s">
        <v>130</v>
      </c>
      <c r="C6" s="8">
        <f>financials!B12 /financials!B3</f>
        <v>0.30707129595355348</v>
      </c>
      <c r="D6" s="8">
        <f>financials!C12 /financials!C4</f>
        <v>0.51325272230789765</v>
      </c>
      <c r="E6" s="8">
        <f>financials!D12 /financials!D4</f>
        <v>0.51093289733779579</v>
      </c>
      <c r="F6" s="55">
        <f>financials!E12 /financials!E3</f>
        <v>0.2971361453941801</v>
      </c>
      <c r="G6" s="55">
        <f>financials!F12 /financials!F4</f>
        <v>0.48411593486397847</v>
      </c>
      <c r="H6" s="55">
        <f>financials!G12 /financials!G4</f>
        <v>0.49279340319131615</v>
      </c>
      <c r="I6" s="55">
        <f>financials!H12 /financials!H3</f>
        <v>0.32665895614310564</v>
      </c>
      <c r="J6" s="55">
        <f>financials!I12 /financials!I4</f>
        <v>0.51576784016370014</v>
      </c>
      <c r="K6" s="55">
        <f>financials!J12 /financials!J3</f>
        <v>0.3303101377549203</v>
      </c>
      <c r="L6" s="55">
        <f>financials!K12 /financials!K4</f>
        <v>0.51954415476452487</v>
      </c>
      <c r="M6" s="55">
        <f>financials!L12 /financials!L4</f>
        <v>0.51529621250980484</v>
      </c>
      <c r="N6" s="55">
        <f>financials!M12 /financials!M3</f>
        <v>0.2979085946161712</v>
      </c>
      <c r="O6" s="55">
        <f>financials!N12 /financials!N3</f>
        <v>0.29347443812982238</v>
      </c>
      <c r="P6" s="55">
        <f>financials!O12 /financials!O3</f>
        <v>0.55084228654614631</v>
      </c>
      <c r="Q6" s="55">
        <f>financials!P12 /financials!P3</f>
        <v>0.55194380785899211</v>
      </c>
      <c r="R6" s="55">
        <f>financials!Q12 /financials!Q3</f>
        <v>0.2876330024740244</v>
      </c>
      <c r="S6" s="55">
        <f>financials!R12 /financials!R3</f>
        <v>0.29325514245236634</v>
      </c>
      <c r="T6" s="55">
        <f>financials!S12 /financials!S3</f>
        <v>0.30639410458065569</v>
      </c>
      <c r="U6" s="55">
        <f>financials!T12 /financials!T3</f>
        <v>0.3060669899185216</v>
      </c>
      <c r="V6" s="55">
        <f>financials!U12 /financials!U3</f>
        <v>0.29152530763681589</v>
      </c>
      <c r="W6" s="55">
        <f>financials!V12 /financials!V3</f>
        <v>0.29799142548540203</v>
      </c>
      <c r="X6" s="55" t="e">
        <f>financials!W12 /financials!W3</f>
        <v>#DIV/0!</v>
      </c>
      <c r="Y6" s="55" t="e">
        <f>financials!X12 /financials!X3</f>
        <v>#DIV/0!</v>
      </c>
      <c r="Z6" s="55" t="e">
        <f>financials!Y12 /financials!Y3</f>
        <v>#DIV/0!</v>
      </c>
      <c r="AA6" s="55" t="e">
        <f>financials!Z12 /financials!Z3</f>
        <v>#DIV/0!</v>
      </c>
      <c r="AB6" s="55">
        <f>financials!AA12 /financials!AA3</f>
        <v>0.25293626239437694</v>
      </c>
      <c r="AC6" s="55">
        <f>financials!AB12 /financials!AB3</f>
        <v>0.26242629316116156</v>
      </c>
      <c r="AD6" s="55">
        <f>financials!AC12 /financials!AC3</f>
        <v>0.26545061762508021</v>
      </c>
      <c r="AE6" s="55">
        <f>financials!AD12 /financials!AD3</f>
        <v>0.246948967458022</v>
      </c>
      <c r="AF6" s="55">
        <f>financials!AE12 /financials!AE3</f>
        <v>0.25914658279196057</v>
      </c>
      <c r="AG6" s="55">
        <f>financials!AF12 /financials!AF3</f>
        <v>0.26718587171388941</v>
      </c>
      <c r="AH6" s="55">
        <f>financials!AG12 /financials!AG3</f>
        <v>0.26962773461758305</v>
      </c>
      <c r="AI6" s="55">
        <f>financials!AH12 /financials!AH3</f>
        <v>0.27793050840345418</v>
      </c>
    </row>
    <row r="7" spans="1:35" hidden="1">
      <c r="A7" s="69" t="s">
        <v>131</v>
      </c>
      <c r="B7" s="69"/>
      <c r="C7" s="8"/>
      <c r="D7" s="8"/>
      <c r="E7" s="8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</row>
    <row r="8" spans="1:35" hidden="1">
      <c r="A8" s="12" t="s">
        <v>132</v>
      </c>
      <c r="B8" s="13"/>
      <c r="C8" s="8"/>
      <c r="D8" s="8"/>
      <c r="E8" s="8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</row>
    <row r="9" spans="1:35" hidden="1">
      <c r="A9" s="12" t="s">
        <v>133</v>
      </c>
      <c r="B9" s="13"/>
      <c r="C9" s="8"/>
      <c r="D9" s="8"/>
      <c r="E9" s="8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</row>
    <row r="10" spans="1:35">
      <c r="A10" s="69" t="s">
        <v>134</v>
      </c>
      <c r="B10" s="69"/>
      <c r="C10" s="8"/>
      <c r="D10" s="8"/>
      <c r="E10" s="8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</row>
    <row r="11" spans="1:35">
      <c r="A11" s="12" t="s">
        <v>135</v>
      </c>
      <c r="B11" s="13"/>
      <c r="C11" s="8">
        <f>soci!B33 /sofp!B25</f>
        <v>1.6136809047669308E-2</v>
      </c>
      <c r="D11" s="8">
        <f>soci!C33 /sofp!C25</f>
        <v>-8.3610924327298525E-3</v>
      </c>
      <c r="E11" s="8">
        <f>soci!D33 /sofp!D25</f>
        <v>-6.5881426968829203E-3</v>
      </c>
      <c r="F11" s="55">
        <f>soci!E33 /sofp!E25</f>
        <v>-6.3917298630863E-3</v>
      </c>
      <c r="G11" s="55">
        <f>soci!F33 /sofp!F25</f>
        <v>-5.8251208143170969E-3</v>
      </c>
      <c r="H11" s="55">
        <f>soci!G33 /sofp!G25</f>
        <v>-5.2710390407991834E-3</v>
      </c>
      <c r="I11" s="55">
        <f>soci!H33 /sofp!H25</f>
        <v>2.3854886559433325E-3</v>
      </c>
      <c r="J11" s="55">
        <f>soci!I33 /sofp!I25</f>
        <v>1.0050157906718598E-2</v>
      </c>
      <c r="K11" s="55">
        <f>soci!J33 /sofp!J25</f>
        <v>1.4845812552864901E-2</v>
      </c>
      <c r="L11" s="55">
        <f>soci!K33 /sofp!K25</f>
        <v>1.4767745603611243E-2</v>
      </c>
      <c r="M11" s="55">
        <f>soci!L33 /sofp!L25</f>
        <v>1.5577178758012712E-2</v>
      </c>
      <c r="N11" s="55">
        <f>soci!M33 /sofp!M25</f>
        <v>1.4700197481014185E-2</v>
      </c>
      <c r="O11" s="55">
        <f>soci!N33 /sofp!N25</f>
        <v>2.0645821547220861E-2</v>
      </c>
      <c r="P11" s="55">
        <f>soci!O33 /sofp!O25</f>
        <v>2.9944705857005939E-3</v>
      </c>
      <c r="Q11" s="55">
        <f>soci!P33 /sofp!P25</f>
        <v>7.3143831277149721E-3</v>
      </c>
      <c r="R11" s="55">
        <f>soci!Q33 /sofp!Q25</f>
        <v>9.2654790045378597E-3</v>
      </c>
      <c r="S11" s="55">
        <f>soci!R33 /sofp!R25</f>
        <v>1.1996520433628529E-2</v>
      </c>
      <c r="T11" s="55">
        <f>soci!S33 /sofp!S25</f>
        <v>1.2832786381100792E-2</v>
      </c>
      <c r="U11" s="55">
        <f>soci!T33 /sofp!T25</f>
        <v>1.7968107766360538E-2</v>
      </c>
      <c r="V11" s="55">
        <f>soci!U33 /sofp!U25</f>
        <v>2.1034237521392624E-2</v>
      </c>
      <c r="W11" s="55">
        <f>soci!V33 /sofp!V25</f>
        <v>3.095608950789578E-2</v>
      </c>
      <c r="X11" s="55" t="e">
        <f>soci!W33 /sofp!W25</f>
        <v>#DIV/0!</v>
      </c>
      <c r="Y11" s="55" t="e">
        <f>soci!X33 /sofp!X25</f>
        <v>#DIV/0!</v>
      </c>
      <c r="Z11" s="55" t="e">
        <f>soci!Y33 /sofp!Y25</f>
        <v>#DIV/0!</v>
      </c>
      <c r="AA11" s="55" t="e">
        <f>soci!Z33 /sofp!Z25</f>
        <v>#DIV/0!</v>
      </c>
      <c r="AB11" s="55">
        <f>soci!AA33 /sofp!AA25</f>
        <v>2.6957965253387731E-2</v>
      </c>
      <c r="AC11" s="55">
        <f>soci!AB33 /sofp!AB25</f>
        <v>4.99949671874931E-3</v>
      </c>
      <c r="AD11" s="55">
        <f>soci!AC33 /sofp!AC25</f>
        <v>6.6326604933726503E-3</v>
      </c>
      <c r="AE11" s="55">
        <f>soci!AD33 /sofp!AD25</f>
        <v>1.0914721497543687E-2</v>
      </c>
      <c r="AF11" s="55">
        <f>soci!AE33 /sofp!AE25</f>
        <v>1.771632572815484E-2</v>
      </c>
      <c r="AG11" s="55">
        <f>soci!AF33 /sofp!AF25</f>
        <v>2.1781088523804552E-2</v>
      </c>
      <c r="AH11" s="55">
        <f>soci!AG33 /sofp!AG25</f>
        <v>2.6731154635396027E-2</v>
      </c>
      <c r="AI11" s="55">
        <f>soci!AH33 /sofp!AH25</f>
        <v>2.8974495094377727E-2</v>
      </c>
    </row>
    <row r="12" spans="1:35">
      <c r="A12" s="12" t="s">
        <v>136</v>
      </c>
      <c r="B12" s="13"/>
      <c r="C12" s="8">
        <f>soci!B23 /sofp!B19</f>
        <v>0.1314617760453908</v>
      </c>
      <c r="D12" s="8">
        <f>soci!C23 /sofp!C19</f>
        <v>1.0775019179215901E-2</v>
      </c>
      <c r="E12" s="8">
        <f>soci!D23 /sofp!D19</f>
        <v>2.7195035271344078E-2</v>
      </c>
      <c r="F12" s="55">
        <f>soci!E23 /sofp!E19</f>
        <v>3.8157843996001681E-2</v>
      </c>
      <c r="G12" s="55">
        <f>soci!F23 /sofp!F19</f>
        <v>4.9776598307559899E-2</v>
      </c>
      <c r="H12" s="55">
        <f>soci!G23 /sofp!G19</f>
        <v>5.9914135680237485E-2</v>
      </c>
      <c r="I12" s="55">
        <f>soci!H23 /sofp!H19</f>
        <v>6.9670442790984416E-2</v>
      </c>
      <c r="J12" s="55">
        <f>soci!I23 /sofp!I19</f>
        <v>9.2807150613612902E-2</v>
      </c>
      <c r="K12" s="55">
        <f>soci!J23 /sofp!J19</f>
        <v>0.10166333040059859</v>
      </c>
      <c r="L12" s="55">
        <f>soci!K23 /sofp!K19</f>
        <v>0.11292428268807468</v>
      </c>
      <c r="M12" s="55">
        <f>soci!L23 /sofp!L19</f>
        <v>0.12497405652440911</v>
      </c>
      <c r="N12" s="55">
        <f>soci!M23 /sofp!M19</f>
        <v>0.14326903949764941</v>
      </c>
      <c r="O12" s="55">
        <f>soci!N23 /sofp!N19</f>
        <v>0.14326903949764941</v>
      </c>
      <c r="P12" s="55">
        <f>soci!O23 /sofp!O19</f>
        <v>7.7679778028384716E-3</v>
      </c>
      <c r="Q12" s="55">
        <f>soci!P23 /sofp!P19</f>
        <v>1.6246007356438628E-2</v>
      </c>
      <c r="R12" s="55">
        <f>soci!Q23 /sofp!Q19</f>
        <v>3.0961530987641143E-2</v>
      </c>
      <c r="S12" s="55">
        <f>soci!R23 /sofp!R19</f>
        <v>4.6323710592129384E-2</v>
      </c>
      <c r="T12" s="55">
        <f>soci!S23 /sofp!S19</f>
        <v>6.3379717639632585E-2</v>
      </c>
      <c r="U12" s="55">
        <f>soci!T23 /sofp!T19</f>
        <v>7.4147391986498792E-2</v>
      </c>
      <c r="V12" s="55">
        <f>soci!U23 /sofp!U19</f>
        <v>8.6506224827058428E-2</v>
      </c>
      <c r="W12" s="55">
        <f>soci!V23 /sofp!V19</f>
        <v>9.4715557737117317E-2</v>
      </c>
      <c r="X12" s="55" t="e">
        <f>soci!W23 /sofp!W19</f>
        <v>#DIV/0!</v>
      </c>
      <c r="Y12" s="55" t="e">
        <f>soci!X23 /sofp!X19</f>
        <v>#DIV/0!</v>
      </c>
      <c r="Z12" s="55" t="e">
        <f>soci!Y23 /sofp!Y19</f>
        <v>#DIV/0!</v>
      </c>
      <c r="AA12" s="55" t="e">
        <f>soci!Z23 /sofp!Z19</f>
        <v>#DIV/0!</v>
      </c>
      <c r="AB12" s="55">
        <f>soci!AA23 /sofp!AA19</f>
        <v>0.1360224079207048</v>
      </c>
      <c r="AC12" s="55">
        <f>soci!AB23 /sofp!AB19</f>
        <v>8.695218438194199E-3</v>
      </c>
      <c r="AD12" s="55">
        <f>soci!AC23 /sofp!AC19</f>
        <v>2.5092252925828375E-2</v>
      </c>
      <c r="AE12" s="55">
        <f>soci!AD23 /sofp!AD19</f>
        <v>4.0316649231707143E-2</v>
      </c>
      <c r="AF12" s="55">
        <f>soci!AE23 /sofp!AE19</f>
        <v>5.0480392325372297E-2</v>
      </c>
      <c r="AG12" s="55">
        <f>soci!AF23 /sofp!AF19</f>
        <v>5.9725177204942949E-2</v>
      </c>
      <c r="AH12" s="55">
        <f>soci!AG23 /sofp!AG19</f>
        <v>7.0869841878002993E-2</v>
      </c>
      <c r="AI12" s="55">
        <f>soci!AH23 /sofp!AH19</f>
        <v>8.0051093339073814E-2</v>
      </c>
    </row>
    <row r="13" spans="1:35">
      <c r="A13" s="12" t="s">
        <v>137</v>
      </c>
      <c r="B13" s="13"/>
      <c r="C13" s="8">
        <f>(soci!B12 + soci!B23) / ((sofp!B25 + sofp!C25)/2)</f>
        <v>6.8386071433424275E-2</v>
      </c>
      <c r="D13" s="8">
        <f>(soci!C12 + soci!C23) / ((sofp!C25 + sofp!D25)/2)</f>
        <v>4.378715485239406E-3</v>
      </c>
      <c r="E13" s="8">
        <f>(soci!D12 + soci!D23) / ((sofp!D25 + sofp!E25)/2)</f>
        <v>1.0396018313768789E-2</v>
      </c>
      <c r="F13" s="55">
        <f>(soci!E12 + soci!E23) / ((sofp!E25 + sofp!F25)/2)</f>
        <v>1.4131006042977705E-2</v>
      </c>
      <c r="G13" s="55">
        <f>(soci!F12 + soci!F23) / ((sofp!F25 + sofp!G25)/2)</f>
        <v>1.8782346491912141E-2</v>
      </c>
      <c r="H13" s="55">
        <f>(soci!G12 + soci!G23) / ((sofp!G25 + sofp!H25)/2)</f>
        <v>2.2388019135256662E-2</v>
      </c>
      <c r="I13" s="55">
        <f>(soci!H12 + soci!H23) / ((sofp!H25 + sofp!I25)/2)</f>
        <v>2.5669057941083886E-2</v>
      </c>
      <c r="J13" s="55">
        <f>(soci!I12 + soci!I23) / ((sofp!I25 + sofp!K25)/2)</f>
        <v>3.3365822869317052E-2</v>
      </c>
      <c r="K13" s="55">
        <f>(soci!J12 + soci!J23) / ((sofp!J25 + sofp!L25)/2)</f>
        <v>3.6236930104656249E-2</v>
      </c>
      <c r="L13" s="55">
        <f>(soci!K12 + soci!K23) / ((sofp!K25 + sofp!M25)/2)</f>
        <v>4.0085682486110108E-2</v>
      </c>
      <c r="M13" s="55">
        <f>(soci!L12 + soci!L23) / ((sofp!L25 + sofp!N25)/2)</f>
        <v>4.4138807473997371E-2</v>
      </c>
      <c r="N13" s="55">
        <f>(soci!M12 + soci!M23) / ((sofp!M25 + sofp!O25)/2)</f>
        <v>5.1323912189437437E-2</v>
      </c>
      <c r="O13" s="55">
        <f>(soci!N12 + soci!N23) / ((sofp!N25 + sofp!P25)/2)</f>
        <v>7.3273485684905035E-2</v>
      </c>
      <c r="P13" s="55">
        <f>(soci!O12 + soci!O23) / ((sofp!O25 + sofp!Q25)/2)</f>
        <v>2.8237827766403275E-3</v>
      </c>
      <c r="Q13" s="55">
        <f>(soci!P12 + soci!P23) / ((sofp!P25 + sofp!R25)/2)</f>
        <v>5.870482882085395E-3</v>
      </c>
      <c r="R13" s="55">
        <f>(soci!Q12 + soci!Q23) / ((sofp!Q25 + sofp!S25)/2)</f>
        <v>1.0875524122022763E-2</v>
      </c>
      <c r="S13" s="55">
        <f>(soci!R12 + soci!R23) / ((sofp!R25 + sofp!S25)/2)</f>
        <v>1.6195976397390087E-2</v>
      </c>
      <c r="T13" s="55">
        <f>(soci!S12 + soci!S23) / ((sofp!S25 + sofp!U25)/2)</f>
        <v>2.2288756556064437E-2</v>
      </c>
      <c r="U13" s="55">
        <f>(soci!T12 + soci!T23) / ((sofp!T25 + sofp!V25)/2)</f>
        <v>2.5728578890590128E-2</v>
      </c>
      <c r="V13" s="55">
        <f>(soci!U12 + soci!U23) / ((sofp!U25 + sofp!W25)/2)</f>
        <v>6.0407928737848615E-2</v>
      </c>
      <c r="W13" s="55">
        <f>(soci!V12 + soci!V23) / ((sofp!V25 + sofp!X25)/2)</f>
        <v>6.5240537561544118E-2</v>
      </c>
      <c r="X13" s="55" t="e">
        <f>(soci!W12 + soci!W23) / ((sofp!W25 + sofp!Y25)/2)</f>
        <v>#DIV/0!</v>
      </c>
      <c r="Y13" s="55" t="e">
        <f>(soci!X12 + soci!X23) / ((sofp!X25 + sofp!Z25)/2)</f>
        <v>#DIV/0!</v>
      </c>
      <c r="Z13" s="55">
        <f>(soci!Y12 + soci!Y23) / ((sofp!Y25 + sofp!AA25)/2)</f>
        <v>0</v>
      </c>
      <c r="AA13" s="55">
        <f>(soci!Z12 + soci!Z23) / ((sofp!Z25 + sofp!AB25)/2)</f>
        <v>0</v>
      </c>
      <c r="AB13" s="55">
        <f>(soci!AA12 + soci!AA23) / ((sofp!AA25 + sofp!AC25)/2)</f>
        <v>7.0969199137738179E-2</v>
      </c>
      <c r="AC13" s="55">
        <f>(soci!AB12 + soci!AB23) / ((sofp!AB25 + sofp!AD25)/2)</f>
        <v>2.8788904728798631E-3</v>
      </c>
      <c r="AD13" s="55">
        <f>(soci!AC12 + soci!AC23) / ((sofp!AC25 + sofp!AE25)/2)</f>
        <v>8.2971871020620265E-3</v>
      </c>
      <c r="AE13" s="55">
        <f>(soci!AD12 + soci!AD23) / ((sofp!AD25 + sofp!AF25)/2)</f>
        <v>1.2827932550984291E-2</v>
      </c>
      <c r="AF13" s="55">
        <f>(soci!AE12 + soci!AE23) / ((sofp!AE25 + sofp!AG25)/2)</f>
        <v>1.6259449474915533E-2</v>
      </c>
      <c r="AG13" s="55">
        <f>(soci!AF12 + soci!AF23) / ((sofp!AF25 + sofp!AH25)/2)</f>
        <v>1.9452190478268731E-2</v>
      </c>
      <c r="AH13" s="55">
        <f>(soci!AG12 + soci!AG23) / ((sofp!AG25 + sofp!AI25)/2)</f>
        <v>4.5674123665429736E-2</v>
      </c>
      <c r="AI13" s="55">
        <f>(soci!AH12 + soci!AH23) / ((sofp!AH25 + sofp!AJ25)/2)</f>
        <v>5.1534192182879267E-2</v>
      </c>
    </row>
    <row r="14" spans="1:35">
      <c r="A14" s="69" t="s">
        <v>138</v>
      </c>
      <c r="B14" s="69"/>
      <c r="C14" s="8"/>
      <c r="D14" s="8"/>
      <c r="E14" s="8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</row>
    <row r="15" spans="1:35">
      <c r="A15" s="12" t="s">
        <v>139</v>
      </c>
      <c r="B15" s="13" t="s">
        <v>140</v>
      </c>
      <c r="C15" s="8">
        <f>financials!B33/(financials!B8+financials!B6)</f>
        <v>0.21266855968497403</v>
      </c>
      <c r="D15" s="8">
        <f>financials!C33/(financials!C8+financials!C6)</f>
        <v>0.16635213483038394</v>
      </c>
      <c r="E15" s="8">
        <f>financials!D33/(financials!D8+financials!D6)</f>
        <v>0.17656404756162</v>
      </c>
      <c r="F15" s="55">
        <f>financials!E33/(financials!E8+financials!E6)</f>
        <v>0.32723676844939598</v>
      </c>
      <c r="G15" s="55">
        <f>financials!F33/(financials!F8+financials!F6)</f>
        <v>0.26377402665635358</v>
      </c>
      <c r="H15" s="55">
        <f>financials!G33/(financials!G8+financials!G6)</f>
        <v>0.21383487301822618</v>
      </c>
      <c r="I15" s="55">
        <f>financials!H33/(financials!H8+financials!H6)</f>
        <v>0.22223715008014458</v>
      </c>
      <c r="J15" s="55">
        <f>financials!I33/(financials!I8+financials!I6)</f>
        <v>0.21485399827603935</v>
      </c>
      <c r="K15" s="55">
        <f>financials!J33/(financials!J8+financials!J6)</f>
        <v>0.21409058976246606</v>
      </c>
      <c r="L15" s="55">
        <f>financials!K33/(financials!K8+financials!K6)</f>
        <v>0.21898991752455163</v>
      </c>
      <c r="M15" s="55">
        <f>financials!L33/(financials!L8+financials!L6)</f>
        <v>0.21127108255753735</v>
      </c>
      <c r="N15" s="55">
        <f>financials!M33/(financials!M8+financials!M6)</f>
        <v>0.22495137205135796</v>
      </c>
      <c r="O15" s="55">
        <f>financials!N33/(financials!N8+financials!N6)</f>
        <v>0.21572580543116249</v>
      </c>
      <c r="P15" s="55">
        <f>financials!O33/(financials!O8+financials!O6)</f>
        <v>0.16797855296395098</v>
      </c>
      <c r="Q15" s="55">
        <f>financials!P33/(financials!P8+financials!P6)</f>
        <v>0.16767291871036022</v>
      </c>
      <c r="R15" s="55">
        <f>financials!Q33/(financials!Q8+financials!Q6)</f>
        <v>0.29561479069234353</v>
      </c>
      <c r="S15" s="55">
        <f>financials!R33/(financials!R8+financials!R6)</f>
        <v>0.21601580822384603</v>
      </c>
      <c r="T15" s="55">
        <f>financials!S33/(financials!S8+financials!S6)</f>
        <v>0.1373497697546559</v>
      </c>
      <c r="U15" s="55">
        <f>financials!T33/(financials!T8+financials!T6)</f>
        <v>0.13868150733460696</v>
      </c>
      <c r="V15" s="55">
        <f>financials!U33/(financials!U8+financials!U6)</f>
        <v>6.3826277077745894E-2</v>
      </c>
      <c r="W15" s="55">
        <f>financials!V33/(financials!V8+financials!V6)</f>
        <v>6.0416911893541973E-2</v>
      </c>
      <c r="X15" s="55" t="e">
        <f>financials!W33/(financials!W8+financials!W6)</f>
        <v>#DIV/0!</v>
      </c>
      <c r="Y15" s="55" t="e">
        <f>financials!X33/(financials!X8+financials!X6)</f>
        <v>#DIV/0!</v>
      </c>
      <c r="Z15" s="55" t="e">
        <f>financials!Y33/(financials!Y8+financials!Y6)</f>
        <v>#DIV/0!</v>
      </c>
      <c r="AA15" s="55" t="e">
        <f>financials!Z33/(financials!Z8+financials!Z6)</f>
        <v>#DIV/0!</v>
      </c>
      <c r="AB15" s="55">
        <f>financials!AA33/(financials!AA8+financials!AA6)</f>
        <v>0.12502780027302138</v>
      </c>
      <c r="AC15" s="55">
        <f>financials!AB33/(financials!AB8+financials!AB6)</f>
        <v>0.12792683010309172</v>
      </c>
      <c r="AD15" s="55">
        <f>financials!AC33/(financials!AC8+financials!AC6)</f>
        <v>9.9773093004039817E-2</v>
      </c>
      <c r="AE15" s="55">
        <f>financials!AD33/(financials!AD8+financials!AD6)</f>
        <v>0.26242606747128</v>
      </c>
      <c r="AF15" s="55">
        <f>financials!AE33/(financials!AE8+financials!AE6)</f>
        <v>0.17698813771055771</v>
      </c>
      <c r="AG15" s="55">
        <f>financials!AF33/(financials!AF8+financials!AF6)</f>
        <v>0.13349206828829796</v>
      </c>
      <c r="AH15" s="55">
        <f>financials!AG33/(financials!AG8+financials!AG6)</f>
        <v>0.14893931862860491</v>
      </c>
      <c r="AI15" s="55">
        <f>financials!AH33/(financials!AH8+financials!AH6)</f>
        <v>0.13824037488825355</v>
      </c>
    </row>
    <row r="16" spans="1:35">
      <c r="A16" s="12" t="s">
        <v>141</v>
      </c>
      <c r="B16" s="13"/>
      <c r="C16" s="8">
        <f>financials!B33/financials!B3</f>
        <v>0.13972395111742963</v>
      </c>
      <c r="D16" s="8">
        <f>financials!C33/financials!C3</f>
        <v>0.10641141646448951</v>
      </c>
      <c r="E16" s="8">
        <f>financials!D33/financials!D3</f>
        <v>0.11311667798949919</v>
      </c>
      <c r="F16" s="55">
        <f>financials!E33/financials!E3</f>
        <v>0.21911517328309962</v>
      </c>
      <c r="G16" s="55">
        <f>financials!F33/financials!F3</f>
        <v>0.17155646982997713</v>
      </c>
      <c r="H16" s="55">
        <f>financials!G33/financials!G3</f>
        <v>0.13827772027304361</v>
      </c>
      <c r="I16" s="55">
        <f>financials!H33/financials!H3</f>
        <v>0.14201178251173252</v>
      </c>
      <c r="J16" s="55">
        <f>financials!I33/financials!I3</f>
        <v>0.1369975842270261</v>
      </c>
      <c r="K16" s="55">
        <f>financials!J33/financials!J3</f>
        <v>0.13631069967621598</v>
      </c>
      <c r="L16" s="55">
        <f>financials!K33/financials!K3</f>
        <v>0.13937898867736234</v>
      </c>
      <c r="M16" s="55">
        <f>financials!L33/financials!L3</f>
        <v>0.13489401825372474</v>
      </c>
      <c r="N16" s="55">
        <f>financials!M33/financials!M3</f>
        <v>0.14449487841935982</v>
      </c>
      <c r="O16" s="55">
        <f>financials!N33/financials!N3</f>
        <v>0.14449487825745072</v>
      </c>
      <c r="P16" s="55">
        <f>financials!O33/financials!O3</f>
        <v>0.11019096774516231</v>
      </c>
      <c r="Q16" s="55">
        <f>financials!P33/financials!P3</f>
        <v>0.10961421017790716</v>
      </c>
      <c r="R16" s="55">
        <f>financials!Q33/financials!Q3</f>
        <v>0.20020260902164649</v>
      </c>
      <c r="S16" s="55">
        <f>financials!R33/financials!R3</f>
        <v>0.1450504870431342</v>
      </c>
      <c r="T16" s="55">
        <f>financials!S33/financials!S3</f>
        <v>9.0211249880668268E-2</v>
      </c>
      <c r="U16" s="55">
        <f>financials!T33/financials!T3</f>
        <v>9.1226278717247866E-2</v>
      </c>
      <c r="V16" s="55">
        <f>financials!U33/financials!U3</f>
        <v>4.1731309530031492E-2</v>
      </c>
      <c r="W16" s="55">
        <f>financials!V33/financials!V3</f>
        <v>3.9148555058780815E-2</v>
      </c>
      <c r="X16" s="55" t="e">
        <f>financials!W33/financials!W3</f>
        <v>#DIV/0!</v>
      </c>
      <c r="Y16" s="55" t="e">
        <f>financials!X33/financials!X3</f>
        <v>#DIV/0!</v>
      </c>
      <c r="Z16" s="55" t="e">
        <f>financials!Y33/financials!Y3</f>
        <v>#DIV/0!</v>
      </c>
      <c r="AA16" s="55" t="e">
        <f>financials!Z33/financials!Z3</f>
        <v>#DIV/0!</v>
      </c>
      <c r="AB16" s="55">
        <f>financials!AA33/financials!AA3</f>
        <v>8.2922334284828078E-2</v>
      </c>
      <c r="AC16" s="55">
        <f>financials!AB33/financials!AB3</f>
        <v>8.2612358431450719E-2</v>
      </c>
      <c r="AD16" s="55">
        <f>financials!AC33/financials!AC3</f>
        <v>6.4198176016035294E-2</v>
      </c>
      <c r="AE16" s="55">
        <f>financials!AD33/financials!AD3</f>
        <v>0.17581805207629764</v>
      </c>
      <c r="AF16" s="55">
        <f>financials!AE33/financials!AE3</f>
        <v>0.11575108656530268</v>
      </c>
      <c r="AG16" s="55">
        <f>financials!AF33/financials!AF3</f>
        <v>8.5947044418332452E-2</v>
      </c>
      <c r="AH16" s="55">
        <f>financials!AG33/financials!AG3</f>
        <v>9.5789756921270439E-2</v>
      </c>
      <c r="AI16" s="55">
        <f>financials!AH33/financials!AH3</f>
        <v>8.7770977691398147E-2</v>
      </c>
    </row>
    <row r="17" spans="1:35">
      <c r="A17" s="12" t="s">
        <v>142</v>
      </c>
      <c r="B17" s="13" t="s">
        <v>143</v>
      </c>
      <c r="C17" s="8">
        <f>sofp!B35 / sofp!B25</f>
        <v>0</v>
      </c>
      <c r="D17" s="8">
        <f>sofp!C35 / sofp!C25</f>
        <v>0</v>
      </c>
      <c r="E17" s="8">
        <f>sofp!D35 / sofp!D25</f>
        <v>0</v>
      </c>
      <c r="F17" s="55">
        <f>sofp!E35 / sofp!E25</f>
        <v>0</v>
      </c>
      <c r="G17" s="55">
        <f>sofp!F35 / sofp!F25</f>
        <v>0</v>
      </c>
      <c r="H17" s="55">
        <f>sofp!G35 / sofp!G25</f>
        <v>0</v>
      </c>
      <c r="I17" s="55">
        <f>sofp!H35 / sofp!H25</f>
        <v>0</v>
      </c>
      <c r="J17" s="55">
        <f>sofp!I35 / sofp!I25</f>
        <v>0</v>
      </c>
      <c r="K17" s="55">
        <f>sofp!J35 / sofp!J25</f>
        <v>0</v>
      </c>
      <c r="L17" s="55">
        <f>sofp!K35 / sofp!K25</f>
        <v>0</v>
      </c>
      <c r="M17" s="55">
        <f>sofp!L35 / sofp!L25</f>
        <v>0</v>
      </c>
      <c r="N17" s="55">
        <f>sofp!M35 / sofp!M25</f>
        <v>0</v>
      </c>
      <c r="O17" s="55">
        <f>sofp!N35 / sofp!N25</f>
        <v>0</v>
      </c>
      <c r="P17" s="55">
        <f>sofp!O35 / sofp!O25</f>
        <v>0</v>
      </c>
      <c r="Q17" s="55">
        <f>sofp!P35 / sofp!P25</f>
        <v>0</v>
      </c>
      <c r="R17" s="55">
        <f>sofp!Q35 / sofp!Q25</f>
        <v>0</v>
      </c>
      <c r="S17" s="55">
        <f>sofp!R35 / sofp!R25</f>
        <v>0</v>
      </c>
      <c r="T17" s="55">
        <f>sofp!S35 / sofp!S25</f>
        <v>0</v>
      </c>
      <c r="U17" s="55">
        <f>sofp!T35 / sofp!T25</f>
        <v>0</v>
      </c>
      <c r="V17" s="55">
        <f>sofp!U35 / sofp!U25</f>
        <v>0</v>
      </c>
      <c r="W17" s="55">
        <f>sofp!V35 / sofp!V25</f>
        <v>0</v>
      </c>
      <c r="X17" s="55" t="e">
        <f>sofp!W35 / sofp!W25</f>
        <v>#DIV/0!</v>
      </c>
      <c r="Y17" s="55" t="e">
        <f>sofp!X35 / sofp!X25</f>
        <v>#DIV/0!</v>
      </c>
      <c r="Z17" s="55" t="e">
        <f>sofp!Y35 / sofp!Y25</f>
        <v>#DIV/0!</v>
      </c>
      <c r="AA17" s="55" t="e">
        <f>sofp!Z35 / sofp!Z25</f>
        <v>#DIV/0!</v>
      </c>
      <c r="AB17" s="55">
        <f>sofp!AA35 / sofp!AA25</f>
        <v>0</v>
      </c>
      <c r="AC17" s="55">
        <f>sofp!AB35 / sofp!AB25</f>
        <v>0</v>
      </c>
      <c r="AD17" s="55">
        <f>sofp!AC35 / sofp!AC25</f>
        <v>0</v>
      </c>
      <c r="AE17" s="55">
        <f>sofp!AD35 / sofp!AD25</f>
        <v>0</v>
      </c>
      <c r="AF17" s="55">
        <f>sofp!AE35 / sofp!AE25</f>
        <v>0</v>
      </c>
      <c r="AG17" s="55">
        <f>sofp!AF35 / sofp!AF25</f>
        <v>0</v>
      </c>
      <c r="AH17" s="55">
        <f>sofp!AG35 / sofp!AG25</f>
        <v>0</v>
      </c>
      <c r="AI17" s="55">
        <f>sofp!AH35 / sofp!AH25</f>
        <v>0</v>
      </c>
    </row>
    <row r="18" spans="1:35">
      <c r="A18" s="12" t="s">
        <v>144</v>
      </c>
      <c r="B18" s="13"/>
      <c r="C18" s="8">
        <f>financials!B33 / financials!B3</f>
        <v>0.13972395111742963</v>
      </c>
      <c r="D18" s="8">
        <f>financials!C33 / financials!C3</f>
        <v>0.10641141646448951</v>
      </c>
      <c r="E18" s="8">
        <f>financials!D33 / financials!D3</f>
        <v>0.11311667798949919</v>
      </c>
      <c r="F18" s="55">
        <f>financials!E33 / financials!E3</f>
        <v>0.21911517328309962</v>
      </c>
      <c r="G18" s="55">
        <f>financials!F33 / financials!F3</f>
        <v>0.17155646982997713</v>
      </c>
      <c r="H18" s="55">
        <f>financials!G33 / financials!G3</f>
        <v>0.13827772027304361</v>
      </c>
      <c r="I18" s="55">
        <f>financials!H33 / financials!H3</f>
        <v>0.14201178251173252</v>
      </c>
      <c r="J18" s="55">
        <f>financials!I33 / financials!I3</f>
        <v>0.1369975842270261</v>
      </c>
      <c r="K18" s="55">
        <f>financials!J33 / financials!J3</f>
        <v>0.13631069967621598</v>
      </c>
      <c r="L18" s="55">
        <f>financials!K33 / financials!K3</f>
        <v>0.13937898867736234</v>
      </c>
      <c r="M18" s="55">
        <f>financials!L33 / financials!L3</f>
        <v>0.13489401825372474</v>
      </c>
      <c r="N18" s="55">
        <f>financials!M33 / financials!M3</f>
        <v>0.14449487841935982</v>
      </c>
      <c r="O18" s="55">
        <f>financials!N33 / financials!N3</f>
        <v>0.14449487825745072</v>
      </c>
      <c r="P18" s="55">
        <f>financials!O33 / financials!O3</f>
        <v>0.11019096774516231</v>
      </c>
      <c r="Q18" s="55">
        <f>financials!P33 / financials!P3</f>
        <v>0.10961421017790716</v>
      </c>
      <c r="R18" s="55">
        <f>financials!Q33 / financials!Q3</f>
        <v>0.20020260902164649</v>
      </c>
      <c r="S18" s="55">
        <f>financials!R33 / financials!R3</f>
        <v>0.1450504870431342</v>
      </c>
      <c r="T18" s="55">
        <f>financials!S33 / financials!S3</f>
        <v>9.0211249880668268E-2</v>
      </c>
      <c r="U18" s="55">
        <f>financials!T33 / financials!T3</f>
        <v>9.1226278717247866E-2</v>
      </c>
      <c r="V18" s="55">
        <f>financials!U33 / financials!U3</f>
        <v>4.1731309530031492E-2</v>
      </c>
      <c r="W18" s="55">
        <f>financials!V33 / financials!V3</f>
        <v>3.9148555058780815E-2</v>
      </c>
      <c r="X18" s="55" t="e">
        <f>financials!W33 / financials!W3</f>
        <v>#DIV/0!</v>
      </c>
      <c r="Y18" s="55" t="e">
        <f>financials!X33 / financials!X3</f>
        <v>#DIV/0!</v>
      </c>
      <c r="Z18" s="55" t="e">
        <f>financials!Y33 / financials!Y3</f>
        <v>#DIV/0!</v>
      </c>
      <c r="AA18" s="55" t="e">
        <f>financials!Z33 / financials!Z3</f>
        <v>#DIV/0!</v>
      </c>
      <c r="AB18" s="55">
        <f>financials!AA33 / financials!AA3</f>
        <v>8.2922334284828078E-2</v>
      </c>
      <c r="AC18" s="55">
        <f>financials!AB33 / financials!AB3</f>
        <v>8.2612358431450719E-2</v>
      </c>
      <c r="AD18" s="55">
        <f>financials!AC33 / financials!AC3</f>
        <v>6.4198176016035294E-2</v>
      </c>
      <c r="AE18" s="55">
        <f>financials!AD33 / financials!AD3</f>
        <v>0.17581805207629764</v>
      </c>
      <c r="AF18" s="55">
        <f>financials!AE33 / financials!AE3</f>
        <v>0.11575108656530268</v>
      </c>
      <c r="AG18" s="55">
        <f>financials!AF33 / financials!AF3</f>
        <v>8.5947044418332452E-2</v>
      </c>
      <c r="AH18" s="55">
        <f>financials!AG33 / financials!AG3</f>
        <v>9.5789756921270439E-2</v>
      </c>
      <c r="AI18" s="55">
        <f>financials!AH33 / financials!AH3</f>
        <v>8.7770977691398147E-2</v>
      </c>
    </row>
    <row r="19" spans="1:35">
      <c r="A19" s="69" t="s">
        <v>145</v>
      </c>
      <c r="B19" s="69"/>
      <c r="C19" s="8"/>
      <c r="D19" s="8"/>
      <c r="E19" s="8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</row>
    <row r="20" spans="1:35">
      <c r="A20" s="12" t="s">
        <v>146</v>
      </c>
      <c r="B20" s="13" t="s">
        <v>147</v>
      </c>
      <c r="C20" s="8">
        <f>financials!B35 / financials!B3</f>
        <v>0.46744668930255145</v>
      </c>
      <c r="D20" s="8">
        <f>financials!C35 / financials!C3</f>
        <v>0.45561824204653351</v>
      </c>
      <c r="E20" s="8">
        <f>financials!D35 / financials!D3</f>
        <v>0.46669979338170586</v>
      </c>
      <c r="F20" s="55">
        <f>financials!E35 / financials!E3</f>
        <v>0.42126390183772283</v>
      </c>
      <c r="G20" s="55">
        <f>financials!F35 / financials!F3</f>
        <v>0.43660993467380305</v>
      </c>
      <c r="H20" s="55">
        <f>financials!G35 / financials!G3</f>
        <v>0.44709273777742287</v>
      </c>
      <c r="I20" s="55">
        <f>financials!H35 / financials!H3</f>
        <v>0.4422200048898815</v>
      </c>
      <c r="J20" s="55">
        <f>financials!I35 / financials!I3</f>
        <v>0.44132519102595086</v>
      </c>
      <c r="K20" s="55">
        <f>financials!J35 / financials!J3</f>
        <v>0.44358338404651987</v>
      </c>
      <c r="L20" s="55">
        <f>financials!K35 / financials!K3</f>
        <v>0.43678267019666478</v>
      </c>
      <c r="M20" s="55">
        <f>financials!L35 / financials!L3</f>
        <v>0.44368809463671283</v>
      </c>
      <c r="N20" s="55">
        <f>financials!M35 / financials!M3</f>
        <v>0.43187315624203682</v>
      </c>
      <c r="O20" s="55">
        <f>financials!N35 / financials!N3</f>
        <v>0.43187315687863315</v>
      </c>
      <c r="P20" s="55">
        <f>financials!O35 / financials!O3</f>
        <v>0.41721717081951287</v>
      </c>
      <c r="Q20" s="55">
        <f>financials!P35 / financials!P3</f>
        <v>0.41535757368040638</v>
      </c>
      <c r="R20" s="55">
        <f>financials!Q35 / financials!Q3</f>
        <v>0.3897131133677072</v>
      </c>
      <c r="S20" s="55">
        <f>financials!R35 / financials!R3</f>
        <v>0.4109915961911802</v>
      </c>
      <c r="T20" s="55">
        <f>financials!S35 / financials!S3</f>
        <v>0.37995430585052409</v>
      </c>
      <c r="U20" s="55">
        <f>financials!T35 / financials!T3</f>
        <v>0.37838532317593726</v>
      </c>
      <c r="V20" s="55">
        <f>financials!U35 / financials!U3</f>
        <v>0.36062009398550027</v>
      </c>
      <c r="W20" s="55">
        <f>financials!V35 / financials!V3</f>
        <v>0.42288316746807725</v>
      </c>
      <c r="X20" s="55" t="e">
        <f>financials!W35 / financials!W3</f>
        <v>#DIV/0!</v>
      </c>
      <c r="Y20" s="55" t="e">
        <f>financials!X35 / financials!X3</f>
        <v>#DIV/0!</v>
      </c>
      <c r="Z20" s="55" t="e">
        <f>financials!Y35 / financials!Y3</f>
        <v>#DIV/0!</v>
      </c>
      <c r="AA20" s="55" t="e">
        <f>financials!Z35 / financials!Z3</f>
        <v>#DIV/0!</v>
      </c>
      <c r="AB20" s="55">
        <f>financials!AA35 / financials!AA3</f>
        <v>0.38825746836552005</v>
      </c>
      <c r="AC20" s="55">
        <f>financials!AB35 / financials!AB3</f>
        <v>0.3804357211383122</v>
      </c>
      <c r="AD20" s="55">
        <f>financials!AC35 / financials!AC3</f>
        <v>0.37873155905466827</v>
      </c>
      <c r="AE20" s="55">
        <f>financials!AD35 / financials!AD3</f>
        <v>0.34852576450654965</v>
      </c>
      <c r="AF20" s="55">
        <f>financials!AE35 / financials!AE3</f>
        <v>0.38850920700705716</v>
      </c>
      <c r="AG20" s="55">
        <f>financials!AF35 / financials!AF3</f>
        <v>0.40481655988222726</v>
      </c>
      <c r="AH20" s="55">
        <f>financials!AG35 / financials!AG3</f>
        <v>0.39213064077778237</v>
      </c>
      <c r="AI20" s="55">
        <f>financials!AH35 / financials!AH3</f>
        <v>0.4171180977231283</v>
      </c>
    </row>
    <row r="21" spans="1:35">
      <c r="A21" s="12" t="s">
        <v>148</v>
      </c>
      <c r="B21" s="13" t="s">
        <v>149</v>
      </c>
      <c r="C21" s="8">
        <f>financials!B36 / financials!B3</f>
        <v>0.38275056162166593</v>
      </c>
      <c r="D21" s="8">
        <f>financials!C36 / financials!C3</f>
        <v>2.1866137216904131E-2</v>
      </c>
      <c r="E21" s="8">
        <f>financials!D36 / financials!D3</f>
        <v>2.153826700685647E-2</v>
      </c>
      <c r="F21" s="55">
        <f>financials!E36 / financials!E3</f>
        <v>1.9478891550499536E-2</v>
      </c>
      <c r="G21" s="55">
        <f>financials!F36 / financials!F3</f>
        <v>2.0613390273228942E-2</v>
      </c>
      <c r="H21" s="55">
        <f>financials!G36 / financials!G3</f>
        <v>1.9690095166220029E-2</v>
      </c>
      <c r="I21" s="55">
        <f>financials!H36 / financials!H3</f>
        <v>2.0025048635726322E-2</v>
      </c>
      <c r="J21" s="55">
        <f>financials!I36 / financials!I3</f>
        <v>1.9430941429164825E-2</v>
      </c>
      <c r="K21" s="55">
        <f>financials!J36 / financials!J3</f>
        <v>1.9428007038207285E-2</v>
      </c>
      <c r="L21" s="55">
        <f>financials!K36 / financials!K3</f>
        <v>1.9942507767970803E-2</v>
      </c>
      <c r="M21" s="55">
        <f>financials!L36 / financials!L3</f>
        <v>1.9598696554573459E-2</v>
      </c>
      <c r="N21" s="55">
        <f>financials!M36 / financials!M3</f>
        <v>0.34088372816739754</v>
      </c>
      <c r="O21" s="55">
        <f>financials!N36 / financials!N3</f>
        <v>1.932865753308222E-2</v>
      </c>
      <c r="P21" s="55">
        <f>financials!O36 / financials!O3</f>
        <v>1.9875026494645367E-2</v>
      </c>
      <c r="Q21" s="55">
        <f>financials!P36 / financials!P3</f>
        <v>1.9659322232773585E-2</v>
      </c>
      <c r="R21" s="55">
        <f>financials!Q36 / financials!Q3</f>
        <v>1.8194921326664754E-2</v>
      </c>
      <c r="S21" s="55">
        <f>financials!R36 / financials!R3</f>
        <v>1.8776427863710095E-2</v>
      </c>
      <c r="T21" s="55">
        <f>financials!S36 / financials!S3</f>
        <v>1.996220261017775E-2</v>
      </c>
      <c r="U21" s="55">
        <f>financials!T36 / financials!T3</f>
        <v>1.9502203928197903E-2</v>
      </c>
      <c r="V21" s="55">
        <f>financials!U36 / financials!U3</f>
        <v>1.9445123387164847E-2</v>
      </c>
      <c r="W21" s="55">
        <f>financials!V36 / financials!V3</f>
        <v>1.9115880333284069E-2</v>
      </c>
      <c r="X21" s="55" t="e">
        <f>financials!W36 / financials!W3</f>
        <v>#DIV/0!</v>
      </c>
      <c r="Y21" s="55" t="e">
        <f>financials!X36 / financials!X3</f>
        <v>#DIV/0!</v>
      </c>
      <c r="Z21" s="55" t="e">
        <f>financials!Y36 / financials!Y3</f>
        <v>#DIV/0!</v>
      </c>
      <c r="AA21" s="55" t="e">
        <f>financials!Z36 / financials!Z3</f>
        <v>#DIV/0!</v>
      </c>
      <c r="AB21" s="55">
        <f>financials!AA36 / financials!AA3</f>
        <v>1.8095111523968012E-2</v>
      </c>
      <c r="AC21" s="55">
        <f>financials!AB36 / financials!AB3</f>
        <v>1.8742388979674486E-2</v>
      </c>
      <c r="AD21" s="55">
        <f>financials!AC36 / financials!AC3</f>
        <v>1.8506224342629607E-2</v>
      </c>
      <c r="AE21" s="55">
        <f>financials!AD36 / financials!AD3</f>
        <v>1.6788193311610428E-2</v>
      </c>
      <c r="AF21" s="55">
        <f>financials!AE36 / financials!AE3</f>
        <v>1.7458647089081847E-2</v>
      </c>
      <c r="AG21" s="55">
        <f>financials!AF36 / financials!AF3</f>
        <v>1.7793180702539151E-2</v>
      </c>
      <c r="AH21" s="55">
        <f>financials!AG36 / financials!AG3</f>
        <v>1.7351247689024338E-2</v>
      </c>
      <c r="AI21" s="55">
        <f>financials!AH36 / financials!AH3</f>
        <v>1.7245321281062806E-2</v>
      </c>
    </row>
    <row r="22" spans="1:35">
      <c r="A22" s="12" t="s">
        <v>150</v>
      </c>
      <c r="B22" s="13" t="s">
        <v>149</v>
      </c>
      <c r="C22" s="8">
        <f>financials!B22 / financials!B4</f>
        <v>7.3790449645588499E-3</v>
      </c>
      <c r="D22" s="8">
        <f>financials!C22 / financials!C4</f>
        <v>7.5001808561226836E-3</v>
      </c>
      <c r="E22" s="8">
        <f>financials!D22 / financials!D4</f>
        <v>7.3919075165104244E-3</v>
      </c>
      <c r="F22" s="55">
        <f>financials!E22 / financials!E4</f>
        <v>6.4085679458673059E-3</v>
      </c>
      <c r="G22" s="55">
        <f>financials!F22 / financials!F4</f>
        <v>6.8117999589979092E-3</v>
      </c>
      <c r="H22" s="55">
        <f>financials!G22 / financials!G4</f>
        <v>6.8377854179008414E-3</v>
      </c>
      <c r="I22" s="55">
        <f>financials!H22 / financials!H4</f>
        <v>6.8508752690024689E-3</v>
      </c>
      <c r="J22" s="55">
        <f>financials!I22 / financials!I4</f>
        <v>6.6993811799748934E-3</v>
      </c>
      <c r="K22" s="55">
        <f>financials!J22 / financials!J4</f>
        <v>6.6079082096858815E-3</v>
      </c>
      <c r="L22" s="55">
        <f>financials!K22 / financials!K4</f>
        <v>6.584847273781471E-3</v>
      </c>
      <c r="M22" s="55">
        <f>financials!L22 / financials!L4</f>
        <v>6.4911639557633551E-3</v>
      </c>
      <c r="N22" s="55">
        <f>financials!M22 / financials!M4</f>
        <v>6.9435247226502031E-3</v>
      </c>
      <c r="O22" s="55">
        <f>financials!N22 / financials!N4</f>
        <v>6.943524722650204E-3</v>
      </c>
      <c r="P22" s="55">
        <f>financials!O22 / financials!O4</f>
        <v>6.9878874261845398E-3</v>
      </c>
      <c r="Q22" s="55">
        <f>financials!P22 / financials!P4</f>
        <v>6.9731396922988473E-3</v>
      </c>
      <c r="R22" s="55">
        <f>financials!Q22 / financials!Q4</f>
        <v>6.2634899726339687E-3</v>
      </c>
      <c r="S22" s="55">
        <f>financials!R22 / financials!R4</f>
        <v>6.5245701154221999E-3</v>
      </c>
      <c r="T22" s="55">
        <f>financials!S22 / financials!S4</f>
        <v>6.9689496958837034E-3</v>
      </c>
      <c r="U22" s="55">
        <f>financials!T22 / financials!T4</f>
        <v>6.8182556608422781E-3</v>
      </c>
      <c r="V22" s="55">
        <f>financials!U22 / financials!U4</f>
        <v>3.5827608151788419E-2</v>
      </c>
      <c r="W22" s="55">
        <f>financials!V22 / financials!V4</f>
        <v>3.5709661272158431E-2</v>
      </c>
      <c r="X22" s="55" t="e">
        <f>financials!W22 / financials!W4</f>
        <v>#DIV/0!</v>
      </c>
      <c r="Y22" s="55" t="e">
        <f>financials!X22 / financials!X4</f>
        <v>#DIV/0!</v>
      </c>
      <c r="Z22" s="55" t="e">
        <f>financials!Y22 / financials!Y4</f>
        <v>#DIV/0!</v>
      </c>
      <c r="AA22" s="55" t="e">
        <f>financials!Z22 / financials!Z4</f>
        <v>#DIV/0!</v>
      </c>
      <c r="AB22" s="55">
        <f>financials!AA22 / financials!AA4</f>
        <v>4.5168508735823724E-2</v>
      </c>
      <c r="AC22" s="55">
        <f>financials!AB22 / financials!AB4</f>
        <v>4.5328463151673618E-2</v>
      </c>
      <c r="AD22" s="55">
        <f>financials!AC22 / financials!AC4</f>
        <v>4.5105612165528004E-2</v>
      </c>
      <c r="AE22" s="55">
        <f>financials!AD22 / financials!AD4</f>
        <v>3.9367692061297553E-2</v>
      </c>
      <c r="AF22" s="55">
        <f>financials!AE22 / financials!AE4</f>
        <v>4.2173133954177745E-2</v>
      </c>
      <c r="AG22" s="55">
        <f>financials!AF22 / financials!AF4</f>
        <v>4.388061625569805E-2</v>
      </c>
      <c r="AH22" s="55">
        <f>financials!AG22 / financials!AG4</f>
        <v>4.3009981956513219E-2</v>
      </c>
      <c r="AI22" s="55">
        <f>financials!AH22 / financials!AH4</f>
        <v>4.3500277294574105E-2</v>
      </c>
    </row>
    <row r="23" spans="1:35">
      <c r="A23" s="12" t="s">
        <v>151</v>
      </c>
      <c r="B23" s="13" t="s">
        <v>152</v>
      </c>
      <c r="C23" s="8">
        <f>financials!B22 / C3</f>
        <v>1.3356145437386918E-2</v>
      </c>
      <c r="D23" s="8">
        <f>financials!C22 / D3</f>
        <v>1.3110603463411197E-2</v>
      </c>
      <c r="E23" s="8">
        <f>financials!D22 / E3</f>
        <v>1.2993312467311691E-2</v>
      </c>
      <c r="F23" s="55">
        <f>financials!E22 / F3</f>
        <v>1.2840815488270737E-2</v>
      </c>
      <c r="G23" s="55">
        <f>financials!F22 / G3</f>
        <v>1.2672297926455304E-2</v>
      </c>
      <c r="H23" s="55">
        <f>financials!G22 / H3</f>
        <v>1.2513883132843094E-2</v>
      </c>
      <c r="I23" s="55">
        <f>financials!H22 / I3</f>
        <v>1.2127149282138754E-2</v>
      </c>
      <c r="J23" s="55">
        <f>financials!I22 / J3</f>
        <v>1.1788354866880695E-2</v>
      </c>
      <c r="K23" s="55">
        <f>financials!J22 / K3</f>
        <v>1.1580481670257907E-2</v>
      </c>
      <c r="L23" s="55">
        <f>financials!K22 / L3</f>
        <v>1.1528434184912176E-2</v>
      </c>
      <c r="M23" s="55">
        <f>financials!L22 / M3</f>
        <v>1.1464425834091047E-2</v>
      </c>
      <c r="N23" s="55">
        <f>financials!M22 / N3</f>
        <v>1.3429028518069704E-2</v>
      </c>
      <c r="O23" s="55">
        <f>financials!N22 / O3</f>
        <v>1.3611822017939307E-2</v>
      </c>
      <c r="P23" s="55">
        <f>financials!O22 / P3</f>
        <v>1.3504642597207751E-2</v>
      </c>
      <c r="Q23" s="55">
        <f>financials!P22 / Q3</f>
        <v>1.334084703605096E-2</v>
      </c>
      <c r="R23" s="55">
        <f>financials!Q22 / R3</f>
        <v>1.3317659489472408E-2</v>
      </c>
      <c r="S23" s="55">
        <f>financials!R22 / S3</f>
        <v>1.3133328893636621E-2</v>
      </c>
      <c r="T23" s="55">
        <f>financials!S22 / T3</f>
        <v>1.3121251534604311E-2</v>
      </c>
      <c r="U23" s="55">
        <f>financials!T22 / U3</f>
        <v>1.2912519974784832E-2</v>
      </c>
      <c r="V23" s="55">
        <f>financials!U22 / V3</f>
        <v>7.0502770451443764E-2</v>
      </c>
      <c r="W23" s="55">
        <f>financials!V22 / W3</f>
        <v>6.8419304207455969E-2</v>
      </c>
      <c r="X23" s="55" t="e">
        <f>financials!W22 / X3</f>
        <v>#DIV/0!</v>
      </c>
      <c r="Y23" s="55" t="e">
        <f>financials!X22 / Y3</f>
        <v>#DIV/0!</v>
      </c>
      <c r="Z23" s="55" t="e">
        <f>financials!Y22 / Z3</f>
        <v>#DIV/0!</v>
      </c>
      <c r="AA23" s="55" t="e">
        <f>financials!Z22 / AA3</f>
        <v>#DIV/0!</v>
      </c>
      <c r="AB23" s="55">
        <f>financials!AA22 / AB3</f>
        <v>8.773906908154902E-2</v>
      </c>
      <c r="AC23" s="55">
        <f>financials!AB22 / AC3</f>
        <v>0.30959061376054459</v>
      </c>
      <c r="AD23" s="55">
        <f>financials!AC22 / AD3</f>
        <v>0.29363240602152435</v>
      </c>
      <c r="AE23" s="55">
        <f>financials!AD22 / AE3</f>
        <v>0.27822421323770807</v>
      </c>
      <c r="AF23" s="55">
        <f>financials!AE22 / AF3</f>
        <v>0.27541554917987265</v>
      </c>
      <c r="AG23" s="55">
        <f>financials!AF22 / AG3</f>
        <v>0.27088490826373429</v>
      </c>
      <c r="AH23" s="55">
        <f>financials!AG22 / AH3</f>
        <v>0.25159981387706776</v>
      </c>
      <c r="AI23" s="55">
        <f>financials!AH22 / AI3</f>
        <v>0.2332057102564031</v>
      </c>
    </row>
    <row r="24" spans="1:35">
      <c r="A24" s="12" t="s">
        <v>153</v>
      </c>
      <c r="B24" s="13"/>
      <c r="C24" s="8">
        <f>financials!B27 / financials!B3</f>
        <v>0.39739642333506653</v>
      </c>
      <c r="D24" s="8">
        <f>financials!C27 / financials!C3</f>
        <v>0.44344896544070872</v>
      </c>
      <c r="E24" s="8">
        <f>financials!D27 / financials!D3</f>
        <v>0.42630153059260079</v>
      </c>
      <c r="F24" s="55">
        <f>financials!E27 / financials!E3</f>
        <v>0.36589209102740761</v>
      </c>
      <c r="G24" s="55">
        <f>financials!F27 / financials!F3</f>
        <v>0.39668780459012648</v>
      </c>
      <c r="H24" s="55">
        <f>financials!G27 / financials!G3</f>
        <v>0.42083674590573944</v>
      </c>
      <c r="I24" s="55">
        <f>financials!H27 / financials!H3</f>
        <v>0.42221051864645615</v>
      </c>
      <c r="J24" s="55">
        <f>financials!I27 / financials!I3</f>
        <v>0.42836052204260133</v>
      </c>
      <c r="K24" s="55">
        <f>financials!J27 / financials!J3</f>
        <v>0.42495237183883622</v>
      </c>
      <c r="L24" s="55">
        <f>financials!K27 / financials!K3</f>
        <v>0.42972077180300139</v>
      </c>
      <c r="M24" s="55">
        <f>financials!L27 / financials!L3</f>
        <v>0.42984358824497476</v>
      </c>
      <c r="N24" s="55">
        <f>financials!M27 / financials!M3</f>
        <v>0.42976859267173761</v>
      </c>
      <c r="O24" s="56">
        <f>financials!N27 / financials!N3</f>
        <v>0.42976859219017421</v>
      </c>
      <c r="P24" s="56">
        <f>financials!O27 / financials!O3</f>
        <v>0.47970486795122425</v>
      </c>
      <c r="Q24" s="56">
        <f>financials!P27 / financials!P3</f>
        <v>0.48246556560101733</v>
      </c>
      <c r="R24" s="56">
        <f>financials!Q27 / financials!Q3</f>
        <v>0.41790108925972014</v>
      </c>
      <c r="S24" s="55">
        <f>financials!R27 / financials!R3</f>
        <v>0.45238734965721622</v>
      </c>
      <c r="T24" s="56">
        <f>financials!S27 / financials!S3</f>
        <v>0.54078148741493282</v>
      </c>
      <c r="U24" s="56">
        <f>financials!T27 / financials!T3</f>
        <v>0.54071717408070408</v>
      </c>
      <c r="V24" s="56">
        <f>financials!U27 / financials!U3</f>
        <v>0.5902883428465785</v>
      </c>
      <c r="W24" s="56">
        <f>financials!V27 / financials!V3</f>
        <v>0.52700062766479294</v>
      </c>
      <c r="X24" s="56" t="e">
        <f>financials!W27 / financials!W3</f>
        <v>#DIV/0!</v>
      </c>
      <c r="Y24" s="56" t="e">
        <f>financials!X27 / financials!X3</f>
        <v>#DIV/0!</v>
      </c>
      <c r="Z24" s="56" t="e">
        <f>financials!Y27 / financials!Y3</f>
        <v>#DIV/0!</v>
      </c>
      <c r="AA24" s="56" t="e">
        <f>financials!Z27 / financials!Z3</f>
        <v>#DIV/0!</v>
      </c>
      <c r="AB24" s="56">
        <f>financials!AA27 / financials!AA3</f>
        <v>0.51507119759213849</v>
      </c>
      <c r="AC24" s="56">
        <f>financials!AB27 / financials!AB3</f>
        <v>0.52311729150215158</v>
      </c>
      <c r="AD24" s="56">
        <f>financials!AC27 / financials!AC3</f>
        <v>0.54112762960641025</v>
      </c>
      <c r="AE24" s="56">
        <f>financials!AD27 / financials!AD3</f>
        <v>0.46069095670979093</v>
      </c>
      <c r="AF24" s="56">
        <f>financials!AE27 / financials!AE3</f>
        <v>0.48217233565550527</v>
      </c>
      <c r="AG24" s="56">
        <f>financials!AF27 / financials!AF3</f>
        <v>0.49630855044584099</v>
      </c>
      <c r="AH24" s="56">
        <f>financials!AG27 / financials!AG3</f>
        <v>0.498478051084005</v>
      </c>
      <c r="AI24" s="56">
        <f>financials!AH27 / financials!AH3</f>
        <v>0.4773568896127795</v>
      </c>
    </row>
    <row r="25" spans="1:35" hidden="1">
      <c r="A25" s="69" t="s">
        <v>154</v>
      </c>
      <c r="B25" s="69"/>
      <c r="C25" s="8"/>
      <c r="D25" s="8"/>
      <c r="E25" s="8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</row>
    <row r="26" spans="1:35" hidden="1">
      <c r="A26" s="12" t="s">
        <v>155</v>
      </c>
      <c r="B26" s="13"/>
      <c r="C26" s="8">
        <f>financials!B4 / financials!B3</f>
        <v>0.62082770984693725</v>
      </c>
      <c r="D26" s="8">
        <f>financials!C4 / financials!C3</f>
        <v>0.62986069940863909</v>
      </c>
      <c r="E26" s="8">
        <f>financials!D4 / financials!D3</f>
        <v>0.63164738661114539</v>
      </c>
      <c r="F26" s="55">
        <f>financials!E4 / financials!E3</f>
        <v>0.66203654194135553</v>
      </c>
      <c r="G26" s="55">
        <f>financials!F4 / financials!F3</f>
        <v>0.65039182213903857</v>
      </c>
      <c r="H26" s="55">
        <f>financials!G4 / financials!G3</f>
        <v>0.64665654540481587</v>
      </c>
      <c r="I26" s="55">
        <f>financials!H4 / financials!H3</f>
        <v>0.6390100955691671</v>
      </c>
      <c r="J26" s="55">
        <f>financials!I4 / financials!I3</f>
        <v>0.63763106726557095</v>
      </c>
      <c r="K26" s="55">
        <f>financials!J4 / financials!J3</f>
        <v>0.63669636216824377</v>
      </c>
      <c r="L26" s="55">
        <f>financials!K4 / financials!K3</f>
        <v>0.63646304018419542</v>
      </c>
      <c r="M26" s="55">
        <f>financials!L4 / financials!L3</f>
        <v>0.6384878451928595</v>
      </c>
      <c r="N26" s="55">
        <f>financials!M4 / financials!M3</f>
        <v>0.63860322460707353</v>
      </c>
      <c r="O26" s="55">
        <f>financials!N4 / financials!N3</f>
        <v>0.63860322389150703</v>
      </c>
      <c r="P26" s="55">
        <f>financials!O4 / financials!O3</f>
        <v>0.6559823608482318</v>
      </c>
      <c r="Q26" s="55">
        <f>financials!P4 / financials!P3</f>
        <v>0.65373830801654853</v>
      </c>
      <c r="R26" s="55">
        <f>financials!Q4 / financials!Q3</f>
        <v>0.67724151607151561</v>
      </c>
      <c r="S26" s="55">
        <f>financials!R4 / financials!R3</f>
        <v>0.65270501760994448</v>
      </c>
      <c r="T26" s="55">
        <f>financials!S4 / financials!S3</f>
        <v>0.63781467861331098</v>
      </c>
      <c r="U26" s="55">
        <f>financials!T4 / financials!T3</f>
        <v>0.63978094317382328</v>
      </c>
      <c r="V26" s="55">
        <f>financials!U4 / financials!U3</f>
        <v>0.63634762067830897</v>
      </c>
      <c r="W26" s="55">
        <f>financials!V4 / financials!V3</f>
        <v>0.63128665566111919</v>
      </c>
      <c r="X26" s="55" t="e">
        <f>financials!W4 / financials!W3</f>
        <v>#DIV/0!</v>
      </c>
      <c r="Y26" s="55" t="e">
        <f>financials!X4 / financials!X3</f>
        <v>#DIV/0!</v>
      </c>
      <c r="Z26" s="55" t="e">
        <f>financials!Y4 / financials!Y3</f>
        <v>#DIV/0!</v>
      </c>
      <c r="AA26" s="55" t="e">
        <f>financials!Z4 / financials!Z3</f>
        <v>#DIV/0!</v>
      </c>
      <c r="AB26" s="55">
        <f>financials!AA4 / financials!AA3</f>
        <v>0.60915008985142283</v>
      </c>
      <c r="AC26" s="55">
        <f>financials!AB4 / financials!AB3</f>
        <v>0.63194837650738567</v>
      </c>
      <c r="AD26" s="55">
        <f>financials!AC4 / financials!AC3</f>
        <v>0.63031152556450887</v>
      </c>
      <c r="AE26" s="55">
        <f>financials!AD4 / financials!AD3</f>
        <v>0.65854273129491059</v>
      </c>
      <c r="AF26" s="55">
        <f>financials!AE4 / financials!AE3</f>
        <v>0.64262610159511269</v>
      </c>
      <c r="AG26" s="55">
        <f>financials!AF4 / financials!AF3</f>
        <v>0.63276155324505112</v>
      </c>
      <c r="AH26" s="55">
        <f>financials!AG4 / financials!AG3</f>
        <v>0.63286081278212081</v>
      </c>
      <c r="AI26" s="55">
        <f>financials!AH4 / financials!AH3</f>
        <v>0.62520967207873479</v>
      </c>
    </row>
    <row r="27" spans="1:35" hidden="1">
      <c r="A27" s="12" t="s">
        <v>156</v>
      </c>
      <c r="B27" s="13"/>
      <c r="C27" s="8">
        <f>financials!B5 / financials!B3</f>
        <v>0.51266661882298625</v>
      </c>
      <c r="D27" s="8">
        <f>financials!C5 / financials!C3</f>
        <v>0.53511993499061683</v>
      </c>
      <c r="E27" s="8">
        <f>financials!D5 / financials!D3</f>
        <v>0.53537768221280302</v>
      </c>
      <c r="F27" s="55">
        <f>financials!E5 / financials!E3</f>
        <v>0.48761964752977766</v>
      </c>
      <c r="G27" s="55">
        <f>financials!F5 / financials!F3</f>
        <v>0.51483673700017218</v>
      </c>
      <c r="H27" s="55">
        <f>financials!G5 / financials!G3</f>
        <v>0.52021815873436783</v>
      </c>
      <c r="I27" s="55">
        <f>financials!H5 / financials!H3</f>
        <v>0.51867780193300173</v>
      </c>
      <c r="J27" s="55">
        <f>financials!I5 / financials!I3</f>
        <v>0.51964650961340664</v>
      </c>
      <c r="K27" s="55">
        <f>financials!J5 / financials!J3</f>
        <v>0.51847045744478915</v>
      </c>
      <c r="L27" s="55">
        <f>financials!K5 / financials!K3</f>
        <v>0.51950987378243529</v>
      </c>
      <c r="M27" s="55">
        <f>financials!L5 / financials!L3</f>
        <v>0.52096759063920905</v>
      </c>
      <c r="N27" s="55">
        <f>financials!M5 / financials!M3</f>
        <v>0.52350522023328316</v>
      </c>
      <c r="O27" s="55">
        <f>financials!N5 / financials!N3</f>
        <v>0.52350521964668606</v>
      </c>
      <c r="P27" s="55">
        <f>financials!O5 / financials!O3</f>
        <v>0.54723832188079524</v>
      </c>
      <c r="Q27" s="55">
        <f>financials!P5 / financials!P3</f>
        <v>0.54931978943497084</v>
      </c>
      <c r="R27" s="55">
        <f>financials!Q5 / financials!Q3</f>
        <v>0.51343929329695903</v>
      </c>
      <c r="S27" s="55">
        <f>financials!R5 / financials!R3</f>
        <v>0.51940628040842407</v>
      </c>
      <c r="T27" s="55">
        <f>financials!S5 / financials!S3</f>
        <v>0.5415193611561564</v>
      </c>
      <c r="U27" s="55">
        <f>financials!T5 / financials!T3</f>
        <v>0.53591349417899614</v>
      </c>
      <c r="V27" s="55">
        <f>financials!U5 / financials!U3</f>
        <v>0.54327537256899383</v>
      </c>
      <c r="W27" s="55">
        <f>financials!V5 / financials!V3</f>
        <v>0.54142193159053387</v>
      </c>
      <c r="X27" s="55" t="e">
        <f>financials!W5 / financials!W3</f>
        <v>#DIV/0!</v>
      </c>
      <c r="Y27" s="55" t="e">
        <f>financials!X5 / financials!X3</f>
        <v>#DIV/0!</v>
      </c>
      <c r="Z27" s="55" t="e">
        <f>financials!Y5 / financials!Y3</f>
        <v>#DIV/0!</v>
      </c>
      <c r="AA27" s="55" t="e">
        <f>financials!Z5 / financials!Z3</f>
        <v>#DIV/0!</v>
      </c>
      <c r="AB27" s="55">
        <f>financials!AA5 / financials!AA3</f>
        <v>0.60915008985142283</v>
      </c>
      <c r="AC27" s="55">
        <f>financials!AB5 / financials!AB3</f>
        <v>0.54457818011263426</v>
      </c>
      <c r="AD27" s="55">
        <f>financials!AC5 / financials!AC3</f>
        <v>0.54607971509870168</v>
      </c>
      <c r="AE27" s="55">
        <f>financials!AD5 / financials!AD3</f>
        <v>0.49756496618643059</v>
      </c>
      <c r="AF27" s="55">
        <f>financials!AE5 / financials!AE3</f>
        <v>0.52416419291110783</v>
      </c>
      <c r="AG27" s="55">
        <f>financials!AF5 / financials!AF3</f>
        <v>0.53745197344742435</v>
      </c>
      <c r="AH27" s="55">
        <f>financials!AG5 / financials!AG3</f>
        <v>0.53217862923938253</v>
      </c>
      <c r="AI27" s="55">
        <f>financials!AH5 / financials!AH3</f>
        <v>0.53949625587083849</v>
      </c>
    </row>
    <row r="28" spans="1:35" hidden="1">
      <c r="A28" s="12" t="s">
        <v>157</v>
      </c>
      <c r="B28" s="13"/>
      <c r="C28" s="8">
        <f>financials!B6 / financials!B3</f>
        <v>0.62082770984693725</v>
      </c>
      <c r="D28" s="8">
        <f>financials!C6 / financials!C3</f>
        <v>0.62986069940863909</v>
      </c>
      <c r="E28" s="8">
        <f>financials!D6 / financials!D3</f>
        <v>0.63164738661114539</v>
      </c>
      <c r="F28" s="55">
        <f>financials!E6 / financials!E3</f>
        <v>0.66203654194135553</v>
      </c>
      <c r="G28" s="55">
        <f>financials!F6 / financials!F3</f>
        <v>0.65039182213903857</v>
      </c>
      <c r="H28" s="55">
        <f>financials!G6 / financials!G3</f>
        <v>0.64665654540481587</v>
      </c>
      <c r="I28" s="55">
        <f>financials!H6 / financials!H3</f>
        <v>0.6390100955691671</v>
      </c>
      <c r="J28" s="55">
        <f>financials!I6 / financials!I3</f>
        <v>0.63763106726557095</v>
      </c>
      <c r="K28" s="55">
        <f>financials!J6 / financials!J3</f>
        <v>0.63669636216824377</v>
      </c>
      <c r="L28" s="55">
        <f>financials!K6 / financials!K3</f>
        <v>0.63646304018419542</v>
      </c>
      <c r="M28" s="55">
        <f>financials!L6 / financials!L3</f>
        <v>0.6384878451928595</v>
      </c>
      <c r="N28" s="55">
        <f>financials!M6 / financials!M3</f>
        <v>0.63860322460707353</v>
      </c>
      <c r="O28" s="55">
        <f>financials!N6 / financials!N3</f>
        <v>0.63860322389150703</v>
      </c>
      <c r="P28" s="55">
        <f>financials!O6 / financials!O3</f>
        <v>0.6559823608482318</v>
      </c>
      <c r="Q28" s="55">
        <f>financials!P6 / financials!P3</f>
        <v>0.65373830801654853</v>
      </c>
      <c r="R28" s="55">
        <f>financials!Q6 / financials!Q3</f>
        <v>0.67724151607151561</v>
      </c>
      <c r="S28" s="55">
        <f>financials!R6 / financials!R3</f>
        <v>0.65270501760994448</v>
      </c>
      <c r="T28" s="55">
        <f>financials!S6 / financials!S3</f>
        <v>0.63781467861331098</v>
      </c>
      <c r="U28" s="55">
        <f>financials!T6 / financials!T3</f>
        <v>0.63978094317382328</v>
      </c>
      <c r="V28" s="55">
        <f>financials!U6 / financials!U3</f>
        <v>0.63634762067830897</v>
      </c>
      <c r="W28" s="55">
        <f>financials!V6 / financials!V3</f>
        <v>0.63128665566111919</v>
      </c>
      <c r="X28" s="55" t="e">
        <f>financials!W6 / financials!W3</f>
        <v>#DIV/0!</v>
      </c>
      <c r="Y28" s="55" t="e">
        <f>financials!X6 / financials!X3</f>
        <v>#DIV/0!</v>
      </c>
      <c r="Z28" s="55" t="e">
        <f>financials!Y6 / financials!Y3</f>
        <v>#DIV/0!</v>
      </c>
      <c r="AA28" s="55" t="e">
        <f>financials!Z6 / financials!Z3</f>
        <v>#DIV/0!</v>
      </c>
      <c r="AB28" s="55">
        <f>financials!AA6 / financials!AA3</f>
        <v>0.60915008985142283</v>
      </c>
      <c r="AC28" s="55">
        <f>financials!AB6 / financials!AB3</f>
        <v>0.63194837650738567</v>
      </c>
      <c r="AD28" s="55">
        <f>financials!AC6 / financials!AC3</f>
        <v>0.63031152556450887</v>
      </c>
      <c r="AE28" s="55">
        <f>financials!AD6 / financials!AD3</f>
        <v>0.65854273129491059</v>
      </c>
      <c r="AF28" s="55">
        <f>financials!AE6 / financials!AE3</f>
        <v>0.64262610159511269</v>
      </c>
      <c r="AG28" s="55">
        <f>financials!AF6 / financials!AF3</f>
        <v>0.63276155324505112</v>
      </c>
      <c r="AH28" s="55">
        <f>financials!AG6 / financials!AG3</f>
        <v>0.63286081278212081</v>
      </c>
      <c r="AI28" s="55">
        <f>financials!AH6 / financials!AH3</f>
        <v>0.62520967207873479</v>
      </c>
    </row>
    <row r="29" spans="1:35" hidden="1">
      <c r="A29" s="69" t="s">
        <v>158</v>
      </c>
      <c r="B29" s="69"/>
      <c r="C29" s="15"/>
      <c r="D29" s="15"/>
      <c r="E29" s="15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</row>
    <row r="30" spans="1:35" hidden="1">
      <c r="A30" s="12" t="s">
        <v>26</v>
      </c>
      <c r="B30" s="13"/>
      <c r="C30" s="15">
        <f>(financials!C3 / financials!B3) - 1</f>
        <v>-3.0260686008306226E-2</v>
      </c>
      <c r="D30" s="15">
        <f>(financials!D3 / financials!C3) - 1</f>
        <v>1.1777503462580219E-2</v>
      </c>
      <c r="E30" s="15">
        <f>(financials!E3 / financials!D3) - 1</f>
        <v>0.10049550615785097</v>
      </c>
      <c r="F30" s="57">
        <f>(financials!F3 / financials!E3) - 1</f>
        <v>-4.2351798865861268E-2</v>
      </c>
      <c r="G30" s="57">
        <f>(financials!G3 / financials!F3) - 1</f>
        <v>1.9540659400465454E-3</v>
      </c>
      <c r="H30" s="57">
        <f>(financials!H3 / financials!G3) - 1</f>
        <v>1.0032539695415066E-2</v>
      </c>
      <c r="I30" s="57">
        <f>(financials!I3 / financials!H3) - 1</f>
        <v>2.4824789933375779E-2</v>
      </c>
      <c r="J30" s="57">
        <f>(financials!K3 / financials!I3) - 1</f>
        <v>1.9260660294812881E-2</v>
      </c>
      <c r="K30" s="57">
        <f>(financials!L3 / financials!J3) - 1</f>
        <v>1.5128818594146054E-2</v>
      </c>
      <c r="L30" s="57">
        <f>(financials!M3 / financials!K3) - 1</f>
        <v>1.8056972773003332E-2</v>
      </c>
      <c r="M30" s="57">
        <f>(financials!N3 / financials!L3) - 1</f>
        <v>6.7656760903553881E-3</v>
      </c>
      <c r="N30" s="57">
        <f>(financials!O3 / financials!M3) - 1</f>
        <v>-3.2673619367899809E-2</v>
      </c>
      <c r="O30" s="57">
        <f>(financials!P3 / financials!N3) - 1</f>
        <v>-2.7300275895658199E-2</v>
      </c>
      <c r="P30" s="57">
        <f>(financials!Q3 / financials!O3) - 1</f>
        <v>8.063269136225415E-2</v>
      </c>
      <c r="Q30" s="57">
        <f>(financials!R3 / financials!P3) - 1</f>
        <v>7.0442752917772244E-2</v>
      </c>
      <c r="R30" s="57">
        <f>(financials!S3 / financials!Q3) - 1</f>
        <v>-4.5671002312469455E-2</v>
      </c>
      <c r="S30" s="57">
        <f>(financials!S3 / financials!R3) - 1</f>
        <v>-4.1908440027829785E-2</v>
      </c>
      <c r="T30" s="57">
        <f>(financials!U3 / financials!S3) - 1</f>
        <v>1.6080793260823789E-2</v>
      </c>
      <c r="U30" s="57">
        <f>(financials!V3 / financials!T3) - 1</f>
        <v>8.488347577599864E-3</v>
      </c>
      <c r="V30" s="57">
        <f>(financials!W3 / financials!U3) - 1</f>
        <v>-1</v>
      </c>
      <c r="W30" s="57">
        <f>(financials!X3 / financials!V3) - 1</f>
        <v>-1</v>
      </c>
      <c r="X30" s="57" t="e">
        <f>(financials!Y3 / financials!W3) - 1</f>
        <v>#DIV/0!</v>
      </c>
      <c r="Y30" s="57" t="e">
        <f>(financials!Z3 / financials!X3) - 1</f>
        <v>#DIV/0!</v>
      </c>
      <c r="Z30" s="57" t="e">
        <f>(financials!AA3 / financials!Y3) - 1</f>
        <v>#DIV/0!</v>
      </c>
      <c r="AA30" s="57" t="e">
        <f>(financials!AB3 / financials!Z3) - 1</f>
        <v>#DIV/0!</v>
      </c>
      <c r="AB30" s="57">
        <f>(financials!AC3 / financials!AA3) - 1</f>
        <v>-3.2225365369566328E-2</v>
      </c>
      <c r="AC30" s="57">
        <f>(financials!AD3 / financials!AB3) - 1</f>
        <v>0.104914522159121</v>
      </c>
      <c r="AD30" s="57">
        <f>(financials!AE3 / financials!AC3) - 1</f>
        <v>4.9038900863897616E-2</v>
      </c>
      <c r="AE30" s="57">
        <f>(financials!AF3 / financials!AD3) - 1</f>
        <v>-6.629192677340956E-2</v>
      </c>
      <c r="AF30" s="57">
        <f>(financials!AG3 / financials!AE3) - 1</f>
        <v>-4.3269053451147066E-3</v>
      </c>
      <c r="AG30" s="57">
        <f>(financials!AH3 / financials!AF3) - 1</f>
        <v>2.0927937112074968E-2</v>
      </c>
      <c r="AH30" s="57">
        <f>(financials!AI3 / financials!AG3) - 1</f>
        <v>-1</v>
      </c>
      <c r="AI30" s="57">
        <f>(financials!AJ3 / financials!AH3) - 1</f>
        <v>-1</v>
      </c>
    </row>
    <row r="31" spans="1:35" hidden="1">
      <c r="A31" s="12" t="s">
        <v>87</v>
      </c>
      <c r="B31" s="13"/>
      <c r="C31" s="15">
        <f>(financials!C4 / financials!B4) - 1</f>
        <v>-1.6151062739366617E-2</v>
      </c>
      <c r="D31" s="15">
        <f>(financials!D4 / financials!C4) - 1</f>
        <v>1.4647550631609274E-2</v>
      </c>
      <c r="E31" s="15">
        <f>(financials!E4 / financials!D4) - 1</f>
        <v>0.15344138955056952</v>
      </c>
      <c r="F31" s="57">
        <f>(financials!F4 / financials!E4) - 1</f>
        <v>-5.9196103167704073E-2</v>
      </c>
      <c r="G31" s="57">
        <f>(financials!G4 / financials!F4) - 1</f>
        <v>-3.8002741113963845E-3</v>
      </c>
      <c r="H31" s="57">
        <f>(financials!H4 / financials!G4) - 1</f>
        <v>-1.9106830277372255E-3</v>
      </c>
      <c r="I31" s="57">
        <f>(financials!I4 / financials!H4) - 1</f>
        <v>2.2613146641126569E-2</v>
      </c>
      <c r="J31" s="57">
        <f>(financials!K4 / financials!I4) - 1</f>
        <v>1.7393555451081788E-2</v>
      </c>
      <c r="K31" s="57">
        <f>(financials!L4 / financials!J4) - 1</f>
        <v>1.7985103244676504E-2</v>
      </c>
      <c r="L31" s="57">
        <f>(financials!M4 / financials!K4) - 1</f>
        <v>2.1480313229820247E-2</v>
      </c>
      <c r="M31" s="57">
        <f>(financials!N4 / financials!L4) - 1</f>
        <v>6.9476048685221947E-3</v>
      </c>
      <c r="N31" s="57">
        <f>(financials!O4 / financials!M4) - 1</f>
        <v>-6.3485143404147237E-3</v>
      </c>
      <c r="O31" s="57">
        <f>(financials!P4 / financials!N4) - 1</f>
        <v>-4.2470065071764651E-3</v>
      </c>
      <c r="P31" s="57">
        <f>(financials!Q4 / financials!O4) - 1</f>
        <v>0.11565396555523533</v>
      </c>
      <c r="Q31" s="57">
        <f>(financials!R4 / financials!P4) - 1</f>
        <v>6.8750824796312449E-2</v>
      </c>
      <c r="R31" s="57">
        <f>(financials!S4 / financials!Q4) - 1</f>
        <v>-0.10122898772915856</v>
      </c>
      <c r="S31" s="57">
        <f>(financials!S4 / financials!R4) - 1</f>
        <v>-6.376564616673619E-2</v>
      </c>
      <c r="T31" s="57">
        <f>(financials!U4 / financials!S4) - 1</f>
        <v>1.3743673341292784E-2</v>
      </c>
      <c r="U31" s="57">
        <f>(financials!V4 / financials!T4) - 1</f>
        <v>-4.9012196937227026E-3</v>
      </c>
      <c r="V31" s="57">
        <f>(financials!W4 / financials!U4) - 1</f>
        <v>-1</v>
      </c>
      <c r="W31" s="57">
        <f>(financials!X4 / financials!V4) - 1</f>
        <v>-1</v>
      </c>
      <c r="X31" s="57" t="e">
        <f>(financials!Y4 / financials!W4) - 1</f>
        <v>#DIV/0!</v>
      </c>
      <c r="Y31" s="57" t="e">
        <f>(financials!Z4 / financials!X4) - 1</f>
        <v>#DIV/0!</v>
      </c>
      <c r="Z31" s="57" t="e">
        <f>(financials!AA4 / financials!Y4) - 1</f>
        <v>#DIV/0!</v>
      </c>
      <c r="AA31" s="57" t="e">
        <f>(financials!AB4 / financials!Z4) - 1</f>
        <v>#DIV/0!</v>
      </c>
      <c r="AB31" s="57">
        <f>(financials!AC4 / financials!AA4) - 1</f>
        <v>1.3944289252720843E-3</v>
      </c>
      <c r="AC31" s="57">
        <f>(financials!AD4 / financials!AB4) - 1</f>
        <v>0.15141276458611896</v>
      </c>
      <c r="AD31" s="57">
        <f>(financials!AE4 / financials!AC4) - 1</f>
        <v>6.9534273040663175E-2</v>
      </c>
      <c r="AE31" s="57">
        <f>(financials!AF4 / financials!AD4) - 1</f>
        <v>-0.10284550627327338</v>
      </c>
      <c r="AF31" s="57">
        <f>(financials!AG4 / financials!AE4) - 1</f>
        <v>-1.945706471538633E-2</v>
      </c>
      <c r="AG31" s="57">
        <f>(financials!AH4 / financials!AF4) - 1</f>
        <v>8.7433686582818471E-3</v>
      </c>
      <c r="AH31" s="57">
        <f>(financials!AI4 / financials!AG4) - 1</f>
        <v>-1</v>
      </c>
      <c r="AI31" s="57">
        <f>(financials!AJ4 / financials!AH4) - 1</f>
        <v>-1</v>
      </c>
    </row>
    <row r="32" spans="1:35" hidden="1">
      <c r="A32" s="12" t="s">
        <v>159</v>
      </c>
      <c r="B32" s="13"/>
      <c r="C32" s="15">
        <f>(financials!C5 / financials!B5) - 1</f>
        <v>1.2211093151465402E-2</v>
      </c>
      <c r="D32" s="15">
        <f>(financials!D5 / financials!C5) - 1</f>
        <v>1.2264838775536635E-2</v>
      </c>
      <c r="E32" s="15">
        <f>(financials!E5 / financials!D5) - 1</f>
        <v>2.3264858610552164E-3</v>
      </c>
      <c r="F32" s="57">
        <f>(financials!F5 / financials!E5) - 1</f>
        <v>1.1100511563936433E-2</v>
      </c>
      <c r="G32" s="57">
        <f>(financials!G5 / financials!F5) - 1</f>
        <v>1.2427167410102857E-2</v>
      </c>
      <c r="H32" s="57">
        <f>(financials!H5 / financials!G5) - 1</f>
        <v>7.0418511429315434E-3</v>
      </c>
      <c r="I32" s="57">
        <f>(financials!I5 / financials!H5) - 1</f>
        <v>2.6738802141683227E-2</v>
      </c>
      <c r="J32" s="57">
        <f>(financials!K5 / financials!I5) - 1</f>
        <v>1.8992655940469394E-2</v>
      </c>
      <c r="K32" s="57">
        <f>(financials!L5 / financials!J5) - 1</f>
        <v>2.0018030376851348E-2</v>
      </c>
      <c r="L32" s="57">
        <f>(financials!M5 / financials!K5) - 1</f>
        <v>2.5886449204923778E-2</v>
      </c>
      <c r="M32" s="57">
        <f>(financials!N5 / financials!L5) - 1</f>
        <v>1.1669623724112066E-2</v>
      </c>
      <c r="N32" s="57">
        <f>(financials!O5 / financials!M5) - 1</f>
        <v>1.1180108217913487E-2</v>
      </c>
      <c r="O32" s="57">
        <f>(financials!P5 / financials!N5) - 1</f>
        <v>2.0664527450301895E-2</v>
      </c>
      <c r="P32" s="57">
        <f>(financials!Q5 / financials!O5) - 1</f>
        <v>1.3889676913904303E-2</v>
      </c>
      <c r="Q32" s="57">
        <f>(financials!R5 / financials!P5) - 1</f>
        <v>1.2151208415536408E-2</v>
      </c>
      <c r="R32" s="57">
        <f>(financials!S5 / financials!Q5) - 1</f>
        <v>6.5213860865358519E-3</v>
      </c>
      <c r="S32" s="57">
        <f>(financials!S5 / financials!R5) - 1</f>
        <v>-1.1188754258653066E-3</v>
      </c>
      <c r="T32" s="57">
        <f>(financials!U5 / financials!S5) - 1</f>
        <v>1.9375688323340912E-2</v>
      </c>
      <c r="U32" s="57">
        <f>(financials!V5 / financials!T5) - 1</f>
        <v>1.8854190205628285E-2</v>
      </c>
      <c r="V32" s="57">
        <f>(financials!W5 / financials!U5) - 1</f>
        <v>-1</v>
      </c>
      <c r="W32" s="57">
        <f>(financials!X5 / financials!V5) - 1</f>
        <v>-1</v>
      </c>
      <c r="X32" s="57" t="e">
        <f>(financials!Y5 / financials!W5) - 1</f>
        <v>#DIV/0!</v>
      </c>
      <c r="Y32" s="57" t="e">
        <f>(financials!Z5 / financials!X5) - 1</f>
        <v>#DIV/0!</v>
      </c>
      <c r="Z32" s="57" t="e">
        <f>(financials!AA5 / financials!Y5) - 1</f>
        <v>#DIV/0!</v>
      </c>
      <c r="AA32" s="57" t="e">
        <f>(financials!AB5 / financials!Z5) - 1</f>
        <v>#DIV/0!</v>
      </c>
      <c r="AB32" s="57">
        <f>(financials!AC5 / financials!AA5) - 1</f>
        <v>-0.13242712171701587</v>
      </c>
      <c r="AC32" s="57">
        <f>(financials!AD5 / financials!AB5) - 1</f>
        <v>9.5276985634857869E-3</v>
      </c>
      <c r="AD32" s="57">
        <f>(financials!AE5 / financials!AC5) - 1</f>
        <v>6.938389396672795E-3</v>
      </c>
      <c r="AE32" s="57">
        <f>(financials!AF5 / financials!AD5) - 1</f>
        <v>8.5582399935228981E-3</v>
      </c>
      <c r="AF32" s="57">
        <f>(financials!AG5 / financials!AE5) - 1</f>
        <v>1.0896871343196946E-2</v>
      </c>
      <c r="AG32" s="57">
        <f>(financials!AH5 / financials!AF5) - 1</f>
        <v>2.4811195785447326E-2</v>
      </c>
      <c r="AH32" s="57">
        <f>(financials!AI5 / financials!AG5) - 1</f>
        <v>-1</v>
      </c>
      <c r="AI32" s="57">
        <f>(financials!AJ5 / financials!AH5) - 1</f>
        <v>-1</v>
      </c>
    </row>
    <row r="33" spans="1:35" hidden="1">
      <c r="A33" s="12" t="s">
        <v>160</v>
      </c>
      <c r="B33" s="13"/>
      <c r="C33" s="15">
        <f>(financials!C6 / financials!B6) - 1</f>
        <v>-1.6151062739366617E-2</v>
      </c>
      <c r="D33" s="15">
        <f>(financials!D6 / financials!C6) - 1</f>
        <v>1.4647550631609274E-2</v>
      </c>
      <c r="E33" s="15">
        <f>(financials!E6 / financials!D6) - 1</f>
        <v>0.15344138955056952</v>
      </c>
      <c r="F33" s="57">
        <f>(financials!F6 / financials!E6) - 1</f>
        <v>-5.9196103167704073E-2</v>
      </c>
      <c r="G33" s="57">
        <f>(financials!G6 / financials!F6) - 1</f>
        <v>-3.8002741113963845E-3</v>
      </c>
      <c r="H33" s="57">
        <f>(financials!H6 / financials!G6) - 1</f>
        <v>-1.9106830277372255E-3</v>
      </c>
      <c r="I33" s="57">
        <f>(financials!I6 / financials!H6) - 1</f>
        <v>2.2613146641126569E-2</v>
      </c>
      <c r="J33" s="57">
        <f>(financials!K6 / financials!I6) - 1</f>
        <v>1.7393555451081788E-2</v>
      </c>
      <c r="K33" s="57">
        <f>(financials!L6 / financials!J6) - 1</f>
        <v>1.7985103244676504E-2</v>
      </c>
      <c r="L33" s="57">
        <f>(financials!M6 / financials!K6) - 1</f>
        <v>2.1480313229820247E-2</v>
      </c>
      <c r="M33" s="57">
        <f>(financials!N6 / financials!L6) - 1</f>
        <v>6.9476048685221947E-3</v>
      </c>
      <c r="N33" s="57">
        <f>(financials!O6 / financials!M6) - 1</f>
        <v>-6.3485143404147237E-3</v>
      </c>
      <c r="O33" s="57">
        <f>(financials!P6 / financials!N6) - 1</f>
        <v>-4.2470065071764651E-3</v>
      </c>
      <c r="P33" s="57">
        <f>(financials!Q6 / financials!O6) - 1</f>
        <v>0.11565396555523533</v>
      </c>
      <c r="Q33" s="57">
        <f>(financials!R6 / financials!P6) - 1</f>
        <v>6.8750824796312449E-2</v>
      </c>
      <c r="R33" s="57">
        <f>(financials!S6 / financials!Q6) - 1</f>
        <v>-0.10122898772915856</v>
      </c>
      <c r="S33" s="57">
        <f>(financials!S6 / financials!R6) - 1</f>
        <v>-6.376564616673619E-2</v>
      </c>
      <c r="T33" s="57">
        <f>(financials!U6 / financials!S6) - 1</f>
        <v>1.3743673341292784E-2</v>
      </c>
      <c r="U33" s="57">
        <f>(financials!V6 / financials!T6) - 1</f>
        <v>-4.9012196937227026E-3</v>
      </c>
      <c r="V33" s="57">
        <f>(financials!W6 / financials!U6) - 1</f>
        <v>-1</v>
      </c>
      <c r="W33" s="57">
        <f>(financials!X6 / financials!V6) - 1</f>
        <v>-1</v>
      </c>
      <c r="X33" s="57" t="e">
        <f>(financials!Y6 / financials!W6) - 1</f>
        <v>#DIV/0!</v>
      </c>
      <c r="Y33" s="57" t="e">
        <f>(financials!Z6 / financials!X6) - 1</f>
        <v>#DIV/0!</v>
      </c>
      <c r="Z33" s="57" t="e">
        <f>(financials!AA6 / financials!Y6) - 1</f>
        <v>#DIV/0!</v>
      </c>
      <c r="AA33" s="57" t="e">
        <f>(financials!AB6 / financials!Z6) - 1</f>
        <v>#DIV/0!</v>
      </c>
      <c r="AB33" s="57">
        <f>(financials!AC6 / financials!AA6) - 1</f>
        <v>1.3944289252720843E-3</v>
      </c>
      <c r="AC33" s="57">
        <f>(financials!AD6 / financials!AB6) - 1</f>
        <v>0.15141276458611896</v>
      </c>
      <c r="AD33" s="57">
        <f>(financials!AE6 / financials!AC6) - 1</f>
        <v>6.9534273040663175E-2</v>
      </c>
      <c r="AE33" s="57">
        <f>(financials!AF6 / financials!AD6) - 1</f>
        <v>-0.10284550627327338</v>
      </c>
      <c r="AF33" s="57">
        <f>(financials!AG6 / financials!AE6) - 1</f>
        <v>-1.945706471538633E-2</v>
      </c>
      <c r="AG33" s="57">
        <f>(financials!AH6 / financials!AF6) - 1</f>
        <v>8.7433686582818471E-3</v>
      </c>
      <c r="AH33" s="57">
        <f>(financials!AI6 / financials!AG6) - 1</f>
        <v>-1</v>
      </c>
      <c r="AI33" s="57">
        <f>(financials!AJ6 / financials!AH6) - 1</f>
        <v>-1</v>
      </c>
    </row>
    <row r="34" spans="1:35" hidden="1">
      <c r="A34" s="12" t="s">
        <v>161</v>
      </c>
      <c r="B34" s="13"/>
      <c r="C34" s="15">
        <f>(financials!C27 / financials!B27) - 1</f>
        <v>8.211818296667861E-2</v>
      </c>
      <c r="D34" s="15">
        <f>(financials!D27 / financials!C27) - 1</f>
        <v>-2.7346251858764936E-2</v>
      </c>
      <c r="E34" s="15">
        <f>(financials!E27 / financials!D27) - 1</f>
        <v>-5.5451193537538912E-2</v>
      </c>
      <c r="F34" s="57">
        <f>(financials!F27 / financials!E27) - 1</f>
        <v>3.824972387591008E-2</v>
      </c>
      <c r="G34" s="57">
        <f>(financials!G27 / financials!F27) - 1</f>
        <v>6.2949462469381379E-2</v>
      </c>
      <c r="H34" s="57">
        <f>(financials!H27 / financials!G27) - 1</f>
        <v>1.3329673759323812E-2</v>
      </c>
      <c r="I34" s="57">
        <f>(financials!I27 / financials!H27) - 1</f>
        <v>3.9752594097870686E-2</v>
      </c>
      <c r="J34" s="57">
        <f>(financials!K27 / financials!I27) - 1</f>
        <v>2.2497300922525332E-2</v>
      </c>
      <c r="K34" s="57">
        <f>(financials!L27 / financials!J27) - 1</f>
        <v>2.6812986187719989E-2</v>
      </c>
      <c r="L34" s="57">
        <f>(financials!M27 / financials!K27) - 1</f>
        <v>1.8170265804328567E-2</v>
      </c>
      <c r="M34" s="57">
        <f>(financials!N27 / financials!L27) - 1</f>
        <v>6.5900227692865521E-3</v>
      </c>
      <c r="N34" s="57">
        <f>(financials!O27 / financials!M27) - 1</f>
        <v>7.9723324596894907E-2</v>
      </c>
      <c r="O34" s="57">
        <f>(financials!P27 / financials!N27) - 1</f>
        <v>9.1969332049956831E-2</v>
      </c>
      <c r="P34" s="57">
        <f>(financials!Q27 / financials!O27) - 1</f>
        <v>-5.8592878703355611E-2</v>
      </c>
      <c r="Q34" s="57">
        <f>(financials!R27 / financials!P27) - 1</f>
        <v>3.7084394800261933E-3</v>
      </c>
      <c r="R34" s="57">
        <f>(financials!S27 / financials!Q27) - 1</f>
        <v>0.23494163599062912</v>
      </c>
      <c r="S34" s="57">
        <f>(financials!S27 / financials!R27) - 1</f>
        <v>0.14529767305392816</v>
      </c>
      <c r="T34" s="57">
        <f>(financials!U27 / financials!S27) - 1</f>
        <v>0.10909981500895327</v>
      </c>
      <c r="U34" s="57">
        <f>(financials!V27 / financials!T27) - 1</f>
        <v>-1.7094300602517043E-2</v>
      </c>
      <c r="V34" s="57">
        <f>(financials!W27 / financials!U27) - 1</f>
        <v>-1</v>
      </c>
      <c r="W34" s="57">
        <f>(financials!X27 / financials!V27) - 1</f>
        <v>-1</v>
      </c>
      <c r="X34" s="57" t="e">
        <f>(financials!Y27 / financials!W27) - 1</f>
        <v>#DIV/0!</v>
      </c>
      <c r="Y34" s="57" t="e">
        <f>(financials!Z27 / financials!X27) - 1</f>
        <v>#DIV/0!</v>
      </c>
      <c r="Z34" s="57" t="e">
        <f>(financials!AA27 / financials!Y27) - 1</f>
        <v>#DIV/0!</v>
      </c>
      <c r="AA34" s="57" t="e">
        <f>(financials!AB27 / financials!Z27) - 1</f>
        <v>#DIV/0!</v>
      </c>
      <c r="AB34" s="57">
        <f>(financials!AC27 / financials!AA27) - 1</f>
        <v>1.6732437144471035E-2</v>
      </c>
      <c r="AC34" s="57">
        <f>(financials!AD27 / financials!AB27) - 1</f>
        <v>-2.6940732862520411E-2</v>
      </c>
      <c r="AD34" s="57">
        <f>(financials!AE27 / financials!AC27) - 1</f>
        <v>-6.5252799250083648E-2</v>
      </c>
      <c r="AE34" s="57">
        <f>(financials!AF27 / financials!AD27) - 1</f>
        <v>5.8962382771243771E-3</v>
      </c>
      <c r="AF34" s="57">
        <f>(financials!AG27 / financials!AE27) - 1</f>
        <v>2.9343964882611706E-2</v>
      </c>
      <c r="AG34" s="57">
        <f>(financials!AH27 / financials!AF27) - 1</f>
        <v>-1.8056440613765767E-2</v>
      </c>
      <c r="AH34" s="57">
        <f>(financials!AI27 / financials!AG27) - 1</f>
        <v>-1</v>
      </c>
      <c r="AI34" s="57">
        <f>(financials!AJ27 / financials!AH27) - 1</f>
        <v>-1</v>
      </c>
    </row>
    <row r="35" spans="1:35" hidden="1">
      <c r="A35" s="12" t="s">
        <v>93</v>
      </c>
      <c r="B35" s="13"/>
      <c r="C35" s="15">
        <f>(financials!C11 / financials!B11) - 1</f>
        <v>1.8728502822999316E-2</v>
      </c>
      <c r="D35" s="15">
        <f>(financials!D11 / financials!C11) - 1</f>
        <v>9.0270280495896582E-3</v>
      </c>
      <c r="E35" s="15">
        <f>(financials!E11 / financials!D11) - 1</f>
        <v>1.1875957502874401E-2</v>
      </c>
      <c r="F35" s="57">
        <f>(financials!F11 / financials!E11) - 1</f>
        <v>1.3298106057278547E-2</v>
      </c>
      <c r="G35" s="57">
        <f>(financials!G11 / financials!F11) - 1</f>
        <v>1.2659123625379243E-2</v>
      </c>
      <c r="H35" s="57">
        <f>(financials!H11 / financials!G11) - 1</f>
        <v>3.1889922495959899E-2</v>
      </c>
      <c r="I35" s="57">
        <f>(financials!I11 / financials!H11) - 1</f>
        <v>2.873975368776005E-2</v>
      </c>
      <c r="J35" s="57">
        <f>(financials!K11 / financials!I11) - 1</f>
        <v>2.2546052464669453E-2</v>
      </c>
      <c r="K35" s="57">
        <f>(financials!L11 / financials!J11) - 1</f>
        <v>1.0123126778992297E-2</v>
      </c>
      <c r="L35" s="57">
        <f>(financials!M11 / financials!K11) - 1</f>
        <v>-7.5323098557111612E-2</v>
      </c>
      <c r="M35" s="57">
        <f>(financials!N11 / financials!L11) - 1</f>
        <v>-9.2805668623556326E-2</v>
      </c>
      <c r="N35" s="57">
        <f>(financials!O11 / financials!M11) - 1</f>
        <v>-5.5991173845415521E-3</v>
      </c>
      <c r="O35" s="57">
        <f>(financials!P11 / financials!N11) - 1</f>
        <v>2.031167744867246E-2</v>
      </c>
      <c r="P35" s="57">
        <f>(financials!Q11 / financials!O11) - 1</f>
        <v>1.4040237917417375E-2</v>
      </c>
      <c r="Q35" s="57">
        <f>(financials!R11 / financials!P11) - 1</f>
        <v>1.5800879129349132E-2</v>
      </c>
      <c r="R35" s="57">
        <f>(financials!S11 / financials!Q11) - 1</f>
        <v>1.4968690627575887E-2</v>
      </c>
      <c r="S35" s="57">
        <f>(financials!S11 / financials!R11) - 1</f>
        <v>9.2044261177814946E-4</v>
      </c>
      <c r="T35" s="57">
        <f>(financials!U11 / financials!S11) - 1</f>
        <v>-3.0053633091470244E-2</v>
      </c>
      <c r="U35" s="57">
        <f>(financials!V11 / financials!T11) - 1</f>
        <v>-1.6417040723434417E-2</v>
      </c>
      <c r="V35" s="57">
        <f>(financials!W11 / financials!U11) - 1</f>
        <v>-1</v>
      </c>
      <c r="W35" s="57">
        <f>(financials!X11 / financials!V11) - 1</f>
        <v>-1</v>
      </c>
      <c r="X35" s="57" t="e">
        <f>(financials!Y11 / financials!W11) - 1</f>
        <v>#DIV/0!</v>
      </c>
      <c r="Y35" s="57" t="e">
        <f>(financials!Z11 / financials!X11) - 1</f>
        <v>#DIV/0!</v>
      </c>
      <c r="Z35" s="57" t="e">
        <f>(financials!AA11 / financials!Y11) - 1</f>
        <v>#DIV/0!</v>
      </c>
      <c r="AA35" s="57" t="e">
        <f>(financials!AB11 / financials!Z11) - 1</f>
        <v>#DIV/0!</v>
      </c>
      <c r="AB35" s="57">
        <f>(financials!AC11 / financials!AA11) - 1</f>
        <v>-0.70119418946178103</v>
      </c>
      <c r="AC35" s="57">
        <f>(financials!AD11 / financials!AB11) - 1</f>
        <v>0.11273785325088803</v>
      </c>
      <c r="AD35" s="57">
        <f>(financials!AE11 / financials!AC11) - 1</f>
        <v>6.6143167645754009E-2</v>
      </c>
      <c r="AE35" s="57">
        <f>(financials!AF11 / financials!AD11) - 1</f>
        <v>2.7093812722959854E-2</v>
      </c>
      <c r="AF35" s="57">
        <f>(financials!AG11 / financials!AE11) - 1</f>
        <v>9.4657205567096669E-2</v>
      </c>
      <c r="AG35" s="57">
        <f>(financials!AH11 / financials!AF11) - 1</f>
        <v>0.16157064921739672</v>
      </c>
      <c r="AH35" s="57">
        <f>(financials!AI11 / financials!AG11) - 1</f>
        <v>-1</v>
      </c>
      <c r="AI35" s="57">
        <f>(financials!AJ11 / financials!AH11) - 1</f>
        <v>-1</v>
      </c>
    </row>
    <row r="36" spans="1:35" hidden="1">
      <c r="A36" s="12" t="s">
        <v>112</v>
      </c>
      <c r="B36" s="13"/>
      <c r="C36" s="15">
        <f>(financials!C39 / financials!B39) - 1</f>
        <v>-0.92744972773422818</v>
      </c>
      <c r="D36" s="15">
        <f>(financials!D39 / financials!C39) - 1</f>
        <v>1.4487880361313228</v>
      </c>
      <c r="E36" s="15">
        <f>(financials!E39 / financials!D39) - 1</f>
        <v>0.30698969752986383</v>
      </c>
      <c r="F36" s="57">
        <f>(financials!F39 / financials!E39) - 1</f>
        <v>0.18733839233516902</v>
      </c>
      <c r="G36" s="57">
        <f>(financials!G39 / financials!F39) - 1</f>
        <v>0.25392933457730149</v>
      </c>
      <c r="H36" s="57">
        <f>(financials!H39 / financials!G39) - 1</f>
        <v>0.42099893169957703</v>
      </c>
      <c r="I36" s="57">
        <f>(financials!I39 / financials!H39) - 1</f>
        <v>0.43009490762088443</v>
      </c>
      <c r="J36" s="57">
        <f>(financials!K39 / financials!I39) - 1</f>
        <v>0.21673883904220226</v>
      </c>
      <c r="K36" s="57">
        <f>(financials!L39 / financials!J39) - 1</f>
        <v>0.21719479562054222</v>
      </c>
      <c r="L36" s="57">
        <f>(financials!M39 / financials!K39) - 1</f>
        <v>0.18128034422177985</v>
      </c>
      <c r="M36" s="57">
        <f>(financials!N39 / financials!L39) - 1</f>
        <v>0.29146253031464298</v>
      </c>
      <c r="N36" s="57">
        <f>(financials!O39 / financials!M39) - 1</f>
        <v>-0.91443304699549677</v>
      </c>
      <c r="O36" s="57">
        <f>(financials!P39 / financials!N39) - 1</f>
        <v>-0.84799986583884257</v>
      </c>
      <c r="P36" s="57">
        <f>(financials!Q39 / financials!O39) - 1</f>
        <v>2.521735422305968</v>
      </c>
      <c r="Q36" s="57">
        <f>(financials!R39 / financials!P39) - 1</f>
        <v>1.2403076126395236</v>
      </c>
      <c r="R36" s="57">
        <f>(financials!S39 / financials!Q39) - 1</f>
        <v>0.75215017123869599</v>
      </c>
      <c r="S36" s="57">
        <f>(financials!S39 / financials!R39) - 1</f>
        <v>0.26414504238819236</v>
      </c>
      <c r="T36" s="57">
        <f>(financials!U39 / financials!S39) - 1</f>
        <v>0.42538290725191419</v>
      </c>
      <c r="U36" s="57">
        <f>(financials!V39 / financials!T39) - 1</f>
        <v>0.35953550178364235</v>
      </c>
      <c r="V36" s="57">
        <f>(financials!W39 / financials!U39) - 1</f>
        <v>-1</v>
      </c>
      <c r="W36" s="57">
        <f>(financials!X39 / financials!V39) - 1</f>
        <v>-1</v>
      </c>
      <c r="X36" s="57" t="e">
        <f>(financials!Y39 / financials!W39) - 1</f>
        <v>#DIV/0!</v>
      </c>
      <c r="Y36" s="57" t="e">
        <f>(financials!Z39 / financials!X39) - 1</f>
        <v>#DIV/0!</v>
      </c>
      <c r="Z36" s="57" t="e">
        <f>(financials!AA39 / financials!Y39) - 1</f>
        <v>#DIV/0!</v>
      </c>
      <c r="AA36" s="57" t="e">
        <f>(financials!AB39 / financials!Z39) - 1</f>
        <v>#DIV/0!</v>
      </c>
      <c r="AB36" s="57">
        <f>(financials!AC39 / financials!AA39) - 1</f>
        <v>-0.83764727086271451</v>
      </c>
      <c r="AC36" s="57">
        <f>(financials!AD39 / financials!AB39) - 1</f>
        <v>2.7066483668032473</v>
      </c>
      <c r="AD36" s="57">
        <f>(financials!AE39 / financials!AC39) - 1</f>
        <v>1.1121977462097483</v>
      </c>
      <c r="AE36" s="57">
        <f>(financials!AF39 / financials!AD39) - 1</f>
        <v>0.49266280377299565</v>
      </c>
      <c r="AF36" s="57">
        <f>(financials!AG39 / financials!AE39) - 1</f>
        <v>0.48338545680779665</v>
      </c>
      <c r="AG36" s="57">
        <f>(financials!AH39 / financials!AF39) - 1</f>
        <v>0.48525947225079813</v>
      </c>
      <c r="AH36" s="57">
        <f>(financials!AI39 / financials!AG39) - 1</f>
        <v>-1</v>
      </c>
      <c r="AI36" s="57">
        <f>(financials!AJ39 / financials!AH39) - 1</f>
        <v>-1</v>
      </c>
    </row>
    <row r="37" spans="1:35" hidden="1">
      <c r="A37" s="12" t="s">
        <v>86</v>
      </c>
      <c r="B37" s="13"/>
      <c r="C37" s="15"/>
      <c r="D37" s="15"/>
      <c r="E37" s="15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</row>
    <row r="38" spans="1:35" hidden="1">
      <c r="A38" s="12" t="s">
        <v>162</v>
      </c>
      <c r="B38" s="13"/>
      <c r="C38" s="16">
        <f>(soci!C23 / soci!B23) - 1</f>
        <v>-0.9180683680982521</v>
      </c>
      <c r="D38" s="16">
        <f>(soci!D23 / soci!C23) - 1</f>
        <v>1.5231046597002189</v>
      </c>
      <c r="E38" s="16">
        <f>(soci!E23 / soci!D23) - 1</f>
        <v>0.3992758590092178</v>
      </c>
      <c r="F38" s="58">
        <f>(soci!F23 / soci!E23) - 1</f>
        <v>0.30426201735380975</v>
      </c>
      <c r="G38" s="58">
        <f>(soci!G23 / soci!F23) - 1</f>
        <v>0.19968716651693152</v>
      </c>
      <c r="H38" s="58">
        <f>(soci!H23 / soci!G23) - 1</f>
        <v>0.16719713451139939</v>
      </c>
      <c r="I38" s="58">
        <f>(soci!I23 / soci!H23) - 1</f>
        <v>0.33151272035690482</v>
      </c>
      <c r="J38" s="58">
        <f>(soci!K23 / soci!I23) - 1</f>
        <v>0.21721149815684271</v>
      </c>
      <c r="K38" s="58">
        <f>(soci!L23 / soci!J23) - 1</f>
        <v>0.22825235410362477</v>
      </c>
      <c r="L38" s="58">
        <f>(soci!M23 / soci!K23) - 1</f>
        <v>0.26730635346215958</v>
      </c>
      <c r="M38" s="58">
        <f>(soci!N23 / soci!L23) - 1</f>
        <v>0.14676682550275766</v>
      </c>
      <c r="N38" s="58">
        <f>(soci!O23 / soci!M23) - 1</f>
        <v>-0.9458526073472161</v>
      </c>
      <c r="O38" s="58">
        <f>(soci!P23 / soci!N23) - 1</f>
        <v>-0.88690657142782914</v>
      </c>
      <c r="P38" s="58">
        <f>(soci!Q23 / soci!O23) - 1</f>
        <v>2.9770863482818801</v>
      </c>
      <c r="Q38" s="58">
        <f>(soci!R23 / soci!P23) - 1</f>
        <v>1.8508246462474292</v>
      </c>
      <c r="R38" s="58">
        <f>(soci!S23 / soci!Q23) - 1</f>
        <v>1.0487110870984884</v>
      </c>
      <c r="S38" s="58">
        <f>(soci!S23 / soci!R23) - 1</f>
        <v>0.36840739268237188</v>
      </c>
      <c r="T38" s="58">
        <f>(soci!U23 / soci!S23) - 1</f>
        <v>0.36396907567081249</v>
      </c>
      <c r="U38" s="58">
        <f>(soci!V23 / soci!T23) - 1</f>
        <v>0.27400588783108559</v>
      </c>
      <c r="V38" s="58">
        <f>(soci!W23 / soci!U23) - 1</f>
        <v>-1</v>
      </c>
      <c r="W38" s="58">
        <f>(soci!X23 / soci!V23) - 1</f>
        <v>-1</v>
      </c>
      <c r="X38" s="58" t="e">
        <f>(soci!Y23 / soci!W23) - 1</f>
        <v>#DIV/0!</v>
      </c>
      <c r="Y38" s="58" t="e">
        <f>(soci!Z23 / soci!X23) - 1</f>
        <v>#DIV/0!</v>
      </c>
      <c r="Z38" s="58" t="e">
        <f>(soci!AA23 / soci!Y23) - 1</f>
        <v>#DIV/0!</v>
      </c>
      <c r="AA38" s="58" t="e">
        <f>(soci!AB23 / soci!Z23) - 1</f>
        <v>#DIV/0!</v>
      </c>
      <c r="AB38" s="58">
        <f>(soci!AC23 / soci!AA23) - 1</f>
        <v>-0.81599742596033165</v>
      </c>
      <c r="AC38" s="58">
        <f>(soci!AD23 / soci!AB23) - 1</f>
        <v>3.6248454752752863</v>
      </c>
      <c r="AD38" s="58">
        <f>(soci!AE23 / soci!AC23) - 1</f>
        <v>1.0066653301937221</v>
      </c>
      <c r="AE38" s="58">
        <f>(soci!AF23 / soci!AD23) - 1</f>
        <v>0.47762245628095568</v>
      </c>
      <c r="AF38" s="58">
        <f>(soci!AG23 / soci!AE23) - 1</f>
        <v>0.40032160375307435</v>
      </c>
      <c r="AG38" s="58">
        <f>(soci!AH23 / soci!AF23) - 1</f>
        <v>0.33689544540273819</v>
      </c>
      <c r="AH38" s="58">
        <f>(soci!AI23 / soci!AG23) - 1</f>
        <v>-1</v>
      </c>
      <c r="AI38" s="58">
        <f>(soci!AJ23 / soci!AH23) - 1</f>
        <v>-1</v>
      </c>
    </row>
    <row r="39" spans="1:35">
      <c r="A39" s="12" t="s">
        <v>163</v>
      </c>
      <c r="B39" s="13"/>
      <c r="C39" s="16"/>
      <c r="D39" s="16"/>
      <c r="E39" s="16"/>
      <c r="F39" s="58"/>
      <c r="G39" s="58"/>
      <c r="H39" s="58"/>
      <c r="I39" s="58"/>
      <c r="J39" s="58"/>
      <c r="K39" s="58"/>
      <c r="L39" s="58"/>
      <c r="M39" s="58"/>
      <c r="N39" s="58"/>
      <c r="O39" s="58">
        <f>sofp!N13/sofp!N29</f>
        <v>0.67298218379052221</v>
      </c>
      <c r="P39" s="58">
        <f>sofp!O13/sofp!O29</f>
        <v>0.73127708393093338</v>
      </c>
      <c r="Q39" s="58">
        <f>sofp!P13/sofp!P29</f>
        <v>0.73801024000693005</v>
      </c>
      <c r="R39" s="58">
        <f>sofp!Q13/sofp!Q29</f>
        <v>0.61706360189470499</v>
      </c>
      <c r="S39" s="58">
        <f>sofp!R13/sofp!R29</f>
        <v>0.69309617277611035</v>
      </c>
      <c r="T39" s="58">
        <f>sofp!S13/sofp!S29</f>
        <v>0.84786616794498926</v>
      </c>
      <c r="U39" s="58">
        <f>sofp!T13/sofp!T29</f>
        <v>0.84515986268411802</v>
      </c>
      <c r="V39" s="58">
        <f>sofp!U13/sofp!U29</f>
        <v>0.92761931319451785</v>
      </c>
      <c r="W39" s="58">
        <f>sofp!V13/sofp!V29</f>
        <v>0.83480400375783004</v>
      </c>
      <c r="X39" s="58" t="e">
        <f>sofp!W13/sofp!W29</f>
        <v>#DIV/0!</v>
      </c>
      <c r="Y39" s="58" t="e">
        <f>sofp!X13/sofp!X29</f>
        <v>#DIV/0!</v>
      </c>
      <c r="Z39" s="58" t="e">
        <f>sofp!Y13/sofp!Y29</f>
        <v>#DIV/0!</v>
      </c>
      <c r="AA39" s="58" t="e">
        <f>sofp!Z13/sofp!Z29</f>
        <v>#DIV/0!</v>
      </c>
      <c r="AB39" s="58">
        <f>sofp!AA13/sofp!AA29</f>
        <v>0.84555712323340371</v>
      </c>
      <c r="AC39" s="58">
        <f>sofp!AB13/sofp!AB29</f>
        <v>0.82778484912531114</v>
      </c>
      <c r="AD39" s="58">
        <f>sofp!AC13/sofp!AC29</f>
        <v>0.85850822594712162</v>
      </c>
      <c r="AE39" s="58">
        <f>sofp!AD13/sofp!AD29</f>
        <v>0.69956122027787271</v>
      </c>
      <c r="AF39" s="58">
        <f>sofp!AE13/sofp!AE29</f>
        <v>0.75031551699918109</v>
      </c>
      <c r="AG39" s="58">
        <f>sofp!AF13/sofp!AF29</f>
        <v>0.78435320208785564</v>
      </c>
      <c r="AH39" s="58">
        <f>sofp!AG13/sofp!AG29</f>
        <v>0.78765826705661324</v>
      </c>
      <c r="AI39" s="58">
        <f>sofp!AH13/sofp!AH29</f>
        <v>0.76351488297619352</v>
      </c>
    </row>
    <row r="40" spans="1:35">
      <c r="A40" s="69" t="s">
        <v>164</v>
      </c>
      <c r="B40" s="69"/>
      <c r="C40" s="8"/>
      <c r="D40" s="8"/>
      <c r="E40" s="8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</row>
    <row r="41" spans="1:35">
      <c r="A41" s="12" t="s">
        <v>165</v>
      </c>
      <c r="B41" s="13"/>
      <c r="C41" s="8">
        <f>financials!B46 / ((financials!B5 + financials!C5) /2)</f>
        <v>3.2574199801139521E-2</v>
      </c>
      <c r="D41" s="8">
        <f>financials!C46 / ((financials!C5 + financials!D5) /2)</f>
        <v>2.482200405327086E-4</v>
      </c>
      <c r="E41" s="8">
        <f>financials!D46 / ((financials!D5 + financials!E5) /2)</f>
        <v>5.000118977909455E-4</v>
      </c>
      <c r="F41" s="55">
        <f>financials!E46 / ((financials!E5 + financials!F5) /2)</f>
        <v>5.9111893738842563E-4</v>
      </c>
      <c r="G41" s="55">
        <f>financials!F46 / ((financials!F5 + financials!G5) /2)</f>
        <v>6.898492497101733E-4</v>
      </c>
      <c r="H41" s="55">
        <f>financials!G46 / ((financials!G5 + financials!H5) /2)</f>
        <v>7.992491459834504E-4</v>
      </c>
      <c r="I41" s="55">
        <f>financials!H46 / ((financials!H5 + financials!I5) /2)</f>
        <v>8.911380225433258E-4</v>
      </c>
      <c r="J41" s="55">
        <f>financials!I46 / ((financials!I5 + financials!K5) /2)</f>
        <v>1.0122285310860486E-3</v>
      </c>
      <c r="K41" s="55">
        <f>financials!J46 / ((financials!J5 + financials!L5) /2)</f>
        <v>1.4273377135871335E-3</v>
      </c>
      <c r="L41" s="55">
        <f>financials!K46 / ((financials!K5 + financials!M5) /2)</f>
        <v>1.6193965358648628E-3</v>
      </c>
      <c r="M41" s="55">
        <f>financials!L46 / ((financials!L5 + financials!N5) /2)</f>
        <v>1.9389983003933516E-3</v>
      </c>
      <c r="N41" s="55">
        <f>financials!M46 / ((financials!M5 + financials!O5) /2)</f>
        <v>2.271790959539827E-3</v>
      </c>
      <c r="O41" s="55">
        <f>financials!N46 / ((financials!N5 + financials!P5) /2)</f>
        <v>4.3454668834818085E-2</v>
      </c>
      <c r="P41" s="55">
        <f>financials!O46 / ((financials!O5 + financials!Q5) /2)</f>
        <v>3.2408139001681023E-4</v>
      </c>
      <c r="Q41" s="55">
        <f>financials!P46 / ((financials!P5 + financials!R5) /2)</f>
        <v>6.269331747476818E-4</v>
      </c>
      <c r="R41" s="55">
        <f>financials!Q46 / ((financials!Q5 + financials!S5) /2)</f>
        <v>9.1819150480572831E-4</v>
      </c>
      <c r="S41" s="55">
        <f>financials!R46 / ((financials!R5 + financials!S5) /2)</f>
        <v>1.1448314327817081E-3</v>
      </c>
      <c r="T41" s="55">
        <f>financials!S46 / ((financials!S5 + financials!U5) /2)</f>
        <v>1.224244373534338E-3</v>
      </c>
      <c r="U41" s="55">
        <f>financials!T46 / ((financials!T5 + financials!V5) /2)</f>
        <v>1.4710118176303414E-3</v>
      </c>
      <c r="V41" s="55">
        <f>financials!U46 / ((financials!U5 + financials!W5) /2)</f>
        <v>3.4675432021653192E-3</v>
      </c>
      <c r="W41" s="55">
        <f>financials!V46 / ((financials!V5 + financials!X5) /2)</f>
        <v>3.6390559152975326E-3</v>
      </c>
      <c r="X41" s="55" t="e">
        <f>financials!W46 / ((financials!W5 + financials!Y5) /2)</f>
        <v>#DIV/0!</v>
      </c>
      <c r="Y41" s="55" t="e">
        <f>financials!X46 / ((financials!X5 + financials!Z5) /2)</f>
        <v>#DIV/0!</v>
      </c>
      <c r="Z41" s="55">
        <f>financials!Y46 / ((financials!Y5 + financials!AA5) /2)</f>
        <v>0</v>
      </c>
      <c r="AA41" s="55">
        <f>financials!Z46 / ((financials!Z5 + financials!AB5) /2)</f>
        <v>0</v>
      </c>
      <c r="AB41" s="55">
        <f>financials!AA46 / ((financials!AA5 + financials!AC5) /2)</f>
        <v>4.5758605070552218E-2</v>
      </c>
      <c r="AC41" s="55">
        <f>financials!AB46 / ((financials!AB5 + financials!AD5) /2)</f>
        <v>2.1710709100933594E-4</v>
      </c>
      <c r="AD41" s="55">
        <f>financials!AC46 / ((financials!AC5 + financials!AE5) /2)</f>
        <v>3.1650511083352662E-4</v>
      </c>
      <c r="AE41" s="55">
        <f>financials!AD46 / ((financials!AD5 + financials!AF5) /2)</f>
        <v>4.3561708830011631E-4</v>
      </c>
      <c r="AF41" s="55">
        <f>financials!AE46 / ((financials!AE5 + financials!AG5) /2)</f>
        <v>5.607233403068097E-4</v>
      </c>
      <c r="AG41" s="55">
        <f>financials!AF46 / ((financials!AF5 + financials!AH5) /2)</f>
        <v>6.8457622726624662E-4</v>
      </c>
      <c r="AH41" s="55">
        <f>financials!AG46 / ((financials!AG5 + financials!AI5) /2)</f>
        <v>1.6338187188608669E-3</v>
      </c>
      <c r="AI41" s="55">
        <f>financials!AH46 / ((financials!AH5 + financials!AJ5) /2)</f>
        <v>1.9124059825843731E-3</v>
      </c>
    </row>
    <row r="42" spans="1:35">
      <c r="A42" s="12" t="s">
        <v>166</v>
      </c>
      <c r="B42" s="13"/>
      <c r="C42" s="8">
        <f>financials!B47 / ((financials!B15 + financials!C15) /2)</f>
        <v>0</v>
      </c>
      <c r="D42" s="8">
        <f>financials!C47 / ((financials!C15 + financials!D15) /2)</f>
        <v>0</v>
      </c>
      <c r="E42" s="8">
        <f>financials!D47 / ((financials!D15 + financials!E15) /2)</f>
        <v>0</v>
      </c>
      <c r="F42" s="55">
        <f>financials!E47 / ((financials!E15 + financials!F15) /2)</f>
        <v>0</v>
      </c>
      <c r="G42" s="55">
        <f>financials!F47 / ((financials!F15 + financials!G15) /2)</f>
        <v>0</v>
      </c>
      <c r="H42" s="55">
        <f>financials!G47 / ((financials!G15 + financials!H15) /2)</f>
        <v>0</v>
      </c>
      <c r="I42" s="55">
        <f>financials!H47 / ((financials!H15 + financials!I15) /2)</f>
        <v>0</v>
      </c>
      <c r="J42" s="55">
        <f>financials!I47 / ((financials!I15 + financials!K15) /2)</f>
        <v>0</v>
      </c>
      <c r="K42" s="55">
        <f>financials!J47 / ((financials!J15 + financials!L15) /2)</f>
        <v>0</v>
      </c>
      <c r="L42" s="55">
        <f>financials!K47 / ((financials!K15 + financials!M15) /2)</f>
        <v>0</v>
      </c>
      <c r="M42" s="55">
        <f>financials!L47 / ((financials!L15 + financials!N15) /2)</f>
        <v>0</v>
      </c>
      <c r="N42" s="55">
        <f>financials!M47 / ((financials!M15 + financials!O15) /2)</f>
        <v>0</v>
      </c>
      <c r="O42" s="55">
        <f>financials!N47 / ((financials!N15 + financials!P15) /2)</f>
        <v>0</v>
      </c>
      <c r="P42" s="55">
        <f>financials!O47 / ((financials!O15 + financials!Q15) /2)</f>
        <v>0</v>
      </c>
      <c r="Q42" s="55">
        <f>financials!P47 / ((financials!P15 + financials!R15) /2)</f>
        <v>0</v>
      </c>
      <c r="R42" s="55">
        <f>financials!Q47 / ((financials!Q15 + financials!S15) /2)</f>
        <v>0</v>
      </c>
      <c r="S42" s="55">
        <f>financials!R47 / ((financials!R15 + financials!S15) /2)</f>
        <v>0</v>
      </c>
      <c r="T42" s="55">
        <f>financials!S47 / ((financials!S15 + financials!U15) /2)</f>
        <v>0</v>
      </c>
      <c r="U42" s="55">
        <f>financials!T47 / ((financials!T15 + financials!V15) /2)</f>
        <v>0</v>
      </c>
      <c r="V42" s="55">
        <f>financials!U47 / ((financials!U15 + financials!W15) /2)</f>
        <v>0</v>
      </c>
      <c r="W42" s="55">
        <f>financials!V47 / ((financials!V15 + financials!X15) /2)</f>
        <v>0</v>
      </c>
      <c r="X42" s="55" t="e">
        <f>financials!W47 / ((financials!W15 + financials!Y15) /2)</f>
        <v>#DIV/0!</v>
      </c>
      <c r="Y42" s="55" t="e">
        <f>financials!X47 / ((financials!X15 + financials!Z15) /2)</f>
        <v>#DIV/0!</v>
      </c>
      <c r="Z42" s="55">
        <f>financials!Y47 / ((financials!Y15 + financials!AA15) /2)</f>
        <v>0</v>
      </c>
      <c r="AA42" s="55">
        <f>financials!Z47 / ((financials!Z15 + financials!AB15) /2)</f>
        <v>0</v>
      </c>
      <c r="AB42" s="55">
        <f>financials!AA47 / ((financials!AA15 + financials!AC15) /2)</f>
        <v>0</v>
      </c>
      <c r="AC42" s="55">
        <f>financials!AB47 / ((financials!AB15 + financials!AD15) /2)</f>
        <v>0</v>
      </c>
      <c r="AD42" s="55">
        <f>financials!AC47 / ((financials!AC15 + financials!AE15) /2)</f>
        <v>0</v>
      </c>
      <c r="AE42" s="55">
        <f>financials!AD47 / ((financials!AD15 + financials!AF15) /2)</f>
        <v>0</v>
      </c>
      <c r="AF42" s="55">
        <f>financials!AE47 / ((financials!AE15 + financials!AG15) /2)</f>
        <v>0</v>
      </c>
      <c r="AG42" s="55">
        <f>financials!AF47 / ((financials!AF15 + financials!AH15) /2)</f>
        <v>0</v>
      </c>
      <c r="AH42" s="55">
        <f>financials!AG47 / ((financials!AG15 + financials!AI15) /2)</f>
        <v>0</v>
      </c>
      <c r="AI42" s="55">
        <f>financials!AH47 / ((financials!AH15 + financials!AJ15) /2)</f>
        <v>0</v>
      </c>
    </row>
    <row r="43" spans="1:35">
      <c r="A43" s="12" t="s">
        <v>167</v>
      </c>
      <c r="B43" s="13"/>
      <c r="C43" s="8">
        <f>financials!B48 / ((financials!B27 + financials!C27) /2)</f>
        <v>0</v>
      </c>
      <c r="D43" s="8">
        <f>financials!C48 / ((financials!C27 + financials!D27) /2)</f>
        <v>0</v>
      </c>
      <c r="E43" s="8">
        <f>financials!D48 / ((financials!D27 + financials!E27) /2)</f>
        <v>0</v>
      </c>
      <c r="F43" s="55">
        <f>financials!E48 / ((financials!E27 + financials!F27) /2)</f>
        <v>0</v>
      </c>
      <c r="G43" s="55">
        <f>financials!F48 / ((financials!F27 + financials!G27) /2)</f>
        <v>0</v>
      </c>
      <c r="H43" s="55">
        <f>financials!G48 / ((financials!G27 + financials!H27) /2)</f>
        <v>0</v>
      </c>
      <c r="I43" s="55">
        <f>financials!H48 / ((financials!H27 + financials!I27) /2)</f>
        <v>0</v>
      </c>
      <c r="J43" s="55">
        <f>financials!I48 / ((financials!I27 + financials!K27) /2)</f>
        <v>0</v>
      </c>
      <c r="K43" s="55">
        <f>financials!J48 / ((financials!J27 + financials!L27) /2)</f>
        <v>0</v>
      </c>
      <c r="L43" s="55">
        <f>financials!K48 / ((financials!K27 + financials!M27) /2)</f>
        <v>0</v>
      </c>
      <c r="M43" s="55">
        <f>financials!L48 / ((financials!L27 + financials!N27) /2)</f>
        <v>0</v>
      </c>
      <c r="N43" s="55">
        <f>financials!M48 / ((financials!M27 + financials!O27) /2)</f>
        <v>0</v>
      </c>
      <c r="O43" s="55">
        <f>financials!N48 / ((financials!N27 + financials!P27) /2)</f>
        <v>0</v>
      </c>
      <c r="P43" s="55">
        <f>financials!O48 / ((financials!O27 + financials!Q27) /2)</f>
        <v>0</v>
      </c>
      <c r="Q43" s="55">
        <f>financials!P48 / ((financials!P27 + financials!R27) /2)</f>
        <v>0</v>
      </c>
      <c r="R43" s="55">
        <f>financials!Q48 / ((financials!Q27 + financials!S27) /2)</f>
        <v>0</v>
      </c>
      <c r="S43" s="55">
        <f>financials!R48 / ((financials!R27 + financials!S27) /2)</f>
        <v>0</v>
      </c>
      <c r="T43" s="55">
        <f>financials!S48 / ((financials!S27 + financials!U27) /2)</f>
        <v>0</v>
      </c>
      <c r="U43" s="55">
        <f>financials!T48 / ((financials!T27 + financials!V27) /2)</f>
        <v>0</v>
      </c>
      <c r="V43" s="55">
        <f>financials!U48 / ((financials!U27 + financials!W27) /2)</f>
        <v>0</v>
      </c>
      <c r="W43" s="55">
        <f>financials!V48 / ((financials!V27 + financials!X27) /2)</f>
        <v>0</v>
      </c>
      <c r="X43" s="55" t="e">
        <f>financials!W48 / ((financials!W27 + financials!Y27) /2)</f>
        <v>#DIV/0!</v>
      </c>
      <c r="Y43" s="55" t="e">
        <f>financials!X48 / ((financials!X27 + financials!Z27) /2)</f>
        <v>#DIV/0!</v>
      </c>
      <c r="Z43" s="55">
        <f>financials!Y48 / ((financials!Y27 + financials!AA27) /2)</f>
        <v>0</v>
      </c>
      <c r="AA43" s="55">
        <f>financials!Z48 / ((financials!Z27 + financials!AB27) /2)</f>
        <v>0</v>
      </c>
      <c r="AB43" s="55">
        <f>financials!AA48 / ((financials!AA27 + financials!AC27) /2)</f>
        <v>0</v>
      </c>
      <c r="AC43" s="55">
        <f>financials!AB48 / ((financials!AB27 + financials!AD27) /2)</f>
        <v>0</v>
      </c>
      <c r="AD43" s="55">
        <f>financials!AC48 / ((financials!AC27 + financials!AE27) /2)</f>
        <v>0</v>
      </c>
      <c r="AE43" s="55">
        <f>financials!AD48 / ((financials!AD27 + financials!AF27) /2)</f>
        <v>0</v>
      </c>
      <c r="AF43" s="55">
        <f>financials!AE48 / ((financials!AE27 + financials!AG27) /2)</f>
        <v>0</v>
      </c>
      <c r="AG43" s="55">
        <f>financials!AF48 / ((financials!AF27 + financials!AH27) /2)</f>
        <v>0</v>
      </c>
      <c r="AH43" s="55">
        <f>financials!AG48 / ((financials!AG27 + financials!AI27) /2)</f>
        <v>0</v>
      </c>
      <c r="AI43" s="55">
        <f>financials!AH48 / ((financials!AH27 + financials!AJ27) /2)</f>
        <v>0</v>
      </c>
    </row>
    <row r="44" spans="1:35">
      <c r="A44" s="12" t="s">
        <v>168</v>
      </c>
      <c r="B44" s="13"/>
      <c r="C44" s="8">
        <f>financials!B49 / ((financials!B3 + financials!C3) /2)</f>
        <v>5.1326285319120209E-2</v>
      </c>
      <c r="D44" s="8">
        <f>financials!C49 / ((financials!C3 + financials!D3) /2)</f>
        <v>4.2458558170006518E-3</v>
      </c>
      <c r="E44" s="8">
        <f>financials!D49 / ((financials!D3 + financials!E3) /2)</f>
        <v>1.0140834139659313E-2</v>
      </c>
      <c r="F44" s="55">
        <f>financials!E49 / ((financials!E3 + financials!F3) /2)</f>
        <v>1.3834894596436553E-2</v>
      </c>
      <c r="G44" s="55">
        <f>financials!F49 / ((financials!F3 + financials!G3) /2)</f>
        <v>1.8425328758512837E-2</v>
      </c>
      <c r="H44" s="55">
        <f>financials!G49 / ((financials!G3 + financials!H3) /2)</f>
        <v>2.1972853853017307E-2</v>
      </c>
      <c r="I44" s="55">
        <f>financials!H49 / ((financials!H3 + financials!I3) /2)</f>
        <v>2.5206407512379181E-2</v>
      </c>
      <c r="J44" s="55">
        <f>financials!I49 / ((financials!I3 + financials!K3) /2)</f>
        <v>3.2839891659167515E-2</v>
      </c>
      <c r="K44" s="55">
        <f>financials!J49 / ((financials!J3 + financials!L3) /2)</f>
        <v>3.549510216164866E-2</v>
      </c>
      <c r="L44" s="55">
        <f>financials!K49 / ((financials!K3 + financials!M3) /2)</f>
        <v>3.9241126025017052E-2</v>
      </c>
      <c r="M44" s="55">
        <f>financials!L49 / ((financials!L3 + financials!N3) /2)</f>
        <v>4.3126183677523786E-2</v>
      </c>
      <c r="N44" s="55">
        <f>financials!M49 / ((financials!M3 + financials!O3) /2)</f>
        <v>5.0108107167385341E-2</v>
      </c>
      <c r="O44" s="55">
        <f>financials!N49 / ((financials!N3 + financials!P3) /2)</f>
        <v>4.9971620008329221E-2</v>
      </c>
      <c r="P44" s="55">
        <f>financials!O49 / ((financials!O3 + financials!Q3) /2)</f>
        <v>2.6521220869155596E-3</v>
      </c>
      <c r="Q44" s="55">
        <f>financials!P49 / ((financials!P3 + financials!R3) /2)</f>
        <v>5.5357919982709867E-3</v>
      </c>
      <c r="R44" s="55">
        <f>financials!Q49 / ((financials!Q3 + financials!S3) /2)</f>
        <v>1.0391498346760805E-2</v>
      </c>
      <c r="S44" s="55">
        <f>financials!R49 / ((financials!R3 + financials!S3) /2)</f>
        <v>1.5588956798896733E-2</v>
      </c>
      <c r="T44" s="55">
        <f>financials!S49 / ((financials!S3 + financials!U3) /2)</f>
        <v>2.1624721057828068E-2</v>
      </c>
      <c r="U44" s="55">
        <f>financials!T49 / ((financials!T3 + financials!V3) /2)</f>
        <v>2.4936175196611506E-2</v>
      </c>
      <c r="V44" s="55">
        <f>financials!U49 / ((financials!U3 + financials!W3) /2)</f>
        <v>5.8524097912793165E-2</v>
      </c>
      <c r="W44" s="55">
        <f>financials!V49 / ((financials!V3 + financials!X3) /2)</f>
        <v>6.3270272878717768E-2</v>
      </c>
      <c r="X44" s="55" t="e">
        <f>financials!W49 / ((financials!W3 + financials!Y3) /2)</f>
        <v>#DIV/0!</v>
      </c>
      <c r="Y44" s="55" t="e">
        <f>financials!X49 / ((financials!X3 + financials!Z3) /2)</f>
        <v>#DIV/0!</v>
      </c>
      <c r="Z44" s="55">
        <f>financials!Y49 / ((financials!Y3 + financials!AA3) /2)</f>
        <v>0</v>
      </c>
      <c r="AA44" s="55">
        <f>financials!Z49 / ((financials!Z3 + financials!AB3) /2)</f>
        <v>0</v>
      </c>
      <c r="AB44" s="55">
        <f>financials!AA49 / ((financials!AA3 + financials!AC3) /2)</f>
        <v>4.4514715465414717E-2</v>
      </c>
      <c r="AC44" s="55">
        <f>financials!AB49 / ((financials!AB3 + financials!AD3) /2)</f>
        <v>2.7660165089610986E-3</v>
      </c>
      <c r="AD44" s="55">
        <f>financials!AC49 / ((financials!AC3 + financials!AE3) /2)</f>
        <v>8.1279012715644219E-3</v>
      </c>
      <c r="AE44" s="55">
        <f>financials!AD49 / ((financials!AD3 + financials!AF3) /2)</f>
        <v>1.2602794853441304E-2</v>
      </c>
      <c r="AF44" s="55">
        <f>financials!AE49 / ((financials!AE3 + financials!AG3) /2)</f>
        <v>1.596329630873251E-2</v>
      </c>
      <c r="AG44" s="55">
        <f>financials!AF49 / ((financials!AF3 + financials!AH3) /2)</f>
        <v>1.9083556654208387E-2</v>
      </c>
      <c r="AH44" s="55">
        <f>financials!AG49 / ((financials!AG3 + financials!AI3) /2)</f>
        <v>4.4804640259200716E-2</v>
      </c>
      <c r="AI44" s="55">
        <f>financials!AH49 / ((financials!AH3 + financials!AJ3) /2)</f>
        <v>5.0502456315570009E-2</v>
      </c>
    </row>
    <row r="45" spans="1:35">
      <c r="A45" s="12" t="s">
        <v>169</v>
      </c>
      <c r="B45" s="13"/>
      <c r="C45" s="8">
        <f>financials!B49 / ((financials!B39 + financials!C39) /2)</f>
        <v>1.1290312369349955</v>
      </c>
      <c r="D45" s="8">
        <f>financials!C49 / ((financials!C39 + financials!D39) /2)</f>
        <v>0.39652417523709971</v>
      </c>
      <c r="E45" s="8">
        <f>financials!D49 / ((financials!D39 + financials!E39) /2)</f>
        <v>0.61076562971636661</v>
      </c>
      <c r="F45" s="55">
        <f>financials!E49 / ((financials!E39 + financials!F39) /2)</f>
        <v>0.68966064840167141</v>
      </c>
      <c r="G45" s="55">
        <f>financials!F49 / ((financials!F39 + financials!G39) /2)</f>
        <v>0.73519316727134287</v>
      </c>
      <c r="H45" s="55">
        <f>financials!G49 / ((financials!G39 + financials!H39) /2)</f>
        <v>0.65485042071790955</v>
      </c>
      <c r="I45" s="55">
        <f>financials!H49 / ((financials!H39 + financials!I39) /2)</f>
        <v>0.53587554052784847</v>
      </c>
      <c r="J45" s="55">
        <f>financials!I49 / ((financials!I39 + financials!K39) /2)</f>
        <v>0.5469568918415364</v>
      </c>
      <c r="K45" s="55">
        <f>financials!J49 / ((financials!J39 + financials!L39) /2)</f>
        <v>0.53401649623897074</v>
      </c>
      <c r="L45" s="55">
        <f>financials!K49 / ((financials!K39 + financials!M39) /2)</f>
        <v>0.55606405009221083</v>
      </c>
      <c r="M45" s="55">
        <f>financials!L49 / ((financials!L39 + financials!N39) /2)</f>
        <v>0.52140270723550231</v>
      </c>
      <c r="N45" s="55">
        <f>financials!M49 / ((financials!M39 + financials!O39) /2)</f>
        <v>1.1986939820333438</v>
      </c>
      <c r="O45" s="55">
        <f>financials!N49 / ((financials!N39 + financials!P39) /2)</f>
        <v>0.92093042853853802</v>
      </c>
      <c r="P45" s="55">
        <f>financials!O49 / ((financials!O39 + financials!Q39) /2)</f>
        <v>0.1821089429714472</v>
      </c>
      <c r="Q45" s="55">
        <f>financials!P49 / ((financials!P39 + financials!R39) /2)</f>
        <v>0.2436051753179411</v>
      </c>
      <c r="R45" s="55">
        <f>financials!Q49 / ((financials!Q39 + financials!S39) /2)</f>
        <v>0.33788785968783741</v>
      </c>
      <c r="S45" s="55">
        <f>financials!R49 / ((financials!R39 + financials!S39) /2)</f>
        <v>0.44364067478634961</v>
      </c>
      <c r="T45" s="55">
        <f>financials!S49 / ((financials!S39 + financials!U39) /2)</f>
        <v>0.4483052193139605</v>
      </c>
      <c r="U45" s="55">
        <f>financials!T49 / ((financials!T39 + financials!V39) /2)</f>
        <v>0.44131527375002522</v>
      </c>
      <c r="V45" s="55">
        <f>financials!U49 / ((financials!U39 + financials!W39) /2)</f>
        <v>1.040464064289504</v>
      </c>
      <c r="W45" s="55">
        <f>financials!V49 / ((financials!V39 + financials!X39) /2)</f>
        <v>0.97578998596182365</v>
      </c>
      <c r="X45" s="55" t="e">
        <f>financials!W49 / ((financials!W39 + financials!Y39) /2)</f>
        <v>#DIV/0!</v>
      </c>
      <c r="Y45" s="55" t="e">
        <f>financials!X49 / ((financials!X39 + financials!Z39) /2)</f>
        <v>#DIV/0!</v>
      </c>
      <c r="Z45" s="55">
        <f>financials!Y49 / ((financials!Y39 + financials!AA39) /2)</f>
        <v>0</v>
      </c>
      <c r="AA45" s="55">
        <f>financials!Z49 / ((financials!Z39 + financials!AB39) /2)</f>
        <v>0</v>
      </c>
      <c r="AB45" s="55">
        <f>financials!AA49 / ((financials!AA39 + financials!AC39) /2)</f>
        <v>0.74943553062196999</v>
      </c>
      <c r="AC45" s="55">
        <f>financials!AB49 / ((financials!AB39 + financials!AD39) /2)</f>
        <v>0.16384506995467063</v>
      </c>
      <c r="AD45" s="55">
        <f>financials!AC49 / ((financials!AC39 + financials!AE39) /2)</f>
        <v>0.31722641251207723</v>
      </c>
      <c r="AE45" s="55">
        <f>financials!AD49 / ((financials!AD39 + financials!AF39) /2)</f>
        <v>0.38600900552964285</v>
      </c>
      <c r="AF45" s="55">
        <f>financials!AE49 / ((financials!AE39 + financials!AG39) /2)</f>
        <v>0.37768763136273381</v>
      </c>
      <c r="AG45" s="55">
        <f>financials!AF49 / ((financials!AF39 + financials!AH39) /2)</f>
        <v>0.38325780171765206</v>
      </c>
      <c r="AH45" s="55">
        <f>financials!AG49 / ((financials!AG39 + financials!AI39) /2)</f>
        <v>0.88542273324361309</v>
      </c>
      <c r="AI45" s="55">
        <f>financials!AH49 / ((financials!AH39 + financials!AJ39) /2)</f>
        <v>0.85734941316917146</v>
      </c>
    </row>
    <row r="46" spans="1:35">
      <c r="A46" s="12" t="s">
        <v>170</v>
      </c>
      <c r="B46" s="13"/>
      <c r="C46" s="8">
        <f>financials!B40 / ((financials!B26 + financials!C26) /2)</f>
        <v>0.13652568313937558</v>
      </c>
      <c r="D46" s="8">
        <f>financials!C40 / ((financials!C26 + financials!D26) /2)</f>
        <v>1.1286333258101683E-2</v>
      </c>
      <c r="E46" s="8">
        <f>financials!D40 / ((financials!D26 + financials!E26) /2)</f>
        <v>3.1545461480712446E-2</v>
      </c>
      <c r="F46" s="55">
        <f>financials!E40 / ((financials!E26 + financials!F26) /2)</f>
        <v>4.054748871764606E-2</v>
      </c>
      <c r="G46" s="55">
        <f>financials!F40 / ((financials!F26 + financials!G26) /2)</f>
        <v>4.4176276332197006E-2</v>
      </c>
      <c r="H46" s="55">
        <f>financials!G40 / ((financials!G26 + financials!H26) /2)</f>
        <v>5.3214581330823324E-2</v>
      </c>
      <c r="I46" s="55">
        <f>financials!H40 / ((financials!H26 + financials!I26) /2)</f>
        <v>7.7694812178568898E-2</v>
      </c>
      <c r="J46" s="55">
        <f>financials!I40 / ((financials!I26 + financials!K26) /2)</f>
        <v>0.10835721983000285</v>
      </c>
      <c r="K46" s="55">
        <f>financials!J40 / ((financials!J26 + financials!L26) /2)</f>
        <v>0.12068653652748489</v>
      </c>
      <c r="L46" s="55">
        <f>financials!K40 / ((financials!K26 + financials!M26) /2)</f>
        <v>0.12900733397226935</v>
      </c>
      <c r="M46" s="55">
        <f>financials!L40 / ((financials!L26 + financials!N26) /2)</f>
        <v>0.14507213680903175</v>
      </c>
      <c r="N46" s="55">
        <f>financials!M40 / ((financials!M26 + financials!O26) /2)</f>
        <v>0.15043650139709058</v>
      </c>
      <c r="O46" s="55">
        <f>financials!N40 / ((financials!N26 + financials!P26) /2)</f>
        <v>0.1495942235746939</v>
      </c>
      <c r="P46" s="55">
        <f>financials!O40 / ((financials!O26 + financials!Q26) /2)</f>
        <v>9.056202556860132E-3</v>
      </c>
      <c r="Q46" s="55">
        <f>financials!P40 / ((financials!P26 + financials!R26) /2)</f>
        <v>2.0972572347707885E-2</v>
      </c>
      <c r="R46" s="55">
        <f>financials!Q40 / ((financials!Q26 + financials!S26) /2)</f>
        <v>3.2194281134891756E-2</v>
      </c>
      <c r="S46" s="55">
        <f>financials!R40 / ((financials!R26 + financials!S26) /2)</f>
        <v>4.3044877926190064E-2</v>
      </c>
      <c r="T46" s="55">
        <f>financials!S40 / ((financials!S26 + financials!U26) /2)</f>
        <v>4.8616652987599665E-2</v>
      </c>
      <c r="U46" s="55">
        <f>financials!T40 / ((financials!T26 + financials!V26) /2)</f>
        <v>6.2205830296755055E-2</v>
      </c>
      <c r="V46" s="55">
        <f>financials!U40 / ((financials!U26 + financials!W26) /2)</f>
        <v>0.13101586944974386</v>
      </c>
      <c r="W46" s="55">
        <f>financials!V40 / ((financials!V26 + financials!X26) /2)</f>
        <v>0.1711135896768389</v>
      </c>
      <c r="X46" s="55" t="e">
        <f>financials!W40 / ((financials!W26 + financials!Y26) /2)</f>
        <v>#DIV/0!</v>
      </c>
      <c r="Y46" s="55" t="e">
        <f>financials!X40 / ((financials!X26 + financials!Z26) /2)</f>
        <v>#DIV/0!</v>
      </c>
      <c r="Z46" s="55">
        <f>financials!Y40 / ((financials!Y26 + financials!AA26) /2)</f>
        <v>0</v>
      </c>
      <c r="AA46" s="55">
        <f>financials!Z40 / ((financials!Z26 + financials!AB26) /2)</f>
        <v>0</v>
      </c>
      <c r="AB46" s="55">
        <f>financials!AA40 / ((financials!AA26 + financials!AC26) /2)</f>
        <v>0.13614682970704584</v>
      </c>
      <c r="AC46" s="55">
        <f>financials!AB40 / ((financials!AB26 + financials!AD26) /2)</f>
        <v>1.0262313333346046E-2</v>
      </c>
      <c r="AD46" s="55">
        <f>financials!AC40 / ((financials!AC26 + financials!AE26) /2)</f>
        <v>2.3819608919575883E-2</v>
      </c>
      <c r="AE46" s="55">
        <f>financials!AD40 / ((financials!AD26 + financials!AF26) /2)</f>
        <v>3.8448006152973224E-2</v>
      </c>
      <c r="AF46" s="55">
        <f>financials!AE40 / ((financials!AE26 + financials!AG26) /2)</f>
        <v>4.8111342674161693E-2</v>
      </c>
      <c r="AG46" s="55">
        <f>financials!AF40 / ((financials!AF26 + financials!AH26) /2)</f>
        <v>5.5610970224209022E-2</v>
      </c>
      <c r="AH46" s="55">
        <f>financials!AG40 / ((financials!AG26 + financials!AI26) /2)</f>
        <v>0.14169744571391149</v>
      </c>
      <c r="AI46" s="55">
        <f>financials!AH40 / ((financials!AH26 + financials!AJ26) /2)</f>
        <v>0.17145887738917803</v>
      </c>
    </row>
    <row r="47" spans="1:35">
      <c r="A47" s="12" t="s">
        <v>171</v>
      </c>
      <c r="B47" s="13"/>
      <c r="C47" s="8">
        <f>financials!B40 / ((financials!B27 + financials!C27) /2)</f>
        <v>0.13338372352922265</v>
      </c>
      <c r="D47" s="8">
        <f>financials!C40 / ((financials!C27 + financials!D27) /2)</f>
        <v>1.1013883228332903E-2</v>
      </c>
      <c r="E47" s="8">
        <f>financials!D40 / ((financials!D27 + financials!E27) /2)</f>
        <v>3.0694665634653864E-2</v>
      </c>
      <c r="F47" s="55">
        <f>financials!E40 / ((financials!E27 + financials!F27) /2)</f>
        <v>3.9492441881503186E-2</v>
      </c>
      <c r="G47" s="55">
        <f>financials!F40 / ((financials!F27 + financials!G27) /2)</f>
        <v>4.310018056867778E-2</v>
      </c>
      <c r="H47" s="55">
        <f>financials!G40 / ((financials!G27 + financials!H27) /2)</f>
        <v>5.1860635454831737E-2</v>
      </c>
      <c r="I47" s="55">
        <f>financials!H40 / ((financials!H27 + financials!I27) /2)</f>
        <v>7.5705804805496241E-2</v>
      </c>
      <c r="J47" s="55">
        <f>financials!I40 / ((financials!I27 + financials!K27) /2)</f>
        <v>0.10570287772745258</v>
      </c>
      <c r="K47" s="55">
        <f>financials!J40 / ((financials!J27 + financials!L27) /2)</f>
        <v>0.1176299127607949</v>
      </c>
      <c r="L47" s="55">
        <f>financials!K40 / ((financials!K27 + financials!M27) /2)</f>
        <v>0.1259080175772169</v>
      </c>
      <c r="M47" s="55">
        <f>financials!L40 / ((financials!L27 + financials!N27) /2)</f>
        <v>0.14116788832380675</v>
      </c>
      <c r="N47" s="55">
        <f>financials!M40 / ((financials!M27 + financials!O27) /2)</f>
        <v>0.14675292001379683</v>
      </c>
      <c r="O47" s="55">
        <f>financials!N40 / ((financials!N27 + financials!P27) /2)</f>
        <v>0.14589385514859327</v>
      </c>
      <c r="P47" s="55">
        <f>financials!O40 / ((financials!O27 + financials!Q27) /2)</f>
        <v>8.815741994855384E-3</v>
      </c>
      <c r="Q47" s="55">
        <f>financials!P40 / ((financials!P27 + financials!R27) /2)</f>
        <v>2.0417673400327716E-2</v>
      </c>
      <c r="R47" s="55">
        <f>financials!Q40 / ((financials!Q27 + financials!S27) /2)</f>
        <v>3.1272293250017735E-2</v>
      </c>
      <c r="S47" s="55">
        <f>financials!R40 / ((financials!R27 + financials!S27) /2)</f>
        <v>4.1828054644182398E-2</v>
      </c>
      <c r="T47" s="55">
        <f>financials!S40 / ((financials!S27 + financials!U27) /2)</f>
        <v>4.7291915380992269E-2</v>
      </c>
      <c r="U47" s="55">
        <f>financials!T40 / ((financials!T27 + financials!V27) /2)</f>
        <v>6.0676222351474192E-2</v>
      </c>
      <c r="V47" s="55">
        <f>financials!U40 / ((financials!U27 + financials!W27) /2)</f>
        <v>0.12758924527724622</v>
      </c>
      <c r="W47" s="55">
        <f>financials!V40 / ((financials!V27 + financials!X27) /2)</f>
        <v>0.16735514005816748</v>
      </c>
      <c r="X47" s="55" t="e">
        <f>financials!W40 / ((financials!W27 + financials!Y27) /2)</f>
        <v>#DIV/0!</v>
      </c>
      <c r="Y47" s="55" t="e">
        <f>financials!X40 / ((financials!X27 + financials!Z27) /2)</f>
        <v>#DIV/0!</v>
      </c>
      <c r="Z47" s="55">
        <f>financials!Y40 / ((financials!Y27 + financials!AA27) /2)</f>
        <v>0</v>
      </c>
      <c r="AA47" s="55">
        <f>financials!Z40 / ((financials!Z27 + financials!AB27) /2)</f>
        <v>0</v>
      </c>
      <c r="AB47" s="55">
        <f>financials!AA40 / ((financials!AA27 + financials!AC27) /2)</f>
        <v>0.13275863731375914</v>
      </c>
      <c r="AC47" s="55">
        <f>financials!AB40 / ((financials!AB27 + financials!AD27) /2)</f>
        <v>9.994649095443656E-3</v>
      </c>
      <c r="AD47" s="55">
        <f>financials!AC40 / ((financials!AC27 + financials!AE27) /2)</f>
        <v>2.3212465128169896E-2</v>
      </c>
      <c r="AE47" s="55">
        <f>financials!AD40 / ((financials!AD27 + financials!AF27) /2)</f>
        <v>3.7415572485622689E-2</v>
      </c>
      <c r="AF47" s="55">
        <f>financials!AE40 / ((financials!AE27 + financials!AG27) /2)</f>
        <v>4.6779210476575649E-2</v>
      </c>
      <c r="AG47" s="55">
        <f>financials!AF40 / ((financials!AF27 + financials!AH27) /2)</f>
        <v>5.4227078212664585E-2</v>
      </c>
      <c r="AH47" s="55">
        <f>financials!AG40 / ((financials!AG27 + financials!AI27) /2)</f>
        <v>0.13782645326255946</v>
      </c>
      <c r="AI47" s="55">
        <f>financials!AH40 / ((financials!AH27 + financials!AJ27) /2)</f>
        <v>0.16806719096940889</v>
      </c>
    </row>
  </sheetData>
  <mergeCells count="8">
    <mergeCell ref="A25:B25"/>
    <mergeCell ref="A29:B29"/>
    <mergeCell ref="A40:B40"/>
    <mergeCell ref="A2:B2"/>
    <mergeCell ref="A7:B7"/>
    <mergeCell ref="A10:B10"/>
    <mergeCell ref="A14:B14"/>
    <mergeCell ref="A19:B19"/>
  </mergeCells>
  <printOptions horizontalCentered="1" verticalCentered="1"/>
  <pageMargins left="0.7" right="0.7" top="0.75" bottom="0.75" header="0.3" footer="0.3"/>
  <pageSetup paperSize="9" scale="8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31"/>
  <sheetViews>
    <sheetView workbookViewId="0">
      <pane xSplit="2" ySplit="8" topLeftCell="C9" activePane="bottomRight" state="frozen"/>
      <selection pane="bottomRight" activeCell="A8" sqref="A8"/>
      <selection pane="bottomLeft" activeCell="A9" sqref="A9"/>
      <selection pane="topRight" activeCell="C1" sqref="C1"/>
    </sheetView>
  </sheetViews>
  <sheetFormatPr defaultColWidth="18.85546875" defaultRowHeight="14.45"/>
  <cols>
    <col min="1" max="1" width="4.28515625" bestFit="1" customWidth="1"/>
    <col min="2" max="2" width="19" bestFit="1" customWidth="1"/>
    <col min="3" max="3" width="12.85546875" bestFit="1" customWidth="1"/>
    <col min="4" max="4" width="22.28515625" customWidth="1"/>
    <col min="5" max="5" width="12.28515625" bestFit="1" customWidth="1"/>
    <col min="6" max="6" width="25.42578125" customWidth="1"/>
    <col min="36" max="36" width="19.5703125" bestFit="1" customWidth="1"/>
    <col min="48" max="48" width="19.5703125" bestFit="1" customWidth="1"/>
    <col min="64" max="64" width="19.5703125" bestFit="1" customWidth="1"/>
  </cols>
  <sheetData>
    <row r="2" ht="15" hidden="1" customHeight="1"/>
    <row r="4" hidden="1"/>
    <row r="9" ht="45" customHeight="1"/>
    <row r="25" ht="15" customHeight="1"/>
    <row r="28" ht="15" customHeight="1"/>
    <row r="29" ht="15" customHeight="1"/>
    <row r="31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CF164-7781-416A-A0FA-345B89A3B0F7}"/>
</file>

<file path=customXml/itemProps2.xml><?xml version="1.0" encoding="utf-8"?>
<ds:datastoreItem xmlns:ds="http://schemas.openxmlformats.org/officeDocument/2006/customXml" ds:itemID="{52383935-4409-4BB5-B431-A8BDAD226CC8}"/>
</file>

<file path=customXml/itemProps3.xml><?xml version="1.0" encoding="utf-8"?>
<ds:datastoreItem xmlns:ds="http://schemas.openxmlformats.org/officeDocument/2006/customXml" ds:itemID="{CE08CD95-1D82-481D-B2EF-2A4EEA752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SASRA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CAELS</dc:title>
  <dc:subject>Analysis of Sacco Performance</dc:subject>
  <dc:creator>Portfolio one</dc:creator>
  <cp:keywords/>
  <dc:description>Created with python and xlswriter</dc:description>
  <cp:lastModifiedBy>Solomon Lemison</cp:lastModifiedBy>
  <cp:revision/>
  <dcterms:created xsi:type="dcterms:W3CDTF">2015-11-12T10:21:48Z</dcterms:created>
  <dcterms:modified xsi:type="dcterms:W3CDTF">2023-02-27T07:57:23Z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6294dde6-398b-42fd-9ab1-a1959fc6b9e2_Enabled">
    <vt:lpwstr>true</vt:lpwstr>
  </property>
  <property fmtid="{D5CDD505-2E9C-101B-9397-08002B2CF9AE}" pid="4" name="MSIP_Label_6294dde6-398b-42fd-9ab1-a1959fc6b9e2_SetDate">
    <vt:lpwstr>2022-03-02T07:59:21Z</vt:lpwstr>
  </property>
  <property fmtid="{D5CDD505-2E9C-101B-9397-08002B2CF9AE}" pid="5" name="MSIP_Label_6294dde6-398b-42fd-9ab1-a1959fc6b9e2_Method">
    <vt:lpwstr>Privileged</vt:lpwstr>
  </property>
  <property fmtid="{D5CDD505-2E9C-101B-9397-08002B2CF9AE}" pid="6" name="MSIP_Label_6294dde6-398b-42fd-9ab1-a1959fc6b9e2_Name">
    <vt:lpwstr>Public</vt:lpwstr>
  </property>
  <property fmtid="{D5CDD505-2E9C-101B-9397-08002B2CF9AE}" pid="7" name="MSIP_Label_6294dde6-398b-42fd-9ab1-a1959fc6b9e2_SiteId">
    <vt:lpwstr>d6c8161d-ccd5-4325-b291-dd442c369fe4</vt:lpwstr>
  </property>
  <property fmtid="{D5CDD505-2E9C-101B-9397-08002B2CF9AE}" pid="8" name="MSIP_Label_6294dde6-398b-42fd-9ab1-a1959fc6b9e2_ActionId">
    <vt:lpwstr>9734ab87-5daa-4b79-a045-b3d33c3d5c7e</vt:lpwstr>
  </property>
  <property fmtid="{D5CDD505-2E9C-101B-9397-08002B2CF9AE}" pid="9" name="MSIP_Label_6294dde6-398b-42fd-9ab1-a1959fc6b9e2_ContentBits">
    <vt:lpwstr>0</vt:lpwstr>
  </property>
  <property fmtid="{D5CDD505-2E9C-101B-9397-08002B2CF9AE}" pid="10" name="MediaServiceImageTags">
    <vt:lpwstr/>
  </property>
</Properties>
</file>
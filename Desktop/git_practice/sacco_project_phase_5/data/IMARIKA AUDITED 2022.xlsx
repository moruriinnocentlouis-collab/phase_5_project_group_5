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.sharepoint.com/sites/Supervision/Shared Documents/DT Saccos/Portfolio 3/IMARIKA- 2255/Accounts Approval/"/>
    </mc:Choice>
  </mc:AlternateContent>
  <xr:revisionPtr revIDLastSave="25" documentId="11_F5F97194E378EBB9A0B4E742AB6F6D1C26CD2C69" xr6:coauthVersionLast="47" xr6:coauthVersionMax="47" xr10:uidLastSave="{F1F76382-3957-462F-9394-2BC8F4EE7FD8}"/>
  <bookViews>
    <workbookView xWindow="-108" yWindow="-108" windowWidth="23256" windowHeight="12456" firstSheet="1" activeTab="1" xr2:uid="{00000000-000D-0000-FFFF-FFFF00000000}"/>
  </bookViews>
  <sheets>
    <sheet name="Evolutive SFP" sheetId="1" r:id="rId1"/>
    <sheet name="Evolutitve SCI" sheetId="2" r:id="rId2"/>
    <sheet name="FORM 4" sheetId="4" r:id="rId3"/>
    <sheet name="CAELS" sheetId="3" r:id="rId4"/>
    <sheet name="Financials" sheetId="5" r:id="rId5"/>
    <sheet name="CAELS Rating" sheetId="7" r:id="rId6"/>
    <sheet name="Compliance Status" sheetId="8" r:id="rId7"/>
    <sheet name="CashFlow Stmnt" sheetId="6" r:id="rId8"/>
  </sheets>
  <calcPr calcId="181029"/>
</workbook>
</file>

<file path=xl/calcChain.xml><?xml version="1.0" encoding="utf-8"?>
<calcChain xmlns="http://schemas.openxmlformats.org/spreadsheetml/2006/main">
  <c r="AH39" i="2" l="1"/>
  <c r="AI39" i="2"/>
  <c r="AJ39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D23" i="2"/>
  <c r="AE23" i="2"/>
  <c r="AF47" i="5" s="1"/>
  <c r="AF23" i="2"/>
  <c r="AG23" i="2"/>
  <c r="AH47" i="5" s="1"/>
  <c r="AH23" i="2"/>
  <c r="AI23" i="2"/>
  <c r="AJ23" i="2"/>
  <c r="AK47" i="5" s="1"/>
  <c r="AK23" i="2"/>
  <c r="AL47" i="5" s="1"/>
  <c r="AL23" i="2"/>
  <c r="AM23" i="2"/>
  <c r="AN23" i="2"/>
  <c r="AO23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D12" i="2"/>
  <c r="AD39" i="2" s="1"/>
  <c r="AE12" i="2"/>
  <c r="AE39" i="2" s="1"/>
  <c r="AF12" i="2"/>
  <c r="AF39" i="2" s="1"/>
  <c r="AG12" i="2"/>
  <c r="AG39" i="2" s="1"/>
  <c r="AH12" i="2"/>
  <c r="AI12" i="2"/>
  <c r="AJ12" i="2"/>
  <c r="AK12" i="2"/>
  <c r="AL12" i="2"/>
  <c r="AM12" i="2"/>
  <c r="AN12" i="2"/>
  <c r="AO12" i="2"/>
  <c r="AD7" i="2"/>
  <c r="AE7" i="2"/>
  <c r="AF7" i="2"/>
  <c r="AG7" i="2"/>
  <c r="AH7" i="2"/>
  <c r="AI7" i="2"/>
  <c r="AJ39" i="5" s="1"/>
  <c r="AJ7" i="2"/>
  <c r="AK7" i="2"/>
  <c r="AL7" i="2"/>
  <c r="AM7" i="2"/>
  <c r="AN7" i="2"/>
  <c r="AO7" i="2"/>
  <c r="AD4" i="2"/>
  <c r="AD3" i="2" s="1"/>
  <c r="AD19" i="2" s="1"/>
  <c r="AE4" i="2"/>
  <c r="AE3" i="2" s="1"/>
  <c r="AE19" i="2" s="1"/>
  <c r="AF4" i="2"/>
  <c r="AF3" i="2" s="1"/>
  <c r="AF19" i="2" s="1"/>
  <c r="AG4" i="2"/>
  <c r="AG3" i="2" s="1"/>
  <c r="AH4" i="2"/>
  <c r="AH3" i="2" s="1"/>
  <c r="AH19" i="2" s="1"/>
  <c r="AH29" i="2" s="1"/>
  <c r="AH33" i="2" s="1"/>
  <c r="AH35" i="2" s="1"/>
  <c r="AH37" i="2" s="1"/>
  <c r="AI4" i="2"/>
  <c r="AJ4" i="2"/>
  <c r="AK4" i="2"/>
  <c r="AL4" i="2"/>
  <c r="AL3" i="2" s="1"/>
  <c r="AL19" i="2" s="1"/>
  <c r="AL29" i="2" s="1"/>
  <c r="AL33" i="2" s="1"/>
  <c r="AL35" i="2" s="1"/>
  <c r="AL37" i="2" s="1"/>
  <c r="AM4" i="2"/>
  <c r="AM3" i="2" s="1"/>
  <c r="AM19" i="2" s="1"/>
  <c r="AM29" i="2" s="1"/>
  <c r="AM33" i="2" s="1"/>
  <c r="AM35" i="2" s="1"/>
  <c r="AM37" i="2" s="1"/>
  <c r="AN4" i="2"/>
  <c r="AN3" i="2" s="1"/>
  <c r="AN19" i="2" s="1"/>
  <c r="AN29" i="2" s="1"/>
  <c r="AN33" i="2" s="1"/>
  <c r="AN35" i="2" s="1"/>
  <c r="AN37" i="2" s="1"/>
  <c r="AO4" i="2"/>
  <c r="AO3" i="2" s="1"/>
  <c r="AO19" i="2" s="1"/>
  <c r="AO29" i="2" s="1"/>
  <c r="AO33" i="2" s="1"/>
  <c r="AO35" i="2" s="1"/>
  <c r="AO37" i="2" s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D31" i="1"/>
  <c r="AD38" i="1" s="1"/>
  <c r="AD49" i="1" s="1"/>
  <c r="AE31" i="1"/>
  <c r="AE38" i="1" s="1"/>
  <c r="AE49" i="1" s="1"/>
  <c r="AF31" i="1"/>
  <c r="AF38" i="1" s="1"/>
  <c r="AF49" i="1" s="1"/>
  <c r="AG31" i="1"/>
  <c r="AH31" i="1"/>
  <c r="AH38" i="1" s="1"/>
  <c r="AI31" i="1"/>
  <c r="AJ31" i="1"/>
  <c r="AK31" i="1"/>
  <c r="AL31" i="1"/>
  <c r="AL38" i="1" s="1"/>
  <c r="AL49" i="1" s="1"/>
  <c r="AM31" i="1"/>
  <c r="AM38" i="1" s="1"/>
  <c r="AM49" i="1" s="1"/>
  <c r="AN31" i="1"/>
  <c r="AN38" i="1" s="1"/>
  <c r="AN49" i="1" s="1"/>
  <c r="AO31" i="1"/>
  <c r="AD21" i="1"/>
  <c r="AE21" i="1"/>
  <c r="AF21" i="1"/>
  <c r="AG34" i="5" s="1"/>
  <c r="AG21" i="1"/>
  <c r="AH34" i="5" s="1"/>
  <c r="AH21" i="1"/>
  <c r="AI21" i="1"/>
  <c r="AJ21" i="1"/>
  <c r="AK21" i="1"/>
  <c r="AL21" i="1"/>
  <c r="AM21" i="1"/>
  <c r="AN21" i="1"/>
  <c r="AO21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D14" i="1"/>
  <c r="AE14" i="1"/>
  <c r="AF14" i="1"/>
  <c r="AG30" i="5" s="1"/>
  <c r="AG14" i="1"/>
  <c r="AH30" i="5" s="1"/>
  <c r="AH14" i="1"/>
  <c r="AI14" i="1"/>
  <c r="AJ14" i="1"/>
  <c r="AK14" i="1"/>
  <c r="AL30" i="5" s="1"/>
  <c r="AL14" i="1"/>
  <c r="AM14" i="1"/>
  <c r="AN14" i="1"/>
  <c r="AO14" i="1"/>
  <c r="AD8" i="1"/>
  <c r="AE8" i="1"/>
  <c r="AF8" i="1"/>
  <c r="AG8" i="1"/>
  <c r="AH8" i="1"/>
  <c r="AI8" i="1"/>
  <c r="AJ8" i="1"/>
  <c r="AK8" i="1"/>
  <c r="AL8" i="1"/>
  <c r="AM8" i="1"/>
  <c r="AN8" i="1"/>
  <c r="AO8" i="1"/>
  <c r="AD4" i="1"/>
  <c r="AE4" i="1"/>
  <c r="AF4" i="1"/>
  <c r="AG4" i="1"/>
  <c r="AH4" i="1"/>
  <c r="AI4" i="1"/>
  <c r="AK12" i="3" s="1"/>
  <c r="AJ4" i="1"/>
  <c r="AL12" i="3" s="1"/>
  <c r="AK4" i="1"/>
  <c r="AM12" i="3" s="1"/>
  <c r="AL4" i="1"/>
  <c r="AM4" i="1"/>
  <c r="AN4" i="1"/>
  <c r="AO4" i="1"/>
  <c r="AC6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D23" i="2"/>
  <c r="E23" i="2"/>
  <c r="F23" i="2"/>
  <c r="G23" i="2"/>
  <c r="H23" i="2"/>
  <c r="I23" i="2"/>
  <c r="J23" i="2"/>
  <c r="K23" i="2"/>
  <c r="L23" i="2"/>
  <c r="M23" i="2"/>
  <c r="N23" i="2"/>
  <c r="O23" i="2"/>
  <c r="Q23" i="2"/>
  <c r="R23" i="2"/>
  <c r="S47" i="5" s="1"/>
  <c r="S23" i="2"/>
  <c r="T23" i="2"/>
  <c r="U23" i="2"/>
  <c r="V23" i="2"/>
  <c r="W23" i="2"/>
  <c r="X23" i="2"/>
  <c r="Y23" i="2"/>
  <c r="Z23" i="2"/>
  <c r="AA23" i="2"/>
  <c r="AB23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V8" i="3"/>
  <c r="X8" i="3"/>
  <c r="AA8" i="3"/>
  <c r="AD8" i="3"/>
  <c r="D54" i="4"/>
  <c r="C54" i="4"/>
  <c r="F50" i="4"/>
  <c r="F51" i="4"/>
  <c r="F52" i="4"/>
  <c r="F53" i="4"/>
  <c r="F49" i="4"/>
  <c r="F54" i="4" s="1"/>
  <c r="AQ4" i="5"/>
  <c r="AR4" i="5"/>
  <c r="AS4" i="5"/>
  <c r="AT4" i="5"/>
  <c r="AU4" i="5"/>
  <c r="AV4" i="5"/>
  <c r="AW4" i="5"/>
  <c r="AX4" i="5"/>
  <c r="AY4" i="5"/>
  <c r="AE5" i="5"/>
  <c r="AF5" i="5"/>
  <c r="AG5" i="5"/>
  <c r="AI5" i="5"/>
  <c r="AM5" i="5"/>
  <c r="AN5" i="5"/>
  <c r="AO5" i="5"/>
  <c r="AQ5" i="5"/>
  <c r="AR5" i="5"/>
  <c r="AS5" i="5"/>
  <c r="AT5" i="5"/>
  <c r="AT25" i="3" s="1"/>
  <c r="AU5" i="5"/>
  <c r="AU25" i="3" s="1"/>
  <c r="AV5" i="5"/>
  <c r="AW5" i="5"/>
  <c r="AX5" i="5"/>
  <c r="AY5" i="5"/>
  <c r="Q6" i="5"/>
  <c r="R6" i="5"/>
  <c r="S6" i="5"/>
  <c r="S26" i="3" s="1"/>
  <c r="T6" i="5"/>
  <c r="U6" i="5"/>
  <c r="V6" i="5"/>
  <c r="W6" i="5"/>
  <c r="X6" i="5"/>
  <c r="Y6" i="5"/>
  <c r="Z6" i="5"/>
  <c r="AA6" i="5"/>
  <c r="AA26" i="3" s="1"/>
  <c r="AB6" i="5"/>
  <c r="AC6" i="5"/>
  <c r="AD6" i="5"/>
  <c r="AE6" i="5"/>
  <c r="AF6" i="5"/>
  <c r="AG6" i="5"/>
  <c r="AH6" i="5"/>
  <c r="AH26" i="3" s="1"/>
  <c r="AI6" i="5"/>
  <c r="AJ6" i="5"/>
  <c r="AK6" i="5"/>
  <c r="AL6" i="5"/>
  <c r="AM6" i="5"/>
  <c r="AN6" i="5"/>
  <c r="AO6" i="5"/>
  <c r="AP6" i="5"/>
  <c r="AQ6" i="5"/>
  <c r="AQ26" i="3" s="1"/>
  <c r="AR6" i="5"/>
  <c r="AR26" i="3" s="1"/>
  <c r="AS6" i="5"/>
  <c r="AT6" i="5"/>
  <c r="AU6" i="5"/>
  <c r="AV6" i="5"/>
  <c r="AW6" i="5"/>
  <c r="AX6" i="5"/>
  <c r="AY6" i="5"/>
  <c r="Q7" i="5"/>
  <c r="R7" i="5"/>
  <c r="S7" i="5"/>
  <c r="T7" i="5"/>
  <c r="U7" i="5"/>
  <c r="V7" i="5"/>
  <c r="W7" i="5"/>
  <c r="X7" i="5"/>
  <c r="X27" i="3" s="1"/>
  <c r="Y7" i="5"/>
  <c r="Y27" i="3" s="1"/>
  <c r="Z7" i="5"/>
  <c r="AA7" i="5"/>
  <c r="AB7" i="5"/>
  <c r="AC7" i="5"/>
  <c r="AD7" i="5"/>
  <c r="AE7" i="5"/>
  <c r="AE27" i="3" s="1"/>
  <c r="AF7" i="5"/>
  <c r="AG7" i="5"/>
  <c r="AH7" i="5"/>
  <c r="AI7" i="5"/>
  <c r="AJ7" i="5"/>
  <c r="AK7" i="5"/>
  <c r="AL7" i="5"/>
  <c r="AM7" i="5"/>
  <c r="AN7" i="5"/>
  <c r="AN27" i="3" s="1"/>
  <c r="AO7" i="5"/>
  <c r="AO27" i="3" s="1"/>
  <c r="AP7" i="5"/>
  <c r="AQ7" i="5"/>
  <c r="AR7" i="5"/>
  <c r="AS7" i="5"/>
  <c r="AT7" i="5"/>
  <c r="AU7" i="5"/>
  <c r="AV7" i="5"/>
  <c r="AV27" i="3" s="1"/>
  <c r="AW7" i="5"/>
  <c r="AX7" i="5"/>
  <c r="AY7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R18" i="5"/>
  <c r="S18" i="5"/>
  <c r="T18" i="5"/>
  <c r="U18" i="5"/>
  <c r="V18" i="5"/>
  <c r="W18" i="5"/>
  <c r="X18" i="5"/>
  <c r="Y18" i="5"/>
  <c r="Z18" i="5"/>
  <c r="AA18" i="5"/>
  <c r="AB18" i="5"/>
  <c r="AC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Q22" i="5"/>
  <c r="Q21" i="5" s="1"/>
  <c r="R22" i="5"/>
  <c r="R21" i="5" s="1"/>
  <c r="S22" i="5"/>
  <c r="S21" i="5" s="1"/>
  <c r="T22" i="5"/>
  <c r="T21" i="5" s="1"/>
  <c r="U22" i="5"/>
  <c r="U21" i="5" s="1"/>
  <c r="V22" i="5"/>
  <c r="V21" i="5" s="1"/>
  <c r="W22" i="5"/>
  <c r="W21" i="5" s="1"/>
  <c r="X22" i="5"/>
  <c r="X21" i="5" s="1"/>
  <c r="Y22" i="5"/>
  <c r="Y21" i="5" s="1"/>
  <c r="Z22" i="5"/>
  <c r="Z21" i="5" s="1"/>
  <c r="AA22" i="5"/>
  <c r="AA21" i="5" s="1"/>
  <c r="AB22" i="5"/>
  <c r="AB21" i="5" s="1"/>
  <c r="AC22" i="5"/>
  <c r="AC21" i="5" s="1"/>
  <c r="AD22" i="5"/>
  <c r="AD21" i="5" s="1"/>
  <c r="AE22" i="5"/>
  <c r="AE21" i="5" s="1"/>
  <c r="AF22" i="5"/>
  <c r="AF21" i="5" s="1"/>
  <c r="AG22" i="5"/>
  <c r="AG21" i="5" s="1"/>
  <c r="AH22" i="5"/>
  <c r="AH21" i="5" s="1"/>
  <c r="AI22" i="5"/>
  <c r="AI21" i="5" s="1"/>
  <c r="AJ22" i="5"/>
  <c r="AJ21" i="5" s="1"/>
  <c r="AK22" i="5"/>
  <c r="AK21" i="5" s="1"/>
  <c r="AL22" i="5"/>
  <c r="AL21" i="5" s="1"/>
  <c r="AM22" i="5"/>
  <c r="AM21" i="5" s="1"/>
  <c r="AN22" i="5"/>
  <c r="AN21" i="5" s="1"/>
  <c r="AO22" i="5"/>
  <c r="AO21" i="5" s="1"/>
  <c r="AP22" i="5"/>
  <c r="AP21" i="5" s="1"/>
  <c r="AQ22" i="5"/>
  <c r="AQ21" i="5" s="1"/>
  <c r="AR22" i="5"/>
  <c r="AR21" i="5" s="1"/>
  <c r="AS22" i="5"/>
  <c r="AS21" i="5" s="1"/>
  <c r="AT22" i="5"/>
  <c r="AT21" i="5" s="1"/>
  <c r="AU22" i="5"/>
  <c r="AU21" i="5" s="1"/>
  <c r="AV22" i="5"/>
  <c r="AV21" i="5" s="1"/>
  <c r="AW22" i="5"/>
  <c r="AW21" i="5" s="1"/>
  <c r="AX22" i="5"/>
  <c r="AX21" i="5" s="1"/>
  <c r="AY22" i="5"/>
  <c r="AY21" i="5" s="1"/>
  <c r="R26" i="5"/>
  <c r="S26" i="5"/>
  <c r="T26" i="5"/>
  <c r="U26" i="5"/>
  <c r="V26" i="5"/>
  <c r="W26" i="5"/>
  <c r="X26" i="5"/>
  <c r="Y26" i="5"/>
  <c r="Z26" i="5"/>
  <c r="AA26" i="5"/>
  <c r="AB26" i="5"/>
  <c r="AC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E30" i="5"/>
  <c r="AF30" i="5"/>
  <c r="AI30" i="5"/>
  <c r="AJ30" i="5"/>
  <c r="AK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R31" i="5"/>
  <c r="S31" i="5"/>
  <c r="T31" i="5"/>
  <c r="T28" i="3" s="1"/>
  <c r="U31" i="5"/>
  <c r="V31" i="5"/>
  <c r="V28" i="3" s="1"/>
  <c r="W31" i="5"/>
  <c r="X31" i="5"/>
  <c r="Y31" i="5"/>
  <c r="Z31" i="5"/>
  <c r="AA31" i="5"/>
  <c r="AA28" i="3" s="1"/>
  <c r="AB31" i="5"/>
  <c r="AB28" i="3" s="1"/>
  <c r="AC31" i="5"/>
  <c r="AE31" i="5"/>
  <c r="AF31" i="5"/>
  <c r="AF28" i="3" s="1"/>
  <c r="AG31" i="5"/>
  <c r="AG28" i="3" s="1"/>
  <c r="AH31" i="5"/>
  <c r="AI31" i="5"/>
  <c r="AI28" i="3" s="1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E34" i="5"/>
  <c r="AF34" i="5"/>
  <c r="AI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E39" i="5"/>
  <c r="AF39" i="5"/>
  <c r="AG39" i="5"/>
  <c r="AH39" i="5"/>
  <c r="AI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R44" i="5"/>
  <c r="S44" i="5"/>
  <c r="T44" i="5"/>
  <c r="U44" i="5"/>
  <c r="V44" i="5"/>
  <c r="W44" i="5"/>
  <c r="X44" i="5"/>
  <c r="Y44" i="5"/>
  <c r="Z44" i="5"/>
  <c r="AA44" i="5"/>
  <c r="AB44" i="5"/>
  <c r="AC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U47" i="5"/>
  <c r="V47" i="5"/>
  <c r="W47" i="5"/>
  <c r="AC47" i="5"/>
  <c r="AE47" i="5"/>
  <c r="AG47" i="5"/>
  <c r="AI47" i="5"/>
  <c r="AJ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S3" i="3"/>
  <c r="T3" i="3"/>
  <c r="U3" i="3"/>
  <c r="V3" i="3"/>
  <c r="V19" i="3" s="1"/>
  <c r="W3" i="3"/>
  <c r="X3" i="3"/>
  <c r="Y3" i="3"/>
  <c r="Z3" i="3"/>
  <c r="AA3" i="3"/>
  <c r="AB3" i="3"/>
  <c r="AC3" i="3"/>
  <c r="AD3" i="3"/>
  <c r="AD19" i="3" s="1"/>
  <c r="AF3" i="3"/>
  <c r="AF19" i="3" s="1"/>
  <c r="AG3" i="3"/>
  <c r="AG5" i="3" s="1"/>
  <c r="AH3" i="3"/>
  <c r="AI3" i="3"/>
  <c r="AJ3" i="3"/>
  <c r="AJ5" i="3" s="1"/>
  <c r="AK3" i="3"/>
  <c r="AL3" i="3"/>
  <c r="AL19" i="3" s="1"/>
  <c r="AM3" i="3"/>
  <c r="AN3" i="3"/>
  <c r="AO3" i="3"/>
  <c r="AP3" i="3"/>
  <c r="AQ3" i="3"/>
  <c r="AR3" i="3"/>
  <c r="AR5" i="3" s="1"/>
  <c r="AS3" i="3"/>
  <c r="AS6" i="3" s="1"/>
  <c r="AT3" i="3"/>
  <c r="AT19" i="3" s="1"/>
  <c r="AU3" i="3"/>
  <c r="AV3" i="3"/>
  <c r="AU4" i="3"/>
  <c r="AV4" i="3"/>
  <c r="AN5" i="3"/>
  <c r="AO5" i="3"/>
  <c r="AP5" i="3"/>
  <c r="AT5" i="3"/>
  <c r="AU5" i="3"/>
  <c r="AV5" i="3"/>
  <c r="AT6" i="3"/>
  <c r="AU6" i="3"/>
  <c r="AV6" i="3"/>
  <c r="AS9" i="3"/>
  <c r="AT9" i="3"/>
  <c r="AU9" i="3"/>
  <c r="AV9" i="3"/>
  <c r="AJ10" i="3"/>
  <c r="AN10" i="3"/>
  <c r="AO10" i="3"/>
  <c r="AP10" i="3"/>
  <c r="AQ10" i="3"/>
  <c r="AR10" i="3"/>
  <c r="AS10" i="3"/>
  <c r="AT10" i="3"/>
  <c r="AU10" i="3"/>
  <c r="AV10" i="3"/>
  <c r="AR11" i="3"/>
  <c r="AS11" i="3"/>
  <c r="AT11" i="3"/>
  <c r="AU11" i="3"/>
  <c r="AV11" i="3"/>
  <c r="AF12" i="3"/>
  <c r="AG12" i="3"/>
  <c r="AH12" i="3"/>
  <c r="AI12" i="3"/>
  <c r="AJ12" i="3"/>
  <c r="AN12" i="3"/>
  <c r="AO12" i="3"/>
  <c r="AP12" i="3"/>
  <c r="AQ12" i="3"/>
  <c r="AR12" i="3"/>
  <c r="AS12" i="3"/>
  <c r="AT12" i="3"/>
  <c r="AU12" i="3"/>
  <c r="AV12" i="3"/>
  <c r="AF13" i="3"/>
  <c r="AG13" i="3"/>
  <c r="AH13" i="3"/>
  <c r="AJ13" i="3"/>
  <c r="AN13" i="3"/>
  <c r="AO13" i="3"/>
  <c r="AP13" i="3"/>
  <c r="AQ13" i="3"/>
  <c r="AR13" i="3"/>
  <c r="AS13" i="3"/>
  <c r="AT13" i="3"/>
  <c r="AU13" i="3"/>
  <c r="AV13" i="3"/>
  <c r="AR14" i="3"/>
  <c r="AS14" i="3"/>
  <c r="AT14" i="3"/>
  <c r="AU14" i="3"/>
  <c r="AV14" i="3"/>
  <c r="AR15" i="3"/>
  <c r="AS15" i="3"/>
  <c r="AT15" i="3"/>
  <c r="AU15" i="3"/>
  <c r="AV15" i="3"/>
  <c r="AR16" i="3"/>
  <c r="AS16" i="3"/>
  <c r="AT16" i="3"/>
  <c r="AU16" i="3"/>
  <c r="AV16" i="3"/>
  <c r="AR17" i="3"/>
  <c r="AS17" i="3"/>
  <c r="AT17" i="3"/>
  <c r="AU17" i="3"/>
  <c r="AV17" i="3"/>
  <c r="AF18" i="3"/>
  <c r="AG18" i="3"/>
  <c r="AH18" i="3"/>
  <c r="AJ18" i="3"/>
  <c r="AN18" i="3"/>
  <c r="AO18" i="3"/>
  <c r="AP18" i="3"/>
  <c r="AR18" i="3"/>
  <c r="AS18" i="3"/>
  <c r="AT18" i="3"/>
  <c r="AU18" i="3"/>
  <c r="AV18" i="3"/>
  <c r="S19" i="3"/>
  <c r="W19" i="3"/>
  <c r="X19" i="3"/>
  <c r="Y19" i="3"/>
  <c r="AM19" i="3"/>
  <c r="AN19" i="3"/>
  <c r="AO19" i="3"/>
  <c r="AQ19" i="3"/>
  <c r="AU19" i="3"/>
  <c r="AV19" i="3"/>
  <c r="AR20" i="3"/>
  <c r="AS20" i="3"/>
  <c r="AT20" i="3"/>
  <c r="AU20" i="3"/>
  <c r="AV20" i="3"/>
  <c r="AR21" i="3"/>
  <c r="AS21" i="3"/>
  <c r="AT21" i="3"/>
  <c r="AU21" i="3"/>
  <c r="AV21" i="3"/>
  <c r="AR22" i="3"/>
  <c r="AS22" i="3"/>
  <c r="AT22" i="3"/>
  <c r="AU22" i="3"/>
  <c r="AV22" i="3"/>
  <c r="AR23" i="3"/>
  <c r="AS23" i="3"/>
  <c r="AT23" i="3"/>
  <c r="AU23" i="3"/>
  <c r="AV23" i="3"/>
  <c r="AT24" i="3"/>
  <c r="AU24" i="3"/>
  <c r="AV24" i="3"/>
  <c r="AR25" i="3"/>
  <c r="AS25" i="3"/>
  <c r="R26" i="3"/>
  <c r="W26" i="3"/>
  <c r="X26" i="3"/>
  <c r="Y26" i="3"/>
  <c r="Z26" i="3"/>
  <c r="AE26" i="3"/>
  <c r="AF26" i="3"/>
  <c r="AG26" i="3"/>
  <c r="AM26" i="3"/>
  <c r="AN26" i="3"/>
  <c r="AO26" i="3"/>
  <c r="AP26" i="3"/>
  <c r="AU26" i="3"/>
  <c r="AV26" i="3"/>
  <c r="T27" i="3"/>
  <c r="U27" i="3"/>
  <c r="V27" i="3"/>
  <c r="W27" i="3"/>
  <c r="AA27" i="3"/>
  <c r="AB27" i="3"/>
  <c r="AC27" i="3"/>
  <c r="AD27" i="3"/>
  <c r="AJ27" i="3"/>
  <c r="AK27" i="3"/>
  <c r="AL27" i="3"/>
  <c r="AM27" i="3"/>
  <c r="AR27" i="3"/>
  <c r="AS27" i="3"/>
  <c r="AT27" i="3"/>
  <c r="AU27" i="3"/>
  <c r="S28" i="3"/>
  <c r="X28" i="3"/>
  <c r="Y28" i="3"/>
  <c r="Z28" i="3"/>
  <c r="AN28" i="3"/>
  <c r="AO28" i="3"/>
  <c r="AP28" i="3"/>
  <c r="AQ28" i="3"/>
  <c r="AV28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D91" i="4"/>
  <c r="C91" i="4"/>
  <c r="F90" i="4"/>
  <c r="F89" i="4"/>
  <c r="F88" i="4"/>
  <c r="F87" i="4"/>
  <c r="F86" i="4"/>
  <c r="D81" i="4"/>
  <c r="C81" i="4"/>
  <c r="F80" i="4"/>
  <c r="F79" i="4"/>
  <c r="F78" i="4"/>
  <c r="F77" i="4"/>
  <c r="F76" i="4"/>
  <c r="D72" i="4"/>
  <c r="C72" i="4"/>
  <c r="F71" i="4"/>
  <c r="F70" i="4"/>
  <c r="F69" i="4"/>
  <c r="F68" i="4"/>
  <c r="F67" i="4"/>
  <c r="D63" i="4"/>
  <c r="C63" i="4"/>
  <c r="F62" i="4"/>
  <c r="F61" i="4"/>
  <c r="F60" i="4"/>
  <c r="F59" i="4"/>
  <c r="F58" i="4"/>
  <c r="P28" i="2"/>
  <c r="AC28" i="2"/>
  <c r="P27" i="2"/>
  <c r="P23" i="2" s="1"/>
  <c r="AC27" i="2"/>
  <c r="AC23" i="2" s="1"/>
  <c r="P13" i="2"/>
  <c r="Q44" i="5" s="1"/>
  <c r="AC13" i="2"/>
  <c r="AD44" i="5" s="1"/>
  <c r="AC11" i="2"/>
  <c r="P42" i="1"/>
  <c r="P48" i="1" s="1"/>
  <c r="AC42" i="1"/>
  <c r="AB48" i="1"/>
  <c r="AC36" i="1"/>
  <c r="P36" i="1"/>
  <c r="P15" i="1"/>
  <c r="AC15" i="1"/>
  <c r="AC14" i="1" s="1"/>
  <c r="AD30" i="5" s="1"/>
  <c r="AC13" i="1"/>
  <c r="P13" i="1"/>
  <c r="P12" i="1"/>
  <c r="AC12" i="1"/>
  <c r="AC6" i="1"/>
  <c r="P6" i="1"/>
  <c r="P4" i="1" s="1"/>
  <c r="Q48" i="1"/>
  <c r="R48" i="1"/>
  <c r="S48" i="1"/>
  <c r="T48" i="1"/>
  <c r="U48" i="1"/>
  <c r="V48" i="1"/>
  <c r="W48" i="1"/>
  <c r="X48" i="1"/>
  <c r="Y48" i="1"/>
  <c r="Z48" i="1"/>
  <c r="AA48" i="1"/>
  <c r="P31" i="1"/>
  <c r="Q5" i="5" s="1"/>
  <c r="Q31" i="1"/>
  <c r="R31" i="1"/>
  <c r="S31" i="1"/>
  <c r="T31" i="1"/>
  <c r="U31" i="1"/>
  <c r="U38" i="1" s="1"/>
  <c r="U49" i="1" s="1"/>
  <c r="V31" i="1"/>
  <c r="W5" i="5" s="1"/>
  <c r="W31" i="1"/>
  <c r="X31" i="1"/>
  <c r="Y31" i="1"/>
  <c r="Z31" i="1"/>
  <c r="AA31" i="1"/>
  <c r="AB31" i="1"/>
  <c r="AC31" i="1"/>
  <c r="AD5" i="5" s="1"/>
  <c r="P21" i="1"/>
  <c r="Q21" i="1"/>
  <c r="R21" i="1"/>
  <c r="S21" i="1"/>
  <c r="T21" i="1"/>
  <c r="U34" i="5" s="1"/>
  <c r="U21" i="1"/>
  <c r="V34" i="5" s="1"/>
  <c r="V21" i="1"/>
  <c r="W34" i="5" s="1"/>
  <c r="W21" i="1"/>
  <c r="X21" i="1"/>
  <c r="Y21" i="1"/>
  <c r="Z21" i="1"/>
  <c r="AA21" i="1"/>
  <c r="AB21" i="1"/>
  <c r="AC21" i="1"/>
  <c r="AD34" i="5" s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Q14" i="1"/>
  <c r="R30" i="5" s="1"/>
  <c r="R14" i="1"/>
  <c r="S30" i="5" s="1"/>
  <c r="S14" i="1"/>
  <c r="T30" i="5" s="1"/>
  <c r="T14" i="1"/>
  <c r="U30" i="5" s="1"/>
  <c r="U14" i="1"/>
  <c r="V30" i="5" s="1"/>
  <c r="V14" i="1"/>
  <c r="W30" i="5" s="1"/>
  <c r="W14" i="1"/>
  <c r="X30" i="5" s="1"/>
  <c r="X14" i="1"/>
  <c r="Y30" i="5" s="1"/>
  <c r="Y14" i="1"/>
  <c r="Z30" i="5" s="1"/>
  <c r="Z14" i="1"/>
  <c r="AA30" i="5" s="1"/>
  <c r="AA14" i="1"/>
  <c r="AB30" i="5" s="1"/>
  <c r="AB14" i="1"/>
  <c r="AC30" i="5" s="1"/>
  <c r="Q8" i="1"/>
  <c r="R8" i="1"/>
  <c r="S8" i="1"/>
  <c r="T8" i="1"/>
  <c r="U8" i="1"/>
  <c r="V8" i="1"/>
  <c r="W8" i="1"/>
  <c r="X8" i="1"/>
  <c r="Y8" i="1"/>
  <c r="Z8" i="1"/>
  <c r="AA8" i="1"/>
  <c r="AB8" i="1"/>
  <c r="AC8" i="1"/>
  <c r="Q4" i="1"/>
  <c r="S12" i="3" s="1"/>
  <c r="R4" i="1"/>
  <c r="S4" i="1"/>
  <c r="U13" i="3" s="1"/>
  <c r="T4" i="1"/>
  <c r="V13" i="3" s="1"/>
  <c r="U4" i="1"/>
  <c r="W13" i="3" s="1"/>
  <c r="V4" i="1"/>
  <c r="W4" i="1"/>
  <c r="X4" i="1"/>
  <c r="Y4" i="1"/>
  <c r="Z4" i="1"/>
  <c r="AA4" i="1"/>
  <c r="AB4" i="1"/>
  <c r="AD13" i="3" s="1"/>
  <c r="AC4" i="1"/>
  <c r="AE13" i="3" s="1"/>
  <c r="P12" i="2"/>
  <c r="Q12" i="2"/>
  <c r="R12" i="2"/>
  <c r="S12" i="2"/>
  <c r="T12" i="2"/>
  <c r="T39" i="2" s="1"/>
  <c r="V32" i="3" s="1"/>
  <c r="U12" i="2"/>
  <c r="U39" i="2" s="1"/>
  <c r="W32" i="3" s="1"/>
  <c r="V12" i="2"/>
  <c r="V39" i="2" s="1"/>
  <c r="X32" i="3" s="1"/>
  <c r="W12" i="2"/>
  <c r="W39" i="2" s="1"/>
  <c r="Y32" i="3" s="1"/>
  <c r="X12" i="2"/>
  <c r="X39" i="2" s="1"/>
  <c r="Z32" i="3" s="1"/>
  <c r="Y12" i="2"/>
  <c r="Z12" i="2"/>
  <c r="AA12" i="2"/>
  <c r="AB12" i="2"/>
  <c r="AB39" i="2" s="1"/>
  <c r="AD32" i="3" s="1"/>
  <c r="AC12" i="2"/>
  <c r="P7" i="2"/>
  <c r="Q39" i="5" s="1"/>
  <c r="Q7" i="2"/>
  <c r="R39" i="5" s="1"/>
  <c r="R7" i="2"/>
  <c r="S39" i="5" s="1"/>
  <c r="S7" i="2"/>
  <c r="T39" i="5" s="1"/>
  <c r="T7" i="2"/>
  <c r="U39" i="5" s="1"/>
  <c r="U7" i="2"/>
  <c r="V39" i="5" s="1"/>
  <c r="V7" i="2"/>
  <c r="W39" i="5" s="1"/>
  <c r="W7" i="2"/>
  <c r="X39" i="5" s="1"/>
  <c r="X7" i="2"/>
  <c r="Y39" i="5" s="1"/>
  <c r="Y7" i="2"/>
  <c r="Z39" i="5" s="1"/>
  <c r="Z7" i="2"/>
  <c r="AA39" i="5" s="1"/>
  <c r="AA7" i="2"/>
  <c r="AB39" i="5" s="1"/>
  <c r="AB7" i="2"/>
  <c r="AC39" i="5" s="1"/>
  <c r="AC7" i="2"/>
  <c r="AD39" i="5" s="1"/>
  <c r="P4" i="2"/>
  <c r="Q4" i="2"/>
  <c r="R4" i="2"/>
  <c r="S4" i="2"/>
  <c r="T4" i="2"/>
  <c r="U4" i="2"/>
  <c r="V4" i="2"/>
  <c r="W4" i="2"/>
  <c r="X4" i="2"/>
  <c r="Y4" i="2"/>
  <c r="Z4" i="2"/>
  <c r="Z3" i="2" s="1"/>
  <c r="Z19" i="2" s="1"/>
  <c r="AA4" i="2"/>
  <c r="AB4" i="2"/>
  <c r="AC4" i="2"/>
  <c r="Q3" i="2"/>
  <c r="Q19" i="2" s="1"/>
  <c r="Q29" i="2" s="1"/>
  <c r="Q33" i="2" s="1"/>
  <c r="R3" i="2"/>
  <c r="R19" i="2" s="1"/>
  <c r="R29" i="2" s="1"/>
  <c r="Y3" i="2"/>
  <c r="Y19" i="2" s="1"/>
  <c r="Y29" i="2" s="1"/>
  <c r="Y33" i="2" s="1"/>
  <c r="O4" i="2"/>
  <c r="O7" i="2"/>
  <c r="O12" i="2"/>
  <c r="O39" i="2" s="1"/>
  <c r="AB12" i="3" l="1"/>
  <c r="AB13" i="3"/>
  <c r="T12" i="3"/>
  <c r="T13" i="3"/>
  <c r="Y27" i="1"/>
  <c r="V27" i="1"/>
  <c r="Q27" i="1"/>
  <c r="AC34" i="5"/>
  <c r="AB27" i="1"/>
  <c r="AD15" i="3" s="1"/>
  <c r="Z27" i="1"/>
  <c r="R27" i="1"/>
  <c r="AD18" i="3"/>
  <c r="AB38" i="1"/>
  <c r="AC18" i="3"/>
  <c r="AA38" i="1"/>
  <c r="AA49" i="1" s="1"/>
  <c r="AA5" i="5"/>
  <c r="AB18" i="3"/>
  <c r="Y5" i="5"/>
  <c r="Z18" i="3"/>
  <c r="X38" i="1"/>
  <c r="X5" i="5"/>
  <c r="Y18" i="3"/>
  <c r="V5" i="3"/>
  <c r="T38" i="1"/>
  <c r="U18" i="3"/>
  <c r="S38" i="1"/>
  <c r="S5" i="5"/>
  <c r="T18" i="3"/>
  <c r="X49" i="1"/>
  <c r="S49" i="1"/>
  <c r="Q26" i="5"/>
  <c r="Q25" i="5" s="1"/>
  <c r="R18" i="3"/>
  <c r="P14" i="1"/>
  <c r="R8" i="3"/>
  <c r="P38" i="1"/>
  <c r="AU43" i="5"/>
  <c r="AT43" i="5"/>
  <c r="AM43" i="5"/>
  <c r="AY37" i="5"/>
  <c r="AX37" i="5"/>
  <c r="AQ37" i="5"/>
  <c r="AP37" i="5"/>
  <c r="AU28" i="3"/>
  <c r="AR28" i="3"/>
  <c r="AM28" i="3"/>
  <c r="AS25" i="5"/>
  <c r="AK25" i="5"/>
  <c r="AC25" i="5"/>
  <c r="AV25" i="5"/>
  <c r="AN25" i="5"/>
  <c r="AF25" i="5"/>
  <c r="X25" i="5"/>
  <c r="AS14" i="5"/>
  <c r="AS11" i="5" s="1"/>
  <c r="AK14" i="5"/>
  <c r="AK11" i="5" s="1"/>
  <c r="AQ27" i="3"/>
  <c r="AI27" i="3"/>
  <c r="S27" i="3"/>
  <c r="AT26" i="3"/>
  <c r="AL26" i="3"/>
  <c r="AD26" i="3"/>
  <c r="V26" i="3"/>
  <c r="AO25" i="3"/>
  <c r="AG25" i="3"/>
  <c r="AS24" i="3"/>
  <c r="AO27" i="1"/>
  <c r="AN27" i="1"/>
  <c r="AM27" i="1"/>
  <c r="AL27" i="1"/>
  <c r="AL34" i="5"/>
  <c r="AK27" i="1"/>
  <c r="AM16" i="3" s="1"/>
  <c r="AK34" i="5"/>
  <c r="AJ27" i="1"/>
  <c r="AJ34" i="5"/>
  <c r="AI27" i="1"/>
  <c r="AH27" i="1"/>
  <c r="AP5" i="5"/>
  <c r="AO38" i="1"/>
  <c r="AO49" i="1" s="1"/>
  <c r="AL5" i="5"/>
  <c r="AK38" i="1"/>
  <c r="AL5" i="3"/>
  <c r="AJ38" i="1"/>
  <c r="AK21" i="3"/>
  <c r="AI38" i="1"/>
  <c r="AH5" i="5"/>
  <c r="AG38" i="1"/>
  <c r="AG49" i="1" s="1"/>
  <c r="AK49" i="1"/>
  <c r="AJ49" i="1"/>
  <c r="AI49" i="1"/>
  <c r="AH49" i="1"/>
  <c r="AK3" i="2"/>
  <c r="AK19" i="2" s="1"/>
  <c r="AK29" i="2" s="1"/>
  <c r="AK33" i="2" s="1"/>
  <c r="AK35" i="2" s="1"/>
  <c r="AK37" i="2" s="1"/>
  <c r="AJ3" i="2"/>
  <c r="AJ19" i="2" s="1"/>
  <c r="AJ29" i="2" s="1"/>
  <c r="AJ33" i="2" s="1"/>
  <c r="AJ35" i="2" s="1"/>
  <c r="AJ37" i="2" s="1"/>
  <c r="AL43" i="5"/>
  <c r="AG19" i="2"/>
  <c r="AF10" i="3"/>
  <c r="AD29" i="2"/>
  <c r="AD33" i="2" s="1"/>
  <c r="AD35" i="2" s="1"/>
  <c r="AD37" i="2" s="1"/>
  <c r="AF29" i="2"/>
  <c r="AF33" i="2" s="1"/>
  <c r="AF35" i="2" s="1"/>
  <c r="AF37" i="2" s="1"/>
  <c r="AH10" i="3"/>
  <c r="AE29" i="2"/>
  <c r="AE33" i="2" s="1"/>
  <c r="AE35" i="2" s="1"/>
  <c r="AE37" i="2" s="1"/>
  <c r="AG10" i="3"/>
  <c r="AI10" i="3"/>
  <c r="AG29" i="2"/>
  <c r="AG33" i="2" s="1"/>
  <c r="AG35" i="2" s="1"/>
  <c r="AG37" i="2" s="1"/>
  <c r="AE43" i="5"/>
  <c r="AM10" i="3"/>
  <c r="AL10" i="3"/>
  <c r="AJ11" i="3"/>
  <c r="AL39" i="5"/>
  <c r="AL37" i="5" s="1"/>
  <c r="AI3" i="2"/>
  <c r="AI19" i="2" s="1"/>
  <c r="AK39" i="5"/>
  <c r="AI37" i="5"/>
  <c r="AH37" i="5"/>
  <c r="AG19" i="3"/>
  <c r="AF5" i="3"/>
  <c r="AG27" i="3"/>
  <c r="AF27" i="3"/>
  <c r="AI26" i="3"/>
  <c r="AG27" i="1"/>
  <c r="AH28" i="3"/>
  <c r="AE27" i="1"/>
  <c r="AF27" i="1"/>
  <c r="AH17" i="3" s="1"/>
  <c r="AD27" i="1"/>
  <c r="AI17" i="3"/>
  <c r="AG4" i="5"/>
  <c r="AI22" i="3"/>
  <c r="AI16" i="3"/>
  <c r="AP25" i="3"/>
  <c r="AQ25" i="3"/>
  <c r="AI25" i="3"/>
  <c r="AH25" i="3"/>
  <c r="AM25" i="3"/>
  <c r="AM18" i="3"/>
  <c r="AL18" i="3"/>
  <c r="AK5" i="5"/>
  <c r="AK18" i="3"/>
  <c r="AJ5" i="5"/>
  <c r="AJ25" i="3" s="1"/>
  <c r="AQ18" i="3"/>
  <c r="AI18" i="3"/>
  <c r="AI13" i="3"/>
  <c r="AM5" i="3"/>
  <c r="AN9" i="3"/>
  <c r="AM22" i="3"/>
  <c r="AM21" i="3"/>
  <c r="AL20" i="3"/>
  <c r="AQ15" i="3"/>
  <c r="AM14" i="3"/>
  <c r="AM11" i="3"/>
  <c r="AM9" i="3"/>
  <c r="AP4" i="5"/>
  <c r="AH4" i="5"/>
  <c r="AM20" i="3"/>
  <c r="AM23" i="3"/>
  <c r="AL22" i="3"/>
  <c r="AL21" i="3"/>
  <c r="AQ16" i="3"/>
  <c r="AL14" i="3"/>
  <c r="AL11" i="3"/>
  <c r="AL9" i="3"/>
  <c r="AJ22" i="3"/>
  <c r="AJ21" i="3"/>
  <c r="AQ20" i="3"/>
  <c r="AI20" i="3"/>
  <c r="AJ14" i="3"/>
  <c r="AR9" i="3"/>
  <c r="AJ9" i="3"/>
  <c r="AL6" i="3"/>
  <c r="AL4" i="3"/>
  <c r="AI21" i="3"/>
  <c r="AQ17" i="3"/>
  <c r="AQ14" i="3"/>
  <c r="AI14" i="3"/>
  <c r="AI11" i="3"/>
  <c r="AQ9" i="3"/>
  <c r="AL4" i="5"/>
  <c r="AL23" i="3"/>
  <c r="AK11" i="3"/>
  <c r="AM6" i="3"/>
  <c r="AM4" i="3"/>
  <c r="AQ4" i="3"/>
  <c r="AQ22" i="3"/>
  <c r="AQ21" i="3"/>
  <c r="AQ11" i="3"/>
  <c r="AQ23" i="3"/>
  <c r="AI23" i="3"/>
  <c r="AI15" i="3"/>
  <c r="AL17" i="3"/>
  <c r="AM17" i="3"/>
  <c r="AL13" i="3"/>
  <c r="AM13" i="3"/>
  <c r="AM15" i="3"/>
  <c r="AK13" i="3"/>
  <c r="AL15" i="3"/>
  <c r="AK15" i="3"/>
  <c r="AA22" i="3"/>
  <c r="AA17" i="3"/>
  <c r="AA20" i="3"/>
  <c r="AA14" i="3"/>
  <c r="Z4" i="5"/>
  <c r="AA23" i="3"/>
  <c r="S22" i="3"/>
  <c r="S17" i="3"/>
  <c r="S20" i="3"/>
  <c r="S14" i="3"/>
  <c r="S23" i="3"/>
  <c r="R4" i="5"/>
  <c r="AC12" i="3"/>
  <c r="AA16" i="3"/>
  <c r="S16" i="3"/>
  <c r="AC13" i="3"/>
  <c r="AI4" i="3"/>
  <c r="AI19" i="3"/>
  <c r="Z19" i="3"/>
  <c r="Z5" i="3"/>
  <c r="R3" i="3"/>
  <c r="Q47" i="5"/>
  <c r="Q43" i="5" s="1"/>
  <c r="AB37" i="5"/>
  <c r="T37" i="5"/>
  <c r="V38" i="1"/>
  <c r="V49" i="1"/>
  <c r="AE18" i="3"/>
  <c r="AD26" i="5"/>
  <c r="AP6" i="3"/>
  <c r="AP4" i="3"/>
  <c r="AP19" i="3"/>
  <c r="AH19" i="3"/>
  <c r="AH5" i="3"/>
  <c r="AA4" i="5"/>
  <c r="AB24" i="3" s="1"/>
  <c r="X47" i="5"/>
  <c r="U12" i="3"/>
  <c r="X34" i="5"/>
  <c r="W27" i="1"/>
  <c r="Y16" i="3" s="1"/>
  <c r="R27" i="3"/>
  <c r="AK26" i="3"/>
  <c r="AC26" i="3"/>
  <c r="U26" i="3"/>
  <c r="AE25" i="3"/>
  <c r="Z29" i="2"/>
  <c r="AA15" i="3"/>
  <c r="AA13" i="3"/>
  <c r="S15" i="3"/>
  <c r="S13" i="3"/>
  <c r="U27" i="1"/>
  <c r="W17" i="3"/>
  <c r="AA18" i="3"/>
  <c r="Z5" i="5"/>
  <c r="Z25" i="3" s="1"/>
  <c r="AA21" i="3"/>
  <c r="Y38" i="1"/>
  <c r="S18" i="3"/>
  <c r="S21" i="3"/>
  <c r="R5" i="5"/>
  <c r="R25" i="3" s="1"/>
  <c r="Q38" i="1"/>
  <c r="AD47" i="5"/>
  <c r="AD43" i="5" s="1"/>
  <c r="X21" i="3"/>
  <c r="R19" i="3"/>
  <c r="Y17" i="3"/>
  <c r="U25" i="5"/>
  <c r="AC14" i="5"/>
  <c r="AC11" i="5" s="1"/>
  <c r="AD6" i="3"/>
  <c r="AC4" i="5"/>
  <c r="AD4" i="3"/>
  <c r="AD23" i="3"/>
  <c r="AD22" i="3"/>
  <c r="AD20" i="3"/>
  <c r="Z13" i="3"/>
  <c r="Z12" i="3"/>
  <c r="X14" i="3"/>
  <c r="W4" i="5"/>
  <c r="X23" i="3"/>
  <c r="X6" i="3"/>
  <c r="X22" i="3"/>
  <c r="AD17" i="3"/>
  <c r="AD16" i="3"/>
  <c r="T27" i="1"/>
  <c r="Y25" i="3"/>
  <c r="F91" i="4"/>
  <c r="X17" i="3"/>
  <c r="Q18" i="5"/>
  <c r="AD14" i="3"/>
  <c r="AA27" i="1"/>
  <c r="AC16" i="3" s="1"/>
  <c r="S27" i="1"/>
  <c r="U15" i="3" s="1"/>
  <c r="T23" i="3"/>
  <c r="T20" i="3"/>
  <c r="T14" i="3"/>
  <c r="W38" i="1"/>
  <c r="W49" i="1" s="1"/>
  <c r="Y5" i="3"/>
  <c r="Y49" i="1"/>
  <c r="Q49" i="1"/>
  <c r="AB49" i="1"/>
  <c r="X20" i="3"/>
  <c r="AA12" i="3"/>
  <c r="AA37" i="5"/>
  <c r="S37" i="5"/>
  <c r="AB23" i="3"/>
  <c r="AB20" i="3"/>
  <c r="AB14" i="3"/>
  <c r="T49" i="1"/>
  <c r="AB17" i="3"/>
  <c r="X5" i="3"/>
  <c r="X18" i="3"/>
  <c r="P8" i="1"/>
  <c r="P27" i="1" s="1"/>
  <c r="AC48" i="1"/>
  <c r="AD18" i="5"/>
  <c r="AE3" i="3"/>
  <c r="X16" i="3"/>
  <c r="AA4" i="3"/>
  <c r="AA19" i="3"/>
  <c r="S4" i="3"/>
  <c r="Y47" i="5"/>
  <c r="Z37" i="5"/>
  <c r="R37" i="5"/>
  <c r="AJ28" i="3"/>
  <c r="U14" i="5"/>
  <c r="U11" i="5" s="1"/>
  <c r="X27" i="1"/>
  <c r="Z38" i="1"/>
  <c r="Z49" i="1" s="1"/>
  <c r="R38" i="1"/>
  <c r="R49" i="1" s="1"/>
  <c r="W21" i="3"/>
  <c r="R12" i="3"/>
  <c r="AD5" i="3"/>
  <c r="AB34" i="5"/>
  <c r="T34" i="5"/>
  <c r="V5" i="5"/>
  <c r="W25" i="3" s="1"/>
  <c r="U3" i="2"/>
  <c r="U19" i="2" s="1"/>
  <c r="AD21" i="3"/>
  <c r="W18" i="3"/>
  <c r="U16" i="3"/>
  <c r="R13" i="3"/>
  <c r="Y12" i="3"/>
  <c r="AT4" i="3"/>
  <c r="AV37" i="5"/>
  <c r="AN37" i="5"/>
  <c r="AF37" i="5"/>
  <c r="X37" i="5"/>
  <c r="AA34" i="5"/>
  <c r="S34" i="5"/>
  <c r="Q31" i="5"/>
  <c r="R28" i="3" s="1"/>
  <c r="AC5" i="5"/>
  <c r="U5" i="5"/>
  <c r="AE8" i="3"/>
  <c r="U21" i="3"/>
  <c r="V18" i="3"/>
  <c r="U17" i="3"/>
  <c r="AB16" i="3"/>
  <c r="T16" i="3"/>
  <c r="Y13" i="3"/>
  <c r="X12" i="3"/>
  <c r="V43" i="5"/>
  <c r="AR43" i="5"/>
  <c r="AJ43" i="5"/>
  <c r="AW37" i="5"/>
  <c r="AO37" i="5"/>
  <c r="AO30" i="3" s="1"/>
  <c r="AG37" i="5"/>
  <c r="Y37" i="5"/>
  <c r="Q37" i="5"/>
  <c r="R30" i="3" s="1"/>
  <c r="AR37" i="5"/>
  <c r="AR30" i="3" s="1"/>
  <c r="AJ37" i="5"/>
  <c r="AU37" i="5"/>
  <c r="AM37" i="5"/>
  <c r="AE37" i="5"/>
  <c r="W37" i="5"/>
  <c r="Z34" i="5"/>
  <c r="R34" i="5"/>
  <c r="AB5" i="5"/>
  <c r="AB25" i="3" s="1"/>
  <c r="T5" i="5"/>
  <c r="T25" i="3" s="1"/>
  <c r="AB21" i="3"/>
  <c r="T21" i="3"/>
  <c r="X13" i="3"/>
  <c r="AE12" i="3"/>
  <c r="W12" i="3"/>
  <c r="AS43" i="5"/>
  <c r="AK43" i="5"/>
  <c r="AV43" i="5"/>
  <c r="AN43" i="5"/>
  <c r="AF43" i="5"/>
  <c r="AY43" i="5"/>
  <c r="AQ43" i="5"/>
  <c r="AI43" i="5"/>
  <c r="AT37" i="5"/>
  <c r="V37" i="5"/>
  <c r="Y34" i="5"/>
  <c r="Q34" i="5"/>
  <c r="AY25" i="5"/>
  <c r="AQ25" i="5"/>
  <c r="AI25" i="5"/>
  <c r="AA25" i="5"/>
  <c r="S25" i="5"/>
  <c r="AY14" i="5"/>
  <c r="AQ14" i="5"/>
  <c r="AQ11" i="5" s="1"/>
  <c r="AI14" i="5"/>
  <c r="AA14" i="5"/>
  <c r="S14" i="5"/>
  <c r="AA39" i="2"/>
  <c r="AC32" i="3" s="1"/>
  <c r="S39" i="2"/>
  <c r="U32" i="3" s="1"/>
  <c r="Z16" i="3"/>
  <c r="AD12" i="3"/>
  <c r="V12" i="3"/>
  <c r="W5" i="3"/>
  <c r="AC6" i="3"/>
  <c r="U6" i="3"/>
  <c r="AX43" i="5"/>
  <c r="AP43" i="5"/>
  <c r="AH43" i="5"/>
  <c r="AS37" i="5"/>
  <c r="AS30" i="3" s="1"/>
  <c r="AK37" i="5"/>
  <c r="AK30" i="3" s="1"/>
  <c r="AC37" i="5"/>
  <c r="U37" i="5"/>
  <c r="U30" i="3" s="1"/>
  <c r="AD31" i="5"/>
  <c r="AE28" i="3" s="1"/>
  <c r="Q30" i="5"/>
  <c r="AR25" i="5"/>
  <c r="AJ25" i="5"/>
  <c r="AB25" i="5"/>
  <c r="T25" i="5"/>
  <c r="AU25" i="5"/>
  <c r="AM25" i="5"/>
  <c r="AE25" i="5"/>
  <c r="W25" i="5"/>
  <c r="AX25" i="5"/>
  <c r="AP25" i="5"/>
  <c r="AH25" i="5"/>
  <c r="Z25" i="5"/>
  <c r="R25" i="5"/>
  <c r="AR14" i="5"/>
  <c r="AR11" i="5" s="1"/>
  <c r="AS29" i="3" s="1"/>
  <c r="AJ14" i="5"/>
  <c r="AB14" i="5"/>
  <c r="T14" i="5"/>
  <c r="AU14" i="5"/>
  <c r="AM14" i="5"/>
  <c r="AM11" i="5" s="1"/>
  <c r="AE14" i="5"/>
  <c r="AE11" i="5" s="1"/>
  <c r="W14" i="5"/>
  <c r="AX14" i="5"/>
  <c r="AX11" i="5" s="1"/>
  <c r="AX12" i="5" s="1"/>
  <c r="AP14" i="5"/>
  <c r="AH14" i="5"/>
  <c r="Z14" i="5"/>
  <c r="Z11" i="5" s="1"/>
  <c r="R14" i="5"/>
  <c r="Z39" i="2"/>
  <c r="AB32" i="3" s="1"/>
  <c r="F81" i="4"/>
  <c r="Z21" i="3"/>
  <c r="AB5" i="3"/>
  <c r="T5" i="3"/>
  <c r="AW43" i="5"/>
  <c r="AO43" i="5"/>
  <c r="AG43" i="5"/>
  <c r="Y43" i="5"/>
  <c r="AS28" i="3"/>
  <c r="AK28" i="3"/>
  <c r="AC28" i="3"/>
  <c r="U28" i="3"/>
  <c r="AT25" i="5"/>
  <c r="AL25" i="5"/>
  <c r="AD25" i="5"/>
  <c r="V25" i="5"/>
  <c r="AW25" i="5"/>
  <c r="AO25" i="5"/>
  <c r="AG25" i="5"/>
  <c r="Y25" i="5"/>
  <c r="Y39" i="2"/>
  <c r="AA32" i="3" s="1"/>
  <c r="Q39" i="2"/>
  <c r="S32" i="3" s="1"/>
  <c r="AD37" i="5"/>
  <c r="AD30" i="3" s="1"/>
  <c r="U11" i="3"/>
  <c r="T10" i="3"/>
  <c r="T11" i="3"/>
  <c r="AA10" i="3"/>
  <c r="S10" i="3"/>
  <c r="AC11" i="3"/>
  <c r="AB10" i="3"/>
  <c r="W43" i="5"/>
  <c r="AA11" i="3"/>
  <c r="S11" i="3"/>
  <c r="AB47" i="5"/>
  <c r="AB43" i="5" s="1"/>
  <c r="T47" i="5"/>
  <c r="T43" i="5" s="1"/>
  <c r="AA47" i="5"/>
  <c r="AA43" i="5" s="1"/>
  <c r="R39" i="2"/>
  <c r="T32" i="3" s="1"/>
  <c r="Z47" i="5"/>
  <c r="Z43" i="5" s="1"/>
  <c r="R47" i="5"/>
  <c r="R43" i="5" s="1"/>
  <c r="AC43" i="5"/>
  <c r="U43" i="5"/>
  <c r="X43" i="5"/>
  <c r="S43" i="5"/>
  <c r="Z33" i="2"/>
  <c r="AB9" i="3" s="1"/>
  <c r="R33" i="2"/>
  <c r="T9" i="3" s="1"/>
  <c r="Y35" i="2"/>
  <c r="Y37" i="2" s="1"/>
  <c r="Q35" i="2"/>
  <c r="Q37" i="2" s="1"/>
  <c r="F72" i="4"/>
  <c r="F63" i="4"/>
  <c r="U12" i="5"/>
  <c r="Y30" i="3"/>
  <c r="Z30" i="3"/>
  <c r="S11" i="5"/>
  <c r="AJ11" i="5"/>
  <c r="T11" i="5"/>
  <c r="AU11" i="5"/>
  <c r="W11" i="5"/>
  <c r="AP11" i="5"/>
  <c r="R11" i="5"/>
  <c r="AA11" i="5"/>
  <c r="AT14" i="5"/>
  <c r="AT11" i="5" s="1"/>
  <c r="AL14" i="5"/>
  <c r="AL11" i="5" s="1"/>
  <c r="AD14" i="5"/>
  <c r="V14" i="5"/>
  <c r="V11" i="5" s="1"/>
  <c r="AW14" i="5"/>
  <c r="AW11" i="5" s="1"/>
  <c r="AW12" i="5" s="1"/>
  <c r="AO14" i="5"/>
  <c r="AG14" i="5"/>
  <c r="AG11" i="5" s="1"/>
  <c r="Y14" i="5"/>
  <c r="Q14" i="5"/>
  <c r="Q11" i="5" s="1"/>
  <c r="Q12" i="5" s="1"/>
  <c r="AI11" i="5"/>
  <c r="AV14" i="5"/>
  <c r="AV11" i="5" s="1"/>
  <c r="AN14" i="5"/>
  <c r="AN11" i="5" s="1"/>
  <c r="AF14" i="5"/>
  <c r="AF11" i="5" s="1"/>
  <c r="X14" i="5"/>
  <c r="X11" i="5" s="1"/>
  <c r="AS12" i="5"/>
  <c r="AY11" i="5"/>
  <c r="AY12" i="5" s="1"/>
  <c r="AK12" i="5"/>
  <c r="AC12" i="5"/>
  <c r="W28" i="3"/>
  <c r="AS26" i="3"/>
  <c r="AT28" i="3"/>
  <c r="AL28" i="3"/>
  <c r="AD28" i="3"/>
  <c r="AJ26" i="3"/>
  <c r="AB26" i="3"/>
  <c r="T26" i="3"/>
  <c r="AP27" i="3"/>
  <c r="AH27" i="3"/>
  <c r="Z27" i="3"/>
  <c r="AV25" i="3"/>
  <c r="AN25" i="3"/>
  <c r="AF25" i="3"/>
  <c r="X25" i="3"/>
  <c r="AR6" i="3"/>
  <c r="AJ6" i="3"/>
  <c r="AB6" i="3"/>
  <c r="T6" i="3"/>
  <c r="AQ5" i="3"/>
  <c r="AI5" i="3"/>
  <c r="AA5" i="3"/>
  <c r="S5" i="3"/>
  <c r="AQ6" i="3"/>
  <c r="AI6" i="3"/>
  <c r="AA6" i="3"/>
  <c r="S6" i="3"/>
  <c r="AS19" i="3"/>
  <c r="AK19" i="3"/>
  <c r="AC19" i="3"/>
  <c r="U19" i="3"/>
  <c r="AR19" i="3"/>
  <c r="AJ19" i="3"/>
  <c r="AB19" i="3"/>
  <c r="T19" i="3"/>
  <c r="AS4" i="3"/>
  <c r="AK4" i="3"/>
  <c r="AC4" i="3"/>
  <c r="U4" i="3"/>
  <c r="AS5" i="3"/>
  <c r="AK5" i="3"/>
  <c r="AC5" i="3"/>
  <c r="U5" i="3"/>
  <c r="AR4" i="3"/>
  <c r="AJ4" i="3"/>
  <c r="AB4" i="3"/>
  <c r="T4" i="3"/>
  <c r="P39" i="2"/>
  <c r="R32" i="3" s="1"/>
  <c r="AC39" i="2"/>
  <c r="AE32" i="3" s="1"/>
  <c r="AC3" i="2"/>
  <c r="AC19" i="2" s="1"/>
  <c r="P49" i="1"/>
  <c r="AC38" i="1"/>
  <c r="AC27" i="1"/>
  <c r="AE17" i="3" s="1"/>
  <c r="W3" i="2"/>
  <c r="W19" i="2" s="1"/>
  <c r="W29" i="2" s="1"/>
  <c r="W33" i="2" s="1"/>
  <c r="P3" i="2"/>
  <c r="P19" i="2" s="1"/>
  <c r="P29" i="2" s="1"/>
  <c r="P33" i="2" s="1"/>
  <c r="V3" i="2"/>
  <c r="V19" i="2" s="1"/>
  <c r="V29" i="2" s="1"/>
  <c r="V33" i="2" s="1"/>
  <c r="AB3" i="2"/>
  <c r="AB19" i="2" s="1"/>
  <c r="T3" i="2"/>
  <c r="T19" i="2" s="1"/>
  <c r="X3" i="2"/>
  <c r="X19" i="2" s="1"/>
  <c r="AA3" i="2"/>
  <c r="AA19" i="2" s="1"/>
  <c r="AA29" i="2" s="1"/>
  <c r="AA33" i="2" s="1"/>
  <c r="S3" i="2"/>
  <c r="S19" i="2" s="1"/>
  <c r="S29" i="2" s="1"/>
  <c r="S33" i="2" s="1"/>
  <c r="U9" i="3" s="1"/>
  <c r="J6" i="5"/>
  <c r="K6" i="5"/>
  <c r="K26" i="3" s="1"/>
  <c r="L6" i="5"/>
  <c r="M6" i="5"/>
  <c r="N6" i="5"/>
  <c r="N26" i="3" s="1"/>
  <c r="O6" i="5"/>
  <c r="P6" i="5"/>
  <c r="P26" i="3" s="1"/>
  <c r="J7" i="5"/>
  <c r="K7" i="5"/>
  <c r="L7" i="5"/>
  <c r="L27" i="3" s="1"/>
  <c r="M7" i="5"/>
  <c r="N7" i="5"/>
  <c r="O7" i="5"/>
  <c r="O27" i="3" s="1"/>
  <c r="P7" i="5"/>
  <c r="J8" i="5"/>
  <c r="K8" i="5"/>
  <c r="L8" i="5"/>
  <c r="M8" i="5"/>
  <c r="N8" i="5"/>
  <c r="O8" i="5"/>
  <c r="P8" i="5"/>
  <c r="J15" i="5"/>
  <c r="K15" i="5"/>
  <c r="L15" i="5"/>
  <c r="M15" i="5"/>
  <c r="N15" i="5"/>
  <c r="O15" i="5"/>
  <c r="P15" i="5"/>
  <c r="J17" i="5"/>
  <c r="K17" i="5"/>
  <c r="L17" i="5"/>
  <c r="M17" i="5"/>
  <c r="N17" i="5"/>
  <c r="O17" i="5"/>
  <c r="P17" i="5"/>
  <c r="J18" i="5"/>
  <c r="K18" i="5"/>
  <c r="L18" i="5"/>
  <c r="M18" i="5"/>
  <c r="N18" i="5"/>
  <c r="O18" i="5"/>
  <c r="P18" i="5"/>
  <c r="J19" i="5"/>
  <c r="K19" i="5"/>
  <c r="L19" i="5"/>
  <c r="M19" i="5"/>
  <c r="N19" i="5"/>
  <c r="O19" i="5"/>
  <c r="P19" i="5"/>
  <c r="J20" i="5"/>
  <c r="K20" i="5"/>
  <c r="L20" i="5"/>
  <c r="M20" i="5"/>
  <c r="N20" i="5"/>
  <c r="O20" i="5"/>
  <c r="P20" i="5"/>
  <c r="J22" i="5"/>
  <c r="J21" i="5" s="1"/>
  <c r="K22" i="5"/>
  <c r="K21" i="5" s="1"/>
  <c r="L22" i="5"/>
  <c r="L21" i="5" s="1"/>
  <c r="M22" i="5"/>
  <c r="M21" i="5" s="1"/>
  <c r="N22" i="5"/>
  <c r="N21" i="5" s="1"/>
  <c r="O22" i="5"/>
  <c r="O21" i="5" s="1"/>
  <c r="P22" i="5"/>
  <c r="P21" i="5" s="1"/>
  <c r="J26" i="5"/>
  <c r="K26" i="5"/>
  <c r="L26" i="5"/>
  <c r="M26" i="5"/>
  <c r="N26" i="5"/>
  <c r="O26" i="5"/>
  <c r="P26" i="5"/>
  <c r="J27" i="5"/>
  <c r="K27" i="5"/>
  <c r="L27" i="5"/>
  <c r="M27" i="5"/>
  <c r="N27" i="5"/>
  <c r="O27" i="5"/>
  <c r="P27" i="5"/>
  <c r="J28" i="5"/>
  <c r="K28" i="5"/>
  <c r="L28" i="5"/>
  <c r="M28" i="5"/>
  <c r="N28" i="5"/>
  <c r="O28" i="5"/>
  <c r="P28" i="5"/>
  <c r="J31" i="5"/>
  <c r="K31" i="5"/>
  <c r="L31" i="5"/>
  <c r="L28" i="3" s="1"/>
  <c r="M31" i="5"/>
  <c r="M28" i="3" s="1"/>
  <c r="N31" i="5"/>
  <c r="O31" i="5"/>
  <c r="P31" i="5"/>
  <c r="J32" i="5"/>
  <c r="K32" i="5"/>
  <c r="L32" i="5"/>
  <c r="M32" i="5"/>
  <c r="N32" i="5"/>
  <c r="O32" i="5"/>
  <c r="P32" i="5"/>
  <c r="J35" i="5"/>
  <c r="K35" i="5"/>
  <c r="L35" i="5"/>
  <c r="M35" i="5"/>
  <c r="N35" i="5"/>
  <c r="O35" i="5"/>
  <c r="P35" i="5"/>
  <c r="J38" i="5"/>
  <c r="K38" i="5"/>
  <c r="L38" i="5"/>
  <c r="M38" i="5"/>
  <c r="N38" i="5"/>
  <c r="O38" i="5"/>
  <c r="P38" i="5"/>
  <c r="J40" i="5"/>
  <c r="K40" i="5"/>
  <c r="L40" i="5"/>
  <c r="M40" i="5"/>
  <c r="N40" i="5"/>
  <c r="O40" i="5"/>
  <c r="P40" i="5"/>
  <c r="J44" i="5"/>
  <c r="K44" i="5"/>
  <c r="L44" i="5"/>
  <c r="M44" i="5"/>
  <c r="N44" i="5"/>
  <c r="O44" i="5"/>
  <c r="P44" i="5"/>
  <c r="J45" i="5"/>
  <c r="K45" i="5"/>
  <c r="L45" i="5"/>
  <c r="M45" i="5"/>
  <c r="N45" i="5"/>
  <c r="O45" i="5"/>
  <c r="P45" i="5"/>
  <c r="J46" i="5"/>
  <c r="K46" i="5"/>
  <c r="L46" i="5"/>
  <c r="M46" i="5"/>
  <c r="N46" i="5"/>
  <c r="O46" i="5"/>
  <c r="P46" i="5"/>
  <c r="I6" i="5"/>
  <c r="I7" i="5"/>
  <c r="I8" i="5"/>
  <c r="I15" i="5"/>
  <c r="I17" i="5"/>
  <c r="I18" i="5"/>
  <c r="I19" i="5"/>
  <c r="I20" i="5"/>
  <c r="I22" i="5"/>
  <c r="I21" i="5" s="1"/>
  <c r="I26" i="5"/>
  <c r="I27" i="5"/>
  <c r="I28" i="5"/>
  <c r="I31" i="5"/>
  <c r="I32" i="5"/>
  <c r="I35" i="5"/>
  <c r="I38" i="5"/>
  <c r="I40" i="5"/>
  <c r="I44" i="5"/>
  <c r="I45" i="5"/>
  <c r="I46" i="5"/>
  <c r="O3" i="3"/>
  <c r="O19" i="3" s="1"/>
  <c r="P3" i="3"/>
  <c r="P19" i="3" s="1"/>
  <c r="Q3" i="3"/>
  <c r="Q19" i="3"/>
  <c r="O26" i="3"/>
  <c r="Q26" i="3"/>
  <c r="Q27" i="3"/>
  <c r="J3" i="3"/>
  <c r="J19" i="3" s="1"/>
  <c r="K3" i="3"/>
  <c r="K19" i="3" s="1"/>
  <c r="L3" i="3"/>
  <c r="L19" i="3" s="1"/>
  <c r="M3" i="3"/>
  <c r="N3" i="3"/>
  <c r="M19" i="3"/>
  <c r="N19" i="3"/>
  <c r="J26" i="3"/>
  <c r="M26" i="3"/>
  <c r="K27" i="3"/>
  <c r="M27" i="3"/>
  <c r="N27" i="3"/>
  <c r="K28" i="3"/>
  <c r="N28" i="3"/>
  <c r="G3" i="3"/>
  <c r="H3" i="3"/>
  <c r="I3" i="3"/>
  <c r="I31" i="4"/>
  <c r="I22" i="4"/>
  <c r="F25" i="4"/>
  <c r="F24" i="4"/>
  <c r="F23" i="4"/>
  <c r="F22" i="4"/>
  <c r="F21" i="4"/>
  <c r="F26" i="4" s="1"/>
  <c r="D26" i="4"/>
  <c r="C26" i="4"/>
  <c r="L48" i="1"/>
  <c r="M48" i="1"/>
  <c r="N48" i="1"/>
  <c r="O48" i="1"/>
  <c r="L31" i="1"/>
  <c r="M31" i="1"/>
  <c r="N31" i="1"/>
  <c r="O31" i="1"/>
  <c r="L21" i="1"/>
  <c r="M21" i="1"/>
  <c r="N21" i="1"/>
  <c r="O21" i="1"/>
  <c r="L17" i="1"/>
  <c r="M17" i="1"/>
  <c r="N17" i="1"/>
  <c r="O17" i="1"/>
  <c r="L14" i="1"/>
  <c r="M30" i="5" s="1"/>
  <c r="M14" i="1"/>
  <c r="N30" i="5" s="1"/>
  <c r="N14" i="1"/>
  <c r="O30" i="5" s="1"/>
  <c r="O14" i="1"/>
  <c r="P30" i="5" s="1"/>
  <c r="L8" i="1"/>
  <c r="M8" i="1"/>
  <c r="N8" i="1"/>
  <c r="O8" i="1"/>
  <c r="L4" i="1"/>
  <c r="M4" i="1"/>
  <c r="N4" i="1"/>
  <c r="O4" i="1"/>
  <c r="L12" i="2"/>
  <c r="L39" i="2" s="1"/>
  <c r="N32" i="3" s="1"/>
  <c r="M12" i="2"/>
  <c r="M39" i="2" s="1"/>
  <c r="O32" i="3" s="1"/>
  <c r="N12" i="2"/>
  <c r="N39" i="2" s="1"/>
  <c r="P32" i="3" s="1"/>
  <c r="Q32" i="3"/>
  <c r="L7" i="2"/>
  <c r="M39" i="5" s="1"/>
  <c r="M7" i="2"/>
  <c r="N39" i="5" s="1"/>
  <c r="N7" i="2"/>
  <c r="O39" i="5" s="1"/>
  <c r="P39" i="5"/>
  <c r="L4" i="2"/>
  <c r="M4" i="2"/>
  <c r="M3" i="2" s="1"/>
  <c r="M19" i="2" s="1"/>
  <c r="M29" i="2" s="1"/>
  <c r="M33" i="2" s="1"/>
  <c r="N4" i="2"/>
  <c r="O3" i="2"/>
  <c r="O19" i="2" s="1"/>
  <c r="O29" i="2" s="1"/>
  <c r="O33" i="2" s="1"/>
  <c r="O35" i="2" s="1"/>
  <c r="O37" i="2" s="1"/>
  <c r="P28" i="3" l="1"/>
  <c r="J28" i="3"/>
  <c r="J27" i="3"/>
  <c r="X29" i="2"/>
  <c r="X33" i="2" s="1"/>
  <c r="X35" i="2" s="1"/>
  <c r="X37" i="2" s="1"/>
  <c r="Z10" i="3"/>
  <c r="V35" i="2"/>
  <c r="V37" i="2" s="1"/>
  <c r="X9" i="3"/>
  <c r="AH11" i="5"/>
  <c r="AB11" i="5"/>
  <c r="AC29" i="3" s="1"/>
  <c r="W30" i="3"/>
  <c r="AU30" i="3"/>
  <c r="U25" i="3"/>
  <c r="AV30" i="3"/>
  <c r="Z11" i="3"/>
  <c r="AA9" i="3"/>
  <c r="Z4" i="3"/>
  <c r="Z6" i="3"/>
  <c r="AB30" i="3"/>
  <c r="AK25" i="3"/>
  <c r="AI29" i="2"/>
  <c r="AI33" i="2" s="1"/>
  <c r="AK10" i="3"/>
  <c r="AI4" i="5"/>
  <c r="AJ15" i="3"/>
  <c r="AJ16" i="3"/>
  <c r="AJ17" i="3"/>
  <c r="AJ20" i="3"/>
  <c r="AJ23" i="3"/>
  <c r="AK23" i="3"/>
  <c r="AJ4" i="5"/>
  <c r="AK24" i="3" s="1"/>
  <c r="AK14" i="3"/>
  <c r="AK16" i="3"/>
  <c r="AK17" i="3"/>
  <c r="AK20" i="3"/>
  <c r="AK22" i="3"/>
  <c r="AK6" i="3"/>
  <c r="AK4" i="5"/>
  <c r="AL24" i="3" s="1"/>
  <c r="AL16" i="3"/>
  <c r="AM4" i="5"/>
  <c r="AN4" i="3"/>
  <c r="AN6" i="3"/>
  <c r="AO9" i="3"/>
  <c r="AN11" i="3"/>
  <c r="AN14" i="3"/>
  <c r="AN15" i="3"/>
  <c r="AN16" i="3"/>
  <c r="AN17" i="3"/>
  <c r="AN20" i="3"/>
  <c r="AN21" i="3"/>
  <c r="AN22" i="3"/>
  <c r="AN23" i="3"/>
  <c r="AN4" i="5"/>
  <c r="AO24" i="3" s="1"/>
  <c r="AO4" i="3"/>
  <c r="AO6" i="3"/>
  <c r="AP9" i="3"/>
  <c r="AO11" i="3"/>
  <c r="AO14" i="3"/>
  <c r="AO15" i="3"/>
  <c r="AO16" i="3"/>
  <c r="AO17" i="3"/>
  <c r="AO20" i="3"/>
  <c r="AO21" i="3"/>
  <c r="AO22" i="3"/>
  <c r="AO23" i="3"/>
  <c r="AO4" i="5"/>
  <c r="AP24" i="3" s="1"/>
  <c r="AP14" i="3"/>
  <c r="AP15" i="3"/>
  <c r="AP16" i="3"/>
  <c r="AP17" i="3"/>
  <c r="AP20" i="3"/>
  <c r="AP21" i="3"/>
  <c r="AP22" i="3"/>
  <c r="AP23" i="3"/>
  <c r="AP11" i="3"/>
  <c r="AQ30" i="3"/>
  <c r="S4" i="5"/>
  <c r="T24" i="3" s="1"/>
  <c r="T22" i="3"/>
  <c r="T15" i="3"/>
  <c r="T17" i="3"/>
  <c r="AB22" i="3"/>
  <c r="AB15" i="3"/>
  <c r="X4" i="3"/>
  <c r="X15" i="3"/>
  <c r="AG30" i="3"/>
  <c r="AP30" i="3"/>
  <c r="AM30" i="3"/>
  <c r="AJ30" i="3"/>
  <c r="AI30" i="3"/>
  <c r="AH6" i="3"/>
  <c r="AH14" i="3"/>
  <c r="AH4" i="3"/>
  <c r="AH22" i="3"/>
  <c r="AH11" i="3"/>
  <c r="AI9" i="3"/>
  <c r="AH16" i="3"/>
  <c r="AH15" i="3"/>
  <c r="AH20" i="3"/>
  <c r="AH23" i="3"/>
  <c r="AH21" i="3"/>
  <c r="AL25" i="3"/>
  <c r="AM24" i="3"/>
  <c r="AN24" i="3"/>
  <c r="AI24" i="3"/>
  <c r="AJ24" i="3"/>
  <c r="AQ24" i="3"/>
  <c r="AR24" i="3"/>
  <c r="R20" i="3"/>
  <c r="R14" i="3"/>
  <c r="Q4" i="5"/>
  <c r="S24" i="3" s="1"/>
  <c r="R23" i="3"/>
  <c r="R22" i="3"/>
  <c r="R15" i="3"/>
  <c r="S9" i="3"/>
  <c r="R17" i="3"/>
  <c r="R16" i="3"/>
  <c r="R11" i="3"/>
  <c r="R21" i="3"/>
  <c r="AA35" i="2"/>
  <c r="AA37" i="2" s="1"/>
  <c r="AC9" i="3"/>
  <c r="AE6" i="3"/>
  <c r="AE4" i="3"/>
  <c r="AE5" i="3"/>
  <c r="Y4" i="3"/>
  <c r="Y20" i="3"/>
  <c r="Y14" i="3"/>
  <c r="X4" i="5"/>
  <c r="Y24" i="3" s="1"/>
  <c r="Y23" i="3"/>
  <c r="Y22" i="3"/>
  <c r="Y21" i="3"/>
  <c r="Y6" i="3"/>
  <c r="AE19" i="3"/>
  <c r="AC15" i="3"/>
  <c r="L3" i="2"/>
  <c r="L19" i="2" s="1"/>
  <c r="L29" i="2" s="1"/>
  <c r="L33" i="2" s="1"/>
  <c r="Y9" i="3"/>
  <c r="AD11" i="5"/>
  <c r="AD12" i="5" s="1"/>
  <c r="AC10" i="3"/>
  <c r="AC25" i="3"/>
  <c r="T4" i="5"/>
  <c r="U24" i="3" s="1"/>
  <c r="U22" i="3"/>
  <c r="U20" i="3"/>
  <c r="U14" i="3"/>
  <c r="U23" i="3"/>
  <c r="R10" i="3"/>
  <c r="W14" i="3"/>
  <c r="V4" i="5"/>
  <c r="W23" i="3"/>
  <c r="W6" i="3"/>
  <c r="W22" i="3"/>
  <c r="W20" i="3"/>
  <c r="W4" i="3"/>
  <c r="W11" i="3"/>
  <c r="W16" i="3"/>
  <c r="W15" i="3"/>
  <c r="U4" i="5"/>
  <c r="V24" i="3" s="1"/>
  <c r="V23" i="3"/>
  <c r="V6" i="3"/>
  <c r="V22" i="3"/>
  <c r="V4" i="3"/>
  <c r="V20" i="3"/>
  <c r="V14" i="3"/>
  <c r="V15" i="3"/>
  <c r="AC17" i="3"/>
  <c r="X11" i="3"/>
  <c r="AE21" i="3"/>
  <c r="Y15" i="3"/>
  <c r="V16" i="3"/>
  <c r="O28" i="3"/>
  <c r="Z9" i="3"/>
  <c r="AC49" i="1"/>
  <c r="Y11" i="5"/>
  <c r="Y29" i="3" s="1"/>
  <c r="W35" i="2"/>
  <c r="W37" i="2" s="1"/>
  <c r="V30" i="3"/>
  <c r="S30" i="3"/>
  <c r="AD11" i="3"/>
  <c r="V17" i="3"/>
  <c r="AL30" i="3"/>
  <c r="X30" i="3"/>
  <c r="V25" i="3"/>
  <c r="AA30" i="3"/>
  <c r="R4" i="3"/>
  <c r="R6" i="3"/>
  <c r="R5" i="3"/>
  <c r="AD25" i="3"/>
  <c r="W10" i="3"/>
  <c r="U29" i="2"/>
  <c r="U33" i="2" s="1"/>
  <c r="AB4" i="5"/>
  <c r="AC24" i="3" s="1"/>
  <c r="AC22" i="3"/>
  <c r="AC20" i="3"/>
  <c r="AC23" i="3"/>
  <c r="AC14" i="3"/>
  <c r="AH30" i="3"/>
  <c r="U10" i="3"/>
  <c r="AB11" i="3"/>
  <c r="L26" i="3"/>
  <c r="P27" i="3"/>
  <c r="Q28" i="3"/>
  <c r="AD10" i="3"/>
  <c r="AB29" i="2"/>
  <c r="AB33" i="2" s="1"/>
  <c r="AO11" i="5"/>
  <c r="R35" i="2"/>
  <c r="R37" i="2" s="1"/>
  <c r="X10" i="3"/>
  <c r="AT30" i="3"/>
  <c r="AC21" i="3"/>
  <c r="AF30" i="3"/>
  <c r="Z20" i="3"/>
  <c r="Z14" i="3"/>
  <c r="Y4" i="5"/>
  <c r="AA24" i="3" s="1"/>
  <c r="Z22" i="3"/>
  <c r="Z23" i="3"/>
  <c r="Z15" i="3"/>
  <c r="Y10" i="3"/>
  <c r="Z17" i="3"/>
  <c r="X24" i="3"/>
  <c r="AE11" i="3"/>
  <c r="AE14" i="3"/>
  <c r="AD4" i="5"/>
  <c r="AE24" i="3" s="1"/>
  <c r="AE23" i="3"/>
  <c r="AE22" i="3"/>
  <c r="AF9" i="3"/>
  <c r="AE20" i="3"/>
  <c r="AE15" i="3"/>
  <c r="T29" i="2"/>
  <c r="T33" i="2" s="1"/>
  <c r="V10" i="3"/>
  <c r="AC30" i="3"/>
  <c r="N3" i="2"/>
  <c r="N19" i="2" s="1"/>
  <c r="N29" i="2" s="1"/>
  <c r="N33" i="2" s="1"/>
  <c r="AN30" i="3"/>
  <c r="V21" i="3"/>
  <c r="AE16" i="3"/>
  <c r="AA25" i="3"/>
  <c r="S25" i="3"/>
  <c r="Y11" i="3"/>
  <c r="V11" i="3"/>
  <c r="T30" i="3"/>
  <c r="AC29" i="2"/>
  <c r="AC33" i="2" s="1"/>
  <c r="AC35" i="2" s="1"/>
  <c r="AC37" i="2" s="1"/>
  <c r="AE10" i="3"/>
  <c r="AE30" i="3"/>
  <c r="Z35" i="2"/>
  <c r="Z37" i="2" s="1"/>
  <c r="S35" i="2"/>
  <c r="S37" i="2" s="1"/>
  <c r="P35" i="2"/>
  <c r="P37" i="2" s="1"/>
  <c r="T29" i="3"/>
  <c r="T12" i="5"/>
  <c r="AV29" i="3"/>
  <c r="AV12" i="5"/>
  <c r="AQ29" i="3"/>
  <c r="AQ12" i="5"/>
  <c r="AI29" i="3"/>
  <c r="AI12" i="5"/>
  <c r="AT29" i="3"/>
  <c r="AT12" i="5"/>
  <c r="AR29" i="3"/>
  <c r="AR12" i="5"/>
  <c r="AN12" i="5"/>
  <c r="AN29" i="3"/>
  <c r="AH29" i="3"/>
  <c r="AH12" i="5"/>
  <c r="AJ29" i="3"/>
  <c r="AJ12" i="5"/>
  <c r="Y12" i="5"/>
  <c r="AA29" i="3"/>
  <c r="AA12" i="5"/>
  <c r="W12" i="5"/>
  <c r="W29" i="3"/>
  <c r="V29" i="3"/>
  <c r="V12" i="5"/>
  <c r="AD29" i="3"/>
  <c r="AL29" i="3"/>
  <c r="AL12" i="5"/>
  <c r="AG12" i="5"/>
  <c r="AG29" i="3"/>
  <c r="AE12" i="5"/>
  <c r="AE29" i="3"/>
  <c r="S29" i="3"/>
  <c r="S12" i="5"/>
  <c r="AB29" i="3"/>
  <c r="AB12" i="5"/>
  <c r="AK29" i="3"/>
  <c r="AP29" i="3"/>
  <c r="AP12" i="5"/>
  <c r="X12" i="5"/>
  <c r="X29" i="3"/>
  <c r="AO12" i="5"/>
  <c r="AO29" i="3"/>
  <c r="AM29" i="3"/>
  <c r="AM12" i="5"/>
  <c r="Z12" i="5"/>
  <c r="AF12" i="5"/>
  <c r="AF29" i="3"/>
  <c r="R29" i="3"/>
  <c r="R12" i="5"/>
  <c r="AU12" i="5"/>
  <c r="AU29" i="3"/>
  <c r="U29" i="3"/>
  <c r="N35" i="2"/>
  <c r="N37" i="2" s="1"/>
  <c r="M35" i="2"/>
  <c r="M37" i="2" s="1"/>
  <c r="L35" i="2"/>
  <c r="L37" i="2" s="1"/>
  <c r="P47" i="5"/>
  <c r="P43" i="5" s="1"/>
  <c r="Q10" i="3"/>
  <c r="O47" i="5"/>
  <c r="O43" i="5" s="1"/>
  <c r="P10" i="3"/>
  <c r="N47" i="5"/>
  <c r="N43" i="5" s="1"/>
  <c r="O10" i="3"/>
  <c r="M47" i="5"/>
  <c r="M43" i="5" s="1"/>
  <c r="N10" i="3"/>
  <c r="Q12" i="3"/>
  <c r="Q13" i="3"/>
  <c r="P12" i="3"/>
  <c r="P13" i="3"/>
  <c r="O12" i="3"/>
  <c r="O13" i="3"/>
  <c r="N12" i="3"/>
  <c r="N13" i="3"/>
  <c r="P34" i="5"/>
  <c r="O34" i="5"/>
  <c r="N34" i="5"/>
  <c r="M34" i="5"/>
  <c r="O38" i="1"/>
  <c r="P5" i="5"/>
  <c r="Q25" i="3" s="1"/>
  <c r="Q5" i="3"/>
  <c r="Q18" i="3"/>
  <c r="N38" i="1"/>
  <c r="N49" i="1" s="1"/>
  <c r="O5" i="5"/>
  <c r="P5" i="3"/>
  <c r="P18" i="3"/>
  <c r="M38" i="1"/>
  <c r="M49" i="1" s="1"/>
  <c r="N5" i="5"/>
  <c r="O5" i="3"/>
  <c r="O18" i="3"/>
  <c r="L38" i="1"/>
  <c r="L49" i="1" s="1"/>
  <c r="M5" i="5"/>
  <c r="N5" i="3"/>
  <c r="N18" i="3"/>
  <c r="T51" i="1"/>
  <c r="S51" i="1"/>
  <c r="R51" i="1"/>
  <c r="Q51" i="1"/>
  <c r="P37" i="5"/>
  <c r="O37" i="5"/>
  <c r="N37" i="5"/>
  <c r="M37" i="5"/>
  <c r="P25" i="5"/>
  <c r="O25" i="5"/>
  <c r="N25" i="5"/>
  <c r="M25" i="5"/>
  <c r="L25" i="5"/>
  <c r="K25" i="5"/>
  <c r="J25" i="5"/>
  <c r="P14" i="5"/>
  <c r="O14" i="5"/>
  <c r="N14" i="5"/>
  <c r="N11" i="5" s="1"/>
  <c r="M14" i="5"/>
  <c r="L14" i="5"/>
  <c r="K14" i="5"/>
  <c r="K11" i="5" s="1"/>
  <c r="J14" i="5"/>
  <c r="J11" i="5" s="1"/>
  <c r="J12" i="5" s="1"/>
  <c r="I25" i="5"/>
  <c r="I14" i="5"/>
  <c r="I11" i="5" s="1"/>
  <c r="O27" i="1"/>
  <c r="R9" i="3" s="1"/>
  <c r="N27" i="1"/>
  <c r="N51" i="1" s="1"/>
  <c r="M27" i="1"/>
  <c r="L27" i="1"/>
  <c r="M51" i="1"/>
  <c r="O49" i="1"/>
  <c r="I23" i="4"/>
  <c r="K12" i="2"/>
  <c r="K39" i="2" s="1"/>
  <c r="M32" i="3" s="1"/>
  <c r="J12" i="2"/>
  <c r="K7" i="2"/>
  <c r="L39" i="5" s="1"/>
  <c r="L37" i="5" s="1"/>
  <c r="K4" i="2"/>
  <c r="K48" i="1"/>
  <c r="J48" i="1"/>
  <c r="K31" i="1"/>
  <c r="K21" i="1"/>
  <c r="J21" i="1"/>
  <c r="K17" i="1"/>
  <c r="J17" i="1"/>
  <c r="K14" i="1"/>
  <c r="L30" i="5" s="1"/>
  <c r="K8" i="1"/>
  <c r="K4" i="1"/>
  <c r="AI35" i="2" l="1"/>
  <c r="AI37" i="2" s="1"/>
  <c r="AK9" i="3"/>
  <c r="O11" i="5"/>
  <c r="P11" i="5"/>
  <c r="O51" i="1"/>
  <c r="Z29" i="3"/>
  <c r="W9" i="3"/>
  <c r="U35" i="2"/>
  <c r="U37" i="2" s="1"/>
  <c r="L11" i="5"/>
  <c r="L12" i="5" s="1"/>
  <c r="Z24" i="3"/>
  <c r="AG16" i="3"/>
  <c r="AG20" i="3"/>
  <c r="AG15" i="3"/>
  <c r="AG14" i="3"/>
  <c r="AG6" i="3"/>
  <c r="AF4" i="5"/>
  <c r="AG4" i="3"/>
  <c r="AG11" i="3"/>
  <c r="AG23" i="3"/>
  <c r="AH9" i="3"/>
  <c r="AG17" i="3"/>
  <c r="AG22" i="3"/>
  <c r="AG21" i="3"/>
  <c r="M11" i="5"/>
  <c r="M29" i="3" s="1"/>
  <c r="V9" i="3"/>
  <c r="T35" i="2"/>
  <c r="T37" i="2" s="1"/>
  <c r="AF15" i="3"/>
  <c r="AF14" i="3"/>
  <c r="AF6" i="3"/>
  <c r="AE4" i="5"/>
  <c r="AF24" i="3" s="1"/>
  <c r="AF4" i="3"/>
  <c r="AF11" i="3"/>
  <c r="AF23" i="3"/>
  <c r="AF22" i="3"/>
  <c r="AF16" i="3"/>
  <c r="AG9" i="3"/>
  <c r="AF20" i="3"/>
  <c r="AF17" i="3"/>
  <c r="AF21" i="3"/>
  <c r="AD9" i="3"/>
  <c r="AB35" i="2"/>
  <c r="AB37" i="2" s="1"/>
  <c r="AD24" i="3"/>
  <c r="W24" i="3"/>
  <c r="AE9" i="3"/>
  <c r="Q29" i="3"/>
  <c r="P51" i="1"/>
  <c r="M12" i="3"/>
  <c r="M13" i="3"/>
  <c r="K34" i="5"/>
  <c r="L34" i="5"/>
  <c r="K38" i="1"/>
  <c r="L5" i="5"/>
  <c r="M25" i="3" s="1"/>
  <c r="M5" i="3"/>
  <c r="M18" i="3"/>
  <c r="L47" i="5"/>
  <c r="L43" i="5" s="1"/>
  <c r="M4" i="5"/>
  <c r="N4" i="3"/>
  <c r="N6" i="3"/>
  <c r="N14" i="3"/>
  <c r="N20" i="3"/>
  <c r="N22" i="3"/>
  <c r="N23" i="3"/>
  <c r="O9" i="3"/>
  <c r="N11" i="3"/>
  <c r="N15" i="3"/>
  <c r="N16" i="3"/>
  <c r="N17" i="3"/>
  <c r="N21" i="3"/>
  <c r="N4" i="5"/>
  <c r="O4" i="3"/>
  <c r="O6" i="3"/>
  <c r="O14" i="3"/>
  <c r="O20" i="3"/>
  <c r="O22" i="3"/>
  <c r="O23" i="3"/>
  <c r="P9" i="3"/>
  <c r="O11" i="3"/>
  <c r="O15" i="3"/>
  <c r="O16" i="3"/>
  <c r="O17" i="3"/>
  <c r="O21" i="3"/>
  <c r="O4" i="5"/>
  <c r="P4" i="3"/>
  <c r="P6" i="3"/>
  <c r="P14" i="3"/>
  <c r="P20" i="3"/>
  <c r="P22" i="3"/>
  <c r="P23" i="3"/>
  <c r="Q9" i="3"/>
  <c r="P11" i="3"/>
  <c r="P15" i="3"/>
  <c r="P16" i="3"/>
  <c r="P17" i="3"/>
  <c r="P21" i="3"/>
  <c r="P4" i="5"/>
  <c r="Q24" i="3" s="1"/>
  <c r="Q4" i="3"/>
  <c r="Q6" i="3"/>
  <c r="Q14" i="3"/>
  <c r="Q20" i="3"/>
  <c r="Q22" i="3"/>
  <c r="Q23" i="3"/>
  <c r="Q11" i="3"/>
  <c r="Q15" i="3"/>
  <c r="Q16" i="3"/>
  <c r="Q17" i="3"/>
  <c r="Q21" i="3"/>
  <c r="N25" i="3"/>
  <c r="O25" i="3"/>
  <c r="P25" i="3"/>
  <c r="K12" i="5"/>
  <c r="K29" i="3"/>
  <c r="N12" i="5"/>
  <c r="O12" i="5"/>
  <c r="O29" i="3"/>
  <c r="P12" i="5"/>
  <c r="P29" i="3"/>
  <c r="M30" i="3"/>
  <c r="N30" i="3"/>
  <c r="O30" i="3"/>
  <c r="P30" i="3"/>
  <c r="Q30" i="3"/>
  <c r="I12" i="5"/>
  <c r="J29" i="3"/>
  <c r="K27" i="1"/>
  <c r="K49" i="1"/>
  <c r="K3" i="2"/>
  <c r="K19" i="2" s="1"/>
  <c r="J7" i="2"/>
  <c r="K39" i="5" s="1"/>
  <c r="K37" i="5" s="1"/>
  <c r="I7" i="2"/>
  <c r="J39" i="5" s="1"/>
  <c r="J37" i="5" s="1"/>
  <c r="J4" i="2"/>
  <c r="J3" i="2" s="1"/>
  <c r="J19" i="2" s="1"/>
  <c r="J29" i="2" s="1"/>
  <c r="J33" i="2" s="1"/>
  <c r="K51" i="1"/>
  <c r="L51" i="1"/>
  <c r="J31" i="1"/>
  <c r="I17" i="1"/>
  <c r="J14" i="1"/>
  <c r="K30" i="5" s="1"/>
  <c r="J8" i="1"/>
  <c r="J4" i="1"/>
  <c r="I4" i="1"/>
  <c r="N29" i="3" l="1"/>
  <c r="O24" i="3"/>
  <c r="AG24" i="3"/>
  <c r="AH24" i="3"/>
  <c r="M12" i="5"/>
  <c r="R24" i="3"/>
  <c r="L29" i="3"/>
  <c r="P24" i="3"/>
  <c r="K12" i="3"/>
  <c r="L12" i="3"/>
  <c r="L13" i="3"/>
  <c r="J38" i="1"/>
  <c r="J49" i="1" s="1"/>
  <c r="K5" i="5"/>
  <c r="L5" i="3"/>
  <c r="L18" i="3"/>
  <c r="J35" i="2"/>
  <c r="J37" i="2" s="1"/>
  <c r="K30" i="3"/>
  <c r="L30" i="3"/>
  <c r="J47" i="5"/>
  <c r="J43" i="5" s="1"/>
  <c r="J39" i="2"/>
  <c r="L32" i="3" s="1"/>
  <c r="K47" i="5"/>
  <c r="K43" i="5" s="1"/>
  <c r="L10" i="3"/>
  <c r="K29" i="2"/>
  <c r="K33" i="2" s="1"/>
  <c r="M10" i="3"/>
  <c r="L4" i="5"/>
  <c r="M4" i="3"/>
  <c r="M6" i="3"/>
  <c r="M14" i="3"/>
  <c r="M20" i="3"/>
  <c r="M22" i="3"/>
  <c r="M23" i="3"/>
  <c r="N9" i="3"/>
  <c r="M15" i="3"/>
  <c r="M16" i="3"/>
  <c r="M17" i="3"/>
  <c r="M21" i="3"/>
  <c r="M11" i="3"/>
  <c r="N24" i="3"/>
  <c r="L25" i="3"/>
  <c r="J27" i="1"/>
  <c r="I13" i="4"/>
  <c r="I12" i="2"/>
  <c r="I4" i="2"/>
  <c r="I3" i="2" s="1"/>
  <c r="I19" i="2" s="1"/>
  <c r="I48" i="1"/>
  <c r="I31" i="1"/>
  <c r="I21" i="1"/>
  <c r="I14" i="1"/>
  <c r="J30" i="5" s="1"/>
  <c r="I8" i="1"/>
  <c r="J34" i="5" l="1"/>
  <c r="I38" i="1"/>
  <c r="J5" i="5"/>
  <c r="K25" i="3" s="1"/>
  <c r="K5" i="3"/>
  <c r="K18" i="3"/>
  <c r="K13" i="3"/>
  <c r="I29" i="2"/>
  <c r="I33" i="2" s="1"/>
  <c r="K10" i="3"/>
  <c r="I39" i="2"/>
  <c r="K32" i="3" s="1"/>
  <c r="J51" i="1"/>
  <c r="K4" i="5"/>
  <c r="L4" i="3"/>
  <c r="L6" i="3"/>
  <c r="L14" i="3"/>
  <c r="L20" i="3"/>
  <c r="L22" i="3"/>
  <c r="L23" i="3"/>
  <c r="L16" i="3"/>
  <c r="L17" i="3"/>
  <c r="L15" i="3"/>
  <c r="L21" i="3"/>
  <c r="L11" i="3"/>
  <c r="M24" i="3"/>
  <c r="K35" i="2"/>
  <c r="K37" i="2" s="1"/>
  <c r="M9" i="3"/>
  <c r="I27" i="1"/>
  <c r="I49" i="1"/>
  <c r="I51" i="1" s="1"/>
  <c r="H7" i="2"/>
  <c r="I39" i="5" s="1"/>
  <c r="I37" i="5" s="1"/>
  <c r="J30" i="3" s="1"/>
  <c r="J4" i="5" l="1"/>
  <c r="K4" i="3"/>
  <c r="K6" i="3"/>
  <c r="K14" i="3"/>
  <c r="K20" i="3"/>
  <c r="K22" i="3"/>
  <c r="K23" i="3"/>
  <c r="K15" i="3"/>
  <c r="J22" i="7" s="1"/>
  <c r="L9" i="3"/>
  <c r="K16" i="3"/>
  <c r="K17" i="3"/>
  <c r="K21" i="3"/>
  <c r="K11" i="3"/>
  <c r="L24" i="3"/>
  <c r="I35" i="2"/>
  <c r="I37" i="2" s="1"/>
  <c r="C28" i="2"/>
  <c r="C23" i="2" s="1"/>
  <c r="D47" i="5" s="1"/>
  <c r="C13" i="2"/>
  <c r="C12" i="2" s="1"/>
  <c r="C8" i="1"/>
  <c r="D26" i="5"/>
  <c r="C6" i="1"/>
  <c r="C4" i="1" s="1"/>
  <c r="E26" i="5"/>
  <c r="F26" i="5"/>
  <c r="G26" i="5"/>
  <c r="H26" i="5"/>
  <c r="I5" i="4"/>
  <c r="C30" i="2"/>
  <c r="E47" i="5"/>
  <c r="G47" i="5"/>
  <c r="H47" i="5"/>
  <c r="C20" i="2"/>
  <c r="D12" i="2"/>
  <c r="E12" i="2"/>
  <c r="F12" i="2"/>
  <c r="G12" i="2"/>
  <c r="C7" i="2"/>
  <c r="D7" i="2"/>
  <c r="E39" i="5" s="1"/>
  <c r="E7" i="2"/>
  <c r="F39" i="5" s="1"/>
  <c r="F7" i="2"/>
  <c r="G39" i="5" s="1"/>
  <c r="G7" i="2"/>
  <c r="H39" i="5" s="1"/>
  <c r="C4" i="2"/>
  <c r="D4" i="2"/>
  <c r="E4" i="2"/>
  <c r="F4" i="2"/>
  <c r="G4" i="2"/>
  <c r="C48" i="1"/>
  <c r="D48" i="1"/>
  <c r="E48" i="1"/>
  <c r="F48" i="1"/>
  <c r="G48" i="1"/>
  <c r="C31" i="1"/>
  <c r="C38" i="1" s="1"/>
  <c r="D31" i="1"/>
  <c r="D38" i="1" s="1"/>
  <c r="E31" i="1"/>
  <c r="E38" i="1" s="1"/>
  <c r="F31" i="1"/>
  <c r="H18" i="3" s="1"/>
  <c r="G27" i="7" s="1"/>
  <c r="G31" i="1"/>
  <c r="I18" i="3" s="1"/>
  <c r="H27" i="7" s="1"/>
  <c r="C21" i="1"/>
  <c r="D34" i="5" s="1"/>
  <c r="D21" i="1"/>
  <c r="E34" i="5" s="1"/>
  <c r="E21" i="1"/>
  <c r="F34" i="5" s="1"/>
  <c r="F21" i="1"/>
  <c r="G34" i="5" s="1"/>
  <c r="G21" i="1"/>
  <c r="H34" i="5" s="1"/>
  <c r="C17" i="1"/>
  <c r="D17" i="1"/>
  <c r="E17" i="1"/>
  <c r="F17" i="1"/>
  <c r="G17" i="1"/>
  <c r="C14" i="1"/>
  <c r="D30" i="5" s="1"/>
  <c r="D14" i="1"/>
  <c r="E30" i="5" s="1"/>
  <c r="E14" i="1"/>
  <c r="F30" i="5" s="1"/>
  <c r="F14" i="1"/>
  <c r="G14" i="1"/>
  <c r="H30" i="5" s="1"/>
  <c r="D8" i="1"/>
  <c r="E8" i="1"/>
  <c r="F8" i="1"/>
  <c r="G8" i="1"/>
  <c r="D4" i="1"/>
  <c r="E4" i="1"/>
  <c r="G12" i="3" s="1"/>
  <c r="E8" i="8" s="1"/>
  <c r="F4" i="1"/>
  <c r="H12" i="3" s="1"/>
  <c r="G4" i="1"/>
  <c r="H12" i="2"/>
  <c r="H4" i="2"/>
  <c r="H3" i="2" s="1"/>
  <c r="H48" i="1"/>
  <c r="H31" i="1"/>
  <c r="I14" i="8"/>
  <c r="H21" i="1"/>
  <c r="H17" i="1"/>
  <c r="H14" i="1"/>
  <c r="I30" i="5" s="1"/>
  <c r="H8" i="1"/>
  <c r="H4" i="1"/>
  <c r="K20" i="7"/>
  <c r="H7" i="3"/>
  <c r="H8" i="3"/>
  <c r="O11" i="7"/>
  <c r="O12" i="7" s="1"/>
  <c r="C45" i="4"/>
  <c r="D45" i="4"/>
  <c r="R11" i="7"/>
  <c r="R12" i="7" s="1"/>
  <c r="K27" i="7"/>
  <c r="P12" i="8"/>
  <c r="B4" i="2"/>
  <c r="B7" i="2"/>
  <c r="C39" i="5" s="1"/>
  <c r="S14" i="8"/>
  <c r="T14" i="8"/>
  <c r="G12" i="7"/>
  <c r="J12" i="7"/>
  <c r="K12" i="7"/>
  <c r="Q12" i="7"/>
  <c r="S12" i="7"/>
  <c r="C12" i="7"/>
  <c r="T12" i="7"/>
  <c r="M12" i="7"/>
  <c r="N12" i="7"/>
  <c r="P12" i="7"/>
  <c r="I12" i="7"/>
  <c r="H12" i="7"/>
  <c r="F12" i="7"/>
  <c r="E12" i="7"/>
  <c r="D12" i="7"/>
  <c r="B48" i="1"/>
  <c r="S11" i="8"/>
  <c r="S10" i="8"/>
  <c r="S9" i="8"/>
  <c r="T22" i="7"/>
  <c r="S13" i="8"/>
  <c r="J20" i="7"/>
  <c r="L20" i="7"/>
  <c r="T20" i="7"/>
  <c r="J19" i="7"/>
  <c r="T19" i="7"/>
  <c r="T16" i="7"/>
  <c r="U16" i="7"/>
  <c r="R15" i="7"/>
  <c r="S15" i="7"/>
  <c r="T15" i="7"/>
  <c r="D3" i="3"/>
  <c r="B3" i="8" s="1"/>
  <c r="E3" i="3"/>
  <c r="C3" i="8" s="1"/>
  <c r="F3" i="3"/>
  <c r="F19" i="3" s="1"/>
  <c r="E28" i="7" s="1"/>
  <c r="E3" i="8"/>
  <c r="H19" i="3"/>
  <c r="F12" i="8" s="1"/>
  <c r="I19" i="3"/>
  <c r="G12" i="8" s="1"/>
  <c r="J5" i="7"/>
  <c r="K5" i="7"/>
  <c r="K3" i="8"/>
  <c r="O28" i="7"/>
  <c r="O3" i="8"/>
  <c r="C46" i="5"/>
  <c r="D46" i="5"/>
  <c r="E46" i="5"/>
  <c r="F46" i="5"/>
  <c r="C45" i="5"/>
  <c r="D45" i="5"/>
  <c r="E45" i="5"/>
  <c r="F45" i="5"/>
  <c r="C44" i="5"/>
  <c r="E44" i="5"/>
  <c r="F44" i="5"/>
  <c r="C40" i="5"/>
  <c r="D40" i="5"/>
  <c r="E40" i="5"/>
  <c r="F40" i="5"/>
  <c r="G40" i="5"/>
  <c r="C38" i="5"/>
  <c r="D38" i="5"/>
  <c r="E38" i="5"/>
  <c r="F38" i="5"/>
  <c r="C35" i="5"/>
  <c r="D35" i="5"/>
  <c r="E35" i="5"/>
  <c r="F35" i="5"/>
  <c r="C32" i="5"/>
  <c r="D32" i="5"/>
  <c r="E32" i="5"/>
  <c r="F32" i="5"/>
  <c r="C31" i="5"/>
  <c r="D31" i="5"/>
  <c r="E31" i="5"/>
  <c r="F31" i="5"/>
  <c r="C28" i="5"/>
  <c r="D28" i="5"/>
  <c r="E28" i="5"/>
  <c r="F28" i="5"/>
  <c r="C27" i="5"/>
  <c r="D27" i="5"/>
  <c r="E27" i="5"/>
  <c r="F27" i="5"/>
  <c r="C26" i="5"/>
  <c r="C22" i="5"/>
  <c r="C21" i="5" s="1"/>
  <c r="D22" i="5"/>
  <c r="D21" i="5" s="1"/>
  <c r="E22" i="5"/>
  <c r="E21" i="5" s="1"/>
  <c r="F22" i="5"/>
  <c r="F21" i="5" s="1"/>
  <c r="C20" i="5"/>
  <c r="D20" i="5"/>
  <c r="E20" i="5"/>
  <c r="F20" i="5"/>
  <c r="C19" i="5"/>
  <c r="D19" i="5"/>
  <c r="E19" i="5"/>
  <c r="F19" i="5"/>
  <c r="C17" i="5"/>
  <c r="D17" i="5"/>
  <c r="E17" i="5"/>
  <c r="F17" i="5"/>
  <c r="C18" i="5"/>
  <c r="D18" i="5"/>
  <c r="E18" i="5"/>
  <c r="F18" i="5"/>
  <c r="C15" i="5"/>
  <c r="D15" i="5"/>
  <c r="E15" i="5"/>
  <c r="F15" i="5"/>
  <c r="H8" i="5"/>
  <c r="C8" i="5"/>
  <c r="D8" i="5"/>
  <c r="E8" i="5"/>
  <c r="F8" i="5"/>
  <c r="C7" i="5"/>
  <c r="D7" i="5"/>
  <c r="E7" i="5"/>
  <c r="F7" i="5"/>
  <c r="G7" i="5"/>
  <c r="H7" i="5"/>
  <c r="I27" i="3"/>
  <c r="D6" i="5"/>
  <c r="E6" i="5"/>
  <c r="E26" i="3" s="1"/>
  <c r="F6" i="5"/>
  <c r="G6" i="5"/>
  <c r="H6" i="5"/>
  <c r="C6" i="5"/>
  <c r="U15" i="7"/>
  <c r="B12" i="2"/>
  <c r="B20" i="2"/>
  <c r="B23" i="2"/>
  <c r="C47" i="5" s="1"/>
  <c r="B30" i="2"/>
  <c r="T11" i="8"/>
  <c r="U25" i="7"/>
  <c r="B31" i="1"/>
  <c r="C5" i="5" s="1"/>
  <c r="B21" i="1"/>
  <c r="C34" i="5" s="1"/>
  <c r="B17" i="1"/>
  <c r="B14" i="1"/>
  <c r="C30" i="5" s="1"/>
  <c r="B8" i="1"/>
  <c r="B4" i="1"/>
  <c r="T3" i="8"/>
  <c r="D37" i="6"/>
  <c r="D28" i="6"/>
  <c r="D14" i="6"/>
  <c r="D8" i="6"/>
  <c r="T8" i="8"/>
  <c r="H15" i="5"/>
  <c r="H17" i="5"/>
  <c r="H19" i="5"/>
  <c r="H22" i="5"/>
  <c r="H21" i="5" s="1"/>
  <c r="H27" i="5"/>
  <c r="H31" i="5"/>
  <c r="H32" i="5"/>
  <c r="H35" i="5"/>
  <c r="H38" i="5"/>
  <c r="H40" i="5"/>
  <c r="H45" i="5"/>
  <c r="H46" i="5"/>
  <c r="H20" i="5"/>
  <c r="H18" i="5"/>
  <c r="H28" i="5"/>
  <c r="C37" i="6"/>
  <c r="B37" i="6"/>
  <c r="C28" i="6"/>
  <c r="B28" i="6"/>
  <c r="C14" i="6"/>
  <c r="B14" i="6"/>
  <c r="C8" i="6"/>
  <c r="B8" i="6"/>
  <c r="B18" i="6" s="1"/>
  <c r="F44" i="4"/>
  <c r="F43" i="4"/>
  <c r="F42" i="4"/>
  <c r="F41" i="4"/>
  <c r="F40" i="4"/>
  <c r="F45" i="4" s="1"/>
  <c r="G46" i="5"/>
  <c r="G20" i="5"/>
  <c r="G17" i="5"/>
  <c r="G45" i="5"/>
  <c r="H34" i="3" s="1"/>
  <c r="G38" i="5"/>
  <c r="G22" i="5"/>
  <c r="G21" i="5" s="1"/>
  <c r="G19" i="5"/>
  <c r="G15" i="5"/>
  <c r="G8" i="5"/>
  <c r="U11" i="7"/>
  <c r="U12" i="7" s="1"/>
  <c r="D35" i="4"/>
  <c r="I32" i="4" s="1"/>
  <c r="C35" i="4"/>
  <c r="F34" i="4"/>
  <c r="F33" i="4"/>
  <c r="F32" i="4"/>
  <c r="F31" i="4"/>
  <c r="F30" i="4"/>
  <c r="L11" i="7"/>
  <c r="L12" i="7" s="1"/>
  <c r="C17" i="4"/>
  <c r="D17" i="4"/>
  <c r="I14" i="4" s="1"/>
  <c r="F13" i="4"/>
  <c r="F14" i="4"/>
  <c r="F15" i="4"/>
  <c r="F16" i="4"/>
  <c r="F12" i="4"/>
  <c r="G35" i="5"/>
  <c r="G32" i="5"/>
  <c r="G31" i="5"/>
  <c r="G27" i="5"/>
  <c r="G28" i="5"/>
  <c r="G18" i="5"/>
  <c r="G44" i="5"/>
  <c r="H44" i="5"/>
  <c r="U20" i="7"/>
  <c r="U26" i="7"/>
  <c r="U14" i="7"/>
  <c r="T13" i="8"/>
  <c r="U22" i="7"/>
  <c r="F12" i="3"/>
  <c r="D8" i="8" s="1"/>
  <c r="C38" i="6"/>
  <c r="C40" i="6" s="1"/>
  <c r="D18" i="6"/>
  <c r="T9" i="8"/>
  <c r="T26" i="7"/>
  <c r="G5" i="5"/>
  <c r="I13" i="8"/>
  <c r="I9" i="8"/>
  <c r="F5" i="5"/>
  <c r="N3" i="8"/>
  <c r="I8" i="8"/>
  <c r="L28" i="7"/>
  <c r="G11" i="8"/>
  <c r="L5" i="7"/>
  <c r="B38" i="6" l="1"/>
  <c r="B40" i="6" s="1"/>
  <c r="D38" i="6"/>
  <c r="D40" i="6" s="1"/>
  <c r="J12" i="3"/>
  <c r="H8" i="8" s="1"/>
  <c r="J13" i="3"/>
  <c r="I20" i="7" s="1"/>
  <c r="I34" i="5"/>
  <c r="I5" i="5"/>
  <c r="J25" i="3" s="1"/>
  <c r="J5" i="3"/>
  <c r="J18" i="3"/>
  <c r="I47" i="5"/>
  <c r="I43" i="5" s="1"/>
  <c r="C18" i="6"/>
  <c r="F35" i="4"/>
  <c r="D39" i="2"/>
  <c r="H37" i="5"/>
  <c r="C37" i="5"/>
  <c r="B3" i="2"/>
  <c r="B19" i="2" s="1"/>
  <c r="D10" i="3" s="1"/>
  <c r="C15" i="7" s="1"/>
  <c r="G3" i="2"/>
  <c r="G19" i="2" s="1"/>
  <c r="G29" i="2" s="1"/>
  <c r="G33" i="2" s="1"/>
  <c r="G39" i="2"/>
  <c r="G37" i="5"/>
  <c r="H37" i="3" s="1"/>
  <c r="C43" i="5"/>
  <c r="F37" i="5"/>
  <c r="B39" i="2"/>
  <c r="H43" i="5"/>
  <c r="F3" i="2"/>
  <c r="F19" i="2" s="1"/>
  <c r="F29" i="2" s="1"/>
  <c r="F33" i="2" s="1"/>
  <c r="F35" i="2" s="1"/>
  <c r="F37" i="2" s="1"/>
  <c r="E3" i="2"/>
  <c r="E19" i="2" s="1"/>
  <c r="E29" i="2" s="1"/>
  <c r="E33" i="2" s="1"/>
  <c r="E35" i="2" s="1"/>
  <c r="E37" i="2" s="1"/>
  <c r="F39" i="2"/>
  <c r="H32" i="3" s="1"/>
  <c r="D3" i="2"/>
  <c r="D19" i="2" s="1"/>
  <c r="E37" i="5"/>
  <c r="K28" i="7"/>
  <c r="G13" i="3"/>
  <c r="F20" i="7" s="1"/>
  <c r="J25" i="7"/>
  <c r="E5" i="5"/>
  <c r="F25" i="3" s="1"/>
  <c r="I28" i="3"/>
  <c r="I13" i="3"/>
  <c r="H20" i="7" s="1"/>
  <c r="F13" i="3"/>
  <c r="E20" i="7" s="1"/>
  <c r="M3" i="8"/>
  <c r="J3" i="8"/>
  <c r="D5" i="5"/>
  <c r="E5" i="7"/>
  <c r="J6" i="8"/>
  <c r="K6" i="8"/>
  <c r="N5" i="7"/>
  <c r="J11" i="8"/>
  <c r="T25" i="7"/>
  <c r="U5" i="7"/>
  <c r="M5" i="7"/>
  <c r="T12" i="8"/>
  <c r="H25" i="5"/>
  <c r="I4" i="8"/>
  <c r="I6" i="8"/>
  <c r="C25" i="5"/>
  <c r="J7" i="7"/>
  <c r="O5" i="7"/>
  <c r="M28" i="7"/>
  <c r="O8" i="7"/>
  <c r="P3" i="8"/>
  <c r="D5" i="3"/>
  <c r="B6" i="8" s="1"/>
  <c r="P11" i="8"/>
  <c r="C5" i="7"/>
  <c r="J21" i="7"/>
  <c r="J23" i="7" s="1"/>
  <c r="H5" i="5"/>
  <c r="H25" i="3" s="1"/>
  <c r="F25" i="5"/>
  <c r="H35" i="3"/>
  <c r="L3" i="8"/>
  <c r="F5" i="3"/>
  <c r="E8" i="7" s="1"/>
  <c r="H26" i="3"/>
  <c r="I19" i="7"/>
  <c r="D28" i="3"/>
  <c r="D18" i="3"/>
  <c r="B11" i="8" s="1"/>
  <c r="P20" i="7"/>
  <c r="I3" i="8"/>
  <c r="B38" i="1"/>
  <c r="B49" i="1" s="1"/>
  <c r="D12" i="8"/>
  <c r="G27" i="3"/>
  <c r="H11" i="8"/>
  <c r="I27" i="7"/>
  <c r="E27" i="3"/>
  <c r="O11" i="8"/>
  <c r="G25" i="5"/>
  <c r="T27" i="7"/>
  <c r="Q28" i="7"/>
  <c r="H38" i="1"/>
  <c r="H49" i="1" s="1"/>
  <c r="M12" i="8"/>
  <c r="N28" i="7"/>
  <c r="M11" i="8"/>
  <c r="N27" i="7"/>
  <c r="G30" i="5"/>
  <c r="H28" i="7"/>
  <c r="Q19" i="7"/>
  <c r="G28" i="7"/>
  <c r="T8" i="7"/>
  <c r="U21" i="7"/>
  <c r="H5" i="3"/>
  <c r="G8" i="7" s="1"/>
  <c r="N8" i="7"/>
  <c r="P28" i="7"/>
  <c r="G3" i="8"/>
  <c r="P5" i="7"/>
  <c r="E14" i="5"/>
  <c r="E49" i="1"/>
  <c r="G18" i="3"/>
  <c r="K12" i="8"/>
  <c r="S8" i="8"/>
  <c r="I5" i="3"/>
  <c r="T5" i="7"/>
  <c r="H3" i="8"/>
  <c r="G28" i="3"/>
  <c r="E28" i="3"/>
  <c r="H27" i="1"/>
  <c r="T10" i="8"/>
  <c r="S3" i="8"/>
  <c r="I5" i="7"/>
  <c r="H28" i="3"/>
  <c r="H27" i="3"/>
  <c r="G38" i="1"/>
  <c r="G49" i="1" s="1"/>
  <c r="S4" i="8"/>
  <c r="T21" i="7"/>
  <c r="T23" i="7" s="1"/>
  <c r="H38" i="3"/>
  <c r="F27" i="3"/>
  <c r="D14" i="5"/>
  <c r="H5" i="7"/>
  <c r="F3" i="8"/>
  <c r="L27" i="7"/>
  <c r="K11" i="8"/>
  <c r="F14" i="5"/>
  <c r="F8" i="8"/>
  <c r="G19" i="7"/>
  <c r="H14" i="5"/>
  <c r="N8" i="8"/>
  <c r="O19" i="7"/>
  <c r="M8" i="8"/>
  <c r="N19" i="7"/>
  <c r="N12" i="8"/>
  <c r="G5" i="7"/>
  <c r="D49" i="1"/>
  <c r="H13" i="3"/>
  <c r="G20" i="7" s="1"/>
  <c r="U19" i="7"/>
  <c r="F28" i="3"/>
  <c r="E25" i="5"/>
  <c r="C14" i="5"/>
  <c r="F19" i="7"/>
  <c r="G25" i="3"/>
  <c r="U27" i="7"/>
  <c r="E19" i="7"/>
  <c r="O20" i="7"/>
  <c r="F27" i="1"/>
  <c r="H20" i="3" s="1"/>
  <c r="D27" i="1"/>
  <c r="F6" i="3" s="1"/>
  <c r="F18" i="3"/>
  <c r="E27" i="7" s="1"/>
  <c r="G14" i="5"/>
  <c r="D27" i="3"/>
  <c r="N20" i="7"/>
  <c r="D25" i="5"/>
  <c r="Q20" i="7"/>
  <c r="D19" i="3"/>
  <c r="B12" i="8" s="1"/>
  <c r="U17" i="7"/>
  <c r="D26" i="3"/>
  <c r="C39" i="2"/>
  <c r="D44" i="5"/>
  <c r="D43" i="5" s="1"/>
  <c r="D5" i="7"/>
  <c r="E5" i="3"/>
  <c r="C6" i="8" s="1"/>
  <c r="C49" i="1"/>
  <c r="E19" i="3"/>
  <c r="D28" i="7" s="1"/>
  <c r="E18" i="3"/>
  <c r="D27" i="7" s="1"/>
  <c r="E13" i="3"/>
  <c r="D20" i="7" s="1"/>
  <c r="E12" i="3"/>
  <c r="C27" i="1"/>
  <c r="E6" i="3" s="1"/>
  <c r="O15" i="7"/>
  <c r="G27" i="1"/>
  <c r="I15" i="3" s="1"/>
  <c r="H22" i="7" s="1"/>
  <c r="Q5" i="7"/>
  <c r="C3" i="2"/>
  <c r="C19" i="2" s="1"/>
  <c r="C29" i="2" s="1"/>
  <c r="C33" i="2" s="1"/>
  <c r="D39" i="5"/>
  <c r="D37" i="5" s="1"/>
  <c r="M20" i="7"/>
  <c r="M22" i="7"/>
  <c r="F11" i="8"/>
  <c r="F26" i="3"/>
  <c r="G26" i="3"/>
  <c r="B27" i="1"/>
  <c r="Q15" i="7"/>
  <c r="L15" i="7"/>
  <c r="M8" i="7"/>
  <c r="L6" i="8"/>
  <c r="H33" i="3"/>
  <c r="G43" i="5"/>
  <c r="I11" i="8"/>
  <c r="J27" i="7"/>
  <c r="F17" i="4"/>
  <c r="L19" i="7"/>
  <c r="K8" i="8"/>
  <c r="N15" i="7"/>
  <c r="K15" i="7"/>
  <c r="H39" i="2"/>
  <c r="J32" i="3" s="1"/>
  <c r="E39" i="2"/>
  <c r="F47" i="5"/>
  <c r="F43" i="5" s="1"/>
  <c r="S5" i="8"/>
  <c r="T7" i="7"/>
  <c r="I12" i="3"/>
  <c r="J26" i="7"/>
  <c r="I10" i="8"/>
  <c r="E43" i="5"/>
  <c r="J15" i="7"/>
  <c r="G19" i="3"/>
  <c r="F5" i="7"/>
  <c r="G5" i="3"/>
  <c r="O22" i="7"/>
  <c r="L14" i="7"/>
  <c r="H19" i="2"/>
  <c r="J10" i="3" s="1"/>
  <c r="E27" i="1"/>
  <c r="D12" i="3"/>
  <c r="D13" i="3"/>
  <c r="C20" i="7" s="1"/>
  <c r="I32" i="3"/>
  <c r="K22" i="7"/>
  <c r="J14" i="8"/>
  <c r="J16" i="7"/>
  <c r="P15" i="7"/>
  <c r="I26" i="3"/>
  <c r="F38" i="1"/>
  <c r="F49" i="1" s="1"/>
  <c r="D3" i="8"/>
  <c r="E25" i="3" l="1"/>
  <c r="I4" i="5"/>
  <c r="J4" i="3"/>
  <c r="H4" i="8" s="1"/>
  <c r="J6" i="3"/>
  <c r="J14" i="3"/>
  <c r="J20" i="3"/>
  <c r="J22" i="3"/>
  <c r="J23" i="3"/>
  <c r="K9" i="3"/>
  <c r="J14" i="7" s="1"/>
  <c r="J17" i="7" s="1"/>
  <c r="J15" i="3"/>
  <c r="J16" i="3"/>
  <c r="I25" i="7" s="1"/>
  <c r="J17" i="3"/>
  <c r="J21" i="3"/>
  <c r="J11" i="3"/>
  <c r="F32" i="3"/>
  <c r="H30" i="3"/>
  <c r="G10" i="3"/>
  <c r="F15" i="7" s="1"/>
  <c r="F30" i="3"/>
  <c r="H10" i="3"/>
  <c r="G15" i="7" s="1"/>
  <c r="I10" i="3"/>
  <c r="H15" i="7" s="1"/>
  <c r="E32" i="3"/>
  <c r="I30" i="3"/>
  <c r="H39" i="3"/>
  <c r="B29" i="2"/>
  <c r="B33" i="2" s="1"/>
  <c r="B35" i="2" s="1"/>
  <c r="B37" i="2" s="1"/>
  <c r="G30" i="3"/>
  <c r="D32" i="3"/>
  <c r="E10" i="3"/>
  <c r="D15" i="7" s="1"/>
  <c r="G32" i="3"/>
  <c r="D29" i="2"/>
  <c r="D33" i="2" s="1"/>
  <c r="D35" i="2" s="1"/>
  <c r="D37" i="2" s="1"/>
  <c r="F10" i="3"/>
  <c r="E15" i="7" s="1"/>
  <c r="M15" i="7"/>
  <c r="H11" i="5"/>
  <c r="H12" i="5" s="1"/>
  <c r="J12" i="8"/>
  <c r="D6" i="8"/>
  <c r="K8" i="7"/>
  <c r="I26" i="7"/>
  <c r="D25" i="3"/>
  <c r="P27" i="7"/>
  <c r="I5" i="8"/>
  <c r="J8" i="7"/>
  <c r="H15" i="3"/>
  <c r="G22" i="7" s="1"/>
  <c r="C27" i="7"/>
  <c r="C8" i="7"/>
  <c r="U28" i="7"/>
  <c r="U29" i="7" s="1"/>
  <c r="F16" i="3"/>
  <c r="D9" i="8" s="1"/>
  <c r="J6" i="7"/>
  <c r="C11" i="5"/>
  <c r="C12" i="5" s="1"/>
  <c r="D11" i="5"/>
  <c r="D12" i="5" s="1"/>
  <c r="P8" i="8"/>
  <c r="L8" i="7"/>
  <c r="R20" i="7"/>
  <c r="F11" i="5"/>
  <c r="F12" i="5" s="1"/>
  <c r="I21" i="7"/>
  <c r="I22" i="7"/>
  <c r="I7" i="7"/>
  <c r="I16" i="7"/>
  <c r="O12" i="8"/>
  <c r="Q27" i="7"/>
  <c r="L12" i="8"/>
  <c r="G11" i="5"/>
  <c r="G12" i="5" s="1"/>
  <c r="N6" i="8"/>
  <c r="U23" i="7"/>
  <c r="N14" i="8"/>
  <c r="S6" i="8"/>
  <c r="H14" i="8"/>
  <c r="T6" i="7"/>
  <c r="T9" i="7" s="1"/>
  <c r="O27" i="7"/>
  <c r="N11" i="8"/>
  <c r="H6" i="3"/>
  <c r="F5" i="8" s="1"/>
  <c r="C28" i="7"/>
  <c r="Q25" i="7"/>
  <c r="G4" i="5"/>
  <c r="I25" i="3"/>
  <c r="H23" i="3"/>
  <c r="F6" i="8"/>
  <c r="H51" i="1"/>
  <c r="B51" i="1"/>
  <c r="E11" i="8"/>
  <c r="F27" i="7"/>
  <c r="N9" i="8"/>
  <c r="I28" i="7"/>
  <c r="H12" i="8"/>
  <c r="I8" i="7"/>
  <c r="H6" i="8"/>
  <c r="N5" i="8"/>
  <c r="O8" i="8"/>
  <c r="P19" i="7"/>
  <c r="M6" i="8"/>
  <c r="P8" i="7"/>
  <c r="O6" i="8"/>
  <c r="O6" i="7"/>
  <c r="P10" i="8"/>
  <c r="E11" i="5"/>
  <c r="E12" i="5" s="1"/>
  <c r="S12" i="8"/>
  <c r="T28" i="7"/>
  <c r="T29" i="7" s="1"/>
  <c r="H8" i="7"/>
  <c r="G6" i="8"/>
  <c r="M27" i="7"/>
  <c r="L11" i="8"/>
  <c r="F20" i="3"/>
  <c r="F14" i="3"/>
  <c r="D14" i="8"/>
  <c r="F21" i="3"/>
  <c r="F15" i="3"/>
  <c r="E22" i="7" s="1"/>
  <c r="F4" i="3"/>
  <c r="F22" i="3"/>
  <c r="F17" i="3"/>
  <c r="F23" i="3"/>
  <c r="N16" i="7"/>
  <c r="N22" i="7"/>
  <c r="D11" i="8"/>
  <c r="H22" i="3"/>
  <c r="H16" i="3"/>
  <c r="H21" i="3"/>
  <c r="H4" i="3"/>
  <c r="H14" i="3"/>
  <c r="H17" i="3"/>
  <c r="D51" i="1"/>
  <c r="L16" i="7"/>
  <c r="L17" i="7" s="1"/>
  <c r="M14" i="8"/>
  <c r="E4" i="5"/>
  <c r="J8" i="8"/>
  <c r="K19" i="7"/>
  <c r="I12" i="8"/>
  <c r="J28" i="7"/>
  <c r="J29" i="7" s="1"/>
  <c r="D8" i="7"/>
  <c r="C11" i="8"/>
  <c r="C12" i="8"/>
  <c r="D19" i="7"/>
  <c r="C8" i="8"/>
  <c r="E4" i="3"/>
  <c r="E16" i="3"/>
  <c r="C14" i="8"/>
  <c r="E21" i="3"/>
  <c r="E15" i="3"/>
  <c r="D22" i="7" s="1"/>
  <c r="E17" i="3"/>
  <c r="E11" i="3"/>
  <c r="D16" i="7" s="1"/>
  <c r="E14" i="3"/>
  <c r="E22" i="3"/>
  <c r="D4" i="5"/>
  <c r="C51" i="1"/>
  <c r="E23" i="3"/>
  <c r="E20" i="3"/>
  <c r="O9" i="8"/>
  <c r="P25" i="7"/>
  <c r="P14" i="8"/>
  <c r="Q22" i="7"/>
  <c r="L14" i="8"/>
  <c r="M16" i="7"/>
  <c r="H19" i="7"/>
  <c r="G8" i="8"/>
  <c r="K21" i="7"/>
  <c r="J13" i="8"/>
  <c r="P14" i="7"/>
  <c r="G22" i="3"/>
  <c r="F4" i="5"/>
  <c r="G11" i="3"/>
  <c r="F16" i="7" s="1"/>
  <c r="E14" i="8"/>
  <c r="G23" i="3"/>
  <c r="G6" i="3"/>
  <c r="H9" i="3"/>
  <c r="G14" i="7" s="1"/>
  <c r="G21" i="3"/>
  <c r="G17" i="3"/>
  <c r="G4" i="3"/>
  <c r="F11" i="3"/>
  <c r="E16" i="7" s="1"/>
  <c r="G14" i="3"/>
  <c r="E51" i="1"/>
  <c r="G15" i="3"/>
  <c r="F22" i="7" s="1"/>
  <c r="G20" i="3"/>
  <c r="G16" i="3"/>
  <c r="P22" i="7"/>
  <c r="P16" i="7"/>
  <c r="O14" i="8"/>
  <c r="O16" i="7"/>
  <c r="E7" i="7"/>
  <c r="D5" i="8"/>
  <c r="F14" i="8"/>
  <c r="F51" i="1"/>
  <c r="H29" i="2"/>
  <c r="H33" i="2" s="1"/>
  <c r="J9" i="3" s="1"/>
  <c r="I15" i="7"/>
  <c r="Q8" i="8"/>
  <c r="R19" i="7"/>
  <c r="Q3" i="8"/>
  <c r="R5" i="7"/>
  <c r="E9" i="3"/>
  <c r="D14" i="7" s="1"/>
  <c r="C35" i="2"/>
  <c r="C37" i="2" s="1"/>
  <c r="O14" i="7"/>
  <c r="O26" i="7"/>
  <c r="N10" i="8"/>
  <c r="K26" i="7"/>
  <c r="J10" i="8"/>
  <c r="O21" i="7"/>
  <c r="O23" i="7" s="1"/>
  <c r="N13" i="8"/>
  <c r="D30" i="3"/>
  <c r="E30" i="3"/>
  <c r="G9" i="3"/>
  <c r="F14" i="7" s="1"/>
  <c r="K7" i="7"/>
  <c r="J5" i="8"/>
  <c r="E6" i="8"/>
  <c r="F8" i="7"/>
  <c r="L8" i="8"/>
  <c r="M19" i="7"/>
  <c r="B8" i="8"/>
  <c r="C19" i="7"/>
  <c r="K25" i="7"/>
  <c r="J9" i="8"/>
  <c r="E12" i="8"/>
  <c r="F28" i="7"/>
  <c r="T6" i="8"/>
  <c r="U8" i="7"/>
  <c r="K14" i="7"/>
  <c r="Q14" i="7"/>
  <c r="K6" i="7"/>
  <c r="J4" i="8"/>
  <c r="K14" i="8"/>
  <c r="L22" i="7"/>
  <c r="K16" i="7"/>
  <c r="D7" i="7"/>
  <c r="C5" i="8"/>
  <c r="U7" i="7"/>
  <c r="T5" i="8"/>
  <c r="D17" i="3"/>
  <c r="B14" i="8"/>
  <c r="D4" i="3"/>
  <c r="C4" i="5"/>
  <c r="D24" i="3" s="1"/>
  <c r="D22" i="3"/>
  <c r="D14" i="3"/>
  <c r="D11" i="3"/>
  <c r="C16" i="7" s="1"/>
  <c r="C17" i="7" s="1"/>
  <c r="D6" i="3"/>
  <c r="D20" i="3"/>
  <c r="D21" i="3"/>
  <c r="D16" i="3"/>
  <c r="D23" i="3"/>
  <c r="D15" i="3"/>
  <c r="C22" i="7" s="1"/>
  <c r="H4" i="5"/>
  <c r="I20" i="3"/>
  <c r="I17" i="3"/>
  <c r="I22" i="3"/>
  <c r="I23" i="3"/>
  <c r="I14" i="3"/>
  <c r="I11" i="3"/>
  <c r="H16" i="7" s="1"/>
  <c r="G14" i="8"/>
  <c r="I16" i="3"/>
  <c r="G51" i="1"/>
  <c r="I21" i="3"/>
  <c r="H11" i="3"/>
  <c r="G16" i="7" s="1"/>
  <c r="I4" i="3"/>
  <c r="I6" i="3"/>
  <c r="G35" i="2"/>
  <c r="G37" i="2" s="1"/>
  <c r="I9" i="3"/>
  <c r="H14" i="7" s="1"/>
  <c r="Q8" i="7"/>
  <c r="P6" i="8"/>
  <c r="T4" i="8"/>
  <c r="U6" i="7"/>
  <c r="N14" i="7"/>
  <c r="H9" i="8" l="1"/>
  <c r="J24" i="3"/>
  <c r="K24" i="3"/>
  <c r="H10" i="8"/>
  <c r="M14" i="7"/>
  <c r="M17" i="7" s="1"/>
  <c r="F9" i="3"/>
  <c r="E14" i="7" s="1"/>
  <c r="E17" i="7" s="1"/>
  <c r="I6" i="7"/>
  <c r="I9" i="7" s="1"/>
  <c r="E25" i="7"/>
  <c r="H13" i="8"/>
  <c r="H5" i="8"/>
  <c r="J9" i="7"/>
  <c r="J30" i="7" s="1"/>
  <c r="D29" i="3"/>
  <c r="O25" i="7"/>
  <c r="O29" i="7" s="1"/>
  <c r="N17" i="7"/>
  <c r="H29" i="3"/>
  <c r="G29" i="3"/>
  <c r="H24" i="3"/>
  <c r="I24" i="3"/>
  <c r="I23" i="7"/>
  <c r="E29" i="3"/>
  <c r="I29" i="3"/>
  <c r="K29" i="7"/>
  <c r="G7" i="7"/>
  <c r="P9" i="8"/>
  <c r="F17" i="7"/>
  <c r="N4" i="8"/>
  <c r="R6" i="7"/>
  <c r="O7" i="7"/>
  <c r="O9" i="7" s="1"/>
  <c r="R7" i="7"/>
  <c r="F29" i="3"/>
  <c r="Q9" i="8"/>
  <c r="R14" i="7"/>
  <c r="Q16" i="7"/>
  <c r="Q17" i="7" s="1"/>
  <c r="Q26" i="7"/>
  <c r="Q29" i="7" s="1"/>
  <c r="K23" i="7"/>
  <c r="M5" i="8"/>
  <c r="N7" i="7"/>
  <c r="G21" i="7"/>
  <c r="G23" i="7" s="1"/>
  <c r="F13" i="8"/>
  <c r="G6" i="7"/>
  <c r="F4" i="8"/>
  <c r="E21" i="7"/>
  <c r="E23" i="7" s="1"/>
  <c r="D13" i="8"/>
  <c r="E26" i="7"/>
  <c r="D10" i="8"/>
  <c r="R27" i="7"/>
  <c r="Q11" i="8"/>
  <c r="G25" i="7"/>
  <c r="F9" i="8"/>
  <c r="N6" i="7"/>
  <c r="M4" i="8"/>
  <c r="F10" i="8"/>
  <c r="G26" i="7"/>
  <c r="I29" i="7"/>
  <c r="M9" i="8"/>
  <c r="N25" i="7"/>
  <c r="N21" i="7"/>
  <c r="N23" i="7" s="1"/>
  <c r="M13" i="8"/>
  <c r="F24" i="3"/>
  <c r="N26" i="7"/>
  <c r="M10" i="8"/>
  <c r="D4" i="8"/>
  <c r="E6" i="7"/>
  <c r="E9" i="7" s="1"/>
  <c r="D17" i="7"/>
  <c r="C4" i="8"/>
  <c r="D6" i="7"/>
  <c r="D9" i="7" s="1"/>
  <c r="D21" i="7"/>
  <c r="D23" i="7" s="1"/>
  <c r="C13" i="8"/>
  <c r="C10" i="8"/>
  <c r="D26" i="7"/>
  <c r="C9" i="8"/>
  <c r="D25" i="7"/>
  <c r="B10" i="8"/>
  <c r="C26" i="7"/>
  <c r="G17" i="7"/>
  <c r="C25" i="3"/>
  <c r="C25" i="7"/>
  <c r="B9" i="8"/>
  <c r="L13" i="8"/>
  <c r="M21" i="7"/>
  <c r="M23" i="7" s="1"/>
  <c r="E9" i="8"/>
  <c r="F25" i="7"/>
  <c r="G9" i="8"/>
  <c r="H25" i="7"/>
  <c r="O17" i="7"/>
  <c r="P7" i="7"/>
  <c r="O5" i="8"/>
  <c r="P5" i="8"/>
  <c r="Q7" i="7"/>
  <c r="S20" i="7"/>
  <c r="B5" i="8"/>
  <c r="C7" i="7"/>
  <c r="O4" i="8"/>
  <c r="P6" i="7"/>
  <c r="P9" i="7" s="1"/>
  <c r="H36" i="3"/>
  <c r="G24" i="3"/>
  <c r="H21" i="7"/>
  <c r="H23" i="7" s="1"/>
  <c r="G13" i="8"/>
  <c r="K9" i="8"/>
  <c r="L25" i="7"/>
  <c r="P26" i="7"/>
  <c r="P29" i="7" s="1"/>
  <c r="O10" i="8"/>
  <c r="M6" i="7"/>
  <c r="L4" i="8"/>
  <c r="P4" i="8"/>
  <c r="Q6" i="7"/>
  <c r="B13" i="8"/>
  <c r="C21" i="7"/>
  <c r="C23" i="7" s="1"/>
  <c r="L21" i="7"/>
  <c r="L23" i="7" s="1"/>
  <c r="K13" i="8"/>
  <c r="F21" i="7"/>
  <c r="F23" i="7" s="1"/>
  <c r="E13" i="8"/>
  <c r="L5" i="8"/>
  <c r="M7" i="7"/>
  <c r="K17" i="7"/>
  <c r="R28" i="7"/>
  <c r="Q12" i="8"/>
  <c r="I14" i="7"/>
  <c r="I17" i="7" s="1"/>
  <c r="H35" i="2"/>
  <c r="H37" i="2" s="1"/>
  <c r="P17" i="7"/>
  <c r="F7" i="7"/>
  <c r="E5" i="8"/>
  <c r="L7" i="7"/>
  <c r="K5" i="8"/>
  <c r="Q6" i="8"/>
  <c r="R8" i="7"/>
  <c r="E4" i="8"/>
  <c r="F6" i="7"/>
  <c r="O13" i="8"/>
  <c r="P21" i="7"/>
  <c r="P23" i="7" s="1"/>
  <c r="H17" i="7"/>
  <c r="G10" i="8"/>
  <c r="H26" i="7"/>
  <c r="U9" i="7"/>
  <c r="U30" i="7" s="1"/>
  <c r="G5" i="8"/>
  <c r="H7" i="7"/>
  <c r="C6" i="7"/>
  <c r="B4" i="8"/>
  <c r="Q4" i="8"/>
  <c r="F26" i="7"/>
  <c r="E10" i="8"/>
  <c r="L10" i="8"/>
  <c r="M26" i="7"/>
  <c r="P13" i="8"/>
  <c r="Q21" i="7"/>
  <c r="Q23" i="7" s="1"/>
  <c r="Q10" i="8"/>
  <c r="R26" i="7"/>
  <c r="H6" i="7"/>
  <c r="G4" i="8"/>
  <c r="K4" i="8"/>
  <c r="L6" i="7"/>
  <c r="K9" i="7"/>
  <c r="E24" i="3"/>
  <c r="K10" i="8"/>
  <c r="L26" i="7"/>
  <c r="M25" i="7"/>
  <c r="L9" i="8"/>
  <c r="S14" i="7"/>
  <c r="Q14" i="8"/>
  <c r="R22" i="7"/>
  <c r="E29" i="7" l="1"/>
  <c r="I30" i="7"/>
  <c r="G9" i="7"/>
  <c r="G30" i="7" s="1"/>
  <c r="R16" i="7"/>
  <c r="R17" i="7" s="1"/>
  <c r="H9" i="7"/>
  <c r="H30" i="7" s="1"/>
  <c r="R25" i="7"/>
  <c r="R29" i="7" s="1"/>
  <c r="O30" i="7"/>
  <c r="C29" i="7"/>
  <c r="G29" i="7"/>
  <c r="Q5" i="8"/>
  <c r="N29" i="7"/>
  <c r="K30" i="7"/>
  <c r="P30" i="7"/>
  <c r="N9" i="7"/>
  <c r="N30" i="7" s="1"/>
  <c r="R9" i="7"/>
  <c r="E30" i="7"/>
  <c r="D30" i="7"/>
  <c r="D29" i="7"/>
  <c r="R3" i="8"/>
  <c r="S5" i="7"/>
  <c r="F29" i="7"/>
  <c r="L29" i="7"/>
  <c r="L9" i="7"/>
  <c r="L30" i="7" s="1"/>
  <c r="F9" i="7"/>
  <c r="F30" i="7" s="1"/>
  <c r="S22" i="7"/>
  <c r="H29" i="7"/>
  <c r="Q13" i="8"/>
  <c r="R21" i="7"/>
  <c r="R23" i="7" s="1"/>
  <c r="R11" i="8"/>
  <c r="S27" i="7"/>
  <c r="Q9" i="7"/>
  <c r="Q30" i="7" s="1"/>
  <c r="R14" i="8"/>
  <c r="S16" i="7"/>
  <c r="S17" i="7" s="1"/>
  <c r="T14" i="7"/>
  <c r="T17" i="7" s="1"/>
  <c r="T30" i="7" s="1"/>
  <c r="R8" i="8"/>
  <c r="S19" i="7"/>
  <c r="C9" i="7"/>
  <c r="C30" i="7" s="1"/>
  <c r="M29" i="7"/>
  <c r="M9" i="7"/>
  <c r="M30" i="7" s="1"/>
  <c r="R30" i="7" l="1"/>
  <c r="S6" i="7"/>
  <c r="R4" i="8"/>
  <c r="R10" i="8"/>
  <c r="S26" i="7"/>
  <c r="R13" i="8"/>
  <c r="S21" i="7"/>
  <c r="S23" i="7" s="1"/>
  <c r="R6" i="8"/>
  <c r="S8" i="7"/>
  <c r="R9" i="8"/>
  <c r="S25" i="7"/>
  <c r="S7" i="7"/>
  <c r="R5" i="8"/>
  <c r="S28" i="7"/>
  <c r="R12" i="8"/>
  <c r="S29" i="7" l="1"/>
  <c r="S9" i="7"/>
  <c r="S30" i="7" s="1"/>
</calcChain>
</file>

<file path=xl/sharedStrings.xml><?xml version="1.0" encoding="utf-8"?>
<sst xmlns="http://schemas.openxmlformats.org/spreadsheetml/2006/main" count="421" uniqueCount="278">
  <si>
    <t>2010 Audited</t>
  </si>
  <si>
    <t>2020 Audited</t>
  </si>
  <si>
    <t>Audited 2021</t>
  </si>
  <si>
    <t>Audited 2022</t>
  </si>
  <si>
    <t>Cash &amp; cash Equivalent</t>
  </si>
  <si>
    <t>Cash In Hand</t>
  </si>
  <si>
    <t>Cash at Bank</t>
  </si>
  <si>
    <t>Prepayment and Sundry</t>
  </si>
  <si>
    <t>Financial Investment</t>
  </si>
  <si>
    <t xml:space="preserve">Government Securities - Treasury Bills/bonds,  </t>
  </si>
  <si>
    <t>Other Securities - Commercial papers/Bonds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</si>
  <si>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</si>
  <si>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</si>
  <si>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</si>
  <si>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</si>
  <si>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</si>
  <si>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</si>
  <si>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Recievables</t>
  </si>
  <si>
    <t>Tax Recoverable</t>
  </si>
  <si>
    <t>Deffered Tax Assets</t>
  </si>
  <si>
    <t>Retirement Benefit Assets</t>
  </si>
  <si>
    <t>Property&amp;Equipments&amp;Other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</si>
  <si>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</si>
  <si>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</si>
  <si>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</si>
  <si>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</si>
  <si>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</si>
  <si>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</si>
  <si>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Savings and Deposits</t>
  </si>
  <si>
    <t>Short Terrm Deposits</t>
  </si>
  <si>
    <t>Non Withdrawable Deposits</t>
  </si>
  <si>
    <t>Total Deposit Liabilities</t>
  </si>
  <si>
    <t>Tax Payable</t>
  </si>
  <si>
    <t>Dividends Payable</t>
  </si>
  <si>
    <t>Deferred Tax Liability</t>
  </si>
  <si>
    <t>Retirement Benefits Liabilty</t>
  </si>
  <si>
    <t>Other Liabilities</t>
  </si>
  <si>
    <t>External Borrowings</t>
  </si>
  <si>
    <t>Total Liabilities</t>
  </si>
  <si>
    <t>Share Capital</t>
  </si>
  <si>
    <t>Capital Grants</t>
  </si>
  <si>
    <t>Prior Year Retained Earnigs</t>
  </si>
  <si>
    <t>Current Year Surplus</t>
  </si>
  <si>
    <t>Statutory Reserves</t>
  </si>
  <si>
    <t>Other Reserves</t>
  </si>
  <si>
    <t>Revaluation Reserves</t>
  </si>
  <si>
    <t>Proposed Dividends</t>
  </si>
  <si>
    <t>Adjustment To Equity</t>
  </si>
  <si>
    <t>Total Equity</t>
  </si>
  <si>
    <t>Total Liabilities and Equity</t>
  </si>
  <si>
    <t>Financial Income</t>
  </si>
  <si>
    <t>Financial Income From Loans Portfolio</t>
  </si>
  <si>
    <t>Interest from Loans Portfolio</t>
  </si>
  <si>
    <t>Fees&amp;Commision on Loan Portfolio</t>
  </si>
  <si>
    <t>Financial Income from Investments</t>
  </si>
  <si>
    <t>Government Securities</t>
  </si>
  <si>
    <t>Deposits with Banks &amp; other Financial Institutions</t>
  </si>
  <si>
    <t>Other Investments</t>
  </si>
  <si>
    <t>Other Operating Income</t>
  </si>
  <si>
    <t>Financial Expenses</t>
  </si>
  <si>
    <t>Interest Expense on Deposits</t>
  </si>
  <si>
    <t>Cost of External Borrowings</t>
  </si>
  <si>
    <t>Dividend Expenses</t>
  </si>
  <si>
    <t>Other Financial Expense</t>
  </si>
  <si>
    <t>Fees &amp; Commision Expense</t>
  </si>
  <si>
    <t>Other Expenses</t>
  </si>
  <si>
    <t>Net Financial Income</t>
  </si>
  <si>
    <t>Allowance for Loan Loss</t>
  </si>
  <si>
    <t>Provision for Loan Losses</t>
  </si>
  <si>
    <t>Value of Loans Recovered</t>
  </si>
  <si>
    <t>Operating Expeses</t>
  </si>
  <si>
    <t>Personel Expenses</t>
  </si>
  <si>
    <t>Governance Expenses</t>
  </si>
  <si>
    <t>Marketing Expenses</t>
  </si>
  <si>
    <t>Depreciation and Amortization</t>
  </si>
  <si>
    <t>Administrative Expenses</t>
  </si>
  <si>
    <t>Net Operating Income</t>
  </si>
  <si>
    <t>Net Non operating Income/Expense</t>
  </si>
  <si>
    <t>Non Operating Income</t>
  </si>
  <si>
    <t>Non Operating Expense</t>
  </si>
  <si>
    <t>Net Income(Before Tax &amp; Donations)</t>
  </si>
  <si>
    <t>Taxes</t>
  </si>
  <si>
    <t>Net Income(After Tax Before Donations)</t>
  </si>
  <si>
    <t>Donations</t>
  </si>
  <si>
    <t>Net Income/(After Tax &amp; Donations)</t>
  </si>
  <si>
    <t>Total Expenses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</si>
  <si>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</si>
  <si>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</si>
  <si>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</si>
  <si>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</si>
  <si>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</si>
  <si>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</si>
  <si>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</si>
  <si>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NPL</t>
  </si>
  <si>
    <t>Substandard</t>
  </si>
  <si>
    <t>PAR</t>
  </si>
  <si>
    <t>Doubtful</t>
  </si>
  <si>
    <t>Loss</t>
  </si>
  <si>
    <t>subtotal</t>
  </si>
  <si>
    <t xml:space="preserve">IMARIKA </t>
  </si>
  <si>
    <t>IMARIKA  SACCO 2022 CAELS</t>
  </si>
  <si>
    <t>2020Audited</t>
  </si>
  <si>
    <t>CAPITAL ADEQUACY</t>
  </si>
  <si>
    <t>Core Capital</t>
  </si>
  <si>
    <t>10 M</t>
  </si>
  <si>
    <t>CCA</t>
  </si>
  <si>
    <t>Min 10%</t>
  </si>
  <si>
    <t>CCD</t>
  </si>
  <si>
    <t>Min 8%</t>
  </si>
  <si>
    <t>ICA</t>
  </si>
  <si>
    <t>ASSET QUALITY</t>
  </si>
  <si>
    <t>A/LNPL30</t>
  </si>
  <si>
    <t>NPL30</t>
  </si>
  <si>
    <t>EARNINGS</t>
  </si>
  <si>
    <t>ROA</t>
  </si>
  <si>
    <t>Cost Income ratio</t>
  </si>
  <si>
    <t>Operating Expense  ratio</t>
  </si>
  <si>
    <t>LIQUIDITY</t>
  </si>
  <si>
    <t>MIN LIQ ratio</t>
  </si>
  <si>
    <t>Min 15%</t>
  </si>
  <si>
    <t>T/LIQ ratio</t>
  </si>
  <si>
    <t>EB ratio</t>
  </si>
  <si>
    <t>Max 25%</t>
  </si>
  <si>
    <t>LA to TA ratio</t>
  </si>
  <si>
    <t>STRUCTURE</t>
  </si>
  <si>
    <t>NEA ratio</t>
  </si>
  <si>
    <t>Max 10%</t>
  </si>
  <si>
    <t>LB ratio</t>
  </si>
  <si>
    <t>Max 5%</t>
  </si>
  <si>
    <t>PI to Deposit ratio</t>
  </si>
  <si>
    <t>PI to CC ratio</t>
  </si>
  <si>
    <t>Max 40%</t>
  </si>
  <si>
    <t>Gross loans/TA</t>
  </si>
  <si>
    <t>FUNDING MIX</t>
  </si>
  <si>
    <t>Total Deposits/Total Assets</t>
  </si>
  <si>
    <t>BOSA Deposits/Total Assets</t>
  </si>
  <si>
    <t>FOSA Deposits/Total Assets</t>
  </si>
  <si>
    <t>GROWTH RATIOS</t>
  </si>
  <si>
    <t>Total Deposits</t>
  </si>
  <si>
    <t>BOSA Deposits</t>
  </si>
  <si>
    <t>FOSA Deposits</t>
  </si>
  <si>
    <t>Total Loans &amp; advances</t>
  </si>
  <si>
    <t>Core capital</t>
  </si>
  <si>
    <t>Turnover</t>
  </si>
  <si>
    <t>Membership</t>
  </si>
  <si>
    <t>Expenses</t>
  </si>
  <si>
    <t xml:space="preserve">Efficiency Ratios </t>
  </si>
  <si>
    <t>FinCost-Deposits/Avg Deposits</t>
  </si>
  <si>
    <t>FinCost-Shares/Avg Share capital</t>
  </si>
  <si>
    <t>FinCost-Ext Loans/Avg Ext Loans</t>
  </si>
  <si>
    <t>OpEx/Average Total Assets</t>
  </si>
  <si>
    <t>Opex/Turnover</t>
  </si>
  <si>
    <t xml:space="preserve">Avge yield on Net loans </t>
  </si>
  <si>
    <t xml:space="preserve">Avge yield on Gross loans </t>
  </si>
  <si>
    <t>ALL/Average Gross Loan portfolio</t>
  </si>
  <si>
    <t>SOLUTION Sacco Financial Performance</t>
  </si>
  <si>
    <t>Year</t>
  </si>
  <si>
    <t>31-11-2022</t>
  </si>
  <si>
    <t>Audited2022</t>
  </si>
  <si>
    <t>Deposits-Members(BOSA)</t>
  </si>
  <si>
    <t>Deposits-Customers(FOSA)</t>
  </si>
  <si>
    <t>External Borrowing</t>
  </si>
  <si>
    <t>Share capital and Reserves</t>
  </si>
  <si>
    <t>Institutional  Capital</t>
  </si>
  <si>
    <t>Total Capital</t>
  </si>
  <si>
    <t>5.3.1</t>
  </si>
  <si>
    <t>Members Share Capital</t>
  </si>
  <si>
    <t>5.3.2</t>
  </si>
  <si>
    <t>Entrance Fees</t>
  </si>
  <si>
    <t>5.3.3</t>
  </si>
  <si>
    <t>Retained Earnings</t>
  </si>
  <si>
    <t>5.3.4</t>
  </si>
  <si>
    <t>Appropriation Account</t>
  </si>
  <si>
    <t>5.3.5</t>
  </si>
  <si>
    <t>5.3.6</t>
  </si>
  <si>
    <t>Capital Reserves</t>
  </si>
  <si>
    <t>5.3.7</t>
  </si>
  <si>
    <t>Supplementary Capital &amp; reserves</t>
  </si>
  <si>
    <t>a</t>
  </si>
  <si>
    <t>b</t>
  </si>
  <si>
    <t>Risk Mgt  Fund</t>
  </si>
  <si>
    <t>Investments</t>
  </si>
  <si>
    <t>Shares in Kusco,CIC,Coop Bank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</si>
  <si>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</si>
  <si>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</si>
  <si>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</si>
  <si>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</si>
  <si>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</si>
  <si>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Non-Earning Assets</t>
  </si>
  <si>
    <t>Loan Interest</t>
  </si>
  <si>
    <t>Income from investments</t>
  </si>
  <si>
    <t>Fees &amp; Commissions</t>
  </si>
  <si>
    <t>Average yield on loans</t>
  </si>
  <si>
    <t>Financial and Operating costs</t>
  </si>
  <si>
    <t>Interest expense on deposits</t>
  </si>
  <si>
    <t>Dividend expense on share capital</t>
  </si>
  <si>
    <t>Interest expense on borrowed funds</t>
  </si>
  <si>
    <t>Opperating expenses</t>
  </si>
  <si>
    <t>CAELS RATINGS KINGDOM SACCO</t>
  </si>
  <si>
    <t>FINANCIAL SOUNDNESS INDICATORS</t>
  </si>
  <si>
    <t>Prude.  Std</t>
  </si>
  <si>
    <t>2021 Audited</t>
  </si>
  <si>
    <t>CAPITAL</t>
  </si>
  <si>
    <t>CORE CAPITAL</t>
  </si>
  <si>
    <t>≥ Ksh.10M</t>
  </si>
  <si>
    <t>≥ 10%</t>
  </si>
  <si>
    <t>≥ 8%</t>
  </si>
  <si>
    <t>Asset Quality</t>
  </si>
  <si>
    <t>≤ 6%</t>
  </si>
  <si>
    <t>Earnings</t>
  </si>
  <si>
    <t>CIR</t>
  </si>
  <si>
    <t>OER</t>
  </si>
  <si>
    <t>MIN LIQ</t>
  </si>
  <si>
    <t>TECH LIQ</t>
  </si>
  <si>
    <t>EB</t>
  </si>
  <si>
    <t>≤ 25%</t>
  </si>
  <si>
    <t>LIQ/TA</t>
  </si>
  <si>
    <t>NEA</t>
  </si>
  <si>
    <t>≤ 10%</t>
  </si>
  <si>
    <t>LB</t>
  </si>
  <si>
    <t>≤ 5%</t>
  </si>
  <si>
    <t>FITD</t>
  </si>
  <si>
    <t>FICC</t>
  </si>
  <si>
    <t>≤ 40%</t>
  </si>
  <si>
    <t>FINAL RATING</t>
  </si>
  <si>
    <t>2020 audited</t>
  </si>
  <si>
    <t>AUDITED 2021</t>
  </si>
  <si>
    <t>CCA (Min 10%)</t>
  </si>
  <si>
    <t>ICA (Min 8%)</t>
  </si>
  <si>
    <t>CCD (Min 8%)</t>
  </si>
  <si>
    <t>NPL(5%)</t>
  </si>
  <si>
    <t>Liquidity(15%)</t>
  </si>
  <si>
    <t>NEA (Max 10%)</t>
  </si>
  <si>
    <t>LB ratio (Max 5%)</t>
  </si>
  <si>
    <t>FITD (Max 5%)</t>
  </si>
  <si>
    <t>FICC (Max 40%)</t>
  </si>
  <si>
    <t>EB ratio (Max 25%)</t>
  </si>
  <si>
    <t>A=S+L</t>
  </si>
  <si>
    <t>STATEMENT OF CASHFLOWS FOR THE YEAR ENDED 31ST DECEMBER 2020</t>
  </si>
  <si>
    <t>Audited -2021</t>
  </si>
  <si>
    <t>Variance</t>
  </si>
  <si>
    <t>Cash flows from operating activities</t>
  </si>
  <si>
    <t>Interest receipts</t>
  </si>
  <si>
    <t>Interest Payments</t>
  </si>
  <si>
    <t>.</t>
  </si>
  <si>
    <t>Payment to employees and suppliers</t>
  </si>
  <si>
    <t>Other operating income</t>
  </si>
  <si>
    <t>(Increase)/Decrease in Operating assets</t>
  </si>
  <si>
    <t>Net loans to members</t>
  </si>
  <si>
    <t>Recievables and prepayments</t>
  </si>
  <si>
    <t>Trade and Other Receivables</t>
  </si>
  <si>
    <t>Inventories</t>
  </si>
  <si>
    <t>Short term investments</t>
  </si>
  <si>
    <t>Increase/(Decrease) in Operating liabilities</t>
  </si>
  <si>
    <t>Deposits from members</t>
  </si>
  <si>
    <t>Trade and Accrued Expenses</t>
  </si>
  <si>
    <t>Sundry creditors</t>
  </si>
  <si>
    <t>Net cashflow from operating activities before income taxes</t>
  </si>
  <si>
    <t>Income tax paid</t>
  </si>
  <si>
    <t>Net Cash from Operating activities</t>
  </si>
  <si>
    <t>Cashflow from investing activities</t>
  </si>
  <si>
    <t>Purchase of Property and equipment</t>
  </si>
  <si>
    <t>Purchase of intangible assets</t>
  </si>
  <si>
    <t>Increase in Other Assets</t>
  </si>
  <si>
    <t>Purchase of Investment Securities</t>
  </si>
  <si>
    <t>Dividends Received</t>
  </si>
  <si>
    <t>Net Cash from investing activities</t>
  </si>
  <si>
    <t>Cashflow from financing activities</t>
  </si>
  <si>
    <t>Share capital contributions</t>
  </si>
  <si>
    <t>Proceeds from long-term borrowings</t>
  </si>
  <si>
    <t>Prior Year Adjustments</t>
  </si>
  <si>
    <t>Housing Contributions Plaza</t>
  </si>
  <si>
    <t>Repayments of long term borrowings</t>
  </si>
  <si>
    <t>Dividend paid</t>
  </si>
  <si>
    <t>Net cash from financing activities</t>
  </si>
  <si>
    <t>Net (Decrease)/Increase in cash and cash equivalent</t>
  </si>
  <si>
    <t>Cash and cash equivalent at the beginning  of the year</t>
  </si>
  <si>
    <t>Cash and cash equivalent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</si>
</sst>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[$-10409]#,##0.00;\-\ #,##0.00"/>
    <numFmt numFmtId="165" formatCode="[$-10409]0.00;\-\ 0.00"/>
    <numFmt numFmtId="166" formatCode="_(* #,##0.00_);_(* \(#,##0.00\);_(* \-??_);_(@_)"/>
    <numFmt numFmtId="167" formatCode="d/mmm/yy"/>
    <numFmt numFmtId="168" formatCode="\£#,##0;&quot;-£&quot;#,##0"/>
    <numFmt numFmtId="169" formatCode="_-* #,##0.00_-;\-* #,##0.00_-;_-* \-??_-;_-@_-"/>
    <numFmt numFmtId="170" formatCode="0.0%"/>
    <numFmt numFmtId="171" formatCode="_(* #,##0.0_);_(* \(#,##0.0\);_(* \-??_);_(@_)"/>
    <numFmt numFmtId="172" formatCode="#,##0.00_);\-#,##0.00"/>
    <numFmt numFmtId="173" formatCode="0.0"/>
    <numFmt numFmtId="174" formatCode="_(* #,##0_);_(* \(#,##0\);_(* &quot;-&quot;??_);_(@_)"/>
    <numFmt numFmtId="175" formatCode="[$-409]mmm\-yy;@"/>
    <numFmt numFmtId="176" formatCode="[$-409]mmmm\-yy;@"/>
    <numFmt numFmtId="177" formatCode="#,##0.00_ ;\-#,##0.00\ "/>
  </numFmts>
  <fonts count="6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u/>
      <sz val="9"/>
      <color indexed="11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u/>
      <sz val="11.95"/>
      <name val="Times New Roman"/>
      <family val="1"/>
    </font>
    <font>
      <b/>
      <u/>
      <sz val="10"/>
      <color indexed="1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11"/>
      <color indexed="62"/>
      <name val="Arial"/>
      <family val="2"/>
    </font>
    <font>
      <sz val="11"/>
      <color indexed="8"/>
      <name val="Calibri"/>
      <family val="2"/>
    </font>
    <font>
      <sz val="8"/>
      <color indexed="8"/>
      <name val="Trebuchet MS"/>
      <family val="2"/>
    </font>
    <font>
      <b/>
      <sz val="11"/>
      <color indexed="8"/>
      <name val="Arial"/>
      <family val="2"/>
    </font>
    <font>
      <sz val="11"/>
      <name val="Cambria"/>
      <family val="1"/>
    </font>
    <font>
      <b/>
      <sz val="11"/>
      <name val="Cambria"/>
      <family val="1"/>
    </font>
    <font>
      <u/>
      <sz val="11.95"/>
      <color indexed="9"/>
      <name val="Times New Roman"/>
      <family val="1"/>
    </font>
    <font>
      <sz val="10"/>
      <color indexed="8"/>
      <name val="MS Sans Serif"/>
      <family val="2"/>
    </font>
    <font>
      <b/>
      <sz val="14"/>
      <color indexed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7.5"/>
      <name val="Cambria"/>
      <family val="1"/>
    </font>
    <font>
      <sz val="11"/>
      <color indexed="8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1.5"/>
      <color rgb="FF00000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 val="singleAccounting"/>
      <sz val="11"/>
      <color theme="1"/>
      <name val="Arial"/>
      <family val="2"/>
    </font>
    <font>
      <b/>
      <u val="singleAccounting"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2"/>
      <name val="Cambria"/>
      <family val="1"/>
      <scheme val="major"/>
    </font>
    <font>
      <b/>
      <sz val="12"/>
      <color theme="1"/>
      <name val="Cambria"/>
      <family val="1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Cambria"/>
      <family val="1"/>
    </font>
    <font>
      <sz val="10"/>
      <color indexed="8"/>
      <name val="Arial"/>
      <charset val="1"/>
    </font>
    <font>
      <sz val="9"/>
      <color indexed="8"/>
      <name val="Arial"/>
      <charset val="1"/>
    </font>
    <font>
      <b/>
      <sz val="11"/>
      <color rgb="FFFF0000"/>
      <name val="Calibri"/>
      <family val="2"/>
      <scheme val="minor"/>
    </font>
    <font>
      <sz val="10"/>
      <color rgb="FF00B050"/>
      <name val="Arial"/>
      <family val="2"/>
    </font>
    <font>
      <sz val="10"/>
      <color rgb="FF92D050"/>
      <name val="Arial"/>
      <family val="2"/>
    </font>
    <font>
      <sz val="8"/>
      <color rgb="FF92D050"/>
      <name val="Arial"/>
      <family val="2"/>
    </font>
    <font>
      <sz val="1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0"/>
      </patternFill>
    </fill>
    <fill>
      <patternFill patternType="solid">
        <fgColor indexed="14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indexed="52"/>
        <bgColor indexed="51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AA520"/>
        <bgColor rgb="FF000000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3" tint="0.39997558519241921"/>
      </left>
      <right style="thin">
        <color theme="3"/>
      </right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/>
      <bottom/>
      <diagonal/>
    </border>
    <border>
      <left style="thin">
        <color theme="3" tint="0.39997558519241921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 style="thin">
        <color theme="3" tint="0.39997558519241921"/>
      </left>
      <right/>
      <top/>
      <bottom/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theme="3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466">
    <xf numFmtId="0" fontId="0" fillId="0" borderId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2" applyNumberFormat="0" applyAlignment="0" applyProtection="0"/>
    <xf numFmtId="43" fontId="29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7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8" fontId="2" fillId="0" borderId="0" applyFill="0" applyBorder="0" applyAlignment="0" applyProtection="0"/>
    <xf numFmtId="166" fontId="2" fillId="0" borderId="0" applyFill="0" applyBorder="0" applyAlignment="0" applyProtection="0"/>
    <xf numFmtId="169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ill="0" applyBorder="0" applyAlignment="0" applyProtection="0"/>
    <xf numFmtId="166" fontId="2" fillId="0" borderId="0" applyFill="0" applyBorder="0" applyAlignment="0" applyProtection="0"/>
    <xf numFmtId="43" fontId="21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9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13" fillId="6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24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2" fillId="0" borderId="0"/>
    <xf numFmtId="0" fontId="26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7" borderId="3" applyNumberFormat="0" applyAlignment="0" applyProtection="0"/>
    <xf numFmtId="9" fontId="29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57" fillId="0" borderId="0"/>
  </cellStyleXfs>
  <cellXfs count="213">
    <xf numFmtId="0" fontId="0" fillId="0" borderId="0" xfId="0"/>
    <xf numFmtId="0" fontId="18" fillId="0" borderId="5" xfId="283" applyFont="1" applyBorder="1" applyAlignment="1">
      <alignment horizontal="left" vertical="top" wrapText="1"/>
    </xf>
    <xf numFmtId="0" fontId="0" fillId="0" borderId="6" xfId="0" applyBorder="1"/>
    <xf numFmtId="0" fontId="31" fillId="0" borderId="6" xfId="0" applyFont="1" applyBorder="1" applyAlignment="1">
      <alignment horizontal="left" vertical="top" wrapText="1"/>
    </xf>
    <xf numFmtId="0" fontId="32" fillId="0" borderId="6" xfId="0" applyFont="1" applyBorder="1" applyAlignment="1">
      <alignment horizontal="left" vertical="top" wrapText="1"/>
    </xf>
    <xf numFmtId="17" fontId="30" fillId="0" borderId="0" xfId="0" applyNumberFormat="1" applyFont="1"/>
    <xf numFmtId="0" fontId="17" fillId="0" borderId="5" xfId="241" applyFont="1" applyBorder="1" applyAlignment="1">
      <alignment wrapText="1"/>
    </xf>
    <xf numFmtId="0" fontId="18" fillId="0" borderId="5" xfId="241" applyFont="1" applyBorder="1" applyAlignment="1">
      <alignment wrapText="1"/>
    </xf>
    <xf numFmtId="43" fontId="2" fillId="0" borderId="5" xfId="93" applyBorder="1" applyAlignment="1">
      <alignment wrapText="1"/>
    </xf>
    <xf numFmtId="43" fontId="2" fillId="0" borderId="5" xfId="93" applyBorder="1" applyAlignment="1">
      <alignment horizontal="center" wrapText="1"/>
    </xf>
    <xf numFmtId="0" fontId="7" fillId="0" borderId="7" xfId="0" applyFont="1" applyBorder="1" applyAlignment="1" applyProtection="1">
      <alignment vertical="top" wrapText="1" readingOrder="1"/>
      <protection locked="0"/>
    </xf>
    <xf numFmtId="0" fontId="9" fillId="0" borderId="7" xfId="0" applyFont="1" applyBorder="1" applyAlignment="1" applyProtection="1">
      <alignment vertical="top" wrapText="1" readingOrder="1"/>
      <protection locked="0"/>
    </xf>
    <xf numFmtId="0" fontId="8" fillId="0" borderId="7" xfId="0" applyFont="1" applyBorder="1" applyAlignment="1" applyProtection="1">
      <alignment vertical="top" wrapText="1" readingOrder="1"/>
      <protection locked="0"/>
    </xf>
    <xf numFmtId="164" fontId="8" fillId="0" borderId="7" xfId="0" applyNumberFormat="1" applyFont="1" applyBorder="1" applyAlignment="1" applyProtection="1">
      <alignment vertical="top" wrapText="1" readingOrder="1"/>
      <protection locked="0"/>
    </xf>
    <xf numFmtId="0" fontId="3" fillId="0" borderId="7" xfId="0" applyFont="1" applyBorder="1" applyAlignment="1" applyProtection="1">
      <alignment vertical="top" wrapText="1" readingOrder="1"/>
      <protection locked="0"/>
    </xf>
    <xf numFmtId="0" fontId="4" fillId="8" borderId="7" xfId="0" applyFont="1" applyFill="1" applyBorder="1" applyAlignment="1" applyProtection="1">
      <alignment vertical="top" wrapText="1" readingOrder="1"/>
      <protection locked="0"/>
    </xf>
    <xf numFmtId="0" fontId="4" fillId="0" borderId="7" xfId="0" applyFont="1" applyBorder="1" applyAlignment="1" applyProtection="1">
      <alignment vertical="top" wrapText="1" readingOrder="1"/>
      <protection locked="0"/>
    </xf>
    <xf numFmtId="0" fontId="5" fillId="0" borderId="7" xfId="0" applyFont="1" applyBorder="1" applyAlignment="1" applyProtection="1">
      <alignment vertical="top" wrapText="1" readingOrder="1"/>
      <protection locked="0"/>
    </xf>
    <xf numFmtId="164" fontId="5" fillId="0" borderId="7" xfId="0" applyNumberFormat="1" applyFont="1" applyBorder="1" applyAlignment="1" applyProtection="1">
      <alignment vertical="top" wrapText="1" readingOrder="1"/>
      <protection locked="0"/>
    </xf>
    <xf numFmtId="0" fontId="4" fillId="9" borderId="7" xfId="0" applyFont="1" applyFill="1" applyBorder="1" applyAlignment="1" applyProtection="1">
      <alignment vertical="top" wrapText="1" readingOrder="1"/>
      <protection locked="0"/>
    </xf>
    <xf numFmtId="164" fontId="0" fillId="0" borderId="0" xfId="0" applyNumberFormat="1"/>
    <xf numFmtId="0" fontId="31" fillId="0" borderId="6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9" fontId="29" fillId="0" borderId="6" xfId="459" applyFont="1" applyBorder="1"/>
    <xf numFmtId="43" fontId="9" fillId="0" borderId="7" xfId="27" applyFont="1" applyBorder="1" applyAlignment="1" applyProtection="1">
      <alignment vertical="top" wrapText="1" readingOrder="1"/>
      <protection locked="0"/>
    </xf>
    <xf numFmtId="43" fontId="8" fillId="0" borderId="7" xfId="27" applyFont="1" applyBorder="1" applyAlignment="1" applyProtection="1">
      <alignment vertical="top" wrapText="1" readingOrder="1"/>
      <protection locked="0"/>
    </xf>
    <xf numFmtId="43" fontId="4" fillId="0" borderId="7" xfId="27" applyFont="1" applyBorder="1" applyAlignment="1" applyProtection="1">
      <alignment vertical="top" wrapText="1" readingOrder="1"/>
      <protection locked="0"/>
    </xf>
    <xf numFmtId="43" fontId="5" fillId="0" borderId="7" xfId="27" applyFont="1" applyBorder="1" applyAlignment="1" applyProtection="1">
      <alignment vertical="top" wrapText="1" readingOrder="1"/>
      <protection locked="0"/>
    </xf>
    <xf numFmtId="0" fontId="22" fillId="12" borderId="7" xfId="0" applyFont="1" applyFill="1" applyBorder="1" applyAlignment="1" applyProtection="1">
      <alignment vertical="top" wrapText="1" readingOrder="1"/>
      <protection locked="0"/>
    </xf>
    <xf numFmtId="0" fontId="30" fillId="0" borderId="0" xfId="0" applyFont="1"/>
    <xf numFmtId="0" fontId="33" fillId="0" borderId="6" xfId="0" applyFont="1" applyBorder="1"/>
    <xf numFmtId="43" fontId="33" fillId="0" borderId="6" xfId="27" applyFont="1" applyBorder="1"/>
    <xf numFmtId="0" fontId="34" fillId="0" borderId="6" xfId="0" applyFont="1" applyBorder="1"/>
    <xf numFmtId="0" fontId="35" fillId="0" borderId="6" xfId="0" applyFont="1" applyBorder="1"/>
    <xf numFmtId="173" fontId="34" fillId="0" borderId="6" xfId="0" applyNumberFormat="1" applyFont="1" applyBorder="1"/>
    <xf numFmtId="9" fontId="35" fillId="0" borderId="6" xfId="459" applyFont="1" applyBorder="1"/>
    <xf numFmtId="0" fontId="36" fillId="0" borderId="6" xfId="0" applyFont="1" applyBorder="1"/>
    <xf numFmtId="0" fontId="37" fillId="0" borderId="6" xfId="0" applyFont="1" applyBorder="1"/>
    <xf numFmtId="173" fontId="34" fillId="0" borderId="6" xfId="0" applyNumberFormat="1" applyFont="1" applyBorder="1" applyAlignment="1">
      <alignment horizontal="right"/>
    </xf>
    <xf numFmtId="174" fontId="35" fillId="0" borderId="6" xfId="0" applyNumberFormat="1" applyFont="1" applyBorder="1"/>
    <xf numFmtId="0" fontId="38" fillId="0" borderId="6" xfId="0" applyFont="1" applyBorder="1"/>
    <xf numFmtId="43" fontId="0" fillId="0" borderId="0" xfId="0" applyNumberFormat="1"/>
    <xf numFmtId="173" fontId="38" fillId="0" borderId="6" xfId="0" applyNumberFormat="1" applyFont="1" applyBorder="1"/>
    <xf numFmtId="170" fontId="29" fillId="0" borderId="6" xfId="459" applyNumberFormat="1" applyFont="1" applyBorder="1"/>
    <xf numFmtId="0" fontId="0" fillId="0" borderId="6" xfId="0" applyBorder="1" applyAlignment="1">
      <alignment horizontal="center" vertical="center"/>
    </xf>
    <xf numFmtId="0" fontId="32" fillId="0" borderId="6" xfId="0" applyFont="1" applyBorder="1" applyAlignment="1">
      <alignment vertical="top" wrapText="1"/>
    </xf>
    <xf numFmtId="0" fontId="34" fillId="0" borderId="6" xfId="241" applyFont="1" applyBorder="1"/>
    <xf numFmtId="0" fontId="35" fillId="0" borderId="6" xfId="241" applyFont="1" applyBorder="1"/>
    <xf numFmtId="0" fontId="0" fillId="0" borderId="8" xfId="0" applyBorder="1"/>
    <xf numFmtId="0" fontId="0" fillId="0" borderId="9" xfId="0" applyBorder="1"/>
    <xf numFmtId="17" fontId="30" fillId="0" borderId="9" xfId="0" applyNumberFormat="1" applyFont="1" applyBorder="1"/>
    <xf numFmtId="10" fontId="29" fillId="0" borderId="10" xfId="459" applyNumberFormat="1" applyFont="1" applyBorder="1"/>
    <xf numFmtId="0" fontId="38" fillId="0" borderId="11" xfId="241" applyFont="1" applyBorder="1"/>
    <xf numFmtId="0" fontId="0" fillId="0" borderId="11" xfId="0" applyBorder="1"/>
    <xf numFmtId="0" fontId="34" fillId="0" borderId="11" xfId="241" applyFont="1" applyBorder="1"/>
    <xf numFmtId="0" fontId="38" fillId="0" borderId="12" xfId="241" applyFont="1" applyBorder="1"/>
    <xf numFmtId="0" fontId="0" fillId="0" borderId="13" xfId="0" applyBorder="1"/>
    <xf numFmtId="0" fontId="33" fillId="0" borderId="15" xfId="0" applyFont="1" applyBorder="1"/>
    <xf numFmtId="0" fontId="22" fillId="12" borderId="6" xfId="0" applyFont="1" applyFill="1" applyBorder="1" applyAlignment="1" applyProtection="1">
      <alignment horizontal="center" vertical="top" readingOrder="1"/>
      <protection locked="0"/>
    </xf>
    <xf numFmtId="0" fontId="22" fillId="12" borderId="6" xfId="0" applyFont="1" applyFill="1" applyBorder="1" applyAlignment="1" applyProtection="1">
      <alignment vertical="top" readingOrder="1"/>
      <protection locked="0"/>
    </xf>
    <xf numFmtId="174" fontId="0" fillId="0" borderId="6" xfId="0" applyNumberFormat="1" applyBorder="1"/>
    <xf numFmtId="174" fontId="30" fillId="0" borderId="6" xfId="0" applyNumberFormat="1" applyFont="1" applyBorder="1"/>
    <xf numFmtId="43" fontId="9" fillId="13" borderId="7" xfId="27" applyFont="1" applyFill="1" applyBorder="1" applyAlignment="1" applyProtection="1">
      <alignment vertical="top" wrapText="1" readingOrder="1"/>
      <protection locked="0"/>
    </xf>
    <xf numFmtId="43" fontId="4" fillId="13" borderId="7" xfId="27" applyFont="1" applyFill="1" applyBorder="1" applyAlignment="1" applyProtection="1">
      <alignment vertical="top" wrapText="1" readingOrder="1"/>
      <protection locked="0"/>
    </xf>
    <xf numFmtId="43" fontId="4" fillId="14" borderId="7" xfId="27" applyFont="1" applyFill="1" applyBorder="1" applyAlignment="1" applyProtection="1">
      <alignment vertical="top" wrapText="1" readingOrder="1"/>
      <protection locked="0"/>
    </xf>
    <xf numFmtId="43" fontId="30" fillId="0" borderId="0" xfId="0" applyNumberFormat="1" applyFont="1"/>
    <xf numFmtId="43" fontId="29" fillId="0" borderId="6" xfId="27" applyFont="1" applyBorder="1"/>
    <xf numFmtId="174" fontId="29" fillId="0" borderId="6" xfId="27" applyNumberFormat="1" applyFont="1" applyBorder="1"/>
    <xf numFmtId="4" fontId="0" fillId="0" borderId="0" xfId="0" applyNumberFormat="1"/>
    <xf numFmtId="0" fontId="39" fillId="0" borderId="6" xfId="0" applyFont="1" applyBorder="1"/>
    <xf numFmtId="0" fontId="40" fillId="0" borderId="6" xfId="0" applyFont="1" applyBorder="1"/>
    <xf numFmtId="0" fontId="40" fillId="13" borderId="6" xfId="0" applyFont="1" applyFill="1" applyBorder="1"/>
    <xf numFmtId="0" fontId="39" fillId="13" borderId="16" xfId="0" applyFont="1" applyFill="1" applyBorder="1"/>
    <xf numFmtId="0" fontId="39" fillId="13" borderId="20" xfId="0" applyFont="1" applyFill="1" applyBorder="1"/>
    <xf numFmtId="0" fontId="39" fillId="0" borderId="21" xfId="0" applyFont="1" applyBorder="1"/>
    <xf numFmtId="174" fontId="39" fillId="0" borderId="17" xfId="27" applyNumberFormat="1" applyFont="1" applyBorder="1"/>
    <xf numFmtId="174" fontId="39" fillId="0" borderId="22" xfId="27" applyNumberFormat="1" applyFont="1" applyBorder="1"/>
    <xf numFmtId="0" fontId="39" fillId="0" borderId="23" xfId="0" applyFont="1" applyBorder="1"/>
    <xf numFmtId="174" fontId="39" fillId="15" borderId="17" xfId="27" applyNumberFormat="1" applyFont="1" applyFill="1" applyBorder="1"/>
    <xf numFmtId="174" fontId="39" fillId="0" borderId="24" xfId="27" applyNumberFormat="1" applyFont="1" applyBorder="1"/>
    <xf numFmtId="174" fontId="41" fillId="15" borderId="17" xfId="27" applyNumberFormat="1" applyFont="1" applyFill="1" applyBorder="1"/>
    <xf numFmtId="174" fontId="41" fillId="0" borderId="24" xfId="27" applyNumberFormat="1" applyFont="1" applyBorder="1"/>
    <xf numFmtId="0" fontId="40" fillId="13" borderId="23" xfId="0" applyFont="1" applyFill="1" applyBorder="1"/>
    <xf numFmtId="174" fontId="42" fillId="13" borderId="17" xfId="27" applyNumberFormat="1" applyFont="1" applyFill="1" applyBorder="1"/>
    <xf numFmtId="174" fontId="42" fillId="13" borderId="24" xfId="27" applyNumberFormat="1" applyFont="1" applyFill="1" applyBorder="1"/>
    <xf numFmtId="0" fontId="0" fillId="0" borderId="25" xfId="0" applyBorder="1"/>
    <xf numFmtId="0" fontId="0" fillId="0" borderId="26" xfId="0" applyBorder="1"/>
    <xf numFmtId="174" fontId="41" fillId="0" borderId="17" xfId="27" applyNumberFormat="1" applyFont="1" applyBorder="1"/>
    <xf numFmtId="0" fontId="40" fillId="13" borderId="27" xfId="0" applyFont="1" applyFill="1" applyBorder="1"/>
    <xf numFmtId="174" fontId="40" fillId="13" borderId="17" xfId="27" applyNumberFormat="1" applyFont="1" applyFill="1" applyBorder="1"/>
    <xf numFmtId="174" fontId="40" fillId="13" borderId="24" xfId="27" applyNumberFormat="1" applyFont="1" applyFill="1" applyBorder="1"/>
    <xf numFmtId="0" fontId="39" fillId="0" borderId="28" xfId="0" applyFont="1" applyBorder="1"/>
    <xf numFmtId="0" fontId="40" fillId="13" borderId="28" xfId="0" applyFont="1" applyFill="1" applyBorder="1"/>
    <xf numFmtId="174" fontId="40" fillId="13" borderId="17" xfId="0" applyNumberFormat="1" applyFont="1" applyFill="1" applyBorder="1"/>
    <xf numFmtId="174" fontId="40" fillId="13" borderId="24" xfId="0" applyNumberFormat="1" applyFont="1" applyFill="1" applyBorder="1"/>
    <xf numFmtId="174" fontId="42" fillId="13" borderId="17" xfId="0" applyNumberFormat="1" applyFont="1" applyFill="1" applyBorder="1"/>
    <xf numFmtId="174" fontId="42" fillId="13" borderId="24" xfId="0" applyNumberFormat="1" applyFont="1" applyFill="1" applyBorder="1"/>
    <xf numFmtId="0" fontId="39" fillId="0" borderId="17" xfId="0" applyFont="1" applyBorder="1"/>
    <xf numFmtId="0" fontId="39" fillId="13" borderId="17" xfId="0" applyFont="1" applyFill="1" applyBorder="1"/>
    <xf numFmtId="0" fontId="39" fillId="13" borderId="24" xfId="0" applyFont="1" applyFill="1" applyBorder="1"/>
    <xf numFmtId="0" fontId="39" fillId="0" borderId="24" xfId="0" applyFont="1" applyBorder="1"/>
    <xf numFmtId="174" fontId="39" fillId="13" borderId="17" xfId="0" applyNumberFormat="1" applyFont="1" applyFill="1" applyBorder="1"/>
    <xf numFmtId="174" fontId="39" fillId="13" borderId="24" xfId="0" applyNumberFormat="1" applyFont="1" applyFill="1" applyBorder="1"/>
    <xf numFmtId="174" fontId="41" fillId="0" borderId="17" xfId="0" applyNumberFormat="1" applyFont="1" applyBorder="1"/>
    <xf numFmtId="174" fontId="41" fillId="0" borderId="24" xfId="0" applyNumberFormat="1" applyFont="1" applyBorder="1"/>
    <xf numFmtId="174" fontId="42" fillId="13" borderId="29" xfId="0" applyNumberFormat="1" applyFont="1" applyFill="1" applyBorder="1"/>
    <xf numFmtId="0" fontId="39" fillId="0" borderId="0" xfId="0" applyFont="1"/>
    <xf numFmtId="9" fontId="29" fillId="0" borderId="0" xfId="459" applyFont="1"/>
    <xf numFmtId="9" fontId="31" fillId="0" borderId="6" xfId="0" applyNumberFormat="1" applyFont="1" applyBorder="1" applyAlignment="1">
      <alignment horizontal="center" vertical="center" wrapText="1"/>
    </xf>
    <xf numFmtId="9" fontId="31" fillId="0" borderId="6" xfId="459" applyFont="1" applyBorder="1" applyAlignment="1">
      <alignment horizontal="center" vertical="center" wrapText="1"/>
    </xf>
    <xf numFmtId="43" fontId="29" fillId="0" borderId="0" xfId="27" applyFont="1"/>
    <xf numFmtId="43" fontId="43" fillId="0" borderId="0" xfId="27" applyFont="1"/>
    <xf numFmtId="43" fontId="29" fillId="0" borderId="0" xfId="27" applyFont="1" applyFill="1" applyBorder="1"/>
    <xf numFmtId="43" fontId="42" fillId="13" borderId="24" xfId="27" applyFont="1" applyFill="1" applyBorder="1"/>
    <xf numFmtId="43" fontId="40" fillId="13" borderId="24" xfId="27" applyFont="1" applyFill="1" applyBorder="1"/>
    <xf numFmtId="43" fontId="39" fillId="13" borderId="24" xfId="27" applyFont="1" applyFill="1" applyBorder="1"/>
    <xf numFmtId="43" fontId="42" fillId="13" borderId="29" xfId="27" applyFont="1" applyFill="1" applyBorder="1"/>
    <xf numFmtId="0" fontId="33" fillId="0" borderId="0" xfId="0" applyFont="1"/>
    <xf numFmtId="0" fontId="6" fillId="0" borderId="0" xfId="0" applyFont="1" applyAlignment="1" applyProtection="1">
      <alignment vertical="top" wrapText="1" readingOrder="1"/>
      <protection locked="0"/>
    </xf>
    <xf numFmtId="0" fontId="44" fillId="16" borderId="11" xfId="435" applyFont="1" applyFill="1" applyBorder="1" applyAlignment="1">
      <alignment horizontal="center" wrapText="1"/>
    </xf>
    <xf numFmtId="0" fontId="44" fillId="16" borderId="6" xfId="435" applyFont="1" applyFill="1" applyBorder="1" applyAlignment="1">
      <alignment horizontal="center"/>
    </xf>
    <xf numFmtId="0" fontId="44" fillId="16" borderId="9" xfId="435" applyFont="1" applyFill="1" applyBorder="1" applyAlignment="1">
      <alignment horizontal="center"/>
    </xf>
    <xf numFmtId="17" fontId="30" fillId="16" borderId="10" xfId="0" applyNumberFormat="1" applyFont="1" applyFill="1" applyBorder="1"/>
    <xf numFmtId="0" fontId="30" fillId="0" borderId="11" xfId="0" applyFont="1" applyBorder="1"/>
    <xf numFmtId="0" fontId="30" fillId="0" borderId="6" xfId="0" applyFont="1" applyBorder="1"/>
    <xf numFmtId="0" fontId="30" fillId="0" borderId="10" xfId="0" applyFont="1" applyBorder="1"/>
    <xf numFmtId="0" fontId="45" fillId="0" borderId="6" xfId="435" applyFont="1" applyBorder="1" applyAlignment="1">
      <alignment horizontal="center"/>
    </xf>
    <xf numFmtId="43" fontId="29" fillId="0" borderId="6" xfId="27" applyFont="1" applyFill="1" applyBorder="1" applyAlignment="1">
      <alignment horizontal="center"/>
    </xf>
    <xf numFmtId="170" fontId="29" fillId="0" borderId="6" xfId="459" applyNumberFormat="1" applyFont="1" applyFill="1" applyBorder="1" applyAlignment="1">
      <alignment horizontal="center"/>
    </xf>
    <xf numFmtId="0" fontId="30" fillId="0" borderId="6" xfId="0" applyFont="1" applyBorder="1" applyAlignment="1">
      <alignment horizontal="center"/>
    </xf>
    <xf numFmtId="170" fontId="2" fillId="0" borderId="6" xfId="461" applyNumberFormat="1" applyFont="1" applyFill="1" applyBorder="1" applyAlignment="1">
      <alignment horizontal="right"/>
    </xf>
    <xf numFmtId="170" fontId="2" fillId="0" borderId="6" xfId="461" applyNumberFormat="1" applyFont="1" applyFill="1" applyBorder="1" applyAlignment="1">
      <alignment horizontal="center"/>
    </xf>
    <xf numFmtId="9" fontId="45" fillId="0" borderId="6" xfId="435" applyNumberFormat="1" applyFont="1" applyBorder="1" applyAlignment="1">
      <alignment horizontal="center"/>
    </xf>
    <xf numFmtId="0" fontId="30" fillId="0" borderId="12" xfId="0" applyFont="1" applyBorder="1"/>
    <xf numFmtId="0" fontId="30" fillId="0" borderId="13" xfId="0" applyFont="1" applyBorder="1"/>
    <xf numFmtId="17" fontId="46" fillId="0" borderId="0" xfId="0" applyNumberFormat="1" applyFont="1" applyAlignment="1">
      <alignment horizontal="center" vertical="center"/>
    </xf>
    <xf numFmtId="174" fontId="2" fillId="0" borderId="6" xfId="30" applyNumberFormat="1" applyFont="1" applyFill="1" applyBorder="1"/>
    <xf numFmtId="0" fontId="2" fillId="0" borderId="6" xfId="0" applyFont="1" applyBorder="1"/>
    <xf numFmtId="0" fontId="29" fillId="17" borderId="6" xfId="459" applyNumberFormat="1" applyFont="1" applyFill="1" applyBorder="1" applyAlignment="1">
      <alignment horizontal="right"/>
    </xf>
    <xf numFmtId="0" fontId="29" fillId="17" borderId="6" xfId="459" applyNumberFormat="1" applyFont="1" applyFill="1" applyBorder="1" applyAlignment="1">
      <alignment horizontal="center"/>
    </xf>
    <xf numFmtId="2" fontId="2" fillId="17" borderId="6" xfId="461" applyNumberFormat="1" applyFont="1" applyFill="1" applyBorder="1" applyAlignment="1">
      <alignment horizontal="center"/>
    </xf>
    <xf numFmtId="2" fontId="29" fillId="17" borderId="6" xfId="459" applyNumberFormat="1" applyFont="1" applyFill="1" applyBorder="1" applyAlignment="1">
      <alignment horizontal="center"/>
    </xf>
    <xf numFmtId="2" fontId="0" fillId="17" borderId="6" xfId="0" applyNumberFormat="1" applyFill="1" applyBorder="1" applyAlignment="1">
      <alignment horizontal="center"/>
    </xf>
    <xf numFmtId="2" fontId="30" fillId="18" borderId="14" xfId="0" applyNumberFormat="1" applyFont="1" applyFill="1" applyBorder="1"/>
    <xf numFmtId="166" fontId="27" fillId="0" borderId="5" xfId="28" applyFont="1" applyFill="1" applyBorder="1" applyAlignment="1" applyProtection="1">
      <protection locked="0"/>
    </xf>
    <xf numFmtId="171" fontId="34" fillId="0" borderId="6" xfId="28" applyNumberFormat="1" applyFont="1" applyFill="1" applyBorder="1" applyAlignment="1" applyProtection="1">
      <protection locked="0"/>
    </xf>
    <xf numFmtId="17" fontId="22" fillId="12" borderId="7" xfId="0" applyNumberFormat="1" applyFont="1" applyFill="1" applyBorder="1" applyAlignment="1" applyProtection="1">
      <alignment vertical="top" wrapText="1" readingOrder="1"/>
      <protection locked="0"/>
    </xf>
    <xf numFmtId="175" fontId="22" fillId="12" borderId="7" xfId="0" applyNumberFormat="1" applyFont="1" applyFill="1" applyBorder="1" applyAlignment="1" applyProtection="1">
      <alignment vertical="top" wrapText="1" readingOrder="1"/>
      <protection locked="0"/>
    </xf>
    <xf numFmtId="175" fontId="30" fillId="0" borderId="9" xfId="0" applyNumberFormat="1" applyFont="1" applyBorder="1"/>
    <xf numFmtId="175" fontId="4" fillId="8" borderId="7" xfId="0" applyNumberFormat="1" applyFont="1" applyFill="1" applyBorder="1" applyAlignment="1" applyProtection="1">
      <alignment vertical="top" wrapText="1" readingOrder="1"/>
      <protection locked="0"/>
    </xf>
    <xf numFmtId="175" fontId="22" fillId="12" borderId="6" xfId="0" applyNumberFormat="1" applyFont="1" applyFill="1" applyBorder="1" applyAlignment="1" applyProtection="1">
      <alignment horizontal="center" vertical="top" readingOrder="1"/>
      <protection locked="0"/>
    </xf>
    <xf numFmtId="175" fontId="30" fillId="16" borderId="10" xfId="0" applyNumberFormat="1" applyFont="1" applyFill="1" applyBorder="1"/>
    <xf numFmtId="176" fontId="46" fillId="0" borderId="0" xfId="0" applyNumberFormat="1" applyFont="1" applyAlignment="1">
      <alignment horizontal="center" vertical="center"/>
    </xf>
    <xf numFmtId="0" fontId="17" fillId="0" borderId="5" xfId="0" applyFont="1" applyBorder="1" applyAlignment="1" applyProtection="1">
      <alignment wrapText="1"/>
      <protection locked="0"/>
    </xf>
    <xf numFmtId="166" fontId="17" fillId="0" borderId="5" xfId="28" applyFont="1" applyFill="1" applyBorder="1" applyAlignment="1" applyProtection="1">
      <protection locked="0"/>
    </xf>
    <xf numFmtId="166" fontId="18" fillId="11" borderId="5" xfId="28" applyFont="1" applyFill="1" applyBorder="1" applyAlignment="1" applyProtection="1"/>
    <xf numFmtId="172" fontId="28" fillId="0" borderId="6" xfId="0" applyNumberFormat="1" applyFont="1" applyBorder="1" applyAlignment="1" applyProtection="1">
      <alignment horizontal="right" vertical="center"/>
      <protection locked="0"/>
    </xf>
    <xf numFmtId="171" fontId="17" fillId="0" borderId="6" xfId="28" applyNumberFormat="1" applyFont="1" applyFill="1" applyBorder="1" applyAlignment="1" applyProtection="1">
      <protection locked="0"/>
    </xf>
    <xf numFmtId="166" fontId="50" fillId="0" borderId="5" xfId="28" applyFont="1" applyFill="1" applyBorder="1" applyAlignment="1" applyProtection="1">
      <protection locked="0"/>
    </xf>
    <xf numFmtId="164" fontId="5" fillId="10" borderId="7" xfId="0" applyNumberFormat="1" applyFont="1" applyFill="1" applyBorder="1" applyAlignment="1" applyProtection="1">
      <alignment vertical="top" wrapText="1" readingOrder="1"/>
      <protection locked="0"/>
    </xf>
    <xf numFmtId="164" fontId="51" fillId="0" borderId="7" xfId="0" applyNumberFormat="1" applyFont="1" applyBorder="1" applyAlignment="1" applyProtection="1">
      <alignment vertical="top" wrapText="1" readingOrder="1"/>
      <protection locked="0"/>
    </xf>
    <xf numFmtId="165" fontId="51" fillId="0" borderId="7" xfId="0" applyNumberFormat="1" applyFont="1" applyBorder="1" applyAlignment="1" applyProtection="1">
      <alignment vertical="top" wrapText="1" readingOrder="1"/>
      <protection locked="0"/>
    </xf>
    <xf numFmtId="164" fontId="52" fillId="0" borderId="7" xfId="0" applyNumberFormat="1" applyFont="1" applyBorder="1" applyAlignment="1" applyProtection="1">
      <alignment vertical="top" wrapText="1" readingOrder="1"/>
      <protection locked="0"/>
    </xf>
    <xf numFmtId="164" fontId="52" fillId="10" borderId="7" xfId="0" applyNumberFormat="1" applyFont="1" applyFill="1" applyBorder="1" applyAlignment="1" applyProtection="1">
      <alignment vertical="top" wrapText="1" readingOrder="1"/>
      <protection locked="0"/>
    </xf>
    <xf numFmtId="177" fontId="0" fillId="0" borderId="0" xfId="0" applyNumberFormat="1"/>
    <xf numFmtId="9" fontId="0" fillId="0" borderId="0" xfId="459" applyFont="1"/>
    <xf numFmtId="165" fontId="8" fillId="0" borderId="7" xfId="0" applyNumberFormat="1" applyFont="1" applyBorder="1" applyAlignment="1" applyProtection="1">
      <alignment vertical="top" wrapText="1" readingOrder="1"/>
      <protection locked="0"/>
    </xf>
    <xf numFmtId="43" fontId="0" fillId="0" borderId="0" xfId="27" applyFont="1"/>
    <xf numFmtId="43" fontId="22" fillId="12" borderId="7" xfId="27" applyFont="1" applyFill="1" applyBorder="1" applyAlignment="1" applyProtection="1">
      <alignment vertical="top" wrapText="1" readingOrder="1"/>
      <protection locked="0"/>
    </xf>
    <xf numFmtId="43" fontId="0" fillId="0" borderId="30" xfId="27" applyFont="1" applyBorder="1" applyAlignment="1" applyProtection="1">
      <alignment vertical="top" wrapText="1"/>
      <protection locked="0"/>
    </xf>
    <xf numFmtId="43" fontId="4" fillId="8" borderId="7" xfId="27" applyFont="1" applyFill="1" applyBorder="1" applyAlignment="1" applyProtection="1">
      <alignment vertical="top" wrapText="1" readingOrder="1"/>
      <protection locked="0"/>
    </xf>
    <xf numFmtId="43" fontId="52" fillId="0" borderId="31" xfId="27" applyFont="1" applyFill="1" applyBorder="1" applyAlignment="1" applyProtection="1">
      <alignment vertical="top" wrapText="1" readingOrder="1"/>
      <protection locked="0"/>
    </xf>
    <xf numFmtId="43" fontId="30" fillId="0" borderId="0" xfId="27" applyFont="1"/>
    <xf numFmtId="43" fontId="53" fillId="0" borderId="0" xfId="27" applyFont="1"/>
    <xf numFmtId="43" fontId="5" fillId="0" borderId="31" xfId="27" applyFont="1" applyFill="1" applyBorder="1" applyAlignment="1" applyProtection="1">
      <alignment vertical="top" wrapText="1" readingOrder="1"/>
      <protection locked="0"/>
    </xf>
    <xf numFmtId="164" fontId="54" fillId="0" borderId="7" xfId="0" applyNumberFormat="1" applyFont="1" applyBorder="1" applyAlignment="1" applyProtection="1">
      <alignment vertical="top" wrapText="1" readingOrder="1"/>
      <protection locked="0"/>
    </xf>
    <xf numFmtId="164" fontId="55" fillId="0" borderId="7" xfId="0" applyNumberFormat="1" applyFont="1" applyBorder="1" applyAlignment="1" applyProtection="1">
      <alignment vertical="top" wrapText="1" readingOrder="1"/>
      <protection locked="0"/>
    </xf>
    <xf numFmtId="0" fontId="56" fillId="8" borderId="7" xfId="0" applyFont="1" applyFill="1" applyBorder="1" applyAlignment="1" applyProtection="1">
      <alignment vertical="top" wrapText="1" readingOrder="1"/>
      <protection locked="0"/>
    </xf>
    <xf numFmtId="0" fontId="17" fillId="12" borderId="5" xfId="241" applyFont="1" applyFill="1" applyBorder="1"/>
    <xf numFmtId="43" fontId="8" fillId="0" borderId="7" xfId="27" applyFont="1" applyBorder="1" applyAlignment="1" applyProtection="1">
      <alignment vertical="top" readingOrder="1"/>
      <protection locked="0"/>
    </xf>
    <xf numFmtId="164" fontId="8" fillId="0" borderId="7" xfId="0" applyNumberFormat="1" applyFont="1" applyBorder="1" applyAlignment="1" applyProtection="1">
      <alignment vertical="top" readingOrder="1"/>
      <protection locked="0"/>
    </xf>
    <xf numFmtId="164" fontId="51" fillId="0" borderId="7" xfId="0" applyNumberFormat="1" applyFont="1" applyBorder="1" applyAlignment="1" applyProtection="1">
      <alignment vertical="top" readingOrder="1"/>
      <protection locked="0"/>
    </xf>
    <xf numFmtId="43" fontId="0" fillId="0" borderId="30" xfId="27" applyFont="1" applyBorder="1" applyAlignment="1" applyProtection="1">
      <alignment vertical="top"/>
      <protection locked="0"/>
    </xf>
    <xf numFmtId="0" fontId="17" fillId="0" borderId="5" xfId="241" applyFont="1" applyBorder="1"/>
    <xf numFmtId="0" fontId="27" fillId="0" borderId="0" xfId="0" applyFont="1" applyProtection="1">
      <protection locked="0"/>
    </xf>
    <xf numFmtId="174" fontId="0" fillId="0" borderId="0" xfId="27" applyNumberFormat="1" applyFont="1"/>
    <xf numFmtId="174" fontId="9" fillId="13" borderId="7" xfId="27" applyNumberFormat="1" applyFont="1" applyFill="1" applyBorder="1" applyAlignment="1" applyProtection="1">
      <alignment vertical="top" wrapText="1" readingOrder="1"/>
      <protection locked="0"/>
    </xf>
    <xf numFmtId="174" fontId="30" fillId="0" borderId="0" xfId="27" applyNumberFormat="1" applyFont="1"/>
    <xf numFmtId="174" fontId="0" fillId="0" borderId="0" xfId="27" applyNumberFormat="1" applyFont="1" applyAlignment="1"/>
    <xf numFmtId="174" fontId="4" fillId="13" borderId="7" xfId="27" applyNumberFormat="1" applyFont="1" applyFill="1" applyBorder="1" applyAlignment="1" applyProtection="1">
      <alignment vertical="top" wrapText="1" readingOrder="1"/>
      <protection locked="0"/>
    </xf>
    <xf numFmtId="174" fontId="4" fillId="14" borderId="7" xfId="27" applyNumberFormat="1" applyFont="1" applyFill="1" applyBorder="1" applyAlignment="1" applyProtection="1">
      <alignment vertical="top" wrapText="1" readingOrder="1"/>
      <protection locked="0"/>
    </xf>
    <xf numFmtId="0" fontId="58" fillId="0" borderId="32" xfId="0" applyFont="1" applyBorder="1" applyAlignment="1">
      <alignment wrapText="1" readingOrder="1"/>
    </xf>
    <xf numFmtId="4" fontId="58" fillId="0" borderId="32" xfId="0" applyNumberFormat="1" applyFont="1" applyBorder="1" applyAlignment="1">
      <alignment wrapText="1" readingOrder="1"/>
    </xf>
    <xf numFmtId="0" fontId="58" fillId="0" borderId="33" xfId="0" applyFont="1" applyBorder="1" applyAlignment="1">
      <alignment wrapText="1" readingOrder="1"/>
    </xf>
    <xf numFmtId="4" fontId="58" fillId="0" borderId="33" xfId="0" applyNumberFormat="1" applyFont="1" applyBorder="1" applyAlignment="1">
      <alignment wrapText="1" readingOrder="1"/>
    </xf>
    <xf numFmtId="0" fontId="59" fillId="0" borderId="32" xfId="0" applyFont="1" applyBorder="1" applyAlignment="1">
      <alignment wrapText="1" readingOrder="1"/>
    </xf>
    <xf numFmtId="4" fontId="59" fillId="0" borderId="32" xfId="0" applyNumberFormat="1" applyFont="1" applyBorder="1" applyAlignment="1">
      <alignment wrapText="1" readingOrder="1"/>
    </xf>
    <xf numFmtId="0" fontId="59" fillId="0" borderId="33" xfId="0" applyFont="1" applyBorder="1" applyAlignment="1">
      <alignment wrapText="1" readingOrder="1"/>
    </xf>
    <xf numFmtId="4" fontId="59" fillId="0" borderId="33" xfId="0" applyNumberFormat="1" applyFont="1" applyBorder="1" applyAlignment="1">
      <alignment wrapText="1" readingOrder="1"/>
    </xf>
    <xf numFmtId="4" fontId="59" fillId="19" borderId="33" xfId="0" applyNumberFormat="1" applyFont="1" applyFill="1" applyBorder="1" applyAlignment="1">
      <alignment wrapText="1" readingOrder="1"/>
    </xf>
    <xf numFmtId="0" fontId="19" fillId="0" borderId="0" xfId="0" applyFont="1" applyAlignment="1" applyProtection="1">
      <alignment vertical="top" wrapText="1" readingOrder="1"/>
      <protection locked="0"/>
    </xf>
    <xf numFmtId="0" fontId="56" fillId="8" borderId="7" xfId="0" applyFont="1" applyFill="1" applyBorder="1" applyAlignment="1" applyProtection="1">
      <alignment vertical="top" wrapText="1" readingOrder="1"/>
      <protection locked="0"/>
    </xf>
    <xf numFmtId="0" fontId="55" fillId="0" borderId="30" xfId="0" applyFont="1" applyBorder="1" applyAlignment="1" applyProtection="1">
      <alignment vertical="top" wrapText="1"/>
      <protection locked="0"/>
    </xf>
    <xf numFmtId="164" fontId="55" fillId="0" borderId="7" xfId="0" applyNumberFormat="1" applyFont="1" applyBorder="1" applyAlignment="1" applyProtection="1">
      <alignment vertical="top" wrapText="1" readingOrder="1"/>
      <protection locked="0"/>
    </xf>
    <xf numFmtId="0" fontId="33" fillId="0" borderId="11" xfId="241" applyFont="1" applyBorder="1" applyAlignment="1">
      <alignment horizontal="left" vertical="top"/>
    </xf>
    <xf numFmtId="0" fontId="33" fillId="0" borderId="11" xfId="241" applyFont="1" applyBorder="1" applyAlignment="1">
      <alignment horizontal="left" vertical="top" wrapText="1"/>
    </xf>
    <xf numFmtId="0" fontId="47" fillId="0" borderId="11" xfId="0" applyFont="1" applyBorder="1" applyAlignment="1">
      <alignment horizontal="center" vertical="top" wrapText="1"/>
    </xf>
    <xf numFmtId="0" fontId="48" fillId="0" borderId="0" xfId="0" applyFont="1" applyAlignment="1">
      <alignment horizontal="center"/>
    </xf>
    <xf numFmtId="0" fontId="47" fillId="0" borderId="11" xfId="0" applyFont="1" applyBorder="1" applyAlignment="1">
      <alignment horizontal="center" vertical="top"/>
    </xf>
    <xf numFmtId="0" fontId="49" fillId="0" borderId="18" xfId="0" applyFont="1" applyBorder="1" applyAlignment="1">
      <alignment horizontal="center" wrapText="1"/>
    </xf>
    <xf numFmtId="0" fontId="49" fillId="0" borderId="0" xfId="0" applyFont="1" applyAlignment="1">
      <alignment horizontal="center" wrapText="1"/>
    </xf>
    <xf numFmtId="0" fontId="49" fillId="0" borderId="19" xfId="0" applyFont="1" applyBorder="1" applyAlignment="1">
      <alignment horizontal="center" wrapText="1"/>
    </xf>
    <xf numFmtId="0" fontId="40" fillId="0" borderId="0" xfId="0" applyFont="1" applyAlignment="1">
      <alignment horizontal="center"/>
    </xf>
  </cellXfs>
  <cellStyles count="466">
    <cellStyle name="60% - Accent2 2" xfId="1" xr:uid="{00000000-0005-0000-0000-000000000000}"/>
    <cellStyle name="Accent1 2" xfId="2" xr:uid="{00000000-0005-0000-0000-000001000000}"/>
    <cellStyle name="Accent1 2 10" xfId="3" xr:uid="{00000000-0005-0000-0000-000002000000}"/>
    <cellStyle name="Accent1 2 11" xfId="4" xr:uid="{00000000-0005-0000-0000-000003000000}"/>
    <cellStyle name="Accent1 2 12" xfId="5" xr:uid="{00000000-0005-0000-0000-000004000000}"/>
    <cellStyle name="Accent1 2 2" xfId="6" xr:uid="{00000000-0005-0000-0000-000005000000}"/>
    <cellStyle name="Accent1 2 3" xfId="7" xr:uid="{00000000-0005-0000-0000-000006000000}"/>
    <cellStyle name="Accent1 2 4" xfId="8" xr:uid="{00000000-0005-0000-0000-000007000000}"/>
    <cellStyle name="Accent1 2 5" xfId="9" xr:uid="{00000000-0005-0000-0000-000008000000}"/>
    <cellStyle name="Accent1 2 6" xfId="10" xr:uid="{00000000-0005-0000-0000-000009000000}"/>
    <cellStyle name="Accent1 2 7" xfId="11" xr:uid="{00000000-0005-0000-0000-00000A000000}"/>
    <cellStyle name="Accent1 2 8" xfId="12" xr:uid="{00000000-0005-0000-0000-00000B000000}"/>
    <cellStyle name="Accent1 2 9" xfId="13" xr:uid="{00000000-0005-0000-0000-00000C000000}"/>
    <cellStyle name="Accent5 2" xfId="14" xr:uid="{00000000-0005-0000-0000-00000D000000}"/>
    <cellStyle name="Accent5 2 10" xfId="15" xr:uid="{00000000-0005-0000-0000-00000E000000}"/>
    <cellStyle name="Accent5 2 11" xfId="16" xr:uid="{00000000-0005-0000-0000-00000F000000}"/>
    <cellStyle name="Accent5 2 12" xfId="17" xr:uid="{00000000-0005-0000-0000-000010000000}"/>
    <cellStyle name="Accent5 2 2" xfId="18" xr:uid="{00000000-0005-0000-0000-000011000000}"/>
    <cellStyle name="Accent5 2 3" xfId="19" xr:uid="{00000000-0005-0000-0000-000012000000}"/>
    <cellStyle name="Accent5 2 4" xfId="20" xr:uid="{00000000-0005-0000-0000-000013000000}"/>
    <cellStyle name="Accent5 2 5" xfId="21" xr:uid="{00000000-0005-0000-0000-000014000000}"/>
    <cellStyle name="Accent5 2 6" xfId="22" xr:uid="{00000000-0005-0000-0000-000015000000}"/>
    <cellStyle name="Accent5 2 7" xfId="23" xr:uid="{00000000-0005-0000-0000-000016000000}"/>
    <cellStyle name="Accent5 2 8" xfId="24" xr:uid="{00000000-0005-0000-0000-000017000000}"/>
    <cellStyle name="Accent5 2 9" xfId="25" xr:uid="{00000000-0005-0000-0000-000018000000}"/>
    <cellStyle name="Check Cell 2" xfId="26" xr:uid="{00000000-0005-0000-0000-000019000000}"/>
    <cellStyle name="Comma" xfId="27" builtinId="3"/>
    <cellStyle name="Comma 10" xfId="28" xr:uid="{00000000-0005-0000-0000-00001B000000}"/>
    <cellStyle name="Comma 10 10" xfId="29" xr:uid="{00000000-0005-0000-0000-00001C000000}"/>
    <cellStyle name="Comma 10 10 2" xfId="30" xr:uid="{00000000-0005-0000-0000-00001D000000}"/>
    <cellStyle name="Comma 10 11" xfId="31" xr:uid="{00000000-0005-0000-0000-00001E000000}"/>
    <cellStyle name="Comma 10 12" xfId="32" xr:uid="{00000000-0005-0000-0000-00001F000000}"/>
    <cellStyle name="Comma 10 13" xfId="33" xr:uid="{00000000-0005-0000-0000-000020000000}"/>
    <cellStyle name="Comma 10 14" xfId="34" xr:uid="{00000000-0005-0000-0000-000021000000}"/>
    <cellStyle name="Comma 10 15" xfId="35" xr:uid="{00000000-0005-0000-0000-000022000000}"/>
    <cellStyle name="Comma 10 16" xfId="36" xr:uid="{00000000-0005-0000-0000-000023000000}"/>
    <cellStyle name="Comma 10 2" xfId="37" xr:uid="{00000000-0005-0000-0000-000024000000}"/>
    <cellStyle name="Comma 10 3" xfId="38" xr:uid="{00000000-0005-0000-0000-000025000000}"/>
    <cellStyle name="Comma 10 4" xfId="39" xr:uid="{00000000-0005-0000-0000-000026000000}"/>
    <cellStyle name="Comma 10 5" xfId="40" xr:uid="{00000000-0005-0000-0000-000027000000}"/>
    <cellStyle name="Comma 10 6" xfId="41" xr:uid="{00000000-0005-0000-0000-000028000000}"/>
    <cellStyle name="Comma 10 7" xfId="42" xr:uid="{00000000-0005-0000-0000-000029000000}"/>
    <cellStyle name="Comma 10 8" xfId="43" xr:uid="{00000000-0005-0000-0000-00002A000000}"/>
    <cellStyle name="Comma 10 9" xfId="44" xr:uid="{00000000-0005-0000-0000-00002B000000}"/>
    <cellStyle name="Comma 11" xfId="45" xr:uid="{00000000-0005-0000-0000-00002C000000}"/>
    <cellStyle name="Comma 11 10" xfId="46" xr:uid="{00000000-0005-0000-0000-00002D000000}"/>
    <cellStyle name="Comma 11 11" xfId="47" xr:uid="{00000000-0005-0000-0000-00002E000000}"/>
    <cellStyle name="Comma 11 12" xfId="48" xr:uid="{00000000-0005-0000-0000-00002F000000}"/>
    <cellStyle name="Comma 11 13" xfId="49" xr:uid="{00000000-0005-0000-0000-000030000000}"/>
    <cellStyle name="Comma 11 14" xfId="50" xr:uid="{00000000-0005-0000-0000-000031000000}"/>
    <cellStyle name="Comma 11 15" xfId="51" xr:uid="{00000000-0005-0000-0000-000032000000}"/>
    <cellStyle name="Comma 11 16" xfId="52" xr:uid="{00000000-0005-0000-0000-000033000000}"/>
    <cellStyle name="Comma 11 17" xfId="53" xr:uid="{00000000-0005-0000-0000-000034000000}"/>
    <cellStyle name="Comma 11 2" xfId="54" xr:uid="{00000000-0005-0000-0000-000035000000}"/>
    <cellStyle name="Comma 11 2 2" xfId="55" xr:uid="{00000000-0005-0000-0000-000036000000}"/>
    <cellStyle name="Comma 11 3" xfId="56" xr:uid="{00000000-0005-0000-0000-000037000000}"/>
    <cellStyle name="Comma 11 4" xfId="57" xr:uid="{00000000-0005-0000-0000-000038000000}"/>
    <cellStyle name="Comma 11 5" xfId="58" xr:uid="{00000000-0005-0000-0000-000039000000}"/>
    <cellStyle name="Comma 11 6" xfId="59" xr:uid="{00000000-0005-0000-0000-00003A000000}"/>
    <cellStyle name="Comma 11 7" xfId="60" xr:uid="{00000000-0005-0000-0000-00003B000000}"/>
    <cellStyle name="Comma 11 8" xfId="61" xr:uid="{00000000-0005-0000-0000-00003C000000}"/>
    <cellStyle name="Comma 11 9" xfId="62" xr:uid="{00000000-0005-0000-0000-00003D000000}"/>
    <cellStyle name="Comma 12" xfId="63" xr:uid="{00000000-0005-0000-0000-00003E000000}"/>
    <cellStyle name="Comma 13" xfId="64" xr:uid="{00000000-0005-0000-0000-00003F000000}"/>
    <cellStyle name="Comma 14" xfId="65" xr:uid="{00000000-0005-0000-0000-000040000000}"/>
    <cellStyle name="Comma 15" xfId="66" xr:uid="{00000000-0005-0000-0000-000041000000}"/>
    <cellStyle name="Comma 16" xfId="67" xr:uid="{00000000-0005-0000-0000-000042000000}"/>
    <cellStyle name="Comma 16 10" xfId="68" xr:uid="{00000000-0005-0000-0000-000043000000}"/>
    <cellStyle name="Comma 16 11" xfId="69" xr:uid="{00000000-0005-0000-0000-000044000000}"/>
    <cellStyle name="Comma 16 12" xfId="70" xr:uid="{00000000-0005-0000-0000-000045000000}"/>
    <cellStyle name="Comma 16 13" xfId="71" xr:uid="{00000000-0005-0000-0000-000046000000}"/>
    <cellStyle name="Comma 16 14" xfId="72" xr:uid="{00000000-0005-0000-0000-000047000000}"/>
    <cellStyle name="Comma 16 15" xfId="73" xr:uid="{00000000-0005-0000-0000-000048000000}"/>
    <cellStyle name="Comma 16 16" xfId="74" xr:uid="{00000000-0005-0000-0000-000049000000}"/>
    <cellStyle name="Comma 16 2" xfId="75" xr:uid="{00000000-0005-0000-0000-00004A000000}"/>
    <cellStyle name="Comma 16 3" xfId="76" xr:uid="{00000000-0005-0000-0000-00004B000000}"/>
    <cellStyle name="Comma 16 4" xfId="77" xr:uid="{00000000-0005-0000-0000-00004C000000}"/>
    <cellStyle name="Comma 16 5" xfId="78" xr:uid="{00000000-0005-0000-0000-00004D000000}"/>
    <cellStyle name="Comma 16 6" xfId="79" xr:uid="{00000000-0005-0000-0000-00004E000000}"/>
    <cellStyle name="Comma 16 7" xfId="80" xr:uid="{00000000-0005-0000-0000-00004F000000}"/>
    <cellStyle name="Comma 16 8" xfId="81" xr:uid="{00000000-0005-0000-0000-000050000000}"/>
    <cellStyle name="Comma 16 9" xfId="82" xr:uid="{00000000-0005-0000-0000-000051000000}"/>
    <cellStyle name="Comma 17" xfId="83" xr:uid="{00000000-0005-0000-0000-000052000000}"/>
    <cellStyle name="Comma 17 10" xfId="84" xr:uid="{00000000-0005-0000-0000-000053000000}"/>
    <cellStyle name="Comma 17 2" xfId="85" xr:uid="{00000000-0005-0000-0000-000054000000}"/>
    <cellStyle name="Comma 17 3" xfId="86" xr:uid="{00000000-0005-0000-0000-000055000000}"/>
    <cellStyle name="Comma 17 4" xfId="87" xr:uid="{00000000-0005-0000-0000-000056000000}"/>
    <cellStyle name="Comma 17 5" xfId="88" xr:uid="{00000000-0005-0000-0000-000057000000}"/>
    <cellStyle name="Comma 17 6" xfId="89" xr:uid="{00000000-0005-0000-0000-000058000000}"/>
    <cellStyle name="Comma 17 7" xfId="90" xr:uid="{00000000-0005-0000-0000-000059000000}"/>
    <cellStyle name="Comma 17 8" xfId="91" xr:uid="{00000000-0005-0000-0000-00005A000000}"/>
    <cellStyle name="Comma 17 9" xfId="92" xr:uid="{00000000-0005-0000-0000-00005B000000}"/>
    <cellStyle name="Comma 18" xfId="93" xr:uid="{00000000-0005-0000-0000-00005C000000}"/>
    <cellStyle name="Comma 18 2" xfId="94" xr:uid="{00000000-0005-0000-0000-00005D000000}"/>
    <cellStyle name="Comma 18 3" xfId="95" xr:uid="{00000000-0005-0000-0000-00005E000000}"/>
    <cellStyle name="Comma 2" xfId="96" xr:uid="{00000000-0005-0000-0000-00005F000000}"/>
    <cellStyle name="Comma 2 10" xfId="97" xr:uid="{00000000-0005-0000-0000-000060000000}"/>
    <cellStyle name="Comma 2 11" xfId="98" xr:uid="{00000000-0005-0000-0000-000061000000}"/>
    <cellStyle name="Comma 2 12" xfId="99" xr:uid="{00000000-0005-0000-0000-000062000000}"/>
    <cellStyle name="Comma 2 13" xfId="100" xr:uid="{00000000-0005-0000-0000-000063000000}"/>
    <cellStyle name="Comma 2 14" xfId="101" xr:uid="{00000000-0005-0000-0000-000064000000}"/>
    <cellStyle name="Comma 2 15" xfId="102" xr:uid="{00000000-0005-0000-0000-000065000000}"/>
    <cellStyle name="Comma 2 16" xfId="103" xr:uid="{00000000-0005-0000-0000-000066000000}"/>
    <cellStyle name="Comma 2 17" xfId="104" xr:uid="{00000000-0005-0000-0000-000067000000}"/>
    <cellStyle name="Comma 2 18" xfId="105" xr:uid="{00000000-0005-0000-0000-000068000000}"/>
    <cellStyle name="Comma 2 19" xfId="106" xr:uid="{00000000-0005-0000-0000-000069000000}"/>
    <cellStyle name="Comma 2 2" xfId="107" xr:uid="{00000000-0005-0000-0000-00006A000000}"/>
    <cellStyle name="Comma 2 20" xfId="108" xr:uid="{00000000-0005-0000-0000-00006B000000}"/>
    <cellStyle name="Comma 2 21" xfId="109" xr:uid="{00000000-0005-0000-0000-00006C000000}"/>
    <cellStyle name="Comma 2 22" xfId="110" xr:uid="{00000000-0005-0000-0000-00006D000000}"/>
    <cellStyle name="Comma 2 23" xfId="111" xr:uid="{00000000-0005-0000-0000-00006E000000}"/>
    <cellStyle name="Comma 2 24" xfId="112" xr:uid="{00000000-0005-0000-0000-00006F000000}"/>
    <cellStyle name="Comma 2 25" xfId="113" xr:uid="{00000000-0005-0000-0000-000070000000}"/>
    <cellStyle name="Comma 2 26" xfId="114" xr:uid="{00000000-0005-0000-0000-000071000000}"/>
    <cellStyle name="Comma 2 3" xfId="115" xr:uid="{00000000-0005-0000-0000-000072000000}"/>
    <cellStyle name="Comma 2 4" xfId="116" xr:uid="{00000000-0005-0000-0000-000073000000}"/>
    <cellStyle name="Comma 2 5" xfId="117" xr:uid="{00000000-0005-0000-0000-000074000000}"/>
    <cellStyle name="Comma 2 6" xfId="118" xr:uid="{00000000-0005-0000-0000-000075000000}"/>
    <cellStyle name="Comma 2 7" xfId="119" xr:uid="{00000000-0005-0000-0000-000076000000}"/>
    <cellStyle name="Comma 2 8" xfId="120" xr:uid="{00000000-0005-0000-0000-000077000000}"/>
    <cellStyle name="Comma 2 9" xfId="121" xr:uid="{00000000-0005-0000-0000-000078000000}"/>
    <cellStyle name="Comma 24" xfId="122" xr:uid="{00000000-0005-0000-0000-000079000000}"/>
    <cellStyle name="Comma 3" xfId="123" xr:uid="{00000000-0005-0000-0000-00007A000000}"/>
    <cellStyle name="Comma 3 10" xfId="124" xr:uid="{00000000-0005-0000-0000-00007B000000}"/>
    <cellStyle name="Comma 3 11" xfId="125" xr:uid="{00000000-0005-0000-0000-00007C000000}"/>
    <cellStyle name="Comma 3 12" xfId="126" xr:uid="{00000000-0005-0000-0000-00007D000000}"/>
    <cellStyle name="Comma 3 13" xfId="127" xr:uid="{00000000-0005-0000-0000-00007E000000}"/>
    <cellStyle name="Comma 3 14" xfId="128" xr:uid="{00000000-0005-0000-0000-00007F000000}"/>
    <cellStyle name="Comma 3 15" xfId="129" xr:uid="{00000000-0005-0000-0000-000080000000}"/>
    <cellStyle name="Comma 3 16" xfId="130" xr:uid="{00000000-0005-0000-0000-000081000000}"/>
    <cellStyle name="Comma 3 17" xfId="131" xr:uid="{00000000-0005-0000-0000-000082000000}"/>
    <cellStyle name="Comma 3 18" xfId="132" xr:uid="{00000000-0005-0000-0000-000083000000}"/>
    <cellStyle name="Comma 3 19" xfId="133" xr:uid="{00000000-0005-0000-0000-000084000000}"/>
    <cellStyle name="Comma 3 2" xfId="134" xr:uid="{00000000-0005-0000-0000-000085000000}"/>
    <cellStyle name="Comma 3 20" xfId="135" xr:uid="{00000000-0005-0000-0000-000086000000}"/>
    <cellStyle name="Comma 3 3" xfId="136" xr:uid="{00000000-0005-0000-0000-000087000000}"/>
    <cellStyle name="Comma 3 4" xfId="137" xr:uid="{00000000-0005-0000-0000-000088000000}"/>
    <cellStyle name="Comma 3 5" xfId="138" xr:uid="{00000000-0005-0000-0000-000089000000}"/>
    <cellStyle name="Comma 3 6" xfId="139" xr:uid="{00000000-0005-0000-0000-00008A000000}"/>
    <cellStyle name="Comma 3 7" xfId="140" xr:uid="{00000000-0005-0000-0000-00008B000000}"/>
    <cellStyle name="Comma 3 8" xfId="141" xr:uid="{00000000-0005-0000-0000-00008C000000}"/>
    <cellStyle name="Comma 3 9" xfId="142" xr:uid="{00000000-0005-0000-0000-00008D000000}"/>
    <cellStyle name="Comma 4" xfId="143" xr:uid="{00000000-0005-0000-0000-00008E000000}"/>
    <cellStyle name="Comma 5" xfId="144" xr:uid="{00000000-0005-0000-0000-00008F000000}"/>
    <cellStyle name="Comma 5 10" xfId="145" xr:uid="{00000000-0005-0000-0000-000090000000}"/>
    <cellStyle name="Comma 5 11" xfId="146" xr:uid="{00000000-0005-0000-0000-000091000000}"/>
    <cellStyle name="Comma 5 12" xfId="147" xr:uid="{00000000-0005-0000-0000-000092000000}"/>
    <cellStyle name="Comma 5 13" xfId="148" xr:uid="{00000000-0005-0000-0000-000093000000}"/>
    <cellStyle name="Comma 5 14" xfId="149" xr:uid="{00000000-0005-0000-0000-000094000000}"/>
    <cellStyle name="Comma 5 15" xfId="150" xr:uid="{00000000-0005-0000-0000-000095000000}"/>
    <cellStyle name="Comma 5 16" xfId="151" xr:uid="{00000000-0005-0000-0000-000096000000}"/>
    <cellStyle name="Comma 5 17" xfId="152" xr:uid="{00000000-0005-0000-0000-000097000000}"/>
    <cellStyle name="Comma 5 18" xfId="153" xr:uid="{00000000-0005-0000-0000-000098000000}"/>
    <cellStyle name="Comma 5 19" xfId="154" xr:uid="{00000000-0005-0000-0000-000099000000}"/>
    <cellStyle name="Comma 5 2" xfId="155" xr:uid="{00000000-0005-0000-0000-00009A000000}"/>
    <cellStyle name="Comma 5 20" xfId="156" xr:uid="{00000000-0005-0000-0000-00009B000000}"/>
    <cellStyle name="Comma 5 3" xfId="157" xr:uid="{00000000-0005-0000-0000-00009C000000}"/>
    <cellStyle name="Comma 5 4" xfId="158" xr:uid="{00000000-0005-0000-0000-00009D000000}"/>
    <cellStyle name="Comma 5 5" xfId="159" xr:uid="{00000000-0005-0000-0000-00009E000000}"/>
    <cellStyle name="Comma 5 6" xfId="160" xr:uid="{00000000-0005-0000-0000-00009F000000}"/>
    <cellStyle name="Comma 5 7" xfId="161" xr:uid="{00000000-0005-0000-0000-0000A0000000}"/>
    <cellStyle name="Comma 5 8" xfId="162" xr:uid="{00000000-0005-0000-0000-0000A1000000}"/>
    <cellStyle name="Comma 5 9" xfId="163" xr:uid="{00000000-0005-0000-0000-0000A2000000}"/>
    <cellStyle name="Comma 6" xfId="164" xr:uid="{00000000-0005-0000-0000-0000A3000000}"/>
    <cellStyle name="Comma 6 10" xfId="165" xr:uid="{00000000-0005-0000-0000-0000A4000000}"/>
    <cellStyle name="Comma 6 11" xfId="166" xr:uid="{00000000-0005-0000-0000-0000A5000000}"/>
    <cellStyle name="Comma 6 12" xfId="167" xr:uid="{00000000-0005-0000-0000-0000A6000000}"/>
    <cellStyle name="Comma 6 13" xfId="168" xr:uid="{00000000-0005-0000-0000-0000A7000000}"/>
    <cellStyle name="Comma 6 14" xfId="169" xr:uid="{00000000-0005-0000-0000-0000A8000000}"/>
    <cellStyle name="Comma 6 15" xfId="170" xr:uid="{00000000-0005-0000-0000-0000A9000000}"/>
    <cellStyle name="Comma 6 16" xfId="171" xr:uid="{00000000-0005-0000-0000-0000AA000000}"/>
    <cellStyle name="Comma 6 17" xfId="172" xr:uid="{00000000-0005-0000-0000-0000AB000000}"/>
    <cellStyle name="Comma 6 18" xfId="173" xr:uid="{00000000-0005-0000-0000-0000AC000000}"/>
    <cellStyle name="Comma 6 19" xfId="174" xr:uid="{00000000-0005-0000-0000-0000AD000000}"/>
    <cellStyle name="Comma 6 2" xfId="175" xr:uid="{00000000-0005-0000-0000-0000AE000000}"/>
    <cellStyle name="Comma 6 3" xfId="176" xr:uid="{00000000-0005-0000-0000-0000AF000000}"/>
    <cellStyle name="Comma 6 4" xfId="177" xr:uid="{00000000-0005-0000-0000-0000B0000000}"/>
    <cellStyle name="Comma 6 5" xfId="178" xr:uid="{00000000-0005-0000-0000-0000B1000000}"/>
    <cellStyle name="Comma 6 6" xfId="179" xr:uid="{00000000-0005-0000-0000-0000B2000000}"/>
    <cellStyle name="Comma 6 7" xfId="180" xr:uid="{00000000-0005-0000-0000-0000B3000000}"/>
    <cellStyle name="Comma 6 8" xfId="181" xr:uid="{00000000-0005-0000-0000-0000B4000000}"/>
    <cellStyle name="Comma 6 9" xfId="182" xr:uid="{00000000-0005-0000-0000-0000B5000000}"/>
    <cellStyle name="Comma 7" xfId="183" xr:uid="{00000000-0005-0000-0000-0000B6000000}"/>
    <cellStyle name="Comma 7 10" xfId="184" xr:uid="{00000000-0005-0000-0000-0000B7000000}"/>
    <cellStyle name="Comma 7 11" xfId="185" xr:uid="{00000000-0005-0000-0000-0000B8000000}"/>
    <cellStyle name="Comma 7 12" xfId="186" xr:uid="{00000000-0005-0000-0000-0000B9000000}"/>
    <cellStyle name="Comma 7 13" xfId="187" xr:uid="{00000000-0005-0000-0000-0000BA000000}"/>
    <cellStyle name="Comma 7 14" xfId="188" xr:uid="{00000000-0005-0000-0000-0000BB000000}"/>
    <cellStyle name="Comma 7 15" xfId="189" xr:uid="{00000000-0005-0000-0000-0000BC000000}"/>
    <cellStyle name="Comma 7 16" xfId="190" xr:uid="{00000000-0005-0000-0000-0000BD000000}"/>
    <cellStyle name="Comma 7 17" xfId="191" xr:uid="{00000000-0005-0000-0000-0000BE000000}"/>
    <cellStyle name="Comma 7 18" xfId="192" xr:uid="{00000000-0005-0000-0000-0000BF000000}"/>
    <cellStyle name="Comma 7 19" xfId="193" xr:uid="{00000000-0005-0000-0000-0000C0000000}"/>
    <cellStyle name="Comma 7 2" xfId="194" xr:uid="{00000000-0005-0000-0000-0000C1000000}"/>
    <cellStyle name="Comma 7 3" xfId="195" xr:uid="{00000000-0005-0000-0000-0000C2000000}"/>
    <cellStyle name="Comma 7 4" xfId="196" xr:uid="{00000000-0005-0000-0000-0000C3000000}"/>
    <cellStyle name="Comma 7 5" xfId="197" xr:uid="{00000000-0005-0000-0000-0000C4000000}"/>
    <cellStyle name="Comma 7 6" xfId="198" xr:uid="{00000000-0005-0000-0000-0000C5000000}"/>
    <cellStyle name="Comma 7 7" xfId="199" xr:uid="{00000000-0005-0000-0000-0000C6000000}"/>
    <cellStyle name="Comma 7 8" xfId="200" xr:uid="{00000000-0005-0000-0000-0000C7000000}"/>
    <cellStyle name="Comma 7 9" xfId="201" xr:uid="{00000000-0005-0000-0000-0000C8000000}"/>
    <cellStyle name="Comma 8" xfId="202" xr:uid="{00000000-0005-0000-0000-0000C9000000}"/>
    <cellStyle name="Comma 8 10" xfId="203" xr:uid="{00000000-0005-0000-0000-0000CA000000}"/>
    <cellStyle name="Comma 8 11" xfId="204" xr:uid="{00000000-0005-0000-0000-0000CB000000}"/>
    <cellStyle name="Comma 8 12" xfId="205" xr:uid="{00000000-0005-0000-0000-0000CC000000}"/>
    <cellStyle name="Comma 8 13" xfId="206" xr:uid="{00000000-0005-0000-0000-0000CD000000}"/>
    <cellStyle name="Comma 8 14" xfId="207" xr:uid="{00000000-0005-0000-0000-0000CE000000}"/>
    <cellStyle name="Comma 8 15" xfId="208" xr:uid="{00000000-0005-0000-0000-0000CF000000}"/>
    <cellStyle name="Comma 8 16" xfId="209" xr:uid="{00000000-0005-0000-0000-0000D0000000}"/>
    <cellStyle name="Comma 8 17" xfId="210" xr:uid="{00000000-0005-0000-0000-0000D1000000}"/>
    <cellStyle name="Comma 8 18" xfId="211" xr:uid="{00000000-0005-0000-0000-0000D2000000}"/>
    <cellStyle name="Comma 8 19" xfId="212" xr:uid="{00000000-0005-0000-0000-0000D3000000}"/>
    <cellStyle name="Comma 8 2" xfId="213" xr:uid="{00000000-0005-0000-0000-0000D4000000}"/>
    <cellStyle name="Comma 8 3" xfId="214" xr:uid="{00000000-0005-0000-0000-0000D5000000}"/>
    <cellStyle name="Comma 8 4" xfId="215" xr:uid="{00000000-0005-0000-0000-0000D6000000}"/>
    <cellStyle name="Comma 8 5" xfId="216" xr:uid="{00000000-0005-0000-0000-0000D7000000}"/>
    <cellStyle name="Comma 8 6" xfId="217" xr:uid="{00000000-0005-0000-0000-0000D8000000}"/>
    <cellStyle name="Comma 8 7" xfId="218" xr:uid="{00000000-0005-0000-0000-0000D9000000}"/>
    <cellStyle name="Comma 8 8" xfId="219" xr:uid="{00000000-0005-0000-0000-0000DA000000}"/>
    <cellStyle name="Comma 8 9" xfId="220" xr:uid="{00000000-0005-0000-0000-0000DB000000}"/>
    <cellStyle name="Comma 9" xfId="221" xr:uid="{00000000-0005-0000-0000-0000DC000000}"/>
    <cellStyle name="Comma 9 10" xfId="222" xr:uid="{00000000-0005-0000-0000-0000DD000000}"/>
    <cellStyle name="Comma 9 11" xfId="223" xr:uid="{00000000-0005-0000-0000-0000DE000000}"/>
    <cellStyle name="Comma 9 12" xfId="224" xr:uid="{00000000-0005-0000-0000-0000DF000000}"/>
    <cellStyle name="Comma 9 13" xfId="225" xr:uid="{00000000-0005-0000-0000-0000E0000000}"/>
    <cellStyle name="Comma 9 14" xfId="226" xr:uid="{00000000-0005-0000-0000-0000E1000000}"/>
    <cellStyle name="Comma 9 15" xfId="227" xr:uid="{00000000-0005-0000-0000-0000E2000000}"/>
    <cellStyle name="Comma 9 16" xfId="228" xr:uid="{00000000-0005-0000-0000-0000E3000000}"/>
    <cellStyle name="Comma 9 17" xfId="229" xr:uid="{00000000-0005-0000-0000-0000E4000000}"/>
    <cellStyle name="Comma 9 18" xfId="230" xr:uid="{00000000-0005-0000-0000-0000E5000000}"/>
    <cellStyle name="Comma 9 19" xfId="231" xr:uid="{00000000-0005-0000-0000-0000E6000000}"/>
    <cellStyle name="Comma 9 2" xfId="232" xr:uid="{00000000-0005-0000-0000-0000E7000000}"/>
    <cellStyle name="Comma 9 3" xfId="233" xr:uid="{00000000-0005-0000-0000-0000E8000000}"/>
    <cellStyle name="Comma 9 4" xfId="234" xr:uid="{00000000-0005-0000-0000-0000E9000000}"/>
    <cellStyle name="Comma 9 5" xfId="235" xr:uid="{00000000-0005-0000-0000-0000EA000000}"/>
    <cellStyle name="Comma 9 6" xfId="236" xr:uid="{00000000-0005-0000-0000-0000EB000000}"/>
    <cellStyle name="Comma 9 7" xfId="237" xr:uid="{00000000-0005-0000-0000-0000EC000000}"/>
    <cellStyle name="Comma 9 8" xfId="238" xr:uid="{00000000-0005-0000-0000-0000ED000000}"/>
    <cellStyle name="Comma 9 9" xfId="239" xr:uid="{00000000-0005-0000-0000-0000EE000000}"/>
    <cellStyle name="Input 2" xfId="240" xr:uid="{00000000-0005-0000-0000-0000EF000000}"/>
    <cellStyle name="Normal" xfId="0" builtinId="0"/>
    <cellStyle name="Normal 10" xfId="241" xr:uid="{00000000-0005-0000-0000-0000F1000000}"/>
    <cellStyle name="Normal 10 2" xfId="242" xr:uid="{00000000-0005-0000-0000-0000F2000000}"/>
    <cellStyle name="Normal 10 3" xfId="243" xr:uid="{00000000-0005-0000-0000-0000F3000000}"/>
    <cellStyle name="Normal 10 4" xfId="244" xr:uid="{00000000-0005-0000-0000-0000F4000000}"/>
    <cellStyle name="Normal 10 5" xfId="245" xr:uid="{00000000-0005-0000-0000-0000F5000000}"/>
    <cellStyle name="Normal 11" xfId="246" xr:uid="{00000000-0005-0000-0000-0000F6000000}"/>
    <cellStyle name="Normal 12" xfId="247" xr:uid="{00000000-0005-0000-0000-0000F7000000}"/>
    <cellStyle name="Normal 12 2" xfId="248" xr:uid="{00000000-0005-0000-0000-0000F8000000}"/>
    <cellStyle name="Normal 12 3" xfId="249" xr:uid="{00000000-0005-0000-0000-0000F9000000}"/>
    <cellStyle name="Normal 12 4" xfId="250" xr:uid="{00000000-0005-0000-0000-0000FA000000}"/>
    <cellStyle name="Normal 12 5" xfId="251" xr:uid="{00000000-0005-0000-0000-0000FB000000}"/>
    <cellStyle name="Normal 13" xfId="252" xr:uid="{00000000-0005-0000-0000-0000FC000000}"/>
    <cellStyle name="Normal 13 2" xfId="253" xr:uid="{00000000-0005-0000-0000-0000FD000000}"/>
    <cellStyle name="Normal 13 3" xfId="254" xr:uid="{00000000-0005-0000-0000-0000FE000000}"/>
    <cellStyle name="Normal 13 4" xfId="255" xr:uid="{00000000-0005-0000-0000-0000FF000000}"/>
    <cellStyle name="Normal 13 5" xfId="256" xr:uid="{00000000-0005-0000-0000-000000010000}"/>
    <cellStyle name="Normal 14" xfId="257" xr:uid="{00000000-0005-0000-0000-000001010000}"/>
    <cellStyle name="Normal 14 10" xfId="258" xr:uid="{00000000-0005-0000-0000-000002010000}"/>
    <cellStyle name="Normal 14 11" xfId="259" xr:uid="{00000000-0005-0000-0000-000003010000}"/>
    <cellStyle name="Normal 14 12" xfId="260" xr:uid="{00000000-0005-0000-0000-000004010000}"/>
    <cellStyle name="Normal 14 2" xfId="261" xr:uid="{00000000-0005-0000-0000-000005010000}"/>
    <cellStyle name="Normal 14 3" xfId="262" xr:uid="{00000000-0005-0000-0000-000006010000}"/>
    <cellStyle name="Normal 14 4" xfId="263" xr:uid="{00000000-0005-0000-0000-000007010000}"/>
    <cellStyle name="Normal 14 5" xfId="264" xr:uid="{00000000-0005-0000-0000-000008010000}"/>
    <cellStyle name="Normal 14 6" xfId="265" xr:uid="{00000000-0005-0000-0000-000009010000}"/>
    <cellStyle name="Normal 14 7" xfId="266" xr:uid="{00000000-0005-0000-0000-00000A010000}"/>
    <cellStyle name="Normal 14 8" xfId="267" xr:uid="{00000000-0005-0000-0000-00000B010000}"/>
    <cellStyle name="Normal 14 9" xfId="268" xr:uid="{00000000-0005-0000-0000-00000C010000}"/>
    <cellStyle name="Normal 15" xfId="269" xr:uid="{00000000-0005-0000-0000-00000D010000}"/>
    <cellStyle name="Normal 16" xfId="270" xr:uid="{00000000-0005-0000-0000-00000E010000}"/>
    <cellStyle name="Normal 17" xfId="271" xr:uid="{00000000-0005-0000-0000-00000F010000}"/>
    <cellStyle name="Normal 17 2" xfId="272" xr:uid="{00000000-0005-0000-0000-000010010000}"/>
    <cellStyle name="Normal 17 2 2" xfId="273" xr:uid="{00000000-0005-0000-0000-000011010000}"/>
    <cellStyle name="Normal 17 3" xfId="274" xr:uid="{00000000-0005-0000-0000-000012010000}"/>
    <cellStyle name="Normal 17 3 2" xfId="275" xr:uid="{00000000-0005-0000-0000-000013010000}"/>
    <cellStyle name="Normal 17 4" xfId="276" xr:uid="{00000000-0005-0000-0000-000014010000}"/>
    <cellStyle name="Normal 17 4 2" xfId="277" xr:uid="{00000000-0005-0000-0000-000015010000}"/>
    <cellStyle name="Normal 17 5" xfId="278" xr:uid="{00000000-0005-0000-0000-000016010000}"/>
    <cellStyle name="Normal 17 5 2" xfId="279" xr:uid="{00000000-0005-0000-0000-000017010000}"/>
    <cellStyle name="Normal 17 6" xfId="280" xr:uid="{00000000-0005-0000-0000-000018010000}"/>
    <cellStyle name="Normal 18" xfId="281" xr:uid="{00000000-0005-0000-0000-000019010000}"/>
    <cellStyle name="Normal 19" xfId="282" xr:uid="{00000000-0005-0000-0000-00001A010000}"/>
    <cellStyle name="Normal 2" xfId="283" xr:uid="{00000000-0005-0000-0000-00001B010000}"/>
    <cellStyle name="Normal 2 10" xfId="284" xr:uid="{00000000-0005-0000-0000-00001C010000}"/>
    <cellStyle name="Normal 2 11" xfId="285" xr:uid="{00000000-0005-0000-0000-00001D010000}"/>
    <cellStyle name="Normal 2 12" xfId="286" xr:uid="{00000000-0005-0000-0000-00001E010000}"/>
    <cellStyle name="Normal 2 13" xfId="287" xr:uid="{00000000-0005-0000-0000-00001F010000}"/>
    <cellStyle name="Normal 2 14" xfId="288" xr:uid="{00000000-0005-0000-0000-000020010000}"/>
    <cellStyle name="Normal 2 15" xfId="289" xr:uid="{00000000-0005-0000-0000-000021010000}"/>
    <cellStyle name="Normal 2 16" xfId="290" xr:uid="{00000000-0005-0000-0000-000022010000}"/>
    <cellStyle name="Normal 2 17" xfId="291" xr:uid="{00000000-0005-0000-0000-000023010000}"/>
    <cellStyle name="Normal 2 18" xfId="292" xr:uid="{00000000-0005-0000-0000-000024010000}"/>
    <cellStyle name="Normal 2 19" xfId="293" xr:uid="{00000000-0005-0000-0000-000025010000}"/>
    <cellStyle name="Normal 2 2" xfId="294" xr:uid="{00000000-0005-0000-0000-000026010000}"/>
    <cellStyle name="Normal 2 20" xfId="295" xr:uid="{00000000-0005-0000-0000-000027010000}"/>
    <cellStyle name="Normal 2 3" xfId="296" xr:uid="{00000000-0005-0000-0000-000028010000}"/>
    <cellStyle name="Normal 2 4" xfId="297" xr:uid="{00000000-0005-0000-0000-000029010000}"/>
    <cellStyle name="Normal 2 5" xfId="298" xr:uid="{00000000-0005-0000-0000-00002A010000}"/>
    <cellStyle name="Normal 2 6" xfId="299" xr:uid="{00000000-0005-0000-0000-00002B010000}"/>
    <cellStyle name="Normal 2 7" xfId="300" xr:uid="{00000000-0005-0000-0000-00002C010000}"/>
    <cellStyle name="Normal 2 8" xfId="301" xr:uid="{00000000-0005-0000-0000-00002D010000}"/>
    <cellStyle name="Normal 2 9" xfId="302" xr:uid="{00000000-0005-0000-0000-00002E010000}"/>
    <cellStyle name="Normal 2_deposits mobilized" xfId="303" xr:uid="{00000000-0005-0000-0000-00002F010000}"/>
    <cellStyle name="Normal 20" xfId="304" xr:uid="{00000000-0005-0000-0000-000030010000}"/>
    <cellStyle name="Normal 21" xfId="305" xr:uid="{00000000-0005-0000-0000-000031010000}"/>
    <cellStyle name="Normal 21 10" xfId="306" xr:uid="{00000000-0005-0000-0000-000032010000}"/>
    <cellStyle name="Normal 21 10 2" xfId="307" xr:uid="{00000000-0005-0000-0000-000033010000}"/>
    <cellStyle name="Normal 21 11" xfId="308" xr:uid="{00000000-0005-0000-0000-000034010000}"/>
    <cellStyle name="Normal 21 11 2" xfId="309" xr:uid="{00000000-0005-0000-0000-000035010000}"/>
    <cellStyle name="Normal 21 12" xfId="310" xr:uid="{00000000-0005-0000-0000-000036010000}"/>
    <cellStyle name="Normal 21 12 2" xfId="311" xr:uid="{00000000-0005-0000-0000-000037010000}"/>
    <cellStyle name="Normal 21 13" xfId="312" xr:uid="{00000000-0005-0000-0000-000038010000}"/>
    <cellStyle name="Normal 21 13 2" xfId="313" xr:uid="{00000000-0005-0000-0000-000039010000}"/>
    <cellStyle name="Normal 21 14" xfId="314" xr:uid="{00000000-0005-0000-0000-00003A010000}"/>
    <cellStyle name="Normal 21 14 2" xfId="315" xr:uid="{00000000-0005-0000-0000-00003B010000}"/>
    <cellStyle name="Normal 21 15" xfId="316" xr:uid="{00000000-0005-0000-0000-00003C010000}"/>
    <cellStyle name="Normal 21 15 2" xfId="317" xr:uid="{00000000-0005-0000-0000-00003D010000}"/>
    <cellStyle name="Normal 21 16" xfId="318" xr:uid="{00000000-0005-0000-0000-00003E010000}"/>
    <cellStyle name="Normal 21 16 2" xfId="319" xr:uid="{00000000-0005-0000-0000-00003F010000}"/>
    <cellStyle name="Normal 21 17" xfId="320" xr:uid="{00000000-0005-0000-0000-000040010000}"/>
    <cellStyle name="Normal 21 2" xfId="321" xr:uid="{00000000-0005-0000-0000-000041010000}"/>
    <cellStyle name="Normal 21 2 2" xfId="322" xr:uid="{00000000-0005-0000-0000-000042010000}"/>
    <cellStyle name="Normal 21 3" xfId="323" xr:uid="{00000000-0005-0000-0000-000043010000}"/>
    <cellStyle name="Normal 21 3 2" xfId="324" xr:uid="{00000000-0005-0000-0000-000044010000}"/>
    <cellStyle name="Normal 21 4" xfId="325" xr:uid="{00000000-0005-0000-0000-000045010000}"/>
    <cellStyle name="Normal 21 4 2" xfId="326" xr:uid="{00000000-0005-0000-0000-000046010000}"/>
    <cellStyle name="Normal 21 5" xfId="327" xr:uid="{00000000-0005-0000-0000-000047010000}"/>
    <cellStyle name="Normal 21 5 2" xfId="328" xr:uid="{00000000-0005-0000-0000-000048010000}"/>
    <cellStyle name="Normal 21 6" xfId="329" xr:uid="{00000000-0005-0000-0000-000049010000}"/>
    <cellStyle name="Normal 21 6 2" xfId="330" xr:uid="{00000000-0005-0000-0000-00004A010000}"/>
    <cellStyle name="Normal 21 7" xfId="331" xr:uid="{00000000-0005-0000-0000-00004B010000}"/>
    <cellStyle name="Normal 21 7 2" xfId="332" xr:uid="{00000000-0005-0000-0000-00004C010000}"/>
    <cellStyle name="Normal 21 8" xfId="333" xr:uid="{00000000-0005-0000-0000-00004D010000}"/>
    <cellStyle name="Normal 21 8 2" xfId="334" xr:uid="{00000000-0005-0000-0000-00004E010000}"/>
    <cellStyle name="Normal 21 9" xfId="335" xr:uid="{00000000-0005-0000-0000-00004F010000}"/>
    <cellStyle name="Normal 21 9 2" xfId="336" xr:uid="{00000000-0005-0000-0000-000050010000}"/>
    <cellStyle name="Normal 22" xfId="337" xr:uid="{00000000-0005-0000-0000-000051010000}"/>
    <cellStyle name="Normal 23" xfId="338" xr:uid="{00000000-0005-0000-0000-000052010000}"/>
    <cellStyle name="Normal 24" xfId="339" xr:uid="{00000000-0005-0000-0000-000053010000}"/>
    <cellStyle name="Normal 25" xfId="340" xr:uid="{00000000-0005-0000-0000-000054010000}"/>
    <cellStyle name="Normal 26" xfId="341" xr:uid="{00000000-0005-0000-0000-000055010000}"/>
    <cellStyle name="Normal 27" xfId="342" xr:uid="{00000000-0005-0000-0000-000056010000}"/>
    <cellStyle name="Normal 28" xfId="343" xr:uid="{00000000-0005-0000-0000-000057010000}"/>
    <cellStyle name="Normal 29" xfId="344" xr:uid="{00000000-0005-0000-0000-000058010000}"/>
    <cellStyle name="Normal 3" xfId="345" xr:uid="{00000000-0005-0000-0000-000059010000}"/>
    <cellStyle name="Normal 3 10" xfId="346" xr:uid="{00000000-0005-0000-0000-00005A010000}"/>
    <cellStyle name="Normal 3 11" xfId="347" xr:uid="{00000000-0005-0000-0000-00005B010000}"/>
    <cellStyle name="Normal 3 12" xfId="348" xr:uid="{00000000-0005-0000-0000-00005C010000}"/>
    <cellStyle name="Normal 3 13" xfId="349" xr:uid="{00000000-0005-0000-0000-00005D010000}"/>
    <cellStyle name="Normal 3 14" xfId="350" xr:uid="{00000000-0005-0000-0000-00005E010000}"/>
    <cellStyle name="Normal 3 15" xfId="351" xr:uid="{00000000-0005-0000-0000-00005F010000}"/>
    <cellStyle name="Normal 3 16" xfId="352" xr:uid="{00000000-0005-0000-0000-000060010000}"/>
    <cellStyle name="Normal 3 17" xfId="353" xr:uid="{00000000-0005-0000-0000-000061010000}"/>
    <cellStyle name="Normal 3 18" xfId="354" xr:uid="{00000000-0005-0000-0000-000062010000}"/>
    <cellStyle name="Normal 3 19" xfId="355" xr:uid="{00000000-0005-0000-0000-000063010000}"/>
    <cellStyle name="Normal 3 2" xfId="356" xr:uid="{00000000-0005-0000-0000-000064010000}"/>
    <cellStyle name="Normal 3 20" xfId="357" xr:uid="{00000000-0005-0000-0000-000065010000}"/>
    <cellStyle name="Normal 3 21" xfId="358" xr:uid="{00000000-0005-0000-0000-000066010000}"/>
    <cellStyle name="Normal 3 22" xfId="359" xr:uid="{00000000-0005-0000-0000-000067010000}"/>
    <cellStyle name="Normal 3 23" xfId="360" xr:uid="{00000000-0005-0000-0000-000068010000}"/>
    <cellStyle name="Normal 3 24" xfId="361" xr:uid="{00000000-0005-0000-0000-000069010000}"/>
    <cellStyle name="Normal 3 25" xfId="362" xr:uid="{00000000-0005-0000-0000-00006A010000}"/>
    <cellStyle name="Normal 3 26" xfId="363" xr:uid="{00000000-0005-0000-0000-00006B010000}"/>
    <cellStyle name="Normal 3 27" xfId="364" xr:uid="{00000000-0005-0000-0000-00006C010000}"/>
    <cellStyle name="Normal 3 28" xfId="365" xr:uid="{00000000-0005-0000-0000-00006D010000}"/>
    <cellStyle name="Normal 3 29" xfId="366" xr:uid="{00000000-0005-0000-0000-00006E010000}"/>
    <cellStyle name="Normal 3 3" xfId="367" xr:uid="{00000000-0005-0000-0000-00006F010000}"/>
    <cellStyle name="Normal 3 30" xfId="368" xr:uid="{00000000-0005-0000-0000-000070010000}"/>
    <cellStyle name="Normal 3 4" xfId="369" xr:uid="{00000000-0005-0000-0000-000071010000}"/>
    <cellStyle name="Normal 3 5" xfId="370" xr:uid="{00000000-0005-0000-0000-000072010000}"/>
    <cellStyle name="Normal 3 6" xfId="371" xr:uid="{00000000-0005-0000-0000-000073010000}"/>
    <cellStyle name="Normal 3 7" xfId="372" xr:uid="{00000000-0005-0000-0000-000074010000}"/>
    <cellStyle name="Normal 3 8" xfId="373" xr:uid="{00000000-0005-0000-0000-000075010000}"/>
    <cellStyle name="Normal 3 9" xfId="374" xr:uid="{00000000-0005-0000-0000-000076010000}"/>
    <cellStyle name="Normal 3_deposits mobilized" xfId="375" xr:uid="{00000000-0005-0000-0000-000077010000}"/>
    <cellStyle name="Normal 30" xfId="376" xr:uid="{00000000-0005-0000-0000-000078010000}"/>
    <cellStyle name="Normal 31" xfId="377" xr:uid="{00000000-0005-0000-0000-000079010000}"/>
    <cellStyle name="Normal 32" xfId="378" xr:uid="{00000000-0005-0000-0000-00007A010000}"/>
    <cellStyle name="Normal 33" xfId="379" xr:uid="{00000000-0005-0000-0000-00007B010000}"/>
    <cellStyle name="Normal 34" xfId="380" xr:uid="{00000000-0005-0000-0000-00007C010000}"/>
    <cellStyle name="Normal 35" xfId="381" xr:uid="{00000000-0005-0000-0000-00007D010000}"/>
    <cellStyle name="Normal 36" xfId="382" xr:uid="{00000000-0005-0000-0000-00007E010000}"/>
    <cellStyle name="Normal 37" xfId="383" xr:uid="{00000000-0005-0000-0000-00007F010000}"/>
    <cellStyle name="Normal 38" xfId="384" xr:uid="{00000000-0005-0000-0000-000080010000}"/>
    <cellStyle name="Normal 39" xfId="465" xr:uid="{1BBF3C36-8109-45C9-99F0-2ACFDD90B705}"/>
    <cellStyle name="Normal 4" xfId="385" xr:uid="{00000000-0005-0000-0000-000081010000}"/>
    <cellStyle name="Normal 4 10" xfId="386" xr:uid="{00000000-0005-0000-0000-000082010000}"/>
    <cellStyle name="Normal 4 11" xfId="387" xr:uid="{00000000-0005-0000-0000-000083010000}"/>
    <cellStyle name="Normal 4 12" xfId="388" xr:uid="{00000000-0005-0000-0000-000084010000}"/>
    <cellStyle name="Normal 4 13" xfId="389" xr:uid="{00000000-0005-0000-0000-000085010000}"/>
    <cellStyle name="Normal 4 14" xfId="390" xr:uid="{00000000-0005-0000-0000-000086010000}"/>
    <cellStyle name="Normal 4 15" xfId="391" xr:uid="{00000000-0005-0000-0000-000087010000}"/>
    <cellStyle name="Normal 4 16" xfId="392" xr:uid="{00000000-0005-0000-0000-000088010000}"/>
    <cellStyle name="Normal 4 17" xfId="393" xr:uid="{00000000-0005-0000-0000-000089010000}"/>
    <cellStyle name="Normal 4 18" xfId="394" xr:uid="{00000000-0005-0000-0000-00008A010000}"/>
    <cellStyle name="Normal 4 19" xfId="395" xr:uid="{00000000-0005-0000-0000-00008B010000}"/>
    <cellStyle name="Normal 4 2" xfId="396" xr:uid="{00000000-0005-0000-0000-00008C010000}"/>
    <cellStyle name="Normal 4 20" xfId="397" xr:uid="{00000000-0005-0000-0000-00008D010000}"/>
    <cellStyle name="Normal 4 21" xfId="398" xr:uid="{00000000-0005-0000-0000-00008E010000}"/>
    <cellStyle name="Normal 4 22" xfId="399" xr:uid="{00000000-0005-0000-0000-00008F010000}"/>
    <cellStyle name="Normal 4 23" xfId="400" xr:uid="{00000000-0005-0000-0000-000090010000}"/>
    <cellStyle name="Normal 4 24" xfId="401" xr:uid="{00000000-0005-0000-0000-000091010000}"/>
    <cellStyle name="Normal 4 25" xfId="402" xr:uid="{00000000-0005-0000-0000-000092010000}"/>
    <cellStyle name="Normal 4 26" xfId="403" xr:uid="{00000000-0005-0000-0000-000093010000}"/>
    <cellStyle name="Normal 4 27" xfId="404" xr:uid="{00000000-0005-0000-0000-000094010000}"/>
    <cellStyle name="Normal 4 28" xfId="405" xr:uid="{00000000-0005-0000-0000-000095010000}"/>
    <cellStyle name="Normal 4 29" xfId="406" xr:uid="{00000000-0005-0000-0000-000096010000}"/>
    <cellStyle name="Normal 4 3" xfId="407" xr:uid="{00000000-0005-0000-0000-000097010000}"/>
    <cellStyle name="Normal 4 30" xfId="408" xr:uid="{00000000-0005-0000-0000-000098010000}"/>
    <cellStyle name="Normal 4 4" xfId="409" xr:uid="{00000000-0005-0000-0000-000099010000}"/>
    <cellStyle name="Normal 4 5" xfId="410" xr:uid="{00000000-0005-0000-0000-00009A010000}"/>
    <cellStyle name="Normal 4 6" xfId="411" xr:uid="{00000000-0005-0000-0000-00009B010000}"/>
    <cellStyle name="Normal 4 7" xfId="412" xr:uid="{00000000-0005-0000-0000-00009C010000}"/>
    <cellStyle name="Normal 4 8" xfId="413" xr:uid="{00000000-0005-0000-0000-00009D010000}"/>
    <cellStyle name="Normal 4 9" xfId="414" xr:uid="{00000000-0005-0000-0000-00009E010000}"/>
    <cellStyle name="Normal 5" xfId="415" xr:uid="{00000000-0005-0000-0000-00009F010000}"/>
    <cellStyle name="Normal 5 10" xfId="416" xr:uid="{00000000-0005-0000-0000-0000A0010000}"/>
    <cellStyle name="Normal 5 11" xfId="417" xr:uid="{00000000-0005-0000-0000-0000A1010000}"/>
    <cellStyle name="Normal 5 12" xfId="418" xr:uid="{00000000-0005-0000-0000-0000A2010000}"/>
    <cellStyle name="Normal 5 13" xfId="419" xr:uid="{00000000-0005-0000-0000-0000A3010000}"/>
    <cellStyle name="Normal 5 14" xfId="420" xr:uid="{00000000-0005-0000-0000-0000A4010000}"/>
    <cellStyle name="Normal 5 15" xfId="421" xr:uid="{00000000-0005-0000-0000-0000A5010000}"/>
    <cellStyle name="Normal 5 2" xfId="422" xr:uid="{00000000-0005-0000-0000-0000A6010000}"/>
    <cellStyle name="Normal 5 3" xfId="423" xr:uid="{00000000-0005-0000-0000-0000A7010000}"/>
    <cellStyle name="Normal 5 4" xfId="424" xr:uid="{00000000-0005-0000-0000-0000A8010000}"/>
    <cellStyle name="Normal 5 5" xfId="425" xr:uid="{00000000-0005-0000-0000-0000A9010000}"/>
    <cellStyle name="Normal 5 6" xfId="426" xr:uid="{00000000-0005-0000-0000-0000AA010000}"/>
    <cellStyle name="Normal 5 7" xfId="427" xr:uid="{00000000-0005-0000-0000-0000AB010000}"/>
    <cellStyle name="Normal 5 8" xfId="428" xr:uid="{00000000-0005-0000-0000-0000AC010000}"/>
    <cellStyle name="Normal 5 9" xfId="429" xr:uid="{00000000-0005-0000-0000-0000AD010000}"/>
    <cellStyle name="Normal 6" xfId="430" xr:uid="{00000000-0005-0000-0000-0000AE010000}"/>
    <cellStyle name="Normal 6 2" xfId="431" xr:uid="{00000000-0005-0000-0000-0000AF010000}"/>
    <cellStyle name="Normal 6 3" xfId="432" xr:uid="{00000000-0005-0000-0000-0000B0010000}"/>
    <cellStyle name="Normal 6 4" xfId="433" xr:uid="{00000000-0005-0000-0000-0000B1010000}"/>
    <cellStyle name="Normal 6 5" xfId="434" xr:uid="{00000000-0005-0000-0000-0000B2010000}"/>
    <cellStyle name="Normal 7" xfId="435" xr:uid="{00000000-0005-0000-0000-0000B3010000}"/>
    <cellStyle name="Normal 7 2" xfId="436" xr:uid="{00000000-0005-0000-0000-0000B4010000}"/>
    <cellStyle name="Normal 7 3" xfId="437" xr:uid="{00000000-0005-0000-0000-0000B5010000}"/>
    <cellStyle name="Normal 7 4" xfId="438" xr:uid="{00000000-0005-0000-0000-0000B6010000}"/>
    <cellStyle name="Normal 7 5" xfId="439" xr:uid="{00000000-0005-0000-0000-0000B7010000}"/>
    <cellStyle name="Normal 8" xfId="440" xr:uid="{00000000-0005-0000-0000-0000B8010000}"/>
    <cellStyle name="Normal 9" xfId="441" xr:uid="{00000000-0005-0000-0000-0000B9010000}"/>
    <cellStyle name="Normal 9 10" xfId="442" xr:uid="{00000000-0005-0000-0000-0000BA010000}"/>
    <cellStyle name="Normal 9 11" xfId="443" xr:uid="{00000000-0005-0000-0000-0000BB010000}"/>
    <cellStyle name="Normal 9 12" xfId="444" xr:uid="{00000000-0005-0000-0000-0000BC010000}"/>
    <cellStyle name="Normal 9 13" xfId="445" xr:uid="{00000000-0005-0000-0000-0000BD010000}"/>
    <cellStyle name="Normal 9 14" xfId="446" xr:uid="{00000000-0005-0000-0000-0000BE010000}"/>
    <cellStyle name="Normal 9 2" xfId="447" xr:uid="{00000000-0005-0000-0000-0000BF010000}"/>
    <cellStyle name="Normal 9 2 2" xfId="448" xr:uid="{00000000-0005-0000-0000-0000C0010000}"/>
    <cellStyle name="Normal 9 2 3" xfId="449" xr:uid="{00000000-0005-0000-0000-0000C1010000}"/>
    <cellStyle name="Normal 9 2 4" xfId="450" xr:uid="{00000000-0005-0000-0000-0000C2010000}"/>
    <cellStyle name="Normal 9 3" xfId="451" xr:uid="{00000000-0005-0000-0000-0000C3010000}"/>
    <cellStyle name="Normal 9 4" xfId="452" xr:uid="{00000000-0005-0000-0000-0000C4010000}"/>
    <cellStyle name="Normal 9 5" xfId="453" xr:uid="{00000000-0005-0000-0000-0000C5010000}"/>
    <cellStyle name="Normal 9 6" xfId="454" xr:uid="{00000000-0005-0000-0000-0000C6010000}"/>
    <cellStyle name="Normal 9 7" xfId="455" xr:uid="{00000000-0005-0000-0000-0000C7010000}"/>
    <cellStyle name="Normal 9 8" xfId="456" xr:uid="{00000000-0005-0000-0000-0000C8010000}"/>
    <cellStyle name="Normal 9 9" xfId="457" xr:uid="{00000000-0005-0000-0000-0000C9010000}"/>
    <cellStyle name="Note 2" xfId="458" xr:uid="{00000000-0005-0000-0000-0000CA010000}"/>
    <cellStyle name="Percent" xfId="459" builtinId="5"/>
    <cellStyle name="Percent 2" xfId="460" xr:uid="{00000000-0005-0000-0000-0000CC010000}"/>
    <cellStyle name="Percent 2 2" xfId="461" xr:uid="{00000000-0005-0000-0000-0000CD010000}"/>
    <cellStyle name="Percent 3" xfId="462" xr:uid="{00000000-0005-0000-0000-0000CE010000}"/>
    <cellStyle name="Total 2" xfId="463" xr:uid="{00000000-0005-0000-0000-0000CF010000}"/>
    <cellStyle name="Total 2 2" xfId="464" xr:uid="{00000000-0005-0000-0000-0000D0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51"/>
  <sheetViews>
    <sheetView zoomScale="80" zoomScaleNormal="80" workbookViewId="0">
      <pane xSplit="1" ySplit="3" topLeftCell="AC4" activePane="bottomRight" state="frozen"/>
      <selection pane="topRight" activeCell="B1" sqref="B1"/>
      <selection pane="bottomLeft" activeCell="A4" sqref="A4"/>
      <selection pane="bottomRight" activeCell="AH39" sqref="AH39:AH47"/>
    </sheetView>
  </sheetViews>
  <sheetFormatPr defaultRowHeight="14.4" x14ac:dyDescent="0.3"/>
  <cols>
    <col min="1" max="1" width="40.88671875" customWidth="1"/>
    <col min="2" max="2" width="16.5546875" customWidth="1"/>
    <col min="3" max="3" width="18.6640625" customWidth="1"/>
    <col min="4" max="8" width="16.5546875" customWidth="1"/>
    <col min="9" max="9" width="19" customWidth="1"/>
    <col min="10" max="10" width="16.5546875" customWidth="1"/>
    <col min="11" max="14" width="17.6640625" customWidth="1"/>
    <col min="15" max="15" width="17.6640625" bestFit="1" customWidth="1"/>
    <col min="16" max="16" width="17.6640625" style="167" bestFit="1" customWidth="1"/>
    <col min="17" max="17" width="19.5546875" customWidth="1"/>
    <col min="18" max="18" width="18.5546875" customWidth="1"/>
    <col min="19" max="19" width="20" customWidth="1"/>
    <col min="20" max="20" width="18.5546875" customWidth="1"/>
    <col min="21" max="25" width="17.6640625" customWidth="1"/>
    <col min="26" max="27" width="8.88671875" customWidth="1"/>
    <col min="28" max="28" width="17.5546875" bestFit="1" customWidth="1"/>
    <col min="29" max="29" width="17.5546875" style="167" bestFit="1" customWidth="1"/>
    <col min="30" max="33" width="17.5546875" style="185" bestFit="1" customWidth="1"/>
    <col min="34" max="34" width="18.6640625" customWidth="1"/>
  </cols>
  <sheetData>
    <row r="1" spans="1:41" ht="15" customHeight="1" x14ac:dyDescent="0.3">
      <c r="A1" s="118"/>
      <c r="B1" s="118"/>
      <c r="C1" s="118"/>
      <c r="D1" s="118"/>
      <c r="E1" s="118"/>
      <c r="F1" s="118"/>
      <c r="G1" s="118"/>
      <c r="H1" s="118"/>
    </row>
    <row r="3" spans="1:41" x14ac:dyDescent="0.3">
      <c r="A3" s="10"/>
      <c r="B3" s="28" t="s">
        <v>0</v>
      </c>
      <c r="C3" s="28" t="s">
        <v>1</v>
      </c>
      <c r="D3" s="147">
        <v>44197</v>
      </c>
      <c r="E3" s="146">
        <v>44228</v>
      </c>
      <c r="F3" s="147">
        <v>44256</v>
      </c>
      <c r="G3" s="146">
        <v>44287</v>
      </c>
      <c r="H3" s="146">
        <v>44317</v>
      </c>
      <c r="I3" s="146">
        <v>44348</v>
      </c>
      <c r="J3" s="146">
        <v>44378</v>
      </c>
      <c r="K3" s="146">
        <v>44409</v>
      </c>
      <c r="L3" s="146">
        <v>44440</v>
      </c>
      <c r="M3" s="146">
        <v>44470</v>
      </c>
      <c r="N3" s="146">
        <v>44501</v>
      </c>
      <c r="O3" s="146">
        <v>44531</v>
      </c>
      <c r="P3" s="168" t="s">
        <v>2</v>
      </c>
      <c r="Q3" s="146">
        <v>44562</v>
      </c>
      <c r="R3" s="146">
        <v>44593</v>
      </c>
      <c r="S3" s="146">
        <v>44621</v>
      </c>
      <c r="T3" s="146">
        <v>44652</v>
      </c>
      <c r="U3" s="146">
        <v>44682</v>
      </c>
      <c r="V3" s="146">
        <v>44713</v>
      </c>
      <c r="W3" s="146">
        <v>44743</v>
      </c>
      <c r="X3" s="146">
        <v>44774</v>
      </c>
      <c r="Y3" s="146">
        <v>44805</v>
      </c>
      <c r="Z3" s="146">
        <v>44835</v>
      </c>
      <c r="AA3" s="146">
        <v>44866</v>
      </c>
      <c r="AB3" s="146">
        <v>44896</v>
      </c>
      <c r="AC3" s="168" t="s">
        <v>3</v>
      </c>
      <c r="AD3" s="146">
        <v>44927</v>
      </c>
      <c r="AE3" s="146">
        <v>44958</v>
      </c>
      <c r="AF3" s="146">
        <v>44986</v>
      </c>
      <c r="AG3" s="146">
        <v>45017</v>
      </c>
      <c r="AH3" s="146">
        <v>45047</v>
      </c>
      <c r="AI3" s="146">
        <v>45078</v>
      </c>
      <c r="AJ3" s="146">
        <v>45108</v>
      </c>
      <c r="AK3" s="146">
        <v>45139</v>
      </c>
      <c r="AL3" s="146">
        <v>45170</v>
      </c>
      <c r="AM3" s="146">
        <v>45200</v>
      </c>
      <c r="AN3" s="146">
        <v>45231</v>
      </c>
      <c r="AO3" s="146">
        <v>45261</v>
      </c>
    </row>
    <row r="4" spans="1:41" x14ac:dyDescent="0.3">
      <c r="A4" s="11" t="s">
        <v>4</v>
      </c>
      <c r="B4" s="62">
        <f t="shared" ref="B4:G4" si="0">SUM(B5:B6)</f>
        <v>19363224</v>
      </c>
      <c r="C4" s="62">
        <f t="shared" si="0"/>
        <v>1186661463</v>
      </c>
      <c r="D4" s="62">
        <f t="shared" si="0"/>
        <v>1199345683.4300001</v>
      </c>
      <c r="E4" s="62">
        <f t="shared" si="0"/>
        <v>1365464081.8899999</v>
      </c>
      <c r="F4" s="62">
        <f t="shared" si="0"/>
        <v>1129074041.73</v>
      </c>
      <c r="G4" s="62">
        <f t="shared" si="0"/>
        <v>1048062202.5599999</v>
      </c>
      <c r="H4" s="62">
        <f t="shared" ref="H4" si="1">SUM(H5:H6)</f>
        <v>1125806415.6200001</v>
      </c>
      <c r="I4" s="62">
        <f>SUM(I5:I6)</f>
        <v>1228967621.3099999</v>
      </c>
      <c r="J4" s="62">
        <f>SUM(J5:J6)</f>
        <v>1178657348.23</v>
      </c>
      <c r="K4" s="62">
        <f>SUM(K5:K6)</f>
        <v>1124547350.7</v>
      </c>
      <c r="L4" s="62">
        <f t="shared" ref="L4:AO4" si="2">SUM(L5:L6)</f>
        <v>1068500781.1799999</v>
      </c>
      <c r="M4" s="62">
        <f t="shared" si="2"/>
        <v>968140976.25</v>
      </c>
      <c r="N4" s="62">
        <f t="shared" si="2"/>
        <v>879949302.81999993</v>
      </c>
      <c r="O4" s="62">
        <f t="shared" si="2"/>
        <v>865007409.11000001</v>
      </c>
      <c r="P4" s="62">
        <f t="shared" si="2"/>
        <v>893579487</v>
      </c>
      <c r="Q4" s="62">
        <f t="shared" si="2"/>
        <v>1010221744.6</v>
      </c>
      <c r="R4" s="62">
        <f t="shared" si="2"/>
        <v>1086851267.9200001</v>
      </c>
      <c r="S4" s="62">
        <f t="shared" si="2"/>
        <v>753154463.30999994</v>
      </c>
      <c r="T4" s="62">
        <f t="shared" si="2"/>
        <v>674472467.47000003</v>
      </c>
      <c r="U4" s="62">
        <f t="shared" si="2"/>
        <v>610313782.46999991</v>
      </c>
      <c r="V4" s="62">
        <f t="shared" si="2"/>
        <v>981259394.75</v>
      </c>
      <c r="W4" s="62">
        <f t="shared" si="2"/>
        <v>912212498.12</v>
      </c>
      <c r="X4" s="62">
        <f t="shared" si="2"/>
        <v>930873544.43000007</v>
      </c>
      <c r="Y4" s="62">
        <f t="shared" si="2"/>
        <v>914238451.54000008</v>
      </c>
      <c r="Z4" s="62">
        <f t="shared" si="2"/>
        <v>1021291422.5600001</v>
      </c>
      <c r="AA4" s="62">
        <f t="shared" si="2"/>
        <v>945242566.32000005</v>
      </c>
      <c r="AB4" s="62">
        <f t="shared" si="2"/>
        <v>903255079.73000002</v>
      </c>
      <c r="AC4" s="62">
        <f t="shared" si="2"/>
        <v>903255082</v>
      </c>
      <c r="AD4" s="186">
        <f t="shared" si="2"/>
        <v>802173013.38</v>
      </c>
      <c r="AE4" s="186">
        <f t="shared" si="2"/>
        <v>932580571.44000006</v>
      </c>
      <c r="AF4" s="186">
        <f t="shared" si="2"/>
        <v>907414643.07000005</v>
      </c>
      <c r="AG4" s="186">
        <f t="shared" si="2"/>
        <v>949686451.82000005</v>
      </c>
      <c r="AH4" s="62">
        <f t="shared" si="2"/>
        <v>1017417812.8900001</v>
      </c>
      <c r="AI4" s="62">
        <f t="shared" si="2"/>
        <v>0</v>
      </c>
      <c r="AJ4" s="62">
        <f t="shared" si="2"/>
        <v>0</v>
      </c>
      <c r="AK4" s="62">
        <f t="shared" si="2"/>
        <v>0</v>
      </c>
      <c r="AL4" s="62">
        <f t="shared" si="2"/>
        <v>0</v>
      </c>
      <c r="AM4" s="62">
        <f t="shared" si="2"/>
        <v>0</v>
      </c>
      <c r="AN4" s="62">
        <f t="shared" si="2"/>
        <v>0</v>
      </c>
      <c r="AO4" s="62">
        <f t="shared" si="2"/>
        <v>0</v>
      </c>
    </row>
    <row r="5" spans="1:41" x14ac:dyDescent="0.3">
      <c r="A5" s="12" t="s">
        <v>5</v>
      </c>
      <c r="B5" s="25">
        <v>19363224</v>
      </c>
      <c r="C5" s="13">
        <v>71159942</v>
      </c>
      <c r="D5" s="13">
        <v>71094886.780000001</v>
      </c>
      <c r="E5" s="13">
        <v>64180768.780000001</v>
      </c>
      <c r="F5" s="13">
        <v>82076705.780000001</v>
      </c>
      <c r="G5" s="13">
        <v>82690765.780000001</v>
      </c>
      <c r="H5" s="160">
        <v>71057241.780000001</v>
      </c>
      <c r="I5" s="160">
        <v>86176961.780000001</v>
      </c>
      <c r="J5" s="160">
        <v>48576240.780000001</v>
      </c>
      <c r="K5" s="160">
        <v>86479896.780000001</v>
      </c>
      <c r="L5" s="160">
        <v>43039999.780000001</v>
      </c>
      <c r="M5" s="160">
        <v>78734736.780000001</v>
      </c>
      <c r="N5" s="160">
        <v>59373862.780000001</v>
      </c>
      <c r="O5" s="160">
        <v>57477851.780000001</v>
      </c>
      <c r="P5" s="169">
        <v>57477851</v>
      </c>
      <c r="Q5" s="160">
        <v>74010358.780000001</v>
      </c>
      <c r="R5" s="160">
        <v>76570518.780000001</v>
      </c>
      <c r="S5" s="160">
        <v>56710280.780000001</v>
      </c>
      <c r="T5" s="160">
        <v>32503471.780000001</v>
      </c>
      <c r="U5" s="160">
        <v>70751509.549999997</v>
      </c>
      <c r="V5" s="160">
        <v>86512498.549999997</v>
      </c>
      <c r="W5" s="160">
        <v>86762864.950000003</v>
      </c>
      <c r="X5" s="160">
        <v>72632956.950000003</v>
      </c>
      <c r="Y5" s="160">
        <v>72761660.950000003</v>
      </c>
      <c r="Z5" s="160">
        <v>73446718.950000003</v>
      </c>
      <c r="AA5" s="160">
        <v>68049374.950000003</v>
      </c>
      <c r="AB5" s="160">
        <v>69909849.950000003</v>
      </c>
      <c r="AC5" s="169">
        <v>69909850</v>
      </c>
      <c r="AD5" s="185">
        <v>77197704.950000003</v>
      </c>
      <c r="AE5" s="185">
        <v>77878928.950000003</v>
      </c>
      <c r="AF5" s="185">
        <v>92195480.950000003</v>
      </c>
      <c r="AG5" s="185">
        <v>57204239.950000003</v>
      </c>
      <c r="AH5" s="192">
        <v>59786700.950000003</v>
      </c>
    </row>
    <row r="6" spans="1:41" x14ac:dyDescent="0.3">
      <c r="A6" s="12" t="s">
        <v>6</v>
      </c>
      <c r="B6" s="25"/>
      <c r="C6" s="154">
        <f>1186661463-C5</f>
        <v>1115501521</v>
      </c>
      <c r="D6" s="13">
        <v>1128250796.6500001</v>
      </c>
      <c r="E6" s="13">
        <v>1301283313.1099999</v>
      </c>
      <c r="F6" s="13">
        <v>1046997335.95</v>
      </c>
      <c r="G6" s="13">
        <v>965371436.77999997</v>
      </c>
      <c r="H6" s="160">
        <v>1054749173.84</v>
      </c>
      <c r="I6" s="160">
        <v>1142790659.53</v>
      </c>
      <c r="J6" s="160">
        <v>1130081107.45</v>
      </c>
      <c r="K6" s="160">
        <v>1038067453.92</v>
      </c>
      <c r="L6" s="160">
        <v>1025460781.4</v>
      </c>
      <c r="M6" s="160">
        <v>889406239.47000003</v>
      </c>
      <c r="N6" s="160">
        <v>820575440.03999996</v>
      </c>
      <c r="O6" s="160">
        <v>807529557.33000004</v>
      </c>
      <c r="P6" s="169">
        <f>893579487-P5</f>
        <v>836101636</v>
      </c>
      <c r="Q6" s="160">
        <v>936211385.82000005</v>
      </c>
      <c r="R6" s="160">
        <v>1010280749.14</v>
      </c>
      <c r="S6" s="160">
        <v>696444182.52999997</v>
      </c>
      <c r="T6" s="160">
        <v>641968995.69000006</v>
      </c>
      <c r="U6" s="160">
        <v>539562272.91999996</v>
      </c>
      <c r="V6" s="160">
        <v>894746896.20000005</v>
      </c>
      <c r="W6" s="160">
        <v>825449633.16999996</v>
      </c>
      <c r="X6" s="160">
        <v>858240587.48000002</v>
      </c>
      <c r="Y6" s="160">
        <v>841476790.59000003</v>
      </c>
      <c r="Z6" s="160">
        <v>947844703.61000001</v>
      </c>
      <c r="AA6" s="160">
        <v>877193191.37</v>
      </c>
      <c r="AB6" s="160">
        <v>833345229.77999997</v>
      </c>
      <c r="AC6" s="169">
        <f>903255082-AC5</f>
        <v>833345232</v>
      </c>
      <c r="AD6" s="185">
        <v>724975308.42999995</v>
      </c>
      <c r="AE6" s="185">
        <v>854701642.49000001</v>
      </c>
      <c r="AF6" s="185">
        <v>815219162.12</v>
      </c>
      <c r="AG6" s="185">
        <v>892482211.87</v>
      </c>
      <c r="AH6" s="194">
        <v>957631111.94000006</v>
      </c>
    </row>
    <row r="7" spans="1:41" s="29" customFormat="1" x14ac:dyDescent="0.3">
      <c r="A7" s="11" t="s">
        <v>7</v>
      </c>
      <c r="B7" s="24">
        <v>13400392</v>
      </c>
      <c r="C7" s="155">
        <v>235454944</v>
      </c>
      <c r="D7" s="13">
        <v>225591214.34999999</v>
      </c>
      <c r="E7" s="13">
        <v>91640787.739999995</v>
      </c>
      <c r="F7" s="13">
        <v>237656927.52000001</v>
      </c>
      <c r="G7" s="13">
        <v>252824685.03999999</v>
      </c>
      <c r="H7" s="160">
        <v>297731801.01999998</v>
      </c>
      <c r="I7" s="160">
        <v>229525713.52000001</v>
      </c>
      <c r="J7" s="160">
        <v>240918628.61000001</v>
      </c>
      <c r="K7" s="160">
        <v>210948989.56</v>
      </c>
      <c r="L7" s="160">
        <v>207679683.11000001</v>
      </c>
      <c r="M7" s="160">
        <v>244591906.81999999</v>
      </c>
      <c r="N7" s="160">
        <v>277242477.80000001</v>
      </c>
      <c r="O7" s="160">
        <v>294545328.22000003</v>
      </c>
      <c r="P7" s="169">
        <v>309943753</v>
      </c>
      <c r="Q7" s="160">
        <v>212103914.44</v>
      </c>
      <c r="R7" s="160">
        <v>211881097.63999999</v>
      </c>
      <c r="S7" s="160">
        <v>241108648.34</v>
      </c>
      <c r="T7" s="160">
        <v>235739076.03999999</v>
      </c>
      <c r="U7" s="160">
        <v>258166944.02000001</v>
      </c>
      <c r="V7" s="160">
        <v>128832739.70999999</v>
      </c>
      <c r="W7" s="160">
        <v>212103914.44</v>
      </c>
      <c r="X7" s="160">
        <v>266175869.53</v>
      </c>
      <c r="Y7" s="160">
        <v>247564016.25</v>
      </c>
      <c r="Z7" s="160">
        <v>243372648.24000001</v>
      </c>
      <c r="AA7" s="160">
        <v>249494742.75999999</v>
      </c>
      <c r="AB7" s="160">
        <v>282421880.49000001</v>
      </c>
      <c r="AC7" s="169">
        <v>341667828</v>
      </c>
      <c r="AD7" s="187">
        <v>321082993.94999999</v>
      </c>
      <c r="AE7" s="187">
        <v>351938243.29000002</v>
      </c>
      <c r="AF7" s="187">
        <v>305596224.74000001</v>
      </c>
      <c r="AG7" s="187">
        <v>299338871.91000003</v>
      </c>
      <c r="AH7" s="194">
        <v>310913542.37</v>
      </c>
    </row>
    <row r="8" spans="1:41" x14ac:dyDescent="0.3">
      <c r="A8" s="11" t="s">
        <v>8</v>
      </c>
      <c r="B8" s="62">
        <f t="shared" ref="B8:G8" si="3">SUM(B9:B13)</f>
        <v>472260</v>
      </c>
      <c r="C8" s="62">
        <f t="shared" si="3"/>
        <v>157412388</v>
      </c>
      <c r="D8" s="62">
        <f t="shared" si="3"/>
        <v>157412388.30000001</v>
      </c>
      <c r="E8" s="62">
        <f t="shared" si="3"/>
        <v>157412388.30000001</v>
      </c>
      <c r="F8" s="62">
        <f t="shared" si="3"/>
        <v>157412388.30000001</v>
      </c>
      <c r="G8" s="62">
        <f t="shared" si="3"/>
        <v>157412388.30000001</v>
      </c>
      <c r="H8" s="62">
        <f t="shared" ref="H8:AO8" si="4">SUM(H9:H13)</f>
        <v>157412388.30000001</v>
      </c>
      <c r="I8" s="62">
        <f t="shared" si="4"/>
        <v>157412388.30000001</v>
      </c>
      <c r="J8" s="62">
        <f t="shared" si="4"/>
        <v>157412388.30000001</v>
      </c>
      <c r="K8" s="62">
        <f t="shared" si="4"/>
        <v>157412388.30000001</v>
      </c>
      <c r="L8" s="62">
        <f t="shared" si="4"/>
        <v>167412388.30000001</v>
      </c>
      <c r="M8" s="62">
        <f t="shared" si="4"/>
        <v>167412388.30000001</v>
      </c>
      <c r="N8" s="62">
        <f t="shared" si="4"/>
        <v>167412388.30000001</v>
      </c>
      <c r="O8" s="62">
        <f t="shared" si="4"/>
        <v>167418568.30000001</v>
      </c>
      <c r="P8" s="62">
        <f t="shared" si="4"/>
        <v>169843044</v>
      </c>
      <c r="Q8" s="62">
        <f t="shared" si="4"/>
        <v>169843043.30000001</v>
      </c>
      <c r="R8" s="62">
        <f t="shared" si="4"/>
        <v>169843043.30000001</v>
      </c>
      <c r="S8" s="62">
        <f t="shared" si="4"/>
        <v>169843043.30000001</v>
      </c>
      <c r="T8" s="62">
        <f t="shared" si="4"/>
        <v>169843043.30000001</v>
      </c>
      <c r="U8" s="62">
        <f t="shared" si="4"/>
        <v>169843043.30000001</v>
      </c>
      <c r="V8" s="62">
        <f t="shared" si="4"/>
        <v>169843043.30000001</v>
      </c>
      <c r="W8" s="62">
        <f t="shared" si="4"/>
        <v>169843043.30000001</v>
      </c>
      <c r="X8" s="62">
        <f t="shared" si="4"/>
        <v>169843043.30000001</v>
      </c>
      <c r="Y8" s="62">
        <f t="shared" si="4"/>
        <v>172943043.30000001</v>
      </c>
      <c r="Z8" s="62">
        <f t="shared" si="4"/>
        <v>171874411.30000001</v>
      </c>
      <c r="AA8" s="62">
        <f t="shared" si="4"/>
        <v>171874411.30000001</v>
      </c>
      <c r="AB8" s="62">
        <f t="shared" si="4"/>
        <v>172959313.30000001</v>
      </c>
      <c r="AC8" s="62">
        <f t="shared" si="4"/>
        <v>172959313</v>
      </c>
      <c r="AD8" s="186">
        <f t="shared" si="4"/>
        <v>172959313.30000001</v>
      </c>
      <c r="AE8" s="186">
        <f t="shared" si="4"/>
        <v>172959313.30000001</v>
      </c>
      <c r="AF8" s="186">
        <f t="shared" si="4"/>
        <v>175118534.30000001</v>
      </c>
      <c r="AG8" s="186">
        <f t="shared" si="4"/>
        <v>175167942.30000001</v>
      </c>
      <c r="AH8" s="62">
        <f t="shared" si="4"/>
        <v>178167942.30000001</v>
      </c>
      <c r="AI8" s="62">
        <f t="shared" si="4"/>
        <v>0</v>
      </c>
      <c r="AJ8" s="62">
        <f t="shared" si="4"/>
        <v>0</v>
      </c>
      <c r="AK8" s="62">
        <f t="shared" si="4"/>
        <v>0</v>
      </c>
      <c r="AL8" s="62">
        <f t="shared" si="4"/>
        <v>0</v>
      </c>
      <c r="AM8" s="62">
        <f t="shared" si="4"/>
        <v>0</v>
      </c>
      <c r="AN8" s="62">
        <f t="shared" si="4"/>
        <v>0</v>
      </c>
      <c r="AO8" s="62">
        <f t="shared" si="4"/>
        <v>0</v>
      </c>
    </row>
    <row r="9" spans="1:41" x14ac:dyDescent="0.3">
      <c r="A9" s="183" t="s">
        <v>9</v>
      </c>
      <c r="B9" s="179"/>
      <c r="C9" s="184"/>
      <c r="D9" s="180">
        <v>0</v>
      </c>
      <c r="E9" s="180">
        <v>0</v>
      </c>
      <c r="F9" s="180">
        <v>0</v>
      </c>
      <c r="G9" s="180">
        <v>0</v>
      </c>
      <c r="H9" s="181">
        <v>0</v>
      </c>
      <c r="I9" s="181">
        <v>0</v>
      </c>
      <c r="J9" s="181">
        <v>0</v>
      </c>
      <c r="K9" s="181">
        <v>0</v>
      </c>
      <c r="L9" s="181">
        <v>0</v>
      </c>
      <c r="M9" s="181">
        <v>0</v>
      </c>
      <c r="N9" s="181">
        <v>0</v>
      </c>
      <c r="O9" s="181">
        <v>0</v>
      </c>
      <c r="P9" s="182"/>
      <c r="Q9" s="181">
        <v>0</v>
      </c>
      <c r="R9" s="181">
        <v>0</v>
      </c>
      <c r="S9" s="181">
        <v>0</v>
      </c>
      <c r="T9" s="181">
        <v>0</v>
      </c>
      <c r="U9" s="181">
        <v>0</v>
      </c>
      <c r="V9" s="181">
        <v>0</v>
      </c>
      <c r="W9" s="181">
        <v>0</v>
      </c>
      <c r="X9" s="181">
        <v>0</v>
      </c>
      <c r="Y9" s="181">
        <v>0</v>
      </c>
      <c r="Z9" s="181">
        <v>0</v>
      </c>
      <c r="AA9" s="181">
        <v>0</v>
      </c>
      <c r="AB9" s="181">
        <v>0</v>
      </c>
      <c r="AC9" s="182"/>
      <c r="AD9" s="188">
        <v>0</v>
      </c>
      <c r="AE9" s="188">
        <v>0</v>
      </c>
      <c r="AF9" s="188">
        <v>0</v>
      </c>
      <c r="AG9" s="188">
        <v>0</v>
      </c>
      <c r="AH9" s="191">
        <v>0</v>
      </c>
    </row>
    <row r="10" spans="1:41" x14ac:dyDescent="0.3">
      <c r="A10" s="6" t="s">
        <v>10</v>
      </c>
      <c r="B10" s="25"/>
      <c r="C10" s="154"/>
      <c r="D10" s="13">
        <v>0</v>
      </c>
      <c r="E10" s="13">
        <v>0</v>
      </c>
      <c r="F10" s="13">
        <v>0</v>
      </c>
      <c r="G10" s="13">
        <v>0</v>
      </c>
      <c r="H10" s="160">
        <v>0</v>
      </c>
      <c r="I10" s="160">
        <v>0</v>
      </c>
      <c r="J10" s="160">
        <v>0</v>
      </c>
      <c r="K10" s="160">
        <v>0</v>
      </c>
      <c r="L10" s="160">
        <v>0</v>
      </c>
      <c r="M10" s="160">
        <v>0</v>
      </c>
      <c r="N10" s="160">
        <v>0</v>
      </c>
      <c r="O10" s="160">
        <v>0</v>
      </c>
      <c r="P10" s="169"/>
      <c r="Q10" s="160">
        <v>0</v>
      </c>
      <c r="R10" s="160">
        <v>0</v>
      </c>
      <c r="S10" s="160">
        <v>0</v>
      </c>
      <c r="T10" s="160">
        <v>0</v>
      </c>
      <c r="U10" s="160">
        <v>0</v>
      </c>
      <c r="V10" s="160">
        <v>0</v>
      </c>
      <c r="W10" s="160">
        <v>0</v>
      </c>
      <c r="X10" s="160">
        <v>0</v>
      </c>
      <c r="Y10" s="160">
        <v>0</v>
      </c>
      <c r="Z10" s="160">
        <v>0</v>
      </c>
      <c r="AA10" s="160">
        <v>0</v>
      </c>
      <c r="AB10" s="160">
        <v>0</v>
      </c>
      <c r="AC10" s="169"/>
      <c r="AD10" s="185">
        <v>0</v>
      </c>
      <c r="AE10" s="185">
        <v>0</v>
      </c>
      <c r="AF10" s="185">
        <v>0</v>
      </c>
      <c r="AG10" s="185">
        <v>0</v>
      </c>
      <c r="AH10" s="193">
        <v>0</v>
      </c>
    </row>
    <row r="11" spans="1:41" x14ac:dyDescent="0.3">
      <c r="A11" s="183" t="s">
        <v>11</v>
      </c>
      <c r="B11" s="179"/>
      <c r="C11" s="158">
        <v>125423070</v>
      </c>
      <c r="D11" s="180">
        <v>0</v>
      </c>
      <c r="E11" s="180">
        <v>0</v>
      </c>
      <c r="F11" s="180">
        <v>0</v>
      </c>
      <c r="G11" s="180">
        <v>0</v>
      </c>
      <c r="H11" s="181">
        <v>0</v>
      </c>
      <c r="I11" s="181">
        <v>0</v>
      </c>
      <c r="J11" s="181">
        <v>0</v>
      </c>
      <c r="K11" s="181">
        <v>0</v>
      </c>
      <c r="L11" s="181">
        <v>0</v>
      </c>
      <c r="M11" s="181">
        <v>0</v>
      </c>
      <c r="N11" s="181">
        <v>0</v>
      </c>
      <c r="O11" s="181">
        <v>0</v>
      </c>
      <c r="P11" s="182"/>
      <c r="Q11" s="181">
        <v>0</v>
      </c>
      <c r="R11" s="181">
        <v>0</v>
      </c>
      <c r="S11" s="181">
        <v>0</v>
      </c>
      <c r="T11" s="181">
        <v>0</v>
      </c>
      <c r="U11" s="181">
        <v>0</v>
      </c>
      <c r="V11" s="181">
        <v>0</v>
      </c>
      <c r="W11" s="181">
        <v>0</v>
      </c>
      <c r="X11" s="181">
        <v>0</v>
      </c>
      <c r="Y11" s="181">
        <v>0</v>
      </c>
      <c r="Z11" s="181">
        <v>0</v>
      </c>
      <c r="AA11" s="181">
        <v>0</v>
      </c>
      <c r="AB11" s="181">
        <v>0</v>
      </c>
      <c r="AC11" s="182"/>
      <c r="AD11" s="188">
        <v>0</v>
      </c>
      <c r="AE11" s="188">
        <v>0</v>
      </c>
      <c r="AF11" s="188">
        <v>0</v>
      </c>
      <c r="AG11" s="188">
        <v>0</v>
      </c>
      <c r="AH11" s="193">
        <v>0</v>
      </c>
    </row>
    <row r="12" spans="1:41" x14ac:dyDescent="0.3">
      <c r="A12" s="178" t="s">
        <v>12</v>
      </c>
      <c r="B12" s="179"/>
      <c r="C12" s="144"/>
      <c r="H12" s="180"/>
      <c r="I12" s="181"/>
      <c r="J12" s="181"/>
      <c r="K12" s="181"/>
      <c r="L12" s="181"/>
      <c r="M12" s="181"/>
      <c r="N12" s="181"/>
      <c r="O12" s="181"/>
      <c r="P12" s="182">
        <f>59803722+55190200+22842624</f>
        <v>137836546</v>
      </c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2">
        <f>61067405+56821568+22842624</f>
        <v>140731597</v>
      </c>
      <c r="AD12" s="188">
        <v>172959313.30000001</v>
      </c>
      <c r="AE12" s="188">
        <v>172959313.30000001</v>
      </c>
      <c r="AF12" s="188">
        <v>175118534.30000001</v>
      </c>
      <c r="AG12" s="188">
        <v>175167942.30000001</v>
      </c>
      <c r="AH12" s="194">
        <v>178167942.30000001</v>
      </c>
    </row>
    <row r="13" spans="1:41" x14ac:dyDescent="0.3">
      <c r="A13" s="183" t="s">
        <v>13</v>
      </c>
      <c r="B13" s="180">
        <v>472260</v>
      </c>
      <c r="C13" s="154">
        <v>31989318</v>
      </c>
      <c r="D13" s="180">
        <v>157412388.30000001</v>
      </c>
      <c r="E13" s="180">
        <v>157412388.30000001</v>
      </c>
      <c r="F13" s="180">
        <v>157412388.30000001</v>
      </c>
      <c r="G13" s="180">
        <v>157412388.30000001</v>
      </c>
      <c r="H13" s="181">
        <v>157412388.30000001</v>
      </c>
      <c r="I13" s="181">
        <v>157412388.30000001</v>
      </c>
      <c r="J13" s="181">
        <v>157412388.30000001</v>
      </c>
      <c r="K13" s="181">
        <v>157412388.30000001</v>
      </c>
      <c r="L13" s="181">
        <v>167412388.30000001</v>
      </c>
      <c r="M13" s="181">
        <v>167412388.30000001</v>
      </c>
      <c r="N13" s="181">
        <v>167412388.30000001</v>
      </c>
      <c r="O13" s="181">
        <v>167418568.30000001</v>
      </c>
      <c r="P13" s="182">
        <f>11000+212180+10000000+21783318</f>
        <v>32006498</v>
      </c>
      <c r="Q13" s="181">
        <v>169843043.30000001</v>
      </c>
      <c r="R13" s="181">
        <v>169843043.30000001</v>
      </c>
      <c r="S13" s="181">
        <v>169843043.30000001</v>
      </c>
      <c r="T13" s="181">
        <v>169843043.30000001</v>
      </c>
      <c r="U13" s="181">
        <v>169843043.30000001</v>
      </c>
      <c r="V13" s="181">
        <v>169843043.30000001</v>
      </c>
      <c r="W13" s="181">
        <v>169843043.30000001</v>
      </c>
      <c r="X13" s="181">
        <v>169843043.30000001</v>
      </c>
      <c r="Y13" s="181">
        <v>172943043.30000001</v>
      </c>
      <c r="Z13" s="181">
        <v>171874411.30000001</v>
      </c>
      <c r="AA13" s="181">
        <v>171874411.30000001</v>
      </c>
      <c r="AB13" s="181">
        <v>172959313.30000001</v>
      </c>
      <c r="AC13" s="182">
        <f>11000+433398+10000000+21783318</f>
        <v>32227716</v>
      </c>
      <c r="AD13" s="188"/>
      <c r="AE13" s="188"/>
      <c r="AF13" s="188"/>
      <c r="AG13" s="188"/>
    </row>
    <row r="14" spans="1:41" x14ac:dyDescent="0.3">
      <c r="A14" s="11" t="s">
        <v>14</v>
      </c>
      <c r="B14" s="62">
        <f t="shared" ref="B14:G14" si="5">B15-B16</f>
        <v>112905266</v>
      </c>
      <c r="C14" s="62">
        <f t="shared" si="5"/>
        <v>7149156133</v>
      </c>
      <c r="D14" s="62">
        <f t="shared" si="5"/>
        <v>7216063705.0900002</v>
      </c>
      <c r="E14" s="62">
        <f t="shared" si="5"/>
        <v>7194881463.4200001</v>
      </c>
      <c r="F14" s="62">
        <f t="shared" si="5"/>
        <v>7215068027.8199997</v>
      </c>
      <c r="G14" s="62">
        <f t="shared" si="5"/>
        <v>7285630936.0999994</v>
      </c>
      <c r="H14" s="62">
        <f t="shared" ref="H14:AO14" si="6">H15-H16</f>
        <v>7330741998.7699995</v>
      </c>
      <c r="I14" s="62">
        <f t="shared" si="6"/>
        <v>7370498035.5699997</v>
      </c>
      <c r="J14" s="62">
        <f t="shared" si="6"/>
        <v>7627370395.0999994</v>
      </c>
      <c r="K14" s="62">
        <f t="shared" si="6"/>
        <v>7854113500.71</v>
      </c>
      <c r="L14" s="62">
        <f t="shared" si="6"/>
        <v>7968750483.4099998</v>
      </c>
      <c r="M14" s="62">
        <f t="shared" si="6"/>
        <v>8174132261.7299995</v>
      </c>
      <c r="N14" s="62">
        <f t="shared" si="6"/>
        <v>8301774903.7700005</v>
      </c>
      <c r="O14" s="62">
        <f t="shared" si="6"/>
        <v>8418623287</v>
      </c>
      <c r="P14" s="62">
        <f t="shared" si="6"/>
        <v>8371466303</v>
      </c>
      <c r="Q14" s="62">
        <f t="shared" si="6"/>
        <v>8470963593.1299992</v>
      </c>
      <c r="R14" s="62">
        <f t="shared" si="6"/>
        <v>8447952275.7700005</v>
      </c>
      <c r="S14" s="62">
        <f t="shared" si="6"/>
        <v>8587495920.3099995</v>
      </c>
      <c r="T14" s="62">
        <f t="shared" si="6"/>
        <v>8749756929.0900002</v>
      </c>
      <c r="U14" s="62">
        <f t="shared" si="6"/>
        <v>8872724258.1100006</v>
      </c>
      <c r="V14" s="62">
        <f t="shared" si="6"/>
        <v>8923785293.5100002</v>
      </c>
      <c r="W14" s="62">
        <f t="shared" si="6"/>
        <v>8960948529.9099998</v>
      </c>
      <c r="X14" s="62">
        <f t="shared" si="6"/>
        <v>9056512135.1700001</v>
      </c>
      <c r="Y14" s="62">
        <f t="shared" si="6"/>
        <v>9157887871.6499996</v>
      </c>
      <c r="Z14" s="62">
        <f t="shared" si="6"/>
        <v>9265215085.7399998</v>
      </c>
      <c r="AA14" s="62">
        <f t="shared" si="6"/>
        <v>9382568171.5100002</v>
      </c>
      <c r="AB14" s="62">
        <f t="shared" si="6"/>
        <v>9557226246.3199997</v>
      </c>
      <c r="AC14" s="62">
        <f t="shared" si="6"/>
        <v>9532687440</v>
      </c>
      <c r="AD14" s="186">
        <f t="shared" si="6"/>
        <v>9763168188.2099991</v>
      </c>
      <c r="AE14" s="186">
        <f t="shared" si="6"/>
        <v>9824649048.1599998</v>
      </c>
      <c r="AF14" s="186">
        <f t="shared" si="6"/>
        <v>9760721081.8799992</v>
      </c>
      <c r="AG14" s="186">
        <f t="shared" si="6"/>
        <v>9822865700.8400002</v>
      </c>
      <c r="AH14" s="62">
        <f t="shared" si="6"/>
        <v>9895483436.6100006</v>
      </c>
      <c r="AI14" s="62">
        <f t="shared" si="6"/>
        <v>0</v>
      </c>
      <c r="AJ14" s="62">
        <f t="shared" si="6"/>
        <v>0</v>
      </c>
      <c r="AK14" s="62">
        <f t="shared" si="6"/>
        <v>0</v>
      </c>
      <c r="AL14" s="62">
        <f t="shared" si="6"/>
        <v>0</v>
      </c>
      <c r="AM14" s="62">
        <f t="shared" si="6"/>
        <v>0</v>
      </c>
      <c r="AN14" s="62">
        <f t="shared" si="6"/>
        <v>0</v>
      </c>
      <c r="AO14" s="62">
        <f t="shared" si="6"/>
        <v>0</v>
      </c>
    </row>
    <row r="15" spans="1:41" x14ac:dyDescent="0.3">
      <c r="A15" s="12" t="s">
        <v>15</v>
      </c>
      <c r="B15" s="25">
        <v>112905266</v>
      </c>
      <c r="C15" s="144">
        <v>7688694111</v>
      </c>
      <c r="D15" s="13">
        <v>7755601682.4300003</v>
      </c>
      <c r="E15" s="13">
        <v>7734419440.7600002</v>
      </c>
      <c r="F15" s="13">
        <v>7754606005.1599998</v>
      </c>
      <c r="G15" s="13">
        <v>7825168913.4399996</v>
      </c>
      <c r="H15" s="160">
        <v>7870279976.1099997</v>
      </c>
      <c r="I15" s="160">
        <v>7910036012.9099998</v>
      </c>
      <c r="J15" s="160">
        <v>8166908372.4399996</v>
      </c>
      <c r="K15" s="160">
        <v>8393651478.0500002</v>
      </c>
      <c r="L15" s="160">
        <v>8553578288.75</v>
      </c>
      <c r="M15" s="160">
        <v>8758960067.0699997</v>
      </c>
      <c r="N15" s="160">
        <v>8886602709.1100006</v>
      </c>
      <c r="O15" s="160">
        <v>9003451092.3400002</v>
      </c>
      <c r="P15" s="169">
        <f>9003451092-47156983</f>
        <v>8956294109</v>
      </c>
      <c r="Q15" s="160">
        <v>9055791398.4699993</v>
      </c>
      <c r="R15" s="160">
        <v>9032780081.1100006</v>
      </c>
      <c r="S15" s="160">
        <v>9172323725.6499996</v>
      </c>
      <c r="T15" s="160">
        <v>9334584734.4300003</v>
      </c>
      <c r="U15" s="160">
        <v>9457552063.4500008</v>
      </c>
      <c r="V15" s="160">
        <v>9508613098.8500004</v>
      </c>
      <c r="W15" s="160">
        <v>9545776335.25</v>
      </c>
      <c r="X15" s="160">
        <v>9641339940.5100002</v>
      </c>
      <c r="Y15" s="160">
        <v>9742715676.9899998</v>
      </c>
      <c r="Z15" s="160">
        <v>9850042891.0799999</v>
      </c>
      <c r="AA15" s="160">
        <v>9967395976.8500004</v>
      </c>
      <c r="AB15" s="160">
        <v>10173845466.66</v>
      </c>
      <c r="AC15" s="169">
        <f>10173845465-24538804</f>
        <v>10149306661</v>
      </c>
      <c r="AD15" s="185">
        <v>10379787408.549999</v>
      </c>
      <c r="AE15" s="185">
        <v>10441268268.5</v>
      </c>
      <c r="AF15" s="185">
        <v>10377340302.219999</v>
      </c>
      <c r="AG15" s="185">
        <v>10439484921.18</v>
      </c>
      <c r="AH15" s="192">
        <v>10512102656.950001</v>
      </c>
    </row>
    <row r="16" spans="1:41" x14ac:dyDescent="0.3">
      <c r="A16" s="12" t="s">
        <v>16</v>
      </c>
      <c r="B16" s="25"/>
      <c r="C16" s="144">
        <v>539537978</v>
      </c>
      <c r="D16" s="13">
        <v>539537977.34000003</v>
      </c>
      <c r="E16" s="13">
        <v>539537977.34000003</v>
      </c>
      <c r="F16" s="13">
        <v>539537977.34000003</v>
      </c>
      <c r="G16" s="13">
        <v>539537977.34000003</v>
      </c>
      <c r="H16" s="160">
        <v>539537977.34000003</v>
      </c>
      <c r="I16" s="160">
        <v>539537977.34000003</v>
      </c>
      <c r="J16" s="160">
        <v>539537977.34000003</v>
      </c>
      <c r="K16" s="160">
        <v>539537977.34000003</v>
      </c>
      <c r="L16" s="160">
        <v>584827805.34000003</v>
      </c>
      <c r="M16" s="160">
        <v>584827805.34000003</v>
      </c>
      <c r="N16" s="160">
        <v>584827805.34000003</v>
      </c>
      <c r="O16" s="160">
        <v>584827805.34000003</v>
      </c>
      <c r="P16" s="169">
        <v>584827806</v>
      </c>
      <c r="Q16" s="160">
        <v>584827805.34000003</v>
      </c>
      <c r="R16" s="160">
        <v>584827805.34000003</v>
      </c>
      <c r="S16" s="160">
        <v>584827805.34000003</v>
      </c>
      <c r="T16" s="160">
        <v>584827805.34000003</v>
      </c>
      <c r="U16" s="160">
        <v>584827805.34000003</v>
      </c>
      <c r="V16" s="160">
        <v>584827805.34000003</v>
      </c>
      <c r="W16" s="160">
        <v>584827805.34000003</v>
      </c>
      <c r="X16" s="160">
        <v>584827805.34000003</v>
      </c>
      <c r="Y16" s="160">
        <v>584827805.34000003</v>
      </c>
      <c r="Z16" s="160">
        <v>584827805.34000003</v>
      </c>
      <c r="AA16" s="160">
        <v>584827805.34000003</v>
      </c>
      <c r="AB16" s="160">
        <v>616619220.34000003</v>
      </c>
      <c r="AC16" s="169">
        <v>616619221</v>
      </c>
      <c r="AD16" s="185">
        <v>616619220.34000003</v>
      </c>
      <c r="AE16" s="185">
        <v>616619220.34000003</v>
      </c>
      <c r="AF16" s="185">
        <v>616619220.34000003</v>
      </c>
      <c r="AG16" s="185">
        <v>616619220.34000003</v>
      </c>
      <c r="AH16" s="194">
        <v>616619220.34000003</v>
      </c>
    </row>
    <row r="17" spans="1:41" x14ac:dyDescent="0.3">
      <c r="A17" s="11" t="s">
        <v>17</v>
      </c>
      <c r="B17" s="62">
        <f t="shared" ref="B17:G17" si="7">SUM(B18:B20)</f>
        <v>0</v>
      </c>
      <c r="C17" s="62">
        <f t="shared" si="7"/>
        <v>0</v>
      </c>
      <c r="D17" s="62">
        <f t="shared" si="7"/>
        <v>0</v>
      </c>
      <c r="E17" s="62">
        <f t="shared" si="7"/>
        <v>0</v>
      </c>
      <c r="F17" s="62">
        <f t="shared" si="7"/>
        <v>0</v>
      </c>
      <c r="G17" s="62">
        <f t="shared" si="7"/>
        <v>0</v>
      </c>
      <c r="H17" s="62">
        <f t="shared" ref="H17" si="8">SUM(H18:H20)</f>
        <v>0</v>
      </c>
      <c r="I17" s="62">
        <f>SUM(I18:I20)</f>
        <v>0</v>
      </c>
      <c r="J17" s="62">
        <f>SUM(J18:J20)</f>
        <v>0</v>
      </c>
      <c r="K17" s="62">
        <f>SUM(K18:K20)</f>
        <v>0</v>
      </c>
      <c r="L17" s="62">
        <f t="shared" ref="L17:AO17" si="9">SUM(L18:L20)</f>
        <v>0</v>
      </c>
      <c r="M17" s="62">
        <f t="shared" si="9"/>
        <v>0</v>
      </c>
      <c r="N17" s="62">
        <f t="shared" si="9"/>
        <v>0</v>
      </c>
      <c r="O17" s="62">
        <f t="shared" si="9"/>
        <v>0</v>
      </c>
      <c r="P17" s="62">
        <f t="shared" si="9"/>
        <v>0</v>
      </c>
      <c r="Q17" s="62">
        <f t="shared" si="9"/>
        <v>0</v>
      </c>
      <c r="R17" s="62">
        <f t="shared" si="9"/>
        <v>0</v>
      </c>
      <c r="S17" s="62">
        <f t="shared" si="9"/>
        <v>0</v>
      </c>
      <c r="T17" s="62">
        <f t="shared" si="9"/>
        <v>0</v>
      </c>
      <c r="U17" s="62">
        <f t="shared" si="9"/>
        <v>0</v>
      </c>
      <c r="V17" s="62">
        <f t="shared" si="9"/>
        <v>0</v>
      </c>
      <c r="W17" s="62">
        <f t="shared" si="9"/>
        <v>0</v>
      </c>
      <c r="X17" s="62">
        <f t="shared" si="9"/>
        <v>0</v>
      </c>
      <c r="Y17" s="62">
        <f t="shared" si="9"/>
        <v>0</v>
      </c>
      <c r="Z17" s="62">
        <f t="shared" si="9"/>
        <v>0</v>
      </c>
      <c r="AA17" s="62">
        <f t="shared" si="9"/>
        <v>0</v>
      </c>
      <c r="AB17" s="62">
        <f t="shared" si="9"/>
        <v>0</v>
      </c>
      <c r="AC17" s="62">
        <f t="shared" si="9"/>
        <v>0</v>
      </c>
      <c r="AD17" s="186">
        <f t="shared" si="9"/>
        <v>0</v>
      </c>
      <c r="AE17" s="186">
        <f t="shared" si="9"/>
        <v>0</v>
      </c>
      <c r="AF17" s="186">
        <f t="shared" si="9"/>
        <v>0</v>
      </c>
      <c r="AG17" s="186">
        <f t="shared" si="9"/>
        <v>0</v>
      </c>
      <c r="AH17" s="62">
        <f t="shared" si="9"/>
        <v>0</v>
      </c>
      <c r="AI17" s="62">
        <f t="shared" si="9"/>
        <v>0</v>
      </c>
      <c r="AJ17" s="62">
        <f t="shared" si="9"/>
        <v>0</v>
      </c>
      <c r="AK17" s="62">
        <f t="shared" si="9"/>
        <v>0</v>
      </c>
      <c r="AL17" s="62">
        <f t="shared" si="9"/>
        <v>0</v>
      </c>
      <c r="AM17" s="62">
        <f t="shared" si="9"/>
        <v>0</v>
      </c>
      <c r="AN17" s="62">
        <f t="shared" si="9"/>
        <v>0</v>
      </c>
      <c r="AO17" s="62">
        <f t="shared" si="9"/>
        <v>0</v>
      </c>
    </row>
    <row r="18" spans="1:41" x14ac:dyDescent="0.3">
      <c r="A18" s="12" t="s">
        <v>18</v>
      </c>
      <c r="B18" s="25"/>
      <c r="C18" s="154"/>
      <c r="D18" s="13">
        <v>0</v>
      </c>
      <c r="E18" s="13">
        <v>0</v>
      </c>
      <c r="F18" s="13">
        <v>0</v>
      </c>
      <c r="G18" s="13">
        <v>0</v>
      </c>
      <c r="H18" s="160">
        <v>0</v>
      </c>
      <c r="I18" s="160">
        <v>0</v>
      </c>
      <c r="J18" s="160">
        <v>0</v>
      </c>
      <c r="K18" s="160">
        <v>0</v>
      </c>
      <c r="L18" s="160">
        <v>0</v>
      </c>
      <c r="M18" s="160">
        <v>0</v>
      </c>
      <c r="N18" s="160">
        <v>0</v>
      </c>
      <c r="O18" s="160">
        <v>0</v>
      </c>
      <c r="P18" s="169"/>
      <c r="Q18" s="160">
        <v>0</v>
      </c>
      <c r="R18" s="160">
        <v>0</v>
      </c>
      <c r="S18" s="160">
        <v>0</v>
      </c>
      <c r="T18" s="160">
        <v>0</v>
      </c>
      <c r="U18" s="160">
        <v>0</v>
      </c>
      <c r="V18" s="160">
        <v>0</v>
      </c>
      <c r="W18" s="160">
        <v>0</v>
      </c>
      <c r="X18" s="160">
        <v>0</v>
      </c>
      <c r="Y18" s="160">
        <v>0</v>
      </c>
      <c r="Z18" s="160">
        <v>0</v>
      </c>
      <c r="AA18" s="160">
        <v>0</v>
      </c>
      <c r="AB18" s="160">
        <v>0</v>
      </c>
      <c r="AC18" s="169"/>
      <c r="AD18" s="185">
        <v>0</v>
      </c>
      <c r="AE18" s="185">
        <v>0</v>
      </c>
      <c r="AF18" s="185">
        <v>0</v>
      </c>
      <c r="AG18" s="185">
        <v>0</v>
      </c>
      <c r="AH18" s="191">
        <v>0</v>
      </c>
    </row>
    <row r="19" spans="1:41" x14ac:dyDescent="0.3">
      <c r="A19" s="12" t="s">
        <v>19</v>
      </c>
      <c r="B19" s="25"/>
      <c r="C19" s="154"/>
      <c r="D19" s="13">
        <v>0</v>
      </c>
      <c r="E19" s="13">
        <v>0</v>
      </c>
      <c r="F19" s="13">
        <v>0</v>
      </c>
      <c r="G19" s="13">
        <v>0</v>
      </c>
      <c r="H19" s="160">
        <v>0</v>
      </c>
      <c r="I19" s="160">
        <v>0</v>
      </c>
      <c r="J19" s="160">
        <v>0</v>
      </c>
      <c r="K19" s="160">
        <v>0</v>
      </c>
      <c r="L19" s="160">
        <v>0</v>
      </c>
      <c r="M19" s="160">
        <v>0</v>
      </c>
      <c r="N19" s="160">
        <v>0</v>
      </c>
      <c r="O19" s="160">
        <v>0</v>
      </c>
      <c r="P19" s="169"/>
      <c r="Q19" s="160">
        <v>0</v>
      </c>
      <c r="R19" s="160">
        <v>0</v>
      </c>
      <c r="S19" s="160">
        <v>0</v>
      </c>
      <c r="T19" s="160">
        <v>0</v>
      </c>
      <c r="U19" s="160">
        <v>0</v>
      </c>
      <c r="V19" s="160">
        <v>0</v>
      </c>
      <c r="W19" s="160">
        <v>0</v>
      </c>
      <c r="X19" s="160">
        <v>0</v>
      </c>
      <c r="Y19" s="160">
        <v>0</v>
      </c>
      <c r="Z19" s="160">
        <v>0</v>
      </c>
      <c r="AA19" s="160">
        <v>0</v>
      </c>
      <c r="AB19" s="160">
        <v>0</v>
      </c>
      <c r="AC19" s="169"/>
      <c r="AD19" s="185">
        <v>0</v>
      </c>
      <c r="AE19" s="185">
        <v>0</v>
      </c>
      <c r="AF19" s="185">
        <v>0</v>
      </c>
      <c r="AG19" s="185">
        <v>0</v>
      </c>
      <c r="AH19" s="193">
        <v>0</v>
      </c>
    </row>
    <row r="20" spans="1:41" x14ac:dyDescent="0.3">
      <c r="A20" s="12" t="s">
        <v>20</v>
      </c>
      <c r="B20" s="25"/>
      <c r="C20" s="144"/>
      <c r="D20" s="13">
        <v>0</v>
      </c>
      <c r="E20" s="13">
        <v>0</v>
      </c>
      <c r="F20" s="13">
        <v>0</v>
      </c>
      <c r="G20" s="13">
        <v>0</v>
      </c>
      <c r="H20" s="160">
        <v>0</v>
      </c>
      <c r="I20" s="160">
        <v>0</v>
      </c>
      <c r="J20" s="160">
        <v>0</v>
      </c>
      <c r="K20" s="160">
        <v>0</v>
      </c>
      <c r="L20" s="160">
        <v>0</v>
      </c>
      <c r="M20" s="160">
        <v>0</v>
      </c>
      <c r="N20" s="160">
        <v>0</v>
      </c>
      <c r="O20" s="160">
        <v>0</v>
      </c>
      <c r="P20" s="169"/>
      <c r="Q20" s="160">
        <v>0</v>
      </c>
      <c r="R20" s="160">
        <v>0</v>
      </c>
      <c r="S20" s="160">
        <v>0</v>
      </c>
      <c r="T20" s="160">
        <v>0</v>
      </c>
      <c r="U20" s="160">
        <v>0</v>
      </c>
      <c r="V20" s="160">
        <v>0</v>
      </c>
      <c r="W20" s="160">
        <v>0</v>
      </c>
      <c r="X20" s="160">
        <v>0</v>
      </c>
      <c r="Y20" s="160">
        <v>0</v>
      </c>
      <c r="Z20" s="160">
        <v>0</v>
      </c>
      <c r="AA20" s="160">
        <v>0</v>
      </c>
      <c r="AB20" s="160">
        <v>0</v>
      </c>
      <c r="AC20" s="169"/>
      <c r="AD20" s="185">
        <v>0</v>
      </c>
      <c r="AE20" s="185">
        <v>0</v>
      </c>
      <c r="AF20" s="185">
        <v>0</v>
      </c>
      <c r="AG20" s="185">
        <v>0</v>
      </c>
      <c r="AH20" s="193">
        <v>0</v>
      </c>
    </row>
    <row r="21" spans="1:41" x14ac:dyDescent="0.3">
      <c r="A21" s="11" t="s">
        <v>21</v>
      </c>
      <c r="B21" s="62">
        <f t="shared" ref="B21:G21" si="10">SUM(B22:B26)</f>
        <v>4874587</v>
      </c>
      <c r="C21" s="62">
        <f t="shared" si="10"/>
        <v>607544048</v>
      </c>
      <c r="D21" s="62">
        <f t="shared" si="10"/>
        <v>616065182.33000004</v>
      </c>
      <c r="E21" s="62">
        <f t="shared" si="10"/>
        <v>620527756.43999994</v>
      </c>
      <c r="F21" s="62">
        <f t="shared" si="10"/>
        <v>627826416.43999994</v>
      </c>
      <c r="G21" s="62">
        <f t="shared" si="10"/>
        <v>669794498.52999997</v>
      </c>
      <c r="H21" s="62">
        <f t="shared" ref="H21:I21" si="11">SUM(H22:H26)</f>
        <v>669724382.52999997</v>
      </c>
      <c r="I21" s="62">
        <f t="shared" si="11"/>
        <v>670104862.52999997</v>
      </c>
      <c r="J21" s="62">
        <f>SUM(J22:J26)</f>
        <v>668322789.87</v>
      </c>
      <c r="K21" s="62">
        <f>SUM(K22:K26)</f>
        <v>676183172.95000005</v>
      </c>
      <c r="L21" s="62">
        <f t="shared" ref="L21:AO21" si="12">SUM(L22:L26)</f>
        <v>675725813.8499999</v>
      </c>
      <c r="M21" s="62">
        <f t="shared" si="12"/>
        <v>671977571.54999995</v>
      </c>
      <c r="N21" s="62">
        <f t="shared" si="12"/>
        <v>674623974.21999991</v>
      </c>
      <c r="O21" s="62">
        <f t="shared" si="12"/>
        <v>679568740.19000006</v>
      </c>
      <c r="P21" s="62">
        <f t="shared" si="12"/>
        <v>735973773</v>
      </c>
      <c r="Q21" s="62">
        <f t="shared" si="12"/>
        <v>677541401.19000006</v>
      </c>
      <c r="R21" s="62">
        <f t="shared" si="12"/>
        <v>677647986.19000006</v>
      </c>
      <c r="S21" s="62">
        <f t="shared" si="12"/>
        <v>684604127.54999995</v>
      </c>
      <c r="T21" s="62">
        <f t="shared" si="12"/>
        <v>695535491.1500001</v>
      </c>
      <c r="U21" s="62">
        <f t="shared" si="12"/>
        <v>697715394.31999993</v>
      </c>
      <c r="V21" s="62">
        <f t="shared" si="12"/>
        <v>698804634.31999993</v>
      </c>
      <c r="W21" s="62">
        <f t="shared" si="12"/>
        <v>698585354.32000005</v>
      </c>
      <c r="X21" s="62">
        <f t="shared" si="12"/>
        <v>708251900.39999998</v>
      </c>
      <c r="Y21" s="62">
        <f t="shared" si="12"/>
        <v>706994303.39999998</v>
      </c>
      <c r="Z21" s="62">
        <f t="shared" si="12"/>
        <v>707547334.39999998</v>
      </c>
      <c r="AA21" s="62">
        <f t="shared" si="12"/>
        <v>709165289.39999998</v>
      </c>
      <c r="AB21" s="62">
        <f t="shared" si="12"/>
        <v>714580607.93000007</v>
      </c>
      <c r="AC21" s="62">
        <f t="shared" si="12"/>
        <v>714580610</v>
      </c>
      <c r="AD21" s="186">
        <f t="shared" si="12"/>
        <v>714614007.93000007</v>
      </c>
      <c r="AE21" s="186">
        <f t="shared" si="12"/>
        <v>715021407.93000007</v>
      </c>
      <c r="AF21" s="186">
        <f t="shared" si="12"/>
        <v>716417420.80000007</v>
      </c>
      <c r="AG21" s="186">
        <f t="shared" si="12"/>
        <v>719215960.80000007</v>
      </c>
      <c r="AH21" s="62">
        <f t="shared" si="12"/>
        <v>721981170.80000007</v>
      </c>
      <c r="AI21" s="62">
        <f t="shared" si="12"/>
        <v>0</v>
      </c>
      <c r="AJ21" s="62">
        <f t="shared" si="12"/>
        <v>0</v>
      </c>
      <c r="AK21" s="62">
        <f t="shared" si="12"/>
        <v>0</v>
      </c>
      <c r="AL21" s="62">
        <f t="shared" si="12"/>
        <v>0</v>
      </c>
      <c r="AM21" s="62">
        <f t="shared" si="12"/>
        <v>0</v>
      </c>
      <c r="AN21" s="62">
        <f t="shared" si="12"/>
        <v>0</v>
      </c>
      <c r="AO21" s="62">
        <f t="shared" si="12"/>
        <v>0</v>
      </c>
    </row>
    <row r="22" spans="1:41" x14ac:dyDescent="0.3">
      <c r="A22" s="12" t="s">
        <v>22</v>
      </c>
      <c r="B22" s="25"/>
      <c r="C22" s="154"/>
      <c r="D22" s="13">
        <v>0</v>
      </c>
      <c r="E22" s="13">
        <v>0</v>
      </c>
      <c r="F22" s="13">
        <v>0</v>
      </c>
      <c r="G22" s="13">
        <v>0</v>
      </c>
      <c r="H22" s="160">
        <v>0</v>
      </c>
      <c r="I22" s="160">
        <v>0</v>
      </c>
      <c r="J22" s="160">
        <v>0</v>
      </c>
      <c r="K22" s="160">
        <v>0</v>
      </c>
      <c r="L22" s="160">
        <v>0</v>
      </c>
      <c r="M22" s="160">
        <v>0</v>
      </c>
      <c r="N22" s="160">
        <v>0</v>
      </c>
      <c r="O22" s="160">
        <v>0</v>
      </c>
      <c r="P22" s="169"/>
      <c r="Q22" s="160">
        <v>0</v>
      </c>
      <c r="R22" s="160">
        <v>0</v>
      </c>
      <c r="S22" s="160">
        <v>0</v>
      </c>
      <c r="T22" s="160">
        <v>0</v>
      </c>
      <c r="U22" s="160">
        <v>0</v>
      </c>
      <c r="V22" s="160">
        <v>0</v>
      </c>
      <c r="W22" s="160">
        <v>0</v>
      </c>
      <c r="X22" s="160">
        <v>0</v>
      </c>
      <c r="Y22" s="160">
        <v>0</v>
      </c>
      <c r="Z22" s="160">
        <v>0</v>
      </c>
      <c r="AA22" s="160">
        <v>0</v>
      </c>
      <c r="AB22" s="160">
        <v>0</v>
      </c>
      <c r="AC22" s="169"/>
      <c r="AD22" s="185">
        <v>0</v>
      </c>
      <c r="AE22" s="185">
        <v>0</v>
      </c>
      <c r="AF22" s="185">
        <v>0</v>
      </c>
      <c r="AG22" s="185">
        <v>0</v>
      </c>
      <c r="AH22" s="191">
        <v>0</v>
      </c>
    </row>
    <row r="23" spans="1:41" x14ac:dyDescent="0.3">
      <c r="A23" s="12" t="s">
        <v>23</v>
      </c>
      <c r="B23" s="25">
        <v>4123114</v>
      </c>
      <c r="C23" s="154">
        <v>579283128</v>
      </c>
      <c r="D23" s="13">
        <v>582743879.07000005</v>
      </c>
      <c r="E23" s="13">
        <v>587206453.17999995</v>
      </c>
      <c r="F23" s="13">
        <v>594505113.17999995</v>
      </c>
      <c r="G23" s="13">
        <v>635057037.26999998</v>
      </c>
      <c r="H23" s="160">
        <v>634986921.26999998</v>
      </c>
      <c r="I23" s="160">
        <v>635367401.26999998</v>
      </c>
      <c r="J23" s="160">
        <v>633585328.61000001</v>
      </c>
      <c r="K23" s="160">
        <v>636023314.88999999</v>
      </c>
      <c r="L23" s="160">
        <v>635565955.78999996</v>
      </c>
      <c r="M23" s="160">
        <v>631113010.78999996</v>
      </c>
      <c r="N23" s="160">
        <v>630774159.78999996</v>
      </c>
      <c r="O23" s="160">
        <v>640222198.63</v>
      </c>
      <c r="P23" s="169">
        <v>633753814</v>
      </c>
      <c r="Q23" s="160">
        <v>643847043.63</v>
      </c>
      <c r="R23" s="160">
        <v>643953628.63</v>
      </c>
      <c r="S23" s="160">
        <v>650909769.99000001</v>
      </c>
      <c r="T23" s="160">
        <v>661841133.59000003</v>
      </c>
      <c r="U23" s="160">
        <v>664021036.75999999</v>
      </c>
      <c r="V23" s="160">
        <v>665110276.75999999</v>
      </c>
      <c r="W23" s="160">
        <v>664029693.47000003</v>
      </c>
      <c r="X23" s="160">
        <v>673696239.54999995</v>
      </c>
      <c r="Y23" s="160">
        <v>672438642.54999995</v>
      </c>
      <c r="Z23" s="160">
        <v>673092742.54999995</v>
      </c>
      <c r="AA23" s="160">
        <v>674710697.54999995</v>
      </c>
      <c r="AB23" s="160">
        <v>633932316.08000004</v>
      </c>
      <c r="AC23" s="169">
        <v>633932317</v>
      </c>
      <c r="AD23" s="185">
        <v>633965716.08000004</v>
      </c>
      <c r="AE23" s="185">
        <v>633967116.08000004</v>
      </c>
      <c r="AF23" s="185">
        <v>634186466.08000004</v>
      </c>
      <c r="AG23" s="185">
        <v>636985006.08000004</v>
      </c>
      <c r="AH23" s="194">
        <v>639750216.08000004</v>
      </c>
    </row>
    <row r="24" spans="1:41" x14ac:dyDescent="0.3">
      <c r="A24" s="12" t="s">
        <v>24</v>
      </c>
      <c r="B24" s="25">
        <v>0</v>
      </c>
      <c r="C24" s="154"/>
      <c r="D24" s="13">
        <v>0</v>
      </c>
      <c r="E24" s="13">
        <v>0</v>
      </c>
      <c r="F24" s="13">
        <v>0</v>
      </c>
      <c r="G24" s="13">
        <v>0</v>
      </c>
      <c r="H24" s="160">
        <v>0</v>
      </c>
      <c r="I24" s="160">
        <v>0</v>
      </c>
      <c r="J24" s="160">
        <v>0</v>
      </c>
      <c r="K24" s="160">
        <v>0</v>
      </c>
      <c r="L24" s="160">
        <v>0</v>
      </c>
      <c r="M24" s="160">
        <v>0</v>
      </c>
      <c r="N24" s="160">
        <v>0</v>
      </c>
      <c r="O24" s="160">
        <v>0</v>
      </c>
      <c r="P24" s="169">
        <v>68525600</v>
      </c>
      <c r="Q24" s="160">
        <v>0</v>
      </c>
      <c r="R24" s="160">
        <v>0</v>
      </c>
      <c r="S24" s="160">
        <v>0</v>
      </c>
      <c r="T24" s="160">
        <v>0</v>
      </c>
      <c r="U24" s="160">
        <v>0</v>
      </c>
      <c r="V24" s="160">
        <v>0</v>
      </c>
      <c r="W24" s="160">
        <v>0</v>
      </c>
      <c r="X24" s="160">
        <v>0</v>
      </c>
      <c r="Y24" s="160">
        <v>0</v>
      </c>
      <c r="Z24" s="160">
        <v>0</v>
      </c>
      <c r="AA24" s="160">
        <v>0</v>
      </c>
      <c r="AB24" s="160">
        <v>0</v>
      </c>
      <c r="AC24" s="169">
        <v>53084619</v>
      </c>
      <c r="AD24" s="185">
        <v>0</v>
      </c>
      <c r="AE24" s="185">
        <v>0</v>
      </c>
      <c r="AF24" s="185">
        <v>0</v>
      </c>
      <c r="AG24" s="185">
        <v>0</v>
      </c>
      <c r="AH24" s="193">
        <v>0</v>
      </c>
    </row>
    <row r="25" spans="1:41" x14ac:dyDescent="0.3">
      <c r="A25" s="12" t="s">
        <v>25</v>
      </c>
      <c r="B25" s="25">
        <v>751473</v>
      </c>
      <c r="C25" s="154">
        <v>28260920</v>
      </c>
      <c r="D25" s="13">
        <v>33321303.260000002</v>
      </c>
      <c r="E25" s="13">
        <v>33321303.260000002</v>
      </c>
      <c r="F25" s="13">
        <v>33321303.260000002</v>
      </c>
      <c r="G25" s="13">
        <v>34737461.259999998</v>
      </c>
      <c r="H25" s="160">
        <v>34737461.259999998</v>
      </c>
      <c r="I25" s="160">
        <v>34737461.259999998</v>
      </c>
      <c r="J25" s="160">
        <v>34737461.259999998</v>
      </c>
      <c r="K25" s="160">
        <v>40159858.060000002</v>
      </c>
      <c r="L25" s="160">
        <v>40159858.060000002</v>
      </c>
      <c r="M25" s="160">
        <v>40864560.759999998</v>
      </c>
      <c r="N25" s="160">
        <v>43849814.43</v>
      </c>
      <c r="O25" s="160">
        <v>39346541.560000002</v>
      </c>
      <c r="P25" s="169">
        <v>33694359</v>
      </c>
      <c r="Q25" s="160">
        <v>33694357.560000002</v>
      </c>
      <c r="R25" s="160">
        <v>33694357.560000002</v>
      </c>
      <c r="S25" s="160">
        <v>33694357.560000002</v>
      </c>
      <c r="T25" s="160">
        <v>33694357.560000002</v>
      </c>
      <c r="U25" s="160">
        <v>33694357.560000002</v>
      </c>
      <c r="V25" s="160">
        <v>33694357.560000002</v>
      </c>
      <c r="W25" s="160">
        <v>34555660.850000001</v>
      </c>
      <c r="X25" s="160">
        <v>34555660.850000001</v>
      </c>
      <c r="Y25" s="160">
        <v>34555660.850000001</v>
      </c>
      <c r="Z25" s="160">
        <v>34454591.850000001</v>
      </c>
      <c r="AA25" s="160">
        <v>34454591.850000001</v>
      </c>
      <c r="AB25" s="160">
        <v>27563672.850000001</v>
      </c>
      <c r="AC25" s="169">
        <v>27563674</v>
      </c>
      <c r="AD25" s="185">
        <v>27563672.850000001</v>
      </c>
      <c r="AE25" s="185">
        <v>27969672.850000001</v>
      </c>
      <c r="AF25" s="185">
        <v>29146335.719999999</v>
      </c>
      <c r="AG25" s="185">
        <v>29146335.719999999</v>
      </c>
      <c r="AH25" s="194">
        <v>29146335.719999999</v>
      </c>
    </row>
    <row r="26" spans="1:41" x14ac:dyDescent="0.3">
      <c r="A26" s="12" t="s">
        <v>26</v>
      </c>
      <c r="B26" s="25"/>
      <c r="C26" s="154"/>
      <c r="D26" s="13">
        <v>0</v>
      </c>
      <c r="E26" s="13">
        <v>0</v>
      </c>
      <c r="F26" s="13">
        <v>0</v>
      </c>
      <c r="G26" s="13">
        <v>0</v>
      </c>
      <c r="H26" s="160">
        <v>0</v>
      </c>
      <c r="I26" s="160">
        <v>0</v>
      </c>
      <c r="J26" s="160">
        <v>0</v>
      </c>
      <c r="K26" s="160">
        <v>0</v>
      </c>
      <c r="L26" s="160">
        <v>0</v>
      </c>
      <c r="M26" s="160">
        <v>0</v>
      </c>
      <c r="N26" s="160">
        <v>0</v>
      </c>
      <c r="O26" s="160">
        <v>0</v>
      </c>
      <c r="P26" s="169"/>
      <c r="Q26" s="160">
        <v>0</v>
      </c>
      <c r="R26" s="160">
        <v>0</v>
      </c>
      <c r="S26" s="160">
        <v>0</v>
      </c>
      <c r="T26" s="160">
        <v>0</v>
      </c>
      <c r="U26" s="160">
        <v>0</v>
      </c>
      <c r="V26" s="160">
        <v>0</v>
      </c>
      <c r="W26" s="160">
        <v>0</v>
      </c>
      <c r="X26" s="160">
        <v>0</v>
      </c>
      <c r="Y26" s="160">
        <v>0</v>
      </c>
      <c r="Z26" s="160">
        <v>0</v>
      </c>
      <c r="AA26" s="160">
        <v>0</v>
      </c>
      <c r="AB26" s="160">
        <v>53084619</v>
      </c>
      <c r="AC26" s="169"/>
      <c r="AD26" s="185">
        <v>53084619</v>
      </c>
      <c r="AE26" s="185">
        <v>53084619</v>
      </c>
      <c r="AF26" s="185">
        <v>53084619</v>
      </c>
      <c r="AG26" s="185">
        <v>53084619</v>
      </c>
      <c r="AH26" s="194">
        <v>53084619</v>
      </c>
    </row>
    <row r="27" spans="1:41" x14ac:dyDescent="0.3">
      <c r="A27" s="11" t="s">
        <v>27</v>
      </c>
      <c r="B27" s="62">
        <f t="shared" ref="B27:G27" si="13">B21+B17+B14+B8+B7+B4</f>
        <v>151015729</v>
      </c>
      <c r="C27" s="62">
        <f t="shared" si="13"/>
        <v>9336228976</v>
      </c>
      <c r="D27" s="62">
        <f t="shared" si="13"/>
        <v>9414478173.5</v>
      </c>
      <c r="E27" s="62">
        <f t="shared" si="13"/>
        <v>9429926477.789999</v>
      </c>
      <c r="F27" s="62">
        <f t="shared" si="13"/>
        <v>9367037801.8099995</v>
      </c>
      <c r="G27" s="62">
        <f t="shared" si="13"/>
        <v>9413724710.5299988</v>
      </c>
      <c r="H27" s="62">
        <f t="shared" ref="H27:AO27" si="14">H21+H17+H14+H8+H7+H4</f>
        <v>9581416986.2399998</v>
      </c>
      <c r="I27" s="62">
        <f t="shared" si="14"/>
        <v>9656508621.2299995</v>
      </c>
      <c r="J27" s="62">
        <f t="shared" si="14"/>
        <v>9872681550.1099987</v>
      </c>
      <c r="K27" s="62">
        <f t="shared" si="14"/>
        <v>10023205402.219999</v>
      </c>
      <c r="L27" s="62">
        <f t="shared" si="14"/>
        <v>10088069149.85</v>
      </c>
      <c r="M27" s="62">
        <f t="shared" si="14"/>
        <v>10226255104.649998</v>
      </c>
      <c r="N27" s="62">
        <f t="shared" si="14"/>
        <v>10301003046.909998</v>
      </c>
      <c r="O27" s="62">
        <f t="shared" si="14"/>
        <v>10425163332.82</v>
      </c>
      <c r="P27" s="62">
        <f t="shared" si="14"/>
        <v>10480806360</v>
      </c>
      <c r="Q27" s="62">
        <f t="shared" si="14"/>
        <v>10540673696.66</v>
      </c>
      <c r="R27" s="62">
        <f t="shared" si="14"/>
        <v>10594175670.82</v>
      </c>
      <c r="S27" s="62">
        <f t="shared" si="14"/>
        <v>10436206202.809998</v>
      </c>
      <c r="T27" s="62">
        <f t="shared" si="14"/>
        <v>10525347007.049999</v>
      </c>
      <c r="U27" s="62">
        <f t="shared" si="14"/>
        <v>10608763422.219999</v>
      </c>
      <c r="V27" s="62">
        <f t="shared" si="14"/>
        <v>10902525105.589998</v>
      </c>
      <c r="W27" s="62">
        <f t="shared" si="14"/>
        <v>10953693340.09</v>
      </c>
      <c r="X27" s="62">
        <f t="shared" si="14"/>
        <v>11131656492.83</v>
      </c>
      <c r="Y27" s="62">
        <f t="shared" si="14"/>
        <v>11199627686.139999</v>
      </c>
      <c r="Z27" s="62">
        <f t="shared" si="14"/>
        <v>11409300902.239998</v>
      </c>
      <c r="AA27" s="62">
        <f t="shared" si="14"/>
        <v>11458345181.289999</v>
      </c>
      <c r="AB27" s="62">
        <f t="shared" si="14"/>
        <v>11630443127.769999</v>
      </c>
      <c r="AC27" s="62">
        <f t="shared" si="14"/>
        <v>11665150273</v>
      </c>
      <c r="AD27" s="186">
        <f t="shared" si="14"/>
        <v>11773997516.769999</v>
      </c>
      <c r="AE27" s="186">
        <f t="shared" si="14"/>
        <v>11997148584.120001</v>
      </c>
      <c r="AF27" s="186">
        <f t="shared" si="14"/>
        <v>11865267904.789997</v>
      </c>
      <c r="AG27" s="186">
        <f t="shared" si="14"/>
        <v>11966274927.669998</v>
      </c>
      <c r="AH27" s="62">
        <f t="shared" si="14"/>
        <v>12123963904.969999</v>
      </c>
      <c r="AI27" s="62">
        <f t="shared" si="14"/>
        <v>0</v>
      </c>
      <c r="AJ27" s="62">
        <f t="shared" si="14"/>
        <v>0</v>
      </c>
      <c r="AK27" s="62">
        <f t="shared" si="14"/>
        <v>0</v>
      </c>
      <c r="AL27" s="62">
        <f t="shared" si="14"/>
        <v>0</v>
      </c>
      <c r="AM27" s="62">
        <f t="shared" si="14"/>
        <v>0</v>
      </c>
      <c r="AN27" s="62">
        <f t="shared" si="14"/>
        <v>0</v>
      </c>
      <c r="AO27" s="62">
        <f t="shared" si="14"/>
        <v>0</v>
      </c>
    </row>
    <row r="28" spans="1:41" x14ac:dyDescent="0.3">
      <c r="A28" s="12" t="s">
        <v>28</v>
      </c>
      <c r="B28" s="25">
        <v>8112861</v>
      </c>
      <c r="C28" s="13">
        <v>1118546479</v>
      </c>
      <c r="D28" s="13">
        <v>1084366912.7</v>
      </c>
      <c r="E28" s="13">
        <v>1405055790.74</v>
      </c>
      <c r="F28" s="13">
        <v>1252913459.05</v>
      </c>
      <c r="G28" s="13">
        <v>1143100594.1600001</v>
      </c>
      <c r="H28" s="160">
        <v>1216954671.72</v>
      </c>
      <c r="I28" s="160">
        <v>1203899787.6500001</v>
      </c>
      <c r="J28" s="160">
        <v>1282657531.01</v>
      </c>
      <c r="K28" s="160">
        <v>1293895714.6099999</v>
      </c>
      <c r="L28" s="160">
        <v>1286766460.8</v>
      </c>
      <c r="M28" s="160">
        <v>1319510392.47</v>
      </c>
      <c r="N28" s="160">
        <v>1259219589.7</v>
      </c>
      <c r="O28" s="160">
        <v>1267388385.24</v>
      </c>
      <c r="P28" s="169">
        <v>1267293882</v>
      </c>
      <c r="Q28" s="160">
        <v>1275074927.27</v>
      </c>
      <c r="R28" s="160">
        <v>1524844645.47</v>
      </c>
      <c r="S28" s="160">
        <v>1445992922.99</v>
      </c>
      <c r="T28" s="160">
        <v>1372065619.6800001</v>
      </c>
      <c r="U28" s="160">
        <v>1306851326.8599999</v>
      </c>
      <c r="V28" s="160">
        <v>1326512430.23</v>
      </c>
      <c r="W28" s="160">
        <v>1349896161.52</v>
      </c>
      <c r="X28" s="160">
        <v>1326661478.3800001</v>
      </c>
      <c r="Y28" s="160">
        <v>1309271318.78</v>
      </c>
      <c r="Z28" s="160">
        <v>1385711396.73</v>
      </c>
      <c r="AA28" s="160">
        <v>1335379822.77</v>
      </c>
      <c r="AB28" s="160">
        <v>1363908356.95</v>
      </c>
      <c r="AC28" s="169">
        <v>1363908356</v>
      </c>
      <c r="AD28" s="185">
        <v>1358582117.8599999</v>
      </c>
      <c r="AE28" s="185">
        <v>1333694131.4100001</v>
      </c>
      <c r="AF28" s="185">
        <v>1513848818.4200001</v>
      </c>
      <c r="AG28" s="185">
        <v>1451046471.9300001</v>
      </c>
      <c r="AH28" s="192">
        <v>1394293805.73</v>
      </c>
    </row>
    <row r="29" spans="1:41" x14ac:dyDescent="0.3">
      <c r="A29" s="12" t="s">
        <v>29</v>
      </c>
      <c r="B29" s="25">
        <v>8350444</v>
      </c>
      <c r="C29" s="13">
        <v>165712109</v>
      </c>
      <c r="D29" s="13">
        <v>173733980.09</v>
      </c>
      <c r="E29" s="13">
        <v>164429021.09</v>
      </c>
      <c r="F29" s="13">
        <v>175346573.69</v>
      </c>
      <c r="G29" s="13">
        <v>185701674.69</v>
      </c>
      <c r="H29" s="160">
        <v>182108217.69</v>
      </c>
      <c r="I29" s="160">
        <v>186251982.74000001</v>
      </c>
      <c r="J29" s="160">
        <v>208989666.74000001</v>
      </c>
      <c r="K29" s="160">
        <v>207171007.09</v>
      </c>
      <c r="L29" s="160">
        <v>218149527.09</v>
      </c>
      <c r="M29" s="160">
        <v>210456617.28999999</v>
      </c>
      <c r="N29" s="160">
        <v>212200519.94</v>
      </c>
      <c r="O29" s="160">
        <v>217330104.94</v>
      </c>
      <c r="P29" s="169">
        <v>217330105</v>
      </c>
      <c r="Q29" s="160">
        <v>219685949.63999999</v>
      </c>
      <c r="R29" s="160">
        <v>220870982.99000001</v>
      </c>
      <c r="S29" s="160">
        <v>215480530.38999999</v>
      </c>
      <c r="T29" s="160">
        <v>235506022.88999999</v>
      </c>
      <c r="U29" s="160">
        <v>245320914.53999999</v>
      </c>
      <c r="V29" s="160">
        <v>246382848.74000001</v>
      </c>
      <c r="W29" s="160">
        <v>255016937.13999999</v>
      </c>
      <c r="X29" s="160">
        <v>258149583.38999999</v>
      </c>
      <c r="Y29" s="160">
        <v>266034873.59</v>
      </c>
      <c r="Z29" s="160">
        <v>269221496.19</v>
      </c>
      <c r="AA29" s="160">
        <v>271075256.26999998</v>
      </c>
      <c r="AB29" s="160">
        <v>271867152.06999999</v>
      </c>
      <c r="AC29" s="169">
        <v>271867152</v>
      </c>
      <c r="AD29" s="185">
        <v>266832065.62</v>
      </c>
      <c r="AE29" s="185">
        <v>275537036.62</v>
      </c>
      <c r="AF29" s="185">
        <v>271586268.62</v>
      </c>
      <c r="AG29" s="185">
        <v>293260172.87</v>
      </c>
      <c r="AH29" s="194">
        <v>312413300.87</v>
      </c>
    </row>
    <row r="30" spans="1:41" x14ac:dyDescent="0.3">
      <c r="A30" s="12" t="s">
        <v>30</v>
      </c>
      <c r="B30" s="25">
        <v>112140909</v>
      </c>
      <c r="C30" s="13">
        <v>4971582622</v>
      </c>
      <c r="D30" s="13">
        <v>5008545738.3000002</v>
      </c>
      <c r="E30" s="13">
        <v>5076637399.9700003</v>
      </c>
      <c r="F30" s="13">
        <v>5134317704.8500004</v>
      </c>
      <c r="G30" s="13">
        <v>5182936930.6300001</v>
      </c>
      <c r="H30" s="160">
        <v>5210322127.0699997</v>
      </c>
      <c r="I30" s="160">
        <v>5237308954.5500002</v>
      </c>
      <c r="J30" s="160">
        <v>5222516124.1300001</v>
      </c>
      <c r="K30" s="160">
        <v>5261271762.2299995</v>
      </c>
      <c r="L30" s="160">
        <v>5300041062</v>
      </c>
      <c r="M30" s="160">
        <v>5336590923.5100002</v>
      </c>
      <c r="N30" s="160">
        <v>5372213014.0500002</v>
      </c>
      <c r="O30" s="160">
        <v>5369507090.8599997</v>
      </c>
      <c r="P30" s="169">
        <v>5369507091</v>
      </c>
      <c r="Q30" s="160">
        <v>5411079676.4799995</v>
      </c>
      <c r="R30" s="160">
        <v>5452054200.3900003</v>
      </c>
      <c r="S30" s="160">
        <v>5533477851.5500002</v>
      </c>
      <c r="T30" s="160">
        <v>5600018415.1999998</v>
      </c>
      <c r="U30" s="160">
        <v>5659806774.3299999</v>
      </c>
      <c r="V30" s="160">
        <v>5644861320.3500004</v>
      </c>
      <c r="W30" s="160">
        <v>5669414340.1499996</v>
      </c>
      <c r="X30" s="160">
        <v>5706662107.2399998</v>
      </c>
      <c r="Y30" s="160">
        <v>5766140727.1800003</v>
      </c>
      <c r="Z30" s="160">
        <v>5826114832.6599998</v>
      </c>
      <c r="AA30" s="160">
        <v>5865279776.1300001</v>
      </c>
      <c r="AB30" s="160">
        <v>5848968899.0100002</v>
      </c>
      <c r="AC30" s="169">
        <v>5848968899</v>
      </c>
      <c r="AD30" s="185">
        <v>5896319253.2600002</v>
      </c>
      <c r="AE30" s="185">
        <v>5963430426.54</v>
      </c>
      <c r="AF30" s="185">
        <v>6061810843.2799997</v>
      </c>
      <c r="AG30" s="185">
        <v>6139527430.96</v>
      </c>
      <c r="AH30" s="194">
        <v>6197427025.0699997</v>
      </c>
    </row>
    <row r="31" spans="1:41" x14ac:dyDescent="0.3">
      <c r="A31" s="11" t="s">
        <v>31</v>
      </c>
      <c r="B31" s="62">
        <f t="shared" ref="B31:G31" si="15">SUM(B28:B30)</f>
        <v>128604214</v>
      </c>
      <c r="C31" s="62">
        <f t="shared" si="15"/>
        <v>6255841210</v>
      </c>
      <c r="D31" s="62">
        <f t="shared" si="15"/>
        <v>6266646631.0900002</v>
      </c>
      <c r="E31" s="62">
        <f t="shared" si="15"/>
        <v>6646122211.8000002</v>
      </c>
      <c r="F31" s="62">
        <f t="shared" si="15"/>
        <v>6562577737.5900002</v>
      </c>
      <c r="G31" s="62">
        <f t="shared" si="15"/>
        <v>6511739199.4800005</v>
      </c>
      <c r="H31" s="62">
        <f t="shared" ref="H31:AO31" si="16">SUM(H28:H30)</f>
        <v>6609385016.4799995</v>
      </c>
      <c r="I31" s="62">
        <f t="shared" si="16"/>
        <v>6627460724.9400005</v>
      </c>
      <c r="J31" s="62">
        <f t="shared" si="16"/>
        <v>6714163321.8800001</v>
      </c>
      <c r="K31" s="62">
        <f t="shared" si="16"/>
        <v>6762338483.9299994</v>
      </c>
      <c r="L31" s="62">
        <f t="shared" si="16"/>
        <v>6804957049.8899994</v>
      </c>
      <c r="M31" s="62">
        <f t="shared" si="16"/>
        <v>6866557933.2700005</v>
      </c>
      <c r="N31" s="62">
        <f t="shared" si="16"/>
        <v>6843633123.6900005</v>
      </c>
      <c r="O31" s="62">
        <f t="shared" si="16"/>
        <v>6854225581.04</v>
      </c>
      <c r="P31" s="62">
        <f t="shared" si="16"/>
        <v>6854131078</v>
      </c>
      <c r="Q31" s="62">
        <f t="shared" si="16"/>
        <v>6905840553.3899994</v>
      </c>
      <c r="R31" s="62">
        <f t="shared" si="16"/>
        <v>7197769828.8500004</v>
      </c>
      <c r="S31" s="62">
        <f t="shared" si="16"/>
        <v>7194951304.9300003</v>
      </c>
      <c r="T31" s="62">
        <f t="shared" si="16"/>
        <v>7207590057.7700005</v>
      </c>
      <c r="U31" s="62">
        <f t="shared" si="16"/>
        <v>7211979015.7299995</v>
      </c>
      <c r="V31" s="62">
        <f t="shared" si="16"/>
        <v>7217756599.3200006</v>
      </c>
      <c r="W31" s="62">
        <f t="shared" si="16"/>
        <v>7274327438.8099995</v>
      </c>
      <c r="X31" s="62">
        <f t="shared" si="16"/>
        <v>7291473169.0100002</v>
      </c>
      <c r="Y31" s="62">
        <f t="shared" si="16"/>
        <v>7341446919.5500002</v>
      </c>
      <c r="Z31" s="62">
        <f t="shared" si="16"/>
        <v>7481047725.5799999</v>
      </c>
      <c r="AA31" s="62">
        <f t="shared" si="16"/>
        <v>7471734855.1700001</v>
      </c>
      <c r="AB31" s="62">
        <f t="shared" si="16"/>
        <v>7484744408.0300007</v>
      </c>
      <c r="AC31" s="62">
        <f t="shared" si="16"/>
        <v>7484744407</v>
      </c>
      <c r="AD31" s="186">
        <f t="shared" si="16"/>
        <v>7521733436.7399998</v>
      </c>
      <c r="AE31" s="186">
        <f t="shared" si="16"/>
        <v>7572661594.5699997</v>
      </c>
      <c r="AF31" s="186">
        <f t="shared" si="16"/>
        <v>7847245930.3199997</v>
      </c>
      <c r="AG31" s="186">
        <f t="shared" si="16"/>
        <v>7883834075.7600002</v>
      </c>
      <c r="AH31" s="62">
        <f t="shared" si="16"/>
        <v>7904134131.6700001</v>
      </c>
      <c r="AI31" s="62">
        <f t="shared" si="16"/>
        <v>0</v>
      </c>
      <c r="AJ31" s="62">
        <f t="shared" si="16"/>
        <v>0</v>
      </c>
      <c r="AK31" s="62">
        <f t="shared" si="16"/>
        <v>0</v>
      </c>
      <c r="AL31" s="62">
        <f t="shared" si="16"/>
        <v>0</v>
      </c>
      <c r="AM31" s="62">
        <f t="shared" si="16"/>
        <v>0</v>
      </c>
      <c r="AN31" s="62">
        <f t="shared" si="16"/>
        <v>0</v>
      </c>
      <c r="AO31" s="62">
        <f t="shared" si="16"/>
        <v>0</v>
      </c>
    </row>
    <row r="32" spans="1:41" x14ac:dyDescent="0.3">
      <c r="A32" s="12" t="s">
        <v>32</v>
      </c>
      <c r="B32" s="25">
        <v>27231</v>
      </c>
      <c r="C32" s="144"/>
      <c r="D32" s="13">
        <v>-13835404.67</v>
      </c>
      <c r="E32" s="13">
        <v>17880614.460000001</v>
      </c>
      <c r="F32" s="13">
        <v>-7523073.3399999999</v>
      </c>
      <c r="G32" s="13">
        <v>-13432063.199999999</v>
      </c>
      <c r="H32" s="160">
        <v>-13100262.050000001</v>
      </c>
      <c r="I32" s="160">
        <v>-20177392.890000001</v>
      </c>
      <c r="J32" s="160">
        <v>-17389765.16</v>
      </c>
      <c r="K32" s="160">
        <v>-14295083.57</v>
      </c>
      <c r="L32" s="160">
        <v>-17231272.359999999</v>
      </c>
      <c r="M32" s="160">
        <v>-16957169.760000002</v>
      </c>
      <c r="N32" s="160">
        <v>-14273111.039999999</v>
      </c>
      <c r="O32" s="160">
        <v>-14219253.17</v>
      </c>
      <c r="P32" s="169"/>
      <c r="Q32" s="160">
        <v>-14887838.24</v>
      </c>
      <c r="R32" s="160">
        <v>4442710.55</v>
      </c>
      <c r="S32" s="160">
        <v>29728042.149999999</v>
      </c>
      <c r="T32" s="160">
        <v>798420.33</v>
      </c>
      <c r="U32" s="160">
        <v>-7479120.7999999998</v>
      </c>
      <c r="V32" s="160">
        <v>-11260223.84</v>
      </c>
      <c r="W32" s="160">
        <v>-15792090.050000001</v>
      </c>
      <c r="X32" s="160">
        <v>-12722775.02</v>
      </c>
      <c r="Y32" s="160">
        <v>-15431861.109999999</v>
      </c>
      <c r="Z32" s="160">
        <v>-15495114.01</v>
      </c>
      <c r="AA32" s="160">
        <v>-11210498.67</v>
      </c>
      <c r="AB32" s="160">
        <v>-10775824.789999999</v>
      </c>
      <c r="AC32" s="169"/>
      <c r="AD32" s="185">
        <v>6029754.8399999999</v>
      </c>
      <c r="AE32" s="185">
        <v>-1498420.1</v>
      </c>
      <c r="AF32" s="185">
        <v>33744995.710000001</v>
      </c>
      <c r="AG32" s="185">
        <v>-3140267.37</v>
      </c>
      <c r="AH32" s="192">
        <v>5420569.25</v>
      </c>
    </row>
    <row r="33" spans="1:41" x14ac:dyDescent="0.3">
      <c r="A33" s="12" t="s">
        <v>33</v>
      </c>
      <c r="B33" s="25">
        <v>3618123</v>
      </c>
      <c r="C33" s="13">
        <v>401925569</v>
      </c>
      <c r="D33" s="13">
        <v>485808070.76999998</v>
      </c>
      <c r="E33" s="13">
        <v>57580449.649999999</v>
      </c>
      <c r="F33" s="13">
        <v>24253440.73</v>
      </c>
      <c r="G33" s="13">
        <v>0</v>
      </c>
      <c r="H33" s="160">
        <v>0</v>
      </c>
      <c r="I33" s="160">
        <v>0</v>
      </c>
      <c r="J33" s="160">
        <v>0</v>
      </c>
      <c r="K33" s="160">
        <v>0</v>
      </c>
      <c r="L33" s="160">
        <v>0</v>
      </c>
      <c r="M33" s="160">
        <v>0</v>
      </c>
      <c r="N33" s="160">
        <v>0</v>
      </c>
      <c r="O33" s="160">
        <v>0</v>
      </c>
      <c r="P33" s="169"/>
      <c r="Q33" s="160">
        <v>73574687</v>
      </c>
      <c r="R33" s="160">
        <v>73574687</v>
      </c>
      <c r="S33" s="160">
        <v>0</v>
      </c>
      <c r="T33" s="160">
        <v>0</v>
      </c>
      <c r="U33" s="160">
        <v>0</v>
      </c>
      <c r="V33" s="160">
        <v>0</v>
      </c>
      <c r="W33" s="160">
        <v>0</v>
      </c>
      <c r="X33" s="160">
        <v>0</v>
      </c>
      <c r="Y33" s="160">
        <v>0</v>
      </c>
      <c r="Z33" s="160">
        <v>0</v>
      </c>
      <c r="AA33" s="160">
        <v>0</v>
      </c>
      <c r="AB33" s="160">
        <v>0</v>
      </c>
      <c r="AC33" s="169"/>
      <c r="AD33" s="185">
        <v>558203769</v>
      </c>
      <c r="AE33" s="185">
        <v>558203768.66999996</v>
      </c>
      <c r="AF33" s="185">
        <v>228321.55</v>
      </c>
      <c r="AG33" s="185">
        <v>0</v>
      </c>
      <c r="AH33" s="194">
        <v>130358.45</v>
      </c>
    </row>
    <row r="34" spans="1:41" x14ac:dyDescent="0.3">
      <c r="A34" s="12" t="s">
        <v>34</v>
      </c>
      <c r="B34" s="25"/>
      <c r="C34" s="144"/>
      <c r="D34" s="13">
        <v>0</v>
      </c>
      <c r="E34" s="13">
        <v>0</v>
      </c>
      <c r="F34" s="13">
        <v>0</v>
      </c>
      <c r="G34" s="13">
        <v>0</v>
      </c>
      <c r="H34" s="160">
        <v>0</v>
      </c>
      <c r="I34" s="160">
        <v>0</v>
      </c>
      <c r="J34" s="160">
        <v>0</v>
      </c>
      <c r="K34" s="160">
        <v>0</v>
      </c>
      <c r="L34" s="160">
        <v>0</v>
      </c>
      <c r="M34" s="160">
        <v>0</v>
      </c>
      <c r="N34" s="160">
        <v>0</v>
      </c>
      <c r="O34" s="160">
        <v>0</v>
      </c>
      <c r="P34" s="169"/>
      <c r="Q34" s="160">
        <v>0</v>
      </c>
      <c r="R34" s="160">
        <v>0</v>
      </c>
      <c r="S34" s="160">
        <v>0</v>
      </c>
      <c r="T34" s="160">
        <v>0</v>
      </c>
      <c r="U34" s="160">
        <v>0</v>
      </c>
      <c r="V34" s="160">
        <v>0</v>
      </c>
      <c r="W34" s="160">
        <v>0</v>
      </c>
      <c r="X34" s="160">
        <v>0</v>
      </c>
      <c r="Y34" s="160">
        <v>0</v>
      </c>
      <c r="Z34" s="160">
        <v>0</v>
      </c>
      <c r="AA34" s="160">
        <v>0</v>
      </c>
      <c r="AB34" s="160">
        <v>0</v>
      </c>
      <c r="AC34" s="169"/>
      <c r="AD34" s="185">
        <v>0</v>
      </c>
      <c r="AE34" s="185">
        <v>0</v>
      </c>
      <c r="AF34" s="185">
        <v>0</v>
      </c>
      <c r="AG34" s="185">
        <v>0</v>
      </c>
      <c r="AH34" s="193">
        <v>0</v>
      </c>
    </row>
    <row r="35" spans="1:41" x14ac:dyDescent="0.3">
      <c r="A35" s="12" t="s">
        <v>35</v>
      </c>
      <c r="B35" s="25"/>
      <c r="C35" s="144"/>
      <c r="D35" s="13">
        <v>0</v>
      </c>
      <c r="E35" s="13">
        <v>0</v>
      </c>
      <c r="F35" s="13">
        <v>0</v>
      </c>
      <c r="G35" s="13">
        <v>0</v>
      </c>
      <c r="H35" s="160">
        <v>0</v>
      </c>
      <c r="I35" s="160">
        <v>0</v>
      </c>
      <c r="J35" s="160">
        <v>0</v>
      </c>
      <c r="K35" s="160">
        <v>0</v>
      </c>
      <c r="L35" s="160">
        <v>0</v>
      </c>
      <c r="M35" s="160">
        <v>0</v>
      </c>
      <c r="N35" s="160">
        <v>0</v>
      </c>
      <c r="O35" s="160">
        <v>0</v>
      </c>
      <c r="P35" s="169"/>
      <c r="Q35" s="160">
        <v>0</v>
      </c>
      <c r="R35" s="160">
        <v>0</v>
      </c>
      <c r="S35" s="160">
        <v>0</v>
      </c>
      <c r="T35" s="160">
        <v>0</v>
      </c>
      <c r="U35" s="160">
        <v>0</v>
      </c>
      <c r="V35" s="160">
        <v>0</v>
      </c>
      <c r="W35" s="160">
        <v>0</v>
      </c>
      <c r="X35" s="160">
        <v>0</v>
      </c>
      <c r="Y35" s="160">
        <v>0</v>
      </c>
      <c r="Z35" s="160">
        <v>0</v>
      </c>
      <c r="AA35" s="160">
        <v>0</v>
      </c>
      <c r="AB35" s="160">
        <v>0</v>
      </c>
      <c r="AC35" s="169"/>
      <c r="AD35" s="185">
        <v>0</v>
      </c>
      <c r="AE35" s="185">
        <v>0</v>
      </c>
      <c r="AF35" s="185">
        <v>0</v>
      </c>
      <c r="AG35" s="185">
        <v>0</v>
      </c>
      <c r="AH35" s="193">
        <v>0</v>
      </c>
    </row>
    <row r="36" spans="1:41" x14ac:dyDescent="0.3">
      <c r="A36" s="12" t="s">
        <v>36</v>
      </c>
      <c r="B36" s="25">
        <v>1214920</v>
      </c>
      <c r="C36" s="13">
        <v>123510261</v>
      </c>
      <c r="D36" s="13">
        <v>110616444.91</v>
      </c>
      <c r="E36" s="13">
        <v>136862722.56999999</v>
      </c>
      <c r="F36" s="13">
        <v>112228671.37</v>
      </c>
      <c r="G36" s="13">
        <v>156821484.56</v>
      </c>
      <c r="H36" s="160">
        <v>145804867.47</v>
      </c>
      <c r="I36" s="160">
        <v>186131737.50999999</v>
      </c>
      <c r="J36" s="160">
        <v>154969731.78999999</v>
      </c>
      <c r="K36" s="160">
        <v>153067069.97</v>
      </c>
      <c r="L36" s="160">
        <v>152272982.65000001</v>
      </c>
      <c r="M36" s="160">
        <v>130089948.72</v>
      </c>
      <c r="N36" s="160">
        <v>137659378.16</v>
      </c>
      <c r="O36" s="160">
        <v>130340011.19</v>
      </c>
      <c r="P36" s="169">
        <f>162640194+417974099+68370330</f>
        <v>648984623</v>
      </c>
      <c r="Q36" s="160">
        <v>556052615.25999999</v>
      </c>
      <c r="R36" s="160">
        <v>261052477.62</v>
      </c>
      <c r="S36" s="160">
        <v>76247333.989999995</v>
      </c>
      <c r="T36" s="160">
        <v>77405427.459999993</v>
      </c>
      <c r="U36" s="160">
        <v>70802574.599999994</v>
      </c>
      <c r="V36" s="160">
        <v>66803215.789999999</v>
      </c>
      <c r="W36" s="160">
        <v>39976133.850000001</v>
      </c>
      <c r="X36" s="160">
        <v>68051806.459999993</v>
      </c>
      <c r="Y36" s="160">
        <v>116864726.95999999</v>
      </c>
      <c r="Z36" s="160">
        <v>81491113.189999998</v>
      </c>
      <c r="AA36" s="160">
        <v>59294320.200000003</v>
      </c>
      <c r="AB36" s="160">
        <v>105299822.06999999</v>
      </c>
      <c r="AC36" s="169">
        <f>118249803+453041596+50534282</f>
        <v>621825681</v>
      </c>
      <c r="AD36" s="185">
        <v>126931102.58</v>
      </c>
      <c r="AE36" s="185">
        <v>122816467.42</v>
      </c>
      <c r="AF36" s="185">
        <v>111744829.06999999</v>
      </c>
      <c r="AG36" s="185">
        <v>118757758.87</v>
      </c>
      <c r="AH36" s="194">
        <v>104118615.76000001</v>
      </c>
    </row>
    <row r="37" spans="1:41" x14ac:dyDescent="0.3">
      <c r="A37" s="12" t="s">
        <v>37</v>
      </c>
      <c r="B37" s="25">
        <v>2291669</v>
      </c>
      <c r="C37" s="13">
        <v>267946962</v>
      </c>
      <c r="D37" s="13">
        <v>262280294.55000001</v>
      </c>
      <c r="E37" s="13">
        <v>256613627.55000001</v>
      </c>
      <c r="F37" s="13">
        <v>244109484.44999999</v>
      </c>
      <c r="G37" s="13">
        <v>236457543.80000001</v>
      </c>
      <c r="H37" s="160">
        <v>232776150.44999999</v>
      </c>
      <c r="I37" s="160">
        <v>223107703.83000001</v>
      </c>
      <c r="J37" s="160">
        <v>215694461.81</v>
      </c>
      <c r="K37" s="160">
        <v>211774369.83000001</v>
      </c>
      <c r="L37" s="160">
        <v>199239606.13</v>
      </c>
      <c r="M37" s="160">
        <v>193572939.13</v>
      </c>
      <c r="N37" s="160">
        <v>186342117.21000001</v>
      </c>
      <c r="O37" s="160">
        <v>179490327.91</v>
      </c>
      <c r="P37" s="169">
        <v>179490328</v>
      </c>
      <c r="Q37" s="160">
        <v>173823660.91</v>
      </c>
      <c r="R37" s="160">
        <v>168156993.91</v>
      </c>
      <c r="S37" s="160">
        <v>155645229.91</v>
      </c>
      <c r="T37" s="160">
        <v>149978562.91</v>
      </c>
      <c r="U37" s="160">
        <v>144311895.91</v>
      </c>
      <c r="V37" s="160">
        <v>281523790.49000001</v>
      </c>
      <c r="W37" s="160">
        <v>281523790.49000001</v>
      </c>
      <c r="X37" s="160">
        <v>273190456.49000001</v>
      </c>
      <c r="Y37" s="160">
        <v>262810327.68000001</v>
      </c>
      <c r="Z37" s="160">
        <v>258643660.68000001</v>
      </c>
      <c r="AA37" s="160">
        <v>254476993.68000001</v>
      </c>
      <c r="AB37" s="160">
        <v>243925889.71000001</v>
      </c>
      <c r="AC37" s="169">
        <v>243925890</v>
      </c>
      <c r="AD37" s="185">
        <v>239759222.71000001</v>
      </c>
      <c r="AE37" s="185">
        <v>335591555.70999998</v>
      </c>
      <c r="AF37" s="185">
        <v>374571379.70999998</v>
      </c>
      <c r="AG37" s="185">
        <v>370404712.70999998</v>
      </c>
      <c r="AH37" s="194">
        <v>416238045.70999998</v>
      </c>
    </row>
    <row r="38" spans="1:41" x14ac:dyDescent="0.3">
      <c r="A38" s="11" t="s">
        <v>38</v>
      </c>
      <c r="B38" s="62">
        <f t="shared" ref="B38:G38" si="17">SUM(B31:B37)</f>
        <v>135756157</v>
      </c>
      <c r="C38" s="62">
        <f t="shared" si="17"/>
        <v>7049224002</v>
      </c>
      <c r="D38" s="62">
        <f t="shared" si="17"/>
        <v>7111516036.6500006</v>
      </c>
      <c r="E38" s="62">
        <f t="shared" si="17"/>
        <v>7115059626.0299997</v>
      </c>
      <c r="F38" s="62">
        <f t="shared" si="17"/>
        <v>6935646260.7999992</v>
      </c>
      <c r="G38" s="62">
        <f t="shared" si="17"/>
        <v>6891586164.6400013</v>
      </c>
      <c r="H38" s="62">
        <f t="shared" ref="H38:AO38" si="18">SUM(H31:H37)</f>
        <v>6974865772.3499994</v>
      </c>
      <c r="I38" s="62">
        <f t="shared" si="18"/>
        <v>7016522773.3900003</v>
      </c>
      <c r="J38" s="62">
        <f t="shared" si="18"/>
        <v>7067437750.3200006</v>
      </c>
      <c r="K38" s="62">
        <f t="shared" si="18"/>
        <v>7112884840.1599998</v>
      </c>
      <c r="L38" s="62">
        <f t="shared" si="18"/>
        <v>7139238366.3099995</v>
      </c>
      <c r="M38" s="62">
        <f t="shared" si="18"/>
        <v>7173263651.3600006</v>
      </c>
      <c r="N38" s="62">
        <f t="shared" si="18"/>
        <v>7153361508.0200005</v>
      </c>
      <c r="O38" s="62">
        <f t="shared" si="18"/>
        <v>7149836666.9699993</v>
      </c>
      <c r="P38" s="62">
        <f t="shared" si="18"/>
        <v>7682606029</v>
      </c>
      <c r="Q38" s="62">
        <f t="shared" si="18"/>
        <v>7694403678.3199997</v>
      </c>
      <c r="R38" s="62">
        <f t="shared" si="18"/>
        <v>7704996697.9300003</v>
      </c>
      <c r="S38" s="62">
        <f t="shared" si="18"/>
        <v>7456571910.9799995</v>
      </c>
      <c r="T38" s="62">
        <f t="shared" si="18"/>
        <v>7435772468.4700003</v>
      </c>
      <c r="U38" s="62">
        <f t="shared" si="18"/>
        <v>7419614365.4399996</v>
      </c>
      <c r="V38" s="62">
        <f t="shared" si="18"/>
        <v>7554823381.7600002</v>
      </c>
      <c r="W38" s="62">
        <f t="shared" si="18"/>
        <v>7580035273.0999994</v>
      </c>
      <c r="X38" s="62">
        <f t="shared" si="18"/>
        <v>7619992656.9399996</v>
      </c>
      <c r="Y38" s="62">
        <f t="shared" si="18"/>
        <v>7705690113.0800009</v>
      </c>
      <c r="Z38" s="62">
        <f t="shared" si="18"/>
        <v>7805687385.4399996</v>
      </c>
      <c r="AA38" s="62">
        <f t="shared" si="18"/>
        <v>7774295670.3800001</v>
      </c>
      <c r="AB38" s="62">
        <f t="shared" si="18"/>
        <v>7823194295.0200005</v>
      </c>
      <c r="AC38" s="62">
        <f t="shared" si="18"/>
        <v>8350495978</v>
      </c>
      <c r="AD38" s="186">
        <f t="shared" si="18"/>
        <v>8452657285.8699999</v>
      </c>
      <c r="AE38" s="186">
        <f t="shared" si="18"/>
        <v>8587774966.2699995</v>
      </c>
      <c r="AF38" s="186">
        <f t="shared" si="18"/>
        <v>8367535456.3599997</v>
      </c>
      <c r="AG38" s="186">
        <f t="shared" si="18"/>
        <v>8369856279.9700003</v>
      </c>
      <c r="AH38" s="62">
        <f t="shared" si="18"/>
        <v>8430041720.8400002</v>
      </c>
      <c r="AI38" s="62">
        <f t="shared" si="18"/>
        <v>0</v>
      </c>
      <c r="AJ38" s="62">
        <f t="shared" si="18"/>
        <v>0</v>
      </c>
      <c r="AK38" s="62">
        <f t="shared" si="18"/>
        <v>0</v>
      </c>
      <c r="AL38" s="62">
        <f t="shared" si="18"/>
        <v>0</v>
      </c>
      <c r="AM38" s="62">
        <f t="shared" si="18"/>
        <v>0</v>
      </c>
      <c r="AN38" s="62">
        <f t="shared" si="18"/>
        <v>0</v>
      </c>
      <c r="AO38" s="62">
        <f t="shared" si="18"/>
        <v>0</v>
      </c>
    </row>
    <row r="39" spans="1:41" x14ac:dyDescent="0.3">
      <c r="A39" s="12" t="s">
        <v>39</v>
      </c>
      <c r="B39" s="25">
        <v>10494697</v>
      </c>
      <c r="C39" s="13">
        <v>427075433</v>
      </c>
      <c r="D39" s="13">
        <v>427207333.63</v>
      </c>
      <c r="E39" s="13">
        <v>428318800.56999999</v>
      </c>
      <c r="F39" s="13">
        <v>429157375.39999998</v>
      </c>
      <c r="G39" s="13">
        <v>429511509.39999998</v>
      </c>
      <c r="H39" s="160">
        <v>429735455.45999998</v>
      </c>
      <c r="I39" s="160">
        <v>429961206.45999998</v>
      </c>
      <c r="J39" s="160">
        <v>477692553.13</v>
      </c>
      <c r="K39" s="160">
        <v>478197892.13</v>
      </c>
      <c r="L39" s="160">
        <v>478286212.13</v>
      </c>
      <c r="M39" s="160">
        <v>478688605.55000001</v>
      </c>
      <c r="N39" s="160">
        <v>478788535.55000001</v>
      </c>
      <c r="O39" s="160">
        <v>527440647.62</v>
      </c>
      <c r="P39" s="169">
        <v>527440648</v>
      </c>
      <c r="Q39" s="160">
        <v>527706455.29000002</v>
      </c>
      <c r="R39" s="160">
        <v>528821659.26999998</v>
      </c>
      <c r="S39" s="160">
        <v>533927409.58999997</v>
      </c>
      <c r="T39" s="160">
        <v>536271470.18000001</v>
      </c>
      <c r="U39" s="160">
        <v>537017137.09000003</v>
      </c>
      <c r="V39" s="160">
        <v>608718554.61000001</v>
      </c>
      <c r="W39" s="160">
        <v>615236824.89999998</v>
      </c>
      <c r="X39" s="160">
        <v>623567958.79999995</v>
      </c>
      <c r="Y39" s="160">
        <v>624091135.00999999</v>
      </c>
      <c r="Z39" s="160">
        <v>627098476.48000002</v>
      </c>
      <c r="AA39" s="160">
        <v>627888418.37</v>
      </c>
      <c r="AB39" s="160">
        <v>725474264.59000003</v>
      </c>
      <c r="AC39" s="169">
        <v>725474265</v>
      </c>
      <c r="AD39" s="185">
        <v>726348533.35000002</v>
      </c>
      <c r="AE39" s="185">
        <v>726732104.42999995</v>
      </c>
      <c r="AF39" s="185">
        <v>728190818.32000005</v>
      </c>
      <c r="AG39" s="185">
        <v>730464163.04999995</v>
      </c>
      <c r="AH39" s="192">
        <v>731427601.04999995</v>
      </c>
    </row>
    <row r="40" spans="1:41" x14ac:dyDescent="0.3">
      <c r="A40" s="12" t="s">
        <v>40</v>
      </c>
      <c r="B40" s="25">
        <v>340425</v>
      </c>
      <c r="C40" s="144"/>
      <c r="D40" s="13">
        <v>0</v>
      </c>
      <c r="E40" s="13">
        <v>0</v>
      </c>
      <c r="F40" s="13">
        <v>0</v>
      </c>
      <c r="G40" s="13">
        <v>0</v>
      </c>
      <c r="H40" s="160">
        <v>0</v>
      </c>
      <c r="I40" s="160">
        <v>0</v>
      </c>
      <c r="J40" s="160">
        <v>0</v>
      </c>
      <c r="K40" s="160">
        <v>0</v>
      </c>
      <c r="L40" s="160">
        <v>0</v>
      </c>
      <c r="M40" s="160">
        <v>0</v>
      </c>
      <c r="N40" s="160">
        <v>0</v>
      </c>
      <c r="O40" s="160">
        <v>0</v>
      </c>
      <c r="P40" s="169"/>
      <c r="Q40" s="160">
        <v>0</v>
      </c>
      <c r="R40" s="160">
        <v>0</v>
      </c>
      <c r="S40" s="160">
        <v>0</v>
      </c>
      <c r="T40" s="160">
        <v>0</v>
      </c>
      <c r="U40" s="160">
        <v>0</v>
      </c>
      <c r="V40" s="160">
        <v>0</v>
      </c>
      <c r="W40" s="160">
        <v>0</v>
      </c>
      <c r="X40" s="160">
        <v>0</v>
      </c>
      <c r="Y40" s="160">
        <v>0</v>
      </c>
      <c r="Z40" s="160">
        <v>0</v>
      </c>
      <c r="AA40" s="160">
        <v>0</v>
      </c>
      <c r="AB40" s="160">
        <v>0</v>
      </c>
      <c r="AC40" s="169"/>
      <c r="AD40" s="185">
        <v>0</v>
      </c>
      <c r="AE40" s="185">
        <v>0</v>
      </c>
      <c r="AF40" s="185">
        <v>0</v>
      </c>
      <c r="AG40" s="185">
        <v>0</v>
      </c>
      <c r="AH40" s="193">
        <v>0</v>
      </c>
    </row>
    <row r="41" spans="1:41" x14ac:dyDescent="0.3">
      <c r="A41" s="12" t="s">
        <v>41</v>
      </c>
      <c r="B41" s="25">
        <v>351220</v>
      </c>
      <c r="C41" s="13">
        <v>566196154</v>
      </c>
      <c r="D41" s="13">
        <v>739449224</v>
      </c>
      <c r="E41" s="13">
        <v>739449224</v>
      </c>
      <c r="F41" s="13">
        <v>739449224</v>
      </c>
      <c r="G41" s="13">
        <v>739449224</v>
      </c>
      <c r="H41" s="160">
        <v>739449224</v>
      </c>
      <c r="I41" s="160">
        <v>739449224</v>
      </c>
      <c r="J41" s="160">
        <v>739449224</v>
      </c>
      <c r="K41" s="160">
        <v>739449224</v>
      </c>
      <c r="L41" s="160">
        <v>739449224</v>
      </c>
      <c r="M41" s="160">
        <v>739449224</v>
      </c>
      <c r="N41" s="160">
        <v>739449224</v>
      </c>
      <c r="O41" s="160">
        <v>739757852.52999997</v>
      </c>
      <c r="P41" s="169">
        <v>739449224</v>
      </c>
      <c r="Q41" s="160">
        <v>968498417.70000005</v>
      </c>
      <c r="R41" s="160">
        <v>934082627</v>
      </c>
      <c r="S41" s="160">
        <v>934082627</v>
      </c>
      <c r="T41" s="160">
        <v>934082627</v>
      </c>
      <c r="U41" s="160">
        <v>934082627</v>
      </c>
      <c r="V41" s="160">
        <v>934082627</v>
      </c>
      <c r="W41" s="160">
        <v>934082627</v>
      </c>
      <c r="X41" s="160">
        <v>934082627</v>
      </c>
      <c r="Y41" s="160">
        <v>934082627</v>
      </c>
      <c r="Z41" s="160">
        <v>934082627</v>
      </c>
      <c r="AA41" s="160">
        <v>934082627</v>
      </c>
      <c r="AB41" s="160">
        <v>934082627</v>
      </c>
      <c r="AC41" s="169">
        <v>934082627</v>
      </c>
      <c r="AD41" s="185">
        <v>1043966058</v>
      </c>
      <c r="AE41" s="185">
        <v>1043966058</v>
      </c>
      <c r="AF41" s="185">
        <v>1043966058</v>
      </c>
      <c r="AG41" s="185">
        <v>1043966058</v>
      </c>
      <c r="AH41" s="194">
        <v>1043966058</v>
      </c>
    </row>
    <row r="42" spans="1:41" x14ac:dyDescent="0.3">
      <c r="A42" s="12" t="s">
        <v>42</v>
      </c>
      <c r="B42" s="25">
        <v>3541956</v>
      </c>
      <c r="C42" s="154">
        <v>173253070</v>
      </c>
      <c r="D42" s="13">
        <v>79610495.430000007</v>
      </c>
      <c r="E42" s="13">
        <v>141957394.12</v>
      </c>
      <c r="F42" s="13">
        <v>218492785.96000001</v>
      </c>
      <c r="G42" s="13">
        <v>304233965.87</v>
      </c>
      <c r="H42" s="160">
        <v>384574978.55000001</v>
      </c>
      <c r="I42" s="160">
        <v>460485234.31</v>
      </c>
      <c r="J42" s="160">
        <v>573421025.92999995</v>
      </c>
      <c r="K42" s="160">
        <v>673493415.86000001</v>
      </c>
      <c r="L42" s="160">
        <v>707301193.39999998</v>
      </c>
      <c r="M42" s="160">
        <v>782683279.04999995</v>
      </c>
      <c r="N42" s="160">
        <v>872490370.63999999</v>
      </c>
      <c r="O42" s="160">
        <v>933644592.36000001</v>
      </c>
      <c r="P42" s="169">
        <f>934082627-739449224</f>
        <v>194633403</v>
      </c>
      <c r="Q42" s="160">
        <v>82950292.700000003</v>
      </c>
      <c r="R42" s="160">
        <v>154431534.58000001</v>
      </c>
      <c r="S42" s="160">
        <v>229881541.59</v>
      </c>
      <c r="T42" s="160">
        <v>329668473.69999999</v>
      </c>
      <c r="U42" s="160">
        <v>421259156.63999999</v>
      </c>
      <c r="V42" s="160">
        <v>501261914.17000002</v>
      </c>
      <c r="W42" s="160">
        <v>560871878.01999998</v>
      </c>
      <c r="X42" s="160">
        <v>656512609.21000004</v>
      </c>
      <c r="Y42" s="160">
        <v>729418555.49000001</v>
      </c>
      <c r="Z42" s="160">
        <v>822196686.16999996</v>
      </c>
      <c r="AA42" s="160">
        <v>895640134.99000001</v>
      </c>
      <c r="AB42" s="160">
        <v>888930158.98000002</v>
      </c>
      <c r="AC42" s="169">
        <f>1043966058-AC41</f>
        <v>109883431</v>
      </c>
      <c r="AD42" s="185">
        <v>104643170.77</v>
      </c>
      <c r="AE42" s="185">
        <v>184272974.94</v>
      </c>
      <c r="AF42" s="185">
        <v>259959183.38</v>
      </c>
      <c r="AG42" s="185">
        <v>345335245.94</v>
      </c>
      <c r="AH42" s="194">
        <v>431852269.33999997</v>
      </c>
    </row>
    <row r="43" spans="1:41" x14ac:dyDescent="0.3">
      <c r="A43" s="12" t="s">
        <v>43</v>
      </c>
      <c r="B43" s="25">
        <v>531274</v>
      </c>
      <c r="C43" s="13">
        <v>413899587</v>
      </c>
      <c r="D43" s="13">
        <v>413899587</v>
      </c>
      <c r="E43" s="13">
        <v>413899587</v>
      </c>
      <c r="F43" s="13">
        <v>413899587</v>
      </c>
      <c r="G43" s="13">
        <v>413899587</v>
      </c>
      <c r="H43" s="160">
        <v>413899587</v>
      </c>
      <c r="I43" s="160">
        <v>413899587</v>
      </c>
      <c r="J43" s="160">
        <v>413899587</v>
      </c>
      <c r="K43" s="160">
        <v>413899587</v>
      </c>
      <c r="L43" s="160">
        <v>413899587</v>
      </c>
      <c r="M43" s="160">
        <v>413899587</v>
      </c>
      <c r="N43" s="160">
        <v>413899587</v>
      </c>
      <c r="O43" s="160">
        <v>413899587</v>
      </c>
      <c r="P43" s="169">
        <v>506776281</v>
      </c>
      <c r="Q43" s="160">
        <v>506776281</v>
      </c>
      <c r="R43" s="160">
        <v>506776281</v>
      </c>
      <c r="S43" s="160">
        <v>506776281</v>
      </c>
      <c r="T43" s="160">
        <v>506776281</v>
      </c>
      <c r="U43" s="160">
        <v>506776281</v>
      </c>
      <c r="V43" s="160">
        <v>506776281</v>
      </c>
      <c r="W43" s="160">
        <v>506776281</v>
      </c>
      <c r="X43" s="160">
        <v>506776281</v>
      </c>
      <c r="Y43" s="160">
        <v>506776281</v>
      </c>
      <c r="Z43" s="160">
        <v>506776281</v>
      </c>
      <c r="AA43" s="160">
        <v>506776281</v>
      </c>
      <c r="AB43" s="160">
        <v>506776281</v>
      </c>
      <c r="AC43" s="169">
        <v>586186303</v>
      </c>
      <c r="AD43" s="185">
        <v>586186303</v>
      </c>
      <c r="AE43" s="185">
        <v>586186303</v>
      </c>
      <c r="AF43" s="185">
        <v>586186303</v>
      </c>
      <c r="AG43" s="185">
        <v>586186303</v>
      </c>
      <c r="AH43" s="194">
        <v>586186303</v>
      </c>
    </row>
    <row r="44" spans="1:41" x14ac:dyDescent="0.3">
      <c r="A44" s="12" t="s">
        <v>44</v>
      </c>
      <c r="B44" s="25"/>
      <c r="C44" s="13">
        <v>577648161</v>
      </c>
      <c r="D44" s="13">
        <v>573649946.78999996</v>
      </c>
      <c r="E44" s="13">
        <v>522096296.06999999</v>
      </c>
      <c r="F44" s="13">
        <v>561247018.64999998</v>
      </c>
      <c r="G44" s="13">
        <v>565898709.62</v>
      </c>
      <c r="H44" s="160">
        <v>569746418.88</v>
      </c>
      <c r="I44" s="160">
        <v>527045046.06999999</v>
      </c>
      <c r="J44" s="160">
        <v>531635859.73000002</v>
      </c>
      <c r="K44" s="160">
        <v>536134893.06999999</v>
      </c>
      <c r="L44" s="160">
        <v>540749017.00999999</v>
      </c>
      <c r="M44" s="160">
        <v>569125207.69000006</v>
      </c>
      <c r="N44" s="160">
        <v>573868271.70000005</v>
      </c>
      <c r="O44" s="160">
        <v>591438436.34000003</v>
      </c>
      <c r="P44" s="169">
        <v>684514426</v>
      </c>
      <c r="Q44" s="160">
        <v>688768546.64999998</v>
      </c>
      <c r="R44" s="160">
        <v>693496845.03999996</v>
      </c>
      <c r="S44" s="160">
        <v>703396407.64999998</v>
      </c>
      <c r="T44" s="160">
        <v>711205661.70000005</v>
      </c>
      <c r="U44" s="160">
        <v>718443830.04999995</v>
      </c>
      <c r="V44" s="160">
        <v>725292322.04999995</v>
      </c>
      <c r="W44" s="160">
        <v>721886240.51999998</v>
      </c>
      <c r="X44" s="160">
        <v>719154334.88</v>
      </c>
      <c r="Y44" s="160">
        <v>627998949.55999994</v>
      </c>
      <c r="Z44" s="160">
        <v>644589421.14999998</v>
      </c>
      <c r="AA44" s="160">
        <v>650792024.54999995</v>
      </c>
      <c r="AB44" s="160">
        <v>682251792.17999995</v>
      </c>
      <c r="AC44" s="169">
        <v>784131791</v>
      </c>
      <c r="AD44" s="185">
        <v>790462456.77999997</v>
      </c>
      <c r="AE44" s="185">
        <v>798482468.48000002</v>
      </c>
      <c r="AF44" s="185">
        <v>809696376.73000002</v>
      </c>
      <c r="AG44" s="185">
        <v>820733168.71000004</v>
      </c>
      <c r="AH44" s="194">
        <v>830756243.74000001</v>
      </c>
    </row>
    <row r="45" spans="1:41" x14ac:dyDescent="0.3">
      <c r="A45" s="12" t="s">
        <v>45</v>
      </c>
      <c r="B45" s="25"/>
      <c r="C45" s="13">
        <v>69145550</v>
      </c>
      <c r="D45" s="13">
        <v>69145550</v>
      </c>
      <c r="E45" s="13">
        <v>69145550</v>
      </c>
      <c r="F45" s="13">
        <v>69145550</v>
      </c>
      <c r="G45" s="13">
        <v>69145550</v>
      </c>
      <c r="H45" s="160">
        <v>69145550</v>
      </c>
      <c r="I45" s="160">
        <v>69145550</v>
      </c>
      <c r="J45" s="160">
        <v>69145550</v>
      </c>
      <c r="K45" s="160">
        <v>69145550</v>
      </c>
      <c r="L45" s="160">
        <v>69145550</v>
      </c>
      <c r="M45" s="160">
        <v>69145550</v>
      </c>
      <c r="N45" s="160">
        <v>69145550</v>
      </c>
      <c r="O45" s="160">
        <v>69145550</v>
      </c>
      <c r="P45" s="169">
        <v>69733709</v>
      </c>
      <c r="Q45" s="160">
        <v>71570025</v>
      </c>
      <c r="R45" s="160">
        <v>71570026</v>
      </c>
      <c r="S45" s="160">
        <v>71570025</v>
      </c>
      <c r="T45" s="160">
        <v>71570025</v>
      </c>
      <c r="U45" s="160">
        <v>71570025</v>
      </c>
      <c r="V45" s="160">
        <v>71570025</v>
      </c>
      <c r="W45" s="160">
        <v>71570025</v>
      </c>
      <c r="X45" s="160">
        <v>71570025</v>
      </c>
      <c r="Y45" s="160">
        <v>71570025</v>
      </c>
      <c r="Z45" s="160">
        <v>68870025</v>
      </c>
      <c r="AA45" s="160">
        <v>68870025</v>
      </c>
      <c r="AB45" s="160">
        <v>69733709</v>
      </c>
      <c r="AC45" s="169">
        <v>69733709</v>
      </c>
      <c r="AD45" s="185">
        <v>69733709</v>
      </c>
      <c r="AE45" s="185">
        <v>69733709</v>
      </c>
      <c r="AF45" s="185">
        <v>69733709</v>
      </c>
      <c r="AG45" s="185">
        <v>69733709</v>
      </c>
      <c r="AH45" s="194">
        <v>69733709</v>
      </c>
    </row>
    <row r="46" spans="1:41" x14ac:dyDescent="0.3">
      <c r="A46" s="12" t="s">
        <v>46</v>
      </c>
      <c r="B46" s="25"/>
      <c r="C46" s="25">
        <v>59787019</v>
      </c>
      <c r="D46" s="166">
        <v>0</v>
      </c>
      <c r="E46" s="166">
        <v>0</v>
      </c>
      <c r="F46" s="166">
        <v>0</v>
      </c>
      <c r="G46" s="166">
        <v>0</v>
      </c>
      <c r="H46" s="161">
        <v>0</v>
      </c>
      <c r="I46" s="161">
        <v>0</v>
      </c>
      <c r="J46" s="161">
        <v>0</v>
      </c>
      <c r="K46" s="161">
        <v>0</v>
      </c>
      <c r="L46" s="161">
        <v>0</v>
      </c>
      <c r="M46" s="161">
        <v>0</v>
      </c>
      <c r="N46" s="161">
        <v>0</v>
      </c>
      <c r="O46" s="161">
        <v>0</v>
      </c>
      <c r="P46" s="169">
        <v>73816323</v>
      </c>
      <c r="Q46" s="161">
        <v>0</v>
      </c>
      <c r="R46" s="161">
        <v>0</v>
      </c>
      <c r="S46" s="161">
        <v>0</v>
      </c>
      <c r="T46" s="161">
        <v>0</v>
      </c>
      <c r="U46" s="161">
        <v>0</v>
      </c>
      <c r="V46" s="161">
        <v>0</v>
      </c>
      <c r="W46" s="161">
        <v>0</v>
      </c>
      <c r="X46" s="161">
        <v>0</v>
      </c>
      <c r="Y46" s="161">
        <v>0</v>
      </c>
      <c r="Z46" s="161">
        <v>0</v>
      </c>
      <c r="AA46" s="161">
        <v>0</v>
      </c>
      <c r="AB46" s="161">
        <v>0</v>
      </c>
      <c r="AC46" s="169">
        <v>105162173</v>
      </c>
      <c r="AD46" s="185">
        <v>0</v>
      </c>
      <c r="AE46" s="185">
        <v>0</v>
      </c>
      <c r="AF46" s="185">
        <v>0</v>
      </c>
      <c r="AG46" s="185">
        <v>0</v>
      </c>
      <c r="AH46" s="193">
        <v>0</v>
      </c>
    </row>
    <row r="47" spans="1:41" x14ac:dyDescent="0.3">
      <c r="A47" s="12" t="s">
        <v>47</v>
      </c>
      <c r="B47" s="25"/>
      <c r="C47" s="154"/>
      <c r="D47" s="166">
        <v>0</v>
      </c>
      <c r="E47" s="166">
        <v>0</v>
      </c>
      <c r="F47" s="166">
        <v>0</v>
      </c>
      <c r="G47" s="166">
        <v>0</v>
      </c>
      <c r="H47" s="161">
        <v>0</v>
      </c>
      <c r="I47" s="161">
        <v>0</v>
      </c>
      <c r="J47" s="161">
        <v>0</v>
      </c>
      <c r="K47" s="161">
        <v>0</v>
      </c>
      <c r="L47" s="161">
        <v>0</v>
      </c>
      <c r="M47" s="161">
        <v>0</v>
      </c>
      <c r="N47" s="161">
        <v>0</v>
      </c>
      <c r="O47" s="161">
        <v>0</v>
      </c>
      <c r="P47" s="169"/>
      <c r="Q47" s="161">
        <v>0</v>
      </c>
      <c r="R47" s="161">
        <v>0</v>
      </c>
      <c r="S47" s="161">
        <v>0</v>
      </c>
      <c r="T47" s="161">
        <v>0</v>
      </c>
      <c r="U47" s="161">
        <v>0</v>
      </c>
      <c r="V47" s="161">
        <v>0</v>
      </c>
      <c r="W47" s="161">
        <v>0</v>
      </c>
      <c r="X47" s="161">
        <v>0</v>
      </c>
      <c r="Y47" s="161">
        <v>0</v>
      </c>
      <c r="Z47" s="161">
        <v>0</v>
      </c>
      <c r="AA47" s="161">
        <v>0</v>
      </c>
      <c r="AB47" s="161">
        <v>0</v>
      </c>
      <c r="AC47" s="169"/>
      <c r="AD47" s="185">
        <v>0</v>
      </c>
      <c r="AE47" s="185">
        <v>0</v>
      </c>
      <c r="AF47" s="185">
        <v>0</v>
      </c>
      <c r="AG47" s="185">
        <v>0</v>
      </c>
      <c r="AH47" s="193">
        <v>0</v>
      </c>
    </row>
    <row r="48" spans="1:41" x14ac:dyDescent="0.3">
      <c r="A48" s="11" t="s">
        <v>48</v>
      </c>
      <c r="B48" s="62">
        <f t="shared" ref="B48:G48" si="19">SUM(B39:B47)</f>
        <v>15259572</v>
      </c>
      <c r="C48" s="62">
        <f t="shared" si="19"/>
        <v>2287004974</v>
      </c>
      <c r="D48" s="62">
        <f t="shared" si="19"/>
        <v>2302962136.8500004</v>
      </c>
      <c r="E48" s="62">
        <f t="shared" si="19"/>
        <v>2314866851.7600002</v>
      </c>
      <c r="F48" s="62">
        <f t="shared" si="19"/>
        <v>2431391541.0100002</v>
      </c>
      <c r="G48" s="62">
        <f t="shared" si="19"/>
        <v>2522138545.8899999</v>
      </c>
      <c r="H48" s="62">
        <f t="shared" ref="H48:I48" si="20">SUM(H39:H47)</f>
        <v>2606551213.8899999</v>
      </c>
      <c r="I48" s="62">
        <f t="shared" si="20"/>
        <v>2639985847.8400002</v>
      </c>
      <c r="J48" s="62">
        <f>SUM(J39:J47)</f>
        <v>2805243799.79</v>
      </c>
      <c r="K48" s="62">
        <f>SUM(K39:K47)</f>
        <v>2910320562.0600004</v>
      </c>
      <c r="L48" s="62">
        <f t="shared" ref="L48:AC48" si="21">SUM(L39:L47)</f>
        <v>2948830783.54</v>
      </c>
      <c r="M48" s="62">
        <f t="shared" si="21"/>
        <v>3052991453.29</v>
      </c>
      <c r="N48" s="62">
        <f t="shared" si="21"/>
        <v>3147641538.8900003</v>
      </c>
      <c r="O48" s="62">
        <f t="shared" si="21"/>
        <v>3275326665.8500004</v>
      </c>
      <c r="P48" s="62">
        <f t="shared" si="21"/>
        <v>2796364014</v>
      </c>
      <c r="Q48" s="62">
        <f t="shared" si="21"/>
        <v>2846270018.3400002</v>
      </c>
      <c r="R48" s="62">
        <f t="shared" si="21"/>
        <v>2889178972.8899999</v>
      </c>
      <c r="S48" s="62">
        <f t="shared" si="21"/>
        <v>2979634291.8299999</v>
      </c>
      <c r="T48" s="62">
        <f t="shared" si="21"/>
        <v>3089574538.5799999</v>
      </c>
      <c r="U48" s="62">
        <f t="shared" si="21"/>
        <v>3189149056.7799997</v>
      </c>
      <c r="V48" s="62">
        <f t="shared" si="21"/>
        <v>3347701723.8299999</v>
      </c>
      <c r="W48" s="62">
        <f t="shared" si="21"/>
        <v>3410423876.4400001</v>
      </c>
      <c r="X48" s="62">
        <f t="shared" si="21"/>
        <v>3511663835.8900003</v>
      </c>
      <c r="Y48" s="62">
        <f t="shared" si="21"/>
        <v>3493937573.0599999</v>
      </c>
      <c r="Z48" s="62">
        <f t="shared" si="21"/>
        <v>3603613516.8000002</v>
      </c>
      <c r="AA48" s="62">
        <f t="shared" si="21"/>
        <v>3684049510.9099998</v>
      </c>
      <c r="AB48" s="62">
        <f t="shared" si="21"/>
        <v>3807248832.75</v>
      </c>
      <c r="AC48" s="62">
        <f t="shared" si="21"/>
        <v>3314654299</v>
      </c>
      <c r="AD48" s="186">
        <f t="shared" ref="AD48:AO48" si="22">SUM(AD39:AD47)</f>
        <v>3321340230.8999996</v>
      </c>
      <c r="AE48" s="186">
        <f t="shared" si="22"/>
        <v>3409373617.8499999</v>
      </c>
      <c r="AF48" s="186">
        <f t="shared" si="22"/>
        <v>3497732448.4300003</v>
      </c>
      <c r="AG48" s="186">
        <f t="shared" si="22"/>
        <v>3596418647.6999998</v>
      </c>
      <c r="AH48" s="62">
        <f t="shared" si="22"/>
        <v>3693922184.1300001</v>
      </c>
      <c r="AI48" s="62">
        <f t="shared" si="22"/>
        <v>0</v>
      </c>
      <c r="AJ48" s="62">
        <f t="shared" si="22"/>
        <v>0</v>
      </c>
      <c r="AK48" s="62">
        <f t="shared" si="22"/>
        <v>0</v>
      </c>
      <c r="AL48" s="62">
        <f t="shared" si="22"/>
        <v>0</v>
      </c>
      <c r="AM48" s="62">
        <f t="shared" si="22"/>
        <v>0</v>
      </c>
      <c r="AN48" s="62">
        <f t="shared" si="22"/>
        <v>0</v>
      </c>
      <c r="AO48" s="62">
        <f t="shared" si="22"/>
        <v>0</v>
      </c>
    </row>
    <row r="49" spans="1:41" x14ac:dyDescent="0.3">
      <c r="A49" s="11" t="s">
        <v>49</v>
      </c>
      <c r="B49" s="62">
        <f>B48+B38</f>
        <v>151015729</v>
      </c>
      <c r="C49" s="62">
        <f t="shared" ref="C49:J49" si="23">C48+C38</f>
        <v>9336228976</v>
      </c>
      <c r="D49" s="62">
        <f t="shared" si="23"/>
        <v>9414478173.5</v>
      </c>
      <c r="E49" s="62">
        <f t="shared" si="23"/>
        <v>9429926477.7900009</v>
      </c>
      <c r="F49" s="62">
        <f t="shared" si="23"/>
        <v>9367037801.8099995</v>
      </c>
      <c r="G49" s="62">
        <f t="shared" si="23"/>
        <v>9413724710.5300007</v>
      </c>
      <c r="H49" s="62">
        <f t="shared" si="23"/>
        <v>9581416986.2399998</v>
      </c>
      <c r="I49" s="62">
        <f t="shared" si="23"/>
        <v>9656508621.2299995</v>
      </c>
      <c r="J49" s="62">
        <f t="shared" si="23"/>
        <v>9872681550.1100006</v>
      </c>
      <c r="K49" s="62">
        <f t="shared" ref="K49:AC49" si="24">K48+K38</f>
        <v>10023205402.220001</v>
      </c>
      <c r="L49" s="62">
        <f t="shared" si="24"/>
        <v>10088069149.849998</v>
      </c>
      <c r="M49" s="62">
        <f t="shared" si="24"/>
        <v>10226255104.650002</v>
      </c>
      <c r="N49" s="62">
        <f t="shared" si="24"/>
        <v>10301003046.91</v>
      </c>
      <c r="O49" s="62">
        <f t="shared" si="24"/>
        <v>10425163332.82</v>
      </c>
      <c r="P49" s="62">
        <f t="shared" si="24"/>
        <v>10478970043</v>
      </c>
      <c r="Q49" s="62">
        <f t="shared" si="24"/>
        <v>10540673696.66</v>
      </c>
      <c r="R49" s="62">
        <f t="shared" si="24"/>
        <v>10594175670.82</v>
      </c>
      <c r="S49" s="62">
        <f t="shared" si="24"/>
        <v>10436206202.809999</v>
      </c>
      <c r="T49" s="62">
        <f t="shared" si="24"/>
        <v>10525347007.049999</v>
      </c>
      <c r="U49" s="62">
        <f t="shared" si="24"/>
        <v>10608763422.219999</v>
      </c>
      <c r="V49" s="62">
        <f t="shared" si="24"/>
        <v>10902525105.59</v>
      </c>
      <c r="W49" s="62">
        <f t="shared" si="24"/>
        <v>10990459149.539999</v>
      </c>
      <c r="X49" s="62">
        <f t="shared" si="24"/>
        <v>11131656492.83</v>
      </c>
      <c r="Y49" s="62">
        <f t="shared" si="24"/>
        <v>11199627686.140001</v>
      </c>
      <c r="Z49" s="62">
        <f t="shared" si="24"/>
        <v>11409300902.24</v>
      </c>
      <c r="AA49" s="62">
        <f t="shared" si="24"/>
        <v>11458345181.290001</v>
      </c>
      <c r="AB49" s="62">
        <f t="shared" si="24"/>
        <v>11630443127.77</v>
      </c>
      <c r="AC49" s="62">
        <f t="shared" si="24"/>
        <v>11665150277</v>
      </c>
      <c r="AD49" s="186">
        <f t="shared" ref="AD49:AO49" si="25">AD48+AD38</f>
        <v>11773997516.77</v>
      </c>
      <c r="AE49" s="186">
        <f t="shared" si="25"/>
        <v>11997148584.119999</v>
      </c>
      <c r="AF49" s="186">
        <f t="shared" si="25"/>
        <v>11865267904.790001</v>
      </c>
      <c r="AG49" s="186">
        <f t="shared" si="25"/>
        <v>11966274927.67</v>
      </c>
      <c r="AH49" s="62">
        <f t="shared" si="25"/>
        <v>12123963904.970001</v>
      </c>
      <c r="AI49" s="62">
        <f t="shared" si="25"/>
        <v>0</v>
      </c>
      <c r="AJ49" s="62">
        <f t="shared" si="25"/>
        <v>0</v>
      </c>
      <c r="AK49" s="62">
        <f t="shared" si="25"/>
        <v>0</v>
      </c>
      <c r="AL49" s="62">
        <f t="shared" si="25"/>
        <v>0</v>
      </c>
      <c r="AM49" s="62">
        <f t="shared" si="25"/>
        <v>0</v>
      </c>
      <c r="AN49" s="62">
        <f t="shared" si="25"/>
        <v>0</v>
      </c>
      <c r="AO49" s="62">
        <f t="shared" si="25"/>
        <v>0</v>
      </c>
    </row>
    <row r="51" spans="1:41" x14ac:dyDescent="0.3">
      <c r="B51" s="20">
        <f t="shared" ref="B51:T51" si="26">B49-B27</f>
        <v>0</v>
      </c>
      <c r="C51" s="20">
        <f t="shared" si="26"/>
        <v>0</v>
      </c>
      <c r="D51" s="20">
        <f t="shared" si="26"/>
        <v>0</v>
      </c>
      <c r="E51" s="20">
        <f t="shared" si="26"/>
        <v>0</v>
      </c>
      <c r="F51" s="20">
        <f t="shared" si="26"/>
        <v>0</v>
      </c>
      <c r="G51" s="20">
        <f t="shared" si="26"/>
        <v>0</v>
      </c>
      <c r="H51" s="20">
        <f t="shared" si="26"/>
        <v>0</v>
      </c>
      <c r="I51" s="20">
        <f t="shared" si="26"/>
        <v>0</v>
      </c>
      <c r="J51" s="20">
        <f t="shared" si="26"/>
        <v>0</v>
      </c>
      <c r="K51" s="20">
        <f t="shared" si="26"/>
        <v>0</v>
      </c>
      <c r="L51" s="20">
        <f t="shared" si="26"/>
        <v>0</v>
      </c>
      <c r="M51" s="20">
        <f t="shared" si="26"/>
        <v>0</v>
      </c>
      <c r="N51" s="20">
        <f t="shared" si="26"/>
        <v>0</v>
      </c>
      <c r="O51" s="20">
        <f t="shared" si="26"/>
        <v>0</v>
      </c>
      <c r="P51" s="167">
        <f t="shared" si="26"/>
        <v>-1836317</v>
      </c>
      <c r="Q51" s="20">
        <f t="shared" si="26"/>
        <v>0</v>
      </c>
      <c r="R51" s="20">
        <f t="shared" si="26"/>
        <v>0</v>
      </c>
      <c r="S51" s="20">
        <f t="shared" si="26"/>
        <v>0</v>
      </c>
      <c r="T51" s="20">
        <f t="shared" si="26"/>
        <v>0</v>
      </c>
    </row>
  </sheetData>
  <pageMargins left="0.7" right="0.7" top="0.75" bottom="0.75" header="0.3" footer="0.3"/>
  <pageSetup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41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D44" sqref="AD44"/>
    </sheetView>
  </sheetViews>
  <sheetFormatPr defaultRowHeight="14.4" x14ac:dyDescent="0.3"/>
  <cols>
    <col min="1" max="1" width="41" customWidth="1"/>
    <col min="2" max="2" width="15.33203125" bestFit="1" customWidth="1"/>
    <col min="3" max="3" width="16.88671875" bestFit="1" customWidth="1"/>
    <col min="4" max="9" width="15.33203125" hidden="1" customWidth="1"/>
    <col min="10" max="10" width="15.109375" hidden="1" customWidth="1"/>
    <col min="11" max="14" width="15.6640625" hidden="1" customWidth="1"/>
    <col min="15" max="15" width="15.6640625" bestFit="1" customWidth="1"/>
    <col min="16" max="16" width="17.6640625" style="167" bestFit="1" customWidth="1"/>
    <col min="17" max="17" width="14.44140625" hidden="1" customWidth="1"/>
    <col min="18" max="18" width="15.109375" hidden="1" customWidth="1"/>
    <col min="19" max="19" width="14.33203125" hidden="1" customWidth="1"/>
    <col min="20" max="20" width="14.109375" hidden="1" customWidth="1"/>
    <col min="21" max="21" width="15.44140625" hidden="1" customWidth="1"/>
    <col min="22" max="23" width="15.33203125" hidden="1" customWidth="1"/>
    <col min="24" max="24" width="16.44140625" hidden="1" customWidth="1"/>
    <col min="25" max="25" width="19" hidden="1" customWidth="1"/>
    <col min="26" max="27" width="13.33203125" hidden="1" customWidth="1"/>
    <col min="28" max="28" width="15.109375" bestFit="1" customWidth="1"/>
    <col min="29" max="29" width="16.6640625" style="167" bestFit="1" customWidth="1"/>
    <col min="30" max="30" width="14.109375" bestFit="1" customWidth="1"/>
    <col min="31" max="33" width="15.109375" bestFit="1" customWidth="1"/>
    <col min="34" max="34" width="14.6640625" customWidth="1"/>
  </cols>
  <sheetData>
    <row r="1" spans="1:41" ht="15" customHeight="1" x14ac:dyDescent="0.3">
      <c r="A1" s="200"/>
      <c r="B1" s="200"/>
      <c r="C1" s="200"/>
      <c r="D1" s="200"/>
      <c r="E1" s="200"/>
      <c r="F1" s="200"/>
      <c r="G1" s="200"/>
      <c r="H1" s="200"/>
    </row>
    <row r="2" spans="1:41" x14ac:dyDescent="0.3">
      <c r="A2" s="14"/>
      <c r="B2" s="15" t="s">
        <v>0</v>
      </c>
      <c r="C2" s="15" t="s">
        <v>1</v>
      </c>
      <c r="D2" s="149">
        <v>44197</v>
      </c>
      <c r="E2" s="149">
        <v>44229</v>
      </c>
      <c r="F2" s="149">
        <v>44256</v>
      </c>
      <c r="G2" s="149">
        <v>44287</v>
      </c>
      <c r="H2" s="149">
        <v>44317</v>
      </c>
      <c r="I2" s="149">
        <v>44348</v>
      </c>
      <c r="J2" s="149">
        <v>44378</v>
      </c>
      <c r="K2" s="149">
        <v>44409</v>
      </c>
      <c r="L2" s="149">
        <v>44440</v>
      </c>
      <c r="M2" s="149">
        <v>44470</v>
      </c>
      <c r="N2" s="149">
        <v>44501</v>
      </c>
      <c r="O2" s="149">
        <v>44531</v>
      </c>
      <c r="P2" s="170" t="s">
        <v>2</v>
      </c>
      <c r="Q2" s="149">
        <v>44562</v>
      </c>
      <c r="R2" s="149">
        <v>44594</v>
      </c>
      <c r="S2" s="149">
        <v>44623</v>
      </c>
      <c r="T2" s="149">
        <v>44655</v>
      </c>
      <c r="U2" s="149">
        <v>44686</v>
      </c>
      <c r="V2" s="149">
        <v>44718</v>
      </c>
      <c r="W2" s="149">
        <v>44749</v>
      </c>
      <c r="X2" s="149">
        <v>44781</v>
      </c>
      <c r="Y2" s="149">
        <v>44813</v>
      </c>
      <c r="Z2" s="149">
        <v>44844</v>
      </c>
      <c r="AA2" s="149">
        <v>44876</v>
      </c>
      <c r="AB2" s="149">
        <v>44907</v>
      </c>
      <c r="AC2" s="170" t="s">
        <v>3</v>
      </c>
      <c r="AD2" s="149">
        <v>44927</v>
      </c>
      <c r="AE2" s="149">
        <v>44958</v>
      </c>
      <c r="AF2" s="149">
        <v>44986</v>
      </c>
      <c r="AG2" s="149">
        <v>45017</v>
      </c>
      <c r="AH2" s="149">
        <v>45047</v>
      </c>
      <c r="AI2" s="149">
        <v>45078</v>
      </c>
      <c r="AJ2" s="149">
        <v>45108</v>
      </c>
      <c r="AK2" s="149">
        <v>45139</v>
      </c>
      <c r="AL2" s="149">
        <v>45170</v>
      </c>
      <c r="AM2" s="149">
        <v>45200</v>
      </c>
      <c r="AN2" s="149">
        <v>45231</v>
      </c>
      <c r="AO2" s="149">
        <v>45261</v>
      </c>
    </row>
    <row r="3" spans="1:41" x14ac:dyDescent="0.3">
      <c r="A3" s="16" t="s">
        <v>50</v>
      </c>
      <c r="B3" s="63">
        <f t="shared" ref="B3:G3" si="0">B4+B7</f>
        <v>14599.247546899</v>
      </c>
      <c r="C3" s="63">
        <f t="shared" si="0"/>
        <v>1503261371</v>
      </c>
      <c r="D3" s="63">
        <f t="shared" si="0"/>
        <v>116942698.48</v>
      </c>
      <c r="E3" s="63">
        <f t="shared" si="0"/>
        <v>238527556.48000002</v>
      </c>
      <c r="F3" s="63">
        <f t="shared" si="0"/>
        <v>362010620.16000003</v>
      </c>
      <c r="G3" s="63">
        <f t="shared" si="0"/>
        <v>495569224.32999992</v>
      </c>
      <c r="H3" s="63">
        <f t="shared" ref="H3" si="1">H4+H7</f>
        <v>626831757.99000001</v>
      </c>
      <c r="I3" s="63">
        <f>I4+I7</f>
        <v>753056288.82999992</v>
      </c>
      <c r="J3" s="63">
        <f>J4+J7</f>
        <v>907509985.18000007</v>
      </c>
      <c r="K3" s="63">
        <f>K4+K7</f>
        <v>1051068666.6399999</v>
      </c>
      <c r="L3" s="63">
        <f t="shared" ref="L3:AC3" si="2">L4+L7</f>
        <v>1195322550.8600001</v>
      </c>
      <c r="M3" s="63">
        <f t="shared" si="2"/>
        <v>1323812084.4799998</v>
      </c>
      <c r="N3" s="63">
        <f t="shared" si="2"/>
        <v>1477251222.8700001</v>
      </c>
      <c r="O3" s="63">
        <f t="shared" si="2"/>
        <v>1648026586.98</v>
      </c>
      <c r="P3" s="63">
        <f t="shared" si="2"/>
        <v>1706831910</v>
      </c>
      <c r="Q3" s="63">
        <f t="shared" si="2"/>
        <v>133299220.61</v>
      </c>
      <c r="R3" s="63">
        <f t="shared" si="2"/>
        <v>265588998.90000001</v>
      </c>
      <c r="S3" s="63">
        <f t="shared" si="2"/>
        <v>407634984.13999999</v>
      </c>
      <c r="T3" s="63">
        <f t="shared" si="2"/>
        <v>553475652.38999999</v>
      </c>
      <c r="U3" s="63">
        <f t="shared" si="2"/>
        <v>695853507.08000004</v>
      </c>
      <c r="V3" s="63">
        <f t="shared" si="2"/>
        <v>843525302.6500001</v>
      </c>
      <c r="W3" s="63">
        <f t="shared" si="2"/>
        <v>977990259.56999993</v>
      </c>
      <c r="X3" s="63">
        <f t="shared" si="2"/>
        <v>1119427087.49</v>
      </c>
      <c r="Y3" s="63">
        <f t="shared" si="2"/>
        <v>1259096026.48</v>
      </c>
      <c r="Z3" s="63">
        <f t="shared" si="2"/>
        <v>1403960286.53</v>
      </c>
      <c r="AA3" s="63">
        <f t="shared" si="2"/>
        <v>1554200796.6600001</v>
      </c>
      <c r="AB3" s="63">
        <f t="shared" si="2"/>
        <v>1729889877.8800001</v>
      </c>
      <c r="AC3" s="63">
        <f t="shared" si="2"/>
        <v>1805068100</v>
      </c>
      <c r="AD3" s="63">
        <f t="shared" ref="AD3:AO3" si="3">AD4+AD7</f>
        <v>154061197.68000001</v>
      </c>
      <c r="AE3" s="63">
        <f t="shared" si="3"/>
        <v>303583287.49000001</v>
      </c>
      <c r="AF3" s="63">
        <f t="shared" si="3"/>
        <v>457909364.25</v>
      </c>
      <c r="AG3" s="63">
        <f t="shared" si="3"/>
        <v>606239934.43000007</v>
      </c>
      <c r="AH3" s="63">
        <f t="shared" si="3"/>
        <v>756953584.13999999</v>
      </c>
      <c r="AI3" s="63">
        <f t="shared" si="3"/>
        <v>0</v>
      </c>
      <c r="AJ3" s="63">
        <f t="shared" si="3"/>
        <v>0</v>
      </c>
      <c r="AK3" s="63">
        <f t="shared" si="3"/>
        <v>0</v>
      </c>
      <c r="AL3" s="63">
        <f t="shared" si="3"/>
        <v>0</v>
      </c>
      <c r="AM3" s="63">
        <f t="shared" si="3"/>
        <v>0</v>
      </c>
      <c r="AN3" s="63">
        <f t="shared" si="3"/>
        <v>0</v>
      </c>
      <c r="AO3" s="63">
        <f t="shared" si="3"/>
        <v>0</v>
      </c>
    </row>
    <row r="4" spans="1:41" x14ac:dyDescent="0.3">
      <c r="A4" s="16" t="s">
        <v>51</v>
      </c>
      <c r="B4" s="63">
        <f t="shared" ref="B4:G4" si="4">SUM(B5:B6)</f>
        <v>12855.805909999999</v>
      </c>
      <c r="C4" s="63">
        <f t="shared" si="4"/>
        <v>1314774709</v>
      </c>
      <c r="D4" s="63">
        <f t="shared" si="4"/>
        <v>110385670.31</v>
      </c>
      <c r="E4" s="63">
        <f t="shared" si="4"/>
        <v>223931119.80000001</v>
      </c>
      <c r="F4" s="63">
        <f t="shared" si="4"/>
        <v>335575466.71000004</v>
      </c>
      <c r="G4" s="63">
        <f t="shared" si="4"/>
        <v>451584932.92999995</v>
      </c>
      <c r="H4" s="63">
        <f t="shared" ref="H4:J4" si="5">SUM(H5:H6)</f>
        <v>566423899.95000005</v>
      </c>
      <c r="I4" s="63">
        <f t="shared" si="5"/>
        <v>682293154.16999996</v>
      </c>
      <c r="J4" s="63">
        <f t="shared" si="5"/>
        <v>826951973.32000005</v>
      </c>
      <c r="K4" s="63">
        <f t="shared" ref="K4:AC4" si="6">SUM(K5:K6)</f>
        <v>960704714.32999992</v>
      </c>
      <c r="L4" s="63">
        <f t="shared" si="6"/>
        <v>1093320508.99</v>
      </c>
      <c r="M4" s="63">
        <f t="shared" si="6"/>
        <v>1209667370.4099998</v>
      </c>
      <c r="N4" s="63">
        <f t="shared" si="6"/>
        <v>1349377670.9000001</v>
      </c>
      <c r="O4" s="63">
        <f t="shared" si="6"/>
        <v>1509512263.24</v>
      </c>
      <c r="P4" s="63">
        <f t="shared" si="6"/>
        <v>1463734176</v>
      </c>
      <c r="Q4" s="63">
        <f t="shared" si="6"/>
        <v>123657183.38</v>
      </c>
      <c r="R4" s="63">
        <f t="shared" si="6"/>
        <v>249114329.06999999</v>
      </c>
      <c r="S4" s="63">
        <f t="shared" si="6"/>
        <v>378874613.13999999</v>
      </c>
      <c r="T4" s="63">
        <f t="shared" si="6"/>
        <v>511821600.87</v>
      </c>
      <c r="U4" s="63">
        <f t="shared" si="6"/>
        <v>642069155.36000001</v>
      </c>
      <c r="V4" s="63">
        <f t="shared" si="6"/>
        <v>769840860.83000004</v>
      </c>
      <c r="W4" s="63">
        <f t="shared" si="6"/>
        <v>896836753.88999999</v>
      </c>
      <c r="X4" s="63">
        <f t="shared" si="6"/>
        <v>1030536576.16</v>
      </c>
      <c r="Y4" s="63">
        <f t="shared" si="6"/>
        <v>1162998570.6800001</v>
      </c>
      <c r="Z4" s="63">
        <f t="shared" si="6"/>
        <v>1296569638.0699999</v>
      </c>
      <c r="AA4" s="63">
        <f t="shared" si="6"/>
        <v>1435914070.4300001</v>
      </c>
      <c r="AB4" s="63">
        <f t="shared" si="6"/>
        <v>1593866767.1300001</v>
      </c>
      <c r="AC4" s="63">
        <f t="shared" si="6"/>
        <v>1550998533</v>
      </c>
      <c r="AD4" s="63">
        <f t="shared" ref="AD4:AO4" si="7">SUM(AD5:AD6)</f>
        <v>145502802.21000001</v>
      </c>
      <c r="AE4" s="63">
        <f t="shared" si="7"/>
        <v>283852373.62</v>
      </c>
      <c r="AF4" s="63">
        <f t="shared" si="7"/>
        <v>422883551.68000001</v>
      </c>
      <c r="AG4" s="63">
        <f t="shared" si="7"/>
        <v>559817987.46000004</v>
      </c>
      <c r="AH4" s="63">
        <f t="shared" si="7"/>
        <v>699507978.75</v>
      </c>
      <c r="AI4" s="63">
        <f t="shared" si="7"/>
        <v>0</v>
      </c>
      <c r="AJ4" s="63">
        <f t="shared" si="7"/>
        <v>0</v>
      </c>
      <c r="AK4" s="63">
        <f t="shared" si="7"/>
        <v>0</v>
      </c>
      <c r="AL4" s="63">
        <f t="shared" si="7"/>
        <v>0</v>
      </c>
      <c r="AM4" s="63">
        <f t="shared" si="7"/>
        <v>0</v>
      </c>
      <c r="AN4" s="63">
        <f t="shared" si="7"/>
        <v>0</v>
      </c>
      <c r="AO4" s="63">
        <f t="shared" si="7"/>
        <v>0</v>
      </c>
    </row>
    <row r="5" spans="1:41" x14ac:dyDescent="0.3">
      <c r="A5" s="17" t="s">
        <v>52</v>
      </c>
      <c r="B5" s="27">
        <v>11945.43491</v>
      </c>
      <c r="C5" s="18">
        <v>1292172434</v>
      </c>
      <c r="D5" s="162">
        <v>107242264.31</v>
      </c>
      <c r="E5" s="162">
        <v>216748433.80000001</v>
      </c>
      <c r="F5" s="162">
        <v>324315776.61000001</v>
      </c>
      <c r="G5" s="162">
        <v>435434565.52999997</v>
      </c>
      <c r="H5" s="162">
        <v>545320572.35000002</v>
      </c>
      <c r="I5" s="162">
        <v>656632200.16999996</v>
      </c>
      <c r="J5" s="162">
        <v>790344472.12</v>
      </c>
      <c r="K5" s="162">
        <v>915739348.02999997</v>
      </c>
      <c r="L5" s="162">
        <v>1040918897.6900001</v>
      </c>
      <c r="M5" s="162">
        <v>1150145838.1099999</v>
      </c>
      <c r="N5" s="162">
        <v>1283510766.5</v>
      </c>
      <c r="O5" s="162">
        <v>1437359145.8399999</v>
      </c>
      <c r="P5" s="171">
        <v>1437359142</v>
      </c>
      <c r="Q5" s="162">
        <v>119055288.38</v>
      </c>
      <c r="R5" s="162">
        <v>239605931.06999999</v>
      </c>
      <c r="S5" s="162">
        <v>362127412.13999999</v>
      </c>
      <c r="T5" s="162">
        <v>487611818.87</v>
      </c>
      <c r="U5" s="162">
        <v>611469280.86000001</v>
      </c>
      <c r="V5" s="162">
        <v>733946522.83000004</v>
      </c>
      <c r="W5" s="162">
        <v>856093779.88999999</v>
      </c>
      <c r="X5" s="162">
        <v>983410943.15999997</v>
      </c>
      <c r="Y5" s="162">
        <v>1109612780.1800001</v>
      </c>
      <c r="Z5" s="162">
        <v>1236788160.5699999</v>
      </c>
      <c r="AA5" s="162">
        <v>1369165091.9300001</v>
      </c>
      <c r="AB5" s="162">
        <v>1518639418.23</v>
      </c>
      <c r="AC5" s="171">
        <v>1518639420</v>
      </c>
      <c r="AD5">
        <v>137310458.21000001</v>
      </c>
      <c r="AE5">
        <v>270038738.81999999</v>
      </c>
      <c r="AF5">
        <v>403777769.57999998</v>
      </c>
      <c r="AG5">
        <v>535005431.36000001</v>
      </c>
      <c r="AH5" s="196">
        <v>668831920.64999998</v>
      </c>
    </row>
    <row r="6" spans="1:41" x14ac:dyDescent="0.3">
      <c r="A6" s="17" t="s">
        <v>53</v>
      </c>
      <c r="B6" s="27">
        <v>910.37099999999998</v>
      </c>
      <c r="C6" s="18">
        <v>22602275</v>
      </c>
      <c r="D6" s="162">
        <v>3143406</v>
      </c>
      <c r="E6" s="162">
        <v>7182686</v>
      </c>
      <c r="F6" s="162">
        <v>11259690.1</v>
      </c>
      <c r="G6" s="162">
        <v>16150367.4</v>
      </c>
      <c r="H6" s="162">
        <v>21103327.600000001</v>
      </c>
      <c r="I6" s="162">
        <v>25660954</v>
      </c>
      <c r="J6" s="162">
        <v>36607501.200000003</v>
      </c>
      <c r="K6" s="162">
        <v>44965366.299999997</v>
      </c>
      <c r="L6" s="162">
        <v>52401611.299999997</v>
      </c>
      <c r="M6" s="162">
        <v>59521532.299999997</v>
      </c>
      <c r="N6" s="162">
        <v>65866904.399999999</v>
      </c>
      <c r="O6" s="162">
        <v>72153117.400000006</v>
      </c>
      <c r="P6" s="171">
        <v>26375034</v>
      </c>
      <c r="Q6" s="162">
        <v>4601895</v>
      </c>
      <c r="R6" s="162">
        <v>9508398</v>
      </c>
      <c r="S6" s="162">
        <v>16747201</v>
      </c>
      <c r="T6" s="162">
        <v>24209782</v>
      </c>
      <c r="U6" s="162">
        <v>30599874.5</v>
      </c>
      <c r="V6" s="162">
        <v>35894338</v>
      </c>
      <c r="W6" s="162">
        <v>40742974</v>
      </c>
      <c r="X6" s="162">
        <v>47125633</v>
      </c>
      <c r="Y6" s="162">
        <v>53385790.5</v>
      </c>
      <c r="Z6" s="162">
        <v>59781477.5</v>
      </c>
      <c r="AA6" s="162">
        <v>66748978.5</v>
      </c>
      <c r="AB6" s="162">
        <v>75227348.900000006</v>
      </c>
      <c r="AC6" s="171">
        <f>32359113</f>
        <v>32359113</v>
      </c>
      <c r="AD6">
        <v>8192344</v>
      </c>
      <c r="AE6">
        <v>13813634.800000001</v>
      </c>
      <c r="AF6">
        <v>19105782.100000001</v>
      </c>
      <c r="AG6">
        <v>24812556.100000001</v>
      </c>
      <c r="AH6" s="198">
        <v>30676058.100000001</v>
      </c>
    </row>
    <row r="7" spans="1:41" x14ac:dyDescent="0.3">
      <c r="A7" s="16" t="s">
        <v>54</v>
      </c>
      <c r="B7" s="63">
        <f t="shared" ref="B7:H7" si="8">SUM(B8:B11)</f>
        <v>1743.4416368990005</v>
      </c>
      <c r="C7" s="63">
        <f t="shared" si="8"/>
        <v>188486662</v>
      </c>
      <c r="D7" s="63">
        <f t="shared" si="8"/>
        <v>6557028.1699999999</v>
      </c>
      <c r="E7" s="63">
        <f t="shared" si="8"/>
        <v>14596436.68</v>
      </c>
      <c r="F7" s="63">
        <f t="shared" si="8"/>
        <v>26435153.450000003</v>
      </c>
      <c r="G7" s="63">
        <f t="shared" si="8"/>
        <v>43984291.399999999</v>
      </c>
      <c r="H7" s="63">
        <f t="shared" si="8"/>
        <v>60407858.039999999</v>
      </c>
      <c r="I7" s="63">
        <f>SUM(I8:I11)</f>
        <v>70763134.659999996</v>
      </c>
      <c r="J7" s="63">
        <f>SUM(J8:J11)</f>
        <v>80558011.859999999</v>
      </c>
      <c r="K7" s="63">
        <f>SUM(K8:K11)</f>
        <v>90363952.310000002</v>
      </c>
      <c r="L7" s="63">
        <f t="shared" ref="L7:AO7" si="9">SUM(L8:L11)</f>
        <v>102002041.87</v>
      </c>
      <c r="M7" s="63">
        <f t="shared" si="9"/>
        <v>114144714.06999999</v>
      </c>
      <c r="N7" s="63">
        <f t="shared" si="9"/>
        <v>127873551.97</v>
      </c>
      <c r="O7" s="63">
        <f t="shared" si="9"/>
        <v>138514323.74000001</v>
      </c>
      <c r="P7" s="63">
        <f t="shared" si="9"/>
        <v>243097734</v>
      </c>
      <c r="Q7" s="63">
        <f t="shared" si="9"/>
        <v>9642037.2300000004</v>
      </c>
      <c r="R7" s="63">
        <f t="shared" si="9"/>
        <v>16474669.83</v>
      </c>
      <c r="S7" s="63">
        <f t="shared" si="9"/>
        <v>28760371</v>
      </c>
      <c r="T7" s="63">
        <f t="shared" si="9"/>
        <v>41654051.520000003</v>
      </c>
      <c r="U7" s="63">
        <f t="shared" si="9"/>
        <v>53784351.719999999</v>
      </c>
      <c r="V7" s="63">
        <f t="shared" si="9"/>
        <v>73684441.819999993</v>
      </c>
      <c r="W7" s="63">
        <f t="shared" si="9"/>
        <v>81153505.680000007</v>
      </c>
      <c r="X7" s="63">
        <f t="shared" si="9"/>
        <v>88890511.329999998</v>
      </c>
      <c r="Y7" s="63">
        <f t="shared" si="9"/>
        <v>96097455.799999997</v>
      </c>
      <c r="Z7" s="63">
        <f t="shared" si="9"/>
        <v>107390648.46000001</v>
      </c>
      <c r="AA7" s="63">
        <f t="shared" si="9"/>
        <v>118286726.23</v>
      </c>
      <c r="AB7" s="63">
        <f t="shared" si="9"/>
        <v>136023110.75</v>
      </c>
      <c r="AC7" s="63">
        <f t="shared" si="9"/>
        <v>254069567</v>
      </c>
      <c r="AD7" s="63">
        <f t="shared" si="9"/>
        <v>8558395.4700000007</v>
      </c>
      <c r="AE7" s="63">
        <f t="shared" si="9"/>
        <v>19730913.870000001</v>
      </c>
      <c r="AF7" s="63">
        <f t="shared" si="9"/>
        <v>35025812.57</v>
      </c>
      <c r="AG7" s="63">
        <f t="shared" si="9"/>
        <v>46421946.969999999</v>
      </c>
      <c r="AH7" s="63">
        <f t="shared" si="9"/>
        <v>57445605.390000001</v>
      </c>
      <c r="AI7" s="63">
        <f t="shared" si="9"/>
        <v>0</v>
      </c>
      <c r="AJ7" s="63">
        <f t="shared" si="9"/>
        <v>0</v>
      </c>
      <c r="AK7" s="63">
        <f t="shared" si="9"/>
        <v>0</v>
      </c>
      <c r="AL7" s="63">
        <f t="shared" si="9"/>
        <v>0</v>
      </c>
      <c r="AM7" s="63">
        <f t="shared" si="9"/>
        <v>0</v>
      </c>
      <c r="AN7" s="63">
        <f t="shared" si="9"/>
        <v>0</v>
      </c>
      <c r="AO7" s="63">
        <f t="shared" si="9"/>
        <v>0</v>
      </c>
    </row>
    <row r="8" spans="1:41" x14ac:dyDescent="0.3">
      <c r="A8" s="17" t="s">
        <v>55</v>
      </c>
      <c r="B8" s="27"/>
      <c r="C8" s="18">
        <v>0</v>
      </c>
      <c r="D8" s="162">
        <v>0</v>
      </c>
      <c r="E8" s="162">
        <v>0</v>
      </c>
      <c r="F8" s="162">
        <v>0</v>
      </c>
      <c r="G8" s="162">
        <v>0</v>
      </c>
      <c r="H8" s="162">
        <v>0</v>
      </c>
      <c r="I8" s="162">
        <v>0</v>
      </c>
      <c r="J8" s="162">
        <v>0</v>
      </c>
      <c r="K8" s="162">
        <v>0</v>
      </c>
      <c r="L8" s="162">
        <v>0</v>
      </c>
      <c r="M8" s="162">
        <v>0</v>
      </c>
      <c r="N8" s="162">
        <v>0</v>
      </c>
      <c r="O8" s="162">
        <v>0</v>
      </c>
      <c r="Q8" s="162">
        <v>0</v>
      </c>
      <c r="R8" s="162">
        <v>0</v>
      </c>
      <c r="S8" s="162">
        <v>0</v>
      </c>
      <c r="T8" s="162">
        <v>0</v>
      </c>
      <c r="U8" s="162">
        <v>0</v>
      </c>
      <c r="V8" s="162">
        <v>0</v>
      </c>
      <c r="W8" s="162">
        <v>0</v>
      </c>
      <c r="X8" s="162">
        <v>0</v>
      </c>
      <c r="Y8" s="162">
        <v>0</v>
      </c>
      <c r="Z8" s="162">
        <v>0</v>
      </c>
      <c r="AA8" s="162">
        <v>0</v>
      </c>
      <c r="AB8" s="162">
        <v>0</v>
      </c>
      <c r="AD8">
        <v>0</v>
      </c>
      <c r="AE8">
        <v>0</v>
      </c>
      <c r="AF8">
        <v>0</v>
      </c>
      <c r="AG8">
        <v>0</v>
      </c>
      <c r="AH8" s="195">
        <v>0</v>
      </c>
    </row>
    <row r="9" spans="1:41" x14ac:dyDescent="0.3">
      <c r="A9" s="17" t="s">
        <v>56</v>
      </c>
      <c r="B9" s="27"/>
      <c r="C9" s="18"/>
      <c r="D9" s="162">
        <v>0</v>
      </c>
      <c r="E9" s="162">
        <v>1684493.25</v>
      </c>
      <c r="F9" s="162">
        <v>5022849.4000000004</v>
      </c>
      <c r="G9" s="162">
        <v>8151324.8499999996</v>
      </c>
      <c r="H9" s="162">
        <v>18552623.649999999</v>
      </c>
      <c r="I9" s="162">
        <v>22975339.510000002</v>
      </c>
      <c r="J9" s="162">
        <v>25093181.960000001</v>
      </c>
      <c r="K9" s="162">
        <v>27917516.969999999</v>
      </c>
      <c r="L9" s="162">
        <v>31693895.739999998</v>
      </c>
      <c r="M9" s="162">
        <v>37441438.479999997</v>
      </c>
      <c r="N9" s="162">
        <v>43065188.240000002</v>
      </c>
      <c r="O9" s="162">
        <v>47550759.479999997</v>
      </c>
      <c r="Q9" s="162">
        <v>3111974.85</v>
      </c>
      <c r="R9" s="162">
        <v>3189587.1</v>
      </c>
      <c r="S9" s="162">
        <v>5565144.7000000002</v>
      </c>
      <c r="T9" s="162">
        <v>10152411.67</v>
      </c>
      <c r="U9" s="162">
        <v>14663014.41</v>
      </c>
      <c r="V9" s="162">
        <v>19885285.98</v>
      </c>
      <c r="W9" s="162">
        <v>19975339.850000001</v>
      </c>
      <c r="X9" s="162">
        <v>20066379.079999998</v>
      </c>
      <c r="Y9" s="162">
        <v>20155431.050000001</v>
      </c>
      <c r="Z9" s="162">
        <v>21874818.280000001</v>
      </c>
      <c r="AA9" s="162">
        <v>24804407.329999998</v>
      </c>
      <c r="AB9" s="162">
        <v>33542846.800000001</v>
      </c>
      <c r="AD9" s="185">
        <v>952934.28</v>
      </c>
      <c r="AE9" s="185">
        <v>4078413.7</v>
      </c>
      <c r="AF9" s="185">
        <v>6080188.9100000001</v>
      </c>
      <c r="AG9" s="185">
        <v>9289270.7100000009</v>
      </c>
      <c r="AH9" s="198">
        <v>13304941.130000001</v>
      </c>
    </row>
    <row r="10" spans="1:41" x14ac:dyDescent="0.3">
      <c r="A10" s="17" t="s">
        <v>57</v>
      </c>
      <c r="B10" s="27"/>
      <c r="C10" s="18">
        <v>38218859</v>
      </c>
      <c r="D10" s="162">
        <v>1149036</v>
      </c>
      <c r="E10" s="162">
        <v>1149036</v>
      </c>
      <c r="F10" s="162">
        <v>1149036</v>
      </c>
      <c r="G10" s="162">
        <v>8519440.5999999996</v>
      </c>
      <c r="H10" s="162">
        <v>8519440.5999999996</v>
      </c>
      <c r="I10" s="162">
        <v>8519440.5999999996</v>
      </c>
      <c r="J10" s="162">
        <v>8519440.5999999996</v>
      </c>
      <c r="K10" s="162">
        <v>8519440.5999999996</v>
      </c>
      <c r="L10" s="162">
        <v>8519440.5999999996</v>
      </c>
      <c r="M10" s="162">
        <v>8519440.5999999996</v>
      </c>
      <c r="N10" s="162">
        <v>8519440.5999999996</v>
      </c>
      <c r="O10" s="162">
        <v>8519440.5999999996</v>
      </c>
      <c r="P10" s="171">
        <v>47550760</v>
      </c>
      <c r="Q10" s="162">
        <v>0</v>
      </c>
      <c r="R10" s="162">
        <v>0</v>
      </c>
      <c r="S10" s="162">
        <v>0</v>
      </c>
      <c r="T10" s="162">
        <v>0</v>
      </c>
      <c r="U10" s="162">
        <v>0</v>
      </c>
      <c r="V10" s="162">
        <v>7105530.7000000002</v>
      </c>
      <c r="W10" s="162">
        <v>7105530.7000000002</v>
      </c>
      <c r="X10" s="162">
        <v>7105530.7000000002</v>
      </c>
      <c r="Y10" s="162">
        <v>7105530.7000000002</v>
      </c>
      <c r="Z10" s="162">
        <v>8736898.6999999993</v>
      </c>
      <c r="AA10" s="162">
        <v>8736898.6999999993</v>
      </c>
      <c r="AB10" s="162">
        <v>8736898.6999999993</v>
      </c>
      <c r="AC10" s="167">
        <v>33791415</v>
      </c>
      <c r="AD10" s="185">
        <v>0</v>
      </c>
      <c r="AE10" s="185">
        <v>0</v>
      </c>
      <c r="AF10" s="185">
        <v>2159221</v>
      </c>
      <c r="AG10" s="185">
        <v>2211229</v>
      </c>
      <c r="AH10" s="198">
        <v>2211229</v>
      </c>
    </row>
    <row r="11" spans="1:41" s="29" customFormat="1" x14ac:dyDescent="0.3">
      <c r="A11" s="16" t="s">
        <v>58</v>
      </c>
      <c r="B11" s="26">
        <v>1743.4416368990005</v>
      </c>
      <c r="C11" s="159">
        <v>150267803</v>
      </c>
      <c r="D11" s="163">
        <v>5407992.1699999999</v>
      </c>
      <c r="E11" s="163">
        <v>11762907.43</v>
      </c>
      <c r="F11" s="163">
        <v>20263268.050000001</v>
      </c>
      <c r="G11" s="163">
        <v>27313525.949999999</v>
      </c>
      <c r="H11" s="163">
        <v>33335793.789999999</v>
      </c>
      <c r="I11" s="163">
        <v>39268354.549999997</v>
      </c>
      <c r="J11" s="163">
        <v>46945389.299999997</v>
      </c>
      <c r="K11" s="163">
        <v>53926994.740000002</v>
      </c>
      <c r="L11" s="163">
        <v>61788705.530000001</v>
      </c>
      <c r="M11" s="163">
        <v>68183834.989999995</v>
      </c>
      <c r="N11" s="163">
        <v>76288923.129999995</v>
      </c>
      <c r="O11" s="163">
        <v>82444123.659999996</v>
      </c>
      <c r="P11" s="172">
        <v>195546974</v>
      </c>
      <c r="Q11" s="163">
        <v>6530062.3799999999</v>
      </c>
      <c r="R11" s="163">
        <v>13285082.73</v>
      </c>
      <c r="S11" s="163">
        <v>23195226.300000001</v>
      </c>
      <c r="T11" s="163">
        <v>31501639.850000001</v>
      </c>
      <c r="U11" s="163">
        <v>39121337.310000002</v>
      </c>
      <c r="V11" s="163">
        <v>46693625.140000001</v>
      </c>
      <c r="W11" s="163">
        <v>54072635.130000003</v>
      </c>
      <c r="X11" s="163">
        <v>61718601.549999997</v>
      </c>
      <c r="Y11" s="163">
        <v>68836494.049999997</v>
      </c>
      <c r="Z11" s="163">
        <v>76778931.480000004</v>
      </c>
      <c r="AA11" s="163">
        <v>84745420.200000003</v>
      </c>
      <c r="AB11" s="163">
        <v>93743365.25</v>
      </c>
      <c r="AC11" s="173">
        <f>8429759+74525653+2044000+4153961+8736899+122387880</f>
        <v>220278152</v>
      </c>
      <c r="AD11" s="187">
        <v>7605461.1900000004</v>
      </c>
      <c r="AE11" s="187">
        <v>15652500.17</v>
      </c>
      <c r="AF11" s="187">
        <v>26786402.66</v>
      </c>
      <c r="AG11" s="187">
        <v>34921447.259999998</v>
      </c>
      <c r="AH11" s="199">
        <v>41929435.259999998</v>
      </c>
    </row>
    <row r="12" spans="1:41" x14ac:dyDescent="0.3">
      <c r="A12" s="16" t="s">
        <v>59</v>
      </c>
      <c r="B12" s="63">
        <f t="shared" ref="B12:I12" si="10">SUM(B13:B18)</f>
        <v>549.0847</v>
      </c>
      <c r="C12" s="63">
        <f t="shared" si="10"/>
        <v>457004342</v>
      </c>
      <c r="D12" s="63">
        <f t="shared" si="10"/>
        <v>4509682.55</v>
      </c>
      <c r="E12" s="63">
        <f t="shared" si="10"/>
        <v>17119782.93</v>
      </c>
      <c r="F12" s="63">
        <f t="shared" si="10"/>
        <v>19824660.509999998</v>
      </c>
      <c r="G12" s="63">
        <f t="shared" si="10"/>
        <v>21384560.109999999</v>
      </c>
      <c r="H12" s="63">
        <f t="shared" si="10"/>
        <v>26789148.23</v>
      </c>
      <c r="I12" s="63">
        <f t="shared" si="10"/>
        <v>34735266.219999999</v>
      </c>
      <c r="J12" s="63">
        <f>SUM(J13:J18)</f>
        <v>38054240.670000002</v>
      </c>
      <c r="K12" s="63">
        <f>SUM(K13:K18)</f>
        <v>44036921.32</v>
      </c>
      <c r="L12" s="63">
        <f t="shared" ref="L12:AO12" si="11">SUM(L13:L18)</f>
        <v>47641339.350000001</v>
      </c>
      <c r="M12" s="63">
        <f t="shared" si="11"/>
        <v>52387131.020000003</v>
      </c>
      <c r="N12" s="63">
        <f t="shared" si="11"/>
        <v>54569549.630000003</v>
      </c>
      <c r="O12" s="63">
        <f t="shared" si="11"/>
        <v>102619984.99000001</v>
      </c>
      <c r="P12" s="63">
        <f t="shared" si="11"/>
        <v>512321799</v>
      </c>
      <c r="Q12" s="63">
        <f t="shared" si="11"/>
        <v>15805640.399999999</v>
      </c>
      <c r="R12" s="63">
        <f t="shared" si="11"/>
        <v>19566906.84</v>
      </c>
      <c r="S12" s="63">
        <f t="shared" si="11"/>
        <v>23822832.77</v>
      </c>
      <c r="T12" s="63">
        <f t="shared" si="11"/>
        <v>27191074.699999999</v>
      </c>
      <c r="U12" s="63">
        <f t="shared" si="11"/>
        <v>30753147.16</v>
      </c>
      <c r="V12" s="63">
        <f t="shared" si="11"/>
        <v>42811082.640000001</v>
      </c>
      <c r="W12" s="63">
        <f t="shared" si="11"/>
        <v>48740894.889999993</v>
      </c>
      <c r="X12" s="63">
        <f t="shared" si="11"/>
        <v>55122823.07</v>
      </c>
      <c r="Y12" s="63">
        <f t="shared" si="11"/>
        <v>59599773.970000006</v>
      </c>
      <c r="Z12" s="63">
        <f t="shared" si="11"/>
        <v>66161333.640000001</v>
      </c>
      <c r="AA12" s="63">
        <f t="shared" si="11"/>
        <v>71494787.640000001</v>
      </c>
      <c r="AB12" s="63">
        <f t="shared" si="11"/>
        <v>134809111.81</v>
      </c>
      <c r="AC12" s="63">
        <f t="shared" si="11"/>
        <v>577850709</v>
      </c>
      <c r="AD12" s="189">
        <f t="shared" si="11"/>
        <v>7722465.3700000001</v>
      </c>
      <c r="AE12" s="189">
        <f t="shared" si="11"/>
        <v>27863868.690000001</v>
      </c>
      <c r="AF12" s="189">
        <f t="shared" si="11"/>
        <v>32463250.23</v>
      </c>
      <c r="AG12" s="189">
        <f t="shared" si="11"/>
        <v>37296811.25</v>
      </c>
      <c r="AH12" s="63">
        <f t="shared" si="11"/>
        <v>49404216.859999999</v>
      </c>
      <c r="AI12" s="63">
        <f t="shared" si="11"/>
        <v>0</v>
      </c>
      <c r="AJ12" s="63">
        <f t="shared" si="11"/>
        <v>0</v>
      </c>
      <c r="AK12" s="63">
        <f t="shared" si="11"/>
        <v>0</v>
      </c>
      <c r="AL12" s="63">
        <f t="shared" si="11"/>
        <v>0</v>
      </c>
      <c r="AM12" s="63">
        <f t="shared" si="11"/>
        <v>0</v>
      </c>
      <c r="AN12" s="63">
        <f t="shared" si="11"/>
        <v>0</v>
      </c>
      <c r="AO12" s="63">
        <f t="shared" si="11"/>
        <v>0</v>
      </c>
    </row>
    <row r="13" spans="1:41" x14ac:dyDescent="0.3">
      <c r="A13" s="17" t="s">
        <v>60</v>
      </c>
      <c r="B13" s="27">
        <v>185.36</v>
      </c>
      <c r="C13" s="18">
        <f>225866402+193398543</f>
        <v>419264945</v>
      </c>
      <c r="D13" s="162">
        <v>2146313.25</v>
      </c>
      <c r="E13" s="162">
        <v>3663638.75</v>
      </c>
      <c r="F13" s="162">
        <v>4525977.7699999996</v>
      </c>
      <c r="G13" s="162">
        <v>5891015.2699999996</v>
      </c>
      <c r="H13" s="162">
        <v>7325482.3700000001</v>
      </c>
      <c r="I13" s="162">
        <v>7910570.8700000001</v>
      </c>
      <c r="J13" s="162">
        <v>9430808.1199999992</v>
      </c>
      <c r="K13" s="162">
        <v>11665318.369999999</v>
      </c>
      <c r="L13" s="162">
        <v>12508982.74</v>
      </c>
      <c r="M13" s="162">
        <v>14132791.49</v>
      </c>
      <c r="N13" s="162">
        <v>16177606.6</v>
      </c>
      <c r="O13" s="162">
        <v>55017170.920000002</v>
      </c>
      <c r="P13" s="171">
        <f>501566450-P14</f>
        <v>472991271</v>
      </c>
      <c r="Q13" s="162">
        <v>3688164</v>
      </c>
      <c r="R13" s="162">
        <v>5396488.8499999996</v>
      </c>
      <c r="S13" s="162">
        <v>7419514.4000000004</v>
      </c>
      <c r="T13" s="162">
        <v>9092610.8499999996</v>
      </c>
      <c r="U13" s="162">
        <v>11042548.949999999</v>
      </c>
      <c r="V13" s="162">
        <v>12027824.449999999</v>
      </c>
      <c r="W13" s="162">
        <v>14466104.699999999</v>
      </c>
      <c r="X13" s="162">
        <v>16009567.199999999</v>
      </c>
      <c r="Y13" s="162">
        <v>16872491.199999999</v>
      </c>
      <c r="Z13" s="162">
        <v>20375449.199999999</v>
      </c>
      <c r="AA13" s="162">
        <v>22718014.59</v>
      </c>
      <c r="AB13" s="162">
        <v>76508952.219999999</v>
      </c>
      <c r="AC13" s="167">
        <f>567822949-AC14</f>
        <v>537050550</v>
      </c>
      <c r="AD13" s="185">
        <v>4022640.47</v>
      </c>
      <c r="AE13" s="185">
        <v>6157408.0199999996</v>
      </c>
      <c r="AF13" s="185">
        <v>7965867.7800000003</v>
      </c>
      <c r="AG13" s="185">
        <v>10164303.52</v>
      </c>
      <c r="AH13" s="196">
        <v>12287093.02</v>
      </c>
    </row>
    <row r="14" spans="1:41" x14ac:dyDescent="0.3">
      <c r="A14" s="17" t="s">
        <v>61</v>
      </c>
      <c r="B14" s="27">
        <v>363.72469999999998</v>
      </c>
      <c r="C14" s="18">
        <v>37739397</v>
      </c>
      <c r="D14" s="162">
        <v>2165753.1</v>
      </c>
      <c r="E14" s="162">
        <v>4271346.38</v>
      </c>
      <c r="F14" s="162">
        <v>6118834.6399999997</v>
      </c>
      <c r="G14" s="162">
        <v>6118834.6399999997</v>
      </c>
      <c r="H14" s="162">
        <v>9967121.6600000001</v>
      </c>
      <c r="I14" s="162">
        <v>14699521.449999999</v>
      </c>
      <c r="J14" s="162">
        <v>14699521.449999999</v>
      </c>
      <c r="K14" s="162">
        <v>18190730.850000001</v>
      </c>
      <c r="L14" s="162">
        <v>19875205.41</v>
      </c>
      <c r="M14" s="162">
        <v>21449063.530000001</v>
      </c>
      <c r="N14" s="162">
        <v>21449063.530000001</v>
      </c>
      <c r="O14" s="162">
        <v>28575178.57</v>
      </c>
      <c r="P14" s="171">
        <v>28575179</v>
      </c>
      <c r="Q14" s="162">
        <v>1445378.3</v>
      </c>
      <c r="R14" s="162">
        <v>2831812.79</v>
      </c>
      <c r="S14" s="162">
        <v>4033514.17</v>
      </c>
      <c r="T14" s="162">
        <v>5069603.25</v>
      </c>
      <c r="U14" s="162">
        <v>6179163.6100000003</v>
      </c>
      <c r="V14" s="162">
        <v>17139364.690000001</v>
      </c>
      <c r="W14" s="162">
        <v>19093067.289999999</v>
      </c>
      <c r="X14" s="162">
        <v>22675657.969999999</v>
      </c>
      <c r="Y14" s="162">
        <v>25509767.170000002</v>
      </c>
      <c r="Z14" s="162">
        <v>27757255.440000001</v>
      </c>
      <c r="AA14" s="162">
        <v>30036250.550000001</v>
      </c>
      <c r="AB14" s="162">
        <v>38272399.490000002</v>
      </c>
      <c r="AC14" s="167">
        <v>30772399</v>
      </c>
      <c r="AD14" s="185">
        <v>3014441.9</v>
      </c>
      <c r="AE14" s="185">
        <v>10271347.970000001</v>
      </c>
      <c r="AF14" s="185">
        <v>12231564.550000001</v>
      </c>
      <c r="AG14" s="185">
        <v>14668036.83</v>
      </c>
      <c r="AH14" s="198">
        <v>23365396.84</v>
      </c>
    </row>
    <row r="15" spans="1:41" x14ac:dyDescent="0.3">
      <c r="A15" s="17" t="s">
        <v>62</v>
      </c>
      <c r="B15" s="27"/>
      <c r="C15" s="157"/>
      <c r="D15" s="162">
        <v>0</v>
      </c>
      <c r="E15" s="162">
        <v>0</v>
      </c>
      <c r="F15" s="162">
        <v>0</v>
      </c>
      <c r="G15" s="162">
        <v>0</v>
      </c>
      <c r="H15" s="162">
        <v>0</v>
      </c>
      <c r="I15" s="162">
        <v>0</v>
      </c>
      <c r="J15" s="162">
        <v>0</v>
      </c>
      <c r="K15" s="162">
        <v>0</v>
      </c>
      <c r="L15" s="162">
        <v>0</v>
      </c>
      <c r="M15" s="162">
        <v>0</v>
      </c>
      <c r="N15" s="162">
        <v>0</v>
      </c>
      <c r="O15" s="162">
        <v>0</v>
      </c>
      <c r="Q15" s="162">
        <v>0</v>
      </c>
      <c r="R15" s="162">
        <v>0</v>
      </c>
      <c r="S15" s="162">
        <v>0</v>
      </c>
      <c r="T15" s="162">
        <v>0</v>
      </c>
      <c r="U15" s="162">
        <v>0</v>
      </c>
      <c r="V15" s="162">
        <v>0</v>
      </c>
      <c r="W15" s="162">
        <v>0</v>
      </c>
      <c r="X15" s="162">
        <v>0</v>
      </c>
      <c r="Y15" s="162">
        <v>0</v>
      </c>
      <c r="Z15" s="162">
        <v>0</v>
      </c>
      <c r="AA15" s="162">
        <v>0</v>
      </c>
      <c r="AB15" s="162">
        <v>0</v>
      </c>
      <c r="AD15" s="185">
        <v>0</v>
      </c>
      <c r="AE15" s="185">
        <v>0</v>
      </c>
      <c r="AF15" s="185">
        <v>0</v>
      </c>
      <c r="AG15" s="185">
        <v>0</v>
      </c>
      <c r="AH15" s="197">
        <v>0</v>
      </c>
    </row>
    <row r="16" spans="1:41" x14ac:dyDescent="0.3">
      <c r="A16" s="17" t="s">
        <v>63</v>
      </c>
      <c r="B16" s="27"/>
      <c r="C16" s="156"/>
      <c r="D16" s="162">
        <v>0</v>
      </c>
      <c r="E16" s="162">
        <v>0</v>
      </c>
      <c r="F16" s="162">
        <v>0</v>
      </c>
      <c r="G16" s="162">
        <v>0</v>
      </c>
      <c r="H16" s="162">
        <v>0</v>
      </c>
      <c r="I16" s="162">
        <v>0</v>
      </c>
      <c r="J16" s="162">
        <v>0</v>
      </c>
      <c r="K16" s="162">
        <v>0</v>
      </c>
      <c r="L16" s="162">
        <v>0</v>
      </c>
      <c r="M16" s="162">
        <v>0</v>
      </c>
      <c r="N16" s="162">
        <v>0</v>
      </c>
      <c r="O16" s="162">
        <v>0</v>
      </c>
      <c r="Q16" s="162">
        <v>0</v>
      </c>
      <c r="R16" s="162">
        <v>0</v>
      </c>
      <c r="S16" s="162">
        <v>0</v>
      </c>
      <c r="T16" s="162">
        <v>0</v>
      </c>
      <c r="U16" s="162">
        <v>0</v>
      </c>
      <c r="V16" s="162">
        <v>0</v>
      </c>
      <c r="W16" s="162">
        <v>0</v>
      </c>
      <c r="X16" s="162">
        <v>0</v>
      </c>
      <c r="Y16" s="162">
        <v>0</v>
      </c>
      <c r="Z16" s="162">
        <v>0</v>
      </c>
      <c r="AA16" s="162">
        <v>0</v>
      </c>
      <c r="AB16" s="162">
        <v>0</v>
      </c>
      <c r="AD16" s="185">
        <v>0</v>
      </c>
      <c r="AE16" s="185">
        <v>0</v>
      </c>
      <c r="AF16" s="185">
        <v>0</v>
      </c>
      <c r="AG16" s="185">
        <v>0</v>
      </c>
      <c r="AH16" s="197">
        <v>0</v>
      </c>
    </row>
    <row r="17" spans="1:41" x14ac:dyDescent="0.3">
      <c r="A17" s="17" t="s">
        <v>64</v>
      </c>
      <c r="B17" s="27"/>
      <c r="C17" s="27"/>
      <c r="D17" s="162">
        <v>197616.2</v>
      </c>
      <c r="E17" s="162">
        <v>361065.8</v>
      </c>
      <c r="F17" s="162">
        <v>356116.1</v>
      </c>
      <c r="G17" s="162">
        <v>550978.19999999995</v>
      </c>
      <c r="H17" s="162">
        <v>672812.2</v>
      </c>
      <c r="I17" s="162">
        <v>3301441.9</v>
      </c>
      <c r="J17" s="162">
        <v>5100179.0999999996</v>
      </c>
      <c r="K17" s="162">
        <v>5357140.0999999996</v>
      </c>
      <c r="L17" s="162">
        <v>6433419.2000000002</v>
      </c>
      <c r="M17" s="162">
        <v>7981544</v>
      </c>
      <c r="N17" s="162">
        <v>8119147.5</v>
      </c>
      <c r="O17" s="162">
        <v>10203903.5</v>
      </c>
      <c r="P17" s="174">
        <v>10755349</v>
      </c>
      <c r="Q17" s="162">
        <v>672098.1</v>
      </c>
      <c r="R17" s="162">
        <v>1338605.2</v>
      </c>
      <c r="S17" s="162">
        <v>2369804.2000000002</v>
      </c>
      <c r="T17" s="162">
        <v>3028860.6</v>
      </c>
      <c r="U17" s="162">
        <v>3531434.6</v>
      </c>
      <c r="V17" s="162">
        <v>3643893.5</v>
      </c>
      <c r="W17" s="162">
        <v>5181722.9000000004</v>
      </c>
      <c r="X17" s="162">
        <v>6437597.9000000004</v>
      </c>
      <c r="Y17" s="162">
        <v>7217515.5999999996</v>
      </c>
      <c r="Z17" s="162">
        <v>8028629</v>
      </c>
      <c r="AA17" s="162">
        <v>8740522.5</v>
      </c>
      <c r="AB17" s="162">
        <v>10027760.1</v>
      </c>
      <c r="AC17" s="167">
        <v>10027760</v>
      </c>
      <c r="AD17" s="185">
        <v>685383</v>
      </c>
      <c r="AE17" s="185">
        <v>1435112.7</v>
      </c>
      <c r="AF17" s="185">
        <v>2265817.9</v>
      </c>
      <c r="AG17" s="185">
        <v>2464470.9</v>
      </c>
      <c r="AH17" s="198">
        <v>3751727</v>
      </c>
    </row>
    <row r="18" spans="1:41" x14ac:dyDescent="0.3">
      <c r="A18" s="17" t="s">
        <v>65</v>
      </c>
      <c r="B18" s="27"/>
      <c r="C18" s="145"/>
      <c r="D18" s="162">
        <v>0</v>
      </c>
      <c r="E18" s="162">
        <v>8823732</v>
      </c>
      <c r="F18" s="162">
        <v>8823732</v>
      </c>
      <c r="G18" s="162">
        <v>8823732</v>
      </c>
      <c r="H18" s="162">
        <v>8823732</v>
      </c>
      <c r="I18" s="162">
        <v>8823732</v>
      </c>
      <c r="J18" s="162">
        <v>8823732</v>
      </c>
      <c r="K18" s="162">
        <v>8823732</v>
      </c>
      <c r="L18" s="162">
        <v>8823732</v>
      </c>
      <c r="M18" s="162">
        <v>8823732</v>
      </c>
      <c r="N18" s="162">
        <v>8823732</v>
      </c>
      <c r="O18" s="162">
        <v>8823732</v>
      </c>
      <c r="Q18" s="162">
        <v>10000000</v>
      </c>
      <c r="R18" s="162">
        <v>10000000</v>
      </c>
      <c r="S18" s="162">
        <v>10000000</v>
      </c>
      <c r="T18" s="162">
        <v>10000000</v>
      </c>
      <c r="U18" s="162">
        <v>10000000</v>
      </c>
      <c r="V18" s="162">
        <v>10000000</v>
      </c>
      <c r="W18" s="162">
        <v>10000000</v>
      </c>
      <c r="X18" s="162">
        <v>10000000</v>
      </c>
      <c r="Y18" s="162">
        <v>10000000</v>
      </c>
      <c r="Z18" s="162">
        <v>10000000</v>
      </c>
      <c r="AA18" s="162">
        <v>10000000</v>
      </c>
      <c r="AB18" s="162">
        <v>10000000</v>
      </c>
      <c r="AD18" s="185">
        <v>0</v>
      </c>
      <c r="AE18" s="185">
        <v>10000000</v>
      </c>
      <c r="AF18" s="185">
        <v>10000000</v>
      </c>
      <c r="AG18" s="185">
        <v>10000000</v>
      </c>
      <c r="AH18" s="198">
        <v>10000000</v>
      </c>
    </row>
    <row r="19" spans="1:41" x14ac:dyDescent="0.3">
      <c r="A19" s="16" t="s">
        <v>66</v>
      </c>
      <c r="B19" s="63">
        <f t="shared" ref="B19:G19" si="12">B3-B12</f>
        <v>14050.162846899</v>
      </c>
      <c r="C19" s="63">
        <f t="shared" si="12"/>
        <v>1046257029</v>
      </c>
      <c r="D19" s="63">
        <f t="shared" si="12"/>
        <v>112433015.93000001</v>
      </c>
      <c r="E19" s="63">
        <f t="shared" si="12"/>
        <v>221407773.55000001</v>
      </c>
      <c r="F19" s="63">
        <f t="shared" si="12"/>
        <v>342185959.65000004</v>
      </c>
      <c r="G19" s="63">
        <f t="shared" si="12"/>
        <v>474184664.21999991</v>
      </c>
      <c r="H19" s="63">
        <f t="shared" ref="H19:J19" si="13">H3-H12</f>
        <v>600042609.75999999</v>
      </c>
      <c r="I19" s="63">
        <f t="shared" si="13"/>
        <v>718321022.6099999</v>
      </c>
      <c r="J19" s="63">
        <f t="shared" si="13"/>
        <v>869455744.51000011</v>
      </c>
      <c r="K19" s="63">
        <f>K3-K12</f>
        <v>1007031745.3199998</v>
      </c>
      <c r="L19" s="63">
        <f t="shared" ref="L19:AC19" si="14">L3-L12</f>
        <v>1147681211.5100002</v>
      </c>
      <c r="M19" s="63">
        <f t="shared" si="14"/>
        <v>1271424953.4599998</v>
      </c>
      <c r="N19" s="63">
        <f t="shared" si="14"/>
        <v>1422681673.24</v>
      </c>
      <c r="O19" s="63">
        <f t="shared" si="14"/>
        <v>1545406601.99</v>
      </c>
      <c r="P19" s="63">
        <f t="shared" si="14"/>
        <v>1194510111</v>
      </c>
      <c r="Q19" s="63">
        <f t="shared" si="14"/>
        <v>117493580.21000001</v>
      </c>
      <c r="R19" s="63">
        <f t="shared" si="14"/>
        <v>246022092.06</v>
      </c>
      <c r="S19" s="63">
        <f t="shared" si="14"/>
        <v>383812151.37</v>
      </c>
      <c r="T19" s="63">
        <f t="shared" si="14"/>
        <v>526284577.69</v>
      </c>
      <c r="U19" s="63">
        <f t="shared" si="14"/>
        <v>665100359.92000008</v>
      </c>
      <c r="V19" s="63">
        <f t="shared" si="14"/>
        <v>800714220.01000011</v>
      </c>
      <c r="W19" s="63">
        <f t="shared" si="14"/>
        <v>929249364.67999995</v>
      </c>
      <c r="X19" s="63">
        <f t="shared" si="14"/>
        <v>1064304264.42</v>
      </c>
      <c r="Y19" s="63">
        <f t="shared" si="14"/>
        <v>1199496252.51</v>
      </c>
      <c r="Z19" s="63">
        <f t="shared" si="14"/>
        <v>1337798952.8899999</v>
      </c>
      <c r="AA19" s="63">
        <f t="shared" si="14"/>
        <v>1482706009.02</v>
      </c>
      <c r="AB19" s="63">
        <f t="shared" si="14"/>
        <v>1595080766.0700002</v>
      </c>
      <c r="AC19" s="63">
        <f t="shared" si="14"/>
        <v>1227217391</v>
      </c>
      <c r="AD19" s="189">
        <f t="shared" ref="AD19:AO19" si="15">AD3-AD12</f>
        <v>146338732.31</v>
      </c>
      <c r="AE19" s="189">
        <f t="shared" si="15"/>
        <v>275719418.80000001</v>
      </c>
      <c r="AF19" s="189">
        <f t="shared" si="15"/>
        <v>425446114.01999998</v>
      </c>
      <c r="AG19" s="189">
        <f t="shared" si="15"/>
        <v>568943123.18000007</v>
      </c>
      <c r="AH19" s="63">
        <f t="shared" si="15"/>
        <v>707549367.27999997</v>
      </c>
      <c r="AI19" s="63">
        <f t="shared" si="15"/>
        <v>0</v>
      </c>
      <c r="AJ19" s="63">
        <f t="shared" si="15"/>
        <v>0</v>
      </c>
      <c r="AK19" s="63">
        <f t="shared" si="15"/>
        <v>0</v>
      </c>
      <c r="AL19" s="63">
        <f t="shared" si="15"/>
        <v>0</v>
      </c>
      <c r="AM19" s="63">
        <f t="shared" si="15"/>
        <v>0</v>
      </c>
      <c r="AN19" s="63">
        <f t="shared" si="15"/>
        <v>0</v>
      </c>
      <c r="AO19" s="63">
        <f t="shared" si="15"/>
        <v>0</v>
      </c>
    </row>
    <row r="20" spans="1:41" x14ac:dyDescent="0.3">
      <c r="A20" s="16" t="s">
        <v>67</v>
      </c>
      <c r="B20" s="63">
        <f t="shared" ref="B20:AC20" si="16">B21-B22</f>
        <v>0</v>
      </c>
      <c r="C20" s="63">
        <f t="shared" si="16"/>
        <v>124020372</v>
      </c>
      <c r="D20" s="63">
        <f t="shared" si="16"/>
        <v>0</v>
      </c>
      <c r="E20" s="63">
        <f t="shared" si="16"/>
        <v>0</v>
      </c>
      <c r="F20" s="63">
        <f t="shared" si="16"/>
        <v>0</v>
      </c>
      <c r="G20" s="63">
        <f t="shared" si="16"/>
        <v>0</v>
      </c>
      <c r="H20" s="63">
        <f t="shared" si="16"/>
        <v>0</v>
      </c>
      <c r="I20" s="63">
        <f t="shared" si="16"/>
        <v>0</v>
      </c>
      <c r="J20" s="63">
        <f t="shared" si="16"/>
        <v>0</v>
      </c>
      <c r="K20" s="63">
        <f t="shared" si="16"/>
        <v>0</v>
      </c>
      <c r="L20" s="63">
        <f t="shared" si="16"/>
        <v>45289828</v>
      </c>
      <c r="M20" s="63">
        <f t="shared" si="16"/>
        <v>45289828</v>
      </c>
      <c r="N20" s="63">
        <f t="shared" si="16"/>
        <v>45289828</v>
      </c>
      <c r="O20" s="63">
        <f t="shared" si="16"/>
        <v>45289828</v>
      </c>
      <c r="P20" s="63">
        <f t="shared" si="16"/>
        <v>45289828</v>
      </c>
      <c r="Q20" s="63">
        <f t="shared" si="16"/>
        <v>0</v>
      </c>
      <c r="R20" s="63">
        <f t="shared" si="16"/>
        <v>0</v>
      </c>
      <c r="S20" s="63">
        <f t="shared" si="16"/>
        <v>0</v>
      </c>
      <c r="T20" s="63">
        <f t="shared" si="16"/>
        <v>0</v>
      </c>
      <c r="U20" s="63">
        <f t="shared" si="16"/>
        <v>0</v>
      </c>
      <c r="V20" s="63">
        <f t="shared" si="16"/>
        <v>0</v>
      </c>
      <c r="W20" s="63">
        <f t="shared" si="16"/>
        <v>0</v>
      </c>
      <c r="X20" s="63">
        <f t="shared" si="16"/>
        <v>0</v>
      </c>
      <c r="Y20" s="63">
        <f t="shared" si="16"/>
        <v>0</v>
      </c>
      <c r="Z20" s="63">
        <f t="shared" si="16"/>
        <v>0</v>
      </c>
      <c r="AA20" s="63">
        <f t="shared" si="16"/>
        <v>0</v>
      </c>
      <c r="AB20" s="63">
        <f t="shared" si="16"/>
        <v>31791415</v>
      </c>
      <c r="AC20" s="63">
        <f t="shared" si="16"/>
        <v>31791415</v>
      </c>
      <c r="AD20" s="189">
        <f t="shared" ref="AD20:AO20" si="17">AD21-AD22</f>
        <v>0</v>
      </c>
      <c r="AE20" s="189">
        <f t="shared" si="17"/>
        <v>0</v>
      </c>
      <c r="AF20" s="189">
        <f t="shared" si="17"/>
        <v>0</v>
      </c>
      <c r="AG20" s="189">
        <f t="shared" si="17"/>
        <v>0</v>
      </c>
      <c r="AH20" s="63">
        <f t="shared" si="17"/>
        <v>0</v>
      </c>
      <c r="AI20" s="63">
        <f t="shared" si="17"/>
        <v>0</v>
      </c>
      <c r="AJ20" s="63">
        <f t="shared" si="17"/>
        <v>0</v>
      </c>
      <c r="AK20" s="63">
        <f t="shared" si="17"/>
        <v>0</v>
      </c>
      <c r="AL20" s="63">
        <f t="shared" si="17"/>
        <v>0</v>
      </c>
      <c r="AM20" s="63">
        <f t="shared" si="17"/>
        <v>0</v>
      </c>
      <c r="AN20" s="63">
        <f t="shared" si="17"/>
        <v>0</v>
      </c>
      <c r="AO20" s="63">
        <f t="shared" si="17"/>
        <v>0</v>
      </c>
    </row>
    <row r="21" spans="1:41" x14ac:dyDescent="0.3">
      <c r="A21" s="17" t="s">
        <v>68</v>
      </c>
      <c r="B21" s="27"/>
      <c r="C21" s="18">
        <v>124020372</v>
      </c>
      <c r="D21" s="162">
        <v>0</v>
      </c>
      <c r="E21" s="162">
        <v>0</v>
      </c>
      <c r="F21" s="162">
        <v>0</v>
      </c>
      <c r="G21" s="162">
        <v>0</v>
      </c>
      <c r="H21" s="162">
        <v>0</v>
      </c>
      <c r="I21" s="162">
        <v>0</v>
      </c>
      <c r="J21" s="162">
        <v>0</v>
      </c>
      <c r="K21" s="162">
        <v>0</v>
      </c>
      <c r="L21" s="162">
        <v>45289828</v>
      </c>
      <c r="M21" s="162">
        <v>45289828</v>
      </c>
      <c r="N21" s="162">
        <v>45289828</v>
      </c>
      <c r="O21" s="162">
        <v>45289828</v>
      </c>
      <c r="P21" s="63">
        <v>45289828</v>
      </c>
      <c r="Q21" s="162">
        <v>0</v>
      </c>
      <c r="R21" s="162">
        <v>0</v>
      </c>
      <c r="S21" s="162">
        <v>0</v>
      </c>
      <c r="T21" s="162">
        <v>0</v>
      </c>
      <c r="U21" s="162">
        <v>0</v>
      </c>
      <c r="V21" s="162">
        <v>0</v>
      </c>
      <c r="W21" s="162">
        <v>0</v>
      </c>
      <c r="X21" s="162">
        <v>0</v>
      </c>
      <c r="Y21" s="162">
        <v>0</v>
      </c>
      <c r="Z21" s="162">
        <v>0</v>
      </c>
      <c r="AA21" s="162">
        <v>0</v>
      </c>
      <c r="AB21" s="162">
        <v>31791415</v>
      </c>
      <c r="AC21" s="63">
        <v>31791415</v>
      </c>
      <c r="AD21" s="185">
        <v>0</v>
      </c>
      <c r="AE21" s="185">
        <v>0</v>
      </c>
      <c r="AF21" s="185">
        <v>0</v>
      </c>
      <c r="AG21" s="185">
        <v>0</v>
      </c>
      <c r="AH21">
        <v>0</v>
      </c>
    </row>
    <row r="22" spans="1:41" x14ac:dyDescent="0.3">
      <c r="A22" s="17" t="s">
        <v>69</v>
      </c>
      <c r="B22" s="27"/>
      <c r="C22" s="27"/>
      <c r="D22" s="162">
        <v>0</v>
      </c>
      <c r="E22" s="162">
        <v>0</v>
      </c>
      <c r="F22" s="162">
        <v>0</v>
      </c>
      <c r="G22" s="162">
        <v>0</v>
      </c>
      <c r="H22" s="162">
        <v>0</v>
      </c>
      <c r="I22" s="162">
        <v>0</v>
      </c>
      <c r="J22" s="162">
        <v>0</v>
      </c>
      <c r="K22" s="162">
        <v>0</v>
      </c>
      <c r="L22" s="162">
        <v>0</v>
      </c>
      <c r="M22" s="162">
        <v>0</v>
      </c>
      <c r="N22" s="162">
        <v>0</v>
      </c>
      <c r="O22" s="162">
        <v>0</v>
      </c>
      <c r="Q22" s="162">
        <v>0</v>
      </c>
      <c r="R22" s="162">
        <v>0</v>
      </c>
      <c r="S22" s="162">
        <v>0</v>
      </c>
      <c r="T22" s="162">
        <v>0</v>
      </c>
      <c r="U22" s="162">
        <v>0</v>
      </c>
      <c r="V22" s="162">
        <v>0</v>
      </c>
      <c r="W22" s="162">
        <v>0</v>
      </c>
      <c r="X22" s="162">
        <v>0</v>
      </c>
      <c r="Y22" s="162">
        <v>0</v>
      </c>
      <c r="Z22" s="162">
        <v>0</v>
      </c>
      <c r="AA22" s="162">
        <v>0</v>
      </c>
      <c r="AB22" s="162">
        <v>0</v>
      </c>
      <c r="AD22" s="185">
        <v>0</v>
      </c>
      <c r="AE22" s="185">
        <v>0</v>
      </c>
      <c r="AF22" s="185">
        <v>0</v>
      </c>
      <c r="AG22" s="185">
        <v>0</v>
      </c>
      <c r="AH22">
        <v>0</v>
      </c>
    </row>
    <row r="23" spans="1:41" x14ac:dyDescent="0.3">
      <c r="A23" s="16" t="s">
        <v>70</v>
      </c>
      <c r="B23" s="63">
        <f t="shared" ref="B23:AO23" si="18">SUM(B24:B28)</f>
        <v>11019.3799</v>
      </c>
      <c r="C23" s="63">
        <f t="shared" si="18"/>
        <v>558837310</v>
      </c>
      <c r="D23" s="63">
        <f t="shared" si="18"/>
        <v>32772520.550000001</v>
      </c>
      <c r="E23" s="63">
        <f t="shared" si="18"/>
        <v>79332679.400000006</v>
      </c>
      <c r="F23" s="63">
        <f t="shared" si="18"/>
        <v>123544453.69</v>
      </c>
      <c r="G23" s="63">
        <f t="shared" si="18"/>
        <v>169789978.29000002</v>
      </c>
      <c r="H23" s="63">
        <f t="shared" si="18"/>
        <v>215306911.16</v>
      </c>
      <c r="I23" s="63">
        <f t="shared" si="18"/>
        <v>257624368.34000003</v>
      </c>
      <c r="J23" s="63">
        <f t="shared" si="18"/>
        <v>295790301.61000001</v>
      </c>
      <c r="K23" s="63">
        <f t="shared" si="18"/>
        <v>333293912.53000003</v>
      </c>
      <c r="L23" s="63">
        <f t="shared" si="18"/>
        <v>394834773.11000001</v>
      </c>
      <c r="M23" s="63">
        <f t="shared" si="18"/>
        <v>443156709.45000005</v>
      </c>
      <c r="N23" s="63">
        <f t="shared" si="18"/>
        <v>504546337.67999995</v>
      </c>
      <c r="O23" s="63">
        <f t="shared" si="18"/>
        <v>566089884.67999995</v>
      </c>
      <c r="P23" s="63">
        <f t="shared" si="18"/>
        <v>656767522</v>
      </c>
      <c r="Q23" s="63">
        <f t="shared" si="18"/>
        <v>34543287.550000004</v>
      </c>
      <c r="R23" s="63">
        <f t="shared" si="18"/>
        <v>91564695.450000003</v>
      </c>
      <c r="S23" s="63">
        <f t="shared" si="18"/>
        <v>153881747.87</v>
      </c>
      <c r="T23" s="63">
        <f t="shared" si="18"/>
        <v>196507242.09</v>
      </c>
      <c r="U23" s="63">
        <f t="shared" si="18"/>
        <v>243557291.27999997</v>
      </c>
      <c r="V23" s="63">
        <f t="shared" si="18"/>
        <v>299048893.88</v>
      </c>
      <c r="W23" s="63">
        <f t="shared" si="18"/>
        <v>367952074.66999996</v>
      </c>
      <c r="X23" s="63">
        <f t="shared" si="18"/>
        <v>407361243.30000001</v>
      </c>
      <c r="Y23" s="63">
        <f t="shared" si="18"/>
        <v>469505884.97000003</v>
      </c>
      <c r="Z23" s="63">
        <f t="shared" si="18"/>
        <v>514972694.69</v>
      </c>
      <c r="AA23" s="63">
        <f t="shared" si="18"/>
        <v>586386002.03999996</v>
      </c>
      <c r="AB23" s="63">
        <f t="shared" si="18"/>
        <v>672968820.13999999</v>
      </c>
      <c r="AC23" s="63">
        <f t="shared" si="18"/>
        <v>777259444</v>
      </c>
      <c r="AD23" s="189">
        <f t="shared" si="18"/>
        <v>34664361.57</v>
      </c>
      <c r="AE23" s="189">
        <f t="shared" si="18"/>
        <v>84404958.909999996</v>
      </c>
      <c r="AF23" s="189">
        <f t="shared" si="18"/>
        <v>158400645.72</v>
      </c>
      <c r="AG23" s="189">
        <f t="shared" si="18"/>
        <v>209442482.25999999</v>
      </c>
      <c r="AH23" s="63">
        <f t="shared" si="18"/>
        <v>262237703.02000001</v>
      </c>
      <c r="AI23" s="63">
        <f t="shared" si="18"/>
        <v>0</v>
      </c>
      <c r="AJ23" s="63">
        <f t="shared" si="18"/>
        <v>0</v>
      </c>
      <c r="AK23" s="63">
        <f t="shared" si="18"/>
        <v>0</v>
      </c>
      <c r="AL23" s="63">
        <f t="shared" si="18"/>
        <v>0</v>
      </c>
      <c r="AM23" s="63">
        <f t="shared" si="18"/>
        <v>0</v>
      </c>
      <c r="AN23" s="63">
        <f t="shared" si="18"/>
        <v>0</v>
      </c>
      <c r="AO23" s="63">
        <f t="shared" si="18"/>
        <v>0</v>
      </c>
    </row>
    <row r="24" spans="1:41" x14ac:dyDescent="0.3">
      <c r="A24" s="17" t="s">
        <v>71</v>
      </c>
      <c r="B24" s="27">
        <v>3512.444</v>
      </c>
      <c r="C24" s="18"/>
      <c r="D24" s="162">
        <v>14222701</v>
      </c>
      <c r="E24" s="162">
        <v>28370050.699999999</v>
      </c>
      <c r="F24" s="162">
        <v>43250902.700000003</v>
      </c>
      <c r="G24" s="162">
        <v>59156047.399999999</v>
      </c>
      <c r="H24" s="162">
        <v>74207151.700000003</v>
      </c>
      <c r="I24" s="162">
        <v>88794975.400000006</v>
      </c>
      <c r="J24" s="162">
        <v>103495821.90000001</v>
      </c>
      <c r="K24" s="162">
        <v>118479899.90000001</v>
      </c>
      <c r="L24" s="162">
        <v>133069658.40000001</v>
      </c>
      <c r="M24" s="162">
        <v>148090620</v>
      </c>
      <c r="N24" s="162">
        <v>165472912.5</v>
      </c>
      <c r="O24" s="162">
        <v>177372879.5</v>
      </c>
      <c r="P24" s="174">
        <v>220750933</v>
      </c>
      <c r="Q24" s="162">
        <v>16119957.300000001</v>
      </c>
      <c r="R24" s="162">
        <v>30407281.100000001</v>
      </c>
      <c r="S24" s="162">
        <v>46101450.799999997</v>
      </c>
      <c r="T24" s="162">
        <v>62236071.700000003</v>
      </c>
      <c r="U24" s="162">
        <v>77918820.799999997</v>
      </c>
      <c r="V24" s="162">
        <v>94001228</v>
      </c>
      <c r="W24" s="162">
        <v>109838003.2</v>
      </c>
      <c r="X24" s="162">
        <v>125998313.3</v>
      </c>
      <c r="Y24" s="162">
        <v>141954499.5</v>
      </c>
      <c r="Z24" s="162">
        <v>157637083.69999999</v>
      </c>
      <c r="AA24" s="162">
        <v>173612456.90000001</v>
      </c>
      <c r="AB24" s="162">
        <v>190648396.90000001</v>
      </c>
      <c r="AC24" s="167">
        <v>243081233</v>
      </c>
      <c r="AD24" s="185">
        <v>19897376.899999999</v>
      </c>
      <c r="AE24" s="185">
        <v>41834177.600000001</v>
      </c>
      <c r="AF24" s="185">
        <v>65347695.399999999</v>
      </c>
      <c r="AG24" s="185">
        <v>95803226.299999997</v>
      </c>
      <c r="AH24" s="196">
        <v>122342932.90000001</v>
      </c>
    </row>
    <row r="25" spans="1:41" x14ac:dyDescent="0.3">
      <c r="A25" s="17" t="s">
        <v>72</v>
      </c>
      <c r="B25" s="27">
        <v>401.87299999999999</v>
      </c>
      <c r="C25" s="18">
        <v>70898673</v>
      </c>
      <c r="D25" s="162">
        <v>2963220</v>
      </c>
      <c r="E25" s="162">
        <v>15650145</v>
      </c>
      <c r="F25" s="162">
        <v>22485095</v>
      </c>
      <c r="G25" s="162">
        <v>35159870</v>
      </c>
      <c r="H25" s="162">
        <v>49093785</v>
      </c>
      <c r="I25" s="162">
        <v>53463598</v>
      </c>
      <c r="J25" s="162">
        <v>57537097.5</v>
      </c>
      <c r="K25" s="162">
        <v>60109630.5</v>
      </c>
      <c r="L25" s="162">
        <v>66349021.5</v>
      </c>
      <c r="M25" s="162">
        <v>74999338.5</v>
      </c>
      <c r="N25" s="162">
        <v>84053664.5</v>
      </c>
      <c r="O25" s="162">
        <v>91975794.5</v>
      </c>
      <c r="P25" s="174">
        <v>100129831</v>
      </c>
      <c r="Q25" s="162">
        <v>3441442</v>
      </c>
      <c r="R25" s="162">
        <v>14046428</v>
      </c>
      <c r="S25" s="162">
        <v>40051679</v>
      </c>
      <c r="T25" s="162">
        <v>44895468.5</v>
      </c>
      <c r="U25" s="162">
        <v>56076385.219999999</v>
      </c>
      <c r="V25" s="162">
        <v>71686980.390000001</v>
      </c>
      <c r="W25" s="162">
        <v>76376207.560000002</v>
      </c>
      <c r="X25" s="162">
        <v>81322876.180000007</v>
      </c>
      <c r="Y25" s="162">
        <v>88354199.980000004</v>
      </c>
      <c r="Z25" s="162">
        <v>98829243.780000001</v>
      </c>
      <c r="AA25" s="162">
        <v>102472702.78</v>
      </c>
      <c r="AB25" s="162">
        <v>114938762.78</v>
      </c>
      <c r="AC25" s="167">
        <v>123355210</v>
      </c>
      <c r="AD25" s="185">
        <v>2055432.5</v>
      </c>
      <c r="AE25" s="185">
        <v>8043470</v>
      </c>
      <c r="AF25" s="185">
        <v>41414447.840000004</v>
      </c>
      <c r="AG25" s="185">
        <v>48922661.840000004</v>
      </c>
      <c r="AH25" s="198">
        <v>56186027</v>
      </c>
    </row>
    <row r="26" spans="1:41" x14ac:dyDescent="0.3">
      <c r="A26" s="17" t="s">
        <v>73</v>
      </c>
      <c r="B26" s="27">
        <v>919.3528</v>
      </c>
      <c r="C26" s="18"/>
      <c r="D26" s="162">
        <v>2636960</v>
      </c>
      <c r="E26" s="162">
        <v>5503272</v>
      </c>
      <c r="F26" s="162">
        <v>6852069</v>
      </c>
      <c r="G26" s="162">
        <v>8508420.8000000007</v>
      </c>
      <c r="H26" s="162">
        <v>10134082.6</v>
      </c>
      <c r="I26" s="162">
        <v>12029464.800000001</v>
      </c>
      <c r="J26" s="162">
        <v>13964787.800000001</v>
      </c>
      <c r="K26" s="162">
        <v>16512543.800000001</v>
      </c>
      <c r="L26" s="162">
        <v>18964130.800000001</v>
      </c>
      <c r="M26" s="162">
        <v>22326012.800000001</v>
      </c>
      <c r="N26" s="162">
        <v>24293930.84</v>
      </c>
      <c r="O26" s="162">
        <v>27222379.84</v>
      </c>
      <c r="P26" s="174">
        <v>27222380</v>
      </c>
      <c r="Q26" s="162">
        <v>3647242.6</v>
      </c>
      <c r="R26" s="162">
        <v>10545703.6</v>
      </c>
      <c r="S26" s="162">
        <v>14024415.6</v>
      </c>
      <c r="T26" s="162">
        <v>15926397.59</v>
      </c>
      <c r="U26" s="162">
        <v>19803981.59</v>
      </c>
      <c r="V26" s="162">
        <v>24573770.59</v>
      </c>
      <c r="W26" s="162">
        <v>39062520.509999998</v>
      </c>
      <c r="X26" s="162">
        <v>40674297.509999998</v>
      </c>
      <c r="Y26" s="162">
        <v>44652147.509999998</v>
      </c>
      <c r="Z26" s="162">
        <v>47596801.509999998</v>
      </c>
      <c r="AA26" s="162">
        <v>51495359.509999998</v>
      </c>
      <c r="AB26" s="162">
        <v>60839010.57</v>
      </c>
      <c r="AC26" s="167">
        <v>60839011</v>
      </c>
      <c r="AD26" s="185">
        <v>871431</v>
      </c>
      <c r="AE26" s="185">
        <v>5942602</v>
      </c>
      <c r="AF26" s="185">
        <v>11220630</v>
      </c>
      <c r="AG26" s="185">
        <v>13069565</v>
      </c>
      <c r="AH26" s="198">
        <v>14360272</v>
      </c>
    </row>
    <row r="27" spans="1:41" x14ac:dyDescent="0.3">
      <c r="A27" s="17" t="s">
        <v>74</v>
      </c>
      <c r="B27" s="27">
        <v>1276.981</v>
      </c>
      <c r="C27" s="18">
        <v>141444688</v>
      </c>
      <c r="D27" s="162">
        <v>0</v>
      </c>
      <c r="E27" s="162">
        <v>0</v>
      </c>
      <c r="F27" s="162">
        <v>0</v>
      </c>
      <c r="G27" s="162">
        <v>0</v>
      </c>
      <c r="H27" s="162">
        <v>0</v>
      </c>
      <c r="I27" s="162">
        <v>0</v>
      </c>
      <c r="J27" s="162">
        <v>0</v>
      </c>
      <c r="K27" s="162">
        <v>0</v>
      </c>
      <c r="L27" s="162">
        <v>0</v>
      </c>
      <c r="M27" s="162">
        <v>0</v>
      </c>
      <c r="N27" s="162">
        <v>0</v>
      </c>
      <c r="O27" s="162">
        <v>29874015</v>
      </c>
      <c r="P27" s="167">
        <f>33747170+8247414+15440981</f>
        <v>57435565</v>
      </c>
      <c r="Q27" s="162">
        <v>0</v>
      </c>
      <c r="R27" s="162">
        <v>0</v>
      </c>
      <c r="S27" s="162">
        <v>0</v>
      </c>
      <c r="T27" s="162">
        <v>0</v>
      </c>
      <c r="U27" s="162">
        <v>0</v>
      </c>
      <c r="V27" s="162">
        <v>0</v>
      </c>
      <c r="W27" s="162">
        <v>0</v>
      </c>
      <c r="X27" s="162">
        <v>0</v>
      </c>
      <c r="Y27" s="162">
        <v>0</v>
      </c>
      <c r="Z27" s="162">
        <v>0</v>
      </c>
      <c r="AA27" s="162">
        <v>0</v>
      </c>
      <c r="AB27" s="162">
        <v>56658960</v>
      </c>
      <c r="AC27" s="167">
        <f>34327060+6890919+15440981</f>
        <v>56658960</v>
      </c>
      <c r="AD27" s="185">
        <v>0</v>
      </c>
      <c r="AE27" s="185">
        <v>0</v>
      </c>
      <c r="AF27" s="185">
        <v>0</v>
      </c>
      <c r="AG27" s="185">
        <v>0</v>
      </c>
      <c r="AH27" s="197">
        <v>0</v>
      </c>
    </row>
    <row r="28" spans="1:41" x14ac:dyDescent="0.3">
      <c r="A28" s="17" t="s">
        <v>75</v>
      </c>
      <c r="B28" s="27">
        <v>4908.7290999999996</v>
      </c>
      <c r="C28" s="18">
        <f>346493949</f>
        <v>346493949</v>
      </c>
      <c r="D28" s="162">
        <v>12949639.550000001</v>
      </c>
      <c r="E28" s="162">
        <v>29809211.699999999</v>
      </c>
      <c r="F28" s="162">
        <v>50956386.990000002</v>
      </c>
      <c r="G28" s="162">
        <v>66965640.090000004</v>
      </c>
      <c r="H28" s="162">
        <v>81871891.859999999</v>
      </c>
      <c r="I28" s="162">
        <v>103336330.14</v>
      </c>
      <c r="J28" s="162">
        <v>120792594.41</v>
      </c>
      <c r="K28" s="162">
        <v>138191838.33000001</v>
      </c>
      <c r="L28" s="162">
        <v>176451962.41</v>
      </c>
      <c r="M28" s="162">
        <v>197740738.15000001</v>
      </c>
      <c r="N28" s="162">
        <v>230725829.84</v>
      </c>
      <c r="O28" s="162">
        <v>239644815.84</v>
      </c>
      <c r="P28" s="167">
        <f>412726624-P17-P26-P24-P36+2981166+2111587+17047336+10894672+16547653+8091672+51939062</f>
        <v>251228813</v>
      </c>
      <c r="Q28" s="162">
        <v>11334645.65</v>
      </c>
      <c r="R28" s="162">
        <v>36565282.75</v>
      </c>
      <c r="S28" s="162">
        <v>53704202.469999999</v>
      </c>
      <c r="T28" s="162">
        <v>73449304.299999997</v>
      </c>
      <c r="U28" s="162">
        <v>89758103.670000002</v>
      </c>
      <c r="V28" s="162">
        <v>108786914.90000001</v>
      </c>
      <c r="W28" s="162">
        <v>142675343.40000001</v>
      </c>
      <c r="X28" s="162">
        <v>159365756.31</v>
      </c>
      <c r="Y28" s="162">
        <v>194545037.97999999</v>
      </c>
      <c r="Z28" s="162">
        <v>210909565.69999999</v>
      </c>
      <c r="AA28" s="162">
        <v>258805482.84999999</v>
      </c>
      <c r="AB28" s="162">
        <v>249883689.88999999</v>
      </c>
      <c r="AC28" s="167">
        <f>473850763-AC17-AC26-AC24-AC36+342370+4640557+16344651+12260743+16874344+7637690+76952288</f>
        <v>293325030</v>
      </c>
      <c r="AD28" s="185">
        <v>11840121.17</v>
      </c>
      <c r="AE28" s="185">
        <v>28584709.309999999</v>
      </c>
      <c r="AF28" s="185">
        <v>40417872.479999997</v>
      </c>
      <c r="AG28" s="185">
        <v>51647029.119999997</v>
      </c>
      <c r="AH28" s="198">
        <v>69348471.120000005</v>
      </c>
    </row>
    <row r="29" spans="1:41" x14ac:dyDescent="0.3">
      <c r="A29" s="16" t="s">
        <v>76</v>
      </c>
      <c r="B29" s="63">
        <f t="shared" ref="B29:G29" si="19">B19-B20-B23</f>
        <v>3030.7829468990003</v>
      </c>
      <c r="C29" s="63">
        <f t="shared" si="19"/>
        <v>363399347</v>
      </c>
      <c r="D29" s="63">
        <f t="shared" si="19"/>
        <v>79660495.38000001</v>
      </c>
      <c r="E29" s="63">
        <f t="shared" si="19"/>
        <v>142075094.15000001</v>
      </c>
      <c r="F29" s="63">
        <f t="shared" si="19"/>
        <v>218641505.96000004</v>
      </c>
      <c r="G29" s="63">
        <f t="shared" si="19"/>
        <v>304394685.92999989</v>
      </c>
      <c r="H29" s="63">
        <f t="shared" ref="H29" si="20">H19-H20-H23</f>
        <v>384735698.60000002</v>
      </c>
      <c r="I29" s="63">
        <f>I19-I20-I23</f>
        <v>460696654.26999986</v>
      </c>
      <c r="J29" s="63">
        <f>J19-J20-J23</f>
        <v>573665442.9000001</v>
      </c>
      <c r="K29" s="63">
        <f>K19-K20-K23</f>
        <v>673737832.78999972</v>
      </c>
      <c r="L29" s="63">
        <f t="shared" ref="L29:AC29" si="21">L19-L20-L23</f>
        <v>707556610.40000021</v>
      </c>
      <c r="M29" s="63">
        <f t="shared" si="21"/>
        <v>782978416.00999975</v>
      </c>
      <c r="N29" s="63">
        <f t="shared" si="21"/>
        <v>872845507.56000006</v>
      </c>
      <c r="O29" s="63">
        <f t="shared" si="21"/>
        <v>934026889.31000006</v>
      </c>
      <c r="P29" s="63">
        <f t="shared" si="21"/>
        <v>492452761</v>
      </c>
      <c r="Q29" s="63">
        <f t="shared" si="21"/>
        <v>82950292.659999996</v>
      </c>
      <c r="R29" s="63">
        <f t="shared" si="21"/>
        <v>154457396.61000001</v>
      </c>
      <c r="S29" s="63">
        <f t="shared" si="21"/>
        <v>229930403.5</v>
      </c>
      <c r="T29" s="63">
        <f t="shared" si="21"/>
        <v>329777335.60000002</v>
      </c>
      <c r="U29" s="63">
        <f t="shared" si="21"/>
        <v>421543068.6400001</v>
      </c>
      <c r="V29" s="63">
        <f t="shared" si="21"/>
        <v>501665326.13000011</v>
      </c>
      <c r="W29" s="63">
        <f t="shared" si="21"/>
        <v>561297290.00999999</v>
      </c>
      <c r="X29" s="63">
        <f t="shared" si="21"/>
        <v>656943021.11999989</v>
      </c>
      <c r="Y29" s="63">
        <f t="shared" si="21"/>
        <v>729990367.53999996</v>
      </c>
      <c r="Z29" s="63">
        <f t="shared" si="21"/>
        <v>822826258.19999981</v>
      </c>
      <c r="AA29" s="63">
        <f t="shared" si="21"/>
        <v>896320006.98000002</v>
      </c>
      <c r="AB29" s="63">
        <f t="shared" si="21"/>
        <v>890320530.93000019</v>
      </c>
      <c r="AC29" s="63">
        <f t="shared" si="21"/>
        <v>418166532</v>
      </c>
      <c r="AD29" s="189">
        <f t="shared" ref="AD29:AO29" si="22">AD19-AD20-AD23</f>
        <v>111674370.74000001</v>
      </c>
      <c r="AE29" s="189">
        <f t="shared" si="22"/>
        <v>191314459.89000002</v>
      </c>
      <c r="AF29" s="189">
        <f t="shared" si="22"/>
        <v>267045468.29999998</v>
      </c>
      <c r="AG29" s="189">
        <f t="shared" si="22"/>
        <v>359500640.92000008</v>
      </c>
      <c r="AH29" s="63">
        <f t="shared" si="22"/>
        <v>445311664.25999999</v>
      </c>
      <c r="AI29" s="63">
        <f t="shared" si="22"/>
        <v>0</v>
      </c>
      <c r="AJ29" s="63">
        <f t="shared" si="22"/>
        <v>0</v>
      </c>
      <c r="AK29" s="63">
        <f t="shared" si="22"/>
        <v>0</v>
      </c>
      <c r="AL29" s="63">
        <f t="shared" si="22"/>
        <v>0</v>
      </c>
      <c r="AM29" s="63">
        <f t="shared" si="22"/>
        <v>0</v>
      </c>
      <c r="AN29" s="63">
        <f t="shared" si="22"/>
        <v>0</v>
      </c>
      <c r="AO29" s="63">
        <f t="shared" si="22"/>
        <v>0</v>
      </c>
    </row>
    <row r="30" spans="1:41" x14ac:dyDescent="0.3">
      <c r="A30" s="16" t="s">
        <v>77</v>
      </c>
      <c r="B30" s="63">
        <f t="shared" ref="B30:AC30" si="23">B31-B32</f>
        <v>0</v>
      </c>
      <c r="C30" s="63">
        <f t="shared" si="23"/>
        <v>0</v>
      </c>
      <c r="D30" s="63">
        <f t="shared" si="23"/>
        <v>0</v>
      </c>
      <c r="E30" s="63">
        <f t="shared" si="23"/>
        <v>0</v>
      </c>
      <c r="F30" s="63">
        <f t="shared" si="23"/>
        <v>0</v>
      </c>
      <c r="G30" s="63">
        <f t="shared" si="23"/>
        <v>0</v>
      </c>
      <c r="H30" s="63">
        <f t="shared" si="23"/>
        <v>0</v>
      </c>
      <c r="I30" s="63">
        <f t="shared" si="23"/>
        <v>0</v>
      </c>
      <c r="J30" s="63">
        <f t="shared" si="23"/>
        <v>0</v>
      </c>
      <c r="K30" s="63">
        <f t="shared" si="23"/>
        <v>0</v>
      </c>
      <c r="L30" s="63">
        <f t="shared" si="23"/>
        <v>0</v>
      </c>
      <c r="M30" s="63">
        <f t="shared" si="23"/>
        <v>0</v>
      </c>
      <c r="N30" s="63">
        <f t="shared" si="23"/>
        <v>0</v>
      </c>
      <c r="O30" s="63">
        <f t="shared" si="23"/>
        <v>0</v>
      </c>
      <c r="P30" s="63">
        <f t="shared" si="23"/>
        <v>0</v>
      </c>
      <c r="Q30" s="63">
        <f t="shared" si="23"/>
        <v>0</v>
      </c>
      <c r="R30" s="63">
        <f t="shared" si="23"/>
        <v>0</v>
      </c>
      <c r="S30" s="63">
        <f t="shared" si="23"/>
        <v>0</v>
      </c>
      <c r="T30" s="63">
        <f t="shared" si="23"/>
        <v>0</v>
      </c>
      <c r="U30" s="63">
        <f t="shared" si="23"/>
        <v>0</v>
      </c>
      <c r="V30" s="63">
        <f t="shared" si="23"/>
        <v>0</v>
      </c>
      <c r="W30" s="63">
        <f t="shared" si="23"/>
        <v>0</v>
      </c>
      <c r="X30" s="63">
        <f t="shared" si="23"/>
        <v>0</v>
      </c>
      <c r="Y30" s="63">
        <f t="shared" si="23"/>
        <v>0</v>
      </c>
      <c r="Z30" s="63">
        <f t="shared" si="23"/>
        <v>0</v>
      </c>
      <c r="AA30" s="63">
        <f t="shared" si="23"/>
        <v>0</v>
      </c>
      <c r="AB30" s="63">
        <f t="shared" si="23"/>
        <v>240000</v>
      </c>
      <c r="AC30" s="63">
        <f t="shared" si="23"/>
        <v>0</v>
      </c>
      <c r="AD30" s="189">
        <f t="shared" ref="AD30:AO30" si="24">AD31-AD32</f>
        <v>0</v>
      </c>
      <c r="AE30" s="189">
        <f t="shared" si="24"/>
        <v>0</v>
      </c>
      <c r="AF30" s="189">
        <f t="shared" si="24"/>
        <v>0</v>
      </c>
      <c r="AG30" s="189">
        <f t="shared" si="24"/>
        <v>0</v>
      </c>
      <c r="AH30" s="63">
        <f t="shared" si="24"/>
        <v>724000</v>
      </c>
      <c r="AI30" s="63">
        <f t="shared" si="24"/>
        <v>0</v>
      </c>
      <c r="AJ30" s="63">
        <f t="shared" si="24"/>
        <v>0</v>
      </c>
      <c r="AK30" s="63">
        <f t="shared" si="24"/>
        <v>0</v>
      </c>
      <c r="AL30" s="63">
        <f t="shared" si="24"/>
        <v>0</v>
      </c>
      <c r="AM30" s="63">
        <f t="shared" si="24"/>
        <v>0</v>
      </c>
      <c r="AN30" s="63">
        <f t="shared" si="24"/>
        <v>0</v>
      </c>
      <c r="AO30" s="63">
        <f t="shared" si="24"/>
        <v>0</v>
      </c>
    </row>
    <row r="31" spans="1:41" x14ac:dyDescent="0.3">
      <c r="A31" s="17" t="s">
        <v>78</v>
      </c>
      <c r="B31" s="27"/>
      <c r="C31" s="27"/>
      <c r="D31" s="162">
        <v>0</v>
      </c>
      <c r="E31" s="162">
        <v>0</v>
      </c>
      <c r="F31" s="162">
        <v>0</v>
      </c>
      <c r="G31" s="162">
        <v>0</v>
      </c>
      <c r="H31" s="162">
        <v>0</v>
      </c>
      <c r="I31" s="162">
        <v>0</v>
      </c>
      <c r="J31" s="162">
        <v>0</v>
      </c>
      <c r="K31" s="162">
        <v>0</v>
      </c>
      <c r="L31" s="162">
        <v>0</v>
      </c>
      <c r="M31" s="162">
        <v>0</v>
      </c>
      <c r="N31" s="162">
        <v>0</v>
      </c>
      <c r="O31" s="162">
        <v>0</v>
      </c>
      <c r="Q31" s="162">
        <v>0</v>
      </c>
      <c r="R31" s="162">
        <v>0</v>
      </c>
      <c r="S31" s="162">
        <v>0</v>
      </c>
      <c r="T31" s="162">
        <v>0</v>
      </c>
      <c r="U31" s="162">
        <v>0</v>
      </c>
      <c r="V31" s="162">
        <v>0</v>
      </c>
      <c r="W31" s="162">
        <v>0</v>
      </c>
      <c r="X31" s="162">
        <v>0</v>
      </c>
      <c r="Y31" s="162">
        <v>0</v>
      </c>
      <c r="Z31" s="162">
        <v>0</v>
      </c>
      <c r="AA31" s="162">
        <v>0</v>
      </c>
      <c r="AB31" s="162">
        <v>240000</v>
      </c>
      <c r="AD31" s="185">
        <v>0</v>
      </c>
      <c r="AE31" s="185">
        <v>0</v>
      </c>
      <c r="AF31" s="185">
        <v>0</v>
      </c>
      <c r="AG31" s="185">
        <v>0</v>
      </c>
      <c r="AH31" s="196">
        <v>724000</v>
      </c>
    </row>
    <row r="32" spans="1:41" x14ac:dyDescent="0.3">
      <c r="A32" s="17" t="s">
        <v>79</v>
      </c>
      <c r="B32" s="27"/>
      <c r="C32" s="27"/>
      <c r="D32" s="162">
        <v>0</v>
      </c>
      <c r="E32" s="162">
        <v>0</v>
      </c>
      <c r="F32" s="162">
        <v>0</v>
      </c>
      <c r="G32" s="162">
        <v>0</v>
      </c>
      <c r="H32" s="162">
        <v>0</v>
      </c>
      <c r="I32" s="162">
        <v>0</v>
      </c>
      <c r="J32" s="162">
        <v>0</v>
      </c>
      <c r="K32" s="162">
        <v>0</v>
      </c>
      <c r="L32" s="162">
        <v>0</v>
      </c>
      <c r="M32" s="162">
        <v>0</v>
      </c>
      <c r="N32" s="162">
        <v>0</v>
      </c>
      <c r="O32" s="162">
        <v>0</v>
      </c>
      <c r="Q32" s="162">
        <v>0</v>
      </c>
      <c r="R32" s="162">
        <v>0</v>
      </c>
      <c r="S32" s="162">
        <v>0</v>
      </c>
      <c r="T32" s="162">
        <v>0</v>
      </c>
      <c r="U32" s="162">
        <v>0</v>
      </c>
      <c r="V32" s="162">
        <v>0</v>
      </c>
      <c r="W32" s="162">
        <v>0</v>
      </c>
      <c r="X32" s="162">
        <v>0</v>
      </c>
      <c r="Y32" s="162">
        <v>0</v>
      </c>
      <c r="Z32" s="162">
        <v>0</v>
      </c>
      <c r="AA32" s="162">
        <v>0</v>
      </c>
      <c r="AB32" s="162">
        <v>0</v>
      </c>
      <c r="AD32" s="185">
        <v>0</v>
      </c>
      <c r="AE32" s="185">
        <v>0</v>
      </c>
      <c r="AF32" s="185">
        <v>0</v>
      </c>
      <c r="AG32" s="185">
        <v>0</v>
      </c>
      <c r="AH32" s="197">
        <v>0</v>
      </c>
    </row>
    <row r="33" spans="1:41" x14ac:dyDescent="0.3">
      <c r="A33" s="19" t="s">
        <v>80</v>
      </c>
      <c r="B33" s="64">
        <f t="shared" ref="B33:AO33" si="25">B29+B30</f>
        <v>3030.7829468990003</v>
      </c>
      <c r="C33" s="64">
        <f t="shared" si="25"/>
        <v>363399347</v>
      </c>
      <c r="D33" s="64">
        <f t="shared" si="25"/>
        <v>79660495.38000001</v>
      </c>
      <c r="E33" s="64">
        <f t="shared" si="25"/>
        <v>142075094.15000001</v>
      </c>
      <c r="F33" s="64">
        <f t="shared" si="25"/>
        <v>218641505.96000004</v>
      </c>
      <c r="G33" s="64">
        <f t="shared" si="25"/>
        <v>304394685.92999989</v>
      </c>
      <c r="H33" s="64">
        <f t="shared" si="25"/>
        <v>384735698.60000002</v>
      </c>
      <c r="I33" s="64">
        <f t="shared" si="25"/>
        <v>460696654.26999986</v>
      </c>
      <c r="J33" s="64">
        <f t="shared" si="25"/>
        <v>573665442.9000001</v>
      </c>
      <c r="K33" s="64">
        <f t="shared" si="25"/>
        <v>673737832.78999972</v>
      </c>
      <c r="L33" s="64">
        <f t="shared" si="25"/>
        <v>707556610.40000021</v>
      </c>
      <c r="M33" s="64">
        <f t="shared" si="25"/>
        <v>782978416.00999975</v>
      </c>
      <c r="N33" s="64">
        <f t="shared" si="25"/>
        <v>872845507.56000006</v>
      </c>
      <c r="O33" s="64">
        <f t="shared" si="25"/>
        <v>934026889.31000006</v>
      </c>
      <c r="P33" s="64">
        <f t="shared" si="25"/>
        <v>492452761</v>
      </c>
      <c r="Q33" s="64">
        <f t="shared" si="25"/>
        <v>82950292.659999996</v>
      </c>
      <c r="R33" s="64">
        <f t="shared" si="25"/>
        <v>154457396.61000001</v>
      </c>
      <c r="S33" s="64">
        <f t="shared" si="25"/>
        <v>229930403.5</v>
      </c>
      <c r="T33" s="64">
        <f t="shared" si="25"/>
        <v>329777335.60000002</v>
      </c>
      <c r="U33" s="64">
        <f t="shared" si="25"/>
        <v>421543068.6400001</v>
      </c>
      <c r="V33" s="64">
        <f t="shared" si="25"/>
        <v>501665326.13000011</v>
      </c>
      <c r="W33" s="64">
        <f t="shared" si="25"/>
        <v>561297290.00999999</v>
      </c>
      <c r="X33" s="64">
        <f t="shared" si="25"/>
        <v>656943021.11999989</v>
      </c>
      <c r="Y33" s="64">
        <f t="shared" si="25"/>
        <v>729990367.53999996</v>
      </c>
      <c r="Z33" s="64">
        <f t="shared" si="25"/>
        <v>822826258.19999981</v>
      </c>
      <c r="AA33" s="64">
        <f t="shared" si="25"/>
        <v>896320006.98000002</v>
      </c>
      <c r="AB33" s="64">
        <f t="shared" si="25"/>
        <v>890560530.93000019</v>
      </c>
      <c r="AC33" s="64">
        <f t="shared" si="25"/>
        <v>418166532</v>
      </c>
      <c r="AD33" s="190">
        <f t="shared" si="25"/>
        <v>111674370.74000001</v>
      </c>
      <c r="AE33" s="190">
        <f t="shared" si="25"/>
        <v>191314459.89000002</v>
      </c>
      <c r="AF33" s="190">
        <f t="shared" si="25"/>
        <v>267045468.29999998</v>
      </c>
      <c r="AG33" s="190">
        <f t="shared" si="25"/>
        <v>359500640.92000008</v>
      </c>
      <c r="AH33" s="64">
        <f t="shared" si="25"/>
        <v>446035664.25999999</v>
      </c>
      <c r="AI33" s="64">
        <f t="shared" si="25"/>
        <v>0</v>
      </c>
      <c r="AJ33" s="64">
        <f t="shared" si="25"/>
        <v>0</v>
      </c>
      <c r="AK33" s="64">
        <f t="shared" si="25"/>
        <v>0</v>
      </c>
      <c r="AL33" s="64">
        <f t="shared" si="25"/>
        <v>0</v>
      </c>
      <c r="AM33" s="64">
        <f t="shared" si="25"/>
        <v>0</v>
      </c>
      <c r="AN33" s="64">
        <f t="shared" si="25"/>
        <v>0</v>
      </c>
      <c r="AO33" s="64">
        <f t="shared" si="25"/>
        <v>0</v>
      </c>
    </row>
    <row r="34" spans="1:41" x14ac:dyDescent="0.3">
      <c r="A34" s="17" t="s">
        <v>81</v>
      </c>
      <c r="B34" s="27">
        <v>20</v>
      </c>
      <c r="C34" s="18">
        <v>5713437</v>
      </c>
      <c r="D34" s="162">
        <v>0</v>
      </c>
      <c r="E34" s="162">
        <v>0</v>
      </c>
      <c r="F34" s="162">
        <v>0</v>
      </c>
      <c r="G34" s="162">
        <v>0</v>
      </c>
      <c r="H34" s="162">
        <v>0</v>
      </c>
      <c r="I34" s="162">
        <v>0</v>
      </c>
      <c r="J34" s="162">
        <v>0</v>
      </c>
      <c r="K34" s="162">
        <v>0</v>
      </c>
      <c r="L34" s="162">
        <v>0</v>
      </c>
      <c r="M34" s="162">
        <v>0</v>
      </c>
      <c r="N34" s="162">
        <v>0</v>
      </c>
      <c r="O34" s="162">
        <v>0</v>
      </c>
      <c r="P34" s="167">
        <v>15686992</v>
      </c>
      <c r="Q34" s="162">
        <v>0</v>
      </c>
      <c r="R34" s="162">
        <v>0</v>
      </c>
      <c r="S34" s="162">
        <v>0</v>
      </c>
      <c r="T34" s="162">
        <v>0</v>
      </c>
      <c r="U34" s="162">
        <v>0</v>
      </c>
      <c r="V34" s="162">
        <v>0</v>
      </c>
      <c r="W34" s="162">
        <v>0</v>
      </c>
      <c r="X34" s="162">
        <v>0</v>
      </c>
      <c r="Y34" s="162">
        <v>0</v>
      </c>
      <c r="Z34" s="162">
        <v>0</v>
      </c>
      <c r="AA34" s="162">
        <v>0</v>
      </c>
      <c r="AB34" s="162">
        <v>0</v>
      </c>
      <c r="AC34" s="167">
        <v>19237483</v>
      </c>
      <c r="AD34" s="185">
        <v>0</v>
      </c>
      <c r="AE34" s="185">
        <v>0</v>
      </c>
      <c r="AF34" s="185">
        <v>0</v>
      </c>
      <c r="AG34" s="185">
        <v>0</v>
      </c>
      <c r="AH34">
        <v>0</v>
      </c>
    </row>
    <row r="35" spans="1:41" x14ac:dyDescent="0.3">
      <c r="A35" s="16" t="s">
        <v>82</v>
      </c>
      <c r="B35" s="63">
        <f t="shared" ref="B35:AO35" si="26">B33-B34</f>
        <v>3010.7829468990003</v>
      </c>
      <c r="C35" s="63">
        <f t="shared" si="26"/>
        <v>357685910</v>
      </c>
      <c r="D35" s="63">
        <f t="shared" si="26"/>
        <v>79660495.38000001</v>
      </c>
      <c r="E35" s="63">
        <f t="shared" si="26"/>
        <v>142075094.15000001</v>
      </c>
      <c r="F35" s="63">
        <f t="shared" si="26"/>
        <v>218641505.96000004</v>
      </c>
      <c r="G35" s="63">
        <f t="shared" si="26"/>
        <v>304394685.92999989</v>
      </c>
      <c r="H35" s="63">
        <f t="shared" si="26"/>
        <v>384735698.60000002</v>
      </c>
      <c r="I35" s="63">
        <f t="shared" si="26"/>
        <v>460696654.26999986</v>
      </c>
      <c r="J35" s="63">
        <f t="shared" si="26"/>
        <v>573665442.9000001</v>
      </c>
      <c r="K35" s="63">
        <f t="shared" si="26"/>
        <v>673737832.78999972</v>
      </c>
      <c r="L35" s="63">
        <f t="shared" si="26"/>
        <v>707556610.40000021</v>
      </c>
      <c r="M35" s="63">
        <f t="shared" si="26"/>
        <v>782978416.00999975</v>
      </c>
      <c r="N35" s="63">
        <f t="shared" si="26"/>
        <v>872845507.56000006</v>
      </c>
      <c r="O35" s="63">
        <f t="shared" si="26"/>
        <v>934026889.31000006</v>
      </c>
      <c r="P35" s="63">
        <f t="shared" si="26"/>
        <v>476765769</v>
      </c>
      <c r="Q35" s="63">
        <f t="shared" si="26"/>
        <v>82950292.659999996</v>
      </c>
      <c r="R35" s="63">
        <f t="shared" si="26"/>
        <v>154457396.61000001</v>
      </c>
      <c r="S35" s="63">
        <f t="shared" si="26"/>
        <v>229930403.5</v>
      </c>
      <c r="T35" s="63">
        <f t="shared" si="26"/>
        <v>329777335.60000002</v>
      </c>
      <c r="U35" s="63">
        <f t="shared" si="26"/>
        <v>421543068.6400001</v>
      </c>
      <c r="V35" s="63">
        <f t="shared" si="26"/>
        <v>501665326.13000011</v>
      </c>
      <c r="W35" s="63">
        <f t="shared" si="26"/>
        <v>561297290.00999999</v>
      </c>
      <c r="X35" s="63">
        <f t="shared" si="26"/>
        <v>656943021.11999989</v>
      </c>
      <c r="Y35" s="63">
        <f t="shared" si="26"/>
        <v>729990367.53999996</v>
      </c>
      <c r="Z35" s="63">
        <f t="shared" si="26"/>
        <v>822826258.19999981</v>
      </c>
      <c r="AA35" s="63">
        <f t="shared" si="26"/>
        <v>896320006.98000002</v>
      </c>
      <c r="AB35" s="63">
        <f t="shared" si="26"/>
        <v>890560530.93000019</v>
      </c>
      <c r="AC35" s="63">
        <f t="shared" si="26"/>
        <v>398929049</v>
      </c>
      <c r="AD35" s="189">
        <f t="shared" si="26"/>
        <v>111674370.74000001</v>
      </c>
      <c r="AE35" s="189">
        <f t="shared" si="26"/>
        <v>191314459.89000002</v>
      </c>
      <c r="AF35" s="189">
        <f t="shared" si="26"/>
        <v>267045468.29999998</v>
      </c>
      <c r="AG35" s="189">
        <f t="shared" si="26"/>
        <v>359500640.92000008</v>
      </c>
      <c r="AH35" s="63">
        <f t="shared" si="26"/>
        <v>446035664.25999999</v>
      </c>
      <c r="AI35" s="63">
        <f t="shared" si="26"/>
        <v>0</v>
      </c>
      <c r="AJ35" s="63">
        <f t="shared" si="26"/>
        <v>0</v>
      </c>
      <c r="AK35" s="63">
        <f t="shared" si="26"/>
        <v>0</v>
      </c>
      <c r="AL35" s="63">
        <f t="shared" si="26"/>
        <v>0</v>
      </c>
      <c r="AM35" s="63">
        <f t="shared" si="26"/>
        <v>0</v>
      </c>
      <c r="AN35" s="63">
        <f t="shared" si="26"/>
        <v>0</v>
      </c>
      <c r="AO35" s="63">
        <f t="shared" si="26"/>
        <v>0</v>
      </c>
    </row>
    <row r="36" spans="1:41" x14ac:dyDescent="0.3">
      <c r="A36" s="17" t="s">
        <v>83</v>
      </c>
      <c r="B36" s="27"/>
      <c r="C36" s="27"/>
      <c r="D36" s="162">
        <v>-50000</v>
      </c>
      <c r="E36" s="162">
        <v>-117700</v>
      </c>
      <c r="F36" s="162">
        <v>-148720</v>
      </c>
      <c r="G36" s="162">
        <v>-160720</v>
      </c>
      <c r="H36" s="162">
        <v>-160720</v>
      </c>
      <c r="I36" s="162">
        <v>-211420</v>
      </c>
      <c r="J36" s="162">
        <v>-244417</v>
      </c>
      <c r="K36" s="162">
        <v>-244417</v>
      </c>
      <c r="L36" s="162">
        <v>-255417</v>
      </c>
      <c r="M36" s="162">
        <v>-295137</v>
      </c>
      <c r="N36" s="162">
        <v>-355137</v>
      </c>
      <c r="O36" s="162">
        <v>-382297</v>
      </c>
      <c r="P36" s="167">
        <v>12382297</v>
      </c>
      <c r="Q36" s="162">
        <v>0</v>
      </c>
      <c r="R36" s="162">
        <v>-25862</v>
      </c>
      <c r="S36" s="162">
        <v>-48862</v>
      </c>
      <c r="T36" s="162">
        <v>-108862</v>
      </c>
      <c r="U36" s="162">
        <v>-283912</v>
      </c>
      <c r="V36" s="162">
        <v>-403412</v>
      </c>
      <c r="W36" s="162">
        <v>-425412</v>
      </c>
      <c r="X36" s="162">
        <v>-430412</v>
      </c>
      <c r="Y36" s="162">
        <v>-571812</v>
      </c>
      <c r="Z36" s="162">
        <v>-629572</v>
      </c>
      <c r="AA36" s="162">
        <v>-679872</v>
      </c>
      <c r="AB36" s="162">
        <v>-1630372</v>
      </c>
      <c r="AC36" s="167">
        <v>1630372</v>
      </c>
      <c r="AD36" s="185">
        <v>-7031200</v>
      </c>
      <c r="AE36" s="185">
        <v>-7041485</v>
      </c>
      <c r="AF36" s="185">
        <v>-7086285</v>
      </c>
      <c r="AG36" s="185">
        <v>-14165395</v>
      </c>
      <c r="AH36" s="68">
        <v>-14183395</v>
      </c>
    </row>
    <row r="37" spans="1:41" x14ac:dyDescent="0.3">
      <c r="A37" s="16" t="s">
        <v>84</v>
      </c>
      <c r="B37" s="63">
        <f t="shared" ref="B37:H37" si="27">B35-B36</f>
        <v>3010.7829468990003</v>
      </c>
      <c r="C37" s="63">
        <f t="shared" si="27"/>
        <v>357685910</v>
      </c>
      <c r="D37" s="63">
        <f t="shared" si="27"/>
        <v>79710495.38000001</v>
      </c>
      <c r="E37" s="63">
        <f t="shared" si="27"/>
        <v>142192794.15000001</v>
      </c>
      <c r="F37" s="63">
        <f t="shared" si="27"/>
        <v>218790225.96000004</v>
      </c>
      <c r="G37" s="63">
        <f t="shared" si="27"/>
        <v>304555405.92999989</v>
      </c>
      <c r="H37" s="63">
        <f t="shared" si="27"/>
        <v>384896418.60000002</v>
      </c>
      <c r="I37" s="63">
        <f>I35-I36</f>
        <v>460908074.26999986</v>
      </c>
      <c r="J37" s="63">
        <f>J35-J36</f>
        <v>573909859.9000001</v>
      </c>
      <c r="K37" s="63">
        <f>K35-K36</f>
        <v>673982249.78999972</v>
      </c>
      <c r="L37" s="63">
        <f t="shared" ref="L37:AO37" si="28">L35-L36</f>
        <v>707812027.40000021</v>
      </c>
      <c r="M37" s="63">
        <f t="shared" si="28"/>
        <v>783273553.00999975</v>
      </c>
      <c r="N37" s="63">
        <f t="shared" si="28"/>
        <v>873200644.56000006</v>
      </c>
      <c r="O37" s="63">
        <f t="shared" si="28"/>
        <v>934409186.31000006</v>
      </c>
      <c r="P37" s="63">
        <f t="shared" si="28"/>
        <v>464383472</v>
      </c>
      <c r="Q37" s="63">
        <f t="shared" si="28"/>
        <v>82950292.659999996</v>
      </c>
      <c r="R37" s="63">
        <f t="shared" si="28"/>
        <v>154483258.61000001</v>
      </c>
      <c r="S37" s="63">
        <f t="shared" si="28"/>
        <v>229979265.5</v>
      </c>
      <c r="T37" s="63">
        <f t="shared" si="28"/>
        <v>329886197.60000002</v>
      </c>
      <c r="U37" s="63">
        <f t="shared" si="28"/>
        <v>421826980.6400001</v>
      </c>
      <c r="V37" s="63">
        <f t="shared" si="28"/>
        <v>502068738.13000011</v>
      </c>
      <c r="W37" s="63">
        <f t="shared" si="28"/>
        <v>561722702.00999999</v>
      </c>
      <c r="X37" s="63">
        <f t="shared" si="28"/>
        <v>657373433.11999989</v>
      </c>
      <c r="Y37" s="63">
        <f t="shared" si="28"/>
        <v>730562179.53999996</v>
      </c>
      <c r="Z37" s="63">
        <f t="shared" si="28"/>
        <v>823455830.19999981</v>
      </c>
      <c r="AA37" s="63">
        <f t="shared" si="28"/>
        <v>896999878.98000002</v>
      </c>
      <c r="AB37" s="63">
        <f t="shared" si="28"/>
        <v>892190902.93000019</v>
      </c>
      <c r="AC37" s="63">
        <f t="shared" si="28"/>
        <v>397298677</v>
      </c>
      <c r="AD37" s="189">
        <f t="shared" si="28"/>
        <v>118705570.74000001</v>
      </c>
      <c r="AE37" s="189">
        <f t="shared" si="28"/>
        <v>198355944.89000002</v>
      </c>
      <c r="AF37" s="189">
        <f t="shared" si="28"/>
        <v>274131753.29999995</v>
      </c>
      <c r="AG37" s="189">
        <f t="shared" si="28"/>
        <v>373666035.92000008</v>
      </c>
      <c r="AH37" s="63">
        <f t="shared" si="28"/>
        <v>460219059.25999999</v>
      </c>
      <c r="AI37" s="63">
        <f t="shared" si="28"/>
        <v>0</v>
      </c>
      <c r="AJ37" s="63">
        <f t="shared" si="28"/>
        <v>0</v>
      </c>
      <c r="AK37" s="63">
        <f t="shared" si="28"/>
        <v>0</v>
      </c>
      <c r="AL37" s="63">
        <f t="shared" si="28"/>
        <v>0</v>
      </c>
      <c r="AM37" s="63">
        <f t="shared" si="28"/>
        <v>0</v>
      </c>
      <c r="AN37" s="63">
        <f t="shared" si="28"/>
        <v>0</v>
      </c>
      <c r="AO37" s="63">
        <f t="shared" si="28"/>
        <v>0</v>
      </c>
    </row>
    <row r="38" spans="1:41" x14ac:dyDescent="0.3">
      <c r="AD38" s="185"/>
      <c r="AE38" s="185"/>
      <c r="AF38" s="185"/>
      <c r="AG38" s="185"/>
    </row>
    <row r="39" spans="1:41" s="29" customFormat="1" x14ac:dyDescent="0.3">
      <c r="A39" s="29" t="s">
        <v>85</v>
      </c>
      <c r="B39" s="65">
        <f>B12+B23</f>
        <v>11568.464599999999</v>
      </c>
      <c r="C39" s="65">
        <f>C12+C23</f>
        <v>1015841652</v>
      </c>
      <c r="D39" s="65">
        <f>D12+D23</f>
        <v>37282203.100000001</v>
      </c>
      <c r="E39" s="65">
        <f>E12+E23</f>
        <v>96452462.330000013</v>
      </c>
      <c r="F39" s="65">
        <f>F12+F23</f>
        <v>143369114.19999999</v>
      </c>
      <c r="G39" s="65">
        <f t="shared" ref="G39:AJ39" si="29">G12+G23</f>
        <v>191174538.40000004</v>
      </c>
      <c r="H39" s="65">
        <f t="shared" si="29"/>
        <v>242096059.38999999</v>
      </c>
      <c r="I39" s="65">
        <f t="shared" si="29"/>
        <v>292359634.56000006</v>
      </c>
      <c r="J39" s="65">
        <f t="shared" si="29"/>
        <v>333844542.28000003</v>
      </c>
      <c r="K39" s="65">
        <f t="shared" si="29"/>
        <v>377330833.85000002</v>
      </c>
      <c r="L39" s="65">
        <f t="shared" si="29"/>
        <v>442476112.46000004</v>
      </c>
      <c r="M39" s="65">
        <f t="shared" si="29"/>
        <v>495543840.47000003</v>
      </c>
      <c r="N39" s="65">
        <f t="shared" si="29"/>
        <v>559115887.30999994</v>
      </c>
      <c r="O39" s="65">
        <f t="shared" si="29"/>
        <v>668709869.66999996</v>
      </c>
      <c r="P39" s="172">
        <f t="shared" si="29"/>
        <v>1169089321</v>
      </c>
      <c r="Q39" s="65">
        <f t="shared" si="29"/>
        <v>50348927.950000003</v>
      </c>
      <c r="R39" s="65">
        <f t="shared" si="29"/>
        <v>111131602.29000001</v>
      </c>
      <c r="S39" s="65">
        <f t="shared" si="29"/>
        <v>177704580.64000002</v>
      </c>
      <c r="T39" s="65">
        <f t="shared" si="29"/>
        <v>223698316.78999999</v>
      </c>
      <c r="U39" s="65">
        <f t="shared" si="29"/>
        <v>274310438.44</v>
      </c>
      <c r="V39" s="65">
        <f t="shared" si="29"/>
        <v>341859976.51999998</v>
      </c>
      <c r="W39" s="65">
        <f t="shared" si="29"/>
        <v>416692969.55999994</v>
      </c>
      <c r="X39" s="65">
        <f t="shared" si="29"/>
        <v>462484066.37</v>
      </c>
      <c r="Y39" s="65">
        <f t="shared" si="29"/>
        <v>529105658.94000006</v>
      </c>
      <c r="Z39" s="65">
        <f t="shared" si="29"/>
        <v>581134028.33000004</v>
      </c>
      <c r="AA39" s="65">
        <f t="shared" si="29"/>
        <v>657880789.67999995</v>
      </c>
      <c r="AB39" s="65">
        <f t="shared" si="29"/>
        <v>807777931.95000005</v>
      </c>
      <c r="AC39" s="172">
        <f t="shared" si="29"/>
        <v>1355110153</v>
      </c>
      <c r="AD39" s="172">
        <f t="shared" si="29"/>
        <v>42386826.939999998</v>
      </c>
      <c r="AE39" s="172">
        <f t="shared" si="29"/>
        <v>112268827.59999999</v>
      </c>
      <c r="AF39" s="172">
        <f t="shared" si="29"/>
        <v>190863895.94999999</v>
      </c>
      <c r="AG39" s="172">
        <f t="shared" si="29"/>
        <v>246739293.50999999</v>
      </c>
      <c r="AH39" s="172">
        <f t="shared" si="29"/>
        <v>311641919.88</v>
      </c>
      <c r="AI39" s="172">
        <f t="shared" si="29"/>
        <v>0</v>
      </c>
      <c r="AJ39" s="172">
        <f t="shared" si="29"/>
        <v>0</v>
      </c>
    </row>
    <row r="41" spans="1:41" x14ac:dyDescent="0.3">
      <c r="F41" s="41"/>
      <c r="G41" s="41"/>
      <c r="H41" s="41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91"/>
  <sheetViews>
    <sheetView topLeftCell="A37" workbookViewId="0">
      <selection activeCell="H65" sqref="H65"/>
    </sheetView>
  </sheetViews>
  <sheetFormatPr defaultRowHeight="14.4" x14ac:dyDescent="0.3"/>
  <cols>
    <col min="2" max="2" width="19.44140625" customWidth="1"/>
    <col min="3" max="3" width="10.33203125" bestFit="1" customWidth="1"/>
    <col min="4" max="4" width="19.5546875" customWidth="1"/>
    <col min="5" max="5" width="12" customWidth="1"/>
    <col min="6" max="6" width="16.6640625" customWidth="1"/>
    <col min="8" max="9" width="15.33203125" bestFit="1" customWidth="1"/>
    <col min="10" max="12" width="13.6640625" bestFit="1" customWidth="1"/>
    <col min="14" max="15" width="15.33203125" bestFit="1" customWidth="1"/>
    <col min="16" max="18" width="13.6640625" bestFit="1" customWidth="1"/>
  </cols>
  <sheetData>
    <row r="1" spans="2:9" x14ac:dyDescent="0.3">
      <c r="D1" s="5">
        <v>44256</v>
      </c>
    </row>
    <row r="2" spans="2:9" ht="41.4" x14ac:dyDescent="0.3">
      <c r="B2" s="1" t="s">
        <v>86</v>
      </c>
      <c r="C2" s="1" t="s">
        <v>87</v>
      </c>
      <c r="D2" s="1" t="s">
        <v>88</v>
      </c>
      <c r="E2" s="1" t="s">
        <v>89</v>
      </c>
      <c r="F2" s="1" t="s">
        <v>90</v>
      </c>
    </row>
    <row r="3" spans="2:9" x14ac:dyDescent="0.3">
      <c r="B3" s="6" t="s">
        <v>91</v>
      </c>
      <c r="C3" s="153">
        <v>36938</v>
      </c>
      <c r="D3" s="153">
        <v>5534741593.3000002</v>
      </c>
      <c r="E3" s="9">
        <v>0.01</v>
      </c>
      <c r="F3" s="8">
        <v>55347415.933000006</v>
      </c>
    </row>
    <row r="4" spans="2:9" x14ac:dyDescent="0.3">
      <c r="B4" s="6" t="s">
        <v>92</v>
      </c>
      <c r="C4" s="153">
        <v>5907</v>
      </c>
      <c r="D4" s="153">
        <v>1219002859.9000001</v>
      </c>
      <c r="E4" s="9">
        <v>0.05</v>
      </c>
      <c r="F4" s="8">
        <v>60950142.995000005</v>
      </c>
      <c r="H4" t="s">
        <v>93</v>
      </c>
      <c r="I4" s="110">
        <v>663195931.31999993</v>
      </c>
    </row>
    <row r="5" spans="2:9" x14ac:dyDescent="0.3">
      <c r="B5" s="6" t="s">
        <v>94</v>
      </c>
      <c r="C5" s="153">
        <v>4000</v>
      </c>
      <c r="D5" s="153">
        <v>398432466</v>
      </c>
      <c r="E5" s="9">
        <v>0.25</v>
      </c>
      <c r="F5" s="8">
        <v>99608116.5</v>
      </c>
      <c r="H5" t="s">
        <v>95</v>
      </c>
      <c r="I5" s="107">
        <f>I4/D8</f>
        <v>8.9416376152107874E-2</v>
      </c>
    </row>
    <row r="6" spans="2:9" x14ac:dyDescent="0.3">
      <c r="B6" s="6" t="s">
        <v>96</v>
      </c>
      <c r="C6" s="153">
        <v>4232</v>
      </c>
      <c r="D6" s="153">
        <v>195639267.15000001</v>
      </c>
      <c r="E6" s="9">
        <v>0.5</v>
      </c>
      <c r="F6" s="8">
        <v>97819633.575000003</v>
      </c>
    </row>
    <row r="7" spans="2:9" x14ac:dyDescent="0.3">
      <c r="B7" s="6" t="s">
        <v>97</v>
      </c>
      <c r="C7" s="153">
        <v>1137</v>
      </c>
      <c r="D7" s="153">
        <v>69124198.170000002</v>
      </c>
      <c r="E7" s="9">
        <v>1</v>
      </c>
      <c r="F7" s="8">
        <v>69124198.170000002</v>
      </c>
    </row>
    <row r="8" spans="2:9" x14ac:dyDescent="0.3">
      <c r="B8" s="7" t="s">
        <v>98</v>
      </c>
      <c r="C8" s="8">
        <v>52214</v>
      </c>
      <c r="D8" s="8">
        <v>7416940384.5200005</v>
      </c>
      <c r="E8" s="8">
        <v>1.81</v>
      </c>
      <c r="F8" s="8">
        <v>382849507.17300004</v>
      </c>
    </row>
    <row r="10" spans="2:9" x14ac:dyDescent="0.3">
      <c r="D10" s="5">
        <v>44348</v>
      </c>
    </row>
    <row r="11" spans="2:9" ht="41.4" x14ac:dyDescent="0.3">
      <c r="B11" s="1" t="s">
        <v>86</v>
      </c>
      <c r="C11" s="1" t="s">
        <v>87</v>
      </c>
      <c r="D11" s="1" t="s">
        <v>88</v>
      </c>
      <c r="E11" s="1" t="s">
        <v>89</v>
      </c>
      <c r="F11" s="1" t="s">
        <v>90</v>
      </c>
    </row>
    <row r="12" spans="2:9" x14ac:dyDescent="0.3">
      <c r="B12" s="6" t="s">
        <v>91</v>
      </c>
      <c r="C12" s="160">
        <v>34627</v>
      </c>
      <c r="D12" s="160">
        <v>6241056786.1000004</v>
      </c>
      <c r="E12" s="9">
        <v>0.01</v>
      </c>
      <c r="F12" s="8">
        <f>D12*E12</f>
        <v>62410567.861000001</v>
      </c>
    </row>
    <row r="13" spans="2:9" x14ac:dyDescent="0.3">
      <c r="B13" s="6" t="s">
        <v>92</v>
      </c>
      <c r="C13" s="160">
        <v>5337</v>
      </c>
      <c r="D13" s="160">
        <v>960370378.14999998</v>
      </c>
      <c r="E13" s="9">
        <v>0.05</v>
      </c>
      <c r="F13" s="8">
        <f>D13*E13</f>
        <v>48018518.907499999</v>
      </c>
      <c r="H13" t="s">
        <v>93</v>
      </c>
      <c r="I13" s="164">
        <f>D14+D15+D16</f>
        <v>708608848.63000011</v>
      </c>
    </row>
    <row r="14" spans="2:9" x14ac:dyDescent="0.3">
      <c r="B14" s="6" t="s">
        <v>94</v>
      </c>
      <c r="C14" s="160">
        <v>3421</v>
      </c>
      <c r="D14" s="160">
        <v>303618973.93000001</v>
      </c>
      <c r="E14" s="9">
        <v>0.25</v>
      </c>
      <c r="F14" s="8">
        <f>D14*E14</f>
        <v>75904743.482500002</v>
      </c>
      <c r="H14" t="s">
        <v>95</v>
      </c>
      <c r="I14" s="165">
        <f>I13/D17</f>
        <v>8.958351737920843E-2</v>
      </c>
    </row>
    <row r="15" spans="2:9" x14ac:dyDescent="0.3">
      <c r="B15" s="6" t="s">
        <v>96</v>
      </c>
      <c r="C15" s="160">
        <v>4852</v>
      </c>
      <c r="D15" s="160">
        <v>222872829.52000001</v>
      </c>
      <c r="E15" s="9">
        <v>0.5</v>
      </c>
      <c r="F15" s="8">
        <f>D15*E15</f>
        <v>111436414.76000001</v>
      </c>
    </row>
    <row r="16" spans="2:9" x14ac:dyDescent="0.3">
      <c r="B16" s="6" t="s">
        <v>97</v>
      </c>
      <c r="C16" s="160">
        <v>3022</v>
      </c>
      <c r="D16" s="160">
        <v>182117045.18000001</v>
      </c>
      <c r="E16" s="9">
        <v>1</v>
      </c>
      <c r="F16" s="8">
        <f>D16*E16</f>
        <v>182117045.18000001</v>
      </c>
    </row>
    <row r="17" spans="2:9" x14ac:dyDescent="0.3">
      <c r="B17" s="7" t="s">
        <v>98</v>
      </c>
      <c r="C17" s="8">
        <f>SUM(C12:C16)</f>
        <v>51259</v>
      </c>
      <c r="D17" s="8">
        <f>SUM(D12:D16)</f>
        <v>7910036012.8800011</v>
      </c>
      <c r="E17" s="8">
        <v>1.81</v>
      </c>
      <c r="F17" s="8">
        <f>SUM(F12:F16)</f>
        <v>479887290.19099998</v>
      </c>
    </row>
    <row r="19" spans="2:9" x14ac:dyDescent="0.3">
      <c r="D19" s="5">
        <v>44440</v>
      </c>
    </row>
    <row r="20" spans="2:9" ht="41.4" x14ac:dyDescent="0.3">
      <c r="B20" s="1" t="s">
        <v>86</v>
      </c>
      <c r="C20" s="1" t="s">
        <v>87</v>
      </c>
      <c r="D20" s="1" t="s">
        <v>88</v>
      </c>
      <c r="E20" s="1" t="s">
        <v>89</v>
      </c>
      <c r="F20" s="1" t="s">
        <v>90</v>
      </c>
    </row>
    <row r="21" spans="2:9" x14ac:dyDescent="0.3">
      <c r="B21" s="6" t="s">
        <v>91</v>
      </c>
      <c r="C21" s="160">
        <v>34498</v>
      </c>
      <c r="D21" s="160">
        <v>6812894799.8999996</v>
      </c>
      <c r="E21" s="9">
        <v>0.01</v>
      </c>
      <c r="F21" s="8">
        <f>D21*E21</f>
        <v>68128947.998999998</v>
      </c>
      <c r="I21" s="68"/>
    </row>
    <row r="22" spans="2:9" x14ac:dyDescent="0.3">
      <c r="B22" s="6" t="s">
        <v>92</v>
      </c>
      <c r="C22" s="160">
        <v>5610</v>
      </c>
      <c r="D22" s="160">
        <v>1031574908.9</v>
      </c>
      <c r="E22" s="9">
        <v>0.05</v>
      </c>
      <c r="F22" s="8">
        <f>D22*E22</f>
        <v>51578745.445</v>
      </c>
      <c r="H22" t="s">
        <v>93</v>
      </c>
      <c r="I22" s="164">
        <f>D23+D24+D25</f>
        <v>709108579.97000003</v>
      </c>
    </row>
    <row r="23" spans="2:9" x14ac:dyDescent="0.3">
      <c r="B23" s="6" t="s">
        <v>94</v>
      </c>
      <c r="C23" s="160">
        <v>3481</v>
      </c>
      <c r="D23" s="160">
        <v>285180507.04000002</v>
      </c>
      <c r="E23" s="9">
        <v>0.25</v>
      </c>
      <c r="F23" s="8">
        <f>D23*E23</f>
        <v>71295126.760000005</v>
      </c>
      <c r="H23" t="s">
        <v>95</v>
      </c>
      <c r="I23" s="165">
        <f>I22/D26</f>
        <v>8.2901980437940156E-2</v>
      </c>
    </row>
    <row r="24" spans="2:9" x14ac:dyDescent="0.3">
      <c r="B24" s="6" t="s">
        <v>96</v>
      </c>
      <c r="C24" s="160">
        <v>4579</v>
      </c>
      <c r="D24" s="160">
        <v>218900828.47999999</v>
      </c>
      <c r="E24" s="9">
        <v>0.5</v>
      </c>
      <c r="F24" s="8">
        <f>D24*E24</f>
        <v>109450414.23999999</v>
      </c>
    </row>
    <row r="25" spans="2:9" x14ac:dyDescent="0.3">
      <c r="B25" s="6" t="s">
        <v>97</v>
      </c>
      <c r="C25" s="160">
        <v>3277</v>
      </c>
      <c r="D25" s="160">
        <v>205027244.44999999</v>
      </c>
      <c r="E25" s="9">
        <v>1</v>
      </c>
      <c r="F25" s="8">
        <f>D25*E25</f>
        <v>205027244.44999999</v>
      </c>
    </row>
    <row r="26" spans="2:9" x14ac:dyDescent="0.3">
      <c r="B26" s="7" t="s">
        <v>98</v>
      </c>
      <c r="C26" s="8">
        <f>SUM(C21:C25)</f>
        <v>51445</v>
      </c>
      <c r="D26" s="8">
        <f>SUM(D21:D25)</f>
        <v>8553578288.7699986</v>
      </c>
      <c r="E26" s="8">
        <v>1.81</v>
      </c>
      <c r="F26" s="8">
        <f>SUM(F21:F25)</f>
        <v>505480478.89399999</v>
      </c>
    </row>
    <row r="28" spans="2:9" x14ac:dyDescent="0.3">
      <c r="D28" s="5">
        <v>44531</v>
      </c>
    </row>
    <row r="29" spans="2:9" ht="41.4" x14ac:dyDescent="0.3">
      <c r="B29" s="1" t="s">
        <v>86</v>
      </c>
      <c r="C29" s="1" t="s">
        <v>87</v>
      </c>
      <c r="D29" s="1" t="s">
        <v>88</v>
      </c>
      <c r="E29" s="1" t="s">
        <v>89</v>
      </c>
      <c r="F29" s="1" t="s">
        <v>90</v>
      </c>
    </row>
    <row r="30" spans="2:9" x14ac:dyDescent="0.3">
      <c r="B30" s="6" t="s">
        <v>91</v>
      </c>
      <c r="C30" s="160">
        <v>52139</v>
      </c>
      <c r="D30" s="160">
        <v>7942181974.8999996</v>
      </c>
      <c r="E30" s="9">
        <v>0.01</v>
      </c>
      <c r="F30" s="8">
        <f>D30*E30</f>
        <v>79421819.748999998</v>
      </c>
    </row>
    <row r="31" spans="2:9" x14ac:dyDescent="0.3">
      <c r="B31" s="6" t="s">
        <v>92</v>
      </c>
      <c r="C31" s="160">
        <v>3658</v>
      </c>
      <c r="D31" s="160">
        <v>558767447.70000005</v>
      </c>
      <c r="E31" s="9">
        <v>0.05</v>
      </c>
      <c r="F31" s="8">
        <f>D31*E31</f>
        <v>27938372.385000005</v>
      </c>
      <c r="H31" t="s">
        <v>93</v>
      </c>
      <c r="I31" s="164">
        <f>D32+D33+D34</f>
        <v>502501669.70999998</v>
      </c>
    </row>
    <row r="32" spans="2:9" x14ac:dyDescent="0.3">
      <c r="B32" s="6" t="s">
        <v>94</v>
      </c>
      <c r="C32" s="160">
        <v>2787</v>
      </c>
      <c r="D32" s="160">
        <v>142596749.90000001</v>
      </c>
      <c r="E32" s="9">
        <v>0.25</v>
      </c>
      <c r="F32" s="8">
        <f>D32*E32</f>
        <v>35649187.475000001</v>
      </c>
      <c r="H32" t="s">
        <v>95</v>
      </c>
      <c r="I32" s="165">
        <f>I31/D35</f>
        <v>5.5812117437856155E-2</v>
      </c>
    </row>
    <row r="33" spans="2:8" x14ac:dyDescent="0.3">
      <c r="B33" s="6" t="s">
        <v>96</v>
      </c>
      <c r="C33" s="160">
        <v>3703</v>
      </c>
      <c r="D33" s="160">
        <v>144028150.63</v>
      </c>
      <c r="E33" s="9">
        <v>0.5</v>
      </c>
      <c r="F33" s="8">
        <f>D33*E33</f>
        <v>72014075.314999998</v>
      </c>
    </row>
    <row r="34" spans="2:8" x14ac:dyDescent="0.3">
      <c r="B34" s="6" t="s">
        <v>97</v>
      </c>
      <c r="C34" s="160">
        <v>4431</v>
      </c>
      <c r="D34" s="160">
        <v>215876769.18000001</v>
      </c>
      <c r="E34" s="9">
        <v>1</v>
      </c>
      <c r="F34" s="8">
        <f>D34*E34</f>
        <v>215876769.18000001</v>
      </c>
    </row>
    <row r="35" spans="2:8" x14ac:dyDescent="0.3">
      <c r="B35" s="7" t="s">
        <v>98</v>
      </c>
      <c r="C35" s="8">
        <f>SUM(C30:C34)</f>
        <v>66718</v>
      </c>
      <c r="D35" s="8">
        <f>SUM(D30:D34)</f>
        <v>9003451092.3099995</v>
      </c>
      <c r="E35" s="8">
        <v>1.81</v>
      </c>
      <c r="F35" s="8">
        <f>SUM(F30:F34)</f>
        <v>430900224.10399997</v>
      </c>
    </row>
    <row r="38" spans="2:8" x14ac:dyDescent="0.3">
      <c r="D38" s="5" t="s">
        <v>2</v>
      </c>
    </row>
    <row r="39" spans="2:8" ht="49.5" customHeight="1" x14ac:dyDescent="0.3">
      <c r="B39" s="1" t="s">
        <v>86</v>
      </c>
      <c r="C39" s="1" t="s">
        <v>87</v>
      </c>
      <c r="D39" s="1" t="s">
        <v>88</v>
      </c>
      <c r="E39" s="1" t="s">
        <v>89</v>
      </c>
      <c r="F39" s="1" t="s">
        <v>90</v>
      </c>
    </row>
    <row r="40" spans="2:8" x14ac:dyDescent="0.3">
      <c r="B40" s="6" t="s">
        <v>91</v>
      </c>
      <c r="C40" s="160">
        <v>52139</v>
      </c>
      <c r="D40" s="160">
        <v>7942181974.8999996</v>
      </c>
      <c r="E40" s="9">
        <v>0.01</v>
      </c>
      <c r="F40" s="8">
        <f>D40*E40</f>
        <v>79421819.748999998</v>
      </c>
    </row>
    <row r="41" spans="2:8" x14ac:dyDescent="0.3">
      <c r="B41" s="6" t="s">
        <v>92</v>
      </c>
      <c r="C41" s="160">
        <v>3658</v>
      </c>
      <c r="D41" s="160">
        <v>558767447.70000005</v>
      </c>
      <c r="E41" s="9">
        <v>0.05</v>
      </c>
      <c r="F41" s="8">
        <f>D41*E41</f>
        <v>27938372.385000005</v>
      </c>
      <c r="H41" s="107"/>
    </row>
    <row r="42" spans="2:8" x14ac:dyDescent="0.3">
      <c r="B42" s="6" t="s">
        <v>94</v>
      </c>
      <c r="C42" s="160">
        <v>2787</v>
      </c>
      <c r="D42" s="160">
        <v>142596749.90000001</v>
      </c>
      <c r="E42" s="9">
        <v>0.25</v>
      </c>
      <c r="F42" s="8">
        <f>D42*E42</f>
        <v>35649187.475000001</v>
      </c>
    </row>
    <row r="43" spans="2:8" x14ac:dyDescent="0.3">
      <c r="B43" s="6" t="s">
        <v>96</v>
      </c>
      <c r="C43" s="160">
        <v>3703</v>
      </c>
      <c r="D43" s="160">
        <v>144028150.63</v>
      </c>
      <c r="E43" s="9">
        <v>0.5</v>
      </c>
      <c r="F43" s="8">
        <f>D43*E43</f>
        <v>72014075.314999998</v>
      </c>
    </row>
    <row r="44" spans="2:8" x14ac:dyDescent="0.3">
      <c r="B44" s="6" t="s">
        <v>97</v>
      </c>
      <c r="C44" s="160">
        <v>4431</v>
      </c>
      <c r="D44" s="160">
        <v>215876769.18000001</v>
      </c>
      <c r="E44" s="9">
        <v>1</v>
      </c>
      <c r="F44" s="8">
        <f>D44*E44</f>
        <v>215876769.18000001</v>
      </c>
    </row>
    <row r="45" spans="2:8" x14ac:dyDescent="0.3">
      <c r="B45" s="7" t="s">
        <v>98</v>
      </c>
      <c r="C45" s="8">
        <f>SUM(C40:C44)</f>
        <v>66718</v>
      </c>
      <c r="D45" s="8">
        <f>SUM(D40:D44)</f>
        <v>9003451092.3099995</v>
      </c>
      <c r="E45" s="8">
        <v>1.81</v>
      </c>
      <c r="F45" s="8">
        <f>SUM(F40:F44)</f>
        <v>430900224.10399997</v>
      </c>
    </row>
    <row r="47" spans="2:8" x14ac:dyDescent="0.3">
      <c r="D47" s="5">
        <v>44621</v>
      </c>
    </row>
    <row r="48" spans="2:8" ht="41.4" x14ac:dyDescent="0.3">
      <c r="B48" s="1" t="s">
        <v>86</v>
      </c>
      <c r="C48" s="1" t="s">
        <v>87</v>
      </c>
      <c r="D48" s="1" t="s">
        <v>88</v>
      </c>
      <c r="E48" s="1" t="s">
        <v>89</v>
      </c>
      <c r="F48" s="1" t="s">
        <v>90</v>
      </c>
    </row>
    <row r="49" spans="2:26" x14ac:dyDescent="0.3">
      <c r="B49" s="6" t="s">
        <v>91</v>
      </c>
      <c r="C49" s="175">
        <v>41032</v>
      </c>
      <c r="D49" s="175">
        <v>7094136761.3000002</v>
      </c>
      <c r="E49" s="9">
        <v>0.01</v>
      </c>
      <c r="F49" s="8">
        <f>E49*D49</f>
        <v>70941367.613000005</v>
      </c>
    </row>
    <row r="50" spans="2:26" x14ac:dyDescent="0.3">
      <c r="B50" s="6" t="s">
        <v>92</v>
      </c>
      <c r="C50" s="175">
        <v>6797</v>
      </c>
      <c r="D50" s="175">
        <v>1304034486.9000001</v>
      </c>
      <c r="E50" s="9">
        <v>0.05</v>
      </c>
      <c r="F50" s="8">
        <f t="shared" ref="F50:F53" si="0">E50*D50</f>
        <v>65201724.345000006</v>
      </c>
      <c r="H50" s="175"/>
      <c r="I50" s="175"/>
      <c r="J50" s="175"/>
      <c r="K50" s="175"/>
      <c r="L50" s="175"/>
    </row>
    <row r="51" spans="2:26" x14ac:dyDescent="0.3">
      <c r="B51" s="6" t="s">
        <v>94</v>
      </c>
      <c r="C51" s="175">
        <v>4171</v>
      </c>
      <c r="D51" s="175">
        <v>359990285.25</v>
      </c>
      <c r="E51" s="9">
        <v>0.25</v>
      </c>
      <c r="F51" s="8">
        <f t="shared" si="0"/>
        <v>89997571.3125</v>
      </c>
      <c r="H51" s="175"/>
      <c r="I51" s="175"/>
      <c r="J51" s="175"/>
      <c r="K51" s="175"/>
      <c r="L51" s="175"/>
    </row>
    <row r="52" spans="2:26" x14ac:dyDescent="0.3">
      <c r="B52" s="6" t="s">
        <v>96</v>
      </c>
      <c r="C52" s="175">
        <v>3730</v>
      </c>
      <c r="D52" s="175">
        <v>174690250.22999999</v>
      </c>
      <c r="E52" s="9">
        <v>0.5</v>
      </c>
      <c r="F52" s="8">
        <f t="shared" si="0"/>
        <v>87345125.114999995</v>
      </c>
    </row>
    <row r="53" spans="2:26" x14ac:dyDescent="0.3">
      <c r="B53" s="6" t="s">
        <v>97</v>
      </c>
      <c r="C53" s="175">
        <v>4868</v>
      </c>
      <c r="D53" s="175">
        <v>239471942.02000001</v>
      </c>
      <c r="E53" s="9">
        <v>1</v>
      </c>
      <c r="F53" s="8">
        <f t="shared" si="0"/>
        <v>239471942.02000001</v>
      </c>
    </row>
    <row r="54" spans="2:26" x14ac:dyDescent="0.3">
      <c r="B54" s="7" t="s">
        <v>98</v>
      </c>
      <c r="C54" s="8">
        <f>C49+C50+C51+C52+C53</f>
        <v>60598</v>
      </c>
      <c r="D54" s="8">
        <f>SUM(D49:D53)</f>
        <v>9172323725.7000008</v>
      </c>
      <c r="E54" s="8">
        <v>1.81</v>
      </c>
      <c r="F54" s="8">
        <f>SUM(F49:F53)</f>
        <v>552957730.40550005</v>
      </c>
    </row>
    <row r="56" spans="2:26" x14ac:dyDescent="0.3">
      <c r="D56" s="5">
        <v>44713</v>
      </c>
    </row>
    <row r="57" spans="2:26" ht="41.4" x14ac:dyDescent="0.3">
      <c r="B57" s="1" t="s">
        <v>86</v>
      </c>
      <c r="C57" s="1" t="s">
        <v>87</v>
      </c>
      <c r="D57" s="1" t="s">
        <v>88</v>
      </c>
      <c r="E57" s="1" t="s">
        <v>89</v>
      </c>
      <c r="F57" s="1" t="s">
        <v>90</v>
      </c>
    </row>
    <row r="58" spans="2:26" x14ac:dyDescent="0.3">
      <c r="B58" s="6" t="s">
        <v>91</v>
      </c>
      <c r="C58" s="176">
        <v>45521</v>
      </c>
      <c r="D58" s="176">
        <v>8224042288.1999998</v>
      </c>
      <c r="E58" s="9">
        <v>0.01</v>
      </c>
      <c r="F58" s="8">
        <f>D58*E58</f>
        <v>82240422.881999999</v>
      </c>
      <c r="H58" s="176">
        <v>45521</v>
      </c>
      <c r="I58" s="176">
        <v>4580</v>
      </c>
      <c r="J58" s="176">
        <v>3412</v>
      </c>
      <c r="K58" s="176">
        <v>3979</v>
      </c>
      <c r="L58" s="176">
        <v>5151</v>
      </c>
      <c r="M58" s="177" t="s">
        <v>99</v>
      </c>
      <c r="N58" s="176">
        <v>8224042288.1999998</v>
      </c>
      <c r="O58" s="176">
        <v>740226188.78999996</v>
      </c>
      <c r="P58" s="176">
        <v>145195813.49000001</v>
      </c>
      <c r="Q58" s="176">
        <v>156612652.63999999</v>
      </c>
      <c r="R58" s="176">
        <v>242536155.72999999</v>
      </c>
      <c r="S58" s="201" t="s">
        <v>99</v>
      </c>
      <c r="T58" s="202"/>
      <c r="U58" s="203">
        <v>82240422.881999999</v>
      </c>
      <c r="V58" s="202"/>
      <c r="W58" s="176">
        <v>37011309.439499997</v>
      </c>
      <c r="X58" s="176">
        <v>36298953.372500002</v>
      </c>
      <c r="Y58" s="176">
        <v>78306326.319999993</v>
      </c>
      <c r="Z58" s="176">
        <v>242536155.72999999</v>
      </c>
    </row>
    <row r="59" spans="2:26" x14ac:dyDescent="0.3">
      <c r="B59" s="6" t="s">
        <v>92</v>
      </c>
      <c r="C59" s="176">
        <v>4580</v>
      </c>
      <c r="D59" s="176">
        <v>740226188.78999996</v>
      </c>
      <c r="E59" s="9">
        <v>0.05</v>
      </c>
      <c r="F59" s="8">
        <f>D59*E59</f>
        <v>37011309.439499997</v>
      </c>
    </row>
    <row r="60" spans="2:26" x14ac:dyDescent="0.3">
      <c r="B60" s="6" t="s">
        <v>94</v>
      </c>
      <c r="C60" s="176">
        <v>3412</v>
      </c>
      <c r="D60" s="176">
        <v>145195813.49000001</v>
      </c>
      <c r="E60" s="9">
        <v>0.25</v>
      </c>
      <c r="F60" s="8">
        <f>D60*E60</f>
        <v>36298953.372500002</v>
      </c>
    </row>
    <row r="61" spans="2:26" x14ac:dyDescent="0.3">
      <c r="B61" s="6" t="s">
        <v>96</v>
      </c>
      <c r="C61" s="176">
        <v>3979</v>
      </c>
      <c r="D61" s="176">
        <v>156612652.63999999</v>
      </c>
      <c r="E61" s="9">
        <v>0.5</v>
      </c>
      <c r="F61" s="8">
        <f>D61*E61</f>
        <v>78306326.319999993</v>
      </c>
    </row>
    <row r="62" spans="2:26" x14ac:dyDescent="0.3">
      <c r="B62" s="6" t="s">
        <v>97</v>
      </c>
      <c r="C62" s="176">
        <v>5151</v>
      </c>
      <c r="D62" s="176">
        <v>242536155.72999999</v>
      </c>
      <c r="E62" s="9">
        <v>1</v>
      </c>
      <c r="F62" s="8">
        <f>D62*E62</f>
        <v>242536155.72999999</v>
      </c>
    </row>
    <row r="63" spans="2:26" x14ac:dyDescent="0.3">
      <c r="B63" s="7" t="s">
        <v>98</v>
      </c>
      <c r="C63" s="8">
        <f>SUM(C58:C62)</f>
        <v>62643</v>
      </c>
      <c r="D63" s="8">
        <f>SUM(D58:D62)</f>
        <v>9508613098.8499985</v>
      </c>
      <c r="E63" s="8">
        <v>1.81</v>
      </c>
      <c r="F63" s="8">
        <f>SUM(F58:F62)</f>
        <v>476393167.74399996</v>
      </c>
    </row>
    <row r="65" spans="2:18" x14ac:dyDescent="0.3">
      <c r="D65" s="5">
        <v>44805</v>
      </c>
    </row>
    <row r="66" spans="2:18" ht="41.4" x14ac:dyDescent="0.3">
      <c r="B66" s="1" t="s">
        <v>86</v>
      </c>
      <c r="C66" s="1" t="s">
        <v>87</v>
      </c>
      <c r="D66" s="1" t="s">
        <v>88</v>
      </c>
      <c r="E66" s="1" t="s">
        <v>89</v>
      </c>
      <c r="F66" s="1" t="s">
        <v>90</v>
      </c>
    </row>
    <row r="67" spans="2:18" x14ac:dyDescent="0.3">
      <c r="B67" s="6" t="s">
        <v>91</v>
      </c>
      <c r="C67" s="176">
        <v>46029</v>
      </c>
      <c r="D67" s="176">
        <v>8196099431.5</v>
      </c>
      <c r="E67" s="9">
        <v>0.01</v>
      </c>
      <c r="F67" s="8">
        <f>D67*E67</f>
        <v>81960994.314999998</v>
      </c>
    </row>
    <row r="68" spans="2:18" x14ac:dyDescent="0.3">
      <c r="B68" s="6" t="s">
        <v>92</v>
      </c>
      <c r="C68" s="176">
        <v>5865</v>
      </c>
      <c r="D68" s="176">
        <v>1026145491.3</v>
      </c>
      <c r="E68" s="9">
        <v>0.05</v>
      </c>
      <c r="F68" s="8">
        <f>D68*E68</f>
        <v>51307274.564999998</v>
      </c>
      <c r="H68" s="176"/>
      <c r="I68" s="176"/>
      <c r="J68" s="176"/>
      <c r="K68" s="176"/>
      <c r="L68" s="176"/>
      <c r="M68" s="177"/>
      <c r="N68" s="176"/>
      <c r="O68" s="176"/>
      <c r="P68" s="176"/>
      <c r="Q68" s="176"/>
      <c r="R68" s="176"/>
    </row>
    <row r="69" spans="2:18" x14ac:dyDescent="0.3">
      <c r="B69" s="6" t="s">
        <v>94</v>
      </c>
      <c r="C69" s="176">
        <v>3828</v>
      </c>
      <c r="D69" s="176">
        <v>145589793.47999999</v>
      </c>
      <c r="E69" s="9">
        <v>0.25</v>
      </c>
      <c r="F69" s="8">
        <f>D69*E69</f>
        <v>36397448.369999997</v>
      </c>
    </row>
    <row r="70" spans="2:18" x14ac:dyDescent="0.3">
      <c r="B70" s="6" t="s">
        <v>96</v>
      </c>
      <c r="C70" s="176">
        <v>4371</v>
      </c>
      <c r="D70" s="176">
        <v>122397790.53</v>
      </c>
      <c r="E70" s="9">
        <v>0.5</v>
      </c>
      <c r="F70" s="8">
        <f>D70*E70</f>
        <v>61198895.265000001</v>
      </c>
    </row>
    <row r="71" spans="2:18" x14ac:dyDescent="0.3">
      <c r="B71" s="6" t="s">
        <v>97</v>
      </c>
      <c r="C71" s="176">
        <v>5527</v>
      </c>
      <c r="D71" s="176">
        <v>252483170.19</v>
      </c>
      <c r="E71" s="9">
        <v>1</v>
      </c>
      <c r="F71" s="8">
        <f>D71*E71</f>
        <v>252483170.19</v>
      </c>
    </row>
    <row r="72" spans="2:18" x14ac:dyDescent="0.3">
      <c r="B72" s="7" t="s">
        <v>98</v>
      </c>
      <c r="C72" s="8">
        <f>SUM(C67:C71)</f>
        <v>65620</v>
      </c>
      <c r="D72" s="8">
        <f>SUM(D67:D71)</f>
        <v>9742715677</v>
      </c>
      <c r="E72" s="8">
        <v>1.81</v>
      </c>
      <c r="F72" s="8">
        <f>SUM(F67:F71)</f>
        <v>483347782.70499998</v>
      </c>
    </row>
    <row r="74" spans="2:18" x14ac:dyDescent="0.3">
      <c r="D74" s="5">
        <v>44896</v>
      </c>
    </row>
    <row r="75" spans="2:18" ht="41.4" x14ac:dyDescent="0.3">
      <c r="B75" s="1" t="s">
        <v>86</v>
      </c>
      <c r="C75" s="1" t="s">
        <v>87</v>
      </c>
      <c r="D75" s="1" t="s">
        <v>88</v>
      </c>
      <c r="E75" s="1" t="s">
        <v>89</v>
      </c>
      <c r="F75" s="1" t="s">
        <v>90</v>
      </c>
    </row>
    <row r="76" spans="2:18" x14ac:dyDescent="0.3">
      <c r="B76" s="6" t="s">
        <v>91</v>
      </c>
      <c r="C76" s="160">
        <v>50989</v>
      </c>
      <c r="D76" s="160">
        <v>8138168521</v>
      </c>
      <c r="E76" s="9">
        <v>0.01</v>
      </c>
      <c r="F76" s="8">
        <f>D76*E76</f>
        <v>81381685.210000008</v>
      </c>
    </row>
    <row r="77" spans="2:18" x14ac:dyDescent="0.3">
      <c r="B77" s="6" t="s">
        <v>92</v>
      </c>
      <c r="C77" s="160">
        <v>6877</v>
      </c>
      <c r="D77" s="160">
        <v>1310842151</v>
      </c>
      <c r="E77" s="9">
        <v>0.05</v>
      </c>
      <c r="F77" s="8">
        <f>D77*E77</f>
        <v>65542107.550000004</v>
      </c>
    </row>
    <row r="78" spans="2:18" x14ac:dyDescent="0.3">
      <c r="B78" s="6" t="s">
        <v>94</v>
      </c>
      <c r="C78" s="160">
        <v>4808</v>
      </c>
      <c r="D78" s="160">
        <v>342265888</v>
      </c>
      <c r="E78" s="9">
        <v>0.25</v>
      </c>
      <c r="F78" s="8">
        <f>D78*E78</f>
        <v>85566472</v>
      </c>
    </row>
    <row r="79" spans="2:18" x14ac:dyDescent="0.3">
      <c r="B79" s="6" t="s">
        <v>96</v>
      </c>
      <c r="C79" s="160">
        <v>4922</v>
      </c>
      <c r="D79" s="160">
        <v>131011383</v>
      </c>
      <c r="E79" s="9">
        <v>0.5</v>
      </c>
      <c r="F79" s="8">
        <f>D79*E79</f>
        <v>65505691.5</v>
      </c>
    </row>
    <row r="80" spans="2:18" x14ac:dyDescent="0.3">
      <c r="B80" s="6" t="s">
        <v>97</v>
      </c>
      <c r="C80" s="160">
        <v>6032</v>
      </c>
      <c r="D80" s="160">
        <v>251557523</v>
      </c>
      <c r="E80" s="9">
        <v>1</v>
      </c>
      <c r="F80" s="8">
        <f>D80*E80</f>
        <v>251557523</v>
      </c>
    </row>
    <row r="81" spans="2:6" x14ac:dyDescent="0.3">
      <c r="B81" s="7" t="s">
        <v>98</v>
      </c>
      <c r="C81" s="8">
        <f>SUM(C76:C80)</f>
        <v>73628</v>
      </c>
      <c r="D81" s="8">
        <f>SUM(D76:D80)</f>
        <v>10173845466</v>
      </c>
      <c r="E81" s="8">
        <v>1.81</v>
      </c>
      <c r="F81" s="8">
        <f>SUM(F76:F80)</f>
        <v>549553479.25999999</v>
      </c>
    </row>
    <row r="84" spans="2:6" x14ac:dyDescent="0.3">
      <c r="D84" s="5" t="s">
        <v>3</v>
      </c>
    </row>
    <row r="85" spans="2:6" ht="41.4" x14ac:dyDescent="0.3">
      <c r="B85" s="1" t="s">
        <v>86</v>
      </c>
      <c r="C85" s="1" t="s">
        <v>87</v>
      </c>
      <c r="D85" s="1" t="s">
        <v>88</v>
      </c>
      <c r="E85" s="1" t="s">
        <v>89</v>
      </c>
      <c r="F85" s="1" t="s">
        <v>90</v>
      </c>
    </row>
    <row r="86" spans="2:6" x14ac:dyDescent="0.3">
      <c r="B86" s="6" t="s">
        <v>91</v>
      </c>
      <c r="C86" s="160">
        <v>50989</v>
      </c>
      <c r="D86" s="160">
        <v>8138168521</v>
      </c>
      <c r="E86" s="9">
        <v>0.01</v>
      </c>
      <c r="F86" s="8">
        <f>D86*E86</f>
        <v>81381685.210000008</v>
      </c>
    </row>
    <row r="87" spans="2:6" x14ac:dyDescent="0.3">
      <c r="B87" s="6" t="s">
        <v>92</v>
      </c>
      <c r="C87" s="160">
        <v>6877</v>
      </c>
      <c r="D87" s="160">
        <v>1310842151</v>
      </c>
      <c r="E87" s="9">
        <v>0.05</v>
      </c>
      <c r="F87" s="8">
        <f>D87*E87</f>
        <v>65542107.550000004</v>
      </c>
    </row>
    <row r="88" spans="2:6" x14ac:dyDescent="0.3">
      <c r="B88" s="6" t="s">
        <v>94</v>
      </c>
      <c r="C88" s="160">
        <v>4808</v>
      </c>
      <c r="D88" s="160">
        <v>342265888</v>
      </c>
      <c r="E88" s="9">
        <v>0.25</v>
      </c>
      <c r="F88" s="8">
        <f>D88*E88</f>
        <v>85566472</v>
      </c>
    </row>
    <row r="89" spans="2:6" x14ac:dyDescent="0.3">
      <c r="B89" s="6" t="s">
        <v>96</v>
      </c>
      <c r="C89" s="160">
        <v>4922</v>
      </c>
      <c r="D89" s="160">
        <v>131011383</v>
      </c>
      <c r="E89" s="9">
        <v>0.5</v>
      </c>
      <c r="F89" s="8">
        <f>D89*E89</f>
        <v>65505691.5</v>
      </c>
    </row>
    <row r="90" spans="2:6" x14ac:dyDescent="0.3">
      <c r="B90" s="6" t="s">
        <v>97</v>
      </c>
      <c r="C90" s="160">
        <v>6032</v>
      </c>
      <c r="D90" s="160">
        <v>251557523</v>
      </c>
      <c r="E90" s="9">
        <v>1</v>
      </c>
      <c r="F90" s="8">
        <f>D90*E90</f>
        <v>251557523</v>
      </c>
    </row>
    <row r="91" spans="2:6" x14ac:dyDescent="0.3">
      <c r="B91" s="7" t="s">
        <v>98</v>
      </c>
      <c r="C91" s="8">
        <f>SUM(C86:C90)</f>
        <v>73628</v>
      </c>
      <c r="D91" s="8">
        <f>SUM(D86:D90)</f>
        <v>10173845466</v>
      </c>
      <c r="E91" s="8">
        <v>1.81</v>
      </c>
      <c r="F91" s="8">
        <f>SUM(F86:F90)</f>
        <v>549553479.25999999</v>
      </c>
    </row>
  </sheetData>
  <mergeCells count="2">
    <mergeCell ref="S58:T58"/>
    <mergeCell ref="U58:V58"/>
  </mergeCells>
  <dataValidations count="2">
    <dataValidation type="decimal" showErrorMessage="1" errorTitle="Error Msg" error="Enter a NO" sqref="C3:C7" xr:uid="{00000000-0002-0000-0200-000000000000}">
      <formula1>0</formula1>
      <formula2>999999999999</formula2>
    </dataValidation>
    <dataValidation type="decimal" showErrorMessage="1" errorTitle="Error Msg" error="Enter a number" sqref="D3:D7" xr:uid="{00000000-0002-0000-0200-000001000000}">
      <formula1>0</formula1>
      <formula2>999999999999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V41"/>
  <sheetViews>
    <sheetView workbookViewId="0">
      <pane xSplit="3" topLeftCell="Y1" activePane="topRight" state="frozen"/>
      <selection pane="topRight" activeCell="AL14" sqref="AL14"/>
    </sheetView>
  </sheetViews>
  <sheetFormatPr defaultRowHeight="14.4" x14ac:dyDescent="0.3"/>
  <cols>
    <col min="1" max="1" width="20.44140625" customWidth="1"/>
    <col min="2" max="2" width="25.33203125" customWidth="1"/>
    <col min="3" max="3" width="10.5546875" bestFit="1" customWidth="1"/>
    <col min="4" max="10" width="12.5546875" hidden="1" customWidth="1"/>
    <col min="11" max="12" width="8" hidden="1" customWidth="1"/>
    <col min="13" max="13" width="11.6640625" hidden="1" customWidth="1"/>
    <col min="14" max="14" width="11.5546875" hidden="1" customWidth="1"/>
    <col min="15" max="15" width="8" hidden="1" customWidth="1"/>
    <col min="16" max="16" width="10.88671875" hidden="1" customWidth="1"/>
    <col min="17" max="17" width="9.6640625" hidden="1" customWidth="1"/>
    <col min="18" max="18" width="12.44140625" customWidth="1"/>
    <col min="19" max="19" width="9.5546875" customWidth="1"/>
    <col min="20" max="22" width="9.5546875" bestFit="1" customWidth="1"/>
    <col min="31" max="31" width="12.109375" bestFit="1" customWidth="1"/>
  </cols>
  <sheetData>
    <row r="1" spans="1:48" ht="18.600000000000001" thickBot="1" x14ac:dyDescent="0.4">
      <c r="A1" s="207" t="s">
        <v>100</v>
      </c>
      <c r="B1" s="207"/>
    </row>
    <row r="2" spans="1:48" x14ac:dyDescent="0.3">
      <c r="A2" s="48"/>
      <c r="B2" s="49"/>
      <c r="C2" s="49"/>
      <c r="D2" s="50" t="s">
        <v>0</v>
      </c>
      <c r="E2" s="50" t="s">
        <v>101</v>
      </c>
      <c r="F2" s="148">
        <v>44198</v>
      </c>
      <c r="G2" s="148">
        <v>44230</v>
      </c>
      <c r="H2" s="148">
        <v>44259</v>
      </c>
      <c r="I2" s="148">
        <v>44291</v>
      </c>
      <c r="J2" s="148">
        <v>44322</v>
      </c>
      <c r="K2" s="148">
        <v>44354</v>
      </c>
      <c r="L2" s="148">
        <v>44385</v>
      </c>
      <c r="M2" s="148">
        <v>44417</v>
      </c>
      <c r="N2" s="148">
        <v>44449</v>
      </c>
      <c r="O2" s="148">
        <v>44480</v>
      </c>
      <c r="P2" s="148">
        <v>44512</v>
      </c>
      <c r="Q2" s="148">
        <v>44543</v>
      </c>
      <c r="R2" s="148" t="s">
        <v>2</v>
      </c>
      <c r="S2" s="148">
        <v>44576</v>
      </c>
      <c r="T2" s="148">
        <v>44577</v>
      </c>
      <c r="U2" s="148">
        <v>44609</v>
      </c>
      <c r="V2" s="148">
        <v>44638</v>
      </c>
      <c r="W2" s="148">
        <v>44670</v>
      </c>
      <c r="X2" s="148">
        <v>44732</v>
      </c>
      <c r="Y2" s="148">
        <v>44763</v>
      </c>
      <c r="Z2" s="148">
        <v>44795</v>
      </c>
      <c r="AA2" s="148">
        <v>44827</v>
      </c>
      <c r="AB2" s="148">
        <v>44858</v>
      </c>
      <c r="AC2" s="148">
        <v>44890</v>
      </c>
      <c r="AD2" s="148">
        <v>44921</v>
      </c>
      <c r="AE2" s="148" t="s">
        <v>3</v>
      </c>
      <c r="AF2" s="148">
        <v>44927</v>
      </c>
      <c r="AG2" s="148">
        <v>44958</v>
      </c>
      <c r="AH2" s="148">
        <v>44986</v>
      </c>
      <c r="AI2" s="148">
        <v>45017</v>
      </c>
      <c r="AJ2" s="148">
        <v>45047</v>
      </c>
      <c r="AK2" s="148">
        <v>45078</v>
      </c>
      <c r="AL2" s="148">
        <v>45108</v>
      </c>
      <c r="AM2" s="148">
        <v>45139</v>
      </c>
      <c r="AN2" s="148">
        <v>45170</v>
      </c>
      <c r="AO2" s="148">
        <v>45200</v>
      </c>
      <c r="AP2" s="148">
        <v>45231</v>
      </c>
      <c r="AQ2" s="148">
        <v>45261</v>
      </c>
      <c r="AR2" s="148"/>
    </row>
    <row r="3" spans="1:48" ht="15" x14ac:dyDescent="0.3">
      <c r="A3" s="208" t="s">
        <v>102</v>
      </c>
      <c r="B3" s="3" t="s">
        <v>103</v>
      </c>
      <c r="C3" s="21" t="s">
        <v>104</v>
      </c>
      <c r="D3" s="66">
        <f>(('Evolutive SFP'!B39+'Evolutive SFP'!B40+'Evolutive SFP'!B41+'Evolutive SFP'!B42+'Evolutive SFP'!B43+'Evolutive SFP'!B44)-'Evolutive SFP'!B10)/1000000</f>
        <v>15.259572</v>
      </c>
      <c r="E3" s="66">
        <f>(('Evolutive SFP'!C39+'Evolutive SFP'!C40+'Evolutive SFP'!C41+'Evolutive SFP'!C42+'Evolutive SFP'!C43+'Evolutive SFP'!C44)-'Evolutive SFP'!C10)/1000000</f>
        <v>2158.0724049999999</v>
      </c>
      <c r="F3" s="66">
        <f>(('Evolutive SFP'!D39+'Evolutive SFP'!D40+'Evolutive SFP'!D41+'Evolutive SFP'!D42+'Evolutive SFP'!D43+'Evolutive SFP'!D44)-'Evolutive SFP'!D10)/1000000</f>
        <v>2233.8165868500005</v>
      </c>
      <c r="G3" s="66">
        <f>(('Evolutive SFP'!E39+'Evolutive SFP'!E40+'Evolutive SFP'!E41+'Evolutive SFP'!E42+'Evolutive SFP'!E43+'Evolutive SFP'!E44)-'Evolutive SFP'!E10)/1000000</f>
        <v>2245.7213017600002</v>
      </c>
      <c r="H3" s="66">
        <f>(('Evolutive SFP'!F39+'Evolutive SFP'!F40+'Evolutive SFP'!F41+'Evolutive SFP'!F42+'Evolutive SFP'!F43+'Evolutive SFP'!F44)-'Evolutive SFP'!F10)/1000000</f>
        <v>2362.2459910100001</v>
      </c>
      <c r="I3" s="66">
        <f>(('Evolutive SFP'!G39+'Evolutive SFP'!G40+'Evolutive SFP'!G41+'Evolutive SFP'!G42+'Evolutive SFP'!G43+'Evolutive SFP'!G44)-'Evolutive SFP'!G10)/1000000</f>
        <v>2452.9929958899997</v>
      </c>
      <c r="J3" s="66">
        <f>(('Evolutive SFP'!H39+'Evolutive SFP'!H40+'Evolutive SFP'!H41+'Evolutive SFP'!H42+'Evolutive SFP'!H43+'Evolutive SFP'!H44)-'Evolutive SFP'!H10)/1000000</f>
        <v>2537.4056638899997</v>
      </c>
      <c r="K3" s="66">
        <f>(('Evolutive SFP'!I39+'Evolutive SFP'!I40+'Evolutive SFP'!I41+'Evolutive SFP'!I42+'Evolutive SFP'!I43+'Evolutive SFP'!I44)-'Evolutive SFP'!I10)/1000000</f>
        <v>2570.8402978399999</v>
      </c>
      <c r="L3" s="66">
        <f>(('Evolutive SFP'!J39+'Evolutive SFP'!J40+'Evolutive SFP'!J41+'Evolutive SFP'!J42+'Evolutive SFP'!J43+'Evolutive SFP'!J44)-'Evolutive SFP'!J10)/1000000</f>
        <v>2736.09824979</v>
      </c>
      <c r="M3" s="66">
        <f>(('Evolutive SFP'!K39+'Evolutive SFP'!K40+'Evolutive SFP'!K41+'Evolutive SFP'!K42+'Evolutive SFP'!K43+'Evolutive SFP'!K44)-'Evolutive SFP'!K10)/1000000</f>
        <v>2841.1750120600004</v>
      </c>
      <c r="N3" s="66">
        <f>(('Evolutive SFP'!L39+'Evolutive SFP'!L40+'Evolutive SFP'!L41+'Evolutive SFP'!L42+'Evolutive SFP'!L43+'Evolutive SFP'!L44)-'Evolutive SFP'!L10)/1000000</f>
        <v>2879.6852335399999</v>
      </c>
      <c r="O3" s="66">
        <f>(('Evolutive SFP'!M39+'Evolutive SFP'!M40+'Evolutive SFP'!M41+'Evolutive SFP'!M42+'Evolutive SFP'!M43+'Evolutive SFP'!M44)-'Evolutive SFP'!M10)/1000000</f>
        <v>2983.84590329</v>
      </c>
      <c r="P3" s="66">
        <f>(('Evolutive SFP'!N39+'Evolutive SFP'!N40+'Evolutive SFP'!N41+'Evolutive SFP'!N42+'Evolutive SFP'!N43+'Evolutive SFP'!N44)-'Evolutive SFP'!N10)/1000000</f>
        <v>3078.4959888900003</v>
      </c>
      <c r="Q3" s="66">
        <f>(('Evolutive SFP'!O39+'Evolutive SFP'!O40+'Evolutive SFP'!O41+'Evolutive SFP'!O42+'Evolutive SFP'!O43+'Evolutive SFP'!O44)-'Evolutive SFP'!O10)/1000000</f>
        <v>3206.1811158500004</v>
      </c>
      <c r="R3" s="66">
        <f>(('Evolutive SFP'!P39+'Evolutive SFP'!P40+'Evolutive SFP'!P41+'Evolutive SFP'!P42+'Evolutive SFP'!P43+'Evolutive SFP'!P44)-'Evolutive SFP'!P10)/1000000</f>
        <v>2652.8139820000001</v>
      </c>
      <c r="S3" s="66">
        <f>(('Evolutive SFP'!Q39+'Evolutive SFP'!Q40+'Evolutive SFP'!Q41+'Evolutive SFP'!Q42+'Evolutive SFP'!Q43+'Evolutive SFP'!Q44)-'Evolutive SFP'!Q10)/1000000</f>
        <v>2774.6999933400002</v>
      </c>
      <c r="T3" s="66">
        <f>(('Evolutive SFP'!R39+'Evolutive SFP'!R40+'Evolutive SFP'!R41+'Evolutive SFP'!R42+'Evolutive SFP'!R43+'Evolutive SFP'!R44)-'Evolutive SFP'!R10)/1000000</f>
        <v>2817.60894689</v>
      </c>
      <c r="U3" s="66">
        <f>(('Evolutive SFP'!S39+'Evolutive SFP'!S40+'Evolutive SFP'!S41+'Evolutive SFP'!S42+'Evolutive SFP'!S43+'Evolutive SFP'!S44)-'Evolutive SFP'!S10)/1000000</f>
        <v>2908.0642668299997</v>
      </c>
      <c r="V3" s="66">
        <f>(('Evolutive SFP'!T39+'Evolutive SFP'!T40+'Evolutive SFP'!T41+'Evolutive SFP'!T42+'Evolutive SFP'!T43+'Evolutive SFP'!T44)-'Evolutive SFP'!T10)/1000000</f>
        <v>3018.0045135800001</v>
      </c>
      <c r="W3" s="66">
        <f>(('Evolutive SFP'!U39+'Evolutive SFP'!U40+'Evolutive SFP'!U41+'Evolutive SFP'!U42+'Evolutive SFP'!U43+'Evolutive SFP'!U44)-'Evolutive SFP'!U10)/1000000</f>
        <v>3117.5790317799997</v>
      </c>
      <c r="X3" s="66">
        <f>(('Evolutive SFP'!V39+'Evolutive SFP'!V40+'Evolutive SFP'!V41+'Evolutive SFP'!V42+'Evolutive SFP'!V43+'Evolutive SFP'!V44)-'Evolutive SFP'!V10)/1000000</f>
        <v>3276.13169883</v>
      </c>
      <c r="Y3" s="66">
        <f>(('Evolutive SFP'!W39+'Evolutive SFP'!W40+'Evolutive SFP'!W41+'Evolutive SFP'!W42+'Evolutive SFP'!W43+'Evolutive SFP'!W44)-'Evolutive SFP'!W10)/1000000</f>
        <v>3338.8538514400002</v>
      </c>
      <c r="Z3" s="66">
        <f>(('Evolutive SFP'!X39+'Evolutive SFP'!X40+'Evolutive SFP'!X41+'Evolutive SFP'!X42+'Evolutive SFP'!X43+'Evolutive SFP'!X44)-'Evolutive SFP'!X10)/1000000</f>
        <v>3440.0938108900004</v>
      </c>
      <c r="AA3" s="66">
        <f>(('Evolutive SFP'!Y39+'Evolutive SFP'!Y40+'Evolutive SFP'!Y41+'Evolutive SFP'!Y42+'Evolutive SFP'!Y43+'Evolutive SFP'!Y44)-'Evolutive SFP'!Y10)/1000000</f>
        <v>3422.36754806</v>
      </c>
      <c r="AB3" s="66">
        <f>(('Evolutive SFP'!Z39+'Evolutive SFP'!Z40+'Evolutive SFP'!Z41+'Evolutive SFP'!Z42+'Evolutive SFP'!Z43+'Evolutive SFP'!Z44)-'Evolutive SFP'!Z10)/1000000</f>
        <v>3534.7434918000004</v>
      </c>
      <c r="AC3" s="66">
        <f>(('Evolutive SFP'!AA39+'Evolutive SFP'!AA40+'Evolutive SFP'!AA41+'Evolutive SFP'!AA42+'Evolutive SFP'!AA43+'Evolutive SFP'!AA44)-'Evolutive SFP'!AA10)/1000000</f>
        <v>3615.17948591</v>
      </c>
      <c r="AD3" s="66">
        <f>(('Evolutive SFP'!AB39+'Evolutive SFP'!AB40+'Evolutive SFP'!AB41+'Evolutive SFP'!AB42+'Evolutive SFP'!AB43+'Evolutive SFP'!AB44)-'Evolutive SFP'!AB10)/1000000</f>
        <v>3737.5151237499999</v>
      </c>
      <c r="AE3" s="66">
        <f>(('Evolutive SFP'!AC39+'Evolutive SFP'!AC40+'Evolutive SFP'!AC41+'Evolutive SFP'!AC42+'Evolutive SFP'!AC43+'Evolutive SFP'!AC44)-'Evolutive SFP'!AC10)/1000000</f>
        <v>3139.758417</v>
      </c>
      <c r="AF3" s="66">
        <f>(('Evolutive SFP'!AD39+'Evolutive SFP'!AD40+'Evolutive SFP'!AD41+'Evolutive SFP'!AD42+'Evolutive SFP'!AD43+'Evolutive SFP'!AD44)-'Evolutive SFP'!AD10)/1000000</f>
        <v>3251.6065218999997</v>
      </c>
      <c r="AG3" s="66">
        <f>(('Evolutive SFP'!AE39+'Evolutive SFP'!AE40+'Evolutive SFP'!AE41+'Evolutive SFP'!AE42+'Evolutive SFP'!AE43+'Evolutive SFP'!AE44)-'Evolutive SFP'!AE10)/1000000</f>
        <v>3339.6399088499998</v>
      </c>
      <c r="AH3" s="66">
        <f>(('Evolutive SFP'!AF39+'Evolutive SFP'!AF40+'Evolutive SFP'!AF41+'Evolutive SFP'!AF42+'Evolutive SFP'!AF43+'Evolutive SFP'!AF44)-'Evolutive SFP'!AF10)/1000000</f>
        <v>3427.9987394300001</v>
      </c>
      <c r="AI3" s="66">
        <f>(('Evolutive SFP'!AG39+'Evolutive SFP'!AG40+'Evolutive SFP'!AG41+'Evolutive SFP'!AG42+'Evolutive SFP'!AG43+'Evolutive SFP'!AG44)-'Evolutive SFP'!AG10)/1000000</f>
        <v>3526.6849386999997</v>
      </c>
      <c r="AJ3" s="66">
        <f>(('Evolutive SFP'!AH39+'Evolutive SFP'!AH40+'Evolutive SFP'!AH41+'Evolutive SFP'!AH42+'Evolutive SFP'!AH43+'Evolutive SFP'!AH44)-'Evolutive SFP'!AH10)/1000000</f>
        <v>3624.1884751299999</v>
      </c>
      <c r="AK3" s="66">
        <f>(('Evolutive SFP'!AI39+'Evolutive SFP'!AI40+'Evolutive SFP'!AI41+'Evolutive SFP'!AI42+'Evolutive SFP'!AI43+'Evolutive SFP'!AI44)-'Evolutive SFP'!AI10)/1000000</f>
        <v>0</v>
      </c>
      <c r="AL3" s="66">
        <f>(('Evolutive SFP'!AJ39+'Evolutive SFP'!AJ40+'Evolutive SFP'!AJ41+'Evolutive SFP'!AJ42+'Evolutive SFP'!AJ43+'Evolutive SFP'!AJ44)-'Evolutive SFP'!AJ10)/1000000</f>
        <v>0</v>
      </c>
      <c r="AM3" s="66">
        <f>(('Evolutive SFP'!AK39+'Evolutive SFP'!AK40+'Evolutive SFP'!AK41+'Evolutive SFP'!AK42+'Evolutive SFP'!AK43+'Evolutive SFP'!AK44)-'Evolutive SFP'!AK10)/1000000</f>
        <v>0</v>
      </c>
      <c r="AN3" s="66">
        <f>(('Evolutive SFP'!AL39+'Evolutive SFP'!AL40+'Evolutive SFP'!AL41+'Evolutive SFP'!AL42+'Evolutive SFP'!AL43+'Evolutive SFP'!AL44)-'Evolutive SFP'!AL10)/1000000</f>
        <v>0</v>
      </c>
      <c r="AO3" s="66">
        <f>(('Evolutive SFP'!AM39+'Evolutive SFP'!AM40+'Evolutive SFP'!AM41+'Evolutive SFP'!AM42+'Evolutive SFP'!AM43+'Evolutive SFP'!AM44)-'Evolutive SFP'!AM10)/1000000</f>
        <v>0</v>
      </c>
      <c r="AP3" s="66">
        <f>(('Evolutive SFP'!AN39+'Evolutive SFP'!AN40+'Evolutive SFP'!AN41+'Evolutive SFP'!AN42+'Evolutive SFP'!AN43+'Evolutive SFP'!AN44)-'Evolutive SFP'!AN10)/1000000</f>
        <v>0</v>
      </c>
      <c r="AQ3" s="66">
        <f>(('Evolutive SFP'!AO39+'Evolutive SFP'!AO40+'Evolutive SFP'!AO41+'Evolutive SFP'!AO42+'Evolutive SFP'!AO43+'Evolutive SFP'!AO44)-'Evolutive SFP'!AO10)/1000000</f>
        <v>0</v>
      </c>
      <c r="AR3" s="66">
        <f>(('Evolutive SFP'!AP39+'Evolutive SFP'!AP40+'Evolutive SFP'!AP41+'Evolutive SFP'!AP42+'Evolutive SFP'!AP43+'Evolutive SFP'!AP44)-'Evolutive SFP'!AP10)/1000000</f>
        <v>0</v>
      </c>
      <c r="AS3" s="66">
        <f>(('Evolutive SFP'!AQ39+'Evolutive SFP'!AQ40+'Evolutive SFP'!AQ41+'Evolutive SFP'!AQ42+'Evolutive SFP'!AQ43+'Evolutive SFP'!AQ44)-'Evolutive SFP'!AQ10)/1000000</f>
        <v>0</v>
      </c>
      <c r="AT3" s="66">
        <f>(('Evolutive SFP'!AR39+'Evolutive SFP'!AR40+'Evolutive SFP'!AR41+'Evolutive SFP'!AR42+'Evolutive SFP'!AR43+'Evolutive SFP'!AR44)-'Evolutive SFP'!AR10)/1000000</f>
        <v>0</v>
      </c>
      <c r="AU3" s="66">
        <f>(('Evolutive SFP'!AS39+'Evolutive SFP'!AS40+'Evolutive SFP'!AS41+'Evolutive SFP'!AS42+'Evolutive SFP'!AS43+'Evolutive SFP'!AS44)-'Evolutive SFP'!AS10)/1000000</f>
        <v>0</v>
      </c>
      <c r="AV3" s="66">
        <f>(('Evolutive SFP'!AT39+'Evolutive SFP'!AT40+'Evolutive SFP'!AT41+'Evolutive SFP'!AT42+'Evolutive SFP'!AT43+'Evolutive SFP'!AT44)-'Evolutive SFP'!AT10)/1000000</f>
        <v>0</v>
      </c>
    </row>
    <row r="4" spans="1:48" ht="15" x14ac:dyDescent="0.3">
      <c r="A4" s="208"/>
      <c r="B4" s="3" t="s">
        <v>105</v>
      </c>
      <c r="C4" s="21" t="s">
        <v>106</v>
      </c>
      <c r="D4" s="43">
        <f>D3/(('Evolutive SFP'!B27)/1000000)</f>
        <v>0.10104624267317215</v>
      </c>
      <c r="E4" s="43">
        <f>E3/(('Evolutive SFP'!C27)/1000000)</f>
        <v>0.23115032959748608</v>
      </c>
      <c r="F4" s="43">
        <f>F3/(('Evolutive SFP'!D27)/1000000)</f>
        <v>0.23727460467620792</v>
      </c>
      <c r="G4" s="43">
        <f>G3/(('Evolutive SFP'!E27)/1000000)</f>
        <v>0.23814833626214107</v>
      </c>
      <c r="H4" s="43">
        <f>H3/(('Evolutive SFP'!F27)/1000000)</f>
        <v>0.25218708848954807</v>
      </c>
      <c r="I4" s="43">
        <f>I3/(('Evolutive SFP'!G27)/1000000)</f>
        <v>0.26057624068251456</v>
      </c>
      <c r="J4" s="43">
        <f>J3/(('Evolutive SFP'!H27)/1000000)</f>
        <v>0.26482572124081455</v>
      </c>
      <c r="K4" s="43">
        <f>K3/(('Evolutive SFP'!I27)/1000000)</f>
        <v>0.26622875810289898</v>
      </c>
      <c r="L4" s="43">
        <f>L3/(('Evolutive SFP'!J27)/1000000)</f>
        <v>0.27713830694351882</v>
      </c>
      <c r="M4" s="43">
        <f>M3/(('Evolutive SFP'!K27)/1000000)</f>
        <v>0.28345972152089394</v>
      </c>
      <c r="N4" s="43">
        <f>N3/(('Evolutive SFP'!L27)/1000000)</f>
        <v>0.28545454940530596</v>
      </c>
      <c r="O4" s="43">
        <f>O3/(('Evolutive SFP'!M27)/1000000)</f>
        <v>0.29178285430540557</v>
      </c>
      <c r="P4" s="43">
        <f>P3/(('Evolutive SFP'!N27)/1000000)</f>
        <v>0.29885400235984394</v>
      </c>
      <c r="Q4" s="43">
        <f>Q3/(('Evolutive SFP'!O27)/1000000)</f>
        <v>0.30754253084519589</v>
      </c>
      <c r="R4" s="43">
        <f>R3/(('Evolutive SFP'!P27)/1000000)</f>
        <v>0.25311163004828191</v>
      </c>
      <c r="S4" s="43">
        <f>S3/(('Evolutive SFP'!Q27)/1000000)</f>
        <v>0.26323744318346687</v>
      </c>
      <c r="T4" s="43">
        <f>T3/(('Evolutive SFP'!R27)/1000000)</f>
        <v>0.2659582995825398</v>
      </c>
      <c r="U4" s="43">
        <f>U3/(('Evolutive SFP'!S27)/1000000)</f>
        <v>0.27865147643853472</v>
      </c>
      <c r="V4" s="43">
        <f>V3/(('Evolutive SFP'!T27)/1000000)</f>
        <v>0.28673681842114146</v>
      </c>
      <c r="W4" s="43">
        <f>W3/(('Evolutive SFP'!U27)/1000000)</f>
        <v>0.29386827735740123</v>
      </c>
      <c r="X4" s="43">
        <f>X3/(('Evolutive SFP'!V27)/1000000)</f>
        <v>0.3004929286656946</v>
      </c>
      <c r="Y4" s="43">
        <f>Y3/(('Evolutive SFP'!W27)/1000000)</f>
        <v>0.30481534837386337</v>
      </c>
      <c r="Z4" s="43">
        <f>Z3/(('Evolutive SFP'!X27)/1000000)</f>
        <v>0.30903700748453711</v>
      </c>
      <c r="AA4" s="43">
        <f>AA3/(('Evolutive SFP'!Y27)/1000000)</f>
        <v>0.30557868921797471</v>
      </c>
      <c r="AB4" s="43">
        <f>AB3/(('Evolutive SFP'!Z27)/1000000)</f>
        <v>0.30981245232177379</v>
      </c>
      <c r="AC4" s="43">
        <f>AC3/(('Evolutive SFP'!AA27)/1000000)</f>
        <v>0.31550624708122099</v>
      </c>
      <c r="AD4" s="43">
        <f>AD3/(('Evolutive SFP'!AB27)/1000000)</f>
        <v>0.32135620996468645</v>
      </c>
      <c r="AE4" s="43">
        <f>AE3/(('Evolutive SFP'!AC27)/1000000)</f>
        <v>0.26915713415773501</v>
      </c>
      <c r="AF4" s="43">
        <f>AF3/(('Evolutive SFP'!AD27)/1000000)</f>
        <v>0.2761684395863559</v>
      </c>
      <c r="AG4" s="43">
        <f>AG3/(('Evolutive SFP'!AE27)/1000000)</f>
        <v>0.27836947133175516</v>
      </c>
      <c r="AH4" s="43">
        <f>AH3/(('Evolutive SFP'!AF27)/1000000)</f>
        <v>0.28891035305204704</v>
      </c>
      <c r="AI4" s="43">
        <f>AI3/(('Evolutive SFP'!AG27)/1000000)</f>
        <v>0.2947186956690368</v>
      </c>
      <c r="AJ4" s="43">
        <f>AJ3/(('Evolutive SFP'!AH27)/1000000)</f>
        <v>0.29892768598926045</v>
      </c>
      <c r="AK4" s="43" t="e">
        <f>AK3/(('Evolutive SFP'!AI27)/1000000)</f>
        <v>#DIV/0!</v>
      </c>
      <c r="AL4" s="43" t="e">
        <f>AL3/(('Evolutive SFP'!AJ27)/1000000)</f>
        <v>#DIV/0!</v>
      </c>
      <c r="AM4" s="43" t="e">
        <f>AM3/(('Evolutive SFP'!AK27)/1000000)</f>
        <v>#DIV/0!</v>
      </c>
      <c r="AN4" s="43" t="e">
        <f>AN3/(('Evolutive SFP'!AL27)/1000000)</f>
        <v>#DIV/0!</v>
      </c>
      <c r="AO4" s="43" t="e">
        <f>AO3/(('Evolutive SFP'!AM27)/1000000)</f>
        <v>#DIV/0!</v>
      </c>
      <c r="AP4" s="43" t="e">
        <f>AP3/(('Evolutive SFP'!AN27)/1000000)</f>
        <v>#DIV/0!</v>
      </c>
      <c r="AQ4" s="43" t="e">
        <f>AQ3/(('Evolutive SFP'!AO27)/1000000)</f>
        <v>#DIV/0!</v>
      </c>
      <c r="AR4" s="43" t="e">
        <f>AR3/(('Evolutive SFP'!AP27)/1000000)</f>
        <v>#DIV/0!</v>
      </c>
      <c r="AS4" s="43" t="e">
        <f>AS3/(('Evolutive SFP'!AQ27)/1000000)</f>
        <v>#DIV/0!</v>
      </c>
      <c r="AT4" s="43" t="e">
        <f>AT3/(('Evolutive SFP'!AR27)/1000000)</f>
        <v>#DIV/0!</v>
      </c>
      <c r="AU4" s="43" t="e">
        <f>AU3/(('Evolutive SFP'!AS27)/1000000)</f>
        <v>#DIV/0!</v>
      </c>
      <c r="AV4" s="43" t="e">
        <f>AV3/(('Evolutive SFP'!AT27)/1000000)</f>
        <v>#DIV/0!</v>
      </c>
    </row>
    <row r="5" spans="1:48" ht="15" x14ac:dyDescent="0.3">
      <c r="A5" s="208"/>
      <c r="B5" s="3" t="s">
        <v>107</v>
      </c>
      <c r="C5" s="21" t="s">
        <v>108</v>
      </c>
      <c r="D5" s="43">
        <f>D3/('Evolutive SFP'!B31/1000000)</f>
        <v>0.11865530316137229</v>
      </c>
      <c r="E5" s="43">
        <f>E3/('Evolutive SFP'!C31/1000000)</f>
        <v>0.34496917881328387</v>
      </c>
      <c r="F5" s="43">
        <f>F3/('Evolutive SFP'!D31/1000000)</f>
        <v>0.35646123331218654</v>
      </c>
      <c r="G5" s="43">
        <f>G3/('Evolutive SFP'!E31/1000000)</f>
        <v>0.33789948938537212</v>
      </c>
      <c r="H5" s="43">
        <f>H3/('Evolutive SFP'!F31/1000000)</f>
        <v>0.35995702991512246</v>
      </c>
      <c r="I5" s="43">
        <f>I3/('Evolutive SFP'!G31/1000000)</f>
        <v>0.37670320028877768</v>
      </c>
      <c r="J5" s="43">
        <f>J3/('Evolutive SFP'!H31/1000000)</f>
        <v>0.38390949499282784</v>
      </c>
      <c r="K5" s="43">
        <f>K3/('Evolutive SFP'!I31/1000000)</f>
        <v>0.38790728523906481</v>
      </c>
      <c r="L5" s="43">
        <f>L3/('Evolutive SFP'!J31/1000000)</f>
        <v>0.40751142303519039</v>
      </c>
      <c r="M5" s="43">
        <f>M3/('Evolutive SFP'!K31/1000000)</f>
        <v>0.42014682033615441</v>
      </c>
      <c r="N5" s="43">
        <f>N3/('Evolutive SFP'!L31/1000000)</f>
        <v>0.4231746376101741</v>
      </c>
      <c r="O5" s="43">
        <f>O3/('Evolutive SFP'!M31/1000000)</f>
        <v>0.43454754657098321</v>
      </c>
      <c r="P5" s="43">
        <f>P3/('Evolutive SFP'!N31/1000000)</f>
        <v>0.44983358009555519</v>
      </c>
      <c r="Q5" s="43">
        <f>Q3/('Evolutive SFP'!O31/1000000)</f>
        <v>0.46776708439810682</v>
      </c>
      <c r="R5" s="43">
        <f>R3/('Evolutive SFP'!P31/1000000)</f>
        <v>0.38703869999143309</v>
      </c>
      <c r="S5" s="43">
        <f>S3/('Evolutive SFP'!Q31/1000000)</f>
        <v>0.40179033557007499</v>
      </c>
      <c r="T5" s="43">
        <f>T3/('Evolutive SFP'!R31/1000000)</f>
        <v>0.39145582783107336</v>
      </c>
      <c r="U5" s="43">
        <f>U3/('Evolutive SFP'!S31/1000000)</f>
        <v>0.40418122980726584</v>
      </c>
      <c r="V5" s="43">
        <f>V3/('Evolutive SFP'!T31/1000000)</f>
        <v>0.41872588332441296</v>
      </c>
      <c r="W5" s="43">
        <f>W3/('Evolutive SFP'!U31/1000000)</f>
        <v>0.43227788447252397</v>
      </c>
      <c r="X5" s="43">
        <f>X3/('Evolutive SFP'!V31/1000000)</f>
        <v>0.45389888862955713</v>
      </c>
      <c r="Y5" s="43">
        <f>Y3/('Evolutive SFP'!W31/1000000)</f>
        <v>0.45899141597978438</v>
      </c>
      <c r="Z5" s="43">
        <f>Z3/('Evolutive SFP'!X31/1000000)</f>
        <v>0.47179681405274637</v>
      </c>
      <c r="AA5" s="43">
        <f>AA3/('Evolutive SFP'!Y31/1000000)</f>
        <v>0.46617071342521899</v>
      </c>
      <c r="AB5" s="43">
        <f>AB3/('Evolutive SFP'!Z31/1000000)</f>
        <v>0.4724931081128686</v>
      </c>
      <c r="AC5" s="43">
        <f>AC3/('Evolutive SFP'!AA31/1000000)</f>
        <v>0.48384740036760127</v>
      </c>
      <c r="AD5" s="43">
        <f>AD3/('Evolutive SFP'!AB31/1000000)</f>
        <v>0.49935106932178075</v>
      </c>
      <c r="AE5" s="43">
        <f>AE3/('Evolutive SFP'!AC31/1000000)</f>
        <v>0.41948772680381524</v>
      </c>
      <c r="AF5" s="43">
        <f>AF3/('Evolutive SFP'!AD31/1000000)</f>
        <v>0.43229483592405543</v>
      </c>
      <c r="AG5" s="43">
        <f>AG3/('Evolutive SFP'!AE31/1000000)</f>
        <v>0.44101269641372842</v>
      </c>
      <c r="AH5" s="43">
        <f>AH3/('Evolutive SFP'!AF31/1000000)</f>
        <v>0.43684099744917915</v>
      </c>
      <c r="AI5" s="43">
        <f>AI3/('Evolutive SFP'!AG31/1000000)</f>
        <v>0.44733119758865908</v>
      </c>
      <c r="AJ5" s="43">
        <f>AJ3/('Evolutive SFP'!AH31/1000000)</f>
        <v>0.45851808873140604</v>
      </c>
      <c r="AK5" s="43" t="e">
        <f>AK3/('Evolutive SFP'!AI31/1000000)</f>
        <v>#DIV/0!</v>
      </c>
      <c r="AL5" s="43" t="e">
        <f>AL3/('Evolutive SFP'!AJ31/1000000)</f>
        <v>#DIV/0!</v>
      </c>
      <c r="AM5" s="43" t="e">
        <f>AM3/('Evolutive SFP'!AK31/1000000)</f>
        <v>#DIV/0!</v>
      </c>
      <c r="AN5" s="43" t="e">
        <f>AN3/('Evolutive SFP'!AL31/1000000)</f>
        <v>#DIV/0!</v>
      </c>
      <c r="AO5" s="43" t="e">
        <f>AO3/('Evolutive SFP'!AM31/1000000)</f>
        <v>#DIV/0!</v>
      </c>
      <c r="AP5" s="43" t="e">
        <f>AP3/('Evolutive SFP'!AN31/1000000)</f>
        <v>#DIV/0!</v>
      </c>
      <c r="AQ5" s="43" t="e">
        <f>AQ3/('Evolutive SFP'!AO31/1000000)</f>
        <v>#DIV/0!</v>
      </c>
      <c r="AR5" s="43" t="e">
        <f>AR3/('Evolutive SFP'!AP31/1000000)</f>
        <v>#DIV/0!</v>
      </c>
      <c r="AS5" s="43" t="e">
        <f>AS3/('Evolutive SFP'!AQ31/1000000)</f>
        <v>#DIV/0!</v>
      </c>
      <c r="AT5" s="43" t="e">
        <f>AT3/('Evolutive SFP'!AR31/1000000)</f>
        <v>#DIV/0!</v>
      </c>
      <c r="AU5" s="43" t="e">
        <f>AU3/('Evolutive SFP'!AS31/1000000)</f>
        <v>#DIV/0!</v>
      </c>
      <c r="AV5" s="43" t="e">
        <f>AV3/('Evolutive SFP'!AT31/1000000)</f>
        <v>#DIV/0!</v>
      </c>
    </row>
    <row r="6" spans="1:48" ht="15" x14ac:dyDescent="0.3">
      <c r="A6" s="208"/>
      <c r="B6" s="3" t="s">
        <v>109</v>
      </c>
      <c r="C6" s="21" t="s">
        <v>108</v>
      </c>
      <c r="D6" s="43">
        <f>((D3*1000000)-'Evolutive SFP'!B39)/'Evolutive SFP'!B27</f>
        <v>3.1552176925888298E-2</v>
      </c>
      <c r="E6" s="43">
        <f>((E3*1000000)-'Evolutive SFP'!C39)/'Evolutive SFP'!C27</f>
        <v>0.1854064394146453</v>
      </c>
      <c r="F6" s="43">
        <f>((F3*1000000)-'Evolutive SFP'!D39)/'Evolutive SFP'!D27</f>
        <v>0.19189690813722085</v>
      </c>
      <c r="G6" s="43">
        <f>((G3*1000000)-'Evolutive SFP'!E39)/'Evolutive SFP'!E27</f>
        <v>0.192727112504055</v>
      </c>
      <c r="H6" s="43">
        <f>((H3*1000000)-'Evolutive SFP'!F39)/'Evolutive SFP'!F27</f>
        <v>0.20637139045563241</v>
      </c>
      <c r="I6" s="43">
        <f>((I3*1000000)-'Evolutive SFP'!G39)/'Evolutive SFP'!G27</f>
        <v>0.21495014446583244</v>
      </c>
      <c r="J6" s="43">
        <f>((J3*1000000)-'Evolutive SFP'!H39)/'Evolutive SFP'!H27</f>
        <v>0.21997479198085765</v>
      </c>
      <c r="K6" s="43">
        <f>((K3*1000000)-'Evolutive SFP'!I39)/'Evolutive SFP'!I27</f>
        <v>0.22170322373795026</v>
      </c>
      <c r="L6" s="43">
        <f>((L3*1000000)-'Evolutive SFP'!J39)/'Evolutive SFP'!J27</f>
        <v>0.22875301762719547</v>
      </c>
      <c r="M6" s="43">
        <f>((M3*1000000)-'Evolutive SFP'!K39)/'Evolutive SFP'!K27</f>
        <v>0.23575064314322383</v>
      </c>
      <c r="N6" s="43">
        <f>((N3*1000000)-'Evolutive SFP'!L39)/'Evolutive SFP'!L27</f>
        <v>0.23804347350708893</v>
      </c>
      <c r="O6" s="43">
        <f>((O3*1000000)-'Evolutive SFP'!M39)/'Evolutive SFP'!M27</f>
        <v>0.24497308859436487</v>
      </c>
      <c r="P6" s="43">
        <f>((P3*1000000)-'Evolutive SFP'!N39)/'Evolutive SFP'!N27</f>
        <v>0.25237420487122725</v>
      </c>
      <c r="Q6" s="43">
        <f>((Q3*1000000)-'Evolutive SFP'!O39)/'Evolutive SFP'!O27</f>
        <v>0.25694949639752102</v>
      </c>
      <c r="R6" s="43">
        <f>((R3*1000000)-'Evolutive SFP'!P39)/'Evolutive SFP'!P27</f>
        <v>0.20278719604166029</v>
      </c>
      <c r="S6" s="43">
        <f>((S3*1000000)-'Evolutive SFP'!Q39)/'Evolutive SFP'!Q27</f>
        <v>0.21317361704897478</v>
      </c>
      <c r="T6" s="43">
        <f>((T3*1000000)-'Evolutive SFP'!R39)/'Evolutive SFP'!R27</f>
        <v>0.21604203656204291</v>
      </c>
      <c r="U6" s="43">
        <f>((U3*1000000)-'Evolutive SFP'!S39)/'Evolutive SFP'!S27</f>
        <v>0.22749041280927856</v>
      </c>
      <c r="V6" s="43">
        <f>((V3*1000000)-'Evolutive SFP'!T39)/'Evolutive SFP'!T27</f>
        <v>0.23578633956084361</v>
      </c>
      <c r="W6" s="43">
        <f>((W3*1000000)-'Evolutive SFP'!U39)/'Evolutive SFP'!U27</f>
        <v>0.24324813288653663</v>
      </c>
      <c r="X6" s="43">
        <f>((X3*1000000)-'Evolutive SFP'!V39)/'Evolutive SFP'!V27</f>
        <v>0.2446601239975453</v>
      </c>
      <c r="Y6" s="43">
        <f>((Y3*1000000)-'Evolutive SFP'!W39)/'Evolutive SFP'!W27</f>
        <v>0.24864828163225003</v>
      </c>
      <c r="Z6" s="43">
        <f>((Z3*1000000)-'Evolutive SFP'!X39)/'Evolutive SFP'!X27</f>
        <v>0.25301947234036098</v>
      </c>
      <c r="AA6" s="43">
        <f>((AA3*1000000)-'Evolutive SFP'!Y39)/'Evolutive SFP'!Y27</f>
        <v>0.24985441404565462</v>
      </c>
      <c r="AB6" s="43">
        <f>((AB3*1000000)-'Evolutive SFP'!Z39)/'Evolutive SFP'!Z27</f>
        <v>0.2548486572695387</v>
      </c>
      <c r="AC6" s="43">
        <f>((AC3*1000000)-'Evolutive SFP'!AA39)/'Evolutive SFP'!AA27</f>
        <v>0.26070876904789542</v>
      </c>
      <c r="AD6" s="43">
        <f>((AD3*1000000)-'Evolutive SFP'!AB39)/'Evolutive SFP'!AB27</f>
        <v>0.2589790282339417</v>
      </c>
      <c r="AE6" s="43">
        <f>((AE3*1000000)-'Evolutive SFP'!AC39)/'Evolutive SFP'!AC27</f>
        <v>0.20696554227750238</v>
      </c>
      <c r="AF6" s="43">
        <f>((AF3*1000000)-'Evolutive SFP'!AD39)/'Evolutive SFP'!AD27</f>
        <v>0.21447753704323547</v>
      </c>
      <c r="AG6" s="43">
        <f>((AG3*1000000)-'Evolutive SFP'!AE39)/'Evolutive SFP'!AE27</f>
        <v>0.21779406882386784</v>
      </c>
      <c r="AH6" s="43">
        <f>((AH3*1000000)-'Evolutive SFP'!AF39)/'Evolutive SFP'!AF27</f>
        <v>0.22753872418001539</v>
      </c>
      <c r="AI6" s="43">
        <f>((AI3*1000000)-'Evolutive SFP'!AG39)/'Evolutive SFP'!AG27</f>
        <v>0.23367512384194095</v>
      </c>
      <c r="AJ6" s="43">
        <f>((AJ3*1000000)-'Evolutive SFP'!AH39)/'Evolutive SFP'!AH27</f>
        <v>0.23859860494092736</v>
      </c>
      <c r="AK6" s="43" t="e">
        <f>((AK3*1000000)-'Evolutive SFP'!AI39)/'Evolutive SFP'!AI27</f>
        <v>#DIV/0!</v>
      </c>
      <c r="AL6" s="43" t="e">
        <f>((AL3*1000000)-'Evolutive SFP'!AJ39)/'Evolutive SFP'!AJ27</f>
        <v>#DIV/0!</v>
      </c>
      <c r="AM6" s="43" t="e">
        <f>((AM3*1000000)-'Evolutive SFP'!AK39)/'Evolutive SFP'!AK27</f>
        <v>#DIV/0!</v>
      </c>
      <c r="AN6" s="43" t="e">
        <f>((AN3*1000000)-'Evolutive SFP'!AL39)/'Evolutive SFP'!AL27</f>
        <v>#DIV/0!</v>
      </c>
      <c r="AO6" s="43" t="e">
        <f>((AO3*1000000)-'Evolutive SFP'!AM39)/'Evolutive SFP'!AM27</f>
        <v>#DIV/0!</v>
      </c>
      <c r="AP6" s="43" t="e">
        <f>((AP3*1000000)-'Evolutive SFP'!AN39)/'Evolutive SFP'!AN27</f>
        <v>#DIV/0!</v>
      </c>
      <c r="AQ6" s="43" t="e">
        <f>((AQ3*1000000)-'Evolutive SFP'!AO39)/'Evolutive SFP'!AO27</f>
        <v>#DIV/0!</v>
      </c>
      <c r="AR6" s="43" t="e">
        <f>((AR3*1000000)-'Evolutive SFP'!AP39)/'Evolutive SFP'!AP27</f>
        <v>#DIV/0!</v>
      </c>
      <c r="AS6" s="43" t="e">
        <f>((AS3*1000000)-'Evolutive SFP'!AQ39)/'Evolutive SFP'!AQ27</f>
        <v>#DIV/0!</v>
      </c>
      <c r="AT6" s="43" t="e">
        <f>((AT3*1000000)-'Evolutive SFP'!AR39)/'Evolutive SFP'!AR27</f>
        <v>#DIV/0!</v>
      </c>
      <c r="AU6" s="43" t="e">
        <f>((AU3*1000000)-'Evolutive SFP'!AS39)/'Evolutive SFP'!AS27</f>
        <v>#DIV/0!</v>
      </c>
      <c r="AV6" s="43" t="e">
        <f>((AV3*1000000)-'Evolutive SFP'!AT39)/'Evolutive SFP'!AT27</f>
        <v>#DIV/0!</v>
      </c>
    </row>
    <row r="7" spans="1:48" ht="15" x14ac:dyDescent="0.3">
      <c r="A7" s="208" t="s">
        <v>110</v>
      </c>
      <c r="B7" s="3" t="s">
        <v>111</v>
      </c>
      <c r="C7" s="21"/>
      <c r="D7" s="21"/>
      <c r="E7" s="21"/>
      <c r="F7" s="21"/>
      <c r="G7" s="21"/>
      <c r="H7" s="21" t="e">
        <f>'Evolutive SFP'!#REF!</f>
        <v>#REF!</v>
      </c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</row>
    <row r="8" spans="1:48" ht="15" x14ac:dyDescent="0.3">
      <c r="A8" s="208"/>
      <c r="B8" s="3" t="s">
        <v>112</v>
      </c>
      <c r="C8" s="21"/>
      <c r="D8" s="21"/>
      <c r="E8" s="21"/>
      <c r="F8" s="21"/>
      <c r="G8" s="21"/>
      <c r="H8" s="109">
        <f>('FORM 4'!D5+'FORM 4'!D6+'FORM 4'!D7)</f>
        <v>663195931.31999993</v>
      </c>
      <c r="I8" s="109"/>
      <c r="J8" s="109"/>
      <c r="K8" s="109"/>
      <c r="L8" s="109"/>
      <c r="M8" s="109"/>
      <c r="N8" s="109"/>
      <c r="O8" s="109"/>
      <c r="P8" s="109"/>
      <c r="Q8" s="109"/>
      <c r="R8" s="109">
        <f>('FORM 4'!D42+'FORM 4'!D43+'FORM 4'!D44)/'Evolutive SFP'!P15</f>
        <v>5.6105981290302441E-2</v>
      </c>
      <c r="S8" s="109"/>
      <c r="T8" s="109"/>
      <c r="U8" s="109"/>
      <c r="V8" s="109">
        <f>('FORM 4'!D51+'FORM 4'!D52+'FORM 4'!D53)/'Evolutive SFP'!S15</f>
        <v>8.4400910898414616E-2</v>
      </c>
      <c r="W8" s="109"/>
      <c r="X8" s="109">
        <f>('FORM 4'!D60+'FORM 4'!D61+'FORM 4'!D62)/'Evolutive SFP'!V15</f>
        <v>5.7247530865025383E-2</v>
      </c>
      <c r="Y8" s="109"/>
      <c r="Z8" s="109"/>
      <c r="AA8" s="109">
        <f>('FORM 4'!D69+'FORM 4'!D70+'FORM 4'!D71)/'Evolutive SFP'!Y15</f>
        <v>5.3421527575646013E-2</v>
      </c>
      <c r="AB8" s="109"/>
      <c r="AC8" s="109"/>
      <c r="AD8" s="109">
        <f>('FORM 4'!D78+'FORM 4'!D79+'FORM 4'!D80)/'Evolutive SFP'!AB15</f>
        <v>7.1244918784672484E-2</v>
      </c>
      <c r="AE8" s="109">
        <f>('FORM 4'!D88+'FORM 4'!D89+'FORM 4'!D90)/'Evolutive SFP'!AC15</f>
        <v>7.1417173429715125E-2</v>
      </c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</row>
    <row r="9" spans="1:48" ht="15" x14ac:dyDescent="0.3">
      <c r="A9" s="206" t="s">
        <v>113</v>
      </c>
      <c r="B9" s="3" t="s">
        <v>114</v>
      </c>
      <c r="C9" s="21"/>
      <c r="D9" s="21"/>
      <c r="E9" s="51">
        <f>'Evolutitve SCI'!C33/(('Evolutive SFP'!B27+'Evolutive SFP'!C27)/2)</f>
        <v>7.6607984362094095E-2</v>
      </c>
      <c r="F9" s="51">
        <f>'Evolutitve SCI'!D33/(('Evolutive SFP'!C27+'Evolutive SFP'!D27)/2)</f>
        <v>8.4967990534825458E-3</v>
      </c>
      <c r="G9" s="51">
        <f>'Evolutitve SCI'!E33/(('Evolutive SFP'!D27+'Evolutive SFP'!E27)/2)</f>
        <v>1.5078756456259201E-2</v>
      </c>
      <c r="H9" s="51">
        <f>'Evolutitve SCI'!F33/(('Evolutive SFP'!E27+'Evolutive SFP'!F27)/2)</f>
        <v>2.326349113694786E-2</v>
      </c>
      <c r="I9" s="51">
        <f>'Evolutitve SCI'!G33/(('Evolutive SFP'!F27+'Evolutive SFP'!G27)/2)</f>
        <v>3.2415583310847554E-2</v>
      </c>
      <c r="J9" s="51">
        <f>'Evolutitve SCI'!H33/(('Evolutive SFP'!G27+'Evolutive SFP'!H27)/2)</f>
        <v>4.0508852709998149E-2</v>
      </c>
      <c r="K9" s="51">
        <f>'Evolutitve SCI'!I33/(('Evolutive SFP'!H27+'Evolutive SFP'!I27)/2)</f>
        <v>4.7894628939734896E-2</v>
      </c>
      <c r="L9" s="51">
        <f>'Evolutitve SCI'!J33/(('Evolutive SFP'!I27+'Evolutive SFP'!J27)/2)</f>
        <v>5.8749537268768172E-2</v>
      </c>
      <c r="M9" s="51">
        <f>'Evolutitve SCI'!K33/(('Evolutive SFP'!J27+'Evolutive SFP'!K27)/2)</f>
        <v>6.772634307827112E-2</v>
      </c>
      <c r="N9" s="51">
        <f>'Evolutitve SCI'!L33/(('Evolutive SFP'!K27+'Evolutive SFP'!L27)/2)</f>
        <v>7.0364173943135128E-2</v>
      </c>
      <c r="O9" s="51">
        <f>'Evolutitve SCI'!M33/(('Evolutive SFP'!L27+'Evolutive SFP'!M27)/2)</f>
        <v>7.7086336340875874E-2</v>
      </c>
      <c r="P9" s="51">
        <f>'Evolutitve SCI'!N33/(('Evolutive SFP'!M27+'Evolutive SFP'!N27)/2)</f>
        <v>8.5042581051543595E-2</v>
      </c>
      <c r="Q9" s="51">
        <f>'Evolutitve SCI'!O33/(('Evolutive SFP'!N27+'Evolutive SFP'!O27)/2)</f>
        <v>9.0130212427848688E-2</v>
      </c>
      <c r="R9" s="51">
        <f>'Evolutitve SCI'!P33/(('Evolutive SFP'!O27+'Evolutive SFP'!P27)/2)</f>
        <v>4.7111209691376263E-2</v>
      </c>
      <c r="S9" s="51">
        <f>'Evolutitve SCI'!Q33/(('Evolutive SFP'!P27+'Evolutive SFP'!Q27)/2)</f>
        <v>7.8919555080252096E-3</v>
      </c>
      <c r="T9" s="51">
        <f>'Evolutitve SCI'!R33/(('Evolutive SFP'!Q27+'Evolutive SFP'!R27)/2)</f>
        <v>1.4616370708339394E-2</v>
      </c>
      <c r="U9" s="51">
        <f>'Evolutitve SCI'!S33/(('Evolutive SFP'!R27+'Evolutive SFP'!S27)/2)</f>
        <v>2.1866498181691108E-2</v>
      </c>
      <c r="V9" s="51">
        <f>'Evolutitve SCI'!T33/(('Evolutive SFP'!S27+'Evolutive SFP'!T27)/2)</f>
        <v>3.1464971350012153E-2</v>
      </c>
      <c r="W9" s="51">
        <f>'Evolutitve SCI'!U33/(('Evolutive SFP'!T27+'Evolutive SFP'!U27)/2)</f>
        <v>3.9892198921812942E-2</v>
      </c>
      <c r="X9" s="51">
        <f>'Evolutitve SCI'!V33/(('Evolutive SFP'!U27+'Evolutive SFP'!V27)/2)</f>
        <v>4.6642052658207103E-2</v>
      </c>
      <c r="Y9" s="51">
        <f>'Evolutitve SCI'!W33/(('Evolutive SFP'!V27+'Evolutive SFP'!W27)/2)</f>
        <v>5.1362708641022339E-2</v>
      </c>
      <c r="Z9" s="51">
        <f>'Evolutitve SCI'!X33/(('Evolutive SFP'!W27+'Evolutive SFP'!X27)/2)</f>
        <v>5.9491294101284578E-2</v>
      </c>
      <c r="AA9" s="51">
        <f>'Evolutitve SCI'!Y33/(('Evolutive SFP'!X27+'Evolutive SFP'!Y27)/2)</f>
        <v>6.537827038423992E-2</v>
      </c>
      <c r="AB9" s="51">
        <f>'Evolutitve SCI'!Z33/(('Evolutive SFP'!Y27+'Evolutive SFP'!Z27)/2)</f>
        <v>7.2787726758790028E-2</v>
      </c>
      <c r="AC9" s="51">
        <f>'Evolutitve SCI'!AA33/(('Evolutive SFP'!Z27+'Evolutive SFP'!AA27)/2)</f>
        <v>7.8391978230374831E-2</v>
      </c>
      <c r="AD9" s="51">
        <f>'Evolutitve SCI'!AB33/(('Evolutive SFP'!AA27+'Evolutive SFP'!AB27)/2)</f>
        <v>7.7142249217170555E-2</v>
      </c>
      <c r="AE9" s="51">
        <f>'Evolutitve SCI'!AC33/(('Evolutive SFP'!AB27+'Evolutive SFP'!AC27)/2)</f>
        <v>3.5900912658114834E-2</v>
      </c>
      <c r="AF9" s="51">
        <f>'Evolutitve SCI'!AD33/(('Evolutive SFP'!AC27+'Evolutive SFP'!AD27)/2)</f>
        <v>9.5288763688533267E-3</v>
      </c>
      <c r="AG9" s="51">
        <f>'Evolutitve SCI'!AE33/(('Evolutive SFP'!AD27+'Evolutive SFP'!AE27)/2)</f>
        <v>1.6096359769783009E-2</v>
      </c>
      <c r="AH9" s="51">
        <f>'Evolutitve SCI'!AF33/(('Evolutive SFP'!AE27+'Evolutive SFP'!AF27)/2)</f>
        <v>2.2382097674316325E-2</v>
      </c>
      <c r="AI9" s="51">
        <f>'Evolutitve SCI'!AG33/(('Evolutive SFP'!AF27+'Evolutive SFP'!AG27)/2)</f>
        <v>3.0170152511514156E-2</v>
      </c>
      <c r="AJ9" s="51">
        <f>'Evolutitve SCI'!AH33/(('Evolutive SFP'!AG27+'Evolutive SFP'!AH27)/2)</f>
        <v>3.7030406162321956E-2</v>
      </c>
      <c r="AK9" s="51">
        <f>'Evolutitve SCI'!AI33/(('Evolutive SFP'!AH27+'Evolutive SFP'!AI27)/2)</f>
        <v>0</v>
      </c>
      <c r="AL9" s="51" t="e">
        <f>'Evolutitve SCI'!AJ33/(('Evolutive SFP'!AI27+'Evolutive SFP'!AJ27)/2)</f>
        <v>#DIV/0!</v>
      </c>
      <c r="AM9" s="51" t="e">
        <f>'Evolutitve SCI'!AK33/(('Evolutive SFP'!AJ27+'Evolutive SFP'!AK27)/2)</f>
        <v>#DIV/0!</v>
      </c>
      <c r="AN9" s="51" t="e">
        <f>'Evolutitve SCI'!AL33/(('Evolutive SFP'!AK27+'Evolutive SFP'!AL27)/2)</f>
        <v>#DIV/0!</v>
      </c>
      <c r="AO9" s="51" t="e">
        <f>'Evolutitve SCI'!AM33/(('Evolutive SFP'!AL27+'Evolutive SFP'!AM27)/2)</f>
        <v>#DIV/0!</v>
      </c>
      <c r="AP9" s="51" t="e">
        <f>'Evolutitve SCI'!AN33/(('Evolutive SFP'!AM27+'Evolutive SFP'!AN27)/2)</f>
        <v>#DIV/0!</v>
      </c>
      <c r="AQ9" s="51" t="e">
        <f>'Evolutitve SCI'!AO33/(('Evolutive SFP'!AN27+'Evolutive SFP'!AO27)/2)</f>
        <v>#DIV/0!</v>
      </c>
      <c r="AR9" s="51" t="e">
        <f>'Evolutitve SCI'!AP33/(('Evolutive SFP'!AO27+'Evolutive SFP'!AP27)/2)</f>
        <v>#DIV/0!</v>
      </c>
      <c r="AS9" s="51" t="e">
        <f>'Evolutitve SCI'!AQ33/(('Evolutive SFP'!AP27+'Evolutive SFP'!AQ27)/2)</f>
        <v>#DIV/0!</v>
      </c>
      <c r="AT9" s="51" t="e">
        <f>'Evolutitve SCI'!AR33/(('Evolutive SFP'!AQ27+'Evolutive SFP'!AR27)/2)</f>
        <v>#DIV/0!</v>
      </c>
      <c r="AU9" s="51" t="e">
        <f>'Evolutitve SCI'!AS33/(('Evolutive SFP'!AR27+'Evolutive SFP'!AS27)/2)</f>
        <v>#DIV/0!</v>
      </c>
      <c r="AV9" s="51" t="e">
        <f>'Evolutitve SCI'!AT33/(('Evolutive SFP'!AS27+'Evolutive SFP'!AT27)/2)</f>
        <v>#DIV/0!</v>
      </c>
    </row>
    <row r="10" spans="1:48" ht="15" x14ac:dyDescent="0.3">
      <c r="A10" s="206"/>
      <c r="B10" s="3" t="s">
        <v>115</v>
      </c>
      <c r="C10" s="21"/>
      <c r="D10" s="23">
        <f>'Evolutitve SCI'!B23/'Evolutitve SCI'!B19</f>
        <v>0.78428841146364925</v>
      </c>
      <c r="E10" s="23">
        <f>'Evolutitve SCI'!C23/'Evolutitve SCI'!C19</f>
        <v>0.53413004119468621</v>
      </c>
      <c r="F10" s="23">
        <f>'Evolutitve SCI'!D23/'Evolutitve SCI'!D19</f>
        <v>0.29148484792406476</v>
      </c>
      <c r="G10" s="23">
        <f>'Evolutitve SCI'!E23/'Evolutitve SCI'!E19</f>
        <v>0.35831027126102455</v>
      </c>
      <c r="H10" s="23">
        <f>'Evolutitve SCI'!F23/'Evolutitve SCI'!F19</f>
        <v>0.36104477757172054</v>
      </c>
      <c r="I10" s="23">
        <f>'Evolutitve SCI'!G23/'Evolutitve SCI'!G19</f>
        <v>0.35806720693781285</v>
      </c>
      <c r="J10" s="23">
        <f>'Evolutitve SCI'!H23/'Evolutitve SCI'!H19</f>
        <v>0.35881936992127383</v>
      </c>
      <c r="K10" s="23">
        <f>'Evolutitve SCI'!I23/'Evolutitve SCI'!I19</f>
        <v>0.3586479585463459</v>
      </c>
      <c r="L10" s="23">
        <f>'Evolutitve SCI'!J23/'Evolutitve SCI'!J19</f>
        <v>0.34020167613786806</v>
      </c>
      <c r="M10" s="23">
        <f>'Evolutitve SCI'!K23/'Evolutitve SCI'!K19</f>
        <v>0.33096663941223697</v>
      </c>
      <c r="N10" s="23">
        <f>'Evolutitve SCI'!L23/'Evolutitve SCI'!L19</f>
        <v>0.34402826250899171</v>
      </c>
      <c r="O10" s="23">
        <f>'Evolutitve SCI'!M23/'Evolutitve SCI'!M19</f>
        <v>0.34855121275071166</v>
      </c>
      <c r="P10" s="23">
        <f>'Evolutitve SCI'!N23/'Evolutitve SCI'!N19</f>
        <v>0.35464457522036641</v>
      </c>
      <c r="Q10" s="23">
        <f>'Evolutitve SCI'!O23/'Evolutitve SCI'!O19</f>
        <v>0.36630481838957679</v>
      </c>
      <c r="R10" s="23">
        <f>'Evolutitve SCI'!P23/'Evolutitve SCI'!P19</f>
        <v>0.54982165153058293</v>
      </c>
      <c r="S10" s="23">
        <f>'Evolutitve SCI'!Q23/'Evolutitve SCI'!Q19</f>
        <v>0.29400148917293772</v>
      </c>
      <c r="T10" s="23">
        <f>'Evolutitve SCI'!R23/'Evolutitve SCI'!R19</f>
        <v>0.37218078540552024</v>
      </c>
      <c r="U10" s="23">
        <f>'Evolutitve SCI'!S23/'Evolutitve SCI'!S19</f>
        <v>0.40092984893971206</v>
      </c>
      <c r="V10" s="23">
        <f>'Evolutitve SCI'!T23/'Evolutitve SCI'!T19</f>
        <v>0.37338590264704591</v>
      </c>
      <c r="W10" s="23">
        <f>'Evolutitve SCI'!U23/'Evolutitve SCI'!U19</f>
        <v>0.36619630052417301</v>
      </c>
      <c r="X10" s="23">
        <f>'Evolutitve SCI'!V23/'Evolutitve SCI'!V19</f>
        <v>0.37347768580438745</v>
      </c>
      <c r="Y10" s="23">
        <f>'Evolutitve SCI'!W23/'Evolutitve SCI'!W19</f>
        <v>0.39596699083750186</v>
      </c>
      <c r="Z10" s="23">
        <f>'Evolutitve SCI'!X23/'Evolutitve SCI'!X19</f>
        <v>0.38274885943635145</v>
      </c>
      <c r="AA10" s="23">
        <f>'Evolutitve SCI'!Y23/'Evolutitve SCI'!Y19</f>
        <v>0.39141921784877426</v>
      </c>
      <c r="AB10" s="23">
        <f>'Evolutitve SCI'!Z23/'Evolutitve SCI'!Z19</f>
        <v>0.38494027340769155</v>
      </c>
      <c r="AC10" s="23">
        <f>'Evolutitve SCI'!AA23/'Evolutitve SCI'!AA19</f>
        <v>0.3954836619483143</v>
      </c>
      <c r="AD10" s="23">
        <f>'Evolutitve SCI'!AB23/'Evolutitve SCI'!AB19</f>
        <v>0.42190266126653725</v>
      </c>
      <c r="AE10" s="23">
        <f>'Evolutitve SCI'!AC23/'Evolutitve SCI'!AC19</f>
        <v>0.63335106697489751</v>
      </c>
      <c r="AF10" s="23">
        <f>'Evolutitve SCI'!AD23/'Evolutitve SCI'!AD19</f>
        <v>0.23687755813387776</v>
      </c>
      <c r="AG10" s="23">
        <f>'Evolutitve SCI'!AE23/'Evolutitve SCI'!AE19</f>
        <v>0.30612627604305681</v>
      </c>
      <c r="AH10" s="23">
        <f>'Evolutitve SCI'!AF23/'Evolutitve SCI'!AF19</f>
        <v>0.37231658840008508</v>
      </c>
      <c r="AI10" s="23">
        <f>'Evolutitve SCI'!AG23/'Evolutitve SCI'!AG19</f>
        <v>0.3681255185744417</v>
      </c>
      <c r="AJ10" s="23">
        <f>'Evolutitve SCI'!AH23/'Evolutitve SCI'!AH19</f>
        <v>0.37062813585447552</v>
      </c>
      <c r="AK10" s="23" t="e">
        <f>'Evolutitve SCI'!AI23/'Evolutitve SCI'!AI19</f>
        <v>#DIV/0!</v>
      </c>
      <c r="AL10" s="23" t="e">
        <f>'Evolutitve SCI'!AJ23/'Evolutitve SCI'!AJ19</f>
        <v>#DIV/0!</v>
      </c>
      <c r="AM10" s="23" t="e">
        <f>'Evolutitve SCI'!AK23/'Evolutitve SCI'!AK19</f>
        <v>#DIV/0!</v>
      </c>
      <c r="AN10" s="23" t="e">
        <f>'Evolutitve SCI'!AL23/'Evolutitve SCI'!AL19</f>
        <v>#DIV/0!</v>
      </c>
      <c r="AO10" s="23" t="e">
        <f>'Evolutitve SCI'!AM23/'Evolutitve SCI'!AM19</f>
        <v>#DIV/0!</v>
      </c>
      <c r="AP10" s="23" t="e">
        <f>'Evolutitve SCI'!AN23/'Evolutitve SCI'!AN19</f>
        <v>#DIV/0!</v>
      </c>
      <c r="AQ10" s="23" t="e">
        <f>'Evolutitve SCI'!AO23/'Evolutitve SCI'!AO19</f>
        <v>#DIV/0!</v>
      </c>
      <c r="AR10" s="23" t="e">
        <f>'Evolutitve SCI'!AP23/'Evolutitve SCI'!AP19</f>
        <v>#DIV/0!</v>
      </c>
      <c r="AS10" s="23" t="e">
        <f>'Evolutitve SCI'!AQ23/'Evolutitve SCI'!AQ19</f>
        <v>#DIV/0!</v>
      </c>
      <c r="AT10" s="23" t="e">
        <f>'Evolutitve SCI'!AR23/'Evolutitve SCI'!AR19</f>
        <v>#DIV/0!</v>
      </c>
      <c r="AU10" s="23" t="e">
        <f>'Evolutitve SCI'!AS23/'Evolutitve SCI'!AS19</f>
        <v>#DIV/0!</v>
      </c>
      <c r="AV10" s="23" t="e">
        <f>'Evolutitve SCI'!AT23/'Evolutitve SCI'!AT19</f>
        <v>#DIV/0!</v>
      </c>
    </row>
    <row r="11" spans="1:48" ht="18.75" customHeight="1" x14ac:dyDescent="0.3">
      <c r="A11" s="206"/>
      <c r="B11" s="3" t="s">
        <v>116</v>
      </c>
      <c r="C11" s="21"/>
      <c r="D11" s="23">
        <f>('Evolutitve SCI'!B23+'Evolutitve SCI'!B12)/(('Evolutive SFP'!B27+'Evolutive SFP'!C27)/2)</f>
        <v>2.4387406375010331E-6</v>
      </c>
      <c r="E11" s="23">
        <f>('Evolutitve SCI'!C23+'Evolutitve SCI'!C12)/(('Evolutive SFP'!C27+'Evolutive SFP'!D27)/2)</f>
        <v>0.10835235640988485</v>
      </c>
      <c r="F11" s="23">
        <f>('Evolutitve SCI'!D23+'Evolutitve SCI'!D12)/(('Evolutive SFP'!D27+'Evolutive SFP'!E27)/2)</f>
        <v>3.9568459486936172E-3</v>
      </c>
      <c r="G11" s="23">
        <f>('Evolutitve SCI'!E23+'Evolutitve SCI'!E12)/(('Evolutive SFP'!E27+'Evolutive SFP'!F27)/2)</f>
        <v>1.0262557389086291E-2</v>
      </c>
      <c r="H11" s="23">
        <f>('Evolutitve SCI'!F23+'Evolutitve SCI'!F12)/(('Evolutive SFP'!F27+'Evolutive SFP'!G27)/2)</f>
        <v>1.526765636973457E-2</v>
      </c>
      <c r="I11" s="23">
        <f>('Evolutitve SCI'!G23+'Evolutitve SCI'!G12)/(('Evolutive SFP'!G27+'Evolutive SFP'!H27)/2)</f>
        <v>2.0128782554173635E-2</v>
      </c>
      <c r="J11" s="23">
        <f>('Evolutitve SCI'!H23+'Evolutitve SCI'!H12)/(('Evolutive SFP'!H27+'Evolutive SFP'!I27)/2)</f>
        <v>2.516862413648124E-2</v>
      </c>
      <c r="K11" s="23">
        <f>('Evolutitve SCI'!I23+'Evolutitve SCI'!I12)/(('Evolutive SFP'!I27+'Evolutive SFP'!J27)/2)</f>
        <v>2.9940784230679626E-2</v>
      </c>
      <c r="L11" s="23">
        <f>('Evolutitve SCI'!J23+'Evolutitve SCI'!J12)/(('Evolutive SFP'!J27+'Evolutive SFP'!K27)/2)</f>
        <v>3.3559151505020354E-2</v>
      </c>
      <c r="M11" s="23">
        <f>('Evolutitve SCI'!K23+'Evolutitve SCI'!K12)/(('Evolutive SFP'!K27+'Evolutive SFP'!L27)/2)</f>
        <v>3.7524308354804137E-2</v>
      </c>
      <c r="N11" s="23">
        <f>('Evolutitve SCI'!L23+'Evolutitve SCI'!L12)/(('Evolutive SFP'!L27+'Evolutive SFP'!M27)/2)</f>
        <v>4.3562966399139105E-2</v>
      </c>
      <c r="O11" s="23">
        <f>('Evolutitve SCI'!M23+'Evolutitve SCI'!M12)/(('Evolutive SFP'!M27+'Evolutive SFP'!N27)/2)</f>
        <v>4.8281542211943244E-2</v>
      </c>
      <c r="P11" s="23">
        <f>('Evolutitve SCI'!N23+'Evolutitve SCI'!N12)/(('Evolutive SFP'!N27+'Evolutive SFP'!O27)/2)</f>
        <v>5.3952658399655642E-2</v>
      </c>
      <c r="Q11" s="23">
        <f>('Evolutitve SCI'!O23+'Evolutitve SCI'!O12)/(('Evolutive SFP'!O27+'Evolutive SFP'!P27)/2)</f>
        <v>6.3973102371775031E-2</v>
      </c>
      <c r="R11" s="23">
        <f>('Evolutitve SCI'!P23+'Evolutitve SCI'!P12)/(('Evolutive SFP'!P27+'Evolutive SFP'!Q27)/2)</f>
        <v>0.11122806936989296</v>
      </c>
      <c r="S11" s="23">
        <f>('Evolutitve SCI'!Q23+'Evolutitve SCI'!Q12)/(('Evolutive SFP'!Q27+'Evolutive SFP'!R27)/2)</f>
        <v>4.7645409791726686E-3</v>
      </c>
      <c r="T11" s="23">
        <f>('Evolutitve SCI'!R23+'Evolutitve SCI'!R12)/(('Evolutive SFP'!R27+'Evolutive SFP'!S27)/2)</f>
        <v>1.0568671834661068E-2</v>
      </c>
      <c r="U11" s="23">
        <f>('Evolutitve SCI'!S23+'Evolutitve SCI'!S12)/(('Evolutive SFP'!S27+'Evolutive SFP'!T27)/2)</f>
        <v>1.6955287507646188E-2</v>
      </c>
      <c r="V11" s="23">
        <f>('Evolutitve SCI'!T23+'Evolutitve SCI'!T12)/(('Evolutive SFP'!T27+'Evolutive SFP'!U27)/2)</f>
        <v>2.116940928634363E-2</v>
      </c>
      <c r="W11" s="23">
        <f>('Evolutitve SCI'!U23+'Evolutitve SCI'!U12)/(('Evolutive SFP'!U27+'Evolutive SFP'!V27)/2)</f>
        <v>2.5503859342072315E-2</v>
      </c>
      <c r="X11" s="23">
        <f>('Evolutitve SCI'!V23+'Evolutitve SCI'!V12)/(('Evolutive SFP'!V27+'Evolutive SFP'!W27)/2)</f>
        <v>3.1282628087712074E-2</v>
      </c>
      <c r="Y11" s="23">
        <f>('Evolutitve SCI'!W23+'Evolutitve SCI'!W12)/(('Evolutive SFP'!W27+'Evolutive SFP'!X27)/2)</f>
        <v>3.7734785521838135E-2</v>
      </c>
      <c r="Z11" s="23">
        <f>('Evolutitve SCI'!X23+'Evolutitve SCI'!X12)/(('Evolutive SFP'!X27+'Evolutive SFP'!Y27)/2)</f>
        <v>4.1420283998314281E-2</v>
      </c>
      <c r="AA11" s="23">
        <f>('Evolutitve SCI'!Y23+'Evolutitve SCI'!Y12)/(('Evolutive SFP'!Y27+'Evolutive SFP'!Z27)/2)</f>
        <v>4.6805018368887882E-2</v>
      </c>
      <c r="AB11" s="23">
        <f>('Evolutitve SCI'!Z23+'Evolutitve SCI'!Z12)/(('Evolutive SFP'!Z27+'Evolutive SFP'!AA27)/2)</f>
        <v>5.0825872169549723E-2</v>
      </c>
      <c r="AC11" s="23">
        <f>('Evolutitve SCI'!AA23+'Evolutitve SCI'!AA12)/(('Evolutive SFP'!AA27+'Evolutive SFP'!AB27)/2)</f>
        <v>5.6987034648487707E-2</v>
      </c>
      <c r="AD11" s="23">
        <f>('Evolutitve SCI'!AB23+'Evolutitve SCI'!AB12)/(('Evolutive SFP'!AB27+'Evolutive SFP'!AC27)/2)</f>
        <v>6.9350277372483699E-2</v>
      </c>
      <c r="AE11" s="23">
        <f>('Evolutitve SCI'!AC23+'Evolutitve SCI'!AC12)/(('Evolutive SFP'!AC27+'Evolutive SFP'!AD27)/2)</f>
        <v>0.11562793708664076</v>
      </c>
      <c r="AF11" s="23">
        <f>('Evolutitve SCI'!AD23+'Evolutitve SCI'!AD12)/(('Evolutive SFP'!AD27+'Evolutive SFP'!AE27)/2)</f>
        <v>3.5662417588197839E-3</v>
      </c>
      <c r="AG11" s="23">
        <f>('Evolutitve SCI'!AE23+'Evolutitve SCI'!AE12)/(('Evolutive SFP'!AE27+'Evolutive SFP'!AF27)/2)</f>
        <v>9.4096779889980275E-3</v>
      </c>
      <c r="AH11" s="23">
        <f>('Evolutitve SCI'!AF23+'Evolutitve SCI'!AF12)/(('Evolutive SFP'!AF27+'Evolutive SFP'!AG27)/2)</f>
        <v>1.6017754057452954E-2</v>
      </c>
      <c r="AI11" s="23">
        <f>('Evolutitve SCI'!AG23+'Evolutitve SCI'!AG12)/(('Evolutive SFP'!AG27+'Evolutive SFP'!AH27)/2)</f>
        <v>2.0484586742717682E-2</v>
      </c>
      <c r="AJ11" s="23">
        <f>('Evolutitve SCI'!AH23+'Evolutitve SCI'!AH12)/(('Evolutive SFP'!AH27+'Evolutive SFP'!AI27)/2)</f>
        <v>5.1409245742186353E-2</v>
      </c>
      <c r="AK11" s="23" t="e">
        <f>('Evolutitve SCI'!AI23+'Evolutitve SCI'!AI12)/(('Evolutive SFP'!AI27+'Evolutive SFP'!AJ27)/2)</f>
        <v>#DIV/0!</v>
      </c>
      <c r="AL11" s="23" t="e">
        <f>('Evolutitve SCI'!AJ23+'Evolutitve SCI'!AJ12)/(('Evolutive SFP'!AJ27+'Evolutive SFP'!AK27)/2)</f>
        <v>#DIV/0!</v>
      </c>
      <c r="AM11" s="23" t="e">
        <f>('Evolutitve SCI'!AK23+'Evolutitve SCI'!AK12)/(('Evolutive SFP'!AK27+'Evolutive SFP'!AL27)/2)</f>
        <v>#DIV/0!</v>
      </c>
      <c r="AN11" s="23" t="e">
        <f>('Evolutitve SCI'!AL23+'Evolutitve SCI'!AL12)/(('Evolutive SFP'!AL27+'Evolutive SFP'!AM27)/2)</f>
        <v>#DIV/0!</v>
      </c>
      <c r="AO11" s="23" t="e">
        <f>('Evolutitve SCI'!AM23+'Evolutitve SCI'!AM12)/(('Evolutive SFP'!AM27+'Evolutive SFP'!AN27)/2)</f>
        <v>#DIV/0!</v>
      </c>
      <c r="AP11" s="23" t="e">
        <f>('Evolutitve SCI'!AN23+'Evolutitve SCI'!AN12)/(('Evolutive SFP'!AN27+'Evolutive SFP'!AO27)/2)</f>
        <v>#DIV/0!</v>
      </c>
      <c r="AQ11" s="23" t="e">
        <f>('Evolutitve SCI'!AO23+'Evolutitve SCI'!AO12)/(('Evolutive SFP'!AO27+'Evolutive SFP'!AP27)/2)</f>
        <v>#DIV/0!</v>
      </c>
      <c r="AR11" s="23" t="e">
        <f>('Evolutitve SCI'!AP23+'Evolutitve SCI'!AP12)/(('Evolutive SFP'!AP27+'Evolutive SFP'!AQ27)/2)</f>
        <v>#DIV/0!</v>
      </c>
      <c r="AS11" s="23" t="e">
        <f>('Evolutitve SCI'!AQ23+'Evolutitve SCI'!AQ12)/(('Evolutive SFP'!AQ27+'Evolutive SFP'!AR27)/2)</f>
        <v>#DIV/0!</v>
      </c>
      <c r="AT11" s="23" t="e">
        <f>('Evolutitve SCI'!AR23+'Evolutitve SCI'!AR12)/(('Evolutive SFP'!AR27+'Evolutive SFP'!AS27)/2)</f>
        <v>#DIV/0!</v>
      </c>
      <c r="AU11" s="23" t="e">
        <f>('Evolutitve SCI'!AS23+'Evolutitve SCI'!AS12)/(('Evolutive SFP'!AS27+'Evolutive SFP'!AT27)/2)</f>
        <v>#DIV/0!</v>
      </c>
      <c r="AV11" s="23" t="e">
        <f>('Evolutitve SCI'!AT23+'Evolutitve SCI'!AT12)/(('Evolutive SFP'!AT27+'Evolutive SFP'!AU27)/2)</f>
        <v>#DIV/0!</v>
      </c>
    </row>
    <row r="12" spans="1:48" ht="15" x14ac:dyDescent="0.3">
      <c r="A12" s="206" t="s">
        <v>117</v>
      </c>
      <c r="B12" s="3" t="s">
        <v>118</v>
      </c>
      <c r="C12" s="21" t="s">
        <v>119</v>
      </c>
      <c r="D12" s="23">
        <f>('Evolutive SFP'!B4)/('Evolutive SFP'!B28+'Evolutive SFP'!B29+'Evolutive SFP'!B32+'Evolutive SFP'!B33+'Evolutive SFP'!B34+'Evolutive SFP'!B35+'Evolutive SFP'!B36)</f>
        <v>0.9080663241381759</v>
      </c>
      <c r="E12" s="23">
        <f>('Evolutive SFP'!C4)/('Evolutive SFP'!C28+'Evolutive SFP'!C29+'Evolutive SFP'!C32+'Evolutive SFP'!C33+'Evolutive SFP'!C34+'Evolutive SFP'!C35+'Evolutive SFP'!C36)</f>
        <v>0.65572477386068839</v>
      </c>
      <c r="F12" s="23">
        <f>('Evolutive SFP'!D4)/('Evolutive SFP'!D28+'Evolutive SFP'!D29+'Evolutive SFP'!D32+'Evolutive SFP'!D33+'Evolutive SFP'!D34+'Evolutive SFP'!D35+'Evolutive SFP'!D36)</f>
        <v>0.65157396462957862</v>
      </c>
      <c r="G12" s="23">
        <f>('Evolutive SFP'!E4)/('Evolutive SFP'!E28+'Evolutive SFP'!E29+'Evolutive SFP'!E32+'Evolutive SFP'!E33+'Evolutive SFP'!E34+'Evolutive SFP'!E35+'Evolutive SFP'!E36)</f>
        <v>0.76633600434515836</v>
      </c>
      <c r="H12" s="23">
        <f>('Evolutive SFP'!F4)/('Evolutive SFP'!F28+'Evolutive SFP'!F29+'Evolutive SFP'!F32+'Evolutive SFP'!F33+'Evolutive SFP'!F34+'Evolutive SFP'!F35+'Evolutive SFP'!F36)</f>
        <v>0.72505793333394841</v>
      </c>
      <c r="I12" s="23">
        <f>('Evolutive SFP'!G4)/('Evolutive SFP'!G28+'Evolutive SFP'!G29+'Evolutive SFP'!G32+'Evolutive SFP'!G33+'Evolutive SFP'!G34+'Evolutive SFP'!G35+'Evolutive SFP'!G36)</f>
        <v>0.71190607142368778</v>
      </c>
      <c r="J12" s="23">
        <f>('Evolutive SFP'!H4)/('Evolutive SFP'!H28+'Evolutive SFP'!H29+'Evolutive SFP'!H32+'Evolutive SFP'!H33+'Evolutive SFP'!H34+'Evolutive SFP'!H35+'Evolutive SFP'!H36)</f>
        <v>0.73497212822429381</v>
      </c>
      <c r="K12" s="23">
        <f>('Evolutive SFP'!I4)/('Evolutive SFP'!I28+'Evolutive SFP'!I29+'Evolutive SFP'!I32+'Evolutive SFP'!I33+'Evolutive SFP'!I34+'Evolutive SFP'!I35+'Evolutive SFP'!I36)</f>
        <v>0.78977108916643657</v>
      </c>
      <c r="L12" s="23">
        <f>('Evolutive SFP'!J4)/('Evolutive SFP'!J28+'Evolutive SFP'!J29+'Evolutive SFP'!J32+'Evolutive SFP'!J33+'Evolutive SFP'!J34+'Evolutive SFP'!J35+'Evolutive SFP'!J36)</f>
        <v>0.72344567657545555</v>
      </c>
      <c r="M12" s="23">
        <f>('Evolutive SFP'!K4)/('Evolutive SFP'!K28+'Evolutive SFP'!K29+'Evolutive SFP'!K32+'Evolutive SFP'!K33+'Evolutive SFP'!K34+'Evolutive SFP'!K35+'Evolutive SFP'!K36)</f>
        <v>0.68576704839645941</v>
      </c>
      <c r="N12" s="23">
        <f>('Evolutive SFP'!L4)/('Evolutive SFP'!L28+'Evolutive SFP'!L29+'Evolutive SFP'!L32+'Evolutive SFP'!L33+'Evolutive SFP'!L34+'Evolutive SFP'!L35+'Evolutive SFP'!L36)</f>
        <v>0.6515416723039904</v>
      </c>
      <c r="O12" s="23">
        <f>('Evolutive SFP'!M4)/('Evolutive SFP'!M28+'Evolutive SFP'!M29+'Evolutive SFP'!M32+'Evolutive SFP'!M33+'Evolutive SFP'!M34+'Evolutive SFP'!M35+'Evolutive SFP'!M36)</f>
        <v>0.58921617718921182</v>
      </c>
      <c r="P12" s="23">
        <f>('Evolutive SFP'!N4)/('Evolutive SFP'!N28+'Evolutive SFP'!N29+'Evolutive SFP'!N32+'Evolutive SFP'!N33+'Evolutive SFP'!N34+'Evolutive SFP'!N35+'Evolutive SFP'!N36)</f>
        <v>0.55175933307195579</v>
      </c>
      <c r="Q12" s="23">
        <f>('Evolutive SFP'!O4)/('Evolutive SFP'!O28+'Evolutive SFP'!O29+'Evolutive SFP'!O32+'Evolutive SFP'!O33+'Evolutive SFP'!O34+'Evolutive SFP'!O35+'Evolutive SFP'!O36)</f>
        <v>0.54034620283243506</v>
      </c>
      <c r="R12" s="23">
        <f>('Evolutive SFP'!P4)/('Evolutive SFP'!P28+'Evolutive SFP'!P29+'Evolutive SFP'!P32+'Evolutive SFP'!P33+'Evolutive SFP'!P34+'Evolutive SFP'!P35+'Evolutive SFP'!P36)</f>
        <v>0.41881134281699395</v>
      </c>
      <c r="S12" s="23">
        <f>('Evolutive SFP'!Q4)/('Evolutive SFP'!Q28+'Evolutive SFP'!Q29+'Evolutive SFP'!Q32+'Evolutive SFP'!Q33+'Evolutive SFP'!Q34+'Evolutive SFP'!Q35+'Evolutive SFP'!Q36)</f>
        <v>0.47889148202490028</v>
      </c>
      <c r="T12" s="23">
        <f>('Evolutive SFP'!R4)/('Evolutive SFP'!R28+'Evolutive SFP'!R29+'Evolutive SFP'!R32+'Evolutive SFP'!R33+'Evolutive SFP'!R34+'Evolutive SFP'!R35+'Evolutive SFP'!R36)</f>
        <v>0.52132522315969165</v>
      </c>
      <c r="U12" s="23">
        <f>('Evolutive SFP'!S4)/('Evolutive SFP'!S28+'Evolutive SFP'!S29+'Evolutive SFP'!S32+'Evolutive SFP'!S33+'Evolutive SFP'!S34+'Evolutive SFP'!S35+'Evolutive SFP'!S36)</f>
        <v>0.42612518717984044</v>
      </c>
      <c r="V12" s="23">
        <f>('Evolutive SFP'!T4)/('Evolutive SFP'!T28+'Evolutive SFP'!T29+'Evolutive SFP'!T32+'Evolutive SFP'!T33+'Evolutive SFP'!T34+'Evolutive SFP'!T35+'Evolutive SFP'!T36)</f>
        <v>0.40009625915605485</v>
      </c>
      <c r="W12" s="23">
        <f>('Evolutive SFP'!U4)/('Evolutive SFP'!U28+'Evolutive SFP'!U29+'Evolutive SFP'!U32+'Evolutive SFP'!U33+'Evolutive SFP'!U34+'Evolutive SFP'!U35+'Evolutive SFP'!U36)</f>
        <v>0.37778731585814751</v>
      </c>
      <c r="X12" s="23">
        <f>('Evolutive SFP'!V4)/('Evolutive SFP'!V28+'Evolutive SFP'!V29+'Evolutive SFP'!V32+'Evolutive SFP'!V33+'Evolutive SFP'!V34+'Evolutive SFP'!V35+'Evolutive SFP'!V36)</f>
        <v>0.6025769673145972</v>
      </c>
      <c r="Y12" s="23">
        <f>('Evolutive SFP'!W4)/('Evolutive SFP'!W28+'Evolutive SFP'!W29+'Evolutive SFP'!W32+'Evolutive SFP'!W33+'Evolutive SFP'!W34+'Evolutive SFP'!W35+'Evolutive SFP'!W36)</f>
        <v>0.55994972573736379</v>
      </c>
      <c r="Z12" s="23">
        <f>('Evolutive SFP'!X4)/('Evolutive SFP'!X28+'Evolutive SFP'!X29+'Evolutive SFP'!X32+'Evolutive SFP'!X33+'Evolutive SFP'!X34+'Evolutive SFP'!X35+'Evolutive SFP'!X36)</f>
        <v>0.56755733750044546</v>
      </c>
      <c r="AA12" s="23">
        <f>('Evolutive SFP'!Y4)/('Evolutive SFP'!Y28+'Evolutive SFP'!Y29+'Evolutive SFP'!Y32+'Evolutive SFP'!Y33+'Evolutive SFP'!Y34+'Evolutive SFP'!Y35+'Evolutive SFP'!Y36)</f>
        <v>0.54524790071422402</v>
      </c>
      <c r="AB12" s="23">
        <f>('Evolutive SFP'!Z4)/('Evolutive SFP'!Z28+'Evolutive SFP'!Z29+'Evolutive SFP'!Z32+'Evolutive SFP'!Z33+'Evolutive SFP'!Z34+'Evolutive SFP'!Z35+'Evolutive SFP'!Z36)</f>
        <v>0.59345358616981991</v>
      </c>
      <c r="AC12" s="23">
        <f>('Evolutive SFP'!AA4)/('Evolutive SFP'!AA28+'Evolutive SFP'!AA29+'Evolutive SFP'!AA32+'Evolutive SFP'!AA33+'Evolutive SFP'!AA34+'Evolutive SFP'!AA35+'Evolutive SFP'!AA36)</f>
        <v>0.57130271521229115</v>
      </c>
      <c r="AD12" s="23">
        <f>('Evolutive SFP'!AB4)/('Evolutive SFP'!AB28+'Evolutive SFP'!AB29+'Evolutive SFP'!AB32+'Evolutive SFP'!AB33+'Evolutive SFP'!AB34+'Evolutive SFP'!AB35+'Evolutive SFP'!AB36)</f>
        <v>0.52202238770875153</v>
      </c>
      <c r="AE12" s="23">
        <f>('Evolutive SFP'!AC4)/('Evolutive SFP'!AC28+'Evolutive SFP'!AC29+'Evolutive SFP'!AC32+'Evolutive SFP'!AC33+'Evolutive SFP'!AC34+'Evolutive SFP'!AC35+'Evolutive SFP'!AC36)</f>
        <v>0.4000950594821821</v>
      </c>
      <c r="AF12" s="23">
        <f>('Evolutive SFP'!AD4)/('Evolutive SFP'!AD28+'Evolutive SFP'!AD29+'Evolutive SFP'!AD32+'Evolutive SFP'!AD33+'Evolutive SFP'!AD34+'Evolutive SFP'!AD35+'Evolutive SFP'!AD36)</f>
        <v>0.34627486444746836</v>
      </c>
      <c r="AG12" s="23">
        <f>('Evolutive SFP'!AE4)/('Evolutive SFP'!AE28+'Evolutive SFP'!AE29+'Evolutive SFP'!AE32+'Evolutive SFP'!AE33+'Evolutive SFP'!AE34+'Evolutive SFP'!AE35+'Evolutive SFP'!AE36)</f>
        <v>0.40746230718266563</v>
      </c>
      <c r="AH12" s="23">
        <f>('Evolutive SFP'!AF4)/('Evolutive SFP'!AF28+'Evolutive SFP'!AF29+'Evolutive SFP'!AF32+'Evolutive SFP'!AF33+'Evolutive SFP'!AF34+'Evolutive SFP'!AF35+'Evolutive SFP'!AF36)</f>
        <v>0.46988225863697874</v>
      </c>
      <c r="AI12" s="23">
        <f>('Evolutive SFP'!AG4)/('Evolutive SFP'!AG28+'Evolutive SFP'!AG29+'Evolutive SFP'!AG32+'Evolutive SFP'!AG33+'Evolutive SFP'!AG34+'Evolutive SFP'!AG35+'Evolutive SFP'!AG36)</f>
        <v>0.51060493989246158</v>
      </c>
      <c r="AJ12" s="23">
        <f>('Evolutive SFP'!AH4)/('Evolutive SFP'!AH28+'Evolutive SFP'!AH29+'Evolutive SFP'!AH32+'Evolutive SFP'!AH33+'Evolutive SFP'!AH34+'Evolutive SFP'!AH35+'Evolutive SFP'!AH36)</f>
        <v>0.56013592382196276</v>
      </c>
      <c r="AK12" s="23" t="e">
        <f>('Evolutive SFP'!AI4)/('Evolutive SFP'!AI28+'Evolutive SFP'!AI29+'Evolutive SFP'!AI32+'Evolutive SFP'!AI33+'Evolutive SFP'!AI34+'Evolutive SFP'!AI35+'Evolutive SFP'!AI36)</f>
        <v>#DIV/0!</v>
      </c>
      <c r="AL12" s="23" t="e">
        <f>('Evolutive SFP'!AJ4)/('Evolutive SFP'!AJ28+'Evolutive SFP'!AJ29+'Evolutive SFP'!AJ32+'Evolutive SFP'!AJ33+'Evolutive SFP'!AJ34+'Evolutive SFP'!AJ35+'Evolutive SFP'!AJ36)</f>
        <v>#DIV/0!</v>
      </c>
      <c r="AM12" s="23" t="e">
        <f>('Evolutive SFP'!AK4)/('Evolutive SFP'!AK28+'Evolutive SFP'!AK29+'Evolutive SFP'!AK32+'Evolutive SFP'!AK33+'Evolutive SFP'!AK34+'Evolutive SFP'!AK35+'Evolutive SFP'!AK36)</f>
        <v>#DIV/0!</v>
      </c>
      <c r="AN12" s="23" t="e">
        <f>('Evolutive SFP'!AL4)/('Evolutive SFP'!AL28+'Evolutive SFP'!AL29+'Evolutive SFP'!AL32+'Evolutive SFP'!AL33+'Evolutive SFP'!AL34+'Evolutive SFP'!AL35+'Evolutive SFP'!AL36)</f>
        <v>#DIV/0!</v>
      </c>
      <c r="AO12" s="23" t="e">
        <f>('Evolutive SFP'!AM4)/('Evolutive SFP'!AM28+'Evolutive SFP'!AM29+'Evolutive SFP'!AM32+'Evolutive SFP'!AM33+'Evolutive SFP'!AM34+'Evolutive SFP'!AM35+'Evolutive SFP'!AM36)</f>
        <v>#DIV/0!</v>
      </c>
      <c r="AP12" s="23" t="e">
        <f>('Evolutive SFP'!AN4)/('Evolutive SFP'!AN28+'Evolutive SFP'!AN29+'Evolutive SFP'!AN32+'Evolutive SFP'!AN33+'Evolutive SFP'!AN34+'Evolutive SFP'!AN35+'Evolutive SFP'!AN36)</f>
        <v>#DIV/0!</v>
      </c>
      <c r="AQ12" s="23" t="e">
        <f>('Evolutive SFP'!AO4)/('Evolutive SFP'!AO28+'Evolutive SFP'!AO29+'Evolutive SFP'!AO32+'Evolutive SFP'!AO33+'Evolutive SFP'!AO34+'Evolutive SFP'!AO35+'Evolutive SFP'!AO36)</f>
        <v>#DIV/0!</v>
      </c>
      <c r="AR12" s="23" t="e">
        <f>('Evolutive SFP'!AP4)/('Evolutive SFP'!AP28+'Evolutive SFP'!AP29+'Evolutive SFP'!AP32+'Evolutive SFP'!AP33+'Evolutive SFP'!AP34+'Evolutive SFP'!AP35+'Evolutive SFP'!AP36)</f>
        <v>#DIV/0!</v>
      </c>
      <c r="AS12" s="23" t="e">
        <f>('Evolutive SFP'!AQ4)/('Evolutive SFP'!AQ28+'Evolutive SFP'!AQ29+'Evolutive SFP'!AQ32+'Evolutive SFP'!AQ33+'Evolutive SFP'!AQ34+'Evolutive SFP'!AQ35+'Evolutive SFP'!AQ36)</f>
        <v>#DIV/0!</v>
      </c>
      <c r="AT12" s="23" t="e">
        <f>('Evolutive SFP'!AR4)/('Evolutive SFP'!AR28+'Evolutive SFP'!AR29+'Evolutive SFP'!AR32+'Evolutive SFP'!AR33+'Evolutive SFP'!AR34+'Evolutive SFP'!AR35+'Evolutive SFP'!AR36)</f>
        <v>#DIV/0!</v>
      </c>
      <c r="AU12" s="23" t="e">
        <f>('Evolutive SFP'!AS4)/('Evolutive SFP'!AS28+'Evolutive SFP'!AS29+'Evolutive SFP'!AS32+'Evolutive SFP'!AS33+'Evolutive SFP'!AS34+'Evolutive SFP'!AS35+'Evolutive SFP'!AS36)</f>
        <v>#DIV/0!</v>
      </c>
      <c r="AV12" s="23" t="e">
        <f>('Evolutive SFP'!AT4)/('Evolutive SFP'!AT28+'Evolutive SFP'!AT29+'Evolutive SFP'!AT32+'Evolutive SFP'!AT33+'Evolutive SFP'!AT34+'Evolutive SFP'!AT35+'Evolutive SFP'!AT36)</f>
        <v>#DIV/0!</v>
      </c>
    </row>
    <row r="13" spans="1:48" ht="15" x14ac:dyDescent="0.3">
      <c r="A13" s="206"/>
      <c r="B13" s="3" t="s">
        <v>120</v>
      </c>
      <c r="C13" s="44"/>
      <c r="D13" s="23">
        <f>'Evolutive SFP'!B4/('Evolutive SFP'!B31+'Evolutive SFP'!B36)</f>
        <v>0.14915539337983874</v>
      </c>
      <c r="E13" s="23">
        <f>'Evolutive SFP'!C4/('Evolutive SFP'!C31+'Evolutive SFP'!C36)</f>
        <v>0.18601600309913383</v>
      </c>
      <c r="F13" s="23">
        <f>'Evolutive SFP'!D4/('Evolutive SFP'!D31+'Evolutive SFP'!D36)</f>
        <v>0.18806589427737136</v>
      </c>
      <c r="G13" s="23">
        <f>'Evolutive SFP'!E4/('Evolutive SFP'!E31+'Evolutive SFP'!E36)</f>
        <v>0.20130725559643653</v>
      </c>
      <c r="H13" s="23">
        <f>'Evolutive SFP'!F4/('Evolutive SFP'!F31+'Evolutive SFP'!F36)</f>
        <v>0.16915457506218831</v>
      </c>
      <c r="I13" s="23">
        <f>'Evolutive SFP'!G4/('Evolutive SFP'!G31+'Evolutive SFP'!G36)</f>
        <v>0.15716467948898599</v>
      </c>
      <c r="J13" s="23">
        <f>'Evolutive SFP'!H4/('Evolutive SFP'!H31+'Evolutive SFP'!H36)</f>
        <v>0.16665799703052922</v>
      </c>
      <c r="K13" s="23">
        <f>'Evolutive SFP'!I4/('Evolutive SFP'!I31+'Evolutive SFP'!I36)</f>
        <v>0.18036999249410543</v>
      </c>
      <c r="L13" s="23">
        <f>'Evolutive SFP'!J4/('Evolutive SFP'!J31+'Evolutive SFP'!J36)</f>
        <v>0.17158749714423918</v>
      </c>
      <c r="M13" s="23">
        <f>'Evolutive SFP'!K4/('Evolutive SFP'!K31+'Evolutive SFP'!K36)</f>
        <v>0.1626148086233066</v>
      </c>
      <c r="N13" s="23">
        <f>'Evolutive SFP'!L4/('Evolutive SFP'!L31+'Evolutive SFP'!L36)</f>
        <v>0.15358135007502455</v>
      </c>
      <c r="O13" s="23">
        <f>'Evolutive SFP'!M4/('Evolutive SFP'!M31+'Evolutive SFP'!M36)</f>
        <v>0.1383721165591428</v>
      </c>
      <c r="P13" s="23">
        <f>'Evolutive SFP'!N4/('Evolutive SFP'!N31+'Evolutive SFP'!N36)</f>
        <v>0.12604389553751238</v>
      </c>
      <c r="Q13" s="23">
        <f>'Evolutive SFP'!O4/('Evolutive SFP'!O31+'Evolutive SFP'!O36)</f>
        <v>0.12384555598880481</v>
      </c>
      <c r="R13" s="23">
        <f>'Evolutive SFP'!P4/('Evolutive SFP'!P31+'Evolutive SFP'!P36)</f>
        <v>0.11909445657100896</v>
      </c>
      <c r="S13" s="23">
        <f>'Evolutive SFP'!Q4/('Evolutive SFP'!Q31+'Evolutive SFP'!Q36)</f>
        <v>0.13538410719203162</v>
      </c>
      <c r="T13" s="23">
        <f>'Evolutive SFP'!R4/('Evolutive SFP'!R31+'Evolutive SFP'!R36)</f>
        <v>0.14571352195603768</v>
      </c>
      <c r="U13" s="23">
        <f>'Evolutive SFP'!S4/('Evolutive SFP'!S31+'Evolutive SFP'!S36)</f>
        <v>0.10358050999716147</v>
      </c>
      <c r="V13" s="23">
        <f>'Evolutive SFP'!T4/('Evolutive SFP'!T31+'Evolutive SFP'!T36)</f>
        <v>9.2583786611462215E-2</v>
      </c>
      <c r="W13" s="23">
        <f>'Evolutive SFP'!U4/('Evolutive SFP'!U31+'Evolutive SFP'!U36)</f>
        <v>8.3802291047745836E-2</v>
      </c>
      <c r="X13" s="23">
        <f>'Evolutive SFP'!V4/('Evolutive SFP'!V31+'Evolutive SFP'!V36)</f>
        <v>0.13470400678358388</v>
      </c>
      <c r="Y13" s="23">
        <f>'Evolutive SFP'!W4/('Evolutive SFP'!W31+'Evolutive SFP'!W36)</f>
        <v>0.12471624797331933</v>
      </c>
      <c r="Z13" s="23">
        <f>'Evolutive SFP'!X4/('Evolutive SFP'!X31+'Evolutive SFP'!X36)</f>
        <v>0.12648554730538866</v>
      </c>
      <c r="AA13" s="23">
        <f>'Evolutive SFP'!Y4/('Evolutive SFP'!Y31+'Evolutive SFP'!Y36)</f>
        <v>0.12257981361878377</v>
      </c>
      <c r="AB13" s="23">
        <f>'Evolutive SFP'!Z4/('Evolutive SFP'!Z31+'Evolutive SFP'!Z36)</f>
        <v>0.13504610612037621</v>
      </c>
      <c r="AC13" s="23">
        <f>'Evolutive SFP'!AA4/('Evolutive SFP'!AA31+'Evolutive SFP'!AA36)</f>
        <v>0.12551306658210631</v>
      </c>
      <c r="AD13" s="23">
        <f>'Evolutive SFP'!AB4/('Evolutive SFP'!AB31+'Evolutive SFP'!AB36)</f>
        <v>0.1190052458650955</v>
      </c>
      <c r="AE13" s="23">
        <f>'Evolutive SFP'!AC4/('Evolutive SFP'!AC31+'Evolutive SFP'!AC36)</f>
        <v>0.11142259577044442</v>
      </c>
      <c r="AF13" s="23">
        <f>'Evolutive SFP'!AD4/('Evolutive SFP'!AD31+'Evolutive SFP'!AD36)</f>
        <v>0.1048775259074595</v>
      </c>
      <c r="AG13" s="23">
        <f>'Evolutive SFP'!AE4/('Evolutive SFP'!AE31+'Evolutive SFP'!AE36)</f>
        <v>0.12118552790713055</v>
      </c>
      <c r="AH13" s="23">
        <f>'Evolutive SFP'!AF4/('Evolutive SFP'!AF31+'Evolutive SFP'!AF36)</f>
        <v>0.11401126983335598</v>
      </c>
      <c r="AI13" s="23">
        <f>'Evolutive SFP'!AG4/('Evolutive SFP'!AG31+'Evolutive SFP'!AG36)</f>
        <v>0.11867235908626206</v>
      </c>
      <c r="AJ13" s="23">
        <f>'Evolutive SFP'!AH4/('Evolutive SFP'!AH31+'Evolutive SFP'!AH36)</f>
        <v>0.1270461666206163</v>
      </c>
      <c r="AK13" s="23" t="e">
        <f>'Evolutive SFP'!AI4/('Evolutive SFP'!AI31+'Evolutive SFP'!AI36)</f>
        <v>#DIV/0!</v>
      </c>
      <c r="AL13" s="23" t="e">
        <f>'Evolutive SFP'!AJ4/('Evolutive SFP'!AJ31+'Evolutive SFP'!AJ36)</f>
        <v>#DIV/0!</v>
      </c>
      <c r="AM13" s="23" t="e">
        <f>'Evolutive SFP'!AK4/('Evolutive SFP'!AK31+'Evolutive SFP'!AK36)</f>
        <v>#DIV/0!</v>
      </c>
      <c r="AN13" s="23" t="e">
        <f>'Evolutive SFP'!AL4/('Evolutive SFP'!AL31+'Evolutive SFP'!AL36)</f>
        <v>#DIV/0!</v>
      </c>
      <c r="AO13" s="23" t="e">
        <f>'Evolutive SFP'!AM4/('Evolutive SFP'!AM31+'Evolutive SFP'!AM36)</f>
        <v>#DIV/0!</v>
      </c>
      <c r="AP13" s="23" t="e">
        <f>'Evolutive SFP'!AN4/('Evolutive SFP'!AN31+'Evolutive SFP'!AN36)</f>
        <v>#DIV/0!</v>
      </c>
      <c r="AQ13" s="23" t="e">
        <f>'Evolutive SFP'!AO4/('Evolutive SFP'!AO31+'Evolutive SFP'!AO36)</f>
        <v>#DIV/0!</v>
      </c>
      <c r="AR13" s="23" t="e">
        <f>'Evolutive SFP'!AP4/('Evolutive SFP'!AP31+'Evolutive SFP'!AP36)</f>
        <v>#DIV/0!</v>
      </c>
      <c r="AS13" s="23" t="e">
        <f>'Evolutive SFP'!AQ4/('Evolutive SFP'!AQ31+'Evolutive SFP'!AQ36)</f>
        <v>#DIV/0!</v>
      </c>
      <c r="AT13" s="23" t="e">
        <f>'Evolutive SFP'!AR4/('Evolutive SFP'!AR31+'Evolutive SFP'!AR36)</f>
        <v>#DIV/0!</v>
      </c>
      <c r="AU13" s="23" t="e">
        <f>'Evolutive SFP'!AS4/('Evolutive SFP'!AS31+'Evolutive SFP'!AS36)</f>
        <v>#DIV/0!</v>
      </c>
      <c r="AV13" s="23" t="e">
        <f>'Evolutive SFP'!AT4/('Evolutive SFP'!AT31+'Evolutive SFP'!AT36)</f>
        <v>#DIV/0!</v>
      </c>
    </row>
    <row r="14" spans="1:48" ht="15" x14ac:dyDescent="0.3">
      <c r="A14" s="206"/>
      <c r="B14" s="3" t="s">
        <v>121</v>
      </c>
      <c r="C14" s="21" t="s">
        <v>122</v>
      </c>
      <c r="D14" s="23">
        <f>'Evolutive SFP'!B37/'Evolutive SFP'!B27</f>
        <v>1.5175035177958185E-2</v>
      </c>
      <c r="E14" s="23">
        <f>'Evolutive SFP'!C37/'Evolutive SFP'!C27</f>
        <v>2.8699699063593317E-2</v>
      </c>
      <c r="F14" s="23">
        <f>'Evolutive SFP'!D37/'Evolutive SFP'!D27</f>
        <v>2.7859249309034474E-2</v>
      </c>
      <c r="G14" s="23">
        <f>'Evolutive SFP'!E37/'Evolutive SFP'!E27</f>
        <v>2.7212685926490923E-2</v>
      </c>
      <c r="H14" s="23">
        <f>'Evolutive SFP'!F37/'Evolutive SFP'!F27</f>
        <v>2.6060478201852727E-2</v>
      </c>
      <c r="I14" s="23">
        <f>'Evolutive SFP'!G37/'Evolutive SFP'!G27</f>
        <v>2.5118383113062939E-2</v>
      </c>
      <c r="J14" s="23">
        <f>'Evolutive SFP'!H37/'Evolutive SFP'!H27</f>
        <v>2.4294543362875544E-2</v>
      </c>
      <c r="K14" s="23">
        <f>'Evolutive SFP'!I37/'Evolutive SFP'!I27</f>
        <v>2.3104386127662527E-2</v>
      </c>
      <c r="L14" s="23">
        <f>'Evolutive SFP'!J37/'Evolutive SFP'!J27</f>
        <v>2.184760652060096E-2</v>
      </c>
      <c r="M14" s="23">
        <f>'Evolutive SFP'!K37/'Evolutive SFP'!K27</f>
        <v>2.1128407663190754E-2</v>
      </c>
      <c r="N14" s="23">
        <f>'Evolutive SFP'!L37/'Evolutive SFP'!L27</f>
        <v>1.9750023832158455E-2</v>
      </c>
      <c r="O14" s="23">
        <f>'Evolutive SFP'!M37/'Evolutive SFP'!M27</f>
        <v>1.8929015279697071E-2</v>
      </c>
      <c r="P14" s="23">
        <f>'Evolutive SFP'!N37/'Evolutive SFP'!N27</f>
        <v>1.8089706056916198E-2</v>
      </c>
      <c r="Q14" s="23">
        <f>'Evolutive SFP'!O37/'Evolutive SFP'!O27</f>
        <v>1.7217027894895147E-2</v>
      </c>
      <c r="R14" s="23">
        <f>'Evolutive SFP'!P37/'Evolutive SFP'!P27</f>
        <v>1.712562200223686E-2</v>
      </c>
      <c r="S14" s="23">
        <f>'Evolutive SFP'!Q37/'Evolutive SFP'!Q27</f>
        <v>1.6490754377974828E-2</v>
      </c>
      <c r="T14" s="23">
        <f>'Evolutive SFP'!R37/'Evolutive SFP'!R27</f>
        <v>1.5872588782264781E-2</v>
      </c>
      <c r="U14" s="23">
        <f>'Evolutive SFP'!S37/'Evolutive SFP'!S27</f>
        <v>1.491396652052465E-2</v>
      </c>
      <c r="V14" s="23">
        <f>'Evolutive SFP'!T37/'Evolutive SFP'!T27</f>
        <v>1.424927489892187E-2</v>
      </c>
      <c r="W14" s="23">
        <f>'Evolutive SFP'!U37/'Evolutive SFP'!U27</f>
        <v>1.3603083617430801E-2</v>
      </c>
      <c r="X14" s="23">
        <f>'Evolutive SFP'!V37/'Evolutive SFP'!V27</f>
        <v>2.5821888760949121E-2</v>
      </c>
      <c r="Y14" s="23">
        <f>'Evolutive SFP'!W37/'Evolutive SFP'!W27</f>
        <v>2.5701266390180583E-2</v>
      </c>
      <c r="Z14" s="23">
        <f>'Evolutive SFP'!X37/'Evolutive SFP'!X27</f>
        <v>2.4541761297248478E-2</v>
      </c>
      <c r="AA14" s="23">
        <f>'Evolutive SFP'!Y37/'Evolutive SFP'!Y27</f>
        <v>2.3465987892190256E-2</v>
      </c>
      <c r="AB14" s="23">
        <f>'Evolutive SFP'!Z37/'Evolutive SFP'!Z27</f>
        <v>2.2669545040154063E-2</v>
      </c>
      <c r="AC14" s="23">
        <f>'Evolutive SFP'!AA37/'Evolutive SFP'!AA27</f>
        <v>2.2208878302560492E-2</v>
      </c>
      <c r="AD14" s="23">
        <f>'Evolutive SFP'!AB37/'Evolutive SFP'!AB27</f>
        <v>2.0973052103885739E-2</v>
      </c>
      <c r="AE14" s="23">
        <f>'Evolutive SFP'!AC37/'Evolutive SFP'!AC27</f>
        <v>2.0910651323934298E-2</v>
      </c>
      <c r="AF14" s="23">
        <f>'Evolutive SFP'!AD37/'Evolutive SFP'!AD27</f>
        <v>2.0363451102185553E-2</v>
      </c>
      <c r="AG14" s="23">
        <f>'Evolutive SFP'!AE37/'Evolutive SFP'!AE27</f>
        <v>2.7972609771142201E-2</v>
      </c>
      <c r="AH14" s="23">
        <f>'Evolutive SFP'!AF37/'Evolutive SFP'!AF27</f>
        <v>3.1568725014526296E-2</v>
      </c>
      <c r="AI14" s="23">
        <f>'Evolutive SFP'!AG37/'Evolutive SFP'!AG27</f>
        <v>3.0954053366557824E-2</v>
      </c>
      <c r="AJ14" s="23">
        <f>'Evolutive SFP'!AH37/'Evolutive SFP'!AH27</f>
        <v>3.4331844681537757E-2</v>
      </c>
      <c r="AK14" s="23" t="e">
        <f>'Evolutive SFP'!AI37/'Evolutive SFP'!AI27</f>
        <v>#DIV/0!</v>
      </c>
      <c r="AL14" s="23" t="e">
        <f>'Evolutive SFP'!AJ37/'Evolutive SFP'!AJ27</f>
        <v>#DIV/0!</v>
      </c>
      <c r="AM14" s="23" t="e">
        <f>'Evolutive SFP'!AK37/'Evolutive SFP'!AK27</f>
        <v>#DIV/0!</v>
      </c>
      <c r="AN14" s="23" t="e">
        <f>'Evolutive SFP'!AL37/'Evolutive SFP'!AL27</f>
        <v>#DIV/0!</v>
      </c>
      <c r="AO14" s="23" t="e">
        <f>'Evolutive SFP'!AM37/'Evolutive SFP'!AM27</f>
        <v>#DIV/0!</v>
      </c>
      <c r="AP14" s="23" t="e">
        <f>'Evolutive SFP'!AN37/'Evolutive SFP'!AN27</f>
        <v>#DIV/0!</v>
      </c>
      <c r="AQ14" s="23" t="e">
        <f>'Evolutive SFP'!AO37/'Evolutive SFP'!AO27</f>
        <v>#DIV/0!</v>
      </c>
      <c r="AR14" s="23" t="e">
        <f>'Evolutive SFP'!AP37/'Evolutive SFP'!AP27</f>
        <v>#DIV/0!</v>
      </c>
      <c r="AS14" s="23" t="e">
        <f>'Evolutive SFP'!AQ37/'Evolutive SFP'!AQ27</f>
        <v>#DIV/0!</v>
      </c>
      <c r="AT14" s="23" t="e">
        <f>'Evolutive SFP'!AR37/'Evolutive SFP'!AR27</f>
        <v>#DIV/0!</v>
      </c>
      <c r="AU14" s="23" t="e">
        <f>'Evolutive SFP'!AS37/'Evolutive SFP'!AS27</f>
        <v>#DIV/0!</v>
      </c>
      <c r="AV14" s="23" t="e">
        <f>'Evolutive SFP'!AT37/'Evolutive SFP'!AT27</f>
        <v>#DIV/0!</v>
      </c>
    </row>
    <row r="15" spans="1:48" ht="15" x14ac:dyDescent="0.3">
      <c r="A15" s="206"/>
      <c r="B15" s="3" t="s">
        <v>123</v>
      </c>
      <c r="C15" s="21"/>
      <c r="D15" s="23">
        <f>'Evolutive SFP'!B4/'Evolutive SFP'!B27</f>
        <v>0.12821991542351194</v>
      </c>
      <c r="E15" s="23">
        <f>'Evolutive SFP'!C4/'Evolutive SFP'!C27</f>
        <v>0.12710286626971862</v>
      </c>
      <c r="F15" s="23">
        <f>'Evolutive SFP'!D4/'Evolutive SFP'!D27</f>
        <v>0.12739375049016891</v>
      </c>
      <c r="G15" s="23">
        <f>'Evolutive SFP'!E4/'Evolutive SFP'!E27</f>
        <v>0.1448011376447137</v>
      </c>
      <c r="H15" s="23">
        <f>'Evolutive SFP'!F4/'Evolutive SFP'!F27</f>
        <v>0.1205369366089062</v>
      </c>
      <c r="I15" s="23">
        <f>'Evolutive SFP'!G4/'Evolutive SFP'!G27</f>
        <v>0.11133342378151967</v>
      </c>
      <c r="J15" s="23">
        <f>'Evolutive SFP'!H4/'Evolutive SFP'!H27</f>
        <v>0.117498947936071</v>
      </c>
      <c r="K15" s="23">
        <f>'Evolutive SFP'!I4/'Evolutive SFP'!I27</f>
        <v>0.12726831917367046</v>
      </c>
      <c r="L15" s="23">
        <f>'Evolutive SFP'!J4/'Evolutive SFP'!J27</f>
        <v>0.11938573550130033</v>
      </c>
      <c r="M15" s="23">
        <f>'Evolutive SFP'!K4/'Evolutive SFP'!K27</f>
        <v>0.11219438349042798</v>
      </c>
      <c r="N15" s="23">
        <f>'Evolutive SFP'!L4/'Evolutive SFP'!L27</f>
        <v>0.10591727369314152</v>
      </c>
      <c r="O15" s="23">
        <f>'Evolutive SFP'!M4/'Evolutive SFP'!M27</f>
        <v>9.4672093189790946E-2</v>
      </c>
      <c r="P15" s="23">
        <f>'Evolutive SFP'!N4/'Evolutive SFP'!N27</f>
        <v>8.5423652319368951E-2</v>
      </c>
      <c r="Q15" s="23">
        <f>'Evolutive SFP'!O4/'Evolutive SFP'!O27</f>
        <v>8.2973031836040892E-2</v>
      </c>
      <c r="R15" s="23">
        <f>'Evolutive SFP'!P4/'Evolutive SFP'!P27</f>
        <v>8.5258658189731121E-2</v>
      </c>
      <c r="S15" s="23">
        <f>'Evolutive SFP'!Q4/'Evolutive SFP'!Q27</f>
        <v>9.5840339400707075E-2</v>
      </c>
      <c r="T15" s="23">
        <f>'Evolutive SFP'!R4/'Evolutive SFP'!R27</f>
        <v>0.10258950782868005</v>
      </c>
      <c r="U15" s="23">
        <f>'Evolutive SFP'!S4/'Evolutive SFP'!S27</f>
        <v>7.2167457088688949E-2</v>
      </c>
      <c r="V15" s="23">
        <f>'Evolutive SFP'!T4/'Evolutive SFP'!T27</f>
        <v>6.4080782041507092E-2</v>
      </c>
      <c r="W15" s="23">
        <f>'Evolutive SFP'!U4/'Evolutive SFP'!U27</f>
        <v>5.7529210349973582E-2</v>
      </c>
      <c r="X15" s="23">
        <f>'Evolutive SFP'!V4/'Evolutive SFP'!V27</f>
        <v>9.0002947504966874E-2</v>
      </c>
      <c r="Y15" s="23">
        <f>'Evolutive SFP'!W4/'Evolutive SFP'!W27</f>
        <v>8.3278988172997809E-2</v>
      </c>
      <c r="Z15" s="23">
        <f>'Evolutive SFP'!X4/'Evolutive SFP'!X27</f>
        <v>8.3623991184922392E-2</v>
      </c>
      <c r="AA15" s="23">
        <f>'Evolutive SFP'!Y4/'Evolutive SFP'!Y27</f>
        <v>8.1631146781013783E-2</v>
      </c>
      <c r="AB15" s="23">
        <f>'Evolutive SFP'!Z4/'Evolutive SFP'!Z27</f>
        <v>8.9513935280599796E-2</v>
      </c>
      <c r="AC15" s="23">
        <f>'Evolutive SFP'!AA4/'Evolutive SFP'!AA27</f>
        <v>8.2493811398129224E-2</v>
      </c>
      <c r="AD15" s="23">
        <f>'Evolutive SFP'!AB4/'Evolutive SFP'!AB27</f>
        <v>7.7662997858894869E-2</v>
      </c>
      <c r="AE15" s="23">
        <f>'Evolutive SFP'!AC4/'Evolutive SFP'!AC27</f>
        <v>7.7431928510227774E-2</v>
      </c>
      <c r="AF15" s="23">
        <f>'Evolutive SFP'!AD4/'Evolutive SFP'!AD27</f>
        <v>6.8130897109282121E-2</v>
      </c>
      <c r="AG15" s="23">
        <f>'Evolutive SFP'!AE4/'Evolutive SFP'!AE27</f>
        <v>7.7733518502422175E-2</v>
      </c>
      <c r="AH15" s="23">
        <f>'Evolutive SFP'!AF4/'Evolutive SFP'!AF27</f>
        <v>7.6476540635351156E-2</v>
      </c>
      <c r="AI15" s="23">
        <f>'Evolutive SFP'!AG4/'Evolutive SFP'!AG27</f>
        <v>7.9363582866043794E-2</v>
      </c>
      <c r="AJ15" s="23">
        <f>'Evolutive SFP'!AH4/'Evolutive SFP'!AH27</f>
        <v>8.3917918336339492E-2</v>
      </c>
      <c r="AK15" s="23" t="e">
        <f>'Evolutive SFP'!AI4/'Evolutive SFP'!AI27</f>
        <v>#DIV/0!</v>
      </c>
      <c r="AL15" s="23" t="e">
        <f>'Evolutive SFP'!AJ4/'Evolutive SFP'!AJ27</f>
        <v>#DIV/0!</v>
      </c>
      <c r="AM15" s="23" t="e">
        <f>'Evolutive SFP'!AK4/'Evolutive SFP'!AK27</f>
        <v>#DIV/0!</v>
      </c>
      <c r="AN15" s="23" t="e">
        <f>'Evolutive SFP'!AL4/'Evolutive SFP'!AL27</f>
        <v>#DIV/0!</v>
      </c>
      <c r="AO15" s="23" t="e">
        <f>'Evolutive SFP'!AM4/'Evolutive SFP'!AM27</f>
        <v>#DIV/0!</v>
      </c>
      <c r="AP15" s="23" t="e">
        <f>'Evolutive SFP'!AN4/'Evolutive SFP'!AN27</f>
        <v>#DIV/0!</v>
      </c>
      <c r="AQ15" s="23" t="e">
        <f>'Evolutive SFP'!AO4/'Evolutive SFP'!AO27</f>
        <v>#DIV/0!</v>
      </c>
      <c r="AR15" s="23" t="e">
        <f>'Evolutive SFP'!AP4/'Evolutive SFP'!AP27</f>
        <v>#DIV/0!</v>
      </c>
      <c r="AS15" s="23" t="e">
        <f>'Evolutive SFP'!AQ4/'Evolutive SFP'!AQ27</f>
        <v>#DIV/0!</v>
      </c>
      <c r="AT15" s="23" t="e">
        <f>'Evolutive SFP'!AR4/'Evolutive SFP'!AR27</f>
        <v>#DIV/0!</v>
      </c>
      <c r="AU15" s="23" t="e">
        <f>'Evolutive SFP'!AS4/'Evolutive SFP'!AS27</f>
        <v>#DIV/0!</v>
      </c>
      <c r="AV15" s="23" t="e">
        <f>'Evolutive SFP'!AT4/'Evolutive SFP'!AT27</f>
        <v>#DIV/0!</v>
      </c>
    </row>
    <row r="16" spans="1:48" ht="15" x14ac:dyDescent="0.3">
      <c r="A16" s="206" t="s">
        <v>124</v>
      </c>
      <c r="B16" s="3" t="s">
        <v>125</v>
      </c>
      <c r="C16" s="21" t="s">
        <v>126</v>
      </c>
      <c r="D16" s="23">
        <f>('Evolutive SFP'!B7+'Evolutive SFP'!B21)/'Evolutive SFP'!B27</f>
        <v>0.12101374552845419</v>
      </c>
      <c r="E16" s="23">
        <f>('Evolutive SFP'!C7+'Evolutive SFP'!C21)/'Evolutive SFP'!C27</f>
        <v>9.0293307305019985E-2</v>
      </c>
      <c r="F16" s="23">
        <f>('Evolutive SFP'!D7+'Evolutive SFP'!D21)/'Evolutive SFP'!D27</f>
        <v>8.9400217534000542E-2</v>
      </c>
      <c r="G16" s="23">
        <f>('Evolutive SFP'!E7+'Evolutive SFP'!E21)/'Evolutive SFP'!E27</f>
        <v>7.5522173567031253E-2</v>
      </c>
      <c r="H16" s="23">
        <f>('Evolutive SFP'!F7+'Evolutive SFP'!F21)/'Evolutive SFP'!F27</f>
        <v>9.2396695974981749E-2</v>
      </c>
      <c r="I16" s="23">
        <f>('Evolutive SFP'!G7+'Evolutive SFP'!G21)/'Evolutive SFP'!G27</f>
        <v>9.8007878065307891E-2</v>
      </c>
      <c r="J16" s="23">
        <f>('Evolutive SFP'!H7+'Evolutive SFP'!H21)/'Evolutive SFP'!H27</f>
        <v>0.10097214064885983</v>
      </c>
      <c r="K16" s="23">
        <f>('Evolutive SFP'!I7+'Evolutive SFP'!I21)/'Evolutive SFP'!I27</f>
        <v>9.3163130830965835E-2</v>
      </c>
      <c r="L16" s="23">
        <f>('Evolutive SFP'!J7+'Evolutive SFP'!J21)/'Evolutive SFP'!J27</f>
        <v>9.2096702791945068E-2</v>
      </c>
      <c r="M16" s="23">
        <f>('Evolutive SFP'!K7+'Evolutive SFP'!K21)/'Evolutive SFP'!K27</f>
        <v>8.8507830270894441E-2</v>
      </c>
      <c r="N16" s="23">
        <f>('Evolutive SFP'!L7+'Evolutive SFP'!L21)/'Evolutive SFP'!L27</f>
        <v>8.7569334016027761E-2</v>
      </c>
      <c r="O16" s="23">
        <f>('Evolutive SFP'!M7+'Evolutive SFP'!M21)/'Evolutive SFP'!M27</f>
        <v>8.962904494268141E-2</v>
      </c>
      <c r="P16" s="23">
        <f>('Evolutive SFP'!N7+'Evolutive SFP'!N21)/'Evolutive SFP'!N27</f>
        <v>9.2405219927153823E-2</v>
      </c>
      <c r="Q16" s="23">
        <f>('Evolutive SFP'!O7+'Evolutive SFP'!O21)/'Evolutive SFP'!O27</f>
        <v>9.3438734465036227E-2</v>
      </c>
      <c r="R16" s="23">
        <f>('Evolutive SFP'!P7+'Evolutive SFP'!P21)/'Evolutive SFP'!P27</f>
        <v>9.9793612254086145E-2</v>
      </c>
      <c r="S16" s="23">
        <f>('Evolutive SFP'!Q7+'Evolutive SFP'!Q21)/'Evolutive SFP'!Q27</f>
        <v>8.4401181673226452E-2</v>
      </c>
      <c r="T16" s="23">
        <f>('Evolutive SFP'!R7+'Evolutive SFP'!R21)/'Evolutive SFP'!R27</f>
        <v>8.3963973363219646E-2</v>
      </c>
      <c r="U16" s="23">
        <f>('Evolutive SFP'!S7+'Evolutive SFP'!S21)/'Evolutive SFP'!S27</f>
        <v>8.8702039601397248E-2</v>
      </c>
      <c r="V16" s="23">
        <f>('Evolutive SFP'!T7+'Evolutive SFP'!T21)/'Evolutive SFP'!T27</f>
        <v>8.8479227009448866E-2</v>
      </c>
      <c r="W16" s="23">
        <f>('Evolutive SFP'!U7+'Evolutive SFP'!U21)/'Evolutive SFP'!U27</f>
        <v>9.0103087447299404E-2</v>
      </c>
      <c r="X16" s="23">
        <f>('Evolutive SFP'!V7+'Evolutive SFP'!V21)/'Evolutive SFP'!V27</f>
        <v>7.5912448356174805E-2</v>
      </c>
      <c r="Y16" s="23">
        <f>('Evolutive SFP'!W7+'Evolutive SFP'!W21)/'Evolutive SFP'!W27</f>
        <v>8.3139927372890776E-2</v>
      </c>
      <c r="Z16" s="23">
        <f>('Evolutive SFP'!X7+'Evolutive SFP'!X21)/'Evolutive SFP'!X27</f>
        <v>8.7536636668373455E-2</v>
      </c>
      <c r="AA16" s="23">
        <f>('Evolutive SFP'!Y7+'Evolutive SFP'!Y21)/'Evolutive SFP'!Y27</f>
        <v>8.5231254681019913E-2</v>
      </c>
      <c r="AB16" s="23">
        <f>('Evolutive SFP'!Z7+'Evolutive SFP'!Z21)/'Evolutive SFP'!Z27</f>
        <v>8.3346034151251552E-2</v>
      </c>
      <c r="AC16" s="23">
        <f>('Evolutive SFP'!AA7+'Evolutive SFP'!AA21)/'Evolutive SFP'!AA27</f>
        <v>8.366478902427972E-2</v>
      </c>
      <c r="AD16" s="23">
        <f>('Evolutive SFP'!AB7+'Evolutive SFP'!AB21)/'Evolutive SFP'!AB27</f>
        <v>8.5723516934574751E-2</v>
      </c>
      <c r="AE16" s="23">
        <f>('Evolutive SFP'!AC7+'Evolutive SFP'!AC21)/'Evolutive SFP'!AC27</f>
        <v>9.0547349436618782E-2</v>
      </c>
      <c r="AF16" s="23">
        <f>('Evolutive SFP'!AD7+'Evolutive SFP'!AD21)/'Evolutive SFP'!AD27</f>
        <v>8.7964771557394253E-2</v>
      </c>
      <c r="AG16" s="23">
        <f>('Evolutive SFP'!AE7+'Evolutive SFP'!AE21)/'Evolutive SFP'!AE27</f>
        <v>8.8934436690421489E-2</v>
      </c>
      <c r="AH16" s="23">
        <f>('Evolutive SFP'!AF7+'Evolutive SFP'!AF21)/'Evolutive SFP'!AF27</f>
        <v>8.6134898406079324E-2</v>
      </c>
      <c r="AI16" s="23">
        <f>('Evolutive SFP'!AG7+'Evolutive SFP'!AG21)/'Evolutive SFP'!AG27</f>
        <v>8.5118789169281353E-2</v>
      </c>
      <c r="AJ16" s="23">
        <f>('Evolutive SFP'!AH7+'Evolutive SFP'!AH21)/'Evolutive SFP'!AH27</f>
        <v>8.5194472803287014E-2</v>
      </c>
      <c r="AK16" s="23" t="e">
        <f>('Evolutive SFP'!AI7+'Evolutive SFP'!AI21)/'Evolutive SFP'!AI27</f>
        <v>#DIV/0!</v>
      </c>
      <c r="AL16" s="23" t="e">
        <f>('Evolutive SFP'!AJ7+'Evolutive SFP'!AJ21)/'Evolutive SFP'!AJ27</f>
        <v>#DIV/0!</v>
      </c>
      <c r="AM16" s="23" t="e">
        <f>('Evolutive SFP'!AK7+'Evolutive SFP'!AK21)/'Evolutive SFP'!AK27</f>
        <v>#DIV/0!</v>
      </c>
      <c r="AN16" s="23" t="e">
        <f>('Evolutive SFP'!AL7+'Evolutive SFP'!AL21)/'Evolutive SFP'!AL27</f>
        <v>#DIV/0!</v>
      </c>
      <c r="AO16" s="23" t="e">
        <f>('Evolutive SFP'!AM7+'Evolutive SFP'!AM21)/'Evolutive SFP'!AM27</f>
        <v>#DIV/0!</v>
      </c>
      <c r="AP16" s="23" t="e">
        <f>('Evolutive SFP'!AN7+'Evolutive SFP'!AN21)/'Evolutive SFP'!AN27</f>
        <v>#DIV/0!</v>
      </c>
      <c r="AQ16" s="23" t="e">
        <f>('Evolutive SFP'!AO7+'Evolutive SFP'!AO21)/'Evolutive SFP'!AO27</f>
        <v>#DIV/0!</v>
      </c>
      <c r="AR16" s="23" t="e">
        <f>('Evolutive SFP'!AP7+'Evolutive SFP'!AP21)/'Evolutive SFP'!AP27</f>
        <v>#DIV/0!</v>
      </c>
      <c r="AS16" s="23" t="e">
        <f>('Evolutive SFP'!AQ7+'Evolutive SFP'!AQ21)/'Evolutive SFP'!AQ27</f>
        <v>#DIV/0!</v>
      </c>
      <c r="AT16" s="23" t="e">
        <f>('Evolutive SFP'!AR7+'Evolutive SFP'!AR21)/'Evolutive SFP'!AR27</f>
        <v>#DIV/0!</v>
      </c>
      <c r="AU16" s="23" t="e">
        <f>('Evolutive SFP'!AS7+'Evolutive SFP'!AS21)/'Evolutive SFP'!AS27</f>
        <v>#DIV/0!</v>
      </c>
      <c r="AV16" s="23" t="e">
        <f>('Evolutive SFP'!AT7+'Evolutive SFP'!AT21)/'Evolutive SFP'!AT27</f>
        <v>#DIV/0!</v>
      </c>
    </row>
    <row r="17" spans="1:48" ht="15" x14ac:dyDescent="0.3">
      <c r="A17" s="206"/>
      <c r="B17" s="3" t="s">
        <v>127</v>
      </c>
      <c r="C17" s="21" t="s">
        <v>128</v>
      </c>
      <c r="D17" s="23">
        <f>'Evolutive SFP'!B21/'Evolutive SFP'!B27</f>
        <v>3.2278670786670176E-2</v>
      </c>
      <c r="E17" s="23">
        <f>'Evolutive SFP'!C21/'Evolutive SFP'!C27</f>
        <v>6.5073816158726566E-2</v>
      </c>
      <c r="F17" s="23">
        <f>'Evolutive SFP'!D21/'Evolutive SFP'!D27</f>
        <v>6.5438059441691482E-2</v>
      </c>
      <c r="G17" s="23">
        <f>'Evolutive SFP'!E21/'Evolutive SFP'!E27</f>
        <v>6.5804092736195655E-2</v>
      </c>
      <c r="H17" s="23">
        <f>'Evolutive SFP'!F21/'Evolutive SFP'!F27</f>
        <v>6.7025075560032926E-2</v>
      </c>
      <c r="I17" s="23">
        <f>'Evolutive SFP'!G21/'Evolutive SFP'!G27</f>
        <v>7.1150848269525196E-2</v>
      </c>
      <c r="J17" s="23">
        <f>'Evolutive SFP'!H21/'Evolutive SFP'!H27</f>
        <v>6.9898260715695812E-2</v>
      </c>
      <c r="K17" s="23">
        <f>'Evolutive SFP'!I21/'Evolutive SFP'!I27</f>
        <v>6.9394114251269137E-2</v>
      </c>
      <c r="L17" s="23">
        <f>'Evolutive SFP'!J21/'Evolutive SFP'!J27</f>
        <v>6.7694150416768351E-2</v>
      </c>
      <c r="M17" s="23">
        <f>'Evolutive SFP'!K21/'Evolutive SFP'!K27</f>
        <v>6.7461769545322792E-2</v>
      </c>
      <c r="N17" s="23">
        <f>'Evolutive SFP'!L21/'Evolutive SFP'!L27</f>
        <v>6.6982670698688393E-2</v>
      </c>
      <c r="O17" s="23">
        <f>'Evolutive SFP'!M21/'Evolutive SFP'!M27</f>
        <v>6.5711011966095384E-2</v>
      </c>
      <c r="P17" s="23">
        <f>'Evolutive SFP'!N21/'Evolutive SFP'!N27</f>
        <v>6.549109549311001E-2</v>
      </c>
      <c r="Q17" s="23">
        <f>'Evolutive SFP'!O21/'Evolutive SFP'!O27</f>
        <v>6.5185428611042887E-2</v>
      </c>
      <c r="R17" s="23">
        <f>'Evolutive SFP'!P21/'Evolutive SFP'!P27</f>
        <v>7.022110205268596E-2</v>
      </c>
      <c r="S17" s="23">
        <f>'Evolutive SFP'!Q21/'Evolutive SFP'!Q27</f>
        <v>6.4278756812734955E-2</v>
      </c>
      <c r="T17" s="23">
        <f>'Evolutive SFP'!R21/'Evolutive SFP'!R27</f>
        <v>6.3964201391947417E-2</v>
      </c>
      <c r="U17" s="23">
        <f>'Evolutive SFP'!S21/'Evolutive SFP'!S27</f>
        <v>6.5598946038999031E-2</v>
      </c>
      <c r="V17" s="23">
        <f>'Evolutive SFP'!T21/'Evolutive SFP'!T27</f>
        <v>6.6081953467579016E-2</v>
      </c>
      <c r="W17" s="23">
        <f>'Evolutive SFP'!U21/'Evolutive SFP'!U27</f>
        <v>6.5767834247169532E-2</v>
      </c>
      <c r="X17" s="23">
        <f>'Evolutive SFP'!V21/'Evolutive SFP'!V27</f>
        <v>6.4095668439387979E-2</v>
      </c>
      <c r="Y17" s="23">
        <f>'Evolutive SFP'!W21/'Evolutive SFP'!W27</f>
        <v>6.3776238080649084E-2</v>
      </c>
      <c r="Z17" s="23">
        <f>'Evolutive SFP'!X21/'Evolutive SFP'!X27</f>
        <v>6.3625023001400674E-2</v>
      </c>
      <c r="AA17" s="23">
        <f>'Evolutive SFP'!Y21/'Evolutive SFP'!Y27</f>
        <v>6.3126589848601353E-2</v>
      </c>
      <c r="AB17" s="23">
        <f>'Evolutive SFP'!Z21/'Evolutive SFP'!Z27</f>
        <v>6.2014959589775272E-2</v>
      </c>
      <c r="AC17" s="23">
        <f>'Evolutive SFP'!AA21/'Evolutive SFP'!AA27</f>
        <v>6.1890724897865311E-2</v>
      </c>
      <c r="AD17" s="23">
        <f>'Evolutive SFP'!AB21/'Evolutive SFP'!AB27</f>
        <v>6.1440531549807983E-2</v>
      </c>
      <c r="AE17" s="23">
        <f>'Evolutive SFP'!AC21/'Evolutive SFP'!AC27</f>
        <v>6.1257728642721276E-2</v>
      </c>
      <c r="AF17" s="23">
        <f>'Evolutive SFP'!AD21/'Evolutive SFP'!AD27</f>
        <v>6.0694255023593942E-2</v>
      </c>
      <c r="AG17" s="23">
        <f>'Evolutive SFP'!AE21/'Evolutive SFP'!AE27</f>
        <v>5.9599279188426203E-2</v>
      </c>
      <c r="AH17" s="23">
        <f>'Evolutive SFP'!AF21/'Evolutive SFP'!AF27</f>
        <v>6.0379371671058779E-2</v>
      </c>
      <c r="AI17" s="23">
        <f>'Evolutive SFP'!AG21/'Evolutive SFP'!AG27</f>
        <v>6.0103579864852853E-2</v>
      </c>
      <c r="AJ17" s="23">
        <f>'Evolutive SFP'!AH21/'Evolutive SFP'!AH27</f>
        <v>5.9549927437843736E-2</v>
      </c>
      <c r="AK17" s="23" t="e">
        <f>'Evolutive SFP'!AI21/'Evolutive SFP'!AI27</f>
        <v>#DIV/0!</v>
      </c>
      <c r="AL17" s="23" t="e">
        <f>'Evolutive SFP'!AJ21/'Evolutive SFP'!AJ27</f>
        <v>#DIV/0!</v>
      </c>
      <c r="AM17" s="23" t="e">
        <f>'Evolutive SFP'!AK21/'Evolutive SFP'!AK27</f>
        <v>#DIV/0!</v>
      </c>
      <c r="AN17" s="23" t="e">
        <f>'Evolutive SFP'!AL21/'Evolutive SFP'!AL27</f>
        <v>#DIV/0!</v>
      </c>
      <c r="AO17" s="23" t="e">
        <f>'Evolutive SFP'!AM21/'Evolutive SFP'!AM27</f>
        <v>#DIV/0!</v>
      </c>
      <c r="AP17" s="23" t="e">
        <f>'Evolutive SFP'!AN21/'Evolutive SFP'!AN27</f>
        <v>#DIV/0!</v>
      </c>
      <c r="AQ17" s="23" t="e">
        <f>'Evolutive SFP'!AO21/'Evolutive SFP'!AO27</f>
        <v>#DIV/0!</v>
      </c>
      <c r="AR17" s="23" t="e">
        <f>'Evolutive SFP'!AP21/'Evolutive SFP'!AP27</f>
        <v>#DIV/0!</v>
      </c>
      <c r="AS17" s="23" t="e">
        <f>'Evolutive SFP'!AQ21/'Evolutive SFP'!AQ27</f>
        <v>#DIV/0!</v>
      </c>
      <c r="AT17" s="23" t="e">
        <f>'Evolutive SFP'!AR21/'Evolutive SFP'!AR27</f>
        <v>#DIV/0!</v>
      </c>
      <c r="AU17" s="23" t="e">
        <f>'Evolutive SFP'!AS21/'Evolutive SFP'!AS27</f>
        <v>#DIV/0!</v>
      </c>
      <c r="AV17" s="23" t="e">
        <f>'Evolutive SFP'!AT21/'Evolutive SFP'!AT27</f>
        <v>#DIV/0!</v>
      </c>
    </row>
    <row r="18" spans="1:48" ht="15" x14ac:dyDescent="0.3">
      <c r="A18" s="206"/>
      <c r="B18" s="3" t="s">
        <v>129</v>
      </c>
      <c r="C18" s="21" t="s">
        <v>128</v>
      </c>
      <c r="D18" s="23">
        <f>'Evolutive SFP'!B13/'Evolutive SFP'!B31</f>
        <v>3.6721969312762956E-3</v>
      </c>
      <c r="E18" s="23">
        <f>'Evolutive SFP'!C13/'Evolutive SFP'!C31</f>
        <v>5.1135118245752278E-3</v>
      </c>
      <c r="F18" s="23">
        <f>'Evolutive SFP'!D13/'Evolutive SFP'!D31</f>
        <v>2.5119078442854565E-2</v>
      </c>
      <c r="G18" s="23">
        <f>'Evolutive SFP'!E13/'Evolutive SFP'!E31</f>
        <v>2.3684847085796708E-2</v>
      </c>
      <c r="H18" s="23">
        <f>'Evolutive SFP'!F13/'Evolutive SFP'!F31</f>
        <v>2.398636550975275E-2</v>
      </c>
      <c r="I18" s="23">
        <f>'Evolutive SFP'!G13/'Evolutive SFP'!G31</f>
        <v>2.4173632186094047E-2</v>
      </c>
      <c r="J18" s="23">
        <f>'Evolutive SFP'!H13/'Evolutive SFP'!H31</f>
        <v>2.3816495469321908E-2</v>
      </c>
      <c r="K18" s="23">
        <f>'Evolutive SFP'!I13/'Evolutive SFP'!I31</f>
        <v>2.3751538459916725E-2</v>
      </c>
      <c r="L18" s="23">
        <f>'Evolutive SFP'!J13/'Evolutive SFP'!J31</f>
        <v>2.34448256251121E-2</v>
      </c>
      <c r="M18" s="23">
        <f>'Evolutive SFP'!K13/'Evolutive SFP'!K31</f>
        <v>2.3277803776618745E-2</v>
      </c>
      <c r="N18" s="23">
        <f>'Evolutive SFP'!L13/'Evolutive SFP'!L31</f>
        <v>2.4601534891789831E-2</v>
      </c>
      <c r="O18" s="23">
        <f>'Evolutive SFP'!M13/'Evolutive SFP'!M31</f>
        <v>2.438083096755796E-2</v>
      </c>
      <c r="P18" s="23">
        <f>'Evolutive SFP'!N13/'Evolutive SFP'!N31</f>
        <v>2.4462501901290314E-2</v>
      </c>
      <c r="Q18" s="23">
        <f>'Evolutive SFP'!O13/'Evolutive SFP'!O31</f>
        <v>2.4425599408795268E-2</v>
      </c>
      <c r="R18" s="23">
        <f>'Evolutive SFP'!P13/'Evolutive SFP'!P31</f>
        <v>4.6696652917439293E-3</v>
      </c>
      <c r="S18" s="23">
        <f>'Evolutive SFP'!Q13/'Evolutive SFP'!Q31</f>
        <v>2.4594115949669006E-2</v>
      </c>
      <c r="T18" s="23">
        <f>'Evolutive SFP'!R13/'Evolutive SFP'!R31</f>
        <v>2.3596620528102678E-2</v>
      </c>
      <c r="U18" s="23">
        <f>'Evolutive SFP'!S13/'Evolutive SFP'!S31</f>
        <v>2.3605864181960912E-2</v>
      </c>
      <c r="V18" s="23">
        <f>'Evolutive SFP'!T13/'Evolutive SFP'!T31</f>
        <v>2.3564470501052436E-2</v>
      </c>
      <c r="W18" s="23">
        <f>'Evolutive SFP'!U13/'Evolutive SFP'!U31</f>
        <v>2.3550129989224382E-2</v>
      </c>
      <c r="X18" s="23">
        <f>'Evolutive SFP'!V13/'Evolutive SFP'!V31</f>
        <v>2.3531278862465557E-2</v>
      </c>
      <c r="Y18" s="23">
        <f>'Evolutive SFP'!W13/'Evolutive SFP'!W31</f>
        <v>2.3348281298674188E-2</v>
      </c>
      <c r="Z18" s="23">
        <f>'Evolutive SFP'!X13/'Evolutive SFP'!X31</f>
        <v>2.3293378356223238E-2</v>
      </c>
      <c r="AA18" s="23">
        <f>'Evolutive SFP'!Y13/'Evolutive SFP'!Y31</f>
        <v>2.3557078760517783E-2</v>
      </c>
      <c r="AB18" s="23">
        <f>'Evolutive SFP'!Z13/'Evolutive SFP'!Z31</f>
        <v>2.2974644408738178E-2</v>
      </c>
      <c r="AC18" s="23">
        <f>'Evolutive SFP'!AA13/'Evolutive SFP'!AA31</f>
        <v>2.3003280313282672E-2</v>
      </c>
      <c r="AD18" s="23">
        <f>'Evolutive SFP'!AB13/'Evolutive SFP'!AB31</f>
        <v>2.3108245769146208E-2</v>
      </c>
      <c r="AE18" s="23">
        <f>'Evolutive SFP'!AC13/'Evolutive SFP'!AC31</f>
        <v>4.305787111428881E-3</v>
      </c>
      <c r="AF18" s="23">
        <f>'Evolutive SFP'!AD13/'Evolutive SFP'!AD31</f>
        <v>0</v>
      </c>
      <c r="AG18" s="23">
        <f>'Evolutive SFP'!AE13/'Evolutive SFP'!AE31</f>
        <v>0</v>
      </c>
      <c r="AH18" s="23">
        <f>'Evolutive SFP'!AF13/'Evolutive SFP'!AF31</f>
        <v>0</v>
      </c>
      <c r="AI18" s="23">
        <f>'Evolutive SFP'!AG13/'Evolutive SFP'!AG31</f>
        <v>0</v>
      </c>
      <c r="AJ18" s="23">
        <f>'Evolutive SFP'!AH13/'Evolutive SFP'!AH31</f>
        <v>0</v>
      </c>
      <c r="AK18" s="23" t="e">
        <f>'Evolutive SFP'!AI13/'Evolutive SFP'!AI31</f>
        <v>#DIV/0!</v>
      </c>
      <c r="AL18" s="23" t="e">
        <f>'Evolutive SFP'!AJ13/'Evolutive SFP'!AJ31</f>
        <v>#DIV/0!</v>
      </c>
      <c r="AM18" s="23" t="e">
        <f>'Evolutive SFP'!AK13/'Evolutive SFP'!AK31</f>
        <v>#DIV/0!</v>
      </c>
      <c r="AN18" s="23" t="e">
        <f>'Evolutive SFP'!AL13/'Evolutive SFP'!AL31</f>
        <v>#DIV/0!</v>
      </c>
      <c r="AO18" s="23" t="e">
        <f>'Evolutive SFP'!AM13/'Evolutive SFP'!AM31</f>
        <v>#DIV/0!</v>
      </c>
      <c r="AP18" s="23" t="e">
        <f>'Evolutive SFP'!AN13/'Evolutive SFP'!AN31</f>
        <v>#DIV/0!</v>
      </c>
      <c r="AQ18" s="23" t="e">
        <f>'Evolutive SFP'!AO13/'Evolutive SFP'!AO31</f>
        <v>#DIV/0!</v>
      </c>
      <c r="AR18" s="23" t="e">
        <f>'Evolutive SFP'!AP13/'Evolutive SFP'!AP31</f>
        <v>#DIV/0!</v>
      </c>
      <c r="AS18" s="23" t="e">
        <f>'Evolutive SFP'!AQ13/'Evolutive SFP'!AQ31</f>
        <v>#DIV/0!</v>
      </c>
      <c r="AT18" s="23" t="e">
        <f>'Evolutive SFP'!AR13/'Evolutive SFP'!AR31</f>
        <v>#DIV/0!</v>
      </c>
      <c r="AU18" s="23" t="e">
        <f>'Evolutive SFP'!AS13/'Evolutive SFP'!AS31</f>
        <v>#DIV/0!</v>
      </c>
      <c r="AV18" s="23" t="e">
        <f>'Evolutive SFP'!AT13/'Evolutive SFP'!AT31</f>
        <v>#DIV/0!</v>
      </c>
    </row>
    <row r="19" spans="1:48" x14ac:dyDescent="0.3">
      <c r="A19" s="206"/>
      <c r="B19" s="45" t="s">
        <v>130</v>
      </c>
      <c r="C19" s="22" t="s">
        <v>131</v>
      </c>
      <c r="D19" s="23">
        <f>'Evolutive SFP'!B13/(CAELS!D3*1000000)</f>
        <v>3.0948443377048846E-2</v>
      </c>
      <c r="E19" s="23">
        <f>'Evolutive SFP'!C13/(CAELS!E3*1000000)</f>
        <v>1.4823097652277333E-2</v>
      </c>
      <c r="F19" s="23">
        <f>'Evolutive SFP'!D13/(CAELS!F3*1000000)</f>
        <v>7.0467910940698097E-2</v>
      </c>
      <c r="G19" s="23">
        <f>'Evolutive SFP'!E13/(CAELS!G3*1000000)</f>
        <v>7.0094355954424939E-2</v>
      </c>
      <c r="H19" s="23">
        <f>'Evolutive SFP'!F13/(CAELS!H3*1000000)</f>
        <v>6.6636746934512478E-2</v>
      </c>
      <c r="I19" s="23">
        <f>'Evolutive SFP'!G13/(CAELS!I3*1000000)</f>
        <v>6.4171560442180281E-2</v>
      </c>
      <c r="J19" s="23">
        <f>'Evolutive SFP'!H13/(CAELS!J3*1000000)</f>
        <v>6.2036745066091276E-2</v>
      </c>
      <c r="K19" s="23">
        <f>'Evolutive SFP'!I13/(CAELS!K3*1000000)</f>
        <v>6.1229936543416047E-2</v>
      </c>
      <c r="L19" s="23">
        <f>'Evolutive SFP'!J13/(CAELS!L3*1000000)</f>
        <v>5.7531701689470277E-2</v>
      </c>
      <c r="M19" s="23">
        <f>'Evolutive SFP'!K13/(CAELS!M3*1000000)</f>
        <v>5.5403974634377698E-2</v>
      </c>
      <c r="N19" s="23">
        <f>'Evolutive SFP'!L13/(CAELS!N3*1000000)</f>
        <v>5.8135655366124785E-2</v>
      </c>
      <c r="O19" s="23">
        <f>'Evolutive SFP'!M13/(CAELS!O3*1000000)</f>
        <v>5.6106244667464382E-2</v>
      </c>
      <c r="P19" s="23">
        <f>'Evolutive SFP'!N13/(CAELS!P3*1000000)</f>
        <v>5.4381226710762468E-2</v>
      </c>
      <c r="Q19" s="23">
        <f>'Evolutive SFP'!O13/(CAELS!Q3*1000000)</f>
        <v>5.2217439455417403E-2</v>
      </c>
      <c r="R19" s="23">
        <f>'Evolutive SFP'!P13/(CAELS!R3*1000000)</f>
        <v>1.2065112072377489E-2</v>
      </c>
      <c r="S19" s="23">
        <f>'Evolutive SFP'!Q13/(CAELS!S3*1000000)</f>
        <v>6.1211317874965719E-2</v>
      </c>
      <c r="T19" s="23">
        <f>'Evolutive SFP'!R13/(CAELS!T3*1000000)</f>
        <v>6.0279139689511617E-2</v>
      </c>
      <c r="U19" s="23">
        <f>'Evolutive SFP'!S13/(CAELS!U3*1000000)</f>
        <v>5.8404157444959491E-2</v>
      </c>
      <c r="V19" s="23">
        <f>'Evolutive SFP'!T13/(CAELS!V3*1000000)</f>
        <v>5.6276603476159079E-2</v>
      </c>
      <c r="W19" s="23">
        <f>'Evolutive SFP'!U13/(CAELS!W3*1000000)</f>
        <v>5.447914601960456E-2</v>
      </c>
      <c r="X19" s="23">
        <f>'Evolutive SFP'!V13/(CAELS!X3*1000000)</f>
        <v>5.184255668374254E-2</v>
      </c>
      <c r="Y19" s="23">
        <f>'Evolutive SFP'!W13/(CAELS!Y3*1000000)</f>
        <v>5.0868666571538955E-2</v>
      </c>
      <c r="Z19" s="23">
        <f>'Evolutive SFP'!X13/(CAELS!Z3*1000000)</f>
        <v>4.9371631309106434E-2</v>
      </c>
      <c r="AA19" s="23">
        <f>'Evolutive SFP'!Y13/(CAELS!AA3*1000000)</f>
        <v>5.0533158952501857E-2</v>
      </c>
      <c r="AB19" s="23">
        <f>'Evolutive SFP'!Z13/(CAELS!AB3*1000000)</f>
        <v>4.8624295284429894E-2</v>
      </c>
      <c r="AC19" s="23">
        <f>'Evolutive SFP'!AA13/(CAELS!AC3*1000000)</f>
        <v>4.7542428244537464E-2</v>
      </c>
      <c r="AD19" s="23">
        <f>'Evolutive SFP'!AB13/(CAELS!AD3*1000000)</f>
        <v>4.6276552086955289E-2</v>
      </c>
      <c r="AE19" s="23">
        <f>'Evolutive SFP'!AC13/(CAELS!AE3*1000000)</f>
        <v>1.0264393535982038E-2</v>
      </c>
      <c r="AF19" s="23">
        <f>'Evolutive SFP'!AD13/(CAELS!AF3*1000000)</f>
        <v>0</v>
      </c>
      <c r="AG19" s="23">
        <f>'Evolutive SFP'!AE13/(CAELS!AG3*1000000)</f>
        <v>0</v>
      </c>
      <c r="AH19" s="23">
        <f>'Evolutive SFP'!AF13/(CAELS!AH3*1000000)</f>
        <v>0</v>
      </c>
      <c r="AI19" s="23">
        <f>'Evolutive SFP'!AG13/(CAELS!AI3*1000000)</f>
        <v>0</v>
      </c>
      <c r="AJ19" s="23">
        <f>'Evolutive SFP'!AH13/(CAELS!AJ3*1000000)</f>
        <v>0</v>
      </c>
      <c r="AK19" s="23" t="e">
        <f>'Evolutive SFP'!AI13/(CAELS!AK3*1000000)</f>
        <v>#DIV/0!</v>
      </c>
      <c r="AL19" s="23" t="e">
        <f>'Evolutive SFP'!AJ13/(CAELS!AL3*1000000)</f>
        <v>#DIV/0!</v>
      </c>
      <c r="AM19" s="23" t="e">
        <f>'Evolutive SFP'!AK13/(CAELS!AM3*1000000)</f>
        <v>#DIV/0!</v>
      </c>
      <c r="AN19" s="23" t="e">
        <f>'Evolutive SFP'!AL13/(CAELS!AN3*1000000)</f>
        <v>#DIV/0!</v>
      </c>
      <c r="AO19" s="23" t="e">
        <f>'Evolutive SFP'!AM13/(CAELS!AO3*1000000)</f>
        <v>#DIV/0!</v>
      </c>
      <c r="AP19" s="23" t="e">
        <f>'Evolutive SFP'!AN13/(CAELS!AP3*1000000)</f>
        <v>#DIV/0!</v>
      </c>
      <c r="AQ19" s="23" t="e">
        <f>'Evolutive SFP'!AO13/(CAELS!AQ3*1000000)</f>
        <v>#DIV/0!</v>
      </c>
      <c r="AR19" s="23" t="e">
        <f>'Evolutive SFP'!AP13/(CAELS!AR3*1000000)</f>
        <v>#DIV/0!</v>
      </c>
      <c r="AS19" s="23" t="e">
        <f>'Evolutive SFP'!AQ13/(CAELS!AS3*1000000)</f>
        <v>#DIV/0!</v>
      </c>
      <c r="AT19" s="23" t="e">
        <f>'Evolutive SFP'!AR13/(CAELS!AT3*1000000)</f>
        <v>#DIV/0!</v>
      </c>
      <c r="AU19" s="23" t="e">
        <f>'Evolutive SFP'!AS13/(CAELS!AU3*1000000)</f>
        <v>#DIV/0!</v>
      </c>
      <c r="AV19" s="23" t="e">
        <f>'Evolutive SFP'!AT13/(CAELS!AV3*1000000)</f>
        <v>#DIV/0!</v>
      </c>
    </row>
    <row r="20" spans="1:48" x14ac:dyDescent="0.3">
      <c r="A20" s="206"/>
      <c r="B20" s="4" t="s">
        <v>132</v>
      </c>
      <c r="C20" s="22"/>
      <c r="D20" s="23">
        <f>'Evolutive SFP'!B15/'Evolutive SFP'!B27</f>
        <v>0.74763911512819969</v>
      </c>
      <c r="E20" s="23">
        <f>'Evolutive SFP'!C15/'Evolutive SFP'!C27</f>
        <v>0.82353315570609886</v>
      </c>
      <c r="F20" s="23">
        <f>'Evolutive SFP'!D15/'Evolutive SFP'!D27</f>
        <v>0.82379517372089428</v>
      </c>
      <c r="G20" s="23">
        <f>'Evolutive SFP'!E15/'Evolutive SFP'!E27</f>
        <v>0.82019933654590294</v>
      </c>
      <c r="H20" s="23">
        <f>'Evolutive SFP'!F15/'Evolutive SFP'!F27</f>
        <v>0.82786107724061619</v>
      </c>
      <c r="I20" s="23">
        <f>'Evolutive SFP'!G15/'Evolutive SFP'!G27</f>
        <v>0.8312510886033162</v>
      </c>
      <c r="J20" s="23">
        <f>'Evolutive SFP'!H15/'Evolutive SFP'!H27</f>
        <v>0.82141086098356986</v>
      </c>
      <c r="K20" s="23">
        <f>'Evolutive SFP'!I15/'Evolutive SFP'!I27</f>
        <v>0.81914036668694623</v>
      </c>
      <c r="L20" s="23">
        <f>'Evolutive SFP'!J15/'Evolutive SFP'!J27</f>
        <v>0.82722291111972579</v>
      </c>
      <c r="M20" s="23">
        <f>'Evolutive SFP'!K15/'Evolutive SFP'!K27</f>
        <v>0.83742187665743373</v>
      </c>
      <c r="N20" s="23">
        <f>'Evolutive SFP'!L15/'Evolutive SFP'!L27</f>
        <v>0.8478905290689035</v>
      </c>
      <c r="O20" s="23">
        <f>'Evolutive SFP'!M15/'Evolutive SFP'!M27</f>
        <v>0.85651687518407382</v>
      </c>
      <c r="P20" s="23">
        <f>'Evolutive SFP'!N15/'Evolutive SFP'!N27</f>
        <v>0.8626929502535895</v>
      </c>
      <c r="Q20" s="23">
        <f>'Evolutive SFP'!O15/'Evolutive SFP'!O27</f>
        <v>0.86362686174860848</v>
      </c>
      <c r="R20" s="23">
        <f>'Evolutive SFP'!P15/'Evolutive SFP'!P27</f>
        <v>0.85454246566196457</v>
      </c>
      <c r="S20" s="23">
        <f>'Evolutive SFP'!Q15/'Evolutive SFP'!Q27</f>
        <v>0.859128330795354</v>
      </c>
      <c r="T20" s="23">
        <f>'Evolutive SFP'!R15/'Evolutive SFP'!R27</f>
        <v>0.85261754777102483</v>
      </c>
      <c r="U20" s="23">
        <f>'Evolutive SFP'!S15/'Evolutive SFP'!S27</f>
        <v>0.87889445143200684</v>
      </c>
      <c r="V20" s="23">
        <f>'Evolutive SFP'!T15/'Evolutive SFP'!T27</f>
        <v>0.88686717199704557</v>
      </c>
      <c r="W20" s="23">
        <f>'Evolutive SFP'!U15/'Evolutive SFP'!U27</f>
        <v>0.8914848684099419</v>
      </c>
      <c r="X20" s="23">
        <f>'Evolutive SFP'!V15/'Evolutive SFP'!V27</f>
        <v>0.87214778289982531</v>
      </c>
      <c r="Y20" s="23">
        <f>'Evolutive SFP'!W15/'Evolutive SFP'!W27</f>
        <v>0.8714664578305209</v>
      </c>
      <c r="Z20" s="23">
        <f>'Evolutive SFP'!X15/'Evolutive SFP'!X27</f>
        <v>0.86611906742900968</v>
      </c>
      <c r="AA20" s="23">
        <f>'Evolutive SFP'!Y15/'Evolutive SFP'!Y27</f>
        <v>0.86991424626079417</v>
      </c>
      <c r="AB20" s="23">
        <f>'Evolutive SFP'!Z15/'Evolutive SFP'!Z27</f>
        <v>0.86333448258395329</v>
      </c>
      <c r="AC20" s="23">
        <f>'Evolutive SFP'!AA15/'Evolutive SFP'!AA27</f>
        <v>0.86988093124698962</v>
      </c>
      <c r="AD20" s="23">
        <f>'Evolutive SFP'!AB15/'Evolutive SFP'!AB27</f>
        <v>0.87475991713229895</v>
      </c>
      <c r="AE20" s="23">
        <f>'Evolutive SFP'!AC15/'Evolutive SFP'!AC27</f>
        <v>0.87005365755908426</v>
      </c>
      <c r="AF20" s="23">
        <f>'Evolutive SFP'!AD15/'Evolutive SFP'!AD27</f>
        <v>0.88158566313317199</v>
      </c>
      <c r="AG20" s="23">
        <f>'Evolutive SFP'!AE15/'Evolutive SFP'!AE27</f>
        <v>0.87031249094643715</v>
      </c>
      <c r="AH20" s="23">
        <f>'Evolutive SFP'!AF15/'Evolutive SFP'!AF27</f>
        <v>0.87459806095323622</v>
      </c>
      <c r="AI20" s="23">
        <f>'Evolutive SFP'!AG15/'Evolutive SFP'!AG27</f>
        <v>0.872408914577121</v>
      </c>
      <c r="AJ20" s="23">
        <f>'Evolutive SFP'!AH15/'Evolutive SFP'!AH27</f>
        <v>0.8670516292646463</v>
      </c>
      <c r="AK20" s="23" t="e">
        <f>'Evolutive SFP'!AI15/'Evolutive SFP'!AI27</f>
        <v>#DIV/0!</v>
      </c>
      <c r="AL20" s="23" t="e">
        <f>'Evolutive SFP'!AJ15/'Evolutive SFP'!AJ27</f>
        <v>#DIV/0!</v>
      </c>
      <c r="AM20" s="23" t="e">
        <f>'Evolutive SFP'!AK15/'Evolutive SFP'!AK27</f>
        <v>#DIV/0!</v>
      </c>
      <c r="AN20" s="23" t="e">
        <f>'Evolutive SFP'!AL15/'Evolutive SFP'!AL27</f>
        <v>#DIV/0!</v>
      </c>
      <c r="AO20" s="23" t="e">
        <f>'Evolutive SFP'!AM15/'Evolutive SFP'!AM27</f>
        <v>#DIV/0!</v>
      </c>
      <c r="AP20" s="23" t="e">
        <f>'Evolutive SFP'!AN15/'Evolutive SFP'!AN27</f>
        <v>#DIV/0!</v>
      </c>
      <c r="AQ20" s="23" t="e">
        <f>'Evolutive SFP'!AO15/'Evolutive SFP'!AO27</f>
        <v>#DIV/0!</v>
      </c>
      <c r="AR20" s="23" t="e">
        <f>'Evolutive SFP'!AP15/'Evolutive SFP'!AP27</f>
        <v>#DIV/0!</v>
      </c>
      <c r="AS20" s="23" t="e">
        <f>'Evolutive SFP'!AQ15/'Evolutive SFP'!AQ27</f>
        <v>#DIV/0!</v>
      </c>
      <c r="AT20" s="23" t="e">
        <f>'Evolutive SFP'!AR15/'Evolutive SFP'!AR27</f>
        <v>#DIV/0!</v>
      </c>
      <c r="AU20" s="23" t="e">
        <f>'Evolutive SFP'!AS15/'Evolutive SFP'!AS27</f>
        <v>#DIV/0!</v>
      </c>
      <c r="AV20" s="23" t="e">
        <f>'Evolutive SFP'!AT15/'Evolutive SFP'!AT27</f>
        <v>#DIV/0!</v>
      </c>
    </row>
    <row r="21" spans="1:48" x14ac:dyDescent="0.3">
      <c r="A21" s="205" t="s">
        <v>133</v>
      </c>
      <c r="B21" s="46" t="s">
        <v>134</v>
      </c>
      <c r="C21" s="2"/>
      <c r="D21" s="23">
        <f>'Evolutive SFP'!B31/'Evolutive SFP'!B27</f>
        <v>0.85159482956904442</v>
      </c>
      <c r="E21" s="23">
        <f>'Evolutive SFP'!C31/'Evolutive SFP'!C27</f>
        <v>0.6700608164261459</v>
      </c>
      <c r="F21" s="23">
        <f>'Evolutive SFP'!D31/'Evolutive SFP'!D27</f>
        <v>0.66563929679389366</v>
      </c>
      <c r="G21" s="23">
        <f>'Evolutive SFP'!E31/'Evolutive SFP'!E27</f>
        <v>0.70479045912535976</v>
      </c>
      <c r="H21" s="23">
        <f>'Evolutive SFP'!F31/'Evolutive SFP'!F27</f>
        <v>0.70060331520407748</v>
      </c>
      <c r="I21" s="23">
        <f>'Evolutive SFP'!G31/'Evolutive SFP'!G27</f>
        <v>0.69172823719776966</v>
      </c>
      <c r="J21" s="23">
        <f>'Evolutive SFP'!H31/'Evolutive SFP'!H27</f>
        <v>0.68981289781791411</v>
      </c>
      <c r="K21" s="23">
        <f>'Evolutive SFP'!I31/'Evolutive SFP'!I27</f>
        <v>0.68632059317685634</v>
      </c>
      <c r="L21" s="23">
        <f>'Evolutive SFP'!J31/'Evolutive SFP'!J27</f>
        <v>0.68007494091665432</v>
      </c>
      <c r="M21" s="23">
        <f>'Evolutive SFP'!K31/'Evolutive SFP'!K27</f>
        <v>0.67466825357407489</v>
      </c>
      <c r="N21" s="23">
        <f>'Evolutive SFP'!L31/'Evolutive SFP'!L27</f>
        <v>0.67455495683147482</v>
      </c>
      <c r="O21" s="23">
        <f>'Evolutive SFP'!M31/'Evolutive SFP'!M27</f>
        <v>0.671463586914402</v>
      </c>
      <c r="P21" s="23">
        <f>'Evolutive SFP'!N31/'Evolutive SFP'!N27</f>
        <v>0.66436570230341718</v>
      </c>
      <c r="Q21" s="23">
        <f>'Evolutive SFP'!O31/'Evolutive SFP'!O27</f>
        <v>0.65746937119554327</v>
      </c>
      <c r="R21" s="23">
        <f>'Evolutive SFP'!P31/'Evolutive SFP'!P27</f>
        <v>0.65396982279519955</v>
      </c>
      <c r="S21" s="23">
        <f>'Evolutive SFP'!Q31/'Evolutive SFP'!Q27</f>
        <v>0.65516121190415355</v>
      </c>
      <c r="T21" s="23">
        <f>'Evolutive SFP'!R31/'Evolutive SFP'!R27</f>
        <v>0.67940820055260476</v>
      </c>
      <c r="U21" s="23">
        <f>'Evolutive SFP'!S31/'Evolutive SFP'!S27</f>
        <v>0.6894221104018361</v>
      </c>
      <c r="V21" s="23">
        <f>'Evolutive SFP'!T31/'Evolutive SFP'!T27</f>
        <v>0.68478407913223893</v>
      </c>
      <c r="W21" s="23">
        <f>'Evolutive SFP'!U31/'Evolutive SFP'!U27</f>
        <v>0.67981335134918242</v>
      </c>
      <c r="X21" s="23">
        <f>'Evolutive SFP'!V31/'Evolutive SFP'!V27</f>
        <v>0.66202613884551165</v>
      </c>
      <c r="Y21" s="23">
        <f>'Evolutive SFP'!W31/'Evolutive SFP'!W27</f>
        <v>0.6640981459820775</v>
      </c>
      <c r="Z21" s="23">
        <f>'Evolutive SFP'!X31/'Evolutive SFP'!X27</f>
        <v>0.65502139539667825</v>
      </c>
      <c r="AA21" s="23">
        <f>'Evolutive SFP'!Y31/'Evolutive SFP'!Y27</f>
        <v>0.65550812270619885</v>
      </c>
      <c r="AB21" s="23">
        <f>'Evolutive SFP'!Z31/'Evolutive SFP'!Z27</f>
        <v>0.65569729378521691</v>
      </c>
      <c r="AC21" s="23">
        <f>'Evolutive SFP'!AA31/'Evolutive SFP'!AA27</f>
        <v>0.6520780040184494</v>
      </c>
      <c r="AD21" s="23">
        <f>'Evolutive SFP'!AB31/'Evolutive SFP'!AB27</f>
        <v>0.643547655562554</v>
      </c>
      <c r="AE21" s="23">
        <f>'Evolutive SFP'!AC31/'Evolutive SFP'!AC27</f>
        <v>0.64163291786511223</v>
      </c>
      <c r="AF21" s="23">
        <f>'Evolutive SFP'!AD31/'Evolutive SFP'!AD27</f>
        <v>0.63884279116133724</v>
      </c>
      <c r="AG21" s="23">
        <f>'Evolutive SFP'!AE31/'Evolutive SFP'!AE27</f>
        <v>0.63120511857238615</v>
      </c>
      <c r="AH21" s="23">
        <f>'Evolutive SFP'!AF31/'Evolutive SFP'!AF27</f>
        <v>0.66136272634451632</v>
      </c>
      <c r="AI21" s="23">
        <f>'Evolutive SFP'!AG31/'Evolutive SFP'!AG27</f>
        <v>0.65883778564455009</v>
      </c>
      <c r="AJ21" s="23">
        <f>'Evolutive SFP'!AH31/'Evolutive SFP'!AH27</f>
        <v>0.65194306034100313</v>
      </c>
      <c r="AK21" s="23" t="e">
        <f>'Evolutive SFP'!AI31/'Evolutive SFP'!AI27</f>
        <v>#DIV/0!</v>
      </c>
      <c r="AL21" s="23" t="e">
        <f>'Evolutive SFP'!AJ31/'Evolutive SFP'!AJ27</f>
        <v>#DIV/0!</v>
      </c>
      <c r="AM21" s="23" t="e">
        <f>'Evolutive SFP'!AK31/'Evolutive SFP'!AK27</f>
        <v>#DIV/0!</v>
      </c>
      <c r="AN21" s="23" t="e">
        <f>'Evolutive SFP'!AL31/'Evolutive SFP'!AL27</f>
        <v>#DIV/0!</v>
      </c>
      <c r="AO21" s="23" t="e">
        <f>'Evolutive SFP'!AM31/'Evolutive SFP'!AM27</f>
        <v>#DIV/0!</v>
      </c>
      <c r="AP21" s="23" t="e">
        <f>'Evolutive SFP'!AN31/'Evolutive SFP'!AN27</f>
        <v>#DIV/0!</v>
      </c>
      <c r="AQ21" s="23" t="e">
        <f>'Evolutive SFP'!AO31/'Evolutive SFP'!AO27</f>
        <v>#DIV/0!</v>
      </c>
      <c r="AR21" s="23" t="e">
        <f>'Evolutive SFP'!AP31/'Evolutive SFP'!AP27</f>
        <v>#DIV/0!</v>
      </c>
      <c r="AS21" s="23" t="e">
        <f>'Evolutive SFP'!AQ31/'Evolutive SFP'!AQ27</f>
        <v>#DIV/0!</v>
      </c>
      <c r="AT21" s="23" t="e">
        <f>'Evolutive SFP'!AR31/'Evolutive SFP'!AR27</f>
        <v>#DIV/0!</v>
      </c>
      <c r="AU21" s="23" t="e">
        <f>'Evolutive SFP'!AS31/'Evolutive SFP'!AS27</f>
        <v>#DIV/0!</v>
      </c>
      <c r="AV21" s="23" t="e">
        <f>'Evolutive SFP'!AT31/'Evolutive SFP'!AT27</f>
        <v>#DIV/0!</v>
      </c>
    </row>
    <row r="22" spans="1:48" x14ac:dyDescent="0.3">
      <c r="A22" s="205"/>
      <c r="B22" s="46" t="s">
        <v>135</v>
      </c>
      <c r="C22" s="2"/>
      <c r="D22" s="23">
        <f>'Evolutive SFP'!B30/'Evolutive SFP'!B27</f>
        <v>0.74257767546849374</v>
      </c>
      <c r="E22" s="23">
        <f>'Evolutive SFP'!C30/'Evolutive SFP'!C27</f>
        <v>0.53250435853491862</v>
      </c>
      <c r="F22" s="23">
        <f>'Evolutive SFP'!D30/'Evolutive SFP'!D27</f>
        <v>0.53200460460975119</v>
      </c>
      <c r="G22" s="23">
        <f>'Evolutive SFP'!E30/'Evolutive SFP'!E27</f>
        <v>0.5383538686040491</v>
      </c>
      <c r="H22" s="23">
        <f>'Evolutive SFP'!F30/'Evolutive SFP'!F27</f>
        <v>0.54812607928814938</v>
      </c>
      <c r="I22" s="23">
        <f>'Evolutive SFP'!G30/'Evolutive SFP'!G27</f>
        <v>0.5505723919069434</v>
      </c>
      <c r="J22" s="23">
        <f>'Evolutive SFP'!H30/'Evolutive SFP'!H27</f>
        <v>0.54379452794431271</v>
      </c>
      <c r="K22" s="23">
        <f>'Evolutive SFP'!I30/'Evolutive SFP'!I27</f>
        <v>0.54236051144154596</v>
      </c>
      <c r="L22" s="23">
        <f>'Evolutive SFP'!J30/'Evolutive SFP'!J27</f>
        <v>0.52898658764819695</v>
      </c>
      <c r="M22" s="23">
        <f>'Evolutive SFP'!K30/'Evolutive SFP'!K27</f>
        <v>0.52490910353535225</v>
      </c>
      <c r="N22" s="23">
        <f>'Evolutive SFP'!L30/'Evolutive SFP'!L27</f>
        <v>0.52537715426730658</v>
      </c>
      <c r="O22" s="23">
        <f>'Evolutive SFP'!M30/'Evolutive SFP'!M27</f>
        <v>0.52185192613505116</v>
      </c>
      <c r="P22" s="23">
        <f>'Evolutive SFP'!N30/'Evolutive SFP'!N27</f>
        <v>0.52152329142951848</v>
      </c>
      <c r="Q22" s="23">
        <f>'Evolutive SFP'!O30/'Evolutive SFP'!O27</f>
        <v>0.51505256267362021</v>
      </c>
      <c r="R22" s="23">
        <f>'Evolutive SFP'!P30/'Evolutive SFP'!P27</f>
        <v>0.51231812768650364</v>
      </c>
      <c r="S22" s="23">
        <f>'Evolutive SFP'!Q30/'Evolutive SFP'!Q27</f>
        <v>0.513352356044813</v>
      </c>
      <c r="T22" s="23">
        <f>'Evolutive SFP'!R30/'Evolutive SFP'!R27</f>
        <v>0.51462750569700588</v>
      </c>
      <c r="U22" s="23">
        <f>'Evolutive SFP'!S30/'Evolutive SFP'!S27</f>
        <v>0.53021929080512853</v>
      </c>
      <c r="V22" s="23">
        <f>'Evolutive SFP'!T30/'Evolutive SFP'!T27</f>
        <v>0.53205071637534063</v>
      </c>
      <c r="W22" s="23">
        <f>'Evolutive SFP'!U30/'Evolutive SFP'!U27</f>
        <v>0.5335029681664466</v>
      </c>
      <c r="X22" s="23">
        <f>'Evolutive SFP'!V30/'Evolutive SFP'!V27</f>
        <v>0.51775724116019128</v>
      </c>
      <c r="Y22" s="23">
        <f>'Evolutive SFP'!W30/'Evolutive SFP'!W27</f>
        <v>0.51758015895882448</v>
      </c>
      <c r="Z22" s="23">
        <f>'Evolutive SFP'!X30/'Evolutive SFP'!X27</f>
        <v>0.51265165349970254</v>
      </c>
      <c r="AA22" s="23">
        <f>'Evolutive SFP'!Y30/'Evolutive SFP'!Y27</f>
        <v>0.51485110833780989</v>
      </c>
      <c r="AB22" s="23">
        <f>'Evolutive SFP'!Z30/'Evolutive SFP'!Z27</f>
        <v>0.51064608450427962</v>
      </c>
      <c r="AC22" s="23">
        <f>'Evolutive SFP'!AA30/'Evolutive SFP'!AA27</f>
        <v>0.51187843299634983</v>
      </c>
      <c r="AD22" s="23">
        <f>'Evolutive SFP'!AB30/'Evolutive SFP'!AB27</f>
        <v>0.50290163794743314</v>
      </c>
      <c r="AE22" s="23">
        <f>'Evolutive SFP'!AC30/'Evolutive SFP'!AC27</f>
        <v>0.50140536230707156</v>
      </c>
      <c r="AF22" s="23">
        <f>'Evolutive SFP'!AD30/'Evolutive SFP'!AD27</f>
        <v>0.50079161685415052</v>
      </c>
      <c r="AG22" s="23">
        <f>'Evolutive SFP'!AE30/'Evolutive SFP'!AE27</f>
        <v>0.49707064847337823</v>
      </c>
      <c r="AH22" s="23">
        <f>'Evolutive SFP'!AF30/'Evolutive SFP'!AF27</f>
        <v>0.5108869763347571</v>
      </c>
      <c r="AI22" s="23">
        <f>'Evolutive SFP'!AG30/'Evolutive SFP'!AG27</f>
        <v>0.51306922731345372</v>
      </c>
      <c r="AJ22" s="23">
        <f>'Evolutive SFP'!AH30/'Evolutive SFP'!AH27</f>
        <v>0.5111716822688227</v>
      </c>
      <c r="AK22" s="23" t="e">
        <f>'Evolutive SFP'!AI30/'Evolutive SFP'!AI27</f>
        <v>#DIV/0!</v>
      </c>
      <c r="AL22" s="23" t="e">
        <f>'Evolutive SFP'!AJ30/'Evolutive SFP'!AJ27</f>
        <v>#DIV/0!</v>
      </c>
      <c r="AM22" s="23" t="e">
        <f>'Evolutive SFP'!AK30/'Evolutive SFP'!AK27</f>
        <v>#DIV/0!</v>
      </c>
      <c r="AN22" s="23" t="e">
        <f>'Evolutive SFP'!AL30/'Evolutive SFP'!AL27</f>
        <v>#DIV/0!</v>
      </c>
      <c r="AO22" s="23" t="e">
        <f>'Evolutive SFP'!AM30/'Evolutive SFP'!AM27</f>
        <v>#DIV/0!</v>
      </c>
      <c r="AP22" s="23" t="e">
        <f>'Evolutive SFP'!AN30/'Evolutive SFP'!AN27</f>
        <v>#DIV/0!</v>
      </c>
      <c r="AQ22" s="23" t="e">
        <f>'Evolutive SFP'!AO30/'Evolutive SFP'!AO27</f>
        <v>#DIV/0!</v>
      </c>
      <c r="AR22" s="23" t="e">
        <f>'Evolutive SFP'!AP30/'Evolutive SFP'!AP27</f>
        <v>#DIV/0!</v>
      </c>
      <c r="AS22" s="23" t="e">
        <f>'Evolutive SFP'!AQ30/'Evolutive SFP'!AQ27</f>
        <v>#DIV/0!</v>
      </c>
      <c r="AT22" s="23" t="e">
        <f>'Evolutive SFP'!AR30/'Evolutive SFP'!AR27</f>
        <v>#DIV/0!</v>
      </c>
      <c r="AU22" s="23" t="e">
        <f>'Evolutive SFP'!AS30/'Evolutive SFP'!AS27</f>
        <v>#DIV/0!</v>
      </c>
      <c r="AV22" s="23" t="e">
        <f>'Evolutive SFP'!AT30/'Evolutive SFP'!AT27</f>
        <v>#DIV/0!</v>
      </c>
    </row>
    <row r="23" spans="1:48" x14ac:dyDescent="0.3">
      <c r="A23" s="205"/>
      <c r="B23" s="46" t="s">
        <v>136</v>
      </c>
      <c r="C23" s="2"/>
      <c r="D23" s="23">
        <f>('Evolutive SFP'!B28+'Evolutive SFP'!B29)/'Evolutive SFP'!B27</f>
        <v>0.10901715410055068</v>
      </c>
      <c r="E23" s="23">
        <f>('Evolutive SFP'!C28+'Evolutive SFP'!C29)/'Evolutive SFP'!C27</f>
        <v>0.13755645789122728</v>
      </c>
      <c r="F23" s="23">
        <f>('Evolutive SFP'!D28+'Evolutive SFP'!D29)/'Evolutive SFP'!D27</f>
        <v>0.13363469218414242</v>
      </c>
      <c r="G23" s="23">
        <f>('Evolutive SFP'!E28+'Evolutive SFP'!E29)/'Evolutive SFP'!E27</f>
        <v>0.16643659052131071</v>
      </c>
      <c r="H23" s="23">
        <f>('Evolutive SFP'!F28+'Evolutive SFP'!F29)/'Evolutive SFP'!F27</f>
        <v>0.15247723591592813</v>
      </c>
      <c r="I23" s="23">
        <f>('Evolutive SFP'!G28+'Evolutive SFP'!G29)/'Evolutive SFP'!G27</f>
        <v>0.1411558452908262</v>
      </c>
      <c r="J23" s="23">
        <f>('Evolutive SFP'!H28+'Evolutive SFP'!H29)/'Evolutive SFP'!H27</f>
        <v>0.14601836987360145</v>
      </c>
      <c r="K23" s="23">
        <f>('Evolutive SFP'!I28+'Evolutive SFP'!I29)/'Evolutive SFP'!I27</f>
        <v>0.14396008173531039</v>
      </c>
      <c r="L23" s="23">
        <f>('Evolutive SFP'!J28+'Evolutive SFP'!J29)/'Evolutive SFP'!J27</f>
        <v>0.15108835326845729</v>
      </c>
      <c r="M23" s="23">
        <f>('Evolutive SFP'!K28+'Evolutive SFP'!K29)/'Evolutive SFP'!K27</f>
        <v>0.14975915003872262</v>
      </c>
      <c r="N23" s="23">
        <f>('Evolutive SFP'!L28+'Evolutive SFP'!L29)/'Evolutive SFP'!L27</f>
        <v>0.14917780256416824</v>
      </c>
      <c r="O23" s="23">
        <f>('Evolutive SFP'!M28+'Evolutive SFP'!M29)/'Evolutive SFP'!M27</f>
        <v>0.14961166077935081</v>
      </c>
      <c r="P23" s="23">
        <f>('Evolutive SFP'!N28+'Evolutive SFP'!N29)/'Evolutive SFP'!N27</f>
        <v>0.14284241087389868</v>
      </c>
      <c r="Q23" s="23">
        <f>('Evolutive SFP'!O28+'Evolutive SFP'!O29)/'Evolutive SFP'!O27</f>
        <v>0.14241680852192315</v>
      </c>
      <c r="R23" s="23">
        <f>('Evolutive SFP'!P28+'Evolutive SFP'!P29)/'Evolutive SFP'!P27</f>
        <v>0.14165169510869582</v>
      </c>
      <c r="S23" s="23">
        <f>('Evolutive SFP'!Q28+'Evolutive SFP'!Q29)/'Evolutive SFP'!Q27</f>
        <v>0.14180885585934053</v>
      </c>
      <c r="T23" s="23">
        <f>('Evolutive SFP'!R28+'Evolutive SFP'!R29)/'Evolutive SFP'!R27</f>
        <v>0.1647806948555989</v>
      </c>
      <c r="U23" s="23">
        <f>('Evolutive SFP'!S28+'Evolutive SFP'!S29)/'Evolutive SFP'!S27</f>
        <v>0.15920281959670751</v>
      </c>
      <c r="V23" s="23">
        <f>('Evolutive SFP'!T28+'Evolutive SFP'!T29)/'Evolutive SFP'!T27</f>
        <v>0.15273336275689819</v>
      </c>
      <c r="W23" s="23">
        <f>('Evolutive SFP'!U28+'Evolutive SFP'!U29)/'Evolutive SFP'!U27</f>
        <v>0.14631038318273581</v>
      </c>
      <c r="X23" s="23">
        <f>('Evolutive SFP'!V28+'Evolutive SFP'!V29)/'Evolutive SFP'!V27</f>
        <v>0.14426889768532036</v>
      </c>
      <c r="Y23" s="23">
        <f>('Evolutive SFP'!W28+'Evolutive SFP'!W29)/'Evolutive SFP'!W27</f>
        <v>0.14651798702325303</v>
      </c>
      <c r="Z23" s="23">
        <f>('Evolutive SFP'!X28+'Evolutive SFP'!X29)/'Evolutive SFP'!X27</f>
        <v>0.14236974189697563</v>
      </c>
      <c r="AA23" s="23">
        <f>('Evolutive SFP'!Y28+'Evolutive SFP'!Y29)/'Evolutive SFP'!Y27</f>
        <v>0.1406570143683889</v>
      </c>
      <c r="AB23" s="23">
        <f>('Evolutive SFP'!Z28+'Evolutive SFP'!Z29)/'Evolutive SFP'!Z27</f>
        <v>0.14505120928093726</v>
      </c>
      <c r="AC23" s="23">
        <f>('Evolutive SFP'!AA28+'Evolutive SFP'!AA29)/'Evolutive SFP'!AA27</f>
        <v>0.14019957102209959</v>
      </c>
      <c r="AD23" s="23">
        <f>('Evolutive SFP'!AB28+'Evolutive SFP'!AB29)/'Evolutive SFP'!AB27</f>
        <v>0.1406460176151208</v>
      </c>
      <c r="AE23" s="23">
        <f>('Evolutive SFP'!AC28+'Evolutive SFP'!AC29)/'Evolutive SFP'!AC27</f>
        <v>0.14022755555804059</v>
      </c>
      <c r="AF23" s="23">
        <f>('Evolutive SFP'!AD28+'Evolutive SFP'!AD29)/'Evolutive SFP'!AD27</f>
        <v>0.13805117430718683</v>
      </c>
      <c r="AG23" s="23">
        <f>('Evolutive SFP'!AE28+'Evolutive SFP'!AE29)/'Evolutive SFP'!AE27</f>
        <v>0.13413447009900797</v>
      </c>
      <c r="AH23" s="23">
        <f>('Evolutive SFP'!AF28+'Evolutive SFP'!AF29)/'Evolutive SFP'!AF27</f>
        <v>0.1504757500097593</v>
      </c>
      <c r="AI23" s="23">
        <f>('Evolutive SFP'!AG28+'Evolutive SFP'!AG29)/'Evolutive SFP'!AG27</f>
        <v>0.14576855833109637</v>
      </c>
      <c r="AJ23" s="23">
        <f>('Evolutive SFP'!AH28+'Evolutive SFP'!AH29)/'Evolutive SFP'!AH27</f>
        <v>0.14077137807218035</v>
      </c>
      <c r="AK23" s="23" t="e">
        <f>('Evolutive SFP'!AI28+'Evolutive SFP'!AI29)/'Evolutive SFP'!AI27</f>
        <v>#DIV/0!</v>
      </c>
      <c r="AL23" s="23" t="e">
        <f>('Evolutive SFP'!AJ28+'Evolutive SFP'!AJ29)/'Evolutive SFP'!AJ27</f>
        <v>#DIV/0!</v>
      </c>
      <c r="AM23" s="23" t="e">
        <f>('Evolutive SFP'!AK28+'Evolutive SFP'!AK29)/'Evolutive SFP'!AK27</f>
        <v>#DIV/0!</v>
      </c>
      <c r="AN23" s="23" t="e">
        <f>('Evolutive SFP'!AL28+'Evolutive SFP'!AL29)/'Evolutive SFP'!AL27</f>
        <v>#DIV/0!</v>
      </c>
      <c r="AO23" s="23" t="e">
        <f>('Evolutive SFP'!AM28+'Evolutive SFP'!AM29)/'Evolutive SFP'!AM27</f>
        <v>#DIV/0!</v>
      </c>
      <c r="AP23" s="23" t="e">
        <f>('Evolutive SFP'!AN28+'Evolutive SFP'!AN29)/'Evolutive SFP'!AN27</f>
        <v>#DIV/0!</v>
      </c>
      <c r="AQ23" s="23" t="e">
        <f>('Evolutive SFP'!AO28+'Evolutive SFP'!AO29)/'Evolutive SFP'!AO27</f>
        <v>#DIV/0!</v>
      </c>
      <c r="AR23" s="23" t="e">
        <f>('Evolutive SFP'!AP28+'Evolutive SFP'!AP29)/'Evolutive SFP'!AP27</f>
        <v>#DIV/0!</v>
      </c>
      <c r="AS23" s="23" t="e">
        <f>('Evolutive SFP'!AQ28+'Evolutive SFP'!AQ29)/'Evolutive SFP'!AQ27</f>
        <v>#DIV/0!</v>
      </c>
      <c r="AT23" s="23" t="e">
        <f>('Evolutive SFP'!AR28+'Evolutive SFP'!AR29)/'Evolutive SFP'!AR27</f>
        <v>#DIV/0!</v>
      </c>
      <c r="AU23" s="23" t="e">
        <f>('Evolutive SFP'!AS28+'Evolutive SFP'!AS29)/'Evolutive SFP'!AS27</f>
        <v>#DIV/0!</v>
      </c>
      <c r="AV23" s="23" t="e">
        <f>('Evolutive SFP'!AT28+'Evolutive SFP'!AT29)/'Evolutive SFP'!AT27</f>
        <v>#DIV/0!</v>
      </c>
    </row>
    <row r="24" spans="1:48" x14ac:dyDescent="0.3">
      <c r="A24" s="204" t="s">
        <v>137</v>
      </c>
      <c r="B24" s="46" t="s">
        <v>27</v>
      </c>
      <c r="C24" s="2"/>
      <c r="D24" s="23" t="e">
        <f>(Financials!C4-Financials!B4)/Financials!B4</f>
        <v>#VALUE!</v>
      </c>
      <c r="E24" s="23">
        <f>(Financials!D4-Financials!C4)/Financials!C4</f>
        <v>60.822891150629744</v>
      </c>
      <c r="F24" s="23">
        <f>(Financials!E4-Financials!D4)/Financials!D4</f>
        <v>8.3812423304044717E-3</v>
      </c>
      <c r="G24" s="23">
        <f>(Financials!F4-Financials!E4)/Financials!E4</f>
        <v>1.6409092469387315E-3</v>
      </c>
      <c r="H24" s="23">
        <f>(Financials!G4-Financials!F4)/Financials!F4</f>
        <v>-6.6690526302743934E-3</v>
      </c>
      <c r="I24" s="23">
        <f>(Financials!H4-Financials!G4)/Financials!G4</f>
        <v>4.9841699913902313E-3</v>
      </c>
      <c r="J24" s="23">
        <f>(Financials!I4-Financials!H4)/Financials!H4</f>
        <v>1.7813594604314684E-2</v>
      </c>
      <c r="K24" s="23">
        <f>(Financials!J4-Financials!I4)/Financials!I4</f>
        <v>7.8372160503858528E-3</v>
      </c>
      <c r="L24" s="23">
        <f>(Financials!K4-Financials!J4)/Financials!J4</f>
        <v>2.2386240965470611E-2</v>
      </c>
      <c r="M24" s="23">
        <f>(Financials!L4-Financials!K4)/Financials!K4</f>
        <v>1.5246501302204315E-2</v>
      </c>
      <c r="N24" s="23">
        <f>(Financials!M4-Financials!L4)/Financials!L4</f>
        <v>6.4713577171265652E-3</v>
      </c>
      <c r="O24" s="23">
        <f>(Financials!N4-Financials!M4)/Financials!M4</f>
        <v>1.3697958722066453E-2</v>
      </c>
      <c r="P24" s="23">
        <f>(Financials!O4-Financials!N4)/Financials!N4</f>
        <v>7.3094149808576028E-3</v>
      </c>
      <c r="Q24" s="23">
        <f>(Financials!P4-Financials!O4)/Financials!O4</f>
        <v>1.2053222908932761E-2</v>
      </c>
      <c r="R24" s="23">
        <f>(Financials!Q4-Financials!P4)/Financials!P4</f>
        <v>5.3373770178571298E-3</v>
      </c>
      <c r="S24" s="23">
        <f>(Financials!R4-Financials!Q4)/Financials!Q4</f>
        <v>5.7120926199422549E-3</v>
      </c>
      <c r="T24" s="23">
        <f>(Financials!S4-Financials!R4)/Financials!R4</f>
        <v>5.0757641968324002E-3</v>
      </c>
      <c r="U24" s="23">
        <f>(Financials!T4-Financials!S4)/Financials!S4</f>
        <v>-1.4910973059008672E-2</v>
      </c>
      <c r="V24" s="23">
        <f>(Financials!U4-Financials!T4)/Financials!T4</f>
        <v>8.5414951092093305E-3</v>
      </c>
      <c r="W24" s="23">
        <f>(Financials!V4-Financials!U4)/Financials!U4</f>
        <v>7.9252888398004158E-3</v>
      </c>
      <c r="X24" s="23">
        <f>(Financials!W4-Financials!V4)/Financials!V4</f>
        <v>2.769047359042022E-2</v>
      </c>
      <c r="Y24" s="23">
        <f>(Financials!X4-Financials!W4)/Financials!W4</f>
        <v>4.6932461979625863E-3</v>
      </c>
      <c r="Z24" s="23">
        <f>(Financials!Y4-Financials!X4)/Financials!X4</f>
        <v>1.6246862789983635E-2</v>
      </c>
      <c r="AA24" s="23">
        <f>(Financials!Z4-Financials!Y4)/Financials!Y4</f>
        <v>6.1061166730917655E-3</v>
      </c>
      <c r="AB24" s="23">
        <f>(Financials!AA4-Financials!Z4)/Financials!Z4</f>
        <v>1.8721445210136557E-2</v>
      </c>
      <c r="AC24" s="23">
        <f>(Financials!AB4-Financials!AA4)/Financials!AA4</f>
        <v>4.2986226299257515E-3</v>
      </c>
      <c r="AD24" s="23">
        <f>(Financials!AC4-Financials!AB4)/Financials!AB4</f>
        <v>1.5019441617190352E-2</v>
      </c>
      <c r="AE24" s="23">
        <f>(Financials!AD4-Financials!AC4)/Financials!AC4</f>
        <v>2.9841636168729661E-3</v>
      </c>
      <c r="AF24" s="23">
        <f>(Financials!AE4-Financials!AD4)/Financials!AD4</f>
        <v>9.330976560322151E-3</v>
      </c>
      <c r="AG24" s="23">
        <f>(Financials!AF4-Financials!AE4)/Financials!AE4</f>
        <v>1.8952871956373581E-2</v>
      </c>
      <c r="AH24" s="23">
        <f>(Financials!AG4-Financials!AF4)/Financials!AF4</f>
        <v>-1.0992668666666953E-2</v>
      </c>
      <c r="AI24" s="23">
        <f>(Financials!AH4-Financials!AG4)/Financials!AG4</f>
        <v>8.5128312053725005E-3</v>
      </c>
      <c r="AJ24" s="23">
        <f>(Financials!AI4-Financials!AH4)/Financials!AH4</f>
        <v>1.3177783249436456E-2</v>
      </c>
      <c r="AK24" s="23">
        <f>(Financials!AJ4-Financials!AI4)/Financials!AI4</f>
        <v>-1</v>
      </c>
      <c r="AL24" s="23" t="e">
        <f>(Financials!AK4-Financials!AJ4)/Financials!AJ4</f>
        <v>#DIV/0!</v>
      </c>
      <c r="AM24" s="23" t="e">
        <f>(Financials!AL4-Financials!AK4)/Financials!AK4</f>
        <v>#DIV/0!</v>
      </c>
      <c r="AN24" s="23" t="e">
        <f>(Financials!AM4-Financials!AL4)/Financials!AL4</f>
        <v>#DIV/0!</v>
      </c>
      <c r="AO24" s="23" t="e">
        <f>(Financials!AN4-Financials!AM4)/Financials!AM4</f>
        <v>#DIV/0!</v>
      </c>
      <c r="AP24" s="23" t="e">
        <f>(Financials!AO4-Financials!AN4)/Financials!AN4</f>
        <v>#DIV/0!</v>
      </c>
      <c r="AQ24" s="23" t="e">
        <f>(Financials!AP4-Financials!AO4)/Financials!AO4</f>
        <v>#DIV/0!</v>
      </c>
      <c r="AR24" s="23" t="e">
        <f>(Financials!AQ4-Financials!AP4)/Financials!AP4</f>
        <v>#DIV/0!</v>
      </c>
      <c r="AS24" s="23" t="e">
        <f>(Financials!AR4-Financials!AQ4)/Financials!AQ4</f>
        <v>#DIV/0!</v>
      </c>
      <c r="AT24" s="23" t="e">
        <f>(Financials!AS4-Financials!AR4)/Financials!AR4</f>
        <v>#DIV/0!</v>
      </c>
      <c r="AU24" s="23" t="e">
        <f>(Financials!AT4-Financials!AS4)/Financials!AS4</f>
        <v>#DIV/0!</v>
      </c>
      <c r="AV24" s="23" t="e">
        <f>(Financials!AU4-Financials!AT4)/Financials!AT4</f>
        <v>#DIV/0!</v>
      </c>
    </row>
    <row r="25" spans="1:48" x14ac:dyDescent="0.3">
      <c r="A25" s="204"/>
      <c r="B25" s="46" t="s">
        <v>138</v>
      </c>
      <c r="C25" s="2" t="e">
        <f>IF(CAELS!D16&lt;6%,"1",IF)</f>
        <v>#NAME?</v>
      </c>
      <c r="D25" s="23">
        <f>Financials!D5/Financials!C5-1</f>
        <v>47.644138597200246</v>
      </c>
      <c r="E25" s="23">
        <f>Financials!E5/Financials!D5-1</f>
        <v>1.7272530947121112E-3</v>
      </c>
      <c r="F25" s="23">
        <f>Financials!F5/Financials!E5-1</f>
        <v>6.0554807546886469E-2</v>
      </c>
      <c r="G25" s="23">
        <f>Financials!G5/Financials!F5-1</f>
        <v>-1.2570408961434576E-2</v>
      </c>
      <c r="H25" s="23">
        <f>Financials!H5/Financials!G5-1</f>
        <v>-7.7467330891640707E-3</v>
      </c>
      <c r="I25" s="23">
        <f>Financials!I5/Financials!H5-1</f>
        <v>1.4995351319935679E-2</v>
      </c>
      <c r="J25" s="23">
        <f>Financials!J5/Financials!I5-1</f>
        <v>2.7348548185543997E-3</v>
      </c>
      <c r="K25" s="23">
        <f>Financials!K5/Financials!J5-1</f>
        <v>1.3082325273347406E-2</v>
      </c>
      <c r="L25" s="23">
        <f>Financials!L5/Financials!K5-1</f>
        <v>7.1751549285383742E-3</v>
      </c>
      <c r="M25" s="23">
        <f>Financials!M5/Financials!L5-1</f>
        <v>6.3023414254224086E-3</v>
      </c>
      <c r="N25" s="23">
        <f>Financials!N5/Financials!M5-1</f>
        <v>9.0523544716563098E-3</v>
      </c>
      <c r="O25" s="23">
        <f>Financials!O5/Financials!N5-1</f>
        <v>-3.3386173688164655E-3</v>
      </c>
      <c r="P25" s="23">
        <f>Financials!P5/Financials!O5-1</f>
        <v>1.547782757864713E-3</v>
      </c>
      <c r="Q25" s="23">
        <f>Financials!Q5/Financials!P5-1</f>
        <v>-1.3787559058675569E-5</v>
      </c>
      <c r="R25" s="23">
        <f>Financials!R5/Financials!Q5-1</f>
        <v>7.5442787424906399E-3</v>
      </c>
      <c r="S25" s="23">
        <f>Financials!S5/Financials!R5-1</f>
        <v>4.2272808531134798E-2</v>
      </c>
      <c r="T25" s="23">
        <f>Financials!T5/Financials!S5-1</f>
        <v>-3.9158294680430306E-4</v>
      </c>
      <c r="U25" s="23">
        <f>Financials!U5/Financials!T5-1</f>
        <v>1.7566140901246197E-3</v>
      </c>
      <c r="V25" s="23">
        <f>Financials!V5/Financials!U5-1</f>
        <v>6.0893556997854148E-4</v>
      </c>
      <c r="W25" s="23">
        <f>Financials!W5/Financials!V5-1</f>
        <v>8.0110931790011719E-4</v>
      </c>
      <c r="X25" s="23">
        <f>Financials!X5/Financials!W5-1</f>
        <v>7.8377316707145539E-3</v>
      </c>
      <c r="Y25" s="23">
        <f>Financials!Y5/Financials!X5-1</f>
        <v>2.3570193044273324E-3</v>
      </c>
      <c r="Z25" s="23">
        <f>Financials!Z5/Financials!Y5-1</f>
        <v>6.8537248072717549E-3</v>
      </c>
      <c r="AA25" s="23">
        <f>Financials!AA5/Financials!Z5-1</f>
        <v>1.9015434908103535E-2</v>
      </c>
      <c r="AB25" s="23">
        <f>Financials!AB5/Financials!AA5-1</f>
        <v>-1.2448617829500241E-3</v>
      </c>
      <c r="AC25" s="23">
        <f>Financials!AC5/Financials!AB5-1</f>
        <v>1.7411689670705499E-3</v>
      </c>
      <c r="AD25" s="23">
        <f>Financials!AD5/Financials!AC5-1</f>
        <v>-1.3761336514761524E-10</v>
      </c>
      <c r="AE25" s="23">
        <f>Financials!AE5/Financials!AD5-1</f>
        <v>4.9419228939076021E-3</v>
      </c>
      <c r="AF25" s="23">
        <f>Financials!AF5/Financials!AE5-1</f>
        <v>6.7708006749136462E-3</v>
      </c>
      <c r="AG25" s="23">
        <f>Financials!AG5/Financials!AF5-1</f>
        <v>3.625995065551213E-2</v>
      </c>
      <c r="AH25" s="23">
        <f>Financials!AH5/Financials!AG5-1</f>
        <v>4.6625460403415531E-3</v>
      </c>
      <c r="AI25" s="23">
        <f>Financials!AI5/Financials!AH5-1</f>
        <v>2.5748963911373934E-3</v>
      </c>
      <c r="AJ25" s="23">
        <f>Financials!AJ5/Financials!AI5-1</f>
        <v>-1</v>
      </c>
      <c r="AK25" s="23" t="e">
        <f>Financials!AK5/Financials!AJ5-1</f>
        <v>#DIV/0!</v>
      </c>
      <c r="AL25" s="23" t="e">
        <f>Financials!AL5/Financials!AK5-1</f>
        <v>#DIV/0!</v>
      </c>
      <c r="AM25" s="23" t="e">
        <f>Financials!AM5/Financials!AL5-1</f>
        <v>#DIV/0!</v>
      </c>
      <c r="AN25" s="23" t="e">
        <f>Financials!AN5/Financials!AM5-1</f>
        <v>#DIV/0!</v>
      </c>
      <c r="AO25" s="23" t="e">
        <f>Financials!AO5/Financials!AN5-1</f>
        <v>#DIV/0!</v>
      </c>
      <c r="AP25" s="23" t="e">
        <f>Financials!AP5/Financials!AO5-1</f>
        <v>#DIV/0!</v>
      </c>
      <c r="AQ25" s="23" t="e">
        <f>Financials!AQ5/Financials!AP5-1</f>
        <v>#DIV/0!</v>
      </c>
      <c r="AR25" s="23" t="e">
        <f>Financials!AR5/Financials!AQ5-1</f>
        <v>#DIV/0!</v>
      </c>
      <c r="AS25" s="23" t="e">
        <f>Financials!AS5/Financials!AR5-1</f>
        <v>#DIV/0!</v>
      </c>
      <c r="AT25" s="23" t="e">
        <f>Financials!AT5/Financials!AS5-1</f>
        <v>#DIV/0!</v>
      </c>
      <c r="AU25" s="23" t="e">
        <f>Financials!AU5/Financials!AT5-1</f>
        <v>#DIV/0!</v>
      </c>
      <c r="AV25" s="23" t="e">
        <f>Financials!AV5/Financials!AU5-1</f>
        <v>#DIV/0!</v>
      </c>
    </row>
    <row r="26" spans="1:48" x14ac:dyDescent="0.3">
      <c r="A26" s="204"/>
      <c r="B26" s="47" t="s">
        <v>139</v>
      </c>
      <c r="C26" s="2"/>
      <c r="D26" s="23">
        <f>Financials!D6/Financials!C6-1</f>
        <v>43.333354048342876</v>
      </c>
      <c r="E26" s="23">
        <f>Financials!E6/Financials!D6-1</f>
        <v>7.4348792146052833E-3</v>
      </c>
      <c r="F26" s="23">
        <f>Financials!F6/Financials!E6-1</f>
        <v>1.3595096306959542E-2</v>
      </c>
      <c r="G26" s="23">
        <f>Financials!G6/Financials!F6-1</f>
        <v>1.1361911504717881E-2</v>
      </c>
      <c r="H26" s="23">
        <f>Financials!H6/Financials!G6-1</f>
        <v>9.4694618788535578E-3</v>
      </c>
      <c r="I26" s="23">
        <f>Financials!I6/Financials!H6-1</f>
        <v>5.2837217212038379E-3</v>
      </c>
      <c r="J26" s="23">
        <f>Financials!J6/Financials!I6-1</f>
        <v>5.1794930950221918E-3</v>
      </c>
      <c r="K26" s="23">
        <f>Financials!K6/Financials!J6-1</f>
        <v>-2.8245097908818906E-3</v>
      </c>
      <c r="L26" s="23">
        <f>Financials!L6/Financials!K6-1</f>
        <v>7.4208747620583271E-3</v>
      </c>
      <c r="M26" s="23">
        <f>Financials!M6/Financials!L6-1</f>
        <v>7.3688076803635205E-3</v>
      </c>
      <c r="N26" s="23">
        <f>Financials!N6/Financials!M6-1</f>
        <v>6.8961468566826056E-3</v>
      </c>
      <c r="O26" s="23">
        <f>Financials!O6/Financials!N6-1</f>
        <v>6.6750648589288808E-3</v>
      </c>
      <c r="P26" s="23">
        <f>Financials!P6/Financials!O6-1</f>
        <v>-5.0368873738326769E-4</v>
      </c>
      <c r="Q26" s="23">
        <f>Financials!Q6/Financials!P6-1</f>
        <v>2.6073143644111951E-11</v>
      </c>
      <c r="R26" s="23">
        <f>Financials!R6/Financials!Q6-1</f>
        <v>7.7423466950403697E-3</v>
      </c>
      <c r="S26" s="23">
        <f>Financials!S6/Financials!R6-1</f>
        <v>7.5723379361982701E-3</v>
      </c>
      <c r="T26" s="23">
        <f>Financials!T6/Financials!S6-1</f>
        <v>1.493449040806949E-2</v>
      </c>
      <c r="U26" s="23">
        <f>Financials!U6/Financials!T6-1</f>
        <v>1.2025089001008737E-2</v>
      </c>
      <c r="V26" s="23">
        <f>Financials!V6/Financials!U6-1</f>
        <v>1.0676457593017608E-2</v>
      </c>
      <c r="W26" s="23">
        <f>Financials!W6/Financials!V6-1</f>
        <v>-2.6406297203969142E-3</v>
      </c>
      <c r="X26" s="23">
        <f>Financials!X6/Financials!W6-1</f>
        <v>4.3496232071253971E-3</v>
      </c>
      <c r="Y26" s="23">
        <f>Financials!Y6/Financials!X6-1</f>
        <v>6.5699497082469804E-3</v>
      </c>
      <c r="Z26" s="23">
        <f>Financials!Z6/Financials!Y6-1</f>
        <v>1.0422663690660805E-2</v>
      </c>
      <c r="AA26" s="23">
        <f>Financials!AA6/Financials!Z6-1</f>
        <v>1.0401082512138116E-2</v>
      </c>
      <c r="AB26" s="23">
        <f>Financials!AB6/Financials!AA6-1</f>
        <v>6.7223088790577812E-3</v>
      </c>
      <c r="AC26" s="23">
        <f>Financials!AC6/Financials!AB6-1</f>
        <v>-2.7809205600695108E-3</v>
      </c>
      <c r="AD26" s="23">
        <f>Financials!AD6/Financials!AC6-1</f>
        <v>-1.7097434579227411E-12</v>
      </c>
      <c r="AE26" s="23">
        <f>Financials!AE6/Financials!AD6-1</f>
        <v>8.0955045372348433E-3</v>
      </c>
      <c r="AF26" s="23">
        <f>Financials!AF6/Financials!AE6-1</f>
        <v>1.1381875776637296E-2</v>
      </c>
      <c r="AG26" s="23">
        <f>Financials!AG6/Financials!AF6-1</f>
        <v>1.649728590815136E-2</v>
      </c>
      <c r="AH26" s="23">
        <f>Financials!AH6/Financials!AG6-1</f>
        <v>1.282068835357264E-2</v>
      </c>
      <c r="AI26" s="23">
        <f>Financials!AI6/Financials!AH6-1</f>
        <v>9.4306271551174436E-3</v>
      </c>
      <c r="AJ26" s="23">
        <f>Financials!AJ6/Financials!AI6-1</f>
        <v>-1</v>
      </c>
      <c r="AK26" s="23" t="e">
        <f>Financials!AK6/Financials!AJ6-1</f>
        <v>#DIV/0!</v>
      </c>
      <c r="AL26" s="23" t="e">
        <f>Financials!AL6/Financials!AK6-1</f>
        <v>#DIV/0!</v>
      </c>
      <c r="AM26" s="23" t="e">
        <f>Financials!AM6/Financials!AL6-1</f>
        <v>#DIV/0!</v>
      </c>
      <c r="AN26" s="23" t="e">
        <f>Financials!AN6/Financials!AM6-1</f>
        <v>#DIV/0!</v>
      </c>
      <c r="AO26" s="23" t="e">
        <f>Financials!AO6/Financials!AN6-1</f>
        <v>#DIV/0!</v>
      </c>
      <c r="AP26" s="23" t="e">
        <f>Financials!AP6/Financials!AO6-1</f>
        <v>#DIV/0!</v>
      </c>
      <c r="AQ26" s="23" t="e">
        <f>Financials!AQ6/Financials!AP6-1</f>
        <v>#DIV/0!</v>
      </c>
      <c r="AR26" s="23" t="e">
        <f>Financials!AR6/Financials!AQ6-1</f>
        <v>#DIV/0!</v>
      </c>
      <c r="AS26" s="23" t="e">
        <f>Financials!AS6/Financials!AR6-1</f>
        <v>#DIV/0!</v>
      </c>
      <c r="AT26" s="23" t="e">
        <f>Financials!AT6/Financials!AS6-1</f>
        <v>#DIV/0!</v>
      </c>
      <c r="AU26" s="23" t="e">
        <f>Financials!AU6/Financials!AT6-1</f>
        <v>#DIV/0!</v>
      </c>
      <c r="AV26" s="23" t="e">
        <f>Financials!AV6/Financials!AU6-1</f>
        <v>#DIV/0!</v>
      </c>
    </row>
    <row r="27" spans="1:48" x14ac:dyDescent="0.3">
      <c r="A27" s="204"/>
      <c r="B27" s="47" t="s">
        <v>140</v>
      </c>
      <c r="C27" s="2"/>
      <c r="D27" s="23">
        <f>Financials!D7/Financials!C7-1</f>
        <v>77.007337408861702</v>
      </c>
      <c r="E27" s="23">
        <f>Financials!E7/Financials!D7-1</f>
        <v>-2.0367934818124045E-2</v>
      </c>
      <c r="F27" s="23">
        <f>Financials!F7/Financials!E7-1</f>
        <v>0.24750313812230607</v>
      </c>
      <c r="G27" s="23">
        <f>Financials!G7/Financials!F7-1</f>
        <v>-8.9981615639423418E-2</v>
      </c>
      <c r="H27" s="23">
        <f>Financials!H7/Financials!G7-1</f>
        <v>-6.9635613690875564E-2</v>
      </c>
      <c r="I27" s="23">
        <f>Financials!I7/Financials!H7-1</f>
        <v>5.2875150958920702E-2</v>
      </c>
      <c r="J27" s="23">
        <f>Financials!J7/Financials!I7-1</f>
        <v>-6.3693484313330773E-3</v>
      </c>
      <c r="K27" s="23">
        <f>Financials!K7/Financials!J7-1</f>
        <v>7.3010321262638733E-2</v>
      </c>
      <c r="L27" s="23">
        <f>Financials!L7/Financials!K7-1</f>
        <v>6.314847079261332E-3</v>
      </c>
      <c r="M27" s="23">
        <f>Financials!M7/Financials!L7-1</f>
        <v>2.5643538254187526E-3</v>
      </c>
      <c r="N27" s="23">
        <f>Financials!N7/Financials!M7-1</f>
        <v>1.6646126475886147E-2</v>
      </c>
      <c r="O27" s="23">
        <f>Financials!O7/Financials!N7-1</f>
        <v>-3.8266772908511215E-2</v>
      </c>
      <c r="P27" s="23">
        <f>Financials!P7/Financials!O7-1</f>
        <v>9.0377863214425869E-3</v>
      </c>
      <c r="Q27" s="23">
        <f>Financials!Q7/Financials!P7-1</f>
        <v>-6.3650571219486807E-5</v>
      </c>
      <c r="R27" s="23">
        <f>Financials!R7/Financials!Q7-1</f>
        <v>6.8279173708378771E-3</v>
      </c>
      <c r="S27" s="23">
        <f>Financials!S7/Financials!R7-1</f>
        <v>0.16788956376004371</v>
      </c>
      <c r="T27" s="23">
        <f>Financials!T7/Financials!S7-1</f>
        <v>-4.8256527985783726E-2</v>
      </c>
      <c r="U27" s="23">
        <f>Financials!U7/Financials!T7-1</f>
        <v>-3.2442173963324827E-2</v>
      </c>
      <c r="V27" s="23">
        <f>Financials!V7/Financials!U7-1</f>
        <v>-3.446154417195002E-2</v>
      </c>
      <c r="W27" s="23">
        <f>Financials!W7/Financials!V7-1</f>
        <v>1.3350990964320353E-2</v>
      </c>
      <c r="X27" s="23">
        <f>Financials!X7/Financials!W7-1</f>
        <v>2.0355976725269675E-2</v>
      </c>
      <c r="Y27" s="23">
        <f>Financials!Y7/Financials!X7-1</f>
        <v>-1.2525311748520118E-2</v>
      </c>
      <c r="Z27" s="23">
        <f>Financials!Z7/Financials!Y7-1</f>
        <v>-5.9974779513367604E-3</v>
      </c>
      <c r="AA27" s="23">
        <f>Financials!AA7/Financials!Z7-1</f>
        <v>5.0546808573261659E-2</v>
      </c>
      <c r="AB27" s="23">
        <f>Financials!AB7/Financials!AA7-1</f>
        <v>-2.9292918212813324E-2</v>
      </c>
      <c r="AC27" s="23">
        <f>Financials!AC7/Financials!AB7-1</f>
        <v>1.8251633900352671E-2</v>
      </c>
      <c r="AD27" s="23">
        <f>Financials!AD7/Financials!AC7-1</f>
        <v>-6.2355742791453395E-10</v>
      </c>
      <c r="AE27" s="23">
        <f>Financials!AE7/Financials!AD7-1</f>
        <v>-6.3341971250494566E-3</v>
      </c>
      <c r="AF27" s="23">
        <f>Financials!AF7/Financials!AE7-1</f>
        <v>-9.9562410704157056E-3</v>
      </c>
      <c r="AG27" s="23">
        <f>Financials!AG7/Financials!AF7-1</f>
        <v>0.10949571603544461</v>
      </c>
      <c r="AH27" s="23">
        <f>Financials!AH7/Financials!AG7-1</f>
        <v>-2.3035529288373602E-2</v>
      </c>
      <c r="AI27" s="23">
        <f>Financials!AI7/Financials!AH7-1</f>
        <v>-2.155557815025777E-2</v>
      </c>
      <c r="AJ27" s="23">
        <f>Financials!AJ7/Financials!AI7-1</f>
        <v>-1</v>
      </c>
      <c r="AK27" s="23" t="e">
        <f>Financials!AK7/Financials!AJ7-1</f>
        <v>#DIV/0!</v>
      </c>
      <c r="AL27" s="23" t="e">
        <f>Financials!AL7/Financials!AK7-1</f>
        <v>#DIV/0!</v>
      </c>
      <c r="AM27" s="23" t="e">
        <f>Financials!AM7/Financials!AL7-1</f>
        <v>#DIV/0!</v>
      </c>
      <c r="AN27" s="23" t="e">
        <f>Financials!AN7/Financials!AM7-1</f>
        <v>#DIV/0!</v>
      </c>
      <c r="AO27" s="23" t="e">
        <f>Financials!AO7/Financials!AN7-1</f>
        <v>#DIV/0!</v>
      </c>
      <c r="AP27" s="23" t="e">
        <f>Financials!AP7/Financials!AO7-1</f>
        <v>#DIV/0!</v>
      </c>
      <c r="AQ27" s="23" t="e">
        <f>Financials!AQ7/Financials!AP7-1</f>
        <v>#DIV/0!</v>
      </c>
      <c r="AR27" s="23" t="e">
        <f>Financials!AR7/Financials!AQ7-1</f>
        <v>#DIV/0!</v>
      </c>
      <c r="AS27" s="23" t="e">
        <f>Financials!AS7/Financials!AR7-1</f>
        <v>#DIV/0!</v>
      </c>
      <c r="AT27" s="23" t="e">
        <f>Financials!AT7/Financials!AS7-1</f>
        <v>#DIV/0!</v>
      </c>
      <c r="AU27" s="23" t="e">
        <f>Financials!AU7/Financials!AT7-1</f>
        <v>#DIV/0!</v>
      </c>
      <c r="AV27" s="23" t="e">
        <f>Financials!AV7/Financials!AU7-1</f>
        <v>#DIV/0!</v>
      </c>
    </row>
    <row r="28" spans="1:48" x14ac:dyDescent="0.3">
      <c r="A28" s="204"/>
      <c r="B28" s="46" t="s">
        <v>141</v>
      </c>
      <c r="C28" s="2"/>
      <c r="D28" s="23">
        <f>Financials!D31/Financials!C31-1</f>
        <v>67.098631564270889</v>
      </c>
      <c r="E28" s="23">
        <f>Financials!E31/Financials!D31-1</f>
        <v>8.702072219816559E-3</v>
      </c>
      <c r="F28" s="23">
        <f>Financials!F31/Financials!E31-1</f>
        <v>-2.7312183551132518E-3</v>
      </c>
      <c r="G28" s="23">
        <f>Financials!G31/Financials!F31-1</f>
        <v>2.6099650471007596E-3</v>
      </c>
      <c r="H28" s="23">
        <f>Financials!H31/Financials!G31-1</f>
        <v>9.0994833564781441E-3</v>
      </c>
      <c r="I28" s="23">
        <f>Financials!I31/Financials!H31-1</f>
        <v>5.7648675918702263E-3</v>
      </c>
      <c r="J28" s="23">
        <f>Financials!J31/Financials!I31-1</f>
        <v>5.0514132814434287E-3</v>
      </c>
      <c r="K28" s="23">
        <f>Financials!K31/Financials!J31-1</f>
        <v>3.2474233886009785E-2</v>
      </c>
      <c r="L28" s="23">
        <f>Financials!L31/Financials!K31-1</f>
        <v>2.7763640201372564E-2</v>
      </c>
      <c r="M28" s="23">
        <f>Financials!M31/Financials!L31-1</f>
        <v>1.9053306075218934E-2</v>
      </c>
      <c r="N28" s="23">
        <f>Financials!N31/Financials!M31-1</f>
        <v>2.4011211610715621E-2</v>
      </c>
      <c r="O28" s="23">
        <f>Financials!O31/Financials!N31-1</f>
        <v>1.4572807851914282E-2</v>
      </c>
      <c r="P28" s="23">
        <f>Financials!P31/Financials!O31-1</f>
        <v>1.3148824928362446E-2</v>
      </c>
      <c r="Q28" s="23">
        <f>Financials!Q31/Financials!P31-1</f>
        <v>-5.2376564115642621E-3</v>
      </c>
      <c r="R28" s="23">
        <f>Financials!R31/Financials!Q31-1</f>
        <v>1.1109203009536772E-2</v>
      </c>
      <c r="S28" s="23">
        <f>Financials!S31/Financials!R31-1</f>
        <v>-2.5410608910323429E-3</v>
      </c>
      <c r="T28" s="23">
        <f>Financials!T31/Financials!S31-1</f>
        <v>1.5448582085134888E-2</v>
      </c>
      <c r="U28" s="23">
        <f>Financials!U31/Financials!T31-1</f>
        <v>1.7690283687463504E-2</v>
      </c>
      <c r="V28" s="23">
        <f>Financials!V31/Financials!U31-1</f>
        <v>1.3173304707004618E-2</v>
      </c>
      <c r="W28" s="23">
        <f>Financials!W31/Financials!V31-1</f>
        <v>5.3989695279956784E-3</v>
      </c>
      <c r="X28" s="23">
        <f>Financials!X31/Financials!W31-1</f>
        <v>3.9083761231692993E-3</v>
      </c>
      <c r="Y28" s="23">
        <f>Financials!Y31/Financials!X31-1</f>
        <v>1.0011087826048204E-2</v>
      </c>
      <c r="Z28" s="23">
        <f>Financials!Z31/Financials!Y31-1</f>
        <v>1.0514693715346413E-2</v>
      </c>
      <c r="AA28" s="23">
        <f>Financials!AA31/Financials!Z31-1</f>
        <v>1.1016149670002306E-2</v>
      </c>
      <c r="AB28" s="23">
        <f>Financials!AB31/Financials!AA31-1</f>
        <v>1.1913966981430324E-2</v>
      </c>
      <c r="AC28" s="23">
        <f>Financials!AC31/Financials!AB31-1</f>
        <v>2.0712479998737265E-2</v>
      </c>
      <c r="AD28" s="23">
        <f>Financials!AD31/Financials!AC31-1</f>
        <v>-2.4119499102295272E-3</v>
      </c>
      <c r="AE28" s="23">
        <f>Financials!AE31/Financials!AD31-1</f>
        <v>2.2709014048777343E-2</v>
      </c>
      <c r="AF28" s="23">
        <f>Financials!AF31/Financials!AE31-1</f>
        <v>5.9231328668021277E-3</v>
      </c>
      <c r="AG28" s="23">
        <f>Financials!AG31/Financials!AF31-1</f>
        <v>-6.1226246310386312E-3</v>
      </c>
      <c r="AH28" s="23">
        <f>Financials!AH31/Financials!AG31-1</f>
        <v>5.9884919594190844E-3</v>
      </c>
      <c r="AI28" s="23">
        <f>Financials!AI31/Financials!AH31-1</f>
        <v>6.9560650087889808E-3</v>
      </c>
      <c r="AJ28" s="23">
        <f>Financials!AJ31/Financials!AI31-1</f>
        <v>-1</v>
      </c>
      <c r="AK28" s="23" t="e">
        <f>Financials!AK31/Financials!AJ31-1</f>
        <v>#DIV/0!</v>
      </c>
      <c r="AL28" s="23" t="e">
        <f>Financials!AL31/Financials!AK31-1</f>
        <v>#DIV/0!</v>
      </c>
      <c r="AM28" s="23" t="e">
        <f>Financials!AM31/Financials!AL31-1</f>
        <v>#DIV/0!</v>
      </c>
      <c r="AN28" s="23" t="e">
        <f>Financials!AN31/Financials!AM31-1</f>
        <v>#DIV/0!</v>
      </c>
      <c r="AO28" s="23" t="e">
        <f>Financials!AO31/Financials!AN31-1</f>
        <v>#DIV/0!</v>
      </c>
      <c r="AP28" s="23" t="e">
        <f>Financials!AP31/Financials!AO31-1</f>
        <v>#DIV/0!</v>
      </c>
      <c r="AQ28" s="23" t="e">
        <f>Financials!AQ31/Financials!AP31-1</f>
        <v>#DIV/0!</v>
      </c>
      <c r="AR28" s="23" t="e">
        <f>Financials!AR31/Financials!AQ31-1</f>
        <v>#DIV/0!</v>
      </c>
      <c r="AS28" s="23" t="e">
        <f>Financials!AS31/Financials!AR31-1</f>
        <v>#DIV/0!</v>
      </c>
      <c r="AT28" s="23" t="e">
        <f>Financials!AT31/Financials!AS31-1</f>
        <v>#DIV/0!</v>
      </c>
      <c r="AU28" s="23" t="e">
        <f>Financials!AU31/Financials!AT31-1</f>
        <v>#DIV/0!</v>
      </c>
      <c r="AV28" s="23" t="e">
        <f>Financials!AV31/Financials!AU31-1</f>
        <v>#DIV/0!</v>
      </c>
    </row>
    <row r="29" spans="1:48" x14ac:dyDescent="0.3">
      <c r="A29" s="204"/>
      <c r="B29" s="46" t="s">
        <v>142</v>
      </c>
      <c r="C29" s="2"/>
      <c r="D29" s="23">
        <f>Financials!D11/Financials!C11-1</f>
        <v>137.48381433315012</v>
      </c>
      <c r="E29" s="23">
        <f>Financials!E11/Financials!D11-1</f>
        <v>3.7859596786254279E-2</v>
      </c>
      <c r="F29" s="23">
        <f>Financials!F11/Financials!E11-1</f>
        <v>5.7333321317272201E-3</v>
      </c>
      <c r="G29" s="23">
        <f>Financials!G11/Financials!F11-1</f>
        <v>5.5798588273483274E-2</v>
      </c>
      <c r="H29" s="23">
        <f>Financials!H11/Financials!G11-1</f>
        <v>4.1158210201650114E-2</v>
      </c>
      <c r="I29" s="23">
        <f>Financials!I11/Financials!H11-1</f>
        <v>3.6771816123947865E-2</v>
      </c>
      <c r="J29" s="23">
        <f>Financials!J11/Financials!I11-1</f>
        <v>1.4048205216761422E-2</v>
      </c>
      <c r="K29" s="23">
        <f>Financials!K11/Financials!J11-1</f>
        <v>6.8474368468498303E-2</v>
      </c>
      <c r="L29" s="23">
        <f>Financials!L11/Financials!K11-1</f>
        <v>4.0748182568188351E-2</v>
      </c>
      <c r="M29" s="23">
        <f>Financials!M11/Financials!L11-1</f>
        <v>1.0623227713059125E-2</v>
      </c>
      <c r="N29" s="23">
        <f>Financials!N11/Financials!M11-1</f>
        <v>3.8403462960151957E-2</v>
      </c>
      <c r="O29" s="23">
        <f>Financials!O11/Financials!N11-1</f>
        <v>3.3606362478020957E-2</v>
      </c>
      <c r="P29" s="23">
        <f>Financials!P11/Financials!O11-1</f>
        <v>4.3859594734456664E-2</v>
      </c>
      <c r="Q29" s="23">
        <f>Financials!Q11/Financials!P11-1</f>
        <v>-0.13754120534589853</v>
      </c>
      <c r="R29" s="23">
        <f>Financials!R11/Financials!Q11-1</f>
        <v>-6.0861143206351054E-3</v>
      </c>
      <c r="S29" s="23">
        <f>Financials!S11/Financials!R11-1</f>
        <v>1.6472671771607494E-2</v>
      </c>
      <c r="T29" s="23">
        <f>Financials!T11/Financials!S11-1</f>
        <v>3.4162884195070076E-2</v>
      </c>
      <c r="U29" s="23">
        <f>Financials!U11/Financials!T11-1</f>
        <v>4.0150242721539442E-2</v>
      </c>
      <c r="V29" s="23">
        <f>Financials!V11/Financials!U11-1</f>
        <v>3.4960980702477773E-2</v>
      </c>
      <c r="W29" s="23">
        <f>Financials!W11/Financials!V11-1</f>
        <v>5.3787946976811218E-2</v>
      </c>
      <c r="X29" s="23">
        <f>Financials!X11/Financials!W11-1</f>
        <v>2.0191991010989341E-2</v>
      </c>
      <c r="Y29" s="23">
        <f>Financials!Y11/Financials!X11-1</f>
        <v>3.1946864677757647E-2</v>
      </c>
      <c r="Z29" s="23">
        <f>Financials!Z11/Financials!Y11-1</f>
        <v>-6.368399340013986E-3</v>
      </c>
      <c r="AA29" s="23">
        <f>Financials!AA11/Financials!Z11-1</f>
        <v>3.4912205399392437E-2</v>
      </c>
      <c r="AB29" s="23">
        <f>Financials!AB11/Financials!AA11-1</f>
        <v>2.3918859814203719E-2</v>
      </c>
      <c r="AC29" s="23">
        <f>Financials!AC11/Financials!AB11-1</f>
        <v>3.5213474616022422E-2</v>
      </c>
      <c r="AD29" s="23">
        <f>Financials!AD11/Financials!AC11-1</f>
        <v>-0.12821376175684107</v>
      </c>
      <c r="AE29" s="23">
        <f>Financials!AE11/Financials!AD11-1</f>
        <v>4.6363442476573535E-2</v>
      </c>
      <c r="AF29" s="23">
        <f>Financials!AF11/Financials!AE11-1</f>
        <v>2.7073813008149594E-2</v>
      </c>
      <c r="AG29" s="23">
        <f>Financials!AG11/Financials!AF11-1</f>
        <v>2.6457592133167118E-2</v>
      </c>
      <c r="AH29" s="23">
        <f>Financials!AH11/Financials!AG11-1</f>
        <v>2.8788283418799798E-2</v>
      </c>
      <c r="AI29" s="23">
        <f>Financials!AI11/Financials!AH11-1</f>
        <v>2.7647362360058603E-2</v>
      </c>
      <c r="AJ29" s="23">
        <f>Financials!AJ11/Financials!AI11-1</f>
        <v>-1</v>
      </c>
      <c r="AK29" s="23" t="e">
        <f>Financials!AK11/Financials!AJ11-1</f>
        <v>#DIV/0!</v>
      </c>
      <c r="AL29" s="23" t="e">
        <f>Financials!AL11/Financials!AK11-1</f>
        <v>#DIV/0!</v>
      </c>
      <c r="AM29" s="23" t="e">
        <f>Financials!AM11/Financials!AL11-1</f>
        <v>#DIV/0!</v>
      </c>
      <c r="AN29" s="23" t="e">
        <f>Financials!AN11/Financials!AM11-1</f>
        <v>#DIV/0!</v>
      </c>
      <c r="AO29" s="23" t="e">
        <f>Financials!AO11/Financials!AN11-1</f>
        <v>#DIV/0!</v>
      </c>
      <c r="AP29" s="23" t="e">
        <f>Financials!AP11/Financials!AO11-1</f>
        <v>#DIV/0!</v>
      </c>
      <c r="AQ29" s="23" t="e">
        <f>Financials!AQ11/Financials!AP11-1</f>
        <v>#DIV/0!</v>
      </c>
      <c r="AR29" s="23" t="e">
        <f>Financials!AR11/Financials!AQ11-1</f>
        <v>#DIV/0!</v>
      </c>
      <c r="AS29" s="23" t="e">
        <f>Financials!AS11/Financials!AR11-1</f>
        <v>#DIV/0!</v>
      </c>
      <c r="AT29" s="23" t="e">
        <f>Financials!AT11/Financials!AS11-1</f>
        <v>#DIV/0!</v>
      </c>
      <c r="AU29" s="23" t="e">
        <f>Financials!AU11/Financials!AT11-1</f>
        <v>#DIV/0!</v>
      </c>
      <c r="AV29" s="23" t="e">
        <f>Financials!AV11/Financials!AU11-1</f>
        <v>#DIV/0!</v>
      </c>
    </row>
    <row r="30" spans="1:48" x14ac:dyDescent="0.3">
      <c r="A30" s="204"/>
      <c r="B30" s="46" t="s">
        <v>143</v>
      </c>
      <c r="C30" s="2"/>
      <c r="D30" s="23">
        <f>Financials!D37/Financials!C37-1</f>
        <v>102967.41437689746</v>
      </c>
      <c r="E30" s="23">
        <f>Financials!E37/Financials!D37-1</f>
        <v>-0.9222073414936437</v>
      </c>
      <c r="F30" s="23">
        <f>Financials!F37/Financials!E37-1</f>
        <v>1.0396960184803152</v>
      </c>
      <c r="G30" s="23">
        <f>Financials!G37/Financials!F37-1</f>
        <v>0.51768888048938599</v>
      </c>
      <c r="H30" s="23">
        <f>Financials!H37/Financials!G37-1</f>
        <v>0.36893559672633414</v>
      </c>
      <c r="I30" s="23">
        <f>Financials!I37/Financials!H37-1</f>
        <v>0.26487224632938933</v>
      </c>
      <c r="J30" s="23">
        <f>Financials!J37/Financials!I37-1</f>
        <v>0.20136907428677797</v>
      </c>
      <c r="K30" s="23">
        <f>Financials!K37/Financials!J37-1</f>
        <v>0.20510245866211418</v>
      </c>
      <c r="L30" s="23">
        <f>Financials!L37/Financials!K37-1</f>
        <v>0.15818964397568114</v>
      </c>
      <c r="M30" s="23">
        <f>Financials!M37/Financials!L37-1</f>
        <v>0.13724496676429632</v>
      </c>
      <c r="N30" s="23">
        <f>Financials!N37/Financials!M37-1</f>
        <v>0.10749360791993379</v>
      </c>
      <c r="O30" s="23">
        <f>Financials!O37/Financials!N37-1</f>
        <v>0.1159070386113541</v>
      </c>
      <c r="P30" s="23">
        <f>Financials!P37/Financials!O37-1</f>
        <v>0.11560346775561836</v>
      </c>
      <c r="Q30" s="23">
        <f>Financials!Q37/Financials!P37-1</f>
        <v>3.5682265980769401E-2</v>
      </c>
      <c r="R30" s="23">
        <f>Financials!R37/Financials!Q37-1</f>
        <v>-0.92190254949592543</v>
      </c>
      <c r="S30" s="23">
        <f>Financials!S37/Financials!R37-1</f>
        <v>0.99242724514531577</v>
      </c>
      <c r="T30" s="23">
        <f>Financials!T37/Financials!S37-1</f>
        <v>0.53483384412877499</v>
      </c>
      <c r="U30" s="23">
        <f>Financials!U37/Financials!T37-1</f>
        <v>0.35777269842941606</v>
      </c>
      <c r="V30" s="23">
        <f>Financials!V37/Financials!U37-1</f>
        <v>0.25724321219043467</v>
      </c>
      <c r="W30" s="23">
        <f>Financials!W37/Financials!V37-1</f>
        <v>0.21221678710749492</v>
      </c>
      <c r="X30" s="23">
        <f>Financials!X37/Financials!W37-1</f>
        <v>0.15940832657605863</v>
      </c>
      <c r="Y30" s="23">
        <f>Financials!Y37/Financials!X37-1</f>
        <v>0.144619873803433</v>
      </c>
      <c r="Z30" s="23">
        <f>Financials!Z37/Financials!Y37-1</f>
        <v>0.12476823238498569</v>
      </c>
      <c r="AA30" s="23">
        <f>Financials!AA37/Financials!Z37-1</f>
        <v>0.11505417935039519</v>
      </c>
      <c r="AB30" s="23">
        <f>Financials!AB37/Financials!AA37-1</f>
        <v>0.10701193728302072</v>
      </c>
      <c r="AC30" s="23">
        <f>Financials!AC37/Financials!AB37-1</f>
        <v>0.11304143042363535</v>
      </c>
      <c r="AD30" s="23">
        <f>Financials!AD37/Financials!AC37-1</f>
        <v>4.3458386040232666E-2</v>
      </c>
      <c r="AE30" s="23">
        <f>Financials!AE37/Financials!AD37-1</f>
        <v>-0.91465075601302792</v>
      </c>
      <c r="AF30" s="23">
        <f>Financials!AF37/Financials!AE37-1</f>
        <v>0.97053698180752712</v>
      </c>
      <c r="AG30" s="23">
        <f>Financials!AG37/Financials!AF37-1</f>
        <v>0.50834839439270341</v>
      </c>
      <c r="AH30" s="23">
        <f>Financials!AH37/Financials!AG37-1</f>
        <v>0.32392997776524513</v>
      </c>
      <c r="AI30" s="23">
        <f>Financials!AI37/Financials!AH37-1</f>
        <v>0.24860396214529179</v>
      </c>
      <c r="AJ30" s="23">
        <f>Financials!AJ37/Financials!AI37-1</f>
        <v>-1</v>
      </c>
      <c r="AK30" s="23" t="e">
        <f>Financials!AK37/Financials!AJ37-1</f>
        <v>#DIV/0!</v>
      </c>
      <c r="AL30" s="23" t="e">
        <f>Financials!AL37/Financials!AK37-1</f>
        <v>#DIV/0!</v>
      </c>
      <c r="AM30" s="23" t="e">
        <f>Financials!AM37/Financials!AL37-1</f>
        <v>#DIV/0!</v>
      </c>
      <c r="AN30" s="23" t="e">
        <f>Financials!AN37/Financials!AM37-1</f>
        <v>#DIV/0!</v>
      </c>
      <c r="AO30" s="23" t="e">
        <f>Financials!AO37/Financials!AN37-1</f>
        <v>#DIV/0!</v>
      </c>
      <c r="AP30" s="23" t="e">
        <f>Financials!AP37/Financials!AO37-1</f>
        <v>#DIV/0!</v>
      </c>
      <c r="AQ30" s="23" t="e">
        <f>Financials!AQ37/Financials!AP37-1</f>
        <v>#DIV/0!</v>
      </c>
      <c r="AR30" s="23" t="e">
        <f>Financials!AR37/Financials!AQ37-1</f>
        <v>#DIV/0!</v>
      </c>
      <c r="AS30" s="23" t="e">
        <f>Financials!AS37/Financials!AR37-1</f>
        <v>#DIV/0!</v>
      </c>
      <c r="AT30" s="23" t="e">
        <f>Financials!AT37/Financials!AS37-1</f>
        <v>#DIV/0!</v>
      </c>
      <c r="AU30" s="23" t="e">
        <f>Financials!AU37/Financials!AT37-1</f>
        <v>#DIV/0!</v>
      </c>
      <c r="AV30" s="23" t="e">
        <f>Financials!AV37/Financials!AU37-1</f>
        <v>#DIV/0!</v>
      </c>
    </row>
    <row r="31" spans="1:48" x14ac:dyDescent="0.3">
      <c r="A31" s="204"/>
      <c r="B31" s="46" t="s">
        <v>144</v>
      </c>
      <c r="C31" s="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</row>
    <row r="32" spans="1:48" x14ac:dyDescent="0.3">
      <c r="A32" s="204"/>
      <c r="B32" s="46" t="s">
        <v>145</v>
      </c>
      <c r="C32" s="2"/>
      <c r="D32" s="23">
        <f>'Evolutitve SCI'!E39/'Evolutitve SCI'!B39-1</f>
        <v>8336.5336023416639</v>
      </c>
      <c r="E32" s="23">
        <f>'Evolutitve SCI'!F39/'Evolutitve SCI'!C39-1</f>
        <v>-0.85886667088543445</v>
      </c>
      <c r="F32" s="23">
        <f>'Evolutitve SCI'!G39/'Evolutitve SCI'!D39-1</f>
        <v>4.1277693511626206</v>
      </c>
      <c r="G32" s="23">
        <f>'Evolutitve SCI'!H39/'Evolutitve SCI'!E39-1</f>
        <v>1.5100039287923894</v>
      </c>
      <c r="H32" s="23" t="e">
        <f>'Evolutitve SCI'!#REF!/'Evolutitve SCI'!F39-1</f>
        <v>#REF!</v>
      </c>
      <c r="I32" s="23" t="e">
        <f>'Evolutitve SCI'!#REF!/'Evolutitve SCI'!G39-1</f>
        <v>#REF!</v>
      </c>
      <c r="J32" s="23" t="e">
        <f>'Evolutitve SCI'!#REF!/'Evolutitve SCI'!H39-1</f>
        <v>#REF!</v>
      </c>
      <c r="K32" s="23" t="e">
        <f>'Evolutitve SCI'!#REF!/'Evolutitve SCI'!I39-1</f>
        <v>#REF!</v>
      </c>
      <c r="L32" s="23" t="e">
        <f>'Evolutitve SCI'!#REF!/'Evolutitve SCI'!J39-1</f>
        <v>#REF!</v>
      </c>
      <c r="M32" s="23" t="e">
        <f>'Evolutitve SCI'!#REF!/'Evolutitve SCI'!K39-1</f>
        <v>#REF!</v>
      </c>
      <c r="N32" s="23" t="e">
        <f>'Evolutitve SCI'!#REF!/'Evolutitve SCI'!L39-1</f>
        <v>#REF!</v>
      </c>
      <c r="O32" s="23" t="e">
        <f>'Evolutitve SCI'!#REF!/'Evolutitve SCI'!M39-1</f>
        <v>#REF!</v>
      </c>
      <c r="P32" s="23" t="e">
        <f>'Evolutitve SCI'!#REF!/'Evolutitve SCI'!N39-1</f>
        <v>#REF!</v>
      </c>
      <c r="Q32" s="23" t="e">
        <f>'Evolutitve SCI'!#REF!/'Evolutitve SCI'!O39-1</f>
        <v>#REF!</v>
      </c>
      <c r="R32" s="23" t="e">
        <f>'Evolutitve SCI'!#REF!/'Evolutitve SCI'!P39-1</f>
        <v>#REF!</v>
      </c>
      <c r="S32" s="23" t="e">
        <f>'Evolutitve SCI'!#REF!/'Evolutitve SCI'!Q39-1</f>
        <v>#REF!</v>
      </c>
      <c r="T32" s="23" t="e">
        <f>'Evolutitve SCI'!#REF!/'Evolutitve SCI'!R39-1</f>
        <v>#REF!</v>
      </c>
      <c r="U32" s="23" t="e">
        <f>'Evolutitve SCI'!#REF!/'Evolutitve SCI'!S39-1</f>
        <v>#REF!</v>
      </c>
      <c r="V32" s="23" t="e">
        <f>'Evolutitve SCI'!#REF!/'Evolutitve SCI'!T39-1</f>
        <v>#REF!</v>
      </c>
      <c r="W32" s="23" t="e">
        <f>'Evolutitve SCI'!#REF!/'Evolutitve SCI'!U39-1</f>
        <v>#REF!</v>
      </c>
      <c r="X32" s="23" t="e">
        <f>'Evolutitve SCI'!#REF!/'Evolutitve SCI'!V39-1</f>
        <v>#REF!</v>
      </c>
      <c r="Y32" s="23" t="e">
        <f>'Evolutitve SCI'!#REF!/'Evolutitve SCI'!W39-1</f>
        <v>#REF!</v>
      </c>
      <c r="Z32" s="23" t="e">
        <f>'Evolutitve SCI'!#REF!/'Evolutitve SCI'!X39-1</f>
        <v>#REF!</v>
      </c>
      <c r="AA32" s="23" t="e">
        <f>'Evolutitve SCI'!#REF!/'Evolutitve SCI'!Y39-1</f>
        <v>#REF!</v>
      </c>
      <c r="AB32" s="23" t="e">
        <f>'Evolutitve SCI'!#REF!/'Evolutitve SCI'!Z39-1</f>
        <v>#REF!</v>
      </c>
      <c r="AC32" s="23" t="e">
        <f>'Evolutitve SCI'!#REF!/'Evolutitve SCI'!AA39-1</f>
        <v>#REF!</v>
      </c>
      <c r="AD32" s="23" t="e">
        <f>'Evolutitve SCI'!#REF!/'Evolutitve SCI'!AB39-1</f>
        <v>#REF!</v>
      </c>
      <c r="AE32" s="23" t="e">
        <f>'Evolutitve SCI'!#REF!/'Evolutitve SCI'!AC39-1</f>
        <v>#REF!</v>
      </c>
      <c r="AF32" s="23" t="e">
        <f>'Evolutitve SCI'!#REF!/'Evolutitve SCI'!AD39-1</f>
        <v>#REF!</v>
      </c>
      <c r="AG32" s="23" t="e">
        <f>'Evolutitve SCI'!#REF!/'Evolutitve SCI'!AE39-1</f>
        <v>#REF!</v>
      </c>
      <c r="AH32" s="23" t="e">
        <f>'Evolutitve SCI'!#REF!/'Evolutitve SCI'!AF39-1</f>
        <v>#REF!</v>
      </c>
      <c r="AI32" s="23" t="e">
        <f>'Evolutitve SCI'!#REF!/'Evolutitve SCI'!AG39-1</f>
        <v>#REF!</v>
      </c>
      <c r="AJ32" s="23" t="e">
        <f>'Evolutitve SCI'!#REF!/'Evolutitve SCI'!AH39-1</f>
        <v>#REF!</v>
      </c>
      <c r="AK32" s="23" t="e">
        <f>'Evolutitve SCI'!#REF!/'Evolutitve SCI'!AI39-1</f>
        <v>#REF!</v>
      </c>
      <c r="AL32" s="23" t="e">
        <f>'Evolutitve SCI'!#REF!/'Evolutitve SCI'!AJ39-1</f>
        <v>#REF!</v>
      </c>
      <c r="AM32" s="23" t="e">
        <f>'Evolutitve SCI'!#REF!/'Evolutitve SCI'!AK39-1</f>
        <v>#REF!</v>
      </c>
      <c r="AN32" s="23" t="e">
        <f>'Evolutitve SCI'!#REF!/'Evolutitve SCI'!AL39-1</f>
        <v>#REF!</v>
      </c>
      <c r="AO32" s="23" t="e">
        <f>'Evolutitve SCI'!#REF!/'Evolutitve SCI'!AM39-1</f>
        <v>#REF!</v>
      </c>
      <c r="AP32" s="23" t="e">
        <f>'Evolutitve SCI'!#REF!/'Evolutitve SCI'!AN39-1</f>
        <v>#REF!</v>
      </c>
      <c r="AQ32" s="23" t="e">
        <f>'Evolutitve SCI'!#REF!/'Evolutitve SCI'!AO39-1</f>
        <v>#REF!</v>
      </c>
      <c r="AR32" s="23" t="e">
        <f>'Evolutitve SCI'!#REF!/'Evolutitve SCI'!AP39-1</f>
        <v>#REF!</v>
      </c>
      <c r="AS32" s="23" t="e">
        <f>'Evolutitve SCI'!#REF!/'Evolutitve SCI'!AQ39-1</f>
        <v>#REF!</v>
      </c>
      <c r="AT32" s="23" t="e">
        <f>'Evolutitve SCI'!#REF!/'Evolutitve SCI'!AR39-1</f>
        <v>#REF!</v>
      </c>
      <c r="AU32" s="23" t="e">
        <f>'Evolutitve SCI'!#REF!/'Evolutitve SCI'!AS39-1</f>
        <v>#REF!</v>
      </c>
      <c r="AV32" s="23" t="e">
        <f>'Evolutitve SCI'!#REF!/'Evolutitve SCI'!AT39-1</f>
        <v>#REF!</v>
      </c>
    </row>
    <row r="33" spans="1:48" x14ac:dyDescent="0.3">
      <c r="A33" s="52" t="s">
        <v>146</v>
      </c>
      <c r="B33" s="46" t="s">
        <v>147</v>
      </c>
      <c r="C33" s="2"/>
      <c r="D33" s="23"/>
      <c r="E33" s="23"/>
      <c r="F33" s="23"/>
      <c r="G33" s="23"/>
      <c r="H33" s="23">
        <f>Financials!G44/('Evolutive SFP'!B30+'Evolutive SFP'!F30)/2</f>
        <v>4.3133645980280671E-4</v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</row>
    <row r="34" spans="1:48" x14ac:dyDescent="0.3">
      <c r="A34" s="53"/>
      <c r="B34" s="46" t="s">
        <v>148</v>
      </c>
      <c r="C34" s="2"/>
      <c r="D34" s="23"/>
      <c r="E34" s="23"/>
      <c r="F34" s="23"/>
      <c r="G34" s="23"/>
      <c r="H34" s="23">
        <f>Financials!G45/('Evolutive SFP'!B39+'Evolutive SFP'!F39)/2</f>
        <v>0</v>
      </c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</row>
    <row r="35" spans="1:48" x14ac:dyDescent="0.3">
      <c r="A35" s="53"/>
      <c r="B35" s="46" t="s">
        <v>149</v>
      </c>
      <c r="C35" s="2"/>
      <c r="D35" s="23"/>
      <c r="E35" s="23"/>
      <c r="F35" s="23"/>
      <c r="G35" s="23"/>
      <c r="H35" s="23">
        <f>Financials!G46/(Financials!F31+Financials!G31)/2</f>
        <v>1.9752161494485039E-4</v>
      </c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</row>
    <row r="36" spans="1:48" x14ac:dyDescent="0.3">
      <c r="A36" s="53"/>
      <c r="B36" s="46" t="s">
        <v>150</v>
      </c>
      <c r="C36" s="2"/>
      <c r="D36" s="23"/>
      <c r="E36" s="23"/>
      <c r="F36" s="23"/>
      <c r="G36" s="23"/>
      <c r="H36" s="23">
        <f>Financials!G47/(Financials!F4+Financials!G4)/2</f>
        <v>3.2862873986540617E-3</v>
      </c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</row>
    <row r="37" spans="1:48" x14ac:dyDescent="0.3">
      <c r="A37" s="53"/>
      <c r="B37" s="46" t="s">
        <v>151</v>
      </c>
      <c r="C37" s="2"/>
      <c r="D37" s="23"/>
      <c r="E37" s="23"/>
      <c r="F37" s="23"/>
      <c r="G37" s="23"/>
      <c r="H37" s="23">
        <f>Financials!G47/Financials!G37</f>
        <v>0.34127300916032882</v>
      </c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</row>
    <row r="38" spans="1:48" x14ac:dyDescent="0.3">
      <c r="A38" s="53"/>
      <c r="B38" s="46" t="s">
        <v>152</v>
      </c>
      <c r="C38" s="2"/>
      <c r="D38" s="23"/>
      <c r="E38" s="23"/>
      <c r="F38" s="23"/>
      <c r="G38" s="23"/>
      <c r="H38" s="23">
        <f>Financials!G38/('Evolutive SFP'!F14+'Evolutive SFP'!B14)/2</f>
        <v>2.212861343828243E-2</v>
      </c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</row>
    <row r="39" spans="1:48" x14ac:dyDescent="0.3">
      <c r="A39" s="53"/>
      <c r="B39" s="46" t="s">
        <v>153</v>
      </c>
      <c r="C39" s="2"/>
      <c r="D39" s="23"/>
      <c r="E39" s="23"/>
      <c r="F39" s="23"/>
      <c r="G39" s="23"/>
      <c r="H39" s="23">
        <f>Financials!G37/('Evolutive SFP'!F15+'Evolutive SFP'!B15)/2</f>
        <v>2.3006679474805794E-2</v>
      </c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</row>
    <row r="40" spans="1:48" x14ac:dyDescent="0.3">
      <c r="A40" s="5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spans="1:48" ht="15" thickBot="1" x14ac:dyDescent="0.35">
      <c r="A41" s="55" t="s">
        <v>154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</row>
  </sheetData>
  <mergeCells count="8">
    <mergeCell ref="A24:A32"/>
    <mergeCell ref="A21:A23"/>
    <mergeCell ref="A16:A20"/>
    <mergeCell ref="A1:B1"/>
    <mergeCell ref="A3:A6"/>
    <mergeCell ref="A7:A8"/>
    <mergeCell ref="A9:A11"/>
    <mergeCell ref="A12:A15"/>
  </mergeCells>
  <pageMargins left="0.7" right="0.7" top="0.75" bottom="0.75" header="0.3" footer="0.3"/>
  <pageSetup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Y47"/>
  <sheetViews>
    <sheetView zoomScaleNormal="100" workbookViewId="0">
      <pane xSplit="1" topLeftCell="B1" activePane="topRight" state="frozen"/>
      <selection activeCell="A2" sqref="A2"/>
      <selection pane="topRight" activeCell="AI9" sqref="AI9"/>
    </sheetView>
  </sheetViews>
  <sheetFormatPr defaultRowHeight="14.4" x14ac:dyDescent="0.3"/>
  <cols>
    <col min="2" max="2" width="35.5546875" bestFit="1" customWidth="1"/>
    <col min="3" max="7" width="14.44140625" hidden="1" customWidth="1"/>
    <col min="8" max="9" width="14.33203125" hidden="1" customWidth="1"/>
    <col min="10" max="11" width="14.44140625" hidden="1" customWidth="1"/>
    <col min="12" max="14" width="15" hidden="1" customWidth="1"/>
    <col min="15" max="16" width="14.33203125" hidden="1" customWidth="1"/>
    <col min="17" max="17" width="14.33203125" bestFit="1" customWidth="1"/>
    <col min="18" max="21" width="14.33203125" hidden="1" customWidth="1"/>
    <col min="22" max="28" width="14.5546875" hidden="1" customWidth="1"/>
    <col min="29" max="34" width="14.5546875" bestFit="1" customWidth="1"/>
  </cols>
  <sheetData>
    <row r="1" spans="1:51" x14ac:dyDescent="0.3">
      <c r="A1" s="30"/>
      <c r="B1" s="57" t="s">
        <v>155</v>
      </c>
      <c r="C1" s="117"/>
      <c r="D1" s="117"/>
      <c r="E1" s="117"/>
    </row>
    <row r="2" spans="1:51" x14ac:dyDescent="0.3">
      <c r="A2" s="30"/>
      <c r="B2" s="31" t="s">
        <v>156</v>
      </c>
      <c r="C2" s="59" t="s">
        <v>0</v>
      </c>
      <c r="D2" s="58" t="s">
        <v>1</v>
      </c>
      <c r="E2" s="150">
        <v>44197</v>
      </c>
      <c r="F2" s="150">
        <v>44229</v>
      </c>
      <c r="G2" s="150">
        <v>44258</v>
      </c>
      <c r="H2" s="150">
        <v>44290</v>
      </c>
      <c r="I2" s="150">
        <v>44321</v>
      </c>
      <c r="J2" s="150">
        <v>44353</v>
      </c>
      <c r="K2" s="150">
        <v>44384</v>
      </c>
      <c r="L2" s="150">
        <v>44416</v>
      </c>
      <c r="M2" s="150">
        <v>44448</v>
      </c>
      <c r="N2" s="150">
        <v>44479</v>
      </c>
      <c r="O2" s="150">
        <v>44511</v>
      </c>
      <c r="P2" s="150">
        <v>44542</v>
      </c>
      <c r="Q2" s="150" t="s">
        <v>2</v>
      </c>
      <c r="R2" s="150">
        <v>44582</v>
      </c>
      <c r="S2" s="150">
        <v>44614</v>
      </c>
      <c r="T2" s="150">
        <v>44643</v>
      </c>
      <c r="U2" s="150">
        <v>44675</v>
      </c>
      <c r="V2" s="150">
        <v>44706</v>
      </c>
      <c r="W2" s="150">
        <v>44738</v>
      </c>
      <c r="X2" s="150">
        <v>44769</v>
      </c>
      <c r="Y2" s="150">
        <v>44801</v>
      </c>
      <c r="Z2" s="150">
        <v>44833</v>
      </c>
      <c r="AA2" s="150">
        <v>44864</v>
      </c>
      <c r="AB2" s="150" t="s">
        <v>157</v>
      </c>
      <c r="AC2" s="150">
        <v>44896</v>
      </c>
      <c r="AD2" s="150" t="s">
        <v>158</v>
      </c>
      <c r="AE2" s="150">
        <v>44927</v>
      </c>
      <c r="AF2" s="150">
        <v>44958</v>
      </c>
      <c r="AG2" s="150">
        <v>44986</v>
      </c>
      <c r="AH2" s="150">
        <v>45017</v>
      </c>
      <c r="AI2" s="150">
        <v>45047</v>
      </c>
    </row>
    <row r="3" spans="1:51" x14ac:dyDescent="0.3">
      <c r="A3" s="32">
        <v>1</v>
      </c>
      <c r="B3" s="32" t="s">
        <v>144</v>
      </c>
      <c r="C3" s="32"/>
      <c r="D3" s="32"/>
      <c r="E3" s="32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</row>
    <row r="4" spans="1:51" x14ac:dyDescent="0.3">
      <c r="A4" s="32">
        <v>2</v>
      </c>
      <c r="B4" s="32" t="s">
        <v>27</v>
      </c>
      <c r="C4" s="60">
        <f>'Evolutive SFP'!B27</f>
        <v>151015729</v>
      </c>
      <c r="D4" s="60">
        <f>'Evolutive SFP'!C27</f>
        <v>9336228976</v>
      </c>
      <c r="E4" s="60">
        <f>'Evolutive SFP'!D27</f>
        <v>9414478173.5</v>
      </c>
      <c r="F4" s="60">
        <f>'Evolutive SFP'!E27</f>
        <v>9429926477.789999</v>
      </c>
      <c r="G4" s="60">
        <f>'Evolutive SFP'!F27</f>
        <v>9367037801.8099995</v>
      </c>
      <c r="H4" s="60">
        <f>'Evolutive SFP'!G27</f>
        <v>9413724710.5299988</v>
      </c>
      <c r="I4" s="60">
        <f>'Evolutive SFP'!H27</f>
        <v>9581416986.2399998</v>
      </c>
      <c r="J4" s="60">
        <f>'Evolutive SFP'!I27</f>
        <v>9656508621.2299995</v>
      </c>
      <c r="K4" s="60">
        <f>'Evolutive SFP'!J27</f>
        <v>9872681550.1099987</v>
      </c>
      <c r="L4" s="60">
        <f>'Evolutive SFP'!K27</f>
        <v>10023205402.219999</v>
      </c>
      <c r="M4" s="60">
        <f>'Evolutive SFP'!L27</f>
        <v>10088069149.85</v>
      </c>
      <c r="N4" s="60">
        <f>'Evolutive SFP'!M27</f>
        <v>10226255104.649998</v>
      </c>
      <c r="O4" s="60">
        <f>'Evolutive SFP'!N27</f>
        <v>10301003046.909998</v>
      </c>
      <c r="P4" s="60">
        <f>'Evolutive SFP'!O27</f>
        <v>10425163332.82</v>
      </c>
      <c r="Q4" s="60">
        <f>'Evolutive SFP'!P27</f>
        <v>10480806360</v>
      </c>
      <c r="R4" s="60">
        <f>'Evolutive SFP'!Q27</f>
        <v>10540673696.66</v>
      </c>
      <c r="S4" s="60">
        <f>'Evolutive SFP'!R27</f>
        <v>10594175670.82</v>
      </c>
      <c r="T4" s="60">
        <f>'Evolutive SFP'!S27</f>
        <v>10436206202.809998</v>
      </c>
      <c r="U4" s="60">
        <f>'Evolutive SFP'!T27</f>
        <v>10525347007.049999</v>
      </c>
      <c r="V4" s="60">
        <f>'Evolutive SFP'!U27</f>
        <v>10608763422.219999</v>
      </c>
      <c r="W4" s="60">
        <f>'Evolutive SFP'!V27</f>
        <v>10902525105.589998</v>
      </c>
      <c r="X4" s="60">
        <f>'Evolutive SFP'!W27</f>
        <v>10953693340.09</v>
      </c>
      <c r="Y4" s="60">
        <f>'Evolutive SFP'!X27</f>
        <v>11131656492.83</v>
      </c>
      <c r="Z4" s="60">
        <f>'Evolutive SFP'!Y27</f>
        <v>11199627686.139999</v>
      </c>
      <c r="AA4" s="60">
        <f>'Evolutive SFP'!Z27</f>
        <v>11409300902.239998</v>
      </c>
      <c r="AB4" s="60">
        <f>'Evolutive SFP'!AA27</f>
        <v>11458345181.289999</v>
      </c>
      <c r="AC4" s="60">
        <f>'Evolutive SFP'!AB27</f>
        <v>11630443127.769999</v>
      </c>
      <c r="AD4" s="60">
        <f>'Evolutive SFP'!AC27</f>
        <v>11665150273</v>
      </c>
      <c r="AE4" s="60">
        <f>'Evolutive SFP'!AD27</f>
        <v>11773997516.769999</v>
      </c>
      <c r="AF4" s="60">
        <f>'Evolutive SFP'!AE27</f>
        <v>11997148584.120001</v>
      </c>
      <c r="AG4" s="60">
        <f>'Evolutive SFP'!AF27</f>
        <v>11865267904.789997</v>
      </c>
      <c r="AH4" s="60">
        <f>'Evolutive SFP'!AG27</f>
        <v>11966274927.669998</v>
      </c>
      <c r="AI4" s="60">
        <f>'Evolutive SFP'!AH27</f>
        <v>12123963904.969999</v>
      </c>
      <c r="AJ4" s="60">
        <f>'Evolutive SFP'!AI27</f>
        <v>0</v>
      </c>
      <c r="AK4" s="60">
        <f>'Evolutive SFP'!AJ27</f>
        <v>0</v>
      </c>
      <c r="AL4" s="60">
        <f>'Evolutive SFP'!AK27</f>
        <v>0</v>
      </c>
      <c r="AM4" s="60">
        <f>'Evolutive SFP'!AL27</f>
        <v>0</v>
      </c>
      <c r="AN4" s="60">
        <f>'Evolutive SFP'!AM27</f>
        <v>0</v>
      </c>
      <c r="AO4" s="60">
        <f>'Evolutive SFP'!AN27</f>
        <v>0</v>
      </c>
      <c r="AP4" s="60">
        <f>'Evolutive SFP'!AO27</f>
        <v>0</v>
      </c>
      <c r="AQ4" s="60">
        <f>'Evolutive SFP'!AP27</f>
        <v>0</v>
      </c>
      <c r="AR4" s="60">
        <f>'Evolutive SFP'!AQ27</f>
        <v>0</v>
      </c>
      <c r="AS4" s="60">
        <f>'Evolutive SFP'!AR27</f>
        <v>0</v>
      </c>
      <c r="AT4" s="60">
        <f>'Evolutive SFP'!AS27</f>
        <v>0</v>
      </c>
      <c r="AU4" s="60">
        <f>'Evolutive SFP'!AT27</f>
        <v>0</v>
      </c>
      <c r="AV4" s="60">
        <f>'Evolutive SFP'!AU27</f>
        <v>0</v>
      </c>
      <c r="AW4" s="60">
        <f>'Evolutive SFP'!AV27</f>
        <v>0</v>
      </c>
      <c r="AX4" s="60">
        <f>'Evolutive SFP'!AW27</f>
        <v>0</v>
      </c>
      <c r="AY4" s="60">
        <f>'Evolutive SFP'!AX27</f>
        <v>0</v>
      </c>
    </row>
    <row r="5" spans="1:51" x14ac:dyDescent="0.3">
      <c r="A5" s="32">
        <v>3</v>
      </c>
      <c r="B5" s="32" t="s">
        <v>138</v>
      </c>
      <c r="C5" s="60">
        <f>'Evolutive SFP'!B31</f>
        <v>128604214</v>
      </c>
      <c r="D5" s="60">
        <f>'Evolutive SFP'!C31</f>
        <v>6255841210</v>
      </c>
      <c r="E5" s="60">
        <f>'Evolutive SFP'!D31</f>
        <v>6266646631.0900002</v>
      </c>
      <c r="F5" s="60">
        <f>'Evolutive SFP'!E31</f>
        <v>6646122211.8000002</v>
      </c>
      <c r="G5" s="60">
        <f>'Evolutive SFP'!F31</f>
        <v>6562577737.5900002</v>
      </c>
      <c r="H5" s="60">
        <f>'Evolutive SFP'!G31</f>
        <v>6511739199.4800005</v>
      </c>
      <c r="I5" s="60">
        <f>'Evolutive SFP'!H31</f>
        <v>6609385016.4799995</v>
      </c>
      <c r="J5" s="60">
        <f>'Evolutive SFP'!I31</f>
        <v>6627460724.9400005</v>
      </c>
      <c r="K5" s="60">
        <f>'Evolutive SFP'!J31</f>
        <v>6714163321.8800001</v>
      </c>
      <c r="L5" s="60">
        <f>'Evolutive SFP'!K31</f>
        <v>6762338483.9299994</v>
      </c>
      <c r="M5" s="60">
        <f>'Evolutive SFP'!L31</f>
        <v>6804957049.8899994</v>
      </c>
      <c r="N5" s="60">
        <f>'Evolutive SFP'!M31</f>
        <v>6866557933.2700005</v>
      </c>
      <c r="O5" s="60">
        <f>'Evolutive SFP'!N31</f>
        <v>6843633123.6900005</v>
      </c>
      <c r="P5" s="60">
        <f>'Evolutive SFP'!O31</f>
        <v>6854225581.04</v>
      </c>
      <c r="Q5" s="60">
        <f>'Evolutive SFP'!P31</f>
        <v>6854131078</v>
      </c>
      <c r="R5" s="60">
        <f>'Evolutive SFP'!Q31</f>
        <v>6905840553.3899994</v>
      </c>
      <c r="S5" s="60">
        <f>'Evolutive SFP'!R31</f>
        <v>7197769828.8500004</v>
      </c>
      <c r="T5" s="60">
        <f>'Evolutive SFP'!S31</f>
        <v>7194951304.9300003</v>
      </c>
      <c r="U5" s="60">
        <f>'Evolutive SFP'!T31</f>
        <v>7207590057.7700005</v>
      </c>
      <c r="V5" s="60">
        <f>'Evolutive SFP'!U31</f>
        <v>7211979015.7299995</v>
      </c>
      <c r="W5" s="60">
        <f>'Evolutive SFP'!V31</f>
        <v>7217756599.3200006</v>
      </c>
      <c r="X5" s="60">
        <f>'Evolutive SFP'!W31</f>
        <v>7274327438.8099995</v>
      </c>
      <c r="Y5" s="60">
        <f>'Evolutive SFP'!X31</f>
        <v>7291473169.0100002</v>
      </c>
      <c r="Z5" s="60">
        <f>'Evolutive SFP'!Y31</f>
        <v>7341446919.5500002</v>
      </c>
      <c r="AA5" s="60">
        <f>'Evolutive SFP'!Z31</f>
        <v>7481047725.5799999</v>
      </c>
      <c r="AB5" s="60">
        <f>'Evolutive SFP'!AA31</f>
        <v>7471734855.1700001</v>
      </c>
      <c r="AC5" s="60">
        <f>'Evolutive SFP'!AB31</f>
        <v>7484744408.0300007</v>
      </c>
      <c r="AD5" s="60">
        <f>'Evolutive SFP'!AC31</f>
        <v>7484744407</v>
      </c>
      <c r="AE5" s="60">
        <f>'Evolutive SFP'!AD31</f>
        <v>7521733436.7399998</v>
      </c>
      <c r="AF5" s="60">
        <f>'Evolutive SFP'!AE31</f>
        <v>7572661594.5699997</v>
      </c>
      <c r="AG5" s="60">
        <f>'Evolutive SFP'!AF31</f>
        <v>7847245930.3199997</v>
      </c>
      <c r="AH5" s="60">
        <f>'Evolutive SFP'!AG31</f>
        <v>7883834075.7600002</v>
      </c>
      <c r="AI5" s="60">
        <f>'Evolutive SFP'!AH31</f>
        <v>7904134131.6700001</v>
      </c>
      <c r="AJ5" s="60">
        <f>'Evolutive SFP'!AI31</f>
        <v>0</v>
      </c>
      <c r="AK5" s="60">
        <f>'Evolutive SFP'!AJ31</f>
        <v>0</v>
      </c>
      <c r="AL5" s="60">
        <f>'Evolutive SFP'!AK31</f>
        <v>0</v>
      </c>
      <c r="AM5" s="60">
        <f>'Evolutive SFP'!AL31</f>
        <v>0</v>
      </c>
      <c r="AN5" s="60">
        <f>'Evolutive SFP'!AM31</f>
        <v>0</v>
      </c>
      <c r="AO5" s="60">
        <f>'Evolutive SFP'!AN31</f>
        <v>0</v>
      </c>
      <c r="AP5" s="60">
        <f>'Evolutive SFP'!AO31</f>
        <v>0</v>
      </c>
      <c r="AQ5" s="60">
        <f>'Evolutive SFP'!AP31</f>
        <v>0</v>
      </c>
      <c r="AR5" s="60">
        <f>'Evolutive SFP'!AQ31</f>
        <v>0</v>
      </c>
      <c r="AS5" s="60">
        <f>'Evolutive SFP'!AR31</f>
        <v>0</v>
      </c>
      <c r="AT5" s="60">
        <f>'Evolutive SFP'!AS31</f>
        <v>0</v>
      </c>
      <c r="AU5" s="60">
        <f>'Evolutive SFP'!AT31</f>
        <v>0</v>
      </c>
      <c r="AV5" s="60">
        <f>'Evolutive SFP'!AU31</f>
        <v>0</v>
      </c>
      <c r="AW5" s="60">
        <f>'Evolutive SFP'!AV31</f>
        <v>0</v>
      </c>
      <c r="AX5" s="60">
        <f>'Evolutive SFP'!AW31</f>
        <v>0</v>
      </c>
      <c r="AY5" s="60">
        <f>'Evolutive SFP'!AX31</f>
        <v>0</v>
      </c>
    </row>
    <row r="6" spans="1:51" x14ac:dyDescent="0.3">
      <c r="A6" s="32">
        <v>3.1</v>
      </c>
      <c r="B6" s="33" t="s">
        <v>159</v>
      </c>
      <c r="C6" s="60">
        <f>'Evolutive SFP'!B30</f>
        <v>112140909</v>
      </c>
      <c r="D6" s="60">
        <f>'Evolutive SFP'!C30</f>
        <v>4971582622</v>
      </c>
      <c r="E6" s="60">
        <f>'Evolutive SFP'!D30</f>
        <v>5008545738.3000002</v>
      </c>
      <c r="F6" s="60">
        <f>'Evolutive SFP'!E30</f>
        <v>5076637399.9700003</v>
      </c>
      <c r="G6" s="60">
        <f>'Evolutive SFP'!F30</f>
        <v>5134317704.8500004</v>
      </c>
      <c r="H6" s="60">
        <f>'Evolutive SFP'!G30</f>
        <v>5182936930.6300001</v>
      </c>
      <c r="I6" s="60">
        <f>'Evolutive SFP'!H30</f>
        <v>5210322127.0699997</v>
      </c>
      <c r="J6" s="60">
        <f>'Evolutive SFP'!I30</f>
        <v>5237308954.5500002</v>
      </c>
      <c r="K6" s="60">
        <f>'Evolutive SFP'!J30</f>
        <v>5222516124.1300001</v>
      </c>
      <c r="L6" s="60">
        <f>'Evolutive SFP'!K30</f>
        <v>5261271762.2299995</v>
      </c>
      <c r="M6" s="60">
        <f>'Evolutive SFP'!L30</f>
        <v>5300041062</v>
      </c>
      <c r="N6" s="60">
        <f>'Evolutive SFP'!M30</f>
        <v>5336590923.5100002</v>
      </c>
      <c r="O6" s="60">
        <f>'Evolutive SFP'!N30</f>
        <v>5372213014.0500002</v>
      </c>
      <c r="P6" s="60">
        <f>'Evolutive SFP'!O30</f>
        <v>5369507090.8599997</v>
      </c>
      <c r="Q6" s="60">
        <f>'Evolutive SFP'!P30</f>
        <v>5369507091</v>
      </c>
      <c r="R6" s="60">
        <f>'Evolutive SFP'!Q30</f>
        <v>5411079676.4799995</v>
      </c>
      <c r="S6" s="60">
        <f>'Evolutive SFP'!R30</f>
        <v>5452054200.3900003</v>
      </c>
      <c r="T6" s="60">
        <f>'Evolutive SFP'!S30</f>
        <v>5533477851.5500002</v>
      </c>
      <c r="U6" s="60">
        <f>'Evolutive SFP'!T30</f>
        <v>5600018415.1999998</v>
      </c>
      <c r="V6" s="60">
        <f>'Evolutive SFP'!U30</f>
        <v>5659806774.3299999</v>
      </c>
      <c r="W6" s="60">
        <f>'Evolutive SFP'!V30</f>
        <v>5644861320.3500004</v>
      </c>
      <c r="X6" s="60">
        <f>'Evolutive SFP'!W30</f>
        <v>5669414340.1499996</v>
      </c>
      <c r="Y6" s="60">
        <f>'Evolutive SFP'!X30</f>
        <v>5706662107.2399998</v>
      </c>
      <c r="Z6" s="60">
        <f>'Evolutive SFP'!Y30</f>
        <v>5766140727.1800003</v>
      </c>
      <c r="AA6" s="60">
        <f>'Evolutive SFP'!Z30</f>
        <v>5826114832.6599998</v>
      </c>
      <c r="AB6" s="60">
        <f>'Evolutive SFP'!AA30</f>
        <v>5865279776.1300001</v>
      </c>
      <c r="AC6" s="60">
        <f>'Evolutive SFP'!AB30</f>
        <v>5848968899.0100002</v>
      </c>
      <c r="AD6" s="60">
        <f>'Evolutive SFP'!AC30</f>
        <v>5848968899</v>
      </c>
      <c r="AE6" s="60">
        <f>'Evolutive SFP'!AD30</f>
        <v>5896319253.2600002</v>
      </c>
      <c r="AF6" s="60">
        <f>'Evolutive SFP'!AE30</f>
        <v>5963430426.54</v>
      </c>
      <c r="AG6" s="60">
        <f>'Evolutive SFP'!AF30</f>
        <v>6061810843.2799997</v>
      </c>
      <c r="AH6" s="60">
        <f>'Evolutive SFP'!AG30</f>
        <v>6139527430.96</v>
      </c>
      <c r="AI6" s="60">
        <f>'Evolutive SFP'!AH30</f>
        <v>6197427025.0699997</v>
      </c>
      <c r="AJ6" s="60">
        <f>'Evolutive SFP'!AI30</f>
        <v>0</v>
      </c>
      <c r="AK6" s="60">
        <f>'Evolutive SFP'!AJ30</f>
        <v>0</v>
      </c>
      <c r="AL6" s="60">
        <f>'Evolutive SFP'!AK30</f>
        <v>0</v>
      </c>
      <c r="AM6" s="60">
        <f>'Evolutive SFP'!AL30</f>
        <v>0</v>
      </c>
      <c r="AN6" s="60">
        <f>'Evolutive SFP'!AM30</f>
        <v>0</v>
      </c>
      <c r="AO6" s="60">
        <f>'Evolutive SFP'!AN30</f>
        <v>0</v>
      </c>
      <c r="AP6" s="60">
        <f>'Evolutive SFP'!AO30</f>
        <v>0</v>
      </c>
      <c r="AQ6" s="60">
        <f>'Evolutive SFP'!AP30</f>
        <v>0</v>
      </c>
      <c r="AR6" s="60">
        <f>'Evolutive SFP'!AQ30</f>
        <v>0</v>
      </c>
      <c r="AS6" s="60">
        <f>'Evolutive SFP'!AR30</f>
        <v>0</v>
      </c>
      <c r="AT6" s="60">
        <f>'Evolutive SFP'!AS30</f>
        <v>0</v>
      </c>
      <c r="AU6" s="60">
        <f>'Evolutive SFP'!AT30</f>
        <v>0</v>
      </c>
      <c r="AV6" s="60">
        <f>'Evolutive SFP'!AU30</f>
        <v>0</v>
      </c>
      <c r="AW6" s="60">
        <f>'Evolutive SFP'!AV30</f>
        <v>0</v>
      </c>
      <c r="AX6" s="60">
        <f>'Evolutive SFP'!AW30</f>
        <v>0</v>
      </c>
      <c r="AY6" s="60">
        <f>'Evolutive SFP'!AX30</f>
        <v>0</v>
      </c>
    </row>
    <row r="7" spans="1:51" x14ac:dyDescent="0.3">
      <c r="A7" s="32">
        <v>3.2</v>
      </c>
      <c r="B7" s="33" t="s">
        <v>160</v>
      </c>
      <c r="C7" s="60">
        <f>('Evolutive SFP'!B28+'Evolutive SFP'!B29)</f>
        <v>16463305</v>
      </c>
      <c r="D7" s="60">
        <f>('Evolutive SFP'!C28+'Evolutive SFP'!C29)</f>
        <v>1284258588</v>
      </c>
      <c r="E7" s="60">
        <f>('Evolutive SFP'!D28+'Evolutive SFP'!D29)</f>
        <v>1258100892.79</v>
      </c>
      <c r="F7" s="60">
        <f>('Evolutive SFP'!E28+'Evolutive SFP'!E29)</f>
        <v>1569484811.8299999</v>
      </c>
      <c r="G7" s="60">
        <f>('Evolutive SFP'!F28+'Evolutive SFP'!F29)</f>
        <v>1428260032.74</v>
      </c>
      <c r="H7" s="60">
        <f>('Evolutive SFP'!G28+'Evolutive SFP'!G29)</f>
        <v>1328802268.8500001</v>
      </c>
      <c r="I7" s="60">
        <f>('Evolutive SFP'!H28+'Evolutive SFP'!H29)</f>
        <v>1399062889.4100001</v>
      </c>
      <c r="J7" s="60">
        <f>('Evolutive SFP'!I28+'Evolutive SFP'!I29)</f>
        <v>1390151770.3900001</v>
      </c>
      <c r="K7" s="60">
        <f>('Evolutive SFP'!J28+'Evolutive SFP'!J29)</f>
        <v>1491647197.75</v>
      </c>
      <c r="L7" s="60">
        <f>('Evolutive SFP'!K28+'Evolutive SFP'!K29)</f>
        <v>1501066721.6999998</v>
      </c>
      <c r="M7" s="60">
        <f>('Evolutive SFP'!L28+'Evolutive SFP'!L29)</f>
        <v>1504915987.8899999</v>
      </c>
      <c r="N7" s="60">
        <f>('Evolutive SFP'!M28+'Evolutive SFP'!M29)</f>
        <v>1529967009.76</v>
      </c>
      <c r="O7" s="60">
        <f>('Evolutive SFP'!N28+'Evolutive SFP'!N29)</f>
        <v>1471420109.6400001</v>
      </c>
      <c r="P7" s="60">
        <f>('Evolutive SFP'!O28+'Evolutive SFP'!O29)</f>
        <v>1484718490.1800001</v>
      </c>
      <c r="Q7" s="60">
        <f>('Evolutive SFP'!P28+'Evolutive SFP'!P29)</f>
        <v>1484623987</v>
      </c>
      <c r="R7" s="60">
        <f>('Evolutive SFP'!Q28+'Evolutive SFP'!Q29)</f>
        <v>1494760876.9099998</v>
      </c>
      <c r="S7" s="60">
        <f>('Evolutive SFP'!R28+'Evolutive SFP'!R29)</f>
        <v>1745715628.46</v>
      </c>
      <c r="T7" s="60">
        <f>('Evolutive SFP'!S28+'Evolutive SFP'!S29)</f>
        <v>1661473453.3800001</v>
      </c>
      <c r="U7" s="60">
        <f>('Evolutive SFP'!T28+'Evolutive SFP'!T29)</f>
        <v>1607571642.5700002</v>
      </c>
      <c r="V7" s="60">
        <f>('Evolutive SFP'!U28+'Evolutive SFP'!U29)</f>
        <v>1552172241.3999999</v>
      </c>
      <c r="W7" s="60">
        <f>('Evolutive SFP'!V28+'Evolutive SFP'!V29)</f>
        <v>1572895278.97</v>
      </c>
      <c r="X7" s="60">
        <f>('Evolutive SFP'!W28+'Evolutive SFP'!W29)</f>
        <v>1604913098.6599998</v>
      </c>
      <c r="Y7" s="60">
        <f>('Evolutive SFP'!X28+'Evolutive SFP'!X29)</f>
        <v>1584811061.77</v>
      </c>
      <c r="Z7" s="60">
        <f>('Evolutive SFP'!Y28+'Evolutive SFP'!Y29)</f>
        <v>1575306192.3699999</v>
      </c>
      <c r="AA7" s="60">
        <f>('Evolutive SFP'!Z28+'Evolutive SFP'!Z29)</f>
        <v>1654932892.9200001</v>
      </c>
      <c r="AB7" s="60">
        <f>('Evolutive SFP'!AA28+'Evolutive SFP'!AA29)</f>
        <v>1606455079.04</v>
      </c>
      <c r="AC7" s="60">
        <f>('Evolutive SFP'!AB28+'Evolutive SFP'!AB29)</f>
        <v>1635775509.02</v>
      </c>
      <c r="AD7" s="60">
        <f>('Evolutive SFP'!AC28+'Evolutive SFP'!AC29)</f>
        <v>1635775508</v>
      </c>
      <c r="AE7" s="60">
        <f>('Evolutive SFP'!AD28+'Evolutive SFP'!AD29)</f>
        <v>1625414183.48</v>
      </c>
      <c r="AF7" s="60">
        <f>('Evolutive SFP'!AE28+'Evolutive SFP'!AE29)</f>
        <v>1609231168.0300002</v>
      </c>
      <c r="AG7" s="60">
        <f>('Evolutive SFP'!AF28+'Evolutive SFP'!AF29)</f>
        <v>1785435087.04</v>
      </c>
      <c r="AH7" s="60">
        <f>('Evolutive SFP'!AG28+'Evolutive SFP'!AG29)</f>
        <v>1744306644.8000002</v>
      </c>
      <c r="AI7" s="60">
        <f>('Evolutive SFP'!AH28+'Evolutive SFP'!AH29)</f>
        <v>1706707106.5999999</v>
      </c>
      <c r="AJ7" s="60">
        <f>('Evolutive SFP'!AI28+'Evolutive SFP'!AI29)</f>
        <v>0</v>
      </c>
      <c r="AK7" s="60">
        <f>('Evolutive SFP'!AJ28+'Evolutive SFP'!AJ29)</f>
        <v>0</v>
      </c>
      <c r="AL7" s="60">
        <f>('Evolutive SFP'!AK28+'Evolutive SFP'!AK29)</f>
        <v>0</v>
      </c>
      <c r="AM7" s="60">
        <f>('Evolutive SFP'!AL28+'Evolutive SFP'!AL29)</f>
        <v>0</v>
      </c>
      <c r="AN7" s="60">
        <f>('Evolutive SFP'!AM28+'Evolutive SFP'!AM29)</f>
        <v>0</v>
      </c>
      <c r="AO7" s="60">
        <f>('Evolutive SFP'!AN28+'Evolutive SFP'!AN29)</f>
        <v>0</v>
      </c>
      <c r="AP7" s="60">
        <f>('Evolutive SFP'!AO28+'Evolutive SFP'!AO29)</f>
        <v>0</v>
      </c>
      <c r="AQ7" s="60">
        <f>('Evolutive SFP'!AP28+'Evolutive SFP'!AP29)</f>
        <v>0</v>
      </c>
      <c r="AR7" s="60">
        <f>('Evolutive SFP'!AQ28+'Evolutive SFP'!AQ29)</f>
        <v>0</v>
      </c>
      <c r="AS7" s="60">
        <f>('Evolutive SFP'!AR28+'Evolutive SFP'!AR29)</f>
        <v>0</v>
      </c>
      <c r="AT7" s="60">
        <f>('Evolutive SFP'!AS28+'Evolutive SFP'!AS29)</f>
        <v>0</v>
      </c>
      <c r="AU7" s="60">
        <f>('Evolutive SFP'!AT28+'Evolutive SFP'!AT29)</f>
        <v>0</v>
      </c>
      <c r="AV7" s="60">
        <f>('Evolutive SFP'!AU28+'Evolutive SFP'!AU29)</f>
        <v>0</v>
      </c>
      <c r="AW7" s="60">
        <f>('Evolutive SFP'!AV28+'Evolutive SFP'!AV29)</f>
        <v>0</v>
      </c>
      <c r="AX7" s="60">
        <f>('Evolutive SFP'!AW28+'Evolutive SFP'!AW29)</f>
        <v>0</v>
      </c>
      <c r="AY7" s="60">
        <f>('Evolutive SFP'!AX28+'Evolutive SFP'!AX29)</f>
        <v>0</v>
      </c>
    </row>
    <row r="8" spans="1:51" x14ac:dyDescent="0.3">
      <c r="A8" s="32">
        <v>4</v>
      </c>
      <c r="B8" s="32" t="s">
        <v>161</v>
      </c>
      <c r="C8" s="60">
        <f>'Evolutive SFP'!B37</f>
        <v>2291669</v>
      </c>
      <c r="D8" s="60">
        <f>'Evolutive SFP'!C37</f>
        <v>267946962</v>
      </c>
      <c r="E8" s="60">
        <f>'Evolutive SFP'!D37</f>
        <v>262280294.55000001</v>
      </c>
      <c r="F8" s="60">
        <f>'Evolutive SFP'!E37</f>
        <v>256613627.55000001</v>
      </c>
      <c r="G8" s="60">
        <f>'Evolutive SFP'!F37</f>
        <v>244109484.44999999</v>
      </c>
      <c r="H8" s="60">
        <f>'Evolutive SFP'!G37</f>
        <v>236457543.80000001</v>
      </c>
      <c r="I8" s="60">
        <f>'Evolutive SFP'!H37</f>
        <v>232776150.44999999</v>
      </c>
      <c r="J8" s="60">
        <f>'Evolutive SFP'!I37</f>
        <v>223107703.83000001</v>
      </c>
      <c r="K8" s="60">
        <f>'Evolutive SFP'!J37</f>
        <v>215694461.81</v>
      </c>
      <c r="L8" s="60">
        <f>'Evolutive SFP'!K37</f>
        <v>211774369.83000001</v>
      </c>
      <c r="M8" s="60">
        <f>'Evolutive SFP'!L37</f>
        <v>199239606.13</v>
      </c>
      <c r="N8" s="60">
        <f>'Evolutive SFP'!M37</f>
        <v>193572939.13</v>
      </c>
      <c r="O8" s="60">
        <f>'Evolutive SFP'!N37</f>
        <v>186342117.21000001</v>
      </c>
      <c r="P8" s="60">
        <f>'Evolutive SFP'!O37</f>
        <v>179490327.91</v>
      </c>
      <c r="Q8" s="60">
        <f>'Evolutive SFP'!P37</f>
        <v>179490328</v>
      </c>
      <c r="R8" s="60">
        <f>'Evolutive SFP'!Q37</f>
        <v>173823660.91</v>
      </c>
      <c r="S8" s="60">
        <f>'Evolutive SFP'!R37</f>
        <v>168156993.91</v>
      </c>
      <c r="T8" s="60">
        <f>'Evolutive SFP'!S37</f>
        <v>155645229.91</v>
      </c>
      <c r="U8" s="60">
        <f>'Evolutive SFP'!T37</f>
        <v>149978562.91</v>
      </c>
      <c r="V8" s="60">
        <f>'Evolutive SFP'!U37</f>
        <v>144311895.91</v>
      </c>
      <c r="W8" s="60">
        <f>'Evolutive SFP'!V37</f>
        <v>281523790.49000001</v>
      </c>
      <c r="X8" s="60">
        <f>'Evolutive SFP'!W37</f>
        <v>281523790.49000001</v>
      </c>
      <c r="Y8" s="60">
        <f>'Evolutive SFP'!X37</f>
        <v>273190456.49000001</v>
      </c>
      <c r="Z8" s="60">
        <f>'Evolutive SFP'!Y37</f>
        <v>262810327.68000001</v>
      </c>
      <c r="AA8" s="60">
        <f>'Evolutive SFP'!Z37</f>
        <v>258643660.68000001</v>
      </c>
      <c r="AB8" s="60">
        <f>'Evolutive SFP'!AA37</f>
        <v>254476993.68000001</v>
      </c>
      <c r="AC8" s="60">
        <f>'Evolutive SFP'!AB37</f>
        <v>243925889.71000001</v>
      </c>
      <c r="AD8" s="60">
        <f>'Evolutive SFP'!AC37</f>
        <v>243925890</v>
      </c>
      <c r="AE8" s="60">
        <f>'Evolutive SFP'!AD37</f>
        <v>239759222.71000001</v>
      </c>
      <c r="AF8" s="60">
        <f>'Evolutive SFP'!AE37</f>
        <v>335591555.70999998</v>
      </c>
      <c r="AG8" s="60">
        <f>'Evolutive SFP'!AF37</f>
        <v>374571379.70999998</v>
      </c>
      <c r="AH8" s="60">
        <f>'Evolutive SFP'!AG37</f>
        <v>370404712.70999998</v>
      </c>
      <c r="AI8" s="60">
        <f>'Evolutive SFP'!AH37</f>
        <v>416238045.70999998</v>
      </c>
      <c r="AJ8" s="60">
        <f>'Evolutive SFP'!AI37</f>
        <v>0</v>
      </c>
      <c r="AK8" s="60">
        <f>'Evolutive SFP'!AJ37</f>
        <v>0</v>
      </c>
      <c r="AL8" s="60">
        <f>'Evolutive SFP'!AK37</f>
        <v>0</v>
      </c>
      <c r="AM8" s="60">
        <f>'Evolutive SFP'!AL37</f>
        <v>0</v>
      </c>
      <c r="AN8" s="60">
        <f>'Evolutive SFP'!AM37</f>
        <v>0</v>
      </c>
      <c r="AO8" s="60">
        <f>'Evolutive SFP'!AN37</f>
        <v>0</v>
      </c>
      <c r="AP8" s="60">
        <f>'Evolutive SFP'!AO37</f>
        <v>0</v>
      </c>
      <c r="AQ8" s="60">
        <f>'Evolutive SFP'!AP37</f>
        <v>0</v>
      </c>
      <c r="AR8" s="60">
        <f>'Evolutive SFP'!AQ37</f>
        <v>0</v>
      </c>
      <c r="AS8" s="60">
        <f>'Evolutive SFP'!AR37</f>
        <v>0</v>
      </c>
      <c r="AT8" s="60">
        <f>'Evolutive SFP'!AS37</f>
        <v>0</v>
      </c>
      <c r="AU8" s="60">
        <f>'Evolutive SFP'!AT37</f>
        <v>0</v>
      </c>
      <c r="AV8" s="60">
        <f>'Evolutive SFP'!AU37</f>
        <v>0</v>
      </c>
      <c r="AW8" s="60">
        <f>'Evolutive SFP'!AV37</f>
        <v>0</v>
      </c>
      <c r="AX8" s="60">
        <f>'Evolutive SFP'!AW37</f>
        <v>0</v>
      </c>
      <c r="AY8" s="60">
        <f>'Evolutive SFP'!AX37</f>
        <v>0</v>
      </c>
    </row>
    <row r="9" spans="1:51" x14ac:dyDescent="0.3">
      <c r="A9" s="32"/>
      <c r="B9" s="32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</row>
    <row r="10" spans="1:51" x14ac:dyDescent="0.3">
      <c r="A10" s="34">
        <v>5</v>
      </c>
      <c r="B10" s="30" t="s">
        <v>162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</row>
    <row r="11" spans="1:51" s="29" customFormat="1" x14ac:dyDescent="0.3">
      <c r="A11" s="42">
        <v>5.0999999999999996</v>
      </c>
      <c r="B11" s="30" t="s">
        <v>103</v>
      </c>
      <c r="C11" s="61">
        <f t="shared" ref="C11:I11" si="0">C14-C22-C25</f>
        <v>14446887</v>
      </c>
      <c r="D11" s="61">
        <f t="shared" si="0"/>
        <v>2000660017</v>
      </c>
      <c r="E11" s="61">
        <f t="shared" si="0"/>
        <v>2076404198.5500004</v>
      </c>
      <c r="F11" s="61">
        <f t="shared" si="0"/>
        <v>2088308913.4600003</v>
      </c>
      <c r="G11" s="61">
        <f t="shared" si="0"/>
        <v>2204833602.71</v>
      </c>
      <c r="H11" s="61">
        <f t="shared" si="0"/>
        <v>2295580607.5899997</v>
      </c>
      <c r="I11" s="61">
        <f t="shared" si="0"/>
        <v>2379993275.5899997</v>
      </c>
      <c r="J11" s="61">
        <f t="shared" ref="J11:P11" si="1">J14-J22-J25</f>
        <v>2413427909.54</v>
      </c>
      <c r="K11" s="61">
        <f t="shared" si="1"/>
        <v>2578685861.4899998</v>
      </c>
      <c r="L11" s="61">
        <f t="shared" si="1"/>
        <v>2683762623.7600002</v>
      </c>
      <c r="M11" s="61">
        <f t="shared" si="1"/>
        <v>2712272845.2399998</v>
      </c>
      <c r="N11" s="61">
        <f t="shared" si="1"/>
        <v>2816433514.9899998</v>
      </c>
      <c r="O11" s="61">
        <f t="shared" si="1"/>
        <v>2911083600.5900002</v>
      </c>
      <c r="P11" s="61">
        <f t="shared" si="1"/>
        <v>3038762547.5500002</v>
      </c>
      <c r="Q11" s="61">
        <f t="shared" ref="Q11:AY11" si="2">Q14-Q22-Q25</f>
        <v>2620807484</v>
      </c>
      <c r="R11" s="61">
        <f t="shared" si="2"/>
        <v>2604856950.04</v>
      </c>
      <c r="S11" s="61">
        <f t="shared" si="2"/>
        <v>2647765903.5899997</v>
      </c>
      <c r="T11" s="61">
        <f t="shared" si="2"/>
        <v>2738221223.5299997</v>
      </c>
      <c r="U11" s="61">
        <f t="shared" si="2"/>
        <v>2848161470.2799997</v>
      </c>
      <c r="V11" s="61">
        <f t="shared" si="2"/>
        <v>2947735988.4799995</v>
      </c>
      <c r="W11" s="61">
        <f t="shared" si="2"/>
        <v>3106288655.5299997</v>
      </c>
      <c r="X11" s="61">
        <f t="shared" si="2"/>
        <v>3169010808.1399999</v>
      </c>
      <c r="Y11" s="61">
        <f t="shared" si="2"/>
        <v>3270250767.5900002</v>
      </c>
      <c r="Z11" s="61">
        <f t="shared" si="2"/>
        <v>3249424504.7599998</v>
      </c>
      <c r="AA11" s="61">
        <f t="shared" si="2"/>
        <v>3362869080.5</v>
      </c>
      <c r="AB11" s="61">
        <f t="shared" si="2"/>
        <v>3443305074.6099997</v>
      </c>
      <c r="AC11" s="61">
        <f t="shared" si="2"/>
        <v>3564555810.4499998</v>
      </c>
      <c r="AD11" s="61">
        <f t="shared" si="2"/>
        <v>3107530701</v>
      </c>
      <c r="AE11" s="61">
        <f t="shared" si="2"/>
        <v>3251606521.8999996</v>
      </c>
      <c r="AF11" s="61">
        <f t="shared" si="2"/>
        <v>3339639908.8499999</v>
      </c>
      <c r="AG11" s="61">
        <f t="shared" si="2"/>
        <v>3427998739.4300003</v>
      </c>
      <c r="AH11" s="61">
        <f t="shared" si="2"/>
        <v>3526684938.6999998</v>
      </c>
      <c r="AI11" s="61">
        <f t="shared" si="2"/>
        <v>3624188475.1300001</v>
      </c>
      <c r="AJ11" s="61">
        <f t="shared" si="2"/>
        <v>0</v>
      </c>
      <c r="AK11" s="61">
        <f t="shared" si="2"/>
        <v>0</v>
      </c>
      <c r="AL11" s="61">
        <f t="shared" si="2"/>
        <v>0</v>
      </c>
      <c r="AM11" s="61">
        <f t="shared" si="2"/>
        <v>0</v>
      </c>
      <c r="AN11" s="61">
        <f t="shared" si="2"/>
        <v>0</v>
      </c>
      <c r="AO11" s="61">
        <f t="shared" si="2"/>
        <v>0</v>
      </c>
      <c r="AP11" s="61">
        <f t="shared" si="2"/>
        <v>0</v>
      </c>
      <c r="AQ11" s="61">
        <f t="shared" si="2"/>
        <v>0</v>
      </c>
      <c r="AR11" s="61">
        <f t="shared" si="2"/>
        <v>0</v>
      </c>
      <c r="AS11" s="61">
        <f t="shared" si="2"/>
        <v>0</v>
      </c>
      <c r="AT11" s="61">
        <f t="shared" si="2"/>
        <v>0</v>
      </c>
      <c r="AU11" s="61">
        <f t="shared" si="2"/>
        <v>0</v>
      </c>
      <c r="AV11" s="61">
        <f t="shared" si="2"/>
        <v>0</v>
      </c>
      <c r="AW11" s="61">
        <f t="shared" si="2"/>
        <v>0</v>
      </c>
      <c r="AX11" s="61">
        <f t="shared" si="2"/>
        <v>0</v>
      </c>
      <c r="AY11" s="61">
        <f t="shared" si="2"/>
        <v>0</v>
      </c>
    </row>
    <row r="12" spans="1:51" s="29" customFormat="1" x14ac:dyDescent="0.3">
      <c r="A12" s="42">
        <v>5.2</v>
      </c>
      <c r="B12" s="30" t="s">
        <v>163</v>
      </c>
      <c r="C12" s="61">
        <f t="shared" ref="C12:I12" si="3">C11-C15</f>
        <v>3952190</v>
      </c>
      <c r="D12" s="61">
        <f t="shared" si="3"/>
        <v>1573584584</v>
      </c>
      <c r="E12" s="61">
        <f t="shared" si="3"/>
        <v>1649196864.9200006</v>
      </c>
      <c r="F12" s="61">
        <f t="shared" si="3"/>
        <v>1659990112.8900003</v>
      </c>
      <c r="G12" s="61">
        <f t="shared" si="3"/>
        <v>1775676227.3099999</v>
      </c>
      <c r="H12" s="61">
        <f t="shared" si="3"/>
        <v>1866069098.1899996</v>
      </c>
      <c r="I12" s="61">
        <f t="shared" si="3"/>
        <v>1950257820.1299996</v>
      </c>
      <c r="J12" s="61">
        <f t="shared" ref="J12:P12" si="4">J11-J15</f>
        <v>1983466703.0799999</v>
      </c>
      <c r="K12" s="61">
        <f t="shared" si="4"/>
        <v>2100993308.3599997</v>
      </c>
      <c r="L12" s="61">
        <f t="shared" si="4"/>
        <v>2205564731.6300001</v>
      </c>
      <c r="M12" s="61">
        <f t="shared" si="4"/>
        <v>2233986633.1099997</v>
      </c>
      <c r="N12" s="61">
        <f t="shared" si="4"/>
        <v>2337744909.4399996</v>
      </c>
      <c r="O12" s="61">
        <f t="shared" si="4"/>
        <v>2432295065.04</v>
      </c>
      <c r="P12" s="61">
        <f t="shared" si="4"/>
        <v>2511321899.9300003</v>
      </c>
      <c r="Q12" s="61">
        <f t="shared" ref="Q12:AY12" si="5">Q11-Q15</f>
        <v>2093366836</v>
      </c>
      <c r="R12" s="61">
        <f t="shared" si="5"/>
        <v>2077150494.75</v>
      </c>
      <c r="S12" s="61">
        <f t="shared" si="5"/>
        <v>2118944244.3199997</v>
      </c>
      <c r="T12" s="61">
        <f t="shared" si="5"/>
        <v>2204293813.9399996</v>
      </c>
      <c r="U12" s="61">
        <f t="shared" si="5"/>
        <v>2311890000.0999999</v>
      </c>
      <c r="V12" s="61">
        <f t="shared" si="5"/>
        <v>2410718851.3899994</v>
      </c>
      <c r="W12" s="61">
        <f t="shared" si="5"/>
        <v>2497570100.9199996</v>
      </c>
      <c r="X12" s="61">
        <f t="shared" si="5"/>
        <v>2553773983.2399998</v>
      </c>
      <c r="Y12" s="61">
        <f t="shared" si="5"/>
        <v>2646682808.79</v>
      </c>
      <c r="Z12" s="61">
        <f t="shared" si="5"/>
        <v>2625333369.75</v>
      </c>
      <c r="AA12" s="61">
        <f t="shared" si="5"/>
        <v>2735770604.02</v>
      </c>
      <c r="AB12" s="61">
        <f t="shared" si="5"/>
        <v>2815416656.2399998</v>
      </c>
      <c r="AC12" s="61">
        <f t="shared" si="5"/>
        <v>2839081545.8599997</v>
      </c>
      <c r="AD12" s="61">
        <f t="shared" si="5"/>
        <v>2382056436</v>
      </c>
      <c r="AE12" s="61">
        <f t="shared" si="5"/>
        <v>2525257988.5499997</v>
      </c>
      <c r="AF12" s="61">
        <f t="shared" si="5"/>
        <v>2612907804.4200001</v>
      </c>
      <c r="AG12" s="61">
        <f t="shared" si="5"/>
        <v>2699807921.1100001</v>
      </c>
      <c r="AH12" s="61">
        <f t="shared" si="5"/>
        <v>2796220775.6499996</v>
      </c>
      <c r="AI12" s="61">
        <f t="shared" si="5"/>
        <v>2892760874.0799999</v>
      </c>
      <c r="AJ12" s="61">
        <f t="shared" si="5"/>
        <v>0</v>
      </c>
      <c r="AK12" s="61">
        <f t="shared" si="5"/>
        <v>0</v>
      </c>
      <c r="AL12" s="61">
        <f t="shared" si="5"/>
        <v>0</v>
      </c>
      <c r="AM12" s="61">
        <f t="shared" si="5"/>
        <v>0</v>
      </c>
      <c r="AN12" s="61">
        <f t="shared" si="5"/>
        <v>0</v>
      </c>
      <c r="AO12" s="61">
        <f t="shared" si="5"/>
        <v>0</v>
      </c>
      <c r="AP12" s="61">
        <f t="shared" si="5"/>
        <v>0</v>
      </c>
      <c r="AQ12" s="61">
        <f t="shared" si="5"/>
        <v>0</v>
      </c>
      <c r="AR12" s="61">
        <f t="shared" si="5"/>
        <v>0</v>
      </c>
      <c r="AS12" s="61">
        <f t="shared" si="5"/>
        <v>0</v>
      </c>
      <c r="AT12" s="61">
        <f t="shared" si="5"/>
        <v>0</v>
      </c>
      <c r="AU12" s="61">
        <f t="shared" si="5"/>
        <v>0</v>
      </c>
      <c r="AV12" s="61">
        <f t="shared" si="5"/>
        <v>0</v>
      </c>
      <c r="AW12" s="61">
        <f t="shared" si="5"/>
        <v>0</v>
      </c>
      <c r="AX12" s="61">
        <f t="shared" si="5"/>
        <v>0</v>
      </c>
      <c r="AY12" s="61">
        <f t="shared" si="5"/>
        <v>0</v>
      </c>
    </row>
    <row r="13" spans="1:51" x14ac:dyDescent="0.3">
      <c r="A13" s="34"/>
      <c r="B13" s="3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</row>
    <row r="14" spans="1:51" s="29" customFormat="1" x14ac:dyDescent="0.3">
      <c r="A14" s="42">
        <v>5.3</v>
      </c>
      <c r="B14" s="30" t="s">
        <v>164</v>
      </c>
      <c r="C14" s="61">
        <f>C15+C16+C17+C18+C19+C20+C21</f>
        <v>14919147</v>
      </c>
      <c r="D14" s="61">
        <f>D15+D16+D17+D18+D19+D20+D21</f>
        <v>2217859424</v>
      </c>
      <c r="E14" s="61">
        <f>E15+E16+E17+E18+E19+E20+E21</f>
        <v>2233816586.8500004</v>
      </c>
      <c r="F14" s="61">
        <f>F15+F16+F17+F18+F19+F20+F21</f>
        <v>2245721301.7600002</v>
      </c>
      <c r="G14" s="61">
        <f t="shared" ref="G14" si="6">G15+G16+G17+G18+G19+G20+G21</f>
        <v>2362245991.0100002</v>
      </c>
      <c r="H14" s="61">
        <f>H15+H16+H17+H18+H19+H20+H21</f>
        <v>2452992995.8899999</v>
      </c>
      <c r="I14" s="61">
        <f>I15+I16+I17+I18+I19+I20+I21</f>
        <v>2537405663.8899999</v>
      </c>
      <c r="J14" s="61">
        <f t="shared" ref="J14:P14" si="7">J15+J16+J17+J18+J19+J20+J21</f>
        <v>2570840297.8400002</v>
      </c>
      <c r="K14" s="61">
        <f t="shared" si="7"/>
        <v>2736098249.79</v>
      </c>
      <c r="L14" s="61">
        <f t="shared" si="7"/>
        <v>2841175012.0600004</v>
      </c>
      <c r="M14" s="61">
        <f t="shared" si="7"/>
        <v>2879685233.54</v>
      </c>
      <c r="N14" s="61">
        <f t="shared" si="7"/>
        <v>2983845903.29</v>
      </c>
      <c r="O14" s="61">
        <f t="shared" si="7"/>
        <v>3078495988.8900003</v>
      </c>
      <c r="P14" s="61">
        <f t="shared" si="7"/>
        <v>3206181115.8500004</v>
      </c>
      <c r="Q14" s="61">
        <f t="shared" ref="Q14:AY14" si="8">Q15+Q16+Q17+Q18+Q19+Q20+Q21</f>
        <v>2726630305</v>
      </c>
      <c r="R14" s="61">
        <f t="shared" si="8"/>
        <v>2774699993.3400002</v>
      </c>
      <c r="S14" s="61">
        <f t="shared" si="8"/>
        <v>2817608946.8899999</v>
      </c>
      <c r="T14" s="61">
        <f t="shared" si="8"/>
        <v>2908064266.8299999</v>
      </c>
      <c r="U14" s="61">
        <f t="shared" si="8"/>
        <v>3018004513.5799999</v>
      </c>
      <c r="V14" s="61">
        <f t="shared" si="8"/>
        <v>3117579031.7799997</v>
      </c>
      <c r="W14" s="61">
        <f t="shared" si="8"/>
        <v>3276131698.8299999</v>
      </c>
      <c r="X14" s="61">
        <f t="shared" si="8"/>
        <v>3338853851.4400001</v>
      </c>
      <c r="Y14" s="61">
        <f t="shared" si="8"/>
        <v>3440093810.8900003</v>
      </c>
      <c r="Z14" s="61">
        <f t="shared" si="8"/>
        <v>3422367548.0599999</v>
      </c>
      <c r="AA14" s="61">
        <f t="shared" si="8"/>
        <v>3534743491.8000002</v>
      </c>
      <c r="AB14" s="61">
        <f t="shared" si="8"/>
        <v>3615179485.9099998</v>
      </c>
      <c r="AC14" s="61">
        <f t="shared" si="8"/>
        <v>3737515123.75</v>
      </c>
      <c r="AD14" s="61">
        <f t="shared" si="8"/>
        <v>3244920590</v>
      </c>
      <c r="AE14" s="61">
        <f t="shared" si="8"/>
        <v>3251606521.8999996</v>
      </c>
      <c r="AF14" s="61">
        <f t="shared" si="8"/>
        <v>3339639908.8499999</v>
      </c>
      <c r="AG14" s="61">
        <f t="shared" si="8"/>
        <v>3427998739.4300003</v>
      </c>
      <c r="AH14" s="61">
        <f t="shared" si="8"/>
        <v>3526684938.6999998</v>
      </c>
      <c r="AI14" s="61">
        <f t="shared" si="8"/>
        <v>3624188475.1300001</v>
      </c>
      <c r="AJ14" s="61">
        <f t="shared" si="8"/>
        <v>0</v>
      </c>
      <c r="AK14" s="61">
        <f t="shared" si="8"/>
        <v>0</v>
      </c>
      <c r="AL14" s="61">
        <f t="shared" si="8"/>
        <v>0</v>
      </c>
      <c r="AM14" s="61">
        <f t="shared" si="8"/>
        <v>0</v>
      </c>
      <c r="AN14" s="61">
        <f t="shared" si="8"/>
        <v>0</v>
      </c>
      <c r="AO14" s="61">
        <f t="shared" si="8"/>
        <v>0</v>
      </c>
      <c r="AP14" s="61">
        <f t="shared" si="8"/>
        <v>0</v>
      </c>
      <c r="AQ14" s="61">
        <f t="shared" si="8"/>
        <v>0</v>
      </c>
      <c r="AR14" s="61">
        <f t="shared" si="8"/>
        <v>0</v>
      </c>
      <c r="AS14" s="61">
        <f t="shared" si="8"/>
        <v>0</v>
      </c>
      <c r="AT14" s="61">
        <f t="shared" si="8"/>
        <v>0</v>
      </c>
      <c r="AU14" s="61">
        <f t="shared" si="8"/>
        <v>0</v>
      </c>
      <c r="AV14" s="61">
        <f t="shared" si="8"/>
        <v>0</v>
      </c>
      <c r="AW14" s="61">
        <f t="shared" si="8"/>
        <v>0</v>
      </c>
      <c r="AX14" s="61">
        <f t="shared" si="8"/>
        <v>0</v>
      </c>
      <c r="AY14" s="61">
        <f t="shared" si="8"/>
        <v>0</v>
      </c>
    </row>
    <row r="15" spans="1:51" x14ac:dyDescent="0.3">
      <c r="A15" s="34" t="s">
        <v>165</v>
      </c>
      <c r="B15" s="35" t="s">
        <v>166</v>
      </c>
      <c r="C15" s="60">
        <f>'Evolutive SFP'!B39</f>
        <v>10494697</v>
      </c>
      <c r="D15" s="60">
        <f>'Evolutive SFP'!C39</f>
        <v>427075433</v>
      </c>
      <c r="E15" s="60">
        <f>'Evolutive SFP'!D39</f>
        <v>427207333.63</v>
      </c>
      <c r="F15" s="60">
        <f>'Evolutive SFP'!E39</f>
        <v>428318800.56999999</v>
      </c>
      <c r="G15" s="60">
        <f>'Evolutive SFP'!F39</f>
        <v>429157375.39999998</v>
      </c>
      <c r="H15" s="60">
        <f>'Evolutive SFP'!G39</f>
        <v>429511509.39999998</v>
      </c>
      <c r="I15" s="60">
        <f>'Evolutive SFP'!H39</f>
        <v>429735455.45999998</v>
      </c>
      <c r="J15" s="60">
        <f>'Evolutive SFP'!I39</f>
        <v>429961206.45999998</v>
      </c>
      <c r="K15" s="60">
        <f>'Evolutive SFP'!J39</f>
        <v>477692553.13</v>
      </c>
      <c r="L15" s="60">
        <f>'Evolutive SFP'!K39</f>
        <v>478197892.13</v>
      </c>
      <c r="M15" s="60">
        <f>'Evolutive SFP'!L39</f>
        <v>478286212.13</v>
      </c>
      <c r="N15" s="60">
        <f>'Evolutive SFP'!M39</f>
        <v>478688605.55000001</v>
      </c>
      <c r="O15" s="60">
        <f>'Evolutive SFP'!N39</f>
        <v>478788535.55000001</v>
      </c>
      <c r="P15" s="60">
        <f>'Evolutive SFP'!O39</f>
        <v>527440647.62</v>
      </c>
      <c r="Q15" s="60">
        <f>'Evolutive SFP'!P39</f>
        <v>527440648</v>
      </c>
      <c r="R15" s="60">
        <f>'Evolutive SFP'!Q39</f>
        <v>527706455.29000002</v>
      </c>
      <c r="S15" s="60">
        <f>'Evolutive SFP'!R39</f>
        <v>528821659.26999998</v>
      </c>
      <c r="T15" s="60">
        <f>'Evolutive SFP'!S39</f>
        <v>533927409.58999997</v>
      </c>
      <c r="U15" s="60">
        <f>'Evolutive SFP'!T39</f>
        <v>536271470.18000001</v>
      </c>
      <c r="V15" s="60">
        <f>'Evolutive SFP'!U39</f>
        <v>537017137.09000003</v>
      </c>
      <c r="W15" s="60">
        <f>'Evolutive SFP'!V39</f>
        <v>608718554.61000001</v>
      </c>
      <c r="X15" s="60">
        <f>'Evolutive SFP'!W39</f>
        <v>615236824.89999998</v>
      </c>
      <c r="Y15" s="60">
        <f>'Evolutive SFP'!X39</f>
        <v>623567958.79999995</v>
      </c>
      <c r="Z15" s="60">
        <f>'Evolutive SFP'!Y39</f>
        <v>624091135.00999999</v>
      </c>
      <c r="AA15" s="60">
        <f>'Evolutive SFP'!Z39</f>
        <v>627098476.48000002</v>
      </c>
      <c r="AB15" s="60">
        <f>'Evolutive SFP'!AA39</f>
        <v>627888418.37</v>
      </c>
      <c r="AC15" s="60">
        <f>'Evolutive SFP'!AB39</f>
        <v>725474264.59000003</v>
      </c>
      <c r="AD15" s="60">
        <f>'Evolutive SFP'!AC39</f>
        <v>725474265</v>
      </c>
      <c r="AE15" s="60">
        <f>'Evolutive SFP'!AD39</f>
        <v>726348533.35000002</v>
      </c>
      <c r="AF15" s="60">
        <f>'Evolutive SFP'!AE39</f>
        <v>726732104.42999995</v>
      </c>
      <c r="AG15" s="60">
        <f>'Evolutive SFP'!AF39</f>
        <v>728190818.32000005</v>
      </c>
      <c r="AH15" s="60">
        <f>'Evolutive SFP'!AG39</f>
        <v>730464163.04999995</v>
      </c>
      <c r="AI15" s="60">
        <f>'Evolutive SFP'!AH39</f>
        <v>731427601.04999995</v>
      </c>
      <c r="AJ15" s="60">
        <f>'Evolutive SFP'!AI39</f>
        <v>0</v>
      </c>
      <c r="AK15" s="60">
        <f>'Evolutive SFP'!AJ39</f>
        <v>0</v>
      </c>
      <c r="AL15" s="60">
        <f>'Evolutive SFP'!AK39</f>
        <v>0</v>
      </c>
      <c r="AM15" s="60">
        <f>'Evolutive SFP'!AL39</f>
        <v>0</v>
      </c>
      <c r="AN15" s="60">
        <f>'Evolutive SFP'!AM39</f>
        <v>0</v>
      </c>
      <c r="AO15" s="60">
        <f>'Evolutive SFP'!AN39</f>
        <v>0</v>
      </c>
      <c r="AP15" s="60">
        <f>'Evolutive SFP'!AO39</f>
        <v>0</v>
      </c>
      <c r="AQ15" s="60">
        <f>'Evolutive SFP'!AP39</f>
        <v>0</v>
      </c>
      <c r="AR15" s="60">
        <f>'Evolutive SFP'!AQ39</f>
        <v>0</v>
      </c>
      <c r="AS15" s="60">
        <f>'Evolutive SFP'!AR39</f>
        <v>0</v>
      </c>
      <c r="AT15" s="60">
        <f>'Evolutive SFP'!AS39</f>
        <v>0</v>
      </c>
      <c r="AU15" s="60">
        <f>'Evolutive SFP'!AT39</f>
        <v>0</v>
      </c>
      <c r="AV15" s="60">
        <f>'Evolutive SFP'!AU39</f>
        <v>0</v>
      </c>
      <c r="AW15" s="60">
        <f>'Evolutive SFP'!AV39</f>
        <v>0</v>
      </c>
      <c r="AX15" s="60">
        <f>'Evolutive SFP'!AW39</f>
        <v>0</v>
      </c>
      <c r="AY15" s="60">
        <f>'Evolutive SFP'!AX39</f>
        <v>0</v>
      </c>
    </row>
    <row r="16" spans="1:51" x14ac:dyDescent="0.3">
      <c r="A16" s="34" t="s">
        <v>167</v>
      </c>
      <c r="B16" s="36" t="s">
        <v>168</v>
      </c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</row>
    <row r="17" spans="1:51" x14ac:dyDescent="0.3">
      <c r="A17" s="34" t="s">
        <v>169</v>
      </c>
      <c r="B17" s="33" t="s">
        <v>170</v>
      </c>
      <c r="C17" s="60">
        <f>'Evolutive SFP'!B41</f>
        <v>351220</v>
      </c>
      <c r="D17" s="60">
        <f>'Evolutive SFP'!C41</f>
        <v>566196154</v>
      </c>
      <c r="E17" s="60">
        <f>'Evolutive SFP'!D41</f>
        <v>739449224</v>
      </c>
      <c r="F17" s="60">
        <f>'Evolutive SFP'!E41</f>
        <v>739449224</v>
      </c>
      <c r="G17" s="60">
        <f>'Evolutive SFP'!F41</f>
        <v>739449224</v>
      </c>
      <c r="H17" s="60">
        <f>'Evolutive SFP'!G41</f>
        <v>739449224</v>
      </c>
      <c r="I17" s="60">
        <f>'Evolutive SFP'!H41</f>
        <v>739449224</v>
      </c>
      <c r="J17" s="60">
        <f>'Evolutive SFP'!I41</f>
        <v>739449224</v>
      </c>
      <c r="K17" s="60">
        <f>'Evolutive SFP'!J41</f>
        <v>739449224</v>
      </c>
      <c r="L17" s="60">
        <f>'Evolutive SFP'!K41</f>
        <v>739449224</v>
      </c>
      <c r="M17" s="60">
        <f>'Evolutive SFP'!L41</f>
        <v>739449224</v>
      </c>
      <c r="N17" s="60">
        <f>'Evolutive SFP'!M41</f>
        <v>739449224</v>
      </c>
      <c r="O17" s="60">
        <f>'Evolutive SFP'!N41</f>
        <v>739449224</v>
      </c>
      <c r="P17" s="60">
        <f>'Evolutive SFP'!O41</f>
        <v>739757852.52999997</v>
      </c>
      <c r="Q17" s="60">
        <f>'Evolutive SFP'!P41</f>
        <v>739449224</v>
      </c>
      <c r="R17" s="60">
        <f>'Evolutive SFP'!Q41</f>
        <v>968498417.70000005</v>
      </c>
      <c r="S17" s="60">
        <f>'Evolutive SFP'!R41</f>
        <v>934082627</v>
      </c>
      <c r="T17" s="60">
        <f>'Evolutive SFP'!S41</f>
        <v>934082627</v>
      </c>
      <c r="U17" s="60">
        <f>'Evolutive SFP'!T41</f>
        <v>934082627</v>
      </c>
      <c r="V17" s="60">
        <f>'Evolutive SFP'!U41</f>
        <v>934082627</v>
      </c>
      <c r="W17" s="60">
        <f>'Evolutive SFP'!V41</f>
        <v>934082627</v>
      </c>
      <c r="X17" s="60">
        <f>'Evolutive SFP'!W41</f>
        <v>934082627</v>
      </c>
      <c r="Y17" s="60">
        <f>'Evolutive SFP'!X41</f>
        <v>934082627</v>
      </c>
      <c r="Z17" s="60">
        <f>'Evolutive SFP'!Y41</f>
        <v>934082627</v>
      </c>
      <c r="AA17" s="60">
        <f>'Evolutive SFP'!Z41</f>
        <v>934082627</v>
      </c>
      <c r="AB17" s="60">
        <f>'Evolutive SFP'!AA41</f>
        <v>934082627</v>
      </c>
      <c r="AC17" s="60">
        <f>'Evolutive SFP'!AB41</f>
        <v>934082627</v>
      </c>
      <c r="AD17" s="60">
        <f>'Evolutive SFP'!AC41</f>
        <v>934082627</v>
      </c>
      <c r="AE17" s="60">
        <f>'Evolutive SFP'!AD41</f>
        <v>1043966058</v>
      </c>
      <c r="AF17" s="60">
        <f>'Evolutive SFP'!AE41</f>
        <v>1043966058</v>
      </c>
      <c r="AG17" s="60">
        <f>'Evolutive SFP'!AF41</f>
        <v>1043966058</v>
      </c>
      <c r="AH17" s="60">
        <f>'Evolutive SFP'!AG41</f>
        <v>1043966058</v>
      </c>
      <c r="AI17" s="60">
        <f>'Evolutive SFP'!AH41</f>
        <v>1043966058</v>
      </c>
      <c r="AJ17" s="60">
        <f>'Evolutive SFP'!AI41</f>
        <v>0</v>
      </c>
      <c r="AK17" s="60">
        <f>'Evolutive SFP'!AJ41</f>
        <v>0</v>
      </c>
      <c r="AL17" s="60">
        <f>'Evolutive SFP'!AK41</f>
        <v>0</v>
      </c>
      <c r="AM17" s="60">
        <f>'Evolutive SFP'!AL41</f>
        <v>0</v>
      </c>
      <c r="AN17" s="60">
        <f>'Evolutive SFP'!AM41</f>
        <v>0</v>
      </c>
      <c r="AO17" s="60">
        <f>'Evolutive SFP'!AN41</f>
        <v>0</v>
      </c>
      <c r="AP17" s="60">
        <f>'Evolutive SFP'!AO41</f>
        <v>0</v>
      </c>
      <c r="AQ17" s="60">
        <f>'Evolutive SFP'!AP41</f>
        <v>0</v>
      </c>
      <c r="AR17" s="60">
        <f>'Evolutive SFP'!AQ41</f>
        <v>0</v>
      </c>
      <c r="AS17" s="60">
        <f>'Evolutive SFP'!AR41</f>
        <v>0</v>
      </c>
      <c r="AT17" s="60">
        <f>'Evolutive SFP'!AS41</f>
        <v>0</v>
      </c>
      <c r="AU17" s="60">
        <f>'Evolutive SFP'!AT41</f>
        <v>0</v>
      </c>
      <c r="AV17" s="60">
        <f>'Evolutive SFP'!AU41</f>
        <v>0</v>
      </c>
      <c r="AW17" s="60">
        <f>'Evolutive SFP'!AV41</f>
        <v>0</v>
      </c>
      <c r="AX17" s="60">
        <f>'Evolutive SFP'!AW41</f>
        <v>0</v>
      </c>
      <c r="AY17" s="60">
        <f>'Evolutive SFP'!AX41</f>
        <v>0</v>
      </c>
    </row>
    <row r="18" spans="1:51" x14ac:dyDescent="0.3">
      <c r="A18" s="34" t="s">
        <v>171</v>
      </c>
      <c r="B18" s="33" t="s">
        <v>172</v>
      </c>
      <c r="C18" s="60">
        <f>'Evolutive SFP'!B42</f>
        <v>3541956</v>
      </c>
      <c r="D18" s="60">
        <f>'Evolutive SFP'!C42</f>
        <v>173253070</v>
      </c>
      <c r="E18" s="60">
        <f>'Evolutive SFP'!D42</f>
        <v>79610495.430000007</v>
      </c>
      <c r="F18" s="60">
        <f>'Evolutive SFP'!E42</f>
        <v>141957394.12</v>
      </c>
      <c r="G18" s="60">
        <f>'Evolutive SFP'!F42</f>
        <v>218492785.96000001</v>
      </c>
      <c r="H18" s="60">
        <f>'Evolutive SFP'!G42</f>
        <v>304233965.87</v>
      </c>
      <c r="I18" s="60">
        <f>'Evolutive SFP'!H42</f>
        <v>384574978.55000001</v>
      </c>
      <c r="J18" s="60">
        <f>'Evolutive SFP'!I42</f>
        <v>460485234.31</v>
      </c>
      <c r="K18" s="60">
        <f>'Evolutive SFP'!J42</f>
        <v>573421025.92999995</v>
      </c>
      <c r="L18" s="60">
        <f>'Evolutive SFP'!K42</f>
        <v>673493415.86000001</v>
      </c>
      <c r="M18" s="60">
        <f>'Evolutive SFP'!L42</f>
        <v>707301193.39999998</v>
      </c>
      <c r="N18" s="60">
        <f>'Evolutive SFP'!M42</f>
        <v>782683279.04999995</v>
      </c>
      <c r="O18" s="60">
        <f>'Evolutive SFP'!N42</f>
        <v>872490370.63999999</v>
      </c>
      <c r="P18" s="60">
        <f>'Evolutive SFP'!O42</f>
        <v>933644592.36000001</v>
      </c>
      <c r="Q18" s="60">
        <f>'Evolutive SFP'!P42</f>
        <v>194633403</v>
      </c>
      <c r="R18" s="60">
        <f>'Evolutive SFP'!Q42</f>
        <v>82950292.700000003</v>
      </c>
      <c r="S18" s="60">
        <f>'Evolutive SFP'!R42</f>
        <v>154431534.58000001</v>
      </c>
      <c r="T18" s="60">
        <f>'Evolutive SFP'!S42</f>
        <v>229881541.59</v>
      </c>
      <c r="U18" s="60">
        <f>'Evolutive SFP'!T42</f>
        <v>329668473.69999999</v>
      </c>
      <c r="V18" s="60">
        <f>'Evolutive SFP'!U42</f>
        <v>421259156.63999999</v>
      </c>
      <c r="W18" s="60">
        <f>'Evolutive SFP'!V42</f>
        <v>501261914.17000002</v>
      </c>
      <c r="X18" s="60">
        <f>'Evolutive SFP'!W42</f>
        <v>560871878.01999998</v>
      </c>
      <c r="Y18" s="60">
        <f>'Evolutive SFP'!X42</f>
        <v>656512609.21000004</v>
      </c>
      <c r="Z18" s="60">
        <f>'Evolutive SFP'!Y42</f>
        <v>729418555.49000001</v>
      </c>
      <c r="AA18" s="60">
        <f>'Evolutive SFP'!Z42</f>
        <v>822196686.16999996</v>
      </c>
      <c r="AB18" s="60">
        <f>'Evolutive SFP'!AA42</f>
        <v>895640134.99000001</v>
      </c>
      <c r="AC18" s="60">
        <f>'Evolutive SFP'!AB42</f>
        <v>888930158.98000002</v>
      </c>
      <c r="AD18" s="60">
        <f>'Evolutive SFP'!AC42</f>
        <v>109883431</v>
      </c>
      <c r="AE18" s="60">
        <f>'Evolutive SFP'!AD42</f>
        <v>104643170.77</v>
      </c>
      <c r="AF18" s="60">
        <f>'Evolutive SFP'!AE42</f>
        <v>184272974.94</v>
      </c>
      <c r="AG18" s="60">
        <f>'Evolutive SFP'!AF42</f>
        <v>259959183.38</v>
      </c>
      <c r="AH18" s="60">
        <f>'Evolutive SFP'!AG42</f>
        <v>345335245.94</v>
      </c>
      <c r="AI18" s="60">
        <f>'Evolutive SFP'!AH42</f>
        <v>431852269.33999997</v>
      </c>
      <c r="AJ18" s="60">
        <f>'Evolutive SFP'!AI42</f>
        <v>0</v>
      </c>
      <c r="AK18" s="60">
        <f>'Evolutive SFP'!AJ42</f>
        <v>0</v>
      </c>
      <c r="AL18" s="60">
        <f>'Evolutive SFP'!AK42</f>
        <v>0</v>
      </c>
      <c r="AM18" s="60">
        <f>'Evolutive SFP'!AL42</f>
        <v>0</v>
      </c>
      <c r="AN18" s="60">
        <f>'Evolutive SFP'!AM42</f>
        <v>0</v>
      </c>
      <c r="AO18" s="60">
        <f>'Evolutive SFP'!AN42</f>
        <v>0</v>
      </c>
      <c r="AP18" s="60">
        <f>'Evolutive SFP'!AO42</f>
        <v>0</v>
      </c>
      <c r="AQ18" s="60">
        <f>'Evolutive SFP'!AP42</f>
        <v>0</v>
      </c>
      <c r="AR18" s="60">
        <f>'Evolutive SFP'!AQ42</f>
        <v>0</v>
      </c>
      <c r="AS18" s="60">
        <f>'Evolutive SFP'!AR42</f>
        <v>0</v>
      </c>
      <c r="AT18" s="60">
        <f>'Evolutive SFP'!AS42</f>
        <v>0</v>
      </c>
      <c r="AU18" s="60">
        <f>'Evolutive SFP'!AT42</f>
        <v>0</v>
      </c>
      <c r="AV18" s="60">
        <f>'Evolutive SFP'!AU42</f>
        <v>0</v>
      </c>
      <c r="AW18" s="60">
        <f>'Evolutive SFP'!AV42</f>
        <v>0</v>
      </c>
      <c r="AX18" s="60">
        <f>'Evolutive SFP'!AW42</f>
        <v>0</v>
      </c>
      <c r="AY18" s="60">
        <f>'Evolutive SFP'!AX42</f>
        <v>0</v>
      </c>
    </row>
    <row r="19" spans="1:51" x14ac:dyDescent="0.3">
      <c r="A19" s="34" t="s">
        <v>173</v>
      </c>
      <c r="B19" s="33" t="s">
        <v>43</v>
      </c>
      <c r="C19" s="60">
        <f>'Evolutive SFP'!B43</f>
        <v>531274</v>
      </c>
      <c r="D19" s="60">
        <f>'Evolutive SFP'!C43</f>
        <v>413899587</v>
      </c>
      <c r="E19" s="60">
        <f>'Evolutive SFP'!D43</f>
        <v>413899587</v>
      </c>
      <c r="F19" s="60">
        <f>'Evolutive SFP'!E43</f>
        <v>413899587</v>
      </c>
      <c r="G19" s="60">
        <f>'Evolutive SFP'!F43</f>
        <v>413899587</v>
      </c>
      <c r="H19" s="60">
        <f>'Evolutive SFP'!G43</f>
        <v>413899587</v>
      </c>
      <c r="I19" s="60">
        <f>'Evolutive SFP'!H43</f>
        <v>413899587</v>
      </c>
      <c r="J19" s="60">
        <f>'Evolutive SFP'!I43</f>
        <v>413899587</v>
      </c>
      <c r="K19" s="60">
        <f>'Evolutive SFP'!J43</f>
        <v>413899587</v>
      </c>
      <c r="L19" s="60">
        <f>'Evolutive SFP'!K43</f>
        <v>413899587</v>
      </c>
      <c r="M19" s="60">
        <f>'Evolutive SFP'!L43</f>
        <v>413899587</v>
      </c>
      <c r="N19" s="60">
        <f>'Evolutive SFP'!M43</f>
        <v>413899587</v>
      </c>
      <c r="O19" s="60">
        <f>'Evolutive SFP'!N43</f>
        <v>413899587</v>
      </c>
      <c r="P19" s="60">
        <f>'Evolutive SFP'!O43</f>
        <v>413899587</v>
      </c>
      <c r="Q19" s="60">
        <f>'Evolutive SFP'!P43</f>
        <v>506776281</v>
      </c>
      <c r="R19" s="60">
        <f>'Evolutive SFP'!Q43</f>
        <v>506776281</v>
      </c>
      <c r="S19" s="60">
        <f>'Evolutive SFP'!R43</f>
        <v>506776281</v>
      </c>
      <c r="T19" s="60">
        <f>'Evolutive SFP'!S43</f>
        <v>506776281</v>
      </c>
      <c r="U19" s="60">
        <f>'Evolutive SFP'!T43</f>
        <v>506776281</v>
      </c>
      <c r="V19" s="60">
        <f>'Evolutive SFP'!U43</f>
        <v>506776281</v>
      </c>
      <c r="W19" s="60">
        <f>'Evolutive SFP'!V43</f>
        <v>506776281</v>
      </c>
      <c r="X19" s="60">
        <f>'Evolutive SFP'!W43</f>
        <v>506776281</v>
      </c>
      <c r="Y19" s="60">
        <f>'Evolutive SFP'!X43</f>
        <v>506776281</v>
      </c>
      <c r="Z19" s="60">
        <f>'Evolutive SFP'!Y43</f>
        <v>506776281</v>
      </c>
      <c r="AA19" s="60">
        <f>'Evolutive SFP'!Z43</f>
        <v>506776281</v>
      </c>
      <c r="AB19" s="60">
        <f>'Evolutive SFP'!AA43</f>
        <v>506776281</v>
      </c>
      <c r="AC19" s="60">
        <f>'Evolutive SFP'!AB43</f>
        <v>506776281</v>
      </c>
      <c r="AD19" s="60">
        <f>'Evolutive SFP'!AC43</f>
        <v>586186303</v>
      </c>
      <c r="AE19" s="60">
        <f>'Evolutive SFP'!AD43</f>
        <v>586186303</v>
      </c>
      <c r="AF19" s="60">
        <f>'Evolutive SFP'!AE43</f>
        <v>586186303</v>
      </c>
      <c r="AG19" s="60">
        <f>'Evolutive SFP'!AF43</f>
        <v>586186303</v>
      </c>
      <c r="AH19" s="60">
        <f>'Evolutive SFP'!AG43</f>
        <v>586186303</v>
      </c>
      <c r="AI19" s="60">
        <f>'Evolutive SFP'!AH43</f>
        <v>586186303</v>
      </c>
      <c r="AJ19" s="60">
        <f>'Evolutive SFP'!AI43</f>
        <v>0</v>
      </c>
      <c r="AK19" s="60">
        <f>'Evolutive SFP'!AJ43</f>
        <v>0</v>
      </c>
      <c r="AL19" s="60">
        <f>'Evolutive SFP'!AK43</f>
        <v>0</v>
      </c>
      <c r="AM19" s="60">
        <f>'Evolutive SFP'!AL43</f>
        <v>0</v>
      </c>
      <c r="AN19" s="60">
        <f>'Evolutive SFP'!AM43</f>
        <v>0</v>
      </c>
      <c r="AO19" s="60">
        <f>'Evolutive SFP'!AN43</f>
        <v>0</v>
      </c>
      <c r="AP19" s="60">
        <f>'Evolutive SFP'!AO43</f>
        <v>0</v>
      </c>
      <c r="AQ19" s="60">
        <f>'Evolutive SFP'!AP43</f>
        <v>0</v>
      </c>
      <c r="AR19" s="60">
        <f>'Evolutive SFP'!AQ43</f>
        <v>0</v>
      </c>
      <c r="AS19" s="60">
        <f>'Evolutive SFP'!AR43</f>
        <v>0</v>
      </c>
      <c r="AT19" s="60">
        <f>'Evolutive SFP'!AS43</f>
        <v>0</v>
      </c>
      <c r="AU19" s="60">
        <f>'Evolutive SFP'!AT43</f>
        <v>0</v>
      </c>
      <c r="AV19" s="60">
        <f>'Evolutive SFP'!AU43</f>
        <v>0</v>
      </c>
      <c r="AW19" s="60">
        <f>'Evolutive SFP'!AV43</f>
        <v>0</v>
      </c>
      <c r="AX19" s="60">
        <f>'Evolutive SFP'!AW43</f>
        <v>0</v>
      </c>
      <c r="AY19" s="60">
        <f>'Evolutive SFP'!AX43</f>
        <v>0</v>
      </c>
    </row>
    <row r="20" spans="1:51" x14ac:dyDescent="0.3">
      <c r="A20" s="34" t="s">
        <v>174</v>
      </c>
      <c r="B20" s="33" t="s">
        <v>175</v>
      </c>
      <c r="C20" s="60">
        <f>('Evolutive SFP'!B44)</f>
        <v>0</v>
      </c>
      <c r="D20" s="60">
        <f>('Evolutive SFP'!C44)</f>
        <v>577648161</v>
      </c>
      <c r="E20" s="60">
        <f>('Evolutive SFP'!D44)</f>
        <v>573649946.78999996</v>
      </c>
      <c r="F20" s="60">
        <f>('Evolutive SFP'!E44)</f>
        <v>522096296.06999999</v>
      </c>
      <c r="G20" s="60">
        <f>('Evolutive SFP'!F44)</f>
        <v>561247018.64999998</v>
      </c>
      <c r="H20" s="60">
        <f>('Evolutive SFP'!G44)</f>
        <v>565898709.62</v>
      </c>
      <c r="I20" s="60">
        <f>('Evolutive SFP'!H44)</f>
        <v>569746418.88</v>
      </c>
      <c r="J20" s="60">
        <f>('Evolutive SFP'!I44)</f>
        <v>527045046.06999999</v>
      </c>
      <c r="K20" s="60">
        <f>('Evolutive SFP'!J44)</f>
        <v>531635859.73000002</v>
      </c>
      <c r="L20" s="60">
        <f>('Evolutive SFP'!K44)</f>
        <v>536134893.06999999</v>
      </c>
      <c r="M20" s="60">
        <f>('Evolutive SFP'!L44)</f>
        <v>540749017.00999999</v>
      </c>
      <c r="N20" s="60">
        <f>('Evolutive SFP'!M44)</f>
        <v>569125207.69000006</v>
      </c>
      <c r="O20" s="60">
        <f>('Evolutive SFP'!N44)</f>
        <v>573868271.70000005</v>
      </c>
      <c r="P20" s="60">
        <f>('Evolutive SFP'!O44)</f>
        <v>591438436.34000003</v>
      </c>
      <c r="Q20" s="60">
        <f>('Evolutive SFP'!P44)</f>
        <v>684514426</v>
      </c>
      <c r="R20" s="60">
        <f>('Evolutive SFP'!Q44)</f>
        <v>688768546.64999998</v>
      </c>
      <c r="S20" s="60">
        <f>('Evolutive SFP'!R44)</f>
        <v>693496845.03999996</v>
      </c>
      <c r="T20" s="60">
        <f>('Evolutive SFP'!S44)</f>
        <v>703396407.64999998</v>
      </c>
      <c r="U20" s="60">
        <f>('Evolutive SFP'!T44)</f>
        <v>711205661.70000005</v>
      </c>
      <c r="V20" s="60">
        <f>('Evolutive SFP'!U44)</f>
        <v>718443830.04999995</v>
      </c>
      <c r="W20" s="60">
        <f>('Evolutive SFP'!V44)</f>
        <v>725292322.04999995</v>
      </c>
      <c r="X20" s="60">
        <f>('Evolutive SFP'!W44)</f>
        <v>721886240.51999998</v>
      </c>
      <c r="Y20" s="60">
        <f>('Evolutive SFP'!X44)</f>
        <v>719154334.88</v>
      </c>
      <c r="Z20" s="60">
        <f>('Evolutive SFP'!Y44)</f>
        <v>627998949.55999994</v>
      </c>
      <c r="AA20" s="60">
        <f>('Evolutive SFP'!Z44)</f>
        <v>644589421.14999998</v>
      </c>
      <c r="AB20" s="60">
        <f>('Evolutive SFP'!AA44)</f>
        <v>650792024.54999995</v>
      </c>
      <c r="AC20" s="60">
        <f>('Evolutive SFP'!AB44)</f>
        <v>682251792.17999995</v>
      </c>
      <c r="AD20" s="60">
        <f>('Evolutive SFP'!AC44)</f>
        <v>784131791</v>
      </c>
      <c r="AE20" s="60">
        <f>('Evolutive SFP'!AD44)</f>
        <v>790462456.77999997</v>
      </c>
      <c r="AF20" s="60">
        <f>('Evolutive SFP'!AE44)</f>
        <v>798482468.48000002</v>
      </c>
      <c r="AG20" s="60">
        <f>('Evolutive SFP'!AF44)</f>
        <v>809696376.73000002</v>
      </c>
      <c r="AH20" s="60">
        <f>('Evolutive SFP'!AG44)</f>
        <v>820733168.71000004</v>
      </c>
      <c r="AI20" s="60">
        <f>('Evolutive SFP'!AH44)</f>
        <v>830756243.74000001</v>
      </c>
      <c r="AJ20" s="60">
        <f>('Evolutive SFP'!AI44)</f>
        <v>0</v>
      </c>
      <c r="AK20" s="60">
        <f>('Evolutive SFP'!AJ44)</f>
        <v>0</v>
      </c>
      <c r="AL20" s="60">
        <f>('Evolutive SFP'!AK44)</f>
        <v>0</v>
      </c>
      <c r="AM20" s="60">
        <f>('Evolutive SFP'!AL44)</f>
        <v>0</v>
      </c>
      <c r="AN20" s="60">
        <f>('Evolutive SFP'!AM44)</f>
        <v>0</v>
      </c>
      <c r="AO20" s="60">
        <f>('Evolutive SFP'!AN44)</f>
        <v>0</v>
      </c>
      <c r="AP20" s="60">
        <f>('Evolutive SFP'!AO44)</f>
        <v>0</v>
      </c>
      <c r="AQ20" s="60">
        <f>('Evolutive SFP'!AP44)</f>
        <v>0</v>
      </c>
      <c r="AR20" s="60">
        <f>('Evolutive SFP'!AQ44)</f>
        <v>0</v>
      </c>
      <c r="AS20" s="60">
        <f>('Evolutive SFP'!AR44)</f>
        <v>0</v>
      </c>
      <c r="AT20" s="60">
        <f>('Evolutive SFP'!AS44)</f>
        <v>0</v>
      </c>
      <c r="AU20" s="60">
        <f>('Evolutive SFP'!AT44)</f>
        <v>0</v>
      </c>
      <c r="AV20" s="60">
        <f>('Evolutive SFP'!AU44)</f>
        <v>0</v>
      </c>
      <c r="AW20" s="60">
        <f>('Evolutive SFP'!AV44)</f>
        <v>0</v>
      </c>
      <c r="AX20" s="60">
        <f>('Evolutive SFP'!AW44)</f>
        <v>0</v>
      </c>
      <c r="AY20" s="60">
        <f>('Evolutive SFP'!AX44)</f>
        <v>0</v>
      </c>
    </row>
    <row r="21" spans="1:51" x14ac:dyDescent="0.3">
      <c r="A21" s="34" t="s">
        <v>176</v>
      </c>
      <c r="B21" s="37" t="s">
        <v>177</v>
      </c>
      <c r="C21" s="60">
        <f>C22+C23</f>
        <v>0</v>
      </c>
      <c r="D21" s="60">
        <f>D22+D23</f>
        <v>59787019</v>
      </c>
      <c r="E21" s="60">
        <f>E22+E23</f>
        <v>0</v>
      </c>
      <c r="F21" s="60">
        <f>F22+F23</f>
        <v>0</v>
      </c>
      <c r="G21" s="60">
        <f t="shared" ref="G21" si="9">G22+G23</f>
        <v>0</v>
      </c>
      <c r="H21" s="60">
        <f>H22+H23</f>
        <v>0</v>
      </c>
      <c r="I21" s="60">
        <f>I22+I23</f>
        <v>0</v>
      </c>
      <c r="J21" s="60">
        <f t="shared" ref="J21:P21" si="10">J22+J23</f>
        <v>0</v>
      </c>
      <c r="K21" s="60">
        <f t="shared" si="10"/>
        <v>0</v>
      </c>
      <c r="L21" s="60">
        <f t="shared" si="10"/>
        <v>0</v>
      </c>
      <c r="M21" s="60">
        <f t="shared" si="10"/>
        <v>0</v>
      </c>
      <c r="N21" s="60">
        <f t="shared" si="10"/>
        <v>0</v>
      </c>
      <c r="O21" s="60">
        <f t="shared" si="10"/>
        <v>0</v>
      </c>
      <c r="P21" s="60">
        <f t="shared" si="10"/>
        <v>0</v>
      </c>
      <c r="Q21" s="60">
        <f t="shared" ref="Q21:AY21" si="11">Q22+Q23</f>
        <v>73816323</v>
      </c>
      <c r="R21" s="60">
        <f t="shared" si="11"/>
        <v>0</v>
      </c>
      <c r="S21" s="60">
        <f t="shared" si="11"/>
        <v>0</v>
      </c>
      <c r="T21" s="60">
        <f t="shared" si="11"/>
        <v>0</v>
      </c>
      <c r="U21" s="60">
        <f t="shared" si="11"/>
        <v>0</v>
      </c>
      <c r="V21" s="60">
        <f t="shared" si="11"/>
        <v>0</v>
      </c>
      <c r="W21" s="60">
        <f t="shared" si="11"/>
        <v>0</v>
      </c>
      <c r="X21" s="60">
        <f t="shared" si="11"/>
        <v>0</v>
      </c>
      <c r="Y21" s="60">
        <f t="shared" si="11"/>
        <v>0</v>
      </c>
      <c r="Z21" s="60">
        <f t="shared" si="11"/>
        <v>0</v>
      </c>
      <c r="AA21" s="60">
        <f t="shared" si="11"/>
        <v>0</v>
      </c>
      <c r="AB21" s="60">
        <f t="shared" si="11"/>
        <v>0</v>
      </c>
      <c r="AC21" s="60">
        <f t="shared" si="11"/>
        <v>0</v>
      </c>
      <c r="AD21" s="60">
        <f t="shared" si="11"/>
        <v>105162173</v>
      </c>
      <c r="AE21" s="60">
        <f t="shared" si="11"/>
        <v>0</v>
      </c>
      <c r="AF21" s="60">
        <f t="shared" si="11"/>
        <v>0</v>
      </c>
      <c r="AG21" s="60">
        <f t="shared" si="11"/>
        <v>0</v>
      </c>
      <c r="AH21" s="60">
        <f t="shared" si="11"/>
        <v>0</v>
      </c>
      <c r="AI21" s="60">
        <f t="shared" si="11"/>
        <v>0</v>
      </c>
      <c r="AJ21" s="60">
        <f t="shared" si="11"/>
        <v>0</v>
      </c>
      <c r="AK21" s="60">
        <f t="shared" si="11"/>
        <v>0</v>
      </c>
      <c r="AL21" s="60">
        <f t="shared" si="11"/>
        <v>0</v>
      </c>
      <c r="AM21" s="60">
        <f t="shared" si="11"/>
        <v>0</v>
      </c>
      <c r="AN21" s="60">
        <f t="shared" si="11"/>
        <v>0</v>
      </c>
      <c r="AO21" s="60">
        <f t="shared" si="11"/>
        <v>0</v>
      </c>
      <c r="AP21" s="60">
        <f t="shared" si="11"/>
        <v>0</v>
      </c>
      <c r="AQ21" s="60">
        <f t="shared" si="11"/>
        <v>0</v>
      </c>
      <c r="AR21" s="60">
        <f t="shared" si="11"/>
        <v>0</v>
      </c>
      <c r="AS21" s="60">
        <f t="shared" si="11"/>
        <v>0</v>
      </c>
      <c r="AT21" s="60">
        <f t="shared" si="11"/>
        <v>0</v>
      </c>
      <c r="AU21" s="60">
        <f t="shared" si="11"/>
        <v>0</v>
      </c>
      <c r="AV21" s="60">
        <f t="shared" si="11"/>
        <v>0</v>
      </c>
      <c r="AW21" s="60">
        <f t="shared" si="11"/>
        <v>0</v>
      </c>
      <c r="AX21" s="60">
        <f t="shared" si="11"/>
        <v>0</v>
      </c>
      <c r="AY21" s="60">
        <f t="shared" si="11"/>
        <v>0</v>
      </c>
    </row>
    <row r="22" spans="1:51" x14ac:dyDescent="0.3">
      <c r="A22" s="38" t="s">
        <v>178</v>
      </c>
      <c r="B22" s="33" t="s">
        <v>46</v>
      </c>
      <c r="C22" s="60">
        <f>'Evolutive SFP'!B46</f>
        <v>0</v>
      </c>
      <c r="D22" s="60">
        <f>'Evolutive SFP'!C46</f>
        <v>59787019</v>
      </c>
      <c r="E22" s="60">
        <f>'Evolutive SFP'!D46</f>
        <v>0</v>
      </c>
      <c r="F22" s="60">
        <f>'Evolutive SFP'!E46</f>
        <v>0</v>
      </c>
      <c r="G22" s="60">
        <f>'Evolutive SFP'!F46</f>
        <v>0</v>
      </c>
      <c r="H22" s="60">
        <f>'Evolutive SFP'!G46</f>
        <v>0</v>
      </c>
      <c r="I22" s="60">
        <f>'Evolutive SFP'!H46</f>
        <v>0</v>
      </c>
      <c r="J22" s="60">
        <f>'Evolutive SFP'!I46</f>
        <v>0</v>
      </c>
      <c r="K22" s="60">
        <f>'Evolutive SFP'!J46</f>
        <v>0</v>
      </c>
      <c r="L22" s="60">
        <f>'Evolutive SFP'!K46</f>
        <v>0</v>
      </c>
      <c r="M22" s="60">
        <f>'Evolutive SFP'!L46</f>
        <v>0</v>
      </c>
      <c r="N22" s="60">
        <f>'Evolutive SFP'!M46</f>
        <v>0</v>
      </c>
      <c r="O22" s="60">
        <f>'Evolutive SFP'!N46</f>
        <v>0</v>
      </c>
      <c r="P22" s="60">
        <f>'Evolutive SFP'!O46</f>
        <v>0</v>
      </c>
      <c r="Q22" s="60">
        <f>'Evolutive SFP'!P46</f>
        <v>73816323</v>
      </c>
      <c r="R22" s="60">
        <f>'Evolutive SFP'!Q46</f>
        <v>0</v>
      </c>
      <c r="S22" s="60">
        <f>'Evolutive SFP'!R46</f>
        <v>0</v>
      </c>
      <c r="T22" s="60">
        <f>'Evolutive SFP'!S46</f>
        <v>0</v>
      </c>
      <c r="U22" s="60">
        <f>'Evolutive SFP'!T46</f>
        <v>0</v>
      </c>
      <c r="V22" s="60">
        <f>'Evolutive SFP'!U46</f>
        <v>0</v>
      </c>
      <c r="W22" s="60">
        <f>'Evolutive SFP'!V46</f>
        <v>0</v>
      </c>
      <c r="X22" s="60">
        <f>'Evolutive SFP'!W46</f>
        <v>0</v>
      </c>
      <c r="Y22" s="60">
        <f>'Evolutive SFP'!X46</f>
        <v>0</v>
      </c>
      <c r="Z22" s="60">
        <f>'Evolutive SFP'!Y46</f>
        <v>0</v>
      </c>
      <c r="AA22" s="60">
        <f>'Evolutive SFP'!Z46</f>
        <v>0</v>
      </c>
      <c r="AB22" s="60">
        <f>'Evolutive SFP'!AA46</f>
        <v>0</v>
      </c>
      <c r="AC22" s="60">
        <f>'Evolutive SFP'!AB46</f>
        <v>0</v>
      </c>
      <c r="AD22" s="60">
        <f>'Evolutive SFP'!AC46</f>
        <v>105162173</v>
      </c>
      <c r="AE22" s="60">
        <f>'Evolutive SFP'!AD46</f>
        <v>0</v>
      </c>
      <c r="AF22" s="60">
        <f>'Evolutive SFP'!AE46</f>
        <v>0</v>
      </c>
      <c r="AG22" s="60">
        <f>'Evolutive SFP'!AF46</f>
        <v>0</v>
      </c>
      <c r="AH22" s="60">
        <f>'Evolutive SFP'!AG46</f>
        <v>0</v>
      </c>
      <c r="AI22" s="60">
        <f>'Evolutive SFP'!AH46</f>
        <v>0</v>
      </c>
      <c r="AJ22" s="60">
        <f>'Evolutive SFP'!AI46</f>
        <v>0</v>
      </c>
      <c r="AK22" s="60">
        <f>'Evolutive SFP'!AJ46</f>
        <v>0</v>
      </c>
      <c r="AL22" s="60">
        <f>'Evolutive SFP'!AK46</f>
        <v>0</v>
      </c>
      <c r="AM22" s="60">
        <f>'Evolutive SFP'!AL46</f>
        <v>0</v>
      </c>
      <c r="AN22" s="60">
        <f>'Evolutive SFP'!AM46</f>
        <v>0</v>
      </c>
      <c r="AO22" s="60">
        <f>'Evolutive SFP'!AN46</f>
        <v>0</v>
      </c>
      <c r="AP22" s="60">
        <f>'Evolutive SFP'!AO46</f>
        <v>0</v>
      </c>
      <c r="AQ22" s="60">
        <f>'Evolutive SFP'!AP46</f>
        <v>0</v>
      </c>
      <c r="AR22" s="60">
        <f>'Evolutive SFP'!AQ46</f>
        <v>0</v>
      </c>
      <c r="AS22" s="60">
        <f>'Evolutive SFP'!AR46</f>
        <v>0</v>
      </c>
      <c r="AT22" s="60">
        <f>'Evolutive SFP'!AS46</f>
        <v>0</v>
      </c>
      <c r="AU22" s="60">
        <f>'Evolutive SFP'!AT46</f>
        <v>0</v>
      </c>
      <c r="AV22" s="60">
        <f>'Evolutive SFP'!AU46</f>
        <v>0</v>
      </c>
      <c r="AW22" s="60">
        <f>'Evolutive SFP'!AV46</f>
        <v>0</v>
      </c>
      <c r="AX22" s="60">
        <f>'Evolutive SFP'!AW46</f>
        <v>0</v>
      </c>
      <c r="AY22" s="60">
        <f>'Evolutive SFP'!AX46</f>
        <v>0</v>
      </c>
    </row>
    <row r="23" spans="1:51" x14ac:dyDescent="0.3">
      <c r="A23" s="38" t="s">
        <v>179</v>
      </c>
      <c r="B23" s="33" t="s">
        <v>180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</row>
    <row r="24" spans="1:51" x14ac:dyDescent="0.3">
      <c r="A24" s="32"/>
      <c r="B24" s="39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</row>
    <row r="25" spans="1:51" s="29" customFormat="1" x14ac:dyDescent="0.3">
      <c r="A25" s="42">
        <v>6</v>
      </c>
      <c r="B25" s="37" t="s">
        <v>181</v>
      </c>
      <c r="C25" s="61">
        <f>C26+C27+C28</f>
        <v>472260</v>
      </c>
      <c r="D25" s="61">
        <f>D26+D27+D28</f>
        <v>157412388</v>
      </c>
      <c r="E25" s="61">
        <f>E26+E27+E28</f>
        <v>157412388.30000001</v>
      </c>
      <c r="F25" s="61">
        <f>F26+F27+F28</f>
        <v>157412388.30000001</v>
      </c>
      <c r="G25" s="61">
        <f t="shared" ref="G25" si="12">G26+G27+G28</f>
        <v>157412388.30000001</v>
      </c>
      <c r="H25" s="61">
        <f>H26+H27+H28</f>
        <v>157412388.30000001</v>
      </c>
      <c r="I25" s="61">
        <f>I26+I27+I28</f>
        <v>157412388.30000001</v>
      </c>
      <c r="J25" s="61">
        <f t="shared" ref="J25:P25" si="13">J26+J27+J28</f>
        <v>157412388.30000001</v>
      </c>
      <c r="K25" s="61">
        <f t="shared" si="13"/>
        <v>157412388.30000001</v>
      </c>
      <c r="L25" s="61">
        <f t="shared" si="13"/>
        <v>157412388.30000001</v>
      </c>
      <c r="M25" s="61">
        <f t="shared" si="13"/>
        <v>167412388.30000001</v>
      </c>
      <c r="N25" s="61">
        <f t="shared" si="13"/>
        <v>167412388.30000001</v>
      </c>
      <c r="O25" s="61">
        <f t="shared" si="13"/>
        <v>167412388.30000001</v>
      </c>
      <c r="P25" s="61">
        <f t="shared" si="13"/>
        <v>167418568.30000001</v>
      </c>
      <c r="Q25" s="61">
        <f t="shared" ref="Q25:AY25" si="14">Q26+Q27+Q28</f>
        <v>32006498</v>
      </c>
      <c r="R25" s="61">
        <f t="shared" si="14"/>
        <v>169843043.30000001</v>
      </c>
      <c r="S25" s="61">
        <f t="shared" si="14"/>
        <v>169843043.30000001</v>
      </c>
      <c r="T25" s="61">
        <f t="shared" si="14"/>
        <v>169843043.30000001</v>
      </c>
      <c r="U25" s="61">
        <f t="shared" si="14"/>
        <v>169843043.30000001</v>
      </c>
      <c r="V25" s="61">
        <f t="shared" si="14"/>
        <v>169843043.30000001</v>
      </c>
      <c r="W25" s="61">
        <f t="shared" si="14"/>
        <v>169843043.30000001</v>
      </c>
      <c r="X25" s="61">
        <f t="shared" si="14"/>
        <v>169843043.30000001</v>
      </c>
      <c r="Y25" s="61">
        <f t="shared" si="14"/>
        <v>169843043.30000001</v>
      </c>
      <c r="Z25" s="61">
        <f t="shared" si="14"/>
        <v>172943043.30000001</v>
      </c>
      <c r="AA25" s="61">
        <f t="shared" si="14"/>
        <v>171874411.30000001</v>
      </c>
      <c r="AB25" s="61">
        <f t="shared" si="14"/>
        <v>171874411.30000001</v>
      </c>
      <c r="AC25" s="61">
        <f t="shared" si="14"/>
        <v>172959313.30000001</v>
      </c>
      <c r="AD25" s="61">
        <f t="shared" si="14"/>
        <v>32227716</v>
      </c>
      <c r="AE25" s="61">
        <f t="shared" si="14"/>
        <v>0</v>
      </c>
      <c r="AF25" s="61">
        <f t="shared" si="14"/>
        <v>0</v>
      </c>
      <c r="AG25" s="61">
        <f t="shared" si="14"/>
        <v>0</v>
      </c>
      <c r="AH25" s="61">
        <f t="shared" si="14"/>
        <v>0</v>
      </c>
      <c r="AI25" s="61">
        <f t="shared" si="14"/>
        <v>0</v>
      </c>
      <c r="AJ25" s="61">
        <f t="shared" si="14"/>
        <v>0</v>
      </c>
      <c r="AK25" s="61">
        <f t="shared" si="14"/>
        <v>0</v>
      </c>
      <c r="AL25" s="61">
        <f t="shared" si="14"/>
        <v>0</v>
      </c>
      <c r="AM25" s="61">
        <f t="shared" si="14"/>
        <v>0</v>
      </c>
      <c r="AN25" s="61">
        <f t="shared" si="14"/>
        <v>0</v>
      </c>
      <c r="AO25" s="61">
        <f t="shared" si="14"/>
        <v>0</v>
      </c>
      <c r="AP25" s="61">
        <f t="shared" si="14"/>
        <v>0</v>
      </c>
      <c r="AQ25" s="61">
        <f t="shared" si="14"/>
        <v>0</v>
      </c>
      <c r="AR25" s="61">
        <f t="shared" si="14"/>
        <v>0</v>
      </c>
      <c r="AS25" s="61">
        <f t="shared" si="14"/>
        <v>0</v>
      </c>
      <c r="AT25" s="61">
        <f t="shared" si="14"/>
        <v>0</v>
      </c>
      <c r="AU25" s="61">
        <f t="shared" si="14"/>
        <v>0</v>
      </c>
      <c r="AV25" s="61">
        <f t="shared" si="14"/>
        <v>0</v>
      </c>
      <c r="AW25" s="61">
        <f t="shared" si="14"/>
        <v>0</v>
      </c>
      <c r="AX25" s="61">
        <f t="shared" si="14"/>
        <v>0</v>
      </c>
      <c r="AY25" s="61">
        <f t="shared" si="14"/>
        <v>0</v>
      </c>
    </row>
    <row r="26" spans="1:51" x14ac:dyDescent="0.3">
      <c r="A26" s="34">
        <v>6.1</v>
      </c>
      <c r="B26" s="33" t="s">
        <v>182</v>
      </c>
      <c r="C26" s="60">
        <f>'Evolutive SFP'!B13</f>
        <v>472260</v>
      </c>
      <c r="D26" s="60">
        <f>'Evolutive SFP'!C13</f>
        <v>31989318</v>
      </c>
      <c r="E26" s="60">
        <f>'Evolutive SFP'!D13</f>
        <v>157412388.30000001</v>
      </c>
      <c r="F26" s="60">
        <f>'Evolutive SFP'!E13</f>
        <v>157412388.30000001</v>
      </c>
      <c r="G26" s="60">
        <f>'Evolutive SFP'!F13</f>
        <v>157412388.30000001</v>
      </c>
      <c r="H26" s="60">
        <f>'Evolutive SFP'!G13</f>
        <v>157412388.30000001</v>
      </c>
      <c r="I26" s="60">
        <f>'Evolutive SFP'!H13</f>
        <v>157412388.30000001</v>
      </c>
      <c r="J26" s="60">
        <f>'Evolutive SFP'!I13</f>
        <v>157412388.30000001</v>
      </c>
      <c r="K26" s="60">
        <f>'Evolutive SFP'!J13</f>
        <v>157412388.30000001</v>
      </c>
      <c r="L26" s="60">
        <f>'Evolutive SFP'!K13</f>
        <v>157412388.30000001</v>
      </c>
      <c r="M26" s="60">
        <f>'Evolutive SFP'!L13</f>
        <v>167412388.30000001</v>
      </c>
      <c r="N26" s="60">
        <f>'Evolutive SFP'!M13</f>
        <v>167412388.30000001</v>
      </c>
      <c r="O26" s="60">
        <f>'Evolutive SFP'!N13</f>
        <v>167412388.30000001</v>
      </c>
      <c r="P26" s="60">
        <f>'Evolutive SFP'!O13</f>
        <v>167418568.30000001</v>
      </c>
      <c r="Q26" s="60">
        <f>'Evolutive SFP'!P13</f>
        <v>32006498</v>
      </c>
      <c r="R26" s="60">
        <f>'Evolutive SFP'!Q13</f>
        <v>169843043.30000001</v>
      </c>
      <c r="S26" s="60">
        <f>'Evolutive SFP'!R13</f>
        <v>169843043.30000001</v>
      </c>
      <c r="T26" s="60">
        <f>'Evolutive SFP'!S13</f>
        <v>169843043.30000001</v>
      </c>
      <c r="U26" s="60">
        <f>'Evolutive SFP'!T13</f>
        <v>169843043.30000001</v>
      </c>
      <c r="V26" s="60">
        <f>'Evolutive SFP'!U13</f>
        <v>169843043.30000001</v>
      </c>
      <c r="W26" s="60">
        <f>'Evolutive SFP'!V13</f>
        <v>169843043.30000001</v>
      </c>
      <c r="X26" s="60">
        <f>'Evolutive SFP'!W13</f>
        <v>169843043.30000001</v>
      </c>
      <c r="Y26" s="60">
        <f>'Evolutive SFP'!X13</f>
        <v>169843043.30000001</v>
      </c>
      <c r="Z26" s="60">
        <f>'Evolutive SFP'!Y13</f>
        <v>172943043.30000001</v>
      </c>
      <c r="AA26" s="60">
        <f>'Evolutive SFP'!Z13</f>
        <v>171874411.30000001</v>
      </c>
      <c r="AB26" s="60">
        <f>'Evolutive SFP'!AA13</f>
        <v>171874411.30000001</v>
      </c>
      <c r="AC26" s="60">
        <f>'Evolutive SFP'!AB13</f>
        <v>172959313.30000001</v>
      </c>
      <c r="AD26" s="60">
        <f>'Evolutive SFP'!AC13</f>
        <v>32227716</v>
      </c>
      <c r="AE26" s="60">
        <f>'Evolutive SFP'!AD13</f>
        <v>0</v>
      </c>
      <c r="AF26" s="60">
        <f>'Evolutive SFP'!AE13</f>
        <v>0</v>
      </c>
      <c r="AG26" s="60">
        <f>'Evolutive SFP'!AF13</f>
        <v>0</v>
      </c>
      <c r="AH26" s="60">
        <f>'Evolutive SFP'!AG13</f>
        <v>0</v>
      </c>
      <c r="AI26" s="60">
        <f>'Evolutive SFP'!AH13</f>
        <v>0</v>
      </c>
      <c r="AJ26" s="60">
        <f>'Evolutive SFP'!AI13</f>
        <v>0</v>
      </c>
      <c r="AK26" s="60">
        <f>'Evolutive SFP'!AJ13</f>
        <v>0</v>
      </c>
      <c r="AL26" s="60">
        <f>'Evolutive SFP'!AK13</f>
        <v>0</v>
      </c>
      <c r="AM26" s="60">
        <f>'Evolutive SFP'!AL13</f>
        <v>0</v>
      </c>
      <c r="AN26" s="60">
        <f>'Evolutive SFP'!AM13</f>
        <v>0</v>
      </c>
      <c r="AO26" s="60">
        <f>'Evolutive SFP'!AN13</f>
        <v>0</v>
      </c>
      <c r="AP26" s="60">
        <f>'Evolutive SFP'!AO13</f>
        <v>0</v>
      </c>
      <c r="AQ26" s="60">
        <f>'Evolutive SFP'!AP13</f>
        <v>0</v>
      </c>
      <c r="AR26" s="60">
        <f>'Evolutive SFP'!AQ13</f>
        <v>0</v>
      </c>
      <c r="AS26" s="60">
        <f>'Evolutive SFP'!AR13</f>
        <v>0</v>
      </c>
      <c r="AT26" s="60">
        <f>'Evolutive SFP'!AS13</f>
        <v>0</v>
      </c>
      <c r="AU26" s="60">
        <f>'Evolutive SFP'!AT13</f>
        <v>0</v>
      </c>
      <c r="AV26" s="60">
        <f>'Evolutive SFP'!AU13</f>
        <v>0</v>
      </c>
      <c r="AW26" s="60">
        <f>'Evolutive SFP'!AV13</f>
        <v>0</v>
      </c>
      <c r="AX26" s="60">
        <f>'Evolutive SFP'!AW13</f>
        <v>0</v>
      </c>
      <c r="AY26" s="60">
        <f>'Evolutive SFP'!AX13</f>
        <v>0</v>
      </c>
    </row>
    <row r="27" spans="1:51" x14ac:dyDescent="0.3">
      <c r="A27" s="34">
        <v>6.2</v>
      </c>
      <c r="B27" s="33" t="s">
        <v>183</v>
      </c>
      <c r="C27" s="60">
        <f>'Evolutive SFP'!B10</f>
        <v>0</v>
      </c>
      <c r="D27" s="60">
        <f>'Evolutive SFP'!C10</f>
        <v>0</v>
      </c>
      <c r="E27" s="60">
        <f>'Evolutive SFP'!D10</f>
        <v>0</v>
      </c>
      <c r="F27" s="60">
        <f>'Evolutive SFP'!E10</f>
        <v>0</v>
      </c>
      <c r="G27" s="60">
        <f>'Evolutive SFP'!F10</f>
        <v>0</v>
      </c>
      <c r="H27" s="60">
        <f>'Evolutive SFP'!G10</f>
        <v>0</v>
      </c>
      <c r="I27" s="60">
        <f>'Evolutive SFP'!H10</f>
        <v>0</v>
      </c>
      <c r="J27" s="60">
        <f>'Evolutive SFP'!I10</f>
        <v>0</v>
      </c>
      <c r="K27" s="60">
        <f>'Evolutive SFP'!J10</f>
        <v>0</v>
      </c>
      <c r="L27" s="60">
        <f>'Evolutive SFP'!K10</f>
        <v>0</v>
      </c>
      <c r="M27" s="60">
        <f>'Evolutive SFP'!L10</f>
        <v>0</v>
      </c>
      <c r="N27" s="60">
        <f>'Evolutive SFP'!M10</f>
        <v>0</v>
      </c>
      <c r="O27" s="60">
        <f>'Evolutive SFP'!N10</f>
        <v>0</v>
      </c>
      <c r="P27" s="60">
        <f>'Evolutive SFP'!O10</f>
        <v>0</v>
      </c>
      <c r="Q27" s="60">
        <f>'Evolutive SFP'!P10</f>
        <v>0</v>
      </c>
      <c r="R27" s="60">
        <f>'Evolutive SFP'!Q10</f>
        <v>0</v>
      </c>
      <c r="S27" s="60">
        <f>'Evolutive SFP'!R10</f>
        <v>0</v>
      </c>
      <c r="T27" s="60">
        <f>'Evolutive SFP'!S10</f>
        <v>0</v>
      </c>
      <c r="U27" s="60">
        <f>'Evolutive SFP'!T10</f>
        <v>0</v>
      </c>
      <c r="V27" s="60">
        <f>'Evolutive SFP'!U10</f>
        <v>0</v>
      </c>
      <c r="W27" s="60">
        <f>'Evolutive SFP'!V10</f>
        <v>0</v>
      </c>
      <c r="X27" s="60">
        <f>'Evolutive SFP'!W10</f>
        <v>0</v>
      </c>
      <c r="Y27" s="60">
        <f>'Evolutive SFP'!X10</f>
        <v>0</v>
      </c>
      <c r="Z27" s="60">
        <f>'Evolutive SFP'!Y10</f>
        <v>0</v>
      </c>
      <c r="AA27" s="60">
        <f>'Evolutive SFP'!Z10</f>
        <v>0</v>
      </c>
      <c r="AB27" s="60">
        <f>'Evolutive SFP'!AA10</f>
        <v>0</v>
      </c>
      <c r="AC27" s="60">
        <f>'Evolutive SFP'!AB10</f>
        <v>0</v>
      </c>
      <c r="AD27" s="60">
        <f>'Evolutive SFP'!AC10</f>
        <v>0</v>
      </c>
      <c r="AE27" s="60">
        <f>'Evolutive SFP'!AD10</f>
        <v>0</v>
      </c>
      <c r="AF27" s="60">
        <f>'Evolutive SFP'!AE10</f>
        <v>0</v>
      </c>
      <c r="AG27" s="60">
        <f>'Evolutive SFP'!AF10</f>
        <v>0</v>
      </c>
      <c r="AH27" s="60">
        <f>'Evolutive SFP'!AG10</f>
        <v>0</v>
      </c>
      <c r="AI27" s="60">
        <f>'Evolutive SFP'!AH10</f>
        <v>0</v>
      </c>
      <c r="AJ27" s="60">
        <f>'Evolutive SFP'!AI10</f>
        <v>0</v>
      </c>
      <c r="AK27" s="60">
        <f>'Evolutive SFP'!AJ10</f>
        <v>0</v>
      </c>
      <c r="AL27" s="60">
        <f>'Evolutive SFP'!AK10</f>
        <v>0</v>
      </c>
      <c r="AM27" s="60">
        <f>'Evolutive SFP'!AL10</f>
        <v>0</v>
      </c>
      <c r="AN27" s="60">
        <f>'Evolutive SFP'!AM10</f>
        <v>0</v>
      </c>
      <c r="AO27" s="60">
        <f>'Evolutive SFP'!AN10</f>
        <v>0</v>
      </c>
      <c r="AP27" s="60">
        <f>'Evolutive SFP'!AO10</f>
        <v>0</v>
      </c>
      <c r="AQ27" s="60">
        <f>'Evolutive SFP'!AP10</f>
        <v>0</v>
      </c>
      <c r="AR27" s="60">
        <f>'Evolutive SFP'!AQ10</f>
        <v>0</v>
      </c>
      <c r="AS27" s="60">
        <f>'Evolutive SFP'!AR10</f>
        <v>0</v>
      </c>
      <c r="AT27" s="60">
        <f>'Evolutive SFP'!AS10</f>
        <v>0</v>
      </c>
      <c r="AU27" s="60">
        <f>'Evolutive SFP'!AT10</f>
        <v>0</v>
      </c>
      <c r="AV27" s="60">
        <f>'Evolutive SFP'!AU10</f>
        <v>0</v>
      </c>
      <c r="AW27" s="60">
        <f>'Evolutive SFP'!AV10</f>
        <v>0</v>
      </c>
      <c r="AX27" s="60">
        <f>'Evolutive SFP'!AW10</f>
        <v>0</v>
      </c>
      <c r="AY27" s="60">
        <f>'Evolutive SFP'!AX10</f>
        <v>0</v>
      </c>
    </row>
    <row r="28" spans="1:51" x14ac:dyDescent="0.3">
      <c r="A28" s="34">
        <v>6.3</v>
      </c>
      <c r="B28" s="33" t="s">
        <v>184</v>
      </c>
      <c r="C28" s="60">
        <f>'Evolutive SFP'!B11</f>
        <v>0</v>
      </c>
      <c r="D28" s="60">
        <f>'Evolutive SFP'!C11</f>
        <v>125423070</v>
      </c>
      <c r="E28" s="60">
        <f>'Evolutive SFP'!D11</f>
        <v>0</v>
      </c>
      <c r="F28" s="60">
        <f>'Evolutive SFP'!E11</f>
        <v>0</v>
      </c>
      <c r="G28" s="60">
        <f>'Evolutive SFP'!F11</f>
        <v>0</v>
      </c>
      <c r="H28" s="60">
        <f>'Evolutive SFP'!G11</f>
        <v>0</v>
      </c>
      <c r="I28" s="60">
        <f>'Evolutive SFP'!H11</f>
        <v>0</v>
      </c>
      <c r="J28" s="60">
        <f>'Evolutive SFP'!I11</f>
        <v>0</v>
      </c>
      <c r="K28" s="60">
        <f>'Evolutive SFP'!J11</f>
        <v>0</v>
      </c>
      <c r="L28" s="60">
        <f>'Evolutive SFP'!K11</f>
        <v>0</v>
      </c>
      <c r="M28" s="60">
        <f>'Evolutive SFP'!L11</f>
        <v>0</v>
      </c>
      <c r="N28" s="60">
        <f>'Evolutive SFP'!M11</f>
        <v>0</v>
      </c>
      <c r="O28" s="60">
        <f>'Evolutive SFP'!N11</f>
        <v>0</v>
      </c>
      <c r="P28" s="60">
        <f>'Evolutive SFP'!O11</f>
        <v>0</v>
      </c>
      <c r="Q28" s="60">
        <f>'Evolutive SFP'!P11</f>
        <v>0</v>
      </c>
      <c r="R28" s="60">
        <f>'Evolutive SFP'!Q11</f>
        <v>0</v>
      </c>
      <c r="S28" s="60">
        <f>'Evolutive SFP'!R11</f>
        <v>0</v>
      </c>
      <c r="T28" s="60">
        <f>'Evolutive SFP'!S11</f>
        <v>0</v>
      </c>
      <c r="U28" s="60">
        <f>'Evolutive SFP'!T11</f>
        <v>0</v>
      </c>
      <c r="V28" s="60">
        <f>'Evolutive SFP'!U11</f>
        <v>0</v>
      </c>
      <c r="W28" s="60">
        <f>'Evolutive SFP'!V11</f>
        <v>0</v>
      </c>
      <c r="X28" s="60">
        <f>'Evolutive SFP'!W11</f>
        <v>0</v>
      </c>
      <c r="Y28" s="60">
        <f>'Evolutive SFP'!X11</f>
        <v>0</v>
      </c>
      <c r="Z28" s="60">
        <f>'Evolutive SFP'!Y11</f>
        <v>0</v>
      </c>
      <c r="AA28" s="60">
        <f>'Evolutive SFP'!Z11</f>
        <v>0</v>
      </c>
      <c r="AB28" s="60">
        <f>'Evolutive SFP'!AA11</f>
        <v>0</v>
      </c>
      <c r="AC28" s="60">
        <f>'Evolutive SFP'!AB11</f>
        <v>0</v>
      </c>
      <c r="AD28" s="60">
        <f>'Evolutive SFP'!AC11</f>
        <v>0</v>
      </c>
      <c r="AE28" s="60">
        <f>'Evolutive SFP'!AD11</f>
        <v>0</v>
      </c>
      <c r="AF28" s="60">
        <f>'Evolutive SFP'!AE11</f>
        <v>0</v>
      </c>
      <c r="AG28" s="60">
        <f>'Evolutive SFP'!AF11</f>
        <v>0</v>
      </c>
      <c r="AH28" s="60">
        <f>'Evolutive SFP'!AG11</f>
        <v>0</v>
      </c>
      <c r="AI28" s="60">
        <f>'Evolutive SFP'!AH11</f>
        <v>0</v>
      </c>
      <c r="AJ28" s="60">
        <f>'Evolutive SFP'!AI11</f>
        <v>0</v>
      </c>
      <c r="AK28" s="60">
        <f>'Evolutive SFP'!AJ11</f>
        <v>0</v>
      </c>
      <c r="AL28" s="60">
        <f>'Evolutive SFP'!AK11</f>
        <v>0</v>
      </c>
      <c r="AM28" s="60">
        <f>'Evolutive SFP'!AL11</f>
        <v>0</v>
      </c>
      <c r="AN28" s="60">
        <f>'Evolutive SFP'!AM11</f>
        <v>0</v>
      </c>
      <c r="AO28" s="60">
        <f>'Evolutive SFP'!AN11</f>
        <v>0</v>
      </c>
      <c r="AP28" s="60">
        <f>'Evolutive SFP'!AO11</f>
        <v>0</v>
      </c>
      <c r="AQ28" s="60">
        <f>'Evolutive SFP'!AP11</f>
        <v>0</v>
      </c>
      <c r="AR28" s="60">
        <f>'Evolutive SFP'!AQ11</f>
        <v>0</v>
      </c>
      <c r="AS28" s="60">
        <f>'Evolutive SFP'!AR11</f>
        <v>0</v>
      </c>
      <c r="AT28" s="60">
        <f>'Evolutive SFP'!AS11</f>
        <v>0</v>
      </c>
      <c r="AU28" s="60">
        <f>'Evolutive SFP'!AT11</f>
        <v>0</v>
      </c>
      <c r="AV28" s="60">
        <f>'Evolutive SFP'!AU11</f>
        <v>0</v>
      </c>
      <c r="AW28" s="60">
        <f>'Evolutive SFP'!AV11</f>
        <v>0</v>
      </c>
      <c r="AX28" s="60">
        <f>'Evolutive SFP'!AW11</f>
        <v>0</v>
      </c>
      <c r="AY28" s="60">
        <f>'Evolutive SFP'!AX11</f>
        <v>0</v>
      </c>
    </row>
    <row r="29" spans="1:51" x14ac:dyDescent="0.3">
      <c r="A29" s="32"/>
      <c r="B29" s="33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</row>
    <row r="30" spans="1:51" x14ac:dyDescent="0.3">
      <c r="A30" s="34">
        <v>7</v>
      </c>
      <c r="B30" s="32" t="s">
        <v>185</v>
      </c>
      <c r="C30" s="60">
        <f>'Evolutive SFP'!B14</f>
        <v>112905266</v>
      </c>
      <c r="D30" s="60">
        <f>'Evolutive SFP'!C14</f>
        <v>7149156133</v>
      </c>
      <c r="E30" s="60">
        <f>'Evolutive SFP'!D14</f>
        <v>7216063705.0900002</v>
      </c>
      <c r="F30" s="60">
        <f>'Evolutive SFP'!E14</f>
        <v>7194881463.4200001</v>
      </c>
      <c r="G30" s="60">
        <f>'Evolutive SFP'!F14</f>
        <v>7215068027.8199997</v>
      </c>
      <c r="H30" s="60">
        <f>'Evolutive SFP'!G14</f>
        <v>7285630936.0999994</v>
      </c>
      <c r="I30" s="60">
        <f>'Evolutive SFP'!H14</f>
        <v>7330741998.7699995</v>
      </c>
      <c r="J30" s="60">
        <f>'Evolutive SFP'!I14</f>
        <v>7370498035.5699997</v>
      </c>
      <c r="K30" s="60">
        <f>'Evolutive SFP'!J14</f>
        <v>7627370395.0999994</v>
      </c>
      <c r="L30" s="60">
        <f>'Evolutive SFP'!K14</f>
        <v>7854113500.71</v>
      </c>
      <c r="M30" s="60">
        <f>'Evolutive SFP'!L14</f>
        <v>7968750483.4099998</v>
      </c>
      <c r="N30" s="60">
        <f>'Evolutive SFP'!M14</f>
        <v>8174132261.7299995</v>
      </c>
      <c r="O30" s="60">
        <f>'Evolutive SFP'!N14</f>
        <v>8301774903.7700005</v>
      </c>
      <c r="P30" s="60">
        <f>'Evolutive SFP'!O14</f>
        <v>8418623287</v>
      </c>
      <c r="Q30" s="60">
        <f>'Evolutive SFP'!P14</f>
        <v>8371466303</v>
      </c>
      <c r="R30" s="60">
        <f>'Evolutive SFP'!Q14</f>
        <v>8470963593.1299992</v>
      </c>
      <c r="S30" s="60">
        <f>'Evolutive SFP'!R14</f>
        <v>8447952275.7700005</v>
      </c>
      <c r="T30" s="60">
        <f>'Evolutive SFP'!S14</f>
        <v>8587495920.3099995</v>
      </c>
      <c r="U30" s="60">
        <f>'Evolutive SFP'!T14</f>
        <v>8749756929.0900002</v>
      </c>
      <c r="V30" s="60">
        <f>'Evolutive SFP'!U14</f>
        <v>8872724258.1100006</v>
      </c>
      <c r="W30" s="60">
        <f>'Evolutive SFP'!V14</f>
        <v>8923785293.5100002</v>
      </c>
      <c r="X30" s="60">
        <f>'Evolutive SFP'!W14</f>
        <v>8960948529.9099998</v>
      </c>
      <c r="Y30" s="60">
        <f>'Evolutive SFP'!X14</f>
        <v>9056512135.1700001</v>
      </c>
      <c r="Z30" s="60">
        <f>'Evolutive SFP'!Y14</f>
        <v>9157887871.6499996</v>
      </c>
      <c r="AA30" s="60">
        <f>'Evolutive SFP'!Z14</f>
        <v>9265215085.7399998</v>
      </c>
      <c r="AB30" s="60">
        <f>'Evolutive SFP'!AA14</f>
        <v>9382568171.5100002</v>
      </c>
      <c r="AC30" s="60">
        <f>'Evolutive SFP'!AB14</f>
        <v>9557226246.3199997</v>
      </c>
      <c r="AD30" s="60">
        <f>'Evolutive SFP'!AC14</f>
        <v>9532687440</v>
      </c>
      <c r="AE30" s="60">
        <f>'Evolutive SFP'!AD14</f>
        <v>9763168188.2099991</v>
      </c>
      <c r="AF30" s="60">
        <f>'Evolutive SFP'!AE14</f>
        <v>9824649048.1599998</v>
      </c>
      <c r="AG30" s="60">
        <f>'Evolutive SFP'!AF14</f>
        <v>9760721081.8799992</v>
      </c>
      <c r="AH30" s="60">
        <f>'Evolutive SFP'!AG14</f>
        <v>9822865700.8400002</v>
      </c>
      <c r="AI30" s="60">
        <f>'Evolutive SFP'!AH14</f>
        <v>9895483436.6100006</v>
      </c>
      <c r="AJ30" s="60">
        <f>'Evolutive SFP'!AI14</f>
        <v>0</v>
      </c>
      <c r="AK30" s="60">
        <f>'Evolutive SFP'!AJ14</f>
        <v>0</v>
      </c>
      <c r="AL30" s="60">
        <f>'Evolutive SFP'!AK14</f>
        <v>0</v>
      </c>
      <c r="AM30" s="60">
        <f>'Evolutive SFP'!AL14</f>
        <v>0</v>
      </c>
      <c r="AN30" s="60">
        <f>'Evolutive SFP'!AM14</f>
        <v>0</v>
      </c>
      <c r="AO30" s="60">
        <f>'Evolutive SFP'!AN14</f>
        <v>0</v>
      </c>
      <c r="AP30" s="60">
        <f>'Evolutive SFP'!AO14</f>
        <v>0</v>
      </c>
      <c r="AQ30" s="60">
        <f>'Evolutive SFP'!AP14</f>
        <v>0</v>
      </c>
      <c r="AR30" s="60">
        <f>'Evolutive SFP'!AQ14</f>
        <v>0</v>
      </c>
      <c r="AS30" s="60">
        <f>'Evolutive SFP'!AR14</f>
        <v>0</v>
      </c>
      <c r="AT30" s="60">
        <f>'Evolutive SFP'!AS14</f>
        <v>0</v>
      </c>
      <c r="AU30" s="60">
        <f>'Evolutive SFP'!AT14</f>
        <v>0</v>
      </c>
      <c r="AV30" s="60">
        <f>'Evolutive SFP'!AU14</f>
        <v>0</v>
      </c>
      <c r="AW30" s="60">
        <f>'Evolutive SFP'!AV14</f>
        <v>0</v>
      </c>
      <c r="AX30" s="60">
        <f>'Evolutive SFP'!AW14</f>
        <v>0</v>
      </c>
      <c r="AY30" s="60">
        <f>'Evolutive SFP'!AX14</f>
        <v>0</v>
      </c>
    </row>
    <row r="31" spans="1:51" x14ac:dyDescent="0.3">
      <c r="A31" s="34">
        <v>7.1</v>
      </c>
      <c r="B31" s="32" t="s">
        <v>186</v>
      </c>
      <c r="C31" s="60">
        <f>'Evolutive SFP'!B15</f>
        <v>112905266</v>
      </c>
      <c r="D31" s="60">
        <f>'Evolutive SFP'!C15</f>
        <v>7688694111</v>
      </c>
      <c r="E31" s="60">
        <f>'Evolutive SFP'!D15</f>
        <v>7755601682.4300003</v>
      </c>
      <c r="F31" s="60">
        <f>'Evolutive SFP'!E15</f>
        <v>7734419440.7600002</v>
      </c>
      <c r="G31" s="60">
        <f>'Evolutive SFP'!F15</f>
        <v>7754606005.1599998</v>
      </c>
      <c r="H31" s="60">
        <f>'Evolutive SFP'!G15</f>
        <v>7825168913.4399996</v>
      </c>
      <c r="I31" s="60">
        <f>'Evolutive SFP'!H15</f>
        <v>7870279976.1099997</v>
      </c>
      <c r="J31" s="60">
        <f>'Evolutive SFP'!I15</f>
        <v>7910036012.9099998</v>
      </c>
      <c r="K31" s="60">
        <f>'Evolutive SFP'!J15</f>
        <v>8166908372.4399996</v>
      </c>
      <c r="L31" s="60">
        <f>'Evolutive SFP'!K15</f>
        <v>8393651478.0500002</v>
      </c>
      <c r="M31" s="60">
        <f>'Evolutive SFP'!L15</f>
        <v>8553578288.75</v>
      </c>
      <c r="N31" s="60">
        <f>'Evolutive SFP'!M15</f>
        <v>8758960067.0699997</v>
      </c>
      <c r="O31" s="60">
        <f>'Evolutive SFP'!N15</f>
        <v>8886602709.1100006</v>
      </c>
      <c r="P31" s="60">
        <f>'Evolutive SFP'!O15</f>
        <v>9003451092.3400002</v>
      </c>
      <c r="Q31" s="60">
        <f>'Evolutive SFP'!P15</f>
        <v>8956294109</v>
      </c>
      <c r="R31" s="60">
        <f>'Evolutive SFP'!Q15</f>
        <v>9055791398.4699993</v>
      </c>
      <c r="S31" s="60">
        <f>'Evolutive SFP'!R15</f>
        <v>9032780081.1100006</v>
      </c>
      <c r="T31" s="60">
        <f>'Evolutive SFP'!S15</f>
        <v>9172323725.6499996</v>
      </c>
      <c r="U31" s="60">
        <f>'Evolutive SFP'!T15</f>
        <v>9334584734.4300003</v>
      </c>
      <c r="V31" s="60">
        <f>'Evolutive SFP'!U15</f>
        <v>9457552063.4500008</v>
      </c>
      <c r="W31" s="60">
        <f>'Evolutive SFP'!V15</f>
        <v>9508613098.8500004</v>
      </c>
      <c r="X31" s="60">
        <f>'Evolutive SFP'!W15</f>
        <v>9545776335.25</v>
      </c>
      <c r="Y31" s="60">
        <f>'Evolutive SFP'!X15</f>
        <v>9641339940.5100002</v>
      </c>
      <c r="Z31" s="60">
        <f>'Evolutive SFP'!Y15</f>
        <v>9742715676.9899998</v>
      </c>
      <c r="AA31" s="60">
        <f>'Evolutive SFP'!Z15</f>
        <v>9850042891.0799999</v>
      </c>
      <c r="AB31" s="60">
        <f>'Evolutive SFP'!AA15</f>
        <v>9967395976.8500004</v>
      </c>
      <c r="AC31" s="60">
        <f>'Evolutive SFP'!AB15</f>
        <v>10173845466.66</v>
      </c>
      <c r="AD31" s="60">
        <f>'Evolutive SFP'!AC15</f>
        <v>10149306661</v>
      </c>
      <c r="AE31" s="60">
        <f>'Evolutive SFP'!AD15</f>
        <v>10379787408.549999</v>
      </c>
      <c r="AF31" s="60">
        <f>'Evolutive SFP'!AE15</f>
        <v>10441268268.5</v>
      </c>
      <c r="AG31" s="60">
        <f>'Evolutive SFP'!AF15</f>
        <v>10377340302.219999</v>
      </c>
      <c r="AH31" s="60">
        <f>'Evolutive SFP'!AG15</f>
        <v>10439484921.18</v>
      </c>
      <c r="AI31" s="60">
        <f>'Evolutive SFP'!AH15</f>
        <v>10512102656.950001</v>
      </c>
      <c r="AJ31" s="60">
        <f>'Evolutive SFP'!AI15</f>
        <v>0</v>
      </c>
      <c r="AK31" s="60">
        <f>'Evolutive SFP'!AJ15</f>
        <v>0</v>
      </c>
      <c r="AL31" s="60">
        <f>'Evolutive SFP'!AK15</f>
        <v>0</v>
      </c>
      <c r="AM31" s="60">
        <f>'Evolutive SFP'!AL15</f>
        <v>0</v>
      </c>
      <c r="AN31" s="60">
        <f>'Evolutive SFP'!AM15</f>
        <v>0</v>
      </c>
      <c r="AO31" s="60">
        <f>'Evolutive SFP'!AN15</f>
        <v>0</v>
      </c>
      <c r="AP31" s="60">
        <f>'Evolutive SFP'!AO15</f>
        <v>0</v>
      </c>
      <c r="AQ31" s="60">
        <f>'Evolutive SFP'!AP15</f>
        <v>0</v>
      </c>
      <c r="AR31" s="60">
        <f>'Evolutive SFP'!AQ15</f>
        <v>0</v>
      </c>
      <c r="AS31" s="60">
        <f>'Evolutive SFP'!AR15</f>
        <v>0</v>
      </c>
      <c r="AT31" s="60">
        <f>'Evolutive SFP'!AS15</f>
        <v>0</v>
      </c>
      <c r="AU31" s="60">
        <f>'Evolutive SFP'!AT15</f>
        <v>0</v>
      </c>
      <c r="AV31" s="60">
        <f>'Evolutive SFP'!AU15</f>
        <v>0</v>
      </c>
      <c r="AW31" s="60">
        <f>'Evolutive SFP'!AV15</f>
        <v>0</v>
      </c>
      <c r="AX31" s="60">
        <f>'Evolutive SFP'!AW15</f>
        <v>0</v>
      </c>
      <c r="AY31" s="60">
        <f>'Evolutive SFP'!AX15</f>
        <v>0</v>
      </c>
    </row>
    <row r="32" spans="1:51" x14ac:dyDescent="0.3">
      <c r="A32" s="34">
        <v>7.2</v>
      </c>
      <c r="B32" s="32" t="s">
        <v>187</v>
      </c>
      <c r="C32" s="60">
        <f>'Evolutive SFP'!B16</f>
        <v>0</v>
      </c>
      <c r="D32" s="60">
        <f>'Evolutive SFP'!C16</f>
        <v>539537978</v>
      </c>
      <c r="E32" s="60">
        <f>'Evolutive SFP'!D16</f>
        <v>539537977.34000003</v>
      </c>
      <c r="F32" s="60">
        <f>'Evolutive SFP'!E16</f>
        <v>539537977.34000003</v>
      </c>
      <c r="G32" s="60">
        <f>'Evolutive SFP'!F16</f>
        <v>539537977.34000003</v>
      </c>
      <c r="H32" s="60">
        <f>'Evolutive SFP'!G16</f>
        <v>539537977.34000003</v>
      </c>
      <c r="I32" s="60">
        <f>'Evolutive SFP'!H16</f>
        <v>539537977.34000003</v>
      </c>
      <c r="J32" s="60">
        <f>'Evolutive SFP'!I16</f>
        <v>539537977.34000003</v>
      </c>
      <c r="K32" s="60">
        <f>'Evolutive SFP'!J16</f>
        <v>539537977.34000003</v>
      </c>
      <c r="L32" s="60">
        <f>'Evolutive SFP'!K16</f>
        <v>539537977.34000003</v>
      </c>
      <c r="M32" s="60">
        <f>'Evolutive SFP'!L16</f>
        <v>584827805.34000003</v>
      </c>
      <c r="N32" s="60">
        <f>'Evolutive SFP'!M16</f>
        <v>584827805.34000003</v>
      </c>
      <c r="O32" s="60">
        <f>'Evolutive SFP'!N16</f>
        <v>584827805.34000003</v>
      </c>
      <c r="P32" s="60">
        <f>'Evolutive SFP'!O16</f>
        <v>584827805.34000003</v>
      </c>
      <c r="Q32" s="60">
        <f>'Evolutive SFP'!P16</f>
        <v>584827806</v>
      </c>
      <c r="R32" s="60">
        <f>'Evolutive SFP'!Q16</f>
        <v>584827805.34000003</v>
      </c>
      <c r="S32" s="60">
        <f>'Evolutive SFP'!R16</f>
        <v>584827805.34000003</v>
      </c>
      <c r="T32" s="60">
        <f>'Evolutive SFP'!S16</f>
        <v>584827805.34000003</v>
      </c>
      <c r="U32" s="60">
        <f>'Evolutive SFP'!T16</f>
        <v>584827805.34000003</v>
      </c>
      <c r="V32" s="60">
        <f>'Evolutive SFP'!U16</f>
        <v>584827805.34000003</v>
      </c>
      <c r="W32" s="60">
        <f>'Evolutive SFP'!V16</f>
        <v>584827805.34000003</v>
      </c>
      <c r="X32" s="60">
        <f>'Evolutive SFP'!W16</f>
        <v>584827805.34000003</v>
      </c>
      <c r="Y32" s="60">
        <f>'Evolutive SFP'!X16</f>
        <v>584827805.34000003</v>
      </c>
      <c r="Z32" s="60">
        <f>'Evolutive SFP'!Y16</f>
        <v>584827805.34000003</v>
      </c>
      <c r="AA32" s="60">
        <f>'Evolutive SFP'!Z16</f>
        <v>584827805.34000003</v>
      </c>
      <c r="AB32" s="60">
        <f>'Evolutive SFP'!AA16</f>
        <v>584827805.34000003</v>
      </c>
      <c r="AC32" s="60">
        <f>'Evolutive SFP'!AB16</f>
        <v>616619220.34000003</v>
      </c>
      <c r="AD32" s="60">
        <f>'Evolutive SFP'!AC16</f>
        <v>616619221</v>
      </c>
      <c r="AE32" s="60">
        <f>'Evolutive SFP'!AD16</f>
        <v>616619220.34000003</v>
      </c>
      <c r="AF32" s="60">
        <f>'Evolutive SFP'!AE16</f>
        <v>616619220.34000003</v>
      </c>
      <c r="AG32" s="60">
        <f>'Evolutive SFP'!AF16</f>
        <v>616619220.34000003</v>
      </c>
      <c r="AH32" s="60">
        <f>'Evolutive SFP'!AG16</f>
        <v>616619220.34000003</v>
      </c>
      <c r="AI32" s="60">
        <f>'Evolutive SFP'!AH16</f>
        <v>616619220.34000003</v>
      </c>
      <c r="AJ32" s="60">
        <f>'Evolutive SFP'!AI16</f>
        <v>0</v>
      </c>
      <c r="AK32" s="60">
        <f>'Evolutive SFP'!AJ16</f>
        <v>0</v>
      </c>
      <c r="AL32" s="60">
        <f>'Evolutive SFP'!AK16</f>
        <v>0</v>
      </c>
      <c r="AM32" s="60">
        <f>'Evolutive SFP'!AL16</f>
        <v>0</v>
      </c>
      <c r="AN32" s="60">
        <f>'Evolutive SFP'!AM16</f>
        <v>0</v>
      </c>
      <c r="AO32" s="60">
        <f>'Evolutive SFP'!AN16</f>
        <v>0</v>
      </c>
      <c r="AP32" s="60">
        <f>'Evolutive SFP'!AO16</f>
        <v>0</v>
      </c>
      <c r="AQ32" s="60">
        <f>'Evolutive SFP'!AP16</f>
        <v>0</v>
      </c>
      <c r="AR32" s="60">
        <f>'Evolutive SFP'!AQ16</f>
        <v>0</v>
      </c>
      <c r="AS32" s="60">
        <f>'Evolutive SFP'!AR16</f>
        <v>0</v>
      </c>
      <c r="AT32" s="60">
        <f>'Evolutive SFP'!AS16</f>
        <v>0</v>
      </c>
      <c r="AU32" s="60">
        <f>'Evolutive SFP'!AT16</f>
        <v>0</v>
      </c>
      <c r="AV32" s="60">
        <f>'Evolutive SFP'!AU16</f>
        <v>0</v>
      </c>
      <c r="AW32" s="60">
        <f>'Evolutive SFP'!AV16</f>
        <v>0</v>
      </c>
      <c r="AX32" s="60">
        <f>'Evolutive SFP'!AW16</f>
        <v>0</v>
      </c>
      <c r="AY32" s="60">
        <f>'Evolutive SFP'!AX16</f>
        <v>0</v>
      </c>
    </row>
    <row r="33" spans="1:51" x14ac:dyDescent="0.3">
      <c r="A33" s="32"/>
      <c r="B33" s="32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</row>
    <row r="34" spans="1:51" x14ac:dyDescent="0.3">
      <c r="A34" s="34">
        <v>8</v>
      </c>
      <c r="B34" s="32" t="s">
        <v>188</v>
      </c>
      <c r="C34" s="60">
        <f>'Evolutive SFP'!B21+'Evolutive SFP'!B7</f>
        <v>18274979</v>
      </c>
      <c r="D34" s="60">
        <f>'Evolutive SFP'!C21+'Evolutive SFP'!C7</f>
        <v>842998992</v>
      </c>
      <c r="E34" s="60">
        <f>'Evolutive SFP'!D21+'Evolutive SFP'!D7</f>
        <v>841656396.68000007</v>
      </c>
      <c r="F34" s="60">
        <f>'Evolutive SFP'!E21+'Evolutive SFP'!E7</f>
        <v>712168544.17999995</v>
      </c>
      <c r="G34" s="60">
        <f>'Evolutive SFP'!F21+'Evolutive SFP'!F7</f>
        <v>865483343.95999992</v>
      </c>
      <c r="H34" s="60">
        <f>'Evolutive SFP'!G21+'Evolutive SFP'!G7</f>
        <v>922619183.56999993</v>
      </c>
      <c r="I34" s="60">
        <f>'Evolutive SFP'!H21+'Evolutive SFP'!H7</f>
        <v>967456183.54999995</v>
      </c>
      <c r="J34" s="60">
        <f>'Evolutive SFP'!I21+'Evolutive SFP'!I7</f>
        <v>899630576.04999995</v>
      </c>
      <c r="K34" s="60">
        <f>'Evolutive SFP'!J21+'Evolutive SFP'!J7</f>
        <v>909241418.48000002</v>
      </c>
      <c r="L34" s="60">
        <f>'Evolutive SFP'!K21+'Evolutive SFP'!K7</f>
        <v>887132162.50999999</v>
      </c>
      <c r="M34" s="60">
        <f>'Evolutive SFP'!L21+'Evolutive SFP'!L7</f>
        <v>883405496.95999992</v>
      </c>
      <c r="N34" s="60">
        <f>'Evolutive SFP'!M21+'Evolutive SFP'!M7</f>
        <v>916569478.36999989</v>
      </c>
      <c r="O34" s="60">
        <f>'Evolutive SFP'!N21+'Evolutive SFP'!N7</f>
        <v>951866452.01999998</v>
      </c>
      <c r="P34" s="60">
        <f>'Evolutive SFP'!O21+'Evolutive SFP'!O7</f>
        <v>974114068.41000009</v>
      </c>
      <c r="Q34" s="60">
        <f>'Evolutive SFP'!P21+'Evolutive SFP'!P7</f>
        <v>1045917526</v>
      </c>
      <c r="R34" s="60">
        <f>'Evolutive SFP'!Q21+'Evolutive SFP'!Q7</f>
        <v>889645315.63000011</v>
      </c>
      <c r="S34" s="60">
        <f>'Evolutive SFP'!R21+'Evolutive SFP'!R7</f>
        <v>889529083.83000004</v>
      </c>
      <c r="T34" s="60">
        <f>'Evolutive SFP'!S21+'Evolutive SFP'!S7</f>
        <v>925712775.88999999</v>
      </c>
      <c r="U34" s="60">
        <f>'Evolutive SFP'!T21+'Evolutive SFP'!T7</f>
        <v>931274567.19000006</v>
      </c>
      <c r="V34" s="60">
        <f>'Evolutive SFP'!U21+'Evolutive SFP'!U7</f>
        <v>955882338.33999991</v>
      </c>
      <c r="W34" s="60">
        <f>'Evolutive SFP'!V21+'Evolutive SFP'!V7</f>
        <v>827637374.02999997</v>
      </c>
      <c r="X34" s="60">
        <f>'Evolutive SFP'!W21+'Evolutive SFP'!W7</f>
        <v>910689268.75999999</v>
      </c>
      <c r="Y34" s="60">
        <f>'Evolutive SFP'!X21+'Evolutive SFP'!X7</f>
        <v>974427769.92999995</v>
      </c>
      <c r="Z34" s="60">
        <f>'Evolutive SFP'!Y21+'Evolutive SFP'!Y7</f>
        <v>954558319.64999998</v>
      </c>
      <c r="AA34" s="60">
        <f>'Evolutive SFP'!Z21+'Evolutive SFP'!Z7</f>
        <v>950919982.63999999</v>
      </c>
      <c r="AB34" s="60">
        <f>'Evolutive SFP'!AA21+'Evolutive SFP'!AA7</f>
        <v>958660032.15999997</v>
      </c>
      <c r="AC34" s="60">
        <f>'Evolutive SFP'!AB21+'Evolutive SFP'!AB7</f>
        <v>997002488.42000008</v>
      </c>
      <c r="AD34" s="60">
        <f>'Evolutive SFP'!AC21+'Evolutive SFP'!AC7</f>
        <v>1056248438</v>
      </c>
      <c r="AE34" s="60">
        <f>'Evolutive SFP'!AD21+'Evolutive SFP'!AD7</f>
        <v>1035697001.8800001</v>
      </c>
      <c r="AF34" s="60">
        <f>'Evolutive SFP'!AE21+'Evolutive SFP'!AE7</f>
        <v>1066959651.22</v>
      </c>
      <c r="AG34" s="60">
        <f>'Evolutive SFP'!AF21+'Evolutive SFP'!AF7</f>
        <v>1022013645.5400001</v>
      </c>
      <c r="AH34" s="60">
        <f>'Evolutive SFP'!AG21+'Evolutive SFP'!AG7</f>
        <v>1018554832.71</v>
      </c>
      <c r="AI34" s="60">
        <f>'Evolutive SFP'!AH21+'Evolutive SFP'!AH7</f>
        <v>1032894713.1700001</v>
      </c>
      <c r="AJ34" s="60">
        <f>'Evolutive SFP'!AI21+'Evolutive SFP'!AI7</f>
        <v>0</v>
      </c>
      <c r="AK34" s="60">
        <f>'Evolutive SFP'!AJ21+'Evolutive SFP'!AJ7</f>
        <v>0</v>
      </c>
      <c r="AL34" s="60">
        <f>'Evolutive SFP'!AK21+'Evolutive SFP'!AK7</f>
        <v>0</v>
      </c>
      <c r="AM34" s="60">
        <f>'Evolutive SFP'!AL21+'Evolutive SFP'!AL7</f>
        <v>0</v>
      </c>
      <c r="AN34" s="60">
        <f>'Evolutive SFP'!AM21+'Evolutive SFP'!AM7</f>
        <v>0</v>
      </c>
      <c r="AO34" s="60">
        <f>'Evolutive SFP'!AN21+'Evolutive SFP'!AN7</f>
        <v>0</v>
      </c>
      <c r="AP34" s="60">
        <f>'Evolutive SFP'!AO21+'Evolutive SFP'!AO7</f>
        <v>0</v>
      </c>
      <c r="AQ34" s="60">
        <f>'Evolutive SFP'!AP21+'Evolutive SFP'!AP7</f>
        <v>0</v>
      </c>
      <c r="AR34" s="60">
        <f>'Evolutive SFP'!AQ21+'Evolutive SFP'!AQ7</f>
        <v>0</v>
      </c>
      <c r="AS34" s="60">
        <f>'Evolutive SFP'!AR21+'Evolutive SFP'!AR7</f>
        <v>0</v>
      </c>
      <c r="AT34" s="60">
        <f>'Evolutive SFP'!AS21+'Evolutive SFP'!AS7</f>
        <v>0</v>
      </c>
      <c r="AU34" s="60">
        <f>'Evolutive SFP'!AT21+'Evolutive SFP'!AT7</f>
        <v>0</v>
      </c>
      <c r="AV34" s="60">
        <f>'Evolutive SFP'!AU21+'Evolutive SFP'!AU7</f>
        <v>0</v>
      </c>
      <c r="AW34" s="60">
        <f>'Evolutive SFP'!AV21+'Evolutive SFP'!AV7</f>
        <v>0</v>
      </c>
      <c r="AX34" s="60">
        <f>'Evolutive SFP'!AW21+'Evolutive SFP'!AW7</f>
        <v>0</v>
      </c>
      <c r="AY34" s="60">
        <f>'Evolutive SFP'!AX21+'Evolutive SFP'!AX7</f>
        <v>0</v>
      </c>
    </row>
    <row r="35" spans="1:51" x14ac:dyDescent="0.3">
      <c r="A35" s="34">
        <v>8.1</v>
      </c>
      <c r="B35" s="32" t="s">
        <v>23</v>
      </c>
      <c r="C35" s="60">
        <f>'Evolutive SFP'!B23</f>
        <v>4123114</v>
      </c>
      <c r="D35" s="60">
        <f>'Evolutive SFP'!C23</f>
        <v>579283128</v>
      </c>
      <c r="E35" s="60">
        <f>'Evolutive SFP'!D23</f>
        <v>582743879.07000005</v>
      </c>
      <c r="F35" s="60">
        <f>'Evolutive SFP'!E23</f>
        <v>587206453.17999995</v>
      </c>
      <c r="G35" s="60">
        <f>'Evolutive SFP'!F23</f>
        <v>594505113.17999995</v>
      </c>
      <c r="H35" s="60">
        <f>'Evolutive SFP'!G23</f>
        <v>635057037.26999998</v>
      </c>
      <c r="I35" s="60">
        <f>'Evolutive SFP'!H23</f>
        <v>634986921.26999998</v>
      </c>
      <c r="J35" s="60">
        <f>'Evolutive SFP'!I23</f>
        <v>635367401.26999998</v>
      </c>
      <c r="K35" s="60">
        <f>'Evolutive SFP'!J23</f>
        <v>633585328.61000001</v>
      </c>
      <c r="L35" s="60">
        <f>'Evolutive SFP'!K23</f>
        <v>636023314.88999999</v>
      </c>
      <c r="M35" s="60">
        <f>'Evolutive SFP'!L23</f>
        <v>635565955.78999996</v>
      </c>
      <c r="N35" s="60">
        <f>'Evolutive SFP'!M23</f>
        <v>631113010.78999996</v>
      </c>
      <c r="O35" s="60">
        <f>'Evolutive SFP'!N23</f>
        <v>630774159.78999996</v>
      </c>
      <c r="P35" s="60">
        <f>'Evolutive SFP'!O23</f>
        <v>640222198.63</v>
      </c>
      <c r="Q35" s="60">
        <f>'Evolutive SFP'!P23</f>
        <v>633753814</v>
      </c>
      <c r="R35" s="60">
        <f>'Evolutive SFP'!Q23</f>
        <v>643847043.63</v>
      </c>
      <c r="S35" s="60">
        <f>'Evolutive SFP'!R23</f>
        <v>643953628.63</v>
      </c>
      <c r="T35" s="60">
        <f>'Evolutive SFP'!S23</f>
        <v>650909769.99000001</v>
      </c>
      <c r="U35" s="60">
        <f>'Evolutive SFP'!T23</f>
        <v>661841133.59000003</v>
      </c>
      <c r="V35" s="60">
        <f>'Evolutive SFP'!U23</f>
        <v>664021036.75999999</v>
      </c>
      <c r="W35" s="60">
        <f>'Evolutive SFP'!V23</f>
        <v>665110276.75999999</v>
      </c>
      <c r="X35" s="60">
        <f>'Evolutive SFP'!W23</f>
        <v>664029693.47000003</v>
      </c>
      <c r="Y35" s="60">
        <f>'Evolutive SFP'!X23</f>
        <v>673696239.54999995</v>
      </c>
      <c r="Z35" s="60">
        <f>'Evolutive SFP'!Y23</f>
        <v>672438642.54999995</v>
      </c>
      <c r="AA35" s="60">
        <f>'Evolutive SFP'!Z23</f>
        <v>673092742.54999995</v>
      </c>
      <c r="AB35" s="60">
        <f>'Evolutive SFP'!AA23</f>
        <v>674710697.54999995</v>
      </c>
      <c r="AC35" s="60">
        <f>'Evolutive SFP'!AB23</f>
        <v>633932316.08000004</v>
      </c>
      <c r="AD35" s="60">
        <f>'Evolutive SFP'!AC23</f>
        <v>633932317</v>
      </c>
      <c r="AE35" s="60">
        <f>'Evolutive SFP'!AD23</f>
        <v>633965716.08000004</v>
      </c>
      <c r="AF35" s="60">
        <f>'Evolutive SFP'!AE23</f>
        <v>633967116.08000004</v>
      </c>
      <c r="AG35" s="60">
        <f>'Evolutive SFP'!AF23</f>
        <v>634186466.08000004</v>
      </c>
      <c r="AH35" s="60">
        <f>'Evolutive SFP'!AG23</f>
        <v>636985006.08000004</v>
      </c>
      <c r="AI35" s="60">
        <f>'Evolutive SFP'!AH23</f>
        <v>639750216.08000004</v>
      </c>
      <c r="AJ35" s="60">
        <f>'Evolutive SFP'!AI23</f>
        <v>0</v>
      </c>
      <c r="AK35" s="60">
        <f>'Evolutive SFP'!AJ23</f>
        <v>0</v>
      </c>
      <c r="AL35" s="60">
        <f>'Evolutive SFP'!AK23</f>
        <v>0</v>
      </c>
      <c r="AM35" s="60">
        <f>'Evolutive SFP'!AL23</f>
        <v>0</v>
      </c>
      <c r="AN35" s="60">
        <f>'Evolutive SFP'!AM23</f>
        <v>0</v>
      </c>
      <c r="AO35" s="60">
        <f>'Evolutive SFP'!AN23</f>
        <v>0</v>
      </c>
      <c r="AP35" s="60">
        <f>'Evolutive SFP'!AO23</f>
        <v>0</v>
      </c>
      <c r="AQ35" s="60">
        <f>'Evolutive SFP'!AP23</f>
        <v>0</v>
      </c>
      <c r="AR35" s="60">
        <f>'Evolutive SFP'!AQ23</f>
        <v>0</v>
      </c>
      <c r="AS35" s="60">
        <f>'Evolutive SFP'!AR23</f>
        <v>0</v>
      </c>
      <c r="AT35" s="60">
        <f>'Evolutive SFP'!AS23</f>
        <v>0</v>
      </c>
      <c r="AU35" s="60">
        <f>'Evolutive SFP'!AT23</f>
        <v>0</v>
      </c>
      <c r="AV35" s="60">
        <f>'Evolutive SFP'!AU23</f>
        <v>0</v>
      </c>
      <c r="AW35" s="60">
        <f>'Evolutive SFP'!AV23</f>
        <v>0</v>
      </c>
      <c r="AX35" s="60">
        <f>'Evolutive SFP'!AW23</f>
        <v>0</v>
      </c>
      <c r="AY35" s="60">
        <f>'Evolutive SFP'!AX23</f>
        <v>0</v>
      </c>
    </row>
    <row r="36" spans="1:51" x14ac:dyDescent="0.3">
      <c r="A36" s="30"/>
      <c r="B36" s="32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</row>
    <row r="37" spans="1:51" x14ac:dyDescent="0.3">
      <c r="A37" s="34">
        <v>9</v>
      </c>
      <c r="B37" s="32" t="s">
        <v>143</v>
      </c>
      <c r="C37" s="60">
        <f>C38+C39+C40+C41</f>
        <v>14599.247546899</v>
      </c>
      <c r="D37" s="60">
        <f>D38+D39+D40+D41</f>
        <v>1503261371</v>
      </c>
      <c r="E37" s="60">
        <f>E38+E39+E40+E41</f>
        <v>116942698.48</v>
      </c>
      <c r="F37" s="60">
        <f>F38+F39+F40+F41</f>
        <v>238527556.48000002</v>
      </c>
      <c r="G37" s="60">
        <f t="shared" ref="G37" si="15">G38+G39+G40+G41</f>
        <v>362010620.16000003</v>
      </c>
      <c r="H37" s="60">
        <f>H38+H39+H40+H41</f>
        <v>495569224.32999992</v>
      </c>
      <c r="I37" s="60">
        <f>I38+I39+I40+I41</f>
        <v>626831757.99000001</v>
      </c>
      <c r="J37" s="60">
        <f t="shared" ref="J37:P37" si="16">J38+J39+J40+J41</f>
        <v>753056288.82999992</v>
      </c>
      <c r="K37" s="60">
        <f t="shared" si="16"/>
        <v>907509985.18000007</v>
      </c>
      <c r="L37" s="60">
        <f t="shared" si="16"/>
        <v>1051068666.6399999</v>
      </c>
      <c r="M37" s="60">
        <f t="shared" si="16"/>
        <v>1195322550.8599999</v>
      </c>
      <c r="N37" s="60">
        <f t="shared" si="16"/>
        <v>1323812084.4799998</v>
      </c>
      <c r="O37" s="60">
        <f t="shared" si="16"/>
        <v>1477251222.8700001</v>
      </c>
      <c r="P37" s="60">
        <f t="shared" si="16"/>
        <v>1648026586.98</v>
      </c>
      <c r="Q37" s="60">
        <f t="shared" ref="Q37:AY37" si="17">Q38+Q39+Q40+Q41</f>
        <v>1706831910</v>
      </c>
      <c r="R37" s="60">
        <f t="shared" si="17"/>
        <v>133299220.61</v>
      </c>
      <c r="S37" s="60">
        <f t="shared" si="17"/>
        <v>265588998.90000001</v>
      </c>
      <c r="T37" s="60">
        <f t="shared" si="17"/>
        <v>407634984.13999999</v>
      </c>
      <c r="U37" s="60">
        <f t="shared" si="17"/>
        <v>553475652.38999999</v>
      </c>
      <c r="V37" s="60">
        <f t="shared" si="17"/>
        <v>695853507.08000004</v>
      </c>
      <c r="W37" s="60">
        <f t="shared" si="17"/>
        <v>843525302.6500001</v>
      </c>
      <c r="X37" s="60">
        <f t="shared" si="17"/>
        <v>977990259.56999993</v>
      </c>
      <c r="Y37" s="60">
        <f t="shared" si="17"/>
        <v>1119427087.49</v>
      </c>
      <c r="Z37" s="60">
        <f t="shared" si="17"/>
        <v>1259096026.48</v>
      </c>
      <c r="AA37" s="60">
        <f t="shared" si="17"/>
        <v>1403960286.53</v>
      </c>
      <c r="AB37" s="60">
        <f t="shared" si="17"/>
        <v>1554200796.6600001</v>
      </c>
      <c r="AC37" s="60">
        <f t="shared" si="17"/>
        <v>1729889877.8800001</v>
      </c>
      <c r="AD37" s="60">
        <f t="shared" si="17"/>
        <v>1805068100</v>
      </c>
      <c r="AE37" s="60">
        <f t="shared" si="17"/>
        <v>154061197.68000001</v>
      </c>
      <c r="AF37" s="60">
        <f t="shared" si="17"/>
        <v>303583287.49000001</v>
      </c>
      <c r="AG37" s="60">
        <f t="shared" si="17"/>
        <v>457909364.25</v>
      </c>
      <c r="AH37" s="60">
        <f t="shared" si="17"/>
        <v>606239934.43000007</v>
      </c>
      <c r="AI37" s="60">
        <f t="shared" si="17"/>
        <v>756953584.13999999</v>
      </c>
      <c r="AJ37" s="60">
        <f t="shared" si="17"/>
        <v>0</v>
      </c>
      <c r="AK37" s="60">
        <f t="shared" si="17"/>
        <v>0</v>
      </c>
      <c r="AL37" s="60">
        <f t="shared" si="17"/>
        <v>0</v>
      </c>
      <c r="AM37" s="60">
        <f t="shared" si="17"/>
        <v>0</v>
      </c>
      <c r="AN37" s="60">
        <f t="shared" si="17"/>
        <v>0</v>
      </c>
      <c r="AO37" s="60">
        <f t="shared" si="17"/>
        <v>0</v>
      </c>
      <c r="AP37" s="60">
        <f t="shared" si="17"/>
        <v>0</v>
      </c>
      <c r="AQ37" s="60">
        <f t="shared" si="17"/>
        <v>0</v>
      </c>
      <c r="AR37" s="60">
        <f t="shared" si="17"/>
        <v>0</v>
      </c>
      <c r="AS37" s="60">
        <f t="shared" si="17"/>
        <v>0</v>
      </c>
      <c r="AT37" s="60">
        <f t="shared" si="17"/>
        <v>0</v>
      </c>
      <c r="AU37" s="60">
        <f t="shared" si="17"/>
        <v>0</v>
      </c>
      <c r="AV37" s="60">
        <f t="shared" si="17"/>
        <v>0</v>
      </c>
      <c r="AW37" s="60">
        <f t="shared" si="17"/>
        <v>0</v>
      </c>
      <c r="AX37" s="60">
        <f t="shared" si="17"/>
        <v>0</v>
      </c>
      <c r="AY37" s="60">
        <f t="shared" si="17"/>
        <v>0</v>
      </c>
    </row>
    <row r="38" spans="1:51" x14ac:dyDescent="0.3">
      <c r="A38" s="32">
        <v>9.1</v>
      </c>
      <c r="B38" s="32" t="s">
        <v>189</v>
      </c>
      <c r="C38" s="60">
        <f>'Evolutitve SCI'!B5</f>
        <v>11945.43491</v>
      </c>
      <c r="D38" s="60">
        <f>'Evolutitve SCI'!C5</f>
        <v>1292172434</v>
      </c>
      <c r="E38" s="60">
        <f>'Evolutitve SCI'!D5</f>
        <v>107242264.31</v>
      </c>
      <c r="F38" s="60">
        <f>'Evolutitve SCI'!E5</f>
        <v>216748433.80000001</v>
      </c>
      <c r="G38" s="60">
        <f>'Evolutitve SCI'!F5</f>
        <v>324315776.61000001</v>
      </c>
      <c r="H38" s="60">
        <f>'Evolutitve SCI'!G5</f>
        <v>435434565.52999997</v>
      </c>
      <c r="I38" s="60">
        <f>'Evolutitve SCI'!H5</f>
        <v>545320572.35000002</v>
      </c>
      <c r="J38" s="60">
        <f>'Evolutitve SCI'!I5</f>
        <v>656632200.16999996</v>
      </c>
      <c r="K38" s="60">
        <f>'Evolutitve SCI'!J5</f>
        <v>790344472.12</v>
      </c>
      <c r="L38" s="60">
        <f>'Evolutitve SCI'!K5</f>
        <v>915739348.02999997</v>
      </c>
      <c r="M38" s="60">
        <f>'Evolutitve SCI'!L5</f>
        <v>1040918897.6900001</v>
      </c>
      <c r="N38" s="60">
        <f>'Evolutitve SCI'!M5</f>
        <v>1150145838.1099999</v>
      </c>
      <c r="O38" s="60">
        <f>'Evolutitve SCI'!N5</f>
        <v>1283510766.5</v>
      </c>
      <c r="P38" s="60">
        <f>'Evolutitve SCI'!O5</f>
        <v>1437359145.8399999</v>
      </c>
      <c r="Q38" s="60">
        <f>'Evolutitve SCI'!P5</f>
        <v>1437359142</v>
      </c>
      <c r="R38" s="60">
        <f>'Evolutitve SCI'!Q5</f>
        <v>119055288.38</v>
      </c>
      <c r="S38" s="60">
        <f>'Evolutitve SCI'!R5</f>
        <v>239605931.06999999</v>
      </c>
      <c r="T38" s="60">
        <f>'Evolutitve SCI'!S5</f>
        <v>362127412.13999999</v>
      </c>
      <c r="U38" s="60">
        <f>'Evolutitve SCI'!T5</f>
        <v>487611818.87</v>
      </c>
      <c r="V38" s="60">
        <f>'Evolutitve SCI'!U5</f>
        <v>611469280.86000001</v>
      </c>
      <c r="W38" s="60">
        <f>'Evolutitve SCI'!V5</f>
        <v>733946522.83000004</v>
      </c>
      <c r="X38" s="60">
        <f>'Evolutitve SCI'!W5</f>
        <v>856093779.88999999</v>
      </c>
      <c r="Y38" s="60">
        <f>'Evolutitve SCI'!X5</f>
        <v>983410943.15999997</v>
      </c>
      <c r="Z38" s="60">
        <f>'Evolutitve SCI'!Y5</f>
        <v>1109612780.1800001</v>
      </c>
      <c r="AA38" s="60">
        <f>'Evolutitve SCI'!Z5</f>
        <v>1236788160.5699999</v>
      </c>
      <c r="AB38" s="60">
        <f>'Evolutitve SCI'!AA5</f>
        <v>1369165091.9300001</v>
      </c>
      <c r="AC38" s="60">
        <f>'Evolutitve SCI'!AB5</f>
        <v>1518639418.23</v>
      </c>
      <c r="AD38" s="60">
        <f>'Evolutitve SCI'!AC5</f>
        <v>1518639420</v>
      </c>
      <c r="AE38" s="60">
        <f>'Evolutitve SCI'!AD5</f>
        <v>137310458.21000001</v>
      </c>
      <c r="AF38" s="60">
        <f>'Evolutitve SCI'!AE5</f>
        <v>270038738.81999999</v>
      </c>
      <c r="AG38" s="60">
        <f>'Evolutitve SCI'!AF5</f>
        <v>403777769.57999998</v>
      </c>
      <c r="AH38" s="60">
        <f>'Evolutitve SCI'!AG5</f>
        <v>535005431.36000001</v>
      </c>
      <c r="AI38" s="60">
        <f>'Evolutitve SCI'!AH5</f>
        <v>668831920.64999998</v>
      </c>
      <c r="AJ38" s="60">
        <f>'Evolutitve SCI'!AI5</f>
        <v>0</v>
      </c>
      <c r="AK38" s="60">
        <f>'Evolutitve SCI'!AJ5</f>
        <v>0</v>
      </c>
      <c r="AL38" s="60">
        <f>'Evolutitve SCI'!AK5</f>
        <v>0</v>
      </c>
      <c r="AM38" s="60">
        <f>'Evolutitve SCI'!AL5</f>
        <v>0</v>
      </c>
      <c r="AN38" s="60">
        <f>'Evolutitve SCI'!AM5</f>
        <v>0</v>
      </c>
      <c r="AO38" s="60">
        <f>'Evolutitve SCI'!AN5</f>
        <v>0</v>
      </c>
      <c r="AP38" s="60">
        <f>'Evolutitve SCI'!AO5</f>
        <v>0</v>
      </c>
      <c r="AQ38" s="60">
        <f>'Evolutitve SCI'!AP5</f>
        <v>0</v>
      </c>
      <c r="AR38" s="60">
        <f>'Evolutitve SCI'!AQ5</f>
        <v>0</v>
      </c>
      <c r="AS38" s="60">
        <f>'Evolutitve SCI'!AR5</f>
        <v>0</v>
      </c>
      <c r="AT38" s="60">
        <f>'Evolutitve SCI'!AS5</f>
        <v>0</v>
      </c>
      <c r="AU38" s="60">
        <f>'Evolutitve SCI'!AT5</f>
        <v>0</v>
      </c>
      <c r="AV38" s="60">
        <f>'Evolutitve SCI'!AU5</f>
        <v>0</v>
      </c>
      <c r="AW38" s="60">
        <f>'Evolutitve SCI'!AV5</f>
        <v>0</v>
      </c>
      <c r="AX38" s="60">
        <f>'Evolutitve SCI'!AW5</f>
        <v>0</v>
      </c>
      <c r="AY38" s="60">
        <f>'Evolutitve SCI'!AX5</f>
        <v>0</v>
      </c>
    </row>
    <row r="39" spans="1:51" x14ac:dyDescent="0.3">
      <c r="A39" s="32">
        <v>9.1999999999999993</v>
      </c>
      <c r="B39" s="32" t="s">
        <v>190</v>
      </c>
      <c r="C39" s="60">
        <f>'Evolutitve SCI'!B7</f>
        <v>1743.4416368990005</v>
      </c>
      <c r="D39" s="60">
        <f>'Evolutitve SCI'!C7</f>
        <v>188486662</v>
      </c>
      <c r="E39" s="60">
        <f>'Evolutitve SCI'!D7</f>
        <v>6557028.1699999999</v>
      </c>
      <c r="F39" s="60">
        <f>'Evolutitve SCI'!E7</f>
        <v>14596436.68</v>
      </c>
      <c r="G39" s="60">
        <f>'Evolutitve SCI'!F7</f>
        <v>26435153.450000003</v>
      </c>
      <c r="H39" s="60">
        <f>'Evolutitve SCI'!G7</f>
        <v>43984291.399999999</v>
      </c>
      <c r="I39" s="60">
        <f>'Evolutitve SCI'!H7</f>
        <v>60407858.039999999</v>
      </c>
      <c r="J39" s="60">
        <f>'Evolutitve SCI'!I7</f>
        <v>70763134.659999996</v>
      </c>
      <c r="K39" s="60">
        <f>'Evolutitve SCI'!J7</f>
        <v>80558011.859999999</v>
      </c>
      <c r="L39" s="60">
        <f>'Evolutitve SCI'!K7</f>
        <v>90363952.310000002</v>
      </c>
      <c r="M39" s="60">
        <f>'Evolutitve SCI'!L7</f>
        <v>102002041.87</v>
      </c>
      <c r="N39" s="60">
        <f>'Evolutitve SCI'!M7</f>
        <v>114144714.06999999</v>
      </c>
      <c r="O39" s="60">
        <f>'Evolutitve SCI'!N7</f>
        <v>127873551.97</v>
      </c>
      <c r="P39" s="60">
        <f>'Evolutitve SCI'!O7</f>
        <v>138514323.74000001</v>
      </c>
      <c r="Q39" s="60">
        <f>'Evolutitve SCI'!P7</f>
        <v>243097734</v>
      </c>
      <c r="R39" s="60">
        <f>'Evolutitve SCI'!Q7</f>
        <v>9642037.2300000004</v>
      </c>
      <c r="S39" s="60">
        <f>'Evolutitve SCI'!R7</f>
        <v>16474669.83</v>
      </c>
      <c r="T39" s="60">
        <f>'Evolutitve SCI'!S7</f>
        <v>28760371</v>
      </c>
      <c r="U39" s="60">
        <f>'Evolutitve SCI'!T7</f>
        <v>41654051.520000003</v>
      </c>
      <c r="V39" s="60">
        <f>'Evolutitve SCI'!U7</f>
        <v>53784351.719999999</v>
      </c>
      <c r="W39" s="60">
        <f>'Evolutitve SCI'!V7</f>
        <v>73684441.819999993</v>
      </c>
      <c r="X39" s="60">
        <f>'Evolutitve SCI'!W7</f>
        <v>81153505.680000007</v>
      </c>
      <c r="Y39" s="60">
        <f>'Evolutitve SCI'!X7</f>
        <v>88890511.329999998</v>
      </c>
      <c r="Z39" s="60">
        <f>'Evolutitve SCI'!Y7</f>
        <v>96097455.799999997</v>
      </c>
      <c r="AA39" s="60">
        <f>'Evolutitve SCI'!Z7</f>
        <v>107390648.46000001</v>
      </c>
      <c r="AB39" s="60">
        <f>'Evolutitve SCI'!AA7</f>
        <v>118286726.23</v>
      </c>
      <c r="AC39" s="60">
        <f>'Evolutitve SCI'!AB7</f>
        <v>136023110.75</v>
      </c>
      <c r="AD39" s="60">
        <f>'Evolutitve SCI'!AC7</f>
        <v>254069567</v>
      </c>
      <c r="AE39" s="60">
        <f>'Evolutitve SCI'!AD7</f>
        <v>8558395.4700000007</v>
      </c>
      <c r="AF39" s="60">
        <f>'Evolutitve SCI'!AE7</f>
        <v>19730913.870000001</v>
      </c>
      <c r="AG39" s="60">
        <f>'Evolutitve SCI'!AF7</f>
        <v>35025812.57</v>
      </c>
      <c r="AH39" s="60">
        <f>'Evolutitve SCI'!AG7</f>
        <v>46421946.969999999</v>
      </c>
      <c r="AI39" s="60">
        <f>'Evolutitve SCI'!AH7</f>
        <v>57445605.390000001</v>
      </c>
      <c r="AJ39" s="60">
        <f>'Evolutitve SCI'!AI7</f>
        <v>0</v>
      </c>
      <c r="AK39" s="60">
        <f>'Evolutitve SCI'!AJ7</f>
        <v>0</v>
      </c>
      <c r="AL39" s="60">
        <f>'Evolutitve SCI'!AK7</f>
        <v>0</v>
      </c>
      <c r="AM39" s="60">
        <f>'Evolutitve SCI'!AL7</f>
        <v>0</v>
      </c>
      <c r="AN39" s="60">
        <f>'Evolutitve SCI'!AM7</f>
        <v>0</v>
      </c>
      <c r="AO39" s="60">
        <f>'Evolutitve SCI'!AN7</f>
        <v>0</v>
      </c>
      <c r="AP39" s="60">
        <f>'Evolutitve SCI'!AO7</f>
        <v>0</v>
      </c>
      <c r="AQ39" s="60">
        <f>'Evolutitve SCI'!AP7</f>
        <v>0</v>
      </c>
      <c r="AR39" s="60">
        <f>'Evolutitve SCI'!AQ7</f>
        <v>0</v>
      </c>
      <c r="AS39" s="60">
        <f>'Evolutitve SCI'!AR7</f>
        <v>0</v>
      </c>
      <c r="AT39" s="60">
        <f>'Evolutitve SCI'!AS7</f>
        <v>0</v>
      </c>
      <c r="AU39" s="60">
        <f>'Evolutitve SCI'!AT7</f>
        <v>0</v>
      </c>
      <c r="AV39" s="60">
        <f>'Evolutitve SCI'!AU7</f>
        <v>0</v>
      </c>
      <c r="AW39" s="60">
        <f>'Evolutitve SCI'!AV7</f>
        <v>0</v>
      </c>
      <c r="AX39" s="60">
        <f>'Evolutitve SCI'!AW7</f>
        <v>0</v>
      </c>
      <c r="AY39" s="60">
        <f>'Evolutitve SCI'!AX7</f>
        <v>0</v>
      </c>
    </row>
    <row r="40" spans="1:51" x14ac:dyDescent="0.3">
      <c r="A40" s="32">
        <v>9.3000000000000007</v>
      </c>
      <c r="B40" s="32" t="s">
        <v>191</v>
      </c>
      <c r="C40" s="60">
        <f>'Evolutitve SCI'!B6</f>
        <v>910.37099999999998</v>
      </c>
      <c r="D40" s="60">
        <f>'Evolutitve SCI'!C6</f>
        <v>22602275</v>
      </c>
      <c r="E40" s="60">
        <f>'Evolutitve SCI'!D6</f>
        <v>3143406</v>
      </c>
      <c r="F40" s="60">
        <f>'Evolutitve SCI'!E6</f>
        <v>7182686</v>
      </c>
      <c r="G40" s="60">
        <f>'Evolutitve SCI'!F6</f>
        <v>11259690.1</v>
      </c>
      <c r="H40" s="60">
        <f>'Evolutitve SCI'!G6</f>
        <v>16150367.4</v>
      </c>
      <c r="I40" s="60">
        <f>'Evolutitve SCI'!H6</f>
        <v>21103327.600000001</v>
      </c>
      <c r="J40" s="60">
        <f>'Evolutitve SCI'!I6</f>
        <v>25660954</v>
      </c>
      <c r="K40" s="60">
        <f>'Evolutitve SCI'!J6</f>
        <v>36607501.200000003</v>
      </c>
      <c r="L40" s="60">
        <f>'Evolutitve SCI'!K6</f>
        <v>44965366.299999997</v>
      </c>
      <c r="M40" s="60">
        <f>'Evolutitve SCI'!L6</f>
        <v>52401611.299999997</v>
      </c>
      <c r="N40" s="60">
        <f>'Evolutitve SCI'!M6</f>
        <v>59521532.299999997</v>
      </c>
      <c r="O40" s="60">
        <f>'Evolutitve SCI'!N6</f>
        <v>65866904.399999999</v>
      </c>
      <c r="P40" s="60">
        <f>'Evolutitve SCI'!O6</f>
        <v>72153117.400000006</v>
      </c>
      <c r="Q40" s="60">
        <f>'Evolutitve SCI'!P6</f>
        <v>26375034</v>
      </c>
      <c r="R40" s="60">
        <f>'Evolutitve SCI'!Q6</f>
        <v>4601895</v>
      </c>
      <c r="S40" s="60">
        <f>'Evolutitve SCI'!R6</f>
        <v>9508398</v>
      </c>
      <c r="T40" s="60">
        <f>'Evolutitve SCI'!S6</f>
        <v>16747201</v>
      </c>
      <c r="U40" s="60">
        <f>'Evolutitve SCI'!T6</f>
        <v>24209782</v>
      </c>
      <c r="V40" s="60">
        <f>'Evolutitve SCI'!U6</f>
        <v>30599874.5</v>
      </c>
      <c r="W40" s="60">
        <f>'Evolutitve SCI'!V6</f>
        <v>35894338</v>
      </c>
      <c r="X40" s="60">
        <f>'Evolutitve SCI'!W6</f>
        <v>40742974</v>
      </c>
      <c r="Y40" s="60">
        <f>'Evolutitve SCI'!X6</f>
        <v>47125633</v>
      </c>
      <c r="Z40" s="60">
        <f>'Evolutitve SCI'!Y6</f>
        <v>53385790.5</v>
      </c>
      <c r="AA40" s="60">
        <f>'Evolutitve SCI'!Z6</f>
        <v>59781477.5</v>
      </c>
      <c r="AB40" s="60">
        <f>'Evolutitve SCI'!AA6</f>
        <v>66748978.5</v>
      </c>
      <c r="AC40" s="60">
        <f>'Evolutitve SCI'!AB6</f>
        <v>75227348.900000006</v>
      </c>
      <c r="AD40" s="60">
        <f>'Evolutitve SCI'!AC6</f>
        <v>32359113</v>
      </c>
      <c r="AE40" s="60">
        <f>'Evolutitve SCI'!AD6</f>
        <v>8192344</v>
      </c>
      <c r="AF40" s="60">
        <f>'Evolutitve SCI'!AE6</f>
        <v>13813634.800000001</v>
      </c>
      <c r="AG40" s="60">
        <f>'Evolutitve SCI'!AF6</f>
        <v>19105782.100000001</v>
      </c>
      <c r="AH40" s="60">
        <f>'Evolutitve SCI'!AG6</f>
        <v>24812556.100000001</v>
      </c>
      <c r="AI40" s="60">
        <f>'Evolutitve SCI'!AH6</f>
        <v>30676058.100000001</v>
      </c>
      <c r="AJ40" s="60">
        <f>'Evolutitve SCI'!AI6</f>
        <v>0</v>
      </c>
      <c r="AK40" s="60">
        <f>'Evolutitve SCI'!AJ6</f>
        <v>0</v>
      </c>
      <c r="AL40" s="60">
        <f>'Evolutitve SCI'!AK6</f>
        <v>0</v>
      </c>
      <c r="AM40" s="60">
        <f>'Evolutitve SCI'!AL6</f>
        <v>0</v>
      </c>
      <c r="AN40" s="60">
        <f>'Evolutitve SCI'!AM6</f>
        <v>0</v>
      </c>
      <c r="AO40" s="60">
        <f>'Evolutitve SCI'!AN6</f>
        <v>0</v>
      </c>
      <c r="AP40" s="60">
        <f>'Evolutitve SCI'!AO6</f>
        <v>0</v>
      </c>
      <c r="AQ40" s="60">
        <f>'Evolutitve SCI'!AP6</f>
        <v>0</v>
      </c>
      <c r="AR40" s="60">
        <f>'Evolutitve SCI'!AQ6</f>
        <v>0</v>
      </c>
      <c r="AS40" s="60">
        <f>'Evolutitve SCI'!AR6</f>
        <v>0</v>
      </c>
      <c r="AT40" s="60">
        <f>'Evolutitve SCI'!AS6</f>
        <v>0</v>
      </c>
      <c r="AU40" s="60">
        <f>'Evolutitve SCI'!AT6</f>
        <v>0</v>
      </c>
      <c r="AV40" s="60">
        <f>'Evolutitve SCI'!AU6</f>
        <v>0</v>
      </c>
      <c r="AW40" s="60">
        <f>'Evolutitve SCI'!AV6</f>
        <v>0</v>
      </c>
      <c r="AX40" s="60">
        <f>'Evolutitve SCI'!AW6</f>
        <v>0</v>
      </c>
      <c r="AY40" s="60">
        <f>'Evolutitve SCI'!AX6</f>
        <v>0</v>
      </c>
    </row>
    <row r="41" spans="1:51" x14ac:dyDescent="0.3">
      <c r="A41" s="32">
        <v>9.4</v>
      </c>
      <c r="B41" s="32" t="s">
        <v>192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</row>
    <row r="42" spans="1:51" x14ac:dyDescent="0.3">
      <c r="A42" s="32"/>
      <c r="B42" s="32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</row>
    <row r="43" spans="1:51" x14ac:dyDescent="0.3">
      <c r="A43" s="34">
        <v>10</v>
      </c>
      <c r="B43" s="40" t="s">
        <v>193</v>
      </c>
      <c r="C43" s="61">
        <f>SUM(C44:C47)</f>
        <v>11568.464599999999</v>
      </c>
      <c r="D43" s="61">
        <f>SUM(D44:D47)</f>
        <v>1015841652</v>
      </c>
      <c r="E43" s="61">
        <f>SUM(E44:E47)</f>
        <v>37084586.899999999</v>
      </c>
      <c r="F43" s="61">
        <f>SUM(F44:F47)</f>
        <v>87267664.530000001</v>
      </c>
      <c r="G43" s="61">
        <f t="shared" ref="G43" si="18">SUM(G44:G47)</f>
        <v>134189266.09999999</v>
      </c>
      <c r="H43" s="61">
        <f>SUM(H44:H47)</f>
        <v>181799828.20000002</v>
      </c>
      <c r="I43" s="61">
        <f>SUM(I44:I47)</f>
        <v>232599515.19</v>
      </c>
      <c r="J43" s="61">
        <f t="shared" ref="J43:P43" si="19">SUM(J44:J47)</f>
        <v>280234460.66000003</v>
      </c>
      <c r="K43" s="61">
        <f t="shared" si="19"/>
        <v>319920631.18000001</v>
      </c>
      <c r="L43" s="61">
        <f t="shared" si="19"/>
        <v>363149961.75</v>
      </c>
      <c r="M43" s="61">
        <f t="shared" si="19"/>
        <v>427218961.25999999</v>
      </c>
      <c r="N43" s="61">
        <f t="shared" si="19"/>
        <v>478738564.47000003</v>
      </c>
      <c r="O43" s="61">
        <f t="shared" si="19"/>
        <v>542173007.80999994</v>
      </c>
      <c r="P43" s="61">
        <f t="shared" si="19"/>
        <v>649682234.16999996</v>
      </c>
      <c r="Q43" s="61">
        <f t="shared" ref="Q43:AY43" si="20">SUM(Q44:Q47)</f>
        <v>1158333972</v>
      </c>
      <c r="R43" s="61">
        <f t="shared" si="20"/>
        <v>39676829.850000001</v>
      </c>
      <c r="S43" s="61">
        <f t="shared" si="20"/>
        <v>99792997.090000004</v>
      </c>
      <c r="T43" s="61">
        <f t="shared" si="20"/>
        <v>165334776.44</v>
      </c>
      <c r="U43" s="61">
        <f t="shared" si="20"/>
        <v>210669456.19</v>
      </c>
      <c r="V43" s="61">
        <f t="shared" si="20"/>
        <v>260779003.83999997</v>
      </c>
      <c r="W43" s="61">
        <f t="shared" si="20"/>
        <v>328216083.01999998</v>
      </c>
      <c r="X43" s="61">
        <f t="shared" si="20"/>
        <v>401511246.65999997</v>
      </c>
      <c r="Y43" s="61">
        <f t="shared" si="20"/>
        <v>446046468.47000003</v>
      </c>
      <c r="Z43" s="61">
        <f t="shared" si="20"/>
        <v>511888143.34000003</v>
      </c>
      <c r="AA43" s="61">
        <f t="shared" si="20"/>
        <v>563105399.33000004</v>
      </c>
      <c r="AB43" s="61">
        <f t="shared" si="20"/>
        <v>639140267.17999995</v>
      </c>
      <c r="AC43" s="61">
        <f t="shared" si="20"/>
        <v>787750171.85000002</v>
      </c>
      <c r="AD43" s="61">
        <f t="shared" si="20"/>
        <v>1345082393</v>
      </c>
      <c r="AE43" s="61">
        <f t="shared" si="20"/>
        <v>41701443.939999998</v>
      </c>
      <c r="AF43" s="61">
        <f t="shared" si="20"/>
        <v>100833714.89999999</v>
      </c>
      <c r="AG43" s="61">
        <f t="shared" si="20"/>
        <v>178598078.05000001</v>
      </c>
      <c r="AH43" s="61">
        <f t="shared" si="20"/>
        <v>234274822.60999998</v>
      </c>
      <c r="AI43" s="61">
        <f t="shared" si="20"/>
        <v>297890192.88</v>
      </c>
      <c r="AJ43" s="61">
        <f t="shared" si="20"/>
        <v>0</v>
      </c>
      <c r="AK43" s="61">
        <f t="shared" si="20"/>
        <v>0</v>
      </c>
      <c r="AL43" s="61">
        <f t="shared" si="20"/>
        <v>0</v>
      </c>
      <c r="AM43" s="61">
        <f t="shared" si="20"/>
        <v>0</v>
      </c>
      <c r="AN43" s="61">
        <f t="shared" si="20"/>
        <v>0</v>
      </c>
      <c r="AO43" s="61">
        <f t="shared" si="20"/>
        <v>0</v>
      </c>
      <c r="AP43" s="61">
        <f t="shared" si="20"/>
        <v>0</v>
      </c>
      <c r="AQ43" s="61">
        <f t="shared" si="20"/>
        <v>0</v>
      </c>
      <c r="AR43" s="61">
        <f t="shared" si="20"/>
        <v>0</v>
      </c>
      <c r="AS43" s="61">
        <f t="shared" si="20"/>
        <v>0</v>
      </c>
      <c r="AT43" s="61">
        <f t="shared" si="20"/>
        <v>0</v>
      </c>
      <c r="AU43" s="61">
        <f t="shared" si="20"/>
        <v>0</v>
      </c>
      <c r="AV43" s="61">
        <f t="shared" si="20"/>
        <v>0</v>
      </c>
      <c r="AW43" s="61">
        <f t="shared" si="20"/>
        <v>0</v>
      </c>
      <c r="AX43" s="61">
        <f t="shared" si="20"/>
        <v>0</v>
      </c>
      <c r="AY43" s="61">
        <f t="shared" si="20"/>
        <v>0</v>
      </c>
    </row>
    <row r="44" spans="1:51" x14ac:dyDescent="0.3">
      <c r="A44" s="32">
        <v>10.1</v>
      </c>
      <c r="B44" s="32" t="s">
        <v>194</v>
      </c>
      <c r="C44" s="60">
        <f>'Evolutitve SCI'!B13+'Evolutitve SCI'!B16</f>
        <v>185.36</v>
      </c>
      <c r="D44" s="60">
        <f>'Evolutitve SCI'!C13+'Evolutitve SCI'!C16</f>
        <v>419264945</v>
      </c>
      <c r="E44" s="60">
        <f>'Evolutitve SCI'!D13+'Evolutitve SCI'!D16</f>
        <v>2146313.25</v>
      </c>
      <c r="F44" s="60">
        <f>'Evolutitve SCI'!E13+'Evolutitve SCI'!E16</f>
        <v>3663638.75</v>
      </c>
      <c r="G44" s="60">
        <f>'Evolutitve SCI'!F13+'Evolutitve SCI'!F16</f>
        <v>4525977.7699999996</v>
      </c>
      <c r="H44" s="60">
        <f>'Evolutitve SCI'!G13+'Evolutitve SCI'!G16</f>
        <v>5891015.2699999996</v>
      </c>
      <c r="I44" s="60">
        <f>'Evolutitve SCI'!H13+'Evolutitve SCI'!H16</f>
        <v>7325482.3700000001</v>
      </c>
      <c r="J44" s="60">
        <f>'Evolutitve SCI'!I13+'Evolutitve SCI'!I16</f>
        <v>7910570.8700000001</v>
      </c>
      <c r="K44" s="60">
        <f>'Evolutitve SCI'!J13+'Evolutitve SCI'!J16</f>
        <v>9430808.1199999992</v>
      </c>
      <c r="L44" s="60">
        <f>'Evolutitve SCI'!K13+'Evolutitve SCI'!K16</f>
        <v>11665318.369999999</v>
      </c>
      <c r="M44" s="60">
        <f>'Evolutitve SCI'!L13+'Evolutitve SCI'!L16</f>
        <v>12508982.74</v>
      </c>
      <c r="N44" s="60">
        <f>'Evolutitve SCI'!M13+'Evolutitve SCI'!M16</f>
        <v>14132791.49</v>
      </c>
      <c r="O44" s="60">
        <f>'Evolutitve SCI'!N13+'Evolutitve SCI'!N16</f>
        <v>16177606.6</v>
      </c>
      <c r="P44" s="60">
        <f>'Evolutitve SCI'!O13+'Evolutitve SCI'!O16</f>
        <v>55017170.920000002</v>
      </c>
      <c r="Q44" s="60">
        <f>'Evolutitve SCI'!P13+'Evolutitve SCI'!P16</f>
        <v>472991271</v>
      </c>
      <c r="R44" s="60">
        <f>'Evolutitve SCI'!Q13+'Evolutitve SCI'!Q16</f>
        <v>3688164</v>
      </c>
      <c r="S44" s="60">
        <f>'Evolutitve SCI'!R13+'Evolutitve SCI'!R16</f>
        <v>5396488.8499999996</v>
      </c>
      <c r="T44" s="60">
        <f>'Evolutitve SCI'!S13+'Evolutitve SCI'!S16</f>
        <v>7419514.4000000004</v>
      </c>
      <c r="U44" s="60">
        <f>'Evolutitve SCI'!T13+'Evolutitve SCI'!T16</f>
        <v>9092610.8499999996</v>
      </c>
      <c r="V44" s="60">
        <f>'Evolutitve SCI'!U13+'Evolutitve SCI'!U16</f>
        <v>11042548.949999999</v>
      </c>
      <c r="W44" s="60">
        <f>'Evolutitve SCI'!V13+'Evolutitve SCI'!V16</f>
        <v>12027824.449999999</v>
      </c>
      <c r="X44" s="60">
        <f>'Evolutitve SCI'!W13+'Evolutitve SCI'!W16</f>
        <v>14466104.699999999</v>
      </c>
      <c r="Y44" s="60">
        <f>'Evolutitve SCI'!X13+'Evolutitve SCI'!X16</f>
        <v>16009567.199999999</v>
      </c>
      <c r="Z44" s="60">
        <f>'Evolutitve SCI'!Y13+'Evolutitve SCI'!Y16</f>
        <v>16872491.199999999</v>
      </c>
      <c r="AA44" s="60">
        <f>'Evolutitve SCI'!Z13+'Evolutitve SCI'!Z16</f>
        <v>20375449.199999999</v>
      </c>
      <c r="AB44" s="60">
        <f>'Evolutitve SCI'!AA13+'Evolutitve SCI'!AA16</f>
        <v>22718014.59</v>
      </c>
      <c r="AC44" s="60">
        <f>'Evolutitve SCI'!AB13+'Evolutitve SCI'!AB16</f>
        <v>76508952.219999999</v>
      </c>
      <c r="AD44" s="60">
        <f>'Evolutitve SCI'!AC13+'Evolutitve SCI'!AC16</f>
        <v>537050550</v>
      </c>
      <c r="AE44" s="60">
        <f>'Evolutitve SCI'!AD13+'Evolutitve SCI'!AD16</f>
        <v>4022640.47</v>
      </c>
      <c r="AF44" s="60">
        <f>'Evolutitve SCI'!AE13+'Evolutitve SCI'!AE16</f>
        <v>6157408.0199999996</v>
      </c>
      <c r="AG44" s="60">
        <f>'Evolutitve SCI'!AF13+'Evolutitve SCI'!AF16</f>
        <v>7965867.7800000003</v>
      </c>
      <c r="AH44" s="60">
        <f>'Evolutitve SCI'!AG13+'Evolutitve SCI'!AG16</f>
        <v>10164303.52</v>
      </c>
      <c r="AI44" s="60">
        <f>'Evolutitve SCI'!AH13+'Evolutitve SCI'!AH16</f>
        <v>12287093.02</v>
      </c>
      <c r="AJ44" s="60">
        <f>'Evolutitve SCI'!AI13+'Evolutitve SCI'!AI16</f>
        <v>0</v>
      </c>
      <c r="AK44" s="60">
        <f>'Evolutitve SCI'!AJ13+'Evolutitve SCI'!AJ16</f>
        <v>0</v>
      </c>
      <c r="AL44" s="60">
        <f>'Evolutitve SCI'!AK13+'Evolutitve SCI'!AK16</f>
        <v>0</v>
      </c>
      <c r="AM44" s="60">
        <f>'Evolutitve SCI'!AL13+'Evolutitve SCI'!AL16</f>
        <v>0</v>
      </c>
      <c r="AN44" s="60">
        <f>'Evolutitve SCI'!AM13+'Evolutitve SCI'!AM16</f>
        <v>0</v>
      </c>
      <c r="AO44" s="60">
        <f>'Evolutitve SCI'!AN13+'Evolutitve SCI'!AN16</f>
        <v>0</v>
      </c>
      <c r="AP44" s="60">
        <f>'Evolutitve SCI'!AO13+'Evolutitve SCI'!AO16</f>
        <v>0</v>
      </c>
      <c r="AQ44" s="60">
        <f>'Evolutitve SCI'!AP13+'Evolutitve SCI'!AP16</f>
        <v>0</v>
      </c>
      <c r="AR44" s="60">
        <f>'Evolutitve SCI'!AQ13+'Evolutitve SCI'!AQ16</f>
        <v>0</v>
      </c>
      <c r="AS44" s="60">
        <f>'Evolutitve SCI'!AR13+'Evolutitve SCI'!AR16</f>
        <v>0</v>
      </c>
      <c r="AT44" s="60">
        <f>'Evolutitve SCI'!AS13+'Evolutitve SCI'!AS16</f>
        <v>0</v>
      </c>
      <c r="AU44" s="60">
        <f>'Evolutitve SCI'!AT13+'Evolutitve SCI'!AT16</f>
        <v>0</v>
      </c>
      <c r="AV44" s="60">
        <f>'Evolutitve SCI'!AU13+'Evolutitve SCI'!AU16</f>
        <v>0</v>
      </c>
      <c r="AW44" s="60">
        <f>'Evolutitve SCI'!AV13+'Evolutitve SCI'!AV16</f>
        <v>0</v>
      </c>
      <c r="AX44" s="60">
        <f>'Evolutitve SCI'!AW13+'Evolutitve SCI'!AW16</f>
        <v>0</v>
      </c>
      <c r="AY44" s="60">
        <f>'Evolutitve SCI'!AX13+'Evolutitve SCI'!AX16</f>
        <v>0</v>
      </c>
    </row>
    <row r="45" spans="1:51" x14ac:dyDescent="0.3">
      <c r="A45" s="32">
        <v>10.199999999999999</v>
      </c>
      <c r="B45" s="32" t="s">
        <v>195</v>
      </c>
      <c r="C45" s="60">
        <f>'Evolutitve SCI'!B15</f>
        <v>0</v>
      </c>
      <c r="D45" s="60">
        <f>'Evolutitve SCI'!C15</f>
        <v>0</v>
      </c>
      <c r="E45" s="60">
        <f>'Evolutitve SCI'!D15</f>
        <v>0</v>
      </c>
      <c r="F45" s="60">
        <f>'Evolutitve SCI'!E15</f>
        <v>0</v>
      </c>
      <c r="G45" s="60">
        <f>'Evolutitve SCI'!F15</f>
        <v>0</v>
      </c>
      <c r="H45" s="60">
        <f>'Evolutitve SCI'!G15</f>
        <v>0</v>
      </c>
      <c r="I45" s="60">
        <f>'Evolutitve SCI'!H15</f>
        <v>0</v>
      </c>
      <c r="J45" s="60">
        <f>'Evolutitve SCI'!I15</f>
        <v>0</v>
      </c>
      <c r="K45" s="60">
        <f>'Evolutitve SCI'!J15</f>
        <v>0</v>
      </c>
      <c r="L45" s="60">
        <f>'Evolutitve SCI'!K15</f>
        <v>0</v>
      </c>
      <c r="M45" s="60">
        <f>'Evolutitve SCI'!L15</f>
        <v>0</v>
      </c>
      <c r="N45" s="60">
        <f>'Evolutitve SCI'!M15</f>
        <v>0</v>
      </c>
      <c r="O45" s="60">
        <f>'Evolutitve SCI'!N15</f>
        <v>0</v>
      </c>
      <c r="P45" s="60">
        <f>'Evolutitve SCI'!O15</f>
        <v>0</v>
      </c>
      <c r="Q45" s="60">
        <f>'Evolutitve SCI'!P15</f>
        <v>0</v>
      </c>
      <c r="R45" s="60">
        <f>'Evolutitve SCI'!Q15</f>
        <v>0</v>
      </c>
      <c r="S45" s="60">
        <f>'Evolutitve SCI'!R15</f>
        <v>0</v>
      </c>
      <c r="T45" s="60">
        <f>'Evolutitve SCI'!S15</f>
        <v>0</v>
      </c>
      <c r="U45" s="60">
        <f>'Evolutitve SCI'!T15</f>
        <v>0</v>
      </c>
      <c r="V45" s="60">
        <f>'Evolutitve SCI'!U15</f>
        <v>0</v>
      </c>
      <c r="W45" s="60">
        <f>'Evolutitve SCI'!V15</f>
        <v>0</v>
      </c>
      <c r="X45" s="60">
        <f>'Evolutitve SCI'!W15</f>
        <v>0</v>
      </c>
      <c r="Y45" s="60">
        <f>'Evolutitve SCI'!X15</f>
        <v>0</v>
      </c>
      <c r="Z45" s="60">
        <f>'Evolutitve SCI'!Y15</f>
        <v>0</v>
      </c>
      <c r="AA45" s="60">
        <f>'Evolutitve SCI'!Z15</f>
        <v>0</v>
      </c>
      <c r="AB45" s="60">
        <f>'Evolutitve SCI'!AA15</f>
        <v>0</v>
      </c>
      <c r="AC45" s="60">
        <f>'Evolutitve SCI'!AB15</f>
        <v>0</v>
      </c>
      <c r="AD45" s="60">
        <f>'Evolutitve SCI'!AC15</f>
        <v>0</v>
      </c>
      <c r="AE45" s="60">
        <f>'Evolutitve SCI'!AD15</f>
        <v>0</v>
      </c>
      <c r="AF45" s="60">
        <f>'Evolutitve SCI'!AE15</f>
        <v>0</v>
      </c>
      <c r="AG45" s="60">
        <f>'Evolutitve SCI'!AF15</f>
        <v>0</v>
      </c>
      <c r="AH45" s="60">
        <f>'Evolutitve SCI'!AG15</f>
        <v>0</v>
      </c>
      <c r="AI45" s="60">
        <f>'Evolutitve SCI'!AH15</f>
        <v>0</v>
      </c>
      <c r="AJ45" s="60">
        <f>'Evolutitve SCI'!AI15</f>
        <v>0</v>
      </c>
      <c r="AK45" s="60">
        <f>'Evolutitve SCI'!AJ15</f>
        <v>0</v>
      </c>
      <c r="AL45" s="60">
        <f>'Evolutitve SCI'!AK15</f>
        <v>0</v>
      </c>
      <c r="AM45" s="60">
        <f>'Evolutitve SCI'!AL15</f>
        <v>0</v>
      </c>
      <c r="AN45" s="60">
        <f>'Evolutitve SCI'!AM15</f>
        <v>0</v>
      </c>
      <c r="AO45" s="60">
        <f>'Evolutitve SCI'!AN15</f>
        <v>0</v>
      </c>
      <c r="AP45" s="60">
        <f>'Evolutitve SCI'!AO15</f>
        <v>0</v>
      </c>
      <c r="AQ45" s="60">
        <f>'Evolutitve SCI'!AP15</f>
        <v>0</v>
      </c>
      <c r="AR45" s="60">
        <f>'Evolutitve SCI'!AQ15</f>
        <v>0</v>
      </c>
      <c r="AS45" s="60">
        <f>'Evolutitve SCI'!AR15</f>
        <v>0</v>
      </c>
      <c r="AT45" s="60">
        <f>'Evolutitve SCI'!AS15</f>
        <v>0</v>
      </c>
      <c r="AU45" s="60">
        <f>'Evolutitve SCI'!AT15</f>
        <v>0</v>
      </c>
      <c r="AV45" s="60">
        <f>'Evolutitve SCI'!AU15</f>
        <v>0</v>
      </c>
      <c r="AW45" s="60">
        <f>'Evolutitve SCI'!AV15</f>
        <v>0</v>
      </c>
      <c r="AX45" s="60">
        <f>'Evolutitve SCI'!AW15</f>
        <v>0</v>
      </c>
      <c r="AY45" s="60">
        <f>'Evolutitve SCI'!AX15</f>
        <v>0</v>
      </c>
    </row>
    <row r="46" spans="1:51" x14ac:dyDescent="0.3">
      <c r="A46" s="32">
        <v>10.3</v>
      </c>
      <c r="B46" s="32" t="s">
        <v>196</v>
      </c>
      <c r="C46" s="60">
        <f>'Evolutitve SCI'!B14</f>
        <v>363.72469999999998</v>
      </c>
      <c r="D46" s="60">
        <f>'Evolutitve SCI'!C14</f>
        <v>37739397</v>
      </c>
      <c r="E46" s="60">
        <f>'Evolutitve SCI'!D14</f>
        <v>2165753.1</v>
      </c>
      <c r="F46" s="60">
        <f>'Evolutitve SCI'!E14</f>
        <v>4271346.38</v>
      </c>
      <c r="G46" s="60">
        <f>'Evolutitve SCI'!F14</f>
        <v>6118834.6399999997</v>
      </c>
      <c r="H46" s="60">
        <f>'Evolutitve SCI'!G14</f>
        <v>6118834.6399999997</v>
      </c>
      <c r="I46" s="60">
        <f>'Evolutitve SCI'!H14</f>
        <v>9967121.6600000001</v>
      </c>
      <c r="J46" s="60">
        <f>'Evolutitve SCI'!I14</f>
        <v>14699521.449999999</v>
      </c>
      <c r="K46" s="60">
        <f>'Evolutitve SCI'!J14</f>
        <v>14699521.449999999</v>
      </c>
      <c r="L46" s="60">
        <f>'Evolutitve SCI'!K14</f>
        <v>18190730.850000001</v>
      </c>
      <c r="M46" s="60">
        <f>'Evolutitve SCI'!L14</f>
        <v>19875205.41</v>
      </c>
      <c r="N46" s="60">
        <f>'Evolutitve SCI'!M14</f>
        <v>21449063.530000001</v>
      </c>
      <c r="O46" s="60">
        <f>'Evolutitve SCI'!N14</f>
        <v>21449063.530000001</v>
      </c>
      <c r="P46" s="60">
        <f>'Evolutitve SCI'!O14</f>
        <v>28575178.57</v>
      </c>
      <c r="Q46" s="60">
        <f>'Evolutitve SCI'!P14</f>
        <v>28575179</v>
      </c>
      <c r="R46" s="60">
        <f>'Evolutitve SCI'!Q14</f>
        <v>1445378.3</v>
      </c>
      <c r="S46" s="60">
        <f>'Evolutitve SCI'!R14</f>
        <v>2831812.79</v>
      </c>
      <c r="T46" s="60">
        <f>'Evolutitve SCI'!S14</f>
        <v>4033514.17</v>
      </c>
      <c r="U46" s="60">
        <f>'Evolutitve SCI'!T14</f>
        <v>5069603.25</v>
      </c>
      <c r="V46" s="60">
        <f>'Evolutitve SCI'!U14</f>
        <v>6179163.6100000003</v>
      </c>
      <c r="W46" s="60">
        <f>'Evolutitve SCI'!V14</f>
        <v>17139364.690000001</v>
      </c>
      <c r="X46" s="60">
        <f>'Evolutitve SCI'!W14</f>
        <v>19093067.289999999</v>
      </c>
      <c r="Y46" s="60">
        <f>'Evolutitve SCI'!X14</f>
        <v>22675657.969999999</v>
      </c>
      <c r="Z46" s="60">
        <f>'Evolutitve SCI'!Y14</f>
        <v>25509767.170000002</v>
      </c>
      <c r="AA46" s="60">
        <f>'Evolutitve SCI'!Z14</f>
        <v>27757255.440000001</v>
      </c>
      <c r="AB46" s="60">
        <f>'Evolutitve SCI'!AA14</f>
        <v>30036250.550000001</v>
      </c>
      <c r="AC46" s="60">
        <f>'Evolutitve SCI'!AB14</f>
        <v>38272399.490000002</v>
      </c>
      <c r="AD46" s="60">
        <f>'Evolutitve SCI'!AC14</f>
        <v>30772399</v>
      </c>
      <c r="AE46" s="60">
        <f>'Evolutitve SCI'!AD14</f>
        <v>3014441.9</v>
      </c>
      <c r="AF46" s="60">
        <f>'Evolutitve SCI'!AE14</f>
        <v>10271347.970000001</v>
      </c>
      <c r="AG46" s="60">
        <f>'Evolutitve SCI'!AF14</f>
        <v>12231564.550000001</v>
      </c>
      <c r="AH46" s="60">
        <f>'Evolutitve SCI'!AG14</f>
        <v>14668036.83</v>
      </c>
      <c r="AI46" s="60">
        <f>'Evolutitve SCI'!AH14</f>
        <v>23365396.84</v>
      </c>
      <c r="AJ46" s="60">
        <f>'Evolutitve SCI'!AI14</f>
        <v>0</v>
      </c>
      <c r="AK46" s="60">
        <f>'Evolutitve SCI'!AJ14</f>
        <v>0</v>
      </c>
      <c r="AL46" s="60">
        <f>'Evolutitve SCI'!AK14</f>
        <v>0</v>
      </c>
      <c r="AM46" s="60">
        <f>'Evolutitve SCI'!AL14</f>
        <v>0</v>
      </c>
      <c r="AN46" s="60">
        <f>'Evolutitve SCI'!AM14</f>
        <v>0</v>
      </c>
      <c r="AO46" s="60">
        <f>'Evolutitve SCI'!AN14</f>
        <v>0</v>
      </c>
      <c r="AP46" s="60">
        <f>'Evolutitve SCI'!AO14</f>
        <v>0</v>
      </c>
      <c r="AQ46" s="60">
        <f>'Evolutitve SCI'!AP14</f>
        <v>0</v>
      </c>
      <c r="AR46" s="60">
        <f>'Evolutitve SCI'!AQ14</f>
        <v>0</v>
      </c>
      <c r="AS46" s="60">
        <f>'Evolutitve SCI'!AR14</f>
        <v>0</v>
      </c>
      <c r="AT46" s="60">
        <f>'Evolutitve SCI'!AS14</f>
        <v>0</v>
      </c>
      <c r="AU46" s="60">
        <f>'Evolutitve SCI'!AT14</f>
        <v>0</v>
      </c>
      <c r="AV46" s="60">
        <f>'Evolutitve SCI'!AU14</f>
        <v>0</v>
      </c>
      <c r="AW46" s="60">
        <f>'Evolutitve SCI'!AV14</f>
        <v>0</v>
      </c>
      <c r="AX46" s="60">
        <f>'Evolutitve SCI'!AW14</f>
        <v>0</v>
      </c>
      <c r="AY46" s="60">
        <f>'Evolutitve SCI'!AX14</f>
        <v>0</v>
      </c>
    </row>
    <row r="47" spans="1:51" x14ac:dyDescent="0.3">
      <c r="A47" s="32">
        <v>10.4</v>
      </c>
      <c r="B47" s="32" t="s">
        <v>197</v>
      </c>
      <c r="C47" s="60">
        <f>'Evolutitve SCI'!B23</f>
        <v>11019.3799</v>
      </c>
      <c r="D47" s="60">
        <f>'Evolutitve SCI'!C23</f>
        <v>558837310</v>
      </c>
      <c r="E47" s="60">
        <f>'Evolutitve SCI'!D23</f>
        <v>32772520.550000001</v>
      </c>
      <c r="F47" s="60">
        <f>'Evolutitve SCI'!E23</f>
        <v>79332679.400000006</v>
      </c>
      <c r="G47" s="60">
        <f>'Evolutitve SCI'!F23</f>
        <v>123544453.69</v>
      </c>
      <c r="H47" s="60">
        <f>'Evolutitve SCI'!G23</f>
        <v>169789978.29000002</v>
      </c>
      <c r="I47" s="60">
        <f>'Evolutitve SCI'!H23</f>
        <v>215306911.16</v>
      </c>
      <c r="J47" s="60">
        <f>'Evolutitve SCI'!I23</f>
        <v>257624368.34000003</v>
      </c>
      <c r="K47" s="60">
        <f>'Evolutitve SCI'!J23</f>
        <v>295790301.61000001</v>
      </c>
      <c r="L47" s="60">
        <f>'Evolutitve SCI'!K23</f>
        <v>333293912.53000003</v>
      </c>
      <c r="M47" s="60">
        <f>'Evolutitve SCI'!L23</f>
        <v>394834773.11000001</v>
      </c>
      <c r="N47" s="60">
        <f>'Evolutitve SCI'!M23</f>
        <v>443156709.45000005</v>
      </c>
      <c r="O47" s="60">
        <f>'Evolutitve SCI'!N23</f>
        <v>504546337.67999995</v>
      </c>
      <c r="P47" s="60">
        <f>'Evolutitve SCI'!O23</f>
        <v>566089884.67999995</v>
      </c>
      <c r="Q47" s="60">
        <f>'Evolutitve SCI'!P23</f>
        <v>656767522</v>
      </c>
      <c r="R47" s="60">
        <f>'Evolutitve SCI'!Q23</f>
        <v>34543287.550000004</v>
      </c>
      <c r="S47" s="60">
        <f>'Evolutitve SCI'!R23</f>
        <v>91564695.450000003</v>
      </c>
      <c r="T47" s="60">
        <f>'Evolutitve SCI'!S23</f>
        <v>153881747.87</v>
      </c>
      <c r="U47" s="60">
        <f>'Evolutitve SCI'!T23</f>
        <v>196507242.09</v>
      </c>
      <c r="V47" s="60">
        <f>'Evolutitve SCI'!U23</f>
        <v>243557291.27999997</v>
      </c>
      <c r="W47" s="60">
        <f>'Evolutitve SCI'!V23</f>
        <v>299048893.88</v>
      </c>
      <c r="X47" s="60">
        <f>'Evolutitve SCI'!W23</f>
        <v>367952074.66999996</v>
      </c>
      <c r="Y47" s="60">
        <f>'Evolutitve SCI'!X23</f>
        <v>407361243.30000001</v>
      </c>
      <c r="Z47" s="60">
        <f>'Evolutitve SCI'!Y23</f>
        <v>469505884.97000003</v>
      </c>
      <c r="AA47" s="60">
        <f>'Evolutitve SCI'!Z23</f>
        <v>514972694.69</v>
      </c>
      <c r="AB47" s="60">
        <f>'Evolutitve SCI'!AA23</f>
        <v>586386002.03999996</v>
      </c>
      <c r="AC47" s="60">
        <f>'Evolutitve SCI'!AB23</f>
        <v>672968820.13999999</v>
      </c>
      <c r="AD47" s="60">
        <f>'Evolutitve SCI'!AC23</f>
        <v>777259444</v>
      </c>
      <c r="AE47" s="60">
        <f>'Evolutitve SCI'!AD23</f>
        <v>34664361.57</v>
      </c>
      <c r="AF47" s="60">
        <f>'Evolutitve SCI'!AE23</f>
        <v>84404958.909999996</v>
      </c>
      <c r="AG47" s="60">
        <f>'Evolutitve SCI'!AF23</f>
        <v>158400645.72</v>
      </c>
      <c r="AH47" s="60">
        <f>'Evolutitve SCI'!AG23</f>
        <v>209442482.25999999</v>
      </c>
      <c r="AI47" s="60">
        <f>'Evolutitve SCI'!AH23</f>
        <v>262237703.02000001</v>
      </c>
      <c r="AJ47" s="60">
        <f>'Evolutitve SCI'!AI23</f>
        <v>0</v>
      </c>
      <c r="AK47" s="60">
        <f>'Evolutitve SCI'!AJ23</f>
        <v>0</v>
      </c>
      <c r="AL47" s="60">
        <f>'Evolutitve SCI'!AK23</f>
        <v>0</v>
      </c>
      <c r="AM47" s="60">
        <f>'Evolutitve SCI'!AL23</f>
        <v>0</v>
      </c>
      <c r="AN47" s="60">
        <f>'Evolutitve SCI'!AM23</f>
        <v>0</v>
      </c>
      <c r="AO47" s="60">
        <f>'Evolutitve SCI'!AN23</f>
        <v>0</v>
      </c>
      <c r="AP47" s="60">
        <f>'Evolutitve SCI'!AO23</f>
        <v>0</v>
      </c>
      <c r="AQ47" s="60">
        <f>'Evolutitve SCI'!AP23</f>
        <v>0</v>
      </c>
      <c r="AR47" s="60">
        <f>'Evolutitve SCI'!AQ23</f>
        <v>0</v>
      </c>
      <c r="AS47" s="60">
        <f>'Evolutitve SCI'!AR23</f>
        <v>0</v>
      </c>
      <c r="AT47" s="60">
        <f>'Evolutitve SCI'!AS23</f>
        <v>0</v>
      </c>
      <c r="AU47" s="60">
        <f>'Evolutitve SCI'!AT23</f>
        <v>0</v>
      </c>
      <c r="AV47" s="60">
        <f>'Evolutitve SCI'!AU23</f>
        <v>0</v>
      </c>
      <c r="AW47" s="60">
        <f>'Evolutitve SCI'!AV23</f>
        <v>0</v>
      </c>
      <c r="AX47" s="60">
        <f>'Evolutitve SCI'!AW23</f>
        <v>0</v>
      </c>
      <c r="AY47" s="60">
        <f>'Evolutitve SCI'!AX23</f>
        <v>0</v>
      </c>
    </row>
  </sheetData>
  <pageMargins left="0.7" right="0.7" top="0.75" bottom="0.75" header="0.3" footer="0.3"/>
  <pageSetup scale="4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U30"/>
  <sheetViews>
    <sheetView workbookViewId="0">
      <pane xSplit="2" ySplit="3" topLeftCell="Q7" activePane="bottomRight" state="frozen"/>
      <selection pane="topRight" activeCell="C1" sqref="C1"/>
      <selection pane="bottomLeft" activeCell="A4" sqref="A4"/>
      <selection pane="bottomRight" activeCell="V7" sqref="V7"/>
    </sheetView>
  </sheetViews>
  <sheetFormatPr defaultRowHeight="14.4" x14ac:dyDescent="0.3"/>
  <cols>
    <col min="1" max="1" width="13.5546875" bestFit="1" customWidth="1"/>
    <col min="2" max="2" width="10.44140625" bestFit="1" customWidth="1"/>
    <col min="3" max="4" width="12.88671875" bestFit="1" customWidth="1"/>
    <col min="5" max="5" width="12.5546875" bestFit="1" customWidth="1"/>
    <col min="6" max="7" width="12.88671875" bestFit="1" customWidth="1"/>
    <col min="8" max="9" width="12.5546875" bestFit="1" customWidth="1"/>
    <col min="10" max="10" width="6.5546875" bestFit="1" customWidth="1"/>
    <col min="11" max="11" width="7" bestFit="1" customWidth="1"/>
    <col min="12" max="12" width="7.33203125" bestFit="1" customWidth="1"/>
    <col min="13" max="13" width="6.88671875" bestFit="1" customWidth="1"/>
    <col min="14" max="14" width="7.5546875" bestFit="1" customWidth="1"/>
    <col min="15" max="15" width="9.33203125" customWidth="1"/>
    <col min="16" max="16" width="10.109375" customWidth="1"/>
    <col min="17" max="17" width="12" customWidth="1"/>
    <col min="18" max="18" width="14.33203125" customWidth="1"/>
    <col min="19" max="19" width="10.6640625" customWidth="1"/>
    <col min="20" max="20" width="10.44140625" customWidth="1"/>
    <col min="21" max="21" width="12.109375" customWidth="1"/>
  </cols>
  <sheetData>
    <row r="2" spans="1:21" ht="26.4" thickBot="1" x14ac:dyDescent="0.55000000000000004">
      <c r="A2" s="209" t="s">
        <v>198</v>
      </c>
      <c r="B2" s="210"/>
      <c r="C2" s="210"/>
      <c r="D2" s="210"/>
      <c r="E2" s="210"/>
      <c r="F2" s="211"/>
    </row>
    <row r="3" spans="1:21" ht="40.200000000000003" x14ac:dyDescent="0.3">
      <c r="A3" s="119" t="s">
        <v>199</v>
      </c>
      <c r="B3" s="120" t="s">
        <v>200</v>
      </c>
      <c r="C3" s="121" t="s">
        <v>0</v>
      </c>
      <c r="D3" s="121" t="s">
        <v>201</v>
      </c>
      <c r="E3" s="151">
        <v>44197.120173611111</v>
      </c>
      <c r="F3" s="151">
        <v>44229</v>
      </c>
      <c r="G3" s="151">
        <v>44258</v>
      </c>
      <c r="H3" s="151">
        <v>44290</v>
      </c>
      <c r="I3" s="151">
        <v>44321</v>
      </c>
      <c r="J3" s="151">
        <v>44353</v>
      </c>
      <c r="K3" s="151">
        <v>44384</v>
      </c>
      <c r="L3" s="151">
        <v>44416</v>
      </c>
      <c r="M3" s="151">
        <v>44448</v>
      </c>
      <c r="N3" s="151">
        <v>44479</v>
      </c>
      <c r="O3" s="151">
        <v>44511</v>
      </c>
      <c r="P3" s="151">
        <v>44542</v>
      </c>
      <c r="Q3" s="122" t="s">
        <v>2</v>
      </c>
      <c r="R3" s="122">
        <v>44562</v>
      </c>
      <c r="S3" s="122">
        <v>44593</v>
      </c>
      <c r="T3" s="122">
        <v>44621</v>
      </c>
      <c r="U3" s="122">
        <v>44652</v>
      </c>
    </row>
    <row r="4" spans="1:21" x14ac:dyDescent="0.3">
      <c r="A4" s="123" t="s">
        <v>202</v>
      </c>
      <c r="B4" s="124"/>
      <c r="C4" s="124"/>
      <c r="D4" s="124"/>
      <c r="E4" s="125"/>
      <c r="F4" s="125"/>
      <c r="G4" s="124"/>
      <c r="H4" s="124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</row>
    <row r="5" spans="1:21" x14ac:dyDescent="0.3">
      <c r="A5" s="53" t="s">
        <v>203</v>
      </c>
      <c r="B5" s="126" t="s">
        <v>204</v>
      </c>
      <c r="C5" s="127" t="str">
        <f>IF(CAELS!D3&gt;10,"1","5")</f>
        <v>1</v>
      </c>
      <c r="D5" s="127" t="str">
        <f>IF(CAELS!E3&gt;10,"1","5")</f>
        <v>1</v>
      </c>
      <c r="E5" s="127" t="str">
        <f>IF(CAELS!F3&gt;10,"1","5")</f>
        <v>1</v>
      </c>
      <c r="F5" s="127" t="str">
        <f>IF(CAELS!G3&gt;10,"1","5")</f>
        <v>1</v>
      </c>
      <c r="G5" s="127" t="str">
        <f>IF(CAELS!H3&gt;10,"1","5")</f>
        <v>1</v>
      </c>
      <c r="H5" s="127" t="str">
        <f>IF(CAELS!I3&gt;10,"1","5")</f>
        <v>1</v>
      </c>
      <c r="I5" s="127" t="str">
        <f>IF(CAELS!J3&gt;10,"1","5")</f>
        <v>1</v>
      </c>
      <c r="J5" s="127" t="str">
        <f>IF(CAELS!K3&gt;10,"1","5")</f>
        <v>1</v>
      </c>
      <c r="K5" s="127" t="str">
        <f>IF(CAELS!L3&gt;10,"1","5")</f>
        <v>1</v>
      </c>
      <c r="L5" s="127" t="str">
        <f>IF(CAELS!M3&gt;10,"1","5")</f>
        <v>1</v>
      </c>
      <c r="M5" s="127" t="str">
        <f>IF(CAELS!N3&gt;10,"1","5")</f>
        <v>1</v>
      </c>
      <c r="N5" s="127" t="str">
        <f>IF(CAELS!O3&gt;10,"1","5")</f>
        <v>1</v>
      </c>
      <c r="O5" s="127" t="str">
        <f>IF(CAELS!P3&gt;10,"1","5")</f>
        <v>1</v>
      </c>
      <c r="P5" s="127" t="str">
        <f>IF(CAELS!Q3&gt;10,"1","5")</f>
        <v>1</v>
      </c>
      <c r="Q5" s="127" t="str">
        <f>IF(CAELS!R3&gt;10,"1","5")</f>
        <v>1</v>
      </c>
      <c r="R5" s="127" t="str">
        <f>IF(CAELS!S3&gt;10,"1","5")</f>
        <v>1</v>
      </c>
      <c r="S5" s="127" t="str">
        <f>IF(CAELS!T3&gt;10,"1","5")</f>
        <v>1</v>
      </c>
      <c r="T5" s="127" t="str">
        <f>IF(CAELS!U3&gt;10,"1","5")</f>
        <v>1</v>
      </c>
      <c r="U5" s="127" t="str">
        <f>IF(CAELS!V3&gt;10,"1","5")</f>
        <v>1</v>
      </c>
    </row>
    <row r="6" spans="1:21" x14ac:dyDescent="0.3">
      <c r="A6" s="53" t="s">
        <v>105</v>
      </c>
      <c r="B6" s="126" t="s">
        <v>205</v>
      </c>
      <c r="C6" s="128" t="str">
        <f>IF(CAELS!D4&gt;20%,"1",IF(CAELS!D4&gt;15%,"2",IF(CAELS!D4&gt;12%,"3",IF(CAELS!D4&gt;10%,"4","5"))))</f>
        <v>4</v>
      </c>
      <c r="D6" s="128" t="str">
        <f>IF(CAELS!E4&gt;20%,"1",IF(CAELS!E4&gt;15%,"2",IF(CAELS!E4&gt;12%,"3",IF(CAELS!E4&gt;10%,"4","5"))))</f>
        <v>1</v>
      </c>
      <c r="E6" s="128" t="str">
        <f>IF(CAELS!F4&gt;20%,"1",IF(CAELS!F4&gt;15%,"2",IF(CAELS!F4&gt;12%,"3",IF(CAELS!F4&gt;10%,"4","5"))))</f>
        <v>1</v>
      </c>
      <c r="F6" s="128" t="str">
        <f>IF(CAELS!G4&gt;20%,"1",IF(CAELS!G4&gt;15%,"2",IF(CAELS!G4&gt;12%,"3",IF(CAELS!G4&gt;10%,"4","5"))))</f>
        <v>1</v>
      </c>
      <c r="G6" s="128" t="str">
        <f>IF(CAELS!H4&gt;20%,"1",IF(CAELS!H4&gt;15%,"2",IF(CAELS!H4&gt;12%,"3",IF(CAELS!H4&gt;10%,"4","5"))))</f>
        <v>1</v>
      </c>
      <c r="H6" s="128" t="str">
        <f>IF(CAELS!I4&gt;20%,"1",IF(CAELS!I4&gt;15%,"2",IF(CAELS!I4&gt;12%,"3",IF(CAELS!I4&gt;10%,"4","5"))))</f>
        <v>1</v>
      </c>
      <c r="I6" s="128" t="str">
        <f>IF(CAELS!J4&gt;20%,"1",IF(CAELS!J4&gt;15%,"2",IF(CAELS!J4&gt;12%,"3",IF(CAELS!J4&gt;10%,"4","5"))))</f>
        <v>1</v>
      </c>
      <c r="J6" s="128" t="str">
        <f>IF(CAELS!K4&gt;20%,"1",IF(CAELS!K4&gt;15%,"2",IF(CAELS!K4&gt;12%,"3",IF(CAELS!K4&gt;10%,"4","5"))))</f>
        <v>1</v>
      </c>
      <c r="K6" s="128" t="str">
        <f>IF(CAELS!L4&gt;20%,"1",IF(CAELS!L4&gt;15%,"2",IF(CAELS!L4&gt;12%,"3",IF(CAELS!L4&gt;10%,"4","5"))))</f>
        <v>1</v>
      </c>
      <c r="L6" s="128" t="str">
        <f>IF(CAELS!M4&gt;20%,"1",IF(CAELS!M4&gt;15%,"2",IF(CAELS!M4&gt;12%,"3",IF(CAELS!M4&gt;10%,"4","5"))))</f>
        <v>1</v>
      </c>
      <c r="M6" s="128" t="str">
        <f>IF(CAELS!N4&gt;20%,"1",IF(CAELS!N4&gt;15%,"2",IF(CAELS!N4&gt;12%,"3",IF(CAELS!N4&gt;10%,"4","5"))))</f>
        <v>1</v>
      </c>
      <c r="N6" s="128" t="str">
        <f>IF(CAELS!O4&gt;20%,"1",IF(CAELS!O4&gt;15%,"2",IF(CAELS!O4&gt;12%,"3",IF(CAELS!O4&gt;10%,"4","5"))))</f>
        <v>1</v>
      </c>
      <c r="O6" s="128" t="str">
        <f>IF(CAELS!P4&gt;20%,"1",IF(CAELS!P4&gt;15%,"2",IF(CAELS!P4&gt;12%,"3",IF(CAELS!P4&gt;10%,"4","5"))))</f>
        <v>1</v>
      </c>
      <c r="P6" s="128" t="str">
        <f>IF(CAELS!Q4&gt;20%,"1",IF(CAELS!Q4&gt;15%,"2",IF(CAELS!Q4&gt;12%,"3",IF(CAELS!Q4&gt;10%,"4","5"))))</f>
        <v>1</v>
      </c>
      <c r="Q6" s="128" t="str">
        <f>IF(CAELS!R4&gt;20%,"1",IF(CAELS!R4&gt;15%,"2",IF(CAELS!R4&gt;12%,"3",IF(CAELS!R4&gt;10%,"4","5"))))</f>
        <v>1</v>
      </c>
      <c r="R6" s="128" t="str">
        <f>IF(CAELS!S4&gt;20%,"1",IF(CAELS!S4&gt;15%,"2",IF(CAELS!S4&gt;12%,"3",IF(CAELS!S4&gt;10%,"4","5"))))</f>
        <v>1</v>
      </c>
      <c r="S6" s="128" t="str">
        <f>IF(CAELS!T4&gt;20%,"1",IF(CAELS!T4&gt;15%,"2",IF(CAELS!T4&gt;12%,"3",IF(CAELS!T4&gt;10%,"4","5"))))</f>
        <v>1</v>
      </c>
      <c r="T6" s="128" t="str">
        <f>IF(CAELS!U4&gt;20%,"1",IF(CAELS!U4&gt;15%,"2",IF(CAELS!U4&gt;12%,"3",IF(CAELS!U4&gt;10%,"4","5"))))</f>
        <v>1</v>
      </c>
      <c r="U6" s="128" t="str">
        <f>IF(CAELS!V4&gt;20%,"1",IF(CAELS!V4&gt;15%,"2",IF(CAELS!V4&gt;12%,"3",IF(CAELS!V4&gt;10%,"4","5"))))</f>
        <v>1</v>
      </c>
    </row>
    <row r="7" spans="1:21" x14ac:dyDescent="0.3">
      <c r="A7" s="53" t="s">
        <v>109</v>
      </c>
      <c r="B7" s="126" t="s">
        <v>206</v>
      </c>
      <c r="C7" s="128" t="str">
        <f>IF(CAELS!D6&gt;15%,"1",IF(CAELS!D6&gt;12%,"2",IF(CAELS!D6&gt;10%,"3",IF(CAELS!D6&gt;8,"4","5"))))</f>
        <v>5</v>
      </c>
      <c r="D7" s="128" t="str">
        <f>IF(CAELS!E6&gt;15%,"1",IF(CAELS!E6&gt;12%,"2",IF(CAELS!E6&gt;10%,"3",IF(CAELS!E6&gt;8,"4","5"))))</f>
        <v>1</v>
      </c>
      <c r="E7" s="128" t="str">
        <f>IF(CAELS!F6&gt;15%,"1",IF(CAELS!F6&gt;12%,"2",IF(CAELS!F6&gt;10%,"3",IF(CAELS!F6&gt;8,"4","5"))))</f>
        <v>1</v>
      </c>
      <c r="F7" s="128" t="str">
        <f>IF(CAELS!G6&gt;15%,"1",IF(CAELS!G6&gt;12%,"2",IF(CAELS!G6&gt;10%,"3",IF(CAELS!G6&gt;8,"4","5"))))</f>
        <v>1</v>
      </c>
      <c r="G7" s="128" t="str">
        <f>IF(CAELS!H6&gt;15%,"1",IF(CAELS!H6&gt;12%,"2",IF(CAELS!H6&gt;10%,"3",IF(CAELS!H6&gt;8,"4","5"))))</f>
        <v>1</v>
      </c>
      <c r="H7" s="128" t="str">
        <f>IF(CAELS!I6&gt;15%,"1",IF(CAELS!I6&gt;12%,"2",IF(CAELS!I6&gt;10%,"3",IF(CAELS!I6&gt;8,"4","5"))))</f>
        <v>1</v>
      </c>
      <c r="I7" s="128" t="str">
        <f>IF(CAELS!J6&gt;15%,"1",IF(CAELS!J6&gt;12%,"2",IF(CAELS!J6&gt;10%,"3",IF(CAELS!J6&gt;8,"4","5"))))</f>
        <v>1</v>
      </c>
      <c r="J7" s="128" t="str">
        <f>IF(CAELS!K6&gt;15%,"1",IF(CAELS!K6&gt;12%,"2",IF(CAELS!K6&gt;10%,"3",IF(CAELS!K6&gt;8,"4","5"))))</f>
        <v>1</v>
      </c>
      <c r="K7" s="128" t="str">
        <f>IF(CAELS!L6&gt;15%,"1",IF(CAELS!L6&gt;12%,"2",IF(CAELS!L6&gt;10%,"3",IF(CAELS!L6&gt;8,"4","5"))))</f>
        <v>1</v>
      </c>
      <c r="L7" s="128" t="str">
        <f>IF(CAELS!M6&gt;15%,"1",IF(CAELS!M6&gt;12%,"2",IF(CAELS!M6&gt;10%,"3",IF(CAELS!M6&gt;8,"4","5"))))</f>
        <v>1</v>
      </c>
      <c r="M7" s="128" t="str">
        <f>IF(CAELS!N6&gt;15%,"1",IF(CAELS!N6&gt;12%,"2",IF(CAELS!N6&gt;10%,"3",IF(CAELS!N6&gt;8,"4","5"))))</f>
        <v>1</v>
      </c>
      <c r="N7" s="128" t="str">
        <f>IF(CAELS!O6&gt;15%,"1",IF(CAELS!O6&gt;12%,"2",IF(CAELS!O6&gt;10%,"3",IF(CAELS!O6&gt;8,"4","5"))))</f>
        <v>1</v>
      </c>
      <c r="O7" s="128" t="str">
        <f>IF(CAELS!P6&gt;15%,"1",IF(CAELS!P6&gt;12%,"2",IF(CAELS!P6&gt;10%,"3",IF(CAELS!P6&gt;8,"4","5"))))</f>
        <v>1</v>
      </c>
      <c r="P7" s="128" t="str">
        <f>IF(CAELS!Q6&gt;15%,"1",IF(CAELS!Q6&gt;12%,"2",IF(CAELS!Q6&gt;10%,"3",IF(CAELS!Q6&gt;8,"4","5"))))</f>
        <v>1</v>
      </c>
      <c r="Q7" s="128" t="str">
        <f>IF(CAELS!R6&gt;15%,"1",IF(CAELS!R6&gt;12%,"2",IF(CAELS!R6&gt;10%,"3",IF(CAELS!R6&gt;8,"4","5"))))</f>
        <v>1</v>
      </c>
      <c r="R7" s="128" t="str">
        <f>IF(CAELS!S6&gt;15%,"1",IF(CAELS!S6&gt;12%,"2",IF(CAELS!S6&gt;10%,"3",IF(CAELS!S6&gt;8,"4","5"))))</f>
        <v>1</v>
      </c>
      <c r="S7" s="128" t="str">
        <f>IF(CAELS!T6&gt;15%,"1",IF(CAELS!T6&gt;12%,"2",IF(CAELS!T6&gt;10%,"3",IF(CAELS!T6&gt;8,"4","5"))))</f>
        <v>1</v>
      </c>
      <c r="T7" s="128" t="str">
        <f>IF(CAELS!U6&gt;15%,"1",IF(CAELS!U6&gt;12%,"2",IF(CAELS!U6&gt;10%,"3",IF(CAELS!U6&gt;8,"4","5"))))</f>
        <v>1</v>
      </c>
      <c r="U7" s="128" t="str">
        <f>IF(CAELS!V6&gt;15%,"1",IF(CAELS!V6&gt;12%,"2",IF(CAELS!V6&gt;10%,"3",IF(CAELS!V6&gt;8,"4","5"))))</f>
        <v>1</v>
      </c>
    </row>
    <row r="8" spans="1:21" x14ac:dyDescent="0.3">
      <c r="A8" s="53" t="s">
        <v>107</v>
      </c>
      <c r="B8" s="126" t="s">
        <v>206</v>
      </c>
      <c r="C8" s="128" t="str">
        <f>IF(CAELS!D5&gt;20%,"1",IF(CAELS!D5&gt;15%,"2",IF(CAELS!D5&gt;12%,"3",IF(CAELS!D5&gt;10%,"4","5"))))</f>
        <v>4</v>
      </c>
      <c r="D8" s="128" t="str">
        <f>IF(CAELS!E5&gt;20%,"1",IF(CAELS!E5&gt;15%,"2",IF(CAELS!E5&gt;12%,"3",IF(CAELS!E5&gt;10%,"4","5"))))</f>
        <v>1</v>
      </c>
      <c r="E8" s="128" t="str">
        <f>IF(CAELS!F5&gt;20%,"1",IF(CAELS!F5&gt;15%,"2",IF(CAELS!F5&gt;12%,"3",IF(CAELS!F5&gt;10%,"4","5"))))</f>
        <v>1</v>
      </c>
      <c r="F8" s="128" t="str">
        <f>IF(CAELS!G5&gt;20%,"1",IF(CAELS!G5&gt;15%,"2",IF(CAELS!G5&gt;12%,"3",IF(CAELS!G5&gt;10%,"4","5"))))</f>
        <v>1</v>
      </c>
      <c r="G8" s="128" t="str">
        <f>IF(CAELS!H5&gt;20%,"1",IF(CAELS!H5&gt;15%,"2",IF(CAELS!H5&gt;12%,"3",IF(CAELS!H5&gt;10%,"4","5"))))</f>
        <v>1</v>
      </c>
      <c r="H8" s="128" t="str">
        <f>IF(CAELS!I5&gt;20%,"1",IF(CAELS!I5&gt;15%,"2",IF(CAELS!I5&gt;12%,"3",IF(CAELS!I5&gt;10%,"4","5"))))</f>
        <v>1</v>
      </c>
      <c r="I8" s="128" t="str">
        <f>IF(CAELS!J5&gt;20%,"1",IF(CAELS!J5&gt;15%,"2",IF(CAELS!J5&gt;12%,"3",IF(CAELS!J5&gt;10%,"4","5"))))</f>
        <v>1</v>
      </c>
      <c r="J8" s="128" t="str">
        <f>IF(CAELS!K5&gt;20%,"1",IF(CAELS!K5&gt;15%,"2",IF(CAELS!K5&gt;12%,"3",IF(CAELS!K5&gt;10%,"4","5"))))</f>
        <v>1</v>
      </c>
      <c r="K8" s="128" t="str">
        <f>IF(CAELS!L5&gt;20%,"1",IF(CAELS!L5&gt;15%,"2",IF(CAELS!L5&gt;12%,"3",IF(CAELS!L5&gt;10%,"4","5"))))</f>
        <v>1</v>
      </c>
      <c r="L8" s="128" t="str">
        <f>IF(CAELS!M5&gt;20%,"1",IF(CAELS!M5&gt;15%,"2",IF(CAELS!M5&gt;12%,"3",IF(CAELS!M5&gt;10%,"4","5"))))</f>
        <v>1</v>
      </c>
      <c r="M8" s="128" t="str">
        <f>IF(CAELS!N5&gt;20%,"1",IF(CAELS!N5&gt;15%,"2",IF(CAELS!N5&gt;12%,"3",IF(CAELS!N5&gt;10%,"4","5"))))</f>
        <v>1</v>
      </c>
      <c r="N8" s="128" t="str">
        <f>IF(CAELS!O5&gt;20%,"1",IF(CAELS!O5&gt;15%,"2",IF(CAELS!O5&gt;12%,"3",IF(CAELS!O5&gt;10%,"4","5"))))</f>
        <v>1</v>
      </c>
      <c r="O8" s="128" t="str">
        <f>IF(CAELS!P5&gt;20%,"1",IF(CAELS!P5&gt;15%,"2",IF(CAELS!P5&gt;12%,"3",IF(CAELS!P5&gt;10%,"4","5"))))</f>
        <v>1</v>
      </c>
      <c r="P8" s="128" t="str">
        <f>IF(CAELS!Q5&gt;20%,"1",IF(CAELS!Q5&gt;15%,"2",IF(CAELS!Q5&gt;12%,"3",IF(CAELS!Q5&gt;10%,"4","5"))))</f>
        <v>1</v>
      </c>
      <c r="Q8" s="128" t="str">
        <f>IF(CAELS!R5&gt;20%,"1",IF(CAELS!R5&gt;15%,"2",IF(CAELS!R5&gt;12%,"3",IF(CAELS!R5&gt;10%,"4","5"))))</f>
        <v>1</v>
      </c>
      <c r="R8" s="128" t="str">
        <f>IF(CAELS!S5&gt;20%,"1",IF(CAELS!S5&gt;15%,"2",IF(CAELS!S5&gt;12%,"3",IF(CAELS!S5&gt;10%,"4","5"))))</f>
        <v>1</v>
      </c>
      <c r="S8" s="128" t="str">
        <f>IF(CAELS!T5&gt;20%,"1",IF(CAELS!T5&gt;15%,"2",IF(CAELS!T5&gt;12%,"3",IF(CAELS!T5&gt;10%,"4","5"))))</f>
        <v>1</v>
      </c>
      <c r="T8" s="128" t="str">
        <f>IF(CAELS!U5&gt;20%,"1",IF(CAELS!U5&gt;15%,"2",IF(CAELS!U5&gt;12%,"3",IF(CAELS!U5&gt;10%,"4","5"))))</f>
        <v>1</v>
      </c>
      <c r="U8" s="128" t="str">
        <f>IF(CAELS!V5&gt;20%,"1",IF(CAELS!V5&gt;15%,"2",IF(CAELS!V5&gt;12%,"3",IF(CAELS!V5&gt;10%,"4","5"))))</f>
        <v>1</v>
      </c>
    </row>
    <row r="9" spans="1:21" x14ac:dyDescent="0.3">
      <c r="A9" s="53"/>
      <c r="B9" s="126"/>
      <c r="C9" s="138">
        <f t="shared" ref="C9:K9" si="0">(C5+C6+C7+C8)/4</f>
        <v>3.5</v>
      </c>
      <c r="D9" s="138">
        <f t="shared" si="0"/>
        <v>1</v>
      </c>
      <c r="E9" s="139">
        <f t="shared" si="0"/>
        <v>1</v>
      </c>
      <c r="F9" s="139">
        <f t="shared" si="0"/>
        <v>1</v>
      </c>
      <c r="G9" s="138">
        <f t="shared" si="0"/>
        <v>1</v>
      </c>
      <c r="H9" s="138">
        <f t="shared" si="0"/>
        <v>1</v>
      </c>
      <c r="I9" s="139">
        <f t="shared" si="0"/>
        <v>1</v>
      </c>
      <c r="J9" s="139">
        <f t="shared" si="0"/>
        <v>1</v>
      </c>
      <c r="K9" s="139">
        <f t="shared" si="0"/>
        <v>1</v>
      </c>
      <c r="L9" s="139">
        <f t="shared" ref="L9:S9" si="1">(L5+L6+L7+L8)/4</f>
        <v>1</v>
      </c>
      <c r="M9" s="139">
        <f t="shared" si="1"/>
        <v>1</v>
      </c>
      <c r="N9" s="139">
        <f t="shared" si="1"/>
        <v>1</v>
      </c>
      <c r="O9" s="139">
        <f t="shared" si="1"/>
        <v>1</v>
      </c>
      <c r="P9" s="139">
        <f t="shared" si="1"/>
        <v>1</v>
      </c>
      <c r="Q9" s="139">
        <f t="shared" si="1"/>
        <v>1</v>
      </c>
      <c r="R9" s="139">
        <f t="shared" si="1"/>
        <v>1</v>
      </c>
      <c r="S9" s="139">
        <f t="shared" si="1"/>
        <v>1</v>
      </c>
      <c r="T9" s="139">
        <f>(T5+T6+T7+T8)/4</f>
        <v>1</v>
      </c>
      <c r="U9" s="139">
        <f>(U5+U6+U7+U8)/4</f>
        <v>1</v>
      </c>
    </row>
    <row r="10" spans="1:21" x14ac:dyDescent="0.3">
      <c r="A10" s="123" t="s">
        <v>207</v>
      </c>
      <c r="B10" s="124"/>
      <c r="C10" s="124"/>
      <c r="D10" s="124"/>
      <c r="E10" s="129"/>
      <c r="F10" s="129"/>
      <c r="G10" s="124"/>
      <c r="H10" s="124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</row>
    <row r="11" spans="1:21" x14ac:dyDescent="0.3">
      <c r="A11" s="53" t="s">
        <v>93</v>
      </c>
      <c r="B11" s="126" t="s">
        <v>208</v>
      </c>
      <c r="C11" s="130"/>
      <c r="D11" s="131"/>
      <c r="E11" s="131"/>
      <c r="F11" s="131"/>
      <c r="G11" s="131"/>
      <c r="H11" s="131"/>
      <c r="I11" s="131"/>
      <c r="J11" s="131"/>
      <c r="K11" s="131"/>
      <c r="L11" s="131" t="str">
        <f>IF(CAELS!M8&lt;4%,"1",IF(CAELS!M8&lt;8%,"2",IF(CAELS!M8&lt;12%,"3",IF(CAELS!M8&lt;15%,"4","5"))))</f>
        <v>1</v>
      </c>
      <c r="M11" s="131"/>
      <c r="N11" s="131"/>
      <c r="O11" s="131" t="str">
        <f>IF(CAELS!P8&lt;4%,"1",IF(CAELS!P8&lt;8%,"2",IF(CAELS!P8&lt;12%,"3",IF(CAELS!P8&lt;15%,"4","5"))))</f>
        <v>1</v>
      </c>
      <c r="P11" s="131"/>
      <c r="Q11" s="131"/>
      <c r="R11" s="131" t="str">
        <f>IF(CAELS!S8&lt;4%,"1",IF(CAELS!S8&lt;8%,"2",IF(CAELS!S8&lt;12%,"3",IF(CAELS!S8&lt;15%,"4","5"))))</f>
        <v>1</v>
      </c>
      <c r="S11" s="131"/>
      <c r="T11" s="131"/>
      <c r="U11" s="131" t="str">
        <f>IF(CAELS!V8&lt;4%,"1",IF(CAELS!V8&lt;8%,"2",IF(CAELS!V8&lt;12%,"3",IF(CAELS!V8&lt;15%,"4","5"))))</f>
        <v>3</v>
      </c>
    </row>
    <row r="12" spans="1:21" x14ac:dyDescent="0.3">
      <c r="A12" s="53"/>
      <c r="B12" s="126"/>
      <c r="C12" s="130">
        <f t="shared" ref="C12:K12" si="2">C11</f>
        <v>0</v>
      </c>
      <c r="D12" s="130">
        <f t="shared" si="2"/>
        <v>0</v>
      </c>
      <c r="E12" s="131">
        <f t="shared" si="2"/>
        <v>0</v>
      </c>
      <c r="F12" s="131">
        <f t="shared" si="2"/>
        <v>0</v>
      </c>
      <c r="G12" s="130">
        <f t="shared" si="2"/>
        <v>0</v>
      </c>
      <c r="H12" s="130">
        <f t="shared" si="2"/>
        <v>0</v>
      </c>
      <c r="I12" s="131">
        <f t="shared" si="2"/>
        <v>0</v>
      </c>
      <c r="J12" s="131">
        <f t="shared" si="2"/>
        <v>0</v>
      </c>
      <c r="K12" s="131">
        <f t="shared" si="2"/>
        <v>0</v>
      </c>
      <c r="L12" s="131" t="str">
        <f t="shared" ref="L12:S12" si="3">L11</f>
        <v>1</v>
      </c>
      <c r="M12" s="131">
        <f t="shared" si="3"/>
        <v>0</v>
      </c>
      <c r="N12" s="131">
        <f t="shared" si="3"/>
        <v>0</v>
      </c>
      <c r="O12" s="131" t="str">
        <f t="shared" si="3"/>
        <v>1</v>
      </c>
      <c r="P12" s="131">
        <f t="shared" si="3"/>
        <v>0</v>
      </c>
      <c r="Q12" s="131">
        <f t="shared" si="3"/>
        <v>0</v>
      </c>
      <c r="R12" s="131" t="str">
        <f t="shared" si="3"/>
        <v>1</v>
      </c>
      <c r="S12" s="131">
        <f t="shared" si="3"/>
        <v>0</v>
      </c>
      <c r="T12" s="131">
        <f>T11</f>
        <v>0</v>
      </c>
      <c r="U12" s="131" t="str">
        <f>U11</f>
        <v>3</v>
      </c>
    </row>
    <row r="13" spans="1:21" x14ac:dyDescent="0.3">
      <c r="A13" s="123" t="s">
        <v>209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</row>
    <row r="14" spans="1:21" x14ac:dyDescent="0.3">
      <c r="A14" s="53" t="s">
        <v>114</v>
      </c>
      <c r="B14" s="2"/>
      <c r="C14" s="128"/>
      <c r="D14" s="128" t="str">
        <f>IF(CAELS!E9&gt;6%,"1",IF(CAELS!E9&gt;4%,"2",IF(CAELS!E9&gt;2%,"3",IF(CAELS!E9&gt;0%,"4","5"))))</f>
        <v>1</v>
      </c>
      <c r="E14" s="128" t="str">
        <f>IF(CAELS!F9&gt;6%,"1",IF(CAELS!F9&gt;4%,"2",IF(CAELS!F9&gt;2%,"3",IF(CAELS!F9&gt;0%,"4","5"))))</f>
        <v>4</v>
      </c>
      <c r="F14" s="128" t="str">
        <f>IF(CAELS!G9&gt;6%,"1",IF(CAELS!G9&gt;4%,"2",IF(CAELS!G9&gt;2%,"3",IF(CAELS!G9&gt;0%,"4","5"))))</f>
        <v>4</v>
      </c>
      <c r="G14" s="128" t="str">
        <f>IF(CAELS!H9&gt;6%,"1",IF(CAELS!H9&gt;4%,"2",IF(CAELS!H9&gt;2%,"3",IF(CAELS!H9&gt;0%,"4","5"))))</f>
        <v>3</v>
      </c>
      <c r="H14" s="128" t="str">
        <f>IF(CAELS!I9&gt;6%,"1",IF(CAELS!I9&gt;4%,"2",IF(CAELS!I9&gt;2%,"3",IF(CAELS!I9&gt;0%,"4","5"))))</f>
        <v>3</v>
      </c>
      <c r="I14" s="128" t="str">
        <f>IF(CAELS!J9&gt;6%,"1",IF(CAELS!J9&gt;4%,"2",IF(CAELS!J9&gt;2%,"3",IF(CAELS!J9&gt;0%,"4","5"))))</f>
        <v>2</v>
      </c>
      <c r="J14" s="128" t="str">
        <f>IF(CAELS!K9&gt;6%,"1",IF(CAELS!K9&gt;4%,"2",IF(CAELS!K9&gt;2%,"3",IF(CAELS!K9&gt;0%,"4","5"))))</f>
        <v>2</v>
      </c>
      <c r="K14" s="128" t="str">
        <f>IF(CAELS!L9&gt;6%,"1",IF(CAELS!L9&gt;4%,"2",IF(CAELS!L9&gt;2%,"3",IF(CAELS!L9&gt;0%,"4","5"))))</f>
        <v>2</v>
      </c>
      <c r="L14" s="128" t="str">
        <f>IF(CAELS!M9&gt;6%,"1",IF(CAELS!M9&gt;4%,"2",IF(CAELS!M9&gt;2%,"3",IF(CAELS!M9&gt;0%,"4","5"))))</f>
        <v>1</v>
      </c>
      <c r="M14" s="128" t="str">
        <f>IF(CAELS!N9&gt;6%,"1",IF(CAELS!N9&gt;4%,"2",IF(CAELS!N9&gt;2%,"3",IF(CAELS!N9&gt;0%,"4","5"))))</f>
        <v>1</v>
      </c>
      <c r="N14" s="128" t="str">
        <f>IF(CAELS!O9&gt;6%,"1",IF(CAELS!O9&gt;4%,"2",IF(CAELS!O9&gt;2%,"3",IF(CAELS!O9&gt;0%,"4","5"))))</f>
        <v>1</v>
      </c>
      <c r="O14" s="128" t="str">
        <f>IF(CAELS!P9&gt;6%,"1",IF(CAELS!P9&gt;4%,"2",IF(CAELS!P9&gt;2%,"3",IF(CAELS!P9&gt;0%,"4","5"))))</f>
        <v>1</v>
      </c>
      <c r="P14" s="128" t="str">
        <f>IF(CAELS!Q9&gt;6%,"1",IF(CAELS!Q9&gt;4%,"2",IF(CAELS!Q9&gt;2%,"3",IF(CAELS!Q9&gt;0%,"4","5"))))</f>
        <v>1</v>
      </c>
      <c r="Q14" s="128" t="str">
        <f>IF(CAELS!R9&gt;6%,"1",IF(CAELS!R9&gt;4%,"2",IF(CAELS!R9&gt;2%,"3",IF(CAELS!R9&gt;0%,"4","5"))))</f>
        <v>2</v>
      </c>
      <c r="R14" s="128" t="str">
        <f>IF(CAELS!S9&gt;6%,"1",IF(CAELS!S9&gt;4%,"2",IF(CAELS!S9&gt;2%,"3",IF(CAELS!S9&gt;0%,"4","5"))))</f>
        <v>4</v>
      </c>
      <c r="S14" s="128" t="str">
        <f>IF(CAELS!T9&gt;6%,"1",IF(CAELS!T9&gt;4%,"2",IF(CAELS!T9&gt;2%,"3",IF(CAELS!T9&gt;0%,"4","5"))))</f>
        <v>4</v>
      </c>
      <c r="T14" s="128" t="str">
        <f>IF(CAELS!U9&gt;6%,"1",IF(CAELS!U9&gt;4%,"2",IF(CAELS!U9&gt;2%,"3",IF(CAELS!U9&gt;0%,"4","5"))))</f>
        <v>3</v>
      </c>
      <c r="U14" s="128" t="str">
        <f>IF(CAELS!V9&gt;6%,"1",IF(CAELS!V9&gt;4%,"2",IF(CAELS!V9&gt;2%,"3",IF(CAELS!V9&gt;0%,"4","5"))))</f>
        <v>3</v>
      </c>
    </row>
    <row r="15" spans="1:21" x14ac:dyDescent="0.3">
      <c r="A15" s="53" t="s">
        <v>210</v>
      </c>
      <c r="B15" s="2"/>
      <c r="C15" s="131" t="str">
        <f>IF(CAELS!D10&lt;60%,"1",IF(CAELS!D10&lt;70%,"2",IF(CAELS!D10&lt;80%,"3",IF(CAELS!D10&lt;90%,"4","5"))))</f>
        <v>3</v>
      </c>
      <c r="D15" s="131" t="str">
        <f>IF(CAELS!E10&lt;60%,"1",IF(CAELS!E10&lt;70%,"2",IF(CAELS!E10&lt;80%,"3",IF(CAELS!E10&lt;90%,"4","5"))))</f>
        <v>1</v>
      </c>
      <c r="E15" s="131" t="str">
        <f>IF(CAELS!F10&lt;60%,"1",IF(CAELS!F10&lt;70%,"2",IF(CAELS!F10&lt;80%,"3",IF(CAELS!F10&lt;90%,"4","5"))))</f>
        <v>1</v>
      </c>
      <c r="F15" s="131" t="str">
        <f>IF(CAELS!G10&lt;60%,"1",IF(CAELS!G10&lt;70%,"2",IF(CAELS!G10&lt;80%,"3",IF(CAELS!G10&lt;90%,"4","5"))))</f>
        <v>1</v>
      </c>
      <c r="G15" s="131" t="str">
        <f>IF(CAELS!H10&lt;60%,"1",IF(CAELS!H10&lt;70%,"2",IF(CAELS!H10&lt;80%,"3",IF(CAELS!H10&lt;90%,"4","5"))))</f>
        <v>1</v>
      </c>
      <c r="H15" s="131" t="str">
        <f>IF(CAELS!I10&lt;60%,"1",IF(CAELS!I10&lt;70%,"2",IF(CAELS!I10&lt;80%,"3",IF(CAELS!I10&lt;90%,"4","5"))))</f>
        <v>1</v>
      </c>
      <c r="I15" s="131" t="str">
        <f>IF(CAELS!J10&lt;60%,"1",IF(CAELS!J10&lt;70%,"2",IF(CAELS!J10&lt;80%,"3",IF(CAELS!J10&lt;90%,"4","5"))))</f>
        <v>1</v>
      </c>
      <c r="J15" s="131" t="str">
        <f>IF(CAELS!K10&lt;60%,"1",IF(CAELS!K10&lt;70%,"2",IF(CAELS!K10&lt;80%,"3",IF(CAELS!K10&lt;90%,"4","5"))))</f>
        <v>1</v>
      </c>
      <c r="K15" s="131" t="str">
        <f>IF(CAELS!L10&lt;60%,"1",IF(CAELS!L10&lt;70%,"2",IF(CAELS!L10&lt;80%,"3",IF(CAELS!L10&lt;90%,"4","5"))))</f>
        <v>1</v>
      </c>
      <c r="L15" s="131" t="str">
        <f>IF(CAELS!M10&lt;60%,"1",IF(CAELS!M10&lt;70%,"2",IF(CAELS!M10&lt;80%,"3",IF(CAELS!M10&lt;90%,"4","5"))))</f>
        <v>1</v>
      </c>
      <c r="M15" s="131" t="str">
        <f>IF(CAELS!N10&lt;60%,"1",IF(CAELS!N10&lt;70%,"2",IF(CAELS!N10&lt;80%,"3",IF(CAELS!N10&lt;90%,"4","5"))))</f>
        <v>1</v>
      </c>
      <c r="N15" s="131" t="str">
        <f>IF(CAELS!O10&lt;60%,"1",IF(CAELS!O10&lt;70%,"2",IF(CAELS!O10&lt;80%,"3",IF(CAELS!O10&lt;90%,"4","5"))))</f>
        <v>1</v>
      </c>
      <c r="O15" s="131" t="str">
        <f>IF(CAELS!P10&lt;60%,"1",IF(CAELS!P10&lt;70%,"2",IF(CAELS!P10&lt;80%,"3",IF(CAELS!P10&lt;90%,"4","5"))))</f>
        <v>1</v>
      </c>
      <c r="P15" s="131" t="str">
        <f>IF(CAELS!Q10&lt;60%,"1",IF(CAELS!Q10&lt;70%,"2",IF(CAELS!Q10&lt;80%,"3",IF(CAELS!Q10&lt;90%,"4","5"))))</f>
        <v>1</v>
      </c>
      <c r="Q15" s="131" t="str">
        <f>IF(CAELS!R10&lt;60%,"1",IF(CAELS!R10&lt;70%,"2",IF(CAELS!R10&lt;80%,"3",IF(CAELS!R10&lt;90%,"4","5"))))</f>
        <v>1</v>
      </c>
      <c r="R15" s="131" t="str">
        <f>IF(CAELS!S10&lt;60%,"1",IF(CAELS!S10&lt;70%,"2",IF(CAELS!S10&lt;80%,"3",IF(CAELS!S10&lt;90%,"4","5"))))</f>
        <v>1</v>
      </c>
      <c r="S15" s="131" t="str">
        <f>IF(CAELS!T10&lt;60%,"1",IF(CAELS!T10&lt;70%,"2",IF(CAELS!T10&lt;80%,"3",IF(CAELS!T10&lt;90%,"4","5"))))</f>
        <v>1</v>
      </c>
      <c r="T15" s="131" t="str">
        <f>IF(CAELS!U10&lt;60%,"1",IF(CAELS!U10&lt;70%,"2",IF(CAELS!U10&lt;80%,"3",IF(CAELS!U10&lt;90%,"4","5"))))</f>
        <v>1</v>
      </c>
      <c r="U15" s="131" t="str">
        <f>IF(CAELS!V10&lt;60%,"1",IF(CAELS!V10&lt;70%,"2",IF(CAELS!V10&lt;80%,"3",IF(CAELS!V10&lt;90%,"4","5"))))</f>
        <v>1</v>
      </c>
    </row>
    <row r="16" spans="1:21" x14ac:dyDescent="0.3">
      <c r="A16" s="53" t="s">
        <v>211</v>
      </c>
      <c r="B16" s="2"/>
      <c r="C16" s="128" t="str">
        <f>IF(CAELS!D11&lt;4%,"1",IF(CAELS!D11&lt;6%,"2",IF(CAELS!D11&lt;8%,"3",IF(CAELS!D11&lt;10%,"4","5"))))</f>
        <v>1</v>
      </c>
      <c r="D16" s="128" t="str">
        <f>IF(CAELS!E11&lt;4%,"1",IF(CAELS!E11&lt;6%,"2",IF(CAELS!E11&lt;8%,"3",IF(CAELS!E11&lt;10%,"4","5"))))</f>
        <v>5</v>
      </c>
      <c r="E16" s="128" t="str">
        <f>IF(CAELS!F11&lt;4%,"1",IF(CAELS!F11&lt;6%,"2",IF(CAELS!F11&lt;8%,"3",IF(CAELS!F11&lt;10%,"4","5"))))</f>
        <v>1</v>
      </c>
      <c r="F16" s="128" t="str">
        <f>IF(CAELS!G11&lt;4%,"1",IF(CAELS!G11&lt;6%,"2",IF(CAELS!G11&lt;8%,"3",IF(CAELS!G11&lt;10%,"4","5"))))</f>
        <v>1</v>
      </c>
      <c r="G16" s="128" t="str">
        <f>IF(CAELS!H11&lt;4%,"1",IF(CAELS!H11&lt;6%,"2",IF(CAELS!H11&lt;8%,"3",IF(CAELS!H11&lt;10%,"4","5"))))</f>
        <v>1</v>
      </c>
      <c r="H16" s="128" t="str">
        <f>IF(CAELS!I11&lt;4%,"1",IF(CAELS!I11&lt;6%,"2",IF(CAELS!I11&lt;8%,"3",IF(CAELS!I11&lt;10%,"4","5"))))</f>
        <v>1</v>
      </c>
      <c r="I16" s="128" t="str">
        <f>IF(CAELS!J11&lt;4%,"1",IF(CAELS!J11&lt;6%,"2",IF(CAELS!J11&lt;8%,"3",IF(CAELS!J11&lt;10%,"4","5"))))</f>
        <v>1</v>
      </c>
      <c r="J16" s="128" t="str">
        <f>IF(CAELS!K11&lt;4%,"1",IF(CAELS!K11&lt;6%,"2",IF(CAELS!K11&lt;8%,"3",IF(CAELS!K11&lt;10%,"4","5"))))</f>
        <v>1</v>
      </c>
      <c r="K16" s="128" t="str">
        <f>IF(CAELS!L11&lt;4%,"1",IF(CAELS!L11&lt;6%,"2",IF(CAELS!L11&lt;8%,"3",IF(CAELS!L11&lt;10%,"4","5"))))</f>
        <v>1</v>
      </c>
      <c r="L16" s="128" t="str">
        <f>IF(CAELS!M11&lt;4%,"1",IF(CAELS!M11&lt;6%,"2",IF(CAELS!M11&lt;8%,"3",IF(CAELS!M11&lt;10%,"4","5"))))</f>
        <v>1</v>
      </c>
      <c r="M16" s="128" t="str">
        <f>IF(CAELS!N11&lt;4%,"1",IF(CAELS!N11&lt;6%,"2",IF(CAELS!N11&lt;8%,"3",IF(CAELS!N11&lt;10%,"4","5"))))</f>
        <v>2</v>
      </c>
      <c r="N16" s="128" t="str">
        <f>IF(CAELS!O11&lt;4%,"1",IF(CAELS!O11&lt;6%,"2",IF(CAELS!O11&lt;8%,"3",IF(CAELS!O11&lt;10%,"4","5"))))</f>
        <v>2</v>
      </c>
      <c r="O16" s="128" t="str">
        <f>IF(CAELS!P11&lt;4%,"1",IF(CAELS!P11&lt;6%,"2",IF(CAELS!P11&lt;8%,"3",IF(CAELS!P11&lt;10%,"4","5"))))</f>
        <v>2</v>
      </c>
      <c r="P16" s="128" t="str">
        <f>IF(CAELS!Q11&lt;4%,"1",IF(CAELS!Q11&lt;6%,"2",IF(CAELS!Q11&lt;8%,"3",IF(CAELS!Q11&lt;10%,"4","5"))))</f>
        <v>3</v>
      </c>
      <c r="Q16" s="128" t="str">
        <f>IF(CAELS!R11&lt;4%,"1",IF(CAELS!R11&lt;6%,"2",IF(CAELS!R11&lt;8%,"3",IF(CAELS!R11&lt;10%,"4","5"))))</f>
        <v>5</v>
      </c>
      <c r="R16" s="128" t="str">
        <f>IF(CAELS!S11&lt;4%,"1",IF(CAELS!S11&lt;6%,"2",IF(CAELS!S11&lt;8%,"3",IF(CAELS!S11&lt;10%,"4","5"))))</f>
        <v>1</v>
      </c>
      <c r="S16" s="128" t="str">
        <f>IF(CAELS!T11&lt;4%,"1",IF(CAELS!T11&lt;6%,"2",IF(CAELS!T11&lt;8%,"3",IF(CAELS!T11&lt;10%,"4","5"))))</f>
        <v>1</v>
      </c>
      <c r="T16" s="128" t="str">
        <f>IF(CAELS!U11&lt;4%,"1",IF(CAELS!U11&lt;6%,"2",IF(CAELS!U11&lt;8%,"3",IF(CAELS!U11&lt;10%,"4","5"))))</f>
        <v>1</v>
      </c>
      <c r="U16" s="128" t="str">
        <f>IF(CAELS!V11&lt;4%,"1",IF(CAELS!V11&lt;6%,"2",IF(CAELS!V11&lt;8%,"3",IF(CAELS!V11&lt;10%,"4","5"))))</f>
        <v>1</v>
      </c>
    </row>
    <row r="17" spans="1:21" x14ac:dyDescent="0.3">
      <c r="A17" s="53"/>
      <c r="B17" s="2"/>
      <c r="C17" s="140">
        <f t="shared" ref="C17:K17" si="4">(C14+C15+C16)/3</f>
        <v>1.3333333333333333</v>
      </c>
      <c r="D17" s="140">
        <f t="shared" si="4"/>
        <v>2.3333333333333335</v>
      </c>
      <c r="E17" s="140">
        <f t="shared" si="4"/>
        <v>2</v>
      </c>
      <c r="F17" s="140">
        <f t="shared" si="4"/>
        <v>2</v>
      </c>
      <c r="G17" s="140">
        <f t="shared" si="4"/>
        <v>1.6666666666666667</v>
      </c>
      <c r="H17" s="140">
        <f t="shared" si="4"/>
        <v>1.6666666666666667</v>
      </c>
      <c r="I17" s="140">
        <f t="shared" si="4"/>
        <v>1.3333333333333333</v>
      </c>
      <c r="J17" s="140">
        <f t="shared" si="4"/>
        <v>1.3333333333333333</v>
      </c>
      <c r="K17" s="140">
        <f t="shared" si="4"/>
        <v>1.3333333333333333</v>
      </c>
      <c r="L17" s="140">
        <f t="shared" ref="L17:S17" si="5">(L14+L15+L16)/3</f>
        <v>1</v>
      </c>
      <c r="M17" s="140">
        <f t="shared" si="5"/>
        <v>1.3333333333333333</v>
      </c>
      <c r="N17" s="140">
        <f t="shared" si="5"/>
        <v>1.3333333333333333</v>
      </c>
      <c r="O17" s="140">
        <f t="shared" si="5"/>
        <v>1.3333333333333333</v>
      </c>
      <c r="P17" s="140">
        <f t="shared" si="5"/>
        <v>1.6666666666666667</v>
      </c>
      <c r="Q17" s="140">
        <f t="shared" si="5"/>
        <v>2.6666666666666665</v>
      </c>
      <c r="R17" s="140">
        <f t="shared" si="5"/>
        <v>2</v>
      </c>
      <c r="S17" s="140">
        <f t="shared" si="5"/>
        <v>2</v>
      </c>
      <c r="T17" s="140">
        <f>(T14+T15+T16)/3</f>
        <v>1.6666666666666667</v>
      </c>
      <c r="U17" s="140">
        <f>(U14+U15+U16)/3</f>
        <v>1.6666666666666667</v>
      </c>
    </row>
    <row r="18" spans="1:21" x14ac:dyDescent="0.3">
      <c r="A18" s="123" t="s">
        <v>117</v>
      </c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</row>
    <row r="19" spans="1:21" x14ac:dyDescent="0.3">
      <c r="A19" s="53" t="s">
        <v>212</v>
      </c>
      <c r="B19" s="132">
        <v>0.15</v>
      </c>
      <c r="C19" s="128" t="str">
        <f>IF(CAELS!D12&gt;30%,"1",IF(CAELS!D12&gt;25%,"2",IF(CAELS!D12&gt;20%,"3",IF(CAELS!D12&gt;15%,"4","5"))))</f>
        <v>1</v>
      </c>
      <c r="D19" s="128" t="str">
        <f>IF(CAELS!E12&gt;30%,"1",IF(CAELS!E12&gt;25%,"2",IF(CAELS!E12&gt;20%,"3",IF(CAELS!E12&gt;15%,"4","5"))))</f>
        <v>1</v>
      </c>
      <c r="E19" s="128" t="str">
        <f>IF(CAELS!F12&gt;30%,"1",IF(CAELS!F12&gt;25%,"2",IF(CAELS!F12&gt;20%,"3",IF(CAELS!F12&gt;15%,"4","5"))))</f>
        <v>1</v>
      </c>
      <c r="F19" s="128" t="str">
        <f>IF(CAELS!G12&gt;30%,"1",IF(CAELS!G12&gt;25%,"2",IF(CAELS!G12&gt;20%,"3",IF(CAELS!G12&gt;15%,"4","5"))))</f>
        <v>1</v>
      </c>
      <c r="G19" s="128" t="str">
        <f>IF(CAELS!H12&gt;30%,"1",IF(CAELS!H12&gt;25%,"2",IF(CAELS!H12&gt;20%,"3",IF(CAELS!H12&gt;15%,"4","5"))))</f>
        <v>1</v>
      </c>
      <c r="H19" s="128" t="str">
        <f>IF(CAELS!I12&gt;30%,"1",IF(CAELS!I12&gt;25%,"2",IF(CAELS!I12&gt;20%,"3",IF(CAELS!I12&gt;15%,"4","5"))))</f>
        <v>1</v>
      </c>
      <c r="I19" s="128" t="str">
        <f>IF(CAELS!J12&gt;30%,"1",IF(CAELS!J12&gt;25%,"2",IF(CAELS!J12&gt;20%,"3",IF(CAELS!J12&gt;15%,"4","5"))))</f>
        <v>1</v>
      </c>
      <c r="J19" s="128" t="str">
        <f>IF(CAELS!K12&gt;30%,"1",IF(CAELS!K12&gt;25%,"2",IF(CAELS!K12&gt;20%,"3",IF(CAELS!K12&gt;15%,"4","5"))))</f>
        <v>1</v>
      </c>
      <c r="K19" s="128" t="str">
        <f>IF(CAELS!L12&gt;30%,"1",IF(CAELS!L12&gt;25%,"2",IF(CAELS!L12&gt;20%,"3",IF(CAELS!L12&gt;15%,"4","5"))))</f>
        <v>1</v>
      </c>
      <c r="L19" s="128" t="str">
        <f>IF(CAELS!M12&gt;30%,"1",IF(CAELS!M12&gt;25%,"2",IF(CAELS!M12&gt;20%,"3",IF(CAELS!M12&gt;15%,"4","5"))))</f>
        <v>1</v>
      </c>
      <c r="M19" s="128" t="str">
        <f>IF(CAELS!N12&gt;30%,"1",IF(CAELS!N12&gt;25%,"2",IF(CAELS!N12&gt;20%,"3",IF(CAELS!N12&gt;15%,"4","5"))))</f>
        <v>1</v>
      </c>
      <c r="N19" s="128" t="str">
        <f>IF(CAELS!O12&gt;30%,"1",IF(CAELS!O12&gt;25%,"2",IF(CAELS!O12&gt;20%,"3",IF(CAELS!O12&gt;15%,"4","5"))))</f>
        <v>1</v>
      </c>
      <c r="O19" s="128" t="str">
        <f>IF(CAELS!P12&gt;30%,"1",IF(CAELS!P12&gt;25%,"2",IF(CAELS!P12&gt;20%,"3",IF(CAELS!P12&gt;15%,"4","5"))))</f>
        <v>1</v>
      </c>
      <c r="P19" s="128" t="str">
        <f>IF(CAELS!Q12&gt;30%,"1",IF(CAELS!Q12&gt;25%,"2",IF(CAELS!Q12&gt;20%,"3",IF(CAELS!Q12&gt;15%,"4","5"))))</f>
        <v>1</v>
      </c>
      <c r="Q19" s="128" t="str">
        <f>IF(CAELS!R12&gt;30%,"1",IF(CAELS!R12&gt;25%,"2",IF(CAELS!R12&gt;20%,"3",IF(CAELS!R12&gt;15%,"4","5"))))</f>
        <v>1</v>
      </c>
      <c r="R19" s="128" t="str">
        <f>IF(CAELS!S12&gt;30%,"1",IF(CAELS!S12&gt;25%,"2",IF(CAELS!S12&gt;20%,"3",IF(CAELS!S12&gt;15%,"4","5"))))</f>
        <v>1</v>
      </c>
      <c r="S19" s="128" t="str">
        <f>IF(CAELS!T12&gt;30%,"1",IF(CAELS!T12&gt;25%,"2",IF(CAELS!T12&gt;20%,"3",IF(CAELS!T12&gt;15%,"4","5"))))</f>
        <v>1</v>
      </c>
      <c r="T19" s="128" t="str">
        <f>IF(CAELS!U12&gt;30%,"1",IF(CAELS!U12&gt;25%,"2",IF(CAELS!U12&gt;20%,"3",IF(CAELS!U12&gt;15%,"4","5"))))</f>
        <v>1</v>
      </c>
      <c r="U19" s="128" t="str">
        <f>IF(CAELS!V12&gt;30%,"1",IF(CAELS!V12&gt;25%,"2",IF(CAELS!V12&gt;20%,"3",IF(CAELS!V12&gt;15%,"4","5"))))</f>
        <v>1</v>
      </c>
    </row>
    <row r="20" spans="1:21" x14ac:dyDescent="0.3">
      <c r="A20" s="53" t="s">
        <v>213</v>
      </c>
      <c r="B20" s="132"/>
      <c r="C20" s="128" t="str">
        <f>IF(CAELS!D13&gt;30%,"1",IF(CAELS!D13&gt;25%,"2",IF(CAELS!D13&gt;20%,"3",IF(CAELS!D13&gt;15%,"4","5"))))</f>
        <v>5</v>
      </c>
      <c r="D20" s="128" t="str">
        <f>IF(CAELS!E13&gt;30%,"1",IF(CAELS!E13&gt;25%,"2",IF(CAELS!E13&gt;20%,"3",IF(CAELS!E13&gt;15%,"4","5"))))</f>
        <v>4</v>
      </c>
      <c r="E20" s="128" t="str">
        <f>IF(CAELS!F13&gt;30%,"1",IF(CAELS!F13&gt;25%,"2",IF(CAELS!F13&gt;20%,"3",IF(CAELS!F13&gt;15%,"4","5"))))</f>
        <v>4</v>
      </c>
      <c r="F20" s="128" t="str">
        <f>IF(CAELS!G13&gt;30%,"1",IF(CAELS!G13&gt;25%,"2",IF(CAELS!G13&gt;20%,"3",IF(CAELS!G13&gt;15%,"4","5"))))</f>
        <v>3</v>
      </c>
      <c r="G20" s="128" t="str">
        <f>IF(CAELS!H13&gt;30%,"1",IF(CAELS!H13&gt;25%,"2",IF(CAELS!H13&gt;20%,"3",IF(CAELS!H13&gt;15%,"4","5"))))</f>
        <v>4</v>
      </c>
      <c r="H20" s="128" t="str">
        <f>IF(CAELS!I13&gt;30%,"1",IF(CAELS!I13&gt;25%,"2",IF(CAELS!I13&gt;20%,"3",IF(CAELS!I13&gt;15%,"4","5"))))</f>
        <v>4</v>
      </c>
      <c r="I20" s="128" t="str">
        <f>IF(CAELS!J13&gt;30%,"1",IF(CAELS!J13&gt;25%,"2",IF(CAELS!J13&gt;20%,"3",IF(CAELS!J13&gt;15%,"4","5"))))</f>
        <v>4</v>
      </c>
      <c r="J20" s="128" t="str">
        <f>IF(CAELS!K13&gt;30%,"1",IF(CAELS!K13&gt;25%,"2",IF(CAELS!K13&gt;20%,"3",IF(CAELS!K13&gt;15%,"4","5"))))</f>
        <v>4</v>
      </c>
      <c r="K20" s="128" t="str">
        <f>IF(CAELS!L13&gt;30%,"1",IF(CAELS!L13&gt;25%,"2",IF(CAELS!L13&gt;20%,"3",IF(CAELS!L13&gt;15%,"4","5"))))</f>
        <v>4</v>
      </c>
      <c r="L20" s="128" t="str">
        <f>IF(CAELS!M13&gt;30%,"1",IF(CAELS!M13&gt;25%,"2",IF(CAELS!M13&gt;20%,"3",IF(CAELS!M13&gt;15%,"4","5"))))</f>
        <v>4</v>
      </c>
      <c r="M20" s="128" t="str">
        <f>IF(CAELS!N13&gt;30%,"1",IF(CAELS!N13&gt;25%,"2",IF(CAELS!N13&gt;20%,"3",IF(CAELS!N13&gt;15%,"4","5"))))</f>
        <v>4</v>
      </c>
      <c r="N20" s="128" t="str">
        <f>IF(CAELS!O13&gt;30%,"1",IF(CAELS!O13&gt;25%,"2",IF(CAELS!O13&gt;20%,"3",IF(CAELS!O13&gt;15%,"4","5"))))</f>
        <v>5</v>
      </c>
      <c r="O20" s="128" t="str">
        <f>IF(CAELS!P13&gt;30%,"1",IF(CAELS!P13&gt;25%,"2",IF(CAELS!P13&gt;20%,"3",IF(CAELS!P13&gt;15%,"4","5"))))</f>
        <v>5</v>
      </c>
      <c r="P20" s="128" t="str">
        <f>IF(CAELS!Q13&gt;30%,"1",IF(CAELS!Q13&gt;25%,"2",IF(CAELS!Q13&gt;20%,"3",IF(CAELS!Q13&gt;15%,"4","5"))))</f>
        <v>5</v>
      </c>
      <c r="Q20" s="128" t="str">
        <f>IF(CAELS!R13&gt;30%,"1",IF(CAELS!R13&gt;25%,"2",IF(CAELS!R13&gt;20%,"3",IF(CAELS!R13&gt;15%,"4","5"))))</f>
        <v>5</v>
      </c>
      <c r="R20" s="128" t="str">
        <f>IF(CAELS!S13&gt;30%,"1",IF(CAELS!S13&gt;25%,"2",IF(CAELS!S13&gt;20%,"3",IF(CAELS!S13&gt;15%,"4","5"))))</f>
        <v>5</v>
      </c>
      <c r="S20" s="128" t="str">
        <f>IF(CAELS!T13&gt;30%,"1",IF(CAELS!T13&gt;25%,"2",IF(CAELS!T13&gt;20%,"3",IF(CAELS!T13&gt;15%,"4","5"))))</f>
        <v>5</v>
      </c>
      <c r="T20" s="128" t="str">
        <f>IF(CAELS!U13&gt;30%,"1",IF(CAELS!U13&gt;25%,"2",IF(CAELS!U13&gt;20%,"3",IF(CAELS!U13&gt;15%,"4","5"))))</f>
        <v>5</v>
      </c>
      <c r="U20" s="128" t="str">
        <f>IF(CAELS!V13&gt;30%,"1",IF(CAELS!V13&gt;25%,"2",IF(CAELS!V13&gt;20%,"3",IF(CAELS!V13&gt;15%,"4","5"))))</f>
        <v>5</v>
      </c>
    </row>
    <row r="21" spans="1:21" x14ac:dyDescent="0.3">
      <c r="A21" s="53" t="s">
        <v>214</v>
      </c>
      <c r="B21" s="126" t="s">
        <v>215</v>
      </c>
      <c r="C21" s="128" t="str">
        <f>IF(CAELS!D14&lt;15%,"1",IF(CAELS!D14&lt;18%,"2",IF(CAELS!D14&lt;22%,"3",IF(CAELS!D14&lt;25%,"4","5"))))</f>
        <v>1</v>
      </c>
      <c r="D21" s="128" t="str">
        <f>IF(CAELS!E14&lt;15%,"1",IF(CAELS!E14&lt;18%,"2",IF(CAELS!E14&lt;22%,"3",IF(CAELS!E14&lt;25%,"4","5"))))</f>
        <v>1</v>
      </c>
      <c r="E21" s="128" t="str">
        <f>IF(CAELS!F14&lt;15%,"1",IF(CAELS!F14&lt;18%,"2",IF(CAELS!F14&lt;22%,"3",IF(CAELS!F14&lt;25%,"4","5"))))</f>
        <v>1</v>
      </c>
      <c r="F21" s="128" t="str">
        <f>IF(CAELS!G14&lt;15%,"1",IF(CAELS!G14&lt;18%,"2",IF(CAELS!G14&lt;22%,"3",IF(CAELS!G14&lt;25%,"4","5"))))</f>
        <v>1</v>
      </c>
      <c r="G21" s="128" t="str">
        <f>IF(CAELS!H14&lt;15%,"1",IF(CAELS!H14&lt;18%,"2",IF(CAELS!H14&lt;22%,"3",IF(CAELS!H14&lt;25%,"4","5"))))</f>
        <v>1</v>
      </c>
      <c r="H21" s="128" t="str">
        <f>IF(CAELS!I14&lt;15%,"1",IF(CAELS!I14&lt;18%,"2",IF(CAELS!I14&lt;22%,"3",IF(CAELS!I14&lt;25%,"4","5"))))</f>
        <v>1</v>
      </c>
      <c r="I21" s="128" t="str">
        <f>IF(CAELS!J14&lt;15%,"1",IF(CAELS!J14&lt;18%,"2",IF(CAELS!J14&lt;22%,"3",IF(CAELS!J14&lt;25%,"4","5"))))</f>
        <v>1</v>
      </c>
      <c r="J21" s="128" t="str">
        <f>IF(CAELS!K14&lt;15%,"1",IF(CAELS!K14&lt;18%,"2",IF(CAELS!K14&lt;22%,"3",IF(CAELS!K14&lt;25%,"4","5"))))</f>
        <v>1</v>
      </c>
      <c r="K21" s="128" t="str">
        <f>IF(CAELS!L14&lt;15%,"1",IF(CAELS!L14&lt;18%,"2",IF(CAELS!L14&lt;22%,"3",IF(CAELS!L14&lt;25%,"4","5"))))</f>
        <v>1</v>
      </c>
      <c r="L21" s="128" t="str">
        <f>IF(CAELS!M14&lt;15%,"1",IF(CAELS!M14&lt;18%,"2",IF(CAELS!M14&lt;22%,"3",IF(CAELS!M14&lt;25%,"4","5"))))</f>
        <v>1</v>
      </c>
      <c r="M21" s="128" t="str">
        <f>IF(CAELS!N14&lt;15%,"1",IF(CAELS!N14&lt;18%,"2",IF(CAELS!N14&lt;22%,"3",IF(CAELS!N14&lt;25%,"4","5"))))</f>
        <v>1</v>
      </c>
      <c r="N21" s="128" t="str">
        <f>IF(CAELS!O14&lt;15%,"1",IF(CAELS!O14&lt;18%,"2",IF(CAELS!O14&lt;22%,"3",IF(CAELS!O14&lt;25%,"4","5"))))</f>
        <v>1</v>
      </c>
      <c r="O21" s="128" t="str">
        <f>IF(CAELS!P14&lt;15%,"1",IF(CAELS!P14&lt;18%,"2",IF(CAELS!P14&lt;22%,"3",IF(CAELS!P14&lt;25%,"4","5"))))</f>
        <v>1</v>
      </c>
      <c r="P21" s="128" t="str">
        <f>IF(CAELS!Q14&lt;15%,"1",IF(CAELS!Q14&lt;18%,"2",IF(CAELS!Q14&lt;22%,"3",IF(CAELS!Q14&lt;25%,"4","5"))))</f>
        <v>1</v>
      </c>
      <c r="Q21" s="128" t="str">
        <f>IF(CAELS!R14&lt;15%,"1",IF(CAELS!R14&lt;18%,"2",IF(CAELS!R14&lt;22%,"3",IF(CAELS!R14&lt;25%,"4","5"))))</f>
        <v>1</v>
      </c>
      <c r="R21" s="128" t="str">
        <f>IF(CAELS!S14&lt;15%,"1",IF(CAELS!S14&lt;18%,"2",IF(CAELS!S14&lt;22%,"3",IF(CAELS!S14&lt;25%,"4","5"))))</f>
        <v>1</v>
      </c>
      <c r="S21" s="128" t="str">
        <f>IF(CAELS!T14&lt;15%,"1",IF(CAELS!T14&lt;18%,"2",IF(CAELS!T14&lt;22%,"3",IF(CAELS!T14&lt;25%,"4","5"))))</f>
        <v>1</v>
      </c>
      <c r="T21" s="128" t="str">
        <f>IF(CAELS!U14&lt;15%,"1",IF(CAELS!U14&lt;18%,"2",IF(CAELS!U14&lt;22%,"3",IF(CAELS!U14&lt;25%,"4","5"))))</f>
        <v>1</v>
      </c>
      <c r="U21" s="128" t="str">
        <f>IF(CAELS!V14&lt;15%,"1",IF(CAELS!V14&lt;18%,"2",IF(CAELS!V14&lt;22%,"3",IF(CAELS!V14&lt;25%,"4","5"))))</f>
        <v>1</v>
      </c>
    </row>
    <row r="22" spans="1:21" x14ac:dyDescent="0.3">
      <c r="A22" s="53" t="s">
        <v>216</v>
      </c>
      <c r="B22" s="2"/>
      <c r="C22" s="128" t="str">
        <f>IF(CAELS!D15&gt;15%,"1",IF(CAELS!D15&gt;12%,"2",IF(CAELS!D15&gt;9%,"3",IF(CAELS!D15&gt;6%,"4","5"))))</f>
        <v>2</v>
      </c>
      <c r="D22" s="128" t="str">
        <f>IF(CAELS!E15&gt;15%,"1",IF(CAELS!E15&gt;12%,"2",IF(CAELS!E15&gt;9%,"3",IF(CAELS!E15&gt;6%,"4","5"))))</f>
        <v>2</v>
      </c>
      <c r="E22" s="128" t="str">
        <f>IF(CAELS!F15&gt;15%,"1",IF(CAELS!F15&gt;12%,"2",IF(CAELS!F15&gt;9%,"3",IF(CAELS!F15&gt;6%,"4","5"))))</f>
        <v>2</v>
      </c>
      <c r="F22" s="128" t="str">
        <f>IF(CAELS!G15&gt;15%,"1",IF(CAELS!G15&gt;12%,"2",IF(CAELS!G15&gt;9%,"3",IF(CAELS!G15&gt;6%,"4","5"))))</f>
        <v>2</v>
      </c>
      <c r="G22" s="128" t="str">
        <f>IF(CAELS!H15&gt;15%,"1",IF(CAELS!H15&gt;12%,"2",IF(CAELS!H15&gt;9%,"3",IF(CAELS!H15&gt;6%,"4","5"))))</f>
        <v>2</v>
      </c>
      <c r="H22" s="128" t="str">
        <f>IF(CAELS!I15&gt;15%,"1",IF(CAELS!I15&gt;12%,"2",IF(CAELS!I15&gt;9%,"3",IF(CAELS!I15&gt;6%,"4","5"))))</f>
        <v>3</v>
      </c>
      <c r="I22" s="128" t="str">
        <f>IF(CAELS!J15&gt;15%,"1",IF(CAELS!J15&gt;12%,"2",IF(CAELS!J15&gt;9%,"3",IF(CAELS!J15&gt;6%,"4","5"))))</f>
        <v>3</v>
      </c>
      <c r="J22" s="128" t="str">
        <f>IF(CAELS!K15&gt;15%,"1",IF(CAELS!K15&gt;12%,"2",IF(CAELS!K15&gt;9%,"3",IF(CAELS!K15&gt;6%,"4","5"))))</f>
        <v>2</v>
      </c>
      <c r="K22" s="128" t="str">
        <f>IF(CAELS!L15&gt;15%,"1",IF(CAELS!L15&gt;12%,"2",IF(CAELS!L15&gt;9%,"3",IF(CAELS!L15&gt;6%,"4","5"))))</f>
        <v>3</v>
      </c>
      <c r="L22" s="128" t="str">
        <f>IF(CAELS!M15&gt;15%,"1",IF(CAELS!M15&gt;12%,"2",IF(CAELS!M15&gt;9%,"3",IF(CAELS!M15&gt;6%,"4","5"))))</f>
        <v>3</v>
      </c>
      <c r="M22" s="128" t="str">
        <f>IF(CAELS!N15&gt;15%,"1",IF(CAELS!N15&gt;12%,"2",IF(CAELS!N15&gt;9%,"3",IF(CAELS!N15&gt;6%,"4","5"))))</f>
        <v>3</v>
      </c>
      <c r="N22" s="128" t="str">
        <f>IF(CAELS!O15&gt;15%,"1",IF(CAELS!O15&gt;12%,"2",IF(CAELS!O15&gt;9%,"3",IF(CAELS!O15&gt;6%,"4","5"))))</f>
        <v>3</v>
      </c>
      <c r="O22" s="128" t="str">
        <f>IF(CAELS!P15&gt;15%,"1",IF(CAELS!P15&gt;12%,"2",IF(CAELS!P15&gt;9%,"3",IF(CAELS!P15&gt;6%,"4","5"))))</f>
        <v>4</v>
      </c>
      <c r="P22" s="128" t="str">
        <f>IF(CAELS!Q15&gt;15%,"1",IF(CAELS!Q15&gt;12%,"2",IF(CAELS!Q15&gt;9%,"3",IF(CAELS!Q15&gt;6%,"4","5"))))</f>
        <v>4</v>
      </c>
      <c r="Q22" s="128" t="str">
        <f>IF(CAELS!R15&gt;15%,"1",IF(CAELS!R15&gt;12%,"2",IF(CAELS!R15&gt;9%,"3",IF(CAELS!R15&gt;6%,"4","5"))))</f>
        <v>4</v>
      </c>
      <c r="R22" s="128" t="str">
        <f>IF(CAELS!S15&gt;15%,"1",IF(CAELS!S15&gt;12%,"2",IF(CAELS!S15&gt;9%,"3",IF(CAELS!S15&gt;6%,"4","5"))))</f>
        <v>3</v>
      </c>
      <c r="S22" s="128" t="str">
        <f>IF(CAELS!T15&gt;15%,"1",IF(CAELS!T15&gt;12%,"2",IF(CAELS!T15&gt;9%,"3",IF(CAELS!T15&gt;6%,"4","5"))))</f>
        <v>3</v>
      </c>
      <c r="T22" s="128" t="str">
        <f>IF(CAELS!U15&gt;15%,"1",IF(CAELS!U15&gt;12%,"2",IF(CAELS!U15&gt;9%,"3",IF(CAELS!U15&gt;6%,"4","5"))))</f>
        <v>4</v>
      </c>
      <c r="U22" s="128" t="str">
        <f>IF(CAELS!V15&gt;15%,"1",IF(CAELS!V15&gt;12%,"2",IF(CAELS!V15&gt;9%,"3",IF(CAELS!V15&gt;6%,"4","5"))))</f>
        <v>4</v>
      </c>
    </row>
    <row r="23" spans="1:21" x14ac:dyDescent="0.3">
      <c r="A23" s="53"/>
      <c r="B23" s="2"/>
      <c r="C23" s="141">
        <f t="shared" ref="C23:K23" si="6">(C19+C20+C21+C22)/4</f>
        <v>2.25</v>
      </c>
      <c r="D23" s="141">
        <f t="shared" si="6"/>
        <v>2</v>
      </c>
      <c r="E23" s="141">
        <f t="shared" si="6"/>
        <v>2</v>
      </c>
      <c r="F23" s="141">
        <f t="shared" si="6"/>
        <v>1.75</v>
      </c>
      <c r="G23" s="141">
        <f t="shared" si="6"/>
        <v>2</v>
      </c>
      <c r="H23" s="141">
        <f t="shared" si="6"/>
        <v>2.25</v>
      </c>
      <c r="I23" s="141">
        <f t="shared" si="6"/>
        <v>2.25</v>
      </c>
      <c r="J23" s="141">
        <f t="shared" si="6"/>
        <v>2</v>
      </c>
      <c r="K23" s="141">
        <f t="shared" si="6"/>
        <v>2.25</v>
      </c>
      <c r="L23" s="141">
        <f t="shared" ref="L23:S23" si="7">(L19+L20+L21+L22)/4</f>
        <v>2.25</v>
      </c>
      <c r="M23" s="141">
        <f t="shared" si="7"/>
        <v>2.25</v>
      </c>
      <c r="N23" s="141">
        <f t="shared" si="7"/>
        <v>2.5</v>
      </c>
      <c r="O23" s="141">
        <f t="shared" si="7"/>
        <v>2.75</v>
      </c>
      <c r="P23" s="141">
        <f t="shared" si="7"/>
        <v>2.75</v>
      </c>
      <c r="Q23" s="141">
        <f t="shared" si="7"/>
        <v>2.75</v>
      </c>
      <c r="R23" s="141">
        <f t="shared" si="7"/>
        <v>2.5</v>
      </c>
      <c r="S23" s="141">
        <f t="shared" si="7"/>
        <v>2.5</v>
      </c>
      <c r="T23" s="141">
        <f>(T19+T20+T21+T22)/4</f>
        <v>2.75</v>
      </c>
      <c r="U23" s="141">
        <f>(U19+U20+U21+U22)/4</f>
        <v>2.75</v>
      </c>
    </row>
    <row r="24" spans="1:21" x14ac:dyDescent="0.3">
      <c r="A24" s="123" t="s">
        <v>124</v>
      </c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</row>
    <row r="25" spans="1:21" x14ac:dyDescent="0.3">
      <c r="A25" s="53" t="s">
        <v>217</v>
      </c>
      <c r="B25" s="126" t="s">
        <v>218</v>
      </c>
      <c r="C25" s="128" t="str">
        <f>IF(CAELS!D16&lt;6%,"1",IF(CAELS!D16&lt;7%,"2",IF(CAELS!D16&lt;8%,"3",IF(CAELS!D16&lt;10%,"4","5"))))</f>
        <v>5</v>
      </c>
      <c r="D25" s="128" t="str">
        <f>IF(CAELS!E16&lt;6%,"1",IF(CAELS!E16&lt;7%,"2",IF(CAELS!E16&lt;8%,"3",IF(CAELS!E16&lt;10%,"4","5"))))</f>
        <v>4</v>
      </c>
      <c r="E25" s="128" t="str">
        <f>IF(CAELS!F16&lt;6%,"1",IF(CAELS!F16&lt;7%,"2",IF(CAELS!F16&lt;8%,"3",IF(CAELS!F16&lt;10%,"4","5"))))</f>
        <v>4</v>
      </c>
      <c r="F25" s="128" t="str">
        <f>IF(CAELS!G16&lt;6%,"1",IF(CAELS!G16&lt;7%,"2",IF(CAELS!G16&lt;8%,"3",IF(CAELS!G16&lt;10%,"4","5"))))</f>
        <v>3</v>
      </c>
      <c r="G25" s="128" t="str">
        <f>IF(CAELS!H16&lt;6%,"1",IF(CAELS!H16&lt;7%,"2",IF(CAELS!H16&lt;8%,"3",IF(CAELS!H16&lt;10%,"4","5"))))</f>
        <v>4</v>
      </c>
      <c r="H25" s="128" t="str">
        <f>IF(CAELS!I16&lt;6%,"1",IF(CAELS!I16&lt;7%,"2",IF(CAELS!I16&lt;8%,"3",IF(CAELS!I16&lt;10%,"4","5"))))</f>
        <v>4</v>
      </c>
      <c r="I25" s="128" t="str">
        <f>IF(CAELS!J16&lt;6%,"1",IF(CAELS!J16&lt;7%,"2",IF(CAELS!J16&lt;8%,"3",IF(CAELS!J16&lt;10%,"4","5"))))</f>
        <v>5</v>
      </c>
      <c r="J25" s="128" t="str">
        <f>IF(CAELS!K16&lt;6%,"1",IF(CAELS!K16&lt;7%,"2",IF(CAELS!K16&lt;8%,"3",IF(CAELS!K16&lt;10%,"4","5"))))</f>
        <v>4</v>
      </c>
      <c r="K25" s="128" t="str">
        <f>IF(CAELS!L16&lt;6%,"1",IF(CAELS!L16&lt;7%,"2",IF(CAELS!L16&lt;8%,"3",IF(CAELS!L16&lt;10%,"4","5"))))</f>
        <v>4</v>
      </c>
      <c r="L25" s="128" t="str">
        <f>IF(CAELS!M16&lt;6%,"1",IF(CAELS!M16&lt;7%,"2",IF(CAELS!M16&lt;8%,"3",IF(CAELS!M16&lt;10%,"4","5"))))</f>
        <v>4</v>
      </c>
      <c r="M25" s="128" t="str">
        <f>IF(CAELS!N16&lt;6%,"1",IF(CAELS!N16&lt;7%,"2",IF(CAELS!N16&lt;8%,"3",IF(CAELS!N16&lt;10%,"4","5"))))</f>
        <v>4</v>
      </c>
      <c r="N25" s="128" t="str">
        <f>IF(CAELS!O16&lt;6%,"1",IF(CAELS!O16&lt;7%,"2",IF(CAELS!O16&lt;8%,"3",IF(CAELS!O16&lt;10%,"4","5"))))</f>
        <v>4</v>
      </c>
      <c r="O25" s="128" t="str">
        <f>IF(CAELS!P16&lt;6%,"1",IF(CAELS!P16&lt;7%,"2",IF(CAELS!P16&lt;8%,"3",IF(CAELS!P16&lt;10%,"4","5"))))</f>
        <v>4</v>
      </c>
      <c r="P25" s="128" t="str">
        <f>IF(CAELS!Q16&lt;6%,"1",IF(CAELS!Q16&lt;7%,"2",IF(CAELS!Q16&lt;8%,"3",IF(CAELS!Q16&lt;10%,"4","5"))))</f>
        <v>4</v>
      </c>
      <c r="Q25" s="128" t="str">
        <f>IF(CAELS!R16&lt;6%,"1",IF(CAELS!R16&lt;7%,"2",IF(CAELS!R16&lt;8%,"3",IF(CAELS!R16&lt;10%,"4","5"))))</f>
        <v>4</v>
      </c>
      <c r="R25" s="128" t="str">
        <f>IF(CAELS!S16&lt;6%,"1",IF(CAELS!S16&lt;7%,"2",IF(CAELS!S16&lt;8%,"3",IF(CAELS!S16&lt;10%,"4","5"))))</f>
        <v>4</v>
      </c>
      <c r="S25" s="128" t="str">
        <f>IF(CAELS!T16&lt;6%,"1",IF(CAELS!T16&lt;7%,"2",IF(CAELS!T16&lt;8%,"3",IF(CAELS!T16&lt;10%,"4","5"))))</f>
        <v>4</v>
      </c>
      <c r="T25" s="128" t="str">
        <f>IF(CAELS!U16&lt;6%,"1",IF(CAELS!U16&lt;7%,"2",IF(CAELS!U16&lt;8%,"3",IF(CAELS!U16&lt;10%,"4","5"))))</f>
        <v>4</v>
      </c>
      <c r="U25" s="128" t="str">
        <f>IF(CAELS!V16&lt;6%,"1",IF(CAELS!V16&lt;7%,"2",IF(CAELS!V16&lt;8%,"3",IF(CAELS!V16&lt;10%,"4","5"))))</f>
        <v>4</v>
      </c>
    </row>
    <row r="26" spans="1:21" x14ac:dyDescent="0.3">
      <c r="A26" s="53" t="s">
        <v>219</v>
      </c>
      <c r="B26" s="126" t="s">
        <v>220</v>
      </c>
      <c r="C26" s="128" t="str">
        <f>IF(CAELS!D17&lt;2%,"1",IF(CAELS!D17&lt;3%,"2",IF(CAELS!D17&lt;4%,"3",IF(CAELS!D17&lt;5%,"4","5"))))</f>
        <v>3</v>
      </c>
      <c r="D26" s="128" t="str">
        <f>IF(CAELS!E17&lt;2%,"1",IF(CAELS!E17&lt;3%,"2",IF(CAELS!E17&lt;4%,"3",IF(CAELS!E17&lt;5%,"4","5"))))</f>
        <v>5</v>
      </c>
      <c r="E26" s="128" t="str">
        <f>IF(CAELS!F17&lt;2%,"1",IF(CAELS!F17&lt;3%,"2",IF(CAELS!F17&lt;4%,"3",IF(CAELS!F17&lt;5%,"4","5"))))</f>
        <v>5</v>
      </c>
      <c r="F26" s="128" t="str">
        <f>IF(CAELS!G17&lt;2%,"1",IF(CAELS!G17&lt;3%,"2",IF(CAELS!G17&lt;4%,"3",IF(CAELS!G17&lt;5%,"4","5"))))</f>
        <v>5</v>
      </c>
      <c r="G26" s="128" t="str">
        <f>IF(CAELS!H17&lt;2%,"1",IF(CAELS!H17&lt;3%,"2",IF(CAELS!H17&lt;4%,"3",IF(CAELS!H17&lt;5%,"4","5"))))</f>
        <v>5</v>
      </c>
      <c r="H26" s="128" t="str">
        <f>IF(CAELS!I17&lt;2%,"1",IF(CAELS!I17&lt;3%,"2",IF(CAELS!I17&lt;4%,"3",IF(CAELS!I17&lt;5%,"4","5"))))</f>
        <v>5</v>
      </c>
      <c r="I26" s="128" t="str">
        <f>IF(CAELS!J17&lt;2%,"1",IF(CAELS!J17&lt;3%,"2",IF(CAELS!J17&lt;4%,"3",IF(CAELS!J17&lt;5%,"4","5"))))</f>
        <v>5</v>
      </c>
      <c r="J26" s="128" t="str">
        <f>IF(CAELS!K17&lt;2%,"1",IF(CAELS!K17&lt;3%,"2",IF(CAELS!K17&lt;4%,"3",IF(CAELS!K17&lt;5%,"4","5"))))</f>
        <v>5</v>
      </c>
      <c r="K26" s="128" t="str">
        <f>IF(CAELS!L17&lt;2%,"1",IF(CAELS!L17&lt;3%,"2",IF(CAELS!L17&lt;4%,"3",IF(CAELS!L17&lt;5%,"4","5"))))</f>
        <v>5</v>
      </c>
      <c r="L26" s="128" t="str">
        <f>IF(CAELS!M17&lt;2%,"1",IF(CAELS!M17&lt;3%,"2",IF(CAELS!M17&lt;4%,"3",IF(CAELS!M17&lt;5%,"4","5"))))</f>
        <v>5</v>
      </c>
      <c r="M26" s="128" t="str">
        <f>IF(CAELS!N17&lt;2%,"1",IF(CAELS!N17&lt;3%,"2",IF(CAELS!N17&lt;4%,"3",IF(CAELS!N17&lt;5%,"4","5"))))</f>
        <v>5</v>
      </c>
      <c r="N26" s="128" t="str">
        <f>IF(CAELS!O17&lt;2%,"1",IF(CAELS!O17&lt;3%,"2",IF(CAELS!O17&lt;4%,"3",IF(CAELS!O17&lt;5%,"4","5"))))</f>
        <v>5</v>
      </c>
      <c r="O26" s="128" t="str">
        <f>IF(CAELS!P17&lt;2%,"1",IF(CAELS!P17&lt;3%,"2",IF(CAELS!P17&lt;4%,"3",IF(CAELS!P17&lt;5%,"4","5"))))</f>
        <v>5</v>
      </c>
      <c r="P26" s="128" t="str">
        <f>IF(CAELS!Q17&lt;2%,"1",IF(CAELS!Q17&lt;3%,"2",IF(CAELS!Q17&lt;4%,"3",IF(CAELS!Q17&lt;5%,"4","5"))))</f>
        <v>5</v>
      </c>
      <c r="Q26" s="128" t="str">
        <f>IF(CAELS!R17&lt;2%,"1",IF(CAELS!R17&lt;3%,"2",IF(CAELS!R17&lt;4%,"3",IF(CAELS!R17&lt;5%,"4","5"))))</f>
        <v>5</v>
      </c>
      <c r="R26" s="128" t="str">
        <f>IF(CAELS!S17&lt;2%,"1",IF(CAELS!S17&lt;3%,"2",IF(CAELS!S17&lt;4%,"3",IF(CAELS!S17&lt;5%,"4","5"))))</f>
        <v>5</v>
      </c>
      <c r="S26" s="128" t="str">
        <f>IF(CAELS!T17&lt;2%,"1",IF(CAELS!T17&lt;3%,"2",IF(CAELS!T17&lt;4%,"3",IF(CAELS!T17&lt;5%,"4","5"))))</f>
        <v>5</v>
      </c>
      <c r="T26" s="128" t="str">
        <f>IF(CAELS!U17&lt;2%,"1",IF(CAELS!U17&lt;3%,"2",IF(CAELS!U17&lt;4%,"3",IF(CAELS!U17&lt;5%,"4","5"))))</f>
        <v>5</v>
      </c>
      <c r="U26" s="128" t="str">
        <f>IF(CAELS!V17&lt;2%,"1",IF(CAELS!V17&lt;3%,"2",IF(CAELS!V17&lt;4%,"3",IF(CAELS!V17&lt;5%,"4","5"))))</f>
        <v>5</v>
      </c>
    </row>
    <row r="27" spans="1:21" x14ac:dyDescent="0.3">
      <c r="A27" s="53" t="s">
        <v>221</v>
      </c>
      <c r="B27" s="126" t="s">
        <v>220</v>
      </c>
      <c r="C27" s="128" t="str">
        <f>IF(CAELS!D18&lt;2%,"1",IF(CAELS!D18&lt;3%,"2",IF(CAELS!D18&lt;4%,"3",IF(CAELS!D18&lt;5%,"4","5"))))</f>
        <v>1</v>
      </c>
      <c r="D27" s="128" t="str">
        <f>IF(CAELS!E18&lt;2%,"1",IF(CAELS!E18&lt;3%,"2",IF(CAELS!E18&lt;4%,"3",IF(CAELS!E18&lt;5%,"4","5"))))</f>
        <v>1</v>
      </c>
      <c r="E27" s="128" t="str">
        <f>IF(CAELS!F18&lt;2%,"1",IF(CAELS!F18&lt;3%,"2",IF(CAELS!F18&lt;4%,"3",IF(CAELS!F18&lt;5%,"4","5"))))</f>
        <v>2</v>
      </c>
      <c r="F27" s="128" t="str">
        <f>IF(CAELS!G18&lt;2%,"1",IF(CAELS!G18&lt;3%,"2",IF(CAELS!G18&lt;4%,"3",IF(CAELS!G18&lt;5%,"4","5"))))</f>
        <v>2</v>
      </c>
      <c r="G27" s="128" t="str">
        <f>IF(CAELS!H18&lt;2%,"1",IF(CAELS!H18&lt;3%,"2",IF(CAELS!H18&lt;4%,"3",IF(CAELS!H18&lt;5%,"4","5"))))</f>
        <v>2</v>
      </c>
      <c r="H27" s="128" t="str">
        <f>IF(CAELS!I18&lt;2%,"1",IF(CAELS!I18&lt;3%,"2",IF(CAELS!I18&lt;4%,"3",IF(CAELS!I18&lt;5%,"4","5"))))</f>
        <v>2</v>
      </c>
      <c r="I27" s="128" t="str">
        <f>IF(CAELS!J18&lt;2%,"1",IF(CAELS!J18&lt;3%,"2",IF(CAELS!J18&lt;4%,"3",IF(CAELS!J18&lt;5%,"4","5"))))</f>
        <v>2</v>
      </c>
      <c r="J27" s="128" t="str">
        <f>IF(CAELS!K18&lt;2%,"1",IF(CAELS!K18&lt;3%,"2",IF(CAELS!K18&lt;4%,"3",IF(CAELS!K18&lt;5%,"4","5"))))</f>
        <v>2</v>
      </c>
      <c r="K27" s="128" t="str">
        <f>IF(CAELS!L18&lt;2%,"1",IF(CAELS!L18&lt;3%,"2",IF(CAELS!L18&lt;4%,"3",IF(CAELS!L18&lt;5%,"4","5"))))</f>
        <v>2</v>
      </c>
      <c r="L27" s="128" t="str">
        <f>IF(CAELS!M18&lt;2%,"1",IF(CAELS!M18&lt;3%,"2",IF(CAELS!M18&lt;4%,"3",IF(CAELS!M18&lt;5%,"4","5"))))</f>
        <v>2</v>
      </c>
      <c r="M27" s="128" t="str">
        <f>IF(CAELS!N18&lt;2%,"1",IF(CAELS!N18&lt;3%,"2",IF(CAELS!N18&lt;4%,"3",IF(CAELS!N18&lt;5%,"4","5"))))</f>
        <v>2</v>
      </c>
      <c r="N27" s="128" t="str">
        <f>IF(CAELS!O18&lt;2%,"1",IF(CAELS!O18&lt;3%,"2",IF(CAELS!O18&lt;4%,"3",IF(CAELS!O18&lt;5%,"4","5"))))</f>
        <v>2</v>
      </c>
      <c r="O27" s="128" t="str">
        <f>IF(CAELS!P18&lt;2%,"1",IF(CAELS!P18&lt;3%,"2",IF(CAELS!P18&lt;4%,"3",IF(CAELS!P18&lt;5%,"4","5"))))</f>
        <v>2</v>
      </c>
      <c r="P27" s="128" t="str">
        <f>IF(CAELS!Q18&lt;2%,"1",IF(CAELS!Q18&lt;3%,"2",IF(CAELS!Q18&lt;4%,"3",IF(CAELS!Q18&lt;5%,"4","5"))))</f>
        <v>2</v>
      </c>
      <c r="Q27" s="128" t="str">
        <f>IF(CAELS!R18&lt;2%,"1",IF(CAELS!R18&lt;3%,"2",IF(CAELS!R18&lt;4%,"3",IF(CAELS!R18&lt;5%,"4","5"))))</f>
        <v>1</v>
      </c>
      <c r="R27" s="128" t="str">
        <f>IF(CAELS!S18&lt;2%,"1",IF(CAELS!S18&lt;3%,"2",IF(CAELS!S18&lt;4%,"3",IF(CAELS!S18&lt;5%,"4","5"))))</f>
        <v>2</v>
      </c>
      <c r="S27" s="128" t="str">
        <f>IF(CAELS!T18&lt;2%,"1",IF(CAELS!T18&lt;3%,"2",IF(CAELS!T18&lt;4%,"3",IF(CAELS!T18&lt;5%,"4","5"))))</f>
        <v>2</v>
      </c>
      <c r="T27" s="128" t="str">
        <f>IF(CAELS!U18&lt;2%,"1",IF(CAELS!U18&lt;3%,"2",IF(CAELS!U18&lt;4%,"3",IF(CAELS!U18&lt;5%,"4","5"))))</f>
        <v>2</v>
      </c>
      <c r="U27" s="128" t="str">
        <f>IF(CAELS!V18&lt;2%,"1",IF(CAELS!V18&lt;3%,"2",IF(CAELS!V18&lt;4%,"3",IF(CAELS!V18&lt;5%,"4","5"))))</f>
        <v>2</v>
      </c>
    </row>
    <row r="28" spans="1:21" x14ac:dyDescent="0.3">
      <c r="A28" s="53" t="s">
        <v>222</v>
      </c>
      <c r="B28" s="126" t="s">
        <v>223</v>
      </c>
      <c r="C28" s="128" t="str">
        <f>IF(CAELS!D19&lt;20%,"1",IF(CAELS!D19&lt;25%,"2",IF(CAELS!D19&lt;30%,"3",IF(CAELS!D19&lt;40%,"4","5"))))</f>
        <v>1</v>
      </c>
      <c r="D28" s="128" t="str">
        <f>IF(CAELS!E19&lt;20%,"1",IF(CAELS!E19&lt;25%,"2",IF(CAELS!E19&lt;30%,"3",IF(CAELS!E19&lt;40%,"4","5"))))</f>
        <v>1</v>
      </c>
      <c r="E28" s="128" t="str">
        <f>IF(CAELS!F19&lt;20%,"1",IF(CAELS!F19&lt;25%,"2",IF(CAELS!F19&lt;30%,"3",IF(CAELS!F19&lt;40%,"4","5"))))</f>
        <v>1</v>
      </c>
      <c r="F28" s="128" t="str">
        <f>IF(CAELS!G19&lt;20%,"1",IF(CAELS!G19&lt;25%,"2",IF(CAELS!G19&lt;30%,"3",IF(CAELS!G19&lt;40%,"4","5"))))</f>
        <v>1</v>
      </c>
      <c r="G28" s="128" t="str">
        <f>IF(CAELS!H19&lt;20%,"1",IF(CAELS!H19&lt;25%,"2",IF(CAELS!H19&lt;30%,"3",IF(CAELS!H19&lt;40%,"4","5"))))</f>
        <v>1</v>
      </c>
      <c r="H28" s="128" t="str">
        <f>IF(CAELS!I19&lt;20%,"1",IF(CAELS!I19&lt;25%,"2",IF(CAELS!I19&lt;30%,"3",IF(CAELS!I19&lt;40%,"4","5"))))</f>
        <v>1</v>
      </c>
      <c r="I28" s="128" t="str">
        <f>IF(CAELS!J19&lt;20%,"1",IF(CAELS!J19&lt;25%,"2",IF(CAELS!J19&lt;30%,"3",IF(CAELS!J19&lt;40%,"4","5"))))</f>
        <v>1</v>
      </c>
      <c r="J28" s="128" t="str">
        <f>IF(CAELS!K19&lt;20%,"1",IF(CAELS!K19&lt;25%,"2",IF(CAELS!K19&lt;30%,"3",IF(CAELS!K19&lt;40%,"4","5"))))</f>
        <v>1</v>
      </c>
      <c r="K28" s="128" t="str">
        <f>IF(CAELS!L19&lt;20%,"1",IF(CAELS!L19&lt;25%,"2",IF(CAELS!L19&lt;30%,"3",IF(CAELS!L19&lt;40%,"4","5"))))</f>
        <v>1</v>
      </c>
      <c r="L28" s="128" t="str">
        <f>IF(CAELS!M19&lt;20%,"1",IF(CAELS!M19&lt;25%,"2",IF(CAELS!M19&lt;30%,"3",IF(CAELS!M19&lt;40%,"4","5"))))</f>
        <v>1</v>
      </c>
      <c r="M28" s="128" t="str">
        <f>IF(CAELS!N19&lt;20%,"1",IF(CAELS!N19&lt;25%,"2",IF(CAELS!N19&lt;30%,"3",IF(CAELS!N19&lt;40%,"4","5"))))</f>
        <v>1</v>
      </c>
      <c r="N28" s="128" t="str">
        <f>IF(CAELS!O19&lt;20%,"1",IF(CAELS!O19&lt;25%,"2",IF(CAELS!O19&lt;30%,"3",IF(CAELS!O19&lt;40%,"4","5"))))</f>
        <v>1</v>
      </c>
      <c r="O28" s="128" t="str">
        <f>IF(CAELS!P19&lt;20%,"1",IF(CAELS!P19&lt;25%,"2",IF(CAELS!P19&lt;30%,"3",IF(CAELS!P19&lt;40%,"4","5"))))</f>
        <v>1</v>
      </c>
      <c r="P28" s="128" t="str">
        <f>IF(CAELS!Q19&lt;20%,"1",IF(CAELS!Q19&lt;25%,"2",IF(CAELS!Q19&lt;30%,"3",IF(CAELS!Q19&lt;40%,"4","5"))))</f>
        <v>1</v>
      </c>
      <c r="Q28" s="128" t="str">
        <f>IF(CAELS!R19&lt;20%,"1",IF(CAELS!R19&lt;25%,"2",IF(CAELS!R19&lt;30%,"3",IF(CAELS!R19&lt;40%,"4","5"))))</f>
        <v>1</v>
      </c>
      <c r="R28" s="128" t="str">
        <f>IF(CAELS!S19&lt;20%,"1",IF(CAELS!S19&lt;25%,"2",IF(CAELS!S19&lt;30%,"3",IF(CAELS!S19&lt;40%,"4","5"))))</f>
        <v>1</v>
      </c>
      <c r="S28" s="128" t="str">
        <f>IF(CAELS!T19&lt;20%,"1",IF(CAELS!T19&lt;25%,"2",IF(CAELS!T19&lt;30%,"3",IF(CAELS!T19&lt;40%,"4","5"))))</f>
        <v>1</v>
      </c>
      <c r="T28" s="128" t="str">
        <f>IF(CAELS!U19&lt;20%,"1",IF(CAELS!U19&lt;25%,"2",IF(CAELS!U19&lt;30%,"3",IF(CAELS!U19&lt;40%,"4","5"))))</f>
        <v>1</v>
      </c>
      <c r="U28" s="128" t="str">
        <f>IF(CAELS!V19&lt;20%,"1",IF(CAELS!V19&lt;25%,"2",IF(CAELS!V19&lt;30%,"3",IF(CAELS!V19&lt;40%,"4","5"))))</f>
        <v>1</v>
      </c>
    </row>
    <row r="29" spans="1:21" x14ac:dyDescent="0.3">
      <c r="A29" s="53"/>
      <c r="B29" s="2"/>
      <c r="C29" s="142">
        <f t="shared" ref="C29:K29" si="8">(C25+C26+C27+C28)/4</f>
        <v>2.5</v>
      </c>
      <c r="D29" s="142">
        <f t="shared" si="8"/>
        <v>2.75</v>
      </c>
      <c r="E29" s="142">
        <f t="shared" si="8"/>
        <v>3</v>
      </c>
      <c r="F29" s="142">
        <f t="shared" si="8"/>
        <v>2.75</v>
      </c>
      <c r="G29" s="142">
        <f t="shared" si="8"/>
        <v>3</v>
      </c>
      <c r="H29" s="142">
        <f t="shared" si="8"/>
        <v>3</v>
      </c>
      <c r="I29" s="142">
        <f t="shared" si="8"/>
        <v>3.25</v>
      </c>
      <c r="J29" s="142">
        <f t="shared" si="8"/>
        <v>3</v>
      </c>
      <c r="K29" s="142">
        <f t="shared" si="8"/>
        <v>3</v>
      </c>
      <c r="L29" s="142">
        <f t="shared" ref="L29:S29" si="9">(L25+L26+L27+L28)/4</f>
        <v>3</v>
      </c>
      <c r="M29" s="142">
        <f t="shared" si="9"/>
        <v>3</v>
      </c>
      <c r="N29" s="142">
        <f t="shared" si="9"/>
        <v>3</v>
      </c>
      <c r="O29" s="142">
        <f t="shared" si="9"/>
        <v>3</v>
      </c>
      <c r="P29" s="142">
        <f t="shared" si="9"/>
        <v>3</v>
      </c>
      <c r="Q29" s="142">
        <f t="shared" si="9"/>
        <v>2.75</v>
      </c>
      <c r="R29" s="142">
        <f t="shared" si="9"/>
        <v>3</v>
      </c>
      <c r="S29" s="142">
        <f t="shared" si="9"/>
        <v>3</v>
      </c>
      <c r="T29" s="142">
        <f>(T25+T26+T27+T28)/4</f>
        <v>3</v>
      </c>
      <c r="U29" s="142">
        <f>(U25+U26+U27+U28)/4</f>
        <v>3</v>
      </c>
    </row>
    <row r="30" spans="1:21" ht="15" thickBot="1" x14ac:dyDescent="0.35">
      <c r="A30" s="133" t="s">
        <v>224</v>
      </c>
      <c r="B30" s="134"/>
      <c r="C30" s="143">
        <f t="shared" ref="C30:K30" si="10">(C9+C12+C17+C23)/4</f>
        <v>1.7708333333333333</v>
      </c>
      <c r="D30" s="143">
        <f t="shared" si="10"/>
        <v>1.3333333333333335</v>
      </c>
      <c r="E30" s="143">
        <f t="shared" si="10"/>
        <v>1.25</v>
      </c>
      <c r="F30" s="143">
        <f t="shared" si="10"/>
        <v>1.1875</v>
      </c>
      <c r="G30" s="143">
        <f t="shared" si="10"/>
        <v>1.1666666666666667</v>
      </c>
      <c r="H30" s="143">
        <f t="shared" si="10"/>
        <v>1.2291666666666667</v>
      </c>
      <c r="I30" s="143">
        <f t="shared" si="10"/>
        <v>1.1458333333333333</v>
      </c>
      <c r="J30" s="143">
        <f t="shared" si="10"/>
        <v>1.0833333333333333</v>
      </c>
      <c r="K30" s="143">
        <f t="shared" si="10"/>
        <v>1.1458333333333333</v>
      </c>
      <c r="L30" s="143">
        <f t="shared" ref="L30:S30" si="11">(L9+L12+L17+L23)/4</f>
        <v>1.3125</v>
      </c>
      <c r="M30" s="143">
        <f t="shared" si="11"/>
        <v>1.1458333333333333</v>
      </c>
      <c r="N30" s="143">
        <f t="shared" si="11"/>
        <v>1.2083333333333333</v>
      </c>
      <c r="O30" s="143">
        <f t="shared" si="11"/>
        <v>1.5208333333333333</v>
      </c>
      <c r="P30" s="143">
        <f t="shared" si="11"/>
        <v>1.3541666666666667</v>
      </c>
      <c r="Q30" s="143">
        <f t="shared" si="11"/>
        <v>1.6041666666666665</v>
      </c>
      <c r="R30" s="143">
        <f t="shared" si="11"/>
        <v>1.625</v>
      </c>
      <c r="S30" s="143">
        <f t="shared" si="11"/>
        <v>1.375</v>
      </c>
      <c r="T30" s="143">
        <f>(T9+T12+T17+T23)/4</f>
        <v>1.3541666666666667</v>
      </c>
      <c r="U30" s="143">
        <f>(U9+U12+U17+U23)/4</f>
        <v>2.104166666666667</v>
      </c>
    </row>
  </sheetData>
  <mergeCells count="1">
    <mergeCell ref="A2:F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T14"/>
  <sheetViews>
    <sheetView topLeftCell="H1" workbookViewId="0">
      <selection activeCell="L23" sqref="L23"/>
    </sheetView>
  </sheetViews>
  <sheetFormatPr defaultRowHeight="14.4" x14ac:dyDescent="0.3"/>
  <cols>
    <col min="1" max="1" width="16.88671875" bestFit="1" customWidth="1"/>
    <col min="2" max="2" width="15.5546875" bestFit="1" customWidth="1"/>
    <col min="3" max="4" width="15.88671875" bestFit="1" customWidth="1"/>
    <col min="5" max="5" width="15.5546875" bestFit="1" customWidth="1"/>
    <col min="6" max="6" width="15.88671875" bestFit="1" customWidth="1"/>
    <col min="7" max="8" width="15.5546875" bestFit="1" customWidth="1"/>
    <col min="9" max="9" width="15.88671875" bestFit="1" customWidth="1"/>
    <col min="10" max="10" width="14.6640625" bestFit="1" customWidth="1"/>
    <col min="11" max="14" width="15.88671875" bestFit="1" customWidth="1"/>
    <col min="15" max="15" width="15.109375" bestFit="1" customWidth="1"/>
    <col min="16" max="20" width="15.88671875" bestFit="1" customWidth="1"/>
  </cols>
  <sheetData>
    <row r="2" spans="1:20" ht="15" x14ac:dyDescent="0.3">
      <c r="B2" s="135" t="s">
        <v>0</v>
      </c>
      <c r="C2" s="135" t="s">
        <v>225</v>
      </c>
      <c r="D2" s="152">
        <v>44197</v>
      </c>
      <c r="E2" s="152">
        <v>44229</v>
      </c>
      <c r="F2" s="152">
        <v>44258</v>
      </c>
      <c r="G2" s="152">
        <v>44290</v>
      </c>
      <c r="H2" s="152">
        <v>44321</v>
      </c>
      <c r="I2" s="152">
        <v>44353</v>
      </c>
      <c r="J2" s="152">
        <v>44384</v>
      </c>
      <c r="K2" s="152">
        <v>44416</v>
      </c>
      <c r="L2" s="152">
        <v>44448</v>
      </c>
      <c r="M2" s="152">
        <v>44479</v>
      </c>
      <c r="N2" s="152">
        <v>44511</v>
      </c>
      <c r="O2" s="152">
        <v>44542</v>
      </c>
      <c r="P2" s="152" t="s">
        <v>226</v>
      </c>
      <c r="Q2" s="152">
        <v>44563</v>
      </c>
      <c r="R2" s="152">
        <v>44595</v>
      </c>
      <c r="S2" s="152">
        <v>44624</v>
      </c>
      <c r="T2" s="152">
        <v>44656</v>
      </c>
    </row>
    <row r="3" spans="1:20" x14ac:dyDescent="0.3">
      <c r="A3" s="136" t="s">
        <v>203</v>
      </c>
      <c r="B3" s="2" t="str">
        <f>IF(CAELS!D3&gt;10,"Compliant","Non-Compliant")</f>
        <v>Compliant</v>
      </c>
      <c r="C3" s="2" t="str">
        <f>IF(CAELS!E3&gt;10,"Compliant","Non-Compliant")</f>
        <v>Compliant</v>
      </c>
      <c r="D3" s="2" t="str">
        <f>IF(CAELS!F3&gt;10,"Compliant","Non-Compliant")</f>
        <v>Compliant</v>
      </c>
      <c r="E3" s="2" t="str">
        <f>IF(CAELS!G3&gt;10,"Compliant","Non-Compliant")</f>
        <v>Compliant</v>
      </c>
      <c r="F3" s="2" t="str">
        <f>IF(CAELS!H3&gt;10,"Compliant","Non-Compliant")</f>
        <v>Compliant</v>
      </c>
      <c r="G3" s="2" t="str">
        <f>IF(CAELS!I3&gt;10,"Compliant","Non-Compliant")</f>
        <v>Compliant</v>
      </c>
      <c r="H3" s="2" t="str">
        <f>IF(CAELS!J3&gt;10,"Compliant","Non-Compliant")</f>
        <v>Compliant</v>
      </c>
      <c r="I3" s="2" t="str">
        <f>IF(CAELS!K3&gt;10,"Compliant","Non-Compliant")</f>
        <v>Compliant</v>
      </c>
      <c r="J3" s="2" t="str">
        <f>IF(CAELS!L3&gt;10,"Compliant","Non-Compliant")</f>
        <v>Compliant</v>
      </c>
      <c r="K3" s="2" t="str">
        <f>IF(CAELS!M3&gt;10,"Compliant","Non-Compliant")</f>
        <v>Compliant</v>
      </c>
      <c r="L3" s="2" t="str">
        <f>IF(CAELS!N3&gt;10,"Compliant","Non-Compliant")</f>
        <v>Compliant</v>
      </c>
      <c r="M3" s="2" t="str">
        <f>IF(CAELS!O3&gt;10,"Compliant","Non-Compliant")</f>
        <v>Compliant</v>
      </c>
      <c r="N3" s="2" t="str">
        <f>IF(CAELS!P3&gt;10,"Compliant","Non-Compliant")</f>
        <v>Compliant</v>
      </c>
      <c r="O3" s="2" t="str">
        <f>IF(CAELS!Q3&gt;10,"Compliant","Non-Compliant")</f>
        <v>Compliant</v>
      </c>
      <c r="P3" s="2" t="str">
        <f>IF(CAELS!R3&gt;10,"Compliant","Non-Compliant")</f>
        <v>Compliant</v>
      </c>
      <c r="Q3" s="2" t="str">
        <f>IF(CAELS!S3&gt;10,"Compliant","Non-Compliant")</f>
        <v>Compliant</v>
      </c>
      <c r="R3" s="2" t="str">
        <f>IF(CAELS!T3&gt;10,"Compliant","Non-Compliant")</f>
        <v>Compliant</v>
      </c>
      <c r="S3" s="2" t="str">
        <f>IF(CAELS!U3&gt;10,"Compliant","Non-Compliant")</f>
        <v>Compliant</v>
      </c>
      <c r="T3" s="2" t="str">
        <f>IF(CAELS!V3&gt;10,"Compliant","Non-Compliant")</f>
        <v>Compliant</v>
      </c>
    </row>
    <row r="4" spans="1:20" x14ac:dyDescent="0.3">
      <c r="A4" s="137" t="s">
        <v>227</v>
      </c>
      <c r="B4" s="2" t="str">
        <f>IF(CAELS!D4&gt;10%,"Compliant","Non-Compliant")</f>
        <v>Compliant</v>
      </c>
      <c r="C4" s="2" t="str">
        <f>IF(CAELS!E4&gt;10%,"Compliant","Non-Compliant")</f>
        <v>Compliant</v>
      </c>
      <c r="D4" s="2" t="str">
        <f>IF(CAELS!F4&gt;10%,"Compliant","Non-Compliant")</f>
        <v>Compliant</v>
      </c>
      <c r="E4" s="2" t="str">
        <f>IF(CAELS!G4&gt;10%,"Compliant","Non-Compliant")</f>
        <v>Compliant</v>
      </c>
      <c r="F4" s="2" t="str">
        <f>IF(CAELS!H4&gt;10%,"Compliant","Non-Compliant")</f>
        <v>Compliant</v>
      </c>
      <c r="G4" s="2" t="str">
        <f>IF(CAELS!I4&gt;10%,"Compliant","Non-Compliant")</f>
        <v>Compliant</v>
      </c>
      <c r="H4" s="2" t="str">
        <f>IF(CAELS!J4&gt;10%,"Compliant","Non-Compliant")</f>
        <v>Compliant</v>
      </c>
      <c r="I4" s="2" t="str">
        <f>IF(CAELS!K4&gt;10%,"Compliant","Non-Compliant")</f>
        <v>Compliant</v>
      </c>
      <c r="J4" s="2" t="str">
        <f>IF(CAELS!L4&gt;10%,"Compliant","Non-Compliant")</f>
        <v>Compliant</v>
      </c>
      <c r="K4" s="2" t="str">
        <f>IF(CAELS!M4&gt;10%,"Compliant","Non-Compliant")</f>
        <v>Compliant</v>
      </c>
      <c r="L4" s="2" t="str">
        <f>IF(CAELS!N4&gt;10%,"Compliant","Non-Compliant")</f>
        <v>Compliant</v>
      </c>
      <c r="M4" s="2" t="str">
        <f>IF(CAELS!O4&gt;10%,"Compliant","Non-Compliant")</f>
        <v>Compliant</v>
      </c>
      <c r="N4" s="2" t="str">
        <f>IF(CAELS!P4&gt;10%,"Compliant","Non-Compliant")</f>
        <v>Compliant</v>
      </c>
      <c r="O4" s="2" t="str">
        <f>IF(CAELS!Q4&gt;10%,"Compliant","Non-Compliant")</f>
        <v>Compliant</v>
      </c>
      <c r="P4" s="2" t="str">
        <f>IF(CAELS!R4&gt;10%,"Compliant","Non-Compliant")</f>
        <v>Compliant</v>
      </c>
      <c r="Q4" s="2" t="str">
        <f>IF(CAELS!S4&gt;10%,"Compliant","Non-Compliant")</f>
        <v>Compliant</v>
      </c>
      <c r="R4" s="2" t="str">
        <f>IF(CAELS!T4&gt;10%,"Compliant","Non-Compliant")</f>
        <v>Compliant</v>
      </c>
      <c r="S4" s="2" t="str">
        <f>IF(CAELS!U4&gt;10%,"Compliant","Non-Compliant")</f>
        <v>Compliant</v>
      </c>
      <c r="T4" s="2" t="str">
        <f>IF(CAELS!V4&gt;10%,"Compliant","Non-Compliant")</f>
        <v>Compliant</v>
      </c>
    </row>
    <row r="5" spans="1:20" x14ac:dyDescent="0.3">
      <c r="A5" s="137" t="s">
        <v>228</v>
      </c>
      <c r="B5" s="2" t="str">
        <f>IF(CAELS!D6&gt;8%,"Compliant","Non-Compliant")</f>
        <v>Non-Compliant</v>
      </c>
      <c r="C5" s="2" t="str">
        <f>IF(CAELS!E6&gt;8%,"Compliant","Non-Compliant")</f>
        <v>Compliant</v>
      </c>
      <c r="D5" s="2" t="str">
        <f>IF(CAELS!F6&gt;8%,"Compliant","Non-Compliant")</f>
        <v>Compliant</v>
      </c>
      <c r="E5" s="2" t="str">
        <f>IF(CAELS!G6&gt;8%,"Compliant","Non-Compliant")</f>
        <v>Compliant</v>
      </c>
      <c r="F5" s="2" t="str">
        <f>IF(CAELS!H6&gt;8%,"Compliant","Non-Compliant")</f>
        <v>Compliant</v>
      </c>
      <c r="G5" s="2" t="str">
        <f>IF(CAELS!I6&gt;8%,"Compliant","Non-Compliant")</f>
        <v>Compliant</v>
      </c>
      <c r="H5" s="2" t="str">
        <f>IF(CAELS!J6&gt;8%,"Compliant","Non-Compliant")</f>
        <v>Compliant</v>
      </c>
      <c r="I5" s="2" t="str">
        <f>IF(CAELS!K6&gt;8%,"Compliant","Non-Compliant")</f>
        <v>Compliant</v>
      </c>
      <c r="J5" s="2" t="str">
        <f>IF(CAELS!L6&gt;8%,"Compliant","Non-Compliant")</f>
        <v>Compliant</v>
      </c>
      <c r="K5" s="2" t="str">
        <f>IF(CAELS!M6&gt;8%,"Compliant","Non-Compliant")</f>
        <v>Compliant</v>
      </c>
      <c r="L5" s="2" t="str">
        <f>IF(CAELS!N6&gt;8%,"Compliant","Non-Compliant")</f>
        <v>Compliant</v>
      </c>
      <c r="M5" s="2" t="str">
        <f>IF(CAELS!O6&gt;8%,"Compliant","Non-Compliant")</f>
        <v>Compliant</v>
      </c>
      <c r="N5" s="2" t="str">
        <f>IF(CAELS!P6&gt;8%,"Compliant","Non-Compliant")</f>
        <v>Compliant</v>
      </c>
      <c r="O5" s="2" t="str">
        <f>IF(CAELS!Q6&gt;8%,"Compliant","Non-Compliant")</f>
        <v>Compliant</v>
      </c>
      <c r="P5" s="2" t="str">
        <f>IF(CAELS!R6&gt;8%,"Compliant","Non-Compliant")</f>
        <v>Compliant</v>
      </c>
      <c r="Q5" s="2" t="str">
        <f>IF(CAELS!S6&gt;8%,"Compliant","Non-Compliant")</f>
        <v>Compliant</v>
      </c>
      <c r="R5" s="2" t="str">
        <f>IF(CAELS!T6&gt;8%,"Compliant","Non-Compliant")</f>
        <v>Compliant</v>
      </c>
      <c r="S5" s="2" t="str">
        <f>IF(CAELS!U6&gt;8%,"Compliant","Non-Compliant")</f>
        <v>Compliant</v>
      </c>
      <c r="T5" s="2" t="str">
        <f>IF(CAELS!V6&gt;8%,"Compliant","Non-Compliant")</f>
        <v>Compliant</v>
      </c>
    </row>
    <row r="6" spans="1:20" x14ac:dyDescent="0.3">
      <c r="A6" s="137" t="s">
        <v>229</v>
      </c>
      <c r="B6" s="2" t="str">
        <f>IF(CAELS!D5&gt;8%,"Compliant","Non-Compiant")</f>
        <v>Compliant</v>
      </c>
      <c r="C6" s="2" t="str">
        <f>IF(CAELS!E5&gt;8%,"Compliant","Non-Compiant")</f>
        <v>Compliant</v>
      </c>
      <c r="D6" s="2" t="str">
        <f>IF(CAELS!F5&gt;8%,"Compliant","Non-Compiant")</f>
        <v>Compliant</v>
      </c>
      <c r="E6" s="2" t="str">
        <f>IF(CAELS!G5&gt;8%,"Compliant","Non-Compiant")</f>
        <v>Compliant</v>
      </c>
      <c r="F6" s="2" t="str">
        <f>IF(CAELS!H5&gt;8%,"Compliant","Non-Compiant")</f>
        <v>Compliant</v>
      </c>
      <c r="G6" s="2" t="str">
        <f>IF(CAELS!I5&gt;8%,"Compliant","Non-Compiant")</f>
        <v>Compliant</v>
      </c>
      <c r="H6" s="2" t="str">
        <f>IF(CAELS!J5&gt;8%,"Compliant","Non-Compiant")</f>
        <v>Compliant</v>
      </c>
      <c r="I6" s="2" t="str">
        <f>IF(CAELS!K5&gt;8%,"Compliant","Non-Compiant")</f>
        <v>Compliant</v>
      </c>
      <c r="J6" s="2" t="str">
        <f>IF(CAELS!L5&gt;8%,"Compliant","Non-Compiant")</f>
        <v>Compliant</v>
      </c>
      <c r="K6" s="2" t="str">
        <f>IF(CAELS!M5&gt;8%,"Compliant","Non-Compiant")</f>
        <v>Compliant</v>
      </c>
      <c r="L6" s="2" t="str">
        <f>IF(CAELS!N5&gt;8%,"Compliant","Non-Compiant")</f>
        <v>Compliant</v>
      </c>
      <c r="M6" s="2" t="str">
        <f>IF(CAELS!O5&gt;8%,"Compliant","Non-Compiant")</f>
        <v>Compliant</v>
      </c>
      <c r="N6" s="2" t="str">
        <f>IF(CAELS!P5&gt;8%,"Compliant","Non-Compiant")</f>
        <v>Compliant</v>
      </c>
      <c r="O6" s="2" t="str">
        <f>IF(CAELS!Q5&gt;8%,"Compliant","Non-Compiant")</f>
        <v>Compliant</v>
      </c>
      <c r="P6" s="2" t="str">
        <f>IF(CAELS!R5&gt;8%,"Compliant","Non-Compiant")</f>
        <v>Compliant</v>
      </c>
      <c r="Q6" s="2" t="str">
        <f>IF(CAELS!S5&gt;8%,"Compliant","Non-Compiant")</f>
        <v>Compliant</v>
      </c>
      <c r="R6" s="2" t="str">
        <f>IF(CAELS!T5&gt;8%,"Compliant","Non-Compiant")</f>
        <v>Compliant</v>
      </c>
      <c r="S6" s="2" t="str">
        <f>IF(CAELS!U5&gt;8%,"Compliant","Non-Compiant")</f>
        <v>Compliant</v>
      </c>
      <c r="T6" s="2" t="str">
        <f>IF(CAELS!V5&gt;8%,"Compliant","Non-Compiant")</f>
        <v>Compliant</v>
      </c>
    </row>
    <row r="7" spans="1:20" x14ac:dyDescent="0.3">
      <c r="A7" s="137" t="s">
        <v>230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3">
      <c r="A8" s="137" t="s">
        <v>231</v>
      </c>
      <c r="B8" s="2" t="str">
        <f>IF(CAELS!D12&gt;15%,"Compliant","Non-Compliant")</f>
        <v>Compliant</v>
      </c>
      <c r="C8" s="2" t="str">
        <f>IF(CAELS!E12&gt;15%,"Compliant","Non-Compliant")</f>
        <v>Compliant</v>
      </c>
      <c r="D8" s="2" t="str">
        <f>IF(CAELS!F12&gt;15%,"Compliant","Non-Compliant")</f>
        <v>Compliant</v>
      </c>
      <c r="E8" s="2" t="str">
        <f>IF(CAELS!G12&gt;15%,"Compliant","Non-Compliant")</f>
        <v>Compliant</v>
      </c>
      <c r="F8" s="2" t="str">
        <f>IF(CAELS!H12&gt;15%,"Compliant","Non-Compliant")</f>
        <v>Compliant</v>
      </c>
      <c r="G8" s="2" t="str">
        <f>IF(CAELS!I12&gt;15%,"Compliant","Non-Compliant")</f>
        <v>Compliant</v>
      </c>
      <c r="H8" s="2" t="str">
        <f>IF(CAELS!J12&gt;15%,"Compliant","Non-Compliant")</f>
        <v>Compliant</v>
      </c>
      <c r="I8" s="2" t="str">
        <f>IF(CAELS!K12&gt;15%,"Compliant","Non-Compliant")</f>
        <v>Compliant</v>
      </c>
      <c r="J8" s="2" t="str">
        <f>IF(CAELS!L12&gt;15%,"Compliant","Non-Compliant")</f>
        <v>Compliant</v>
      </c>
      <c r="K8" s="2" t="str">
        <f>IF(CAELS!M12&gt;15%,"Compliant","Non-Compliant")</f>
        <v>Compliant</v>
      </c>
      <c r="L8" s="2" t="str">
        <f>IF(CAELS!N12&gt;15%,"Compliant","Non-Compliant")</f>
        <v>Compliant</v>
      </c>
      <c r="M8" s="2" t="str">
        <f>IF(CAELS!O12&gt;15%,"Compliant","Non-Compliant")</f>
        <v>Compliant</v>
      </c>
      <c r="N8" s="2" t="str">
        <f>IF(CAELS!P12&gt;15%,"Compliant","Non-Compliant")</f>
        <v>Compliant</v>
      </c>
      <c r="O8" s="2" t="str">
        <f>IF(CAELS!Q12&gt;15%,"Compliant","Non-Compliant")</f>
        <v>Compliant</v>
      </c>
      <c r="P8" s="2" t="str">
        <f>IF(CAELS!R12&gt;15%,"Compliant","Non-Compliant")</f>
        <v>Compliant</v>
      </c>
      <c r="Q8" s="2" t="str">
        <f>IF(CAELS!S12&gt;15%,"Compliant","Non-Compliant")</f>
        <v>Compliant</v>
      </c>
      <c r="R8" s="2" t="str">
        <f>IF(CAELS!T12&gt;15%,"Compliant","Non-Compliant")</f>
        <v>Compliant</v>
      </c>
      <c r="S8" s="2" t="str">
        <f>IF(CAELS!U12&gt;15%,"Compliant","Non-Compliant")</f>
        <v>Compliant</v>
      </c>
      <c r="T8" s="2" t="str">
        <f>IF(CAELS!V12&gt;15%,"Compliant","Non-Compliant")</f>
        <v>Compliant</v>
      </c>
    </row>
    <row r="9" spans="1:20" x14ac:dyDescent="0.3">
      <c r="A9" s="137" t="s">
        <v>232</v>
      </c>
      <c r="B9" s="2" t="str">
        <f>IF(CAELS!D16&lt;10%,"Compliant","Non-Compliant")</f>
        <v>Non-Compliant</v>
      </c>
      <c r="C9" s="2" t="str">
        <f>IF(CAELS!E16&lt;10%,"Compliant","Non-Compliant")</f>
        <v>Compliant</v>
      </c>
      <c r="D9" s="2" t="str">
        <f>IF(CAELS!F16&lt;10%,"Compliant","Non-Compliant")</f>
        <v>Compliant</v>
      </c>
      <c r="E9" s="2" t="str">
        <f>IF(CAELS!G16&lt;10%,"Compliant","Non-Compliant")</f>
        <v>Compliant</v>
      </c>
      <c r="F9" s="2" t="str">
        <f>IF(CAELS!H16&lt;10%,"Compliant","Non-Compliant")</f>
        <v>Compliant</v>
      </c>
      <c r="G9" s="2" t="str">
        <f>IF(CAELS!I16&lt;10%,"Compliant","Non-Compliant")</f>
        <v>Compliant</v>
      </c>
      <c r="H9" s="2" t="str">
        <f>IF(CAELS!J16&lt;10%,"Compliant","Non-Compliant")</f>
        <v>Non-Compliant</v>
      </c>
      <c r="I9" s="2" t="str">
        <f>IF(CAELS!K16&lt;10%,"Compliant","Non-Compliant")</f>
        <v>Compliant</v>
      </c>
      <c r="J9" s="2" t="str">
        <f>IF(CAELS!L16&lt;10%,"Compliant","Non-Compliant")</f>
        <v>Compliant</v>
      </c>
      <c r="K9" s="2" t="str">
        <f>IF(CAELS!M16&lt;10%,"Compliant","Non-Compliant")</f>
        <v>Compliant</v>
      </c>
      <c r="L9" s="2" t="str">
        <f>IF(CAELS!N16&lt;10%,"Compliant","Non-Compliant")</f>
        <v>Compliant</v>
      </c>
      <c r="M9" s="2" t="str">
        <f>IF(CAELS!O16&lt;10%,"Compliant","Non-Compliant")</f>
        <v>Compliant</v>
      </c>
      <c r="N9" s="2" t="str">
        <f>IF(CAELS!P16&lt;10%,"Compliant","Non-Compliant")</f>
        <v>Compliant</v>
      </c>
      <c r="O9" s="2" t="str">
        <f>IF(CAELS!Q16&lt;10%,"Compliant","Non-Compliant")</f>
        <v>Compliant</v>
      </c>
      <c r="P9" s="2" t="str">
        <f>IF(CAELS!R16&lt;10%,"Compliant","Non-Compliant")</f>
        <v>Compliant</v>
      </c>
      <c r="Q9" s="2" t="str">
        <f>IF(CAELS!S16&lt;10%,"Compliant","Non-Compliant")</f>
        <v>Compliant</v>
      </c>
      <c r="R9" s="2" t="str">
        <f>IF(CAELS!T16&lt;10%,"Compliant","Non-Compliant")</f>
        <v>Compliant</v>
      </c>
      <c r="S9" s="2" t="str">
        <f>IF(CAELS!U16&lt;10%,"Compliant","Non-Compliant")</f>
        <v>Compliant</v>
      </c>
      <c r="T9" s="2" t="str">
        <f>IF(CAELS!V16&lt;10%,"Compliant","Non-Compliant")</f>
        <v>Compliant</v>
      </c>
    </row>
    <row r="10" spans="1:20" x14ac:dyDescent="0.3">
      <c r="A10" s="137" t="s">
        <v>233</v>
      </c>
      <c r="B10" s="2" t="str">
        <f>IF(CAELS!D17&lt;5%,"Compliant","Non-Compliant")</f>
        <v>Compliant</v>
      </c>
      <c r="C10" s="2" t="str">
        <f>IF(CAELS!E17&lt;5%,"Compliant","Non-Compliant")</f>
        <v>Non-Compliant</v>
      </c>
      <c r="D10" s="2" t="str">
        <f>IF(CAELS!F17&lt;5%,"Compliant","Non-Compliant")</f>
        <v>Non-Compliant</v>
      </c>
      <c r="E10" s="2" t="str">
        <f>IF(CAELS!G17&lt;5%,"Compliant","Non-Compliant")</f>
        <v>Non-Compliant</v>
      </c>
      <c r="F10" s="2" t="str">
        <f>IF(CAELS!H17&lt;5%,"Compliant","Non-Compliant")</f>
        <v>Non-Compliant</v>
      </c>
      <c r="G10" s="2" t="str">
        <f>IF(CAELS!I17&lt;5%,"Compliant","Non-Compliant")</f>
        <v>Non-Compliant</v>
      </c>
      <c r="H10" s="2" t="str">
        <f>IF(CAELS!J17&lt;5%,"Compliant","Non-Compliant")</f>
        <v>Non-Compliant</v>
      </c>
      <c r="I10" s="2" t="str">
        <f>IF(CAELS!K17&lt;5%,"Compliant","Non-Compliant")</f>
        <v>Non-Compliant</v>
      </c>
      <c r="J10" s="2" t="str">
        <f>IF(CAELS!L17&lt;5%,"Compliant","Non-Compliant")</f>
        <v>Non-Compliant</v>
      </c>
      <c r="K10" s="2" t="str">
        <f>IF(CAELS!M17&lt;5%,"Compliant","Non-Compliant")</f>
        <v>Non-Compliant</v>
      </c>
      <c r="L10" s="2" t="str">
        <f>IF(CAELS!N17&lt;5%,"Compliant","Non-Compliant")</f>
        <v>Non-Compliant</v>
      </c>
      <c r="M10" s="2" t="str">
        <f>IF(CAELS!O17&lt;5%,"Compliant","Non-Compliant")</f>
        <v>Non-Compliant</v>
      </c>
      <c r="N10" s="2" t="str">
        <f>IF(CAELS!P17&lt;5%,"Compliant","Non-Compliant")</f>
        <v>Non-Compliant</v>
      </c>
      <c r="O10" s="2" t="str">
        <f>IF(CAELS!Q17&lt;5%,"Compliant","Non-Compliant")</f>
        <v>Non-Compliant</v>
      </c>
      <c r="P10" s="2" t="str">
        <f>IF(CAELS!R17&lt;5%,"Compliant","Non-Compliant")</f>
        <v>Non-Compliant</v>
      </c>
      <c r="Q10" s="2" t="str">
        <f>IF(CAELS!S17&lt;5%,"Compliant","Non-Compliant")</f>
        <v>Non-Compliant</v>
      </c>
      <c r="R10" s="2" t="str">
        <f>IF(CAELS!T17&lt;5%,"Compliant","Non-Compliant")</f>
        <v>Non-Compliant</v>
      </c>
      <c r="S10" s="2" t="str">
        <f>IF(CAELS!U17&lt;5%,"Compliant","Non-Compliant")</f>
        <v>Non-Compliant</v>
      </c>
      <c r="T10" s="2" t="str">
        <f>IF(CAELS!V17&lt;5%,"Compliant","Non-Compliant")</f>
        <v>Non-Compliant</v>
      </c>
    </row>
    <row r="11" spans="1:20" x14ac:dyDescent="0.3">
      <c r="A11" s="137" t="s">
        <v>234</v>
      </c>
      <c r="B11" s="2" t="str">
        <f>IF(CAELS!D18&lt;5%,"Compliant","Non-Compliant")</f>
        <v>Compliant</v>
      </c>
      <c r="C11" s="2" t="str">
        <f>IF(CAELS!E18&lt;5%,"Compliant","Non-Compliant")</f>
        <v>Compliant</v>
      </c>
      <c r="D11" s="2" t="str">
        <f>IF(CAELS!F18&lt;5%,"Compliant","Non-Compliant")</f>
        <v>Compliant</v>
      </c>
      <c r="E11" s="2" t="str">
        <f>IF(CAELS!G18&lt;5%,"Compliant","Non-Compliant")</f>
        <v>Compliant</v>
      </c>
      <c r="F11" s="2" t="str">
        <f>IF(CAELS!H18&lt;5%,"Compliant","Non-Compliant")</f>
        <v>Compliant</v>
      </c>
      <c r="G11" s="2" t="str">
        <f>IF(CAELS!I18&lt;5%,"Compliant","Non-Compliant")</f>
        <v>Compliant</v>
      </c>
      <c r="H11" s="2" t="str">
        <f>IF(CAELS!J18&lt;5%,"Compliant","Non-Compliant")</f>
        <v>Compliant</v>
      </c>
      <c r="I11" s="2" t="str">
        <f>IF(CAELS!K18&lt;5%,"Compliant","Non-Compliant")</f>
        <v>Compliant</v>
      </c>
      <c r="J11" s="2" t="str">
        <f>IF(CAELS!L18&lt;5%,"Compliant","Non-Compliant")</f>
        <v>Compliant</v>
      </c>
      <c r="K11" s="2" t="str">
        <f>IF(CAELS!M18&lt;5%,"Compliant","Non-Compliant")</f>
        <v>Compliant</v>
      </c>
      <c r="L11" s="2" t="str">
        <f>IF(CAELS!N18&lt;5%,"Compliant","Non-Compliant")</f>
        <v>Compliant</v>
      </c>
      <c r="M11" s="2" t="str">
        <f>IF(CAELS!O18&lt;5%,"Compliant","Non-Compliant")</f>
        <v>Compliant</v>
      </c>
      <c r="N11" s="2" t="str">
        <f>IF(CAELS!P18&lt;5%,"Compliant","Non-Compliant")</f>
        <v>Compliant</v>
      </c>
      <c r="O11" s="2" t="str">
        <f>IF(CAELS!Q18&lt;5%,"Compliant","Non-Compliant")</f>
        <v>Compliant</v>
      </c>
      <c r="P11" s="2" t="str">
        <f>IF(CAELS!R18&lt;5%,"Compliant","Non-Compliant")</f>
        <v>Compliant</v>
      </c>
      <c r="Q11" s="2" t="str">
        <f>IF(CAELS!S18&lt;5%,"Compliant","Non-Compliant")</f>
        <v>Compliant</v>
      </c>
      <c r="R11" s="2" t="str">
        <f>IF(CAELS!T18&lt;5%,"Compliant","Non-Compliant")</f>
        <v>Compliant</v>
      </c>
      <c r="S11" s="2" t="str">
        <f>IF(CAELS!U18&lt;5%,"Compliant","Non-Compliant")</f>
        <v>Compliant</v>
      </c>
      <c r="T11" s="2" t="str">
        <f>IF(CAELS!V18&lt;5%,"Compliant","Non-Compliant")</f>
        <v>Compliant</v>
      </c>
    </row>
    <row r="12" spans="1:20" x14ac:dyDescent="0.3">
      <c r="A12" s="137" t="s">
        <v>235</v>
      </c>
      <c r="B12" s="2" t="str">
        <f>IF(CAELS!D19&lt;40%,"Compliant","Non-Compliant")</f>
        <v>Compliant</v>
      </c>
      <c r="C12" s="2" t="str">
        <f>IF(CAELS!E19&lt;40%,"Compliant","Non-Compliant")</f>
        <v>Compliant</v>
      </c>
      <c r="D12" s="2" t="str">
        <f>IF(CAELS!F19&lt;40%,"Compliant","Non-Compliant")</f>
        <v>Compliant</v>
      </c>
      <c r="E12" s="2" t="str">
        <f>IF(CAELS!G19&lt;40%,"Compliant","Non-Compliant")</f>
        <v>Compliant</v>
      </c>
      <c r="F12" s="2" t="str">
        <f>IF(CAELS!H19&lt;40%,"Compliant","Non-Compliant")</f>
        <v>Compliant</v>
      </c>
      <c r="G12" s="2" t="str">
        <f>IF(CAELS!I19&lt;40%,"Compliant","Non-Compliant")</f>
        <v>Compliant</v>
      </c>
      <c r="H12" s="2" t="str">
        <f>IF(CAELS!J19&lt;40%,"Compliant","Non-Compliant")</f>
        <v>Compliant</v>
      </c>
      <c r="I12" s="2" t="str">
        <f>IF(CAELS!K19&lt;40%,"Compliant","Non-Compliant")</f>
        <v>Compliant</v>
      </c>
      <c r="J12" s="2" t="str">
        <f>IF(CAELS!L19&lt;40%,"Compliant","Non-Compliant")</f>
        <v>Compliant</v>
      </c>
      <c r="K12" s="2" t="str">
        <f>IF(CAELS!M19&lt;40%,"Compliant","Non-Compliant")</f>
        <v>Compliant</v>
      </c>
      <c r="L12" s="2" t="str">
        <f>IF(CAELS!N19&lt;40%,"Compliant","Non-Compliant")</f>
        <v>Compliant</v>
      </c>
      <c r="M12" s="2" t="str">
        <f>IF(CAELS!O19&lt;40%,"Compliant","Non-Compliant")</f>
        <v>Compliant</v>
      </c>
      <c r="N12" s="2" t="str">
        <f>IF(CAELS!P19&lt;40%,"Compliant","Non-Compliant")</f>
        <v>Compliant</v>
      </c>
      <c r="O12" s="2" t="str">
        <f>IF(CAELS!Q19&lt;40%,"Compliant","Non-Compliant")</f>
        <v>Compliant</v>
      </c>
      <c r="P12" s="2" t="str">
        <f>IF(CAELS!R19&lt;40%,"Compliant","Non-Compliant")</f>
        <v>Compliant</v>
      </c>
      <c r="Q12" s="2" t="str">
        <f>IF(CAELS!S19&lt;40%,"Compliant","Non-Compliant")</f>
        <v>Compliant</v>
      </c>
      <c r="R12" s="2" t="str">
        <f>IF(CAELS!T19&lt;40%,"Compliant","Non-Compliant")</f>
        <v>Compliant</v>
      </c>
      <c r="S12" s="2" t="str">
        <f>IF(CAELS!U19&lt;40%,"Compliant","Non-Compliant")</f>
        <v>Compliant</v>
      </c>
      <c r="T12" s="2" t="str">
        <f>IF(CAELS!V19&lt;40%,"Compliant","Non-Compliant")</f>
        <v>Compliant</v>
      </c>
    </row>
    <row r="13" spans="1:20" x14ac:dyDescent="0.3">
      <c r="A13" s="137" t="s">
        <v>236</v>
      </c>
      <c r="B13" s="2" t="str">
        <f>IF(CAELS!D14&lt;25%,"Compliant","Non-Compliant")</f>
        <v>Compliant</v>
      </c>
      <c r="C13" s="2" t="str">
        <f>IF(CAELS!E14&lt;25%,"Compliant","Non-Compliant")</f>
        <v>Compliant</v>
      </c>
      <c r="D13" s="2" t="str">
        <f>IF(CAELS!F14&lt;25%,"Compliant","Non-Compliant")</f>
        <v>Compliant</v>
      </c>
      <c r="E13" s="2" t="str">
        <f>IF(CAELS!G14&lt;25%,"Compliant","Non-Compliant")</f>
        <v>Compliant</v>
      </c>
      <c r="F13" s="2" t="str">
        <f>IF(CAELS!H14&lt;25%,"Compliant","Non-Compliant")</f>
        <v>Compliant</v>
      </c>
      <c r="G13" s="2" t="str">
        <f>IF(CAELS!I14&lt;25%,"Compliant","Non-Compliant")</f>
        <v>Compliant</v>
      </c>
      <c r="H13" s="2" t="str">
        <f>IF(CAELS!J14&lt;25%,"Compliant","Non-Compliant")</f>
        <v>Compliant</v>
      </c>
      <c r="I13" s="2" t="str">
        <f>IF(CAELS!K14&lt;25%,"Compliant","Non-Compliant")</f>
        <v>Compliant</v>
      </c>
      <c r="J13" s="2" t="str">
        <f>IF(CAELS!L14&lt;25%,"Compliant","Non-Compliant")</f>
        <v>Compliant</v>
      </c>
      <c r="K13" s="2" t="str">
        <f>IF(CAELS!M14&lt;25%,"Compliant","Non-Compliant")</f>
        <v>Compliant</v>
      </c>
      <c r="L13" s="2" t="str">
        <f>IF(CAELS!N14&lt;25%,"Compliant","Non-Compliant")</f>
        <v>Compliant</v>
      </c>
      <c r="M13" s="2" t="str">
        <f>IF(CAELS!O14&lt;25%,"Compliant","Non-Compliant")</f>
        <v>Compliant</v>
      </c>
      <c r="N13" s="2" t="str">
        <f>IF(CAELS!P14&lt;25%,"Compliant","Non-Compliant")</f>
        <v>Compliant</v>
      </c>
      <c r="O13" s="2" t="str">
        <f>IF(CAELS!Q14&lt;25%,"Compliant","Non-Compliant")</f>
        <v>Compliant</v>
      </c>
      <c r="P13" s="2" t="str">
        <f>IF(CAELS!R14&lt;25%,"Compliant","Non-Compliant")</f>
        <v>Compliant</v>
      </c>
      <c r="Q13" s="2" t="str">
        <f>IF(CAELS!S14&lt;25%,"Compliant","Non-Compliant")</f>
        <v>Compliant</v>
      </c>
      <c r="R13" s="2" t="str">
        <f>IF(CAELS!T14&lt;25%,"Compliant","Non-Compliant")</f>
        <v>Compliant</v>
      </c>
      <c r="S13" s="2" t="str">
        <f>IF(CAELS!U14&lt;25%,"Compliant","Non-Compliant")</f>
        <v>Compliant</v>
      </c>
      <c r="T13" s="2" t="str">
        <f>IF(CAELS!V14&lt;25%,"Compliant","Non-Compliant")</f>
        <v>Compliant</v>
      </c>
    </row>
    <row r="14" spans="1:20" x14ac:dyDescent="0.3">
      <c r="A14" s="137" t="s">
        <v>237</v>
      </c>
      <c r="B14" s="2" t="str">
        <f>IF('Evolutive SFP'!B27='Evolutive SFP'!B49,"BALANCING","NOT BALANCING")</f>
        <v>BALANCING</v>
      </c>
      <c r="C14" s="2" t="str">
        <f>IF('Evolutive SFP'!C27='Evolutive SFP'!C49,"BALANCING","NOT BALANCING")</f>
        <v>BALANCING</v>
      </c>
      <c r="D14" s="2" t="str">
        <f>IF('Evolutive SFP'!D27='Evolutive SFP'!D49,"BALANCING","NOT BALANCING")</f>
        <v>BALANCING</v>
      </c>
      <c r="E14" s="2" t="str">
        <f>IF('Evolutive SFP'!E27='Evolutive SFP'!E49,"BALANCING","NOT BALANCING")</f>
        <v>BALANCING</v>
      </c>
      <c r="F14" s="2" t="str">
        <f>IF('Evolutive SFP'!F27='Evolutive SFP'!F49,"BALANCING","NOT BALANCING")</f>
        <v>BALANCING</v>
      </c>
      <c r="G14" s="2" t="str">
        <f>IF('Evolutive SFP'!G27='Evolutive SFP'!G49,"BALANCING","NOT BALANCING")</f>
        <v>BALANCING</v>
      </c>
      <c r="H14" s="2" t="str">
        <f>IF('Evolutive SFP'!H27='Evolutive SFP'!H49,"BALANCING","NOT BALANCING")</f>
        <v>BALANCING</v>
      </c>
      <c r="I14" s="2" t="e">
        <f>IF('Evolutive SFP'!#REF!='Evolutive SFP'!#REF!,"BALANCING","NOT BALANCING")</f>
        <v>#REF!</v>
      </c>
      <c r="J14" s="2" t="e">
        <f>IF('Evolutive SFP'!#REF!='Evolutive SFP'!#REF!,"BALANCING","NOT BALANCING")</f>
        <v>#REF!</v>
      </c>
      <c r="K14" s="2" t="e">
        <f>IF('Evolutive SFP'!#REF!='Evolutive SFP'!#REF!,"BALANCING","NOT BALANCING")</f>
        <v>#REF!</v>
      </c>
      <c r="L14" s="2" t="e">
        <f>IF('Evolutive SFP'!#REF!='Evolutive SFP'!#REF!,"BALANCING","NOT BALANCING")</f>
        <v>#REF!</v>
      </c>
      <c r="M14" s="2" t="e">
        <f>IF('Evolutive SFP'!#REF!='Evolutive SFP'!#REF!,"BALANCING","NOT BALANCING")</f>
        <v>#REF!</v>
      </c>
      <c r="N14" s="2" t="e">
        <f>IF('Evolutive SFP'!#REF!='Evolutive SFP'!#REF!,"BALANCING","NOT BALANCING")</f>
        <v>#REF!</v>
      </c>
      <c r="O14" s="2" t="e">
        <f>IF('Evolutive SFP'!#REF!='Evolutive SFP'!#REF!,"BALANCING","NOT BALANCING")</f>
        <v>#REF!</v>
      </c>
      <c r="P14" s="2" t="e">
        <f>IF('Evolutive SFP'!#REF!='Evolutive SFP'!#REF!,"BALANCING","NOT BALANCING")</f>
        <v>#REF!</v>
      </c>
      <c r="Q14" s="2" t="e">
        <f>IF('Evolutive SFP'!#REF!='Evolutive SFP'!#REF!,"BALANCING","NOT BALANCING")</f>
        <v>#REF!</v>
      </c>
      <c r="R14" s="2" t="e">
        <f>IF('Evolutive SFP'!#REF!='Evolutive SFP'!#REF!,"BALANCING","NOT BALANCING")</f>
        <v>#REF!</v>
      </c>
      <c r="S14" s="2" t="e">
        <f>IF('Evolutive SFP'!#REF!='Evolutive SFP'!#REF!,"BALANCING","NOT BALANCING")</f>
        <v>#REF!</v>
      </c>
      <c r="T14" s="2" t="e">
        <f>IF('Evolutive SFP'!#REF!='Evolutive SFP'!#REF!,"BALANCING","NOT BALANCING")</f>
        <v>#REF!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0"/>
  <sheetViews>
    <sheetView workbookViewId="0">
      <pane xSplit="1" ySplit="2" topLeftCell="B16" activePane="bottomRight" state="frozen"/>
      <selection pane="topRight" activeCell="B1" sqref="B1"/>
      <selection pane="bottomLeft" activeCell="A3" sqref="A3"/>
      <selection pane="bottomRight" activeCell="I16" sqref="I16"/>
    </sheetView>
  </sheetViews>
  <sheetFormatPr defaultRowHeight="14.4" x14ac:dyDescent="0.3"/>
  <cols>
    <col min="1" max="1" width="54.88671875" style="106" bestFit="1" customWidth="1"/>
    <col min="2" max="2" width="15" style="106" bestFit="1" customWidth="1"/>
    <col min="3" max="3" width="15.109375" style="106" customWidth="1"/>
    <col min="4" max="4" width="17.6640625" style="110" bestFit="1" customWidth="1"/>
    <col min="5" max="5" width="13.5546875" bestFit="1" customWidth="1"/>
    <col min="6" max="6" width="11.5546875" bestFit="1" customWidth="1"/>
    <col min="8" max="8" width="16" bestFit="1" customWidth="1"/>
    <col min="10" max="10" width="10.6640625" bestFit="1" customWidth="1"/>
  </cols>
  <sheetData>
    <row r="1" spans="1:10" x14ac:dyDescent="0.3">
      <c r="A1" s="212" t="s">
        <v>238</v>
      </c>
      <c r="B1" s="212"/>
      <c r="C1" s="212"/>
    </row>
    <row r="2" spans="1:10" ht="15.6" x14ac:dyDescent="0.3">
      <c r="A2" s="69"/>
      <c r="B2" s="70">
        <v>2020</v>
      </c>
      <c r="C2" s="70">
        <v>2021</v>
      </c>
      <c r="D2" s="111" t="s">
        <v>239</v>
      </c>
      <c r="E2" t="s">
        <v>240</v>
      </c>
    </row>
    <row r="3" spans="1:10" x14ac:dyDescent="0.3">
      <c r="A3" s="71" t="s">
        <v>241</v>
      </c>
      <c r="B3" s="72"/>
      <c r="C3" s="73"/>
    </row>
    <row r="4" spans="1:10" x14ac:dyDescent="0.3">
      <c r="A4" s="74" t="s">
        <v>242</v>
      </c>
      <c r="B4" s="75"/>
      <c r="C4" s="76"/>
    </row>
    <row r="5" spans="1:10" x14ac:dyDescent="0.3">
      <c r="A5" s="77" t="s">
        <v>243</v>
      </c>
      <c r="B5" s="78"/>
      <c r="C5" s="79"/>
      <c r="J5" t="s">
        <v>244</v>
      </c>
    </row>
    <row r="6" spans="1:10" ht="15.6" x14ac:dyDescent="0.4">
      <c r="A6" s="77" t="s">
        <v>245</v>
      </c>
      <c r="B6" s="80"/>
      <c r="C6" s="81"/>
      <c r="D6" s="112"/>
      <c r="J6" t="s">
        <v>244</v>
      </c>
    </row>
    <row r="7" spans="1:10" ht="15.6" x14ac:dyDescent="0.4">
      <c r="A7" s="77" t="s">
        <v>246</v>
      </c>
      <c r="B7" s="75"/>
      <c r="C7" s="79"/>
      <c r="D7" s="112"/>
      <c r="E7" s="80"/>
      <c r="F7" s="81"/>
    </row>
    <row r="8" spans="1:10" ht="17.399999999999999" x14ac:dyDescent="0.55000000000000004">
      <c r="A8" s="82" t="s">
        <v>247</v>
      </c>
      <c r="B8" s="83">
        <f>B4+B5+B6+B7</f>
        <v>0</v>
      </c>
      <c r="C8" s="84">
        <f>SUM(C4:C7)</f>
        <v>0</v>
      </c>
      <c r="D8" s="113">
        <f>SUM(D4:D7)</f>
        <v>0</v>
      </c>
      <c r="H8" s="85"/>
    </row>
    <row r="9" spans="1:10" x14ac:dyDescent="0.3">
      <c r="A9" s="77" t="s">
        <v>248</v>
      </c>
      <c r="B9" s="78"/>
      <c r="C9" s="79"/>
      <c r="D9" s="112"/>
      <c r="E9" s="86"/>
    </row>
    <row r="10" spans="1:10" x14ac:dyDescent="0.3">
      <c r="A10" s="77" t="s">
        <v>249</v>
      </c>
      <c r="B10" s="78"/>
      <c r="C10" s="79"/>
    </row>
    <row r="11" spans="1:10" x14ac:dyDescent="0.3">
      <c r="A11" s="77" t="s">
        <v>250</v>
      </c>
      <c r="B11" s="78"/>
      <c r="C11" s="79"/>
      <c r="D11" s="112"/>
    </row>
    <row r="12" spans="1:10" x14ac:dyDescent="0.3">
      <c r="A12" s="77" t="s">
        <v>251</v>
      </c>
      <c r="B12" s="78"/>
      <c r="C12" s="79"/>
    </row>
    <row r="13" spans="1:10" ht="15.6" x14ac:dyDescent="0.4">
      <c r="A13" s="77" t="s">
        <v>252</v>
      </c>
      <c r="B13" s="87"/>
      <c r="C13" s="81"/>
      <c r="H13" s="110"/>
    </row>
    <row r="14" spans="1:10" x14ac:dyDescent="0.3">
      <c r="A14" s="88" t="s">
        <v>253</v>
      </c>
      <c r="B14" s="89">
        <f>SUM(B9:B13)</f>
        <v>0</v>
      </c>
      <c r="C14" s="90">
        <f>SUM(C9:C13)</f>
        <v>0</v>
      </c>
      <c r="D14" s="114">
        <f>SUM(D9:D13)</f>
        <v>0</v>
      </c>
      <c r="H14" s="110"/>
    </row>
    <row r="15" spans="1:10" x14ac:dyDescent="0.3">
      <c r="A15" s="91" t="s">
        <v>254</v>
      </c>
      <c r="B15" s="78"/>
      <c r="C15" s="79"/>
      <c r="H15" s="110"/>
    </row>
    <row r="16" spans="1:10" x14ac:dyDescent="0.3">
      <c r="A16" s="91" t="s">
        <v>255</v>
      </c>
      <c r="B16" s="75"/>
      <c r="C16" s="79"/>
      <c r="H16" s="110"/>
    </row>
    <row r="17" spans="1:8" ht="15.6" x14ac:dyDescent="0.4">
      <c r="A17" s="91" t="s">
        <v>256</v>
      </c>
      <c r="B17" s="87"/>
      <c r="C17" s="81"/>
      <c r="H17" s="110"/>
    </row>
    <row r="18" spans="1:8" x14ac:dyDescent="0.3">
      <c r="A18" s="92" t="s">
        <v>257</v>
      </c>
      <c r="B18" s="93">
        <f>B8+B14+B15+B16+B17</f>
        <v>0</v>
      </c>
      <c r="C18" s="94">
        <f>C8+C14+C15+C16+C17</f>
        <v>0</v>
      </c>
      <c r="D18" s="114">
        <f>D8+D14+D15+D16+D17</f>
        <v>0</v>
      </c>
      <c r="H18" s="110"/>
    </row>
    <row r="19" spans="1:8" ht="15.6" x14ac:dyDescent="0.4">
      <c r="A19" s="91" t="s">
        <v>258</v>
      </c>
      <c r="B19" s="87"/>
      <c r="C19" s="81"/>
      <c r="H19" s="110"/>
    </row>
    <row r="20" spans="1:8" ht="17.399999999999999" x14ac:dyDescent="0.55000000000000004">
      <c r="A20" s="92" t="s">
        <v>259</v>
      </c>
      <c r="B20" s="95"/>
      <c r="C20" s="96"/>
      <c r="D20" s="113"/>
      <c r="F20" s="110"/>
      <c r="H20" s="41"/>
    </row>
    <row r="21" spans="1:8" x14ac:dyDescent="0.3">
      <c r="A21" s="91"/>
      <c r="B21" s="97"/>
      <c r="C21" s="79"/>
    </row>
    <row r="22" spans="1:8" x14ac:dyDescent="0.3">
      <c r="A22" s="92" t="s">
        <v>260</v>
      </c>
      <c r="B22" s="98"/>
      <c r="C22" s="99"/>
      <c r="D22" s="115"/>
    </row>
    <row r="23" spans="1:8" x14ac:dyDescent="0.3">
      <c r="A23" s="91" t="s">
        <v>261</v>
      </c>
      <c r="B23" s="75"/>
      <c r="C23" s="79"/>
    </row>
    <row r="24" spans="1:8" x14ac:dyDescent="0.3">
      <c r="A24" s="91" t="s">
        <v>262</v>
      </c>
      <c r="B24" s="75"/>
      <c r="C24" s="79"/>
    </row>
    <row r="25" spans="1:8" x14ac:dyDescent="0.3">
      <c r="A25" s="91" t="s">
        <v>263</v>
      </c>
      <c r="B25" s="75"/>
      <c r="C25" s="79"/>
    </row>
    <row r="26" spans="1:8" x14ac:dyDescent="0.3">
      <c r="A26" s="91" t="s">
        <v>264</v>
      </c>
      <c r="B26" s="75"/>
      <c r="C26" s="79"/>
      <c r="D26" s="112"/>
    </row>
    <row r="27" spans="1:8" ht="15.6" x14ac:dyDescent="0.4">
      <c r="A27" s="91" t="s">
        <v>265</v>
      </c>
      <c r="B27" s="87"/>
      <c r="C27" s="81"/>
      <c r="D27" s="112"/>
    </row>
    <row r="28" spans="1:8" ht="17.399999999999999" x14ac:dyDescent="0.55000000000000004">
      <c r="A28" s="92" t="s">
        <v>266</v>
      </c>
      <c r="B28" s="83">
        <f>SUM(B23:B27)</f>
        <v>0</v>
      </c>
      <c r="C28" s="84">
        <f>SUM(C23:C27)</f>
        <v>0</v>
      </c>
      <c r="D28" s="113">
        <f>SUM(D23:D27)</f>
        <v>0</v>
      </c>
    </row>
    <row r="29" spans="1:8" x14ac:dyDescent="0.3">
      <c r="A29" s="91"/>
      <c r="B29" s="97"/>
      <c r="C29" s="100"/>
    </row>
    <row r="30" spans="1:8" x14ac:dyDescent="0.3">
      <c r="A30" s="92" t="s">
        <v>267</v>
      </c>
      <c r="B30" s="98"/>
      <c r="C30" s="99"/>
      <c r="D30" s="115"/>
    </row>
    <row r="31" spans="1:8" x14ac:dyDescent="0.3">
      <c r="A31" s="91" t="s">
        <v>268</v>
      </c>
      <c r="B31" s="75"/>
      <c r="C31" s="79"/>
    </row>
    <row r="32" spans="1:8" x14ac:dyDescent="0.3">
      <c r="A32" s="91" t="s">
        <v>269</v>
      </c>
      <c r="B32" s="75"/>
      <c r="C32" s="79"/>
    </row>
    <row r="33" spans="1:4" x14ac:dyDescent="0.3">
      <c r="A33" s="91" t="s">
        <v>270</v>
      </c>
      <c r="B33" s="75"/>
      <c r="C33" s="79"/>
    </row>
    <row r="34" spans="1:4" x14ac:dyDescent="0.3">
      <c r="A34" s="91" t="s">
        <v>271</v>
      </c>
      <c r="B34" s="75"/>
      <c r="C34" s="79"/>
      <c r="D34" s="112"/>
    </row>
    <row r="35" spans="1:4" x14ac:dyDescent="0.3">
      <c r="A35" s="91" t="s">
        <v>272</v>
      </c>
      <c r="B35" s="75"/>
      <c r="C35" s="79"/>
      <c r="D35" s="112"/>
    </row>
    <row r="36" spans="1:4" x14ac:dyDescent="0.3">
      <c r="A36" s="91" t="s">
        <v>273</v>
      </c>
      <c r="B36" s="75"/>
      <c r="C36" s="79"/>
      <c r="D36" s="112"/>
    </row>
    <row r="37" spans="1:4" ht="17.399999999999999" x14ac:dyDescent="0.55000000000000004">
      <c r="A37" s="92" t="s">
        <v>274</v>
      </c>
      <c r="B37" s="83">
        <f>SUM(B31:B36)</f>
        <v>0</v>
      </c>
      <c r="C37" s="84">
        <f>SUM(C31:C36)</f>
        <v>0</v>
      </c>
      <c r="D37" s="113">
        <f>SUM(D31:D36)</f>
        <v>0</v>
      </c>
    </row>
    <row r="38" spans="1:4" x14ac:dyDescent="0.3">
      <c r="A38" s="92" t="s">
        <v>275</v>
      </c>
      <c r="B38" s="101">
        <f>B20+B28+B37</f>
        <v>0</v>
      </c>
      <c r="C38" s="102">
        <f>C20+C28+C37</f>
        <v>0</v>
      </c>
      <c r="D38" s="115">
        <f>D20+D28+D37</f>
        <v>0</v>
      </c>
    </row>
    <row r="39" spans="1:4" ht="15.6" x14ac:dyDescent="0.4">
      <c r="A39" s="91" t="s">
        <v>276</v>
      </c>
      <c r="B39" s="103"/>
      <c r="C39" s="104"/>
      <c r="D39" s="112"/>
    </row>
    <row r="40" spans="1:4" ht="17.399999999999999" x14ac:dyDescent="0.55000000000000004">
      <c r="A40" s="92" t="s">
        <v>277</v>
      </c>
      <c r="B40" s="95">
        <f>SUM(B38:B39)</f>
        <v>0</v>
      </c>
      <c r="C40" s="105">
        <f>SUM(C38:C39)</f>
        <v>0</v>
      </c>
      <c r="D40" s="116">
        <f>SUM(D38:D39)</f>
        <v>0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6" ma:contentTypeDescription="Create a new document." ma:contentTypeScope="" ma:versionID="02b30870fc8718c37a5fdeeb3f9f6640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1d039cf6d75f596d6402e382bea0e69c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4D7DDC-238C-4FEC-AFA0-B763F2FAA0BD}">
  <ds:schemaRefs>
    <ds:schemaRef ds:uri="http://schemas.microsoft.com/office/2006/metadata/properties"/>
    <ds:schemaRef ds:uri="http://schemas.microsoft.com/office/infopath/2007/PartnerControls"/>
    <ds:schemaRef ds:uri="df647032-17c5-4266-af02-4596a72daf50"/>
    <ds:schemaRef ds:uri="6e3db4b3-2b3b-4352-9127-36718d9c05b9"/>
  </ds:schemaRefs>
</ds:datastoreItem>
</file>

<file path=customXml/itemProps2.xml><?xml version="1.0" encoding="utf-8"?>
<ds:datastoreItem xmlns:ds="http://schemas.openxmlformats.org/officeDocument/2006/customXml" ds:itemID="{33A42D37-EDC9-4B1F-9F1B-3034B83E95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D68D3C-3475-474C-BC15-B78C013B35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3db4b3-2b3b-4352-9127-36718d9c05b9"/>
    <ds:schemaRef ds:uri="df647032-17c5-4266-af02-4596a72daf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Evolutive SFP</vt:lpstr>
      <vt:lpstr>Evolutitve SCI</vt:lpstr>
      <vt:lpstr>FORM 4</vt:lpstr>
      <vt:lpstr>CAELS</vt:lpstr>
      <vt:lpstr>Financials</vt:lpstr>
      <vt:lpstr>CAELS Rating</vt:lpstr>
      <vt:lpstr>Compliance Status</vt:lpstr>
      <vt:lpstr>CashFlow Stmnt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</dc:creator>
  <cp:keywords/>
  <dc:description/>
  <cp:lastModifiedBy>Moses Lochit</cp:lastModifiedBy>
  <cp:revision/>
  <dcterms:created xsi:type="dcterms:W3CDTF">2012-11-01T05:11:14Z</dcterms:created>
  <dcterms:modified xsi:type="dcterms:W3CDTF">2023-07-04T12:48:37Z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SIP_Label_6294dde6-398b-42fd-9ab1-a1959fc6b9e2_Enabled">
    <vt:lpwstr>true</vt:lpwstr>
  </property>
  <property fmtid="{D5CDD505-2E9C-101B-9397-08002B2CF9AE}" pid="4" name="MSIP_Label_6294dde6-398b-42fd-9ab1-a1959fc6b9e2_SetDate">
    <vt:lpwstr>2022-06-06T11:57:21Z</vt:lpwstr>
  </property>
  <property fmtid="{D5CDD505-2E9C-101B-9397-08002B2CF9AE}" pid="5" name="MSIP_Label_6294dde6-398b-42fd-9ab1-a1959fc6b9e2_Method">
    <vt:lpwstr>Privileged</vt:lpwstr>
  </property>
  <property fmtid="{D5CDD505-2E9C-101B-9397-08002B2CF9AE}" pid="6" name="MSIP_Label_6294dde6-398b-42fd-9ab1-a1959fc6b9e2_Name">
    <vt:lpwstr>Public</vt:lpwstr>
  </property>
  <property fmtid="{D5CDD505-2E9C-101B-9397-08002B2CF9AE}" pid="7" name="MSIP_Label_6294dde6-398b-42fd-9ab1-a1959fc6b9e2_SiteId">
    <vt:lpwstr>d6c8161d-ccd5-4325-b291-dd442c369fe4</vt:lpwstr>
  </property>
  <property fmtid="{D5CDD505-2E9C-101B-9397-08002B2CF9AE}" pid="8" name="MSIP_Label_6294dde6-398b-42fd-9ab1-a1959fc6b9e2_ActionId">
    <vt:lpwstr>e45cc0d8-31c8-4eda-a989-660ec8bf524f</vt:lpwstr>
  </property>
  <property fmtid="{D5CDD505-2E9C-101B-9397-08002B2CF9AE}" pid="9" name="MSIP_Label_6294dde6-398b-42fd-9ab1-a1959fc6b9e2_ContentBits">
    <vt:lpwstr>0</vt:lpwstr>
  </property>
  <property fmtid="{D5CDD505-2E9C-101B-9397-08002B2CF9AE}" pid="10" name="MediaServiceImageTags">
    <vt:lpwstr/>
  </property>
</Properties>
</file>